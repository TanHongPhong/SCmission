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 UEH_UNIVERSITY\MONEY\SCmission\"/>
    </mc:Choice>
  </mc:AlternateContent>
  <xr:revisionPtr revIDLastSave="0" documentId="13_ncr:20001_{F861D925-FC97-40BB-AD28-265FE502A631}" xr6:coauthVersionLast="47" xr6:coauthVersionMax="47" xr10:uidLastSave="{00000000-0000-0000-0000-000000000000}"/>
  <bookViews>
    <workbookView xWindow="-108" yWindow="-108" windowWidth="23256" windowHeight="12456" firstSheet="18" activeTab="20" xr2:uid="{00000000-000D-0000-FFFF-FFFF00000000}"/>
  </bookViews>
  <sheets>
    <sheet name="Overall Case Study" sheetId="1" state="hidden" r:id="rId1"/>
    <sheet name="Demand" sheetId="2" state="hidden" r:id="rId2"/>
    <sheet name="Demand_" sheetId="3" r:id="rId3"/>
    <sheet name="weekly_demand" sheetId="4" state="hidden" r:id="rId4"/>
    <sheet name="demand_matrix" sheetId="5" r:id="rId5"/>
    <sheet name="sumary" sheetId="6" state="hidden" r:id="rId6"/>
    <sheet name="input" sheetId="11" r:id="rId7"/>
    <sheet name="MPS" sheetId="7" r:id="rId8"/>
    <sheet name="MPS_Scenario" sheetId="8" r:id="rId9"/>
    <sheet name="BOM_demand" sheetId="9" r:id="rId10"/>
    <sheet name="BOM_demand_Scenario" sheetId="10" r:id="rId11"/>
    <sheet name="MRP" sheetId="12" r:id="rId12"/>
    <sheet name="MRP_Scenario" sheetId="13" r:id="rId13"/>
    <sheet name="Scenario_Result" sheetId="14" r:id="rId14"/>
    <sheet name="Scenario_Weekly_Plan" sheetId="15" r:id="rId15"/>
    <sheet name="PCBA_Supply_Timeline" sheetId="16" r:id="rId16"/>
    <sheet name="Recovery_Analysis" sheetId="17" r:id="rId17"/>
    <sheet name="Recovery_Summary" sheetId="18" r:id="rId18"/>
    <sheet name="Cost_Analysis" sheetId="19" r:id="rId19"/>
    <sheet name="KPI_Summary" sheetId="20" r:id="rId20"/>
    <sheet name="Production_plan" sheetId="21" r:id="rId21"/>
    <sheet name="All_Load_Detail" sheetId="22" r:id="rId22"/>
    <sheet name="Weekly_All_Markets" sheetId="23" r:id="rId23"/>
    <sheet name="Summary_All" sheetId="24" state="hidden" r:id="rId24"/>
    <sheet name="BOM &amp; Inventory" sheetId="25" state="hidden" r:id="rId25"/>
    <sheet name="FGs &amp; Log information " sheetId="26" state="hidden" r:id="rId26"/>
    <sheet name="Scenario_Daily_Agg" sheetId="27" state="hidden" r:id="rId27"/>
    <sheet name="Scenario_Weekly_PCBA" sheetId="28" state="hidden" r:id="rId28"/>
  </sheets>
  <externalReferences>
    <externalReference r:id="rId29"/>
  </externalReferences>
  <definedNames>
    <definedName name="_xlnm._FilterDatabase" localSheetId="13" hidden="1">Scenario_Result!$A$1:$AQ$22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9" l="1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F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H18" i="21"/>
  <c r="H19" i="21"/>
  <c r="H17" i="21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B6" i="28"/>
  <c r="B5" i="28"/>
  <c r="B4" i="28"/>
  <c r="B3" i="28"/>
  <c r="B2" i="28"/>
  <c r="C2" i="28" s="1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J37" i="21"/>
  <c r="I37" i="21"/>
  <c r="H37" i="21"/>
  <c r="J36" i="21"/>
  <c r="I36" i="21"/>
  <c r="H36" i="21"/>
  <c r="J35" i="21"/>
  <c r="I35" i="21"/>
  <c r="H35" i="21"/>
  <c r="J34" i="21"/>
  <c r="I34" i="21"/>
  <c r="H34" i="21"/>
  <c r="J33" i="21"/>
  <c r="I33" i="21"/>
  <c r="H33" i="21"/>
  <c r="J32" i="21"/>
  <c r="I32" i="21"/>
  <c r="H32" i="21"/>
  <c r="J31" i="21"/>
  <c r="I31" i="21"/>
  <c r="H31" i="21"/>
  <c r="J30" i="21"/>
  <c r="I30" i="21"/>
  <c r="H30" i="21"/>
  <c r="J29" i="21"/>
  <c r="I29" i="21"/>
  <c r="H29" i="21"/>
  <c r="J28" i="21"/>
  <c r="I28" i="21"/>
  <c r="H28" i="21"/>
  <c r="J27" i="21"/>
  <c r="I27" i="21"/>
  <c r="H27" i="21"/>
  <c r="J26" i="21"/>
  <c r="I26" i="21"/>
  <c r="H26" i="21"/>
  <c r="J25" i="21"/>
  <c r="I25" i="21"/>
  <c r="H25" i="21"/>
  <c r="J24" i="21"/>
  <c r="I24" i="21"/>
  <c r="H24" i="21"/>
  <c r="J23" i="21"/>
  <c r="I23" i="21"/>
  <c r="H23" i="21"/>
  <c r="J22" i="21"/>
  <c r="I22" i="21"/>
  <c r="H22" i="21"/>
  <c r="J21" i="21"/>
  <c r="I21" i="21"/>
  <c r="H21" i="21"/>
  <c r="J20" i="21"/>
  <c r="I20" i="21"/>
  <c r="H20" i="21"/>
  <c r="J19" i="21"/>
  <c r="I19" i="21"/>
  <c r="J18" i="21"/>
  <c r="I18" i="21"/>
  <c r="J17" i="21"/>
  <c r="I17" i="21"/>
  <c r="B12" i="21"/>
  <c r="B11" i="21"/>
  <c r="L7" i="21"/>
  <c r="L3" i="21"/>
  <c r="K4" i="21" s="1"/>
  <c r="L4" i="21" s="1"/>
  <c r="K3" i="21"/>
  <c r="AL163" i="13"/>
  <c r="AK163" i="13"/>
  <c r="AJ163" i="13"/>
  <c r="AI163" i="13"/>
  <c r="AH163" i="13"/>
  <c r="AG163" i="13"/>
  <c r="AF163" i="13"/>
  <c r="AE163" i="13"/>
  <c r="B160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C156" i="13" a="1"/>
  <c r="AF156" i="13" s="1"/>
  <c r="B156" i="13"/>
  <c r="AL153" i="13"/>
  <c r="AK153" i="13"/>
  <c r="AJ153" i="13"/>
  <c r="AI153" i="13"/>
  <c r="AH153" i="13"/>
  <c r="AG153" i="13"/>
  <c r="AF153" i="13"/>
  <c r="AE153" i="13"/>
  <c r="AD153" i="13"/>
  <c r="AC153" i="13"/>
  <c r="B150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C146" i="13" a="1"/>
  <c r="AD146" i="13" s="1"/>
  <c r="B146" i="13"/>
  <c r="AL143" i="13"/>
  <c r="AK143" i="13"/>
  <c r="AJ143" i="13"/>
  <c r="AI143" i="13"/>
  <c r="AH143" i="13"/>
  <c r="AG143" i="13"/>
  <c r="B140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C136" i="13" a="1"/>
  <c r="AD136" i="13" s="1"/>
  <c r="B136" i="13"/>
  <c r="AL133" i="13"/>
  <c r="AK133" i="13"/>
  <c r="AJ133" i="13"/>
  <c r="AI133" i="13"/>
  <c r="AH133" i="13"/>
  <c r="AG133" i="13"/>
  <c r="AF133" i="13"/>
  <c r="AE133" i="13"/>
  <c r="AD133" i="13"/>
  <c r="B130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C126" i="13" a="1"/>
  <c r="AC126" i="13" s="1"/>
  <c r="B126" i="13"/>
  <c r="AL123" i="13"/>
  <c r="AK123" i="13"/>
  <c r="AJ123" i="13"/>
  <c r="AI123" i="13"/>
  <c r="B120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C116" i="13" a="1"/>
  <c r="AI116" i="13" s="1"/>
  <c r="B116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B110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C106" i="13" a="1"/>
  <c r="Z106" i="13" s="1"/>
  <c r="B106" i="13"/>
  <c r="AL103" i="13"/>
  <c r="AK103" i="13"/>
  <c r="AJ103" i="13"/>
  <c r="AI103" i="13"/>
  <c r="AH103" i="13"/>
  <c r="B100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C96" i="13" a="1"/>
  <c r="R96" i="13" s="1"/>
  <c r="B96" i="13"/>
  <c r="AL93" i="13"/>
  <c r="AK93" i="13"/>
  <c r="AJ93" i="13"/>
  <c r="AI93" i="13"/>
  <c r="AH93" i="13"/>
  <c r="AG93" i="13"/>
  <c r="AF93" i="13"/>
  <c r="AE93" i="13"/>
  <c r="AD93" i="13"/>
  <c r="AC93" i="13"/>
  <c r="B90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C86" i="13" a="1"/>
  <c r="AI86" i="13" s="1"/>
  <c r="B86" i="13"/>
  <c r="AL83" i="13"/>
  <c r="AK83" i="13"/>
  <c r="AJ83" i="13"/>
  <c r="AI83" i="13"/>
  <c r="AH83" i="13"/>
  <c r="AG83" i="13"/>
  <c r="AF83" i="13"/>
  <c r="B80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C76" i="13" a="1"/>
  <c r="AJ76" i="13" s="1"/>
  <c r="B76" i="13"/>
  <c r="AL73" i="13"/>
  <c r="AK73" i="13"/>
  <c r="AJ73" i="13"/>
  <c r="AI73" i="13"/>
  <c r="AH73" i="13"/>
  <c r="AG73" i="13"/>
  <c r="B70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C66" i="13" a="1"/>
  <c r="S66" i="13" s="1"/>
  <c r="B66" i="13"/>
  <c r="AL63" i="13"/>
  <c r="AK63" i="13"/>
  <c r="AJ63" i="13"/>
  <c r="AI63" i="13"/>
  <c r="AH63" i="13"/>
  <c r="AG63" i="13"/>
  <c r="AF63" i="13"/>
  <c r="AE63" i="13"/>
  <c r="AD63" i="13"/>
  <c r="AC63" i="13"/>
  <c r="AB63" i="13"/>
  <c r="B60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C56" i="13" a="1"/>
  <c r="AF56" i="13" s="1"/>
  <c r="B56" i="13"/>
  <c r="BR53" i="13"/>
  <c r="BQ53" i="13"/>
  <c r="BP53" i="13"/>
  <c r="BO53" i="13"/>
  <c r="BN53" i="13"/>
  <c r="BM53" i="13"/>
  <c r="BL53" i="13"/>
  <c r="BK53" i="13"/>
  <c r="BJ53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BR49" i="13"/>
  <c r="BQ49" i="13"/>
  <c r="BP49" i="13"/>
  <c r="BO49" i="13"/>
  <c r="BN49" i="13"/>
  <c r="BM49" i="13"/>
  <c r="BL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R48" i="13"/>
  <c r="BQ48" i="13"/>
  <c r="BP48" i="13"/>
  <c r="BO48" i="13"/>
  <c r="BN48" i="13"/>
  <c r="BM48" i="13"/>
  <c r="BL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C46" i="13" a="1"/>
  <c r="B46" i="13"/>
  <c r="AL43" i="13"/>
  <c r="AK43" i="13"/>
  <c r="AJ43" i="13"/>
  <c r="AI43" i="13"/>
  <c r="B40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C36" i="13" a="1"/>
  <c r="AJ36" i="13" s="1"/>
  <c r="B36" i="13"/>
  <c r="AL33" i="13"/>
  <c r="AK33" i="13"/>
  <c r="AJ33" i="13"/>
  <c r="B30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C26" i="13" a="1"/>
  <c r="AF26" i="13" s="1"/>
  <c r="B26" i="13"/>
  <c r="AL23" i="13"/>
  <c r="AK23" i="13"/>
  <c r="B20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C16" i="13" a="1"/>
  <c r="Z16" i="13" s="1"/>
  <c r="B16" i="13"/>
  <c r="AL163" i="12"/>
  <c r="AK163" i="12"/>
  <c r="AJ163" i="12"/>
  <c r="AI163" i="12"/>
  <c r="AH163" i="12"/>
  <c r="AG163" i="12"/>
  <c r="AF163" i="12"/>
  <c r="AE163" i="12"/>
  <c r="B160" i="12"/>
  <c r="AL158" i="12"/>
  <c r="AK158" i="12"/>
  <c r="AJ158" i="12"/>
  <c r="AI158" i="12"/>
  <c r="AH158" i="12"/>
  <c r="AG158" i="12"/>
  <c r="AF158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C156" i="12" a="1"/>
  <c r="Z156" i="12" s="1"/>
  <c r="B156" i="12"/>
  <c r="AL153" i="12"/>
  <c r="AK153" i="12"/>
  <c r="AJ153" i="12"/>
  <c r="AI153" i="12"/>
  <c r="AH153" i="12"/>
  <c r="AG153" i="12"/>
  <c r="AF153" i="12"/>
  <c r="AE153" i="12"/>
  <c r="AD153" i="12"/>
  <c r="AC153" i="12"/>
  <c r="B150" i="12"/>
  <c r="AL148" i="12"/>
  <c r="AK148" i="12"/>
  <c r="AJ148" i="12"/>
  <c r="AI148" i="12"/>
  <c r="AH148" i="12"/>
  <c r="AG148" i="12"/>
  <c r="AF148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C146" i="12" a="1"/>
  <c r="AB146" i="12" s="1"/>
  <c r="B146" i="12"/>
  <c r="AL143" i="12"/>
  <c r="AK143" i="12"/>
  <c r="AJ143" i="12"/>
  <c r="AI143" i="12"/>
  <c r="AH143" i="12"/>
  <c r="AG143" i="12"/>
  <c r="B140" i="12"/>
  <c r="AL138" i="12"/>
  <c r="AK138" i="12"/>
  <c r="AJ138" i="12"/>
  <c r="AI138" i="12"/>
  <c r="AH138" i="12"/>
  <c r="AG138" i="12"/>
  <c r="AF138" i="12"/>
  <c r="AE138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C136" i="12" a="1"/>
  <c r="AI136" i="12" s="1"/>
  <c r="B136" i="12"/>
  <c r="AL133" i="12"/>
  <c r="AK133" i="12"/>
  <c r="AJ133" i="12"/>
  <c r="AI133" i="12"/>
  <c r="AH133" i="12"/>
  <c r="AG133" i="12"/>
  <c r="AF133" i="12"/>
  <c r="AE133" i="12"/>
  <c r="AD133" i="12"/>
  <c r="B130" i="12"/>
  <c r="AL128" i="12"/>
  <c r="AK128" i="12"/>
  <c r="AJ128" i="12"/>
  <c r="AI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C126" i="12" a="1"/>
  <c r="Y126" i="12" s="1"/>
  <c r="B126" i="12"/>
  <c r="AL123" i="12"/>
  <c r="AK123" i="12"/>
  <c r="AJ123" i="12"/>
  <c r="AI123" i="12"/>
  <c r="B120" i="12"/>
  <c r="AL118" i="12"/>
  <c r="AK118" i="12"/>
  <c r="AJ118" i="12"/>
  <c r="AI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C116" i="12" a="1"/>
  <c r="AL116" i="12" s="1"/>
  <c r="B116" i="12"/>
  <c r="AL113" i="12"/>
  <c r="AK113" i="12"/>
  <c r="AJ113" i="12"/>
  <c r="AI113" i="12"/>
  <c r="AH113" i="12"/>
  <c r="AG113" i="12"/>
  <c r="AF113" i="12"/>
  <c r="AE113" i="12"/>
  <c r="AD113" i="12"/>
  <c r="AC113" i="12"/>
  <c r="AB113" i="12"/>
  <c r="AA113" i="12"/>
  <c r="B110" i="12"/>
  <c r="AL108" i="12"/>
  <c r="AK108" i="12"/>
  <c r="AJ108" i="12"/>
  <c r="AI108" i="12"/>
  <c r="AH108" i="12"/>
  <c r="AG108" i="12"/>
  <c r="AF108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C106" i="12" a="1"/>
  <c r="AG106" i="12" s="1"/>
  <c r="B106" i="12"/>
  <c r="AL103" i="12"/>
  <c r="AK103" i="12"/>
  <c r="AJ103" i="12"/>
  <c r="AI103" i="12"/>
  <c r="AH103" i="12"/>
  <c r="B100" i="12"/>
  <c r="AL98" i="12"/>
  <c r="AK98" i="12"/>
  <c r="AJ98" i="12"/>
  <c r="AI98" i="12"/>
  <c r="AH98" i="12"/>
  <c r="AG98" i="12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C96" i="12" a="1"/>
  <c r="AI96" i="12" s="1"/>
  <c r="B96" i="12"/>
  <c r="AL93" i="12"/>
  <c r="AK93" i="12"/>
  <c r="AJ93" i="12"/>
  <c r="AI93" i="12"/>
  <c r="AH93" i="12"/>
  <c r="AG93" i="12"/>
  <c r="AF93" i="12"/>
  <c r="AE93" i="12"/>
  <c r="AD93" i="12"/>
  <c r="AC93" i="12"/>
  <c r="B90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C86" i="12" a="1"/>
  <c r="AL86" i="12" s="1"/>
  <c r="B86" i="12"/>
  <c r="AL83" i="12"/>
  <c r="AK83" i="12"/>
  <c r="AJ83" i="12"/>
  <c r="AI83" i="12"/>
  <c r="AH83" i="12"/>
  <c r="AG83" i="12"/>
  <c r="AF83" i="12"/>
  <c r="B80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C76" i="12" a="1"/>
  <c r="AI76" i="12" s="1"/>
  <c r="B76" i="12"/>
  <c r="AL73" i="12"/>
  <c r="AK73" i="12"/>
  <c r="AJ73" i="12"/>
  <c r="AI73" i="12"/>
  <c r="AH73" i="12"/>
  <c r="AG73" i="12"/>
  <c r="B70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C66" i="12" a="1"/>
  <c r="AI66" i="12" s="1"/>
  <c r="B66" i="12"/>
  <c r="AL63" i="12"/>
  <c r="AK63" i="12"/>
  <c r="AJ63" i="12"/>
  <c r="AI63" i="12"/>
  <c r="AH63" i="12"/>
  <c r="AG63" i="12"/>
  <c r="AF63" i="12"/>
  <c r="AE63" i="12"/>
  <c r="AD63" i="12"/>
  <c r="AC63" i="12"/>
  <c r="AB63" i="12"/>
  <c r="B60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C56" i="12" a="1"/>
  <c r="S56" i="12" s="1"/>
  <c r="B56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B50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C46" i="12" a="1"/>
  <c r="N46" i="12" s="1"/>
  <c r="B46" i="12"/>
  <c r="AL43" i="12"/>
  <c r="AK43" i="12"/>
  <c r="AJ43" i="12"/>
  <c r="AI43" i="12"/>
  <c r="B40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C36" i="12" a="1"/>
  <c r="AI36" i="12" s="1"/>
  <c r="B36" i="12"/>
  <c r="AL33" i="12"/>
  <c r="AK33" i="12"/>
  <c r="AJ33" i="12"/>
  <c r="B30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6" i="12" a="1"/>
  <c r="T26" i="12" s="1"/>
  <c r="B26" i="12"/>
  <c r="AL23" i="12"/>
  <c r="AK23" i="12"/>
  <c r="B20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C16" i="12" a="1"/>
  <c r="K16" i="12" s="1"/>
  <c r="B16" i="12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O217" i="8"/>
  <c r="H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F182" i="8"/>
  <c r="P181" i="8"/>
  <c r="Q181" i="8" s="1"/>
  <c r="O181" i="8"/>
  <c r="H181" i="8"/>
  <c r="P180" i="8"/>
  <c r="Q180" i="8" s="1"/>
  <c r="O180" i="8"/>
  <c r="P179" i="8"/>
  <c r="Q179" i="8" s="1"/>
  <c r="O179" i="8"/>
  <c r="P178" i="8"/>
  <c r="Q178" i="8" s="1"/>
  <c r="O178" i="8"/>
  <c r="P177" i="8"/>
  <c r="Q177" i="8" s="1"/>
  <c r="O177" i="8"/>
  <c r="P176" i="8"/>
  <c r="Q176" i="8" s="1"/>
  <c r="O176" i="8"/>
  <c r="P175" i="8"/>
  <c r="Q175" i="8" s="1"/>
  <c r="O175" i="8"/>
  <c r="P174" i="8"/>
  <c r="Q174" i="8" s="1"/>
  <c r="O174" i="8"/>
  <c r="P173" i="8"/>
  <c r="Q173" i="8" s="1"/>
  <c r="O173" i="8"/>
  <c r="P172" i="8"/>
  <c r="Q172" i="8" s="1"/>
  <c r="O172" i="8"/>
  <c r="P171" i="8"/>
  <c r="Q171" i="8" s="1"/>
  <c r="O171" i="8"/>
  <c r="P170" i="8"/>
  <c r="Q170" i="8" s="1"/>
  <c r="O170" i="8"/>
  <c r="P169" i="8"/>
  <c r="Q169" i="8" s="1"/>
  <c r="O169" i="8"/>
  <c r="P168" i="8"/>
  <c r="Q168" i="8" s="1"/>
  <c r="O168" i="8"/>
  <c r="P167" i="8"/>
  <c r="Q167" i="8" s="1"/>
  <c r="O167" i="8"/>
  <c r="P166" i="8"/>
  <c r="Q166" i="8" s="1"/>
  <c r="O166" i="8"/>
  <c r="P165" i="8"/>
  <c r="Q165" i="8" s="1"/>
  <c r="O165" i="8"/>
  <c r="P164" i="8"/>
  <c r="Q164" i="8" s="1"/>
  <c r="O164" i="8"/>
  <c r="P163" i="8"/>
  <c r="Q163" i="8" s="1"/>
  <c r="O163" i="8"/>
  <c r="P162" i="8"/>
  <c r="Q162" i="8" s="1"/>
  <c r="O162" i="8"/>
  <c r="P161" i="8"/>
  <c r="Q161" i="8" s="1"/>
  <c r="O161" i="8"/>
  <c r="P160" i="8"/>
  <c r="Q160" i="8" s="1"/>
  <c r="O160" i="8"/>
  <c r="P159" i="8"/>
  <c r="Q159" i="8" s="1"/>
  <c r="O159" i="8"/>
  <c r="P158" i="8"/>
  <c r="Q158" i="8" s="1"/>
  <c r="O158" i="8"/>
  <c r="P157" i="8"/>
  <c r="Q157" i="8" s="1"/>
  <c r="O157" i="8"/>
  <c r="P156" i="8"/>
  <c r="Q156" i="8" s="1"/>
  <c r="O156" i="8"/>
  <c r="P155" i="8"/>
  <c r="Q155" i="8" s="1"/>
  <c r="O155" i="8"/>
  <c r="P154" i="8"/>
  <c r="Q154" i="8" s="1"/>
  <c r="O154" i="8"/>
  <c r="P153" i="8"/>
  <c r="Q153" i="8" s="1"/>
  <c r="O153" i="8"/>
  <c r="P152" i="8"/>
  <c r="Q152" i="8" s="1"/>
  <c r="O152" i="8"/>
  <c r="P151" i="8"/>
  <c r="Q151" i="8" s="1"/>
  <c r="O151" i="8"/>
  <c r="P150" i="8"/>
  <c r="Q150" i="8" s="1"/>
  <c r="O150" i="8"/>
  <c r="P149" i="8"/>
  <c r="Q149" i="8" s="1"/>
  <c r="O149" i="8"/>
  <c r="P148" i="8"/>
  <c r="Q148" i="8" s="1"/>
  <c r="O148" i="8"/>
  <c r="P147" i="8"/>
  <c r="Q147" i="8" s="1"/>
  <c r="O147" i="8"/>
  <c r="P146" i="8"/>
  <c r="Q146" i="8" s="1"/>
  <c r="O146" i="8"/>
  <c r="F146" i="8"/>
  <c r="O145" i="8"/>
  <c r="H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F110" i="8"/>
  <c r="P109" i="8"/>
  <c r="Q109" i="8" s="1"/>
  <c r="O109" i="8"/>
  <c r="H109" i="8"/>
  <c r="P108" i="8"/>
  <c r="Q108" i="8" s="1"/>
  <c r="O108" i="8"/>
  <c r="P107" i="8"/>
  <c r="Q107" i="8" s="1"/>
  <c r="O107" i="8"/>
  <c r="P106" i="8"/>
  <c r="Q106" i="8" s="1"/>
  <c r="O106" i="8"/>
  <c r="P105" i="8"/>
  <c r="Q105" i="8" s="1"/>
  <c r="O105" i="8"/>
  <c r="P104" i="8"/>
  <c r="Q104" i="8" s="1"/>
  <c r="O104" i="8"/>
  <c r="P103" i="8"/>
  <c r="Q103" i="8" s="1"/>
  <c r="O103" i="8"/>
  <c r="P102" i="8"/>
  <c r="Q102" i="8" s="1"/>
  <c r="O102" i="8"/>
  <c r="P101" i="8"/>
  <c r="Q101" i="8" s="1"/>
  <c r="O101" i="8"/>
  <c r="P100" i="8"/>
  <c r="Q100" i="8" s="1"/>
  <c r="O100" i="8"/>
  <c r="P99" i="8"/>
  <c r="Q99" i="8" s="1"/>
  <c r="O99" i="8"/>
  <c r="P98" i="8"/>
  <c r="Q98" i="8" s="1"/>
  <c r="O98" i="8"/>
  <c r="P97" i="8"/>
  <c r="Q97" i="8" s="1"/>
  <c r="O97" i="8"/>
  <c r="P96" i="8"/>
  <c r="Q96" i="8" s="1"/>
  <c r="O96" i="8"/>
  <c r="P95" i="8"/>
  <c r="Q95" i="8" s="1"/>
  <c r="O95" i="8"/>
  <c r="P94" i="8"/>
  <c r="Q94" i="8" s="1"/>
  <c r="O94" i="8"/>
  <c r="P93" i="8"/>
  <c r="Q93" i="8" s="1"/>
  <c r="O93" i="8"/>
  <c r="P92" i="8"/>
  <c r="Q92" i="8" s="1"/>
  <c r="O92" i="8"/>
  <c r="P91" i="8"/>
  <c r="Q91" i="8" s="1"/>
  <c r="O91" i="8"/>
  <c r="P90" i="8"/>
  <c r="Q90" i="8" s="1"/>
  <c r="O90" i="8"/>
  <c r="P89" i="8"/>
  <c r="Q89" i="8" s="1"/>
  <c r="O89" i="8"/>
  <c r="P88" i="8"/>
  <c r="Q88" i="8" s="1"/>
  <c r="O88" i="8"/>
  <c r="P87" i="8"/>
  <c r="Q87" i="8" s="1"/>
  <c r="O87" i="8"/>
  <c r="P86" i="8"/>
  <c r="Q86" i="8" s="1"/>
  <c r="O86" i="8"/>
  <c r="P85" i="8"/>
  <c r="Q85" i="8" s="1"/>
  <c r="O85" i="8"/>
  <c r="P84" i="8"/>
  <c r="Q84" i="8" s="1"/>
  <c r="O84" i="8"/>
  <c r="P83" i="8"/>
  <c r="Q83" i="8" s="1"/>
  <c r="O83" i="8"/>
  <c r="P82" i="8"/>
  <c r="Q82" i="8" s="1"/>
  <c r="O82" i="8"/>
  <c r="P81" i="8"/>
  <c r="Q81" i="8" s="1"/>
  <c r="O81" i="8"/>
  <c r="P80" i="8"/>
  <c r="Q80" i="8" s="1"/>
  <c r="O80" i="8"/>
  <c r="P79" i="8"/>
  <c r="Q79" i="8" s="1"/>
  <c r="O79" i="8"/>
  <c r="P78" i="8"/>
  <c r="Q78" i="8" s="1"/>
  <c r="O78" i="8"/>
  <c r="P77" i="8"/>
  <c r="Q77" i="8" s="1"/>
  <c r="O77" i="8"/>
  <c r="P76" i="8"/>
  <c r="Q76" i="8" s="1"/>
  <c r="O76" i="8"/>
  <c r="P75" i="8"/>
  <c r="Q75" i="8" s="1"/>
  <c r="O75" i="8"/>
  <c r="P74" i="8"/>
  <c r="Q74" i="8" s="1"/>
  <c r="O74" i="8"/>
  <c r="F74" i="8"/>
  <c r="O73" i="8"/>
  <c r="H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F38" i="8"/>
  <c r="P37" i="8"/>
  <c r="Q37" i="8" s="1"/>
  <c r="O37" i="8"/>
  <c r="H37" i="8"/>
  <c r="P36" i="8"/>
  <c r="Q36" i="8" s="1"/>
  <c r="O36" i="8"/>
  <c r="P35" i="8"/>
  <c r="Q35" i="8" s="1"/>
  <c r="O35" i="8"/>
  <c r="P34" i="8"/>
  <c r="Q34" i="8" s="1"/>
  <c r="O34" i="8"/>
  <c r="P33" i="8"/>
  <c r="Q33" i="8" s="1"/>
  <c r="O33" i="8"/>
  <c r="P32" i="8"/>
  <c r="Q32" i="8" s="1"/>
  <c r="O32" i="8"/>
  <c r="P31" i="8"/>
  <c r="Q31" i="8" s="1"/>
  <c r="O31" i="8"/>
  <c r="P30" i="8"/>
  <c r="Q30" i="8" s="1"/>
  <c r="O30" i="8"/>
  <c r="P29" i="8"/>
  <c r="Q29" i="8" s="1"/>
  <c r="O29" i="8"/>
  <c r="P28" i="8"/>
  <c r="Q28" i="8" s="1"/>
  <c r="O28" i="8"/>
  <c r="P27" i="8"/>
  <c r="Q27" i="8" s="1"/>
  <c r="O27" i="8"/>
  <c r="P26" i="8"/>
  <c r="Q26" i="8" s="1"/>
  <c r="O26" i="8"/>
  <c r="P25" i="8"/>
  <c r="Q25" i="8" s="1"/>
  <c r="O25" i="8"/>
  <c r="P24" i="8"/>
  <c r="Q24" i="8" s="1"/>
  <c r="O24" i="8"/>
  <c r="P23" i="8"/>
  <c r="Q23" i="8" s="1"/>
  <c r="O23" i="8"/>
  <c r="P22" i="8"/>
  <c r="Q22" i="8" s="1"/>
  <c r="O22" i="8"/>
  <c r="P21" i="8"/>
  <c r="Q21" i="8" s="1"/>
  <c r="O21" i="8"/>
  <c r="P20" i="8"/>
  <c r="Q20" i="8" s="1"/>
  <c r="O20" i="8"/>
  <c r="P19" i="8"/>
  <c r="Q19" i="8" s="1"/>
  <c r="O19" i="8"/>
  <c r="P18" i="8"/>
  <c r="Q18" i="8" s="1"/>
  <c r="O18" i="8"/>
  <c r="P17" i="8"/>
  <c r="Q17" i="8" s="1"/>
  <c r="O17" i="8"/>
  <c r="P16" i="8"/>
  <c r="Q16" i="8" s="1"/>
  <c r="O16" i="8"/>
  <c r="P15" i="8"/>
  <c r="Q15" i="8" s="1"/>
  <c r="O15" i="8"/>
  <c r="P14" i="8"/>
  <c r="Q14" i="8" s="1"/>
  <c r="O14" i="8"/>
  <c r="P13" i="8"/>
  <c r="Q13" i="8" s="1"/>
  <c r="O13" i="8"/>
  <c r="P12" i="8"/>
  <c r="Q12" i="8" s="1"/>
  <c r="O12" i="8"/>
  <c r="P11" i="8"/>
  <c r="Q11" i="8" s="1"/>
  <c r="O11" i="8"/>
  <c r="P10" i="8"/>
  <c r="Q10" i="8" s="1"/>
  <c r="O10" i="8"/>
  <c r="P9" i="8"/>
  <c r="Q9" i="8" s="1"/>
  <c r="O9" i="8"/>
  <c r="P8" i="8"/>
  <c r="Q8" i="8" s="1"/>
  <c r="O8" i="8"/>
  <c r="P7" i="8"/>
  <c r="Q7" i="8" s="1"/>
  <c r="O7" i="8"/>
  <c r="P6" i="8"/>
  <c r="Q6" i="8" s="1"/>
  <c r="O6" i="8"/>
  <c r="P5" i="8"/>
  <c r="Q5" i="8" s="1"/>
  <c r="O5" i="8"/>
  <c r="P4" i="8"/>
  <c r="Q4" i="8" s="1"/>
  <c r="O4" i="8"/>
  <c r="P3" i="8"/>
  <c r="Q3" i="8" s="1"/>
  <c r="O3" i="8"/>
  <c r="U2" i="8"/>
  <c r="P2" i="8"/>
  <c r="Q2" i="8" s="1"/>
  <c r="O2" i="8"/>
  <c r="F2" i="8"/>
  <c r="H217" i="7"/>
  <c r="F182" i="7"/>
  <c r="P181" i="7"/>
  <c r="Q181" i="7" s="1"/>
  <c r="H181" i="7"/>
  <c r="P180" i="7"/>
  <c r="Q180" i="7" s="1"/>
  <c r="P179" i="7"/>
  <c r="Q179" i="7" s="1"/>
  <c r="P178" i="7"/>
  <c r="Q178" i="7" s="1"/>
  <c r="P177" i="7"/>
  <c r="Q177" i="7" s="1"/>
  <c r="P176" i="7"/>
  <c r="Q176" i="7" s="1"/>
  <c r="P175" i="7"/>
  <c r="Q175" i="7" s="1"/>
  <c r="P174" i="7"/>
  <c r="Q174" i="7" s="1"/>
  <c r="P173" i="7"/>
  <c r="Q173" i="7" s="1"/>
  <c r="P172" i="7"/>
  <c r="Q172" i="7" s="1"/>
  <c r="P171" i="7"/>
  <c r="Q171" i="7" s="1"/>
  <c r="P170" i="7"/>
  <c r="Q170" i="7" s="1"/>
  <c r="P169" i="7"/>
  <c r="Q169" i="7" s="1"/>
  <c r="P168" i="7"/>
  <c r="Q168" i="7" s="1"/>
  <c r="P167" i="7"/>
  <c r="Q167" i="7" s="1"/>
  <c r="P166" i="7"/>
  <c r="Q166" i="7" s="1"/>
  <c r="P165" i="7"/>
  <c r="Q165" i="7" s="1"/>
  <c r="P164" i="7"/>
  <c r="Q164" i="7" s="1"/>
  <c r="P163" i="7"/>
  <c r="Q163" i="7" s="1"/>
  <c r="P162" i="7"/>
  <c r="Q162" i="7" s="1"/>
  <c r="P161" i="7"/>
  <c r="Q161" i="7" s="1"/>
  <c r="P160" i="7"/>
  <c r="Q160" i="7" s="1"/>
  <c r="Q159" i="7"/>
  <c r="P159" i="7"/>
  <c r="P158" i="7"/>
  <c r="Q158" i="7" s="1"/>
  <c r="P157" i="7"/>
  <c r="Q157" i="7" s="1"/>
  <c r="P156" i="7"/>
  <c r="Q156" i="7" s="1"/>
  <c r="P155" i="7"/>
  <c r="Q155" i="7" s="1"/>
  <c r="P154" i="7"/>
  <c r="Q154" i="7" s="1"/>
  <c r="P153" i="7"/>
  <c r="Q153" i="7" s="1"/>
  <c r="P152" i="7"/>
  <c r="Q152" i="7" s="1"/>
  <c r="P151" i="7"/>
  <c r="Q151" i="7" s="1"/>
  <c r="P150" i="7"/>
  <c r="Q150" i="7" s="1"/>
  <c r="P149" i="7"/>
  <c r="Q149" i="7" s="1"/>
  <c r="P148" i="7"/>
  <c r="Q148" i="7" s="1"/>
  <c r="P147" i="7"/>
  <c r="Q147" i="7" s="1"/>
  <c r="P146" i="7"/>
  <c r="Q146" i="7" s="1"/>
  <c r="F146" i="7"/>
  <c r="H145" i="7"/>
  <c r="F110" i="7"/>
  <c r="P109" i="7"/>
  <c r="Q109" i="7" s="1"/>
  <c r="H109" i="7"/>
  <c r="P108" i="7"/>
  <c r="Q108" i="7" s="1"/>
  <c r="P107" i="7"/>
  <c r="Q107" i="7" s="1"/>
  <c r="P106" i="7"/>
  <c r="Q106" i="7" s="1"/>
  <c r="P105" i="7"/>
  <c r="Q105" i="7" s="1"/>
  <c r="P104" i="7"/>
  <c r="Q104" i="7" s="1"/>
  <c r="P103" i="7"/>
  <c r="Q103" i="7" s="1"/>
  <c r="P102" i="7"/>
  <c r="Q102" i="7" s="1"/>
  <c r="P101" i="7"/>
  <c r="Q101" i="7" s="1"/>
  <c r="P100" i="7"/>
  <c r="Q100" i="7" s="1"/>
  <c r="P99" i="7"/>
  <c r="Q99" i="7" s="1"/>
  <c r="P98" i="7"/>
  <c r="Q98" i="7" s="1"/>
  <c r="P97" i="7"/>
  <c r="Q97" i="7" s="1"/>
  <c r="P96" i="7"/>
  <c r="Q96" i="7" s="1"/>
  <c r="P95" i="7"/>
  <c r="Q95" i="7" s="1"/>
  <c r="P94" i="7"/>
  <c r="Q94" i="7" s="1"/>
  <c r="P93" i="7"/>
  <c r="Q93" i="7" s="1"/>
  <c r="P92" i="7"/>
  <c r="Q92" i="7" s="1"/>
  <c r="P91" i="7"/>
  <c r="Q91" i="7" s="1"/>
  <c r="P90" i="7"/>
  <c r="Q90" i="7" s="1"/>
  <c r="P89" i="7"/>
  <c r="Q89" i="7" s="1"/>
  <c r="P88" i="7"/>
  <c r="Q88" i="7" s="1"/>
  <c r="P87" i="7"/>
  <c r="Q87" i="7" s="1"/>
  <c r="P86" i="7"/>
  <c r="Q86" i="7" s="1"/>
  <c r="P85" i="7"/>
  <c r="Q85" i="7" s="1"/>
  <c r="P84" i="7"/>
  <c r="Q84" i="7" s="1"/>
  <c r="P83" i="7"/>
  <c r="Q83" i="7" s="1"/>
  <c r="P82" i="7"/>
  <c r="Q82" i="7" s="1"/>
  <c r="P81" i="7"/>
  <c r="Q81" i="7" s="1"/>
  <c r="P80" i="7"/>
  <c r="Q80" i="7" s="1"/>
  <c r="P79" i="7"/>
  <c r="Q79" i="7" s="1"/>
  <c r="P78" i="7"/>
  <c r="Q78" i="7" s="1"/>
  <c r="P77" i="7"/>
  <c r="Q77" i="7" s="1"/>
  <c r="P76" i="7"/>
  <c r="Q76" i="7" s="1"/>
  <c r="P75" i="7"/>
  <c r="Q75" i="7" s="1"/>
  <c r="P74" i="7"/>
  <c r="Q74" i="7" s="1"/>
  <c r="F74" i="7"/>
  <c r="H73" i="7"/>
  <c r="F38" i="7"/>
  <c r="P37" i="7"/>
  <c r="Q37" i="7" s="1"/>
  <c r="H37" i="7"/>
  <c r="P36" i="7"/>
  <c r="Q36" i="7" s="1"/>
  <c r="P35" i="7"/>
  <c r="Q35" i="7" s="1"/>
  <c r="P34" i="7"/>
  <c r="Q34" i="7" s="1"/>
  <c r="P33" i="7"/>
  <c r="Q33" i="7" s="1"/>
  <c r="P32" i="7"/>
  <c r="Q32" i="7" s="1"/>
  <c r="P31" i="7"/>
  <c r="Q31" i="7" s="1"/>
  <c r="P30" i="7"/>
  <c r="Q30" i="7" s="1"/>
  <c r="P29" i="7"/>
  <c r="Q29" i="7" s="1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Q12" i="7" s="1"/>
  <c r="P11" i="7"/>
  <c r="Q11" i="7" s="1"/>
  <c r="P10" i="7"/>
  <c r="Q10" i="7" s="1"/>
  <c r="P9" i="7"/>
  <c r="Q9" i="7" s="1"/>
  <c r="P8" i="7"/>
  <c r="Q8" i="7" s="1"/>
  <c r="P7" i="7"/>
  <c r="Q7" i="7" s="1"/>
  <c r="P6" i="7"/>
  <c r="Q6" i="7" s="1"/>
  <c r="P5" i="7"/>
  <c r="Q5" i="7" s="1"/>
  <c r="P4" i="7"/>
  <c r="Q4" i="7" s="1"/>
  <c r="P3" i="7"/>
  <c r="Q3" i="7" s="1"/>
  <c r="U2" i="7"/>
  <c r="P2" i="7"/>
  <c r="Q2" i="7" s="1"/>
  <c r="F2" i="7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G41" i="6"/>
  <c r="F41" i="6"/>
  <c r="E41" i="6"/>
  <c r="I41" i="6" s="1"/>
  <c r="D41" i="6"/>
  <c r="D40" i="6"/>
  <c r="D39" i="6"/>
  <c r="M38" i="6"/>
  <c r="D38" i="6"/>
  <c r="M37" i="6"/>
  <c r="D37" i="6"/>
  <c r="M36" i="6"/>
  <c r="D36" i="6"/>
  <c r="M35" i="6"/>
  <c r="D35" i="6"/>
  <c r="M34" i="6"/>
  <c r="D34" i="6"/>
  <c r="M33" i="6"/>
  <c r="D33" i="6"/>
  <c r="M32" i="6"/>
  <c r="D32" i="6"/>
  <c r="M31" i="6"/>
  <c r="D31" i="6"/>
  <c r="M30" i="6"/>
  <c r="D30" i="6"/>
  <c r="M29" i="6"/>
  <c r="D29" i="6"/>
  <c r="M28" i="6"/>
  <c r="D28" i="6"/>
  <c r="M27" i="6"/>
  <c r="D27" i="6"/>
  <c r="M26" i="6"/>
  <c r="D26" i="6"/>
  <c r="M25" i="6"/>
  <c r="D25" i="6"/>
  <c r="M24" i="6"/>
  <c r="D24" i="6"/>
  <c r="M23" i="6"/>
  <c r="D23" i="6"/>
  <c r="M22" i="6"/>
  <c r="D22" i="6"/>
  <c r="M21" i="6"/>
  <c r="D21" i="6"/>
  <c r="M20" i="6"/>
  <c r="D20" i="6"/>
  <c r="M19" i="6"/>
  <c r="D19" i="6"/>
  <c r="M18" i="6"/>
  <c r="D18" i="6"/>
  <c r="M17" i="6"/>
  <c r="D17" i="6"/>
  <c r="M16" i="6"/>
  <c r="D16" i="6"/>
  <c r="M15" i="6"/>
  <c r="D15" i="6"/>
  <c r="M14" i="6"/>
  <c r="D14" i="6"/>
  <c r="M13" i="6"/>
  <c r="D13" i="6"/>
  <c r="M12" i="6"/>
  <c r="D12" i="6"/>
  <c r="M11" i="6"/>
  <c r="D11" i="6"/>
  <c r="M10" i="6"/>
  <c r="D10" i="6"/>
  <c r="M9" i="6"/>
  <c r="D9" i="6"/>
  <c r="M8" i="6"/>
  <c r="D8" i="6"/>
  <c r="M7" i="6"/>
  <c r="D7" i="6"/>
  <c r="M6" i="6"/>
  <c r="D6" i="6"/>
  <c r="M5" i="6"/>
  <c r="D5" i="6"/>
  <c r="M4" i="6"/>
  <c r="D4" i="6"/>
  <c r="M3" i="6"/>
  <c r="D3" i="6"/>
  <c r="J466" i="3"/>
  <c r="K466" i="3" s="1"/>
  <c r="J465" i="3"/>
  <c r="K465" i="3" s="1"/>
  <c r="J464" i="3"/>
  <c r="K464" i="3" s="1"/>
  <c r="J463" i="3"/>
  <c r="K463" i="3" s="1"/>
  <c r="J462" i="3"/>
  <c r="J461" i="3"/>
  <c r="J460" i="3"/>
  <c r="K460" i="3" s="1"/>
  <c r="J459" i="3"/>
  <c r="K459" i="3" s="1"/>
  <c r="J458" i="3"/>
  <c r="J457" i="3"/>
  <c r="K457" i="3" s="1"/>
  <c r="J456" i="3"/>
  <c r="K456" i="3" s="1"/>
  <c r="J455" i="3"/>
  <c r="K455" i="3" s="1"/>
  <c r="J454" i="3"/>
  <c r="K454" i="3" s="1"/>
  <c r="J453" i="3"/>
  <c r="J452" i="3"/>
  <c r="K452" i="3" s="1"/>
  <c r="J451" i="3"/>
  <c r="K451" i="3" s="1"/>
  <c r="J450" i="3"/>
  <c r="J449" i="3"/>
  <c r="K449" i="3" s="1"/>
  <c r="J448" i="3"/>
  <c r="J447" i="3"/>
  <c r="K447" i="3" s="1"/>
  <c r="J446" i="3"/>
  <c r="K446" i="3" s="1"/>
  <c r="J445" i="3"/>
  <c r="J444" i="3"/>
  <c r="K444" i="3" s="1"/>
  <c r="J443" i="3"/>
  <c r="K443" i="3" s="1"/>
  <c r="J442" i="3"/>
  <c r="J441" i="3"/>
  <c r="K441" i="3" s="1"/>
  <c r="J440" i="3"/>
  <c r="K440" i="3" s="1"/>
  <c r="J439" i="3"/>
  <c r="K439" i="3" s="1"/>
  <c r="J438" i="3"/>
  <c r="J437" i="3"/>
  <c r="J436" i="3"/>
  <c r="J435" i="3"/>
  <c r="K435" i="3" s="1"/>
  <c r="J434" i="3"/>
  <c r="K434" i="3" s="1"/>
  <c r="J433" i="3"/>
  <c r="K433" i="3" s="1"/>
  <c r="J432" i="3"/>
  <c r="J431" i="3"/>
  <c r="K431" i="3" s="1"/>
  <c r="J430" i="3"/>
  <c r="K430" i="3" s="1"/>
  <c r="J429" i="3"/>
  <c r="J428" i="3"/>
  <c r="K428" i="3" s="1"/>
  <c r="J427" i="3"/>
  <c r="K427" i="3" s="1"/>
  <c r="J426" i="3"/>
  <c r="J425" i="3"/>
  <c r="J424" i="3"/>
  <c r="K424" i="3" s="1"/>
  <c r="J423" i="3"/>
  <c r="J422" i="3"/>
  <c r="J421" i="3"/>
  <c r="J420" i="3"/>
  <c r="K420" i="3" s="1"/>
  <c r="J419" i="3"/>
  <c r="K419" i="3" s="1"/>
  <c r="J418" i="3"/>
  <c r="K418" i="3" s="1"/>
  <c r="J417" i="3"/>
  <c r="J416" i="3"/>
  <c r="J415" i="3"/>
  <c r="J414" i="3"/>
  <c r="K414" i="3" s="1"/>
  <c r="J413" i="3"/>
  <c r="J412" i="3"/>
  <c r="K412" i="3" s="1"/>
  <c r="J411" i="3"/>
  <c r="K411" i="3" s="1"/>
  <c r="J410" i="3"/>
  <c r="J409" i="3"/>
  <c r="K409" i="3" s="1"/>
  <c r="J408" i="3"/>
  <c r="K408" i="3" s="1"/>
  <c r="J407" i="3"/>
  <c r="J406" i="3"/>
  <c r="K406" i="3" s="1"/>
  <c r="J405" i="3"/>
  <c r="K405" i="3" s="1"/>
  <c r="J404" i="3"/>
  <c r="K404" i="3" s="1"/>
  <c r="J403" i="3"/>
  <c r="K403" i="3" s="1"/>
  <c r="J402" i="3"/>
  <c r="K402" i="3" s="1"/>
  <c r="J401" i="3"/>
  <c r="K401" i="3" s="1"/>
  <c r="J400" i="3"/>
  <c r="K400" i="3" s="1"/>
  <c r="J399" i="3"/>
  <c r="K399" i="3" s="1"/>
  <c r="J398" i="3"/>
  <c r="K398" i="3" s="1"/>
  <c r="J397" i="3"/>
  <c r="K397" i="3" s="1"/>
  <c r="J396" i="3"/>
  <c r="K396" i="3" s="1"/>
  <c r="J395" i="3"/>
  <c r="K395" i="3" s="1"/>
  <c r="J394" i="3"/>
  <c r="K394" i="3" s="1"/>
  <c r="J393" i="3"/>
  <c r="K393" i="3" s="1"/>
  <c r="J392" i="3"/>
  <c r="K392" i="3" s="1"/>
  <c r="J391" i="3"/>
  <c r="J390" i="3"/>
  <c r="J389" i="3"/>
  <c r="J388" i="3"/>
  <c r="J387" i="3"/>
  <c r="K387" i="3" s="1"/>
  <c r="J386" i="3"/>
  <c r="K386" i="3" s="1"/>
  <c r="J385" i="3"/>
  <c r="J384" i="3"/>
  <c r="J383" i="3"/>
  <c r="J382" i="3"/>
  <c r="J381" i="3"/>
  <c r="J380" i="3"/>
  <c r="J379" i="3"/>
  <c r="K379" i="3" s="1"/>
  <c r="J378" i="3"/>
  <c r="K378" i="3" s="1"/>
  <c r="J377" i="3"/>
  <c r="J376" i="3"/>
  <c r="K376" i="3" s="1"/>
  <c r="J375" i="3"/>
  <c r="J374" i="3"/>
  <c r="K374" i="3" s="1"/>
  <c r="J373" i="3"/>
  <c r="K373" i="3" s="1"/>
  <c r="J372" i="3"/>
  <c r="J371" i="3"/>
  <c r="K371" i="3" s="1"/>
  <c r="J370" i="3"/>
  <c r="K370" i="3" s="1"/>
  <c r="J369" i="3"/>
  <c r="J368" i="3"/>
  <c r="K368" i="3" s="1"/>
  <c r="J367" i="3"/>
  <c r="K367" i="3" s="1"/>
  <c r="J366" i="3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J351" i="3"/>
  <c r="K351" i="3" s="1"/>
  <c r="J350" i="3"/>
  <c r="K350" i="3" s="1"/>
  <c r="J349" i="3"/>
  <c r="J348" i="3"/>
  <c r="K348" i="3" s="1"/>
  <c r="J347" i="3"/>
  <c r="K347" i="3" s="1"/>
  <c r="J346" i="3"/>
  <c r="K346" i="3" s="1"/>
  <c r="J345" i="3"/>
  <c r="J344" i="3"/>
  <c r="K344" i="3" s="1"/>
  <c r="J343" i="3"/>
  <c r="J342" i="3"/>
  <c r="K342" i="3" s="1"/>
  <c r="J341" i="3"/>
  <c r="K341" i="3" s="1"/>
  <c r="J340" i="3"/>
  <c r="J339" i="3"/>
  <c r="K339" i="3" s="1"/>
  <c r="J338" i="3"/>
  <c r="K338" i="3" s="1"/>
  <c r="J337" i="3"/>
  <c r="K337" i="3" s="1"/>
  <c r="J336" i="3"/>
  <c r="J335" i="3"/>
  <c r="K335" i="3" s="1"/>
  <c r="J334" i="3"/>
  <c r="J333" i="3"/>
  <c r="J332" i="3"/>
  <c r="K332" i="3" s="1"/>
  <c r="J331" i="3"/>
  <c r="K331" i="3" s="1"/>
  <c r="J330" i="3"/>
  <c r="J329" i="3"/>
  <c r="K329" i="3" s="1"/>
  <c r="J328" i="3"/>
  <c r="J327" i="3"/>
  <c r="J326" i="3"/>
  <c r="K326" i="3" s="1"/>
  <c r="J325" i="3"/>
  <c r="J324" i="3"/>
  <c r="K324" i="3" s="1"/>
  <c r="J323" i="3"/>
  <c r="K323" i="3" s="1"/>
  <c r="J322" i="3"/>
  <c r="J321" i="3"/>
  <c r="J320" i="3"/>
  <c r="J319" i="3"/>
  <c r="K319" i="3" s="1"/>
  <c r="J318" i="3"/>
  <c r="K318" i="3" s="1"/>
  <c r="J317" i="3"/>
  <c r="J316" i="3"/>
  <c r="K316" i="3" s="1"/>
  <c r="J315" i="3"/>
  <c r="K315" i="3" s="1"/>
  <c r="J314" i="3"/>
  <c r="J313" i="3"/>
  <c r="K313" i="3" s="1"/>
  <c r="J312" i="3"/>
  <c r="J311" i="3"/>
  <c r="K311" i="3" s="1"/>
  <c r="J310" i="3"/>
  <c r="J309" i="3"/>
  <c r="J308" i="3"/>
  <c r="K308" i="3" s="1"/>
  <c r="J307" i="3"/>
  <c r="K307" i="3" s="1"/>
  <c r="J306" i="3"/>
  <c r="J305" i="3"/>
  <c r="K305" i="3" s="1"/>
  <c r="J304" i="3"/>
  <c r="K304" i="3" s="1"/>
  <c r="J303" i="3"/>
  <c r="K303" i="3" s="1"/>
  <c r="J302" i="3"/>
  <c r="K302" i="3" s="1"/>
  <c r="J301" i="3"/>
  <c r="J300" i="3"/>
  <c r="K300" i="3" s="1"/>
  <c r="J299" i="3"/>
  <c r="K299" i="3" s="1"/>
  <c r="J298" i="3"/>
  <c r="J297" i="3"/>
  <c r="K297" i="3" s="1"/>
  <c r="J296" i="3"/>
  <c r="K296" i="3" s="1"/>
  <c r="J295" i="3"/>
  <c r="K295" i="3" s="1"/>
  <c r="J294" i="3"/>
  <c r="K294" i="3" s="1"/>
  <c r="J293" i="3"/>
  <c r="J292" i="3"/>
  <c r="K292" i="3" s="1"/>
  <c r="J291" i="3"/>
  <c r="K291" i="3" s="1"/>
  <c r="J290" i="3"/>
  <c r="J289" i="3"/>
  <c r="K289" i="3" s="1"/>
  <c r="J288" i="3"/>
  <c r="J287" i="3"/>
  <c r="J286" i="3"/>
  <c r="K286" i="3" s="1"/>
  <c r="J285" i="3"/>
  <c r="J284" i="3"/>
  <c r="K284" i="3" s="1"/>
  <c r="J283" i="3"/>
  <c r="J282" i="3"/>
  <c r="J281" i="3"/>
  <c r="K281" i="3" s="1"/>
  <c r="J280" i="3"/>
  <c r="K280" i="3" s="1"/>
  <c r="J279" i="3"/>
  <c r="J278" i="3"/>
  <c r="K278" i="3" s="1"/>
  <c r="J277" i="3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J270" i="3"/>
  <c r="K270" i="3" s="1"/>
  <c r="J269" i="3"/>
  <c r="J268" i="3"/>
  <c r="K268" i="3" s="1"/>
  <c r="J267" i="3"/>
  <c r="K267" i="3" s="1"/>
  <c r="J266" i="3"/>
  <c r="K266" i="3" s="1"/>
  <c r="J265" i="3"/>
  <c r="J264" i="3"/>
  <c r="K264" i="3" s="1"/>
  <c r="J263" i="3"/>
  <c r="K263" i="3" s="1"/>
  <c r="J262" i="3"/>
  <c r="K262" i="3" s="1"/>
  <c r="J261" i="3"/>
  <c r="J260" i="3"/>
  <c r="K260" i="3" s="1"/>
  <c r="J259" i="3"/>
  <c r="K259" i="3" s="1"/>
  <c r="J258" i="3"/>
  <c r="K258" i="3" s="1"/>
  <c r="J257" i="3"/>
  <c r="K257" i="3" s="1"/>
  <c r="J256" i="3"/>
  <c r="J255" i="3"/>
  <c r="K255" i="3" s="1"/>
  <c r="J254" i="3"/>
  <c r="J253" i="3"/>
  <c r="J252" i="3"/>
  <c r="J251" i="3"/>
  <c r="K251" i="3" s="1"/>
  <c r="J250" i="3"/>
  <c r="J249" i="3"/>
  <c r="J248" i="3"/>
  <c r="K248" i="3" s="1"/>
  <c r="J247" i="3"/>
  <c r="J246" i="3"/>
  <c r="K246" i="3" s="1"/>
  <c r="J245" i="3"/>
  <c r="J244" i="3"/>
  <c r="J243" i="3"/>
  <c r="K243" i="3" s="1"/>
  <c r="J242" i="3"/>
  <c r="K242" i="3" s="1"/>
  <c r="J241" i="3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J232" i="3"/>
  <c r="J231" i="3"/>
  <c r="K231" i="3" s="1"/>
  <c r="J230" i="3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J223" i="3"/>
  <c r="K223" i="3" s="1"/>
  <c r="J222" i="3"/>
  <c r="J221" i="3"/>
  <c r="J220" i="3"/>
  <c r="J219" i="3"/>
  <c r="K219" i="3" s="1"/>
  <c r="J218" i="3"/>
  <c r="K218" i="3" s="1"/>
  <c r="J217" i="3"/>
  <c r="K217" i="3" s="1"/>
  <c r="J216" i="3"/>
  <c r="J215" i="3"/>
  <c r="J214" i="3"/>
  <c r="J213" i="3"/>
  <c r="K213" i="3" s="1"/>
  <c r="J212" i="3"/>
  <c r="K212" i="3" s="1"/>
  <c r="J211" i="3"/>
  <c r="K211" i="3" s="1"/>
  <c r="J210" i="3"/>
  <c r="K210" i="3" s="1"/>
  <c r="J209" i="3"/>
  <c r="K209" i="3" s="1"/>
  <c r="J208" i="3"/>
  <c r="K208" i="3" s="1"/>
  <c r="J207" i="3"/>
  <c r="K207" i="3" s="1"/>
  <c r="J206" i="3"/>
  <c r="K206" i="3" s="1"/>
  <c r="J205" i="3"/>
  <c r="J204" i="3"/>
  <c r="K204" i="3" s="1"/>
  <c r="J203" i="3"/>
  <c r="K203" i="3" s="1"/>
  <c r="J202" i="3"/>
  <c r="J201" i="3"/>
  <c r="K201" i="3" s="1"/>
  <c r="J200" i="3"/>
  <c r="K200" i="3" s="1"/>
  <c r="J199" i="3"/>
  <c r="K199" i="3" s="1"/>
  <c r="J198" i="3"/>
  <c r="K198" i="3" s="1"/>
  <c r="J197" i="3"/>
  <c r="J196" i="3"/>
  <c r="K196" i="3" s="1"/>
  <c r="J195" i="3"/>
  <c r="K195" i="3" s="1"/>
  <c r="J194" i="3"/>
  <c r="K194" i="3" s="1"/>
  <c r="J193" i="3"/>
  <c r="K193" i="3" s="1"/>
  <c r="J192" i="3"/>
  <c r="J191" i="3"/>
  <c r="K191" i="3" s="1"/>
  <c r="J190" i="3"/>
  <c r="K190" i="3" s="1"/>
  <c r="J189" i="3"/>
  <c r="J188" i="3"/>
  <c r="K188" i="3" s="1"/>
  <c r="J187" i="3"/>
  <c r="K187" i="3" s="1"/>
  <c r="J186" i="3"/>
  <c r="J185" i="3"/>
  <c r="K185" i="3" s="1"/>
  <c r="J184" i="3"/>
  <c r="K184" i="3" s="1"/>
  <c r="J183" i="3"/>
  <c r="K183" i="3" s="1"/>
  <c r="J182" i="3"/>
  <c r="K182" i="3" s="1"/>
  <c r="J181" i="3"/>
  <c r="J180" i="3"/>
  <c r="K180" i="3" s="1"/>
  <c r="J179" i="3"/>
  <c r="K179" i="3" s="1"/>
  <c r="J178" i="3"/>
  <c r="K178" i="3" s="1"/>
  <c r="J177" i="3"/>
  <c r="K177" i="3" s="1"/>
  <c r="J176" i="3"/>
  <c r="J175" i="3"/>
  <c r="K175" i="3" s="1"/>
  <c r="J174" i="3"/>
  <c r="K174" i="3" s="1"/>
  <c r="J173" i="3"/>
  <c r="J172" i="3"/>
  <c r="K172" i="3" s="1"/>
  <c r="J171" i="3"/>
  <c r="K171" i="3" s="1"/>
  <c r="J170" i="3"/>
  <c r="K170" i="3" s="1"/>
  <c r="J169" i="3"/>
  <c r="J168" i="3"/>
  <c r="J167" i="3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J160" i="3"/>
  <c r="J159" i="3"/>
  <c r="K159" i="3" s="1"/>
  <c r="J158" i="3"/>
  <c r="K158" i="3" s="1"/>
  <c r="J157" i="3"/>
  <c r="J156" i="3"/>
  <c r="K156" i="3" s="1"/>
  <c r="J155" i="3"/>
  <c r="K155" i="3" s="1"/>
  <c r="J154" i="3"/>
  <c r="J153" i="3"/>
  <c r="J152" i="3"/>
  <c r="K152" i="3" s="1"/>
  <c r="J151" i="3"/>
  <c r="J150" i="3"/>
  <c r="K150" i="3" s="1"/>
  <c r="J149" i="3"/>
  <c r="J148" i="3"/>
  <c r="K148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J140" i="3"/>
  <c r="K140" i="3" s="1"/>
  <c r="J139" i="3"/>
  <c r="K139" i="3" s="1"/>
  <c r="J138" i="3"/>
  <c r="K138" i="3" s="1"/>
  <c r="J137" i="3"/>
  <c r="K137" i="3" s="1"/>
  <c r="J136" i="3"/>
  <c r="K136" i="3" s="1"/>
  <c r="J135" i="3"/>
  <c r="K135" i="3" s="1"/>
  <c r="J134" i="3"/>
  <c r="J133" i="3"/>
  <c r="K133" i="3" s="1"/>
  <c r="J132" i="3"/>
  <c r="J131" i="3"/>
  <c r="K131" i="3" s="1"/>
  <c r="J130" i="3"/>
  <c r="K130" i="3" s="1"/>
  <c r="J129" i="3"/>
  <c r="K129" i="3" s="1"/>
  <c r="J128" i="3"/>
  <c r="J127" i="3"/>
  <c r="K127" i="3" s="1"/>
  <c r="J126" i="3"/>
  <c r="J125" i="3"/>
  <c r="J124" i="3"/>
  <c r="K124" i="3" s="1"/>
  <c r="J123" i="3"/>
  <c r="K123" i="3" s="1"/>
  <c r="J122" i="3"/>
  <c r="J121" i="3"/>
  <c r="K121" i="3" s="1"/>
  <c r="J120" i="3"/>
  <c r="K120" i="3" s="1"/>
  <c r="J119" i="3"/>
  <c r="J118" i="3"/>
  <c r="K118" i="3" s="1"/>
  <c r="J117" i="3"/>
  <c r="J116" i="3"/>
  <c r="J115" i="3"/>
  <c r="K115" i="3" s="1"/>
  <c r="J114" i="3"/>
  <c r="K114" i="3" s="1"/>
  <c r="J113" i="3"/>
  <c r="J112" i="3"/>
  <c r="K112" i="3" s="1"/>
  <c r="J111" i="3"/>
  <c r="K111" i="3" s="1"/>
  <c r="J110" i="3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J102" i="3"/>
  <c r="K102" i="3" s="1"/>
  <c r="J101" i="3"/>
  <c r="K101" i="3" s="1"/>
  <c r="J100" i="3"/>
  <c r="J99" i="3"/>
  <c r="K99" i="3" s="1"/>
  <c r="J98" i="3"/>
  <c r="K98" i="3" s="1"/>
  <c r="J97" i="3"/>
  <c r="K97" i="3" s="1"/>
  <c r="J96" i="3"/>
  <c r="J95" i="3"/>
  <c r="K95" i="3" s="1"/>
  <c r="J94" i="3"/>
  <c r="J93" i="3"/>
  <c r="J92" i="3"/>
  <c r="J91" i="3"/>
  <c r="K91" i="3" s="1"/>
  <c r="J90" i="3"/>
  <c r="K90" i="3" s="1"/>
  <c r="J89" i="3"/>
  <c r="J88" i="3"/>
  <c r="K88" i="3" s="1"/>
  <c r="J87" i="3"/>
  <c r="K87" i="3" s="1"/>
  <c r="J86" i="3"/>
  <c r="J85" i="3"/>
  <c r="K85" i="3" s="1"/>
  <c r="J84" i="3"/>
  <c r="J83" i="3"/>
  <c r="K83" i="3" s="1"/>
  <c r="J82" i="3"/>
  <c r="K82" i="3" s="1"/>
  <c r="J81" i="3"/>
  <c r="J80" i="3"/>
  <c r="J79" i="3"/>
  <c r="K79" i="3" s="1"/>
  <c r="J78" i="3"/>
  <c r="K78" i="3" s="1"/>
  <c r="J77" i="3"/>
  <c r="J76" i="3"/>
  <c r="K76" i="3" s="1"/>
  <c r="J75" i="3"/>
  <c r="K75" i="3" s="1"/>
  <c r="J74" i="3"/>
  <c r="K74" i="3" s="1"/>
  <c r="J73" i="3"/>
  <c r="K73" i="3" s="1"/>
  <c r="J72" i="3"/>
  <c r="J71" i="3"/>
  <c r="K71" i="3" s="1"/>
  <c r="J70" i="3"/>
  <c r="J69" i="3"/>
  <c r="J68" i="3"/>
  <c r="K68" i="3" s="1"/>
  <c r="J67" i="3"/>
  <c r="K67" i="3" s="1"/>
  <c r="J66" i="3"/>
  <c r="J65" i="3"/>
  <c r="K65" i="3" s="1"/>
  <c r="J64" i="3"/>
  <c r="J63" i="3"/>
  <c r="K63" i="3" s="1"/>
  <c r="J62" i="3"/>
  <c r="K62" i="3" s="1"/>
  <c r="J61" i="3"/>
  <c r="J60" i="3"/>
  <c r="K60" i="3" s="1"/>
  <c r="J59" i="3"/>
  <c r="K59" i="3" s="1"/>
  <c r="J58" i="3"/>
  <c r="J57" i="3"/>
  <c r="K57" i="3" s="1"/>
  <c r="J56" i="3"/>
  <c r="J55" i="3"/>
  <c r="K55" i="3" s="1"/>
  <c r="J54" i="3"/>
  <c r="J53" i="3"/>
  <c r="J52" i="3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J38" i="3"/>
  <c r="K38" i="3" s="1"/>
  <c r="J37" i="3"/>
  <c r="J36" i="3"/>
  <c r="J35" i="3"/>
  <c r="K35" i="3" s="1"/>
  <c r="J34" i="3"/>
  <c r="K34" i="3" s="1"/>
  <c r="J33" i="3"/>
  <c r="J32" i="3"/>
  <c r="J31" i="3"/>
  <c r="J30" i="3"/>
  <c r="J29" i="3"/>
  <c r="J28" i="3"/>
  <c r="K28" i="3" s="1"/>
  <c r="J27" i="3"/>
  <c r="K27" i="3" s="1"/>
  <c r="J26" i="3"/>
  <c r="J25" i="3"/>
  <c r="K25" i="3" s="1"/>
  <c r="J24" i="3"/>
  <c r="K24" i="3" s="1"/>
  <c r="J23" i="3"/>
  <c r="J22" i="3"/>
  <c r="K22" i="3" s="1"/>
  <c r="J21" i="3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J13" i="3"/>
  <c r="K13" i="3" s="1"/>
  <c r="J12" i="3"/>
  <c r="K12" i="3" s="1"/>
  <c r="J11" i="3"/>
  <c r="K11" i="3" s="1"/>
  <c r="J10" i="3"/>
  <c r="K10" i="3" s="1"/>
  <c r="J9" i="3"/>
  <c r="J8" i="3"/>
  <c r="K8" i="3" s="1"/>
  <c r="J7" i="3"/>
  <c r="J6" i="3"/>
  <c r="K6" i="3" s="1"/>
  <c r="J5" i="3"/>
  <c r="K5" i="3" s="1"/>
  <c r="J4" i="3"/>
  <c r="J3" i="3"/>
  <c r="K3" i="3" s="1"/>
  <c r="J2" i="3"/>
  <c r="K2" i="3" s="1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AE126" i="13" l="1"/>
  <c r="Q86" i="13"/>
  <c r="W106" i="12"/>
  <c r="E136" i="12"/>
  <c r="I146" i="12"/>
  <c r="F36" i="13"/>
  <c r="E76" i="13"/>
  <c r="AC86" i="13"/>
  <c r="AB106" i="12"/>
  <c r="R136" i="12"/>
  <c r="S146" i="12"/>
  <c r="R36" i="13"/>
  <c r="AE86" i="13"/>
  <c r="P96" i="12"/>
  <c r="AJ136" i="12"/>
  <c r="T146" i="12"/>
  <c r="AF36" i="13"/>
  <c r="AJ96" i="12"/>
  <c r="W146" i="12"/>
  <c r="AG146" i="12"/>
  <c r="H108" i="8"/>
  <c r="H107" i="8" s="1"/>
  <c r="H106" i="8" s="1"/>
  <c r="H105" i="8" s="1"/>
  <c r="H76" i="12"/>
  <c r="L76" i="12"/>
  <c r="AB116" i="13"/>
  <c r="AG66" i="12"/>
  <c r="M76" i="12"/>
  <c r="AC76" i="12"/>
  <c r="AD76" i="12"/>
  <c r="K96" i="12"/>
  <c r="G106" i="12"/>
  <c r="L96" i="12"/>
  <c r="N106" i="12"/>
  <c r="O86" i="13"/>
  <c r="AD126" i="13"/>
  <c r="C56" i="12"/>
  <c r="Q136" i="12"/>
  <c r="AG136" i="12"/>
  <c r="AI76" i="13"/>
  <c r="M56" i="12"/>
  <c r="F136" i="12"/>
  <c r="T136" i="12"/>
  <c r="AK136" i="12"/>
  <c r="K76" i="13"/>
  <c r="AD116" i="13"/>
  <c r="L136" i="13"/>
  <c r="X16" i="12"/>
  <c r="AA46" i="12"/>
  <c r="P56" i="12"/>
  <c r="L126" i="12"/>
  <c r="G136" i="12"/>
  <c r="X136" i="12"/>
  <c r="T66" i="13"/>
  <c r="L76" i="13"/>
  <c r="T136" i="13"/>
  <c r="AA16" i="12"/>
  <c r="AD46" i="12"/>
  <c r="V56" i="12"/>
  <c r="G86" i="12"/>
  <c r="M126" i="12"/>
  <c r="H136" i="12"/>
  <c r="Y136" i="12"/>
  <c r="M76" i="13"/>
  <c r="AA106" i="13"/>
  <c r="U136" i="13"/>
  <c r="AA156" i="13"/>
  <c r="AF56" i="12"/>
  <c r="AK76" i="12"/>
  <c r="Y86" i="12"/>
  <c r="R126" i="12"/>
  <c r="J136" i="12"/>
  <c r="AB136" i="12"/>
  <c r="Y76" i="13"/>
  <c r="Q96" i="13"/>
  <c r="AL106" i="13"/>
  <c r="C126" i="13"/>
  <c r="AK136" i="13"/>
  <c r="AL56" i="12"/>
  <c r="AF86" i="12"/>
  <c r="AE126" i="12"/>
  <c r="N136" i="12"/>
  <c r="AC136" i="12"/>
  <c r="AG76" i="13"/>
  <c r="S96" i="13"/>
  <c r="L300" i="3"/>
  <c r="T116" i="12"/>
  <c r="AG126" i="12"/>
  <c r="C136" i="12"/>
  <c r="P136" i="12"/>
  <c r="AF136" i="12"/>
  <c r="AH76" i="13"/>
  <c r="E86" i="13"/>
  <c r="AA96" i="13"/>
  <c r="R126" i="13"/>
  <c r="P36" i="13"/>
  <c r="AD36" i="13"/>
  <c r="K283" i="3"/>
  <c r="AE86" i="12"/>
  <c r="S116" i="12"/>
  <c r="E36" i="13"/>
  <c r="Q36" i="13"/>
  <c r="AE36" i="13"/>
  <c r="P86" i="13"/>
  <c r="AD86" i="13"/>
  <c r="N156" i="13"/>
  <c r="H180" i="7"/>
  <c r="H179" i="7" s="1"/>
  <c r="AH56" i="12"/>
  <c r="N76" i="12"/>
  <c r="AL76" i="12"/>
  <c r="H86" i="12"/>
  <c r="AG86" i="12"/>
  <c r="X96" i="12"/>
  <c r="AC106" i="12"/>
  <c r="AB116" i="12"/>
  <c r="AD126" i="12"/>
  <c r="I136" i="12"/>
  <c r="W136" i="12"/>
  <c r="AH136" i="12"/>
  <c r="C146" i="12"/>
  <c r="AC146" i="12"/>
  <c r="G36" i="13"/>
  <c r="U36" i="13"/>
  <c r="AK36" i="13"/>
  <c r="C76" i="13"/>
  <c r="S76" i="13"/>
  <c r="AK76" i="13"/>
  <c r="F86" i="13"/>
  <c r="T86" i="13"/>
  <c r="AF86" i="13"/>
  <c r="C116" i="13"/>
  <c r="AK126" i="13"/>
  <c r="C136" i="13"/>
  <c r="V136" i="13"/>
  <c r="U76" i="12"/>
  <c r="I86" i="12"/>
  <c r="C96" i="12"/>
  <c r="Y96" i="12"/>
  <c r="AD106" i="12"/>
  <c r="AF146" i="12"/>
  <c r="H36" i="13"/>
  <c r="V36" i="13"/>
  <c r="AL36" i="13"/>
  <c r="U76" i="13"/>
  <c r="G86" i="13"/>
  <c r="U86" i="13"/>
  <c r="AK86" i="13"/>
  <c r="Z136" i="13"/>
  <c r="L310" i="3"/>
  <c r="V76" i="12"/>
  <c r="O86" i="12"/>
  <c r="Z96" i="12"/>
  <c r="I36" i="13"/>
  <c r="Y36" i="13"/>
  <c r="H86" i="13"/>
  <c r="V86" i="13"/>
  <c r="AL86" i="13"/>
  <c r="M116" i="13"/>
  <c r="I136" i="13"/>
  <c r="AG136" i="13"/>
  <c r="L306" i="3"/>
  <c r="H36" i="8"/>
  <c r="H35" i="8" s="1"/>
  <c r="H16" i="12"/>
  <c r="E76" i="12"/>
  <c r="X76" i="12"/>
  <c r="P86" i="12"/>
  <c r="I96" i="12"/>
  <c r="AA96" i="12"/>
  <c r="L106" i="12"/>
  <c r="C126" i="12"/>
  <c r="O136" i="12"/>
  <c r="Z136" i="12"/>
  <c r="AL136" i="12"/>
  <c r="J146" i="12"/>
  <c r="J36" i="13"/>
  <c r="Z36" i="13"/>
  <c r="AA66" i="13"/>
  <c r="I76" i="13"/>
  <c r="Z76" i="13"/>
  <c r="I86" i="13"/>
  <c r="Y86" i="13"/>
  <c r="C96" i="13"/>
  <c r="R116" i="13"/>
  <c r="M126" i="13"/>
  <c r="J136" i="13"/>
  <c r="AH136" i="13"/>
  <c r="T146" i="13"/>
  <c r="L103" i="3"/>
  <c r="H108" i="7"/>
  <c r="H107" i="7" s="1"/>
  <c r="F76" i="12"/>
  <c r="AB76" i="12"/>
  <c r="Q86" i="12"/>
  <c r="J96" i="12"/>
  <c r="AF96" i="12"/>
  <c r="M106" i="12"/>
  <c r="C116" i="12"/>
  <c r="K146" i="12"/>
  <c r="O36" i="13"/>
  <c r="AC36" i="13"/>
  <c r="J76" i="13"/>
  <c r="AA76" i="13"/>
  <c r="L86" i="13"/>
  <c r="AB86" i="13"/>
  <c r="T116" i="13"/>
  <c r="Q126" i="13"/>
  <c r="K136" i="13"/>
  <c r="AJ136" i="13"/>
  <c r="AJ146" i="13"/>
  <c r="H36" i="7"/>
  <c r="H35" i="7" s="1"/>
  <c r="L414" i="3"/>
  <c r="L430" i="3"/>
  <c r="L280" i="3"/>
  <c r="K306" i="3"/>
  <c r="K310" i="3"/>
  <c r="H41" i="6"/>
  <c r="L40" i="3"/>
  <c r="L83" i="3"/>
  <c r="L272" i="3"/>
  <c r="K103" i="3"/>
  <c r="L345" i="3"/>
  <c r="K345" i="3"/>
  <c r="L433" i="3"/>
  <c r="L286" i="3"/>
  <c r="L420" i="3"/>
  <c r="L465" i="3"/>
  <c r="L406" i="3"/>
  <c r="L335" i="3"/>
  <c r="L303" i="3"/>
  <c r="L431" i="3"/>
  <c r="L97" i="3"/>
  <c r="K282" i="3"/>
  <c r="K422" i="3"/>
  <c r="L422" i="3"/>
  <c r="AF156" i="12"/>
  <c r="M26" i="13"/>
  <c r="W26" i="13"/>
  <c r="AH26" i="13"/>
  <c r="R56" i="13"/>
  <c r="AG56" i="13"/>
  <c r="N36" i="12"/>
  <c r="E156" i="12"/>
  <c r="AH156" i="12"/>
  <c r="D26" i="13"/>
  <c r="N26" i="13"/>
  <c r="X26" i="13"/>
  <c r="AI26" i="13"/>
  <c r="D56" i="13"/>
  <c r="S56" i="13"/>
  <c r="AH56" i="13"/>
  <c r="U146" i="13"/>
  <c r="O156" i="13"/>
  <c r="AC156" i="13"/>
  <c r="AF36" i="12"/>
  <c r="L156" i="12"/>
  <c r="AI156" i="12"/>
  <c r="E26" i="13"/>
  <c r="O26" i="13"/>
  <c r="Z26" i="13"/>
  <c r="AJ26" i="13"/>
  <c r="H56" i="13"/>
  <c r="T56" i="13"/>
  <c r="AI56" i="13"/>
  <c r="D146" i="13"/>
  <c r="V146" i="13"/>
  <c r="D156" i="13"/>
  <c r="P156" i="13"/>
  <c r="AD156" i="13"/>
  <c r="H180" i="8"/>
  <c r="H179" i="8" s="1"/>
  <c r="AC116" i="12"/>
  <c r="T126" i="12"/>
  <c r="AH126" i="12"/>
  <c r="M146" i="12"/>
  <c r="X146" i="12"/>
  <c r="AH146" i="12"/>
  <c r="M156" i="12"/>
  <c r="AK156" i="12"/>
  <c r="I16" i="13"/>
  <c r="F26" i="13"/>
  <c r="P26" i="13"/>
  <c r="AA26" i="13"/>
  <c r="AK26" i="13"/>
  <c r="I56" i="13"/>
  <c r="X56" i="13"/>
  <c r="AJ56" i="13"/>
  <c r="AE96" i="13"/>
  <c r="F106" i="13"/>
  <c r="U126" i="13"/>
  <c r="AL126" i="13"/>
  <c r="I146" i="13"/>
  <c r="X146" i="13"/>
  <c r="E156" i="13"/>
  <c r="Q156" i="13"/>
  <c r="AE156" i="13"/>
  <c r="O106" i="12"/>
  <c r="AE106" i="12"/>
  <c r="J116" i="12"/>
  <c r="AD116" i="12"/>
  <c r="E126" i="12"/>
  <c r="U126" i="12"/>
  <c r="AJ126" i="12"/>
  <c r="D146" i="12"/>
  <c r="O146" i="12"/>
  <c r="Y146" i="12"/>
  <c r="AI146" i="12"/>
  <c r="N156" i="12"/>
  <c r="L16" i="13"/>
  <c r="G26" i="13"/>
  <c r="R26" i="13"/>
  <c r="AB26" i="13"/>
  <c r="AL26" i="13"/>
  <c r="J56" i="13"/>
  <c r="Y56" i="13"/>
  <c r="G96" i="13"/>
  <c r="AF96" i="13"/>
  <c r="G106" i="13"/>
  <c r="H126" i="13"/>
  <c r="V126" i="13"/>
  <c r="N136" i="13"/>
  <c r="AA136" i="13"/>
  <c r="AL136" i="13"/>
  <c r="J146" i="13"/>
  <c r="Y146" i="13"/>
  <c r="F156" i="13"/>
  <c r="T156" i="13"/>
  <c r="AI156" i="13"/>
  <c r="C3" i="28"/>
  <c r="S26" i="12"/>
  <c r="R96" i="12"/>
  <c r="AG96" i="12"/>
  <c r="D106" i="12"/>
  <c r="T106" i="12"/>
  <c r="AJ106" i="12"/>
  <c r="K116" i="12"/>
  <c r="AJ116" i="12"/>
  <c r="F126" i="12"/>
  <c r="V126" i="12"/>
  <c r="AL126" i="12"/>
  <c r="E146" i="12"/>
  <c r="P146" i="12"/>
  <c r="Z146" i="12"/>
  <c r="AJ146" i="12"/>
  <c r="O156" i="12"/>
  <c r="Y16" i="13"/>
  <c r="H26" i="13"/>
  <c r="S26" i="13"/>
  <c r="AC26" i="13"/>
  <c r="K56" i="13"/>
  <c r="Z56" i="13"/>
  <c r="H96" i="13"/>
  <c r="AG96" i="13"/>
  <c r="S106" i="13"/>
  <c r="AG116" i="13"/>
  <c r="I126" i="13"/>
  <c r="Z126" i="13"/>
  <c r="D136" i="13"/>
  <c r="Q136" i="13"/>
  <c r="AB136" i="13"/>
  <c r="K146" i="13"/>
  <c r="AC146" i="13"/>
  <c r="G156" i="13"/>
  <c r="U156" i="13"/>
  <c r="AJ156" i="13"/>
  <c r="AK26" i="12"/>
  <c r="E46" i="12"/>
  <c r="P76" i="12"/>
  <c r="AF76" i="12"/>
  <c r="W86" i="12"/>
  <c r="D96" i="12"/>
  <c r="S96" i="12"/>
  <c r="AH96" i="12"/>
  <c r="E106" i="12"/>
  <c r="U106" i="12"/>
  <c r="AK106" i="12"/>
  <c r="L116" i="12"/>
  <c r="AK116" i="12"/>
  <c r="I126" i="12"/>
  <c r="W126" i="12"/>
  <c r="L136" i="12"/>
  <c r="U136" i="12"/>
  <c r="AD136" i="12"/>
  <c r="G146" i="12"/>
  <c r="Q146" i="12"/>
  <c r="AA146" i="12"/>
  <c r="AK146" i="12"/>
  <c r="V156" i="12"/>
  <c r="J26" i="13"/>
  <c r="T26" i="13"/>
  <c r="AE26" i="13"/>
  <c r="C36" i="13"/>
  <c r="M36" i="13"/>
  <c r="W36" i="13"/>
  <c r="AG36" i="13"/>
  <c r="L56" i="13"/>
  <c r="AA56" i="13"/>
  <c r="D66" i="13"/>
  <c r="M86" i="13"/>
  <c r="W86" i="13"/>
  <c r="AG86" i="13"/>
  <c r="I96" i="13"/>
  <c r="AH96" i="13"/>
  <c r="Y106" i="13"/>
  <c r="K116" i="13"/>
  <c r="AH116" i="13"/>
  <c r="J126" i="13"/>
  <c r="AA126" i="13"/>
  <c r="E136" i="13"/>
  <c r="R136" i="13"/>
  <c r="AC136" i="13"/>
  <c r="L146" i="13"/>
  <c r="AG146" i="13"/>
  <c r="H156" i="13"/>
  <c r="X156" i="13"/>
  <c r="AL156" i="13"/>
  <c r="M3" i="21"/>
  <c r="L462" i="3"/>
  <c r="K56" i="12"/>
  <c r="D76" i="12"/>
  <c r="T76" i="12"/>
  <c r="AJ76" i="12"/>
  <c r="X86" i="12"/>
  <c r="H96" i="12"/>
  <c r="T96" i="12"/>
  <c r="F106" i="12"/>
  <c r="V106" i="12"/>
  <c r="AL106" i="12"/>
  <c r="R116" i="12"/>
  <c r="K126" i="12"/>
  <c r="D136" i="12"/>
  <c r="M136" i="12"/>
  <c r="V136" i="12"/>
  <c r="AE136" i="12"/>
  <c r="H146" i="12"/>
  <c r="R146" i="12"/>
  <c r="C156" i="12"/>
  <c r="C26" i="13"/>
  <c r="K26" i="13"/>
  <c r="V26" i="13"/>
  <c r="N36" i="13"/>
  <c r="X36" i="13"/>
  <c r="AH36" i="13"/>
  <c r="C56" i="13"/>
  <c r="P56" i="13"/>
  <c r="T76" i="13"/>
  <c r="D86" i="13"/>
  <c r="N86" i="13"/>
  <c r="X86" i="13"/>
  <c r="AJ86" i="13"/>
  <c r="P96" i="13"/>
  <c r="L116" i="13"/>
  <c r="K126" i="13"/>
  <c r="F136" i="13"/>
  <c r="S136" i="13"/>
  <c r="M146" i="13"/>
  <c r="AH146" i="13"/>
  <c r="K156" i="13"/>
  <c r="Y156" i="13"/>
  <c r="L17" i="3"/>
  <c r="L52" i="3"/>
  <c r="L65" i="3"/>
  <c r="L49" i="3"/>
  <c r="L46" i="3"/>
  <c r="L43" i="3"/>
  <c r="K52" i="3"/>
  <c r="L57" i="3"/>
  <c r="L111" i="3"/>
  <c r="L117" i="3"/>
  <c r="K117" i="3"/>
  <c r="L127" i="3"/>
  <c r="L131" i="3"/>
  <c r="L136" i="3"/>
  <c r="L141" i="3"/>
  <c r="K141" i="3"/>
  <c r="L207" i="3"/>
  <c r="L222" i="3"/>
  <c r="K222" i="3"/>
  <c r="L270" i="3"/>
  <c r="L383" i="3"/>
  <c r="L3" i="3"/>
  <c r="L48" i="3"/>
  <c r="L89" i="3"/>
  <c r="K89" i="3"/>
  <c r="L94" i="3"/>
  <c r="K94" i="3"/>
  <c r="L123" i="3"/>
  <c r="L163" i="3"/>
  <c r="L178" i="3"/>
  <c r="L198" i="3"/>
  <c r="L249" i="3"/>
  <c r="K249" i="3"/>
  <c r="L298" i="3"/>
  <c r="K298" i="3"/>
  <c r="L318" i="3"/>
  <c r="L4" i="3"/>
  <c r="L27" i="3"/>
  <c r="L19" i="3"/>
  <c r="L8" i="3"/>
  <c r="K4" i="3"/>
  <c r="L35" i="3"/>
  <c r="L22" i="3"/>
  <c r="L28" i="3"/>
  <c r="L23" i="3"/>
  <c r="K23" i="3"/>
  <c r="L29" i="3"/>
  <c r="K29" i="3"/>
  <c r="L54" i="3"/>
  <c r="K54" i="3"/>
  <c r="L63" i="3"/>
  <c r="L84" i="3"/>
  <c r="K84" i="3"/>
  <c r="L113" i="3"/>
  <c r="K113" i="3"/>
  <c r="L119" i="3"/>
  <c r="K119" i="3"/>
  <c r="K153" i="3"/>
  <c r="L153" i="3"/>
  <c r="K233" i="3"/>
  <c r="L233" i="3"/>
  <c r="L261" i="3"/>
  <c r="K261" i="3"/>
  <c r="L10" i="3"/>
  <c r="K14" i="3"/>
  <c r="L14" i="3"/>
  <c r="K30" i="3"/>
  <c r="L30" i="3"/>
  <c r="K36" i="3"/>
  <c r="L36" i="3"/>
  <c r="K64" i="3"/>
  <c r="L64" i="3"/>
  <c r="K70" i="3"/>
  <c r="L70" i="3"/>
  <c r="K80" i="3"/>
  <c r="L80" i="3"/>
  <c r="L228" i="3"/>
  <c r="L293" i="3"/>
  <c r="K293" i="3"/>
  <c r="L376" i="3"/>
  <c r="L371" i="3"/>
  <c r="L348" i="3"/>
  <c r="L329" i="3"/>
  <c r="L324" i="3"/>
  <c r="L284" i="3"/>
  <c r="L386" i="3"/>
  <c r="L362" i="3"/>
  <c r="L358" i="3"/>
  <c r="L354" i="3"/>
  <c r="L81" i="3"/>
  <c r="K81" i="3"/>
  <c r="L95" i="3"/>
  <c r="L100" i="3"/>
  <c r="K100" i="3"/>
  <c r="L125" i="3"/>
  <c r="K125" i="3"/>
  <c r="L149" i="3"/>
  <c r="K149" i="3"/>
  <c r="L200" i="3"/>
  <c r="L209" i="3"/>
  <c r="K321" i="3"/>
  <c r="L321" i="3"/>
  <c r="K327" i="3"/>
  <c r="L327" i="3"/>
  <c r="L343" i="3"/>
  <c r="L25" i="3"/>
  <c r="K32" i="3"/>
  <c r="L32" i="3"/>
  <c r="L42" i="3"/>
  <c r="K56" i="3"/>
  <c r="L56" i="3"/>
  <c r="L66" i="3"/>
  <c r="K66" i="3"/>
  <c r="K72" i="3"/>
  <c r="L72" i="3"/>
  <c r="L76" i="3"/>
  <c r="L274" i="3"/>
  <c r="L271" i="3"/>
  <c r="L268" i="3"/>
  <c r="L227" i="3"/>
  <c r="L179" i="3"/>
  <c r="L107" i="3"/>
  <c r="L91" i="3"/>
  <c r="L242" i="3"/>
  <c r="L239" i="3"/>
  <c r="L236" i="3"/>
  <c r="L195" i="3"/>
  <c r="L147" i="3"/>
  <c r="L235" i="3"/>
  <c r="L219" i="3"/>
  <c r="L146" i="3"/>
  <c r="L143" i="3"/>
  <c r="L140" i="3"/>
  <c r="L99" i="3"/>
  <c r="L86" i="3"/>
  <c r="L267" i="3"/>
  <c r="L243" i="3"/>
  <c r="L231" i="3"/>
  <c r="L211" i="3"/>
  <c r="L201" i="3"/>
  <c r="L193" i="3"/>
  <c r="L185" i="3"/>
  <c r="L174" i="3"/>
  <c r="L166" i="3"/>
  <c r="L158" i="3"/>
  <c r="L138" i="3"/>
  <c r="L130" i="3"/>
  <c r="L98" i="3"/>
  <c r="L278" i="3"/>
  <c r="L263" i="3"/>
  <c r="L259" i="3"/>
  <c r="L251" i="3"/>
  <c r="L223" i="3"/>
  <c r="L204" i="3"/>
  <c r="L196" i="3"/>
  <c r="L188" i="3"/>
  <c r="L177" i="3"/>
  <c r="L162" i="3"/>
  <c r="L145" i="3"/>
  <c r="K86" i="3"/>
  <c r="L266" i="3"/>
  <c r="L246" i="3"/>
  <c r="L234" i="3"/>
  <c r="L226" i="3"/>
  <c r="L210" i="3"/>
  <c r="L191" i="3"/>
  <c r="L184" i="3"/>
  <c r="L156" i="3"/>
  <c r="L152" i="3"/>
  <c r="L144" i="3"/>
  <c r="L137" i="3"/>
  <c r="L112" i="3"/>
  <c r="L108" i="3"/>
  <c r="L281" i="3"/>
  <c r="L258" i="3"/>
  <c r="L203" i="3"/>
  <c r="L199" i="3"/>
  <c r="L187" i="3"/>
  <c r="L172" i="3"/>
  <c r="L164" i="3"/>
  <c r="L120" i="3"/>
  <c r="L115" i="3"/>
  <c r="L225" i="3"/>
  <c r="L206" i="3"/>
  <c r="L190" i="3"/>
  <c r="L175" i="3"/>
  <c r="L155" i="3"/>
  <c r="L139" i="3"/>
  <c r="L275" i="3"/>
  <c r="L264" i="3"/>
  <c r="L248" i="3"/>
  <c r="L240" i="3"/>
  <c r="L171" i="3"/>
  <c r="L142" i="3"/>
  <c r="L118" i="3"/>
  <c r="L114" i="3"/>
  <c r="K96" i="3"/>
  <c r="L96" i="3"/>
  <c r="L105" i="3"/>
  <c r="L245" i="3"/>
  <c r="K245" i="3"/>
  <c r="L316" i="3"/>
  <c r="L2" i="3"/>
  <c r="L7" i="3"/>
  <c r="K7" i="3"/>
  <c r="L11" i="3"/>
  <c r="L26" i="3"/>
  <c r="K26" i="3"/>
  <c r="L38" i="3"/>
  <c r="L92" i="3"/>
  <c r="L215" i="3"/>
  <c r="K215" i="3"/>
  <c r="L21" i="3"/>
  <c r="K21" i="3"/>
  <c r="L39" i="3"/>
  <c r="K39" i="3"/>
  <c r="K92" i="3"/>
  <c r="L150" i="3"/>
  <c r="L157" i="3"/>
  <c r="K157" i="3"/>
  <c r="K168" i="3"/>
  <c r="L168" i="3"/>
  <c r="K192" i="3"/>
  <c r="L192" i="3"/>
  <c r="L241" i="3"/>
  <c r="K241" i="3"/>
  <c r="L247" i="3"/>
  <c r="K247" i="3"/>
  <c r="L254" i="3"/>
  <c r="K254" i="3"/>
  <c r="K265" i="3"/>
  <c r="L265" i="3"/>
  <c r="L13" i="3"/>
  <c r="L34" i="3"/>
  <c r="L45" i="3"/>
  <c r="L75" i="3"/>
  <c r="L59" i="3"/>
  <c r="L51" i="3"/>
  <c r="L67" i="3"/>
  <c r="L71" i="3"/>
  <c r="L79" i="3"/>
  <c r="L159" i="3"/>
  <c r="L167" i="3"/>
  <c r="K167" i="3"/>
  <c r="L194" i="3"/>
  <c r="L202" i="3"/>
  <c r="K202" i="3"/>
  <c r="L212" i="3"/>
  <c r="L217" i="3"/>
  <c r="K232" i="3"/>
  <c r="L232" i="3"/>
  <c r="L244" i="3"/>
  <c r="K244" i="3"/>
  <c r="L253" i="3"/>
  <c r="K253" i="3"/>
  <c r="L257" i="3"/>
  <c r="L283" i="3"/>
  <c r="L289" i="3"/>
  <c r="L292" i="3"/>
  <c r="L314" i="3"/>
  <c r="K314" i="3"/>
  <c r="L326" i="3"/>
  <c r="L338" i="3"/>
  <c r="L378" i="3"/>
  <c r="L382" i="3"/>
  <c r="K382" i="3"/>
  <c r="K390" i="3"/>
  <c r="L390" i="3"/>
  <c r="L401" i="3"/>
  <c r="L409" i="3"/>
  <c r="L418" i="3"/>
  <c r="L437" i="3"/>
  <c r="K437" i="3"/>
  <c r="L444" i="3"/>
  <c r="L452" i="3"/>
  <c r="L460" i="3"/>
  <c r="L366" i="3"/>
  <c r="K366" i="3"/>
  <c r="L391" i="3"/>
  <c r="L394" i="3"/>
  <c r="L410" i="3"/>
  <c r="K410" i="3"/>
  <c r="L438" i="3"/>
  <c r="L441" i="3"/>
  <c r="L449" i="3"/>
  <c r="L453" i="3"/>
  <c r="K453" i="3"/>
  <c r="L457" i="3"/>
  <c r="K160" i="3"/>
  <c r="L160" i="3"/>
  <c r="L250" i="3"/>
  <c r="L269" i="3"/>
  <c r="L290" i="3"/>
  <c r="L301" i="3"/>
  <c r="L323" i="3"/>
  <c r="K343" i="3"/>
  <c r="L370" i="3"/>
  <c r="L374" i="3"/>
  <c r="K383" i="3"/>
  <c r="K391" i="3"/>
  <c r="L398" i="3"/>
  <c r="L415" i="3"/>
  <c r="L423" i="3"/>
  <c r="K423" i="3"/>
  <c r="L427" i="3"/>
  <c r="K438" i="3"/>
  <c r="L450" i="3"/>
  <c r="L458" i="3"/>
  <c r="K458" i="3"/>
  <c r="L60" i="3"/>
  <c r="L68" i="3"/>
  <c r="L73" i="3"/>
  <c r="L77" i="3"/>
  <c r="K77" i="3"/>
  <c r="L124" i="3"/>
  <c r="L129" i="3"/>
  <c r="L132" i="3"/>
  <c r="K132" i="3"/>
  <c r="L161" i="3"/>
  <c r="K161" i="3"/>
  <c r="K169" i="3"/>
  <c r="L169" i="3"/>
  <c r="K176" i="3"/>
  <c r="L176" i="3"/>
  <c r="L238" i="3"/>
  <c r="K250" i="3"/>
  <c r="L255" i="3"/>
  <c r="K269" i="3"/>
  <c r="L273" i="3"/>
  <c r="L277" i="3"/>
  <c r="K277" i="3"/>
  <c r="L285" i="3"/>
  <c r="K285" i="3"/>
  <c r="K290" i="3"/>
  <c r="L294" i="3"/>
  <c r="K301" i="3"/>
  <c r="L304" i="3"/>
  <c r="L319" i="3"/>
  <c r="K328" i="3"/>
  <c r="L328" i="3"/>
  <c r="K336" i="3"/>
  <c r="L336" i="3"/>
  <c r="L339" i="3"/>
  <c r="L351" i="3"/>
  <c r="L375" i="3"/>
  <c r="K375" i="3"/>
  <c r="K415" i="3"/>
  <c r="L419" i="3"/>
  <c r="L434" i="3"/>
  <c r="K450" i="3"/>
  <c r="L454" i="3"/>
  <c r="K462" i="3"/>
  <c r="L31" i="3"/>
  <c r="K31" i="3"/>
  <c r="L61" i="3"/>
  <c r="K61" i="3"/>
  <c r="L74" i="3"/>
  <c r="L78" i="3"/>
  <c r="L121" i="3"/>
  <c r="L133" i="3"/>
  <c r="L165" i="3"/>
  <c r="L170" i="3"/>
  <c r="L173" i="3"/>
  <c r="K173" i="3"/>
  <c r="L180" i="3"/>
  <c r="L214" i="3"/>
  <c r="K214" i="3"/>
  <c r="K230" i="3"/>
  <c r="L230" i="3"/>
  <c r="L282" i="3"/>
  <c r="L363" i="3"/>
  <c r="L347" i="3"/>
  <c r="L403" i="3"/>
  <c r="L331" i="3"/>
  <c r="L315" i="3"/>
  <c r="L402" i="3"/>
  <c r="L399" i="3"/>
  <c r="L396" i="3"/>
  <c r="L355" i="3"/>
  <c r="L307" i="3"/>
  <c r="L295" i="3"/>
  <c r="L308" i="3"/>
  <c r="K312" i="3"/>
  <c r="L312" i="3"/>
  <c r="K320" i="3"/>
  <c r="L320" i="3"/>
  <c r="L332" i="3"/>
  <c r="L337" i="3"/>
  <c r="L340" i="3"/>
  <c r="K340" i="3"/>
  <c r="K352" i="3"/>
  <c r="L352" i="3"/>
  <c r="L356" i="3"/>
  <c r="L359" i="3"/>
  <c r="L367" i="3"/>
  <c r="L379" i="3"/>
  <c r="L387" i="3"/>
  <c r="L392" i="3"/>
  <c r="L395" i="3"/>
  <c r="L411" i="3"/>
  <c r="K416" i="3"/>
  <c r="L416" i="3"/>
  <c r="L424" i="3"/>
  <c r="L446" i="3"/>
  <c r="L333" i="3"/>
  <c r="K333" i="3"/>
  <c r="L380" i="3"/>
  <c r="L385" i="3"/>
  <c r="L388" i="3"/>
  <c r="K388" i="3"/>
  <c r="L417" i="3"/>
  <c r="K417" i="3"/>
  <c r="K425" i="3"/>
  <c r="L425" i="3"/>
  <c r="L428" i="3"/>
  <c r="K432" i="3"/>
  <c r="L432" i="3"/>
  <c r="L443" i="3"/>
  <c r="L455" i="3"/>
  <c r="L459" i="3"/>
  <c r="L33" i="3"/>
  <c r="L58" i="3"/>
  <c r="K58" i="3"/>
  <c r="L82" i="3"/>
  <c r="L122" i="3"/>
  <c r="L126" i="3"/>
  <c r="K126" i="3"/>
  <c r="K134" i="3"/>
  <c r="L134" i="3"/>
  <c r="L181" i="3"/>
  <c r="K181" i="3"/>
  <c r="L220" i="3"/>
  <c r="L287" i="3"/>
  <c r="K287" i="3"/>
  <c r="L291" i="3"/>
  <c r="L299" i="3"/>
  <c r="L302" i="3"/>
  <c r="L305" i="3"/>
  <c r="L317" i="3"/>
  <c r="K317" i="3"/>
  <c r="L330" i="3"/>
  <c r="L334" i="3"/>
  <c r="L364" i="3"/>
  <c r="L368" i="3"/>
  <c r="L377" i="3"/>
  <c r="K380" i="3"/>
  <c r="K385" i="3"/>
  <c r="L389" i="3"/>
  <c r="L393" i="3"/>
  <c r="L400" i="3"/>
  <c r="L408" i="3"/>
  <c r="L412" i="3"/>
  <c r="L421" i="3"/>
  <c r="L426" i="3"/>
  <c r="L429" i="3"/>
  <c r="K429" i="3"/>
  <c r="L435" i="3"/>
  <c r="L436" i="3"/>
  <c r="L451" i="3"/>
  <c r="L440" i="3"/>
  <c r="L447" i="3"/>
  <c r="L466" i="3"/>
  <c r="L18" i="3"/>
  <c r="L5" i="3"/>
  <c r="K9" i="3"/>
  <c r="L9" i="3"/>
  <c r="L16" i="3"/>
  <c r="L24" i="3"/>
  <c r="K33" i="3"/>
  <c r="L37" i="3"/>
  <c r="K37" i="3"/>
  <c r="L44" i="3"/>
  <c r="L47" i="3"/>
  <c r="L50" i="3"/>
  <c r="L62" i="3"/>
  <c r="L87" i="3"/>
  <c r="L102" i="3"/>
  <c r="L106" i="3"/>
  <c r="L110" i="3"/>
  <c r="K110" i="3"/>
  <c r="K122" i="3"/>
  <c r="L135" i="3"/>
  <c r="L154" i="3"/>
  <c r="K154" i="3"/>
  <c r="L182" i="3"/>
  <c r="L197" i="3"/>
  <c r="K197" i="3"/>
  <c r="K216" i="3"/>
  <c r="L216" i="3"/>
  <c r="K220" i="3"/>
  <c r="L252" i="3"/>
  <c r="K252" i="3"/>
  <c r="L260" i="3"/>
  <c r="L279" i="3"/>
  <c r="K279" i="3"/>
  <c r="K288" i="3"/>
  <c r="L288" i="3"/>
  <c r="L296" i="3"/>
  <c r="L313" i="3"/>
  <c r="L322" i="3"/>
  <c r="K322" i="3"/>
  <c r="K330" i="3"/>
  <c r="K334" i="3"/>
  <c r="L342" i="3"/>
  <c r="L350" i="3"/>
  <c r="L353" i="3"/>
  <c r="L361" i="3"/>
  <c r="L369" i="3"/>
  <c r="K369" i="3"/>
  <c r="L373" i="3"/>
  <c r="K377" i="3"/>
  <c r="L381" i="3"/>
  <c r="K381" i="3"/>
  <c r="K389" i="3"/>
  <c r="L397" i="3"/>
  <c r="L405" i="3"/>
  <c r="L413" i="3"/>
  <c r="K413" i="3"/>
  <c r="K421" i="3"/>
  <c r="K426" i="3"/>
  <c r="K436" i="3"/>
  <c r="K448" i="3"/>
  <c r="L448" i="3"/>
  <c r="L456" i="3"/>
  <c r="L463" i="3"/>
  <c r="L20" i="3"/>
  <c r="L55" i="3"/>
  <c r="L90" i="3"/>
  <c r="L93" i="3"/>
  <c r="K93" i="3"/>
  <c r="L109" i="3"/>
  <c r="K128" i="3"/>
  <c r="L128" i="3"/>
  <c r="L213" i="3"/>
  <c r="L229" i="3"/>
  <c r="L276" i="3"/>
  <c r="L311" i="3"/>
  <c r="L346" i="3"/>
  <c r="L349" i="3"/>
  <c r="K349" i="3"/>
  <c r="L365" i="3"/>
  <c r="K384" i="3"/>
  <c r="L384" i="3"/>
  <c r="L53" i="3"/>
  <c r="L69" i="3"/>
  <c r="L116" i="3"/>
  <c r="L151" i="3"/>
  <c r="L186" i="3"/>
  <c r="L189" i="3"/>
  <c r="K189" i="3"/>
  <c r="L205" i="3"/>
  <c r="K224" i="3"/>
  <c r="L224" i="3"/>
  <c r="L309" i="3"/>
  <c r="L325" i="3"/>
  <c r="L372" i="3"/>
  <c r="L407" i="3"/>
  <c r="L442" i="3"/>
  <c r="L445" i="3"/>
  <c r="K445" i="3"/>
  <c r="L461" i="3"/>
  <c r="L6" i="3"/>
  <c r="L12" i="3"/>
  <c r="L15" i="3"/>
  <c r="L41" i="3"/>
  <c r="K53" i="3"/>
  <c r="K69" i="3"/>
  <c r="L85" i="3"/>
  <c r="L88" i="3"/>
  <c r="L101" i="3"/>
  <c r="L104" i="3"/>
  <c r="K116" i="3"/>
  <c r="L148" i="3"/>
  <c r="K151" i="3"/>
  <c r="L183" i="3"/>
  <c r="K186" i="3"/>
  <c r="K205" i="3"/>
  <c r="L208" i="3"/>
  <c r="L218" i="3"/>
  <c r="L221" i="3"/>
  <c r="K221" i="3"/>
  <c r="L237" i="3"/>
  <c r="K256" i="3"/>
  <c r="L256" i="3"/>
  <c r="L262" i="3"/>
  <c r="L297" i="3"/>
  <c r="K309" i="3"/>
  <c r="K325" i="3"/>
  <c r="L341" i="3"/>
  <c r="L344" i="3"/>
  <c r="L357" i="3"/>
  <c r="L360" i="3"/>
  <c r="K372" i="3"/>
  <c r="L404" i="3"/>
  <c r="K407" i="3"/>
  <c r="L439" i="3"/>
  <c r="K442" i="3"/>
  <c r="K461" i="3"/>
  <c r="L464" i="3"/>
  <c r="AL16" i="12"/>
  <c r="AD16" i="12"/>
  <c r="V16" i="12"/>
  <c r="N16" i="12"/>
  <c r="F16" i="12"/>
  <c r="AK16" i="12"/>
  <c r="AC16" i="12"/>
  <c r="U16" i="12"/>
  <c r="M16" i="12"/>
  <c r="E16" i="12"/>
  <c r="AJ16" i="12"/>
  <c r="AB16" i="12"/>
  <c r="T16" i="12"/>
  <c r="L16" i="12"/>
  <c r="D16" i="12"/>
  <c r="AH16" i="12"/>
  <c r="Z16" i="12"/>
  <c r="R16" i="12"/>
  <c r="J16" i="12"/>
  <c r="C16" i="12"/>
  <c r="S16" i="12"/>
  <c r="AI16" i="12"/>
  <c r="L26" i="12"/>
  <c r="AE26" i="12"/>
  <c r="L36" i="12"/>
  <c r="AD36" i="12"/>
  <c r="G16" i="12"/>
  <c r="W16" i="12"/>
  <c r="O26" i="12"/>
  <c r="AG26" i="12"/>
  <c r="M36" i="12"/>
  <c r="AE36" i="12"/>
  <c r="AH46" i="12"/>
  <c r="Z46" i="12"/>
  <c r="R46" i="12"/>
  <c r="J46" i="12"/>
  <c r="C46" i="12"/>
  <c r="AG46" i="12"/>
  <c r="Y46" i="12"/>
  <c r="Q46" i="12"/>
  <c r="I46" i="12"/>
  <c r="AJ46" i="12"/>
  <c r="AB46" i="12"/>
  <c r="T46" i="12"/>
  <c r="L46" i="12"/>
  <c r="D46" i="12"/>
  <c r="AL46" i="12"/>
  <c r="X46" i="12"/>
  <c r="M46" i="12"/>
  <c r="AK46" i="12"/>
  <c r="W46" i="12"/>
  <c r="K46" i="12"/>
  <c r="AI46" i="12"/>
  <c r="V46" i="12"/>
  <c r="H46" i="12"/>
  <c r="AE46" i="12"/>
  <c r="S46" i="12"/>
  <c r="F46" i="12"/>
  <c r="AC46" i="12"/>
  <c r="I16" i="12"/>
  <c r="Y16" i="12"/>
  <c r="C26" i="12"/>
  <c r="P36" i="12"/>
  <c r="G46" i="12"/>
  <c r="AF46" i="12"/>
  <c r="AL26" i="12"/>
  <c r="AD26" i="12"/>
  <c r="V26" i="12"/>
  <c r="N26" i="12"/>
  <c r="F26" i="12"/>
  <c r="AJ26" i="12"/>
  <c r="AA26" i="12"/>
  <c r="R26" i="12"/>
  <c r="I26" i="12"/>
  <c r="AI26" i="12"/>
  <c r="Z26" i="12"/>
  <c r="Q26" i="12"/>
  <c r="H26" i="12"/>
  <c r="AH26" i="12"/>
  <c r="Y26" i="12"/>
  <c r="P26" i="12"/>
  <c r="G26" i="12"/>
  <c r="AF26" i="12"/>
  <c r="W26" i="12"/>
  <c r="M26" i="12"/>
  <c r="D26" i="12"/>
  <c r="U26" i="12"/>
  <c r="AG36" i="12"/>
  <c r="Y36" i="12"/>
  <c r="Q36" i="12"/>
  <c r="I36" i="12"/>
  <c r="AL36" i="12"/>
  <c r="AC36" i="12"/>
  <c r="T36" i="12"/>
  <c r="K36" i="12"/>
  <c r="C36" i="12"/>
  <c r="AK36" i="12"/>
  <c r="AB36" i="12"/>
  <c r="S36" i="12"/>
  <c r="J36" i="12"/>
  <c r="AJ36" i="12"/>
  <c r="AA36" i="12"/>
  <c r="R36" i="12"/>
  <c r="H36" i="12"/>
  <c r="AH36" i="12"/>
  <c r="X36" i="12"/>
  <c r="O36" i="12"/>
  <c r="F36" i="12"/>
  <c r="U36" i="12"/>
  <c r="O16" i="12"/>
  <c r="AE16" i="12"/>
  <c r="E26" i="12"/>
  <c r="X26" i="12"/>
  <c r="D36" i="12"/>
  <c r="V36" i="12"/>
  <c r="O46" i="12"/>
  <c r="P16" i="12"/>
  <c r="AF16" i="12"/>
  <c r="J26" i="12"/>
  <c r="AB26" i="12"/>
  <c r="E36" i="12"/>
  <c r="W36" i="12"/>
  <c r="P46" i="12"/>
  <c r="Q16" i="12"/>
  <c r="AG16" i="12"/>
  <c r="K26" i="12"/>
  <c r="AC26" i="12"/>
  <c r="G36" i="12"/>
  <c r="Z36" i="12"/>
  <c r="U46" i="12"/>
  <c r="AJ56" i="12"/>
  <c r="AB56" i="12"/>
  <c r="T56" i="12"/>
  <c r="L56" i="12"/>
  <c r="D56" i="12"/>
  <c r="AG56" i="12"/>
  <c r="Y56" i="12"/>
  <c r="Q56" i="12"/>
  <c r="AK56" i="12"/>
  <c r="Z56" i="12"/>
  <c r="O56" i="12"/>
  <c r="F56" i="12"/>
  <c r="AI56" i="12"/>
  <c r="X56" i="12"/>
  <c r="N56" i="12"/>
  <c r="E56" i="12"/>
  <c r="AE56" i="12"/>
  <c r="U56" i="12"/>
  <c r="J56" i="12"/>
  <c r="AC56" i="12"/>
  <c r="R56" i="12"/>
  <c r="H56" i="12"/>
  <c r="W56" i="12"/>
  <c r="AF66" i="12"/>
  <c r="X66" i="12"/>
  <c r="P66" i="12"/>
  <c r="H66" i="12"/>
  <c r="AE66" i="12"/>
  <c r="W66" i="12"/>
  <c r="O66" i="12"/>
  <c r="G66" i="12"/>
  <c r="AL66" i="12"/>
  <c r="AD66" i="12"/>
  <c r="V66" i="12"/>
  <c r="N66" i="12"/>
  <c r="F66" i="12"/>
  <c r="AK66" i="12"/>
  <c r="AC66" i="12"/>
  <c r="U66" i="12"/>
  <c r="M66" i="12"/>
  <c r="E66" i="12"/>
  <c r="AJ66" i="12"/>
  <c r="AB66" i="12"/>
  <c r="T66" i="12"/>
  <c r="L66" i="12"/>
  <c r="D66" i="12"/>
  <c r="AH66" i="12"/>
  <c r="Z66" i="12"/>
  <c r="R66" i="12"/>
  <c r="J66" i="12"/>
  <c r="C66" i="12"/>
  <c r="K66" i="12"/>
  <c r="I66" i="12"/>
  <c r="AA66" i="12"/>
  <c r="S66" i="12"/>
  <c r="G56" i="12"/>
  <c r="AA56" i="12"/>
  <c r="Q66" i="12"/>
  <c r="I56" i="12"/>
  <c r="AD56" i="12"/>
  <c r="Y66" i="12"/>
  <c r="G76" i="12"/>
  <c r="O76" i="12"/>
  <c r="W76" i="12"/>
  <c r="AE76" i="12"/>
  <c r="C86" i="12"/>
  <c r="J86" i="12"/>
  <c r="R86" i="12"/>
  <c r="Z86" i="12"/>
  <c r="AH86" i="12"/>
  <c r="K86" i="12"/>
  <c r="S86" i="12"/>
  <c r="AA86" i="12"/>
  <c r="AI86" i="12"/>
  <c r="I76" i="12"/>
  <c r="Q76" i="12"/>
  <c r="Y76" i="12"/>
  <c r="AG76" i="12"/>
  <c r="D86" i="12"/>
  <c r="L86" i="12"/>
  <c r="T86" i="12"/>
  <c r="AB86" i="12"/>
  <c r="AJ86" i="12"/>
  <c r="C76" i="12"/>
  <c r="J76" i="12"/>
  <c r="R76" i="12"/>
  <c r="Z76" i="12"/>
  <c r="AH76" i="12"/>
  <c r="E86" i="12"/>
  <c r="M86" i="12"/>
  <c r="U86" i="12"/>
  <c r="AC86" i="12"/>
  <c r="AK86" i="12"/>
  <c r="AF116" i="12"/>
  <c r="X116" i="12"/>
  <c r="P116" i="12"/>
  <c r="H116" i="12"/>
  <c r="AG116" i="12"/>
  <c r="W116" i="12"/>
  <c r="N116" i="12"/>
  <c r="E116" i="12"/>
  <c r="AE116" i="12"/>
  <c r="V116" i="12"/>
  <c r="M116" i="12"/>
  <c r="D116" i="12"/>
  <c r="AI116" i="12"/>
  <c r="Z116" i="12"/>
  <c r="Q116" i="12"/>
  <c r="G116" i="12"/>
  <c r="AH116" i="12"/>
  <c r="Y116" i="12"/>
  <c r="O116" i="12"/>
  <c r="F116" i="12"/>
  <c r="U116" i="12"/>
  <c r="K76" i="12"/>
  <c r="S76" i="12"/>
  <c r="AA76" i="12"/>
  <c r="F86" i="12"/>
  <c r="N86" i="12"/>
  <c r="V86" i="12"/>
  <c r="AD86" i="12"/>
  <c r="AL96" i="12"/>
  <c r="AD96" i="12"/>
  <c r="V96" i="12"/>
  <c r="N96" i="12"/>
  <c r="F96" i="12"/>
  <c r="AK96" i="12"/>
  <c r="AC96" i="12"/>
  <c r="U96" i="12"/>
  <c r="M96" i="12"/>
  <c r="E96" i="12"/>
  <c r="AE96" i="12"/>
  <c r="W96" i="12"/>
  <c r="O96" i="12"/>
  <c r="G96" i="12"/>
  <c r="Q96" i="12"/>
  <c r="AB96" i="12"/>
  <c r="I116" i="12"/>
  <c r="AA116" i="12"/>
  <c r="C106" i="12"/>
  <c r="J106" i="12"/>
  <c r="R106" i="12"/>
  <c r="Z106" i="12"/>
  <c r="AH106" i="12"/>
  <c r="AL16" i="13"/>
  <c r="AD16" i="13"/>
  <c r="V16" i="13"/>
  <c r="N16" i="13"/>
  <c r="F16" i="13"/>
  <c r="AC16" i="13"/>
  <c r="T16" i="13"/>
  <c r="K16" i="13"/>
  <c r="C16" i="13"/>
  <c r="AK16" i="13"/>
  <c r="AB16" i="13"/>
  <c r="S16" i="13"/>
  <c r="J16" i="13"/>
  <c r="AF16" i="13"/>
  <c r="W16" i="13"/>
  <c r="M16" i="13"/>
  <c r="D16" i="13"/>
  <c r="AJ16" i="13"/>
  <c r="X16" i="13"/>
  <c r="H16" i="13"/>
  <c r="AH16" i="13"/>
  <c r="R16" i="13"/>
  <c r="E16" i="13"/>
  <c r="U16" i="13"/>
  <c r="Q16" i="13"/>
  <c r="AI16" i="13"/>
  <c r="P16" i="13"/>
  <c r="AG16" i="13"/>
  <c r="O16" i="13"/>
  <c r="K106" i="12"/>
  <c r="S106" i="12"/>
  <c r="AA106" i="12"/>
  <c r="AI106" i="12"/>
  <c r="G16" i="13"/>
  <c r="AF46" i="13"/>
  <c r="AF48" i="13" s="1"/>
  <c r="X46" i="13"/>
  <c r="X48" i="13" s="1"/>
  <c r="P46" i="13"/>
  <c r="P48" i="13" s="1"/>
  <c r="H46" i="13"/>
  <c r="H48" i="13" s="1"/>
  <c r="AE46" i="13"/>
  <c r="AE48" i="13" s="1"/>
  <c r="W46" i="13"/>
  <c r="W48" i="13" s="1"/>
  <c r="O46" i="13"/>
  <c r="O48" i="13" s="1"/>
  <c r="G46" i="13"/>
  <c r="AL46" i="13"/>
  <c r="AL48" i="13" s="1"/>
  <c r="AD46" i="13"/>
  <c r="AD48" i="13" s="1"/>
  <c r="V46" i="13"/>
  <c r="V48" i="13" s="1"/>
  <c r="N46" i="13"/>
  <c r="N48" i="13" s="1"/>
  <c r="F46" i="13"/>
  <c r="AH46" i="13"/>
  <c r="AH48" i="13" s="1"/>
  <c r="T46" i="13"/>
  <c r="T48" i="13" s="1"/>
  <c r="I46" i="13"/>
  <c r="I48" i="13" s="1"/>
  <c r="AG46" i="13"/>
  <c r="AG48" i="13" s="1"/>
  <c r="S46" i="13"/>
  <c r="S48" i="13" s="1"/>
  <c r="E46" i="13"/>
  <c r="AJ46" i="13"/>
  <c r="AJ48" i="13" s="1"/>
  <c r="Y46" i="13"/>
  <c r="Y48" i="13" s="1"/>
  <c r="K46" i="13"/>
  <c r="K48" i="13" s="1"/>
  <c r="AI46" i="13"/>
  <c r="AI48" i="13" s="1"/>
  <c r="U46" i="13"/>
  <c r="U48" i="13" s="1"/>
  <c r="J46" i="13"/>
  <c r="J48" i="13" s="1"/>
  <c r="AA46" i="13"/>
  <c r="AA48" i="13" s="1"/>
  <c r="C46" i="13"/>
  <c r="C48" i="13" s="1"/>
  <c r="Z46" i="13"/>
  <c r="Z48" i="13" s="1"/>
  <c r="R46" i="13"/>
  <c r="R48" i="13" s="1"/>
  <c r="M46" i="13"/>
  <c r="M48" i="13" s="1"/>
  <c r="AC46" i="13"/>
  <c r="AC48" i="13" s="1"/>
  <c r="D46" i="13"/>
  <c r="AK46" i="13"/>
  <c r="AK48" i="13" s="1"/>
  <c r="AB46" i="13"/>
  <c r="AB48" i="13" s="1"/>
  <c r="Q46" i="13"/>
  <c r="Q48" i="13" s="1"/>
  <c r="H106" i="12"/>
  <c r="P106" i="12"/>
  <c r="X106" i="12"/>
  <c r="AF106" i="12"/>
  <c r="AF126" i="12"/>
  <c r="X126" i="12"/>
  <c r="P126" i="12"/>
  <c r="H126" i="12"/>
  <c r="AK126" i="12"/>
  <c r="AB126" i="12"/>
  <c r="S126" i="12"/>
  <c r="J126" i="12"/>
  <c r="AI126" i="12"/>
  <c r="Z126" i="12"/>
  <c r="Q126" i="12"/>
  <c r="G126" i="12"/>
  <c r="N126" i="12"/>
  <c r="AA126" i="12"/>
  <c r="AG156" i="12"/>
  <c r="Y156" i="12"/>
  <c r="Q156" i="12"/>
  <c r="I156" i="12"/>
  <c r="AJ156" i="12"/>
  <c r="AA156" i="12"/>
  <c r="R156" i="12"/>
  <c r="H156" i="12"/>
  <c r="AE156" i="12"/>
  <c r="U156" i="12"/>
  <c r="K156" i="12"/>
  <c r="AD156" i="12"/>
  <c r="T156" i="12"/>
  <c r="J156" i="12"/>
  <c r="AC156" i="12"/>
  <c r="S156" i="12"/>
  <c r="G156" i="12"/>
  <c r="AL156" i="12"/>
  <c r="AB156" i="12"/>
  <c r="P156" i="12"/>
  <c r="F156" i="12"/>
  <c r="W156" i="12"/>
  <c r="AA16" i="13"/>
  <c r="L46" i="13"/>
  <c r="L48" i="13" s="1"/>
  <c r="I106" i="12"/>
  <c r="Q106" i="12"/>
  <c r="Y106" i="12"/>
  <c r="D126" i="12"/>
  <c r="O126" i="12"/>
  <c r="AC126" i="12"/>
  <c r="D156" i="12"/>
  <c r="X156" i="12"/>
  <c r="AE16" i="13"/>
  <c r="AL146" i="12"/>
  <c r="AD146" i="12"/>
  <c r="V146" i="12"/>
  <c r="N146" i="12"/>
  <c r="F146" i="12"/>
  <c r="L146" i="12"/>
  <c r="U146" i="12"/>
  <c r="AE146" i="12"/>
  <c r="C22" i="15"/>
  <c r="J146" i="8" s="1"/>
  <c r="C24" i="15"/>
  <c r="J148" i="8" s="1"/>
  <c r="C23" i="15"/>
  <c r="J147" i="8" s="1"/>
  <c r="C26" i="15"/>
  <c r="J150" i="8" s="1"/>
  <c r="C25" i="15"/>
  <c r="J149" i="8" s="1"/>
  <c r="AH66" i="13"/>
  <c r="Z66" i="13"/>
  <c r="R66" i="13"/>
  <c r="J66" i="13"/>
  <c r="C66" i="13"/>
  <c r="AG66" i="13"/>
  <c r="Y66" i="13"/>
  <c r="Q66" i="13"/>
  <c r="I66" i="13"/>
  <c r="AF66" i="13"/>
  <c r="X66" i="13"/>
  <c r="P66" i="13"/>
  <c r="H66" i="13"/>
  <c r="AK66" i="13"/>
  <c r="W66" i="13"/>
  <c r="L66" i="13"/>
  <c r="AJ66" i="13"/>
  <c r="V66" i="13"/>
  <c r="K66" i="13"/>
  <c r="AI66" i="13"/>
  <c r="U66" i="13"/>
  <c r="G66" i="13"/>
  <c r="AD66" i="13"/>
  <c r="M66" i="13"/>
  <c r="AC66" i="13"/>
  <c r="F66" i="13"/>
  <c r="AB66" i="13"/>
  <c r="E66" i="13"/>
  <c r="AL66" i="13"/>
  <c r="O66" i="13"/>
  <c r="AE66" i="13"/>
  <c r="N66" i="13"/>
  <c r="C5" i="15"/>
  <c r="J5" i="8" s="1"/>
  <c r="C2" i="15"/>
  <c r="J2" i="8" s="1"/>
  <c r="K2" i="8" s="1"/>
  <c r="F3" i="8" s="1"/>
  <c r="C3" i="15"/>
  <c r="J3" i="8" s="1"/>
  <c r="C11" i="15"/>
  <c r="J42" i="8" s="1"/>
  <c r="C6" i="10" s="1"/>
  <c r="C10" i="15"/>
  <c r="J41" i="8" s="1"/>
  <c r="C5" i="10" s="1"/>
  <c r="C9" i="15"/>
  <c r="J40" i="8" s="1"/>
  <c r="C4" i="10" s="1"/>
  <c r="C8" i="15"/>
  <c r="J39" i="8" s="1"/>
  <c r="C3" i="10" s="1"/>
  <c r="C7" i="15"/>
  <c r="J38" i="8" s="1"/>
  <c r="C16" i="15"/>
  <c r="J78" i="8" s="1"/>
  <c r="C21" i="15"/>
  <c r="J114" i="8" s="1"/>
  <c r="E6" i="10" s="1"/>
  <c r="C19" i="15"/>
  <c r="J112" i="8" s="1"/>
  <c r="E4" i="10" s="1"/>
  <c r="C18" i="15"/>
  <c r="J111" i="8" s="1"/>
  <c r="E3" i="10" s="1"/>
  <c r="C17" i="15"/>
  <c r="J110" i="8" s="1"/>
  <c r="E2" i="10" s="1"/>
  <c r="C20" i="15"/>
  <c r="J113" i="8" s="1"/>
  <c r="E5" i="10" s="1"/>
  <c r="C27" i="15"/>
  <c r="J182" i="8" s="1"/>
  <c r="C29" i="15"/>
  <c r="J184" i="8" s="1"/>
  <c r="G4" i="10" s="1"/>
  <c r="C28" i="15"/>
  <c r="J183" i="8" s="1"/>
  <c r="G3" i="10" s="1"/>
  <c r="AG26" i="13"/>
  <c r="Y26" i="13"/>
  <c r="Q26" i="13"/>
  <c r="I26" i="13"/>
  <c r="L26" i="13"/>
  <c r="U26" i="13"/>
  <c r="AD26" i="13"/>
  <c r="AK106" i="13"/>
  <c r="AC106" i="13"/>
  <c r="U106" i="13"/>
  <c r="M106" i="13"/>
  <c r="E106" i="13"/>
  <c r="AJ106" i="13"/>
  <c r="AB106" i="13"/>
  <c r="T106" i="13"/>
  <c r="L106" i="13"/>
  <c r="D106" i="13"/>
  <c r="AH106" i="13"/>
  <c r="X106" i="13"/>
  <c r="N106" i="13"/>
  <c r="C106" i="13"/>
  <c r="AG106" i="13"/>
  <c r="W106" i="13"/>
  <c r="K106" i="13"/>
  <c r="AF106" i="13"/>
  <c r="V106" i="13"/>
  <c r="J106" i="13"/>
  <c r="AI106" i="13"/>
  <c r="Q106" i="13"/>
  <c r="AE106" i="13"/>
  <c r="P106" i="13"/>
  <c r="AD106" i="13"/>
  <c r="O106" i="13"/>
  <c r="R106" i="13"/>
  <c r="I106" i="13"/>
  <c r="H106" i="13"/>
  <c r="K36" i="13"/>
  <c r="S36" i="13"/>
  <c r="AA36" i="13"/>
  <c r="AI36" i="13"/>
  <c r="K136" i="12"/>
  <c r="S136" i="12"/>
  <c r="AA136" i="12"/>
  <c r="D36" i="13"/>
  <c r="L36" i="13"/>
  <c r="T36" i="13"/>
  <c r="AB36" i="13"/>
  <c r="AE56" i="13"/>
  <c r="W56" i="13"/>
  <c r="O56" i="13"/>
  <c r="G56" i="13"/>
  <c r="AL56" i="13"/>
  <c r="AD56" i="13"/>
  <c r="V56" i="13"/>
  <c r="N56" i="13"/>
  <c r="F56" i="13"/>
  <c r="AK56" i="13"/>
  <c r="AC56" i="13"/>
  <c r="U56" i="13"/>
  <c r="M56" i="13"/>
  <c r="E56" i="13"/>
  <c r="Q56" i="13"/>
  <c r="AB56" i="13"/>
  <c r="AL96" i="13"/>
  <c r="AD96" i="13"/>
  <c r="V96" i="13"/>
  <c r="N96" i="13"/>
  <c r="F96" i="13"/>
  <c r="AK96" i="13"/>
  <c r="AC96" i="13"/>
  <c r="U96" i="13"/>
  <c r="M96" i="13"/>
  <c r="E96" i="13"/>
  <c r="AJ96" i="13"/>
  <c r="AB96" i="13"/>
  <c r="T96" i="13"/>
  <c r="L96" i="13"/>
  <c r="D96" i="13"/>
  <c r="Z96" i="13"/>
  <c r="O96" i="13"/>
  <c r="Y96" i="13"/>
  <c r="K96" i="13"/>
  <c r="AI96" i="13"/>
  <c r="X96" i="13"/>
  <c r="J96" i="13"/>
  <c r="W96" i="13"/>
  <c r="AF76" i="13"/>
  <c r="X76" i="13"/>
  <c r="P76" i="13"/>
  <c r="H76" i="13"/>
  <c r="AE76" i="13"/>
  <c r="W76" i="13"/>
  <c r="O76" i="13"/>
  <c r="G76" i="13"/>
  <c r="AL76" i="13"/>
  <c r="AD76" i="13"/>
  <c r="V76" i="13"/>
  <c r="N76" i="13"/>
  <c r="F76" i="13"/>
  <c r="Q76" i="13"/>
  <c r="AB76" i="13"/>
  <c r="D76" i="13"/>
  <c r="R76" i="13"/>
  <c r="AC76" i="13"/>
  <c r="AF116" i="13"/>
  <c r="X116" i="13"/>
  <c r="P116" i="13"/>
  <c r="H116" i="13"/>
  <c r="AE116" i="13"/>
  <c r="W116" i="13"/>
  <c r="O116" i="13"/>
  <c r="G116" i="13"/>
  <c r="AK116" i="13"/>
  <c r="AA116" i="13"/>
  <c r="Q116" i="13"/>
  <c r="E116" i="13"/>
  <c r="AJ116" i="13"/>
  <c r="Z116" i="13"/>
  <c r="N116" i="13"/>
  <c r="D116" i="13"/>
  <c r="AC116" i="13"/>
  <c r="S116" i="13"/>
  <c r="I116" i="13"/>
  <c r="U116" i="13"/>
  <c r="AL116" i="13"/>
  <c r="C86" i="13"/>
  <c r="J86" i="13"/>
  <c r="R86" i="13"/>
  <c r="Z86" i="13"/>
  <c r="AH86" i="13"/>
  <c r="F116" i="13"/>
  <c r="V116" i="13"/>
  <c r="K86" i="13"/>
  <c r="S86" i="13"/>
  <c r="AA86" i="13"/>
  <c r="J116" i="13"/>
  <c r="Y116" i="13"/>
  <c r="AJ126" i="13"/>
  <c r="AB126" i="13"/>
  <c r="T126" i="13"/>
  <c r="L126" i="13"/>
  <c r="D126" i="13"/>
  <c r="AH126" i="13"/>
  <c r="Y126" i="13"/>
  <c r="P126" i="13"/>
  <c r="G126" i="13"/>
  <c r="AG126" i="13"/>
  <c r="X126" i="13"/>
  <c r="O126" i="13"/>
  <c r="F126" i="13"/>
  <c r="AF126" i="13"/>
  <c r="W126" i="13"/>
  <c r="N126" i="13"/>
  <c r="E126" i="13"/>
  <c r="S126" i="13"/>
  <c r="AI126" i="13"/>
  <c r="N15" i="21"/>
  <c r="N17" i="21"/>
  <c r="N16" i="21"/>
  <c r="C14" i="15"/>
  <c r="J76" i="8" s="1"/>
  <c r="C15" i="15"/>
  <c r="J77" i="8" s="1"/>
  <c r="C13" i="15"/>
  <c r="J75" i="8" s="1"/>
  <c r="C12" i="15"/>
  <c r="J74" i="8" s="1"/>
  <c r="K74" i="8" s="1"/>
  <c r="F75" i="8" s="1"/>
  <c r="C4" i="28"/>
  <c r="AF136" i="13"/>
  <c r="X136" i="13"/>
  <c r="P136" i="13"/>
  <c r="H136" i="13"/>
  <c r="AE136" i="13"/>
  <c r="W136" i="13"/>
  <c r="O136" i="13"/>
  <c r="G136" i="13"/>
  <c r="M136" i="13"/>
  <c r="Y136" i="13"/>
  <c r="AI136" i="13"/>
  <c r="C146" i="13"/>
  <c r="N146" i="13"/>
  <c r="K5" i="21"/>
  <c r="L5" i="21" s="1"/>
  <c r="M4" i="21"/>
  <c r="AE146" i="13"/>
  <c r="W146" i="13"/>
  <c r="O146" i="13"/>
  <c r="G146" i="13"/>
  <c r="AI146" i="13"/>
  <c r="Z146" i="13"/>
  <c r="Q146" i="13"/>
  <c r="H146" i="13"/>
  <c r="AL146" i="13"/>
  <c r="AB146" i="13"/>
  <c r="R146" i="13"/>
  <c r="F146" i="13"/>
  <c r="AK146" i="13"/>
  <c r="AA146" i="13"/>
  <c r="P146" i="13"/>
  <c r="E146" i="13"/>
  <c r="S146" i="13"/>
  <c r="AF146" i="13"/>
  <c r="C30" i="15"/>
  <c r="J185" i="8" s="1"/>
  <c r="G5" i="10" s="1"/>
  <c r="C31" i="15"/>
  <c r="J186" i="8" s="1"/>
  <c r="G6" i="10" s="1"/>
  <c r="L156" i="13"/>
  <c r="V156" i="13"/>
  <c r="AH156" i="13"/>
  <c r="Z156" i="13"/>
  <c r="R156" i="13"/>
  <c r="J156" i="13"/>
  <c r="C156" i="13"/>
  <c r="AK156" i="13"/>
  <c r="AB156" i="13"/>
  <c r="S156" i="13"/>
  <c r="I156" i="13"/>
  <c r="M156" i="13"/>
  <c r="W156" i="13"/>
  <c r="AG156" i="13"/>
  <c r="C6" i="15"/>
  <c r="J6" i="8" s="1"/>
  <c r="C5" i="28"/>
  <c r="C4" i="15"/>
  <c r="J4" i="8" s="1"/>
  <c r="C6" i="28"/>
  <c r="A2" i="4" l="1" a="1"/>
  <c r="D171" i="4" s="1"/>
  <c r="D48" i="13"/>
  <c r="R3" i="8"/>
  <c r="M3" i="8"/>
  <c r="L3" i="8"/>
  <c r="K3" i="8"/>
  <c r="F4" i="8" s="1"/>
  <c r="M75" i="8"/>
  <c r="L75" i="8"/>
  <c r="K75" i="8"/>
  <c r="F76" i="8" s="1"/>
  <c r="R75" i="8"/>
  <c r="B6" i="10"/>
  <c r="P42" i="8"/>
  <c r="Q42" i="8" s="1"/>
  <c r="N42" i="8"/>
  <c r="N6" i="8"/>
  <c r="C2" i="10"/>
  <c r="M38" i="8"/>
  <c r="R38" i="8"/>
  <c r="L38" i="8"/>
  <c r="K38" i="8"/>
  <c r="F39" i="8" s="1"/>
  <c r="F5" i="10"/>
  <c r="N149" i="8"/>
  <c r="P185" i="8"/>
  <c r="Q185" i="8" s="1"/>
  <c r="N185" i="8"/>
  <c r="E48" i="13"/>
  <c r="M110" i="8"/>
  <c r="H34" i="7"/>
  <c r="B4" i="10"/>
  <c r="P40" i="8"/>
  <c r="Q40" i="8" s="1"/>
  <c r="N4" i="8"/>
  <c r="N40" i="8"/>
  <c r="G2" i="10"/>
  <c r="R182" i="8"/>
  <c r="M182" i="8"/>
  <c r="L182" i="8"/>
  <c r="F6" i="10"/>
  <c r="P186" i="8"/>
  <c r="Q186" i="8" s="1"/>
  <c r="N186" i="8"/>
  <c r="N150" i="8"/>
  <c r="L110" i="8"/>
  <c r="R110" i="8"/>
  <c r="F3" i="10"/>
  <c r="P183" i="8"/>
  <c r="Q183" i="8" s="1"/>
  <c r="N183" i="8"/>
  <c r="N147" i="8"/>
  <c r="H104" i="8"/>
  <c r="O15" i="21"/>
  <c r="O17" i="21"/>
  <c r="O16" i="21"/>
  <c r="D2" i="10"/>
  <c r="P110" i="8"/>
  <c r="Q110" i="8" s="1"/>
  <c r="R74" i="8"/>
  <c r="N110" i="8"/>
  <c r="N74" i="8"/>
  <c r="M74" i="8"/>
  <c r="F4" i="10"/>
  <c r="N184" i="8"/>
  <c r="P184" i="8"/>
  <c r="Q184" i="8" s="1"/>
  <c r="N148" i="8"/>
  <c r="G48" i="13"/>
  <c r="K110" i="8"/>
  <c r="F111" i="8" s="1"/>
  <c r="F2" i="10"/>
  <c r="P182" i="8"/>
  <c r="Q182" i="8" s="1"/>
  <c r="N182" i="8"/>
  <c r="K146" i="8"/>
  <c r="F147" i="8" s="1"/>
  <c r="R146" i="8"/>
  <c r="N146" i="8"/>
  <c r="L146" i="8"/>
  <c r="K182" i="8"/>
  <c r="F183" i="8" s="1"/>
  <c r="L74" i="8"/>
  <c r="D3" i="10"/>
  <c r="N111" i="8"/>
  <c r="N75" i="8"/>
  <c r="P111" i="8"/>
  <c r="Q111" i="8" s="1"/>
  <c r="D5" i="10"/>
  <c r="P113" i="8"/>
  <c r="Q113" i="8" s="1"/>
  <c r="N113" i="8"/>
  <c r="N77" i="8"/>
  <c r="B3" i="10"/>
  <c r="N3" i="8"/>
  <c r="P39" i="8"/>
  <c r="Q39" i="8" s="1"/>
  <c r="N39" i="8"/>
  <c r="M146" i="8"/>
  <c r="K6" i="21"/>
  <c r="L6" i="21" s="1"/>
  <c r="M5" i="21"/>
  <c r="D4" i="10"/>
  <c r="N76" i="8"/>
  <c r="P112" i="8"/>
  <c r="Q112" i="8" s="1"/>
  <c r="N112" i="8"/>
  <c r="B2" i="10"/>
  <c r="N2" i="8"/>
  <c r="P38" i="8"/>
  <c r="Q38" i="8" s="1"/>
  <c r="N38" i="8"/>
  <c r="R2" i="8"/>
  <c r="M2" i="8"/>
  <c r="L2" i="8"/>
  <c r="F48" i="13"/>
  <c r="H178" i="8"/>
  <c r="H34" i="8"/>
  <c r="H106" i="7"/>
  <c r="D6" i="10"/>
  <c r="N114" i="8"/>
  <c r="N78" i="8"/>
  <c r="P114" i="8"/>
  <c r="Q114" i="8" s="1"/>
  <c r="B5" i="10"/>
  <c r="N41" i="8"/>
  <c r="P41" i="8"/>
  <c r="Q41" i="8" s="1"/>
  <c r="N5" i="8"/>
  <c r="H178" i="7"/>
  <c r="D88" i="4" l="1"/>
  <c r="A38" i="4"/>
  <c r="A141" i="4"/>
  <c r="A90" i="4"/>
  <c r="C32" i="4"/>
  <c r="B157" i="4"/>
  <c r="A89" i="4"/>
  <c r="B34" i="4"/>
  <c r="C146" i="4"/>
  <c r="D100" i="4"/>
  <c r="A37" i="4"/>
  <c r="A85" i="4"/>
  <c r="C27" i="4"/>
  <c r="C151" i="4"/>
  <c r="C95" i="4"/>
  <c r="C157" i="4"/>
  <c r="A39" i="4"/>
  <c r="A154" i="4"/>
  <c r="A102" i="4"/>
  <c r="C164" i="4"/>
  <c r="C43" i="4"/>
  <c r="A81" i="4"/>
  <c r="A32" i="4"/>
  <c r="A93" i="4"/>
  <c r="B155" i="4"/>
  <c r="D36" i="4"/>
  <c r="C98" i="4"/>
  <c r="B151" i="4"/>
  <c r="C41" i="4"/>
  <c r="A99" i="4"/>
  <c r="A157" i="4"/>
  <c r="A46" i="4"/>
  <c r="A95" i="4"/>
  <c r="A162" i="4"/>
  <c r="A47" i="4"/>
  <c r="C100" i="4"/>
  <c r="B167" i="4"/>
  <c r="A43" i="4"/>
  <c r="A106" i="4"/>
  <c r="C167" i="4"/>
  <c r="C47" i="4"/>
  <c r="A111" i="4"/>
  <c r="C163" i="4"/>
  <c r="C52" i="4"/>
  <c r="B112" i="4"/>
  <c r="A169" i="4"/>
  <c r="B37" i="4"/>
  <c r="B66" i="4"/>
  <c r="B107" i="4"/>
  <c r="B146" i="4"/>
  <c r="B12" i="4"/>
  <c r="D48" i="4"/>
  <c r="C78" i="4"/>
  <c r="C120" i="4"/>
  <c r="B159" i="4"/>
  <c r="C20" i="4"/>
  <c r="A57" i="4"/>
  <c r="C87" i="4"/>
  <c r="C129" i="4"/>
  <c r="C168" i="4"/>
  <c r="D98" i="4"/>
  <c r="B135" i="4"/>
  <c r="B164" i="4"/>
  <c r="B26" i="4"/>
  <c r="A56" i="4"/>
  <c r="B83" i="4"/>
  <c r="B115" i="4"/>
  <c r="C140" i="4"/>
  <c r="C172" i="4"/>
  <c r="D25" i="4"/>
  <c r="D49" i="4"/>
  <c r="D77" i="4"/>
  <c r="D99" i="4"/>
  <c r="D127" i="4"/>
  <c r="D153" i="4"/>
  <c r="B43" i="4"/>
  <c r="C158" i="4"/>
  <c r="B48" i="4"/>
  <c r="C97" i="4"/>
  <c r="B32" i="4"/>
  <c r="C63" i="4"/>
  <c r="C104" i="4"/>
  <c r="A137" i="4"/>
  <c r="C9" i="4"/>
  <c r="C75" i="4"/>
  <c r="B117" i="4"/>
  <c r="B150" i="4"/>
  <c r="A18" i="4"/>
  <c r="A52" i="4"/>
  <c r="D84" i="4"/>
  <c r="C126" i="4"/>
  <c r="C159" i="4"/>
  <c r="B96" i="4"/>
  <c r="B130" i="4"/>
  <c r="C161" i="4"/>
  <c r="A24" i="4"/>
  <c r="A49" i="4"/>
  <c r="D110" i="4"/>
  <c r="B138" i="4"/>
  <c r="B170" i="4"/>
  <c r="D19" i="4"/>
  <c r="D47" i="4"/>
  <c r="D73" i="4"/>
  <c r="D97" i="4"/>
  <c r="D125" i="4"/>
  <c r="D147" i="4"/>
  <c r="D2" i="4"/>
  <c r="D44" i="4"/>
  <c r="A98" i="4"/>
  <c r="D164" i="4"/>
  <c r="D40" i="4"/>
  <c r="B103" i="4"/>
  <c r="A166" i="4"/>
  <c r="C45" i="4"/>
  <c r="A109" i="4"/>
  <c r="B161" i="4"/>
  <c r="B50" i="4"/>
  <c r="C109" i="4"/>
  <c r="C166" i="4"/>
  <c r="A55" i="4"/>
  <c r="A105" i="4"/>
  <c r="B172" i="4"/>
  <c r="B55" i="4"/>
  <c r="C110" i="4"/>
  <c r="A6" i="4"/>
  <c r="B52" i="4"/>
  <c r="A116" i="4"/>
  <c r="C6" i="4"/>
  <c r="C56" i="4"/>
  <c r="B121" i="4"/>
  <c r="C3" i="4"/>
  <c r="B40" i="4"/>
  <c r="C74" i="4"/>
  <c r="B110" i="4"/>
  <c r="B152" i="4"/>
  <c r="A15" i="4"/>
  <c r="C51" i="4"/>
  <c r="B87" i="4"/>
  <c r="B123" i="4"/>
  <c r="A165" i="4"/>
  <c r="A23" i="4"/>
  <c r="C59" i="4"/>
  <c r="D96" i="4"/>
  <c r="C132" i="4"/>
  <c r="D72" i="4"/>
  <c r="B101" i="4"/>
  <c r="A138" i="4"/>
  <c r="A172" i="4"/>
  <c r="C28" i="4"/>
  <c r="C60" i="4"/>
  <c r="C85" i="4"/>
  <c r="C117" i="4"/>
  <c r="B147" i="4"/>
  <c r="A2" i="4"/>
  <c r="D29" i="4"/>
  <c r="D51" i="4"/>
  <c r="D79" i="4"/>
  <c r="D105" i="4"/>
  <c r="D129" i="4"/>
  <c r="D157" i="4"/>
  <c r="D6" i="4"/>
  <c r="D52" i="4"/>
  <c r="A103" i="4"/>
  <c r="C169" i="4"/>
  <c r="B53" i="4"/>
  <c r="A108" i="4"/>
  <c r="A4" i="4"/>
  <c r="A50" i="4"/>
  <c r="C113" i="4"/>
  <c r="B4" i="4"/>
  <c r="D54" i="4"/>
  <c r="D118" i="4"/>
  <c r="C171" i="4"/>
  <c r="A59" i="4"/>
  <c r="B119" i="4"/>
  <c r="B5" i="4"/>
  <c r="A64" i="4"/>
  <c r="C115" i="4"/>
  <c r="C10" i="4"/>
  <c r="B64" i="4"/>
  <c r="A121" i="4"/>
  <c r="C14" i="4"/>
  <c r="D60" i="4"/>
  <c r="A126" i="4"/>
  <c r="B11" i="4"/>
  <c r="D42" i="4"/>
  <c r="B80" i="4"/>
  <c r="B113" i="4"/>
  <c r="A155" i="4"/>
  <c r="D22" i="4"/>
  <c r="B54" i="4"/>
  <c r="B93" i="4"/>
  <c r="B126" i="4"/>
  <c r="B168" i="4"/>
  <c r="A31" i="4"/>
  <c r="B62" i="4"/>
  <c r="D102" i="4"/>
  <c r="C135" i="4"/>
  <c r="B75" i="4"/>
  <c r="B109" i="4"/>
  <c r="D140" i="4"/>
  <c r="C5" i="4"/>
  <c r="D30" i="4"/>
  <c r="D62" i="4"/>
  <c r="C92" i="4"/>
  <c r="A120" i="4"/>
  <c r="A152" i="4"/>
  <c r="D3" i="4"/>
  <c r="D31" i="4"/>
  <c r="D57" i="4"/>
  <c r="D81" i="4"/>
  <c r="D109" i="4"/>
  <c r="D131" i="4"/>
  <c r="D159" i="4"/>
  <c r="A11" i="4"/>
  <c r="B57" i="4"/>
  <c r="D116" i="4"/>
  <c r="A3" i="4"/>
  <c r="C61" i="4"/>
  <c r="D112" i="4"/>
  <c r="B8" i="4"/>
  <c r="C62" i="4"/>
  <c r="C118" i="4"/>
  <c r="A13" i="4"/>
  <c r="D58" i="4"/>
  <c r="A124" i="4"/>
  <c r="B13" i="4"/>
  <c r="B63" i="4"/>
  <c r="D128" i="4"/>
  <c r="B9" i="4"/>
  <c r="B68" i="4"/>
  <c r="A130" i="4"/>
  <c r="B14" i="4"/>
  <c r="B73" i="4"/>
  <c r="C125" i="4"/>
  <c r="D18" i="4"/>
  <c r="C73" i="4"/>
  <c r="D130" i="4"/>
  <c r="C16" i="4"/>
  <c r="B45" i="4"/>
  <c r="C83" i="4"/>
  <c r="A122" i="4"/>
  <c r="A158" i="4"/>
  <c r="A28" i="4"/>
  <c r="D56" i="4"/>
  <c r="C96" i="4"/>
  <c r="A135" i="4"/>
  <c r="A171" i="4"/>
  <c r="E171" i="4" s="1"/>
  <c r="F171" i="4" s="1"/>
  <c r="B36" i="4"/>
  <c r="D64" i="4"/>
  <c r="C105" i="4"/>
  <c r="C144" i="4"/>
  <c r="A78" i="4"/>
  <c r="C114" i="4"/>
  <c r="B143" i="4"/>
  <c r="A8" i="4"/>
  <c r="C37" i="4"/>
  <c r="A65" i="4"/>
  <c r="A97" i="4"/>
  <c r="B122" i="4"/>
  <c r="B154" i="4"/>
  <c r="D9" i="4"/>
  <c r="D33" i="4"/>
  <c r="D61" i="4"/>
  <c r="D83" i="4"/>
  <c r="D111" i="4"/>
  <c r="E111" i="4" s="1"/>
  <c r="F111" i="4" s="1"/>
  <c r="D137" i="4"/>
  <c r="E137" i="4" s="1"/>
  <c r="F137" i="4" s="1"/>
  <c r="D161" i="4"/>
  <c r="C15" i="4"/>
  <c r="B61" i="4"/>
  <c r="A127" i="4"/>
  <c r="C7" i="4"/>
  <c r="A66" i="4"/>
  <c r="B127" i="4"/>
  <c r="A12" i="4"/>
  <c r="D70" i="4"/>
  <c r="A123" i="4"/>
  <c r="D16" i="4"/>
  <c r="A71" i="4"/>
  <c r="C128" i="4"/>
  <c r="B21" i="4"/>
  <c r="A68" i="4"/>
  <c r="A134" i="4"/>
  <c r="B22" i="4"/>
  <c r="B72" i="4"/>
  <c r="B139" i="4"/>
  <c r="C18" i="4"/>
  <c r="C77" i="4"/>
  <c r="C139" i="4"/>
  <c r="B23" i="4"/>
  <c r="D82" i="4"/>
  <c r="B136" i="4"/>
  <c r="A19" i="4"/>
  <c r="A53" i="4"/>
  <c r="C86" i="4"/>
  <c r="B128" i="4"/>
  <c r="D160" i="4"/>
  <c r="C30" i="4"/>
  <c r="C64" i="4"/>
  <c r="C99" i="4"/>
  <c r="B141" i="4"/>
  <c r="B2" i="4"/>
  <c r="D38" i="4"/>
  <c r="A73" i="4"/>
  <c r="D108" i="4"/>
  <c r="C150" i="4"/>
  <c r="C80" i="4"/>
  <c r="A117" i="4"/>
  <c r="A151" i="4"/>
  <c r="B10" i="4"/>
  <c r="B42" i="4"/>
  <c r="B67" i="4"/>
  <c r="B99" i="4"/>
  <c r="A129" i="4"/>
  <c r="C156" i="4"/>
  <c r="D13" i="4"/>
  <c r="D35" i="4"/>
  <c r="D63" i="4"/>
  <c r="D89" i="4"/>
  <c r="D113" i="4"/>
  <c r="D141" i="4"/>
  <c r="D163" i="4"/>
  <c r="C19" i="4"/>
  <c r="C65" i="4"/>
  <c r="C131" i="4"/>
  <c r="A20" i="4"/>
  <c r="C70" i="4"/>
  <c r="D136" i="4"/>
  <c r="B16" i="4"/>
  <c r="A75" i="4"/>
  <c r="B137" i="4"/>
  <c r="A21" i="4"/>
  <c r="D80" i="4"/>
  <c r="B133" i="4"/>
  <c r="A26" i="4"/>
  <c r="B81" i="4"/>
  <c r="A139" i="4"/>
  <c r="B30" i="4"/>
  <c r="A77" i="4"/>
  <c r="A144" i="4"/>
  <c r="B31" i="4"/>
  <c r="C82" i="4"/>
  <c r="B149" i="4"/>
  <c r="B27" i="4"/>
  <c r="B88" i="4"/>
  <c r="A150" i="4"/>
  <c r="A22" i="4"/>
  <c r="C58" i="4"/>
  <c r="B89" i="4"/>
  <c r="A131" i="4"/>
  <c r="A170" i="4"/>
  <c r="B33" i="4"/>
  <c r="A70" i="4"/>
  <c r="C102" i="4"/>
  <c r="B144" i="4"/>
  <c r="A10" i="4"/>
  <c r="B41" i="4"/>
  <c r="A79" i="4"/>
  <c r="C111" i="4"/>
  <c r="B153" i="4"/>
  <c r="C88" i="4"/>
  <c r="C119" i="4"/>
  <c r="B156" i="4"/>
  <c r="C12" i="4"/>
  <c r="C44" i="4"/>
  <c r="B74" i="4"/>
  <c r="C101" i="4"/>
  <c r="C133" i="4"/>
  <c r="D158" i="4"/>
  <c r="D15" i="4"/>
  <c r="D41" i="4"/>
  <c r="D65" i="4"/>
  <c r="D93" i="4"/>
  <c r="D115" i="4"/>
  <c r="D143" i="4"/>
  <c r="D169" i="4"/>
  <c r="C23" i="4"/>
  <c r="B79" i="4"/>
  <c r="C136" i="4"/>
  <c r="D28" i="4"/>
  <c r="E28" i="4" s="1"/>
  <c r="F28" i="4" s="1"/>
  <c r="D74" i="4"/>
  <c r="A142" i="4"/>
  <c r="A29" i="4"/>
  <c r="A80" i="4"/>
  <c r="D146" i="4"/>
  <c r="A25" i="4"/>
  <c r="B85" i="4"/>
  <c r="A148" i="4"/>
  <c r="A30" i="4"/>
  <c r="B91" i="4"/>
  <c r="C143" i="4"/>
  <c r="C34" i="4"/>
  <c r="C91" i="4"/>
  <c r="D148" i="4"/>
  <c r="B39" i="4"/>
  <c r="A87" i="4"/>
  <c r="C154" i="4"/>
  <c r="C39" i="4"/>
  <c r="D92" i="4"/>
  <c r="A160" i="4"/>
  <c r="C24" i="4"/>
  <c r="A61" i="4"/>
  <c r="B98" i="4"/>
  <c r="B134" i="4"/>
  <c r="A7" i="4"/>
  <c r="A36" i="4"/>
  <c r="C72" i="4"/>
  <c r="B111" i="4"/>
  <c r="A147" i="4"/>
  <c r="B15" i="4"/>
  <c r="A44" i="4"/>
  <c r="A82" i="4"/>
  <c r="D120" i="4"/>
  <c r="D156" i="4"/>
  <c r="C93" i="4"/>
  <c r="C122" i="4"/>
  <c r="A159" i="4"/>
  <c r="B19" i="4"/>
  <c r="D46" i="4"/>
  <c r="D78" i="4"/>
  <c r="A104" i="4"/>
  <c r="A136" i="4"/>
  <c r="C165" i="4"/>
  <c r="D17" i="4"/>
  <c r="D45" i="4"/>
  <c r="D67" i="4"/>
  <c r="D95" i="4"/>
  <c r="D121" i="4"/>
  <c r="D145" i="4"/>
  <c r="C36" i="4"/>
  <c r="B69" i="4"/>
  <c r="C107" i="4"/>
  <c r="C145" i="4"/>
  <c r="C11" i="4"/>
  <c r="A45" i="4"/>
  <c r="C79" i="4"/>
  <c r="B118" i="4"/>
  <c r="C155" i="4"/>
  <c r="D20" i="4"/>
  <c r="A54" i="4"/>
  <c r="C89" i="4"/>
  <c r="A128" i="4"/>
  <c r="B166" i="4"/>
  <c r="B29" i="4"/>
  <c r="A63" i="4"/>
  <c r="B100" i="4"/>
  <c r="C137" i="4"/>
  <c r="A5" i="4"/>
  <c r="B38" i="4"/>
  <c r="C71" i="4"/>
  <c r="A110" i="4"/>
  <c r="B148" i="4"/>
  <c r="C13" i="4"/>
  <c r="B47" i="4"/>
  <c r="B82" i="4"/>
  <c r="B120" i="4"/>
  <c r="B158" i="4"/>
  <c r="C22" i="4"/>
  <c r="B56" i="4"/>
  <c r="A92" i="4"/>
  <c r="C130" i="4"/>
  <c r="D168" i="4"/>
  <c r="C31" i="4"/>
  <c r="B65" i="4"/>
  <c r="B102" i="4"/>
  <c r="B140" i="4"/>
  <c r="B6" i="4"/>
  <c r="A27" i="4"/>
  <c r="A48" i="4"/>
  <c r="D68" i="4"/>
  <c r="B92" i="4"/>
  <c r="B116" i="4"/>
  <c r="A140" i="4"/>
  <c r="A164" i="4"/>
  <c r="C17" i="4"/>
  <c r="C38" i="4"/>
  <c r="B59" i="4"/>
  <c r="C81" i="4"/>
  <c r="B105" i="4"/>
  <c r="B129" i="4"/>
  <c r="A153" i="4"/>
  <c r="D4" i="4"/>
  <c r="C25" i="4"/>
  <c r="C46" i="4"/>
  <c r="C67" i="4"/>
  <c r="D90" i="4"/>
  <c r="D114" i="4"/>
  <c r="D138" i="4"/>
  <c r="C162" i="4"/>
  <c r="A83" i="4"/>
  <c r="B104" i="4"/>
  <c r="A125" i="4"/>
  <c r="A146" i="4"/>
  <c r="D166" i="4"/>
  <c r="D14" i="4"/>
  <c r="A33" i="4"/>
  <c r="B51" i="4"/>
  <c r="C69" i="4"/>
  <c r="A88" i="4"/>
  <c r="B106" i="4"/>
  <c r="C124" i="4"/>
  <c r="D142" i="4"/>
  <c r="A161" i="4"/>
  <c r="D5" i="4"/>
  <c r="E5" i="4" s="1"/>
  <c r="F5" i="4" s="1"/>
  <c r="D21" i="4"/>
  <c r="D37" i="4"/>
  <c r="D53" i="4"/>
  <c r="D69" i="4"/>
  <c r="D85" i="4"/>
  <c r="D101" i="4"/>
  <c r="D117" i="4"/>
  <c r="D133" i="4"/>
  <c r="D149" i="4"/>
  <c r="D165" i="4"/>
  <c r="C40" i="4"/>
  <c r="A74" i="4"/>
  <c r="C112" i="4"/>
  <c r="D150" i="4"/>
  <c r="A16" i="4"/>
  <c r="C49" i="4"/>
  <c r="B84" i="4"/>
  <c r="D122" i="4"/>
  <c r="E122" i="4" s="1"/>
  <c r="F122" i="4" s="1"/>
  <c r="C160" i="4"/>
  <c r="D24" i="4"/>
  <c r="A58" i="4"/>
  <c r="C94" i="4"/>
  <c r="A133" i="4"/>
  <c r="D170" i="4"/>
  <c r="A34" i="4"/>
  <c r="D66" i="4"/>
  <c r="D104" i="4"/>
  <c r="C142" i="4"/>
  <c r="A9" i="4"/>
  <c r="C42" i="4"/>
  <c r="D76" i="4"/>
  <c r="A115" i="4"/>
  <c r="D152" i="4"/>
  <c r="B18" i="4"/>
  <c r="A51" i="4"/>
  <c r="D86" i="4"/>
  <c r="D124" i="4"/>
  <c r="A163" i="4"/>
  <c r="D26" i="4"/>
  <c r="B60" i="4"/>
  <c r="B97" i="4"/>
  <c r="D134" i="4"/>
  <c r="C2" i="4"/>
  <c r="C35" i="4"/>
  <c r="A69" i="4"/>
  <c r="A107" i="4"/>
  <c r="B145" i="4"/>
  <c r="D8" i="4"/>
  <c r="C29" i="4"/>
  <c r="C50" i="4"/>
  <c r="B71" i="4"/>
  <c r="B95" i="4"/>
  <c r="A119" i="4"/>
  <c r="A143" i="4"/>
  <c r="A167" i="4"/>
  <c r="B20" i="4"/>
  <c r="A41" i="4"/>
  <c r="A62" i="4"/>
  <c r="C84" i="4"/>
  <c r="B108" i="4"/>
  <c r="B132" i="4"/>
  <c r="A156" i="4"/>
  <c r="B7" i="4"/>
  <c r="B28" i="4"/>
  <c r="B49" i="4"/>
  <c r="B70" i="4"/>
  <c r="A94" i="4"/>
  <c r="A118" i="4"/>
  <c r="C141" i="4"/>
  <c r="B165" i="4"/>
  <c r="A86" i="4"/>
  <c r="D106" i="4"/>
  <c r="C127" i="4"/>
  <c r="C148" i="4"/>
  <c r="B169" i="4"/>
  <c r="A17" i="4"/>
  <c r="B35" i="4"/>
  <c r="C53" i="4"/>
  <c r="A72" i="4"/>
  <c r="B90" i="4"/>
  <c r="C108" i="4"/>
  <c r="D126" i="4"/>
  <c r="A145" i="4"/>
  <c r="B163" i="4"/>
  <c r="D7" i="4"/>
  <c r="D23" i="4"/>
  <c r="D39" i="4"/>
  <c r="D55" i="4"/>
  <c r="E55" i="4" s="1"/>
  <c r="F55" i="4" s="1"/>
  <c r="D71" i="4"/>
  <c r="D87" i="4"/>
  <c r="D103" i="4"/>
  <c r="D119" i="4"/>
  <c r="D135" i="4"/>
  <c r="D151" i="4"/>
  <c r="D167" i="4"/>
  <c r="E167" i="4" s="1"/>
  <c r="F167" i="4" s="1"/>
  <c r="C48" i="4"/>
  <c r="A84" i="4"/>
  <c r="C121" i="4"/>
  <c r="B160" i="4"/>
  <c r="B24" i="4"/>
  <c r="C57" i="4"/>
  <c r="B94" i="4"/>
  <c r="A132" i="4"/>
  <c r="C170" i="4"/>
  <c r="D32" i="4"/>
  <c r="C66" i="4"/>
  <c r="C103" i="4"/>
  <c r="B142" i="4"/>
  <c r="C8" i="4"/>
  <c r="A42" i="4"/>
  <c r="B76" i="4"/>
  <c r="A114" i="4"/>
  <c r="C152" i="4"/>
  <c r="B17" i="4"/>
  <c r="D50" i="4"/>
  <c r="B86" i="4"/>
  <c r="B124" i="4"/>
  <c r="D162" i="4"/>
  <c r="C26" i="4"/>
  <c r="A60" i="4"/>
  <c r="A96" i="4"/>
  <c r="C134" i="4"/>
  <c r="D172" i="4"/>
  <c r="A35" i="4"/>
  <c r="C68" i="4"/>
  <c r="C106" i="4"/>
  <c r="D144" i="4"/>
  <c r="D10" i="4"/>
  <c r="B44" i="4"/>
  <c r="B78" i="4"/>
  <c r="C116" i="4"/>
  <c r="D154" i="4"/>
  <c r="A14" i="4"/>
  <c r="D34" i="4"/>
  <c r="C55" i="4"/>
  <c r="B77" i="4"/>
  <c r="A101" i="4"/>
  <c r="B125" i="4"/>
  <c r="A149" i="4"/>
  <c r="C4" i="4"/>
  <c r="B25" i="4"/>
  <c r="B46" i="4"/>
  <c r="A67" i="4"/>
  <c r="C90" i="4"/>
  <c r="B114" i="4"/>
  <c r="C138" i="4"/>
  <c r="B162" i="4"/>
  <c r="D12" i="4"/>
  <c r="C33" i="4"/>
  <c r="C54" i="4"/>
  <c r="A76" i="4"/>
  <c r="A100" i="4"/>
  <c r="C123" i="4"/>
  <c r="C147" i="4"/>
  <c r="B171" i="4"/>
  <c r="A91" i="4"/>
  <c r="A112" i="4"/>
  <c r="D132" i="4"/>
  <c r="C153" i="4"/>
  <c r="B3" i="4"/>
  <c r="C21" i="4"/>
  <c r="A40" i="4"/>
  <c r="B58" i="4"/>
  <c r="C76" i="4"/>
  <c r="D94" i="4"/>
  <c r="A113" i="4"/>
  <c r="B131" i="4"/>
  <c r="C149" i="4"/>
  <c r="A168" i="4"/>
  <c r="D11" i="4"/>
  <c r="E11" i="4" s="1"/>
  <c r="F11" i="4" s="1"/>
  <c r="D27" i="4"/>
  <c r="D43" i="4"/>
  <c r="D59" i="4"/>
  <c r="D75" i="4"/>
  <c r="D91" i="4"/>
  <c r="D107" i="4"/>
  <c r="D123" i="4"/>
  <c r="D139" i="4"/>
  <c r="D155" i="4"/>
  <c r="P15" i="21"/>
  <c r="P17" i="21"/>
  <c r="P16" i="21"/>
  <c r="H105" i="7"/>
  <c r="O3" i="10"/>
  <c r="U3" i="10"/>
  <c r="L3" i="10"/>
  <c r="T3" i="10"/>
  <c r="K3" i="10"/>
  <c r="S3" i="10"/>
  <c r="J3" i="10"/>
  <c r="R3" i="10"/>
  <c r="I3" i="10"/>
  <c r="Q3" i="10"/>
  <c r="H3" i="10"/>
  <c r="N3" i="10"/>
  <c r="V3" i="10"/>
  <c r="M3" i="10"/>
  <c r="P3" i="10"/>
  <c r="H33" i="7"/>
  <c r="M76" i="8"/>
  <c r="L76" i="8"/>
  <c r="K76" i="8"/>
  <c r="F77" i="8" s="1"/>
  <c r="R76" i="8"/>
  <c r="M39" i="8"/>
  <c r="K39" i="8"/>
  <c r="F40" i="8" s="1"/>
  <c r="L39" i="8"/>
  <c r="R39" i="8"/>
  <c r="H177" i="8"/>
  <c r="K4" i="8"/>
  <c r="F5" i="8" s="1"/>
  <c r="R4" i="8"/>
  <c r="M4" i="8"/>
  <c r="L4" i="8"/>
  <c r="P6" i="10"/>
  <c r="H6" i="10"/>
  <c r="V6" i="10"/>
  <c r="M6" i="10"/>
  <c r="U6" i="10"/>
  <c r="L6" i="10"/>
  <c r="T6" i="10"/>
  <c r="K6" i="10"/>
  <c r="S6" i="10"/>
  <c r="J6" i="10"/>
  <c r="R6" i="10"/>
  <c r="I6" i="10"/>
  <c r="O6" i="10"/>
  <c r="N6" i="10"/>
  <c r="Q6" i="10"/>
  <c r="T2" i="10"/>
  <c r="L2" i="10"/>
  <c r="O2" i="10"/>
  <c r="N2" i="10"/>
  <c r="V2" i="10"/>
  <c r="M2" i="10"/>
  <c r="U2" i="10"/>
  <c r="K2" i="10"/>
  <c r="S2" i="10"/>
  <c r="J2" i="10"/>
  <c r="Q2" i="10"/>
  <c r="H2" i="10"/>
  <c r="P2" i="10"/>
  <c r="R2" i="10"/>
  <c r="I2" i="10"/>
  <c r="E98" i="4"/>
  <c r="F98" i="4" s="1"/>
  <c r="U5" i="10"/>
  <c r="M5" i="10"/>
  <c r="P5" i="10"/>
  <c r="O5" i="10"/>
  <c r="N5" i="10"/>
  <c r="V5" i="10"/>
  <c r="L5" i="10"/>
  <c r="T5" i="10"/>
  <c r="K5" i="10"/>
  <c r="R5" i="10"/>
  <c r="I5" i="10"/>
  <c r="Q5" i="10"/>
  <c r="H5" i="10"/>
  <c r="S5" i="10"/>
  <c r="J5" i="10"/>
  <c r="H33" i="8"/>
  <c r="K7" i="21"/>
  <c r="M7" i="21" s="1"/>
  <c r="M6" i="21"/>
  <c r="M183" i="8"/>
  <c r="L183" i="8"/>
  <c r="K183" i="8"/>
  <c r="F184" i="8" s="1"/>
  <c r="R183" i="8"/>
  <c r="H103" i="8"/>
  <c r="M111" i="8"/>
  <c r="L111" i="8"/>
  <c r="K111" i="8"/>
  <c r="F112" i="8" s="1"/>
  <c r="R111" i="8"/>
  <c r="H177" i="7"/>
  <c r="M147" i="8"/>
  <c r="R147" i="8"/>
  <c r="L147" i="8"/>
  <c r="K147" i="8"/>
  <c r="F148" i="8" s="1"/>
  <c r="R4" i="10"/>
  <c r="J4" i="10"/>
  <c r="S4" i="10"/>
  <c r="I4" i="10"/>
  <c r="Q4" i="10"/>
  <c r="H4" i="10"/>
  <c r="P4" i="10"/>
  <c r="O4" i="10"/>
  <c r="N4" i="10"/>
  <c r="U4" i="10"/>
  <c r="L4" i="10"/>
  <c r="T4" i="10"/>
  <c r="K4" i="10"/>
  <c r="V4" i="10"/>
  <c r="M4" i="10"/>
  <c r="E123" i="4"/>
  <c r="F123" i="4" s="1"/>
  <c r="E89" i="4" l="1"/>
  <c r="F89" i="4" s="1"/>
  <c r="E110" i="4"/>
  <c r="F110" i="4" s="1"/>
  <c r="E121" i="4"/>
  <c r="F121" i="4" s="1"/>
  <c r="E139" i="4"/>
  <c r="F139" i="4" s="1"/>
  <c r="E62" i="4"/>
  <c r="F62" i="4" s="1"/>
  <c r="E66" i="4"/>
  <c r="F66" i="4" s="1"/>
  <c r="E155" i="4"/>
  <c r="F155" i="4" s="1"/>
  <c r="E39" i="4"/>
  <c r="F39" i="4" s="1"/>
  <c r="E72" i="4"/>
  <c r="F72" i="4" s="1"/>
  <c r="E38" i="4"/>
  <c r="F38" i="4" s="1"/>
  <c r="E71" i="4"/>
  <c r="F71" i="4" s="1"/>
  <c r="E127" i="4"/>
  <c r="F127" i="4" s="1"/>
  <c r="E105" i="4"/>
  <c r="F105" i="4" s="1"/>
  <c r="E25" i="4"/>
  <c r="F25" i="4" s="1"/>
  <c r="E85" i="4"/>
  <c r="F85" i="4" s="1"/>
  <c r="E149" i="4"/>
  <c r="F149" i="4" s="1"/>
  <c r="E87" i="4"/>
  <c r="F87" i="4" s="1"/>
  <c r="E165" i="4"/>
  <c r="F165" i="4" s="1"/>
  <c r="E27" i="4"/>
  <c r="F27" i="4" s="1"/>
  <c r="E172" i="4"/>
  <c r="F172" i="4" s="1"/>
  <c r="E51" i="4"/>
  <c r="F51" i="4" s="1"/>
  <c r="E44" i="4"/>
  <c r="F44" i="4" s="1"/>
  <c r="E169" i="4"/>
  <c r="F169" i="4" s="1"/>
  <c r="E2" i="4"/>
  <c r="F2" i="4" s="1"/>
  <c r="E59" i="4"/>
  <c r="F59" i="4" s="1"/>
  <c r="E124" i="4"/>
  <c r="F124" i="4" s="1"/>
  <c r="E48" i="4"/>
  <c r="F48" i="4" s="1"/>
  <c r="E99" i="4"/>
  <c r="F99" i="4" s="1"/>
  <c r="E75" i="4"/>
  <c r="F75" i="4" s="1"/>
  <c r="E162" i="4"/>
  <c r="F162" i="4" s="1"/>
  <c r="E42" i="4"/>
  <c r="F42" i="4" s="1"/>
  <c r="E151" i="4"/>
  <c r="F151" i="4" s="1"/>
  <c r="E23" i="4"/>
  <c r="F23" i="4" s="1"/>
  <c r="E90" i="4"/>
  <c r="F90" i="4" s="1"/>
  <c r="E79" i="4"/>
  <c r="F79" i="4" s="1"/>
  <c r="E154" i="4"/>
  <c r="F154" i="4" s="1"/>
  <c r="E148" i="4"/>
  <c r="F148" i="4" s="1"/>
  <c r="E4" i="4"/>
  <c r="F4" i="4" s="1"/>
  <c r="E84" i="4"/>
  <c r="F84" i="4" s="1"/>
  <c r="E147" i="4"/>
  <c r="F147" i="4" s="1"/>
  <c r="E57" i="4"/>
  <c r="F57" i="4" s="1"/>
  <c r="E113" i="4"/>
  <c r="F113" i="4" s="1"/>
  <c r="E132" i="4"/>
  <c r="F132" i="4" s="1"/>
  <c r="E166" i="4"/>
  <c r="F166" i="4" s="1"/>
  <c r="E170" i="4"/>
  <c r="F170" i="4" s="1"/>
  <c r="E26" i="4"/>
  <c r="F26" i="4" s="1"/>
  <c r="E9" i="4"/>
  <c r="F9" i="4" s="1"/>
  <c r="E159" i="4"/>
  <c r="F159" i="4" s="1"/>
  <c r="E108" i="4"/>
  <c r="F108" i="4" s="1"/>
  <c r="E43" i="4"/>
  <c r="F43" i="4" s="1"/>
  <c r="E125" i="4"/>
  <c r="F125" i="4" s="1"/>
  <c r="E56" i="4"/>
  <c r="F56" i="4" s="1"/>
  <c r="E50" i="4"/>
  <c r="F50" i="4" s="1"/>
  <c r="E88" i="4"/>
  <c r="F88" i="4" s="1"/>
  <c r="E10" i="4"/>
  <c r="F10" i="4" s="1"/>
  <c r="E70" i="4"/>
  <c r="F70" i="4" s="1"/>
  <c r="E83" i="4"/>
  <c r="F83" i="4" s="1"/>
  <c r="E95" i="4"/>
  <c r="F95" i="4" s="1"/>
  <c r="E46" i="4"/>
  <c r="F46" i="4" s="1"/>
  <c r="E77" i="4"/>
  <c r="F77" i="4" s="1"/>
  <c r="E158" i="4"/>
  <c r="F158" i="4" s="1"/>
  <c r="E31" i="4"/>
  <c r="F31" i="4" s="1"/>
  <c r="E141" i="4"/>
  <c r="F141" i="4" s="1"/>
  <c r="E126" i="4"/>
  <c r="F126" i="4" s="1"/>
  <c r="E140" i="4"/>
  <c r="F140" i="4" s="1"/>
  <c r="E73" i="4"/>
  <c r="F73" i="4" s="1"/>
  <c r="E32" i="4"/>
  <c r="F32" i="4" s="1"/>
  <c r="E93" i="4"/>
  <c r="F93" i="4" s="1"/>
  <c r="E80" i="4"/>
  <c r="F80" i="4" s="1"/>
  <c r="E22" i="4"/>
  <c r="F22" i="4" s="1"/>
  <c r="E119" i="4"/>
  <c r="F119" i="4" s="1"/>
  <c r="E94" i="4"/>
  <c r="F94" i="4" s="1"/>
  <c r="E12" i="4"/>
  <c r="F12" i="4" s="1"/>
  <c r="E15" i="4"/>
  <c r="F15" i="4" s="1"/>
  <c r="E144" i="4"/>
  <c r="F144" i="4" s="1"/>
  <c r="E7" i="4"/>
  <c r="F7" i="4" s="1"/>
  <c r="E21" i="4"/>
  <c r="F21" i="4" s="1"/>
  <c r="E135" i="4"/>
  <c r="F135" i="4" s="1"/>
  <c r="E78" i="4"/>
  <c r="F78" i="4" s="1"/>
  <c r="E82" i="4"/>
  <c r="F82" i="4" s="1"/>
  <c r="E109" i="4"/>
  <c r="F109" i="4" s="1"/>
  <c r="E100" i="4"/>
  <c r="F100" i="4" s="1"/>
  <c r="D29" i="5"/>
  <c r="E128" i="4"/>
  <c r="F128" i="4" s="1"/>
  <c r="E145" i="4"/>
  <c r="F145" i="4" s="1"/>
  <c r="E153" i="4"/>
  <c r="F153" i="4" s="1"/>
  <c r="E63" i="4"/>
  <c r="F63" i="4" s="1"/>
  <c r="E30" i="4"/>
  <c r="F30" i="4" s="1"/>
  <c r="E103" i="4"/>
  <c r="F103" i="4" s="1"/>
  <c r="E104" i="4"/>
  <c r="F104" i="4" s="1"/>
  <c r="B32" i="5"/>
  <c r="E134" i="4"/>
  <c r="F134" i="4" s="1"/>
  <c r="E106" i="4"/>
  <c r="F106" i="4" s="1"/>
  <c r="E133" i="4"/>
  <c r="F133" i="4" s="1"/>
  <c r="E64" i="4"/>
  <c r="F64" i="4" s="1"/>
  <c r="E52" i="4"/>
  <c r="F52" i="4" s="1"/>
  <c r="E34" i="4"/>
  <c r="F34" i="4" s="1"/>
  <c r="E156" i="4"/>
  <c r="F156" i="4" s="1"/>
  <c r="E107" i="4"/>
  <c r="F107" i="4" s="1"/>
  <c r="E163" i="4"/>
  <c r="F163" i="4" s="1"/>
  <c r="E150" i="4"/>
  <c r="F150" i="4" s="1"/>
  <c r="E142" i="4"/>
  <c r="F142" i="4" s="1"/>
  <c r="E68" i="4"/>
  <c r="F68" i="4" s="1"/>
  <c r="E136" i="4"/>
  <c r="F136" i="4" s="1"/>
  <c r="E61" i="4"/>
  <c r="F61" i="4" s="1"/>
  <c r="E130" i="4"/>
  <c r="F130" i="4" s="1"/>
  <c r="E53" i="4"/>
  <c r="F53" i="4" s="1"/>
  <c r="E120" i="4"/>
  <c r="F120" i="4" s="1"/>
  <c r="E131" i="4"/>
  <c r="F131" i="4" s="1"/>
  <c r="E164" i="4"/>
  <c r="F164" i="4" s="1"/>
  <c r="E112" i="4"/>
  <c r="F112" i="4" s="1"/>
  <c r="E41" i="4"/>
  <c r="F41" i="4" s="1"/>
  <c r="E4" i="5"/>
  <c r="E81" i="4"/>
  <c r="F81" i="4" s="1"/>
  <c r="E54" i="4"/>
  <c r="F54" i="4" s="1"/>
  <c r="E29" i="4"/>
  <c r="F29" i="4" s="1"/>
  <c r="E47" i="4"/>
  <c r="F47" i="4" s="1"/>
  <c r="E115" i="4"/>
  <c r="F115" i="4" s="1"/>
  <c r="C4" i="5"/>
  <c r="E91" i="4"/>
  <c r="F91" i="4" s="1"/>
  <c r="E16" i="4"/>
  <c r="F16" i="4" s="1"/>
  <c r="E117" i="4"/>
  <c r="F117" i="4" s="1"/>
  <c r="E20" i="4"/>
  <c r="F20" i="4" s="1"/>
  <c r="F30" i="5"/>
  <c r="G14" i="5"/>
  <c r="E92" i="4"/>
  <c r="F92" i="4" s="1"/>
  <c r="F14" i="5"/>
  <c r="E13" i="4"/>
  <c r="F13" i="4" s="1"/>
  <c r="E3" i="4"/>
  <c r="F3" i="4" s="1"/>
  <c r="E157" i="4"/>
  <c r="F157" i="4" s="1"/>
  <c r="E97" i="4"/>
  <c r="F97" i="4" s="1"/>
  <c r="G21" i="5"/>
  <c r="E25" i="5"/>
  <c r="B27" i="5"/>
  <c r="E18" i="5"/>
  <c r="E40" i="4"/>
  <c r="F40" i="4" s="1"/>
  <c r="E37" i="4"/>
  <c r="F37" i="4" s="1"/>
  <c r="C31" i="5"/>
  <c r="B23" i="5"/>
  <c r="E96" i="4"/>
  <c r="F96" i="4" s="1"/>
  <c r="E12" i="5"/>
  <c r="E152" i="4"/>
  <c r="F152" i="4" s="1"/>
  <c r="C36" i="5"/>
  <c r="E102" i="4"/>
  <c r="F102" i="4" s="1"/>
  <c r="E19" i="4"/>
  <c r="F19" i="4" s="1"/>
  <c r="D6" i="5"/>
  <c r="F13" i="5"/>
  <c r="E60" i="4"/>
  <c r="F60" i="4" s="1"/>
  <c r="E33" i="4"/>
  <c r="F33" i="4" s="1"/>
  <c r="E65" i="4"/>
  <c r="F65" i="4" s="1"/>
  <c r="E2" i="5"/>
  <c r="E143" i="4"/>
  <c r="F143" i="4" s="1"/>
  <c r="E129" i="4"/>
  <c r="F129" i="4" s="1"/>
  <c r="B5" i="5"/>
  <c r="E116" i="4"/>
  <c r="F116" i="4" s="1"/>
  <c r="B18" i="5"/>
  <c r="D15" i="5"/>
  <c r="E35" i="4"/>
  <c r="F35" i="4" s="1"/>
  <c r="E17" i="4"/>
  <c r="F17" i="4" s="1"/>
  <c r="E118" i="4"/>
  <c r="F118" i="4" s="1"/>
  <c r="E86" i="4"/>
  <c r="F86" i="4" s="1"/>
  <c r="E24" i="4"/>
  <c r="F24" i="4" s="1"/>
  <c r="E74" i="4"/>
  <c r="F74" i="4" s="1"/>
  <c r="B3" i="5"/>
  <c r="C32" i="5"/>
  <c r="E21" i="5"/>
  <c r="E18" i="4"/>
  <c r="F18" i="4" s="1"/>
  <c r="E10" i="5"/>
  <c r="E138" i="4"/>
  <c r="F138" i="4" s="1"/>
  <c r="E36" i="4"/>
  <c r="F36" i="4" s="1"/>
  <c r="E8" i="4"/>
  <c r="F8" i="4" s="1"/>
  <c r="G13" i="5"/>
  <c r="F2" i="5"/>
  <c r="E24" i="5"/>
  <c r="E67" i="4"/>
  <c r="F67" i="4" s="1"/>
  <c r="E161" i="4"/>
  <c r="F161" i="4" s="1"/>
  <c r="E160" i="4"/>
  <c r="F160" i="4" s="1"/>
  <c r="E6" i="4"/>
  <c r="F6" i="4" s="1"/>
  <c r="C30" i="5"/>
  <c r="D34" i="5"/>
  <c r="E58" i="4"/>
  <c r="F58" i="4" s="1"/>
  <c r="E146" i="4"/>
  <c r="F146" i="4" s="1"/>
  <c r="E49" i="4"/>
  <c r="F49" i="4" s="1"/>
  <c r="G25" i="5"/>
  <c r="E16" i="5"/>
  <c r="D7" i="5"/>
  <c r="F32" i="5"/>
  <c r="F23" i="5"/>
  <c r="C11" i="5"/>
  <c r="G36" i="5"/>
  <c r="D24" i="5"/>
  <c r="C15" i="5"/>
  <c r="C6" i="5"/>
  <c r="G31" i="5"/>
  <c r="E14" i="5"/>
  <c r="E30" i="5"/>
  <c r="D11" i="5"/>
  <c r="D27" i="5"/>
  <c r="F9" i="5"/>
  <c r="F25" i="5"/>
  <c r="B7" i="5"/>
  <c r="B21" i="5"/>
  <c r="B35" i="5"/>
  <c r="F11" i="5"/>
  <c r="G23" i="5"/>
  <c r="B36" i="5"/>
  <c r="C12" i="5"/>
  <c r="G22" i="5"/>
  <c r="E33" i="5"/>
  <c r="C3" i="5"/>
  <c r="G28" i="5"/>
  <c r="G19" i="5"/>
  <c r="D10" i="5"/>
  <c r="G35" i="5"/>
  <c r="F26" i="5"/>
  <c r="D14" i="5"/>
  <c r="C2" i="5"/>
  <c r="F27" i="5"/>
  <c r="D18" i="5"/>
  <c r="C9" i="5"/>
  <c r="F34" i="5"/>
  <c r="F16" i="5"/>
  <c r="E32" i="5"/>
  <c r="D13" i="5"/>
  <c r="C29" i="5"/>
  <c r="E11" i="5"/>
  <c r="E27" i="5"/>
  <c r="G8" i="5"/>
  <c r="F22" i="5"/>
  <c r="F36" i="5"/>
  <c r="C13" i="5"/>
  <c r="D25" i="5"/>
  <c r="G2" i="5"/>
  <c r="E13" i="5"/>
  <c r="C24" i="5"/>
  <c r="G34" i="5"/>
  <c r="E69" i="4"/>
  <c r="F69" i="4" s="1"/>
  <c r="C35" i="5"/>
  <c r="B26" i="5"/>
  <c r="G16" i="5"/>
  <c r="G7" i="5"/>
  <c r="G32" i="5"/>
  <c r="F20" i="5"/>
  <c r="D8" i="5"/>
  <c r="B34" i="5"/>
  <c r="G24" i="5"/>
  <c r="G15" i="5"/>
  <c r="F4" i="5"/>
  <c r="E20" i="5"/>
  <c r="E36" i="5"/>
  <c r="C17" i="5"/>
  <c r="D33" i="5"/>
  <c r="E15" i="5"/>
  <c r="F31" i="5"/>
  <c r="D12" i="5"/>
  <c r="C26" i="5"/>
  <c r="B4" i="5"/>
  <c r="D16" i="5"/>
  <c r="E28" i="5"/>
  <c r="E5" i="5"/>
  <c r="C16" i="5"/>
  <c r="G26" i="5"/>
  <c r="G9" i="5"/>
  <c r="G12" i="5"/>
  <c r="G3" i="5"/>
  <c r="B29" i="5"/>
  <c r="B20" i="5"/>
  <c r="B11" i="5"/>
  <c r="D36" i="5"/>
  <c r="B24" i="5"/>
  <c r="G11" i="5"/>
  <c r="D2" i="5"/>
  <c r="B28" i="5"/>
  <c r="F18" i="5"/>
  <c r="E6" i="5"/>
  <c r="E22" i="5"/>
  <c r="D3" i="5"/>
  <c r="E19" i="5"/>
  <c r="D35" i="5"/>
  <c r="F17" i="5"/>
  <c r="F33" i="5"/>
  <c r="B14" i="5"/>
  <c r="G27" i="5"/>
  <c r="F5" i="5"/>
  <c r="G17" i="5"/>
  <c r="B30" i="5"/>
  <c r="G6" i="5"/>
  <c r="E17" i="5"/>
  <c r="C28" i="5"/>
  <c r="E45" i="4"/>
  <c r="F45" i="4" s="1"/>
  <c r="B16" i="5"/>
  <c r="F6" i="5"/>
  <c r="D32" i="5"/>
  <c r="C23" i="5"/>
  <c r="C14" i="5"/>
  <c r="B2" i="5"/>
  <c r="C27" i="5"/>
  <c r="B15" i="5"/>
  <c r="B6" i="5"/>
  <c r="B31" i="5"/>
  <c r="B22" i="5"/>
  <c r="E8" i="5"/>
  <c r="F24" i="5"/>
  <c r="D5" i="5"/>
  <c r="D21" i="5"/>
  <c r="F3" i="5"/>
  <c r="F19" i="5"/>
  <c r="E35" i="5"/>
  <c r="F15" i="5"/>
  <c r="F29" i="5"/>
  <c r="C7" i="5"/>
  <c r="D19" i="5"/>
  <c r="E31" i="5"/>
  <c r="C8" i="5"/>
  <c r="G18" i="5"/>
  <c r="E29" i="5"/>
  <c r="B19" i="5"/>
  <c r="B10" i="5"/>
  <c r="F35" i="5"/>
  <c r="D26" i="5"/>
  <c r="B17" i="5"/>
  <c r="G4" i="5"/>
  <c r="D30" i="5"/>
  <c r="C18" i="5"/>
  <c r="B9" i="5"/>
  <c r="C34" i="5"/>
  <c r="B25" i="5"/>
  <c r="F10" i="5"/>
  <c r="E26" i="5"/>
  <c r="E7" i="5"/>
  <c r="D23" i="5"/>
  <c r="G5" i="5"/>
  <c r="F21" i="5"/>
  <c r="E3" i="5"/>
  <c r="D17" i="5"/>
  <c r="D31" i="5"/>
  <c r="F8" i="5"/>
  <c r="G20" i="5"/>
  <c r="B33" i="5"/>
  <c r="E9" i="5"/>
  <c r="C20" i="5"/>
  <c r="G30" i="5"/>
  <c r="E76" i="4"/>
  <c r="F76" i="4" s="1"/>
  <c r="E14" i="4"/>
  <c r="F14" i="4" s="1"/>
  <c r="E114" i="4"/>
  <c r="F114" i="4" s="1"/>
  <c r="C22" i="5"/>
  <c r="B13" i="5"/>
  <c r="D4" i="5"/>
  <c r="G29" i="5"/>
  <c r="D20" i="5"/>
  <c r="B8" i="5"/>
  <c r="G33" i="5"/>
  <c r="C21" i="5"/>
  <c r="B12" i="5"/>
  <c r="D28" i="5"/>
  <c r="F12" i="5"/>
  <c r="F28" i="5"/>
  <c r="D9" i="5"/>
  <c r="C25" i="5"/>
  <c r="F7" i="5"/>
  <c r="E23" i="5"/>
  <c r="C5" i="5"/>
  <c r="C19" i="5"/>
  <c r="C33" i="5"/>
  <c r="C10" i="5"/>
  <c r="D22" i="5"/>
  <c r="E34" i="5"/>
  <c r="G10" i="5"/>
  <c r="E101" i="4"/>
  <c r="F101" i="4" s="1"/>
  <c r="E168" i="4"/>
  <c r="F168" i="4" s="1"/>
  <c r="H104" i="7"/>
  <c r="M77" i="8"/>
  <c r="K77" i="8"/>
  <c r="F78" i="8" s="1"/>
  <c r="R77" i="8"/>
  <c r="L77" i="8"/>
  <c r="L148" i="8"/>
  <c r="K148" i="8"/>
  <c r="F149" i="8" s="1"/>
  <c r="R148" i="8"/>
  <c r="M148" i="8"/>
  <c r="L112" i="8"/>
  <c r="K112" i="8"/>
  <c r="F113" i="8" s="1"/>
  <c r="R112" i="8"/>
  <c r="M112" i="8"/>
  <c r="R17" i="21"/>
  <c r="R16" i="21"/>
  <c r="R15" i="21"/>
  <c r="H176" i="7"/>
  <c r="H102" i="8"/>
  <c r="H32" i="8"/>
  <c r="M40" i="8"/>
  <c r="L40" i="8"/>
  <c r="K40" i="8"/>
  <c r="F41" i="8" s="1"/>
  <c r="R40" i="8"/>
  <c r="Q17" i="21"/>
  <c r="Q16" i="21"/>
  <c r="Q15" i="21"/>
  <c r="M184" i="8"/>
  <c r="L184" i="8"/>
  <c r="K184" i="8"/>
  <c r="F185" i="8" s="1"/>
  <c r="R184" i="8"/>
  <c r="M5" i="8"/>
  <c r="K5" i="8"/>
  <c r="F6" i="8" s="1"/>
  <c r="R5" i="8"/>
  <c r="L5" i="8"/>
  <c r="H176" i="8"/>
  <c r="H32" i="7"/>
  <c r="S17" i="21" l="1"/>
  <c r="S15" i="21"/>
  <c r="H175" i="7"/>
  <c r="H31" i="7"/>
  <c r="M185" i="8"/>
  <c r="K185" i="8"/>
  <c r="F186" i="8" s="1"/>
  <c r="R185" i="8"/>
  <c r="L185" i="8"/>
  <c r="R78" i="8"/>
  <c r="M78" i="8"/>
  <c r="L78" i="8"/>
  <c r="K78" i="8"/>
  <c r="F79" i="8" s="1"/>
  <c r="H175" i="8"/>
  <c r="S16" i="21"/>
  <c r="H101" i="8"/>
  <c r="H103" i="7"/>
  <c r="M41" i="8"/>
  <c r="R41" i="8"/>
  <c r="L41" i="8"/>
  <c r="K41" i="8"/>
  <c r="F42" i="8" s="1"/>
  <c r="M149" i="8"/>
  <c r="R149" i="8"/>
  <c r="K149" i="8"/>
  <c r="F150" i="8" s="1"/>
  <c r="L149" i="8"/>
  <c r="R6" i="8"/>
  <c r="K6" i="8"/>
  <c r="F7" i="8" s="1"/>
  <c r="L6" i="8"/>
  <c r="M6" i="8"/>
  <c r="H31" i="8"/>
  <c r="M113" i="8"/>
  <c r="R113" i="8"/>
  <c r="L113" i="8"/>
  <c r="K113" i="8"/>
  <c r="F114" i="8" s="1"/>
  <c r="M114" i="8" l="1"/>
  <c r="L114" i="8"/>
  <c r="K114" i="8"/>
  <c r="F115" i="8" s="1"/>
  <c r="R114" i="8"/>
  <c r="R186" i="8"/>
  <c r="M186" i="8"/>
  <c r="L186" i="8"/>
  <c r="K186" i="8"/>
  <c r="F187" i="8" s="1"/>
  <c r="H102" i="7"/>
  <c r="H174" i="8"/>
  <c r="K150" i="8"/>
  <c r="F151" i="8" s="1"/>
  <c r="M150" i="8"/>
  <c r="L150" i="8"/>
  <c r="R150" i="8"/>
  <c r="H30" i="7"/>
  <c r="K42" i="8"/>
  <c r="F43" i="8" s="1"/>
  <c r="L42" i="8"/>
  <c r="R42" i="8"/>
  <c r="M42" i="8"/>
  <c r="H174" i="7"/>
  <c r="H30" i="8"/>
  <c r="H100" i="8"/>
  <c r="H101" i="7" l="1"/>
  <c r="H29" i="7"/>
  <c r="H29" i="8"/>
  <c r="H173" i="8"/>
  <c r="H99" i="8"/>
  <c r="H173" i="7"/>
  <c r="H28" i="8" l="1"/>
  <c r="H172" i="8"/>
  <c r="H28" i="7"/>
  <c r="H172" i="7"/>
  <c r="H98" i="8"/>
  <c r="H100" i="7"/>
  <c r="H171" i="7" l="1"/>
  <c r="H27" i="7"/>
  <c r="H171" i="8"/>
  <c r="H99" i="7"/>
  <c r="H97" i="8"/>
  <c r="H27" i="8"/>
  <c r="H98" i="7" l="1"/>
  <c r="H26" i="8"/>
  <c r="H26" i="7"/>
  <c r="H96" i="8"/>
  <c r="H170" i="7"/>
  <c r="H170" i="8"/>
  <c r="H95" i="8" l="1"/>
  <c r="H25" i="7"/>
  <c r="H25" i="8"/>
  <c r="H169" i="8"/>
  <c r="H169" i="7"/>
  <c r="H97" i="7"/>
  <c r="H168" i="8" l="1"/>
  <c r="H24" i="8"/>
  <c r="H96" i="7"/>
  <c r="H24" i="7"/>
  <c r="H168" i="7"/>
  <c r="H94" i="8"/>
  <c r="H23" i="7" l="1"/>
  <c r="H95" i="7"/>
  <c r="H23" i="8"/>
  <c r="H93" i="8"/>
  <c r="H167" i="8"/>
  <c r="H167" i="7"/>
  <c r="H94" i="7" l="1"/>
  <c r="H92" i="8"/>
  <c r="H166" i="7"/>
  <c r="H22" i="8"/>
  <c r="H166" i="8"/>
  <c r="H22" i="7"/>
  <c r="H21" i="8" l="1"/>
  <c r="H165" i="7"/>
  <c r="H91" i="8"/>
  <c r="H21" i="7"/>
  <c r="H93" i="7"/>
  <c r="H165" i="8"/>
  <c r="H20" i="7" l="1"/>
  <c r="H90" i="8"/>
  <c r="H164" i="8"/>
  <c r="H164" i="7"/>
  <c r="H92" i="7"/>
  <c r="H20" i="8"/>
  <c r="H163" i="7" l="1"/>
  <c r="H163" i="8"/>
  <c r="H89" i="8"/>
  <c r="H19" i="8"/>
  <c r="H91" i="7"/>
  <c r="H19" i="7"/>
  <c r="H88" i="8" l="1"/>
  <c r="H18" i="7"/>
  <c r="H18" i="8"/>
  <c r="H90" i="7"/>
  <c r="H162" i="8"/>
  <c r="H162" i="7"/>
  <c r="H89" i="7" l="1"/>
  <c r="H17" i="8"/>
  <c r="H161" i="7"/>
  <c r="H17" i="7"/>
  <c r="H161" i="8"/>
  <c r="H87" i="8"/>
  <c r="H16" i="7" l="1"/>
  <c r="H16" i="8"/>
  <c r="H160" i="7"/>
  <c r="H86" i="8"/>
  <c r="H160" i="8"/>
  <c r="H88" i="7"/>
  <c r="H159" i="8" l="1"/>
  <c r="H85" i="8"/>
  <c r="H159" i="7"/>
  <c r="H15" i="8"/>
  <c r="H87" i="7"/>
  <c r="H15" i="7"/>
  <c r="H14" i="8" l="1"/>
  <c r="H14" i="7"/>
  <c r="H158" i="8"/>
  <c r="H158" i="7"/>
  <c r="H84" i="8"/>
  <c r="H86" i="7"/>
  <c r="H85" i="7" l="1"/>
  <c r="H157" i="8"/>
  <c r="H13" i="8"/>
  <c r="H157" i="7"/>
  <c r="H13" i="7"/>
  <c r="H83" i="8"/>
  <c r="H156" i="7" l="1"/>
  <c r="H156" i="8"/>
  <c r="H12" i="8"/>
  <c r="H82" i="8"/>
  <c r="H84" i="7"/>
  <c r="H12" i="7"/>
  <c r="H81" i="8" l="1"/>
  <c r="H155" i="8"/>
  <c r="H83" i="7"/>
  <c r="H11" i="8"/>
  <c r="H11" i="7"/>
  <c r="H155" i="7"/>
  <c r="H10" i="8" l="1"/>
  <c r="H154" i="7"/>
  <c r="H154" i="8"/>
  <c r="H80" i="8"/>
  <c r="H82" i="7"/>
  <c r="H10" i="7"/>
  <c r="H79" i="8" l="1"/>
  <c r="H153" i="7"/>
  <c r="H153" i="8"/>
  <c r="H81" i="7"/>
  <c r="H9" i="7"/>
  <c r="H9" i="8"/>
  <c r="H80" i="7" l="1"/>
  <c r="H8" i="8"/>
  <c r="H8" i="7"/>
  <c r="H152" i="8"/>
  <c r="H152" i="7"/>
  <c r="H78" i="8"/>
  <c r="I79" i="8"/>
  <c r="J79" i="8" s="1"/>
  <c r="H7" i="7" l="1"/>
  <c r="I78" i="8"/>
  <c r="H77" i="8"/>
  <c r="D7" i="10"/>
  <c r="P115" i="8"/>
  <c r="Q115" i="8" s="1"/>
  <c r="M79" i="8"/>
  <c r="L79" i="8"/>
  <c r="K79" i="8"/>
  <c r="F80" i="8" s="1"/>
  <c r="R79" i="8"/>
  <c r="H151" i="8"/>
  <c r="H7" i="8"/>
  <c r="H151" i="7"/>
  <c r="H79" i="7"/>
  <c r="I151" i="8" l="1"/>
  <c r="J151" i="8" s="1"/>
  <c r="H150" i="8"/>
  <c r="I77" i="8"/>
  <c r="H76" i="8"/>
  <c r="J80" i="8"/>
  <c r="L80" i="8" s="1"/>
  <c r="I80" i="8"/>
  <c r="H78" i="7"/>
  <c r="H6" i="8"/>
  <c r="I7" i="8"/>
  <c r="J7" i="8" s="1"/>
  <c r="H150" i="7"/>
  <c r="H6" i="7"/>
  <c r="B7" i="10" l="1"/>
  <c r="P43" i="8"/>
  <c r="Q43" i="8" s="1"/>
  <c r="L7" i="8"/>
  <c r="K7" i="8"/>
  <c r="F8" i="8" s="1"/>
  <c r="M7" i="8"/>
  <c r="R7" i="8"/>
  <c r="K80" i="8"/>
  <c r="F81" i="8" s="1"/>
  <c r="H5" i="7"/>
  <c r="M80" i="8"/>
  <c r="R80" i="8"/>
  <c r="I76" i="8"/>
  <c r="H75" i="8"/>
  <c r="D8" i="10"/>
  <c r="P116" i="8"/>
  <c r="Q116" i="8" s="1"/>
  <c r="H77" i="7"/>
  <c r="H149" i="7"/>
  <c r="I6" i="8"/>
  <c r="H5" i="8"/>
  <c r="I150" i="8"/>
  <c r="H149" i="8"/>
  <c r="F7" i="10"/>
  <c r="P187" i="8"/>
  <c r="Q187" i="8" s="1"/>
  <c r="M151" i="8"/>
  <c r="L151" i="8"/>
  <c r="K151" i="8"/>
  <c r="F152" i="8" s="1"/>
  <c r="R151" i="8"/>
  <c r="H148" i="7" l="1"/>
  <c r="H74" i="8"/>
  <c r="I74" i="8" s="1"/>
  <c r="I75" i="8"/>
  <c r="J8" i="8"/>
  <c r="I8" i="8"/>
  <c r="H76" i="7"/>
  <c r="I149" i="8"/>
  <c r="H148" i="8"/>
  <c r="J152" i="8"/>
  <c r="R152" i="8" s="1"/>
  <c r="I152" i="8"/>
  <c r="H4" i="7"/>
  <c r="I5" i="8"/>
  <c r="H4" i="8"/>
  <c r="J81" i="8"/>
  <c r="I81" i="8"/>
  <c r="B8" i="10" l="1"/>
  <c r="P44" i="8"/>
  <c r="Q44" i="8" s="1"/>
  <c r="D9" i="10"/>
  <c r="P117" i="8"/>
  <c r="Q117" i="8" s="1"/>
  <c r="K8" i="8"/>
  <c r="F9" i="8" s="1"/>
  <c r="H3" i="7"/>
  <c r="I148" i="8"/>
  <c r="H147" i="8"/>
  <c r="K81" i="8"/>
  <c r="F82" i="8" s="1"/>
  <c r="L8" i="8"/>
  <c r="L81" i="8"/>
  <c r="K152" i="8"/>
  <c r="F153" i="8" s="1"/>
  <c r="R81" i="8"/>
  <c r="L152" i="8"/>
  <c r="M81" i="8"/>
  <c r="M152" i="8"/>
  <c r="H75" i="7"/>
  <c r="I4" i="8"/>
  <c r="H3" i="8"/>
  <c r="M8" i="8"/>
  <c r="H147" i="7"/>
  <c r="F8" i="10"/>
  <c r="P188" i="8"/>
  <c r="Q188" i="8" s="1"/>
  <c r="R8" i="8"/>
  <c r="H74" i="7" l="1"/>
  <c r="I74" i="7" s="1"/>
  <c r="J74" i="7" s="1"/>
  <c r="I147" i="8"/>
  <c r="H146" i="8"/>
  <c r="I146" i="8" s="1"/>
  <c r="H146" i="7"/>
  <c r="I146" i="7" s="1"/>
  <c r="J146" i="7" s="1"/>
  <c r="H2" i="7"/>
  <c r="I2" i="7" s="1"/>
  <c r="J2" i="7" s="1"/>
  <c r="J82" i="8"/>
  <c r="R82" i="8" s="1"/>
  <c r="I82" i="8"/>
  <c r="I3" i="8"/>
  <c r="H2" i="8"/>
  <c r="I2" i="8" s="1"/>
  <c r="J153" i="8"/>
  <c r="L153" i="8" s="1"/>
  <c r="I153" i="8"/>
  <c r="J9" i="8"/>
  <c r="M9" i="8" s="1"/>
  <c r="I9" i="8"/>
  <c r="P38" i="7" l="1"/>
  <c r="Q38" i="7" s="1"/>
  <c r="B2" i="9"/>
  <c r="R2" i="7"/>
  <c r="M2" i="7"/>
  <c r="L2" i="7"/>
  <c r="K2" i="7"/>
  <c r="F2" i="9"/>
  <c r="P182" i="7"/>
  <c r="Q182" i="7" s="1"/>
  <c r="R146" i="7"/>
  <c r="K146" i="7"/>
  <c r="L146" i="7"/>
  <c r="M146" i="7"/>
  <c r="D10" i="10"/>
  <c r="P118" i="8"/>
  <c r="Q118" i="8" s="1"/>
  <c r="F9" i="10"/>
  <c r="P189" i="8"/>
  <c r="Q189" i="8" s="1"/>
  <c r="K82" i="8"/>
  <c r="F83" i="8" s="1"/>
  <c r="B9" i="10"/>
  <c r="P45" i="8"/>
  <c r="Q45" i="8" s="1"/>
  <c r="K153" i="8"/>
  <c r="F154" i="8" s="1"/>
  <c r="L82" i="8"/>
  <c r="R9" i="8"/>
  <c r="R153" i="8"/>
  <c r="L9" i="8"/>
  <c r="K9" i="8"/>
  <c r="F10" i="8" s="1"/>
  <c r="M153" i="8"/>
  <c r="M82" i="8"/>
  <c r="R74" i="7"/>
  <c r="L74" i="7"/>
  <c r="P110" i="7"/>
  <c r="Q110" i="7" s="1"/>
  <c r="M74" i="7"/>
  <c r="K74" i="7"/>
  <c r="D2" i="9"/>
  <c r="F75" i="7" l="1"/>
  <c r="J10" i="8"/>
  <c r="I10" i="8"/>
  <c r="J83" i="8"/>
  <c r="I83" i="8"/>
  <c r="F3" i="7"/>
  <c r="J154" i="8"/>
  <c r="R154" i="8" s="1"/>
  <c r="I154" i="8"/>
  <c r="F147" i="7"/>
  <c r="B10" i="10" l="1"/>
  <c r="P46" i="8"/>
  <c r="Q46" i="8" s="1"/>
  <c r="D11" i="10"/>
  <c r="P119" i="8"/>
  <c r="Q119" i="8" s="1"/>
  <c r="L10" i="8"/>
  <c r="M83" i="8"/>
  <c r="I147" i="7"/>
  <c r="J147" i="7" s="1"/>
  <c r="K10" i="8"/>
  <c r="F11" i="8" s="1"/>
  <c r="K154" i="8"/>
  <c r="F155" i="8" s="1"/>
  <c r="R83" i="8"/>
  <c r="L154" i="8"/>
  <c r="M154" i="8"/>
  <c r="K83" i="8"/>
  <c r="F84" i="8" s="1"/>
  <c r="L83" i="8"/>
  <c r="M10" i="8"/>
  <c r="I3" i="7"/>
  <c r="J3" i="7" s="1"/>
  <c r="R10" i="8"/>
  <c r="F10" i="10"/>
  <c r="P190" i="8"/>
  <c r="Q190" i="8" s="1"/>
  <c r="I75" i="7"/>
  <c r="J75" i="7" s="1"/>
  <c r="K75" i="7" l="1"/>
  <c r="F76" i="7" s="1"/>
  <c r="M75" i="7"/>
  <c r="R75" i="7"/>
  <c r="P39" i="7"/>
  <c r="Q39" i="7" s="1"/>
  <c r="B3" i="9"/>
  <c r="M3" i="7"/>
  <c r="R3" i="7"/>
  <c r="L3" i="7"/>
  <c r="K3" i="7"/>
  <c r="P183" i="7"/>
  <c r="Q183" i="7" s="1"/>
  <c r="F3" i="9"/>
  <c r="M147" i="7"/>
  <c r="K147" i="7"/>
  <c r="R147" i="7"/>
  <c r="L147" i="7"/>
  <c r="P111" i="7"/>
  <c r="Q111" i="7" s="1"/>
  <c r="D3" i="9"/>
  <c r="J84" i="8"/>
  <c r="R84" i="8" s="1"/>
  <c r="I84" i="8"/>
  <c r="L75" i="7"/>
  <c r="J155" i="8"/>
  <c r="R155" i="8" s="1"/>
  <c r="I155" i="8"/>
  <c r="J11" i="8"/>
  <c r="K11" i="8" s="1"/>
  <c r="F12" i="8" s="1"/>
  <c r="I11" i="8"/>
  <c r="J12" i="8" l="1"/>
  <c r="R12" i="8" s="1"/>
  <c r="I12" i="8"/>
  <c r="L155" i="8"/>
  <c r="L84" i="8"/>
  <c r="K155" i="8"/>
  <c r="F156" i="8" s="1"/>
  <c r="M84" i="8"/>
  <c r="R11" i="8"/>
  <c r="F4" i="7"/>
  <c r="M11" i="8"/>
  <c r="M155" i="8"/>
  <c r="K84" i="8"/>
  <c r="F85" i="8" s="1"/>
  <c r="B11" i="10"/>
  <c r="P47" i="8"/>
  <c r="Q47" i="8" s="1"/>
  <c r="I76" i="7"/>
  <c r="J76" i="7" s="1"/>
  <c r="M76" i="7" s="1"/>
  <c r="D12" i="10"/>
  <c r="P120" i="8"/>
  <c r="Q120" i="8" s="1"/>
  <c r="F11" i="10"/>
  <c r="P191" i="8"/>
  <c r="Q191" i="8" s="1"/>
  <c r="L11" i="8"/>
  <c r="F148" i="7"/>
  <c r="K76" i="7" l="1"/>
  <c r="F77" i="7" s="1"/>
  <c r="L76" i="7"/>
  <c r="R76" i="7"/>
  <c r="J85" i="8"/>
  <c r="K85" i="8" s="1"/>
  <c r="F86" i="8" s="1"/>
  <c r="I85" i="8"/>
  <c r="M12" i="8"/>
  <c r="I148" i="7"/>
  <c r="J148" i="7" s="1"/>
  <c r="I4" i="7"/>
  <c r="J4" i="7" s="1"/>
  <c r="L12" i="8"/>
  <c r="K12" i="8"/>
  <c r="F13" i="8" s="1"/>
  <c r="J156" i="8"/>
  <c r="I156" i="8"/>
  <c r="P112" i="7"/>
  <c r="Q112" i="7" s="1"/>
  <c r="D4" i="9"/>
  <c r="B12" i="10"/>
  <c r="P48" i="8"/>
  <c r="Q48" i="8" s="1"/>
  <c r="P184" i="7" l="1"/>
  <c r="Q184" i="7" s="1"/>
  <c r="F4" i="9"/>
  <c r="L148" i="7"/>
  <c r="K148" i="7"/>
  <c r="R148" i="7"/>
  <c r="M148" i="7"/>
  <c r="P40" i="7"/>
  <c r="Q40" i="7" s="1"/>
  <c r="B4" i="9"/>
  <c r="M4" i="7"/>
  <c r="R4" i="7"/>
  <c r="K4" i="7"/>
  <c r="L4" i="7"/>
  <c r="J86" i="8"/>
  <c r="I86" i="8"/>
  <c r="F12" i="10"/>
  <c r="P192" i="8"/>
  <c r="Q192" i="8" s="1"/>
  <c r="D13" i="10"/>
  <c r="P121" i="8"/>
  <c r="Q121" i="8" s="1"/>
  <c r="M156" i="8"/>
  <c r="L85" i="8"/>
  <c r="I77" i="7"/>
  <c r="J77" i="7" s="1"/>
  <c r="R156" i="8"/>
  <c r="K156" i="8"/>
  <c r="F157" i="8" s="1"/>
  <c r="M85" i="8"/>
  <c r="J13" i="8"/>
  <c r="I13" i="8"/>
  <c r="R85" i="8"/>
  <c r="L156" i="8"/>
  <c r="P113" i="7" l="1"/>
  <c r="Q113" i="7" s="1"/>
  <c r="D5" i="9"/>
  <c r="K77" i="7"/>
  <c r="L77" i="7"/>
  <c r="M77" i="7"/>
  <c r="R77" i="7"/>
  <c r="D14" i="10"/>
  <c r="P122" i="8"/>
  <c r="Q122" i="8" s="1"/>
  <c r="F149" i="7"/>
  <c r="B13" i="10"/>
  <c r="P49" i="8"/>
  <c r="Q49" i="8" s="1"/>
  <c r="R13" i="8"/>
  <c r="K86" i="8"/>
  <c r="F87" i="8" s="1"/>
  <c r="M13" i="8"/>
  <c r="R86" i="8"/>
  <c r="L86" i="8"/>
  <c r="J157" i="8"/>
  <c r="I157" i="8"/>
  <c r="F5" i="7"/>
  <c r="K13" i="8"/>
  <c r="F14" i="8" s="1"/>
  <c r="L13" i="8"/>
  <c r="M86" i="8"/>
  <c r="F13" i="10" l="1"/>
  <c r="P193" i="8"/>
  <c r="Q193" i="8" s="1"/>
  <c r="K157" i="8"/>
  <c r="F158" i="8" s="1"/>
  <c r="R157" i="8"/>
  <c r="J87" i="8"/>
  <c r="M87" i="8" s="1"/>
  <c r="I87" i="8"/>
  <c r="M157" i="8"/>
  <c r="L157" i="8"/>
  <c r="F78" i="7"/>
  <c r="J14" i="8"/>
  <c r="K14" i="8" s="1"/>
  <c r="F15" i="8" s="1"/>
  <c r="I14" i="8"/>
  <c r="I149" i="7"/>
  <c r="J149" i="7" s="1"/>
  <c r="I5" i="7"/>
  <c r="J5" i="7" s="1"/>
  <c r="K5" i="7" s="1"/>
  <c r="L5" i="7" l="1"/>
  <c r="M5" i="7"/>
  <c r="R5" i="7"/>
  <c r="J15" i="8"/>
  <c r="R15" i="8" s="1"/>
  <c r="I15" i="8"/>
  <c r="F6" i="7"/>
  <c r="P185" i="7"/>
  <c r="Q185" i="7" s="1"/>
  <c r="F5" i="9"/>
  <c r="R149" i="7"/>
  <c r="I78" i="7"/>
  <c r="J78" i="7" s="1"/>
  <c r="B5" i="9"/>
  <c r="P41" i="7"/>
  <c r="Q41" i="7" s="1"/>
  <c r="J158" i="8"/>
  <c r="R158" i="8" s="1"/>
  <c r="I158" i="8"/>
  <c r="D15" i="10"/>
  <c r="P123" i="8"/>
  <c r="Q123" i="8" s="1"/>
  <c r="M149" i="7"/>
  <c r="K87" i="8"/>
  <c r="F88" i="8" s="1"/>
  <c r="B14" i="10"/>
  <c r="P50" i="8"/>
  <c r="Q50" i="8" s="1"/>
  <c r="K149" i="7"/>
  <c r="L14" i="8"/>
  <c r="L87" i="8"/>
  <c r="R14" i="8"/>
  <c r="L149" i="7"/>
  <c r="M14" i="8"/>
  <c r="R87" i="8"/>
  <c r="D6" i="9" l="1"/>
  <c r="P114" i="7"/>
  <c r="Q114" i="7" s="1"/>
  <c r="R78" i="7"/>
  <c r="M78" i="7"/>
  <c r="L78" i="7"/>
  <c r="K78" i="7"/>
  <c r="J88" i="8"/>
  <c r="R88" i="8" s="1"/>
  <c r="I88" i="8"/>
  <c r="F14" i="10"/>
  <c r="P194" i="8"/>
  <c r="Q194" i="8" s="1"/>
  <c r="K158" i="8"/>
  <c r="F159" i="8" s="1"/>
  <c r="K15" i="8"/>
  <c r="F16" i="8" s="1"/>
  <c r="M158" i="8"/>
  <c r="F150" i="7"/>
  <c r="L158" i="8"/>
  <c r="L15" i="8"/>
  <c r="B15" i="10"/>
  <c r="P51" i="8"/>
  <c r="Q51" i="8" s="1"/>
  <c r="I6" i="7"/>
  <c r="J6" i="7" s="1"/>
  <c r="M15" i="8"/>
  <c r="P42" i="7" l="1"/>
  <c r="Q42" i="7" s="1"/>
  <c r="B6" i="9"/>
  <c r="L6" i="7"/>
  <c r="K6" i="7"/>
  <c r="M6" i="7"/>
  <c r="R6" i="7"/>
  <c r="J16" i="8"/>
  <c r="R16" i="8" s="1"/>
  <c r="I16" i="8"/>
  <c r="I150" i="7"/>
  <c r="J150" i="7" s="1"/>
  <c r="D16" i="10"/>
  <c r="P124" i="8"/>
  <c r="Q124" i="8" s="1"/>
  <c r="K88" i="8"/>
  <c r="F89" i="8" s="1"/>
  <c r="L88" i="8"/>
  <c r="J159" i="8"/>
  <c r="I159" i="8"/>
  <c r="M88" i="8"/>
  <c r="F79" i="7"/>
  <c r="P186" i="7" l="1"/>
  <c r="Q186" i="7" s="1"/>
  <c r="F6" i="9"/>
  <c r="R150" i="7"/>
  <c r="L150" i="7"/>
  <c r="M150" i="7"/>
  <c r="K150" i="7"/>
  <c r="F15" i="10"/>
  <c r="P195" i="8"/>
  <c r="Q195" i="8" s="1"/>
  <c r="F7" i="7"/>
  <c r="K16" i="8"/>
  <c r="F17" i="8" s="1"/>
  <c r="M159" i="8"/>
  <c r="B16" i="10"/>
  <c r="P52" i="8"/>
  <c r="Q52" i="8" s="1"/>
  <c r="I79" i="7"/>
  <c r="J79" i="7" s="1"/>
  <c r="J89" i="8"/>
  <c r="I89" i="8"/>
  <c r="M16" i="8"/>
  <c r="L16" i="8"/>
  <c r="L159" i="8"/>
  <c r="K159" i="8"/>
  <c r="F160" i="8" s="1"/>
  <c r="R159" i="8"/>
  <c r="P115" i="7" l="1"/>
  <c r="Q115" i="7" s="1"/>
  <c r="D7" i="9"/>
  <c r="L79" i="7"/>
  <c r="R79" i="7"/>
  <c r="K79" i="7"/>
  <c r="M79" i="7"/>
  <c r="D17" i="10"/>
  <c r="P125" i="8"/>
  <c r="Q125" i="8" s="1"/>
  <c r="I7" i="7"/>
  <c r="J7" i="7" s="1"/>
  <c r="J160" i="8"/>
  <c r="I160" i="8"/>
  <c r="R89" i="8"/>
  <c r="K89" i="8"/>
  <c r="F90" i="8" s="1"/>
  <c r="M89" i="8"/>
  <c r="L89" i="8"/>
  <c r="J17" i="8"/>
  <c r="K17" i="8" s="1"/>
  <c r="F18" i="8" s="1"/>
  <c r="I17" i="8"/>
  <c r="F151" i="7"/>
  <c r="J18" i="8" l="1"/>
  <c r="R18" i="8" s="1"/>
  <c r="I18" i="8"/>
  <c r="B7" i="9"/>
  <c r="P43" i="7"/>
  <c r="Q43" i="7" s="1"/>
  <c r="M7" i="7"/>
  <c r="K7" i="7"/>
  <c r="R7" i="7"/>
  <c r="L7" i="7"/>
  <c r="F16" i="10"/>
  <c r="P196" i="8"/>
  <c r="Q196" i="8" s="1"/>
  <c r="I151" i="7"/>
  <c r="J151" i="7" s="1"/>
  <c r="L17" i="8"/>
  <c r="L160" i="8"/>
  <c r="F80" i="7"/>
  <c r="R17" i="8"/>
  <c r="M160" i="8"/>
  <c r="M17" i="8"/>
  <c r="R160" i="8"/>
  <c r="J90" i="8"/>
  <c r="M90" i="8" s="1"/>
  <c r="I90" i="8"/>
  <c r="B17" i="10"/>
  <c r="P53" i="8"/>
  <c r="Q53" i="8" s="1"/>
  <c r="K160" i="8"/>
  <c r="F161" i="8" s="1"/>
  <c r="P187" i="7" l="1"/>
  <c r="Q187" i="7" s="1"/>
  <c r="F7" i="9"/>
  <c r="L151" i="7"/>
  <c r="M151" i="7"/>
  <c r="K151" i="7"/>
  <c r="R151" i="7"/>
  <c r="J161" i="8"/>
  <c r="I161" i="8"/>
  <c r="R90" i="8"/>
  <c r="L90" i="8"/>
  <c r="D18" i="10"/>
  <c r="P126" i="8"/>
  <c r="Q126" i="8" s="1"/>
  <c r="I80" i="7"/>
  <c r="J80" i="7" s="1"/>
  <c r="M18" i="8"/>
  <c r="K90" i="8"/>
  <c r="F91" i="8" s="1"/>
  <c r="L18" i="8"/>
  <c r="F8" i="7"/>
  <c r="B18" i="10"/>
  <c r="P54" i="8"/>
  <c r="Q54" i="8" s="1"/>
  <c r="K18" i="8"/>
  <c r="F19" i="8" s="1"/>
  <c r="P116" i="7" l="1"/>
  <c r="Q116" i="7" s="1"/>
  <c r="D8" i="9"/>
  <c r="L80" i="7"/>
  <c r="M80" i="7"/>
  <c r="R80" i="7"/>
  <c r="K80" i="7"/>
  <c r="F17" i="10"/>
  <c r="P197" i="8"/>
  <c r="Q197" i="8" s="1"/>
  <c r="K161" i="8"/>
  <c r="F162" i="8" s="1"/>
  <c r="F152" i="7"/>
  <c r="M161" i="8"/>
  <c r="I8" i="7"/>
  <c r="J8" i="7" s="1"/>
  <c r="J19" i="8"/>
  <c r="I19" i="8"/>
  <c r="R161" i="8"/>
  <c r="J91" i="8"/>
  <c r="M91" i="8" s="1"/>
  <c r="I91" i="8"/>
  <c r="L161" i="8"/>
  <c r="P44" i="7" l="1"/>
  <c r="Q44" i="7" s="1"/>
  <c r="B8" i="9"/>
  <c r="R8" i="7"/>
  <c r="K8" i="7"/>
  <c r="M8" i="7"/>
  <c r="L8" i="7"/>
  <c r="I152" i="7"/>
  <c r="J152" i="7" s="1"/>
  <c r="B19" i="10"/>
  <c r="P55" i="8"/>
  <c r="Q55" i="8" s="1"/>
  <c r="D19" i="10"/>
  <c r="P127" i="8"/>
  <c r="Q127" i="8" s="1"/>
  <c r="R19" i="8"/>
  <c r="K91" i="8"/>
  <c r="F92" i="8" s="1"/>
  <c r="L19" i="8"/>
  <c r="J162" i="8"/>
  <c r="K162" i="8" s="1"/>
  <c r="F163" i="8" s="1"/>
  <c r="I162" i="8"/>
  <c r="R91" i="8"/>
  <c r="K19" i="8"/>
  <c r="F20" i="8" s="1"/>
  <c r="L91" i="8"/>
  <c r="M19" i="8"/>
  <c r="F81" i="7"/>
  <c r="J163" i="8" l="1"/>
  <c r="R163" i="8" s="1"/>
  <c r="I163" i="8"/>
  <c r="P188" i="7"/>
  <c r="Q188" i="7" s="1"/>
  <c r="F8" i="9"/>
  <c r="F9" i="7"/>
  <c r="I81" i="7"/>
  <c r="J81" i="7" s="1"/>
  <c r="L152" i="7"/>
  <c r="F18" i="10"/>
  <c r="P198" i="8"/>
  <c r="Q198" i="8" s="1"/>
  <c r="M152" i="7"/>
  <c r="M162" i="8"/>
  <c r="K152" i="7"/>
  <c r="J92" i="8"/>
  <c r="R92" i="8" s="1"/>
  <c r="I92" i="8"/>
  <c r="L162" i="8"/>
  <c r="R152" i="7"/>
  <c r="J20" i="8"/>
  <c r="I20" i="8"/>
  <c r="R162" i="8"/>
  <c r="P117" i="7" l="1"/>
  <c r="Q117" i="7" s="1"/>
  <c r="D9" i="9"/>
  <c r="R81" i="7"/>
  <c r="L81" i="7"/>
  <c r="M81" i="7"/>
  <c r="K81" i="7"/>
  <c r="B20" i="10"/>
  <c r="P56" i="8"/>
  <c r="Q56" i="8" s="1"/>
  <c r="L92" i="8"/>
  <c r="R20" i="8"/>
  <c r="D20" i="10"/>
  <c r="P128" i="8"/>
  <c r="Q128" i="8" s="1"/>
  <c r="M20" i="8"/>
  <c r="K92" i="8"/>
  <c r="F93" i="8" s="1"/>
  <c r="K163" i="8"/>
  <c r="F164" i="8" s="1"/>
  <c r="M92" i="8"/>
  <c r="F153" i="7"/>
  <c r="I9" i="7"/>
  <c r="J9" i="7" s="1"/>
  <c r="L163" i="8"/>
  <c r="F19" i="10"/>
  <c r="P199" i="8"/>
  <c r="Q199" i="8" s="1"/>
  <c r="K20" i="8"/>
  <c r="F21" i="8" s="1"/>
  <c r="L20" i="8"/>
  <c r="M163" i="8"/>
  <c r="P45" i="7" l="1"/>
  <c r="Q45" i="7" s="1"/>
  <c r="B9" i="9"/>
  <c r="R9" i="7"/>
  <c r="L9" i="7"/>
  <c r="M9" i="7"/>
  <c r="K9" i="7"/>
  <c r="J164" i="8"/>
  <c r="I164" i="8"/>
  <c r="J93" i="8"/>
  <c r="I93" i="8"/>
  <c r="J21" i="8"/>
  <c r="L21" i="8" s="1"/>
  <c r="I21" i="8"/>
  <c r="I153" i="7"/>
  <c r="J153" i="7" s="1"/>
  <c r="F82" i="7"/>
  <c r="P189" i="7" l="1"/>
  <c r="Q189" i="7" s="1"/>
  <c r="F9" i="9"/>
  <c r="L153" i="7"/>
  <c r="K153" i="7"/>
  <c r="R153" i="7"/>
  <c r="M153" i="7"/>
  <c r="F20" i="10"/>
  <c r="P200" i="8"/>
  <c r="Q200" i="8" s="1"/>
  <c r="R21" i="8"/>
  <c r="D21" i="10"/>
  <c r="P129" i="8"/>
  <c r="Q129" i="8" s="1"/>
  <c r="L164" i="8"/>
  <c r="I82" i="7"/>
  <c r="J82" i="7" s="1"/>
  <c r="K93" i="8"/>
  <c r="F94" i="8" s="1"/>
  <c r="M164" i="8"/>
  <c r="B21" i="10"/>
  <c r="P57" i="8"/>
  <c r="Q57" i="8" s="1"/>
  <c r="M93" i="8"/>
  <c r="F10" i="7"/>
  <c r="M21" i="8"/>
  <c r="R164" i="8"/>
  <c r="L93" i="8"/>
  <c r="R93" i="8"/>
  <c r="K164" i="8"/>
  <c r="F165" i="8" s="1"/>
  <c r="K21" i="8"/>
  <c r="F22" i="8" s="1"/>
  <c r="P118" i="7" l="1"/>
  <c r="Q118" i="7" s="1"/>
  <c r="D10" i="9"/>
  <c r="R82" i="7"/>
  <c r="L82" i="7"/>
  <c r="K82" i="7"/>
  <c r="M82" i="7"/>
  <c r="J165" i="8"/>
  <c r="I165" i="8"/>
  <c r="I10" i="7"/>
  <c r="J10" i="7" s="1"/>
  <c r="F154" i="7"/>
  <c r="J22" i="8"/>
  <c r="L22" i="8" s="1"/>
  <c r="I22" i="8"/>
  <c r="J94" i="8"/>
  <c r="R94" i="8" s="1"/>
  <c r="I94" i="8"/>
  <c r="B10" i="9" l="1"/>
  <c r="P46" i="7"/>
  <c r="Q46" i="7" s="1"/>
  <c r="R10" i="7"/>
  <c r="L10" i="7"/>
  <c r="K10" i="7"/>
  <c r="M10" i="7"/>
  <c r="F21" i="10"/>
  <c r="P201" i="8"/>
  <c r="Q201" i="8" s="1"/>
  <c r="L94" i="8"/>
  <c r="M22" i="8"/>
  <c r="F83" i="7"/>
  <c r="M94" i="8"/>
  <c r="I154" i="7"/>
  <c r="J154" i="7" s="1"/>
  <c r="R154" i="7" s="1"/>
  <c r="R165" i="8"/>
  <c r="D22" i="10"/>
  <c r="P130" i="8"/>
  <c r="Q130" i="8" s="1"/>
  <c r="M165" i="8"/>
  <c r="B22" i="10"/>
  <c r="P58" i="8"/>
  <c r="Q58" i="8" s="1"/>
  <c r="K165" i="8"/>
  <c r="F166" i="8" s="1"/>
  <c r="K22" i="8"/>
  <c r="F23" i="8" s="1"/>
  <c r="L165" i="8"/>
  <c r="K94" i="8"/>
  <c r="F95" i="8" s="1"/>
  <c r="R22" i="8"/>
  <c r="P190" i="7" l="1"/>
  <c r="Q190" i="7" s="1"/>
  <c r="F10" i="9"/>
  <c r="J95" i="8"/>
  <c r="R95" i="8" s="1"/>
  <c r="I95" i="8"/>
  <c r="K154" i="7"/>
  <c r="M154" i="7"/>
  <c r="J23" i="8"/>
  <c r="K23" i="8" s="1"/>
  <c r="F24" i="8" s="1"/>
  <c r="I23" i="8"/>
  <c r="J166" i="8"/>
  <c r="R166" i="8" s="1"/>
  <c r="I166" i="8"/>
  <c r="L154" i="7"/>
  <c r="I83" i="7"/>
  <c r="J83" i="7" s="1"/>
  <c r="F11" i="7"/>
  <c r="J24" i="8" l="1"/>
  <c r="K24" i="8" s="1"/>
  <c r="F25" i="8" s="1"/>
  <c r="I24" i="8"/>
  <c r="D11" i="9"/>
  <c r="P119" i="7"/>
  <c r="Q119" i="7" s="1"/>
  <c r="M83" i="7"/>
  <c r="R83" i="7"/>
  <c r="L83" i="7"/>
  <c r="K83" i="7"/>
  <c r="L166" i="8"/>
  <c r="M166" i="8"/>
  <c r="B23" i="10"/>
  <c r="P59" i="8"/>
  <c r="Q59" i="8" s="1"/>
  <c r="K95" i="8"/>
  <c r="F96" i="8" s="1"/>
  <c r="M23" i="8"/>
  <c r="L95" i="8"/>
  <c r="F22" i="10"/>
  <c r="P202" i="8"/>
  <c r="Q202" i="8" s="1"/>
  <c r="M95" i="8"/>
  <c r="K166" i="8"/>
  <c r="F167" i="8" s="1"/>
  <c r="F155" i="7"/>
  <c r="L23" i="8"/>
  <c r="I11" i="7"/>
  <c r="J11" i="7" s="1"/>
  <c r="R23" i="8"/>
  <c r="D23" i="10"/>
  <c r="P131" i="8"/>
  <c r="Q131" i="8" s="1"/>
  <c r="P47" i="7" l="1"/>
  <c r="Q47" i="7" s="1"/>
  <c r="B11" i="9"/>
  <c r="L11" i="7"/>
  <c r="K11" i="7"/>
  <c r="R11" i="7"/>
  <c r="M11" i="7"/>
  <c r="J25" i="8"/>
  <c r="I25" i="8"/>
  <c r="F84" i="7"/>
  <c r="J167" i="8"/>
  <c r="M167" i="8" s="1"/>
  <c r="I167" i="8"/>
  <c r="J96" i="8"/>
  <c r="R96" i="8" s="1"/>
  <c r="I96" i="8"/>
  <c r="I155" i="7"/>
  <c r="J155" i="7" s="1"/>
  <c r="R24" i="8"/>
  <c r="B24" i="10"/>
  <c r="P60" i="8"/>
  <c r="Q60" i="8" s="1"/>
  <c r="M24" i="8"/>
  <c r="L24" i="8"/>
  <c r="P191" i="7" l="1"/>
  <c r="Q191" i="7" s="1"/>
  <c r="F11" i="9"/>
  <c r="M155" i="7"/>
  <c r="K155" i="7"/>
  <c r="L155" i="7"/>
  <c r="R155" i="7"/>
  <c r="F12" i="7"/>
  <c r="B25" i="10"/>
  <c r="P61" i="8"/>
  <c r="Q61" i="8" s="1"/>
  <c r="L167" i="8"/>
  <c r="R25" i="8"/>
  <c r="D24" i="10"/>
  <c r="P132" i="8"/>
  <c r="Q132" i="8" s="1"/>
  <c r="M25" i="8"/>
  <c r="P203" i="8"/>
  <c r="Q203" i="8" s="1"/>
  <c r="F23" i="10"/>
  <c r="M96" i="8"/>
  <c r="K167" i="8"/>
  <c r="F168" i="8" s="1"/>
  <c r="K25" i="8"/>
  <c r="F26" i="8" s="1"/>
  <c r="K96" i="8"/>
  <c r="F97" i="8" s="1"/>
  <c r="R167" i="8"/>
  <c r="L25" i="8"/>
  <c r="L96" i="8"/>
  <c r="I84" i="7"/>
  <c r="J84" i="7" s="1"/>
  <c r="P120" i="7" l="1"/>
  <c r="Q120" i="7" s="1"/>
  <c r="D12" i="9"/>
  <c r="R84" i="7"/>
  <c r="L84" i="7"/>
  <c r="M84" i="7"/>
  <c r="K84" i="7"/>
  <c r="F156" i="7"/>
  <c r="J97" i="8"/>
  <c r="M97" i="8" s="1"/>
  <c r="I97" i="8"/>
  <c r="J168" i="8"/>
  <c r="R168" i="8" s="1"/>
  <c r="I168" i="8"/>
  <c r="J26" i="8"/>
  <c r="R26" i="8" s="1"/>
  <c r="I26" i="8"/>
  <c r="I12" i="7"/>
  <c r="J12" i="7" s="1"/>
  <c r="P48" i="7" l="1"/>
  <c r="Q48" i="7" s="1"/>
  <c r="B12" i="9"/>
  <c r="M12" i="7"/>
  <c r="L12" i="7"/>
  <c r="K12" i="7"/>
  <c r="R12" i="7"/>
  <c r="R97" i="8"/>
  <c r="L26" i="8"/>
  <c r="K26" i="8"/>
  <c r="F27" i="8" s="1"/>
  <c r="K97" i="8"/>
  <c r="F98" i="8" s="1"/>
  <c r="L97" i="8"/>
  <c r="F24" i="10"/>
  <c r="P204" i="8"/>
  <c r="Q204" i="8" s="1"/>
  <c r="K168" i="8"/>
  <c r="F169" i="8" s="1"/>
  <c r="B26" i="10"/>
  <c r="P62" i="8"/>
  <c r="Q62" i="8" s="1"/>
  <c r="L168" i="8"/>
  <c r="I156" i="7"/>
  <c r="J156" i="7" s="1"/>
  <c r="M26" i="8"/>
  <c r="M168" i="8"/>
  <c r="D25" i="10"/>
  <c r="P133" i="8"/>
  <c r="Q133" i="8" s="1"/>
  <c r="F85" i="7"/>
  <c r="F12" i="9" l="1"/>
  <c r="P192" i="7"/>
  <c r="Q192" i="7" s="1"/>
  <c r="K156" i="7"/>
  <c r="R156" i="7"/>
  <c r="L156" i="7"/>
  <c r="M156" i="7"/>
  <c r="I85" i="7"/>
  <c r="J85" i="7" s="1"/>
  <c r="K85" i="7" s="1"/>
  <c r="J98" i="8"/>
  <c r="K98" i="8" s="1"/>
  <c r="F99" i="8" s="1"/>
  <c r="I98" i="8"/>
  <c r="J169" i="8"/>
  <c r="I169" i="8"/>
  <c r="J27" i="8"/>
  <c r="R27" i="8" s="1"/>
  <c r="I27" i="8"/>
  <c r="F13" i="7"/>
  <c r="J99" i="8" l="1"/>
  <c r="R99" i="8" s="1"/>
  <c r="I99" i="8"/>
  <c r="F86" i="7"/>
  <c r="F25" i="10"/>
  <c r="P205" i="8"/>
  <c r="Q205" i="8" s="1"/>
  <c r="M85" i="7"/>
  <c r="K169" i="8"/>
  <c r="F170" i="8" s="1"/>
  <c r="B27" i="10"/>
  <c r="P63" i="8"/>
  <c r="Q63" i="8" s="1"/>
  <c r="M27" i="8"/>
  <c r="K27" i="8"/>
  <c r="F28" i="8" s="1"/>
  <c r="M169" i="8"/>
  <c r="P121" i="7"/>
  <c r="Q121" i="7" s="1"/>
  <c r="D13" i="9"/>
  <c r="F157" i="7"/>
  <c r="L27" i="8"/>
  <c r="R98" i="8"/>
  <c r="L85" i="7"/>
  <c r="D26" i="10"/>
  <c r="P134" i="8"/>
  <c r="Q134" i="8" s="1"/>
  <c r="R85" i="7"/>
  <c r="I13" i="7"/>
  <c r="J13" i="7" s="1"/>
  <c r="R13" i="7" s="1"/>
  <c r="L169" i="8"/>
  <c r="L98" i="8"/>
  <c r="R169" i="8"/>
  <c r="M98" i="8"/>
  <c r="M13" i="7" l="1"/>
  <c r="L13" i="7"/>
  <c r="I86" i="7"/>
  <c r="J86" i="7" s="1"/>
  <c r="R86" i="7" s="1"/>
  <c r="J170" i="8"/>
  <c r="R170" i="8" s="1"/>
  <c r="I170" i="8"/>
  <c r="J28" i="8"/>
  <c r="R28" i="8" s="1"/>
  <c r="I28" i="8"/>
  <c r="D27" i="10"/>
  <c r="P135" i="8"/>
  <c r="Q135" i="8" s="1"/>
  <c r="K99" i="8"/>
  <c r="F100" i="8" s="1"/>
  <c r="B13" i="9"/>
  <c r="P49" i="7"/>
  <c r="Q49" i="7" s="1"/>
  <c r="L99" i="8"/>
  <c r="I157" i="7"/>
  <c r="J157" i="7" s="1"/>
  <c r="K13" i="7"/>
  <c r="M99" i="8"/>
  <c r="L157" i="7" l="1"/>
  <c r="M157" i="7"/>
  <c r="K157" i="7"/>
  <c r="F158" i="7" s="1"/>
  <c r="L28" i="8"/>
  <c r="M170" i="8"/>
  <c r="F14" i="7"/>
  <c r="J100" i="8"/>
  <c r="M100" i="8" s="1"/>
  <c r="I100" i="8"/>
  <c r="M28" i="8"/>
  <c r="B28" i="10"/>
  <c r="P64" i="8"/>
  <c r="Q64" i="8" s="1"/>
  <c r="K86" i="7"/>
  <c r="L86" i="7"/>
  <c r="P206" i="8"/>
  <c r="Q206" i="8" s="1"/>
  <c r="F26" i="10"/>
  <c r="M86" i="7"/>
  <c r="P193" i="7"/>
  <c r="Q193" i="7" s="1"/>
  <c r="F13" i="9"/>
  <c r="K170" i="8"/>
  <c r="F171" i="8" s="1"/>
  <c r="R157" i="7"/>
  <c r="K28" i="8"/>
  <c r="F29" i="8" s="1"/>
  <c r="L170" i="8"/>
  <c r="P122" i="7"/>
  <c r="Q122" i="7" s="1"/>
  <c r="D14" i="9"/>
  <c r="D28" i="10" l="1"/>
  <c r="P136" i="8"/>
  <c r="Q136" i="8" s="1"/>
  <c r="J171" i="8"/>
  <c r="I171" i="8"/>
  <c r="R100" i="8"/>
  <c r="I14" i="7"/>
  <c r="J14" i="7" s="1"/>
  <c r="R14" i="7" s="1"/>
  <c r="I158" i="7"/>
  <c r="J158" i="7" s="1"/>
  <c r="K100" i="8"/>
  <c r="F101" i="8" s="1"/>
  <c r="J29" i="8"/>
  <c r="K29" i="8" s="1"/>
  <c r="F30" i="8" s="1"/>
  <c r="I29" i="8"/>
  <c r="F87" i="7"/>
  <c r="L100" i="8"/>
  <c r="P194" i="7" l="1"/>
  <c r="Q194" i="7" s="1"/>
  <c r="F14" i="9"/>
  <c r="L158" i="7"/>
  <c r="K158" i="7"/>
  <c r="F159" i="7" s="1"/>
  <c r="R158" i="7"/>
  <c r="M158" i="7"/>
  <c r="J30" i="8"/>
  <c r="L30" i="8" s="1"/>
  <c r="I30" i="8"/>
  <c r="F27" i="10"/>
  <c r="P207" i="8"/>
  <c r="Q207" i="8" s="1"/>
  <c r="L14" i="7"/>
  <c r="K14" i="7"/>
  <c r="K171" i="8"/>
  <c r="F172" i="8" s="1"/>
  <c r="R29" i="8"/>
  <c r="L29" i="8"/>
  <c r="J101" i="8"/>
  <c r="I101" i="8"/>
  <c r="P50" i="7"/>
  <c r="Q50" i="7" s="1"/>
  <c r="B14" i="9"/>
  <c r="I87" i="7"/>
  <c r="J87" i="7" s="1"/>
  <c r="L171" i="8"/>
  <c r="M14" i="7"/>
  <c r="M171" i="8"/>
  <c r="B29" i="10"/>
  <c r="P65" i="8"/>
  <c r="Q65" i="8" s="1"/>
  <c r="M29" i="8"/>
  <c r="R171" i="8"/>
  <c r="P123" i="7" l="1"/>
  <c r="Q123" i="7" s="1"/>
  <c r="D15" i="9"/>
  <c r="D29" i="10"/>
  <c r="P137" i="8"/>
  <c r="Q137" i="8" s="1"/>
  <c r="B30" i="10"/>
  <c r="P66" i="8"/>
  <c r="Q66" i="8" s="1"/>
  <c r="K101" i="8"/>
  <c r="F102" i="8" s="1"/>
  <c r="M30" i="8"/>
  <c r="M101" i="8"/>
  <c r="L87" i="7"/>
  <c r="M87" i="7"/>
  <c r="I159" i="7"/>
  <c r="J159" i="7" s="1"/>
  <c r="L159" i="7" s="1"/>
  <c r="R87" i="7"/>
  <c r="J172" i="8"/>
  <c r="I172" i="8"/>
  <c r="K30" i="8"/>
  <c r="F31" i="8" s="1"/>
  <c r="K87" i="7"/>
  <c r="R101" i="8"/>
  <c r="F15" i="7"/>
  <c r="L101" i="8"/>
  <c r="R30" i="8"/>
  <c r="R159" i="7" l="1"/>
  <c r="P208" i="8"/>
  <c r="Q208" i="8" s="1"/>
  <c r="F28" i="10"/>
  <c r="K159" i="7"/>
  <c r="M172" i="8"/>
  <c r="K172" i="8"/>
  <c r="F173" i="8" s="1"/>
  <c r="J31" i="8"/>
  <c r="R31" i="8" s="1"/>
  <c r="I31" i="8"/>
  <c r="P195" i="7"/>
  <c r="Q195" i="7" s="1"/>
  <c r="F15" i="9"/>
  <c r="J102" i="8"/>
  <c r="R102" i="8" s="1"/>
  <c r="I102" i="8"/>
  <c r="M159" i="7"/>
  <c r="I15" i="7"/>
  <c r="J15" i="7" s="1"/>
  <c r="L172" i="8"/>
  <c r="R172" i="8"/>
  <c r="F88" i="7"/>
  <c r="P51" i="7" l="1"/>
  <c r="Q51" i="7" s="1"/>
  <c r="B15" i="9"/>
  <c r="M15" i="7"/>
  <c r="L15" i="7"/>
  <c r="K15" i="7"/>
  <c r="R15" i="7"/>
  <c r="J173" i="8"/>
  <c r="K173" i="8" s="1"/>
  <c r="F174" i="8" s="1"/>
  <c r="I173" i="8"/>
  <c r="F160" i="7"/>
  <c r="D30" i="10"/>
  <c r="P138" i="8"/>
  <c r="Q138" i="8" s="1"/>
  <c r="L102" i="8"/>
  <c r="K31" i="8"/>
  <c r="F32" i="8" s="1"/>
  <c r="I88" i="7"/>
  <c r="J88" i="7" s="1"/>
  <c r="M102" i="8"/>
  <c r="L31" i="8"/>
  <c r="M31" i="8"/>
  <c r="K102" i="8"/>
  <c r="F103" i="8" s="1"/>
  <c r="B31" i="10"/>
  <c r="P67" i="8"/>
  <c r="Q67" i="8" s="1"/>
  <c r="D16" i="9" l="1"/>
  <c r="P124" i="7"/>
  <c r="Q124" i="7" s="1"/>
  <c r="R88" i="7"/>
  <c r="M88" i="7"/>
  <c r="K88" i="7"/>
  <c r="L88" i="7"/>
  <c r="J174" i="8"/>
  <c r="I174" i="8"/>
  <c r="L173" i="8"/>
  <c r="R173" i="8"/>
  <c r="J32" i="8"/>
  <c r="L32" i="8" s="1"/>
  <c r="I32" i="8"/>
  <c r="M173" i="8"/>
  <c r="J103" i="8"/>
  <c r="R103" i="8" s="1"/>
  <c r="I103" i="8"/>
  <c r="I160" i="7"/>
  <c r="J160" i="7" s="1"/>
  <c r="F29" i="10"/>
  <c r="P209" i="8"/>
  <c r="Q209" i="8" s="1"/>
  <c r="F16" i="7"/>
  <c r="F30" i="10" l="1"/>
  <c r="P210" i="8"/>
  <c r="Q210" i="8" s="1"/>
  <c r="L103" i="8"/>
  <c r="R32" i="8"/>
  <c r="K174" i="8"/>
  <c r="F175" i="8" s="1"/>
  <c r="P196" i="7"/>
  <c r="Q196" i="7" s="1"/>
  <c r="F16" i="9"/>
  <c r="F89" i="7"/>
  <c r="M160" i="7"/>
  <c r="K32" i="8"/>
  <c r="F33" i="8" s="1"/>
  <c r="L160" i="7"/>
  <c r="M32" i="8"/>
  <c r="L174" i="8"/>
  <c r="D31" i="10"/>
  <c r="P139" i="8"/>
  <c r="Q139" i="8" s="1"/>
  <c r="M174" i="8"/>
  <c r="B32" i="10"/>
  <c r="P68" i="8"/>
  <c r="Q68" i="8" s="1"/>
  <c r="R174" i="8"/>
  <c r="K103" i="8"/>
  <c r="F104" i="8" s="1"/>
  <c r="R160" i="7"/>
  <c r="I16" i="7"/>
  <c r="J16" i="7" s="1"/>
  <c r="K160" i="7"/>
  <c r="M103" i="8"/>
  <c r="P52" i="7" l="1"/>
  <c r="Q52" i="7" s="1"/>
  <c r="B16" i="9"/>
  <c r="K16" i="7"/>
  <c r="R16" i="7"/>
  <c r="M16" i="7"/>
  <c r="L16" i="7"/>
  <c r="F161" i="7"/>
  <c r="J104" i="8"/>
  <c r="L104" i="8" s="1"/>
  <c r="I104" i="8"/>
  <c r="J33" i="8"/>
  <c r="I33" i="8"/>
  <c r="I89" i="7"/>
  <c r="J89" i="7" s="1"/>
  <c r="J175" i="8"/>
  <c r="I175" i="8"/>
  <c r="P125" i="7" l="1"/>
  <c r="Q125" i="7" s="1"/>
  <c r="D17" i="9"/>
  <c r="M89" i="7"/>
  <c r="K89" i="7"/>
  <c r="L89" i="7"/>
  <c r="R89" i="7"/>
  <c r="B33" i="10"/>
  <c r="P69" i="8"/>
  <c r="Q69" i="8" s="1"/>
  <c r="D32" i="10"/>
  <c r="P140" i="8"/>
  <c r="Q140" i="8" s="1"/>
  <c r="M33" i="8"/>
  <c r="I161" i="7"/>
  <c r="J161" i="7" s="1"/>
  <c r="F31" i="10"/>
  <c r="P211" i="8"/>
  <c r="Q211" i="8" s="1"/>
  <c r="L175" i="8"/>
  <c r="M175" i="8"/>
  <c r="K33" i="8"/>
  <c r="F34" i="8" s="1"/>
  <c r="K104" i="8"/>
  <c r="F105" i="8" s="1"/>
  <c r="F17" i="7"/>
  <c r="L33" i="8"/>
  <c r="M104" i="8"/>
  <c r="R33" i="8"/>
  <c r="R175" i="8"/>
  <c r="K175" i="8"/>
  <c r="F176" i="8" s="1"/>
  <c r="R104" i="8"/>
  <c r="P197" i="7" l="1"/>
  <c r="Q197" i="7" s="1"/>
  <c r="F17" i="9"/>
  <c r="R161" i="7"/>
  <c r="M161" i="7"/>
  <c r="K161" i="7"/>
  <c r="L161" i="7"/>
  <c r="F90" i="7"/>
  <c r="I17" i="7"/>
  <c r="J17" i="7" s="1"/>
  <c r="J105" i="8"/>
  <c r="L105" i="8" s="1"/>
  <c r="I105" i="8"/>
  <c r="J176" i="8"/>
  <c r="K176" i="8" s="1"/>
  <c r="F177" i="8" s="1"/>
  <c r="I176" i="8"/>
  <c r="J34" i="8"/>
  <c r="I34" i="8"/>
  <c r="J177" i="8" l="1"/>
  <c r="I177" i="8"/>
  <c r="P53" i="7"/>
  <c r="Q53" i="7" s="1"/>
  <c r="B17" i="9"/>
  <c r="L17" i="7"/>
  <c r="R17" i="7"/>
  <c r="M17" i="7"/>
  <c r="K17" i="7"/>
  <c r="B34" i="10"/>
  <c r="P70" i="8"/>
  <c r="Q70" i="8" s="1"/>
  <c r="K105" i="8"/>
  <c r="F106" i="8" s="1"/>
  <c r="F32" i="10"/>
  <c r="P212" i="8"/>
  <c r="Q212" i="8" s="1"/>
  <c r="F162" i="7"/>
  <c r="L176" i="8"/>
  <c r="D33" i="10"/>
  <c r="P141" i="8"/>
  <c r="Q141" i="8" s="1"/>
  <c r="M34" i="8"/>
  <c r="M176" i="8"/>
  <c r="M105" i="8"/>
  <c r="I90" i="7"/>
  <c r="J90" i="7" s="1"/>
  <c r="L34" i="8"/>
  <c r="K34" i="8"/>
  <c r="F35" i="8" s="1"/>
  <c r="R105" i="8"/>
  <c r="R34" i="8"/>
  <c r="R176" i="8"/>
  <c r="K90" i="7" l="1"/>
  <c r="F91" i="7" s="1"/>
  <c r="L90" i="7"/>
  <c r="R90" i="7"/>
  <c r="M90" i="7"/>
  <c r="F18" i="7"/>
  <c r="P213" i="8"/>
  <c r="Q213" i="8" s="1"/>
  <c r="F33" i="10"/>
  <c r="K177" i="8"/>
  <c r="F178" i="8" s="1"/>
  <c r="P126" i="7"/>
  <c r="Q126" i="7" s="1"/>
  <c r="D18" i="9"/>
  <c r="J35" i="8"/>
  <c r="I35" i="8"/>
  <c r="I162" i="7"/>
  <c r="J162" i="7" s="1"/>
  <c r="R162" i="7" s="1"/>
  <c r="L177" i="8"/>
  <c r="J106" i="8"/>
  <c r="K106" i="8" s="1"/>
  <c r="F107" i="8" s="1"/>
  <c r="I106" i="8"/>
  <c r="R177" i="8"/>
  <c r="M177" i="8"/>
  <c r="J107" i="8" l="1"/>
  <c r="I107" i="8"/>
  <c r="I91" i="7"/>
  <c r="J91" i="7" s="1"/>
  <c r="L91" i="7" s="1"/>
  <c r="B35" i="10"/>
  <c r="P71" i="8"/>
  <c r="Q71" i="8" s="1"/>
  <c r="M106" i="8"/>
  <c r="R106" i="8"/>
  <c r="P198" i="7"/>
  <c r="Q198" i="7" s="1"/>
  <c r="F18" i="9"/>
  <c r="M162" i="7"/>
  <c r="K35" i="8"/>
  <c r="F36" i="8" s="1"/>
  <c r="J178" i="8"/>
  <c r="M178" i="8" s="1"/>
  <c r="I178" i="8"/>
  <c r="D34" i="10"/>
  <c r="P142" i="8"/>
  <c r="Q142" i="8" s="1"/>
  <c r="R35" i="8"/>
  <c r="K162" i="7"/>
  <c r="L35" i="8"/>
  <c r="L106" i="8"/>
  <c r="L162" i="7"/>
  <c r="M35" i="8"/>
  <c r="I18" i="7"/>
  <c r="J18" i="7" s="1"/>
  <c r="P54" i="7" l="1"/>
  <c r="Q54" i="7" s="1"/>
  <c r="B18" i="9"/>
  <c r="L18" i="7"/>
  <c r="K18" i="7"/>
  <c r="R18" i="7"/>
  <c r="M18" i="7"/>
  <c r="D35" i="10"/>
  <c r="P143" i="8"/>
  <c r="Q143" i="8" s="1"/>
  <c r="D19" i="9"/>
  <c r="P127" i="7"/>
  <c r="Q127" i="7" s="1"/>
  <c r="R178" i="8"/>
  <c r="L178" i="8"/>
  <c r="M91" i="7"/>
  <c r="K107" i="8"/>
  <c r="F108" i="8" s="1"/>
  <c r="F163" i="7"/>
  <c r="R107" i="8"/>
  <c r="K178" i="8"/>
  <c r="F179" i="8" s="1"/>
  <c r="R91" i="7"/>
  <c r="L107" i="8"/>
  <c r="F34" i="10"/>
  <c r="P214" i="8"/>
  <c r="Q214" i="8" s="1"/>
  <c r="J36" i="8"/>
  <c r="M36" i="8" s="1"/>
  <c r="I36" i="8"/>
  <c r="K91" i="7"/>
  <c r="M107" i="8"/>
  <c r="F19" i="7" l="1"/>
  <c r="R36" i="8"/>
  <c r="L36" i="8"/>
  <c r="K36" i="8"/>
  <c r="F37" i="8" s="1"/>
  <c r="J179" i="8"/>
  <c r="R179" i="8" s="1"/>
  <c r="I179" i="8"/>
  <c r="I163" i="7"/>
  <c r="J163" i="7" s="1"/>
  <c r="B36" i="10"/>
  <c r="P72" i="8"/>
  <c r="Q72" i="8" s="1"/>
  <c r="F92" i="7"/>
  <c r="J108" i="8"/>
  <c r="L108" i="8" s="1"/>
  <c r="I108" i="8"/>
  <c r="L163" i="7" l="1"/>
  <c r="K163" i="7"/>
  <c r="F164" i="7" s="1"/>
  <c r="M163" i="7"/>
  <c r="R163" i="7"/>
  <c r="I92" i="7"/>
  <c r="J92" i="7" s="1"/>
  <c r="K179" i="8"/>
  <c r="F180" i="8" s="1"/>
  <c r="M179" i="8"/>
  <c r="R108" i="8"/>
  <c r="K108" i="8"/>
  <c r="F109" i="8" s="1"/>
  <c r="L179" i="8"/>
  <c r="D36" i="10"/>
  <c r="P144" i="8"/>
  <c r="Q144" i="8" s="1"/>
  <c r="J37" i="8"/>
  <c r="K37" i="8" s="1"/>
  <c r="I37" i="8"/>
  <c r="M108" i="8"/>
  <c r="P199" i="7"/>
  <c r="Q199" i="7" s="1"/>
  <c r="F19" i="9"/>
  <c r="F35" i="10"/>
  <c r="P215" i="8"/>
  <c r="Q215" i="8" s="1"/>
  <c r="I19" i="7"/>
  <c r="J19" i="7" s="1"/>
  <c r="P128" i="7" l="1"/>
  <c r="Q128" i="7" s="1"/>
  <c r="D20" i="9"/>
  <c r="M92" i="7"/>
  <c r="L92" i="7"/>
  <c r="K92" i="7"/>
  <c r="R92" i="7"/>
  <c r="P55" i="7"/>
  <c r="Q55" i="7" s="1"/>
  <c r="B19" i="9"/>
  <c r="K19" i="7"/>
  <c r="L19" i="7"/>
  <c r="M19" i="7"/>
  <c r="R19" i="7"/>
  <c r="J180" i="8"/>
  <c r="K180" i="8" s="1"/>
  <c r="F181" i="8" s="1"/>
  <c r="I180" i="8"/>
  <c r="R37" i="8"/>
  <c r="J109" i="8"/>
  <c r="K109" i="8" s="1"/>
  <c r="I109" i="8"/>
  <c r="B37" i="10"/>
  <c r="P73" i="8"/>
  <c r="Q73" i="8" s="1"/>
  <c r="H72" i="8" s="1"/>
  <c r="L37" i="8"/>
  <c r="M37" i="8"/>
  <c r="I164" i="7"/>
  <c r="J164" i="7" s="1"/>
  <c r="M164" i="7" s="1"/>
  <c r="L164" i="7" l="1"/>
  <c r="R164" i="7"/>
  <c r="J181" i="8"/>
  <c r="I181" i="8"/>
  <c r="M180" i="8"/>
  <c r="D37" i="10"/>
  <c r="P145" i="8"/>
  <c r="Q145" i="8" s="1"/>
  <c r="H144" i="8" s="1"/>
  <c r="L180" i="8"/>
  <c r="H71" i="8"/>
  <c r="M109" i="8"/>
  <c r="L109" i="8"/>
  <c r="R180" i="8"/>
  <c r="F20" i="7"/>
  <c r="F93" i="7"/>
  <c r="R109" i="8"/>
  <c r="P216" i="8"/>
  <c r="Q216" i="8" s="1"/>
  <c r="F36" i="10"/>
  <c r="P200" i="7"/>
  <c r="Q200" i="7" s="1"/>
  <c r="F20" i="9"/>
  <c r="K164" i="7"/>
  <c r="F37" i="10" l="1"/>
  <c r="P217" i="8"/>
  <c r="Q217" i="8" s="1"/>
  <c r="H216" i="8" s="1"/>
  <c r="I20" i="7"/>
  <c r="J20" i="7" s="1"/>
  <c r="R20" i="7" s="1"/>
  <c r="K181" i="8"/>
  <c r="I93" i="7"/>
  <c r="J93" i="7" s="1"/>
  <c r="H70" i="8"/>
  <c r="R181" i="8"/>
  <c r="F165" i="7"/>
  <c r="L181" i="8"/>
  <c r="H143" i="8"/>
  <c r="M181" i="8"/>
  <c r="P129" i="7" l="1"/>
  <c r="Q129" i="7" s="1"/>
  <c r="D21" i="9"/>
  <c r="K93" i="7"/>
  <c r="H215" i="8"/>
  <c r="L93" i="7"/>
  <c r="L20" i="7"/>
  <c r="I165" i="7"/>
  <c r="J165" i="7" s="1"/>
  <c r="M93" i="7"/>
  <c r="R93" i="7"/>
  <c r="H69" i="8"/>
  <c r="B20" i="9"/>
  <c r="P56" i="7"/>
  <c r="Q56" i="7" s="1"/>
  <c r="K20" i="7"/>
  <c r="H142" i="8"/>
  <c r="M20" i="7"/>
  <c r="P201" i="7" l="1"/>
  <c r="Q201" i="7" s="1"/>
  <c r="F21" i="9"/>
  <c r="K165" i="7"/>
  <c r="R165" i="7"/>
  <c r="M165" i="7"/>
  <c r="L165" i="7"/>
  <c r="H141" i="8"/>
  <c r="H68" i="8"/>
  <c r="F21" i="7"/>
  <c r="H214" i="8"/>
  <c r="F94" i="7"/>
  <c r="I21" i="7" l="1"/>
  <c r="J21" i="7" s="1"/>
  <c r="H67" i="8"/>
  <c r="F166" i="7"/>
  <c r="H140" i="8"/>
  <c r="I94" i="7"/>
  <c r="J94" i="7" s="1"/>
  <c r="H213" i="8"/>
  <c r="P130" i="7" l="1"/>
  <c r="Q130" i="7" s="1"/>
  <c r="D22" i="9"/>
  <c r="L94" i="7"/>
  <c r="M94" i="7"/>
  <c r="R94" i="7"/>
  <c r="K94" i="7"/>
  <c r="B21" i="9"/>
  <c r="P57" i="7"/>
  <c r="Q57" i="7" s="1"/>
  <c r="L21" i="7"/>
  <c r="K21" i="7"/>
  <c r="M21" i="7"/>
  <c r="R21" i="7"/>
  <c r="H139" i="8"/>
  <c r="H66" i="8"/>
  <c r="H212" i="8"/>
  <c r="I166" i="7"/>
  <c r="J166" i="7" s="1"/>
  <c r="F22" i="9" l="1"/>
  <c r="P202" i="7"/>
  <c r="Q202" i="7" s="1"/>
  <c r="R166" i="7"/>
  <c r="L166" i="7"/>
  <c r="M166" i="7"/>
  <c r="K166" i="7"/>
  <c r="H211" i="8"/>
  <c r="H138" i="8"/>
  <c r="H65" i="8"/>
  <c r="F22" i="7"/>
  <c r="F95" i="7"/>
  <c r="I95" i="7" l="1"/>
  <c r="J95" i="7" s="1"/>
  <c r="I22" i="7"/>
  <c r="J22" i="7" s="1"/>
  <c r="H137" i="8"/>
  <c r="H210" i="8"/>
  <c r="H64" i="8"/>
  <c r="F167" i="7"/>
  <c r="P58" i="7" l="1"/>
  <c r="Q58" i="7" s="1"/>
  <c r="B22" i="9"/>
  <c r="R22" i="7"/>
  <c r="M22" i="7"/>
  <c r="L22" i="7"/>
  <c r="K22" i="7"/>
  <c r="P131" i="7"/>
  <c r="Q131" i="7" s="1"/>
  <c r="D23" i="9"/>
  <c r="L95" i="7"/>
  <c r="K95" i="7"/>
  <c r="R95" i="7"/>
  <c r="M95" i="7"/>
  <c r="H136" i="8"/>
  <c r="I167" i="7"/>
  <c r="J167" i="7" s="1"/>
  <c r="H63" i="8"/>
  <c r="H209" i="8"/>
  <c r="P203" i="7" l="1"/>
  <c r="Q203" i="7" s="1"/>
  <c r="F23" i="9"/>
  <c r="L167" i="7"/>
  <c r="K167" i="7"/>
  <c r="M167" i="7"/>
  <c r="R167" i="7"/>
  <c r="H62" i="8"/>
  <c r="H135" i="8"/>
  <c r="H208" i="8"/>
  <c r="F23" i="7"/>
  <c r="F96" i="7"/>
  <c r="F168" i="7" l="1"/>
  <c r="H134" i="8"/>
  <c r="H207" i="8"/>
  <c r="I96" i="7"/>
  <c r="J96" i="7" s="1"/>
  <c r="H61" i="8"/>
  <c r="I23" i="7"/>
  <c r="J23" i="7" s="1"/>
  <c r="P59" i="7" l="1"/>
  <c r="Q59" i="7" s="1"/>
  <c r="B23" i="9"/>
  <c r="R23" i="7"/>
  <c r="L23" i="7"/>
  <c r="K23" i="7"/>
  <c r="M23" i="7"/>
  <c r="P132" i="7"/>
  <c r="Q132" i="7" s="1"/>
  <c r="D24" i="9"/>
  <c r="R96" i="7"/>
  <c r="M96" i="7"/>
  <c r="K96" i="7"/>
  <c r="L96" i="7"/>
  <c r="H60" i="8"/>
  <c r="H206" i="8"/>
  <c r="H133" i="8"/>
  <c r="I168" i="7"/>
  <c r="J168" i="7" s="1"/>
  <c r="P204" i="7" l="1"/>
  <c r="Q204" i="7" s="1"/>
  <c r="F24" i="9"/>
  <c r="R168" i="7"/>
  <c r="M168" i="7"/>
  <c r="L168" i="7"/>
  <c r="K168" i="7"/>
  <c r="H59" i="8"/>
  <c r="F97" i="7"/>
  <c r="H205" i="8"/>
  <c r="H132" i="8"/>
  <c r="F24" i="7"/>
  <c r="I97" i="7" l="1"/>
  <c r="J97" i="7" s="1"/>
  <c r="I24" i="7"/>
  <c r="J24" i="7" s="1"/>
  <c r="H131" i="8"/>
  <c r="H58" i="8"/>
  <c r="H204" i="8"/>
  <c r="F169" i="7"/>
  <c r="P60" i="7" l="1"/>
  <c r="Q60" i="7" s="1"/>
  <c r="B24" i="9"/>
  <c r="L24" i="7"/>
  <c r="R24" i="7"/>
  <c r="K24" i="7"/>
  <c r="M24" i="7"/>
  <c r="P133" i="7"/>
  <c r="Q133" i="7" s="1"/>
  <c r="D25" i="9"/>
  <c r="M97" i="7"/>
  <c r="K97" i="7"/>
  <c r="L97" i="7"/>
  <c r="R97" i="7"/>
  <c r="H57" i="8"/>
  <c r="H130" i="8"/>
  <c r="H203" i="8"/>
  <c r="I169" i="7"/>
  <c r="J169" i="7" s="1"/>
  <c r="F25" i="9" l="1"/>
  <c r="P205" i="7"/>
  <c r="Q205" i="7" s="1"/>
  <c r="M169" i="7"/>
  <c r="R169" i="7"/>
  <c r="K169" i="7"/>
  <c r="L169" i="7"/>
  <c r="H56" i="8"/>
  <c r="H129" i="8"/>
  <c r="H202" i="8"/>
  <c r="F98" i="7"/>
  <c r="F25" i="7"/>
  <c r="H128" i="8" l="1"/>
  <c r="I98" i="7"/>
  <c r="J98" i="7" s="1"/>
  <c r="H55" i="8"/>
  <c r="H201" i="8"/>
  <c r="F170" i="7"/>
  <c r="I25" i="7"/>
  <c r="J25" i="7" s="1"/>
  <c r="L25" i="7" s="1"/>
  <c r="D26" i="9" l="1"/>
  <c r="P134" i="7"/>
  <c r="Q134" i="7" s="1"/>
  <c r="L98" i="7"/>
  <c r="R98" i="7"/>
  <c r="K98" i="7"/>
  <c r="M98" i="7"/>
  <c r="H200" i="8"/>
  <c r="P61" i="7"/>
  <c r="Q61" i="7" s="1"/>
  <c r="B25" i="9"/>
  <c r="I170" i="7"/>
  <c r="J170" i="7" s="1"/>
  <c r="R25" i="7"/>
  <c r="K25" i="7"/>
  <c r="H54" i="8"/>
  <c r="H127" i="8"/>
  <c r="M25" i="7"/>
  <c r="P206" i="7" l="1"/>
  <c r="Q206" i="7" s="1"/>
  <c r="F26" i="9"/>
  <c r="M170" i="7"/>
  <c r="L170" i="7"/>
  <c r="R170" i="7"/>
  <c r="K170" i="7"/>
  <c r="F99" i="7"/>
  <c r="H126" i="8"/>
  <c r="H53" i="8"/>
  <c r="H199" i="8"/>
  <c r="F26" i="7"/>
  <c r="H52" i="8" l="1"/>
  <c r="H125" i="8"/>
  <c r="I26" i="7"/>
  <c r="J26" i="7" s="1"/>
  <c r="I99" i="7"/>
  <c r="J99" i="7" s="1"/>
  <c r="H198" i="8"/>
  <c r="F171" i="7"/>
  <c r="K99" i="7" l="1"/>
  <c r="F100" i="7" s="1"/>
  <c r="M99" i="7"/>
  <c r="R26" i="7"/>
  <c r="L26" i="7"/>
  <c r="M26" i="7"/>
  <c r="R99" i="7"/>
  <c r="D27" i="9"/>
  <c r="P135" i="7"/>
  <c r="Q135" i="7" s="1"/>
  <c r="H124" i="8"/>
  <c r="I171" i="7"/>
  <c r="J171" i="7" s="1"/>
  <c r="L99" i="7"/>
  <c r="H197" i="8"/>
  <c r="P62" i="7"/>
  <c r="Q62" i="7" s="1"/>
  <c r="B26" i="9"/>
  <c r="K26" i="7"/>
  <c r="H51" i="8"/>
  <c r="P207" i="7" l="1"/>
  <c r="Q207" i="7" s="1"/>
  <c r="F27" i="9"/>
  <c r="I100" i="7"/>
  <c r="J100" i="7" s="1"/>
  <c r="L171" i="7"/>
  <c r="H123" i="8"/>
  <c r="F27" i="7"/>
  <c r="M171" i="7"/>
  <c r="H50" i="8"/>
  <c r="H196" i="8"/>
  <c r="R171" i="7"/>
  <c r="K171" i="7"/>
  <c r="P136" i="7" l="1"/>
  <c r="Q136" i="7" s="1"/>
  <c r="D28" i="9"/>
  <c r="K100" i="7"/>
  <c r="L100" i="7"/>
  <c r="R100" i="7"/>
  <c r="M100" i="7"/>
  <c r="F172" i="7"/>
  <c r="H122" i="8"/>
  <c r="H49" i="8"/>
  <c r="I27" i="7"/>
  <c r="J27" i="7" s="1"/>
  <c r="H195" i="8"/>
  <c r="P63" i="7" l="1"/>
  <c r="Q63" i="7" s="1"/>
  <c r="B27" i="9"/>
  <c r="L27" i="7"/>
  <c r="M27" i="7"/>
  <c r="R27" i="7"/>
  <c r="K27" i="7"/>
  <c r="H121" i="8"/>
  <c r="H194" i="8"/>
  <c r="H48" i="8"/>
  <c r="F101" i="7"/>
  <c r="I172" i="7"/>
  <c r="J172" i="7" s="1"/>
  <c r="P208" i="7" l="1"/>
  <c r="Q208" i="7" s="1"/>
  <c r="F28" i="9"/>
  <c r="L172" i="7"/>
  <c r="R172" i="7"/>
  <c r="K172" i="7"/>
  <c r="M172" i="7"/>
  <c r="H193" i="8"/>
  <c r="H47" i="8"/>
  <c r="I101" i="7"/>
  <c r="J101" i="7" s="1"/>
  <c r="F28" i="7"/>
  <c r="H120" i="8"/>
  <c r="P137" i="7" l="1"/>
  <c r="Q137" i="7" s="1"/>
  <c r="D29" i="9"/>
  <c r="K101" i="7"/>
  <c r="M101" i="7"/>
  <c r="R101" i="7"/>
  <c r="L101" i="7"/>
  <c r="I28" i="7"/>
  <c r="J28" i="7" s="1"/>
  <c r="F173" i="7"/>
  <c r="H46" i="8"/>
  <c r="H192" i="8"/>
  <c r="H119" i="8"/>
  <c r="P64" i="7" l="1"/>
  <c r="Q64" i="7" s="1"/>
  <c r="B28" i="9"/>
  <c r="R28" i="7"/>
  <c r="M28" i="7"/>
  <c r="L28" i="7"/>
  <c r="K28" i="7"/>
  <c r="I173" i="7"/>
  <c r="J173" i="7" s="1"/>
  <c r="F102" i="7"/>
  <c r="H118" i="8"/>
  <c r="H191" i="8"/>
  <c r="H45" i="8"/>
  <c r="P209" i="7" l="1"/>
  <c r="Q209" i="7" s="1"/>
  <c r="F29" i="9"/>
  <c r="R173" i="7"/>
  <c r="L173" i="7"/>
  <c r="K173" i="7"/>
  <c r="M173" i="7"/>
  <c r="H44" i="8"/>
  <c r="H117" i="8"/>
  <c r="H190" i="8"/>
  <c r="I102" i="7"/>
  <c r="J102" i="7" s="1"/>
  <c r="F29" i="7"/>
  <c r="H116" i="8" l="1"/>
  <c r="P138" i="7"/>
  <c r="Q138" i="7" s="1"/>
  <c r="D30" i="9"/>
  <c r="H189" i="8"/>
  <c r="I29" i="7"/>
  <c r="J29" i="7" s="1"/>
  <c r="K102" i="7"/>
  <c r="F174" i="7"/>
  <c r="L102" i="7"/>
  <c r="R102" i="7"/>
  <c r="M102" i="7"/>
  <c r="H43" i="8"/>
  <c r="B29" i="9" l="1"/>
  <c r="P65" i="7"/>
  <c r="Q65" i="7" s="1"/>
  <c r="R29" i="7"/>
  <c r="K29" i="7"/>
  <c r="L29" i="7"/>
  <c r="M29" i="7"/>
  <c r="I43" i="8"/>
  <c r="J43" i="8" s="1"/>
  <c r="H42" i="8"/>
  <c r="I174" i="7"/>
  <c r="J174" i="7" s="1"/>
  <c r="H188" i="8"/>
  <c r="H115" i="8"/>
  <c r="F103" i="7"/>
  <c r="P210" i="7" l="1"/>
  <c r="Q210" i="7" s="1"/>
  <c r="F30" i="9"/>
  <c r="M174" i="7"/>
  <c r="L174" i="7"/>
  <c r="R174" i="7"/>
  <c r="K174" i="7"/>
  <c r="C7" i="10"/>
  <c r="M43" i="8"/>
  <c r="K43" i="8"/>
  <c r="F44" i="8" s="1"/>
  <c r="L43" i="8"/>
  <c r="R43" i="8"/>
  <c r="N43" i="8"/>
  <c r="N7" i="8"/>
  <c r="I115" i="8"/>
  <c r="J115" i="8" s="1"/>
  <c r="H114" i="8"/>
  <c r="H187" i="8"/>
  <c r="I42" i="8"/>
  <c r="H41" i="8"/>
  <c r="F30" i="7"/>
  <c r="I103" i="7"/>
  <c r="J103" i="7" s="1"/>
  <c r="P139" i="7" l="1"/>
  <c r="Q139" i="7" s="1"/>
  <c r="D31" i="9"/>
  <c r="M103" i="7"/>
  <c r="R103" i="7"/>
  <c r="L103" i="7"/>
  <c r="K103" i="7"/>
  <c r="I30" i="7"/>
  <c r="J30" i="7" s="1"/>
  <c r="I41" i="8"/>
  <c r="H40" i="8"/>
  <c r="H186" i="8"/>
  <c r="I187" i="8"/>
  <c r="J187" i="8" s="1"/>
  <c r="J44" i="8"/>
  <c r="R44" i="8" s="1"/>
  <c r="I44" i="8"/>
  <c r="I114" i="8"/>
  <c r="H113" i="8"/>
  <c r="E7" i="10"/>
  <c r="R115" i="8"/>
  <c r="M115" i="8"/>
  <c r="K115" i="8"/>
  <c r="F116" i="8" s="1"/>
  <c r="L115" i="8"/>
  <c r="N79" i="8"/>
  <c r="N115" i="8"/>
  <c r="F175" i="7"/>
  <c r="P66" i="7" l="1"/>
  <c r="Q66" i="7" s="1"/>
  <c r="B30" i="9"/>
  <c r="M30" i="7"/>
  <c r="K30" i="7"/>
  <c r="L30" i="7"/>
  <c r="R30" i="7"/>
  <c r="M44" i="8"/>
  <c r="J116" i="8"/>
  <c r="I116" i="8"/>
  <c r="I186" i="8"/>
  <c r="H185" i="8"/>
  <c r="C8" i="10"/>
  <c r="N44" i="8"/>
  <c r="N8" i="8"/>
  <c r="K44" i="8"/>
  <c r="F45" i="8" s="1"/>
  <c r="I113" i="8"/>
  <c r="H112" i="8"/>
  <c r="G7" i="10"/>
  <c r="U7" i="10" s="1"/>
  <c r="M187" i="8"/>
  <c r="L187" i="8"/>
  <c r="K187" i="8"/>
  <c r="F188" i="8" s="1"/>
  <c r="R187" i="8"/>
  <c r="N187" i="8"/>
  <c r="N151" i="8"/>
  <c r="I175" i="7"/>
  <c r="J175" i="7" s="1"/>
  <c r="L44" i="8"/>
  <c r="I40" i="8"/>
  <c r="H39" i="8"/>
  <c r="F104" i="7"/>
  <c r="T7" i="10" l="1"/>
  <c r="H38" i="8"/>
  <c r="I38" i="8" s="1"/>
  <c r="I39" i="8"/>
  <c r="P211" i="7"/>
  <c r="Q211" i="7" s="1"/>
  <c r="F31" i="9"/>
  <c r="F31" i="7"/>
  <c r="E8" i="10"/>
  <c r="N80" i="8"/>
  <c r="N116" i="8"/>
  <c r="L175" i="7"/>
  <c r="J188" i="8"/>
  <c r="R188" i="8" s="1"/>
  <c r="I188" i="8"/>
  <c r="J45" i="8"/>
  <c r="M45" i="8" s="1"/>
  <c r="I45" i="8"/>
  <c r="K7" i="10"/>
  <c r="I7" i="10"/>
  <c r="O7" i="10"/>
  <c r="V7" i="10"/>
  <c r="L7" i="10"/>
  <c r="Q7" i="10"/>
  <c r="J7" i="10"/>
  <c r="N7" i="10"/>
  <c r="S7" i="10"/>
  <c r="R116" i="8"/>
  <c r="R7" i="10"/>
  <c r="P7" i="10"/>
  <c r="M175" i="7"/>
  <c r="L116" i="8"/>
  <c r="K175" i="7"/>
  <c r="M7" i="10"/>
  <c r="I185" i="8"/>
  <c r="H184" i="8"/>
  <c r="M116" i="8"/>
  <c r="H7" i="10"/>
  <c r="I112" i="8"/>
  <c r="H111" i="8"/>
  <c r="I104" i="7"/>
  <c r="J104" i="7" s="1"/>
  <c r="R175" i="7"/>
  <c r="K116" i="8"/>
  <c r="F117" i="8" s="1"/>
  <c r="P140" i="7" l="1"/>
  <c r="Q140" i="7" s="1"/>
  <c r="D32" i="9"/>
  <c r="K104" i="7"/>
  <c r="F176" i="7"/>
  <c r="R45" i="8"/>
  <c r="J117" i="8"/>
  <c r="K117" i="8" s="1"/>
  <c r="F118" i="8" s="1"/>
  <c r="I117" i="8"/>
  <c r="H110" i="8"/>
  <c r="I110" i="8" s="1"/>
  <c r="I111" i="8"/>
  <c r="L45" i="8"/>
  <c r="L188" i="8"/>
  <c r="C9" i="10"/>
  <c r="N45" i="8"/>
  <c r="N9" i="8"/>
  <c r="K188" i="8"/>
  <c r="F189" i="8" s="1"/>
  <c r="L104" i="7"/>
  <c r="M104" i="7"/>
  <c r="I184" i="8"/>
  <c r="H183" i="8"/>
  <c r="M188" i="8"/>
  <c r="K45" i="8"/>
  <c r="F46" i="8" s="1"/>
  <c r="R104" i="7"/>
  <c r="G8" i="10"/>
  <c r="N152" i="8"/>
  <c r="N188" i="8"/>
  <c r="I31" i="7"/>
  <c r="J31" i="7" s="1"/>
  <c r="J118" i="8" l="1"/>
  <c r="I118" i="8"/>
  <c r="B31" i="9"/>
  <c r="P67" i="7"/>
  <c r="Q67" i="7" s="1"/>
  <c r="R31" i="7"/>
  <c r="L31" i="7"/>
  <c r="M31" i="7"/>
  <c r="K31" i="7"/>
  <c r="O8" i="10"/>
  <c r="N8" i="10"/>
  <c r="M8" i="10"/>
  <c r="J8" i="10"/>
  <c r="K8" i="10"/>
  <c r="H8" i="10"/>
  <c r="Q8" i="10"/>
  <c r="V8" i="10"/>
  <c r="U8" i="10"/>
  <c r="R8" i="10"/>
  <c r="P8" i="10"/>
  <c r="I8" i="10"/>
  <c r="L8" i="10"/>
  <c r="S8" i="10"/>
  <c r="E9" i="10"/>
  <c r="N81" i="8"/>
  <c r="N117" i="8"/>
  <c r="H182" i="8"/>
  <c r="I182" i="8" s="1"/>
  <c r="I183" i="8"/>
  <c r="J189" i="8"/>
  <c r="M189" i="8" s="1"/>
  <c r="I189" i="8"/>
  <c r="L117" i="8"/>
  <c r="M117" i="8"/>
  <c r="R117" i="8"/>
  <c r="F105" i="7"/>
  <c r="J46" i="8"/>
  <c r="K46" i="8" s="1"/>
  <c r="F47" i="8" s="1"/>
  <c r="I46" i="8"/>
  <c r="I176" i="7"/>
  <c r="J176" i="7" s="1"/>
  <c r="T8" i="10"/>
  <c r="J47" i="8" l="1"/>
  <c r="R47" i="8" s="1"/>
  <c r="I47" i="8"/>
  <c r="E10" i="10"/>
  <c r="N118" i="8"/>
  <c r="N82" i="8"/>
  <c r="P212" i="7"/>
  <c r="Q212" i="7" s="1"/>
  <c r="F32" i="9"/>
  <c r="M46" i="8"/>
  <c r="L176" i="7"/>
  <c r="I105" i="7"/>
  <c r="J105" i="7" s="1"/>
  <c r="L189" i="8"/>
  <c r="R176" i="7"/>
  <c r="R189" i="8"/>
  <c r="R118" i="8"/>
  <c r="K118" i="8"/>
  <c r="F119" i="8" s="1"/>
  <c r="C10" i="10"/>
  <c r="N46" i="8"/>
  <c r="N10" i="8"/>
  <c r="L118" i="8"/>
  <c r="G9" i="10"/>
  <c r="R9" i="10" s="1"/>
  <c r="N189" i="8"/>
  <c r="N153" i="8"/>
  <c r="F32" i="7"/>
  <c r="K176" i="7"/>
  <c r="R46" i="8"/>
  <c r="K189" i="8"/>
  <c r="F190" i="8" s="1"/>
  <c r="M176" i="7"/>
  <c r="L46" i="8"/>
  <c r="M118" i="8"/>
  <c r="M105" i="7" l="1"/>
  <c r="L105" i="7"/>
  <c r="I9" i="10"/>
  <c r="Q9" i="10"/>
  <c r="V9" i="10"/>
  <c r="R105" i="7"/>
  <c r="J119" i="8"/>
  <c r="R119" i="8" s="1"/>
  <c r="I119" i="8"/>
  <c r="C11" i="10"/>
  <c r="N11" i="8"/>
  <c r="N47" i="8"/>
  <c r="J190" i="8"/>
  <c r="I190" i="8"/>
  <c r="U9" i="10"/>
  <c r="J9" i="10"/>
  <c r="L47" i="8"/>
  <c r="N9" i="10"/>
  <c r="L9" i="10"/>
  <c r="T9" i="10"/>
  <c r="M9" i="10"/>
  <c r="H9" i="10"/>
  <c r="S9" i="10"/>
  <c r="K47" i="8"/>
  <c r="F48" i="8" s="1"/>
  <c r="F177" i="7"/>
  <c r="P141" i="7"/>
  <c r="Q141" i="7" s="1"/>
  <c r="D33" i="9"/>
  <c r="O9" i="10"/>
  <c r="K9" i="10"/>
  <c r="I32" i="7"/>
  <c r="J32" i="7" s="1"/>
  <c r="P9" i="10"/>
  <c r="K105" i="7"/>
  <c r="M47" i="8"/>
  <c r="B32" i="9" l="1"/>
  <c r="P68" i="7"/>
  <c r="Q68" i="7" s="1"/>
  <c r="R32" i="7"/>
  <c r="K32" i="7"/>
  <c r="L32" i="7"/>
  <c r="M32" i="7"/>
  <c r="G10" i="10"/>
  <c r="N190" i="8"/>
  <c r="N154" i="8"/>
  <c r="K190" i="8"/>
  <c r="F191" i="8" s="1"/>
  <c r="K119" i="8"/>
  <c r="F120" i="8" s="1"/>
  <c r="F106" i="7"/>
  <c r="I177" i="7"/>
  <c r="J177" i="7" s="1"/>
  <c r="L190" i="8"/>
  <c r="L119" i="8"/>
  <c r="M190" i="8"/>
  <c r="E11" i="10"/>
  <c r="N119" i="8"/>
  <c r="N83" i="8"/>
  <c r="R190" i="8"/>
  <c r="J48" i="8"/>
  <c r="L48" i="8" s="1"/>
  <c r="I48" i="8"/>
  <c r="M119" i="8"/>
  <c r="P213" i="7" l="1"/>
  <c r="Q213" i="7" s="1"/>
  <c r="F33" i="9"/>
  <c r="M177" i="7"/>
  <c r="R177" i="7"/>
  <c r="K177" i="7"/>
  <c r="L177" i="7"/>
  <c r="I106" i="7"/>
  <c r="J106" i="7" s="1"/>
  <c r="C12" i="10"/>
  <c r="N48" i="8"/>
  <c r="N12" i="8"/>
  <c r="K10" i="10"/>
  <c r="Q10" i="10"/>
  <c r="O10" i="10"/>
  <c r="N10" i="10"/>
  <c r="U10" i="10"/>
  <c r="S10" i="10"/>
  <c r="P10" i="10"/>
  <c r="L10" i="10"/>
  <c r="J10" i="10"/>
  <c r="H10" i="10"/>
  <c r="M10" i="10"/>
  <c r="V10" i="10"/>
  <c r="I10" i="10"/>
  <c r="R10" i="10"/>
  <c r="T10" i="10"/>
  <c r="R48" i="8"/>
  <c r="J120" i="8"/>
  <c r="I120" i="8"/>
  <c r="J191" i="8"/>
  <c r="R191" i="8" s="1"/>
  <c r="I191" i="8"/>
  <c r="F33" i="7"/>
  <c r="K48" i="8"/>
  <c r="F49" i="8" s="1"/>
  <c r="M48" i="8"/>
  <c r="P142" i="7" l="1"/>
  <c r="Q142" i="7" s="1"/>
  <c r="D34" i="9"/>
  <c r="R106" i="7"/>
  <c r="M106" i="7"/>
  <c r="K106" i="7"/>
  <c r="L106" i="7"/>
  <c r="I33" i="7"/>
  <c r="J33" i="7" s="1"/>
  <c r="E12" i="10"/>
  <c r="N84" i="8"/>
  <c r="N120" i="8"/>
  <c r="R120" i="8"/>
  <c r="J49" i="8"/>
  <c r="I49" i="8"/>
  <c r="K120" i="8"/>
  <c r="F121" i="8" s="1"/>
  <c r="G11" i="10"/>
  <c r="N155" i="8"/>
  <c r="N191" i="8"/>
  <c r="L120" i="8"/>
  <c r="K191" i="8"/>
  <c r="F192" i="8" s="1"/>
  <c r="M120" i="8"/>
  <c r="L191" i="8"/>
  <c r="F178" i="7"/>
  <c r="M191" i="8"/>
  <c r="B33" i="9" l="1"/>
  <c r="P69" i="7"/>
  <c r="Q69" i="7" s="1"/>
  <c r="L33" i="7"/>
  <c r="R33" i="7"/>
  <c r="K33" i="7"/>
  <c r="M33" i="7"/>
  <c r="F107" i="7"/>
  <c r="J192" i="8"/>
  <c r="I192" i="8"/>
  <c r="C13" i="10"/>
  <c r="N13" i="8"/>
  <c r="N49" i="8"/>
  <c r="L49" i="8"/>
  <c r="R49" i="8"/>
  <c r="V11" i="10"/>
  <c r="T11" i="10"/>
  <c r="H11" i="10"/>
  <c r="N11" i="10"/>
  <c r="P11" i="10"/>
  <c r="J11" i="10"/>
  <c r="U11" i="10"/>
  <c r="L11" i="10"/>
  <c r="O11" i="10"/>
  <c r="M11" i="10"/>
  <c r="Q11" i="10"/>
  <c r="I11" i="10"/>
  <c r="K11" i="10"/>
  <c r="R11" i="10"/>
  <c r="S11" i="10"/>
  <c r="M49" i="8"/>
  <c r="I178" i="7"/>
  <c r="J178" i="7" s="1"/>
  <c r="J121" i="8"/>
  <c r="I121" i="8"/>
  <c r="K49" i="8"/>
  <c r="F50" i="8" s="1"/>
  <c r="L178" i="7" l="1"/>
  <c r="M178" i="7"/>
  <c r="K178" i="7"/>
  <c r="F179" i="7" s="1"/>
  <c r="R178" i="7"/>
  <c r="G12" i="10"/>
  <c r="N192" i="8"/>
  <c r="N156" i="8"/>
  <c r="K192" i="8"/>
  <c r="F193" i="8" s="1"/>
  <c r="I107" i="7"/>
  <c r="J107" i="7" s="1"/>
  <c r="E13" i="10"/>
  <c r="N121" i="8"/>
  <c r="N85" i="8"/>
  <c r="P214" i="7"/>
  <c r="Q214" i="7" s="1"/>
  <c r="F34" i="9"/>
  <c r="L192" i="8"/>
  <c r="L121" i="8"/>
  <c r="J50" i="8"/>
  <c r="R50" i="8" s="1"/>
  <c r="I50" i="8"/>
  <c r="M121" i="8"/>
  <c r="M192" i="8"/>
  <c r="F34" i="7"/>
  <c r="R121" i="8"/>
  <c r="K121" i="8"/>
  <c r="F122" i="8" s="1"/>
  <c r="R192" i="8"/>
  <c r="P143" i="7" l="1"/>
  <c r="Q143" i="7" s="1"/>
  <c r="D35" i="9"/>
  <c r="R107" i="7"/>
  <c r="L107" i="7"/>
  <c r="K107" i="7"/>
  <c r="M107" i="7"/>
  <c r="J193" i="8"/>
  <c r="L193" i="8" s="1"/>
  <c r="I193" i="8"/>
  <c r="I179" i="7"/>
  <c r="J179" i="7" s="1"/>
  <c r="I34" i="7"/>
  <c r="J34" i="7" s="1"/>
  <c r="L34" i="7" s="1"/>
  <c r="L50" i="8"/>
  <c r="J122" i="8"/>
  <c r="I122" i="8"/>
  <c r="M50" i="8"/>
  <c r="C14" i="10"/>
  <c r="N14" i="8"/>
  <c r="N50" i="8"/>
  <c r="K50" i="8"/>
  <c r="F51" i="8" s="1"/>
  <c r="H12" i="10"/>
  <c r="J12" i="10"/>
  <c r="N12" i="10"/>
  <c r="V12" i="10"/>
  <c r="S12" i="10"/>
  <c r="M12" i="10"/>
  <c r="U12" i="10"/>
  <c r="R12" i="10"/>
  <c r="Q12" i="10"/>
  <c r="K12" i="10"/>
  <c r="L12" i="10"/>
  <c r="P12" i="10"/>
  <c r="T12" i="10"/>
  <c r="I12" i="10"/>
  <c r="O12" i="10"/>
  <c r="P215" i="7" l="1"/>
  <c r="Q215" i="7" s="1"/>
  <c r="F35" i="9"/>
  <c r="K179" i="7"/>
  <c r="L179" i="7"/>
  <c r="R179" i="7"/>
  <c r="M179" i="7"/>
  <c r="E14" i="10"/>
  <c r="N122" i="8"/>
  <c r="N86" i="8"/>
  <c r="R34" i="7"/>
  <c r="G13" i="10"/>
  <c r="N193" i="8"/>
  <c r="N157" i="8"/>
  <c r="R122" i="8"/>
  <c r="M34" i="7"/>
  <c r="K193" i="8"/>
  <c r="F194" i="8" s="1"/>
  <c r="K122" i="8"/>
  <c r="F123" i="8" s="1"/>
  <c r="M193" i="8"/>
  <c r="J51" i="8"/>
  <c r="R51" i="8" s="1"/>
  <c r="I51" i="8"/>
  <c r="L122" i="8"/>
  <c r="P70" i="7"/>
  <c r="Q70" i="7" s="1"/>
  <c r="B34" i="9"/>
  <c r="R193" i="8"/>
  <c r="M122" i="8"/>
  <c r="K34" i="7"/>
  <c r="F108" i="7"/>
  <c r="J13" i="10" l="1"/>
  <c r="L13" i="10"/>
  <c r="H13" i="10"/>
  <c r="O13" i="10"/>
  <c r="K13" i="10"/>
  <c r="U13" i="10"/>
  <c r="V13" i="10"/>
  <c r="I13" i="10"/>
  <c r="S13" i="10"/>
  <c r="N13" i="10"/>
  <c r="T13" i="10"/>
  <c r="R13" i="10"/>
  <c r="Q13" i="10"/>
  <c r="P13" i="10"/>
  <c r="M13" i="10"/>
  <c r="F180" i="7"/>
  <c r="F35" i="7"/>
  <c r="M51" i="8"/>
  <c r="J123" i="8"/>
  <c r="R123" i="8" s="1"/>
  <c r="I123" i="8"/>
  <c r="J194" i="8"/>
  <c r="I194" i="8"/>
  <c r="K51" i="8"/>
  <c r="F52" i="8" s="1"/>
  <c r="C15" i="10"/>
  <c r="N51" i="8"/>
  <c r="N15" i="8"/>
  <c r="I108" i="7"/>
  <c r="J108" i="7" s="1"/>
  <c r="L51" i="8"/>
  <c r="P144" i="7" l="1"/>
  <c r="Q144" i="7" s="1"/>
  <c r="D36" i="9"/>
  <c r="K108" i="7"/>
  <c r="L108" i="7"/>
  <c r="M108" i="7"/>
  <c r="R108" i="7"/>
  <c r="G14" i="10"/>
  <c r="N194" i="8"/>
  <c r="N158" i="8"/>
  <c r="L123" i="8"/>
  <c r="L194" i="8"/>
  <c r="K194" i="8"/>
  <c r="F195" i="8" s="1"/>
  <c r="M123" i="8"/>
  <c r="J52" i="8"/>
  <c r="I52" i="8"/>
  <c r="M194" i="8"/>
  <c r="I35" i="7"/>
  <c r="J35" i="7" s="1"/>
  <c r="R194" i="8"/>
  <c r="K123" i="8"/>
  <c r="F124" i="8" s="1"/>
  <c r="E15" i="10"/>
  <c r="N123" i="8"/>
  <c r="N87" i="8"/>
  <c r="I180" i="7"/>
  <c r="J180" i="7" s="1"/>
  <c r="P71" i="7" l="1"/>
  <c r="Q71" i="7" s="1"/>
  <c r="B35" i="9"/>
  <c r="M35" i="7"/>
  <c r="K35" i="7"/>
  <c r="R35" i="7"/>
  <c r="L35" i="7"/>
  <c r="P216" i="7"/>
  <c r="Q216" i="7" s="1"/>
  <c r="F36" i="9"/>
  <c r="L180" i="7"/>
  <c r="M180" i="7"/>
  <c r="K180" i="7"/>
  <c r="R180" i="7"/>
  <c r="C16" i="10"/>
  <c r="N16" i="8"/>
  <c r="N52" i="8"/>
  <c r="J195" i="8"/>
  <c r="K195" i="8" s="1"/>
  <c r="F196" i="8" s="1"/>
  <c r="I195" i="8"/>
  <c r="F109" i="7"/>
  <c r="M52" i="8"/>
  <c r="L52" i="8"/>
  <c r="J124" i="8"/>
  <c r="R124" i="8" s="1"/>
  <c r="I124" i="8"/>
  <c r="R52" i="8"/>
  <c r="K52" i="8"/>
  <c r="F53" i="8" s="1"/>
  <c r="V14" i="10"/>
  <c r="L14" i="10"/>
  <c r="Q14" i="10"/>
  <c r="J14" i="10"/>
  <c r="N14" i="10"/>
  <c r="R14" i="10"/>
  <c r="H14" i="10"/>
  <c r="U14" i="10"/>
  <c r="S14" i="10"/>
  <c r="K14" i="10"/>
  <c r="I14" i="10"/>
  <c r="O14" i="10"/>
  <c r="M14" i="10"/>
  <c r="P14" i="10"/>
  <c r="T14" i="10"/>
  <c r="J196" i="8" l="1"/>
  <c r="L196" i="8" s="1"/>
  <c r="I196" i="8"/>
  <c r="F36" i="7"/>
  <c r="G15" i="10"/>
  <c r="N195" i="8"/>
  <c r="N159" i="8"/>
  <c r="E16" i="10"/>
  <c r="N124" i="8"/>
  <c r="N88" i="8"/>
  <c r="R195" i="8"/>
  <c r="L124" i="8"/>
  <c r="M195" i="8"/>
  <c r="L195" i="8"/>
  <c r="J53" i="8"/>
  <c r="K53" i="8" s="1"/>
  <c r="F54" i="8" s="1"/>
  <c r="I53" i="8"/>
  <c r="K124" i="8"/>
  <c r="F125" i="8" s="1"/>
  <c r="I109" i="7"/>
  <c r="J109" i="7" s="1"/>
  <c r="F181" i="7"/>
  <c r="M124" i="8"/>
  <c r="J54" i="8" l="1"/>
  <c r="I54" i="8"/>
  <c r="D37" i="9"/>
  <c r="P145" i="7"/>
  <c r="Q145" i="7" s="1"/>
  <c r="H144" i="7" s="1"/>
  <c r="R109" i="7"/>
  <c r="M109" i="7"/>
  <c r="K109" i="7"/>
  <c r="L109" i="7"/>
  <c r="R53" i="8"/>
  <c r="I36" i="7"/>
  <c r="J36" i="7" s="1"/>
  <c r="C17" i="10"/>
  <c r="N17" i="8"/>
  <c r="N53" i="8"/>
  <c r="H15" i="10"/>
  <c r="R15" i="10"/>
  <c r="S15" i="10"/>
  <c r="L15" i="10"/>
  <c r="I15" i="10"/>
  <c r="N15" i="10"/>
  <c r="Q15" i="10"/>
  <c r="P15" i="10"/>
  <c r="U15" i="10"/>
  <c r="T15" i="10"/>
  <c r="O15" i="10"/>
  <c r="V15" i="10"/>
  <c r="J15" i="10"/>
  <c r="M15" i="10"/>
  <c r="K15" i="10"/>
  <c r="K196" i="8"/>
  <c r="F197" i="8" s="1"/>
  <c r="I181" i="7"/>
  <c r="J181" i="7" s="1"/>
  <c r="L53" i="8"/>
  <c r="R196" i="8"/>
  <c r="M53" i="8"/>
  <c r="J125" i="8"/>
  <c r="I125" i="8"/>
  <c r="G16" i="10"/>
  <c r="H16" i="10" s="1"/>
  <c r="N196" i="8"/>
  <c r="N160" i="8"/>
  <c r="M196" i="8"/>
  <c r="K181" i="7" l="1"/>
  <c r="M181" i="7"/>
  <c r="R181" i="7"/>
  <c r="P72" i="7"/>
  <c r="Q72" i="7" s="1"/>
  <c r="B36" i="9"/>
  <c r="L36" i="7"/>
  <c r="R36" i="7"/>
  <c r="M36" i="7"/>
  <c r="K36" i="7"/>
  <c r="C18" i="10"/>
  <c r="N18" i="8"/>
  <c r="N54" i="8"/>
  <c r="E17" i="10"/>
  <c r="N89" i="8"/>
  <c r="N125" i="8"/>
  <c r="J197" i="8"/>
  <c r="L197" i="8" s="1"/>
  <c r="I197" i="8"/>
  <c r="M16" i="10"/>
  <c r="O16" i="10"/>
  <c r="K125" i="8"/>
  <c r="F126" i="8" s="1"/>
  <c r="U16" i="10"/>
  <c r="K54" i="8"/>
  <c r="F55" i="8" s="1"/>
  <c r="V16" i="10"/>
  <c r="J16" i="10"/>
  <c r="T16" i="10"/>
  <c r="P16" i="10"/>
  <c r="L16" i="10"/>
  <c r="N16" i="10"/>
  <c r="R16" i="10"/>
  <c r="Q16" i="10"/>
  <c r="S16" i="10"/>
  <c r="M125" i="8"/>
  <c r="H143" i="7"/>
  <c r="L54" i="8"/>
  <c r="I16" i="10"/>
  <c r="L125" i="8"/>
  <c r="P217" i="7"/>
  <c r="Q217" i="7" s="1"/>
  <c r="H216" i="7" s="1"/>
  <c r="F37" i="9"/>
  <c r="R125" i="8"/>
  <c r="R54" i="8"/>
  <c r="K16" i="10"/>
  <c r="L181" i="7"/>
  <c r="M54" i="8"/>
  <c r="R197" i="8" l="1"/>
  <c r="J55" i="8"/>
  <c r="R55" i="8" s="1"/>
  <c r="I55" i="8"/>
  <c r="K197" i="8"/>
  <c r="F198" i="8" s="1"/>
  <c r="H215" i="7"/>
  <c r="G17" i="10"/>
  <c r="O17" i="10" s="1"/>
  <c r="N197" i="8"/>
  <c r="N161" i="8"/>
  <c r="H142" i="7"/>
  <c r="J126" i="8"/>
  <c r="I126" i="8"/>
  <c r="M197" i="8"/>
  <c r="F37" i="7"/>
  <c r="Q17" i="10" l="1"/>
  <c r="P17" i="10"/>
  <c r="J17" i="10"/>
  <c r="E18" i="10"/>
  <c r="N90" i="8"/>
  <c r="N126" i="8"/>
  <c r="M55" i="8"/>
  <c r="L126" i="8"/>
  <c r="M126" i="8"/>
  <c r="J198" i="8"/>
  <c r="I198" i="8"/>
  <c r="I37" i="7"/>
  <c r="J37" i="7" s="1"/>
  <c r="R126" i="8"/>
  <c r="T17" i="10"/>
  <c r="H141" i="7"/>
  <c r="H17" i="10"/>
  <c r="L55" i="8"/>
  <c r="K126" i="8"/>
  <c r="F127" i="8" s="1"/>
  <c r="K17" i="10"/>
  <c r="U17" i="10"/>
  <c r="N17" i="10"/>
  <c r="L17" i="10"/>
  <c r="K55" i="8"/>
  <c r="F56" i="8" s="1"/>
  <c r="V17" i="10"/>
  <c r="H214" i="7"/>
  <c r="R17" i="10"/>
  <c r="I17" i="10"/>
  <c r="M17" i="10"/>
  <c r="C19" i="10"/>
  <c r="N19" i="8"/>
  <c r="N55" i="8"/>
  <c r="S17" i="10"/>
  <c r="P73" i="7" l="1"/>
  <c r="Q73" i="7" s="1"/>
  <c r="H72" i="7" s="1"/>
  <c r="B37" i="9"/>
  <c r="J56" i="8"/>
  <c r="I56" i="8"/>
  <c r="R37" i="7"/>
  <c r="G18" i="10"/>
  <c r="P18" i="10" s="1"/>
  <c r="N162" i="8"/>
  <c r="N198" i="8"/>
  <c r="K37" i="7"/>
  <c r="K198" i="8"/>
  <c r="F199" i="8" s="1"/>
  <c r="M37" i="7"/>
  <c r="H140" i="7"/>
  <c r="L198" i="8"/>
  <c r="H213" i="7"/>
  <c r="M198" i="8"/>
  <c r="J127" i="8"/>
  <c r="I127" i="8"/>
  <c r="L37" i="7"/>
  <c r="R198" i="8"/>
  <c r="V18" i="10" l="1"/>
  <c r="S18" i="10"/>
  <c r="T18" i="10"/>
  <c r="E19" i="10"/>
  <c r="N127" i="8"/>
  <c r="N91" i="8"/>
  <c r="H139" i="7"/>
  <c r="C20" i="10"/>
  <c r="N56" i="8"/>
  <c r="N20" i="8"/>
  <c r="H71" i="7"/>
  <c r="L56" i="8"/>
  <c r="J18" i="10"/>
  <c r="I18" i="10"/>
  <c r="H212" i="7"/>
  <c r="H18" i="10"/>
  <c r="U18" i="10"/>
  <c r="R18" i="10"/>
  <c r="N18" i="10"/>
  <c r="K18" i="10"/>
  <c r="K127" i="8"/>
  <c r="F128" i="8" s="1"/>
  <c r="O18" i="10"/>
  <c r="L18" i="10"/>
  <c r="L127" i="8"/>
  <c r="J199" i="8"/>
  <c r="L199" i="8" s="1"/>
  <c r="I199" i="8"/>
  <c r="R56" i="8"/>
  <c r="M56" i="8"/>
  <c r="M18" i="10"/>
  <c r="R127" i="8"/>
  <c r="Q18" i="10"/>
  <c r="M127" i="8"/>
  <c r="K56" i="8"/>
  <c r="F57" i="8" s="1"/>
  <c r="R199" i="8" l="1"/>
  <c r="J128" i="8"/>
  <c r="I128" i="8"/>
  <c r="H138" i="7"/>
  <c r="J57" i="8"/>
  <c r="L57" i="8" s="1"/>
  <c r="I57" i="8"/>
  <c r="K199" i="8"/>
  <c r="F200" i="8" s="1"/>
  <c r="G19" i="10"/>
  <c r="M19" i="10" s="1"/>
  <c r="N163" i="8"/>
  <c r="N199" i="8"/>
  <c r="M199" i="8"/>
  <c r="H70" i="7"/>
  <c r="H211" i="7"/>
  <c r="N19" i="10" l="1"/>
  <c r="P19" i="10"/>
  <c r="E20" i="10"/>
  <c r="N92" i="8"/>
  <c r="N128" i="8"/>
  <c r="H19" i="10"/>
  <c r="H210" i="7"/>
  <c r="V19" i="10"/>
  <c r="H69" i="7"/>
  <c r="L19" i="10"/>
  <c r="J19" i="10"/>
  <c r="K128" i="8"/>
  <c r="F129" i="8" s="1"/>
  <c r="C21" i="10"/>
  <c r="N57" i="8"/>
  <c r="N21" i="8"/>
  <c r="R128" i="8"/>
  <c r="T19" i="10"/>
  <c r="Q19" i="10"/>
  <c r="S19" i="10"/>
  <c r="M57" i="8"/>
  <c r="L128" i="8"/>
  <c r="J200" i="8"/>
  <c r="R200" i="8" s="1"/>
  <c r="I200" i="8"/>
  <c r="I19" i="10"/>
  <c r="U19" i="10"/>
  <c r="R57" i="8"/>
  <c r="M128" i="8"/>
  <c r="R19" i="10"/>
  <c r="K19" i="10"/>
  <c r="K57" i="8"/>
  <c r="F58" i="8" s="1"/>
  <c r="O19" i="10"/>
  <c r="H137" i="7"/>
  <c r="H209" i="7" l="1"/>
  <c r="M200" i="8"/>
  <c r="K200" i="8"/>
  <c r="F201" i="8" s="1"/>
  <c r="L200" i="8"/>
  <c r="H136" i="7"/>
  <c r="J129" i="8"/>
  <c r="I129" i="8"/>
  <c r="J58" i="8"/>
  <c r="I58" i="8"/>
  <c r="G20" i="10"/>
  <c r="H20" i="10" s="1"/>
  <c r="N200" i="8"/>
  <c r="N164" i="8"/>
  <c r="H68" i="7"/>
  <c r="R20" i="10" l="1"/>
  <c r="N20" i="10"/>
  <c r="L20" i="10"/>
  <c r="O20" i="10"/>
  <c r="Q20" i="10"/>
  <c r="M20" i="10"/>
  <c r="T20" i="10"/>
  <c r="V20" i="10"/>
  <c r="U20" i="10"/>
  <c r="C22" i="10"/>
  <c r="N58" i="8"/>
  <c r="N22" i="8"/>
  <c r="H135" i="7"/>
  <c r="S20" i="10"/>
  <c r="J20" i="10"/>
  <c r="E21" i="10"/>
  <c r="N129" i="8"/>
  <c r="N93" i="8"/>
  <c r="J201" i="8"/>
  <c r="R201" i="8" s="1"/>
  <c r="I201" i="8"/>
  <c r="L58" i="8"/>
  <c r="H67" i="7"/>
  <c r="R58" i="8"/>
  <c r="M129" i="8"/>
  <c r="I20" i="10"/>
  <c r="K20" i="10"/>
  <c r="K129" i="8"/>
  <c r="F130" i="8" s="1"/>
  <c r="R129" i="8"/>
  <c r="K58" i="8"/>
  <c r="F59" i="8" s="1"/>
  <c r="P20" i="10"/>
  <c r="M58" i="8"/>
  <c r="L129" i="8"/>
  <c r="H208" i="7"/>
  <c r="J130" i="8" l="1"/>
  <c r="I130" i="8"/>
  <c r="H207" i="7"/>
  <c r="G21" i="10"/>
  <c r="V21" i="10" s="1"/>
  <c r="N201" i="8"/>
  <c r="N165" i="8"/>
  <c r="K201" i="8"/>
  <c r="F202" i="8" s="1"/>
  <c r="H134" i="7"/>
  <c r="L201" i="8"/>
  <c r="H66" i="7"/>
  <c r="M201" i="8"/>
  <c r="J59" i="8"/>
  <c r="I59" i="8"/>
  <c r="S21" i="10" l="1"/>
  <c r="H21" i="10"/>
  <c r="P21" i="10"/>
  <c r="K21" i="10"/>
  <c r="O21" i="10"/>
  <c r="M21" i="10"/>
  <c r="I21" i="10"/>
  <c r="R21" i="10"/>
  <c r="J21" i="10"/>
  <c r="U21" i="10"/>
  <c r="N21" i="10"/>
  <c r="T21" i="10"/>
  <c r="L21" i="10"/>
  <c r="C23" i="10"/>
  <c r="N59" i="8"/>
  <c r="N23" i="8"/>
  <c r="E22" i="10"/>
  <c r="N130" i="8"/>
  <c r="N94" i="8"/>
  <c r="J202" i="8"/>
  <c r="I202" i="8"/>
  <c r="L59" i="8"/>
  <c r="Q21" i="10"/>
  <c r="K130" i="8"/>
  <c r="F131" i="8" s="1"/>
  <c r="H65" i="7"/>
  <c r="R59" i="8"/>
  <c r="R130" i="8"/>
  <c r="M59" i="8"/>
  <c r="L130" i="8"/>
  <c r="H206" i="7"/>
  <c r="H133" i="7"/>
  <c r="K59" i="8"/>
  <c r="F60" i="8" s="1"/>
  <c r="M130" i="8"/>
  <c r="G22" i="10" l="1"/>
  <c r="L22" i="10" s="1"/>
  <c r="N202" i="8"/>
  <c r="N166" i="8"/>
  <c r="H205" i="7"/>
  <c r="R202" i="8"/>
  <c r="H64" i="7"/>
  <c r="K202" i="8"/>
  <c r="F203" i="8" s="1"/>
  <c r="J131" i="8"/>
  <c r="I131" i="8"/>
  <c r="J60" i="8"/>
  <c r="R60" i="8" s="1"/>
  <c r="I60" i="8"/>
  <c r="L202" i="8"/>
  <c r="H132" i="7"/>
  <c r="M202" i="8"/>
  <c r="I22" i="10" l="1"/>
  <c r="T22" i="10"/>
  <c r="Q22" i="10"/>
  <c r="R22" i="10"/>
  <c r="V22" i="10"/>
  <c r="U22" i="10"/>
  <c r="K22" i="10"/>
  <c r="H22" i="10"/>
  <c r="J22" i="10"/>
  <c r="N22" i="10"/>
  <c r="S22" i="10"/>
  <c r="P22" i="10"/>
  <c r="O22" i="10"/>
  <c r="M60" i="8"/>
  <c r="H131" i="7"/>
  <c r="H63" i="7"/>
  <c r="E23" i="10"/>
  <c r="N95" i="8"/>
  <c r="N131" i="8"/>
  <c r="M22" i="10"/>
  <c r="K131" i="8"/>
  <c r="F132" i="8" s="1"/>
  <c r="H204" i="7"/>
  <c r="C24" i="10"/>
  <c r="N24" i="8"/>
  <c r="N60" i="8"/>
  <c r="L131" i="8"/>
  <c r="R131" i="8"/>
  <c r="K60" i="8"/>
  <c r="F61" i="8" s="1"/>
  <c r="M131" i="8"/>
  <c r="L60" i="8"/>
  <c r="J203" i="8"/>
  <c r="L203" i="8" s="1"/>
  <c r="I203" i="8"/>
  <c r="R203" i="8" l="1"/>
  <c r="M203" i="8"/>
  <c r="H203" i="7"/>
  <c r="H62" i="7"/>
  <c r="H130" i="7"/>
  <c r="G23" i="10"/>
  <c r="Q23" i="10" s="1"/>
  <c r="N203" i="8"/>
  <c r="N167" i="8"/>
  <c r="J61" i="8"/>
  <c r="I61" i="8"/>
  <c r="J132" i="8"/>
  <c r="L132" i="8" s="1"/>
  <c r="I132" i="8"/>
  <c r="K203" i="8"/>
  <c r="F204" i="8" s="1"/>
  <c r="C25" i="10" l="1"/>
  <c r="N25" i="8"/>
  <c r="N61" i="8"/>
  <c r="O23" i="10"/>
  <c r="N23" i="10"/>
  <c r="H202" i="7"/>
  <c r="H23" i="10"/>
  <c r="H129" i="7"/>
  <c r="K132" i="8"/>
  <c r="F133" i="8" s="1"/>
  <c r="K61" i="8"/>
  <c r="F62" i="8" s="1"/>
  <c r="R23" i="10"/>
  <c r="J23" i="10"/>
  <c r="E24" i="10"/>
  <c r="N96" i="8"/>
  <c r="N132" i="8"/>
  <c r="P23" i="10"/>
  <c r="V23" i="10"/>
  <c r="J204" i="8"/>
  <c r="M204" i="8" s="1"/>
  <c r="I204" i="8"/>
  <c r="S23" i="10"/>
  <c r="R61" i="8"/>
  <c r="M23" i="10"/>
  <c r="K23" i="10"/>
  <c r="M132" i="8"/>
  <c r="M61" i="8"/>
  <c r="U23" i="10"/>
  <c r="T23" i="10"/>
  <c r="L23" i="10"/>
  <c r="L61" i="8"/>
  <c r="H61" i="7"/>
  <c r="R132" i="8"/>
  <c r="I23" i="10"/>
  <c r="R204" i="8" l="1"/>
  <c r="H201" i="7"/>
  <c r="L204" i="8"/>
  <c r="J62" i="8"/>
  <c r="I62" i="8"/>
  <c r="G24" i="10"/>
  <c r="M24" i="10" s="1"/>
  <c r="N204" i="8"/>
  <c r="N168" i="8"/>
  <c r="H60" i="7"/>
  <c r="J133" i="8"/>
  <c r="R133" i="8" s="1"/>
  <c r="I133" i="8"/>
  <c r="K204" i="8"/>
  <c r="F205" i="8" s="1"/>
  <c r="H128" i="7"/>
  <c r="J24" i="10" l="1"/>
  <c r="L24" i="10"/>
  <c r="R24" i="10"/>
  <c r="S24" i="10"/>
  <c r="T24" i="10"/>
  <c r="P24" i="10"/>
  <c r="K24" i="10"/>
  <c r="I24" i="10"/>
  <c r="C26" i="10"/>
  <c r="N26" i="8"/>
  <c r="N62" i="8"/>
  <c r="H127" i="7"/>
  <c r="L62" i="8"/>
  <c r="J205" i="8"/>
  <c r="I205" i="8"/>
  <c r="R62" i="8"/>
  <c r="O24" i="10"/>
  <c r="Q24" i="10"/>
  <c r="M133" i="8"/>
  <c r="H59" i="7"/>
  <c r="M62" i="8"/>
  <c r="H24" i="10"/>
  <c r="U24" i="10"/>
  <c r="E25" i="10"/>
  <c r="N133" i="8"/>
  <c r="N97" i="8"/>
  <c r="N24" i="10"/>
  <c r="V24" i="10"/>
  <c r="L133" i="8"/>
  <c r="K62" i="8"/>
  <c r="F63" i="8" s="1"/>
  <c r="K133" i="8"/>
  <c r="F134" i="8" s="1"/>
  <c r="H200" i="7"/>
  <c r="G25" i="10" l="1"/>
  <c r="J25" i="10" s="1"/>
  <c r="N205" i="8"/>
  <c r="N169" i="8"/>
  <c r="H199" i="7"/>
  <c r="J134" i="8"/>
  <c r="I134" i="8"/>
  <c r="J63" i="8"/>
  <c r="L63" i="8" s="1"/>
  <c r="I63" i="8"/>
  <c r="H126" i="7"/>
  <c r="K205" i="8"/>
  <c r="F206" i="8" s="1"/>
  <c r="M205" i="8"/>
  <c r="H58" i="7"/>
  <c r="L205" i="8"/>
  <c r="R205" i="8"/>
  <c r="U25" i="10" l="1"/>
  <c r="L25" i="10"/>
  <c r="R25" i="10"/>
  <c r="Q25" i="10"/>
  <c r="V25" i="10"/>
  <c r="O25" i="10"/>
  <c r="T25" i="10"/>
  <c r="H25" i="10"/>
  <c r="M25" i="10"/>
  <c r="N25" i="10"/>
  <c r="P25" i="10"/>
  <c r="E26" i="10"/>
  <c r="N98" i="8"/>
  <c r="N134" i="8"/>
  <c r="R63" i="8"/>
  <c r="K134" i="8"/>
  <c r="F135" i="8" s="1"/>
  <c r="K63" i="8"/>
  <c r="F64" i="8" s="1"/>
  <c r="M134" i="8"/>
  <c r="S25" i="10"/>
  <c r="I25" i="10"/>
  <c r="H198" i="7"/>
  <c r="C27" i="10"/>
  <c r="N63" i="8"/>
  <c r="N27" i="8"/>
  <c r="L134" i="8"/>
  <c r="J206" i="8"/>
  <c r="R206" i="8" s="1"/>
  <c r="I206" i="8"/>
  <c r="M63" i="8"/>
  <c r="K25" i="10"/>
  <c r="H57" i="7"/>
  <c r="H125" i="7"/>
  <c r="R134" i="8"/>
  <c r="M206" i="8" l="1"/>
  <c r="J135" i="8"/>
  <c r="R135" i="8" s="1"/>
  <c r="I135" i="8"/>
  <c r="L206" i="8"/>
  <c r="J64" i="8"/>
  <c r="M64" i="8" s="1"/>
  <c r="I64" i="8"/>
  <c r="H124" i="7"/>
  <c r="G26" i="10"/>
  <c r="H26" i="10" s="1"/>
  <c r="N206" i="8"/>
  <c r="N170" i="8"/>
  <c r="H197" i="7"/>
  <c r="H56" i="7"/>
  <c r="K206" i="8"/>
  <c r="F207" i="8" s="1"/>
  <c r="R26" i="10" l="1"/>
  <c r="L64" i="8"/>
  <c r="O26" i="10"/>
  <c r="M26" i="10"/>
  <c r="H55" i="7"/>
  <c r="K135" i="8"/>
  <c r="F136" i="8" s="1"/>
  <c r="Q26" i="10"/>
  <c r="K26" i="10"/>
  <c r="L135" i="8"/>
  <c r="T26" i="10"/>
  <c r="V26" i="10"/>
  <c r="E27" i="10"/>
  <c r="N135" i="8"/>
  <c r="N99" i="8"/>
  <c r="C28" i="10"/>
  <c r="N28" i="8"/>
  <c r="N64" i="8"/>
  <c r="M135" i="8"/>
  <c r="S26" i="10"/>
  <c r="N26" i="10"/>
  <c r="J207" i="8"/>
  <c r="I207" i="8"/>
  <c r="H123" i="7"/>
  <c r="U26" i="10"/>
  <c r="L26" i="10"/>
  <c r="H196" i="7"/>
  <c r="R64" i="8"/>
  <c r="I26" i="10"/>
  <c r="J26" i="10"/>
  <c r="P26" i="10"/>
  <c r="K64" i="8"/>
  <c r="F65" i="8" s="1"/>
  <c r="G27" i="10" l="1"/>
  <c r="Q27" i="10" s="1"/>
  <c r="N207" i="8"/>
  <c r="N171" i="8"/>
  <c r="J136" i="8"/>
  <c r="L136" i="8" s="1"/>
  <c r="I136" i="8"/>
  <c r="H122" i="7"/>
  <c r="H54" i="7"/>
  <c r="J65" i="8"/>
  <c r="I65" i="8"/>
  <c r="M207" i="8"/>
  <c r="L207" i="8"/>
  <c r="H195" i="7"/>
  <c r="K207" i="8"/>
  <c r="F208" i="8" s="1"/>
  <c r="R207" i="8"/>
  <c r="K27" i="10" l="1"/>
  <c r="I27" i="10"/>
  <c r="V27" i="10"/>
  <c r="O27" i="10"/>
  <c r="S27" i="10"/>
  <c r="H27" i="10"/>
  <c r="M27" i="10"/>
  <c r="T27" i="10"/>
  <c r="J27" i="10"/>
  <c r="U27" i="10"/>
  <c r="L27" i="10"/>
  <c r="R27" i="10"/>
  <c r="N27" i="10"/>
  <c r="P27" i="10"/>
  <c r="C29" i="10"/>
  <c r="N65" i="8"/>
  <c r="N29" i="8"/>
  <c r="H194" i="7"/>
  <c r="M65" i="8"/>
  <c r="H53" i="7"/>
  <c r="M136" i="8"/>
  <c r="R136" i="8"/>
  <c r="J208" i="8"/>
  <c r="R208" i="8" s="1"/>
  <c r="I208" i="8"/>
  <c r="L65" i="8"/>
  <c r="K136" i="8"/>
  <c r="F137" i="8" s="1"/>
  <c r="H121" i="7"/>
  <c r="K65" i="8"/>
  <c r="F66" i="8" s="1"/>
  <c r="R65" i="8"/>
  <c r="E28" i="10"/>
  <c r="N136" i="8"/>
  <c r="N100" i="8"/>
  <c r="H52" i="7" l="1"/>
  <c r="G28" i="10"/>
  <c r="L28" i="10" s="1"/>
  <c r="N208" i="8"/>
  <c r="N172" i="8"/>
  <c r="H193" i="7"/>
  <c r="H120" i="7"/>
  <c r="K208" i="8"/>
  <c r="F209" i="8" s="1"/>
  <c r="M208" i="8"/>
  <c r="J66" i="8"/>
  <c r="L66" i="8" s="1"/>
  <c r="I66" i="8"/>
  <c r="L208" i="8"/>
  <c r="J137" i="8"/>
  <c r="I137" i="8"/>
  <c r="H28" i="10" l="1"/>
  <c r="V28" i="10"/>
  <c r="J28" i="10"/>
  <c r="S28" i="10"/>
  <c r="T28" i="10"/>
  <c r="N28" i="10"/>
  <c r="H119" i="7"/>
  <c r="E29" i="10"/>
  <c r="N137" i="8"/>
  <c r="N101" i="8"/>
  <c r="K66" i="8"/>
  <c r="F67" i="8" s="1"/>
  <c r="H192" i="7"/>
  <c r="R28" i="10"/>
  <c r="Q28" i="10"/>
  <c r="K137" i="8"/>
  <c r="F138" i="8" s="1"/>
  <c r="M28" i="10"/>
  <c r="I28" i="10"/>
  <c r="C30" i="10"/>
  <c r="N66" i="8"/>
  <c r="N30" i="8"/>
  <c r="L137" i="8"/>
  <c r="M66" i="8"/>
  <c r="P28" i="10"/>
  <c r="O28" i="10"/>
  <c r="R66" i="8"/>
  <c r="R137" i="8"/>
  <c r="M137" i="8"/>
  <c r="U28" i="10"/>
  <c r="H51" i="7"/>
  <c r="J209" i="8"/>
  <c r="I209" i="8"/>
  <c r="K28" i="10"/>
  <c r="G29" i="10" l="1"/>
  <c r="V29" i="10" s="1"/>
  <c r="N209" i="8"/>
  <c r="N173" i="8"/>
  <c r="J67" i="8"/>
  <c r="L67" i="8" s="1"/>
  <c r="I67" i="8"/>
  <c r="R209" i="8"/>
  <c r="K209" i="8"/>
  <c r="F210" i="8" s="1"/>
  <c r="M209" i="8"/>
  <c r="J138" i="8"/>
  <c r="M138" i="8" s="1"/>
  <c r="I138" i="8"/>
  <c r="L209" i="8"/>
  <c r="H191" i="7"/>
  <c r="H50" i="7"/>
  <c r="H118" i="7"/>
  <c r="R29" i="10" l="1"/>
  <c r="H29" i="10"/>
  <c r="L29" i="10"/>
  <c r="T29" i="10"/>
  <c r="K29" i="10"/>
  <c r="P29" i="10"/>
  <c r="J29" i="10"/>
  <c r="I29" i="10"/>
  <c r="S29" i="10"/>
  <c r="R138" i="8"/>
  <c r="L138" i="8"/>
  <c r="H117" i="7"/>
  <c r="R67" i="8"/>
  <c r="E30" i="10"/>
  <c r="N138" i="8"/>
  <c r="N102" i="8"/>
  <c r="K67" i="8"/>
  <c r="F68" i="8" s="1"/>
  <c r="M29" i="10"/>
  <c r="O29" i="10"/>
  <c r="K138" i="8"/>
  <c r="F139" i="8" s="1"/>
  <c r="C31" i="10"/>
  <c r="N67" i="8"/>
  <c r="N31" i="8"/>
  <c r="H49" i="7"/>
  <c r="N29" i="10"/>
  <c r="Q29" i="10"/>
  <c r="H190" i="7"/>
  <c r="U29" i="10"/>
  <c r="M67" i="8"/>
  <c r="J210" i="8"/>
  <c r="I210" i="8"/>
  <c r="G30" i="10" l="1"/>
  <c r="S30" i="10" s="1"/>
  <c r="N210" i="8"/>
  <c r="N174" i="8"/>
  <c r="H189" i="7"/>
  <c r="J139" i="8"/>
  <c r="I139" i="8"/>
  <c r="H116" i="7"/>
  <c r="L210" i="8"/>
  <c r="M210" i="8"/>
  <c r="R210" i="8"/>
  <c r="K210" i="8"/>
  <c r="F211" i="8" s="1"/>
  <c r="H48" i="7"/>
  <c r="J68" i="8"/>
  <c r="R68" i="8" s="1"/>
  <c r="I68" i="8"/>
  <c r="V30" i="10" l="1"/>
  <c r="R30" i="10"/>
  <c r="T30" i="10"/>
  <c r="E31" i="10"/>
  <c r="N139" i="8"/>
  <c r="N103" i="8"/>
  <c r="O30" i="10"/>
  <c r="I30" i="10"/>
  <c r="K30" i="10"/>
  <c r="M30" i="10"/>
  <c r="J211" i="8"/>
  <c r="R211" i="8" s="1"/>
  <c r="I211" i="8"/>
  <c r="K68" i="8"/>
  <c r="F69" i="8" s="1"/>
  <c r="K139" i="8"/>
  <c r="F140" i="8" s="1"/>
  <c r="L68" i="8"/>
  <c r="L139" i="8"/>
  <c r="N30" i="10"/>
  <c r="U30" i="10"/>
  <c r="M68" i="8"/>
  <c r="M139" i="8"/>
  <c r="H115" i="7"/>
  <c r="H188" i="7"/>
  <c r="L30" i="10"/>
  <c r="P30" i="10"/>
  <c r="C32" i="10"/>
  <c r="N32" i="8"/>
  <c r="N68" i="8"/>
  <c r="H30" i="10"/>
  <c r="J30" i="10"/>
  <c r="R139" i="8"/>
  <c r="H47" i="7"/>
  <c r="Q30" i="10"/>
  <c r="H187" i="7" l="1"/>
  <c r="M211" i="8"/>
  <c r="J140" i="8"/>
  <c r="M140" i="8" s="1"/>
  <c r="I140" i="8"/>
  <c r="G31" i="10"/>
  <c r="J31" i="10" s="1"/>
  <c r="N211" i="8"/>
  <c r="N175" i="8"/>
  <c r="J69" i="8"/>
  <c r="I69" i="8"/>
  <c r="H46" i="7"/>
  <c r="K211" i="8"/>
  <c r="F212" i="8" s="1"/>
  <c r="H114" i="7"/>
  <c r="L211" i="8"/>
  <c r="K31" i="10" l="1"/>
  <c r="P31" i="10"/>
  <c r="U31" i="10"/>
  <c r="T31" i="10"/>
  <c r="R31" i="10"/>
  <c r="L31" i="10"/>
  <c r="N31" i="10"/>
  <c r="C33" i="10"/>
  <c r="N69" i="8"/>
  <c r="N33" i="8"/>
  <c r="S31" i="10"/>
  <c r="Q31" i="10"/>
  <c r="H113" i="7"/>
  <c r="K69" i="8"/>
  <c r="F70" i="8" s="1"/>
  <c r="K140" i="8"/>
  <c r="F141" i="8" s="1"/>
  <c r="H31" i="10"/>
  <c r="M31" i="10"/>
  <c r="L69" i="8"/>
  <c r="L140" i="8"/>
  <c r="I31" i="10"/>
  <c r="O31" i="10"/>
  <c r="J212" i="8"/>
  <c r="M212" i="8" s="1"/>
  <c r="I212" i="8"/>
  <c r="M69" i="8"/>
  <c r="E32" i="10"/>
  <c r="N104" i="8"/>
  <c r="N140" i="8"/>
  <c r="V31" i="10"/>
  <c r="R69" i="8"/>
  <c r="H45" i="7"/>
  <c r="R140" i="8"/>
  <c r="H186" i="7"/>
  <c r="H185" i="7" l="1"/>
  <c r="J70" i="8"/>
  <c r="L70" i="8" s="1"/>
  <c r="I70" i="8"/>
  <c r="H112" i="7"/>
  <c r="H44" i="7"/>
  <c r="G32" i="10"/>
  <c r="P32" i="10" s="1"/>
  <c r="N176" i="8"/>
  <c r="N212" i="8"/>
  <c r="K212" i="8"/>
  <c r="F213" i="8" s="1"/>
  <c r="L212" i="8"/>
  <c r="R212" i="8"/>
  <c r="J141" i="8"/>
  <c r="I141" i="8"/>
  <c r="R32" i="10" l="1"/>
  <c r="M32" i="10"/>
  <c r="T32" i="10"/>
  <c r="V32" i="10"/>
  <c r="U32" i="10"/>
  <c r="K32" i="10"/>
  <c r="O32" i="10"/>
  <c r="E33" i="10"/>
  <c r="N141" i="8"/>
  <c r="N105" i="8"/>
  <c r="H32" i="10"/>
  <c r="Q32" i="10"/>
  <c r="H43" i="7"/>
  <c r="C34" i="10"/>
  <c r="N70" i="8"/>
  <c r="N34" i="8"/>
  <c r="R141" i="8"/>
  <c r="K70" i="8"/>
  <c r="F71" i="8" s="1"/>
  <c r="K141" i="8"/>
  <c r="F142" i="8" s="1"/>
  <c r="L32" i="10"/>
  <c r="N32" i="10"/>
  <c r="M70" i="8"/>
  <c r="R70" i="8"/>
  <c r="M141" i="8"/>
  <c r="I32" i="10"/>
  <c r="S32" i="10"/>
  <c r="J213" i="8"/>
  <c r="K213" i="8" s="1"/>
  <c r="F214" i="8" s="1"/>
  <c r="I213" i="8"/>
  <c r="L141" i="8"/>
  <c r="J32" i="10"/>
  <c r="H111" i="7"/>
  <c r="H184" i="7"/>
  <c r="J214" i="8" l="1"/>
  <c r="I214" i="8"/>
  <c r="H110" i="7"/>
  <c r="I110" i="7" s="1"/>
  <c r="J110" i="7" s="1"/>
  <c r="M213" i="8"/>
  <c r="H183" i="7"/>
  <c r="L213" i="8"/>
  <c r="H42" i="7"/>
  <c r="J71" i="8"/>
  <c r="I71" i="8"/>
  <c r="J142" i="8"/>
  <c r="M142" i="8" s="1"/>
  <c r="I142" i="8"/>
  <c r="G33" i="10"/>
  <c r="L33" i="10" s="1"/>
  <c r="N213" i="8"/>
  <c r="N177" i="8"/>
  <c r="R213" i="8"/>
  <c r="P33" i="10" l="1"/>
  <c r="R33" i="10"/>
  <c r="H33" i="10"/>
  <c r="M33" i="10"/>
  <c r="Q33" i="10"/>
  <c r="O33" i="10"/>
  <c r="J33" i="10"/>
  <c r="U33" i="10"/>
  <c r="T33" i="10"/>
  <c r="I33" i="10"/>
  <c r="K33" i="10"/>
  <c r="S33" i="10"/>
  <c r="V33" i="10"/>
  <c r="G34" i="10"/>
  <c r="N178" i="8"/>
  <c r="N214" i="8"/>
  <c r="C35" i="10"/>
  <c r="N71" i="8"/>
  <c r="N35" i="8"/>
  <c r="L142" i="8"/>
  <c r="M71" i="8"/>
  <c r="E2" i="9"/>
  <c r="R110" i="7"/>
  <c r="L110" i="7"/>
  <c r="G4" i="6" s="1"/>
  <c r="K110" i="7"/>
  <c r="M110" i="7"/>
  <c r="N110" i="7"/>
  <c r="E4" i="6"/>
  <c r="N74" i="7"/>
  <c r="R142" i="8"/>
  <c r="R214" i="8"/>
  <c r="K71" i="8"/>
  <c r="F72" i="8" s="1"/>
  <c r="K214" i="8"/>
  <c r="F215" i="8" s="1"/>
  <c r="K142" i="8"/>
  <c r="F143" i="8" s="1"/>
  <c r="H41" i="7"/>
  <c r="N33" i="10"/>
  <c r="L71" i="8"/>
  <c r="H182" i="7"/>
  <c r="I182" i="7" s="1"/>
  <c r="J182" i="7" s="1"/>
  <c r="L214" i="8"/>
  <c r="E34" i="10"/>
  <c r="N142" i="8"/>
  <c r="N106" i="8"/>
  <c r="R71" i="8"/>
  <c r="M214" i="8"/>
  <c r="I4" i="6" l="1"/>
  <c r="H4" i="6"/>
  <c r="H40" i="7"/>
  <c r="J143" i="8"/>
  <c r="L143" i="8" s="1"/>
  <c r="I143" i="8"/>
  <c r="J215" i="8"/>
  <c r="I215" i="8"/>
  <c r="F111" i="7"/>
  <c r="F4" i="6"/>
  <c r="R34" i="10"/>
  <c r="U34" i="10"/>
  <c r="M34" i="10"/>
  <c r="J34" i="10"/>
  <c r="T34" i="10"/>
  <c r="N34" i="10"/>
  <c r="Q34" i="10"/>
  <c r="I34" i="10"/>
  <c r="L34" i="10"/>
  <c r="H34" i="10"/>
  <c r="P34" i="10"/>
  <c r="K34" i="10"/>
  <c r="O34" i="10"/>
  <c r="S34" i="10"/>
  <c r="V34" i="10"/>
  <c r="M182" i="7"/>
  <c r="L182" i="7"/>
  <c r="G5" i="6" s="1"/>
  <c r="K182" i="7"/>
  <c r="R182" i="7"/>
  <c r="G2" i="9"/>
  <c r="N146" i="7"/>
  <c r="N182" i="7"/>
  <c r="E5" i="6"/>
  <c r="J72" i="8"/>
  <c r="I72" i="8"/>
  <c r="G35" i="10" l="1"/>
  <c r="N179" i="8"/>
  <c r="N215" i="8"/>
  <c r="H39" i="7"/>
  <c r="C36" i="10"/>
  <c r="N36" i="8"/>
  <c r="N72" i="8"/>
  <c r="K72" i="8"/>
  <c r="F73" i="8" s="1"/>
  <c r="F183" i="7"/>
  <c r="F5" i="6"/>
  <c r="M215" i="8"/>
  <c r="I5" i="6"/>
  <c r="H5" i="6"/>
  <c r="K215" i="8"/>
  <c r="F216" i="8" s="1"/>
  <c r="K143" i="8"/>
  <c r="F144" i="8" s="1"/>
  <c r="L215" i="8"/>
  <c r="R72" i="8"/>
  <c r="E35" i="10"/>
  <c r="N107" i="8"/>
  <c r="N143" i="8"/>
  <c r="R215" i="8"/>
  <c r="M143" i="8"/>
  <c r="L72" i="8"/>
  <c r="M72" i="8"/>
  <c r="I111" i="7"/>
  <c r="J111" i="7" s="1"/>
  <c r="R143" i="8"/>
  <c r="E3" i="9" l="1"/>
  <c r="N111" i="7"/>
  <c r="N75" i="7"/>
  <c r="E7" i="6"/>
  <c r="M111" i="7"/>
  <c r="K111" i="7"/>
  <c r="R111" i="7"/>
  <c r="L111" i="7"/>
  <c r="G7" i="6" s="1"/>
  <c r="J216" i="8"/>
  <c r="R216" i="8" s="1"/>
  <c r="I216" i="8"/>
  <c r="J144" i="8"/>
  <c r="I144" i="8"/>
  <c r="H38" i="7"/>
  <c r="I38" i="7" s="1"/>
  <c r="J38" i="7" s="1"/>
  <c r="R35" i="10"/>
  <c r="H35" i="10"/>
  <c r="M35" i="10"/>
  <c r="I35" i="10"/>
  <c r="P35" i="10"/>
  <c r="L35" i="10"/>
  <c r="J35" i="10"/>
  <c r="S35" i="10"/>
  <c r="V35" i="10"/>
  <c r="N35" i="10"/>
  <c r="O35" i="10"/>
  <c r="U35" i="10"/>
  <c r="Q35" i="10"/>
  <c r="K35" i="10"/>
  <c r="T35" i="10"/>
  <c r="I183" i="7"/>
  <c r="J183" i="7" s="1"/>
  <c r="M183" i="7" s="1"/>
  <c r="J73" i="8"/>
  <c r="M73" i="8" s="1"/>
  <c r="I73" i="8"/>
  <c r="K183" i="7" l="1"/>
  <c r="F184" i="7" s="1"/>
  <c r="R183" i="7"/>
  <c r="L183" i="7"/>
  <c r="G8" i="6" s="1"/>
  <c r="E36" i="10"/>
  <c r="N144" i="8"/>
  <c r="N108" i="8"/>
  <c r="F112" i="7"/>
  <c r="F7" i="6"/>
  <c r="K73" i="8"/>
  <c r="R38" i="7"/>
  <c r="C2" i="9"/>
  <c r="K38" i="7"/>
  <c r="M38" i="7"/>
  <c r="L38" i="7"/>
  <c r="N2" i="7"/>
  <c r="N3" i="6"/>
  <c r="E3" i="6"/>
  <c r="N38" i="7"/>
  <c r="K216" i="8"/>
  <c r="F217" i="8" s="1"/>
  <c r="L73" i="8"/>
  <c r="H7" i="6"/>
  <c r="I7" i="6"/>
  <c r="G36" i="10"/>
  <c r="N216" i="8"/>
  <c r="N180" i="8"/>
  <c r="L144" i="8"/>
  <c r="R73" i="8"/>
  <c r="M144" i="8"/>
  <c r="R144" i="8"/>
  <c r="L216" i="8"/>
  <c r="C37" i="10"/>
  <c r="N73" i="8"/>
  <c r="N37" i="8"/>
  <c r="G3" i="9"/>
  <c r="E8" i="6"/>
  <c r="N183" i="7"/>
  <c r="N147" i="7"/>
  <c r="K144" i="8"/>
  <c r="F145" i="8" s="1"/>
  <c r="M216" i="8"/>
  <c r="F8" i="6" l="1"/>
  <c r="I184" i="7"/>
  <c r="J184" i="7" s="1"/>
  <c r="H3" i="6"/>
  <c r="I3" i="6"/>
  <c r="J217" i="8"/>
  <c r="R217" i="8" s="1"/>
  <c r="I217" i="8"/>
  <c r="I112" i="7"/>
  <c r="J112" i="7" s="1"/>
  <c r="M112" i="7" s="1"/>
  <c r="G3" i="6"/>
  <c r="P3" i="6"/>
  <c r="J145" i="8"/>
  <c r="R145" i="8" s="1"/>
  <c r="I145" i="8"/>
  <c r="I8" i="6"/>
  <c r="H8" i="6"/>
  <c r="J2" i="9"/>
  <c r="Q2" i="9"/>
  <c r="H2" i="9"/>
  <c r="S2" i="9"/>
  <c r="N2" i="9"/>
  <c r="R2" i="9"/>
  <c r="T2" i="9"/>
  <c r="K2" i="9"/>
  <c r="V2" i="9"/>
  <c r="L2" i="9"/>
  <c r="P2" i="9"/>
  <c r="I2" i="9"/>
  <c r="U2" i="9"/>
  <c r="O2" i="9"/>
  <c r="M2" i="9"/>
  <c r="F39" i="7"/>
  <c r="O3" i="6"/>
  <c r="F3" i="6"/>
  <c r="L36" i="10"/>
  <c r="K36" i="10"/>
  <c r="P36" i="10"/>
  <c r="J36" i="10"/>
  <c r="O36" i="10"/>
  <c r="M36" i="10"/>
  <c r="T36" i="10"/>
  <c r="R36" i="10"/>
  <c r="Q36" i="10"/>
  <c r="I36" i="10"/>
  <c r="H36" i="10"/>
  <c r="V36" i="10"/>
  <c r="S36" i="10"/>
  <c r="U36" i="10"/>
  <c r="N36" i="10"/>
  <c r="R112" i="7" l="1"/>
  <c r="G4" i="9"/>
  <c r="N184" i="7"/>
  <c r="E11" i="6"/>
  <c r="N148" i="7"/>
  <c r="K184" i="7"/>
  <c r="R184" i="7"/>
  <c r="M184" i="7"/>
  <c r="L184" i="7"/>
  <c r="G11" i="6" s="1"/>
  <c r="L145" i="8"/>
  <c r="M217" i="8"/>
  <c r="M145" i="8"/>
  <c r="E4" i="9"/>
  <c r="E10" i="6"/>
  <c r="N112" i="7"/>
  <c r="N76" i="7"/>
  <c r="G37" i="10"/>
  <c r="N217" i="8"/>
  <c r="N181" i="8"/>
  <c r="K112" i="7"/>
  <c r="K217" i="8"/>
  <c r="E37" i="10"/>
  <c r="N109" i="8"/>
  <c r="N145" i="8"/>
  <c r="I39" i="7"/>
  <c r="J39" i="7" s="1"/>
  <c r="K145" i="8"/>
  <c r="L112" i="7"/>
  <c r="G10" i="6" s="1"/>
  <c r="L217" i="8"/>
  <c r="U1" i="8" l="1"/>
  <c r="U3" i="8" s="1"/>
  <c r="C3" i="9"/>
  <c r="E6" i="6"/>
  <c r="N3" i="7"/>
  <c r="N39" i="7"/>
  <c r="N4" i="6"/>
  <c r="L39" i="7"/>
  <c r="R39" i="7"/>
  <c r="K39" i="7"/>
  <c r="M39" i="7"/>
  <c r="L37" i="10"/>
  <c r="L8" i="13" s="1"/>
  <c r="B59" i="13" s="1"/>
  <c r="I37" i="10"/>
  <c r="I8" i="13" s="1"/>
  <c r="B29" i="13" s="1"/>
  <c r="R37" i="10"/>
  <c r="R8" i="13" s="1"/>
  <c r="B119" i="13" s="1"/>
  <c r="Q37" i="10"/>
  <c r="Q8" i="13" s="1"/>
  <c r="B109" i="13" s="1"/>
  <c r="U37" i="10"/>
  <c r="U8" i="13" s="1"/>
  <c r="B149" i="13" s="1"/>
  <c r="N37" i="10"/>
  <c r="N8" i="13" s="1"/>
  <c r="B79" i="13" s="1"/>
  <c r="V37" i="10"/>
  <c r="V8" i="13" s="1"/>
  <c r="B159" i="13" s="1"/>
  <c r="T37" i="10"/>
  <c r="T8" i="13" s="1"/>
  <c r="B139" i="13" s="1"/>
  <c r="H37" i="10"/>
  <c r="H8" i="13" s="1"/>
  <c r="B19" i="13" s="1"/>
  <c r="M37" i="10"/>
  <c r="M8" i="13" s="1"/>
  <c r="B69" i="13" s="1"/>
  <c r="S37" i="10"/>
  <c r="S8" i="13" s="1"/>
  <c r="B129" i="13" s="1"/>
  <c r="O37" i="10"/>
  <c r="O8" i="13" s="1"/>
  <c r="B89" i="13" s="1"/>
  <c r="K37" i="10"/>
  <c r="J37" i="10"/>
  <c r="J8" i="13" s="1"/>
  <c r="B39" i="13" s="1"/>
  <c r="P37" i="10"/>
  <c r="P8" i="13" s="1"/>
  <c r="B99" i="13" s="1"/>
  <c r="F185" i="7"/>
  <c r="F11" i="6"/>
  <c r="F113" i="7"/>
  <c r="F10" i="6"/>
  <c r="I11" i="6"/>
  <c r="H11" i="6"/>
  <c r="I10" i="6"/>
  <c r="H10" i="6"/>
  <c r="AJ159" i="13" l="1"/>
  <c r="AB159" i="13"/>
  <c r="T159" i="13"/>
  <c r="L159" i="13"/>
  <c r="D159" i="13"/>
  <c r="AF159" i="13"/>
  <c r="W159" i="13"/>
  <c r="N159" i="13"/>
  <c r="E159" i="13"/>
  <c r="AC159" i="13"/>
  <c r="R159" i="13"/>
  <c r="H159" i="13"/>
  <c r="AL159" i="13"/>
  <c r="AA159" i="13"/>
  <c r="Q159" i="13"/>
  <c r="G159" i="13"/>
  <c r="AK159" i="13"/>
  <c r="X159" i="13"/>
  <c r="J159" i="13"/>
  <c r="AI159" i="13"/>
  <c r="V159" i="13"/>
  <c r="I159" i="13"/>
  <c r="AH159" i="13"/>
  <c r="U159" i="13"/>
  <c r="F159" i="13"/>
  <c r="AD159" i="13"/>
  <c r="C159" i="13"/>
  <c r="Z159" i="13"/>
  <c r="AG159" i="13"/>
  <c r="M159" i="13"/>
  <c r="P159" i="13"/>
  <c r="O159" i="13"/>
  <c r="K159" i="13"/>
  <c r="S159" i="13"/>
  <c r="AE159" i="13"/>
  <c r="Y159" i="13"/>
  <c r="F40" i="7"/>
  <c r="F6" i="6"/>
  <c r="O4" i="6"/>
  <c r="AH79" i="13"/>
  <c r="Z79" i="13"/>
  <c r="R79" i="13"/>
  <c r="J79" i="13"/>
  <c r="AG79" i="13"/>
  <c r="Y79" i="13"/>
  <c r="Q79" i="13"/>
  <c r="I79" i="13"/>
  <c r="AF79" i="13"/>
  <c r="X79" i="13"/>
  <c r="P79" i="13"/>
  <c r="H79" i="13"/>
  <c r="AB79" i="13"/>
  <c r="N79" i="13"/>
  <c r="C79" i="13"/>
  <c r="AL79" i="13"/>
  <c r="AA79" i="13"/>
  <c r="M79" i="13"/>
  <c r="AK79" i="13"/>
  <c r="W79" i="13"/>
  <c r="L79" i="13"/>
  <c r="AE79" i="13"/>
  <c r="K79" i="13"/>
  <c r="AD79" i="13"/>
  <c r="G79" i="13"/>
  <c r="AC79" i="13"/>
  <c r="F79" i="13"/>
  <c r="T79" i="13"/>
  <c r="S79" i="13"/>
  <c r="O79" i="13"/>
  <c r="V79" i="13"/>
  <c r="U79" i="13"/>
  <c r="AJ79" i="13"/>
  <c r="E79" i="13"/>
  <c r="AI79" i="13"/>
  <c r="D79" i="13"/>
  <c r="AL129" i="13"/>
  <c r="AD129" i="13"/>
  <c r="V129" i="13"/>
  <c r="N129" i="13"/>
  <c r="F129" i="13"/>
  <c r="AK129" i="13"/>
  <c r="AB129" i="13"/>
  <c r="S129" i="13"/>
  <c r="J129" i="13"/>
  <c r="AJ129" i="13"/>
  <c r="AA129" i="13"/>
  <c r="R129" i="13"/>
  <c r="I129" i="13"/>
  <c r="AI129" i="13"/>
  <c r="Z129" i="13"/>
  <c r="Q129" i="13"/>
  <c r="H129" i="13"/>
  <c r="AG129" i="13"/>
  <c r="T129" i="13"/>
  <c r="D129" i="13"/>
  <c r="AF129" i="13"/>
  <c r="P129" i="13"/>
  <c r="C129" i="13"/>
  <c r="W129" i="13"/>
  <c r="G129" i="13"/>
  <c r="AE129" i="13"/>
  <c r="K129" i="13"/>
  <c r="AC129" i="13"/>
  <c r="E129" i="13"/>
  <c r="Y129" i="13"/>
  <c r="M129" i="13"/>
  <c r="L129" i="13"/>
  <c r="O129" i="13"/>
  <c r="X129" i="13"/>
  <c r="U129" i="13"/>
  <c r="AH129" i="13"/>
  <c r="AH119" i="13"/>
  <c r="Z119" i="13"/>
  <c r="R119" i="13"/>
  <c r="J119" i="13"/>
  <c r="AG119" i="13"/>
  <c r="Y119" i="13"/>
  <c r="Q119" i="13"/>
  <c r="I119" i="13"/>
  <c r="AF119" i="13"/>
  <c r="V119" i="13"/>
  <c r="L119" i="13"/>
  <c r="AE119" i="13"/>
  <c r="U119" i="13"/>
  <c r="K119" i="13"/>
  <c r="AJ119" i="13"/>
  <c r="X119" i="13"/>
  <c r="N119" i="13"/>
  <c r="D119" i="13"/>
  <c r="AB119" i="13"/>
  <c r="H119" i="13"/>
  <c r="AA119" i="13"/>
  <c r="G119" i="13"/>
  <c r="W119" i="13"/>
  <c r="F119" i="13"/>
  <c r="AD119" i="13"/>
  <c r="C119" i="13"/>
  <c r="AC119" i="13"/>
  <c r="T119" i="13"/>
  <c r="M119" i="13"/>
  <c r="E119" i="13"/>
  <c r="AL119" i="13"/>
  <c r="S119" i="13"/>
  <c r="P119" i="13"/>
  <c r="O119" i="13"/>
  <c r="AK119" i="13"/>
  <c r="AI119" i="13"/>
  <c r="P4" i="6"/>
  <c r="G6" i="6"/>
  <c r="AK89" i="13"/>
  <c r="AC89" i="13"/>
  <c r="U89" i="13"/>
  <c r="M89" i="13"/>
  <c r="E89" i="13"/>
  <c r="AJ89" i="13"/>
  <c r="AB89" i="13"/>
  <c r="T89" i="13"/>
  <c r="L89" i="13"/>
  <c r="D89" i="13"/>
  <c r="AI89" i="13"/>
  <c r="AA89" i="13"/>
  <c r="S89" i="13"/>
  <c r="K89" i="13"/>
  <c r="C89" i="13"/>
  <c r="AH89" i="13"/>
  <c r="W89" i="13"/>
  <c r="I89" i="13"/>
  <c r="AG89" i="13"/>
  <c r="V89" i="13"/>
  <c r="H89" i="13"/>
  <c r="AF89" i="13"/>
  <c r="R89" i="13"/>
  <c r="G89" i="13"/>
  <c r="X89" i="13"/>
  <c r="Q89" i="13"/>
  <c r="P89" i="13"/>
  <c r="AD89" i="13"/>
  <c r="Z89" i="13"/>
  <c r="Y89" i="13"/>
  <c r="AL89" i="13"/>
  <c r="F89" i="13"/>
  <c r="AE89" i="13"/>
  <c r="J89" i="13"/>
  <c r="O89" i="13"/>
  <c r="N89" i="13"/>
  <c r="AE109" i="13"/>
  <c r="W109" i="13"/>
  <c r="O109" i="13"/>
  <c r="G109" i="13"/>
  <c r="AL109" i="13"/>
  <c r="AD109" i="13"/>
  <c r="V109" i="13"/>
  <c r="N109" i="13"/>
  <c r="F109" i="13"/>
  <c r="AB109" i="13"/>
  <c r="R109" i="13"/>
  <c r="H109" i="13"/>
  <c r="AK109" i="13"/>
  <c r="AA109" i="13"/>
  <c r="Q109" i="13"/>
  <c r="E109" i="13"/>
  <c r="AJ109" i="13"/>
  <c r="Z109" i="13"/>
  <c r="P109" i="13"/>
  <c r="D109" i="13"/>
  <c r="AI109" i="13"/>
  <c r="T109" i="13"/>
  <c r="AH109" i="13"/>
  <c r="S109" i="13"/>
  <c r="AG109" i="13"/>
  <c r="M109" i="13"/>
  <c r="J109" i="13"/>
  <c r="AF109" i="13"/>
  <c r="I109" i="13"/>
  <c r="AC109" i="13"/>
  <c r="C109" i="13"/>
  <c r="L109" i="13"/>
  <c r="K109" i="13"/>
  <c r="Y109" i="13"/>
  <c r="X109" i="13"/>
  <c r="U109" i="13"/>
  <c r="I113" i="7"/>
  <c r="J113" i="7" s="1"/>
  <c r="AL69" i="13"/>
  <c r="AD69" i="13"/>
  <c r="V69" i="13"/>
  <c r="AK69" i="13"/>
  <c r="AC69" i="13"/>
  <c r="AE69" i="13"/>
  <c r="T69" i="13"/>
  <c r="L69" i="13"/>
  <c r="D69" i="13"/>
  <c r="AB69" i="13"/>
  <c r="S69" i="13"/>
  <c r="K69" i="13"/>
  <c r="C69" i="13"/>
  <c r="AA69" i="13"/>
  <c r="R69" i="13"/>
  <c r="J69" i="13"/>
  <c r="X69" i="13"/>
  <c r="I69" i="13"/>
  <c r="AJ69" i="13"/>
  <c r="W69" i="13"/>
  <c r="H69" i="13"/>
  <c r="AI69" i="13"/>
  <c r="U69" i="13"/>
  <c r="G69" i="13"/>
  <c r="AH69" i="13"/>
  <c r="N69" i="13"/>
  <c r="AG69" i="13"/>
  <c r="M69" i="13"/>
  <c r="AF69" i="13"/>
  <c r="F69" i="13"/>
  <c r="P69" i="13"/>
  <c r="O69" i="13"/>
  <c r="Q69" i="13"/>
  <c r="E69" i="13"/>
  <c r="Z69" i="13"/>
  <c r="Y69" i="13"/>
  <c r="AI29" i="13"/>
  <c r="AA29" i="13"/>
  <c r="S29" i="13"/>
  <c r="K29" i="13"/>
  <c r="C29" i="13"/>
  <c r="AH29" i="13"/>
  <c r="Z29" i="13"/>
  <c r="R29" i="13"/>
  <c r="J29" i="13"/>
  <c r="AL29" i="13"/>
  <c r="AB29" i="13"/>
  <c r="P29" i="13"/>
  <c r="F29" i="13"/>
  <c r="AK29" i="13"/>
  <c r="Y29" i="13"/>
  <c r="O29" i="13"/>
  <c r="E29" i="13"/>
  <c r="AD29" i="13"/>
  <c r="T29" i="13"/>
  <c r="H29" i="13"/>
  <c r="AC29" i="13"/>
  <c r="L29" i="13"/>
  <c r="X29" i="13"/>
  <c r="I29" i="13"/>
  <c r="V29" i="13"/>
  <c r="D29" i="13"/>
  <c r="AG29" i="13"/>
  <c r="Q29" i="13"/>
  <c r="N29" i="13"/>
  <c r="M29" i="13"/>
  <c r="G29" i="13"/>
  <c r="AJ29" i="13"/>
  <c r="U29" i="13"/>
  <c r="AE29" i="13"/>
  <c r="W29" i="13"/>
  <c r="AF29" i="13"/>
  <c r="AG149" i="13"/>
  <c r="Y149" i="13"/>
  <c r="Q149" i="13"/>
  <c r="I149" i="13"/>
  <c r="AL149" i="13"/>
  <c r="AC149" i="13"/>
  <c r="T149" i="13"/>
  <c r="K149" i="13"/>
  <c r="AF149" i="13"/>
  <c r="V149" i="13"/>
  <c r="L149" i="13"/>
  <c r="AE149" i="13"/>
  <c r="U149" i="13"/>
  <c r="J149" i="13"/>
  <c r="AH149" i="13"/>
  <c r="R149" i="13"/>
  <c r="E149" i="13"/>
  <c r="AD149" i="13"/>
  <c r="P149" i="13"/>
  <c r="D149" i="13"/>
  <c r="AB149" i="13"/>
  <c r="O149" i="13"/>
  <c r="C149" i="13"/>
  <c r="Z149" i="13"/>
  <c r="F149" i="13"/>
  <c r="X149" i="13"/>
  <c r="AI149" i="13"/>
  <c r="H149" i="13"/>
  <c r="W149" i="13"/>
  <c r="S149" i="13"/>
  <c r="N149" i="13"/>
  <c r="G149" i="13"/>
  <c r="AK149" i="13"/>
  <c r="AA149" i="13"/>
  <c r="M149" i="13"/>
  <c r="AJ149" i="13"/>
  <c r="AF19" i="13"/>
  <c r="X19" i="13"/>
  <c r="P19" i="13"/>
  <c r="H19" i="13"/>
  <c r="AG19" i="13"/>
  <c r="W19" i="13"/>
  <c r="N19" i="13"/>
  <c r="E19" i="13"/>
  <c r="AE19" i="13"/>
  <c r="V19" i="13"/>
  <c r="M19" i="13"/>
  <c r="D19" i="13"/>
  <c r="AI19" i="13"/>
  <c r="Z19" i="13"/>
  <c r="Q19" i="13"/>
  <c r="G19" i="13"/>
  <c r="AC19" i="13"/>
  <c r="O19" i="13"/>
  <c r="AA19" i="13"/>
  <c r="K19" i="13"/>
  <c r="AH19" i="13"/>
  <c r="L19" i="13"/>
  <c r="AD19" i="13"/>
  <c r="J19" i="13"/>
  <c r="AB19" i="13"/>
  <c r="I19" i="13"/>
  <c r="Y19" i="13"/>
  <c r="F19" i="13"/>
  <c r="S19" i="13"/>
  <c r="R19" i="13"/>
  <c r="C19" i="13"/>
  <c r="AL19" i="13"/>
  <c r="U19" i="13"/>
  <c r="T19" i="13"/>
  <c r="AK19" i="13"/>
  <c r="AJ19" i="13"/>
  <c r="AG59" i="13"/>
  <c r="Y59" i="13"/>
  <c r="Q59" i="13"/>
  <c r="I59" i="13"/>
  <c r="AF59" i="13"/>
  <c r="X59" i="13"/>
  <c r="P59" i="13"/>
  <c r="H59" i="13"/>
  <c r="AE59" i="13"/>
  <c r="W59" i="13"/>
  <c r="O59" i="13"/>
  <c r="G59" i="13"/>
  <c r="AK59" i="13"/>
  <c r="Z59" i="13"/>
  <c r="L59" i="13"/>
  <c r="AJ59" i="13"/>
  <c r="V59" i="13"/>
  <c r="K59" i="13"/>
  <c r="AI59" i="13"/>
  <c r="U59" i="13"/>
  <c r="J59" i="13"/>
  <c r="AH59" i="13"/>
  <c r="N59" i="13"/>
  <c r="AD59" i="13"/>
  <c r="M59" i="13"/>
  <c r="S59" i="13"/>
  <c r="AL59" i="13"/>
  <c r="R59" i="13"/>
  <c r="C59" i="13"/>
  <c r="AC59" i="13"/>
  <c r="AB59" i="13"/>
  <c r="T59" i="13"/>
  <c r="E59" i="13"/>
  <c r="AA59" i="13"/>
  <c r="F59" i="13"/>
  <c r="D59" i="13"/>
  <c r="I6" i="6"/>
  <c r="H6" i="6"/>
  <c r="AI99" i="13"/>
  <c r="AA99" i="13"/>
  <c r="S99" i="13"/>
  <c r="K99" i="13"/>
  <c r="C99" i="13"/>
  <c r="AK99" i="13"/>
  <c r="AB99" i="13"/>
  <c r="R99" i="13"/>
  <c r="I99" i="13"/>
  <c r="AJ99" i="13"/>
  <c r="Z99" i="13"/>
  <c r="Q99" i="13"/>
  <c r="H99" i="13"/>
  <c r="AH99" i="13"/>
  <c r="Y99" i="13"/>
  <c r="P99" i="13"/>
  <c r="G99" i="13"/>
  <c r="W99" i="13"/>
  <c r="J99" i="13"/>
  <c r="AL99" i="13"/>
  <c r="V99" i="13"/>
  <c r="F99" i="13"/>
  <c r="AG99" i="13"/>
  <c r="U99" i="13"/>
  <c r="E99" i="13"/>
  <c r="X99" i="13"/>
  <c r="T99" i="13"/>
  <c r="O99" i="13"/>
  <c r="AD99" i="13"/>
  <c r="AC99" i="13"/>
  <c r="N99" i="13"/>
  <c r="AF99" i="13"/>
  <c r="AE99" i="13"/>
  <c r="L99" i="13"/>
  <c r="D99" i="13"/>
  <c r="M99" i="13"/>
  <c r="AE39" i="13"/>
  <c r="W39" i="13"/>
  <c r="O39" i="13"/>
  <c r="G39" i="13"/>
  <c r="AL39" i="13"/>
  <c r="AD39" i="13"/>
  <c r="V39" i="13"/>
  <c r="N39" i="13"/>
  <c r="F39" i="13"/>
  <c r="AK39" i="13"/>
  <c r="AC39" i="13"/>
  <c r="U39" i="13"/>
  <c r="M39" i="13"/>
  <c r="E39" i="13"/>
  <c r="AF39" i="13"/>
  <c r="R39" i="13"/>
  <c r="D39" i="13"/>
  <c r="AB39" i="13"/>
  <c r="Q39" i="13"/>
  <c r="C39" i="13"/>
  <c r="AH39" i="13"/>
  <c r="T39" i="13"/>
  <c r="I39" i="13"/>
  <c r="AG39" i="13"/>
  <c r="S39" i="13"/>
  <c r="Y39" i="13"/>
  <c r="X39" i="13"/>
  <c r="P39" i="13"/>
  <c r="AJ39" i="13"/>
  <c r="K39" i="13"/>
  <c r="AA39" i="13"/>
  <c r="H39" i="13"/>
  <c r="AI39" i="13"/>
  <c r="Z39" i="13"/>
  <c r="L39" i="13"/>
  <c r="J39" i="13"/>
  <c r="I185" i="7"/>
  <c r="J185" i="7" s="1"/>
  <c r="AH139" i="13"/>
  <c r="Z139" i="13"/>
  <c r="R139" i="13"/>
  <c r="J139" i="13"/>
  <c r="AG139" i="13"/>
  <c r="Y139" i="13"/>
  <c r="Q139" i="13"/>
  <c r="I139" i="13"/>
  <c r="AE139" i="13"/>
  <c r="U139" i="13"/>
  <c r="K139" i="13"/>
  <c r="AD139" i="13"/>
  <c r="T139" i="13"/>
  <c r="H139" i="13"/>
  <c r="AC139" i="13"/>
  <c r="S139" i="13"/>
  <c r="G139" i="13"/>
  <c r="X139" i="13"/>
  <c r="F139" i="13"/>
  <c r="AL139" i="13"/>
  <c r="W139" i="13"/>
  <c r="E139" i="13"/>
  <c r="AB139" i="13"/>
  <c r="M139" i="13"/>
  <c r="V139" i="13"/>
  <c r="P139" i="13"/>
  <c r="O139" i="13"/>
  <c r="AJ139" i="13"/>
  <c r="AI139" i="13"/>
  <c r="AF139" i="13"/>
  <c r="AK139" i="13"/>
  <c r="AA139" i="13"/>
  <c r="N139" i="13"/>
  <c r="D139" i="13"/>
  <c r="L139" i="13"/>
  <c r="C139" i="13"/>
  <c r="Q3" i="9"/>
  <c r="N3" i="9"/>
  <c r="K3" i="9"/>
  <c r="H3" i="9"/>
  <c r="T3" i="9"/>
  <c r="S3" i="9"/>
  <c r="L3" i="9"/>
  <c r="I3" i="9"/>
  <c r="V3" i="9"/>
  <c r="P3" i="9"/>
  <c r="R3" i="9"/>
  <c r="M3" i="9"/>
  <c r="O3" i="9"/>
  <c r="U3" i="9"/>
  <c r="J3" i="9"/>
  <c r="G5" i="9" l="1"/>
  <c r="N185" i="7"/>
  <c r="N149" i="7"/>
  <c r="E14" i="6"/>
  <c r="K185" i="7"/>
  <c r="L185" i="7"/>
  <c r="G14" i="6" s="1"/>
  <c r="R185" i="7"/>
  <c r="M185" i="7"/>
  <c r="I40" i="7"/>
  <c r="J40" i="7" s="1"/>
  <c r="E5" i="9"/>
  <c r="N77" i="7"/>
  <c r="E13" i="6"/>
  <c r="N113" i="7"/>
  <c r="K113" i="7"/>
  <c r="L113" i="7"/>
  <c r="G13" i="6" s="1"/>
  <c r="M113" i="7"/>
  <c r="R113" i="7"/>
  <c r="C4" i="9" l="1"/>
  <c r="N40" i="7"/>
  <c r="N5" i="6"/>
  <c r="N4" i="7"/>
  <c r="E9" i="6"/>
  <c r="K40" i="7"/>
  <c r="L40" i="7"/>
  <c r="R40" i="7"/>
  <c r="M40" i="7"/>
  <c r="H13" i="6"/>
  <c r="I13" i="6"/>
  <c r="F186" i="7"/>
  <c r="F14" i="6"/>
  <c r="I14" i="6"/>
  <c r="H14" i="6"/>
  <c r="F114" i="7"/>
  <c r="F13" i="6"/>
  <c r="F41" i="7" l="1"/>
  <c r="F9" i="6"/>
  <c r="O5" i="6"/>
  <c r="I9" i="6"/>
  <c r="H9" i="6"/>
  <c r="I186" i="7"/>
  <c r="J186" i="7" s="1"/>
  <c r="P5" i="6"/>
  <c r="G9" i="6"/>
  <c r="I114" i="7"/>
  <c r="J114" i="7" s="1"/>
  <c r="R4" i="9"/>
  <c r="P4" i="9"/>
  <c r="U4" i="9"/>
  <c r="V4" i="9"/>
  <c r="I4" i="9"/>
  <c r="L4" i="9"/>
  <c r="N4" i="9"/>
  <c r="K4" i="9"/>
  <c r="M4" i="9"/>
  <c r="Q4" i="9"/>
  <c r="O4" i="9"/>
  <c r="S4" i="9"/>
  <c r="H4" i="9"/>
  <c r="J4" i="9"/>
  <c r="T4" i="9"/>
  <c r="R186" i="7" l="1"/>
  <c r="K186" i="7"/>
  <c r="F187" i="7" s="1"/>
  <c r="K114" i="7"/>
  <c r="F115" i="7" s="1"/>
  <c r="M114" i="7"/>
  <c r="R114" i="7"/>
  <c r="G6" i="9"/>
  <c r="N150" i="7"/>
  <c r="E17" i="6"/>
  <c r="N186" i="7"/>
  <c r="E6" i="9"/>
  <c r="E16" i="6"/>
  <c r="N78" i="7"/>
  <c r="N114" i="7"/>
  <c r="L186" i="7"/>
  <c r="G17" i="6" s="1"/>
  <c r="L114" i="7"/>
  <c r="G16" i="6" s="1"/>
  <c r="M186" i="7"/>
  <c r="I41" i="7"/>
  <c r="J41" i="7" s="1"/>
  <c r="F16" i="6" l="1"/>
  <c r="F17" i="6"/>
  <c r="M41" i="7"/>
  <c r="R41" i="7"/>
  <c r="K41" i="7"/>
  <c r="F42" i="7" s="1"/>
  <c r="C5" i="9"/>
  <c r="N6" i="6"/>
  <c r="N41" i="7"/>
  <c r="N5" i="7"/>
  <c r="E12" i="6"/>
  <c r="I187" i="7"/>
  <c r="J187" i="7" s="1"/>
  <c r="H16" i="6"/>
  <c r="I16" i="6"/>
  <c r="I115" i="7"/>
  <c r="J115" i="7" s="1"/>
  <c r="L41" i="7"/>
  <c r="I17" i="6"/>
  <c r="H17" i="6"/>
  <c r="F12" i="6" l="1"/>
  <c r="O6" i="6"/>
  <c r="E7" i="9"/>
  <c r="E19" i="6"/>
  <c r="N115" i="7"/>
  <c r="N79" i="7"/>
  <c r="R115" i="7"/>
  <c r="K115" i="7"/>
  <c r="M115" i="7"/>
  <c r="L115" i="7"/>
  <c r="G19" i="6" s="1"/>
  <c r="G7" i="9"/>
  <c r="N187" i="7"/>
  <c r="E20" i="6"/>
  <c r="N151" i="7"/>
  <c r="R187" i="7"/>
  <c r="L187" i="7"/>
  <c r="G20" i="6" s="1"/>
  <c r="K187" i="7"/>
  <c r="M187" i="7"/>
  <c r="H5" i="9"/>
  <c r="R5" i="9"/>
  <c r="N5" i="9"/>
  <c r="J5" i="9"/>
  <c r="Q5" i="9"/>
  <c r="P5" i="9"/>
  <c r="M5" i="9"/>
  <c r="O5" i="9"/>
  <c r="I5" i="9"/>
  <c r="U5" i="9"/>
  <c r="T5" i="9"/>
  <c r="L5" i="9"/>
  <c r="S5" i="9"/>
  <c r="V5" i="9"/>
  <c r="K5" i="9"/>
  <c r="I12" i="6"/>
  <c r="H12" i="6"/>
  <c r="G12" i="6"/>
  <c r="P6" i="6"/>
  <c r="I42" i="7"/>
  <c r="J42" i="7" s="1"/>
  <c r="K42" i="7" l="1"/>
  <c r="O7" i="6" s="1"/>
  <c r="L42" i="7"/>
  <c r="G15" i="6" s="1"/>
  <c r="R42" i="7"/>
  <c r="M42" i="7"/>
  <c r="C6" i="9"/>
  <c r="N42" i="7"/>
  <c r="E15" i="6"/>
  <c r="N6" i="7"/>
  <c r="N7" i="6"/>
  <c r="P7" i="6"/>
  <c r="H20" i="6"/>
  <c r="I20" i="6"/>
  <c r="F116" i="7"/>
  <c r="F19" i="6"/>
  <c r="I19" i="6"/>
  <c r="H19" i="6"/>
  <c r="F188" i="7"/>
  <c r="F20" i="6"/>
  <c r="F15" i="6" l="1"/>
  <c r="F43" i="7"/>
  <c r="I43" i="7" s="1"/>
  <c r="J43" i="7" s="1"/>
  <c r="H15" i="6"/>
  <c r="I15" i="6"/>
  <c r="I188" i="7"/>
  <c r="J188" i="7" s="1"/>
  <c r="I116" i="7"/>
  <c r="J116" i="7" s="1"/>
  <c r="P6" i="9"/>
  <c r="U6" i="9"/>
  <c r="H6" i="9"/>
  <c r="M6" i="9"/>
  <c r="V6" i="9"/>
  <c r="K6" i="9"/>
  <c r="T6" i="9"/>
  <c r="I6" i="9"/>
  <c r="N6" i="9"/>
  <c r="S6" i="9"/>
  <c r="L6" i="9"/>
  <c r="J6" i="9"/>
  <c r="O6" i="9"/>
  <c r="R6" i="9"/>
  <c r="Q6" i="9"/>
  <c r="E8" i="9" l="1"/>
  <c r="N80" i="7"/>
  <c r="E22" i="6"/>
  <c r="N116" i="7"/>
  <c r="R116" i="7"/>
  <c r="M116" i="7"/>
  <c r="L116" i="7"/>
  <c r="G22" i="6" s="1"/>
  <c r="K116" i="7"/>
  <c r="G8" i="9"/>
  <c r="E23" i="6"/>
  <c r="N152" i="7"/>
  <c r="N188" i="7"/>
  <c r="R188" i="7"/>
  <c r="M188" i="7"/>
  <c r="L188" i="7"/>
  <c r="G23" i="6" s="1"/>
  <c r="K188" i="7"/>
  <c r="C7" i="9"/>
  <c r="N7" i="7"/>
  <c r="N43" i="7"/>
  <c r="N8" i="6"/>
  <c r="E18" i="6"/>
  <c r="L43" i="7"/>
  <c r="M43" i="7"/>
  <c r="K43" i="7"/>
  <c r="R43" i="7"/>
  <c r="G18" i="6" l="1"/>
  <c r="P8" i="6"/>
  <c r="I18" i="6"/>
  <c r="H18" i="6"/>
  <c r="I22" i="6"/>
  <c r="H22" i="6"/>
  <c r="F44" i="7"/>
  <c r="F18" i="6"/>
  <c r="O8" i="6"/>
  <c r="I23" i="6"/>
  <c r="H23" i="6"/>
  <c r="F189" i="7"/>
  <c r="F23" i="6"/>
  <c r="F117" i="7"/>
  <c r="F22" i="6"/>
  <c r="O7" i="9"/>
  <c r="M7" i="9"/>
  <c r="K7" i="9"/>
  <c r="R7" i="9"/>
  <c r="S7" i="9"/>
  <c r="L7" i="9"/>
  <c r="I7" i="9"/>
  <c r="P7" i="9"/>
  <c r="V7" i="9"/>
  <c r="T7" i="9"/>
  <c r="Q7" i="9"/>
  <c r="N7" i="9"/>
  <c r="J7" i="9"/>
  <c r="H7" i="9"/>
  <c r="U7" i="9"/>
  <c r="I189" i="7" l="1"/>
  <c r="J189" i="7" s="1"/>
  <c r="I44" i="7"/>
  <c r="J44" i="7" s="1"/>
  <c r="I117" i="7"/>
  <c r="J117" i="7" s="1"/>
  <c r="C8" i="9" l="1"/>
  <c r="N9" i="6"/>
  <c r="N44" i="7"/>
  <c r="N8" i="7"/>
  <c r="E21" i="6"/>
  <c r="R44" i="7"/>
  <c r="K44" i="7"/>
  <c r="M44" i="7"/>
  <c r="L44" i="7"/>
  <c r="E9" i="9"/>
  <c r="E25" i="6"/>
  <c r="N81" i="7"/>
  <c r="N117" i="7"/>
  <c r="R117" i="7"/>
  <c r="L117" i="7"/>
  <c r="G25" i="6" s="1"/>
  <c r="K117" i="7"/>
  <c r="M117" i="7"/>
  <c r="G9" i="9"/>
  <c r="N189" i="7"/>
  <c r="E26" i="6"/>
  <c r="N153" i="7"/>
  <c r="R189" i="7"/>
  <c r="K189" i="7"/>
  <c r="L189" i="7"/>
  <c r="G26" i="6" s="1"/>
  <c r="M189" i="7"/>
  <c r="F45" i="7" l="1"/>
  <c r="O9" i="6"/>
  <c r="F21" i="6"/>
  <c r="I21" i="6"/>
  <c r="H21" i="6"/>
  <c r="I26" i="6"/>
  <c r="H26" i="6"/>
  <c r="I25" i="6"/>
  <c r="H25" i="6"/>
  <c r="F118" i="7"/>
  <c r="F25" i="6"/>
  <c r="F190" i="7"/>
  <c r="F26" i="6"/>
  <c r="P9" i="6"/>
  <c r="G21" i="6"/>
  <c r="P8" i="9"/>
  <c r="U8" i="9"/>
  <c r="V8" i="9"/>
  <c r="L8" i="9"/>
  <c r="S8" i="9"/>
  <c r="M8" i="9"/>
  <c r="T8" i="9"/>
  <c r="R8" i="9"/>
  <c r="K8" i="9"/>
  <c r="N8" i="9"/>
  <c r="Q8" i="9"/>
  <c r="J8" i="9"/>
  <c r="H8" i="9"/>
  <c r="I8" i="9"/>
  <c r="O8" i="9"/>
  <c r="I190" i="7" l="1"/>
  <c r="J190" i="7" s="1"/>
  <c r="I118" i="7"/>
  <c r="J118" i="7" s="1"/>
  <c r="I45" i="7"/>
  <c r="J45" i="7" s="1"/>
  <c r="L45" i="7" s="1"/>
  <c r="E10" i="9" l="1"/>
  <c r="N118" i="7"/>
  <c r="N82" i="7"/>
  <c r="E28" i="6"/>
  <c r="M118" i="7"/>
  <c r="L118" i="7"/>
  <c r="G28" i="6" s="1"/>
  <c r="K118" i="7"/>
  <c r="R118" i="7"/>
  <c r="P10" i="6"/>
  <c r="G24" i="6"/>
  <c r="G10" i="9"/>
  <c r="N190" i="7"/>
  <c r="E29" i="6"/>
  <c r="N154" i="7"/>
  <c r="L190" i="7"/>
  <c r="G29" i="6" s="1"/>
  <c r="M190" i="7"/>
  <c r="K190" i="7"/>
  <c r="R190" i="7"/>
  <c r="C9" i="9"/>
  <c r="N45" i="7"/>
  <c r="E24" i="6"/>
  <c r="N10" i="6"/>
  <c r="N9" i="7"/>
  <c r="K45" i="7"/>
  <c r="M45" i="7"/>
  <c r="R45" i="7"/>
  <c r="F46" i="7" l="1"/>
  <c r="F24" i="6"/>
  <c r="O10" i="6"/>
  <c r="I29" i="6"/>
  <c r="H29" i="6"/>
  <c r="I28" i="6"/>
  <c r="H28" i="6"/>
  <c r="F119" i="7"/>
  <c r="F28" i="6"/>
  <c r="N9" i="9"/>
  <c r="H9" i="9"/>
  <c r="M9" i="9"/>
  <c r="P9" i="9"/>
  <c r="L9" i="9"/>
  <c r="Q9" i="9"/>
  <c r="T9" i="9"/>
  <c r="S9" i="9"/>
  <c r="J9" i="9"/>
  <c r="U9" i="9"/>
  <c r="K9" i="9"/>
  <c r="R9" i="9"/>
  <c r="I9" i="9"/>
  <c r="V9" i="9"/>
  <c r="O9" i="9"/>
  <c r="H24" i="6"/>
  <c r="I24" i="6"/>
  <c r="F191" i="7"/>
  <c r="F29" i="6"/>
  <c r="I119" i="7" l="1"/>
  <c r="J119" i="7" s="1"/>
  <c r="I191" i="7"/>
  <c r="J191" i="7" s="1"/>
  <c r="I46" i="7"/>
  <c r="J46" i="7" s="1"/>
  <c r="E11" i="9" l="1"/>
  <c r="E31" i="6"/>
  <c r="N83" i="7"/>
  <c r="N119" i="7"/>
  <c r="K119" i="7"/>
  <c r="L119" i="7"/>
  <c r="G31" i="6" s="1"/>
  <c r="M119" i="7"/>
  <c r="R119" i="7"/>
  <c r="C10" i="9"/>
  <c r="N10" i="7"/>
  <c r="E27" i="6"/>
  <c r="N46" i="7"/>
  <c r="N11" i="6"/>
  <c r="G11" i="9"/>
  <c r="N191" i="7"/>
  <c r="N155" i="7"/>
  <c r="E32" i="6"/>
  <c r="K46" i="7"/>
  <c r="K191" i="7"/>
  <c r="L46" i="7"/>
  <c r="M191" i="7"/>
  <c r="M46" i="7"/>
  <c r="L191" i="7"/>
  <c r="G32" i="6" s="1"/>
  <c r="R46" i="7"/>
  <c r="R191" i="7"/>
  <c r="G27" i="6" l="1"/>
  <c r="P11" i="6"/>
  <c r="F192" i="7"/>
  <c r="F32" i="6"/>
  <c r="I27" i="6"/>
  <c r="H27" i="6"/>
  <c r="F120" i="7"/>
  <c r="F31" i="6"/>
  <c r="F47" i="7"/>
  <c r="O11" i="6"/>
  <c r="F27" i="6"/>
  <c r="I31" i="6"/>
  <c r="H31" i="6"/>
  <c r="I32" i="6"/>
  <c r="H32" i="6"/>
  <c r="U10" i="9"/>
  <c r="M10" i="9"/>
  <c r="L10" i="9"/>
  <c r="N10" i="9"/>
  <c r="T10" i="9"/>
  <c r="J10" i="9"/>
  <c r="K10" i="9"/>
  <c r="H10" i="9"/>
  <c r="P10" i="9"/>
  <c r="V10" i="9"/>
  <c r="S10" i="9"/>
  <c r="Q10" i="9"/>
  <c r="O10" i="9"/>
  <c r="I10" i="9"/>
  <c r="R10" i="9"/>
  <c r="I120" i="7" l="1"/>
  <c r="J120" i="7" s="1"/>
  <c r="I192" i="7"/>
  <c r="J192" i="7" s="1"/>
  <c r="R192" i="7" s="1"/>
  <c r="I47" i="7"/>
  <c r="J47" i="7" s="1"/>
  <c r="C11" i="9" l="1"/>
  <c r="N47" i="7"/>
  <c r="N11" i="7"/>
  <c r="E30" i="6"/>
  <c r="N12" i="6"/>
  <c r="M47" i="7"/>
  <c r="K47" i="7"/>
  <c r="L47" i="7"/>
  <c r="R47" i="7"/>
  <c r="E12" i="9"/>
  <c r="N84" i="7"/>
  <c r="N120" i="7"/>
  <c r="E34" i="6"/>
  <c r="R120" i="7"/>
  <c r="M120" i="7"/>
  <c r="L120" i="7"/>
  <c r="G34" i="6" s="1"/>
  <c r="K120" i="7"/>
  <c r="G12" i="9"/>
  <c r="N156" i="7"/>
  <c r="N192" i="7"/>
  <c r="E35" i="6"/>
  <c r="L192" i="7"/>
  <c r="G35" i="6" s="1"/>
  <c r="K192" i="7"/>
  <c r="M192" i="7"/>
  <c r="H35" i="6" l="1"/>
  <c r="I35" i="6"/>
  <c r="I30" i="6"/>
  <c r="H30" i="6"/>
  <c r="F48" i="7"/>
  <c r="F30" i="6"/>
  <c r="O12" i="6"/>
  <c r="I34" i="6"/>
  <c r="H34" i="6"/>
  <c r="P12" i="6"/>
  <c r="G30" i="6"/>
  <c r="F193" i="7"/>
  <c r="F35" i="6"/>
  <c r="F121" i="7"/>
  <c r="F34" i="6"/>
  <c r="H11" i="9"/>
  <c r="U11" i="9"/>
  <c r="N11" i="9"/>
  <c r="S11" i="9"/>
  <c r="J11" i="9"/>
  <c r="M11" i="9"/>
  <c r="L11" i="9"/>
  <c r="V11" i="9"/>
  <c r="T11" i="9"/>
  <c r="K11" i="9"/>
  <c r="R11" i="9"/>
  <c r="I11" i="9"/>
  <c r="P11" i="9"/>
  <c r="Q11" i="9"/>
  <c r="O11" i="9"/>
  <c r="I121" i="7" l="1"/>
  <c r="J121" i="7" s="1"/>
  <c r="I193" i="7"/>
  <c r="J193" i="7" s="1"/>
  <c r="R193" i="7" s="1"/>
  <c r="I48" i="7"/>
  <c r="J48" i="7" s="1"/>
  <c r="K48" i="7" l="1"/>
  <c r="R48" i="7"/>
  <c r="M48" i="7"/>
  <c r="L48" i="7"/>
  <c r="P13" i="6" s="1"/>
  <c r="K193" i="7"/>
  <c r="F194" i="7" s="1"/>
  <c r="L193" i="7"/>
  <c r="G38" i="6" s="1"/>
  <c r="E13" i="9"/>
  <c r="N85" i="7"/>
  <c r="E37" i="6"/>
  <c r="N121" i="7"/>
  <c r="M121" i="7"/>
  <c r="R121" i="7"/>
  <c r="L121" i="7"/>
  <c r="G37" i="6" s="1"/>
  <c r="K121" i="7"/>
  <c r="G33" i="6"/>
  <c r="F49" i="7"/>
  <c r="F33" i="6"/>
  <c r="O13" i="6"/>
  <c r="M193" i="7"/>
  <c r="C12" i="9"/>
  <c r="N13" i="6"/>
  <c r="N12" i="7"/>
  <c r="E33" i="6"/>
  <c r="N48" i="7"/>
  <c r="G13" i="9"/>
  <c r="E38" i="6"/>
  <c r="N157" i="7"/>
  <c r="N193" i="7"/>
  <c r="F38" i="6" l="1"/>
  <c r="I38" i="6"/>
  <c r="H38" i="6"/>
  <c r="I33" i="6"/>
  <c r="H33" i="6"/>
  <c r="I49" i="7"/>
  <c r="J49" i="7" s="1"/>
  <c r="H37" i="6"/>
  <c r="I37" i="6"/>
  <c r="F122" i="7"/>
  <c r="F37" i="6"/>
  <c r="I194" i="7"/>
  <c r="J194" i="7" s="1"/>
  <c r="N12" i="9"/>
  <c r="M12" i="9"/>
  <c r="T12" i="9"/>
  <c r="Q12" i="9"/>
  <c r="J12" i="9"/>
  <c r="H12" i="9"/>
  <c r="I12" i="9"/>
  <c r="S12" i="9"/>
  <c r="K12" i="9"/>
  <c r="U12" i="9"/>
  <c r="V12" i="9"/>
  <c r="O12" i="9"/>
  <c r="L12" i="9"/>
  <c r="P12" i="9"/>
  <c r="R12" i="9"/>
  <c r="M49" i="7" l="1"/>
  <c r="K49" i="7"/>
  <c r="F36" i="6" s="1"/>
  <c r="R49" i="7"/>
  <c r="G14" i="9"/>
  <c r="N194" i="7"/>
  <c r="N158" i="7"/>
  <c r="M194" i="7"/>
  <c r="K194" i="7"/>
  <c r="F195" i="7" s="1"/>
  <c r="L194" i="7"/>
  <c r="R194" i="7"/>
  <c r="I122" i="7"/>
  <c r="J122" i="7" s="1"/>
  <c r="F50" i="7"/>
  <c r="O14" i="6"/>
  <c r="C13" i="9"/>
  <c r="E36" i="6"/>
  <c r="N49" i="7"/>
  <c r="N14" i="6"/>
  <c r="N13" i="7"/>
  <c r="L49" i="7"/>
  <c r="E14" i="9" l="1"/>
  <c r="N86" i="7"/>
  <c r="N122" i="7"/>
  <c r="E40" i="6"/>
  <c r="I195" i="7"/>
  <c r="J195" i="7" s="1"/>
  <c r="L122" i="7"/>
  <c r="G40" i="6" s="1"/>
  <c r="P14" i="6"/>
  <c r="G36" i="6"/>
  <c r="I50" i="7"/>
  <c r="J50" i="7" s="1"/>
  <c r="K122" i="7"/>
  <c r="I36" i="6"/>
  <c r="H36" i="6"/>
  <c r="R122" i="7"/>
  <c r="J13" i="9"/>
  <c r="N13" i="9"/>
  <c r="V13" i="9"/>
  <c r="K13" i="9"/>
  <c r="M13" i="9"/>
  <c r="I13" i="9"/>
  <c r="U13" i="9"/>
  <c r="S13" i="9"/>
  <c r="L13" i="9"/>
  <c r="P13" i="9"/>
  <c r="H13" i="9"/>
  <c r="R13" i="9"/>
  <c r="O13" i="9"/>
  <c r="Q13" i="9"/>
  <c r="T13" i="9"/>
  <c r="M122" i="7"/>
  <c r="C14" i="9" l="1"/>
  <c r="N15" i="6"/>
  <c r="N14" i="7"/>
  <c r="E39" i="6"/>
  <c r="N50" i="7"/>
  <c r="L50" i="7"/>
  <c r="M50" i="7"/>
  <c r="R50" i="7"/>
  <c r="K50" i="7"/>
  <c r="G15" i="9"/>
  <c r="N195" i="7"/>
  <c r="E44" i="6"/>
  <c r="N159" i="7"/>
  <c r="R195" i="7"/>
  <c r="K195" i="7"/>
  <c r="M195" i="7"/>
  <c r="L195" i="7"/>
  <c r="G44" i="6" s="1"/>
  <c r="I40" i="6"/>
  <c r="H40" i="6"/>
  <c r="F123" i="7"/>
  <c r="F40" i="6"/>
  <c r="F196" i="7" l="1"/>
  <c r="F44" i="6"/>
  <c r="I123" i="7"/>
  <c r="J123" i="7" s="1"/>
  <c r="I44" i="6"/>
  <c r="H44" i="6"/>
  <c r="I39" i="6"/>
  <c r="H39" i="6"/>
  <c r="G39" i="6"/>
  <c r="P15" i="6"/>
  <c r="F51" i="7"/>
  <c r="O15" i="6"/>
  <c r="F39" i="6"/>
  <c r="M14" i="9"/>
  <c r="T14" i="9"/>
  <c r="K14" i="9"/>
  <c r="S14" i="9"/>
  <c r="P14" i="9"/>
  <c r="I14" i="9"/>
  <c r="O14" i="9"/>
  <c r="V14" i="9"/>
  <c r="U14" i="9"/>
  <c r="N14" i="9"/>
  <c r="J14" i="9"/>
  <c r="Q14" i="9"/>
  <c r="H14" i="9"/>
  <c r="R14" i="9"/>
  <c r="L14" i="9"/>
  <c r="E15" i="9" l="1"/>
  <c r="N123" i="7"/>
  <c r="N87" i="7"/>
  <c r="E43" i="6"/>
  <c r="M123" i="7"/>
  <c r="K123" i="7"/>
  <c r="L123" i="7"/>
  <c r="G43" i="6" s="1"/>
  <c r="R123" i="7"/>
  <c r="I51" i="7"/>
  <c r="J51" i="7" s="1"/>
  <c r="I196" i="7"/>
  <c r="J196" i="7" s="1"/>
  <c r="K196" i="7" s="1"/>
  <c r="C15" i="9" l="1"/>
  <c r="E42" i="6"/>
  <c r="N51" i="7"/>
  <c r="N15" i="7"/>
  <c r="N16" i="6"/>
  <c r="L51" i="7"/>
  <c r="R51" i="7"/>
  <c r="K51" i="7"/>
  <c r="M51" i="7"/>
  <c r="F197" i="7"/>
  <c r="F47" i="6"/>
  <c r="G16" i="9"/>
  <c r="N196" i="7"/>
  <c r="N160" i="7"/>
  <c r="E47" i="6"/>
  <c r="F124" i="7"/>
  <c r="F43" i="6"/>
  <c r="H43" i="6"/>
  <c r="I43" i="6"/>
  <c r="L196" i="7"/>
  <c r="G47" i="6" s="1"/>
  <c r="R196" i="7"/>
  <c r="M196" i="7"/>
  <c r="I47" i="6" l="1"/>
  <c r="H47" i="6"/>
  <c r="I124" i="7"/>
  <c r="J124" i="7" s="1"/>
  <c r="F52" i="7"/>
  <c r="F42" i="6"/>
  <c r="O16" i="6"/>
  <c r="G42" i="6"/>
  <c r="P16" i="6"/>
  <c r="I197" i="7"/>
  <c r="J197" i="7" s="1"/>
  <c r="H42" i="6"/>
  <c r="I42" i="6"/>
  <c r="T15" i="9"/>
  <c r="P15" i="9"/>
  <c r="N15" i="9"/>
  <c r="H15" i="9"/>
  <c r="J15" i="9"/>
  <c r="O15" i="9"/>
  <c r="I15" i="9"/>
  <c r="U15" i="9"/>
  <c r="M15" i="9"/>
  <c r="L15" i="9"/>
  <c r="V15" i="9"/>
  <c r="S15" i="9"/>
  <c r="R15" i="9"/>
  <c r="Q15" i="9"/>
  <c r="K15" i="9"/>
  <c r="E16" i="9" l="1"/>
  <c r="E46" i="6"/>
  <c r="N124" i="7"/>
  <c r="N88" i="7"/>
  <c r="L124" i="7"/>
  <c r="G46" i="6" s="1"/>
  <c r="K124" i="7"/>
  <c r="R124" i="7"/>
  <c r="M124" i="7"/>
  <c r="G17" i="9"/>
  <c r="E50" i="6"/>
  <c r="N197" i="7"/>
  <c r="N161" i="7"/>
  <c r="R197" i="7"/>
  <c r="K197" i="7"/>
  <c r="M197" i="7"/>
  <c r="L197" i="7"/>
  <c r="G50" i="6" s="1"/>
  <c r="I52" i="7"/>
  <c r="J52" i="7" s="1"/>
  <c r="C16" i="9" l="1"/>
  <c r="N17" i="6"/>
  <c r="N16" i="7"/>
  <c r="N52" i="7"/>
  <c r="E45" i="6"/>
  <c r="R52" i="7"/>
  <c r="L52" i="7"/>
  <c r="K52" i="7"/>
  <c r="M52" i="7"/>
  <c r="I50" i="6"/>
  <c r="H50" i="6"/>
  <c r="H46" i="6"/>
  <c r="I46" i="6"/>
  <c r="F198" i="7"/>
  <c r="F50" i="6"/>
  <c r="F125" i="7"/>
  <c r="F46" i="6"/>
  <c r="I45" i="6" l="1"/>
  <c r="H45" i="6"/>
  <c r="I125" i="7"/>
  <c r="J125" i="7" s="1"/>
  <c r="F53" i="7"/>
  <c r="O17" i="6"/>
  <c r="F45" i="6"/>
  <c r="G45" i="6"/>
  <c r="P17" i="6"/>
  <c r="I198" i="7"/>
  <c r="J198" i="7" s="1"/>
  <c r="V16" i="9"/>
  <c r="T16" i="9"/>
  <c r="I16" i="9"/>
  <c r="L16" i="9"/>
  <c r="M16" i="9"/>
  <c r="H16" i="9"/>
  <c r="Q16" i="9"/>
  <c r="O16" i="9"/>
  <c r="R16" i="9"/>
  <c r="U16" i="9"/>
  <c r="S16" i="9"/>
  <c r="P16" i="9"/>
  <c r="K16" i="9"/>
  <c r="J16" i="9"/>
  <c r="N16" i="9"/>
  <c r="R198" i="7" l="1"/>
  <c r="K198" i="7"/>
  <c r="E17" i="9"/>
  <c r="N89" i="7"/>
  <c r="N125" i="7"/>
  <c r="E49" i="6"/>
  <c r="L125" i="7"/>
  <c r="G49" i="6" s="1"/>
  <c r="K125" i="7"/>
  <c r="R125" i="7"/>
  <c r="M125" i="7"/>
  <c r="F199" i="7"/>
  <c r="F53" i="6"/>
  <c r="G18" i="9"/>
  <c r="N198" i="7"/>
  <c r="E53" i="6"/>
  <c r="N162" i="7"/>
  <c r="L198" i="7"/>
  <c r="G53" i="6" s="1"/>
  <c r="M198" i="7"/>
  <c r="I53" i="7"/>
  <c r="J53" i="7" s="1"/>
  <c r="C17" i="9" l="1"/>
  <c r="N53" i="7"/>
  <c r="E48" i="6"/>
  <c r="N18" i="6"/>
  <c r="N17" i="7"/>
  <c r="L53" i="7"/>
  <c r="R53" i="7"/>
  <c r="M53" i="7"/>
  <c r="K53" i="7"/>
  <c r="H49" i="6"/>
  <c r="I49" i="6"/>
  <c r="I53" i="6"/>
  <c r="H53" i="6"/>
  <c r="F126" i="7"/>
  <c r="F49" i="6"/>
  <c r="I199" i="7"/>
  <c r="J199" i="7" s="1"/>
  <c r="G19" i="9" l="1"/>
  <c r="N199" i="7"/>
  <c r="E56" i="6"/>
  <c r="N163" i="7"/>
  <c r="R199" i="7"/>
  <c r="L199" i="7"/>
  <c r="G56" i="6" s="1"/>
  <c r="M199" i="7"/>
  <c r="K199" i="7"/>
  <c r="I126" i="7"/>
  <c r="J126" i="7" s="1"/>
  <c r="I48" i="6"/>
  <c r="H48" i="6"/>
  <c r="P18" i="6"/>
  <c r="G48" i="6"/>
  <c r="F54" i="7"/>
  <c r="F48" i="6"/>
  <c r="O18" i="6"/>
  <c r="S17" i="9"/>
  <c r="O17" i="9"/>
  <c r="J17" i="9"/>
  <c r="M17" i="9"/>
  <c r="L17" i="9"/>
  <c r="N17" i="9"/>
  <c r="P17" i="9"/>
  <c r="I17" i="9"/>
  <c r="U17" i="9"/>
  <c r="V17" i="9"/>
  <c r="T17" i="9"/>
  <c r="R17" i="9"/>
  <c r="K17" i="9"/>
  <c r="Q17" i="9"/>
  <c r="H17" i="9"/>
  <c r="E18" i="9" l="1"/>
  <c r="N90" i="7"/>
  <c r="E52" i="6"/>
  <c r="N126" i="7"/>
  <c r="L126" i="7"/>
  <c r="G52" i="6" s="1"/>
  <c r="R126" i="7"/>
  <c r="M126" i="7"/>
  <c r="K126" i="7"/>
  <c r="F200" i="7"/>
  <c r="F56" i="6"/>
  <c r="I54" i="7"/>
  <c r="J54" i="7" s="1"/>
  <c r="I56" i="6"/>
  <c r="H56" i="6"/>
  <c r="C18" i="9" l="1"/>
  <c r="E51" i="6"/>
  <c r="N54" i="7"/>
  <c r="N19" i="6"/>
  <c r="N18" i="7"/>
  <c r="K54" i="7"/>
  <c r="R54" i="7"/>
  <c r="M54" i="7"/>
  <c r="L54" i="7"/>
  <c r="I52" i="6"/>
  <c r="H52" i="6"/>
  <c r="F127" i="7"/>
  <c r="F52" i="6"/>
  <c r="I200" i="7"/>
  <c r="J200" i="7" s="1"/>
  <c r="R200" i="7" l="1"/>
  <c r="L200" i="7"/>
  <c r="G59" i="6" s="1"/>
  <c r="G20" i="9"/>
  <c r="N164" i="7"/>
  <c r="N200" i="7"/>
  <c r="E59" i="6"/>
  <c r="F55" i="7"/>
  <c r="F51" i="6"/>
  <c r="O19" i="6"/>
  <c r="I127" i="7"/>
  <c r="J127" i="7" s="1"/>
  <c r="K200" i="7"/>
  <c r="I51" i="6"/>
  <c r="H51" i="6"/>
  <c r="M200" i="7"/>
  <c r="G51" i="6"/>
  <c r="P19" i="6"/>
  <c r="Q18" i="9"/>
  <c r="U18" i="9"/>
  <c r="I18" i="9"/>
  <c r="T18" i="9"/>
  <c r="O18" i="9"/>
  <c r="R18" i="9"/>
  <c r="L18" i="9"/>
  <c r="P18" i="9"/>
  <c r="V18" i="9"/>
  <c r="J18" i="9"/>
  <c r="K18" i="9"/>
  <c r="H18" i="9"/>
  <c r="S18" i="9"/>
  <c r="M18" i="9"/>
  <c r="N18" i="9"/>
  <c r="E19" i="9" l="1"/>
  <c r="N91" i="7"/>
  <c r="N127" i="7"/>
  <c r="E55" i="6"/>
  <c r="M127" i="7"/>
  <c r="L127" i="7"/>
  <c r="G55" i="6" s="1"/>
  <c r="R127" i="7"/>
  <c r="K127" i="7"/>
  <c r="I59" i="6"/>
  <c r="H59" i="6"/>
  <c r="F201" i="7"/>
  <c r="F59" i="6"/>
  <c r="I55" i="7"/>
  <c r="J55" i="7" s="1"/>
  <c r="R55" i="7" s="1"/>
  <c r="I55" i="6" l="1"/>
  <c r="H55" i="6"/>
  <c r="C19" i="9"/>
  <c r="N55" i="7"/>
  <c r="E54" i="6"/>
  <c r="N19" i="7"/>
  <c r="N20" i="6"/>
  <c r="M55" i="7"/>
  <c r="I201" i="7"/>
  <c r="J201" i="7" s="1"/>
  <c r="F128" i="7"/>
  <c r="F55" i="6"/>
  <c r="K55" i="7"/>
  <c r="L55" i="7"/>
  <c r="G21" i="9" l="1"/>
  <c r="E62" i="6"/>
  <c r="N165" i="7"/>
  <c r="N201" i="7"/>
  <c r="R201" i="7"/>
  <c r="K201" i="7"/>
  <c r="L201" i="7"/>
  <c r="G62" i="6" s="1"/>
  <c r="M201" i="7"/>
  <c r="I54" i="6"/>
  <c r="H54" i="6"/>
  <c r="L19" i="9"/>
  <c r="Q19" i="9"/>
  <c r="H19" i="9"/>
  <c r="O19" i="9"/>
  <c r="P19" i="9"/>
  <c r="S19" i="9"/>
  <c r="M19" i="9"/>
  <c r="J19" i="9"/>
  <c r="U19" i="9"/>
  <c r="V19" i="9"/>
  <c r="T19" i="9"/>
  <c r="R19" i="9"/>
  <c r="N19" i="9"/>
  <c r="K19" i="9"/>
  <c r="I19" i="9"/>
  <c r="P20" i="6"/>
  <c r="G54" i="6"/>
  <c r="I128" i="7"/>
  <c r="J128" i="7" s="1"/>
  <c r="F56" i="7"/>
  <c r="F54" i="6"/>
  <c r="O20" i="6"/>
  <c r="R128" i="7" l="1"/>
  <c r="M128" i="7"/>
  <c r="E20" i="9"/>
  <c r="E58" i="6"/>
  <c r="N92" i="7"/>
  <c r="N128" i="7"/>
  <c r="L128" i="7"/>
  <c r="G58" i="6" s="1"/>
  <c r="K128" i="7"/>
  <c r="F202" i="7"/>
  <c r="F62" i="6"/>
  <c r="I56" i="7"/>
  <c r="J56" i="7" s="1"/>
  <c r="I62" i="6"/>
  <c r="H62" i="6"/>
  <c r="C20" i="9" l="1"/>
  <c r="E57" i="6"/>
  <c r="N56" i="7"/>
  <c r="N21" i="6"/>
  <c r="N20" i="7"/>
  <c r="M56" i="7"/>
  <c r="L56" i="7"/>
  <c r="K56" i="7"/>
  <c r="R56" i="7"/>
  <c r="F129" i="7"/>
  <c r="F58" i="6"/>
  <c r="I202" i="7"/>
  <c r="J202" i="7" s="1"/>
  <c r="I58" i="6"/>
  <c r="H58" i="6"/>
  <c r="L202" i="7" l="1"/>
  <c r="G65" i="6" s="1"/>
  <c r="M202" i="7"/>
  <c r="F57" i="7"/>
  <c r="O21" i="6"/>
  <c r="F57" i="6"/>
  <c r="I57" i="6"/>
  <c r="H57" i="6"/>
  <c r="G22" i="9"/>
  <c r="N166" i="7"/>
  <c r="N202" i="7"/>
  <c r="E65" i="6"/>
  <c r="G57" i="6"/>
  <c r="P21" i="6"/>
  <c r="K202" i="7"/>
  <c r="R202" i="7"/>
  <c r="I129" i="7"/>
  <c r="J129" i="7" s="1"/>
  <c r="H20" i="9"/>
  <c r="R20" i="9"/>
  <c r="L20" i="9"/>
  <c r="T20" i="9"/>
  <c r="P20" i="9"/>
  <c r="N20" i="9"/>
  <c r="O20" i="9"/>
  <c r="J20" i="9"/>
  <c r="I20" i="9"/>
  <c r="S20" i="9"/>
  <c r="U20" i="9"/>
  <c r="M20" i="9"/>
  <c r="V20" i="9"/>
  <c r="K20" i="9"/>
  <c r="Q20" i="9"/>
  <c r="E21" i="9" l="1"/>
  <c r="N93" i="7"/>
  <c r="E61" i="6"/>
  <c r="N129" i="7"/>
  <c r="R129" i="7"/>
  <c r="M129" i="7"/>
  <c r="K129" i="7"/>
  <c r="L129" i="7"/>
  <c r="G61" i="6" s="1"/>
  <c r="F203" i="7"/>
  <c r="F65" i="6"/>
  <c r="H65" i="6"/>
  <c r="I65" i="6"/>
  <c r="I57" i="7"/>
  <c r="J57" i="7" s="1"/>
  <c r="C21" i="9" l="1"/>
  <c r="N21" i="7"/>
  <c r="N22" i="6"/>
  <c r="E60" i="6"/>
  <c r="N57" i="7"/>
  <c r="R57" i="7"/>
  <c r="L57" i="7"/>
  <c r="M57" i="7"/>
  <c r="K57" i="7"/>
  <c r="F130" i="7"/>
  <c r="F61" i="6"/>
  <c r="I61" i="6"/>
  <c r="H61" i="6"/>
  <c r="I203" i="7"/>
  <c r="J203" i="7" s="1"/>
  <c r="K203" i="7" l="1"/>
  <c r="F204" i="7" s="1"/>
  <c r="M203" i="7"/>
  <c r="F68" i="6"/>
  <c r="I60" i="6"/>
  <c r="H60" i="6"/>
  <c r="I130" i="7"/>
  <c r="J130" i="7" s="1"/>
  <c r="G23" i="9"/>
  <c r="N167" i="7"/>
  <c r="N203" i="7"/>
  <c r="E68" i="6"/>
  <c r="P22" i="6"/>
  <c r="G60" i="6"/>
  <c r="R203" i="7"/>
  <c r="L203" i="7"/>
  <c r="G68" i="6" s="1"/>
  <c r="F58" i="7"/>
  <c r="O22" i="6"/>
  <c r="F60" i="6"/>
  <c r="H21" i="9"/>
  <c r="O21" i="9"/>
  <c r="K21" i="9"/>
  <c r="J21" i="9"/>
  <c r="T21" i="9"/>
  <c r="P21" i="9"/>
  <c r="N21" i="9"/>
  <c r="M21" i="9"/>
  <c r="V21" i="9"/>
  <c r="I21" i="9"/>
  <c r="U21" i="9"/>
  <c r="Q21" i="9"/>
  <c r="R21" i="9"/>
  <c r="L21" i="9"/>
  <c r="S21" i="9"/>
  <c r="E22" i="9" l="1"/>
  <c r="N94" i="7"/>
  <c r="N130" i="7"/>
  <c r="E64" i="6"/>
  <c r="R130" i="7"/>
  <c r="K130" i="7"/>
  <c r="M130" i="7"/>
  <c r="L130" i="7"/>
  <c r="G64" i="6" s="1"/>
  <c r="I68" i="6"/>
  <c r="H68" i="6"/>
  <c r="I58" i="7"/>
  <c r="J58" i="7" s="1"/>
  <c r="I204" i="7"/>
  <c r="J204" i="7" s="1"/>
  <c r="C22" i="9" l="1"/>
  <c r="N23" i="6"/>
  <c r="N58" i="7"/>
  <c r="N22" i="7"/>
  <c r="E63" i="6"/>
  <c r="L58" i="7"/>
  <c r="R58" i="7"/>
  <c r="K58" i="7"/>
  <c r="M58" i="7"/>
  <c r="G24" i="9"/>
  <c r="N204" i="7"/>
  <c r="E71" i="6"/>
  <c r="N168" i="7"/>
  <c r="M204" i="7"/>
  <c r="R204" i="7"/>
  <c r="L204" i="7"/>
  <c r="G71" i="6" s="1"/>
  <c r="K204" i="7"/>
  <c r="I64" i="6"/>
  <c r="H64" i="6"/>
  <c r="F131" i="7"/>
  <c r="F64" i="6"/>
  <c r="F59" i="7" l="1"/>
  <c r="F63" i="6"/>
  <c r="O23" i="6"/>
  <c r="G63" i="6"/>
  <c r="P23" i="6"/>
  <c r="H63" i="6"/>
  <c r="I63" i="6"/>
  <c r="J131" i="7"/>
  <c r="K131" i="7" s="1"/>
  <c r="I131" i="7"/>
  <c r="H71" i="6"/>
  <c r="I71" i="6"/>
  <c r="F205" i="7"/>
  <c r="F71" i="6"/>
  <c r="U22" i="9"/>
  <c r="V22" i="9"/>
  <c r="M22" i="9"/>
  <c r="S22" i="9"/>
  <c r="J22" i="9"/>
  <c r="P22" i="9"/>
  <c r="L22" i="9"/>
  <c r="I22" i="9"/>
  <c r="H22" i="9"/>
  <c r="O22" i="9"/>
  <c r="Q22" i="9"/>
  <c r="T22" i="9"/>
  <c r="N22" i="9"/>
  <c r="K22" i="9"/>
  <c r="R22" i="9"/>
  <c r="F132" i="7" l="1"/>
  <c r="F67" i="6"/>
  <c r="I205" i="7"/>
  <c r="J205" i="7" s="1"/>
  <c r="E23" i="9"/>
  <c r="N95" i="7"/>
  <c r="N131" i="7"/>
  <c r="E67" i="6"/>
  <c r="L131" i="7"/>
  <c r="G67" i="6" s="1"/>
  <c r="R131" i="7"/>
  <c r="M131" i="7"/>
  <c r="I59" i="7"/>
  <c r="J59" i="7" s="1"/>
  <c r="G25" i="9" l="1"/>
  <c r="N169" i="7"/>
  <c r="E74" i="6"/>
  <c r="N205" i="7"/>
  <c r="K205" i="7"/>
  <c r="L205" i="7"/>
  <c r="G74" i="6" s="1"/>
  <c r="M205" i="7"/>
  <c r="R205" i="7"/>
  <c r="C23" i="9"/>
  <c r="E66" i="6"/>
  <c r="N23" i="7"/>
  <c r="N59" i="7"/>
  <c r="N24" i="6"/>
  <c r="K59" i="7"/>
  <c r="L59" i="7"/>
  <c r="M59" i="7"/>
  <c r="R59" i="7"/>
  <c r="H67" i="6"/>
  <c r="I67" i="6"/>
  <c r="I132" i="7"/>
  <c r="J132" i="7" s="1"/>
  <c r="R132" i="7" l="1"/>
  <c r="K132" i="7"/>
  <c r="F133" i="7" s="1"/>
  <c r="F206" i="7"/>
  <c r="F74" i="6"/>
  <c r="L132" i="7"/>
  <c r="G70" i="6" s="1"/>
  <c r="M132" i="7"/>
  <c r="I74" i="6"/>
  <c r="H74" i="6"/>
  <c r="P24" i="6"/>
  <c r="G66" i="6"/>
  <c r="I66" i="6"/>
  <c r="H66" i="6"/>
  <c r="E24" i="9"/>
  <c r="E70" i="6"/>
  <c r="N132" i="7"/>
  <c r="N96" i="7"/>
  <c r="F60" i="7"/>
  <c r="O24" i="6"/>
  <c r="F66" i="6"/>
  <c r="I23" i="9"/>
  <c r="K23" i="9"/>
  <c r="M23" i="9"/>
  <c r="N23" i="9"/>
  <c r="T23" i="9"/>
  <c r="R23" i="9"/>
  <c r="P23" i="9"/>
  <c r="S23" i="9"/>
  <c r="J23" i="9"/>
  <c r="H23" i="9"/>
  <c r="U23" i="9"/>
  <c r="L23" i="9"/>
  <c r="O23" i="9"/>
  <c r="V23" i="9"/>
  <c r="Q23" i="9"/>
  <c r="F70" i="6" l="1"/>
  <c r="I70" i="6"/>
  <c r="H70" i="6"/>
  <c r="I133" i="7"/>
  <c r="J133" i="7" s="1"/>
  <c r="I60" i="7"/>
  <c r="J60" i="7" s="1"/>
  <c r="I206" i="7"/>
  <c r="J206" i="7" s="1"/>
  <c r="R206" i="7" s="1"/>
  <c r="K206" i="7" l="1"/>
  <c r="L206" i="7"/>
  <c r="G77" i="6" s="1"/>
  <c r="E25" i="9"/>
  <c r="N133" i="7"/>
  <c r="N97" i="7"/>
  <c r="E73" i="6"/>
  <c r="R133" i="7"/>
  <c r="L133" i="7"/>
  <c r="G73" i="6" s="1"/>
  <c r="K133" i="7"/>
  <c r="M133" i="7"/>
  <c r="C24" i="9"/>
  <c r="N25" i="6"/>
  <c r="N24" i="7"/>
  <c r="E69" i="6"/>
  <c r="N60" i="7"/>
  <c r="M60" i="7"/>
  <c r="R60" i="7"/>
  <c r="K60" i="7"/>
  <c r="L60" i="7"/>
  <c r="G26" i="9"/>
  <c r="E77" i="6"/>
  <c r="N206" i="7"/>
  <c r="N170" i="7"/>
  <c r="F207" i="7"/>
  <c r="F77" i="6"/>
  <c r="M206" i="7"/>
  <c r="I69" i="6" l="1"/>
  <c r="H69" i="6"/>
  <c r="I73" i="6"/>
  <c r="H73" i="6"/>
  <c r="F134" i="7"/>
  <c r="F73" i="6"/>
  <c r="I207" i="7"/>
  <c r="J207" i="7" s="1"/>
  <c r="H77" i="6"/>
  <c r="I77" i="6"/>
  <c r="F61" i="7"/>
  <c r="O25" i="6"/>
  <c r="F69" i="6"/>
  <c r="P25" i="6"/>
  <c r="G69" i="6"/>
  <c r="U24" i="9"/>
  <c r="P24" i="9"/>
  <c r="S24" i="9"/>
  <c r="M24" i="9"/>
  <c r="K24" i="9"/>
  <c r="V24" i="9"/>
  <c r="J24" i="9"/>
  <c r="L24" i="9"/>
  <c r="R24" i="9"/>
  <c r="H24" i="9"/>
  <c r="N24" i="9"/>
  <c r="T24" i="9"/>
  <c r="Q24" i="9"/>
  <c r="I24" i="9"/>
  <c r="O24" i="9"/>
  <c r="G27" i="9" l="1"/>
  <c r="E80" i="6"/>
  <c r="N171" i="7"/>
  <c r="N207" i="7"/>
  <c r="L207" i="7"/>
  <c r="G80" i="6" s="1"/>
  <c r="K207" i="7"/>
  <c r="M207" i="7"/>
  <c r="R207" i="7"/>
  <c r="I134" i="7"/>
  <c r="J134" i="7" s="1"/>
  <c r="I61" i="7"/>
  <c r="J61" i="7" s="1"/>
  <c r="R61" i="7" s="1"/>
  <c r="E26" i="9" l="1"/>
  <c r="N134" i="7"/>
  <c r="N98" i="7"/>
  <c r="E76" i="6"/>
  <c r="K134" i="7"/>
  <c r="M134" i="7"/>
  <c r="R134" i="7"/>
  <c r="L134" i="7"/>
  <c r="G76" i="6" s="1"/>
  <c r="C25" i="9"/>
  <c r="E72" i="6"/>
  <c r="N61" i="7"/>
  <c r="N26" i="6"/>
  <c r="N25" i="7"/>
  <c r="K61" i="7"/>
  <c r="I80" i="6"/>
  <c r="H80" i="6"/>
  <c r="F208" i="7"/>
  <c r="F80" i="6"/>
  <c r="L61" i="7"/>
  <c r="M61" i="7"/>
  <c r="F62" i="7" l="1"/>
  <c r="F72" i="6"/>
  <c r="O26" i="6"/>
  <c r="F135" i="7"/>
  <c r="F76" i="6"/>
  <c r="I76" i="6"/>
  <c r="H76" i="6"/>
  <c r="G72" i="6"/>
  <c r="P26" i="6"/>
  <c r="I72" i="6"/>
  <c r="H72" i="6"/>
  <c r="I208" i="7"/>
  <c r="J208" i="7" s="1"/>
  <c r="H25" i="9"/>
  <c r="K25" i="9"/>
  <c r="M25" i="9"/>
  <c r="P25" i="9"/>
  <c r="J25" i="9"/>
  <c r="V25" i="9"/>
  <c r="N25" i="9"/>
  <c r="O25" i="9"/>
  <c r="U25" i="9"/>
  <c r="I25" i="9"/>
  <c r="T25" i="9"/>
  <c r="L25" i="9"/>
  <c r="R25" i="9"/>
  <c r="S25" i="9"/>
  <c r="Q25" i="9"/>
  <c r="R208" i="7" l="1"/>
  <c r="L208" i="7"/>
  <c r="G83" i="6" s="1"/>
  <c r="K208" i="7"/>
  <c r="F209" i="7" s="1"/>
  <c r="M208" i="7"/>
  <c r="G28" i="9"/>
  <c r="N208" i="7"/>
  <c r="N172" i="7"/>
  <c r="E83" i="6"/>
  <c r="I135" i="7"/>
  <c r="J135" i="7" s="1"/>
  <c r="F83" i="6"/>
  <c r="I62" i="7"/>
  <c r="J62" i="7" s="1"/>
  <c r="R62" i="7" s="1"/>
  <c r="E27" i="9" l="1"/>
  <c r="N99" i="7"/>
  <c r="E79" i="6"/>
  <c r="N135" i="7"/>
  <c r="K135" i="7"/>
  <c r="R135" i="7"/>
  <c r="L135" i="7"/>
  <c r="G79" i="6" s="1"/>
  <c r="M135" i="7"/>
  <c r="H83" i="6"/>
  <c r="I83" i="6"/>
  <c r="I209" i="7"/>
  <c r="J209" i="7" s="1"/>
  <c r="C26" i="9"/>
  <c r="N27" i="6"/>
  <c r="N26" i="7"/>
  <c r="N62" i="7"/>
  <c r="E75" i="6"/>
  <c r="M62" i="7"/>
  <c r="K62" i="7"/>
  <c r="L62" i="7"/>
  <c r="G29" i="9" l="1"/>
  <c r="N209" i="7"/>
  <c r="N173" i="7"/>
  <c r="E86" i="6"/>
  <c r="R209" i="7"/>
  <c r="K209" i="7"/>
  <c r="M209" i="7"/>
  <c r="L209" i="7"/>
  <c r="G86" i="6" s="1"/>
  <c r="F136" i="7"/>
  <c r="F79" i="6"/>
  <c r="H75" i="6"/>
  <c r="I75" i="6"/>
  <c r="H79" i="6"/>
  <c r="I79" i="6"/>
  <c r="G75" i="6"/>
  <c r="P27" i="6"/>
  <c r="F63" i="7"/>
  <c r="O27" i="6"/>
  <c r="F75" i="6"/>
  <c r="V26" i="9"/>
  <c r="H26" i="9"/>
  <c r="K26" i="9"/>
  <c r="T26" i="9"/>
  <c r="P26" i="9"/>
  <c r="M26" i="9"/>
  <c r="L26" i="9"/>
  <c r="S26" i="9"/>
  <c r="O26" i="9"/>
  <c r="R26" i="9"/>
  <c r="J26" i="9"/>
  <c r="U26" i="9"/>
  <c r="Q26" i="9"/>
  <c r="I26" i="9"/>
  <c r="N26" i="9"/>
  <c r="F210" i="7" l="1"/>
  <c r="F86" i="6"/>
  <c r="I86" i="6"/>
  <c r="H86" i="6"/>
  <c r="I63" i="7"/>
  <c r="J63" i="7" s="1"/>
  <c r="I136" i="7"/>
  <c r="J136" i="7" s="1"/>
  <c r="E28" i="9" l="1"/>
  <c r="N136" i="7"/>
  <c r="E82" i="6"/>
  <c r="N100" i="7"/>
  <c r="M136" i="7"/>
  <c r="K136" i="7"/>
  <c r="R136" i="7"/>
  <c r="L136" i="7"/>
  <c r="G82" i="6" s="1"/>
  <c r="C27" i="9"/>
  <c r="E78" i="6"/>
  <c r="N27" i="7"/>
  <c r="N63" i="7"/>
  <c r="N28" i="6"/>
  <c r="L63" i="7"/>
  <c r="K63" i="7"/>
  <c r="R63" i="7"/>
  <c r="M63" i="7"/>
  <c r="I210" i="7"/>
  <c r="J210" i="7" s="1"/>
  <c r="G30" i="9" l="1"/>
  <c r="N174" i="7"/>
  <c r="N210" i="7"/>
  <c r="E89" i="6"/>
  <c r="L210" i="7"/>
  <c r="G89" i="6" s="1"/>
  <c r="K210" i="7"/>
  <c r="R210" i="7"/>
  <c r="M210" i="7"/>
  <c r="F64" i="7"/>
  <c r="F78" i="6"/>
  <c r="O28" i="6"/>
  <c r="F137" i="7"/>
  <c r="F82" i="6"/>
  <c r="G78" i="6"/>
  <c r="P28" i="6"/>
  <c r="I82" i="6"/>
  <c r="H82" i="6"/>
  <c r="H78" i="6"/>
  <c r="I78" i="6"/>
  <c r="J27" i="9"/>
  <c r="V27" i="9"/>
  <c r="T27" i="9"/>
  <c r="P27" i="9"/>
  <c r="R27" i="9"/>
  <c r="S27" i="9"/>
  <c r="O27" i="9"/>
  <c r="H27" i="9"/>
  <c r="U27" i="9"/>
  <c r="I27" i="9"/>
  <c r="L27" i="9"/>
  <c r="Q27" i="9"/>
  <c r="N27" i="9"/>
  <c r="K27" i="9"/>
  <c r="M27" i="9"/>
  <c r="I137" i="7" l="1"/>
  <c r="J137" i="7" s="1"/>
  <c r="I89" i="6"/>
  <c r="H89" i="6"/>
  <c r="F211" i="7"/>
  <c r="F89" i="6"/>
  <c r="I64" i="7"/>
  <c r="J64" i="7" s="1"/>
  <c r="C28" i="9" l="1"/>
  <c r="N29" i="6"/>
  <c r="N28" i="7"/>
  <c r="E81" i="6"/>
  <c r="N64" i="7"/>
  <c r="M64" i="7"/>
  <c r="R64" i="7"/>
  <c r="L64" i="7"/>
  <c r="K64" i="7"/>
  <c r="E29" i="9"/>
  <c r="N101" i="7"/>
  <c r="E85" i="6"/>
  <c r="N137" i="7"/>
  <c r="M137" i="7"/>
  <c r="K137" i="7"/>
  <c r="L137" i="7"/>
  <c r="G85" i="6" s="1"/>
  <c r="R137" i="7"/>
  <c r="I211" i="7"/>
  <c r="J211" i="7" s="1"/>
  <c r="G31" i="9" l="1"/>
  <c r="N175" i="7"/>
  <c r="N211" i="7"/>
  <c r="E92" i="6"/>
  <c r="R211" i="7"/>
  <c r="M211" i="7"/>
  <c r="K211" i="7"/>
  <c r="L211" i="7"/>
  <c r="G92" i="6" s="1"/>
  <c r="I85" i="6"/>
  <c r="H85" i="6"/>
  <c r="H81" i="6"/>
  <c r="I81" i="6"/>
  <c r="G81" i="6"/>
  <c r="P29" i="6"/>
  <c r="F138" i="7"/>
  <c r="F85" i="6"/>
  <c r="F65" i="7"/>
  <c r="O29" i="6"/>
  <c r="F81" i="6"/>
  <c r="J28" i="9"/>
  <c r="V28" i="9"/>
  <c r="S28" i="9"/>
  <c r="O28" i="9"/>
  <c r="P28" i="9"/>
  <c r="N28" i="9"/>
  <c r="K28" i="9"/>
  <c r="L28" i="9"/>
  <c r="R28" i="9"/>
  <c r="U28" i="9"/>
  <c r="H28" i="9"/>
  <c r="M28" i="9"/>
  <c r="I28" i="9"/>
  <c r="Q28" i="9"/>
  <c r="T28" i="9"/>
  <c r="I92" i="6" l="1"/>
  <c r="H92" i="6"/>
  <c r="I138" i="7"/>
  <c r="J138" i="7" s="1"/>
  <c r="F212" i="7"/>
  <c r="F92" i="6"/>
  <c r="I65" i="7"/>
  <c r="J65" i="7" s="1"/>
  <c r="E30" i="9" l="1"/>
  <c r="E88" i="6"/>
  <c r="N102" i="7"/>
  <c r="N138" i="7"/>
  <c r="L138" i="7"/>
  <c r="G88" i="6" s="1"/>
  <c r="K138" i="7"/>
  <c r="R138" i="7"/>
  <c r="M138" i="7"/>
  <c r="C29" i="9"/>
  <c r="N29" i="7"/>
  <c r="N65" i="7"/>
  <c r="N30" i="6"/>
  <c r="E84" i="6"/>
  <c r="M65" i="7"/>
  <c r="R65" i="7"/>
  <c r="L65" i="7"/>
  <c r="K65" i="7"/>
  <c r="I212" i="7"/>
  <c r="J212" i="7" s="1"/>
  <c r="G32" i="9" l="1"/>
  <c r="N176" i="7"/>
  <c r="N212" i="7"/>
  <c r="E95" i="6"/>
  <c r="R212" i="7"/>
  <c r="L212" i="7"/>
  <c r="G95" i="6" s="1"/>
  <c r="M212" i="7"/>
  <c r="K212" i="7"/>
  <c r="P30" i="6"/>
  <c r="G84" i="6"/>
  <c r="F139" i="7"/>
  <c r="F88" i="6"/>
  <c r="I88" i="6"/>
  <c r="H88" i="6"/>
  <c r="I84" i="6"/>
  <c r="H84" i="6"/>
  <c r="F66" i="7"/>
  <c r="O30" i="6"/>
  <c r="F84" i="6"/>
  <c r="N29" i="9"/>
  <c r="U29" i="9"/>
  <c r="T29" i="9"/>
  <c r="S29" i="9"/>
  <c r="K29" i="9"/>
  <c r="P29" i="9"/>
  <c r="I29" i="9"/>
  <c r="Q29" i="9"/>
  <c r="V29" i="9"/>
  <c r="M29" i="9"/>
  <c r="J29" i="9"/>
  <c r="H29" i="9"/>
  <c r="R29" i="9"/>
  <c r="L29" i="9"/>
  <c r="O29" i="9"/>
  <c r="I95" i="6" l="1"/>
  <c r="H95" i="6"/>
  <c r="I139" i="7"/>
  <c r="J139" i="7" s="1"/>
  <c r="F213" i="7"/>
  <c r="F95" i="6"/>
  <c r="I66" i="7"/>
  <c r="J66" i="7" s="1"/>
  <c r="C30" i="9" l="1"/>
  <c r="N66" i="7"/>
  <c r="N31" i="6"/>
  <c r="E87" i="6"/>
  <c r="N30" i="7"/>
  <c r="R66" i="7"/>
  <c r="L66" i="7"/>
  <c r="K66" i="7"/>
  <c r="M66" i="7"/>
  <c r="E31" i="9"/>
  <c r="N139" i="7"/>
  <c r="N103" i="7"/>
  <c r="E91" i="6"/>
  <c r="K139" i="7"/>
  <c r="M139" i="7"/>
  <c r="L139" i="7"/>
  <c r="G91" i="6" s="1"/>
  <c r="R139" i="7"/>
  <c r="I213" i="7"/>
  <c r="J213" i="7" s="1"/>
  <c r="G33" i="9" l="1"/>
  <c r="E98" i="6"/>
  <c r="N213" i="7"/>
  <c r="N177" i="7"/>
  <c r="L213" i="7"/>
  <c r="G98" i="6" s="1"/>
  <c r="K213" i="7"/>
  <c r="R213" i="7"/>
  <c r="M213" i="7"/>
  <c r="F140" i="7"/>
  <c r="F91" i="6"/>
  <c r="F67" i="7"/>
  <c r="O31" i="6"/>
  <c r="F87" i="6"/>
  <c r="P31" i="6"/>
  <c r="G87" i="6"/>
  <c r="I91" i="6"/>
  <c r="H91" i="6"/>
  <c r="I87" i="6"/>
  <c r="H87" i="6"/>
  <c r="N30" i="9"/>
  <c r="O30" i="9"/>
  <c r="M30" i="9"/>
  <c r="U30" i="9"/>
  <c r="K30" i="9"/>
  <c r="V30" i="9"/>
  <c r="R30" i="9"/>
  <c r="L30" i="9"/>
  <c r="P30" i="9"/>
  <c r="H30" i="9"/>
  <c r="S30" i="9"/>
  <c r="J30" i="9"/>
  <c r="I30" i="9"/>
  <c r="Q30" i="9"/>
  <c r="T30" i="9"/>
  <c r="F214" i="7" l="1"/>
  <c r="F98" i="6"/>
  <c r="I67" i="7"/>
  <c r="J67" i="7" s="1"/>
  <c r="H98" i="6"/>
  <c r="I98" i="6"/>
  <c r="I140" i="7"/>
  <c r="J140" i="7" s="1"/>
  <c r="E32" i="9" l="1"/>
  <c r="E94" i="6"/>
  <c r="N104" i="7"/>
  <c r="N140" i="7"/>
  <c r="K140" i="7"/>
  <c r="L140" i="7"/>
  <c r="G94" i="6" s="1"/>
  <c r="M140" i="7"/>
  <c r="R140" i="7"/>
  <c r="C31" i="9"/>
  <c r="N31" i="7"/>
  <c r="N32" i="6"/>
  <c r="E90" i="6"/>
  <c r="N67" i="7"/>
  <c r="M67" i="7"/>
  <c r="L67" i="7"/>
  <c r="K67" i="7"/>
  <c r="R67" i="7"/>
  <c r="I214" i="7"/>
  <c r="J214" i="7" s="1"/>
  <c r="G34" i="9" l="1"/>
  <c r="N178" i="7"/>
  <c r="E101" i="6"/>
  <c r="N214" i="7"/>
  <c r="R214" i="7"/>
  <c r="L214" i="7"/>
  <c r="G101" i="6" s="1"/>
  <c r="M214" i="7"/>
  <c r="K214" i="7"/>
  <c r="P32" i="6"/>
  <c r="G90" i="6"/>
  <c r="I90" i="6"/>
  <c r="H90" i="6"/>
  <c r="F141" i="7"/>
  <c r="F94" i="6"/>
  <c r="I94" i="6"/>
  <c r="H94" i="6"/>
  <c r="F68" i="7"/>
  <c r="F90" i="6"/>
  <c r="O32" i="6"/>
  <c r="L31" i="9"/>
  <c r="O31" i="9"/>
  <c r="V31" i="9"/>
  <c r="S31" i="9"/>
  <c r="R31" i="9"/>
  <c r="Q31" i="9"/>
  <c r="U31" i="9"/>
  <c r="J31" i="9"/>
  <c r="K31" i="9"/>
  <c r="I31" i="9"/>
  <c r="N31" i="9"/>
  <c r="M31" i="9"/>
  <c r="T31" i="9"/>
  <c r="P31" i="9"/>
  <c r="H31" i="9"/>
  <c r="I141" i="7" l="1"/>
  <c r="J141" i="7" s="1"/>
  <c r="I68" i="7"/>
  <c r="J68" i="7" s="1"/>
  <c r="F215" i="7"/>
  <c r="F101" i="6"/>
  <c r="H101" i="6"/>
  <c r="I101" i="6"/>
  <c r="C32" i="9" l="1"/>
  <c r="N33" i="6"/>
  <c r="N32" i="7"/>
  <c r="N68" i="7"/>
  <c r="E93" i="6"/>
  <c r="K68" i="7"/>
  <c r="M68" i="7"/>
  <c r="R68" i="7"/>
  <c r="L68" i="7"/>
  <c r="E33" i="9"/>
  <c r="N105" i="7"/>
  <c r="E97" i="6"/>
  <c r="N141" i="7"/>
  <c r="R141" i="7"/>
  <c r="K141" i="7"/>
  <c r="M141" i="7"/>
  <c r="L141" i="7"/>
  <c r="G97" i="6" s="1"/>
  <c r="I215" i="7"/>
  <c r="J215" i="7" s="1"/>
  <c r="G35" i="9" l="1"/>
  <c r="N179" i="7"/>
  <c r="N215" i="7"/>
  <c r="E104" i="6"/>
  <c r="K215" i="7"/>
  <c r="L215" i="7"/>
  <c r="G104" i="6" s="1"/>
  <c r="R215" i="7"/>
  <c r="M215" i="7"/>
  <c r="F142" i="7"/>
  <c r="F97" i="6"/>
  <c r="I97" i="6"/>
  <c r="H97" i="6"/>
  <c r="F69" i="7"/>
  <c r="O33" i="6"/>
  <c r="F93" i="6"/>
  <c r="I93" i="6"/>
  <c r="H93" i="6"/>
  <c r="P33" i="6"/>
  <c r="G93" i="6"/>
  <c r="S32" i="9"/>
  <c r="Q32" i="9"/>
  <c r="H32" i="9"/>
  <c r="K32" i="9"/>
  <c r="L32" i="9"/>
  <c r="O32" i="9"/>
  <c r="T32" i="9"/>
  <c r="R32" i="9"/>
  <c r="I32" i="9"/>
  <c r="P32" i="9"/>
  <c r="J32" i="9"/>
  <c r="U32" i="9"/>
  <c r="M32" i="9"/>
  <c r="N32" i="9"/>
  <c r="V32" i="9"/>
  <c r="I69" i="7" l="1"/>
  <c r="J69" i="7" s="1"/>
  <c r="F216" i="7"/>
  <c r="F104" i="6"/>
  <c r="I104" i="6"/>
  <c r="H104" i="6"/>
  <c r="I142" i="7"/>
  <c r="J142" i="7" s="1"/>
  <c r="E34" i="9" l="1"/>
  <c r="N142" i="7"/>
  <c r="E100" i="6"/>
  <c r="N106" i="7"/>
  <c r="L142" i="7"/>
  <c r="G100" i="6" s="1"/>
  <c r="R142" i="7"/>
  <c r="K142" i="7"/>
  <c r="M142" i="7"/>
  <c r="C33" i="9"/>
  <c r="E96" i="6"/>
  <c r="N69" i="7"/>
  <c r="N33" i="7"/>
  <c r="N34" i="6"/>
  <c r="L69" i="7"/>
  <c r="K69" i="7"/>
  <c r="M69" i="7"/>
  <c r="R69" i="7"/>
  <c r="I216" i="7"/>
  <c r="J216" i="7" s="1"/>
  <c r="G36" i="9" l="1"/>
  <c r="N216" i="7"/>
  <c r="E107" i="6"/>
  <c r="N180" i="7"/>
  <c r="M216" i="7"/>
  <c r="L216" i="7"/>
  <c r="G107" i="6" s="1"/>
  <c r="K216" i="7"/>
  <c r="R216" i="7"/>
  <c r="I100" i="6"/>
  <c r="H100" i="6"/>
  <c r="G96" i="6"/>
  <c r="P34" i="6"/>
  <c r="I96" i="6"/>
  <c r="H96" i="6"/>
  <c r="F70" i="7"/>
  <c r="F96" i="6"/>
  <c r="O34" i="6"/>
  <c r="F143" i="7"/>
  <c r="F100" i="6"/>
  <c r="O33" i="9"/>
  <c r="K33" i="9"/>
  <c r="M33" i="9"/>
  <c r="I33" i="9"/>
  <c r="Q33" i="9"/>
  <c r="V33" i="9"/>
  <c r="U33" i="9"/>
  <c r="L33" i="9"/>
  <c r="T33" i="9"/>
  <c r="H33" i="9"/>
  <c r="P33" i="9"/>
  <c r="J33" i="9"/>
  <c r="S33" i="9"/>
  <c r="N33" i="9"/>
  <c r="R33" i="9"/>
  <c r="I70" i="7" l="1"/>
  <c r="J70" i="7" s="1"/>
  <c r="F217" i="7"/>
  <c r="F107" i="6"/>
  <c r="H107" i="6"/>
  <c r="I107" i="6"/>
  <c r="I143" i="7"/>
  <c r="J143" i="7" s="1"/>
  <c r="E35" i="9" l="1"/>
  <c r="N107" i="7"/>
  <c r="N143" i="7"/>
  <c r="E103" i="6"/>
  <c r="M143" i="7"/>
  <c r="R143" i="7"/>
  <c r="L143" i="7"/>
  <c r="G103" i="6" s="1"/>
  <c r="K143" i="7"/>
  <c r="C34" i="9"/>
  <c r="N70" i="7"/>
  <c r="N34" i="7"/>
  <c r="N35" i="6"/>
  <c r="E99" i="6"/>
  <c r="L70" i="7"/>
  <c r="M70" i="7"/>
  <c r="R70" i="7"/>
  <c r="I217" i="7"/>
  <c r="J217" i="7" s="1"/>
  <c r="K70" i="7"/>
  <c r="G37" i="9" l="1"/>
  <c r="N217" i="7"/>
  <c r="N181" i="7"/>
  <c r="E110" i="6"/>
  <c r="R217" i="7"/>
  <c r="K217" i="7"/>
  <c r="F110" i="6" s="1"/>
  <c r="L217" i="7"/>
  <c r="M217" i="7"/>
  <c r="I99" i="6"/>
  <c r="H99" i="6"/>
  <c r="I103" i="6"/>
  <c r="H103" i="6"/>
  <c r="F144" i="7"/>
  <c r="F103" i="6"/>
  <c r="F71" i="7"/>
  <c r="O35" i="6"/>
  <c r="F99" i="6"/>
  <c r="G99" i="6"/>
  <c r="P35" i="6"/>
  <c r="V34" i="9"/>
  <c r="Q34" i="9"/>
  <c r="L34" i="9"/>
  <c r="P34" i="9"/>
  <c r="M34" i="9"/>
  <c r="S34" i="9"/>
  <c r="N34" i="9"/>
  <c r="O34" i="9"/>
  <c r="K34" i="9"/>
  <c r="I34" i="9"/>
  <c r="R34" i="9"/>
  <c r="T34" i="9"/>
  <c r="H34" i="9"/>
  <c r="U34" i="9"/>
  <c r="J34" i="9"/>
  <c r="I144" i="7" l="1"/>
  <c r="J144" i="7" s="1"/>
  <c r="H110" i="6"/>
  <c r="I110" i="6"/>
  <c r="G110" i="6"/>
  <c r="I71" i="7"/>
  <c r="J71" i="7" s="1"/>
  <c r="C35" i="9" l="1"/>
  <c r="E102" i="6"/>
  <c r="N71" i="7"/>
  <c r="N35" i="7"/>
  <c r="N36" i="6"/>
  <c r="K71" i="7"/>
  <c r="M71" i="7"/>
  <c r="L71" i="7"/>
  <c r="R71" i="7"/>
  <c r="E36" i="9"/>
  <c r="E106" i="6"/>
  <c r="N144" i="7"/>
  <c r="N108" i="7"/>
  <c r="M144" i="7"/>
  <c r="L144" i="7"/>
  <c r="G106" i="6" s="1"/>
  <c r="K144" i="7"/>
  <c r="R144" i="7"/>
  <c r="I106" i="6" l="1"/>
  <c r="H106" i="6"/>
  <c r="I102" i="6"/>
  <c r="H102" i="6"/>
  <c r="F145" i="7"/>
  <c r="F106" i="6"/>
  <c r="P36" i="6"/>
  <c r="G102" i="6"/>
  <c r="F72" i="7"/>
  <c r="F102" i="6"/>
  <c r="O36" i="6"/>
  <c r="M35" i="9"/>
  <c r="I35" i="9"/>
  <c r="V35" i="9"/>
  <c r="U35" i="9"/>
  <c r="R35" i="9"/>
  <c r="P35" i="9"/>
  <c r="T35" i="9"/>
  <c r="K35" i="9"/>
  <c r="L35" i="9"/>
  <c r="Q35" i="9"/>
  <c r="O35" i="9"/>
  <c r="J35" i="9"/>
  <c r="H35" i="9"/>
  <c r="S35" i="9"/>
  <c r="N35" i="9"/>
  <c r="I72" i="7" l="1"/>
  <c r="J72" i="7" s="1"/>
  <c r="I145" i="7"/>
  <c r="J145" i="7" s="1"/>
  <c r="C36" i="9" l="1"/>
  <c r="N37" i="6"/>
  <c r="N72" i="7"/>
  <c r="N36" i="7"/>
  <c r="E105" i="6"/>
  <c r="K72" i="7"/>
  <c r="R72" i="7"/>
  <c r="M72" i="7"/>
  <c r="L72" i="7"/>
  <c r="E37" i="9"/>
  <c r="E109" i="6"/>
  <c r="N145" i="7"/>
  <c r="N109" i="7"/>
  <c r="K145" i="7"/>
  <c r="F109" i="6" s="1"/>
  <c r="L145" i="7"/>
  <c r="G109" i="6" s="1"/>
  <c r="M145" i="7"/>
  <c r="R145" i="7"/>
  <c r="F73" i="7" l="1"/>
  <c r="F105" i="6"/>
  <c r="O37" i="6"/>
  <c r="H109" i="6"/>
  <c r="I109" i="6"/>
  <c r="I105" i="6"/>
  <c r="H105" i="6"/>
  <c r="P37" i="6"/>
  <c r="G105" i="6"/>
  <c r="P36" i="9"/>
  <c r="U36" i="9"/>
  <c r="M36" i="9"/>
  <c r="Q36" i="9"/>
  <c r="V36" i="9"/>
  <c r="N36" i="9"/>
  <c r="H36" i="9"/>
  <c r="T36" i="9"/>
  <c r="L36" i="9"/>
  <c r="I36" i="9"/>
  <c r="R36" i="9"/>
  <c r="O36" i="9"/>
  <c r="S36" i="9"/>
  <c r="K36" i="9"/>
  <c r="J36" i="9"/>
  <c r="I73" i="7" l="1"/>
  <c r="J73" i="7" s="1"/>
  <c r="C37" i="9" l="1"/>
  <c r="N37" i="7"/>
  <c r="E108" i="6"/>
  <c r="N73" i="7"/>
  <c r="N38" i="6"/>
  <c r="L73" i="7"/>
  <c r="K73" i="7"/>
  <c r="R73" i="7"/>
  <c r="M73" i="7"/>
  <c r="O38" i="6" l="1"/>
  <c r="F108" i="6"/>
  <c r="G108" i="6"/>
  <c r="P38" i="6"/>
  <c r="U1" i="7"/>
  <c r="U3" i="7" s="1"/>
  <c r="I108" i="6"/>
  <c r="H108" i="6"/>
  <c r="N37" i="9"/>
  <c r="T37" i="9"/>
  <c r="P37" i="9"/>
  <c r="M37" i="9"/>
  <c r="S37" i="9"/>
  <c r="L37" i="9"/>
  <c r="Q37" i="9"/>
  <c r="K37" i="9"/>
  <c r="J37" i="9"/>
  <c r="H37" i="9"/>
  <c r="U37" i="9"/>
  <c r="O37" i="9"/>
  <c r="R37" i="9"/>
  <c r="I37" i="9"/>
  <c r="V37" i="9"/>
  <c r="C77" i="13" l="1" a="1"/>
  <c r="C77" i="12" a="1"/>
  <c r="N8" i="12"/>
  <c r="B79" i="12" s="1"/>
  <c r="C47" i="12" a="1"/>
  <c r="C47" i="13" a="1"/>
  <c r="K8" i="12"/>
  <c r="B49" i="12" s="1"/>
  <c r="C57" i="12" a="1"/>
  <c r="C57" i="13" a="1"/>
  <c r="L8" i="12"/>
  <c r="B59" i="12" s="1"/>
  <c r="C127" i="13" a="1"/>
  <c r="C127" i="12" a="1"/>
  <c r="S8" i="12"/>
  <c r="B129" i="12" s="1"/>
  <c r="C157" i="13" a="1"/>
  <c r="C157" i="12" a="1"/>
  <c r="V8" i="12"/>
  <c r="B159" i="12" s="1"/>
  <c r="C117" i="13" a="1"/>
  <c r="C117" i="12" a="1"/>
  <c r="R8" i="12"/>
  <c r="B119" i="12" s="1"/>
  <c r="C37" i="12" a="1"/>
  <c r="C37" i="13" a="1"/>
  <c r="J8" i="12"/>
  <c r="B39" i="12" s="1"/>
  <c r="C27" i="13" a="1"/>
  <c r="C27" i="12" a="1"/>
  <c r="I8" i="12"/>
  <c r="B29" i="12" s="1"/>
  <c r="C87" i="12" a="1"/>
  <c r="C87" i="13" a="1"/>
  <c r="O8" i="12"/>
  <c r="B89" i="12" s="1"/>
  <c r="C107" i="12" a="1"/>
  <c r="C107" i="13" a="1"/>
  <c r="Q8" i="12"/>
  <c r="B109" i="12" s="1"/>
  <c r="C67" i="13" a="1"/>
  <c r="C67" i="12" a="1"/>
  <c r="M8" i="12"/>
  <c r="B69" i="12" s="1"/>
  <c r="C147" i="13" a="1"/>
  <c r="C147" i="12" a="1"/>
  <c r="U8" i="12"/>
  <c r="B149" i="12" s="1"/>
  <c r="C97" i="12" a="1"/>
  <c r="C97" i="13" a="1"/>
  <c r="P8" i="12"/>
  <c r="B99" i="12" s="1"/>
  <c r="C17" i="12" a="1"/>
  <c r="C17" i="13" a="1"/>
  <c r="H8" i="12"/>
  <c r="B19" i="12" s="1"/>
  <c r="C137" i="12" a="1"/>
  <c r="C137" i="13" a="1"/>
  <c r="T8" i="12"/>
  <c r="B139" i="12" s="1"/>
  <c r="AG17" i="12" l="1"/>
  <c r="Y17" i="12"/>
  <c r="Q17" i="12"/>
  <c r="I17" i="12"/>
  <c r="AF17" i="12"/>
  <c r="X17" i="12"/>
  <c r="P17" i="12"/>
  <c r="H17" i="12"/>
  <c r="AE17" i="12"/>
  <c r="W17" i="12"/>
  <c r="O17" i="12"/>
  <c r="G17" i="12"/>
  <c r="AK17" i="12"/>
  <c r="AC17" i="12"/>
  <c r="U17" i="12"/>
  <c r="M17" i="12"/>
  <c r="E17" i="12"/>
  <c r="AB17" i="12"/>
  <c r="L17" i="12"/>
  <c r="AA17" i="12"/>
  <c r="K17" i="12"/>
  <c r="Z17" i="12"/>
  <c r="J17" i="12"/>
  <c r="AL17" i="12"/>
  <c r="V17" i="12"/>
  <c r="F17" i="12"/>
  <c r="AJ17" i="12"/>
  <c r="T17" i="12"/>
  <c r="D17" i="12"/>
  <c r="AI17" i="12"/>
  <c r="S17" i="12"/>
  <c r="AH17" i="12"/>
  <c r="R17" i="12"/>
  <c r="C17" i="12"/>
  <c r="AD17" i="12"/>
  <c r="N17" i="12"/>
  <c r="AF29" i="12"/>
  <c r="X29" i="12"/>
  <c r="P29" i="12"/>
  <c r="H29" i="12"/>
  <c r="AD29" i="12"/>
  <c r="U29" i="12"/>
  <c r="L29" i="12"/>
  <c r="C29" i="12"/>
  <c r="AL29" i="12"/>
  <c r="AC29" i="12"/>
  <c r="T29" i="12"/>
  <c r="K29" i="12"/>
  <c r="AK29" i="12"/>
  <c r="AB29" i="12"/>
  <c r="S29" i="12"/>
  <c r="J29" i="12"/>
  <c r="AI29" i="12"/>
  <c r="Z29" i="12"/>
  <c r="Q29" i="12"/>
  <c r="G29" i="12"/>
  <c r="AJ29" i="12"/>
  <c r="R29" i="12"/>
  <c r="AH29" i="12"/>
  <c r="O29" i="12"/>
  <c r="AG29" i="12"/>
  <c r="N29" i="12"/>
  <c r="AE29" i="12"/>
  <c r="M29" i="12"/>
  <c r="AA29" i="12"/>
  <c r="I29" i="12"/>
  <c r="Y29" i="12"/>
  <c r="F29" i="12"/>
  <c r="W29" i="12"/>
  <c r="E29" i="12"/>
  <c r="V29" i="12"/>
  <c r="D29" i="12"/>
  <c r="AI117" i="13"/>
  <c r="AA117" i="13"/>
  <c r="S117" i="13"/>
  <c r="K117" i="13"/>
  <c r="AH117" i="13"/>
  <c r="Z117" i="13"/>
  <c r="R117" i="13"/>
  <c r="J117" i="13"/>
  <c r="C117" i="13"/>
  <c r="C121" i="13" s="1"/>
  <c r="C122" i="13" s="1"/>
  <c r="C120" i="13" s="1"/>
  <c r="AF117" i="13"/>
  <c r="V117" i="13"/>
  <c r="L117" i="13"/>
  <c r="AE117" i="13"/>
  <c r="U117" i="13"/>
  <c r="I117" i="13"/>
  <c r="AJ117" i="13"/>
  <c r="X117" i="13"/>
  <c r="N117" i="13"/>
  <c r="D117" i="13"/>
  <c r="W117" i="13"/>
  <c r="F117" i="13"/>
  <c r="AL117" i="13"/>
  <c r="T117" i="13"/>
  <c r="E117" i="13"/>
  <c r="AK117" i="13"/>
  <c r="Q117" i="13"/>
  <c r="AB117" i="13"/>
  <c r="Y117" i="13"/>
  <c r="P117" i="13"/>
  <c r="AC117" i="13"/>
  <c r="O117" i="13"/>
  <c r="M117" i="13"/>
  <c r="AD117" i="13"/>
  <c r="H117" i="13"/>
  <c r="G117" i="13"/>
  <c r="AG117" i="13"/>
  <c r="AF99" i="12"/>
  <c r="X99" i="12"/>
  <c r="P99" i="12"/>
  <c r="H99" i="12"/>
  <c r="AE99" i="12"/>
  <c r="W99" i="12"/>
  <c r="O99" i="12"/>
  <c r="G99" i="12"/>
  <c r="AH99" i="12"/>
  <c r="Z99" i="12"/>
  <c r="R99" i="12"/>
  <c r="J99" i="12"/>
  <c r="AG99" i="12"/>
  <c r="Y99" i="12"/>
  <c r="Q99" i="12"/>
  <c r="I99" i="12"/>
  <c r="AL99" i="12"/>
  <c r="V99" i="12"/>
  <c r="F99" i="12"/>
  <c r="AK99" i="12"/>
  <c r="U99" i="12"/>
  <c r="E99" i="12"/>
  <c r="AJ99" i="12"/>
  <c r="T99" i="12"/>
  <c r="D99" i="12"/>
  <c r="AI99" i="12"/>
  <c r="S99" i="12"/>
  <c r="C99" i="12"/>
  <c r="AD99" i="12"/>
  <c r="N99" i="12"/>
  <c r="AB99" i="12"/>
  <c r="L99" i="12"/>
  <c r="K99" i="12"/>
  <c r="AA99" i="12"/>
  <c r="AC99" i="12"/>
  <c r="M99" i="12"/>
  <c r="AG27" i="12"/>
  <c r="Y27" i="12"/>
  <c r="Q27" i="12"/>
  <c r="I27" i="12"/>
  <c r="AJ27" i="12"/>
  <c r="AA27" i="12"/>
  <c r="R27" i="12"/>
  <c r="H27" i="12"/>
  <c r="AI27" i="12"/>
  <c r="Z27" i="12"/>
  <c r="P27" i="12"/>
  <c r="G27" i="12"/>
  <c r="AH27" i="12"/>
  <c r="X27" i="12"/>
  <c r="O27" i="12"/>
  <c r="F27" i="12"/>
  <c r="AE27" i="12"/>
  <c r="V27" i="12"/>
  <c r="M27" i="12"/>
  <c r="D27" i="12"/>
  <c r="AC27" i="12"/>
  <c r="K27" i="12"/>
  <c r="AB27" i="12"/>
  <c r="J27" i="12"/>
  <c r="W27" i="12"/>
  <c r="E27" i="12"/>
  <c r="U27" i="12"/>
  <c r="AL27" i="12"/>
  <c r="T27" i="12"/>
  <c r="C27" i="12"/>
  <c r="C31" i="12" s="1"/>
  <c r="C32" i="12" s="1"/>
  <c r="C30" i="12" s="1"/>
  <c r="AK27" i="12"/>
  <c r="S27" i="12"/>
  <c r="AF27" i="12"/>
  <c r="N27" i="12"/>
  <c r="AD27" i="12"/>
  <c r="L27" i="12"/>
  <c r="AE57" i="12"/>
  <c r="W57" i="12"/>
  <c r="O57" i="12"/>
  <c r="G57" i="12"/>
  <c r="AJ57" i="12"/>
  <c r="AB57" i="12"/>
  <c r="T57" i="12"/>
  <c r="L57" i="12"/>
  <c r="D57" i="12"/>
  <c r="AF57" i="12"/>
  <c r="U57" i="12"/>
  <c r="J57" i="12"/>
  <c r="AD57" i="12"/>
  <c r="S57" i="12"/>
  <c r="I57" i="12"/>
  <c r="AK57" i="12"/>
  <c r="Z57" i="12"/>
  <c r="P57" i="12"/>
  <c r="E57" i="12"/>
  <c r="AH57" i="12"/>
  <c r="X57" i="12"/>
  <c r="M57" i="12"/>
  <c r="C57" i="12"/>
  <c r="AI57" i="12"/>
  <c r="N57" i="12"/>
  <c r="AG57" i="12"/>
  <c r="K57" i="12"/>
  <c r="AC57" i="12"/>
  <c r="H57" i="12"/>
  <c r="Y57" i="12"/>
  <c r="V57" i="12"/>
  <c r="R57" i="12"/>
  <c r="Q57" i="12"/>
  <c r="F57" i="12"/>
  <c r="AL57" i="12"/>
  <c r="AA57" i="12"/>
  <c r="AI109" i="12"/>
  <c r="AA109" i="12"/>
  <c r="S109" i="12"/>
  <c r="K109" i="12"/>
  <c r="C109" i="12"/>
  <c r="AH109" i="12"/>
  <c r="Z109" i="12"/>
  <c r="R109" i="12"/>
  <c r="J109" i="12"/>
  <c r="AK109" i="12"/>
  <c r="AC109" i="12"/>
  <c r="U109" i="12"/>
  <c r="M109" i="12"/>
  <c r="E109" i="12"/>
  <c r="AJ109" i="12"/>
  <c r="AB109" i="12"/>
  <c r="T109" i="12"/>
  <c r="L109" i="12"/>
  <c r="D109" i="12"/>
  <c r="Y109" i="12"/>
  <c r="I109" i="12"/>
  <c r="X109" i="12"/>
  <c r="H109" i="12"/>
  <c r="W109" i="12"/>
  <c r="G109" i="12"/>
  <c r="AL109" i="12"/>
  <c r="V109" i="12"/>
  <c r="F109" i="12"/>
  <c r="AG109" i="12"/>
  <c r="Q109" i="12"/>
  <c r="AE109" i="12"/>
  <c r="O109" i="12"/>
  <c r="N109" i="12"/>
  <c r="AD109" i="12"/>
  <c r="AF109" i="12"/>
  <c r="P109" i="12"/>
  <c r="AJ157" i="12"/>
  <c r="AB157" i="12"/>
  <c r="T157" i="12"/>
  <c r="L157" i="12"/>
  <c r="D157" i="12"/>
  <c r="AI157" i="12"/>
  <c r="Z157" i="12"/>
  <c r="Q157" i="12"/>
  <c r="H157" i="12"/>
  <c r="AK157" i="12"/>
  <c r="Y157" i="12"/>
  <c r="O157" i="12"/>
  <c r="E157" i="12"/>
  <c r="AH157" i="12"/>
  <c r="X157" i="12"/>
  <c r="N157" i="12"/>
  <c r="AG157" i="12"/>
  <c r="W157" i="12"/>
  <c r="M157" i="12"/>
  <c r="C157" i="12"/>
  <c r="AF157" i="12"/>
  <c r="V157" i="12"/>
  <c r="K157" i="12"/>
  <c r="AD157" i="12"/>
  <c r="I157" i="12"/>
  <c r="AC157" i="12"/>
  <c r="G157" i="12"/>
  <c r="AA157" i="12"/>
  <c r="F157" i="12"/>
  <c r="U157" i="12"/>
  <c r="AL157" i="12"/>
  <c r="P157" i="12"/>
  <c r="AE157" i="12"/>
  <c r="J157" i="12"/>
  <c r="S157" i="12"/>
  <c r="R157" i="12"/>
  <c r="AK139" i="12"/>
  <c r="AC139" i="12"/>
  <c r="U139" i="12"/>
  <c r="M139" i="12"/>
  <c r="E139" i="12"/>
  <c r="AH139" i="12"/>
  <c r="Y139" i="12"/>
  <c r="P139" i="12"/>
  <c r="G139" i="12"/>
  <c r="AG139" i="12"/>
  <c r="X139" i="12"/>
  <c r="O139" i="12"/>
  <c r="F139" i="12"/>
  <c r="AF139" i="12"/>
  <c r="W139" i="12"/>
  <c r="N139" i="12"/>
  <c r="D139" i="12"/>
  <c r="AE139" i="12"/>
  <c r="R139" i="12"/>
  <c r="AD139" i="12"/>
  <c r="Q139" i="12"/>
  <c r="AB139" i="12"/>
  <c r="L139" i="12"/>
  <c r="AA139" i="12"/>
  <c r="K139" i="12"/>
  <c r="AJ139" i="12"/>
  <c r="T139" i="12"/>
  <c r="H139" i="12"/>
  <c r="AI139" i="12"/>
  <c r="S139" i="12"/>
  <c r="C139" i="12"/>
  <c r="AL139" i="12"/>
  <c r="Z139" i="12"/>
  <c r="J139" i="12"/>
  <c r="I139" i="12"/>
  <c r="V139" i="12"/>
  <c r="AF107" i="13"/>
  <c r="X107" i="13"/>
  <c r="P107" i="13"/>
  <c r="H107" i="13"/>
  <c r="AE107" i="13"/>
  <c r="W107" i="13"/>
  <c r="O107" i="13"/>
  <c r="G107" i="13"/>
  <c r="AC107" i="13"/>
  <c r="S107" i="13"/>
  <c r="I107" i="13"/>
  <c r="AL107" i="13"/>
  <c r="AB107" i="13"/>
  <c r="R107" i="13"/>
  <c r="F107" i="13"/>
  <c r="AK107" i="13"/>
  <c r="AA107" i="13"/>
  <c r="Q107" i="13"/>
  <c r="E107" i="13"/>
  <c r="AG107" i="13"/>
  <c r="M107" i="13"/>
  <c r="AD107" i="13"/>
  <c r="L107" i="13"/>
  <c r="Z107" i="13"/>
  <c r="K107" i="13"/>
  <c r="AI107" i="13"/>
  <c r="D107" i="13"/>
  <c r="AH107" i="13"/>
  <c r="Y107" i="13"/>
  <c r="C107" i="13"/>
  <c r="C111" i="13" s="1"/>
  <c r="C112" i="13" s="1"/>
  <c r="C110" i="13" s="1"/>
  <c r="N107" i="13"/>
  <c r="J107" i="13"/>
  <c r="U107" i="13"/>
  <c r="T107" i="13"/>
  <c r="AJ107" i="13"/>
  <c r="V107" i="13"/>
  <c r="AK157" i="13"/>
  <c r="AC157" i="13"/>
  <c r="U157" i="13"/>
  <c r="M157" i="13"/>
  <c r="E157" i="13"/>
  <c r="AJ157" i="13"/>
  <c r="AA157" i="13"/>
  <c r="R157" i="13"/>
  <c r="I157" i="13"/>
  <c r="AB157" i="13"/>
  <c r="Q157" i="13"/>
  <c r="G157" i="13"/>
  <c r="AL157" i="13"/>
  <c r="Z157" i="13"/>
  <c r="P157" i="13"/>
  <c r="F157" i="13"/>
  <c r="X157" i="13"/>
  <c r="K157" i="13"/>
  <c r="AI157" i="13"/>
  <c r="W157" i="13"/>
  <c r="J157" i="13"/>
  <c r="AH157" i="13"/>
  <c r="V157" i="13"/>
  <c r="H157" i="13"/>
  <c r="AE157" i="13"/>
  <c r="D157" i="13"/>
  <c r="AD157" i="13"/>
  <c r="AG157" i="13"/>
  <c r="N157" i="13"/>
  <c r="Y157" i="13"/>
  <c r="T157" i="13"/>
  <c r="S157" i="13"/>
  <c r="C157" i="13"/>
  <c r="C161" i="13" s="1"/>
  <c r="C162" i="13" s="1"/>
  <c r="C160" i="13" s="1"/>
  <c r="AF157" i="13"/>
  <c r="L157" i="13"/>
  <c r="O157" i="13"/>
  <c r="AI137" i="13"/>
  <c r="AA137" i="13"/>
  <c r="S137" i="13"/>
  <c r="K137" i="13"/>
  <c r="AH137" i="13"/>
  <c r="Z137" i="13"/>
  <c r="R137" i="13"/>
  <c r="J137" i="13"/>
  <c r="C137" i="13"/>
  <c r="C141" i="13" s="1"/>
  <c r="C142" i="13" s="1"/>
  <c r="C140" i="13" s="1"/>
  <c r="AE137" i="13"/>
  <c r="U137" i="13"/>
  <c r="I137" i="13"/>
  <c r="AD137" i="13"/>
  <c r="T137" i="13"/>
  <c r="H137" i="13"/>
  <c r="AC137" i="13"/>
  <c r="Q137" i="13"/>
  <c r="G137" i="13"/>
  <c r="AL137" i="13"/>
  <c r="W137" i="13"/>
  <c r="E137" i="13"/>
  <c r="AK137" i="13"/>
  <c r="V137" i="13"/>
  <c r="D137" i="13"/>
  <c r="Y137" i="13"/>
  <c r="L137" i="13"/>
  <c r="P137" i="13"/>
  <c r="O137" i="13"/>
  <c r="N137" i="13"/>
  <c r="X137" i="13"/>
  <c r="M137" i="13"/>
  <c r="F137" i="13"/>
  <c r="AJ137" i="13"/>
  <c r="AF137" i="13"/>
  <c r="AG137" i="13"/>
  <c r="AB137" i="13"/>
  <c r="AF149" i="12"/>
  <c r="X149" i="12"/>
  <c r="P149" i="12"/>
  <c r="H149" i="12"/>
  <c r="AJ149" i="12"/>
  <c r="AA149" i="12"/>
  <c r="R149" i="12"/>
  <c r="I149" i="12"/>
  <c r="AI149" i="12"/>
  <c r="Z149" i="12"/>
  <c r="Q149" i="12"/>
  <c r="G149" i="12"/>
  <c r="AH149" i="12"/>
  <c r="Y149" i="12"/>
  <c r="O149" i="12"/>
  <c r="F149" i="12"/>
  <c r="AG149" i="12"/>
  <c r="W149" i="12"/>
  <c r="N149" i="12"/>
  <c r="E149" i="12"/>
  <c r="AL149" i="12"/>
  <c r="T149" i="12"/>
  <c r="AK149" i="12"/>
  <c r="S149" i="12"/>
  <c r="AE149" i="12"/>
  <c r="M149" i="12"/>
  <c r="AD149" i="12"/>
  <c r="L149" i="12"/>
  <c r="V149" i="12"/>
  <c r="D149" i="12"/>
  <c r="U149" i="12"/>
  <c r="C149" i="12"/>
  <c r="AC149" i="12"/>
  <c r="AB149" i="12"/>
  <c r="K149" i="12"/>
  <c r="J149" i="12"/>
  <c r="AJ107" i="12"/>
  <c r="AB107" i="12"/>
  <c r="T107" i="12"/>
  <c r="L107" i="12"/>
  <c r="D107" i="12"/>
  <c r="AI107" i="12"/>
  <c r="AA107" i="12"/>
  <c r="S107" i="12"/>
  <c r="K107" i="12"/>
  <c r="AL107" i="12"/>
  <c r="AD107" i="12"/>
  <c r="V107" i="12"/>
  <c r="N107" i="12"/>
  <c r="F107" i="12"/>
  <c r="AK107" i="12"/>
  <c r="AC107" i="12"/>
  <c r="U107" i="12"/>
  <c r="M107" i="12"/>
  <c r="E107" i="12"/>
  <c r="AH107" i="12"/>
  <c r="R107" i="12"/>
  <c r="C107" i="12"/>
  <c r="AG107" i="12"/>
  <c r="Q107" i="12"/>
  <c r="AF107" i="12"/>
  <c r="P107" i="12"/>
  <c r="AE107" i="12"/>
  <c r="O107" i="12"/>
  <c r="Z107" i="12"/>
  <c r="J107" i="12"/>
  <c r="X107" i="12"/>
  <c r="H107" i="12"/>
  <c r="G107" i="12"/>
  <c r="W107" i="12"/>
  <c r="Y107" i="12"/>
  <c r="I107" i="12"/>
  <c r="AF37" i="13"/>
  <c r="X37" i="13"/>
  <c r="P37" i="13"/>
  <c r="H37" i="13"/>
  <c r="AE37" i="13"/>
  <c r="W37" i="13"/>
  <c r="O37" i="13"/>
  <c r="G37" i="13"/>
  <c r="AL37" i="13"/>
  <c r="AD37" i="13"/>
  <c r="V37" i="13"/>
  <c r="N37" i="13"/>
  <c r="F37" i="13"/>
  <c r="AJ37" i="13"/>
  <c r="Y37" i="13"/>
  <c r="K37" i="13"/>
  <c r="AI37" i="13"/>
  <c r="U37" i="13"/>
  <c r="J37" i="13"/>
  <c r="AA37" i="13"/>
  <c r="M37" i="13"/>
  <c r="C37" i="13"/>
  <c r="C41" i="13" s="1"/>
  <c r="C42" i="13" s="1"/>
  <c r="C40" i="13" s="1"/>
  <c r="AB37" i="13"/>
  <c r="E37" i="13"/>
  <c r="Z37" i="13"/>
  <c r="D37" i="13"/>
  <c r="T37" i="13"/>
  <c r="AK37" i="13"/>
  <c r="R37" i="13"/>
  <c r="AG37" i="13"/>
  <c r="L37" i="13"/>
  <c r="Q37" i="13"/>
  <c r="I37" i="13"/>
  <c r="AH37" i="13"/>
  <c r="AC37" i="13"/>
  <c r="S37" i="13"/>
  <c r="AH129" i="12"/>
  <c r="Z129" i="12"/>
  <c r="R129" i="12"/>
  <c r="J129" i="12"/>
  <c r="AF129" i="12"/>
  <c r="W129" i="12"/>
  <c r="N129" i="12"/>
  <c r="E129" i="12"/>
  <c r="AD129" i="12"/>
  <c r="U129" i="12"/>
  <c r="L129" i="12"/>
  <c r="C129" i="12"/>
  <c r="AJ129" i="12"/>
  <c r="X129" i="12"/>
  <c r="K129" i="12"/>
  <c r="AI129" i="12"/>
  <c r="V129" i="12"/>
  <c r="I129" i="12"/>
  <c r="AG129" i="12"/>
  <c r="T129" i="12"/>
  <c r="H129" i="12"/>
  <c r="AL129" i="12"/>
  <c r="AA129" i="12"/>
  <c r="O129" i="12"/>
  <c r="AK129" i="12"/>
  <c r="Y129" i="12"/>
  <c r="M129" i="12"/>
  <c r="S129" i="12"/>
  <c r="Q129" i="12"/>
  <c r="P129" i="12"/>
  <c r="G129" i="12"/>
  <c r="F129" i="12"/>
  <c r="AC129" i="12"/>
  <c r="AB129" i="12"/>
  <c r="D129" i="12"/>
  <c r="AE129" i="12"/>
  <c r="AK47" i="12"/>
  <c r="AC47" i="12"/>
  <c r="U47" i="12"/>
  <c r="M47" i="12"/>
  <c r="E47" i="12"/>
  <c r="AJ47" i="12"/>
  <c r="AB47" i="12"/>
  <c r="T47" i="12"/>
  <c r="L47" i="12"/>
  <c r="D47" i="12"/>
  <c r="AE47" i="12"/>
  <c r="W47" i="12"/>
  <c r="O47" i="12"/>
  <c r="G47" i="12"/>
  <c r="Z47" i="12"/>
  <c r="N47" i="12"/>
  <c r="AL47" i="12"/>
  <c r="Y47" i="12"/>
  <c r="K47" i="12"/>
  <c r="AI47" i="12"/>
  <c r="X47" i="12"/>
  <c r="J47" i="12"/>
  <c r="AG47" i="12"/>
  <c r="S47" i="12"/>
  <c r="H47" i="12"/>
  <c r="AH47" i="12"/>
  <c r="I47" i="12"/>
  <c r="AF47" i="12"/>
  <c r="F47" i="12"/>
  <c r="AD47" i="12"/>
  <c r="AA47" i="12"/>
  <c r="C47" i="12"/>
  <c r="V47" i="12"/>
  <c r="R47" i="12"/>
  <c r="Q47" i="12"/>
  <c r="P47" i="12"/>
  <c r="AG17" i="13"/>
  <c r="Y17" i="13"/>
  <c r="Q17" i="13"/>
  <c r="I17" i="13"/>
  <c r="AL17" i="13"/>
  <c r="AC17" i="13"/>
  <c r="T17" i="13"/>
  <c r="K17" i="13"/>
  <c r="C17" i="13"/>
  <c r="C21" i="13" s="1"/>
  <c r="C22" i="13" s="1"/>
  <c r="C20" i="13" s="1"/>
  <c r="AK17" i="13"/>
  <c r="AB17" i="13"/>
  <c r="S17" i="13"/>
  <c r="J17" i="13"/>
  <c r="AE17" i="13"/>
  <c r="V17" i="13"/>
  <c r="M17" i="13"/>
  <c r="D17" i="13"/>
  <c r="AD17" i="13"/>
  <c r="O17" i="13"/>
  <c r="Z17" i="13"/>
  <c r="L17" i="13"/>
  <c r="W17" i="13"/>
  <c r="E17" i="13"/>
  <c r="U17" i="13"/>
  <c r="AJ17" i="13"/>
  <c r="R17" i="13"/>
  <c r="AI17" i="13"/>
  <c r="P17" i="13"/>
  <c r="AH17" i="13"/>
  <c r="AF17" i="13"/>
  <c r="AA17" i="13"/>
  <c r="X17" i="13"/>
  <c r="G17" i="13"/>
  <c r="F17" i="13"/>
  <c r="H17" i="13"/>
  <c r="N17" i="13"/>
  <c r="AI67" i="12"/>
  <c r="AA67" i="12"/>
  <c r="S67" i="12"/>
  <c r="K67" i="12"/>
  <c r="AH67" i="12"/>
  <c r="Z67" i="12"/>
  <c r="R67" i="12"/>
  <c r="J67" i="12"/>
  <c r="C67" i="12"/>
  <c r="AG67" i="12"/>
  <c r="Y67" i="12"/>
  <c r="Q67" i="12"/>
  <c r="I67" i="12"/>
  <c r="AF67" i="12"/>
  <c r="X67" i="12"/>
  <c r="P67" i="12"/>
  <c r="H67" i="12"/>
  <c r="AE67" i="12"/>
  <c r="W67" i="12"/>
  <c r="O67" i="12"/>
  <c r="G67" i="12"/>
  <c r="AK67" i="12"/>
  <c r="AC67" i="12"/>
  <c r="U67" i="12"/>
  <c r="M67" i="12"/>
  <c r="E67" i="12"/>
  <c r="AL67" i="12"/>
  <c r="F67" i="12"/>
  <c r="AJ67" i="12"/>
  <c r="D67" i="12"/>
  <c r="V67" i="12"/>
  <c r="N67" i="12"/>
  <c r="AD67" i="12"/>
  <c r="T67" i="12"/>
  <c r="AB67" i="12"/>
  <c r="L67" i="12"/>
  <c r="AH57" i="13"/>
  <c r="Z57" i="13"/>
  <c r="R57" i="13"/>
  <c r="J57" i="13"/>
  <c r="C57" i="13"/>
  <c r="C61" i="13" s="1"/>
  <c r="C62" i="13" s="1"/>
  <c r="C60" i="13" s="1"/>
  <c r="AG57" i="13"/>
  <c r="Y57" i="13"/>
  <c r="Q57" i="13"/>
  <c r="I57" i="13"/>
  <c r="AF57" i="13"/>
  <c r="X57" i="13"/>
  <c r="P57" i="13"/>
  <c r="H57" i="13"/>
  <c r="AE57" i="13"/>
  <c r="T57" i="13"/>
  <c r="F57" i="13"/>
  <c r="AD57" i="13"/>
  <c r="S57" i="13"/>
  <c r="E57" i="13"/>
  <c r="AC57" i="13"/>
  <c r="O57" i="13"/>
  <c r="D57" i="13"/>
  <c r="AA57" i="13"/>
  <c r="G57" i="13"/>
  <c r="W57" i="13"/>
  <c r="AI57" i="13"/>
  <c r="L57" i="13"/>
  <c r="AB57" i="13"/>
  <c r="K57" i="13"/>
  <c r="V57" i="13"/>
  <c r="U57" i="13"/>
  <c r="N57" i="13"/>
  <c r="AK57" i="13"/>
  <c r="AJ57" i="13"/>
  <c r="M57" i="13"/>
  <c r="AL57" i="13"/>
  <c r="AK67" i="13"/>
  <c r="AC67" i="13"/>
  <c r="U67" i="13"/>
  <c r="M67" i="13"/>
  <c r="E67" i="13"/>
  <c r="AJ67" i="13"/>
  <c r="AB67" i="13"/>
  <c r="T67" i="13"/>
  <c r="L67" i="13"/>
  <c r="D67" i="13"/>
  <c r="AI67" i="13"/>
  <c r="AA67" i="13"/>
  <c r="S67" i="13"/>
  <c r="K67" i="13"/>
  <c r="Y67" i="13"/>
  <c r="N67" i="13"/>
  <c r="AL67" i="13"/>
  <c r="X67" i="13"/>
  <c r="J67" i="13"/>
  <c r="AH67" i="13"/>
  <c r="W67" i="13"/>
  <c r="I67" i="13"/>
  <c r="AG67" i="13"/>
  <c r="P67" i="13"/>
  <c r="AF67" i="13"/>
  <c r="O67" i="13"/>
  <c r="AE67" i="13"/>
  <c r="H67" i="13"/>
  <c r="R67" i="13"/>
  <c r="Q67" i="13"/>
  <c r="V67" i="13"/>
  <c r="G67" i="13"/>
  <c r="F67" i="13"/>
  <c r="AD67" i="13"/>
  <c r="Z67" i="13"/>
  <c r="C67" i="13"/>
  <c r="C71" i="13" s="1"/>
  <c r="C72" i="13" s="1"/>
  <c r="C70" i="13" s="1"/>
  <c r="AI159" i="12"/>
  <c r="AA159" i="12"/>
  <c r="S159" i="12"/>
  <c r="K159" i="12"/>
  <c r="C159" i="12"/>
  <c r="AG159" i="12"/>
  <c r="X159" i="12"/>
  <c r="O159" i="12"/>
  <c r="AE159" i="12"/>
  <c r="V159" i="12"/>
  <c r="M159" i="12"/>
  <c r="D159" i="12"/>
  <c r="AC159" i="12"/>
  <c r="Q159" i="12"/>
  <c r="F159" i="12"/>
  <c r="AB159" i="12"/>
  <c r="P159" i="12"/>
  <c r="E159" i="12"/>
  <c r="AL159" i="12"/>
  <c r="Z159" i="12"/>
  <c r="N159" i="12"/>
  <c r="AK159" i="12"/>
  <c r="Y159" i="12"/>
  <c r="L159" i="12"/>
  <c r="AF159" i="12"/>
  <c r="H159" i="12"/>
  <c r="AD159" i="12"/>
  <c r="G159" i="12"/>
  <c r="W159" i="12"/>
  <c r="U159" i="12"/>
  <c r="AJ159" i="12"/>
  <c r="J159" i="12"/>
  <c r="AH159" i="12"/>
  <c r="I159" i="12"/>
  <c r="T159" i="12"/>
  <c r="R159" i="12"/>
  <c r="AG97" i="13"/>
  <c r="Y97" i="13"/>
  <c r="Q97" i="13"/>
  <c r="I97" i="13"/>
  <c r="AF97" i="13"/>
  <c r="X97" i="13"/>
  <c r="P97" i="13"/>
  <c r="H97" i="13"/>
  <c r="AE97" i="13"/>
  <c r="W97" i="13"/>
  <c r="O97" i="13"/>
  <c r="G97" i="13"/>
  <c r="AB97" i="13"/>
  <c r="N97" i="13"/>
  <c r="AL97" i="13"/>
  <c r="AA97" i="13"/>
  <c r="M97" i="13"/>
  <c r="C97" i="13"/>
  <c r="C101" i="13" s="1"/>
  <c r="C102" i="13" s="1"/>
  <c r="C100" i="13" s="1"/>
  <c r="AK97" i="13"/>
  <c r="Z97" i="13"/>
  <c r="L97" i="13"/>
  <c r="AC97" i="13"/>
  <c r="F97" i="13"/>
  <c r="V97" i="13"/>
  <c r="E97" i="13"/>
  <c r="U97" i="13"/>
  <c r="D97" i="13"/>
  <c r="S97" i="13"/>
  <c r="R97" i="13"/>
  <c r="K97" i="13"/>
  <c r="AD97" i="13"/>
  <c r="T97" i="13"/>
  <c r="AJ97" i="13"/>
  <c r="AH97" i="13"/>
  <c r="AI97" i="13"/>
  <c r="J97" i="13"/>
  <c r="AJ27" i="13"/>
  <c r="AB27" i="13"/>
  <c r="T27" i="13"/>
  <c r="L27" i="13"/>
  <c r="D27" i="13"/>
  <c r="AI27" i="13"/>
  <c r="AA27" i="13"/>
  <c r="S27" i="13"/>
  <c r="K27" i="13"/>
  <c r="AK27" i="13"/>
  <c r="Y27" i="13"/>
  <c r="O27" i="13"/>
  <c r="E27" i="13"/>
  <c r="AH27" i="13"/>
  <c r="X27" i="13"/>
  <c r="N27" i="13"/>
  <c r="C27" i="13"/>
  <c r="C31" i="13" s="1"/>
  <c r="C32" i="13" s="1"/>
  <c r="C30" i="13" s="1"/>
  <c r="AC27" i="13"/>
  <c r="Q27" i="13"/>
  <c r="G27" i="13"/>
  <c r="AL27" i="13"/>
  <c r="U27" i="13"/>
  <c r="AG27" i="13"/>
  <c r="R27" i="13"/>
  <c r="AE27" i="13"/>
  <c r="M27" i="13"/>
  <c r="Z27" i="13"/>
  <c r="I27" i="13"/>
  <c r="AD27" i="13"/>
  <c r="W27" i="13"/>
  <c r="V27" i="13"/>
  <c r="P27" i="13"/>
  <c r="F27" i="13"/>
  <c r="J27" i="13"/>
  <c r="H27" i="13"/>
  <c r="AF27" i="13"/>
  <c r="AJ49" i="12"/>
  <c r="AB49" i="12"/>
  <c r="T49" i="12"/>
  <c r="L49" i="12"/>
  <c r="D49" i="12"/>
  <c r="AI49" i="12"/>
  <c r="AA49" i="12"/>
  <c r="S49" i="12"/>
  <c r="K49" i="12"/>
  <c r="C49" i="12"/>
  <c r="AL49" i="12"/>
  <c r="AD49" i="12"/>
  <c r="V49" i="12"/>
  <c r="N49" i="12"/>
  <c r="F49" i="12"/>
  <c r="AH49" i="12"/>
  <c r="W49" i="12"/>
  <c r="I49" i="12"/>
  <c r="AG49" i="12"/>
  <c r="U49" i="12"/>
  <c r="H49" i="12"/>
  <c r="AF49" i="12"/>
  <c r="R49" i="12"/>
  <c r="G49" i="12"/>
  <c r="AC49" i="12"/>
  <c r="P49" i="12"/>
  <c r="O49" i="12"/>
  <c r="M49" i="12"/>
  <c r="AK49" i="12"/>
  <c r="J49" i="12"/>
  <c r="AE49" i="12"/>
  <c r="E49" i="12"/>
  <c r="Z49" i="12"/>
  <c r="Y49" i="12"/>
  <c r="X49" i="12"/>
  <c r="Q49" i="12"/>
  <c r="AG97" i="12"/>
  <c r="Y97" i="12"/>
  <c r="Q97" i="12"/>
  <c r="I97" i="12"/>
  <c r="AF97" i="12"/>
  <c r="X97" i="12"/>
  <c r="P97" i="12"/>
  <c r="H97" i="12"/>
  <c r="AI97" i="12"/>
  <c r="AA97" i="12"/>
  <c r="S97" i="12"/>
  <c r="K97" i="12"/>
  <c r="AH97" i="12"/>
  <c r="Z97" i="12"/>
  <c r="R97" i="12"/>
  <c r="J97" i="12"/>
  <c r="C97" i="12"/>
  <c r="AL97" i="12"/>
  <c r="V97" i="12"/>
  <c r="F97" i="12"/>
  <c r="AK97" i="12"/>
  <c r="U97" i="12"/>
  <c r="E97" i="12"/>
  <c r="AJ97" i="12"/>
  <c r="T97" i="12"/>
  <c r="D97" i="12"/>
  <c r="AE97" i="12"/>
  <c r="O97" i="12"/>
  <c r="AD97" i="12"/>
  <c r="N97" i="12"/>
  <c r="AB97" i="12"/>
  <c r="L97" i="12"/>
  <c r="G97" i="12"/>
  <c r="W97" i="12"/>
  <c r="AC97" i="12"/>
  <c r="M97" i="12"/>
  <c r="AI39" i="12"/>
  <c r="AA39" i="12"/>
  <c r="S39" i="12"/>
  <c r="K39" i="12"/>
  <c r="C39" i="12"/>
  <c r="AG39" i="12"/>
  <c r="X39" i="12"/>
  <c r="O39" i="12"/>
  <c r="F39" i="12"/>
  <c r="AF39" i="12"/>
  <c r="W39" i="12"/>
  <c r="N39" i="12"/>
  <c r="E39" i="12"/>
  <c r="AE39" i="12"/>
  <c r="V39" i="12"/>
  <c r="M39" i="12"/>
  <c r="D39" i="12"/>
  <c r="AL39" i="12"/>
  <c r="AC39" i="12"/>
  <c r="T39" i="12"/>
  <c r="J39" i="12"/>
  <c r="AK39" i="12"/>
  <c r="R39" i="12"/>
  <c r="AJ39" i="12"/>
  <c r="Q39" i="12"/>
  <c r="AH39" i="12"/>
  <c r="P39" i="12"/>
  <c r="AD39" i="12"/>
  <c r="L39" i="12"/>
  <c r="AB39" i="12"/>
  <c r="I39" i="12"/>
  <c r="Z39" i="12"/>
  <c r="H39" i="12"/>
  <c r="Y39" i="12"/>
  <c r="G39" i="12"/>
  <c r="U39" i="12"/>
  <c r="AI47" i="13"/>
  <c r="AA47" i="13"/>
  <c r="S47" i="13"/>
  <c r="K47" i="13"/>
  <c r="AH47" i="13"/>
  <c r="Z47" i="13"/>
  <c r="R47" i="13"/>
  <c r="J47" i="13"/>
  <c r="C47" i="13"/>
  <c r="C51" i="13" s="1"/>
  <c r="C52" i="13" s="1"/>
  <c r="C50" i="13" s="1"/>
  <c r="AG47" i="13"/>
  <c r="Y47" i="13"/>
  <c r="Q47" i="13"/>
  <c r="I47" i="13"/>
  <c r="AJ47" i="13"/>
  <c r="V47" i="13"/>
  <c r="H47" i="13"/>
  <c r="AF47" i="13"/>
  <c r="U47" i="13"/>
  <c r="G47" i="13"/>
  <c r="AL47" i="13"/>
  <c r="X47" i="13"/>
  <c r="M47" i="13"/>
  <c r="AK47" i="13"/>
  <c r="W47" i="13"/>
  <c r="L47" i="13"/>
  <c r="O47" i="13"/>
  <c r="N47" i="13"/>
  <c r="AE47" i="13"/>
  <c r="F47" i="13"/>
  <c r="AC47" i="13"/>
  <c r="D47" i="13"/>
  <c r="T47" i="13"/>
  <c r="E47" i="13"/>
  <c r="P47" i="13"/>
  <c r="AD47" i="13"/>
  <c r="AB47" i="13"/>
  <c r="AL137" i="12"/>
  <c r="AD137" i="12"/>
  <c r="V137" i="12"/>
  <c r="N137" i="12"/>
  <c r="F137" i="12"/>
  <c r="AC137" i="12"/>
  <c r="T137" i="12"/>
  <c r="K137" i="12"/>
  <c r="C137" i="12"/>
  <c r="AK137" i="12"/>
  <c r="AB137" i="12"/>
  <c r="S137" i="12"/>
  <c r="J137" i="12"/>
  <c r="AJ137" i="12"/>
  <c r="AA137" i="12"/>
  <c r="R137" i="12"/>
  <c r="I137" i="12"/>
  <c r="AF137" i="12"/>
  <c r="P137" i="12"/>
  <c r="AE137" i="12"/>
  <c r="O137" i="12"/>
  <c r="Z137" i="12"/>
  <c r="M137" i="12"/>
  <c r="Y137" i="12"/>
  <c r="L137" i="12"/>
  <c r="AH137" i="12"/>
  <c r="U137" i="12"/>
  <c r="E137" i="12"/>
  <c r="AG137" i="12"/>
  <c r="Q137" i="12"/>
  <c r="D137" i="12"/>
  <c r="G137" i="12"/>
  <c r="AI137" i="12"/>
  <c r="W137" i="12"/>
  <c r="H137" i="12"/>
  <c r="X137" i="12"/>
  <c r="AG147" i="12"/>
  <c r="Y147" i="12"/>
  <c r="Q147" i="12"/>
  <c r="I147" i="12"/>
  <c r="AF147" i="12"/>
  <c r="W147" i="12"/>
  <c r="N147" i="12"/>
  <c r="E147" i="12"/>
  <c r="AE147" i="12"/>
  <c r="V147" i="12"/>
  <c r="M147" i="12"/>
  <c r="D147" i="12"/>
  <c r="AD147" i="12"/>
  <c r="U147" i="12"/>
  <c r="L147" i="12"/>
  <c r="AL147" i="12"/>
  <c r="AC147" i="12"/>
  <c r="T147" i="12"/>
  <c r="K147" i="12"/>
  <c r="C147" i="12"/>
  <c r="C151" i="12" s="1"/>
  <c r="C152" i="12" s="1"/>
  <c r="C150" i="12" s="1"/>
  <c r="AH147" i="12"/>
  <c r="O147" i="12"/>
  <c r="AB147" i="12"/>
  <c r="J147" i="12"/>
  <c r="AA147" i="12"/>
  <c r="H147" i="12"/>
  <c r="Z147" i="12"/>
  <c r="G147" i="12"/>
  <c r="AJ147" i="12"/>
  <c r="R147" i="12"/>
  <c r="AI147" i="12"/>
  <c r="P147" i="12"/>
  <c r="AK147" i="12"/>
  <c r="X147" i="12"/>
  <c r="S147" i="12"/>
  <c r="F147" i="12"/>
  <c r="AK89" i="12"/>
  <c r="AC89" i="12"/>
  <c r="U89" i="12"/>
  <c r="M89" i="12"/>
  <c r="E89" i="12"/>
  <c r="AL89" i="12"/>
  <c r="AJ89" i="12"/>
  <c r="AA89" i="12"/>
  <c r="R89" i="12"/>
  <c r="I89" i="12"/>
  <c r="AI89" i="12"/>
  <c r="Z89" i="12"/>
  <c r="Q89" i="12"/>
  <c r="H89" i="12"/>
  <c r="AH89" i="12"/>
  <c r="Y89" i="12"/>
  <c r="P89" i="12"/>
  <c r="G89" i="12"/>
  <c r="AG89" i="12"/>
  <c r="X89" i="12"/>
  <c r="O89" i="12"/>
  <c r="F89" i="12"/>
  <c r="AF89" i="12"/>
  <c r="W89" i="12"/>
  <c r="N89" i="12"/>
  <c r="D89" i="12"/>
  <c r="AD89" i="12"/>
  <c r="T89" i="12"/>
  <c r="K89" i="12"/>
  <c r="AE89" i="12"/>
  <c r="S89" i="12"/>
  <c r="J89" i="12"/>
  <c r="AB89" i="12"/>
  <c r="V89" i="12"/>
  <c r="C89" i="12"/>
  <c r="L89" i="12"/>
  <c r="AJ37" i="12"/>
  <c r="AB37" i="12"/>
  <c r="T37" i="12"/>
  <c r="L37" i="12"/>
  <c r="D37" i="12"/>
  <c r="AL37" i="12"/>
  <c r="AC37" i="12"/>
  <c r="S37" i="12"/>
  <c r="J37" i="12"/>
  <c r="AK37" i="12"/>
  <c r="AA37" i="12"/>
  <c r="R37" i="12"/>
  <c r="I37" i="12"/>
  <c r="AI37" i="12"/>
  <c r="Z37" i="12"/>
  <c r="Q37" i="12"/>
  <c r="H37" i="12"/>
  <c r="AG37" i="12"/>
  <c r="X37" i="12"/>
  <c r="O37" i="12"/>
  <c r="F37" i="12"/>
  <c r="Y37" i="12"/>
  <c r="G37" i="12"/>
  <c r="W37" i="12"/>
  <c r="E37" i="12"/>
  <c r="V37" i="12"/>
  <c r="U37" i="12"/>
  <c r="C37" i="12"/>
  <c r="AH37" i="12"/>
  <c r="P37" i="12"/>
  <c r="AF37" i="12"/>
  <c r="N37" i="12"/>
  <c r="AE37" i="12"/>
  <c r="M37" i="12"/>
  <c r="AD37" i="12"/>
  <c r="K37" i="12"/>
  <c r="AI127" i="12"/>
  <c r="AA127" i="12"/>
  <c r="S127" i="12"/>
  <c r="K127" i="12"/>
  <c r="AK127" i="12"/>
  <c r="AB127" i="12"/>
  <c r="R127" i="12"/>
  <c r="I127" i="12"/>
  <c r="AH127" i="12"/>
  <c r="Y127" i="12"/>
  <c r="P127" i="12"/>
  <c r="G127" i="12"/>
  <c r="AC127" i="12"/>
  <c r="O127" i="12"/>
  <c r="D127" i="12"/>
  <c r="Z127" i="12"/>
  <c r="N127" i="12"/>
  <c r="C127" i="12"/>
  <c r="AL127" i="12"/>
  <c r="X127" i="12"/>
  <c r="M127" i="12"/>
  <c r="AE127" i="12"/>
  <c r="T127" i="12"/>
  <c r="F127" i="12"/>
  <c r="AD127" i="12"/>
  <c r="Q127" i="12"/>
  <c r="E127" i="12"/>
  <c r="L127" i="12"/>
  <c r="J127" i="12"/>
  <c r="AJ127" i="12"/>
  <c r="H127" i="12"/>
  <c r="AG127" i="12"/>
  <c r="AF127" i="12"/>
  <c r="V127" i="12"/>
  <c r="W127" i="12"/>
  <c r="U127" i="12"/>
  <c r="AK79" i="12"/>
  <c r="AC79" i="12"/>
  <c r="U79" i="12"/>
  <c r="M79" i="12"/>
  <c r="E79" i="12"/>
  <c r="AJ79" i="12"/>
  <c r="AB79" i="12"/>
  <c r="T79" i="12"/>
  <c r="L79" i="12"/>
  <c r="D79" i="12"/>
  <c r="AI79" i="12"/>
  <c r="AA79" i="12"/>
  <c r="S79" i="12"/>
  <c r="K79" i="12"/>
  <c r="C79" i="12"/>
  <c r="AH79" i="12"/>
  <c r="Z79" i="12"/>
  <c r="R79" i="12"/>
  <c r="J79" i="12"/>
  <c r="AG79" i="12"/>
  <c r="Y79" i="12"/>
  <c r="Q79" i="12"/>
  <c r="I79" i="12"/>
  <c r="AE79" i="12"/>
  <c r="W79" i="12"/>
  <c r="O79" i="12"/>
  <c r="G79" i="12"/>
  <c r="AF79" i="12"/>
  <c r="AD79" i="12"/>
  <c r="P79" i="12"/>
  <c r="H79" i="12"/>
  <c r="V79" i="12"/>
  <c r="N79" i="12"/>
  <c r="F79" i="12"/>
  <c r="AL79" i="12"/>
  <c r="X79" i="12"/>
  <c r="AK19" i="12"/>
  <c r="AC19" i="12"/>
  <c r="U19" i="12"/>
  <c r="M19" i="12"/>
  <c r="E19" i="12"/>
  <c r="AJ19" i="12"/>
  <c r="AA19" i="12"/>
  <c r="R19" i="12"/>
  <c r="I19" i="12"/>
  <c r="AI19" i="12"/>
  <c r="Z19" i="12"/>
  <c r="Q19" i="12"/>
  <c r="H19" i="12"/>
  <c r="AH19" i="12"/>
  <c r="Y19" i="12"/>
  <c r="P19" i="12"/>
  <c r="G19" i="12"/>
  <c r="AF19" i="12"/>
  <c r="W19" i="12"/>
  <c r="N19" i="12"/>
  <c r="D19" i="12"/>
  <c r="AG19" i="12"/>
  <c r="O19" i="12"/>
  <c r="AE19" i="12"/>
  <c r="L19" i="12"/>
  <c r="AD19" i="12"/>
  <c r="K19" i="12"/>
  <c r="AB19" i="12"/>
  <c r="J19" i="12"/>
  <c r="X19" i="12"/>
  <c r="F19" i="12"/>
  <c r="V19" i="12"/>
  <c r="C19" i="12"/>
  <c r="T19" i="12"/>
  <c r="AL19" i="12"/>
  <c r="S19" i="12"/>
  <c r="AH147" i="13"/>
  <c r="Z147" i="13"/>
  <c r="R147" i="13"/>
  <c r="J147" i="13"/>
  <c r="C147" i="13"/>
  <c r="C151" i="13" s="1"/>
  <c r="C152" i="13" s="1"/>
  <c r="C150" i="13" s="1"/>
  <c r="AI147" i="13"/>
  <c r="Y147" i="13"/>
  <c r="P147" i="13"/>
  <c r="G147" i="13"/>
  <c r="AF147" i="13"/>
  <c r="V147" i="13"/>
  <c r="L147" i="13"/>
  <c r="AE147" i="13"/>
  <c r="U147" i="13"/>
  <c r="K147" i="13"/>
  <c r="AK147" i="13"/>
  <c r="W147" i="13"/>
  <c r="H147" i="13"/>
  <c r="AJ147" i="13"/>
  <c r="T147" i="13"/>
  <c r="F147" i="13"/>
  <c r="AG147" i="13"/>
  <c r="S147" i="13"/>
  <c r="E147" i="13"/>
  <c r="AB147" i="13"/>
  <c r="D147" i="13"/>
  <c r="AA147" i="13"/>
  <c r="AD147" i="13"/>
  <c r="M147" i="13"/>
  <c r="AL147" i="13"/>
  <c r="AC147" i="13"/>
  <c r="N147" i="13"/>
  <c r="I147" i="13"/>
  <c r="X147" i="13"/>
  <c r="Q147" i="13"/>
  <c r="O147" i="13"/>
  <c r="AL87" i="13"/>
  <c r="AD87" i="13"/>
  <c r="V87" i="13"/>
  <c r="N87" i="13"/>
  <c r="F87" i="13"/>
  <c r="AK87" i="13"/>
  <c r="AC87" i="13"/>
  <c r="U87" i="13"/>
  <c r="M87" i="13"/>
  <c r="E87" i="13"/>
  <c r="AJ87" i="13"/>
  <c r="AB87" i="13"/>
  <c r="T87" i="13"/>
  <c r="L87" i="13"/>
  <c r="D87" i="13"/>
  <c r="Y87" i="13"/>
  <c r="K87" i="13"/>
  <c r="AI87" i="13"/>
  <c r="X87" i="13"/>
  <c r="J87" i="13"/>
  <c r="AH87" i="13"/>
  <c r="W87" i="13"/>
  <c r="I87" i="13"/>
  <c r="Z87" i="13"/>
  <c r="S87" i="13"/>
  <c r="C87" i="13"/>
  <c r="C91" i="13" s="1"/>
  <c r="C92" i="13" s="1"/>
  <c r="C90" i="13" s="1"/>
  <c r="R87" i="13"/>
  <c r="Q87" i="13"/>
  <c r="P87" i="13"/>
  <c r="O87" i="13"/>
  <c r="AE87" i="13"/>
  <c r="AA87" i="13"/>
  <c r="G87" i="13"/>
  <c r="AF87" i="13"/>
  <c r="AG87" i="13"/>
  <c r="H87" i="13"/>
  <c r="AH119" i="12"/>
  <c r="Z119" i="12"/>
  <c r="R119" i="12"/>
  <c r="J119" i="12"/>
  <c r="AK119" i="12"/>
  <c r="AB119" i="12"/>
  <c r="S119" i="12"/>
  <c r="I119" i="12"/>
  <c r="AJ119" i="12"/>
  <c r="AA119" i="12"/>
  <c r="Q119" i="12"/>
  <c r="H119" i="12"/>
  <c r="AI119" i="12"/>
  <c r="Y119" i="12"/>
  <c r="P119" i="12"/>
  <c r="G119" i="12"/>
  <c r="AD119" i="12"/>
  <c r="U119" i="12"/>
  <c r="L119" i="12"/>
  <c r="C119" i="12"/>
  <c r="AL119" i="12"/>
  <c r="AC119" i="12"/>
  <c r="T119" i="12"/>
  <c r="K119" i="12"/>
  <c r="O119" i="12"/>
  <c r="N119" i="12"/>
  <c r="AG119" i="12"/>
  <c r="M119" i="12"/>
  <c r="AF119" i="12"/>
  <c r="F119" i="12"/>
  <c r="AE119" i="12"/>
  <c r="E119" i="12"/>
  <c r="W119" i="12"/>
  <c r="D119" i="12"/>
  <c r="X119" i="12"/>
  <c r="V119" i="12"/>
  <c r="AE127" i="13"/>
  <c r="W127" i="13"/>
  <c r="O127" i="13"/>
  <c r="G127" i="13"/>
  <c r="AH127" i="13"/>
  <c r="Y127" i="13"/>
  <c r="P127" i="13"/>
  <c r="F127" i="13"/>
  <c r="AG127" i="13"/>
  <c r="X127" i="13"/>
  <c r="N127" i="13"/>
  <c r="E127" i="13"/>
  <c r="AF127" i="13"/>
  <c r="V127" i="13"/>
  <c r="M127" i="13"/>
  <c r="D127" i="13"/>
  <c r="AK127" i="13"/>
  <c r="U127" i="13"/>
  <c r="I127" i="13"/>
  <c r="AJ127" i="13"/>
  <c r="T127" i="13"/>
  <c r="H127" i="13"/>
  <c r="AA127" i="13"/>
  <c r="K127" i="13"/>
  <c r="AI127" i="13"/>
  <c r="L127" i="13"/>
  <c r="AD127" i="13"/>
  <c r="J127" i="13"/>
  <c r="AC127" i="13"/>
  <c r="Z127" i="13"/>
  <c r="S127" i="13"/>
  <c r="R127" i="13"/>
  <c r="C127" i="13"/>
  <c r="C131" i="13" s="1"/>
  <c r="C132" i="13" s="1"/>
  <c r="C130" i="13" s="1"/>
  <c r="AL127" i="13"/>
  <c r="Q127" i="13"/>
  <c r="AB127" i="13"/>
  <c r="AL77" i="12"/>
  <c r="AD77" i="12"/>
  <c r="V77" i="12"/>
  <c r="N77" i="12"/>
  <c r="F77" i="12"/>
  <c r="AK77" i="12"/>
  <c r="AC77" i="12"/>
  <c r="U77" i="12"/>
  <c r="M77" i="12"/>
  <c r="E77" i="12"/>
  <c r="AJ77" i="12"/>
  <c r="AB77" i="12"/>
  <c r="T77" i="12"/>
  <c r="L77" i="12"/>
  <c r="D77" i="12"/>
  <c r="AI77" i="12"/>
  <c r="AA77" i="12"/>
  <c r="S77" i="12"/>
  <c r="K77" i="12"/>
  <c r="AH77" i="12"/>
  <c r="Z77" i="12"/>
  <c r="R77" i="12"/>
  <c r="J77" i="12"/>
  <c r="C77" i="12"/>
  <c r="AF77" i="12"/>
  <c r="X77" i="12"/>
  <c r="P77" i="12"/>
  <c r="H77" i="12"/>
  <c r="Q77" i="12"/>
  <c r="O77" i="12"/>
  <c r="AG77" i="12"/>
  <c r="Y77" i="12"/>
  <c r="W77" i="12"/>
  <c r="I77" i="12"/>
  <c r="G77" i="12"/>
  <c r="AE77" i="12"/>
  <c r="AH69" i="12"/>
  <c r="Z69" i="12"/>
  <c r="R69" i="12"/>
  <c r="J69" i="12"/>
  <c r="AG69" i="12"/>
  <c r="Y69" i="12"/>
  <c r="Q69" i="12"/>
  <c r="I69" i="12"/>
  <c r="AF69" i="12"/>
  <c r="X69" i="12"/>
  <c r="P69" i="12"/>
  <c r="H69" i="12"/>
  <c r="AE69" i="12"/>
  <c r="W69" i="12"/>
  <c r="O69" i="12"/>
  <c r="G69" i="12"/>
  <c r="AL69" i="12"/>
  <c r="AD69" i="12"/>
  <c r="V69" i="12"/>
  <c r="N69" i="12"/>
  <c r="F69" i="12"/>
  <c r="AJ69" i="12"/>
  <c r="AB69" i="12"/>
  <c r="T69" i="12"/>
  <c r="L69" i="12"/>
  <c r="D69" i="12"/>
  <c r="M69" i="12"/>
  <c r="K69" i="12"/>
  <c r="AC69" i="12"/>
  <c r="U69" i="12"/>
  <c r="AK69" i="12"/>
  <c r="AI69" i="12"/>
  <c r="AA69" i="12"/>
  <c r="E69" i="12"/>
  <c r="S69" i="12"/>
  <c r="C69" i="12"/>
  <c r="AG87" i="12"/>
  <c r="Y87" i="12"/>
  <c r="Q87" i="12"/>
  <c r="I87" i="12"/>
  <c r="AF87" i="12"/>
  <c r="X87" i="12"/>
  <c r="P87" i="12"/>
  <c r="H87" i="12"/>
  <c r="AE87" i="12"/>
  <c r="W87" i="12"/>
  <c r="O87" i="12"/>
  <c r="G87" i="12"/>
  <c r="AL87" i="12"/>
  <c r="AD87" i="12"/>
  <c r="V87" i="12"/>
  <c r="N87" i="12"/>
  <c r="F87" i="12"/>
  <c r="AK87" i="12"/>
  <c r="AC87" i="12"/>
  <c r="U87" i="12"/>
  <c r="M87" i="12"/>
  <c r="E87" i="12"/>
  <c r="AI87" i="12"/>
  <c r="AA87" i="12"/>
  <c r="S87" i="12"/>
  <c r="K87" i="12"/>
  <c r="T87" i="12"/>
  <c r="R87" i="12"/>
  <c r="AJ87" i="12"/>
  <c r="D87" i="12"/>
  <c r="AB87" i="12"/>
  <c r="AH87" i="12"/>
  <c r="Z87" i="12"/>
  <c r="J87" i="12"/>
  <c r="L87" i="12"/>
  <c r="C87" i="12"/>
  <c r="C91" i="12" s="1"/>
  <c r="C92" i="12" s="1"/>
  <c r="C90" i="12" s="1"/>
  <c r="AI117" i="12"/>
  <c r="AA117" i="12"/>
  <c r="S117" i="12"/>
  <c r="K117" i="12"/>
  <c r="AF117" i="12"/>
  <c r="W117" i="12"/>
  <c r="N117" i="12"/>
  <c r="E117" i="12"/>
  <c r="AE117" i="12"/>
  <c r="V117" i="12"/>
  <c r="M117" i="12"/>
  <c r="D117" i="12"/>
  <c r="AH117" i="12"/>
  <c r="Y117" i="12"/>
  <c r="P117" i="12"/>
  <c r="G117" i="12"/>
  <c r="AG117" i="12"/>
  <c r="X117" i="12"/>
  <c r="O117" i="12"/>
  <c r="F117" i="12"/>
  <c r="Z117" i="12"/>
  <c r="H117" i="12"/>
  <c r="U117" i="12"/>
  <c r="C117" i="12"/>
  <c r="C121" i="12" s="1"/>
  <c r="C122" i="12" s="1"/>
  <c r="C120" i="12" s="1"/>
  <c r="AL117" i="12"/>
  <c r="T117" i="12"/>
  <c r="AK117" i="12"/>
  <c r="R117" i="12"/>
  <c r="AJ117" i="12"/>
  <c r="Q117" i="12"/>
  <c r="AC117" i="12"/>
  <c r="J117" i="12"/>
  <c r="I117" i="12"/>
  <c r="AB117" i="12"/>
  <c r="AD117" i="12"/>
  <c r="L117" i="12"/>
  <c r="AL59" i="12"/>
  <c r="AD59" i="12"/>
  <c r="V59" i="12"/>
  <c r="N59" i="12"/>
  <c r="F59" i="12"/>
  <c r="AI59" i="12"/>
  <c r="AA59" i="12"/>
  <c r="S59" i="12"/>
  <c r="K59" i="12"/>
  <c r="C59" i="12"/>
  <c r="AF59" i="12"/>
  <c r="U59" i="12"/>
  <c r="J59" i="12"/>
  <c r="AE59" i="12"/>
  <c r="T59" i="12"/>
  <c r="I59" i="12"/>
  <c r="AK59" i="12"/>
  <c r="Z59" i="12"/>
  <c r="P59" i="12"/>
  <c r="E59" i="12"/>
  <c r="AH59" i="12"/>
  <c r="X59" i="12"/>
  <c r="M59" i="12"/>
  <c r="AC59" i="12"/>
  <c r="H59" i="12"/>
  <c r="AB59" i="12"/>
  <c r="G59" i="12"/>
  <c r="Y59" i="12"/>
  <c r="D59" i="12"/>
  <c r="R59" i="12"/>
  <c r="O59" i="12"/>
  <c r="L59" i="12"/>
  <c r="AJ59" i="12"/>
  <c r="AG59" i="12"/>
  <c r="W59" i="12"/>
  <c r="Q59" i="12"/>
  <c r="AI77" i="13"/>
  <c r="AA77" i="13"/>
  <c r="S77" i="13"/>
  <c r="K77" i="13"/>
  <c r="AH77" i="13"/>
  <c r="Z77" i="13"/>
  <c r="R77" i="13"/>
  <c r="J77" i="13"/>
  <c r="C77" i="13"/>
  <c r="C81" i="13" s="1"/>
  <c r="C82" i="13" s="1"/>
  <c r="C80" i="13" s="1"/>
  <c r="AG77" i="13"/>
  <c r="Y77" i="13"/>
  <c r="Q77" i="13"/>
  <c r="I77" i="13"/>
  <c r="AF77" i="13"/>
  <c r="U77" i="13"/>
  <c r="G77" i="13"/>
  <c r="AE77" i="13"/>
  <c r="T77" i="13"/>
  <c r="F77" i="13"/>
  <c r="AD77" i="13"/>
  <c r="P77" i="13"/>
  <c r="E77" i="13"/>
  <c r="V77" i="13"/>
  <c r="AL77" i="13"/>
  <c r="O77" i="13"/>
  <c r="AK77" i="13"/>
  <c r="N77" i="13"/>
  <c r="H77" i="13"/>
  <c r="AJ77" i="13"/>
  <c r="D77" i="13"/>
  <c r="AC77" i="13"/>
  <c r="M77" i="13"/>
  <c r="L77" i="13"/>
  <c r="AB77" i="13"/>
  <c r="W77" i="13"/>
  <c r="X77" i="13"/>
  <c r="C81" i="12" l="1"/>
  <c r="C82" i="12" s="1"/>
  <c r="C80" i="12" s="1"/>
  <c r="D131" i="13"/>
  <c r="D132" i="13" s="1"/>
  <c r="C51" i="12"/>
  <c r="C52" i="12" s="1"/>
  <c r="C50" i="12" s="1"/>
  <c r="D111" i="13"/>
  <c r="D112" i="13" s="1"/>
  <c r="D81" i="13"/>
  <c r="D82" i="13" s="1"/>
  <c r="D80" i="13" s="1"/>
  <c r="E81" i="13" s="1"/>
  <c r="E82" i="13" s="1"/>
  <c r="D151" i="13"/>
  <c r="D152" i="13" s="1"/>
  <c r="D150" i="13" s="1"/>
  <c r="E151" i="13" s="1"/>
  <c r="E152" i="13" s="1"/>
  <c r="C41" i="12"/>
  <c r="C42" i="12" s="1"/>
  <c r="C40" i="12" s="1"/>
  <c r="D41" i="12" s="1"/>
  <c r="D42" i="12" s="1"/>
  <c r="D40" i="12" s="1"/>
  <c r="E41" i="12" s="1"/>
  <c r="E42" i="12" s="1"/>
  <c r="C161" i="12"/>
  <c r="C162" i="12" s="1"/>
  <c r="C160" i="12" s="1"/>
  <c r="D161" i="12" s="1"/>
  <c r="D162" i="12" s="1"/>
  <c r="D160" i="12" s="1"/>
  <c r="D91" i="13"/>
  <c r="D92" i="13" s="1"/>
  <c r="D90" i="13" s="1"/>
  <c r="D71" i="13"/>
  <c r="D72" i="13" s="1"/>
  <c r="D70" i="13" s="1"/>
  <c r="C71" i="12"/>
  <c r="C72" i="12" s="1"/>
  <c r="C70" i="12" s="1"/>
  <c r="D71" i="12" s="1"/>
  <c r="D72" i="12" s="1"/>
  <c r="D70" i="12" s="1"/>
  <c r="E71" i="12" s="1"/>
  <c r="E72" i="12" s="1"/>
  <c r="D21" i="13"/>
  <c r="D22" i="13" s="1"/>
  <c r="C23" i="13" s="1"/>
  <c r="D121" i="12"/>
  <c r="D122" i="12" s="1"/>
  <c r="D120" i="12" s="1"/>
  <c r="E121" i="12" s="1"/>
  <c r="E122" i="12" s="1"/>
  <c r="D141" i="13"/>
  <c r="D142" i="13" s="1"/>
  <c r="D140" i="13" s="1"/>
  <c r="D31" i="12"/>
  <c r="D32" i="12" s="1"/>
  <c r="D30" i="12" s="1"/>
  <c r="E31" i="12" s="1"/>
  <c r="E32" i="12" s="1"/>
  <c r="C33" i="12" s="1"/>
  <c r="C101" i="12"/>
  <c r="C102" i="12" s="1"/>
  <c r="C100" i="12" s="1"/>
  <c r="D101" i="12" s="1"/>
  <c r="D102" i="12" s="1"/>
  <c r="D81" i="12"/>
  <c r="D82" i="12" s="1"/>
  <c r="D80" i="12" s="1"/>
  <c r="D51" i="13"/>
  <c r="D52" i="13" s="1"/>
  <c r="D50" i="13" s="1"/>
  <c r="E51" i="13" s="1"/>
  <c r="E52" i="13" s="1"/>
  <c r="D101" i="13"/>
  <c r="D102" i="13" s="1"/>
  <c r="D100" i="13" s="1"/>
  <c r="E101" i="13" s="1"/>
  <c r="E102" i="13" s="1"/>
  <c r="C61" i="12"/>
  <c r="C62" i="12" s="1"/>
  <c r="C60" i="12" s="1"/>
  <c r="D61" i="12" s="1"/>
  <c r="D62" i="12" s="1"/>
  <c r="D121" i="13"/>
  <c r="D122" i="13" s="1"/>
  <c r="D120" i="13" s="1"/>
  <c r="D151" i="12"/>
  <c r="D152" i="12" s="1"/>
  <c r="D150" i="12" s="1"/>
  <c r="D91" i="12"/>
  <c r="D92" i="12" s="1"/>
  <c r="D90" i="12" s="1"/>
  <c r="E91" i="12" s="1"/>
  <c r="E92" i="12" s="1"/>
  <c r="C131" i="12"/>
  <c r="C132" i="12" s="1"/>
  <c r="C130" i="12" s="1"/>
  <c r="D131" i="12" s="1"/>
  <c r="D132" i="12" s="1"/>
  <c r="D61" i="13"/>
  <c r="D62" i="13" s="1"/>
  <c r="D60" i="13" s="1"/>
  <c r="D51" i="12"/>
  <c r="D52" i="12" s="1"/>
  <c r="D50" i="12" s="1"/>
  <c r="D41" i="13"/>
  <c r="D42" i="13" s="1"/>
  <c r="D40" i="13" s="1"/>
  <c r="E41" i="13" s="1"/>
  <c r="E42" i="13" s="1"/>
  <c r="C111" i="12"/>
  <c r="C112" i="12" s="1"/>
  <c r="C110" i="12" s="1"/>
  <c r="D161" i="13"/>
  <c r="D162" i="13" s="1"/>
  <c r="D160" i="13" s="1"/>
  <c r="D110" i="13"/>
  <c r="E111" i="13" s="1"/>
  <c r="E112" i="13" s="1"/>
  <c r="C21" i="12"/>
  <c r="C22" i="12" s="1"/>
  <c r="C20" i="12" s="1"/>
  <c r="D21" i="12" s="1"/>
  <c r="D22" i="12" s="1"/>
  <c r="C23" i="12" s="1"/>
  <c r="D130" i="13"/>
  <c r="E131" i="13" s="1"/>
  <c r="E132" i="13" s="1"/>
  <c r="C141" i="12"/>
  <c r="C142" i="12" s="1"/>
  <c r="C140" i="12" s="1"/>
  <c r="D141" i="12" s="1"/>
  <c r="D142" i="12" s="1"/>
  <c r="D31" i="13"/>
  <c r="D32" i="13" s="1"/>
  <c r="D30" i="13" s="1"/>
  <c r="D20" i="13" l="1"/>
  <c r="E81" i="12"/>
  <c r="E82" i="12" s="1"/>
  <c r="E80" i="12" s="1"/>
  <c r="E51" i="12"/>
  <c r="E52" i="12" s="1"/>
  <c r="E50" i="12" s="1"/>
  <c r="E61" i="13"/>
  <c r="E62" i="13" s="1"/>
  <c r="E60" i="13" s="1"/>
  <c r="E31" i="13"/>
  <c r="E32" i="13" s="1"/>
  <c r="C33" i="13" s="1"/>
  <c r="E121" i="13"/>
  <c r="E122" i="13" s="1"/>
  <c r="E120" i="13" s="1"/>
  <c r="E161" i="12"/>
  <c r="E162" i="12" s="1"/>
  <c r="E160" i="12" s="1"/>
  <c r="E161" i="13"/>
  <c r="E162" i="13" s="1"/>
  <c r="E160" i="13" s="1"/>
  <c r="E141" i="13"/>
  <c r="E142" i="13" s="1"/>
  <c r="E140" i="13" s="1"/>
  <c r="E110" i="13"/>
  <c r="E71" i="13"/>
  <c r="E72" i="13" s="1"/>
  <c r="E70" i="13" s="1"/>
  <c r="E120" i="12"/>
  <c r="E50" i="13"/>
  <c r="E40" i="12"/>
  <c r="E90" i="12"/>
  <c r="E30" i="12"/>
  <c r="E130" i="13"/>
  <c r="D60" i="12"/>
  <c r="D140" i="12"/>
  <c r="E70" i="12"/>
  <c r="E150" i="13"/>
  <c r="E40" i="13"/>
  <c r="D130" i="12"/>
  <c r="E91" i="13"/>
  <c r="E92" i="13" s="1"/>
  <c r="E90" i="13" s="1"/>
  <c r="D100" i="12"/>
  <c r="E100" i="13"/>
  <c r="E151" i="12"/>
  <c r="E152" i="12" s="1"/>
  <c r="E150" i="12" s="1"/>
  <c r="E80" i="13"/>
  <c r="D111" i="12"/>
  <c r="D112" i="12" s="1"/>
  <c r="D110" i="12" s="1"/>
  <c r="D20" i="12"/>
  <c r="E21" i="13"/>
  <c r="E22" i="13" s="1"/>
  <c r="D23" i="13" s="1"/>
  <c r="F121" i="13" l="1"/>
  <c r="F122" i="13" s="1"/>
  <c r="C123" i="13" s="1"/>
  <c r="F161" i="12"/>
  <c r="F162" i="12" s="1"/>
  <c r="F160" i="12" s="1"/>
  <c r="F141" i="13"/>
  <c r="F142" i="13" s="1"/>
  <c r="F140" i="13" s="1"/>
  <c r="E111" i="12"/>
  <c r="E112" i="12" s="1"/>
  <c r="E110" i="12" s="1"/>
  <c r="F61" i="13"/>
  <c r="F62" i="13" s="1"/>
  <c r="F60" i="13" s="1"/>
  <c r="F51" i="12"/>
  <c r="F52" i="12" s="1"/>
  <c r="F50" i="12" s="1"/>
  <c r="F161" i="13"/>
  <c r="F162" i="13" s="1"/>
  <c r="F160" i="13" s="1"/>
  <c r="F151" i="12"/>
  <c r="F152" i="12" s="1"/>
  <c r="F150" i="12" s="1"/>
  <c r="F71" i="13"/>
  <c r="F72" i="13" s="1"/>
  <c r="F70" i="13" s="1"/>
  <c r="F81" i="12"/>
  <c r="F82" i="12" s="1"/>
  <c r="F80" i="12" s="1"/>
  <c r="F71" i="12"/>
  <c r="F72" i="12" s="1"/>
  <c r="F70" i="12" s="1"/>
  <c r="F91" i="13"/>
  <c r="F92" i="13" s="1"/>
  <c r="F90" i="13" s="1"/>
  <c r="E101" i="12"/>
  <c r="E102" i="12" s="1"/>
  <c r="E100" i="12" s="1"/>
  <c r="F131" i="13"/>
  <c r="F132" i="13" s="1"/>
  <c r="F130" i="13" s="1"/>
  <c r="F81" i="13"/>
  <c r="F82" i="13" s="1"/>
  <c r="F80" i="13" s="1"/>
  <c r="F101" i="13"/>
  <c r="F102" i="13" s="1"/>
  <c r="F100" i="13" s="1"/>
  <c r="E131" i="12"/>
  <c r="E132" i="12" s="1"/>
  <c r="E130" i="12" s="1"/>
  <c r="E30" i="13"/>
  <c r="F121" i="12"/>
  <c r="F122" i="12" s="1"/>
  <c r="C123" i="12" s="1"/>
  <c r="F41" i="13"/>
  <c r="F42" i="13" s="1"/>
  <c r="C43" i="13" s="1"/>
  <c r="F51" i="13"/>
  <c r="F52" i="13" s="1"/>
  <c r="F50" i="13" s="1"/>
  <c r="E141" i="12"/>
  <c r="E142" i="12" s="1"/>
  <c r="E140" i="12" s="1"/>
  <c r="E61" i="12"/>
  <c r="E62" i="12" s="1"/>
  <c r="E60" i="12" s="1"/>
  <c r="F31" i="12"/>
  <c r="F32" i="12" s="1"/>
  <c r="D33" i="12" s="1"/>
  <c r="F111" i="13"/>
  <c r="F112" i="13" s="1"/>
  <c r="F110" i="13" s="1"/>
  <c r="E20" i="13"/>
  <c r="E21" i="12"/>
  <c r="E22" i="12" s="1"/>
  <c r="D23" i="12" s="1"/>
  <c r="F91" i="12"/>
  <c r="F92" i="12" s="1"/>
  <c r="F90" i="12" s="1"/>
  <c r="F151" i="13"/>
  <c r="F152" i="13" s="1"/>
  <c r="F150" i="13" s="1"/>
  <c r="F41" i="12"/>
  <c r="F42" i="12" s="1"/>
  <c r="C43" i="12" s="1"/>
  <c r="F120" i="12" l="1"/>
  <c r="G121" i="12" s="1"/>
  <c r="G122" i="12" s="1"/>
  <c r="D123" i="12" s="1"/>
  <c r="G91" i="12"/>
  <c r="G92" i="12" s="1"/>
  <c r="G90" i="12" s="1"/>
  <c r="G81" i="13"/>
  <c r="G82" i="13" s="1"/>
  <c r="G80" i="13" s="1"/>
  <c r="F101" i="12"/>
  <c r="F102" i="12" s="1"/>
  <c r="F100" i="12" s="1"/>
  <c r="F111" i="12"/>
  <c r="F112" i="12" s="1"/>
  <c r="F110" i="12" s="1"/>
  <c r="G161" i="13"/>
  <c r="G162" i="13" s="1"/>
  <c r="G160" i="13" s="1"/>
  <c r="F141" i="12"/>
  <c r="F142" i="12" s="1"/>
  <c r="F140" i="12" s="1"/>
  <c r="G151" i="12"/>
  <c r="G152" i="12" s="1"/>
  <c r="G150" i="12" s="1"/>
  <c r="G131" i="13"/>
  <c r="G132" i="13" s="1"/>
  <c r="G130" i="13" s="1"/>
  <c r="G61" i="13"/>
  <c r="G62" i="13" s="1"/>
  <c r="G60" i="13" s="1"/>
  <c r="G91" i="13"/>
  <c r="G92" i="13" s="1"/>
  <c r="G90" i="13" s="1"/>
  <c r="G141" i="13"/>
  <c r="G142" i="13" s="1"/>
  <c r="G140" i="13" s="1"/>
  <c r="G81" i="12"/>
  <c r="G82" i="12" s="1"/>
  <c r="G80" i="12" s="1"/>
  <c r="G161" i="12"/>
  <c r="G162" i="12" s="1"/>
  <c r="G160" i="12" s="1"/>
  <c r="G101" i="13"/>
  <c r="G102" i="13" s="1"/>
  <c r="C103" i="13" s="1"/>
  <c r="G51" i="12"/>
  <c r="G52" i="12" s="1"/>
  <c r="G50" i="12" s="1"/>
  <c r="G71" i="12"/>
  <c r="G72" i="12" s="1"/>
  <c r="G70" i="12" s="1"/>
  <c r="G151" i="13"/>
  <c r="G152" i="13" s="1"/>
  <c r="G150" i="13" s="1"/>
  <c r="F131" i="12"/>
  <c r="F132" i="12" s="1"/>
  <c r="F130" i="12" s="1"/>
  <c r="G71" i="13"/>
  <c r="G72" i="13" s="1"/>
  <c r="G70" i="13" s="1"/>
  <c r="G51" i="13"/>
  <c r="G52" i="13" s="1"/>
  <c r="G50" i="13" s="1"/>
  <c r="F30" i="12"/>
  <c r="F61" i="12"/>
  <c r="F62" i="12" s="1"/>
  <c r="F60" i="12" s="1"/>
  <c r="E20" i="12"/>
  <c r="F31" i="13"/>
  <c r="F32" i="13" s="1"/>
  <c r="D33" i="13" s="1"/>
  <c r="G111" i="13"/>
  <c r="G112" i="13" s="1"/>
  <c r="G110" i="13" s="1"/>
  <c r="F40" i="13"/>
  <c r="F21" i="13"/>
  <c r="F22" i="13" s="1"/>
  <c r="E23" i="13" s="1"/>
  <c r="F40" i="12"/>
  <c r="F120" i="13"/>
  <c r="F20" i="13" l="1"/>
  <c r="H51" i="12"/>
  <c r="H52" i="12" s="1"/>
  <c r="H50" i="12" s="1"/>
  <c r="G141" i="12"/>
  <c r="G142" i="12" s="1"/>
  <c r="G140" i="12" s="1"/>
  <c r="H161" i="12"/>
  <c r="H162" i="12" s="1"/>
  <c r="H160" i="12" s="1"/>
  <c r="H161" i="13"/>
  <c r="H162" i="13" s="1"/>
  <c r="H160" i="13" s="1"/>
  <c r="H81" i="12"/>
  <c r="H82" i="12" s="1"/>
  <c r="H80" i="12" s="1"/>
  <c r="H71" i="12"/>
  <c r="H72" i="12" s="1"/>
  <c r="C73" i="12" s="1"/>
  <c r="H151" i="12"/>
  <c r="H152" i="12" s="1"/>
  <c r="H150" i="12" s="1"/>
  <c r="H51" i="13"/>
  <c r="H52" i="13" s="1"/>
  <c r="H50" i="13" s="1"/>
  <c r="H71" i="13"/>
  <c r="H72" i="13" s="1"/>
  <c r="C73" i="13" s="1"/>
  <c r="G131" i="12"/>
  <c r="G132" i="12" s="1"/>
  <c r="G130" i="12" s="1"/>
  <c r="H91" i="13"/>
  <c r="H92" i="13" s="1"/>
  <c r="H90" i="13" s="1"/>
  <c r="H81" i="13"/>
  <c r="H82" i="13" s="1"/>
  <c r="H80" i="13" s="1"/>
  <c r="H131" i="13"/>
  <c r="H132" i="13" s="1"/>
  <c r="H130" i="13" s="1"/>
  <c r="G61" i="12"/>
  <c r="G62" i="12" s="1"/>
  <c r="G60" i="12" s="1"/>
  <c r="G111" i="12"/>
  <c r="G112" i="12" s="1"/>
  <c r="G110" i="12" s="1"/>
  <c r="H141" i="13"/>
  <c r="H142" i="13" s="1"/>
  <c r="C143" i="13" s="1"/>
  <c r="G101" i="12"/>
  <c r="G102" i="12" s="1"/>
  <c r="C103" i="12" s="1"/>
  <c r="H111" i="13"/>
  <c r="H112" i="13" s="1"/>
  <c r="H110" i="13" s="1"/>
  <c r="H151" i="13"/>
  <c r="H152" i="13" s="1"/>
  <c r="H150" i="13" s="1"/>
  <c r="H61" i="13"/>
  <c r="H62" i="13" s="1"/>
  <c r="H60" i="13" s="1"/>
  <c r="H91" i="12"/>
  <c r="H92" i="12" s="1"/>
  <c r="H90" i="12" s="1"/>
  <c r="F30" i="13"/>
  <c r="G21" i="13"/>
  <c r="G22" i="13" s="1"/>
  <c r="F23" i="13" s="1"/>
  <c r="G41" i="13"/>
  <c r="G42" i="13" s="1"/>
  <c r="D43" i="13" s="1"/>
  <c r="G41" i="12"/>
  <c r="G42" i="12" s="1"/>
  <c r="D43" i="12" s="1"/>
  <c r="F21" i="12"/>
  <c r="F22" i="12" s="1"/>
  <c r="E23" i="12" s="1"/>
  <c r="G121" i="13"/>
  <c r="G122" i="13" s="1"/>
  <c r="D123" i="13" s="1"/>
  <c r="G100" i="13"/>
  <c r="G120" i="12"/>
  <c r="G31" i="12"/>
  <c r="G32" i="12" s="1"/>
  <c r="E33" i="12" s="1"/>
  <c r="G20" i="13" l="1"/>
  <c r="G30" i="12"/>
  <c r="H31" i="12" s="1"/>
  <c r="H32" i="12" s="1"/>
  <c r="F33" i="12" s="1"/>
  <c r="G120" i="13"/>
  <c r="H121" i="13" s="1"/>
  <c r="H122" i="13" s="1"/>
  <c r="E123" i="13" s="1"/>
  <c r="G40" i="12"/>
  <c r="I131" i="13"/>
  <c r="I132" i="13" s="1"/>
  <c r="I130" i="13" s="1"/>
  <c r="I81" i="12"/>
  <c r="I82" i="12" s="1"/>
  <c r="C83" i="12" s="1"/>
  <c r="I51" i="13"/>
  <c r="I52" i="13" s="1"/>
  <c r="I50" i="13" s="1"/>
  <c r="H61" i="12"/>
  <c r="H62" i="12" s="1"/>
  <c r="H60" i="12" s="1"/>
  <c r="I61" i="13"/>
  <c r="I62" i="13" s="1"/>
  <c r="I60" i="13" s="1"/>
  <c r="I161" i="13"/>
  <c r="I162" i="13" s="1"/>
  <c r="I160" i="13" s="1"/>
  <c r="I151" i="13"/>
  <c r="I152" i="13" s="1"/>
  <c r="I150" i="13" s="1"/>
  <c r="I111" i="13"/>
  <c r="I112" i="13" s="1"/>
  <c r="I110" i="13" s="1"/>
  <c r="H141" i="12"/>
  <c r="H142" i="12" s="1"/>
  <c r="C143" i="12" s="1"/>
  <c r="H111" i="12"/>
  <c r="H112" i="12" s="1"/>
  <c r="H110" i="12" s="1"/>
  <c r="I151" i="12"/>
  <c r="I152" i="12" s="1"/>
  <c r="I150" i="12" s="1"/>
  <c r="I91" i="12"/>
  <c r="I92" i="12" s="1"/>
  <c r="I90" i="12" s="1"/>
  <c r="I81" i="13"/>
  <c r="I82" i="13" s="1"/>
  <c r="C83" i="13" s="1"/>
  <c r="I91" i="13"/>
  <c r="I92" i="13" s="1"/>
  <c r="I90" i="13" s="1"/>
  <c r="I161" i="12"/>
  <c r="I162" i="12" s="1"/>
  <c r="I160" i="12" s="1"/>
  <c r="H131" i="12"/>
  <c r="H132" i="12" s="1"/>
  <c r="H130" i="12" s="1"/>
  <c r="I51" i="12"/>
  <c r="I52" i="12" s="1"/>
  <c r="I50" i="12" s="1"/>
  <c r="H41" i="12"/>
  <c r="H42" i="12" s="1"/>
  <c r="E43" i="12" s="1"/>
  <c r="H121" i="12"/>
  <c r="H122" i="12" s="1"/>
  <c r="E123" i="12" s="1"/>
  <c r="H101" i="13"/>
  <c r="H102" i="13" s="1"/>
  <c r="D103" i="13" s="1"/>
  <c r="G31" i="13"/>
  <c r="G32" i="13" s="1"/>
  <c r="E33" i="13" s="1"/>
  <c r="H70" i="12"/>
  <c r="G40" i="13"/>
  <c r="H21" i="13"/>
  <c r="H22" i="13" s="1"/>
  <c r="G23" i="13" s="1"/>
  <c r="F20" i="12"/>
  <c r="H140" i="13"/>
  <c r="G100" i="12"/>
  <c r="H70" i="13"/>
  <c r="H20" i="13" l="1"/>
  <c r="I80" i="13"/>
  <c r="J81" i="13" s="1"/>
  <c r="J82" i="13" s="1"/>
  <c r="D83" i="13" s="1"/>
  <c r="H40" i="12"/>
  <c r="I80" i="12"/>
  <c r="J81" i="12" s="1"/>
  <c r="J82" i="12" s="1"/>
  <c r="D83" i="12" s="1"/>
  <c r="H140" i="12"/>
  <c r="I141" i="12" s="1"/>
  <c r="I142" i="12" s="1"/>
  <c r="D143" i="12" s="1"/>
  <c r="H120" i="13"/>
  <c r="I121" i="13" s="1"/>
  <c r="I122" i="13" s="1"/>
  <c r="F123" i="13" s="1"/>
  <c r="H30" i="12"/>
  <c r="I31" i="12" s="1"/>
  <c r="I32" i="12" s="1"/>
  <c r="G33" i="12" s="1"/>
  <c r="J161" i="12"/>
  <c r="J162" i="12" s="1"/>
  <c r="C163" i="12" s="1"/>
  <c r="J111" i="13"/>
  <c r="J112" i="13" s="1"/>
  <c r="J110" i="13" s="1"/>
  <c r="I131" i="12"/>
  <c r="I132" i="12" s="1"/>
  <c r="I130" i="12" s="1"/>
  <c r="I61" i="12"/>
  <c r="I62" i="12" s="1"/>
  <c r="I60" i="12" s="1"/>
  <c r="J51" i="13"/>
  <c r="J52" i="13" s="1"/>
  <c r="J50" i="13" s="1"/>
  <c r="J151" i="13"/>
  <c r="J152" i="13" s="1"/>
  <c r="J150" i="13" s="1"/>
  <c r="J91" i="12"/>
  <c r="J92" i="12" s="1"/>
  <c r="J90" i="12" s="1"/>
  <c r="J151" i="12"/>
  <c r="J152" i="12" s="1"/>
  <c r="J150" i="12" s="1"/>
  <c r="J61" i="13"/>
  <c r="J62" i="13" s="1"/>
  <c r="J60" i="13" s="1"/>
  <c r="H100" i="13"/>
  <c r="I71" i="13"/>
  <c r="I72" i="13" s="1"/>
  <c r="D73" i="13" s="1"/>
  <c r="H101" i="12"/>
  <c r="H102" i="12" s="1"/>
  <c r="D103" i="12" s="1"/>
  <c r="G30" i="13"/>
  <c r="H120" i="12"/>
  <c r="I141" i="13"/>
  <c r="I142" i="13" s="1"/>
  <c r="D143" i="13" s="1"/>
  <c r="I21" i="13"/>
  <c r="I22" i="13" s="1"/>
  <c r="H23" i="13" s="1"/>
  <c r="J51" i="12"/>
  <c r="J52" i="12" s="1"/>
  <c r="J50" i="12" s="1"/>
  <c r="J131" i="13"/>
  <c r="J132" i="13" s="1"/>
  <c r="J130" i="13" s="1"/>
  <c r="H41" i="13"/>
  <c r="H42" i="13" s="1"/>
  <c r="E43" i="13" s="1"/>
  <c r="I71" i="12"/>
  <c r="I72" i="12" s="1"/>
  <c r="D73" i="12" s="1"/>
  <c r="G21" i="12"/>
  <c r="G22" i="12" s="1"/>
  <c r="F23" i="12" s="1"/>
  <c r="I41" i="12"/>
  <c r="I42" i="12" s="1"/>
  <c r="F43" i="12" s="1"/>
  <c r="J91" i="13"/>
  <c r="J92" i="13" s="1"/>
  <c r="J90" i="13" s="1"/>
  <c r="I111" i="12"/>
  <c r="I112" i="12" s="1"/>
  <c r="I110" i="12" s="1"/>
  <c r="J161" i="13"/>
  <c r="J162" i="13" s="1"/>
  <c r="C163" i="13" s="1"/>
  <c r="I70" i="12" l="1"/>
  <c r="H100" i="12"/>
  <c r="J111" i="12"/>
  <c r="J112" i="12" s="1"/>
  <c r="J110" i="12" s="1"/>
  <c r="K151" i="13"/>
  <c r="K152" i="13" s="1"/>
  <c r="K150" i="13" s="1"/>
  <c r="J61" i="12"/>
  <c r="J62" i="12" s="1"/>
  <c r="J60" i="12" s="1"/>
  <c r="K151" i="12"/>
  <c r="K152" i="12" s="1"/>
  <c r="K150" i="12" s="1"/>
  <c r="K91" i="12"/>
  <c r="K92" i="12" s="1"/>
  <c r="K90" i="12" s="1"/>
  <c r="K61" i="13"/>
  <c r="K62" i="13" s="1"/>
  <c r="K60" i="13" s="1"/>
  <c r="J131" i="12"/>
  <c r="J132" i="12" s="1"/>
  <c r="J130" i="12" s="1"/>
  <c r="K131" i="13"/>
  <c r="K132" i="13" s="1"/>
  <c r="C133" i="13" s="1"/>
  <c r="K111" i="13"/>
  <c r="K112" i="13" s="1"/>
  <c r="K110" i="13" s="1"/>
  <c r="K51" i="13"/>
  <c r="K52" i="13" s="1"/>
  <c r="K50" i="13" s="1"/>
  <c r="K91" i="13"/>
  <c r="K92" i="13" s="1"/>
  <c r="K90" i="13" s="1"/>
  <c r="J71" i="12"/>
  <c r="J72" i="12" s="1"/>
  <c r="E73" i="12" s="1"/>
  <c r="K51" i="12"/>
  <c r="K52" i="12" s="1"/>
  <c r="K50" i="12" s="1"/>
  <c r="I101" i="12"/>
  <c r="I102" i="12" s="1"/>
  <c r="E103" i="12" s="1"/>
  <c r="J80" i="12"/>
  <c r="H40" i="13"/>
  <c r="I70" i="13"/>
  <c r="I101" i="13"/>
  <c r="I102" i="13" s="1"/>
  <c r="E103" i="13" s="1"/>
  <c r="I120" i="13"/>
  <c r="I140" i="13"/>
  <c r="G20" i="12"/>
  <c r="I140" i="12"/>
  <c r="H31" i="13"/>
  <c r="H32" i="13" s="1"/>
  <c r="F33" i="13" s="1"/>
  <c r="I30" i="12"/>
  <c r="J160" i="12"/>
  <c r="I40" i="12"/>
  <c r="I20" i="13"/>
  <c r="J160" i="13"/>
  <c r="I121" i="12"/>
  <c r="I122" i="12" s="1"/>
  <c r="F123" i="12" s="1"/>
  <c r="J80" i="13"/>
  <c r="I100" i="12" l="1"/>
  <c r="J101" i="12" s="1"/>
  <c r="J102" i="12" s="1"/>
  <c r="F103" i="12" s="1"/>
  <c r="L51" i="12"/>
  <c r="L52" i="12" s="1"/>
  <c r="L50" i="12" s="1"/>
  <c r="L151" i="12"/>
  <c r="L152" i="12" s="1"/>
  <c r="C153" i="12" s="1"/>
  <c r="K61" i="12"/>
  <c r="K62" i="12" s="1"/>
  <c r="K60" i="12" s="1"/>
  <c r="K131" i="12"/>
  <c r="K132" i="12" s="1"/>
  <c r="C133" i="12" s="1"/>
  <c r="L91" i="13"/>
  <c r="L92" i="13" s="1"/>
  <c r="C93" i="13" s="1"/>
  <c r="L111" i="13"/>
  <c r="L112" i="13" s="1"/>
  <c r="L110" i="13" s="1"/>
  <c r="L91" i="12"/>
  <c r="L92" i="12" s="1"/>
  <c r="C93" i="12" s="1"/>
  <c r="K111" i="12"/>
  <c r="K112" i="12" s="1"/>
  <c r="K110" i="12" s="1"/>
  <c r="J41" i="12"/>
  <c r="J42" i="12" s="1"/>
  <c r="G43" i="12" s="1"/>
  <c r="J121" i="13"/>
  <c r="J122" i="13" s="1"/>
  <c r="G123" i="13" s="1"/>
  <c r="J31" i="12"/>
  <c r="J32" i="12" s="1"/>
  <c r="H33" i="12" s="1"/>
  <c r="I100" i="13"/>
  <c r="J71" i="13"/>
  <c r="J72" i="13" s="1"/>
  <c r="E73" i="13" s="1"/>
  <c r="J70" i="12"/>
  <c r="K130" i="13"/>
  <c r="H30" i="13"/>
  <c r="I41" i="13"/>
  <c r="I42" i="13" s="1"/>
  <c r="F43" i="13" s="1"/>
  <c r="J141" i="12"/>
  <c r="J142" i="12" s="1"/>
  <c r="E143" i="12" s="1"/>
  <c r="K161" i="12"/>
  <c r="K162" i="12" s="1"/>
  <c r="D163" i="12" s="1"/>
  <c r="K81" i="13"/>
  <c r="K82" i="13" s="1"/>
  <c r="E83" i="13" s="1"/>
  <c r="I120" i="12"/>
  <c r="K81" i="12"/>
  <c r="K82" i="12" s="1"/>
  <c r="E83" i="12" s="1"/>
  <c r="K161" i="13"/>
  <c r="K162" i="13" s="1"/>
  <c r="D163" i="13" s="1"/>
  <c r="H21" i="12"/>
  <c r="H22" i="12" s="1"/>
  <c r="G23" i="12" s="1"/>
  <c r="J21" i="13"/>
  <c r="J22" i="13" s="1"/>
  <c r="I23" i="13" s="1"/>
  <c r="J141" i="13"/>
  <c r="J142" i="13" s="1"/>
  <c r="E143" i="13" s="1"/>
  <c r="L51" i="13"/>
  <c r="L52" i="13" s="1"/>
  <c r="L50" i="13" s="1"/>
  <c r="L61" i="13"/>
  <c r="L62" i="13" s="1"/>
  <c r="L60" i="13" s="1"/>
  <c r="L151" i="13"/>
  <c r="L152" i="13" s="1"/>
  <c r="C153" i="13" s="1"/>
  <c r="L150" i="12" l="1"/>
  <c r="M151" i="12" s="1"/>
  <c r="M152" i="12" s="1"/>
  <c r="D153" i="12" s="1"/>
  <c r="H20" i="12"/>
  <c r="I21" i="12" s="1"/>
  <c r="I22" i="12" s="1"/>
  <c r="H23" i="12" s="1"/>
  <c r="M111" i="13"/>
  <c r="M112" i="13" s="1"/>
  <c r="M110" i="13" s="1"/>
  <c r="L61" i="12"/>
  <c r="L62" i="12" s="1"/>
  <c r="L60" i="12" s="1"/>
  <c r="M61" i="13"/>
  <c r="M62" i="13" s="1"/>
  <c r="C63" i="13" s="1"/>
  <c r="L111" i="12"/>
  <c r="L112" i="12" s="1"/>
  <c r="L110" i="12" s="1"/>
  <c r="M51" i="12"/>
  <c r="M52" i="12" s="1"/>
  <c r="M50" i="12" s="1"/>
  <c r="M51" i="13"/>
  <c r="M52" i="13" s="1"/>
  <c r="M50" i="13" s="1"/>
  <c r="J40" i="12"/>
  <c r="J100" i="12"/>
  <c r="K160" i="13"/>
  <c r="J101" i="13"/>
  <c r="J102" i="13" s="1"/>
  <c r="F103" i="13" s="1"/>
  <c r="K130" i="12"/>
  <c r="L150" i="13"/>
  <c r="J140" i="13"/>
  <c r="K80" i="12"/>
  <c r="I40" i="13"/>
  <c r="L90" i="12"/>
  <c r="I31" i="13"/>
  <c r="I32" i="13" s="1"/>
  <c r="G33" i="13" s="1"/>
  <c r="K71" i="12"/>
  <c r="K72" i="12" s="1"/>
  <c r="F73" i="12" s="1"/>
  <c r="K160" i="12"/>
  <c r="L90" i="13"/>
  <c r="J70" i="13"/>
  <c r="J140" i="12"/>
  <c r="J121" i="12"/>
  <c r="J122" i="12" s="1"/>
  <c r="G123" i="12" s="1"/>
  <c r="J30" i="12"/>
  <c r="J20" i="13"/>
  <c r="K80" i="13"/>
  <c r="L131" i="13"/>
  <c r="L132" i="13" s="1"/>
  <c r="D133" i="13" s="1"/>
  <c r="J120" i="13"/>
  <c r="I30" i="13" l="1"/>
  <c r="J31" i="13" s="1"/>
  <c r="J32" i="13" s="1"/>
  <c r="H33" i="13" s="1"/>
  <c r="J100" i="13"/>
  <c r="J120" i="12"/>
  <c r="K121" i="12" s="1"/>
  <c r="K122" i="12" s="1"/>
  <c r="H123" i="12" s="1"/>
  <c r="M150" i="12"/>
  <c r="N151" i="12" s="1"/>
  <c r="N152" i="12" s="1"/>
  <c r="E153" i="12" s="1"/>
  <c r="N51" i="12"/>
  <c r="N52" i="12" s="1"/>
  <c r="N50" i="12" s="1"/>
  <c r="N51" i="13"/>
  <c r="N52" i="13" s="1"/>
  <c r="N50" i="13" s="1"/>
  <c r="M111" i="12"/>
  <c r="M112" i="12" s="1"/>
  <c r="M110" i="12" s="1"/>
  <c r="M61" i="12"/>
  <c r="M62" i="12" s="1"/>
  <c r="C63" i="12" s="1"/>
  <c r="N111" i="13"/>
  <c r="N112" i="13" s="1"/>
  <c r="C113" i="13" s="1"/>
  <c r="K101" i="13"/>
  <c r="K102" i="13" s="1"/>
  <c r="G103" i="13" s="1"/>
  <c r="J41" i="13"/>
  <c r="J42" i="13" s="1"/>
  <c r="G43" i="13" s="1"/>
  <c r="K101" i="12"/>
  <c r="K102" i="12" s="1"/>
  <c r="G103" i="12" s="1"/>
  <c r="L130" i="13"/>
  <c r="L81" i="12"/>
  <c r="L82" i="12" s="1"/>
  <c r="F83" i="12" s="1"/>
  <c r="L81" i="13"/>
  <c r="L82" i="13" s="1"/>
  <c r="F83" i="13" s="1"/>
  <c r="L161" i="12"/>
  <c r="L162" i="12" s="1"/>
  <c r="E163" i="12" s="1"/>
  <c r="K141" i="13"/>
  <c r="K142" i="13" s="1"/>
  <c r="F143" i="13" s="1"/>
  <c r="K21" i="13"/>
  <c r="K22" i="13" s="1"/>
  <c r="J23" i="13" s="1"/>
  <c r="M151" i="13"/>
  <c r="M152" i="13" s="1"/>
  <c r="D153" i="13" s="1"/>
  <c r="I20" i="12"/>
  <c r="M60" i="13"/>
  <c r="K31" i="12"/>
  <c r="K32" i="12" s="1"/>
  <c r="I33" i="12" s="1"/>
  <c r="K70" i="12"/>
  <c r="L131" i="12"/>
  <c r="L132" i="12" s="1"/>
  <c r="D133" i="12" s="1"/>
  <c r="K121" i="13"/>
  <c r="K122" i="13" s="1"/>
  <c r="H123" i="13" s="1"/>
  <c r="K141" i="12"/>
  <c r="K142" i="12" s="1"/>
  <c r="F143" i="12" s="1"/>
  <c r="M91" i="12"/>
  <c r="M92" i="12" s="1"/>
  <c r="D93" i="12" s="1"/>
  <c r="L161" i="13"/>
  <c r="L162" i="13" s="1"/>
  <c r="E163" i="13" s="1"/>
  <c r="K71" i="13"/>
  <c r="K72" i="13" s="1"/>
  <c r="F73" i="13" s="1"/>
  <c r="M91" i="13"/>
  <c r="M92" i="13" s="1"/>
  <c r="D93" i="13" s="1"/>
  <c r="K41" i="12"/>
  <c r="K42" i="12" s="1"/>
  <c r="H43" i="12" s="1"/>
  <c r="L160" i="12" l="1"/>
  <c r="N111" i="12"/>
  <c r="N112" i="12" s="1"/>
  <c r="C113" i="12" s="1"/>
  <c r="O51" i="13"/>
  <c r="O52" i="13" s="1"/>
  <c r="O50" i="13" s="1"/>
  <c r="O51" i="12"/>
  <c r="O52" i="12" s="1"/>
  <c r="O50" i="12" s="1"/>
  <c r="L80" i="13"/>
  <c r="K40" i="12"/>
  <c r="M90" i="12"/>
  <c r="K100" i="13"/>
  <c r="M60" i="12"/>
  <c r="L71" i="12"/>
  <c r="L72" i="12" s="1"/>
  <c r="G73" i="12" s="1"/>
  <c r="K20" i="13"/>
  <c r="L80" i="12"/>
  <c r="M131" i="13"/>
  <c r="M132" i="13" s="1"/>
  <c r="E133" i="13" s="1"/>
  <c r="K30" i="12"/>
  <c r="J21" i="12"/>
  <c r="J22" i="12" s="1"/>
  <c r="I23" i="12" s="1"/>
  <c r="L160" i="13"/>
  <c r="N150" i="12"/>
  <c r="J40" i="13"/>
  <c r="N110" i="13"/>
  <c r="M150" i="13"/>
  <c r="L130" i="12"/>
  <c r="M90" i="13"/>
  <c r="K140" i="12"/>
  <c r="J30" i="13"/>
  <c r="K140" i="13"/>
  <c r="K70" i="13"/>
  <c r="K120" i="13"/>
  <c r="N61" i="13"/>
  <c r="N62" i="13" s="1"/>
  <c r="D63" i="13" s="1"/>
  <c r="K100" i="12"/>
  <c r="K120" i="12"/>
  <c r="M161" i="12"/>
  <c r="M162" i="12" s="1"/>
  <c r="F163" i="12" s="1"/>
  <c r="M130" i="13" l="1"/>
  <c r="N131" i="13" s="1"/>
  <c r="N132" i="13" s="1"/>
  <c r="F133" i="13" s="1"/>
  <c r="P51" i="13"/>
  <c r="P52" i="13" s="1"/>
  <c r="P50" i="13" s="1"/>
  <c r="P51" i="12"/>
  <c r="P52" i="12" s="1"/>
  <c r="P50" i="12" s="1"/>
  <c r="L41" i="12"/>
  <c r="L42" i="12" s="1"/>
  <c r="I43" i="12" s="1"/>
  <c r="M81" i="13"/>
  <c r="M82" i="13" s="1"/>
  <c r="G83" i="13" s="1"/>
  <c r="L70" i="12"/>
  <c r="O111" i="13"/>
  <c r="O112" i="13" s="1"/>
  <c r="D113" i="13" s="1"/>
  <c r="K41" i="13"/>
  <c r="K42" i="13" s="1"/>
  <c r="H43" i="13" s="1"/>
  <c r="L141" i="13"/>
  <c r="L142" i="13" s="1"/>
  <c r="G143" i="13" s="1"/>
  <c r="L121" i="12"/>
  <c r="L122" i="12" s="1"/>
  <c r="I123" i="12" s="1"/>
  <c r="L141" i="12"/>
  <c r="L142" i="12" s="1"/>
  <c r="G143" i="12" s="1"/>
  <c r="L101" i="12"/>
  <c r="L102" i="12" s="1"/>
  <c r="H103" i="12" s="1"/>
  <c r="N91" i="13"/>
  <c r="N92" i="13" s="1"/>
  <c r="E93" i="13" s="1"/>
  <c r="J20" i="12"/>
  <c r="N61" i="12"/>
  <c r="N62" i="12" s="1"/>
  <c r="D63" i="12" s="1"/>
  <c r="M161" i="13"/>
  <c r="M162" i="13" s="1"/>
  <c r="F163" i="13" s="1"/>
  <c r="L121" i="13"/>
  <c r="L122" i="13" s="1"/>
  <c r="I123" i="13" s="1"/>
  <c r="L71" i="13"/>
  <c r="L72" i="13" s="1"/>
  <c r="G73" i="13" s="1"/>
  <c r="M81" i="12"/>
  <c r="M82" i="12" s="1"/>
  <c r="G83" i="12" s="1"/>
  <c r="O151" i="12"/>
  <c r="O152" i="12" s="1"/>
  <c r="F153" i="12" s="1"/>
  <c r="L21" i="13"/>
  <c r="L22" i="13" s="1"/>
  <c r="K23" i="13" s="1"/>
  <c r="M160" i="12"/>
  <c r="K31" i="13"/>
  <c r="K32" i="13" s="1"/>
  <c r="I33" i="13" s="1"/>
  <c r="M131" i="12"/>
  <c r="M132" i="12" s="1"/>
  <c r="E133" i="12" s="1"/>
  <c r="L31" i="12"/>
  <c r="L32" i="12" s="1"/>
  <c r="J33" i="12" s="1"/>
  <c r="L101" i="13"/>
  <c r="L102" i="13" s="1"/>
  <c r="H103" i="13" s="1"/>
  <c r="N60" i="13"/>
  <c r="N151" i="13"/>
  <c r="N152" i="13" s="1"/>
  <c r="E153" i="13" s="1"/>
  <c r="N91" i="12"/>
  <c r="N92" i="12" s="1"/>
  <c r="E93" i="12" s="1"/>
  <c r="N110" i="12"/>
  <c r="L100" i="13" l="1"/>
  <c r="M101" i="13" s="1"/>
  <c r="M102" i="13" s="1"/>
  <c r="I103" i="13" s="1"/>
  <c r="M160" i="13"/>
  <c r="N161" i="13" s="1"/>
  <c r="N162" i="13" s="1"/>
  <c r="G163" i="13" s="1"/>
  <c r="L120" i="12"/>
  <c r="K30" i="13"/>
  <c r="O110" i="13"/>
  <c r="P111" i="13" s="1"/>
  <c r="P112" i="13" s="1"/>
  <c r="E113" i="13" s="1"/>
  <c r="N60" i="12"/>
  <c r="O61" i="12" s="1"/>
  <c r="O62" i="12" s="1"/>
  <c r="E63" i="12" s="1"/>
  <c r="Q51" i="13"/>
  <c r="Q52" i="13" s="1"/>
  <c r="Q50" i="13" s="1"/>
  <c r="Q51" i="12"/>
  <c r="Q52" i="12" s="1"/>
  <c r="Q50" i="12" s="1"/>
  <c r="O111" i="12"/>
  <c r="O112" i="12" s="1"/>
  <c r="D113" i="12" s="1"/>
  <c r="L20" i="13"/>
  <c r="N130" i="13"/>
  <c r="N90" i="13"/>
  <c r="M130" i="12"/>
  <c r="L100" i="12"/>
  <c r="K40" i="13"/>
  <c r="L40" i="12"/>
  <c r="N150" i="13"/>
  <c r="M80" i="12"/>
  <c r="M121" i="12"/>
  <c r="M122" i="12" s="1"/>
  <c r="J123" i="12" s="1"/>
  <c r="L140" i="13"/>
  <c r="N90" i="12"/>
  <c r="L120" i="13"/>
  <c r="O61" i="13"/>
  <c r="O62" i="13" s="1"/>
  <c r="E63" i="13" s="1"/>
  <c r="L31" i="13"/>
  <c r="L32" i="13" s="1"/>
  <c r="J33" i="13" s="1"/>
  <c r="L140" i="12"/>
  <c r="K21" i="12"/>
  <c r="K22" i="12" s="1"/>
  <c r="J23" i="12" s="1"/>
  <c r="M80" i="13"/>
  <c r="L30" i="12"/>
  <c r="O150" i="12"/>
  <c r="N161" i="12"/>
  <c r="N162" i="12" s="1"/>
  <c r="G163" i="12" s="1"/>
  <c r="L70" i="13"/>
  <c r="M71" i="12"/>
  <c r="M72" i="12" s="1"/>
  <c r="H73" i="12" s="1"/>
  <c r="M100" i="13" l="1"/>
  <c r="N101" i="13" s="1"/>
  <c r="N102" i="13" s="1"/>
  <c r="J103" i="13" s="1"/>
  <c r="M70" i="12"/>
  <c r="K20" i="12"/>
  <c r="L21" i="12" s="1"/>
  <c r="L22" i="12" s="1"/>
  <c r="K23" i="12" s="1"/>
  <c r="O60" i="12"/>
  <c r="P61" i="12" s="1"/>
  <c r="P62" i="12" s="1"/>
  <c r="F63" i="12" s="1"/>
  <c r="O60" i="13"/>
  <c r="P61" i="13" s="1"/>
  <c r="P62" i="13" s="1"/>
  <c r="F63" i="13" s="1"/>
  <c r="N160" i="13"/>
  <c r="O161" i="13" s="1"/>
  <c r="O162" i="13" s="1"/>
  <c r="H163" i="13" s="1"/>
  <c r="R51" i="13"/>
  <c r="R52" i="13" s="1"/>
  <c r="R50" i="13" s="1"/>
  <c r="R51" i="12"/>
  <c r="R52" i="12" s="1"/>
  <c r="R50" i="12" s="1"/>
  <c r="P110" i="13"/>
  <c r="M141" i="13"/>
  <c r="M142" i="13" s="1"/>
  <c r="H143" i="13" s="1"/>
  <c r="N160" i="12"/>
  <c r="M141" i="12"/>
  <c r="M142" i="12" s="1"/>
  <c r="H143" i="12" s="1"/>
  <c r="M120" i="12"/>
  <c r="L41" i="13"/>
  <c r="L42" i="13" s="1"/>
  <c r="I43" i="13" s="1"/>
  <c r="M41" i="12"/>
  <c r="M42" i="12" s="1"/>
  <c r="J43" i="12" s="1"/>
  <c r="O110" i="12"/>
  <c r="P151" i="12"/>
  <c r="P152" i="12" s="1"/>
  <c r="G153" i="12" s="1"/>
  <c r="M31" i="12"/>
  <c r="M32" i="12" s="1"/>
  <c r="K33" i="12" s="1"/>
  <c r="L30" i="13"/>
  <c r="M101" i="12"/>
  <c r="M102" i="12" s="1"/>
  <c r="I103" i="12" s="1"/>
  <c r="M121" i="13"/>
  <c r="M122" i="13" s="1"/>
  <c r="J123" i="13" s="1"/>
  <c r="O131" i="13"/>
  <c r="O132" i="13" s="1"/>
  <c r="G133" i="13" s="1"/>
  <c r="N81" i="12"/>
  <c r="N82" i="12" s="1"/>
  <c r="H83" i="12" s="1"/>
  <c r="M21" i="13"/>
  <c r="M22" i="13" s="1"/>
  <c r="L23" i="13" s="1"/>
  <c r="O151" i="13"/>
  <c r="O152" i="13" s="1"/>
  <c r="F153" i="13" s="1"/>
  <c r="N71" i="12"/>
  <c r="N72" i="12" s="1"/>
  <c r="I73" i="12" s="1"/>
  <c r="N81" i="13"/>
  <c r="N82" i="13" s="1"/>
  <c r="H83" i="13" s="1"/>
  <c r="N131" i="12"/>
  <c r="N132" i="12" s="1"/>
  <c r="F133" i="12" s="1"/>
  <c r="M71" i="13"/>
  <c r="M72" i="13" s="1"/>
  <c r="H73" i="13" s="1"/>
  <c r="O91" i="12"/>
  <c r="O92" i="12" s="1"/>
  <c r="F93" i="12" s="1"/>
  <c r="O91" i="13"/>
  <c r="O92" i="13" s="1"/>
  <c r="F93" i="13" s="1"/>
  <c r="M140" i="13" l="1"/>
  <c r="N141" i="13" s="1"/>
  <c r="N142" i="13" s="1"/>
  <c r="I143" i="13" s="1"/>
  <c r="M40" i="12"/>
  <c r="M20" i="13"/>
  <c r="M100" i="12"/>
  <c r="N101" i="12" s="1"/>
  <c r="N102" i="12" s="1"/>
  <c r="J103" i="12" s="1"/>
  <c r="N80" i="12"/>
  <c r="P60" i="12"/>
  <c r="M70" i="13"/>
  <c r="N71" i="13" s="1"/>
  <c r="N72" i="13" s="1"/>
  <c r="I73" i="13" s="1"/>
  <c r="N80" i="13"/>
  <c r="O81" i="13" s="1"/>
  <c r="O82" i="13" s="1"/>
  <c r="I83" i="13" s="1"/>
  <c r="S51" i="12"/>
  <c r="S52" i="12" s="1"/>
  <c r="S50" i="12" s="1"/>
  <c r="S51" i="13"/>
  <c r="S52" i="13" s="1"/>
  <c r="S50" i="13" s="1"/>
  <c r="O160" i="13"/>
  <c r="N121" i="12"/>
  <c r="N122" i="12" s="1"/>
  <c r="K123" i="12" s="1"/>
  <c r="N130" i="12"/>
  <c r="M120" i="13"/>
  <c r="M30" i="12"/>
  <c r="L20" i="12"/>
  <c r="P60" i="13"/>
  <c r="O150" i="13"/>
  <c r="P150" i="12"/>
  <c r="M140" i="12"/>
  <c r="O81" i="12"/>
  <c r="O82" i="12" s="1"/>
  <c r="I83" i="12" s="1"/>
  <c r="N41" i="12"/>
  <c r="N42" i="12" s="1"/>
  <c r="K43" i="12" s="1"/>
  <c r="M31" i="13"/>
  <c r="M32" i="13" s="1"/>
  <c r="K33" i="13" s="1"/>
  <c r="Q111" i="13"/>
  <c r="Q112" i="13" s="1"/>
  <c r="F113" i="13" s="1"/>
  <c r="O90" i="13"/>
  <c r="N70" i="12"/>
  <c r="O130" i="13"/>
  <c r="L40" i="13"/>
  <c r="O90" i="12"/>
  <c r="N100" i="13"/>
  <c r="N21" i="13"/>
  <c r="N22" i="13" s="1"/>
  <c r="M23" i="13" s="1"/>
  <c r="P111" i="12"/>
  <c r="P112" i="12" s="1"/>
  <c r="E113" i="12" s="1"/>
  <c r="O161" i="12"/>
  <c r="O162" i="12" s="1"/>
  <c r="H163" i="12" s="1"/>
  <c r="Q61" i="12" l="1"/>
  <c r="Q62" i="12" s="1"/>
  <c r="G63" i="12" s="1"/>
  <c r="N40" i="12"/>
  <c r="O41" i="12" s="1"/>
  <c r="O42" i="12" s="1"/>
  <c r="L43" i="12" s="1"/>
  <c r="T51" i="12"/>
  <c r="T52" i="12" s="1"/>
  <c r="T50" i="12" s="1"/>
  <c r="T51" i="13"/>
  <c r="T52" i="13" s="1"/>
  <c r="T50" i="13" s="1"/>
  <c r="O160" i="12"/>
  <c r="M30" i="13"/>
  <c r="O131" i="12"/>
  <c r="O132" i="12" s="1"/>
  <c r="G133" i="12" s="1"/>
  <c r="Q110" i="13"/>
  <c r="N31" i="12"/>
  <c r="N32" i="12" s="1"/>
  <c r="L33" i="12" s="1"/>
  <c r="N70" i="13"/>
  <c r="P91" i="12"/>
  <c r="P92" i="12" s="1"/>
  <c r="G93" i="12" s="1"/>
  <c r="O80" i="13"/>
  <c r="Q61" i="13"/>
  <c r="Q62" i="13" s="1"/>
  <c r="G63" i="13" s="1"/>
  <c r="N100" i="12"/>
  <c r="O80" i="12"/>
  <c r="O101" i="13"/>
  <c r="O102" i="13" s="1"/>
  <c r="K103" i="13" s="1"/>
  <c r="N141" i="12"/>
  <c r="N142" i="12" s="1"/>
  <c r="I143" i="12" s="1"/>
  <c r="P110" i="12"/>
  <c r="P131" i="13"/>
  <c r="P132" i="13" s="1"/>
  <c r="H133" i="13" s="1"/>
  <c r="N140" i="13"/>
  <c r="Q151" i="12"/>
  <c r="Q152" i="12" s="1"/>
  <c r="H153" i="12" s="1"/>
  <c r="N120" i="12"/>
  <c r="P91" i="13"/>
  <c r="P92" i="13" s="1"/>
  <c r="G93" i="13" s="1"/>
  <c r="M21" i="12"/>
  <c r="M22" i="12" s="1"/>
  <c r="L23" i="12" s="1"/>
  <c r="N20" i="13"/>
  <c r="N121" i="13"/>
  <c r="N122" i="13" s="1"/>
  <c r="K123" i="13" s="1"/>
  <c r="M41" i="13"/>
  <c r="M42" i="13" s="1"/>
  <c r="J43" i="13" s="1"/>
  <c r="O71" i="12"/>
  <c r="O72" i="12" s="1"/>
  <c r="J73" i="12" s="1"/>
  <c r="P151" i="13"/>
  <c r="P152" i="13" s="1"/>
  <c r="G153" i="13" s="1"/>
  <c r="P161" i="13"/>
  <c r="P162" i="13" s="1"/>
  <c r="I163" i="13" s="1"/>
  <c r="Q60" i="12" l="1"/>
  <c r="N140" i="12"/>
  <c r="M40" i="13"/>
  <c r="P90" i="13"/>
  <c r="Q91" i="13" s="1"/>
  <c r="Q92" i="13" s="1"/>
  <c r="H93" i="13" s="1"/>
  <c r="O100" i="13"/>
  <c r="U51" i="13"/>
  <c r="U52" i="13" s="1"/>
  <c r="U50" i="13" s="1"/>
  <c r="U51" i="12"/>
  <c r="U52" i="12" s="1"/>
  <c r="U50" i="12" s="1"/>
  <c r="N120" i="13"/>
  <c r="O21" i="13"/>
  <c r="O22" i="13" s="1"/>
  <c r="N23" i="13" s="1"/>
  <c r="M20" i="12"/>
  <c r="P130" i="13"/>
  <c r="P161" i="12"/>
  <c r="P162" i="12" s="1"/>
  <c r="I163" i="12" s="1"/>
  <c r="O70" i="12"/>
  <c r="Q111" i="12"/>
  <c r="Q112" i="12" s="1"/>
  <c r="F113" i="12" s="1"/>
  <c r="Q60" i="13"/>
  <c r="N30" i="12"/>
  <c r="P160" i="13"/>
  <c r="Q150" i="12"/>
  <c r="O141" i="13"/>
  <c r="O142" i="13" s="1"/>
  <c r="J143" i="13" s="1"/>
  <c r="P81" i="12"/>
  <c r="P82" i="12" s="1"/>
  <c r="J83" i="12" s="1"/>
  <c r="P90" i="12"/>
  <c r="O130" i="12"/>
  <c r="P150" i="13"/>
  <c r="O101" i="12"/>
  <c r="O102" i="12" s="1"/>
  <c r="K103" i="12" s="1"/>
  <c r="O71" i="13"/>
  <c r="O72" i="13" s="1"/>
  <c r="J73" i="13" s="1"/>
  <c r="R111" i="13"/>
  <c r="R112" i="13" s="1"/>
  <c r="G113" i="13" s="1"/>
  <c r="N31" i="13"/>
  <c r="N32" i="13" s="1"/>
  <c r="L33" i="13" s="1"/>
  <c r="N41" i="13"/>
  <c r="N42" i="13" s="1"/>
  <c r="K43" i="13" s="1"/>
  <c r="O121" i="12"/>
  <c r="O122" i="12" s="1"/>
  <c r="L123" i="12" s="1"/>
  <c r="O141" i="12"/>
  <c r="O142" i="12" s="1"/>
  <c r="J143" i="12" s="1"/>
  <c r="P81" i="13"/>
  <c r="P82" i="13" s="1"/>
  <c r="J83" i="13" s="1"/>
  <c r="O40" i="12"/>
  <c r="P101" i="13" l="1"/>
  <c r="P102" i="13" s="1"/>
  <c r="L103" i="13" s="1"/>
  <c r="R61" i="12"/>
  <c r="R62" i="12" s="1"/>
  <c r="H63" i="12" s="1"/>
  <c r="Q90" i="13"/>
  <c r="R91" i="13" s="1"/>
  <c r="R92" i="13" s="1"/>
  <c r="I93" i="13" s="1"/>
  <c r="P160" i="12"/>
  <c r="Q161" i="12" s="1"/>
  <c r="Q162" i="12" s="1"/>
  <c r="J163" i="12" s="1"/>
  <c r="O120" i="12"/>
  <c r="P121" i="12" s="1"/>
  <c r="P122" i="12" s="1"/>
  <c r="M123" i="12" s="1"/>
  <c r="V51" i="12"/>
  <c r="V52" i="12" s="1"/>
  <c r="V50" i="12" s="1"/>
  <c r="V51" i="13"/>
  <c r="V52" i="13" s="1"/>
  <c r="V50" i="13" s="1"/>
  <c r="P41" i="12"/>
  <c r="P42" i="12" s="1"/>
  <c r="M43" i="12" s="1"/>
  <c r="N30" i="13"/>
  <c r="O100" i="12"/>
  <c r="P71" i="12"/>
  <c r="P72" i="12" s="1"/>
  <c r="K73" i="12" s="1"/>
  <c r="O20" i="13"/>
  <c r="O140" i="13"/>
  <c r="Q110" i="12"/>
  <c r="O121" i="13"/>
  <c r="O122" i="13" s="1"/>
  <c r="L123" i="13" s="1"/>
  <c r="Q151" i="13"/>
  <c r="Q152" i="13" s="1"/>
  <c r="H153" i="13" s="1"/>
  <c r="P80" i="12"/>
  <c r="R61" i="13"/>
  <c r="R62" i="13" s="1"/>
  <c r="H63" i="13" s="1"/>
  <c r="O140" i="12"/>
  <c r="R110" i="13"/>
  <c r="P131" i="12"/>
  <c r="P132" i="12" s="1"/>
  <c r="H133" i="12" s="1"/>
  <c r="R151" i="12"/>
  <c r="R152" i="12" s="1"/>
  <c r="I153" i="12" s="1"/>
  <c r="O31" i="12"/>
  <c r="O32" i="12" s="1"/>
  <c r="M33" i="12" s="1"/>
  <c r="N21" i="12"/>
  <c r="N22" i="12" s="1"/>
  <c r="M23" i="12" s="1"/>
  <c r="P80" i="13"/>
  <c r="N40" i="13"/>
  <c r="O70" i="13"/>
  <c r="Q91" i="12"/>
  <c r="Q92" i="12" s="1"/>
  <c r="H93" i="12" s="1"/>
  <c r="Q161" i="13"/>
  <c r="Q162" i="13" s="1"/>
  <c r="J163" i="13" s="1"/>
  <c r="Q131" i="13"/>
  <c r="Q132" i="13" s="1"/>
  <c r="I133" i="13" s="1"/>
  <c r="R60" i="12" l="1"/>
  <c r="S61" i="12" s="1"/>
  <c r="S62" i="12" s="1"/>
  <c r="I63" i="12" s="1"/>
  <c r="R60" i="13"/>
  <c r="S61" i="13" s="1"/>
  <c r="S62" i="13" s="1"/>
  <c r="I63" i="13" s="1"/>
  <c r="P100" i="13"/>
  <c r="Q101" i="13" s="1"/>
  <c r="Q102" i="13" s="1"/>
  <c r="M103" i="13" s="1"/>
  <c r="R150" i="12"/>
  <c r="S151" i="12" s="1"/>
  <c r="S152" i="12" s="1"/>
  <c r="J153" i="12" s="1"/>
  <c r="W51" i="12"/>
  <c r="W52" i="12" s="1"/>
  <c r="C53" i="12" s="1"/>
  <c r="W51" i="13"/>
  <c r="W52" i="13" s="1"/>
  <c r="C53" i="13" s="1"/>
  <c r="Q160" i="13"/>
  <c r="O30" i="12"/>
  <c r="P141" i="12"/>
  <c r="P142" i="12" s="1"/>
  <c r="K143" i="12" s="1"/>
  <c r="P70" i="12"/>
  <c r="Q81" i="13"/>
  <c r="Q82" i="13" s="1"/>
  <c r="K83" i="13" s="1"/>
  <c r="P120" i="12"/>
  <c r="S111" i="13"/>
  <c r="S112" i="13" s="1"/>
  <c r="H113" i="13" s="1"/>
  <c r="Q150" i="13"/>
  <c r="P40" i="12"/>
  <c r="O120" i="13"/>
  <c r="P101" i="12"/>
  <c r="P102" i="12" s="1"/>
  <c r="L103" i="12" s="1"/>
  <c r="P21" i="13"/>
  <c r="P22" i="13" s="1"/>
  <c r="O23" i="13" s="1"/>
  <c r="Q130" i="13"/>
  <c r="N20" i="12"/>
  <c r="Q90" i="12"/>
  <c r="P71" i="13"/>
  <c r="P72" i="13" s="1"/>
  <c r="K73" i="13" s="1"/>
  <c r="Q160" i="12"/>
  <c r="R111" i="12"/>
  <c r="R112" i="12" s="1"/>
  <c r="G113" i="12" s="1"/>
  <c r="O31" i="13"/>
  <c r="O32" i="13" s="1"/>
  <c r="M33" i="13" s="1"/>
  <c r="R90" i="13"/>
  <c r="P130" i="12"/>
  <c r="O41" i="13"/>
  <c r="O42" i="13" s="1"/>
  <c r="L43" i="13" s="1"/>
  <c r="Q81" i="12"/>
  <c r="Q82" i="12" s="1"/>
  <c r="K83" i="12" s="1"/>
  <c r="P141" i="13"/>
  <c r="P142" i="13" s="1"/>
  <c r="K143" i="13" s="1"/>
  <c r="Q100" i="13" l="1"/>
  <c r="R101" i="13" s="1"/>
  <c r="R102" i="13" s="1"/>
  <c r="N103" i="13" s="1"/>
  <c r="S60" i="12"/>
  <c r="T61" i="12" s="1"/>
  <c r="T62" i="12" s="1"/>
  <c r="J63" i="12" s="1"/>
  <c r="Q80" i="13"/>
  <c r="R81" i="13" s="1"/>
  <c r="R82" i="13" s="1"/>
  <c r="L83" i="13" s="1"/>
  <c r="P140" i="13"/>
  <c r="Q141" i="13" s="1"/>
  <c r="Q142" i="13" s="1"/>
  <c r="L143" i="13" s="1"/>
  <c r="P100" i="12"/>
  <c r="Q101" i="12" s="1"/>
  <c r="Q102" i="12" s="1"/>
  <c r="M103" i="12" s="1"/>
  <c r="S150" i="12"/>
  <c r="O30" i="13"/>
  <c r="P31" i="13" s="1"/>
  <c r="P32" i="13" s="1"/>
  <c r="N33" i="13" s="1"/>
  <c r="R161" i="13"/>
  <c r="R162" i="13" s="1"/>
  <c r="K163" i="13" s="1"/>
  <c r="S60" i="13"/>
  <c r="P20" i="13"/>
  <c r="Q121" i="12"/>
  <c r="Q122" i="12" s="1"/>
  <c r="N123" i="12" s="1"/>
  <c r="O21" i="12"/>
  <c r="O22" i="12" s="1"/>
  <c r="N23" i="12" s="1"/>
  <c r="P140" i="12"/>
  <c r="R131" i="13"/>
  <c r="R132" i="13" s="1"/>
  <c r="J133" i="13" s="1"/>
  <c r="S110" i="13"/>
  <c r="R161" i="12"/>
  <c r="R162" i="12" s="1"/>
  <c r="K163" i="12" s="1"/>
  <c r="W50" i="13"/>
  <c r="O40" i="13"/>
  <c r="R151" i="13"/>
  <c r="R152" i="13" s="1"/>
  <c r="I153" i="13" s="1"/>
  <c r="Q131" i="12"/>
  <c r="Q132" i="12" s="1"/>
  <c r="I133" i="12" s="1"/>
  <c r="P31" i="12"/>
  <c r="P32" i="12" s="1"/>
  <c r="N33" i="12" s="1"/>
  <c r="T151" i="12"/>
  <c r="T152" i="12" s="1"/>
  <c r="K153" i="12" s="1"/>
  <c r="R91" i="12"/>
  <c r="R92" i="12" s="1"/>
  <c r="I93" i="12" s="1"/>
  <c r="Q41" i="12"/>
  <c r="Q42" i="12" s="1"/>
  <c r="N43" i="12" s="1"/>
  <c r="R110" i="12"/>
  <c r="T60" i="12"/>
  <c r="S91" i="13"/>
  <c r="S92" i="13" s="1"/>
  <c r="J93" i="13" s="1"/>
  <c r="Q80" i="12"/>
  <c r="P70" i="13"/>
  <c r="P121" i="13"/>
  <c r="P122" i="13" s="1"/>
  <c r="M123" i="13" s="1"/>
  <c r="Q71" i="12"/>
  <c r="Q72" i="12" s="1"/>
  <c r="L73" i="12" s="1"/>
  <c r="W50" i="12"/>
  <c r="X51" i="12" l="1"/>
  <c r="X52" i="12" s="1"/>
  <c r="D53" i="12" s="1"/>
  <c r="S90" i="13"/>
  <c r="R80" i="13"/>
  <c r="Q130" i="12"/>
  <c r="R160" i="12"/>
  <c r="O20" i="12"/>
  <c r="R160" i="13"/>
  <c r="U61" i="12"/>
  <c r="U62" i="12" s="1"/>
  <c r="K63" i="12" s="1"/>
  <c r="Q70" i="12"/>
  <c r="S111" i="12"/>
  <c r="S112" i="12" s="1"/>
  <c r="H113" i="12" s="1"/>
  <c r="Q100" i="12"/>
  <c r="R150" i="13"/>
  <c r="Q140" i="13"/>
  <c r="Q120" i="12"/>
  <c r="T111" i="13"/>
  <c r="T112" i="13" s="1"/>
  <c r="I113" i="13" s="1"/>
  <c r="P120" i="13"/>
  <c r="T150" i="12"/>
  <c r="T61" i="13"/>
  <c r="T62" i="13" s="1"/>
  <c r="J63" i="13" s="1"/>
  <c r="Q71" i="13"/>
  <c r="Q72" i="13" s="1"/>
  <c r="L73" i="13" s="1"/>
  <c r="P30" i="13"/>
  <c r="R130" i="13"/>
  <c r="P41" i="13"/>
  <c r="P42" i="13" s="1"/>
  <c r="M43" i="13" s="1"/>
  <c r="Q21" i="13"/>
  <c r="Q22" i="13" s="1"/>
  <c r="P23" i="13" s="1"/>
  <c r="Q40" i="12"/>
  <c r="R81" i="12"/>
  <c r="R82" i="12" s="1"/>
  <c r="L83" i="12" s="1"/>
  <c r="R90" i="12"/>
  <c r="P30" i="12"/>
  <c r="X51" i="13"/>
  <c r="X52" i="13" s="1"/>
  <c r="D53" i="13" s="1"/>
  <c r="Q141" i="12"/>
  <c r="Q142" i="12" s="1"/>
  <c r="L143" i="12" s="1"/>
  <c r="R100" i="13"/>
  <c r="T110" i="13" l="1"/>
  <c r="Q70" i="13"/>
  <c r="R141" i="13"/>
  <c r="R142" i="13" s="1"/>
  <c r="M143" i="13" s="1"/>
  <c r="Q140" i="12"/>
  <c r="S151" i="13"/>
  <c r="S152" i="13" s="1"/>
  <c r="J153" i="13" s="1"/>
  <c r="P21" i="12"/>
  <c r="P22" i="12" s="1"/>
  <c r="O23" i="12" s="1"/>
  <c r="R131" i="12"/>
  <c r="R132" i="12" s="1"/>
  <c r="J133" i="12" s="1"/>
  <c r="Q30" i="12"/>
  <c r="Q31" i="12"/>
  <c r="Q32" i="12" s="1"/>
  <c r="O33" i="12" s="1"/>
  <c r="P40" i="13"/>
  <c r="Q121" i="13"/>
  <c r="Q122" i="13" s="1"/>
  <c r="N123" i="13" s="1"/>
  <c r="S110" i="12"/>
  <c r="S81" i="13"/>
  <c r="S82" i="13" s="1"/>
  <c r="M83" i="13" s="1"/>
  <c r="R71" i="13"/>
  <c r="R72" i="13" s="1"/>
  <c r="M73" i="13" s="1"/>
  <c r="S161" i="13"/>
  <c r="S162" i="13" s="1"/>
  <c r="L163" i="13" s="1"/>
  <c r="Q20" i="13"/>
  <c r="T60" i="13"/>
  <c r="R101" i="12"/>
  <c r="R102" i="12" s="1"/>
  <c r="N103" i="12" s="1"/>
  <c r="S161" i="12"/>
  <c r="S162" i="12" s="1"/>
  <c r="L163" i="12" s="1"/>
  <c r="X50" i="13"/>
  <c r="U151" i="12"/>
  <c r="U152" i="12" s="1"/>
  <c r="L153" i="12" s="1"/>
  <c r="S91" i="12"/>
  <c r="S92" i="12" s="1"/>
  <c r="J93" i="12" s="1"/>
  <c r="S131" i="13"/>
  <c r="S132" i="13" s="1"/>
  <c r="K133" i="13" s="1"/>
  <c r="R71" i="12"/>
  <c r="R72" i="12" s="1"/>
  <c r="M73" i="12" s="1"/>
  <c r="T91" i="13"/>
  <c r="T92" i="13" s="1"/>
  <c r="K93" i="13" s="1"/>
  <c r="R41" i="12"/>
  <c r="R42" i="12" s="1"/>
  <c r="O43" i="12" s="1"/>
  <c r="Q31" i="13"/>
  <c r="Q32" i="13" s="1"/>
  <c r="O33" i="13" s="1"/>
  <c r="U111" i="13"/>
  <c r="U112" i="13" s="1"/>
  <c r="J113" i="13" s="1"/>
  <c r="S101" i="13"/>
  <c r="S102" i="13" s="1"/>
  <c r="O103" i="13" s="1"/>
  <c r="R80" i="12"/>
  <c r="R121" i="12"/>
  <c r="R122" i="12" s="1"/>
  <c r="O123" i="12" s="1"/>
  <c r="U60" i="12"/>
  <c r="X50" i="12"/>
  <c r="S160" i="12" l="1"/>
  <c r="U110" i="13"/>
  <c r="V111" i="13" s="1"/>
  <c r="V112" i="13" s="1"/>
  <c r="K113" i="13" s="1"/>
  <c r="R70" i="13"/>
  <c r="R70" i="12"/>
  <c r="S71" i="12" s="1"/>
  <c r="S72" i="12" s="1"/>
  <c r="N73" i="12" s="1"/>
  <c r="T161" i="12"/>
  <c r="T162" i="12" s="1"/>
  <c r="M163" i="12" s="1"/>
  <c r="S71" i="13"/>
  <c r="S72" i="13" s="1"/>
  <c r="N73" i="13" s="1"/>
  <c r="R31" i="12"/>
  <c r="R32" i="12" s="1"/>
  <c r="P33" i="12" s="1"/>
  <c r="Q30" i="13"/>
  <c r="S130" i="13"/>
  <c r="R140" i="13"/>
  <c r="S80" i="13"/>
  <c r="S81" i="12"/>
  <c r="S82" i="12" s="1"/>
  <c r="M83" i="12" s="1"/>
  <c r="R40" i="12"/>
  <c r="S90" i="12"/>
  <c r="P20" i="12"/>
  <c r="S100" i="13"/>
  <c r="T90" i="13"/>
  <c r="U150" i="12"/>
  <c r="Q120" i="13"/>
  <c r="Y51" i="13"/>
  <c r="Y52" i="13" s="1"/>
  <c r="E53" i="13" s="1"/>
  <c r="S160" i="13"/>
  <c r="Q41" i="13"/>
  <c r="Q42" i="13" s="1"/>
  <c r="N43" i="13" s="1"/>
  <c r="S150" i="13"/>
  <c r="V60" i="12"/>
  <c r="V61" i="12"/>
  <c r="V62" i="12" s="1"/>
  <c r="L63" i="12" s="1"/>
  <c r="R120" i="12"/>
  <c r="R100" i="12"/>
  <c r="R130" i="12"/>
  <c r="U61" i="13"/>
  <c r="U62" i="13" s="1"/>
  <c r="K63" i="13" s="1"/>
  <c r="T111" i="12"/>
  <c r="T112" i="12" s="1"/>
  <c r="I113" i="12" s="1"/>
  <c r="R21" i="13"/>
  <c r="R22" i="13" s="1"/>
  <c r="Q23" i="13" s="1"/>
  <c r="Y51" i="12"/>
  <c r="Y52" i="12" s="1"/>
  <c r="E53" i="12" s="1"/>
  <c r="R141" i="12"/>
  <c r="R142" i="12" s="1"/>
  <c r="M143" i="12" s="1"/>
  <c r="T101" i="13" l="1"/>
  <c r="T102" i="13" s="1"/>
  <c r="P103" i="13" s="1"/>
  <c r="V110" i="13"/>
  <c r="U60" i="13"/>
  <c r="Q40" i="13"/>
  <c r="R31" i="13"/>
  <c r="R32" i="13" s="1"/>
  <c r="P33" i="13" s="1"/>
  <c r="S131" i="12"/>
  <c r="S132" i="12" s="1"/>
  <c r="K133" i="12" s="1"/>
  <c r="T91" i="12"/>
  <c r="T92" i="12" s="1"/>
  <c r="K93" i="12" s="1"/>
  <c r="Y50" i="12"/>
  <c r="S101" i="12"/>
  <c r="S102" i="12" s="1"/>
  <c r="O103" i="12" s="1"/>
  <c r="S41" i="12"/>
  <c r="S42" i="12" s="1"/>
  <c r="P43" i="12" s="1"/>
  <c r="Y50" i="13"/>
  <c r="T131" i="13"/>
  <c r="T132" i="13" s="1"/>
  <c r="L133" i="13" s="1"/>
  <c r="Q21" i="12"/>
  <c r="Q22" i="12" s="1"/>
  <c r="P23" i="12" s="1"/>
  <c r="T161" i="13"/>
  <c r="T162" i="13" s="1"/>
  <c r="M163" i="13" s="1"/>
  <c r="R30" i="12"/>
  <c r="S121" i="12"/>
  <c r="S122" i="12" s="1"/>
  <c r="P123" i="12" s="1"/>
  <c r="R140" i="12"/>
  <c r="R20" i="13"/>
  <c r="R121" i="13"/>
  <c r="R122" i="13" s="1"/>
  <c r="O123" i="13" s="1"/>
  <c r="S80" i="12"/>
  <c r="S70" i="13"/>
  <c r="W61" i="12"/>
  <c r="W62" i="12" s="1"/>
  <c r="M63" i="12" s="1"/>
  <c r="V151" i="12"/>
  <c r="V152" i="12" s="1"/>
  <c r="M153" i="12" s="1"/>
  <c r="T81" i="13"/>
  <c r="T82" i="13" s="1"/>
  <c r="N83" i="13" s="1"/>
  <c r="S70" i="12"/>
  <c r="T110" i="12"/>
  <c r="T151" i="13"/>
  <c r="T152" i="13" s="1"/>
  <c r="K153" i="13" s="1"/>
  <c r="U91" i="13"/>
  <c r="U92" i="13" s="1"/>
  <c r="L93" i="13" s="1"/>
  <c r="S141" i="13"/>
  <c r="S142" i="13" s="1"/>
  <c r="N143" i="13" s="1"/>
  <c r="T160" i="12"/>
  <c r="U90" i="13" l="1"/>
  <c r="T90" i="12"/>
  <c r="T130" i="13"/>
  <c r="V150" i="12"/>
  <c r="T150" i="13"/>
  <c r="W60" i="12"/>
  <c r="S120" i="12"/>
  <c r="Z51" i="13"/>
  <c r="Z52" i="13" s="1"/>
  <c r="F53" i="13" s="1"/>
  <c r="T71" i="13"/>
  <c r="T72" i="13" s="1"/>
  <c r="O73" i="13" s="1"/>
  <c r="S31" i="12"/>
  <c r="S32" i="12" s="1"/>
  <c r="Q33" i="12" s="1"/>
  <c r="R30" i="13"/>
  <c r="S140" i="13"/>
  <c r="T80" i="13"/>
  <c r="R120" i="13"/>
  <c r="S21" i="13"/>
  <c r="S22" i="13" s="1"/>
  <c r="R23" i="13" s="1"/>
  <c r="Q20" i="12"/>
  <c r="Z51" i="12"/>
  <c r="Z52" i="12" s="1"/>
  <c r="F53" i="12" s="1"/>
  <c r="V61" i="13"/>
  <c r="V62" i="13" s="1"/>
  <c r="L63" i="13" s="1"/>
  <c r="U131" i="13"/>
  <c r="U132" i="13" s="1"/>
  <c r="M133" i="13" s="1"/>
  <c r="U91" i="12"/>
  <c r="U92" i="12" s="1"/>
  <c r="L93" i="12" s="1"/>
  <c r="T100" i="13"/>
  <c r="U111" i="12"/>
  <c r="U112" i="12" s="1"/>
  <c r="J113" i="12" s="1"/>
  <c r="S130" i="12"/>
  <c r="U161" i="12"/>
  <c r="U162" i="12" s="1"/>
  <c r="N163" i="12" s="1"/>
  <c r="T71" i="12"/>
  <c r="T72" i="12" s="1"/>
  <c r="O73" i="12" s="1"/>
  <c r="T81" i="12"/>
  <c r="T82" i="12" s="1"/>
  <c r="N83" i="12" s="1"/>
  <c r="S40" i="12"/>
  <c r="T160" i="13"/>
  <c r="S100" i="12"/>
  <c r="R41" i="13"/>
  <c r="R42" i="13" s="1"/>
  <c r="O43" i="13" s="1"/>
  <c r="V91" i="13"/>
  <c r="V92" i="13" s="1"/>
  <c r="M93" i="13" s="1"/>
  <c r="W151" i="12"/>
  <c r="W152" i="12" s="1"/>
  <c r="N153" i="12" s="1"/>
  <c r="S141" i="12"/>
  <c r="S142" i="12" s="1"/>
  <c r="N143" i="12" s="1"/>
  <c r="W111" i="13"/>
  <c r="W112" i="13" s="1"/>
  <c r="L113" i="13" s="1"/>
  <c r="U110" i="12" l="1"/>
  <c r="V90" i="13"/>
  <c r="W150" i="12"/>
  <c r="Z50" i="12"/>
  <c r="AA51" i="12" s="1"/>
  <c r="AA52" i="12" s="1"/>
  <c r="G53" i="12" s="1"/>
  <c r="S30" i="12"/>
  <c r="T31" i="12" s="1"/>
  <c r="T32" i="12" s="1"/>
  <c r="R33" i="12" s="1"/>
  <c r="T80" i="12"/>
  <c r="R21" i="12"/>
  <c r="R22" i="12" s="1"/>
  <c r="Q23" i="12" s="1"/>
  <c r="W110" i="13"/>
  <c r="R40" i="13"/>
  <c r="S20" i="13"/>
  <c r="T70" i="13"/>
  <c r="T101" i="12"/>
  <c r="T102" i="12" s="1"/>
  <c r="P103" i="12" s="1"/>
  <c r="U160" i="12"/>
  <c r="U130" i="13"/>
  <c r="S121" i="13"/>
  <c r="S122" i="13" s="1"/>
  <c r="P123" i="13" s="1"/>
  <c r="S140" i="12"/>
  <c r="U161" i="13"/>
  <c r="U162" i="13" s="1"/>
  <c r="N163" i="13" s="1"/>
  <c r="T131" i="12"/>
  <c r="T132" i="12" s="1"/>
  <c r="L133" i="12" s="1"/>
  <c r="U81" i="13"/>
  <c r="U82" i="13" s="1"/>
  <c r="O83" i="13" s="1"/>
  <c r="Z50" i="13"/>
  <c r="W91" i="13"/>
  <c r="W92" i="13" s="1"/>
  <c r="N93" i="13" s="1"/>
  <c r="T70" i="12"/>
  <c r="T41" i="12"/>
  <c r="T42" i="12" s="1"/>
  <c r="Q43" i="12" s="1"/>
  <c r="V60" i="13"/>
  <c r="T141" i="13"/>
  <c r="T142" i="13" s="1"/>
  <c r="O143" i="13" s="1"/>
  <c r="T121" i="12"/>
  <c r="T122" i="12" s="1"/>
  <c r="Q123" i="12" s="1"/>
  <c r="X151" i="12"/>
  <c r="X152" i="12" s="1"/>
  <c r="O153" i="12" s="1"/>
  <c r="V111" i="12"/>
  <c r="V112" i="12" s="1"/>
  <c r="K113" i="12" s="1"/>
  <c r="S31" i="13"/>
  <c r="S32" i="13" s="1"/>
  <c r="Q33" i="13" s="1"/>
  <c r="X61" i="12"/>
  <c r="X62" i="12" s="1"/>
  <c r="N63" i="12" s="1"/>
  <c r="U90" i="12"/>
  <c r="U101" i="13"/>
  <c r="U102" i="13" s="1"/>
  <c r="Q103" i="13" s="1"/>
  <c r="U151" i="13"/>
  <c r="U152" i="13" s="1"/>
  <c r="L153" i="13" s="1"/>
  <c r="T40" i="12" l="1"/>
  <c r="U81" i="12"/>
  <c r="U82" i="12" s="1"/>
  <c r="O83" i="12" s="1"/>
  <c r="T130" i="12"/>
  <c r="U131" i="12" s="1"/>
  <c r="U132" i="12" s="1"/>
  <c r="M133" i="12" s="1"/>
  <c r="V110" i="12"/>
  <c r="W111" i="12" s="1"/>
  <c r="W112" i="12" s="1"/>
  <c r="L113" i="12" s="1"/>
  <c r="V91" i="12"/>
  <c r="V92" i="12" s="1"/>
  <c r="M93" i="12" s="1"/>
  <c r="X150" i="12"/>
  <c r="U71" i="12"/>
  <c r="U72" i="12" s="1"/>
  <c r="P73" i="12" s="1"/>
  <c r="T100" i="12"/>
  <c r="U160" i="13"/>
  <c r="U71" i="13"/>
  <c r="U72" i="13" s="1"/>
  <c r="P73" i="13" s="1"/>
  <c r="T120" i="12"/>
  <c r="W90" i="13"/>
  <c r="T21" i="13"/>
  <c r="T22" i="13" s="1"/>
  <c r="S23" i="13" s="1"/>
  <c r="AA51" i="13"/>
  <c r="AA52" i="13" s="1"/>
  <c r="G53" i="13" s="1"/>
  <c r="T140" i="13"/>
  <c r="S120" i="13"/>
  <c r="X111" i="13"/>
  <c r="X112" i="13" s="1"/>
  <c r="M113" i="13" s="1"/>
  <c r="U100" i="13"/>
  <c r="W61" i="13"/>
  <c r="W62" i="13" s="1"/>
  <c r="M63" i="13" s="1"/>
  <c r="U80" i="13"/>
  <c r="V131" i="13"/>
  <c r="V132" i="13" s="1"/>
  <c r="N133" i="13" s="1"/>
  <c r="U41" i="12"/>
  <c r="U42" i="12" s="1"/>
  <c r="R43" i="12" s="1"/>
  <c r="R20" i="12"/>
  <c r="U150" i="13"/>
  <c r="X60" i="12"/>
  <c r="T141" i="12"/>
  <c r="T142" i="12" s="1"/>
  <c r="O143" i="12" s="1"/>
  <c r="AA50" i="12"/>
  <c r="S41" i="13"/>
  <c r="S42" i="13" s="1"/>
  <c r="P43" i="13" s="1"/>
  <c r="S30" i="13"/>
  <c r="V161" i="12"/>
  <c r="V162" i="12" s="1"/>
  <c r="O163" i="12" s="1"/>
  <c r="T30" i="12"/>
  <c r="V130" i="13" l="1"/>
  <c r="W131" i="13" s="1"/>
  <c r="W132" i="13" s="1"/>
  <c r="O133" i="13" s="1"/>
  <c r="AA50" i="13"/>
  <c r="T140" i="12"/>
  <c r="U70" i="13"/>
  <c r="V71" i="13" s="1"/>
  <c r="V72" i="13" s="1"/>
  <c r="Q73" i="13" s="1"/>
  <c r="U80" i="12"/>
  <c r="V81" i="12" s="1"/>
  <c r="V82" i="12" s="1"/>
  <c r="P83" i="12" s="1"/>
  <c r="AB51" i="13"/>
  <c r="AB52" i="13" s="1"/>
  <c r="H53" i="13" s="1"/>
  <c r="S40" i="13"/>
  <c r="V101" i="13"/>
  <c r="V102" i="13" s="1"/>
  <c r="R103" i="13" s="1"/>
  <c r="T20" i="13"/>
  <c r="U70" i="12"/>
  <c r="U31" i="12"/>
  <c r="U32" i="12" s="1"/>
  <c r="S33" i="12" s="1"/>
  <c r="AB51" i="12"/>
  <c r="AB52" i="12" s="1"/>
  <c r="H53" i="12" s="1"/>
  <c r="X91" i="13"/>
  <c r="X92" i="13" s="1"/>
  <c r="O93" i="13" s="1"/>
  <c r="Y151" i="12"/>
  <c r="Y152" i="12" s="1"/>
  <c r="P153" i="12" s="1"/>
  <c r="U40" i="12"/>
  <c r="X110" i="13"/>
  <c r="U121" i="12"/>
  <c r="U122" i="12" s="1"/>
  <c r="R123" i="12" s="1"/>
  <c r="U130" i="12"/>
  <c r="V160" i="12"/>
  <c r="U141" i="12"/>
  <c r="U142" i="12" s="1"/>
  <c r="P143" i="12" s="1"/>
  <c r="T121" i="13"/>
  <c r="T122" i="13" s="1"/>
  <c r="Q123" i="13" s="1"/>
  <c r="V90" i="12"/>
  <c r="T31" i="13"/>
  <c r="T32" i="13" s="1"/>
  <c r="R33" i="13" s="1"/>
  <c r="U101" i="12"/>
  <c r="U102" i="12" s="1"/>
  <c r="Q103" i="12" s="1"/>
  <c r="Y61" i="12"/>
  <c r="Y62" i="12" s="1"/>
  <c r="O63" i="12" s="1"/>
  <c r="U141" i="13"/>
  <c r="U142" i="13" s="1"/>
  <c r="P143" i="13" s="1"/>
  <c r="S21" i="12"/>
  <c r="S22" i="12" s="1"/>
  <c r="R23" i="12" s="1"/>
  <c r="W60" i="13"/>
  <c r="W110" i="12"/>
  <c r="V151" i="13"/>
  <c r="V152" i="13" s="1"/>
  <c r="M153" i="13" s="1"/>
  <c r="V81" i="13"/>
  <c r="V82" i="13" s="1"/>
  <c r="P83" i="13" s="1"/>
  <c r="V161" i="13"/>
  <c r="V162" i="13" s="1"/>
  <c r="O163" i="13" s="1"/>
  <c r="V80" i="12" l="1"/>
  <c r="W81" i="12" s="1"/>
  <c r="W82" i="12" s="1"/>
  <c r="Q83" i="12" s="1"/>
  <c r="U120" i="12"/>
  <c r="V121" i="12" s="1"/>
  <c r="V122" i="12" s="1"/>
  <c r="S123" i="12" s="1"/>
  <c r="U140" i="13"/>
  <c r="T30" i="13"/>
  <c r="U31" i="13" s="1"/>
  <c r="U32" i="13" s="1"/>
  <c r="S33" i="13" s="1"/>
  <c r="V150" i="13"/>
  <c r="W151" i="13" s="1"/>
  <c r="W152" i="13" s="1"/>
  <c r="N153" i="13" s="1"/>
  <c r="AB50" i="12"/>
  <c r="AC51" i="12" s="1"/>
  <c r="AC52" i="12" s="1"/>
  <c r="I53" i="12" s="1"/>
  <c r="X111" i="12"/>
  <c r="X112" i="12" s="1"/>
  <c r="M113" i="12" s="1"/>
  <c r="X61" i="13"/>
  <c r="X62" i="13" s="1"/>
  <c r="N63" i="13" s="1"/>
  <c r="W130" i="13"/>
  <c r="Y111" i="13"/>
  <c r="Y112" i="13" s="1"/>
  <c r="N113" i="13" s="1"/>
  <c r="U140" i="12"/>
  <c r="U21" i="13"/>
  <c r="U22" i="13" s="1"/>
  <c r="T23" i="13" s="1"/>
  <c r="V70" i="13"/>
  <c r="U100" i="12"/>
  <c r="V131" i="12"/>
  <c r="V132" i="12" s="1"/>
  <c r="N133" i="12" s="1"/>
  <c r="X90" i="13"/>
  <c r="V100" i="13"/>
  <c r="W91" i="12"/>
  <c r="W92" i="12" s="1"/>
  <c r="N93" i="12" s="1"/>
  <c r="AB50" i="13"/>
  <c r="T120" i="13"/>
  <c r="V41" i="12"/>
  <c r="V42" i="12" s="1"/>
  <c r="S43" i="12" s="1"/>
  <c r="U30" i="12"/>
  <c r="V160" i="13"/>
  <c r="S20" i="12"/>
  <c r="Y60" i="12"/>
  <c r="V71" i="12"/>
  <c r="V72" i="12" s="1"/>
  <c r="Q73" i="12" s="1"/>
  <c r="Y150" i="12"/>
  <c r="V80" i="13"/>
  <c r="W161" i="12"/>
  <c r="W162" i="12" s="1"/>
  <c r="P163" i="12" s="1"/>
  <c r="V141" i="13"/>
  <c r="V142" i="13" s="1"/>
  <c r="Q143" i="13" s="1"/>
  <c r="T41" i="13"/>
  <c r="T42" i="13" s="1"/>
  <c r="Q43" i="13" s="1"/>
  <c r="Y110" i="13" l="1"/>
  <c r="Z111" i="13" s="1"/>
  <c r="Z112" i="13" s="1"/>
  <c r="O113" i="13" s="1"/>
  <c r="W150" i="13"/>
  <c r="V130" i="12"/>
  <c r="V101" i="12"/>
  <c r="V102" i="12" s="1"/>
  <c r="R103" i="12" s="1"/>
  <c r="T40" i="13"/>
  <c r="W160" i="12"/>
  <c r="V120" i="12"/>
  <c r="W81" i="13"/>
  <c r="W82" i="13" s="1"/>
  <c r="Q83" i="13" s="1"/>
  <c r="T21" i="12"/>
  <c r="T22" i="12" s="1"/>
  <c r="S23" i="12" s="1"/>
  <c r="AC50" i="12"/>
  <c r="W161" i="13"/>
  <c r="W162" i="13" s="1"/>
  <c r="P163" i="13" s="1"/>
  <c r="V31" i="12"/>
  <c r="V32" i="12" s="1"/>
  <c r="T33" i="12" s="1"/>
  <c r="W71" i="13"/>
  <c r="W72" i="13" s="1"/>
  <c r="R73" i="13" s="1"/>
  <c r="X60" i="13"/>
  <c r="U30" i="13"/>
  <c r="Z151" i="12"/>
  <c r="Z152" i="12" s="1"/>
  <c r="Q153" i="12" s="1"/>
  <c r="V40" i="12"/>
  <c r="W90" i="12"/>
  <c r="U20" i="13"/>
  <c r="W80" i="12"/>
  <c r="Z61" i="12"/>
  <c r="Z62" i="12" s="1"/>
  <c r="P63" i="12" s="1"/>
  <c r="X131" i="13"/>
  <c r="X132" i="13" s="1"/>
  <c r="P133" i="13" s="1"/>
  <c r="U121" i="13"/>
  <c r="U122" i="13" s="1"/>
  <c r="R123" i="13" s="1"/>
  <c r="W101" i="13"/>
  <c r="W102" i="13" s="1"/>
  <c r="S103" i="13" s="1"/>
  <c r="V141" i="12"/>
  <c r="V142" i="12" s="1"/>
  <c r="Q143" i="12" s="1"/>
  <c r="V140" i="13"/>
  <c r="V70" i="12"/>
  <c r="AC51" i="13"/>
  <c r="AC52" i="13" s="1"/>
  <c r="I53" i="13" s="1"/>
  <c r="Y91" i="13"/>
  <c r="Y92" i="13" s="1"/>
  <c r="P93" i="13" s="1"/>
  <c r="X110" i="12"/>
  <c r="T20" i="12" l="1"/>
  <c r="U21" i="12" s="1"/>
  <c r="U22" i="12" s="1"/>
  <c r="T23" i="12" s="1"/>
  <c r="W131" i="12"/>
  <c r="W132" i="12" s="1"/>
  <c r="O133" i="12" s="1"/>
  <c r="AC50" i="13"/>
  <c r="U120" i="13"/>
  <c r="V21" i="13"/>
  <c r="V22" i="13" s="1"/>
  <c r="U23" i="13" s="1"/>
  <c r="W70" i="13"/>
  <c r="X91" i="12"/>
  <c r="X92" i="12" s="1"/>
  <c r="O93" i="12" s="1"/>
  <c r="W80" i="13"/>
  <c r="W141" i="13"/>
  <c r="W142" i="13" s="1"/>
  <c r="R143" i="13" s="1"/>
  <c r="W41" i="12"/>
  <c r="W42" i="12" s="1"/>
  <c r="T43" i="12" s="1"/>
  <c r="V30" i="12"/>
  <c r="W121" i="12"/>
  <c r="W122" i="12" s="1"/>
  <c r="T123" i="12" s="1"/>
  <c r="X161" i="12"/>
  <c r="X162" i="12" s="1"/>
  <c r="Q163" i="12" s="1"/>
  <c r="V140" i="12"/>
  <c r="Z110" i="13"/>
  <c r="V31" i="13"/>
  <c r="V32" i="13" s="1"/>
  <c r="T33" i="13" s="1"/>
  <c r="AD51" i="12"/>
  <c r="AD52" i="12" s="1"/>
  <c r="J53" i="12" s="1"/>
  <c r="X81" i="12"/>
  <c r="X82" i="12" s="1"/>
  <c r="R83" i="12" s="1"/>
  <c r="X151" i="13"/>
  <c r="X152" i="13" s="1"/>
  <c r="O153" i="13" s="1"/>
  <c r="W71" i="12"/>
  <c r="W72" i="12" s="1"/>
  <c r="R73" i="12" s="1"/>
  <c r="X130" i="13"/>
  <c r="Y111" i="12"/>
  <c r="Y112" i="12" s="1"/>
  <c r="N113" i="12" s="1"/>
  <c r="Z150" i="12"/>
  <c r="W160" i="13"/>
  <c r="U41" i="13"/>
  <c r="U42" i="13" s="1"/>
  <c r="R43" i="13" s="1"/>
  <c r="Y90" i="13"/>
  <c r="W100" i="13"/>
  <c r="Z60" i="12"/>
  <c r="Y61" i="13"/>
  <c r="Y62" i="13" s="1"/>
  <c r="O63" i="13" s="1"/>
  <c r="V100" i="12"/>
  <c r="Y110" i="12" l="1"/>
  <c r="Z111" i="12" s="1"/>
  <c r="Z112" i="12" s="1"/>
  <c r="O113" i="12" s="1"/>
  <c r="X90" i="12"/>
  <c r="Y91" i="12" s="1"/>
  <c r="Y92" i="12" s="1"/>
  <c r="P93" i="12" s="1"/>
  <c r="W120" i="12"/>
  <c r="AD50" i="12"/>
  <c r="V30" i="13"/>
  <c r="W31" i="13" s="1"/>
  <c r="W32" i="13" s="1"/>
  <c r="U33" i="13" s="1"/>
  <c r="W70" i="12"/>
  <c r="X71" i="12" s="1"/>
  <c r="X72" i="12" s="1"/>
  <c r="S73" i="12" s="1"/>
  <c r="U40" i="13"/>
  <c r="W101" i="12"/>
  <c r="W102" i="12" s="1"/>
  <c r="S103" i="12" s="1"/>
  <c r="X161" i="13"/>
  <c r="X162" i="13" s="1"/>
  <c r="Q163" i="13" s="1"/>
  <c r="X150" i="13"/>
  <c r="W140" i="13"/>
  <c r="AD51" i="13"/>
  <c r="AD52" i="13" s="1"/>
  <c r="J53" i="13" s="1"/>
  <c r="Y60" i="13"/>
  <c r="X80" i="12"/>
  <c r="X160" i="12"/>
  <c r="X81" i="13"/>
  <c r="X82" i="13" s="1"/>
  <c r="R83" i="13" s="1"/>
  <c r="AA61" i="12"/>
  <c r="AA62" i="12" s="1"/>
  <c r="Q63" i="12" s="1"/>
  <c r="W130" i="12"/>
  <c r="V20" i="13"/>
  <c r="AA151" i="12"/>
  <c r="AA152" i="12" s="1"/>
  <c r="R153" i="12" s="1"/>
  <c r="X101" i="13"/>
  <c r="X102" i="13" s="1"/>
  <c r="T103" i="13" s="1"/>
  <c r="Y131" i="13"/>
  <c r="Y132" i="13" s="1"/>
  <c r="Q133" i="13" s="1"/>
  <c r="AE51" i="12"/>
  <c r="AE52" i="12" s="1"/>
  <c r="K53" i="12" s="1"/>
  <c r="X121" i="12"/>
  <c r="X122" i="12" s="1"/>
  <c r="U123" i="12" s="1"/>
  <c r="AA111" i="13"/>
  <c r="AA112" i="13" s="1"/>
  <c r="P113" i="13" s="1"/>
  <c r="W40" i="12"/>
  <c r="W141" i="12"/>
  <c r="W142" i="12" s="1"/>
  <c r="R143" i="12" s="1"/>
  <c r="V121" i="13"/>
  <c r="V122" i="13" s="1"/>
  <c r="S123" i="13" s="1"/>
  <c r="Z91" i="13"/>
  <c r="Z92" i="13" s="1"/>
  <c r="Q93" i="13" s="1"/>
  <c r="W31" i="12"/>
  <c r="W32" i="12" s="1"/>
  <c r="U33" i="12" s="1"/>
  <c r="X71" i="13"/>
  <c r="X72" i="13" s="1"/>
  <c r="S73" i="13" s="1"/>
  <c r="U20" i="12"/>
  <c r="V120" i="13" l="1"/>
  <c r="W30" i="13"/>
  <c r="W100" i="12"/>
  <c r="AE50" i="12"/>
  <c r="X70" i="13"/>
  <c r="AD50" i="13"/>
  <c r="X41" i="12"/>
  <c r="X42" i="12" s="1"/>
  <c r="U43" i="12" s="1"/>
  <c r="Y90" i="12"/>
  <c r="X100" i="13"/>
  <c r="AA60" i="12"/>
  <c r="X141" i="13"/>
  <c r="X142" i="13" s="1"/>
  <c r="S143" i="13" s="1"/>
  <c r="W30" i="12"/>
  <c r="Y151" i="13"/>
  <c r="Y152" i="13" s="1"/>
  <c r="P153" i="13" s="1"/>
  <c r="AA110" i="13"/>
  <c r="Z90" i="13"/>
  <c r="W21" i="13"/>
  <c r="W22" i="13" s="1"/>
  <c r="V23" i="13" s="1"/>
  <c r="Y161" i="12"/>
  <c r="Y162" i="12" s="1"/>
  <c r="R163" i="12" s="1"/>
  <c r="X160" i="13"/>
  <c r="V21" i="12"/>
  <c r="V22" i="12" s="1"/>
  <c r="U23" i="12" s="1"/>
  <c r="W121" i="13"/>
  <c r="W122" i="13" s="1"/>
  <c r="T123" i="13" s="1"/>
  <c r="Z61" i="13"/>
  <c r="Z62" i="13" s="1"/>
  <c r="P63" i="13" s="1"/>
  <c r="X101" i="12"/>
  <c r="X102" i="12" s="1"/>
  <c r="T103" i="12" s="1"/>
  <c r="X70" i="12"/>
  <c r="Y130" i="13"/>
  <c r="Z110" i="12"/>
  <c r="V41" i="13"/>
  <c r="V42" i="13" s="1"/>
  <c r="S43" i="13" s="1"/>
  <c r="W140" i="12"/>
  <c r="X120" i="12"/>
  <c r="AA150" i="12"/>
  <c r="X80" i="13"/>
  <c r="X31" i="13"/>
  <c r="X32" i="13" s="1"/>
  <c r="V33" i="13" s="1"/>
  <c r="AF51" i="12"/>
  <c r="AF52" i="12" s="1"/>
  <c r="L53" i="12" s="1"/>
  <c r="X131" i="12"/>
  <c r="X132" i="12" s="1"/>
  <c r="P133" i="12" s="1"/>
  <c r="Y81" i="12"/>
  <c r="Y82" i="12" s="1"/>
  <c r="S83" i="12" s="1"/>
  <c r="X100" i="12" l="1"/>
  <c r="Y101" i="12" s="1"/>
  <c r="Y102" i="12" s="1"/>
  <c r="U103" i="12" s="1"/>
  <c r="Z60" i="13"/>
  <c r="X140" i="13"/>
  <c r="X130" i="12"/>
  <c r="Y160" i="12"/>
  <c r="Z161" i="12" s="1"/>
  <c r="Z162" i="12" s="1"/>
  <c r="S163" i="12" s="1"/>
  <c r="AA61" i="13"/>
  <c r="AA62" i="13" s="1"/>
  <c r="Q63" i="13" s="1"/>
  <c r="Y141" i="13"/>
  <c r="Y142" i="13" s="1"/>
  <c r="T143" i="13" s="1"/>
  <c r="AF50" i="12"/>
  <c r="V40" i="13"/>
  <c r="W20" i="13"/>
  <c r="AA91" i="13"/>
  <c r="AA92" i="13" s="1"/>
  <c r="R93" i="13" s="1"/>
  <c r="X30" i="13"/>
  <c r="Z131" i="13"/>
  <c r="Z132" i="13" s="1"/>
  <c r="R133" i="13" s="1"/>
  <c r="AB61" i="12"/>
  <c r="AB62" i="12" s="1"/>
  <c r="R63" i="12" s="1"/>
  <c r="AA111" i="12"/>
  <c r="AA112" i="12" s="1"/>
  <c r="P113" i="12" s="1"/>
  <c r="W120" i="13"/>
  <c r="Y101" i="13"/>
  <c r="Y102" i="13" s="1"/>
  <c r="U103" i="13" s="1"/>
  <c r="AB111" i="13"/>
  <c r="AB112" i="13" s="1"/>
  <c r="Q113" i="13" s="1"/>
  <c r="Z91" i="12"/>
  <c r="Z92" i="12" s="1"/>
  <c r="Q93" i="12" s="1"/>
  <c r="Y81" i="13"/>
  <c r="Y82" i="13" s="1"/>
  <c r="S83" i="13" s="1"/>
  <c r="Y71" i="12"/>
  <c r="Y72" i="12" s="1"/>
  <c r="T73" i="12" s="1"/>
  <c r="V20" i="12"/>
  <c r="Y80" i="12"/>
  <c r="AB151" i="12"/>
  <c r="AB152" i="12" s="1"/>
  <c r="S153" i="12" s="1"/>
  <c r="Y161" i="13"/>
  <c r="Y162" i="13" s="1"/>
  <c r="R163" i="13" s="1"/>
  <c r="Y150" i="13"/>
  <c r="X40" i="12"/>
  <c r="Y121" i="12"/>
  <c r="Y122" i="12" s="1"/>
  <c r="V123" i="12" s="1"/>
  <c r="X31" i="12"/>
  <c r="X32" i="12" s="1"/>
  <c r="V33" i="12" s="1"/>
  <c r="AE51" i="13"/>
  <c r="AE52" i="13" s="1"/>
  <c r="K53" i="13" s="1"/>
  <c r="Y131" i="12"/>
  <c r="Y132" i="12" s="1"/>
  <c r="Q133" i="12" s="1"/>
  <c r="X141" i="12"/>
  <c r="X142" i="12" s="1"/>
  <c r="S143" i="12" s="1"/>
  <c r="Y71" i="13"/>
  <c r="Y72" i="13" s="1"/>
  <c r="T73" i="13" s="1"/>
  <c r="Y70" i="12" l="1"/>
  <c r="Z71" i="12" s="1"/>
  <c r="Z72" i="12" s="1"/>
  <c r="U73" i="12" s="1"/>
  <c r="Y70" i="13"/>
  <c r="Z71" i="13" s="1"/>
  <c r="Z72" i="13" s="1"/>
  <c r="U73" i="13" s="1"/>
  <c r="Y140" i="13"/>
  <c r="AE50" i="13"/>
  <c r="Y100" i="13"/>
  <c r="AF51" i="13"/>
  <c r="AF52" i="13" s="1"/>
  <c r="L53" i="13" s="1"/>
  <c r="Z151" i="13"/>
  <c r="Z152" i="13" s="1"/>
  <c r="Q153" i="13" s="1"/>
  <c r="Z101" i="13"/>
  <c r="Z102" i="13" s="1"/>
  <c r="V103" i="13" s="1"/>
  <c r="X121" i="13"/>
  <c r="X122" i="13" s="1"/>
  <c r="U123" i="13" s="1"/>
  <c r="Z81" i="12"/>
  <c r="Z82" i="12" s="1"/>
  <c r="T83" i="12" s="1"/>
  <c r="AB60" i="12"/>
  <c r="AG51" i="12"/>
  <c r="AG52" i="12" s="1"/>
  <c r="M53" i="12" s="1"/>
  <c r="Y130" i="12"/>
  <c r="Y120" i="12"/>
  <c r="W21" i="12"/>
  <c r="W22" i="12" s="1"/>
  <c r="V23" i="12" s="1"/>
  <c r="AB110" i="13"/>
  <c r="Y31" i="13"/>
  <c r="Y32" i="13" s="1"/>
  <c r="W33" i="13" s="1"/>
  <c r="AA60" i="13"/>
  <c r="Z160" i="12"/>
  <c r="X30" i="12"/>
  <c r="Y160" i="13"/>
  <c r="Y80" i="13"/>
  <c r="AA90" i="13"/>
  <c r="AA110" i="12"/>
  <c r="X21" i="13"/>
  <c r="X22" i="13" s="1"/>
  <c r="W23" i="13" s="1"/>
  <c r="X140" i="12"/>
  <c r="Y100" i="12"/>
  <c r="AB150" i="12"/>
  <c r="Z90" i="12"/>
  <c r="W41" i="13"/>
  <c r="W42" i="13" s="1"/>
  <c r="T43" i="13" s="1"/>
  <c r="Y41" i="12"/>
  <c r="Y42" i="12" s="1"/>
  <c r="V43" i="12" s="1"/>
  <c r="Z130" i="13"/>
  <c r="Z141" i="13"/>
  <c r="Z142" i="13" s="1"/>
  <c r="U143" i="13" s="1"/>
  <c r="W20" i="12" l="1"/>
  <c r="X20" i="13"/>
  <c r="Y40" i="12"/>
  <c r="Z121" i="12"/>
  <c r="Z122" i="12" s="1"/>
  <c r="W123" i="12" s="1"/>
  <c r="W40" i="13"/>
  <c r="AB91" i="13"/>
  <c r="AB92" i="13" s="1"/>
  <c r="S93" i="13" s="1"/>
  <c r="AA91" i="12"/>
  <c r="AA92" i="12" s="1"/>
  <c r="R93" i="12" s="1"/>
  <c r="Z80" i="13"/>
  <c r="Z81" i="13"/>
  <c r="Z82" i="13" s="1"/>
  <c r="T83" i="13" s="1"/>
  <c r="Z70" i="12"/>
  <c r="AC151" i="12"/>
  <c r="AC152" i="12" s="1"/>
  <c r="T153" i="12" s="1"/>
  <c r="Z161" i="13"/>
  <c r="Z162" i="13" s="1"/>
  <c r="S163" i="13" s="1"/>
  <c r="Y30" i="13"/>
  <c r="X120" i="13"/>
  <c r="Z131" i="12"/>
  <c r="Z132" i="12" s="1"/>
  <c r="R133" i="12" s="1"/>
  <c r="Z100" i="13"/>
  <c r="AG50" i="12"/>
  <c r="Z140" i="13"/>
  <c r="Z101" i="12"/>
  <c r="Z102" i="12" s="1"/>
  <c r="V103" i="12" s="1"/>
  <c r="Y31" i="12"/>
  <c r="Y32" i="12" s="1"/>
  <c r="W33" i="12" s="1"/>
  <c r="Z70" i="13"/>
  <c r="AC61" i="12"/>
  <c r="AC62" i="12" s="1"/>
  <c r="S63" i="12" s="1"/>
  <c r="Z150" i="13"/>
  <c r="AA131" i="13"/>
  <c r="AA132" i="13" s="1"/>
  <c r="S133" i="13" s="1"/>
  <c r="Y141" i="12"/>
  <c r="Y142" i="12" s="1"/>
  <c r="T143" i="12" s="1"/>
  <c r="AA161" i="12"/>
  <c r="AA162" i="12" s="1"/>
  <c r="T163" i="12" s="1"/>
  <c r="AC111" i="13"/>
  <c r="AC112" i="13" s="1"/>
  <c r="R113" i="13" s="1"/>
  <c r="Z41" i="12"/>
  <c r="Z42" i="12" s="1"/>
  <c r="W43" i="12" s="1"/>
  <c r="Y21" i="13"/>
  <c r="Y22" i="13" s="1"/>
  <c r="X23" i="13" s="1"/>
  <c r="X21" i="12"/>
  <c r="X22" i="12" s="1"/>
  <c r="W23" i="12" s="1"/>
  <c r="AB111" i="12"/>
  <c r="AB112" i="12" s="1"/>
  <c r="Q113" i="12" s="1"/>
  <c r="AB61" i="13"/>
  <c r="AB62" i="13" s="1"/>
  <c r="R63" i="13" s="1"/>
  <c r="Z80" i="12"/>
  <c r="AF50" i="13"/>
  <c r="Y30" i="12" l="1"/>
  <c r="AA160" i="12"/>
  <c r="Y20" i="13"/>
  <c r="X20" i="12"/>
  <c r="Y21" i="12" s="1"/>
  <c r="Y22" i="12" s="1"/>
  <c r="X23" i="12" s="1"/>
  <c r="Y140" i="12"/>
  <c r="Z141" i="12" s="1"/>
  <c r="Z142" i="12" s="1"/>
  <c r="U143" i="12" s="1"/>
  <c r="AA81" i="12"/>
  <c r="AA82" i="12" s="1"/>
  <c r="U83" i="12" s="1"/>
  <c r="AA81" i="13"/>
  <c r="AA82" i="13" s="1"/>
  <c r="U83" i="13" s="1"/>
  <c r="AH51" i="12"/>
  <c r="AH52" i="12" s="1"/>
  <c r="N53" i="12" s="1"/>
  <c r="AB90" i="13"/>
  <c r="Y121" i="13"/>
  <c r="Y122" i="13" s="1"/>
  <c r="V123" i="13" s="1"/>
  <c r="Z31" i="13"/>
  <c r="Z32" i="13" s="1"/>
  <c r="X33" i="13" s="1"/>
  <c r="AB60" i="13"/>
  <c r="Z40" i="12"/>
  <c r="AA130" i="13"/>
  <c r="Z100" i="12"/>
  <c r="AB110" i="12"/>
  <c r="AC60" i="12"/>
  <c r="AA101" i="13"/>
  <c r="AA102" i="13" s="1"/>
  <c r="W103" i="13" s="1"/>
  <c r="AC150" i="12"/>
  <c r="X41" i="13"/>
  <c r="X42" i="13" s="1"/>
  <c r="U43" i="13" s="1"/>
  <c r="Z21" i="13"/>
  <c r="Z22" i="13" s="1"/>
  <c r="Y23" i="13" s="1"/>
  <c r="Z31" i="12"/>
  <c r="Z32" i="12" s="1"/>
  <c r="X33" i="12" s="1"/>
  <c r="AA90" i="12"/>
  <c r="AA151" i="13"/>
  <c r="AA152" i="13" s="1"/>
  <c r="R153" i="13" s="1"/>
  <c r="Z160" i="13"/>
  <c r="AC110" i="13"/>
  <c r="AB161" i="12"/>
  <c r="AB162" i="12" s="1"/>
  <c r="U163" i="12" s="1"/>
  <c r="AA71" i="13"/>
  <c r="AA72" i="13" s="1"/>
  <c r="V73" i="13" s="1"/>
  <c r="AA71" i="12"/>
  <c r="AA72" i="12" s="1"/>
  <c r="V73" i="12" s="1"/>
  <c r="AA141" i="13"/>
  <c r="AA142" i="13" s="1"/>
  <c r="V143" i="13" s="1"/>
  <c r="AG51" i="13"/>
  <c r="AG52" i="13" s="1"/>
  <c r="M53" i="13" s="1"/>
  <c r="Z130" i="12"/>
  <c r="Z120" i="12"/>
  <c r="AA70" i="12" l="1"/>
  <c r="Z140" i="12"/>
  <c r="Y20" i="12"/>
  <c r="Z21" i="12" s="1"/>
  <c r="Z22" i="12" s="1"/>
  <c r="Y23" i="12" s="1"/>
  <c r="AA140" i="13"/>
  <c r="Y120" i="13"/>
  <c r="Z121" i="13" s="1"/>
  <c r="Z122" i="13" s="1"/>
  <c r="W123" i="13" s="1"/>
  <c r="AA131" i="12"/>
  <c r="AA132" i="12" s="1"/>
  <c r="S133" i="12" s="1"/>
  <c r="AA70" i="13"/>
  <c r="AA150" i="13"/>
  <c r="AD151" i="12"/>
  <c r="AD152" i="12" s="1"/>
  <c r="U153" i="12" s="1"/>
  <c r="AC61" i="13"/>
  <c r="AC62" i="13" s="1"/>
  <c r="S63" i="13" s="1"/>
  <c r="AH50" i="12"/>
  <c r="AG50" i="13"/>
  <c r="AB160" i="12"/>
  <c r="AA100" i="13"/>
  <c r="Z30" i="13"/>
  <c r="AB71" i="12"/>
  <c r="AB72" i="12" s="1"/>
  <c r="W73" i="12" s="1"/>
  <c r="X40" i="13"/>
  <c r="AB91" i="12"/>
  <c r="AB92" i="12" s="1"/>
  <c r="S93" i="12" s="1"/>
  <c r="Z30" i="12"/>
  <c r="AD61" i="12"/>
  <c r="AD62" i="12" s="1"/>
  <c r="T63" i="12" s="1"/>
  <c r="AA80" i="13"/>
  <c r="AA141" i="12"/>
  <c r="AA142" i="12" s="1"/>
  <c r="V143" i="12" s="1"/>
  <c r="AC91" i="13"/>
  <c r="AC92" i="13" s="1"/>
  <c r="T93" i="13" s="1"/>
  <c r="AB141" i="13"/>
  <c r="AB142" i="13" s="1"/>
  <c r="W143" i="13" s="1"/>
  <c r="AC111" i="12"/>
  <c r="AC112" i="12" s="1"/>
  <c r="R113" i="12" s="1"/>
  <c r="AA161" i="13"/>
  <c r="AA162" i="13" s="1"/>
  <c r="T163" i="13" s="1"/>
  <c r="AB131" i="13"/>
  <c r="AB132" i="13" s="1"/>
  <c r="T133" i="13" s="1"/>
  <c r="AA121" i="12"/>
  <c r="AA122" i="12" s="1"/>
  <c r="X123" i="12" s="1"/>
  <c r="AA41" i="12"/>
  <c r="AA42" i="12" s="1"/>
  <c r="X43" i="12" s="1"/>
  <c r="AD111" i="13"/>
  <c r="AD112" i="13" s="1"/>
  <c r="S113" i="13" s="1"/>
  <c r="Z20" i="13"/>
  <c r="AA101" i="12"/>
  <c r="AA102" i="12" s="1"/>
  <c r="W103" i="12" s="1"/>
  <c r="AA80" i="12"/>
  <c r="AA120" i="12" l="1"/>
  <c r="AA21" i="13"/>
  <c r="AA22" i="13" s="1"/>
  <c r="Z23" i="13" s="1"/>
  <c r="AD60" i="12"/>
  <c r="AB101" i="13"/>
  <c r="AB102" i="13" s="1"/>
  <c r="X103" i="13" s="1"/>
  <c r="AB151" i="13"/>
  <c r="AB152" i="13" s="1"/>
  <c r="S153" i="13" s="1"/>
  <c r="AB81" i="12"/>
  <c r="AB82" i="12" s="1"/>
  <c r="V83" i="12" s="1"/>
  <c r="AC110" i="12"/>
  <c r="AA140" i="12"/>
  <c r="AC60" i="13"/>
  <c r="AA100" i="12"/>
  <c r="AA31" i="13"/>
  <c r="AA32" i="13" s="1"/>
  <c r="Y33" i="13" s="1"/>
  <c r="AD150" i="12"/>
  <c r="AD110" i="13"/>
  <c r="AA160" i="13"/>
  <c r="AB140" i="13"/>
  <c r="AA31" i="12"/>
  <c r="AA32" i="12" s="1"/>
  <c r="Y33" i="12" s="1"/>
  <c r="AC161" i="12"/>
  <c r="AC162" i="12" s="1"/>
  <c r="V163" i="12" s="1"/>
  <c r="AB71" i="13"/>
  <c r="AB72" i="13" s="1"/>
  <c r="W73" i="13" s="1"/>
  <c r="Y41" i="13"/>
  <c r="Y42" i="13" s="1"/>
  <c r="V43" i="13" s="1"/>
  <c r="AB81" i="13"/>
  <c r="AB82" i="13" s="1"/>
  <c r="V83" i="13" s="1"/>
  <c r="Z20" i="12"/>
  <c r="AB70" i="12"/>
  <c r="AB130" i="13"/>
  <c r="AH51" i="13"/>
  <c r="AH52" i="13" s="1"/>
  <c r="N53" i="13" s="1"/>
  <c r="AA40" i="12"/>
  <c r="Z120" i="13"/>
  <c r="AC90" i="13"/>
  <c r="AB90" i="12"/>
  <c r="AI51" i="12"/>
  <c r="AI52" i="12" s="1"/>
  <c r="O53" i="12" s="1"/>
  <c r="AA130" i="12"/>
  <c r="AI50" i="12" l="1"/>
  <c r="Y40" i="13"/>
  <c r="AA30" i="12"/>
  <c r="AC141" i="13"/>
  <c r="AC142" i="13" s="1"/>
  <c r="X143" i="13" s="1"/>
  <c r="AB141" i="12"/>
  <c r="AB142" i="12" s="1"/>
  <c r="W143" i="12" s="1"/>
  <c r="AE61" i="12"/>
  <c r="AE62" i="12" s="1"/>
  <c r="U63" i="12" s="1"/>
  <c r="AJ51" i="12"/>
  <c r="AJ52" i="12" s="1"/>
  <c r="P53" i="12" s="1"/>
  <c r="AC71" i="12"/>
  <c r="AC72" i="12" s="1"/>
  <c r="X73" i="12" s="1"/>
  <c r="AA21" i="12"/>
  <c r="AA22" i="12" s="1"/>
  <c r="Z23" i="12" s="1"/>
  <c r="AD91" i="13"/>
  <c r="AD92" i="13" s="1"/>
  <c r="U93" i="13" s="1"/>
  <c r="AB101" i="12"/>
  <c r="AB102" i="12" s="1"/>
  <c r="X103" i="12" s="1"/>
  <c r="AB161" i="13"/>
  <c r="AB162" i="13" s="1"/>
  <c r="U163" i="13" s="1"/>
  <c r="AD111" i="12"/>
  <c r="AD112" i="12" s="1"/>
  <c r="S113" i="12" s="1"/>
  <c r="AD61" i="13"/>
  <c r="AD62" i="13" s="1"/>
  <c r="T63" i="13" s="1"/>
  <c r="Z41" i="13"/>
  <c r="Z42" i="13" s="1"/>
  <c r="W43" i="13" s="1"/>
  <c r="AB131" i="12"/>
  <c r="AB132" i="12" s="1"/>
  <c r="T133" i="12" s="1"/>
  <c r="AH50" i="13"/>
  <c r="AE111" i="13"/>
  <c r="AE112" i="13" s="1"/>
  <c r="T113" i="13" s="1"/>
  <c r="AA20" i="13"/>
  <c r="AC91" i="12"/>
  <c r="AC92" i="12" s="1"/>
  <c r="T93" i="12" s="1"/>
  <c r="AC160" i="12"/>
  <c r="AA30" i="13"/>
  <c r="AB150" i="13"/>
  <c r="AA121" i="13"/>
  <c r="AA122" i="13" s="1"/>
  <c r="X123" i="13" s="1"/>
  <c r="AB80" i="13"/>
  <c r="AB100" i="13"/>
  <c r="AB41" i="12"/>
  <c r="AB42" i="12" s="1"/>
  <c r="Y43" i="12" s="1"/>
  <c r="AC131" i="13"/>
  <c r="AC132" i="13" s="1"/>
  <c r="U133" i="13" s="1"/>
  <c r="AB70" i="13"/>
  <c r="AE151" i="12"/>
  <c r="AE152" i="12" s="1"/>
  <c r="V153" i="12" s="1"/>
  <c r="AB80" i="12"/>
  <c r="AB121" i="12"/>
  <c r="AB122" i="12" s="1"/>
  <c r="Y123" i="12" s="1"/>
  <c r="AB100" i="12" l="1"/>
  <c r="AC90" i="12"/>
  <c r="AB40" i="12"/>
  <c r="AC41" i="12" s="1"/>
  <c r="AC42" i="12" s="1"/>
  <c r="Z43" i="12" s="1"/>
  <c r="AJ50" i="12"/>
  <c r="AC130" i="13"/>
  <c r="AD131" i="13" s="1"/>
  <c r="AD132" i="13" s="1"/>
  <c r="V133" i="13" s="1"/>
  <c r="Z40" i="13"/>
  <c r="AD91" i="12"/>
  <c r="AD92" i="12" s="1"/>
  <c r="U93" i="12" s="1"/>
  <c r="AD90" i="13"/>
  <c r="AC151" i="13"/>
  <c r="AC152" i="13" s="1"/>
  <c r="T153" i="13" s="1"/>
  <c r="AI51" i="13"/>
  <c r="AI52" i="13" s="1"/>
  <c r="O53" i="13" s="1"/>
  <c r="AD110" i="12"/>
  <c r="AA20" i="12"/>
  <c r="AB140" i="12"/>
  <c r="AC81" i="12"/>
  <c r="AC82" i="12" s="1"/>
  <c r="W83" i="12" s="1"/>
  <c r="AA41" i="13"/>
  <c r="AA42" i="13" s="1"/>
  <c r="X43" i="13" s="1"/>
  <c r="AK51" i="12"/>
  <c r="AK52" i="12" s="1"/>
  <c r="Q53" i="12" s="1"/>
  <c r="AC81" i="13"/>
  <c r="AC82" i="13" s="1"/>
  <c r="W83" i="13" s="1"/>
  <c r="AE150" i="12"/>
  <c r="AD60" i="13"/>
  <c r="AE60" i="12"/>
  <c r="AC71" i="13"/>
  <c r="AC72" i="13" s="1"/>
  <c r="X73" i="13" s="1"/>
  <c r="AA120" i="13"/>
  <c r="AE110" i="13"/>
  <c r="AC101" i="13"/>
  <c r="AC102" i="13" s="1"/>
  <c r="Y103" i="13" s="1"/>
  <c r="AC101" i="12"/>
  <c r="AC102" i="12" s="1"/>
  <c r="Y103" i="12" s="1"/>
  <c r="AD161" i="12"/>
  <c r="AD162" i="12" s="1"/>
  <c r="W163" i="12" s="1"/>
  <c r="AB130" i="12"/>
  <c r="AB160" i="13"/>
  <c r="AC70" i="12"/>
  <c r="AC140" i="13"/>
  <c r="AB21" i="13"/>
  <c r="AB22" i="13" s="1"/>
  <c r="AA23" i="13" s="1"/>
  <c r="AB31" i="13"/>
  <c r="AB32" i="13" s="1"/>
  <c r="Z33" i="13" s="1"/>
  <c r="AB120" i="12"/>
  <c r="AB31" i="12"/>
  <c r="AB32" i="12" s="1"/>
  <c r="Z33" i="12" s="1"/>
  <c r="AC100" i="13" l="1"/>
  <c r="AD160" i="12"/>
  <c r="AE161" i="12" s="1"/>
  <c r="AE162" i="12" s="1"/>
  <c r="X163" i="12" s="1"/>
  <c r="AB30" i="13"/>
  <c r="AC31" i="13" s="1"/>
  <c r="AC32" i="13" s="1"/>
  <c r="AA33" i="13" s="1"/>
  <c r="AI50" i="13"/>
  <c r="AF61" i="12"/>
  <c r="AF62" i="12" s="1"/>
  <c r="V63" i="12" s="1"/>
  <c r="AA40" i="13"/>
  <c r="AC100" i="12"/>
  <c r="AE61" i="13"/>
  <c r="AE62" i="13" s="1"/>
  <c r="U63" i="13" s="1"/>
  <c r="AC150" i="13"/>
  <c r="AE111" i="12"/>
  <c r="AE112" i="12" s="1"/>
  <c r="T113" i="12" s="1"/>
  <c r="AD141" i="13"/>
  <c r="AD142" i="13" s="1"/>
  <c r="Y143" i="13" s="1"/>
  <c r="AD71" i="12"/>
  <c r="AD72" i="12" s="1"/>
  <c r="Y73" i="12" s="1"/>
  <c r="AC40" i="12"/>
  <c r="AC161" i="13"/>
  <c r="AC162" i="13" s="1"/>
  <c r="V163" i="13" s="1"/>
  <c r="AF151" i="12"/>
  <c r="AF152" i="12" s="1"/>
  <c r="W153" i="12" s="1"/>
  <c r="AC80" i="12"/>
  <c r="AE91" i="13"/>
  <c r="AE92" i="13" s="1"/>
  <c r="V93" i="13" s="1"/>
  <c r="AK50" i="12"/>
  <c r="AC121" i="12"/>
  <c r="AC122" i="12" s="1"/>
  <c r="Z123" i="12" s="1"/>
  <c r="AC131" i="12"/>
  <c r="AC132" i="12" s="1"/>
  <c r="U133" i="12" s="1"/>
  <c r="AD101" i="13"/>
  <c r="AD102" i="13" s="1"/>
  <c r="Z103" i="13" s="1"/>
  <c r="AC141" i="12"/>
  <c r="AC142" i="12" s="1"/>
  <c r="X143" i="12" s="1"/>
  <c r="AB121" i="13"/>
  <c r="AB122" i="13" s="1"/>
  <c r="Y123" i="13" s="1"/>
  <c r="AB20" i="13"/>
  <c r="AD130" i="13"/>
  <c r="AC70" i="13"/>
  <c r="AB30" i="12"/>
  <c r="AF111" i="13"/>
  <c r="AF112" i="13" s="1"/>
  <c r="U113" i="13" s="1"/>
  <c r="AC80" i="13"/>
  <c r="AB21" i="12"/>
  <c r="AB22" i="12" s="1"/>
  <c r="AA23" i="12" s="1"/>
  <c r="AD90" i="12"/>
  <c r="AC140" i="12" l="1"/>
  <c r="AD100" i="13"/>
  <c r="AF110" i="13"/>
  <c r="AE60" i="13"/>
  <c r="AF61" i="13" s="1"/>
  <c r="AF62" i="13" s="1"/>
  <c r="V63" i="13" s="1"/>
  <c r="AE91" i="12"/>
  <c r="AE92" i="12" s="1"/>
  <c r="V93" i="12" s="1"/>
  <c r="AF150" i="12"/>
  <c r="AE110" i="12"/>
  <c r="AC120" i="12"/>
  <c r="AC160" i="13"/>
  <c r="AF60" i="12"/>
  <c r="AD140" i="13"/>
  <c r="AC21" i="13"/>
  <c r="AC22" i="13" s="1"/>
  <c r="AB23" i="13" s="1"/>
  <c r="AB41" i="13"/>
  <c r="AB42" i="13" s="1"/>
  <c r="Y43" i="13" s="1"/>
  <c r="AB20" i="12"/>
  <c r="AB120" i="13"/>
  <c r="AL51" i="12"/>
  <c r="AL52" i="12" s="1"/>
  <c r="AL50" i="12" s="1"/>
  <c r="AD41" i="12"/>
  <c r="AD42" i="12" s="1"/>
  <c r="AA43" i="12" s="1"/>
  <c r="AE160" i="12"/>
  <c r="AJ51" i="13"/>
  <c r="AJ52" i="13" s="1"/>
  <c r="P53" i="13" s="1"/>
  <c r="AD71" i="13"/>
  <c r="AD72" i="13" s="1"/>
  <c r="Y73" i="13" s="1"/>
  <c r="AD101" i="12"/>
  <c r="AD102" i="12" s="1"/>
  <c r="Z103" i="12" s="1"/>
  <c r="AC130" i="12"/>
  <c r="AD151" i="13"/>
  <c r="AD152" i="13" s="1"/>
  <c r="U153" i="13" s="1"/>
  <c r="AE101" i="13"/>
  <c r="AE102" i="13" s="1"/>
  <c r="AA103" i="13" s="1"/>
  <c r="AD81" i="12"/>
  <c r="AD82" i="12" s="1"/>
  <c r="X83" i="12" s="1"/>
  <c r="AE131" i="13"/>
  <c r="AE132" i="13" s="1"/>
  <c r="W133" i="13" s="1"/>
  <c r="AD81" i="13"/>
  <c r="AD82" i="13" s="1"/>
  <c r="X83" i="13" s="1"/>
  <c r="AG111" i="13"/>
  <c r="AG112" i="13" s="1"/>
  <c r="V113" i="13" s="1"/>
  <c r="AD141" i="12"/>
  <c r="AD142" i="12" s="1"/>
  <c r="Y143" i="12" s="1"/>
  <c r="AC31" i="12"/>
  <c r="AC32" i="12" s="1"/>
  <c r="AA33" i="12" s="1"/>
  <c r="AE90" i="13"/>
  <c r="AD70" i="12"/>
  <c r="AC30" i="13"/>
  <c r="AD140" i="12" l="1"/>
  <c r="AF60" i="13"/>
  <c r="AC20" i="13"/>
  <c r="AE141" i="13"/>
  <c r="AE142" i="13" s="1"/>
  <c r="Z143" i="13" s="1"/>
  <c r="AD31" i="13"/>
  <c r="AD32" i="13" s="1"/>
  <c r="AB33" i="13" s="1"/>
  <c r="AG110" i="13"/>
  <c r="AD80" i="12"/>
  <c r="AG61" i="12"/>
  <c r="AG62" i="12" s="1"/>
  <c r="W63" i="12" s="1"/>
  <c r="AC21" i="12"/>
  <c r="AC22" i="12" s="1"/>
  <c r="AB23" i="12" s="1"/>
  <c r="AD121" i="12"/>
  <c r="AD122" i="12" s="1"/>
  <c r="AA123" i="12" s="1"/>
  <c r="AF111" i="12"/>
  <c r="AF112" i="12" s="1"/>
  <c r="U113" i="12" s="1"/>
  <c r="AD131" i="12"/>
  <c r="AD132" i="12" s="1"/>
  <c r="V133" i="12" s="1"/>
  <c r="AD40" i="12"/>
  <c r="AE90" i="12"/>
  <c r="AD100" i="12"/>
  <c r="AE71" i="12"/>
  <c r="AE72" i="12" s="1"/>
  <c r="Z73" i="12" s="1"/>
  <c r="AD70" i="13"/>
  <c r="AC121" i="13"/>
  <c r="AC122" i="13" s="1"/>
  <c r="Z123" i="13" s="1"/>
  <c r="AD161" i="13"/>
  <c r="AD162" i="13" s="1"/>
  <c r="W163" i="13" s="1"/>
  <c r="AF91" i="13"/>
  <c r="AF92" i="13" s="1"/>
  <c r="W93" i="13" s="1"/>
  <c r="AD80" i="13"/>
  <c r="AE100" i="13"/>
  <c r="AJ50" i="13"/>
  <c r="AC30" i="12"/>
  <c r="AE130" i="13"/>
  <c r="AD150" i="13"/>
  <c r="AF161" i="12"/>
  <c r="AF162" i="12" s="1"/>
  <c r="Y163" i="12" s="1"/>
  <c r="AB40" i="13"/>
  <c r="AG151" i="12"/>
  <c r="AG152" i="12" s="1"/>
  <c r="X153" i="12" s="1"/>
  <c r="AF110" i="12" l="1"/>
  <c r="AG111" i="12" s="1"/>
  <c r="AG112" i="12" s="1"/>
  <c r="V113" i="12" s="1"/>
  <c r="AC41" i="13"/>
  <c r="AC42" i="13" s="1"/>
  <c r="Z43" i="13" s="1"/>
  <c r="AE70" i="12"/>
  <c r="AF160" i="12"/>
  <c r="AE101" i="12"/>
  <c r="AE102" i="12" s="1"/>
  <c r="AA103" i="12" s="1"/>
  <c r="AD30" i="13"/>
  <c r="AE151" i="13"/>
  <c r="AE152" i="13" s="1"/>
  <c r="V153" i="13" s="1"/>
  <c r="AH111" i="13"/>
  <c r="AH112" i="13" s="1"/>
  <c r="W113" i="13" s="1"/>
  <c r="AF91" i="12"/>
  <c r="AF92" i="12" s="1"/>
  <c r="W93" i="12" s="1"/>
  <c r="AF131" i="13"/>
  <c r="AF132" i="13" s="1"/>
  <c r="X133" i="13" s="1"/>
  <c r="AE41" i="12"/>
  <c r="AE42" i="12" s="1"/>
  <c r="AB43" i="12" s="1"/>
  <c r="AE140" i="13"/>
  <c r="AD31" i="12"/>
  <c r="AD32" i="12" s="1"/>
  <c r="AB33" i="12" s="1"/>
  <c r="AE81" i="13"/>
  <c r="AE82" i="13" s="1"/>
  <c r="Y83" i="13" s="1"/>
  <c r="AF90" i="13"/>
  <c r="AD120" i="12"/>
  <c r="AD160" i="13"/>
  <c r="AC20" i="12"/>
  <c r="AD21" i="13"/>
  <c r="AD22" i="13" s="1"/>
  <c r="AC23" i="13" s="1"/>
  <c r="AK51" i="13"/>
  <c r="AK52" i="13" s="1"/>
  <c r="Q53" i="13" s="1"/>
  <c r="AC120" i="13"/>
  <c r="AD130" i="12"/>
  <c r="AG60" i="12"/>
  <c r="AG61" i="13"/>
  <c r="AG62" i="13" s="1"/>
  <c r="W63" i="13" s="1"/>
  <c r="AG150" i="12"/>
  <c r="AF101" i="13"/>
  <c r="AF102" i="13" s="1"/>
  <c r="AB103" i="13" s="1"/>
  <c r="AE71" i="13"/>
  <c r="AE72" i="13" s="1"/>
  <c r="Z73" i="13" s="1"/>
  <c r="AE81" i="12"/>
  <c r="AE82" i="12" s="1"/>
  <c r="Y83" i="12" s="1"/>
  <c r="AE141" i="12"/>
  <c r="AE142" i="12" s="1"/>
  <c r="Z143" i="12" s="1"/>
  <c r="AE150" i="13" l="1"/>
  <c r="AF130" i="13"/>
  <c r="AG131" i="13" s="1"/>
  <c r="AG132" i="13" s="1"/>
  <c r="Y133" i="13" s="1"/>
  <c r="AD21" i="12"/>
  <c r="AD22" i="12" s="1"/>
  <c r="AC23" i="12" s="1"/>
  <c r="AF141" i="13"/>
  <c r="AF142" i="13" s="1"/>
  <c r="AA143" i="13" s="1"/>
  <c r="AH110" i="13"/>
  <c r="AF100" i="13"/>
  <c r="AK50" i="13"/>
  <c r="AE80" i="13"/>
  <c r="AF90" i="12"/>
  <c r="AG161" i="12"/>
  <c r="AG162" i="12" s="1"/>
  <c r="Z163" i="12" s="1"/>
  <c r="AE140" i="12"/>
  <c r="AD20" i="13"/>
  <c r="AD30" i="12"/>
  <c r="AG110" i="12"/>
  <c r="AE100" i="12"/>
  <c r="AH151" i="12"/>
  <c r="AH152" i="12" s="1"/>
  <c r="Y153" i="12" s="1"/>
  <c r="AE80" i="12"/>
  <c r="AE161" i="13"/>
  <c r="AE162" i="13" s="1"/>
  <c r="X163" i="13" s="1"/>
  <c r="AE131" i="12"/>
  <c r="AE132" i="12" s="1"/>
  <c r="W133" i="12" s="1"/>
  <c r="AF71" i="12"/>
  <c r="AF72" i="12" s="1"/>
  <c r="AA73" i="12" s="1"/>
  <c r="AG60" i="13"/>
  <c r="AH61" i="12"/>
  <c r="AH62" i="12" s="1"/>
  <c r="X63" i="12" s="1"/>
  <c r="AE121" i="12"/>
  <c r="AE122" i="12" s="1"/>
  <c r="AB123" i="12" s="1"/>
  <c r="AE40" i="12"/>
  <c r="AF151" i="13"/>
  <c r="AF152" i="13" s="1"/>
  <c r="W153" i="13" s="1"/>
  <c r="AE70" i="13"/>
  <c r="AD121" i="13"/>
  <c r="AD122" i="13" s="1"/>
  <c r="AA123" i="13" s="1"/>
  <c r="AG91" i="13"/>
  <c r="AG92" i="13" s="1"/>
  <c r="X93" i="13" s="1"/>
  <c r="AE31" i="13"/>
  <c r="AE32" i="13" s="1"/>
  <c r="AC33" i="13" s="1"/>
  <c r="AC40" i="13"/>
  <c r="AF70" i="12" l="1"/>
  <c r="AF150" i="13"/>
  <c r="AG151" i="13"/>
  <c r="AG152" i="13" s="1"/>
  <c r="X153" i="13" s="1"/>
  <c r="AF81" i="13"/>
  <c r="AF82" i="13" s="1"/>
  <c r="Z83" i="13" s="1"/>
  <c r="AL51" i="13"/>
  <c r="AL52" i="13" s="1"/>
  <c r="AL50" i="13" s="1"/>
  <c r="AD20" i="12"/>
  <c r="AE31" i="12"/>
  <c r="AE32" i="12" s="1"/>
  <c r="AC33" i="12" s="1"/>
  <c r="AG90" i="13"/>
  <c r="AE120" i="12"/>
  <c r="AE160" i="13"/>
  <c r="AI111" i="13"/>
  <c r="AI112" i="13" s="1"/>
  <c r="X113" i="13" s="1"/>
  <c r="AH61" i="13"/>
  <c r="AH62" i="13" s="1"/>
  <c r="X63" i="13" s="1"/>
  <c r="AG160" i="12"/>
  <c r="AG71" i="12"/>
  <c r="AG72" i="12" s="1"/>
  <c r="AB73" i="12" s="1"/>
  <c r="AF101" i="12"/>
  <c r="AF102" i="12" s="1"/>
  <c r="AB103" i="12" s="1"/>
  <c r="AE30" i="13"/>
  <c r="AF41" i="12"/>
  <c r="AF42" i="12" s="1"/>
  <c r="AC43" i="12" s="1"/>
  <c r="AH111" i="12"/>
  <c r="AH112" i="12" s="1"/>
  <c r="W113" i="12" s="1"/>
  <c r="AE130" i="12"/>
  <c r="AG101" i="13"/>
  <c r="AG102" i="13" s="1"/>
  <c r="AC103" i="13" s="1"/>
  <c r="AE21" i="13"/>
  <c r="AE22" i="13" s="1"/>
  <c r="AD23" i="13" s="1"/>
  <c r="AF141" i="12"/>
  <c r="AF142" i="12" s="1"/>
  <c r="AA143" i="12" s="1"/>
  <c r="AG130" i="13"/>
  <c r="AD120" i="13"/>
  <c r="AH60" i="12"/>
  <c r="AF81" i="12"/>
  <c r="AF82" i="12" s="1"/>
  <c r="Z83" i="12" s="1"/>
  <c r="AF71" i="13"/>
  <c r="AF72" i="13" s="1"/>
  <c r="AA73" i="13" s="1"/>
  <c r="AD41" i="13"/>
  <c r="AD42" i="13" s="1"/>
  <c r="AA43" i="13" s="1"/>
  <c r="AH150" i="12"/>
  <c r="AG91" i="12"/>
  <c r="AG92" i="12" s="1"/>
  <c r="X93" i="12" s="1"/>
  <c r="AF140" i="13"/>
  <c r="AF140" i="12" l="1"/>
  <c r="AG70" i="12"/>
  <c r="AE30" i="12"/>
  <c r="AF31" i="12" s="1"/>
  <c r="AF32" i="12" s="1"/>
  <c r="AD33" i="12" s="1"/>
  <c r="AM51" i="13"/>
  <c r="AM52" i="13" s="1"/>
  <c r="AM50" i="13" s="1"/>
  <c r="AG141" i="12"/>
  <c r="AG142" i="12" s="1"/>
  <c r="AB143" i="12" s="1"/>
  <c r="AE21" i="12"/>
  <c r="AE22" i="12" s="1"/>
  <c r="AD23" i="12" s="1"/>
  <c r="AG141" i="13"/>
  <c r="AG142" i="13" s="1"/>
  <c r="AB143" i="13" s="1"/>
  <c r="AE20" i="13"/>
  <c r="AF31" i="13"/>
  <c r="AF32" i="13" s="1"/>
  <c r="AD33" i="13" s="1"/>
  <c r="AI61" i="12"/>
  <c r="AI62" i="12" s="1"/>
  <c r="Y63" i="12" s="1"/>
  <c r="AG100" i="13"/>
  <c r="AF100" i="12"/>
  <c r="AF161" i="13"/>
  <c r="AF162" i="13" s="1"/>
  <c r="Y163" i="13" s="1"/>
  <c r="AF70" i="13"/>
  <c r="AF40" i="12"/>
  <c r="AH60" i="13"/>
  <c r="AF80" i="12"/>
  <c r="AI110" i="13"/>
  <c r="AG90" i="12"/>
  <c r="AI151" i="12"/>
  <c r="AI152" i="12" s="1"/>
  <c r="Z153" i="12" s="1"/>
  <c r="AE121" i="13"/>
  <c r="AE122" i="13" s="1"/>
  <c r="AB123" i="13" s="1"/>
  <c r="AF131" i="12"/>
  <c r="AF132" i="12" s="1"/>
  <c r="X133" i="12" s="1"/>
  <c r="AF121" i="12"/>
  <c r="AF122" i="12" s="1"/>
  <c r="AC123" i="12" s="1"/>
  <c r="AF80" i="13"/>
  <c r="AH131" i="13"/>
  <c r="AH132" i="13" s="1"/>
  <c r="Z133" i="13" s="1"/>
  <c r="AH71" i="12"/>
  <c r="AH72" i="12" s="1"/>
  <c r="AC73" i="12" s="1"/>
  <c r="AH91" i="13"/>
  <c r="AH92" i="13" s="1"/>
  <c r="Y93" i="13" s="1"/>
  <c r="AD40" i="13"/>
  <c r="AH110" i="12"/>
  <c r="AH161" i="12"/>
  <c r="AH162" i="12" s="1"/>
  <c r="AA163" i="12" s="1"/>
  <c r="AG150" i="13"/>
  <c r="AF30" i="13" l="1"/>
  <c r="AF160" i="13"/>
  <c r="AF30" i="12"/>
  <c r="AG31" i="12" s="1"/>
  <c r="AG32" i="12" s="1"/>
  <c r="AE33" i="12" s="1"/>
  <c r="AH130" i="13"/>
  <c r="AI150" i="12"/>
  <c r="AN51" i="13"/>
  <c r="AN52" i="13" s="1"/>
  <c r="AN50" i="13" s="1"/>
  <c r="AJ151" i="12"/>
  <c r="AJ152" i="12" s="1"/>
  <c r="AA153" i="12" s="1"/>
  <c r="AH91" i="12"/>
  <c r="AH92" i="12" s="1"/>
  <c r="Y93" i="12" s="1"/>
  <c r="AG140" i="13"/>
  <c r="AF130" i="12"/>
  <c r="AI61" i="13"/>
  <c r="AI62" i="13" s="1"/>
  <c r="Y63" i="13" s="1"/>
  <c r="AI60" i="12"/>
  <c r="AG81" i="13"/>
  <c r="AG82" i="13" s="1"/>
  <c r="AA83" i="13" s="1"/>
  <c r="AG161" i="13"/>
  <c r="AG162" i="13" s="1"/>
  <c r="Z163" i="13" s="1"/>
  <c r="AH90" i="13"/>
  <c r="AG101" i="12"/>
  <c r="AG102" i="12" s="1"/>
  <c r="AC103" i="12" s="1"/>
  <c r="AJ111" i="13"/>
  <c r="AJ112" i="13" s="1"/>
  <c r="Y113" i="13" s="1"/>
  <c r="AH101" i="13"/>
  <c r="AH102" i="13" s="1"/>
  <c r="AD103" i="13" s="1"/>
  <c r="AH151" i="13"/>
  <c r="AH152" i="13" s="1"/>
  <c r="Y153" i="13" s="1"/>
  <c r="AH70" i="12"/>
  <c r="AE20" i="12"/>
  <c r="AH160" i="12"/>
  <c r="AI131" i="13"/>
  <c r="AI132" i="13" s="1"/>
  <c r="AA133" i="13" s="1"/>
  <c r="AG41" i="12"/>
  <c r="AG42" i="12" s="1"/>
  <c r="AD43" i="12" s="1"/>
  <c r="AG140" i="12"/>
  <c r="AF120" i="12"/>
  <c r="AG81" i="12"/>
  <c r="AG82" i="12" s="1"/>
  <c r="AA83" i="12" s="1"/>
  <c r="AI111" i="12"/>
  <c r="AI112" i="12" s="1"/>
  <c r="X113" i="12" s="1"/>
  <c r="AE120" i="13"/>
  <c r="AG71" i="13"/>
  <c r="AG72" i="13" s="1"/>
  <c r="AB73" i="13" s="1"/>
  <c r="AG31" i="13"/>
  <c r="AG32" i="13" s="1"/>
  <c r="AE33" i="13" s="1"/>
  <c r="AE41" i="13"/>
  <c r="AE42" i="13" s="1"/>
  <c r="AB43" i="13" s="1"/>
  <c r="AF21" i="13"/>
  <c r="AF22" i="13" s="1"/>
  <c r="AE23" i="13" s="1"/>
  <c r="AG80" i="12" l="1"/>
  <c r="AO51" i="13"/>
  <c r="AO52" i="13" s="1"/>
  <c r="AO50" i="13" s="1"/>
  <c r="AG30" i="12"/>
  <c r="AH90" i="12"/>
  <c r="AG80" i="13"/>
  <c r="AH150" i="13"/>
  <c r="AG160" i="13"/>
  <c r="AH100" i="13"/>
  <c r="AI110" i="12"/>
  <c r="AI130" i="13"/>
  <c r="AE40" i="13"/>
  <c r="AI161" i="12"/>
  <c r="AI162" i="12" s="1"/>
  <c r="AB163" i="12" s="1"/>
  <c r="AJ110" i="13"/>
  <c r="AJ61" i="12"/>
  <c r="AJ62" i="12" s="1"/>
  <c r="Z63" i="12" s="1"/>
  <c r="AJ150" i="12"/>
  <c r="AG130" i="12"/>
  <c r="AG131" i="12"/>
  <c r="AG132" i="12" s="1"/>
  <c r="Y133" i="12" s="1"/>
  <c r="AF20" i="13"/>
  <c r="AG70" i="13"/>
  <c r="AH141" i="13"/>
  <c r="AH142" i="13" s="1"/>
  <c r="AC143" i="13" s="1"/>
  <c r="AH81" i="12"/>
  <c r="AH82" i="12" s="1"/>
  <c r="AB83" i="12" s="1"/>
  <c r="AF21" i="12"/>
  <c r="AF22" i="12" s="1"/>
  <c r="AE23" i="12" s="1"/>
  <c r="AH141" i="12"/>
  <c r="AH142" i="12" s="1"/>
  <c r="AC143" i="12" s="1"/>
  <c r="AI91" i="13"/>
  <c r="AI92" i="13" s="1"/>
  <c r="Z93" i="13" s="1"/>
  <c r="AF121" i="13"/>
  <c r="AF122" i="13" s="1"/>
  <c r="AC123" i="13" s="1"/>
  <c r="AG40" i="12"/>
  <c r="AG30" i="13"/>
  <c r="AG121" i="12"/>
  <c r="AG122" i="12" s="1"/>
  <c r="AD123" i="12" s="1"/>
  <c r="AI71" i="12"/>
  <c r="AI72" i="12" s="1"/>
  <c r="AD73" i="12" s="1"/>
  <c r="AG100" i="12"/>
  <c r="AI60" i="13"/>
  <c r="AH80" i="12" l="1"/>
  <c r="AI81" i="12" s="1"/>
  <c r="AI82" i="12" s="1"/>
  <c r="AC83" i="12" s="1"/>
  <c r="AF120" i="13"/>
  <c r="AP51" i="13"/>
  <c r="AP52" i="13" s="1"/>
  <c r="AP50" i="13" s="1"/>
  <c r="AG121" i="13"/>
  <c r="AG122" i="13" s="1"/>
  <c r="AD123" i="13" s="1"/>
  <c r="AJ60" i="12"/>
  <c r="AI70" i="12"/>
  <c r="AH81" i="13"/>
  <c r="AH82" i="13" s="1"/>
  <c r="AB83" i="13" s="1"/>
  <c r="AG120" i="12"/>
  <c r="AH140" i="12"/>
  <c r="AG21" i="13"/>
  <c r="AG22" i="13" s="1"/>
  <c r="AF23" i="13" s="1"/>
  <c r="AI160" i="12"/>
  <c r="AI91" i="12"/>
  <c r="AI92" i="12" s="1"/>
  <c r="Z93" i="12" s="1"/>
  <c r="AH101" i="12"/>
  <c r="AH102" i="12" s="1"/>
  <c r="AD103" i="12" s="1"/>
  <c r="AI90" i="13"/>
  <c r="AH31" i="13"/>
  <c r="AH32" i="13" s="1"/>
  <c r="AF33" i="13" s="1"/>
  <c r="AF41" i="13"/>
  <c r="AF42" i="13" s="1"/>
  <c r="AC43" i="13" s="1"/>
  <c r="AH31" i="12"/>
  <c r="AH32" i="12" s="1"/>
  <c r="AF33" i="12" s="1"/>
  <c r="AI101" i="13"/>
  <c r="AI102" i="13" s="1"/>
  <c r="AE103" i="13" s="1"/>
  <c r="AH161" i="13"/>
  <c r="AH162" i="13" s="1"/>
  <c r="AA163" i="13" s="1"/>
  <c r="AH140" i="13"/>
  <c r="AK111" i="13"/>
  <c r="AK112" i="13" s="1"/>
  <c r="Z113" i="13" s="1"/>
  <c r="AI151" i="13"/>
  <c r="AI152" i="13" s="1"/>
  <c r="Z153" i="13" s="1"/>
  <c r="AH71" i="13"/>
  <c r="AH72" i="13" s="1"/>
  <c r="AC73" i="13" s="1"/>
  <c r="AH41" i="12"/>
  <c r="AH42" i="12" s="1"/>
  <c r="AE43" i="12" s="1"/>
  <c r="AF20" i="12"/>
  <c r="AH131" i="12"/>
  <c r="AH132" i="12" s="1"/>
  <c r="Z133" i="12" s="1"/>
  <c r="AJ131" i="13"/>
  <c r="AJ132" i="13" s="1"/>
  <c r="AB133" i="13" s="1"/>
  <c r="AJ61" i="13"/>
  <c r="AJ62" i="13" s="1"/>
  <c r="Z63" i="13" s="1"/>
  <c r="AK151" i="12"/>
  <c r="AK152" i="12" s="1"/>
  <c r="AB153" i="12" s="1"/>
  <c r="AJ111" i="12"/>
  <c r="AJ112" i="12" s="1"/>
  <c r="Y113" i="12" s="1"/>
  <c r="AI150" i="13" l="1"/>
  <c r="AH100" i="12"/>
  <c r="AJ130" i="13"/>
  <c r="AI100" i="13"/>
  <c r="AJ101" i="13" s="1"/>
  <c r="AJ102" i="13" s="1"/>
  <c r="AF103" i="13" s="1"/>
  <c r="AH70" i="13"/>
  <c r="AI71" i="13" s="1"/>
  <c r="AI72" i="13" s="1"/>
  <c r="AQ51" i="13"/>
  <c r="AQ52" i="13" s="1"/>
  <c r="AQ50" i="13" s="1"/>
  <c r="AI101" i="12"/>
  <c r="AI102" i="12" s="1"/>
  <c r="AE103" i="12" s="1"/>
  <c r="AK150" i="12"/>
  <c r="AH30" i="12"/>
  <c r="AI90" i="12"/>
  <c r="AJ71" i="12"/>
  <c r="AJ72" i="12" s="1"/>
  <c r="AE73" i="12" s="1"/>
  <c r="AJ60" i="13"/>
  <c r="AI141" i="13"/>
  <c r="AI142" i="13" s="1"/>
  <c r="AD143" i="13" s="1"/>
  <c r="AJ161" i="12"/>
  <c r="AJ162" i="12" s="1"/>
  <c r="AC163" i="12" s="1"/>
  <c r="AK61" i="12"/>
  <c r="AK62" i="12" s="1"/>
  <c r="AA63" i="12" s="1"/>
  <c r="AH130" i="12"/>
  <c r="AK110" i="13"/>
  <c r="AF40" i="13"/>
  <c r="AH40" i="12"/>
  <c r="AI80" i="12"/>
  <c r="AH160" i="13"/>
  <c r="AH30" i="13"/>
  <c r="AG20" i="13"/>
  <c r="AG120" i="13"/>
  <c r="AJ91" i="13"/>
  <c r="AJ92" i="13" s="1"/>
  <c r="AA93" i="13" s="1"/>
  <c r="AI141" i="12"/>
  <c r="AI142" i="12" s="1"/>
  <c r="AD143" i="12" s="1"/>
  <c r="AJ151" i="13"/>
  <c r="AJ152" i="13" s="1"/>
  <c r="AA153" i="13" s="1"/>
  <c r="AH80" i="13"/>
  <c r="AG21" i="12"/>
  <c r="AG22" i="12" s="1"/>
  <c r="AF23" i="12" s="1"/>
  <c r="AJ110" i="12"/>
  <c r="AK131" i="13"/>
  <c r="AK132" i="13" s="1"/>
  <c r="AC133" i="13" s="1"/>
  <c r="AH121" i="12"/>
  <c r="AH122" i="12" s="1"/>
  <c r="AE123" i="12" s="1"/>
  <c r="AD73" i="13" l="1"/>
  <c r="AI70" i="13"/>
  <c r="AH120" i="12"/>
  <c r="AI121" i="12" s="1"/>
  <c r="AI122" i="12" s="1"/>
  <c r="AF123" i="12" s="1"/>
  <c r="AR51" i="13"/>
  <c r="AR52" i="13" s="1"/>
  <c r="AR50" i="13" s="1"/>
  <c r="AI81" i="13"/>
  <c r="AI82" i="13" s="1"/>
  <c r="AC83" i="13" s="1"/>
  <c r="AH121" i="13"/>
  <c r="AH122" i="13" s="1"/>
  <c r="AE123" i="13" s="1"/>
  <c r="AI131" i="12"/>
  <c r="AI132" i="12" s="1"/>
  <c r="AA133" i="12" s="1"/>
  <c r="AJ70" i="12"/>
  <c r="AI31" i="13"/>
  <c r="AI32" i="13" s="1"/>
  <c r="AG33" i="13" s="1"/>
  <c r="AK60" i="12"/>
  <c r="AI31" i="12"/>
  <c r="AI32" i="12" s="1"/>
  <c r="AG33" i="12" s="1"/>
  <c r="AK111" i="12"/>
  <c r="AK112" i="12" s="1"/>
  <c r="Z113" i="12" s="1"/>
  <c r="AJ81" i="12"/>
  <c r="AJ82" i="12" s="1"/>
  <c r="AD83" i="12" s="1"/>
  <c r="AJ90" i="13"/>
  <c r="AI41" i="12"/>
  <c r="AI42" i="12" s="1"/>
  <c r="AF43" i="12" s="1"/>
  <c r="AJ71" i="13"/>
  <c r="AJ72" i="13" s="1"/>
  <c r="AE73" i="13" s="1"/>
  <c r="AL111" i="13"/>
  <c r="AL112" i="13" s="1"/>
  <c r="AL110" i="13" s="1"/>
  <c r="AK61" i="13"/>
  <c r="AK62" i="13" s="1"/>
  <c r="AA63" i="13" s="1"/>
  <c r="AJ100" i="13"/>
  <c r="AJ150" i="13"/>
  <c r="AH21" i="13"/>
  <c r="AH22" i="13" s="1"/>
  <c r="AG23" i="13" s="1"/>
  <c r="AJ91" i="12"/>
  <c r="AJ92" i="12" s="1"/>
  <c r="AA93" i="12" s="1"/>
  <c r="AK130" i="13"/>
  <c r="AI140" i="12"/>
  <c r="AI161" i="13"/>
  <c r="AI162" i="13" s="1"/>
  <c r="AB163" i="13" s="1"/>
  <c r="AJ160" i="12"/>
  <c r="AL151" i="12"/>
  <c r="AL152" i="12" s="1"/>
  <c r="AL150" i="12" s="1"/>
  <c r="AG20" i="12"/>
  <c r="AG41" i="13"/>
  <c r="AG42" i="13" s="1"/>
  <c r="AD43" i="13" s="1"/>
  <c r="AI140" i="13"/>
  <c r="AI100" i="12"/>
  <c r="AI80" i="13" l="1"/>
  <c r="AJ90" i="12"/>
  <c r="AI30" i="13"/>
  <c r="AJ31" i="13" s="1"/>
  <c r="AJ32" i="13" s="1"/>
  <c r="AH33" i="13" s="1"/>
  <c r="AS51" i="13"/>
  <c r="AS52" i="13" s="1"/>
  <c r="AS50" i="13" s="1"/>
  <c r="AK71" i="12"/>
  <c r="AK72" i="12" s="1"/>
  <c r="AF73" i="12" s="1"/>
  <c r="AK151" i="13"/>
  <c r="AK152" i="13" s="1"/>
  <c r="AB153" i="13" s="1"/>
  <c r="AK110" i="12"/>
  <c r="AJ141" i="13"/>
  <c r="AJ142" i="13" s="1"/>
  <c r="AE143" i="13" s="1"/>
  <c r="AK101" i="13"/>
  <c r="AK102" i="13" s="1"/>
  <c r="AG103" i="13" s="1"/>
  <c r="AI120" i="12"/>
  <c r="AI30" i="12"/>
  <c r="AH120" i="13"/>
  <c r="AG40" i="13"/>
  <c r="AL131" i="13"/>
  <c r="AL132" i="13" s="1"/>
  <c r="AL130" i="13" s="1"/>
  <c r="AK60" i="13"/>
  <c r="AI40" i="12"/>
  <c r="AL61" i="12"/>
  <c r="AL62" i="12" s="1"/>
  <c r="AL60" i="12" s="1"/>
  <c r="AK91" i="12"/>
  <c r="AK92" i="12" s="1"/>
  <c r="AB93" i="12" s="1"/>
  <c r="AJ80" i="12"/>
  <c r="AK161" i="12"/>
  <c r="AK162" i="12" s="1"/>
  <c r="AD163" i="12" s="1"/>
  <c r="AH20" i="13"/>
  <c r="AJ70" i="13"/>
  <c r="AJ101" i="12"/>
  <c r="AJ102" i="12" s="1"/>
  <c r="AF103" i="12" s="1"/>
  <c r="AI130" i="12"/>
  <c r="AI160" i="13"/>
  <c r="AJ141" i="12"/>
  <c r="AJ142" i="12" s="1"/>
  <c r="AE143" i="12" s="1"/>
  <c r="AH21" i="12"/>
  <c r="AH22" i="12" s="1"/>
  <c r="AG23" i="12" s="1"/>
  <c r="AK91" i="13"/>
  <c r="AK92" i="13" s="1"/>
  <c r="AB93" i="13" s="1"/>
  <c r="AJ81" i="13"/>
  <c r="AJ82" i="13" s="1"/>
  <c r="AD83" i="13" s="1"/>
  <c r="AK90" i="12" l="1"/>
  <c r="AJ80" i="13"/>
  <c r="AT51" i="13"/>
  <c r="AT52" i="13" s="1"/>
  <c r="AT50" i="13" s="1"/>
  <c r="AH20" i="12"/>
  <c r="AJ41" i="12"/>
  <c r="AJ42" i="12" s="1"/>
  <c r="AG43" i="12" s="1"/>
  <c r="AK70" i="12"/>
  <c r="AL61" i="13"/>
  <c r="AL62" i="13" s="1"/>
  <c r="AL60" i="13" s="1"/>
  <c r="AK100" i="13"/>
  <c r="AK90" i="13"/>
  <c r="AJ100" i="12"/>
  <c r="AJ31" i="12"/>
  <c r="AJ32" i="12" s="1"/>
  <c r="AH33" i="12" s="1"/>
  <c r="AK71" i="13"/>
  <c r="AK72" i="13" s="1"/>
  <c r="AF73" i="13" s="1"/>
  <c r="AJ121" i="12"/>
  <c r="AJ122" i="12" s="1"/>
  <c r="AG123" i="12" s="1"/>
  <c r="AJ140" i="12"/>
  <c r="AK160" i="12"/>
  <c r="AJ30" i="13"/>
  <c r="AL91" i="12"/>
  <c r="AL92" i="12" s="1"/>
  <c r="AL90" i="12" s="1"/>
  <c r="AK150" i="13"/>
  <c r="AJ161" i="13"/>
  <c r="AJ162" i="13" s="1"/>
  <c r="AC163" i="13" s="1"/>
  <c r="AK81" i="12"/>
  <c r="AK82" i="12" s="1"/>
  <c r="AE83" i="12" s="1"/>
  <c r="AJ140" i="13"/>
  <c r="AI121" i="13"/>
  <c r="AI122" i="13" s="1"/>
  <c r="AF123" i="13" s="1"/>
  <c r="AI21" i="13"/>
  <c r="AI22" i="13" s="1"/>
  <c r="AH23" i="13" s="1"/>
  <c r="AK81" i="13"/>
  <c r="AK82" i="13" s="1"/>
  <c r="AE83" i="13" s="1"/>
  <c r="AJ131" i="12"/>
  <c r="AJ132" i="12" s="1"/>
  <c r="AB133" i="12" s="1"/>
  <c r="AH41" i="13"/>
  <c r="AH42" i="13" s="1"/>
  <c r="AE43" i="13" s="1"/>
  <c r="AL111" i="12"/>
  <c r="AL112" i="12" s="1"/>
  <c r="AL110" i="12" s="1"/>
  <c r="AJ130" i="12" l="1"/>
  <c r="AK80" i="13"/>
  <c r="AK80" i="12"/>
  <c r="AJ120" i="12"/>
  <c r="AK121" i="12" s="1"/>
  <c r="AK122" i="12" s="1"/>
  <c r="AJ160" i="13"/>
  <c r="AK161" i="13" s="1"/>
  <c r="AK162" i="13" s="1"/>
  <c r="AD163" i="13" s="1"/>
  <c r="AU51" i="13"/>
  <c r="AU52" i="13" s="1"/>
  <c r="AU50" i="13" s="1"/>
  <c r="AK70" i="13"/>
  <c r="AH40" i="13"/>
  <c r="AK141" i="13"/>
  <c r="AK142" i="13" s="1"/>
  <c r="AF143" i="13" s="1"/>
  <c r="AK31" i="13"/>
  <c r="AK32" i="13" s="1"/>
  <c r="AI33" i="13" s="1"/>
  <c r="AJ30" i="12"/>
  <c r="AJ40" i="12"/>
  <c r="AL151" i="13"/>
  <c r="AL152" i="13" s="1"/>
  <c r="AL150" i="13" s="1"/>
  <c r="AL71" i="12"/>
  <c r="AL72" i="12" s="1"/>
  <c r="AL70" i="12" s="1"/>
  <c r="AI120" i="13"/>
  <c r="AK131" i="12"/>
  <c r="AK132" i="12" s="1"/>
  <c r="AC133" i="12" s="1"/>
  <c r="AL161" i="12"/>
  <c r="AL162" i="12" s="1"/>
  <c r="AL160" i="12" s="1"/>
  <c r="AK101" i="12"/>
  <c r="AK102" i="12" s="1"/>
  <c r="AG103" i="12" s="1"/>
  <c r="AI21" i="12"/>
  <c r="AI22" i="12" s="1"/>
  <c r="AH23" i="12" s="1"/>
  <c r="AL81" i="12"/>
  <c r="AL82" i="12" s="1"/>
  <c r="AL80" i="12" s="1"/>
  <c r="AK141" i="12"/>
  <c r="AK142" i="12" s="1"/>
  <c r="AF143" i="12" s="1"/>
  <c r="AL91" i="13"/>
  <c r="AL92" i="13" s="1"/>
  <c r="AL90" i="13" s="1"/>
  <c r="AI20" i="13"/>
  <c r="AL81" i="13"/>
  <c r="AL82" i="13" s="1"/>
  <c r="AL80" i="13" s="1"/>
  <c r="AL101" i="13"/>
  <c r="AL102" i="13" s="1"/>
  <c r="AL100" i="13" s="1"/>
  <c r="AH123" i="12" l="1"/>
  <c r="AK120" i="12"/>
  <c r="AI20" i="12"/>
  <c r="AK130" i="12"/>
  <c r="AV51" i="13"/>
  <c r="AV52" i="13" s="1"/>
  <c r="AV50" i="13" s="1"/>
  <c r="AL121" i="12"/>
  <c r="AL122" i="12" s="1"/>
  <c r="AL120" i="12" s="1"/>
  <c r="AJ21" i="12"/>
  <c r="AJ22" i="12" s="1"/>
  <c r="AI23" i="12" s="1"/>
  <c r="AK30" i="13"/>
  <c r="AK140" i="12"/>
  <c r="AI41" i="13"/>
  <c r="AI42" i="13" s="1"/>
  <c r="AF43" i="13" s="1"/>
  <c r="AK100" i="12"/>
  <c r="AK140" i="13"/>
  <c r="AK160" i="13"/>
  <c r="AL71" i="13"/>
  <c r="AL72" i="13" s="1"/>
  <c r="AL70" i="13" s="1"/>
  <c r="AJ21" i="13"/>
  <c r="AJ22" i="13" s="1"/>
  <c r="AI23" i="13" s="1"/>
  <c r="AK41" i="12"/>
  <c r="AK42" i="12" s="1"/>
  <c r="AH43" i="12" s="1"/>
  <c r="AJ121" i="13"/>
  <c r="AJ122" i="13" s="1"/>
  <c r="AG123" i="13" s="1"/>
  <c r="AK31" i="12"/>
  <c r="AK32" i="12" s="1"/>
  <c r="AI33" i="12" s="1"/>
  <c r="AJ20" i="13" l="1"/>
  <c r="AK30" i="12"/>
  <c r="AL131" i="12"/>
  <c r="AL132" i="12" s="1"/>
  <c r="AL130" i="12" s="1"/>
  <c r="AW51" i="13"/>
  <c r="AW52" i="13" s="1"/>
  <c r="AW50" i="13" s="1"/>
  <c r="AL31" i="12"/>
  <c r="AL32" i="12" s="1"/>
  <c r="AL30" i="12" s="1"/>
  <c r="AK21" i="13"/>
  <c r="AK22" i="13" s="1"/>
  <c r="AJ23" i="13" s="1"/>
  <c r="AL141" i="12"/>
  <c r="AL142" i="12" s="1"/>
  <c r="AL140" i="12" s="1"/>
  <c r="AL161" i="13"/>
  <c r="AL162" i="13" s="1"/>
  <c r="AL160" i="13" s="1"/>
  <c r="AL141" i="13"/>
  <c r="AL142" i="13" s="1"/>
  <c r="AL140" i="13" s="1"/>
  <c r="AL31" i="13"/>
  <c r="AL32" i="13" s="1"/>
  <c r="AL30" i="13" s="1"/>
  <c r="AJ120" i="13"/>
  <c r="AJ20" i="12"/>
  <c r="AK40" i="12"/>
  <c r="AL101" i="12"/>
  <c r="AL102" i="12" s="1"/>
  <c r="AL100" i="12" s="1"/>
  <c r="AI40" i="13"/>
  <c r="AX51" i="13" l="1"/>
  <c r="AX52" i="13" s="1"/>
  <c r="AX50" i="13" s="1"/>
  <c r="AK20" i="13"/>
  <c r="AJ41" i="13"/>
  <c r="AJ42" i="13" s="1"/>
  <c r="AG43" i="13" s="1"/>
  <c r="AK121" i="13"/>
  <c r="AK122" i="13" s="1"/>
  <c r="AH123" i="13" s="1"/>
  <c r="AK21" i="12"/>
  <c r="AK22" i="12" s="1"/>
  <c r="AJ23" i="12" s="1"/>
  <c r="AL41" i="12"/>
  <c r="AL42" i="12" s="1"/>
  <c r="AL40" i="12" s="1"/>
  <c r="AK20" i="12" l="1"/>
  <c r="AL21" i="12" s="1"/>
  <c r="AL22" i="12" s="1"/>
  <c r="AL20" i="12" s="1"/>
  <c r="AY51" i="13"/>
  <c r="AY52" i="13" s="1"/>
  <c r="AY50" i="13" s="1"/>
  <c r="AJ40" i="13"/>
  <c r="AL21" i="13"/>
  <c r="AL22" i="13" s="1"/>
  <c r="AL20" i="13" s="1"/>
  <c r="AK120" i="13"/>
  <c r="AZ51" i="13" l="1"/>
  <c r="AZ52" i="13" s="1"/>
  <c r="AZ50" i="13" s="1"/>
  <c r="AK41" i="13"/>
  <c r="AK42" i="13" s="1"/>
  <c r="AH43" i="13" s="1"/>
  <c r="AL121" i="13"/>
  <c r="AL122" i="13" s="1"/>
  <c r="AL120" i="13" s="1"/>
  <c r="BA51" i="13" l="1"/>
  <c r="BA52" i="13" s="1"/>
  <c r="BA50" i="13" s="1"/>
  <c r="AK40" i="13"/>
  <c r="BB51" i="13" l="1"/>
  <c r="BB52" i="13" s="1"/>
  <c r="BB50" i="13" s="1"/>
  <c r="AL41" i="13"/>
  <c r="AL42" i="13" s="1"/>
  <c r="AL40" i="13" s="1"/>
  <c r="BC51" i="13" l="1"/>
  <c r="BC52" i="13" s="1"/>
  <c r="BC50" i="13" s="1"/>
  <c r="BD51" i="13" l="1"/>
  <c r="BD52" i="13" s="1"/>
  <c r="BD50" i="13" s="1"/>
  <c r="BE51" i="13" l="1"/>
  <c r="BE52" i="13" s="1"/>
  <c r="BE50" i="13" s="1"/>
  <c r="BF51" i="13" l="1"/>
  <c r="BF52" i="13" s="1"/>
  <c r="BF50" i="13" s="1"/>
  <c r="BG51" i="13" l="1"/>
  <c r="BG52" i="13" s="1"/>
  <c r="BG50" i="13" s="1"/>
  <c r="BH51" i="13" l="1"/>
  <c r="BH52" i="13" s="1"/>
  <c r="BH50" i="13" s="1"/>
  <c r="BI51" i="13" l="1"/>
  <c r="BI52" i="13" s="1"/>
  <c r="BI50" i="13" s="1"/>
  <c r="BJ51" i="13" l="1"/>
  <c r="BJ52" i="13" s="1"/>
  <c r="BJ50" i="13" s="1"/>
  <c r="BK51" i="13" l="1"/>
  <c r="BK52" i="13" s="1"/>
  <c r="BK50" i="13" s="1"/>
  <c r="BL51" i="13" l="1"/>
  <c r="BL52" i="13" s="1"/>
  <c r="BL50" i="13" s="1"/>
  <c r="BM51" i="13" l="1"/>
  <c r="BM52" i="13" s="1"/>
  <c r="BM50" i="13" s="1"/>
  <c r="BN51" i="13" l="1"/>
  <c r="BN52" i="13" s="1"/>
  <c r="BN50" i="13" s="1"/>
  <c r="BO51" i="13" l="1"/>
  <c r="BO52" i="13" s="1"/>
  <c r="BO50" i="13" s="1"/>
  <c r="BP51" i="13" l="1"/>
  <c r="BP52" i="13" s="1"/>
  <c r="BP50" i="13" s="1"/>
  <c r="BQ51" i="13" l="1"/>
  <c r="BQ52" i="13" s="1"/>
  <c r="BQ50" i="13" s="1"/>
  <c r="BR51" i="13" l="1"/>
  <c r="BR52" i="13" s="1"/>
  <c r="BR50" i="13" s="1"/>
</calcChain>
</file>

<file path=xl/sharedStrings.xml><?xml version="1.0" encoding="utf-8"?>
<sst xmlns="http://schemas.openxmlformats.org/spreadsheetml/2006/main" count="7942" uniqueCount="513">
  <si>
    <t>Week</t>
  </si>
  <si>
    <t>A</t>
  </si>
  <si>
    <t>B</t>
  </si>
  <si>
    <t>C</t>
  </si>
  <si>
    <t>D</t>
  </si>
  <si>
    <t>E</t>
  </si>
  <si>
    <t>F</t>
  </si>
  <si>
    <t>RM01</t>
  </si>
  <si>
    <t>RM02</t>
  </si>
  <si>
    <t>RM03</t>
  </si>
  <si>
    <t>RM04</t>
  </si>
  <si>
    <t>RM05</t>
  </si>
  <si>
    <t>RM06</t>
  </si>
  <si>
    <t>RM07</t>
  </si>
  <si>
    <t>RM08</t>
  </si>
  <si>
    <t>RM09</t>
  </si>
  <si>
    <t>RM10</t>
  </si>
  <si>
    <t>RM11</t>
  </si>
  <si>
    <t>RM12</t>
  </si>
  <si>
    <t>RM13</t>
  </si>
  <si>
    <t>RM14</t>
  </si>
  <si>
    <t>RM15</t>
  </si>
  <si>
    <t>BOM usage helper</t>
  </si>
  <si>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</si>
  <si>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</si>
  <si>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</si>
  <si>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</si>
  <si>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</si>
  <si>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</si>
  <si>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</si>
  <si>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</si>
  <si>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</si>
  <si>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</si>
  <si>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</si>
  <si>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</si>
  <si>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</si>
  <si>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</si>
  <si>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</si>
  <si>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</si>
  <si>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</si>
  <si>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</si>
  <si>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</si>
  <si>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</si>
  <si>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</si>
  <si>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</si>
  <si>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</si>
  <si>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</si>
  <si>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</si>
  <si>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</si>
  <si>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</si>
  <si>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</si>
  <si>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</si>
  <si>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</si>
  <si>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2025 Fantasy Spaceship Model DIY kits</t>
  </si>
  <si>
    <t>US</t>
  </si>
  <si>
    <t>Arts &amp; Crafts Toy</t>
  </si>
  <si>
    <t>789EF</t>
  </si>
  <si>
    <t>2026 Automatic Robot ver</t>
  </si>
  <si>
    <t>Electronic Toy</t>
  </si>
  <si>
    <t>123AB</t>
  </si>
  <si>
    <t>2026 Scooter ver</t>
  </si>
  <si>
    <t>Australia</t>
  </si>
  <si>
    <t>Outdoor &amp; Sports Toy</t>
  </si>
  <si>
    <t>2025 Barbie ver colorful</t>
  </si>
  <si>
    <t>Doll</t>
  </si>
  <si>
    <t>2026 Castle &amp; Farm Blocks</t>
  </si>
  <si>
    <t>UK</t>
  </si>
  <si>
    <t>Building &amp; Construction Toy</t>
  </si>
  <si>
    <t>456CD</t>
  </si>
  <si>
    <t>2026 Animal Animation Book</t>
  </si>
  <si>
    <t>Educational Toy</t>
  </si>
  <si>
    <t>week first day</t>
  </si>
  <si>
    <t>production day</t>
  </si>
  <si>
    <t>Total Demand by SKU-Week</t>
  </si>
  <si>
    <t>market</t>
  </si>
  <si>
    <t>carton</t>
  </si>
  <si>
    <t>volume</t>
  </si>
  <si>
    <t>Packing size (pcs/ carton)</t>
  </si>
  <si>
    <t xml:space="preserve"> CBM (100 cartons) </t>
  </si>
  <si>
    <t>Summary by Week-Fixture</t>
  </si>
  <si>
    <t>Plant Summary by Week</t>
  </si>
  <si>
    <t>Shared Fixture Cap</t>
  </si>
  <si>
    <t>Total Demand</t>
  </si>
  <si>
    <t>Total Planned</t>
  </si>
  <si>
    <t>Ending FG Total</t>
  </si>
  <si>
    <t>Total Shortage</t>
  </si>
  <si>
    <t>Utilization %</t>
  </si>
  <si>
    <t>Status</t>
  </si>
  <si>
    <t>Plant Cap</t>
  </si>
  <si>
    <t>Total Ending FG</t>
  </si>
  <si>
    <t>Note</t>
  </si>
  <si>
    <t>This workbook follows the backward logic from your uploaded MPS sample. Beginning FG of the first week is fixed at 0, shortage is allowed, and week 13-Apr-2026 is added as the first production week.</t>
  </si>
  <si>
    <t>SKU</t>
  </si>
  <si>
    <t>Weekly Capacity</t>
  </si>
  <si>
    <t>Beginning FG Inv</t>
  </si>
  <si>
    <t>Storage Cap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</si>
  <si>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</si>
  <si>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</si>
  <si>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</si>
  <si>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</si>
  <si>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</si>
  <si>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</si>
  <si>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</si>
  <si>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</si>
  <si>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>Shared Planned Before SKU</t>
  </si>
  <si>
    <t>Remaining Shared Fixture Cap</t>
  </si>
  <si>
    <t>Fulfilled Demand</t>
  </si>
  <si>
    <t>First week beginning FG fixed at 0; shared cap locked in Q</t>
  </si>
  <si>
    <t>Carryover is computed backward from next week</t>
  </si>
  <si>
    <t>Lower-priority SKU uses remaining shared fixture capacity only</t>
  </si>
  <si>
    <t>First week beginning FG fixed at 0</t>
  </si>
  <si>
    <t>Backward MPS Input</t>
  </si>
  <si>
    <t>Planning logic</t>
  </si>
  <si>
    <t>Backward scheduling with shared fixture cap lock by fixture-week</t>
  </si>
  <si>
    <t>Production can start from</t>
  </si>
  <si>
    <t>Demand source</t>
  </si>
  <si>
    <t>SCM_round2.1.xlsx / demand_matrix</t>
  </si>
  <si>
    <t>Opening FG assumption</t>
  </si>
  <si>
    <t>Shortage rule</t>
  </si>
  <si>
    <t>Allowed; not forced to zero; capacity shared by fixture-week with priority A&gt;B, C&gt;D, E&gt;F</t>
  </si>
  <si>
    <t>Description</t>
  </si>
  <si>
    <t>Opening FG</t>
  </si>
  <si>
    <t>Priority</t>
  </si>
  <si>
    <t>Items</t>
  </si>
  <si>
    <t>Lot size</t>
  </si>
  <si>
    <t>Lead time</t>
  </si>
  <si>
    <t>1-2 weeks</t>
  </si>
  <si>
    <t>Beginning inventory</t>
  </si>
  <si>
    <t>Scheduled receipts</t>
  </si>
  <si>
    <t>Safety stock</t>
  </si>
  <si>
    <t>Local=1 wk avg demand; Oversea=2 wks avg demand</t>
  </si>
  <si>
    <t>Item RM01</t>
  </si>
  <si>
    <t>LLC: 1</t>
  </si>
  <si>
    <t>Lot size: L4L</t>
  </si>
  <si>
    <t>Gross requirement</t>
  </si>
  <si>
    <t>Projected on hand</t>
  </si>
  <si>
    <t>Net requirements</t>
  </si>
  <si>
    <t>Planned order receipts</t>
  </si>
  <si>
    <t>Planned order releases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</si>
  <si>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</si>
  <si>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</si>
  <si>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</si>
  <si>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</si>
  <si>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</si>
  <si>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</si>
  <si>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</si>
  <si>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</si>
  <si>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</si>
  <si>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</si>
  <si>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</si>
  <si>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</si>
  <si>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</si>
  <si>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</si>
  <si>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LLC: 1 | scenario usable PCBA</t>
  </si>
  <si>
    <t>Market</t>
  </si>
  <si>
    <t>Product Group</t>
  </si>
  <si>
    <t>Weekly Cap</t>
  </si>
  <si>
    <t>Ship Request</t>
  </si>
  <si>
    <t>Demand Qty</t>
  </si>
  <si>
    <t>15/04</t>
  </si>
  <si>
    <t>16/04</t>
  </si>
  <si>
    <t>17/04</t>
  </si>
  <si>
    <t>18/04</t>
  </si>
  <si>
    <t>20/04</t>
  </si>
  <si>
    <t>21/04</t>
  </si>
  <si>
    <t>22/04</t>
  </si>
  <si>
    <t>23/04</t>
  </si>
  <si>
    <t>24/04</t>
  </si>
  <si>
    <t>25/04</t>
  </si>
  <si>
    <t>27/04</t>
  </si>
  <si>
    <t>28/04</t>
  </si>
  <si>
    <t>29/04</t>
  </si>
  <si>
    <t>30/04</t>
  </si>
  <si>
    <t>01/05</t>
  </si>
  <si>
    <t>02/05</t>
  </si>
  <si>
    <t>04/05</t>
  </si>
  <si>
    <t>05/05</t>
  </si>
  <si>
    <t>06/05</t>
  </si>
  <si>
    <t>07/05</t>
  </si>
  <si>
    <t>08/05</t>
  </si>
  <si>
    <t>09/05</t>
  </si>
  <si>
    <t>11/05</t>
  </si>
  <si>
    <t>12/05</t>
  </si>
  <si>
    <t>13/05</t>
  </si>
  <si>
    <t>14/05</t>
  </si>
  <si>
    <t>15/05</t>
  </si>
  <si>
    <t>Beg Inv</t>
  </si>
  <si>
    <t>Period Prod</t>
  </si>
  <si>
    <t>Available</t>
  </si>
  <si>
    <t>End Inv</t>
  </si>
  <si>
    <t>Risk</t>
  </si>
  <si>
    <t>Horizon Status</t>
  </si>
  <si>
    <t>OK</t>
  </si>
  <si>
    <t>WITHIN_HORIZON</t>
  </si>
  <si>
    <t>SHORTAGE</t>
  </si>
  <si>
    <t>BEYOND_HORIZON</t>
  </si>
  <si>
    <t>Scenario Planned Production</t>
  </si>
  <si>
    <t>Workday</t>
  </si>
  <si>
    <t>Date</t>
  </si>
  <si>
    <t>Cal Day</t>
  </si>
  <si>
    <t>Air Arrived</t>
  </si>
  <si>
    <t>Sea Arrived</t>
  </si>
  <si>
    <t>Reflash Avail</t>
  </si>
  <si>
    <t>Cumul PCBA</t>
  </si>
  <si>
    <t>A Prod Today</t>
  </si>
  <si>
    <t>Cumul A Prod</t>
  </si>
  <si>
    <t>PCBA Used (cum)</t>
  </si>
  <si>
    <t>PCBA Remaining</t>
  </si>
  <si>
    <t>Recovery %</t>
  </si>
  <si>
    <t>A Target Short</t>
  </si>
  <si>
    <t>A Actual Short</t>
  </si>
  <si>
    <t>A Short %</t>
  </si>
  <si>
    <t>Air PCBA</t>
  </si>
  <si>
    <t>Sea PCBA</t>
  </si>
  <si>
    <t>Air Cost (USD)</t>
  </si>
  <si>
    <t>A Planned</t>
  </si>
  <si>
    <t>A Shortage</t>
  </si>
  <si>
    <t>B Planned</t>
  </si>
  <si>
    <t>B Shortage</t>
  </si>
  <si>
    <t>C Planned</t>
  </si>
  <si>
    <t>C Shortage</t>
  </si>
  <si>
    <t>D Planned</t>
  </si>
  <si>
    <t>D Shortage</t>
  </si>
  <si>
    <t>E Planned</t>
  </si>
  <si>
    <t>E Shortage</t>
  </si>
  <si>
    <t>F Planned</t>
  </si>
  <si>
    <t>F Shortage</t>
  </si>
  <si>
    <t>0%</t>
  </si>
  <si>
    <t>56.5%</t>
  </si>
  <si>
    <t>10%</t>
  </si>
  <si>
    <t>50.8%</t>
  </si>
  <si>
    <t>20%</t>
  </si>
  <si>
    <t>45.2%</t>
  </si>
  <si>
    <t>30%</t>
  </si>
  <si>
    <t>39.5%</t>
  </si>
  <si>
    <t>40%</t>
  </si>
  <si>
    <t>33.9%</t>
  </si>
  <si>
    <t>50%</t>
  </si>
  <si>
    <t>28.2%</t>
  </si>
  <si>
    <t>60%</t>
  </si>
  <si>
    <t>22.6%</t>
  </si>
  <si>
    <t>70%</t>
  </si>
  <si>
    <t>16.9%</t>
  </si>
  <si>
    <t>80%</t>
  </si>
  <si>
    <t>11.3%</t>
  </si>
  <si>
    <t>90%</t>
  </si>
  <si>
    <t>5.6%</t>
  </si>
  <si>
    <t>95%</t>
  </si>
  <si>
    <t>2.8%</t>
  </si>
  <si>
    <t>100%</t>
  </si>
  <si>
    <t>0.0%</t>
  </si>
  <si>
    <t>SKU A Recovery Analysis</t>
  </si>
  <si>
    <t>Total Demand (all SKUs)</t>
  </si>
  <si>
    <t>143,029</t>
  </si>
  <si>
    <t>SKU A Demand</t>
  </si>
  <si>
    <t>51,684</t>
  </si>
  <si>
    <t>Planning Horizon</t>
  </si>
  <si>
    <t>27 workdays</t>
  </si>
  <si>
    <t>Scenario Parameters</t>
  </si>
  <si>
    <t>PCBA on hold (defective)</t>
  </si>
  <si>
    <t>370,000</t>
  </si>
  <si>
    <t>Reflash wait</t>
  </si>
  <si>
    <t>21 days (calendar)</t>
  </si>
  <si>
    <t>Supplier capacity</t>
  </si>
  <si>
    <t>4,000 PCBA/day</t>
  </si>
  <si>
    <t>Air lead time</t>
  </si>
  <si>
    <t>3 days</t>
  </si>
  <si>
    <t>Sea lead time</t>
  </si>
  <si>
    <t>21 days</t>
  </si>
  <si>
    <t>Air cost premium</t>
  </si>
  <si>
    <t>$2.0/PCBA</t>
  </si>
  <si>
    <t>BOM usage (PCBA per FG)</t>
  </si>
  <si>
    <t>2</t>
  </si>
  <si>
    <t>Reference Points (SKU A)</t>
  </si>
  <si>
    <t>Worst case A shortage (0% recovery)</t>
  </si>
  <si>
    <t>29,184</t>
  </si>
  <si>
    <t>Best case A shortage (100% recovery)</t>
  </si>
  <si>
    <t>0</t>
  </si>
  <si>
    <t>Gap to recover</t>
  </si>
  <si>
    <t>29,184 FG units</t>
  </si>
  <si>
    <t>Full recovery air cost</t>
  </si>
  <si>
    <t>$116,736.00</t>
  </si>
  <si>
    <t>Avg cost per unit recovered</t>
  </si>
  <si>
    <t>$4.00 / FG</t>
  </si>
  <si>
    <t>PCBA Scenario Cost Analysis</t>
  </si>
  <si>
    <t>Item</t>
  </si>
  <si>
    <t>Value</t>
  </si>
  <si>
    <t>Reflash available from</t>
  </si>
  <si>
    <t>Day 21 (2026-05-06)</t>
  </si>
  <si>
    <t>Supplier daily capacity</t>
  </si>
  <si>
    <t>Logistics Decision</t>
  </si>
  <si>
    <t>Total PCBA by AIR</t>
  </si>
  <si>
    <t>35,020</t>
  </si>
  <si>
    <t>Total PCBA by SEA</t>
  </si>
  <si>
    <t>Cost Breakdown</t>
  </si>
  <si>
    <t>Air freight cost</t>
  </si>
  <si>
    <t>$70,040.00</t>
  </si>
  <si>
    <t xml:space="preserve">  = 35,020 PCBA x $2.0/unit</t>
  </si>
  <si>
    <t>Sea freight extra cost</t>
  </si>
  <si>
    <t>$0.00</t>
  </si>
  <si>
    <t>Reflash cost</t>
  </si>
  <si>
    <t>$0.00 (equipment only)</t>
  </si>
  <si>
    <t>TOTAL SCENARIO COST</t>
  </si>
  <si>
    <t>Production Impact</t>
  </si>
  <si>
    <t>Total demand</t>
  </si>
  <si>
    <t>Total planned</t>
  </si>
  <si>
    <t>103,491</t>
  </si>
  <si>
    <t>Total shortage</t>
  </si>
  <si>
    <t>39,538</t>
  </si>
  <si>
    <t>SKU A demand</t>
  </si>
  <si>
    <t>SKU A planned</t>
  </si>
  <si>
    <t>40,010</t>
  </si>
  <si>
    <t>Metric</t>
  </si>
  <si>
    <t>Solver Status</t>
  </si>
  <si>
    <t>Optimal</t>
  </si>
  <si>
    <t>Total Demand Lines</t>
  </si>
  <si>
    <t>Total Demand Qty</t>
  </si>
  <si>
    <t>Total Planned Qty</t>
  </si>
  <si>
    <t>Total Shortage Qty</t>
  </si>
  <si>
    <t>Pri-1 Shortage</t>
  </si>
  <si>
    <t>13,655 / 77,626 (17.6%)</t>
  </si>
  <si>
    <t>Pri-2 Shortage</t>
  </si>
  <si>
    <t>25,883 / 65,403 (39.6%)</t>
  </si>
  <si>
    <t>Air Freight PCBA</t>
  </si>
  <si>
    <t>Sea Freight PCBA</t>
  </si>
  <si>
    <t>Air Freight Cost (USD)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</si>
  <si>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</si>
  <si>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</si>
  <si>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</si>
  <si>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</si>
  <si>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</si>
  <si>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</si>
  <si>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</si>
  <si>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</si>
  <si>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</si>
  <si>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</si>
  <si>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</si>
  <si>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</si>
  <si>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</si>
  <si>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</si>
  <si>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</si>
  <si>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</si>
  <si>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</si>
  <si>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</si>
  <si>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</si>
  <si>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</si>
  <si>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</si>
  <si>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</si>
  <si>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</si>
  <si>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</si>
  <si>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</si>
  <si>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</si>
  <si>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</si>
  <si>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</si>
  <si>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</si>
  <si>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</si>
  <si>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</si>
  <si>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</si>
  <si>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</si>
  <si>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</si>
  <si>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Week_Date</t>
  </si>
  <si>
    <t>Load_Type</t>
  </si>
  <si>
    <t>Load_Index</t>
  </si>
  <si>
    <t>Load_ID</t>
  </si>
  <si>
    <t>Capacity_CBM</t>
  </si>
  <si>
    <t>Boxes_A</t>
  </si>
  <si>
    <t>Units_A</t>
  </si>
  <si>
    <t>CBM_A</t>
  </si>
  <si>
    <t>Boxes_B</t>
  </si>
  <si>
    <t>Units_B</t>
  </si>
  <si>
    <t>CBM_B</t>
  </si>
  <si>
    <t>Boxes_F</t>
  </si>
  <si>
    <t>Units_F</t>
  </si>
  <si>
    <t>CBM_F</t>
  </si>
  <si>
    <t>Total_Boxes</t>
  </si>
  <si>
    <t>Total_Units</t>
  </si>
  <si>
    <t>Used_CBM</t>
  </si>
  <si>
    <t>Slack_CBM</t>
  </si>
  <si>
    <t>Boxes_C</t>
  </si>
  <si>
    <t>Units_C</t>
  </si>
  <si>
    <t>CBM_C</t>
  </si>
  <si>
    <t>Boxes_D</t>
  </si>
  <si>
    <t>Units_D</t>
  </si>
  <si>
    <t>CBM_D</t>
  </si>
  <si>
    <t>Boxes_E</t>
  </si>
  <si>
    <t>Units_E</t>
  </si>
  <si>
    <t>CBM_E</t>
  </si>
  <si>
    <t>2026-04-20</t>
  </si>
  <si>
    <t>LCL</t>
  </si>
  <si>
    <t>2026-04-27</t>
  </si>
  <si>
    <t>2026-05-04</t>
  </si>
  <si>
    <t>40</t>
  </si>
  <si>
    <t>40_1</t>
  </si>
  <si>
    <t>2026-05-11</t>
  </si>
  <si>
    <t>2026-05-18</t>
  </si>
  <si>
    <t>2026-05-25</t>
  </si>
  <si>
    <t>2026-06-01</t>
  </si>
  <si>
    <t>2026-06-08</t>
  </si>
  <si>
    <t>20</t>
  </si>
  <si>
    <t>20_1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</si>
  <si>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</si>
  <si>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</si>
  <si>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</si>
  <si>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</si>
  <si>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</si>
  <si>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</si>
  <si>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</si>
  <si>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</si>
  <si>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</si>
  <si>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</si>
  <si>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</si>
  <si>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</si>
  <si>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</si>
  <si>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</si>
  <si>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</si>
  <si>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</si>
  <si>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</si>
  <si>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</si>
  <si>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</si>
  <si>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</si>
  <si>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</si>
  <si>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</si>
  <si>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</si>
  <si>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</si>
  <si>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</si>
  <si>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</si>
  <si>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</si>
  <si>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AU</t>
  </si>
  <si>
    <t>LCL_Boxes_A</t>
  </si>
  <si>
    <t>LCL_Units_A</t>
  </si>
  <si>
    <t>LCL_CBM_A</t>
  </si>
  <si>
    <t>LCL_Boxes_B</t>
  </si>
  <si>
    <t>LCL_Units_B</t>
  </si>
  <si>
    <t>LCL_CBM_B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</si>
  <si>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</si>
  <si>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</si>
  <si>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</si>
  <si>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</si>
  <si>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</si>
  <si>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</si>
  <si>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</si>
  <si>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</si>
  <si>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Cost_40</t>
  </si>
  <si>
    <t>Cost_20</t>
  </si>
  <si>
    <t>Cost_LCL</t>
  </si>
  <si>
    <t>Cost</t>
  </si>
  <si>
    <t>LCL_Boxes_C</t>
  </si>
  <si>
    <t>LCL_Units_C</t>
  </si>
  <si>
    <t>LCL_CBM_C</t>
  </si>
  <si>
    <t>LCL_Boxes_D</t>
  </si>
  <si>
    <t>LCL_Units_D</t>
  </si>
  <si>
    <t>LCL_CBM_D</t>
  </si>
  <si>
    <t>LCL_Boxes_E</t>
  </si>
  <si>
    <t>LCL_Units_E</t>
  </si>
  <si>
    <t>LCL_CBM_E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</si>
  <si>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</si>
  <si>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</si>
  <si>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</si>
  <si>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</si>
  <si>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</si>
  <si>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</si>
  <si>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</si>
  <si>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</si>
  <si>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</si>
  <si>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</si>
  <si>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</si>
  <si>
    <t>No.</t>
  </si>
  <si>
    <t>Model number</t>
  </si>
  <si>
    <t>Component number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</si>
  <si>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</si>
  <si>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</si>
  <si>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</si>
  <si>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</si>
  <si>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</si>
  <si>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</si>
  <si>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</si>
  <si>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Packaging label</t>
  </si>
  <si>
    <t>Local</t>
  </si>
  <si>
    <t>pc</t>
  </si>
  <si>
    <t>Packaging carton</t>
  </si>
  <si>
    <t>Pc</t>
  </si>
  <si>
    <t>Common plastic</t>
  </si>
  <si>
    <t>Kg</t>
  </si>
  <si>
    <t>PCBA</t>
  </si>
  <si>
    <t>Oversea</t>
  </si>
  <si>
    <t>Charger</t>
  </si>
  <si>
    <t>Fabric</t>
  </si>
  <si>
    <t>m</t>
  </si>
  <si>
    <t>Industrial color</t>
  </si>
  <si>
    <t>gr</t>
  </si>
  <si>
    <t>Special Resin</t>
  </si>
  <si>
    <t>kg</t>
  </si>
  <si>
    <t>Wooden</t>
  </si>
  <si>
    <t>Cbm</t>
  </si>
  <si>
    <t>Battery</t>
  </si>
  <si>
    <t>Glue</t>
  </si>
  <si>
    <t>Steel metal</t>
  </si>
  <si>
    <t>Wheel</t>
  </si>
  <si>
    <t>Solar pannel</t>
  </si>
  <si>
    <t>Cell</t>
  </si>
  <si>
    <t>Ex. Work price (Usd/ pc)</t>
  </si>
  <si>
    <t xml:space="preserve">Australia </t>
  </si>
  <si>
    <t>Coporate Ocean frieght charge</t>
  </si>
  <si>
    <t xml:space="preserve">FCL </t>
  </si>
  <si>
    <t xml:space="preserve">Max load CBM / container 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</si>
  <si>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</si>
  <si>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</si>
  <si>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</si>
  <si>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</si>
  <si>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</si>
  <si>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</si>
  <si>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>Cumulative usable PCBA (end of week)</t>
  </si>
  <si>
    <t>Weekly usable PCBA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</si>
</sst>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##"/>
    <numFmt numFmtId="167" formatCode="0.###"/>
    <numFmt numFmtId="169" formatCode="dd\-mmm\-yyyy"/>
    <numFmt numFmtId="170" formatCode="0.0%"/>
    <numFmt numFmtId="172" formatCode="dd/mm/yyyy"/>
  </numFmts>
  <fonts count="33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2"/>
      <name val="Aptos Narrow"/>
      <family val="2"/>
    </font>
    <font>
      <b/>
      <sz val="12"/>
      <color rgb="FFE65100"/>
      <name val="Aptos Narrow"/>
      <family val="2"/>
    </font>
    <font>
      <b/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3F3F3"/>
      </patternFill>
    </fill>
    <fill>
      <patternFill patternType="solid">
        <fgColor rgb="FFD9EAF7"/>
        <bgColor rgb="FFE2F0D9"/>
      </patternFill>
    </fill>
    <fill>
      <patternFill patternType="solid">
        <fgColor rgb="FFF3F3F3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E65100"/>
      </patternFill>
    </fill>
    <fill>
      <patternFill patternType="solid">
        <fgColor rgb="FFE2F0D9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0F766E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9C9C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43" fontId="3" fillId="0" borderId="0"/>
    <xf numFmtId="44" fontId="3" fillId="0" borderId="0"/>
    <xf numFmtId="0" fontId="14" fillId="0" borderId="0"/>
    <xf numFmtId="0" fontId="23" fillId="0" borderId="0"/>
  </cellStyleXfs>
  <cellXfs count="16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3" xfId="0" applyNumberFormat="1" applyBorder="1"/>
    <xf numFmtId="164" fontId="0" fillId="0" borderId="3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43" fontId="0" fillId="4" borderId="0" xfId="1" applyFont="1" applyFill="1" applyAlignment="1">
      <alignment wrapText="1"/>
    </xf>
    <xf numFmtId="43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5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4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6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4" fontId="0" fillId="0" borderId="12" xfId="0" applyNumberFormat="1" applyBorder="1"/>
    <xf numFmtId="166" fontId="0" fillId="0" borderId="12" xfId="0" applyNumberFormat="1" applyBorder="1"/>
    <xf numFmtId="0" fontId="7" fillId="8" borderId="0" xfId="0" applyFont="1" applyFill="1" applyAlignment="1">
      <alignment horizontal="center"/>
    </xf>
    <xf numFmtId="167" fontId="0" fillId="0" borderId="0" xfId="0" applyNumberFormat="1"/>
    <xf numFmtId="0" fontId="8" fillId="9" borderId="0" xfId="0" applyFont="1" applyFill="1"/>
    <xf numFmtId="0" fontId="8" fillId="0" borderId="0" xfId="0" applyFont="1"/>
    <xf numFmtId="0" fontId="9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wrapText="1"/>
    </xf>
    <xf numFmtId="14" fontId="9" fillId="11" borderId="1" xfId="0" applyNumberFormat="1" applyFont="1" applyFill="1" applyBorder="1" applyAlignment="1">
      <alignment horizontal="right" wrapText="1"/>
    </xf>
    <xf numFmtId="14" fontId="9" fillId="11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6" fontId="11" fillId="0" borderId="12" xfId="0" applyNumberFormat="1" applyFont="1" applyBorder="1"/>
    <xf numFmtId="0" fontId="12" fillId="12" borderId="1" xfId="0" applyFont="1" applyFill="1" applyBorder="1"/>
    <xf numFmtId="14" fontId="13" fillId="12" borderId="0" xfId="0" applyNumberFormat="1" applyFont="1" applyFill="1"/>
    <xf numFmtId="14" fontId="12" fillId="12" borderId="8" xfId="0" applyNumberFormat="1" applyFont="1" applyFill="1" applyBorder="1"/>
    <xf numFmtId="0" fontId="13" fillId="12" borderId="0" xfId="0" applyFont="1" applyFill="1"/>
    <xf numFmtId="0" fontId="14" fillId="0" borderId="0" xfId="3"/>
    <xf numFmtId="0" fontId="16" fillId="15" borderId="1" xfId="3" applyFont="1" applyFill="1" applyBorder="1" applyAlignment="1">
      <alignment horizontal="center" vertical="center" wrapText="1"/>
    </xf>
    <xf numFmtId="0" fontId="17" fillId="16" borderId="13" xfId="3" applyFont="1" applyFill="1" applyBorder="1" applyAlignment="1">
      <alignment horizontal="left" vertical="center"/>
    </xf>
    <xf numFmtId="0" fontId="19" fillId="18" borderId="1" xfId="3" applyFont="1" applyFill="1" applyBorder="1" applyAlignment="1">
      <alignment vertical="center" wrapText="1"/>
    </xf>
    <xf numFmtId="14" fontId="20" fillId="18" borderId="1" xfId="3" applyNumberFormat="1" applyFont="1" applyFill="1" applyBorder="1" applyAlignment="1">
      <alignment horizontal="right" vertical="center" wrapText="1"/>
    </xf>
    <xf numFmtId="0" fontId="20" fillId="18" borderId="1" xfId="3" applyFont="1" applyFill="1" applyBorder="1" applyAlignment="1">
      <alignment horizontal="center" vertical="center" wrapText="1"/>
    </xf>
    <xf numFmtId="0" fontId="20" fillId="18" borderId="1" xfId="3" applyFont="1" applyFill="1" applyBorder="1" applyAlignment="1">
      <alignment vertical="center" wrapText="1"/>
    </xf>
    <xf numFmtId="0" fontId="17" fillId="16" borderId="13" xfId="3" applyFont="1" applyFill="1" applyBorder="1" applyAlignment="1">
      <alignment horizontal="left"/>
    </xf>
    <xf numFmtId="0" fontId="17" fillId="16" borderId="13" xfId="3" applyFont="1" applyFill="1" applyBorder="1" applyAlignment="1">
      <alignment horizontal="left" vertical="center" wrapText="1"/>
    </xf>
    <xf numFmtId="0" fontId="17" fillId="16" borderId="1" xfId="3" applyFont="1" applyFill="1" applyBorder="1" applyAlignment="1">
      <alignment horizontal="center" vertical="center" wrapText="1"/>
    </xf>
    <xf numFmtId="0" fontId="22" fillId="17" borderId="1" xfId="3" applyFont="1" applyFill="1" applyBorder="1" applyAlignment="1">
      <alignment horizontal="left" vertical="center" wrapText="1"/>
    </xf>
    <xf numFmtId="3" fontId="22" fillId="17" borderId="1" xfId="3" applyNumberFormat="1" applyFont="1" applyFill="1" applyBorder="1" applyAlignment="1">
      <alignment horizontal="center" vertical="center"/>
    </xf>
    <xf numFmtId="3" fontId="18" fillId="17" borderId="1" xfId="3" applyNumberFormat="1" applyFont="1" applyFill="1" applyBorder="1" applyAlignment="1">
      <alignment horizontal="right" vertical="center"/>
    </xf>
    <xf numFmtId="3" fontId="22" fillId="17" borderId="1" xfId="3" applyNumberFormat="1" applyFont="1" applyFill="1" applyBorder="1" applyAlignment="1">
      <alignment horizontal="right" vertical="center" wrapText="1"/>
    </xf>
    <xf numFmtId="0" fontId="18" fillId="17" borderId="1" xfId="3" applyFont="1" applyFill="1" applyBorder="1" applyAlignment="1">
      <alignment horizontal="center" vertical="center" wrapText="1"/>
    </xf>
    <xf numFmtId="0" fontId="18" fillId="17" borderId="1" xfId="3" applyFont="1" applyFill="1" applyBorder="1" applyAlignment="1">
      <alignment horizontal="left" vertical="center" wrapText="1"/>
    </xf>
    <xf numFmtId="14" fontId="18" fillId="17" borderId="1" xfId="3" applyNumberFormat="1" applyFont="1" applyFill="1" applyBorder="1" applyAlignment="1">
      <alignment horizontal="right" vertical="center"/>
    </xf>
    <xf numFmtId="0" fontId="24" fillId="6" borderId="0" xfId="0" applyFont="1" applyFill="1" applyAlignment="1">
      <alignment horizontal="center" vertical="center"/>
    </xf>
    <xf numFmtId="0" fontId="0" fillId="0" borderId="15" xfId="0" applyBorder="1"/>
    <xf numFmtId="0" fontId="25" fillId="22" borderId="0" xfId="3" applyFont="1" applyFill="1" applyAlignment="1">
      <alignment horizontal="center"/>
    </xf>
    <xf numFmtId="0" fontId="26" fillId="0" borderId="0" xfId="3" applyFont="1"/>
    <xf numFmtId="0" fontId="14" fillId="23" borderId="0" xfId="3" applyFill="1"/>
    <xf numFmtId="169" fontId="14" fillId="23" borderId="0" xfId="3" applyNumberFormat="1" applyFill="1"/>
    <xf numFmtId="0" fontId="26" fillId="24" borderId="0" xfId="3" applyFont="1" applyFill="1"/>
    <xf numFmtId="0" fontId="14" fillId="0" borderId="16" xfId="3" applyBorder="1"/>
    <xf numFmtId="169" fontId="14" fillId="0" borderId="16" xfId="3" applyNumberFormat="1" applyBorder="1"/>
    <xf numFmtId="0" fontId="14" fillId="23" borderId="16" xfId="3" applyFill="1" applyBorder="1"/>
    <xf numFmtId="0" fontId="0" fillId="0" borderId="17" xfId="0" applyBorder="1"/>
    <xf numFmtId="3" fontId="14" fillId="23" borderId="16" xfId="3" applyNumberFormat="1" applyFill="1" applyBorder="1"/>
    <xf numFmtId="3" fontId="14" fillId="25" borderId="16" xfId="3" applyNumberFormat="1" applyFill="1" applyBorder="1"/>
    <xf numFmtId="170" fontId="14" fillId="25" borderId="16" xfId="3" applyNumberFormat="1" applyFill="1" applyBorder="1"/>
    <xf numFmtId="0" fontId="14" fillId="25" borderId="16" xfId="3" applyFill="1" applyBorder="1"/>
    <xf numFmtId="3" fontId="0" fillId="0" borderId="0" xfId="0" applyNumberFormat="1"/>
    <xf numFmtId="0" fontId="0" fillId="0" borderId="18" xfId="0" applyBorder="1"/>
    <xf numFmtId="0" fontId="0" fillId="0" borderId="19" xfId="0" applyBorder="1"/>
    <xf numFmtId="3" fontId="14" fillId="0" borderId="16" xfId="3" applyNumberFormat="1" applyBorder="1"/>
    <xf numFmtId="170" fontId="14" fillId="0" borderId="16" xfId="3" applyNumberFormat="1" applyBorder="1"/>
    <xf numFmtId="169" fontId="26" fillId="0" borderId="16" xfId="3" applyNumberFormat="1" applyFont="1" applyBorder="1"/>
    <xf numFmtId="0" fontId="14" fillId="26" borderId="16" xfId="3" applyFill="1" applyBorder="1" applyAlignment="1">
      <alignment wrapText="1"/>
    </xf>
    <xf numFmtId="14" fontId="25" fillId="22" borderId="0" xfId="3" applyNumberFormat="1" applyFont="1" applyFill="1" applyAlignment="1">
      <alignment horizontal="center"/>
    </xf>
    <xf numFmtId="14" fontId="14" fillId="23" borderId="16" xfId="3" applyNumberFormat="1" applyFill="1" applyBorder="1"/>
    <xf numFmtId="14" fontId="14" fillId="0" borderId="0" xfId="3" applyNumberFormat="1"/>
    <xf numFmtId="14" fontId="5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7" xfId="0" applyFont="1" applyBorder="1"/>
    <xf numFmtId="3" fontId="3" fillId="0" borderId="0" xfId="0" applyNumberFormat="1" applyFont="1"/>
    <xf numFmtId="0" fontId="3" fillId="0" borderId="18" xfId="0" applyFont="1" applyBorder="1"/>
    <xf numFmtId="0" fontId="3" fillId="0" borderId="19" xfId="0" applyFont="1" applyBorder="1"/>
    <xf numFmtId="167" fontId="3" fillId="0" borderId="0" xfId="0" applyNumberFormat="1" applyFont="1"/>
    <xf numFmtId="14" fontId="3" fillId="0" borderId="12" xfId="0" applyNumberFormat="1" applyFont="1" applyBorder="1"/>
    <xf numFmtId="166" fontId="3" fillId="0" borderId="12" xfId="0" applyNumberFormat="1" applyFont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9" xfId="0" applyFont="1" applyBorder="1"/>
    <xf numFmtId="0" fontId="3" fillId="0" borderId="11" xfId="0" applyFont="1" applyBorder="1"/>
    <xf numFmtId="0" fontId="3" fillId="0" borderId="0" xfId="0" applyFont="1" applyAlignment="1">
      <alignment horizontal="right" wrapText="1"/>
    </xf>
    <xf numFmtId="0" fontId="27" fillId="27" borderId="31" xfId="0" applyFont="1" applyFill="1" applyBorder="1" applyAlignment="1">
      <alignment horizontal="center" vertical="center" wrapText="1"/>
    </xf>
    <xf numFmtId="0" fontId="28" fillId="0" borderId="31" xfId="0" applyFont="1" applyBorder="1"/>
    <xf numFmtId="172" fontId="28" fillId="0" borderId="31" xfId="0" applyNumberFormat="1" applyFont="1" applyBorder="1"/>
    <xf numFmtId="0" fontId="28" fillId="28" borderId="31" xfId="0" applyFont="1" applyFill="1" applyBorder="1"/>
    <xf numFmtId="0" fontId="29" fillId="29" borderId="31" xfId="0" applyFont="1" applyFill="1" applyBorder="1"/>
    <xf numFmtId="0" fontId="27" fillId="27" borderId="31" xfId="0" applyFont="1" applyFill="1" applyBorder="1" applyAlignment="1">
      <alignment horizontal="center" wrapText="1"/>
    </xf>
    <xf numFmtId="0" fontId="28" fillId="29" borderId="31" xfId="0" applyFont="1" applyFill="1" applyBorder="1"/>
    <xf numFmtId="172" fontId="28" fillId="29" borderId="31" xfId="0" applyNumberFormat="1" applyFont="1" applyFill="1" applyBorder="1"/>
    <xf numFmtId="0" fontId="28" fillId="30" borderId="31" xfId="0" applyFont="1" applyFill="1" applyBorder="1"/>
    <xf numFmtId="0" fontId="27" fillId="27" borderId="31" xfId="0" applyFont="1" applyFill="1" applyBorder="1"/>
    <xf numFmtId="0" fontId="29" fillId="0" borderId="31" xfId="0" applyFont="1" applyBorder="1"/>
    <xf numFmtId="0" fontId="30" fillId="0" borderId="31" xfId="0" applyFont="1" applyBorder="1"/>
    <xf numFmtId="0" fontId="31" fillId="0" borderId="31" xfId="0" applyFont="1" applyBorder="1"/>
    <xf numFmtId="0" fontId="25" fillId="22" borderId="0" xfId="3" applyFont="1" applyFill="1" applyAlignment="1">
      <alignment horizontal="center"/>
    </xf>
    <xf numFmtId="0" fontId="14" fillId="0" borderId="0" xfId="3"/>
    <xf numFmtId="0" fontId="0" fillId="0" borderId="1" xfId="0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horizontal="center" wrapText="1"/>
    </xf>
    <xf numFmtId="0" fontId="0" fillId="0" borderId="10" xfId="0" applyBorder="1"/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8" fillId="17" borderId="13" xfId="3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14" fillId="0" borderId="14" xfId="3" applyBorder="1" applyAlignment="1">
      <alignment horizontal="center"/>
    </xf>
    <xf numFmtId="0" fontId="0" fillId="0" borderId="14" xfId="0" applyBorder="1"/>
    <xf numFmtId="14" fontId="18" fillId="17" borderId="13" xfId="3" applyNumberFormat="1" applyFont="1" applyFill="1" applyBorder="1" applyAlignment="1">
      <alignment horizontal="left" vertical="center" wrapText="1"/>
    </xf>
    <xf numFmtId="0" fontId="21" fillId="20" borderId="1" xfId="3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4" fontId="18" fillId="17" borderId="13" xfId="3" applyNumberFormat="1" applyFont="1" applyFill="1" applyBorder="1" applyAlignment="1">
      <alignment horizontal="left" vertical="center"/>
    </xf>
    <xf numFmtId="1" fontId="18" fillId="17" borderId="13" xfId="3" applyNumberFormat="1" applyFont="1" applyFill="1" applyBorder="1" applyAlignment="1">
      <alignment horizontal="left"/>
    </xf>
    <xf numFmtId="0" fontId="15" fillId="13" borderId="13" xfId="3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5" fillId="14" borderId="1" xfId="3" applyFont="1" applyFill="1" applyBorder="1" applyAlignment="1">
      <alignment horizontal="center" vertical="center" wrapText="1"/>
    </xf>
    <xf numFmtId="0" fontId="15" fillId="19" borderId="13" xfId="3" applyFont="1" applyFill="1" applyBorder="1" applyAlignment="1">
      <alignment horizontal="center" vertical="center"/>
    </xf>
    <xf numFmtId="0" fontId="15" fillId="21" borderId="1" xfId="3" applyFont="1" applyFill="1" applyBorder="1" applyAlignment="1">
      <alignment horizontal="center" vertical="center"/>
    </xf>
    <xf numFmtId="0" fontId="24" fillId="31" borderId="31" xfId="0" applyFont="1" applyFill="1" applyBorder="1" applyAlignment="1">
      <alignment horizontal="center" vertical="center" wrapText="1"/>
    </xf>
    <xf numFmtId="0" fontId="0" fillId="0" borderId="31" xfId="0" applyBorder="1"/>
    <xf numFmtId="172" fontId="0" fillId="0" borderId="31" xfId="0" applyNumberFormat="1" applyBorder="1"/>
    <xf numFmtId="0" fontId="0" fillId="28" borderId="31" xfId="0" applyFill="1" applyBorder="1"/>
    <xf numFmtId="0" fontId="32" fillId="29" borderId="31" xfId="0" applyFont="1" applyFill="1" applyBorder="1"/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 2 2" xfId="4" xr:uid="{00000000-0005-0000-0000-000004000000}"/>
  </cellStyles>
  <dxfs count="34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family val="2"/>
      </font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64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Case Study"/>
      <sheetName val="Sheet1"/>
      <sheetName val="Demand"/>
      <sheetName val="weekly_demand"/>
      <sheetName val="MPS"/>
      <sheetName val="BOM_demand"/>
      <sheetName val="MRP"/>
      <sheetName val="BOM &amp; Inventory"/>
      <sheetName val="FGs &amp; Log information "/>
      <sheetName val="Production Plan"/>
      <sheetName val="Demand for Production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 t="str">
            <v>Item name</v>
          </cell>
          <cell r="C2" t="str">
            <v xml:space="preserve">Market </v>
          </cell>
          <cell r="F2" t="str">
            <v>Fixture</v>
          </cell>
          <cell r="H2" t="str">
            <v>Shipment Request</v>
          </cell>
          <cell r="I2" t="str">
            <v>Demand Quantity</v>
          </cell>
        </row>
        <row r="3">
          <cell r="A3" t="str">
            <v>A</v>
          </cell>
          <cell r="C3" t="str">
            <v>US</v>
          </cell>
          <cell r="F3" t="str">
            <v>123AB</v>
          </cell>
          <cell r="H3">
            <v>46150</v>
          </cell>
          <cell r="I3">
            <v>684</v>
          </cell>
        </row>
        <row r="4">
          <cell r="A4" t="str">
            <v>A</v>
          </cell>
          <cell r="C4" t="str">
            <v>US</v>
          </cell>
          <cell r="F4" t="str">
            <v>123AB</v>
          </cell>
          <cell r="H4">
            <v>46157</v>
          </cell>
          <cell r="I4">
            <v>20000</v>
          </cell>
        </row>
        <row r="5">
          <cell r="A5" t="str">
            <v>A</v>
          </cell>
          <cell r="C5" t="str">
            <v>US</v>
          </cell>
          <cell r="F5" t="str">
            <v>123AB</v>
          </cell>
          <cell r="H5">
            <v>46164</v>
          </cell>
          <cell r="I5">
            <v>15000</v>
          </cell>
        </row>
        <row r="6">
          <cell r="A6" t="str">
            <v>A</v>
          </cell>
          <cell r="C6" t="str">
            <v>US</v>
          </cell>
          <cell r="F6" t="str">
            <v>123AB</v>
          </cell>
          <cell r="H6">
            <v>46164</v>
          </cell>
          <cell r="I6">
            <v>5000</v>
          </cell>
        </row>
        <row r="7">
          <cell r="A7" t="str">
            <v>A</v>
          </cell>
          <cell r="C7" t="str">
            <v>US</v>
          </cell>
          <cell r="F7" t="str">
            <v>123AB</v>
          </cell>
          <cell r="H7">
            <v>46171</v>
          </cell>
          <cell r="I7">
            <v>11000</v>
          </cell>
        </row>
        <row r="8">
          <cell r="A8" t="str">
            <v>A</v>
          </cell>
          <cell r="C8" t="str">
            <v>US</v>
          </cell>
          <cell r="F8" t="str">
            <v>123AB</v>
          </cell>
          <cell r="H8">
            <v>46178</v>
          </cell>
          <cell r="I8">
            <v>13000</v>
          </cell>
        </row>
        <row r="9">
          <cell r="A9" t="str">
            <v>A</v>
          </cell>
          <cell r="C9" t="str">
            <v>US</v>
          </cell>
          <cell r="F9" t="str">
            <v>123AB</v>
          </cell>
          <cell r="H9">
            <v>46185</v>
          </cell>
          <cell r="I9">
            <v>13773</v>
          </cell>
        </row>
        <row r="10">
          <cell r="A10" t="str">
            <v>A</v>
          </cell>
          <cell r="C10" t="str">
            <v>US</v>
          </cell>
          <cell r="F10" t="str">
            <v>123AB</v>
          </cell>
          <cell r="H10">
            <v>46192</v>
          </cell>
          <cell r="I10">
            <v>7058</v>
          </cell>
        </row>
        <row r="11">
          <cell r="A11" t="str">
            <v>A</v>
          </cell>
          <cell r="C11" t="str">
            <v>US</v>
          </cell>
          <cell r="F11" t="str">
            <v>123AB</v>
          </cell>
          <cell r="H11">
            <v>46199</v>
          </cell>
          <cell r="I11">
            <v>2040</v>
          </cell>
        </row>
        <row r="12">
          <cell r="A12" t="str">
            <v>A</v>
          </cell>
          <cell r="C12" t="str">
            <v>US</v>
          </cell>
          <cell r="F12" t="str">
            <v>123AB</v>
          </cell>
          <cell r="H12">
            <v>46206</v>
          </cell>
          <cell r="I12">
            <v>1500</v>
          </cell>
        </row>
        <row r="13">
          <cell r="A13" t="str">
            <v>A</v>
          </cell>
          <cell r="C13" t="str">
            <v>US</v>
          </cell>
          <cell r="F13" t="str">
            <v>123AB</v>
          </cell>
          <cell r="H13">
            <v>46206</v>
          </cell>
          <cell r="I13">
            <v>2041</v>
          </cell>
        </row>
        <row r="14">
          <cell r="A14" t="str">
            <v>A</v>
          </cell>
          <cell r="C14" t="str">
            <v>US</v>
          </cell>
          <cell r="F14" t="str">
            <v>123AB</v>
          </cell>
          <cell r="H14">
            <v>46213</v>
          </cell>
          <cell r="I14">
            <v>2041</v>
          </cell>
        </row>
        <row r="15">
          <cell r="A15" t="str">
            <v>A</v>
          </cell>
          <cell r="C15" t="str">
            <v>US</v>
          </cell>
          <cell r="F15" t="str">
            <v>123AB</v>
          </cell>
          <cell r="H15">
            <v>46213</v>
          </cell>
          <cell r="I15">
            <v>10000</v>
          </cell>
        </row>
        <row r="16">
          <cell r="A16" t="str">
            <v>A</v>
          </cell>
          <cell r="C16" t="str">
            <v>US</v>
          </cell>
          <cell r="F16" t="str">
            <v>123AB</v>
          </cell>
          <cell r="H16">
            <v>46220</v>
          </cell>
          <cell r="I16">
            <v>2040</v>
          </cell>
        </row>
        <row r="17">
          <cell r="A17" t="str">
            <v>A</v>
          </cell>
          <cell r="C17" t="str">
            <v>US</v>
          </cell>
          <cell r="F17" t="str">
            <v>123AB</v>
          </cell>
          <cell r="H17">
            <v>46220</v>
          </cell>
          <cell r="I17">
            <v>10000</v>
          </cell>
        </row>
        <row r="18">
          <cell r="A18" t="str">
            <v>A</v>
          </cell>
          <cell r="C18" t="str">
            <v>US</v>
          </cell>
          <cell r="F18" t="str">
            <v>123AB</v>
          </cell>
          <cell r="H18">
            <v>46241</v>
          </cell>
          <cell r="I18">
            <v>15023</v>
          </cell>
        </row>
        <row r="19">
          <cell r="A19" t="str">
            <v>A</v>
          </cell>
          <cell r="C19" t="str">
            <v>US</v>
          </cell>
          <cell r="F19" t="str">
            <v>123AB</v>
          </cell>
          <cell r="H19">
            <v>46241</v>
          </cell>
          <cell r="I19">
            <v>1737</v>
          </cell>
        </row>
        <row r="20">
          <cell r="A20" t="str">
            <v>A</v>
          </cell>
          <cell r="C20" t="str">
            <v>US</v>
          </cell>
          <cell r="F20" t="str">
            <v>123AB</v>
          </cell>
          <cell r="H20">
            <v>46241</v>
          </cell>
          <cell r="I20">
            <v>11000</v>
          </cell>
        </row>
        <row r="21">
          <cell r="A21" t="str">
            <v>A</v>
          </cell>
          <cell r="C21" t="str">
            <v>US</v>
          </cell>
          <cell r="F21" t="str">
            <v>123AB</v>
          </cell>
          <cell r="H21">
            <v>46248</v>
          </cell>
          <cell r="I21">
            <v>5629</v>
          </cell>
        </row>
        <row r="22">
          <cell r="A22" t="str">
            <v>A</v>
          </cell>
          <cell r="C22" t="str">
            <v>US</v>
          </cell>
          <cell r="F22" t="str">
            <v>123AB</v>
          </cell>
          <cell r="H22">
            <v>46248</v>
          </cell>
          <cell r="I22">
            <v>1857</v>
          </cell>
        </row>
        <row r="23">
          <cell r="A23" t="str">
            <v>A</v>
          </cell>
          <cell r="C23" t="str">
            <v>US</v>
          </cell>
          <cell r="F23" t="str">
            <v>123AB</v>
          </cell>
          <cell r="H23">
            <v>46248</v>
          </cell>
          <cell r="I23">
            <v>19000</v>
          </cell>
        </row>
        <row r="24">
          <cell r="A24" t="str">
            <v>A</v>
          </cell>
          <cell r="C24" t="str">
            <v>US</v>
          </cell>
          <cell r="F24" t="str">
            <v>123AB</v>
          </cell>
          <cell r="H24">
            <v>46255</v>
          </cell>
          <cell r="I24">
            <v>2072</v>
          </cell>
        </row>
        <row r="25">
          <cell r="A25" t="str">
            <v>A</v>
          </cell>
          <cell r="C25" t="str">
            <v>US</v>
          </cell>
          <cell r="F25" t="str">
            <v>123AB</v>
          </cell>
          <cell r="H25">
            <v>46255</v>
          </cell>
          <cell r="I25">
            <v>2176</v>
          </cell>
        </row>
        <row r="26">
          <cell r="A26" t="str">
            <v>A</v>
          </cell>
          <cell r="C26" t="str">
            <v>US</v>
          </cell>
          <cell r="F26" t="str">
            <v>123AB</v>
          </cell>
          <cell r="H26">
            <v>46262</v>
          </cell>
          <cell r="I26">
            <v>4248</v>
          </cell>
        </row>
        <row r="27">
          <cell r="A27" t="str">
            <v>A</v>
          </cell>
          <cell r="C27" t="str">
            <v>US</v>
          </cell>
          <cell r="F27" t="str">
            <v>123AB</v>
          </cell>
          <cell r="H27">
            <v>46269</v>
          </cell>
          <cell r="I27">
            <v>4249</v>
          </cell>
        </row>
        <row r="28">
          <cell r="A28" t="str">
            <v>A</v>
          </cell>
          <cell r="C28" t="str">
            <v>US</v>
          </cell>
          <cell r="F28" t="str">
            <v>123AB</v>
          </cell>
          <cell r="H28">
            <v>46276</v>
          </cell>
          <cell r="I28">
            <v>4248</v>
          </cell>
        </row>
        <row r="29">
          <cell r="A29" t="str">
            <v>A</v>
          </cell>
          <cell r="C29" t="str">
            <v>US</v>
          </cell>
          <cell r="F29" t="str">
            <v>123AB</v>
          </cell>
          <cell r="H29">
            <v>46283</v>
          </cell>
          <cell r="I29">
            <v>2391</v>
          </cell>
        </row>
        <row r="30">
          <cell r="A30" t="str">
            <v>A</v>
          </cell>
          <cell r="C30" t="str">
            <v>US</v>
          </cell>
          <cell r="F30" t="str">
            <v>123AB</v>
          </cell>
          <cell r="H30">
            <v>46290</v>
          </cell>
          <cell r="I30">
            <v>2392</v>
          </cell>
        </row>
        <row r="31">
          <cell r="A31" t="str">
            <v>A</v>
          </cell>
          <cell r="C31" t="str">
            <v>US</v>
          </cell>
          <cell r="F31" t="str">
            <v>123AB</v>
          </cell>
          <cell r="H31">
            <v>46297</v>
          </cell>
          <cell r="I31">
            <v>2391</v>
          </cell>
        </row>
        <row r="32">
          <cell r="A32" t="str">
            <v>A</v>
          </cell>
          <cell r="C32" t="str">
            <v>US</v>
          </cell>
          <cell r="F32" t="str">
            <v>123AB</v>
          </cell>
          <cell r="H32">
            <v>46304</v>
          </cell>
          <cell r="I32">
            <v>2392</v>
          </cell>
        </row>
        <row r="33">
          <cell r="A33" t="str">
            <v>A</v>
          </cell>
          <cell r="C33" t="str">
            <v>US</v>
          </cell>
          <cell r="F33" t="str">
            <v>123AB</v>
          </cell>
          <cell r="H33">
            <v>46311</v>
          </cell>
          <cell r="I33">
            <v>16017</v>
          </cell>
        </row>
        <row r="34">
          <cell r="A34" t="str">
            <v>A</v>
          </cell>
          <cell r="C34" t="str">
            <v>US</v>
          </cell>
          <cell r="F34" t="str">
            <v>123AB</v>
          </cell>
          <cell r="H34">
            <v>46318</v>
          </cell>
          <cell r="I34">
            <v>16017</v>
          </cell>
        </row>
        <row r="35">
          <cell r="A35" t="str">
            <v>A</v>
          </cell>
          <cell r="C35" t="str">
            <v>US</v>
          </cell>
          <cell r="F35" t="str">
            <v>123AB</v>
          </cell>
          <cell r="H35">
            <v>46325</v>
          </cell>
          <cell r="I35">
            <v>16016</v>
          </cell>
        </row>
        <row r="36">
          <cell r="A36" t="str">
            <v>A</v>
          </cell>
          <cell r="C36" t="str">
            <v>US</v>
          </cell>
          <cell r="F36" t="str">
            <v>123AB</v>
          </cell>
          <cell r="H36">
            <v>46332</v>
          </cell>
          <cell r="I36">
            <v>16017</v>
          </cell>
        </row>
        <row r="37">
          <cell r="A37" t="str">
            <v>A</v>
          </cell>
          <cell r="C37" t="str">
            <v>US</v>
          </cell>
          <cell r="F37" t="str">
            <v>123AB</v>
          </cell>
          <cell r="H37">
            <v>46339</v>
          </cell>
          <cell r="I37">
            <v>4281</v>
          </cell>
        </row>
        <row r="38">
          <cell r="A38" t="str">
            <v>A</v>
          </cell>
          <cell r="C38" t="str">
            <v>US</v>
          </cell>
          <cell r="F38" t="str">
            <v>123AB</v>
          </cell>
          <cell r="H38">
            <v>46346</v>
          </cell>
          <cell r="I38">
            <v>4282</v>
          </cell>
        </row>
        <row r="39">
          <cell r="A39" t="str">
            <v>A</v>
          </cell>
          <cell r="C39" t="str">
            <v>US</v>
          </cell>
          <cell r="F39" t="str">
            <v>123AB</v>
          </cell>
          <cell r="H39">
            <v>46353</v>
          </cell>
          <cell r="I39">
            <v>4281</v>
          </cell>
        </row>
        <row r="40">
          <cell r="A40" t="str">
            <v>A</v>
          </cell>
          <cell r="C40" t="str">
            <v>US</v>
          </cell>
          <cell r="F40" t="str">
            <v>123AB</v>
          </cell>
          <cell r="H40">
            <v>46360</v>
          </cell>
          <cell r="I40">
            <v>4282</v>
          </cell>
        </row>
        <row r="41">
          <cell r="A41" t="str">
            <v>A</v>
          </cell>
          <cell r="C41" t="str">
            <v>US</v>
          </cell>
          <cell r="F41" t="str">
            <v>123AB</v>
          </cell>
          <cell r="H41">
            <v>46367</v>
          </cell>
          <cell r="I41">
            <v>4281</v>
          </cell>
        </row>
        <row r="42">
          <cell r="A42" t="str">
            <v>A</v>
          </cell>
          <cell r="C42" t="str">
            <v>US</v>
          </cell>
          <cell r="F42" t="str">
            <v>123AB</v>
          </cell>
          <cell r="H42">
            <v>46374</v>
          </cell>
          <cell r="I42">
            <v>8326</v>
          </cell>
        </row>
        <row r="43">
          <cell r="A43" t="str">
            <v>A</v>
          </cell>
          <cell r="C43" t="str">
            <v>US</v>
          </cell>
          <cell r="F43" t="str">
            <v>123AB</v>
          </cell>
          <cell r="H43">
            <v>46381</v>
          </cell>
          <cell r="I43">
            <v>8325</v>
          </cell>
        </row>
        <row r="44">
          <cell r="A44" t="str">
            <v>B</v>
          </cell>
          <cell r="C44" t="str">
            <v>US</v>
          </cell>
          <cell r="F44" t="str">
            <v>123AB</v>
          </cell>
          <cell r="H44">
            <v>46157</v>
          </cell>
          <cell r="I44">
            <v>2731</v>
          </cell>
        </row>
        <row r="45">
          <cell r="A45" t="str">
            <v>B</v>
          </cell>
          <cell r="C45" t="str">
            <v>US</v>
          </cell>
          <cell r="F45" t="str">
            <v>123AB</v>
          </cell>
          <cell r="H45">
            <v>46157</v>
          </cell>
          <cell r="I45">
            <v>2771</v>
          </cell>
        </row>
        <row r="46">
          <cell r="A46" t="str">
            <v>B</v>
          </cell>
          <cell r="C46" t="str">
            <v>US</v>
          </cell>
          <cell r="F46" t="str">
            <v>123AB</v>
          </cell>
          <cell r="H46">
            <v>46164</v>
          </cell>
          <cell r="I46">
            <v>2270</v>
          </cell>
        </row>
        <row r="47">
          <cell r="A47" t="str">
            <v>B</v>
          </cell>
          <cell r="C47" t="str">
            <v>US</v>
          </cell>
          <cell r="F47" t="str">
            <v>123AB</v>
          </cell>
          <cell r="H47">
            <v>46164</v>
          </cell>
          <cell r="I47">
            <v>1687</v>
          </cell>
        </row>
        <row r="48">
          <cell r="A48" t="str">
            <v>B</v>
          </cell>
          <cell r="C48" t="str">
            <v>US</v>
          </cell>
          <cell r="F48" t="str">
            <v>123AB</v>
          </cell>
          <cell r="H48">
            <v>46164</v>
          </cell>
          <cell r="I48">
            <v>2058</v>
          </cell>
        </row>
        <row r="49">
          <cell r="A49" t="str">
            <v>B</v>
          </cell>
          <cell r="C49" t="str">
            <v>US</v>
          </cell>
          <cell r="F49" t="str">
            <v>123AB</v>
          </cell>
          <cell r="H49">
            <v>46164</v>
          </cell>
          <cell r="I49">
            <v>2771</v>
          </cell>
        </row>
        <row r="50">
          <cell r="A50" t="str">
            <v>B</v>
          </cell>
          <cell r="C50" t="str">
            <v>US</v>
          </cell>
          <cell r="F50" t="str">
            <v>123AB</v>
          </cell>
          <cell r="H50">
            <v>46164</v>
          </cell>
          <cell r="I50">
            <v>450</v>
          </cell>
        </row>
        <row r="51">
          <cell r="A51" t="str">
            <v>B</v>
          </cell>
          <cell r="C51" t="str">
            <v>US</v>
          </cell>
          <cell r="F51" t="str">
            <v>123AB</v>
          </cell>
          <cell r="H51">
            <v>46164</v>
          </cell>
          <cell r="I51">
            <v>2771</v>
          </cell>
        </row>
        <row r="52">
          <cell r="A52" t="str">
            <v>B</v>
          </cell>
          <cell r="C52" t="str">
            <v>US</v>
          </cell>
          <cell r="F52" t="str">
            <v>123AB</v>
          </cell>
          <cell r="H52">
            <v>46164</v>
          </cell>
          <cell r="I52">
            <v>2771</v>
          </cell>
        </row>
        <row r="53">
          <cell r="A53" t="str">
            <v>B</v>
          </cell>
          <cell r="C53" t="str">
            <v>US</v>
          </cell>
          <cell r="F53" t="str">
            <v>123AB</v>
          </cell>
          <cell r="H53">
            <v>46164</v>
          </cell>
          <cell r="I53">
            <v>880</v>
          </cell>
        </row>
        <row r="54">
          <cell r="A54" t="str">
            <v>B</v>
          </cell>
          <cell r="C54" t="str">
            <v>US</v>
          </cell>
          <cell r="F54" t="str">
            <v>123AB</v>
          </cell>
          <cell r="H54">
            <v>46171</v>
          </cell>
          <cell r="I54">
            <v>2771</v>
          </cell>
        </row>
        <row r="55">
          <cell r="A55" t="str">
            <v>B</v>
          </cell>
          <cell r="C55" t="str">
            <v>US</v>
          </cell>
          <cell r="F55" t="str">
            <v>123AB</v>
          </cell>
          <cell r="H55">
            <v>46171</v>
          </cell>
          <cell r="I55">
            <v>552</v>
          </cell>
        </row>
        <row r="56">
          <cell r="A56" t="str">
            <v>B</v>
          </cell>
          <cell r="C56" t="str">
            <v>US</v>
          </cell>
          <cell r="F56" t="str">
            <v>123AB</v>
          </cell>
          <cell r="H56">
            <v>46171</v>
          </cell>
          <cell r="I56">
            <v>2771</v>
          </cell>
        </row>
        <row r="57">
          <cell r="A57" t="str">
            <v>B</v>
          </cell>
          <cell r="C57" t="str">
            <v>US</v>
          </cell>
          <cell r="F57" t="str">
            <v>123AB</v>
          </cell>
          <cell r="H57">
            <v>46171</v>
          </cell>
          <cell r="I57">
            <v>2771</v>
          </cell>
        </row>
        <row r="58">
          <cell r="A58" t="str">
            <v>B</v>
          </cell>
          <cell r="C58" t="str">
            <v>US</v>
          </cell>
          <cell r="F58" t="str">
            <v>123AB</v>
          </cell>
          <cell r="H58">
            <v>46178</v>
          </cell>
          <cell r="I58">
            <v>2146</v>
          </cell>
        </row>
        <row r="59">
          <cell r="A59" t="str">
            <v>B</v>
          </cell>
          <cell r="C59" t="str">
            <v>US</v>
          </cell>
          <cell r="F59" t="str">
            <v>123AB</v>
          </cell>
          <cell r="H59">
            <v>46185</v>
          </cell>
          <cell r="I59">
            <v>7123</v>
          </cell>
        </row>
        <row r="60">
          <cell r="A60" t="str">
            <v>B</v>
          </cell>
          <cell r="C60" t="str">
            <v>US</v>
          </cell>
          <cell r="F60" t="str">
            <v>123AB</v>
          </cell>
          <cell r="H60">
            <v>46192</v>
          </cell>
          <cell r="I60">
            <v>5309</v>
          </cell>
        </row>
        <row r="61">
          <cell r="A61" t="str">
            <v>B</v>
          </cell>
          <cell r="C61" t="str">
            <v>US</v>
          </cell>
          <cell r="F61" t="str">
            <v>123AB</v>
          </cell>
          <cell r="H61">
            <v>46199</v>
          </cell>
          <cell r="I61">
            <v>5309</v>
          </cell>
        </row>
        <row r="62">
          <cell r="A62" t="str">
            <v>B</v>
          </cell>
          <cell r="C62" t="str">
            <v>US</v>
          </cell>
          <cell r="F62" t="str">
            <v>123AB</v>
          </cell>
          <cell r="H62">
            <v>46206</v>
          </cell>
          <cell r="I62">
            <v>3000</v>
          </cell>
        </row>
        <row r="63">
          <cell r="A63" t="str">
            <v>B</v>
          </cell>
          <cell r="C63" t="str">
            <v>US</v>
          </cell>
          <cell r="F63" t="str">
            <v>123AB</v>
          </cell>
          <cell r="H63">
            <v>46213</v>
          </cell>
          <cell r="I63">
            <v>3000</v>
          </cell>
        </row>
        <row r="64">
          <cell r="A64" t="str">
            <v>B</v>
          </cell>
          <cell r="C64" t="str">
            <v>US</v>
          </cell>
          <cell r="F64" t="str">
            <v>123AB</v>
          </cell>
          <cell r="H64">
            <v>46220</v>
          </cell>
          <cell r="I64">
            <v>3000</v>
          </cell>
        </row>
        <row r="65">
          <cell r="A65" t="str">
            <v>B</v>
          </cell>
          <cell r="C65" t="str">
            <v>US</v>
          </cell>
          <cell r="F65" t="str">
            <v>123AB</v>
          </cell>
          <cell r="H65">
            <v>46227</v>
          </cell>
          <cell r="I65">
            <v>3000</v>
          </cell>
        </row>
        <row r="66">
          <cell r="A66" t="str">
            <v>B</v>
          </cell>
          <cell r="C66" t="str">
            <v>US</v>
          </cell>
          <cell r="F66" t="str">
            <v>123AB</v>
          </cell>
          <cell r="H66">
            <v>46234</v>
          </cell>
          <cell r="I66">
            <v>2400</v>
          </cell>
        </row>
        <row r="67">
          <cell r="A67" t="str">
            <v>B</v>
          </cell>
          <cell r="C67" t="str">
            <v>US</v>
          </cell>
          <cell r="F67" t="str">
            <v>123AB</v>
          </cell>
          <cell r="H67">
            <v>46241</v>
          </cell>
          <cell r="I67">
            <v>2400</v>
          </cell>
        </row>
        <row r="68">
          <cell r="A68" t="str">
            <v>B</v>
          </cell>
          <cell r="C68" t="str">
            <v>US</v>
          </cell>
          <cell r="F68" t="str">
            <v>123AB</v>
          </cell>
          <cell r="H68">
            <v>46255</v>
          </cell>
          <cell r="I68">
            <v>2400</v>
          </cell>
        </row>
        <row r="69">
          <cell r="A69" t="str">
            <v>B</v>
          </cell>
          <cell r="C69" t="str">
            <v>US</v>
          </cell>
          <cell r="F69" t="str">
            <v>123AB</v>
          </cell>
          <cell r="H69">
            <v>46262</v>
          </cell>
          <cell r="I69">
            <v>2400</v>
          </cell>
        </row>
        <row r="70">
          <cell r="A70" t="str">
            <v>B</v>
          </cell>
          <cell r="C70" t="str">
            <v>US</v>
          </cell>
          <cell r="F70" t="str">
            <v>123AB</v>
          </cell>
          <cell r="H70">
            <v>46269</v>
          </cell>
          <cell r="I70">
            <v>3750</v>
          </cell>
        </row>
        <row r="71">
          <cell r="A71" t="str">
            <v>B</v>
          </cell>
          <cell r="C71" t="str">
            <v>US</v>
          </cell>
          <cell r="F71" t="str">
            <v>123AB</v>
          </cell>
          <cell r="H71">
            <v>46276</v>
          </cell>
          <cell r="I71">
            <v>3750</v>
          </cell>
        </row>
        <row r="72">
          <cell r="A72" t="str">
            <v>B</v>
          </cell>
          <cell r="C72" t="str">
            <v>US</v>
          </cell>
          <cell r="F72" t="str">
            <v>123AB</v>
          </cell>
          <cell r="H72">
            <v>46283</v>
          </cell>
          <cell r="I72">
            <v>3750</v>
          </cell>
        </row>
        <row r="73">
          <cell r="A73" t="str">
            <v>B</v>
          </cell>
          <cell r="C73" t="str">
            <v>US</v>
          </cell>
          <cell r="F73" t="str">
            <v>123AB</v>
          </cell>
          <cell r="H73">
            <v>46290</v>
          </cell>
          <cell r="I73">
            <v>3750</v>
          </cell>
        </row>
        <row r="74">
          <cell r="A74" t="str">
            <v>B</v>
          </cell>
          <cell r="C74" t="str">
            <v>US</v>
          </cell>
          <cell r="F74" t="str">
            <v>123AB</v>
          </cell>
          <cell r="H74">
            <v>46297</v>
          </cell>
          <cell r="I74">
            <v>3000</v>
          </cell>
        </row>
        <row r="75">
          <cell r="A75" t="str">
            <v>B</v>
          </cell>
          <cell r="C75" t="str">
            <v>US</v>
          </cell>
          <cell r="F75" t="str">
            <v>123AB</v>
          </cell>
          <cell r="H75">
            <v>46304</v>
          </cell>
          <cell r="I75">
            <v>3000</v>
          </cell>
        </row>
        <row r="76">
          <cell r="A76" t="str">
            <v>B</v>
          </cell>
          <cell r="C76" t="str">
            <v>US</v>
          </cell>
          <cell r="F76" t="str">
            <v>123AB</v>
          </cell>
          <cell r="H76">
            <v>46311</v>
          </cell>
          <cell r="I76">
            <v>3000</v>
          </cell>
        </row>
        <row r="77">
          <cell r="A77" t="str">
            <v>B</v>
          </cell>
          <cell r="C77" t="str">
            <v>US</v>
          </cell>
          <cell r="F77" t="str">
            <v>123AB</v>
          </cell>
          <cell r="H77">
            <v>46318</v>
          </cell>
          <cell r="I77">
            <v>3000</v>
          </cell>
        </row>
        <row r="78">
          <cell r="A78" t="str">
            <v>B</v>
          </cell>
          <cell r="C78" t="str">
            <v>US</v>
          </cell>
          <cell r="F78" t="str">
            <v>123AB</v>
          </cell>
          <cell r="H78">
            <v>46325</v>
          </cell>
          <cell r="I78">
            <v>3000</v>
          </cell>
        </row>
        <row r="79">
          <cell r="A79" t="str">
            <v>B</v>
          </cell>
          <cell r="C79" t="str">
            <v>US</v>
          </cell>
          <cell r="F79" t="str">
            <v>123AB</v>
          </cell>
          <cell r="H79">
            <v>46332</v>
          </cell>
          <cell r="I79">
            <v>6250</v>
          </cell>
        </row>
        <row r="80">
          <cell r="A80" t="str">
            <v>B</v>
          </cell>
          <cell r="C80" t="str">
            <v>US</v>
          </cell>
          <cell r="F80" t="str">
            <v>123AB</v>
          </cell>
          <cell r="H80">
            <v>46339</v>
          </cell>
          <cell r="I80">
            <v>6250</v>
          </cell>
        </row>
        <row r="81">
          <cell r="A81" t="str">
            <v>B</v>
          </cell>
          <cell r="C81" t="str">
            <v>US</v>
          </cell>
          <cell r="F81" t="str">
            <v>123AB</v>
          </cell>
          <cell r="H81">
            <v>46346</v>
          </cell>
          <cell r="I81">
            <v>6250</v>
          </cell>
        </row>
        <row r="82">
          <cell r="A82" t="str">
            <v>B</v>
          </cell>
          <cell r="C82" t="str">
            <v>US</v>
          </cell>
          <cell r="F82" t="str">
            <v>123AB</v>
          </cell>
          <cell r="H82">
            <v>46353</v>
          </cell>
          <cell r="I82">
            <v>6250</v>
          </cell>
        </row>
        <row r="83">
          <cell r="A83" t="str">
            <v>B</v>
          </cell>
          <cell r="C83" t="str">
            <v>US</v>
          </cell>
          <cell r="F83" t="str">
            <v>123AB</v>
          </cell>
          <cell r="H83">
            <v>46360</v>
          </cell>
          <cell r="I83">
            <v>6250</v>
          </cell>
        </row>
        <row r="84">
          <cell r="A84" t="str">
            <v>B</v>
          </cell>
          <cell r="C84" t="str">
            <v>US</v>
          </cell>
          <cell r="F84" t="str">
            <v>123AB</v>
          </cell>
          <cell r="H84">
            <v>46367</v>
          </cell>
          <cell r="I84">
            <v>6250</v>
          </cell>
        </row>
        <row r="85">
          <cell r="A85" t="str">
            <v>B</v>
          </cell>
          <cell r="C85" t="str">
            <v>US</v>
          </cell>
          <cell r="F85" t="str">
            <v>123AB</v>
          </cell>
          <cell r="H85">
            <v>46374</v>
          </cell>
          <cell r="I85">
            <v>6250</v>
          </cell>
        </row>
        <row r="86">
          <cell r="A86" t="str">
            <v>B</v>
          </cell>
          <cell r="C86" t="str">
            <v>US</v>
          </cell>
          <cell r="F86" t="str">
            <v>123AB</v>
          </cell>
          <cell r="H86">
            <v>46381</v>
          </cell>
          <cell r="I86">
            <v>6250</v>
          </cell>
        </row>
        <row r="87">
          <cell r="A87" t="str">
            <v>C</v>
          </cell>
          <cell r="C87" t="str">
            <v>UK</v>
          </cell>
          <cell r="F87" t="str">
            <v>456CD</v>
          </cell>
          <cell r="H87">
            <v>46157</v>
          </cell>
          <cell r="I87">
            <v>270</v>
          </cell>
        </row>
        <row r="88">
          <cell r="A88" t="str">
            <v>C</v>
          </cell>
          <cell r="C88" t="str">
            <v>UK</v>
          </cell>
          <cell r="F88" t="str">
            <v>456CD</v>
          </cell>
          <cell r="H88">
            <v>46157</v>
          </cell>
          <cell r="I88">
            <v>270</v>
          </cell>
        </row>
        <row r="89">
          <cell r="A89" t="str">
            <v>C</v>
          </cell>
          <cell r="C89" t="str">
            <v>UK</v>
          </cell>
          <cell r="F89" t="str">
            <v>456CD</v>
          </cell>
          <cell r="H89">
            <v>46157</v>
          </cell>
          <cell r="I89">
            <v>270</v>
          </cell>
        </row>
        <row r="90">
          <cell r="A90" t="str">
            <v>C</v>
          </cell>
          <cell r="C90" t="str">
            <v>UK</v>
          </cell>
          <cell r="F90" t="str">
            <v>456CD</v>
          </cell>
          <cell r="H90">
            <v>46157</v>
          </cell>
          <cell r="I90">
            <v>270</v>
          </cell>
        </row>
        <row r="91">
          <cell r="A91" t="str">
            <v>C</v>
          </cell>
          <cell r="C91" t="str">
            <v>UK</v>
          </cell>
          <cell r="F91" t="str">
            <v>456CD</v>
          </cell>
          <cell r="H91">
            <v>46157</v>
          </cell>
          <cell r="I91">
            <v>270</v>
          </cell>
        </row>
        <row r="92">
          <cell r="A92" t="str">
            <v>C</v>
          </cell>
          <cell r="C92" t="str">
            <v>UK</v>
          </cell>
          <cell r="F92" t="str">
            <v>456CD</v>
          </cell>
          <cell r="H92">
            <v>46157</v>
          </cell>
          <cell r="I92">
            <v>270</v>
          </cell>
        </row>
        <row r="93">
          <cell r="A93" t="str">
            <v>C</v>
          </cell>
          <cell r="C93" t="str">
            <v>UK</v>
          </cell>
          <cell r="F93" t="str">
            <v>456CD</v>
          </cell>
          <cell r="H93">
            <v>46157</v>
          </cell>
          <cell r="I93">
            <v>270</v>
          </cell>
        </row>
        <row r="94">
          <cell r="A94" t="str">
            <v>C</v>
          </cell>
          <cell r="C94" t="str">
            <v>UK</v>
          </cell>
          <cell r="F94" t="str">
            <v>456CD</v>
          </cell>
          <cell r="H94">
            <v>46157</v>
          </cell>
          <cell r="I94">
            <v>270</v>
          </cell>
        </row>
        <row r="95">
          <cell r="A95" t="str">
            <v>C</v>
          </cell>
          <cell r="C95" t="str">
            <v>UK</v>
          </cell>
          <cell r="F95" t="str">
            <v>456CD</v>
          </cell>
          <cell r="H95">
            <v>46157</v>
          </cell>
          <cell r="I95">
            <v>270</v>
          </cell>
        </row>
        <row r="96">
          <cell r="A96" t="str">
            <v>C</v>
          </cell>
          <cell r="C96" t="str">
            <v>UK</v>
          </cell>
          <cell r="F96" t="str">
            <v>456CD</v>
          </cell>
          <cell r="H96">
            <v>46157</v>
          </cell>
          <cell r="I96">
            <v>270</v>
          </cell>
        </row>
        <row r="97">
          <cell r="A97" t="str">
            <v>C</v>
          </cell>
          <cell r="C97" t="str">
            <v>UK</v>
          </cell>
          <cell r="F97" t="str">
            <v>456CD</v>
          </cell>
          <cell r="H97">
            <v>46157</v>
          </cell>
          <cell r="I97">
            <v>270</v>
          </cell>
        </row>
        <row r="98">
          <cell r="A98" t="str">
            <v>C</v>
          </cell>
          <cell r="C98" t="str">
            <v>UK</v>
          </cell>
          <cell r="F98" t="str">
            <v>456CD</v>
          </cell>
          <cell r="H98">
            <v>46157</v>
          </cell>
          <cell r="I98">
            <v>270</v>
          </cell>
        </row>
        <row r="99">
          <cell r="A99" t="str">
            <v>C</v>
          </cell>
          <cell r="C99" t="str">
            <v>UK</v>
          </cell>
          <cell r="F99" t="str">
            <v>456CD</v>
          </cell>
          <cell r="H99">
            <v>46157</v>
          </cell>
          <cell r="I99">
            <v>270</v>
          </cell>
        </row>
        <row r="100">
          <cell r="A100" t="str">
            <v>C</v>
          </cell>
          <cell r="C100" t="str">
            <v>UK</v>
          </cell>
          <cell r="F100" t="str">
            <v>456CD</v>
          </cell>
          <cell r="H100">
            <v>46157</v>
          </cell>
          <cell r="I100">
            <v>270</v>
          </cell>
        </row>
        <row r="101">
          <cell r="A101" t="str">
            <v>C</v>
          </cell>
          <cell r="C101" t="str">
            <v>UK</v>
          </cell>
          <cell r="F101" t="str">
            <v>456CD</v>
          </cell>
          <cell r="H101">
            <v>46157</v>
          </cell>
          <cell r="I101">
            <v>270</v>
          </cell>
        </row>
        <row r="102">
          <cell r="A102" t="str">
            <v>C</v>
          </cell>
          <cell r="C102" t="str">
            <v>UK</v>
          </cell>
          <cell r="F102" t="str">
            <v>456CD</v>
          </cell>
          <cell r="H102">
            <v>46157</v>
          </cell>
          <cell r="I102">
            <v>270</v>
          </cell>
        </row>
        <row r="103">
          <cell r="A103" t="str">
            <v>C</v>
          </cell>
          <cell r="C103" t="str">
            <v>UK</v>
          </cell>
          <cell r="F103" t="str">
            <v>456CD</v>
          </cell>
          <cell r="H103">
            <v>46164</v>
          </cell>
          <cell r="I103">
            <v>270</v>
          </cell>
        </row>
        <row r="104">
          <cell r="A104" t="str">
            <v>C</v>
          </cell>
          <cell r="C104" t="str">
            <v>UK</v>
          </cell>
          <cell r="F104" t="str">
            <v>456CD</v>
          </cell>
          <cell r="H104">
            <v>46164</v>
          </cell>
          <cell r="I104">
            <v>270</v>
          </cell>
        </row>
        <row r="105">
          <cell r="A105" t="str">
            <v>C</v>
          </cell>
          <cell r="C105" t="str">
            <v>UK</v>
          </cell>
          <cell r="F105" t="str">
            <v>456CD</v>
          </cell>
          <cell r="H105">
            <v>46164</v>
          </cell>
          <cell r="I105">
            <v>270</v>
          </cell>
        </row>
        <row r="106">
          <cell r="A106" t="str">
            <v>C</v>
          </cell>
          <cell r="C106" t="str">
            <v>UK</v>
          </cell>
          <cell r="F106" t="str">
            <v>456CD</v>
          </cell>
          <cell r="H106">
            <v>46164</v>
          </cell>
          <cell r="I106">
            <v>270</v>
          </cell>
        </row>
        <row r="107">
          <cell r="A107" t="str">
            <v>C</v>
          </cell>
          <cell r="C107" t="str">
            <v>UK</v>
          </cell>
          <cell r="F107" t="str">
            <v>456CD</v>
          </cell>
          <cell r="H107">
            <v>46164</v>
          </cell>
          <cell r="I107">
            <v>270</v>
          </cell>
        </row>
        <row r="108">
          <cell r="A108" t="str">
            <v>C</v>
          </cell>
          <cell r="C108" t="str">
            <v>UK</v>
          </cell>
          <cell r="F108" t="str">
            <v>456CD</v>
          </cell>
          <cell r="H108">
            <v>46164</v>
          </cell>
          <cell r="I108">
            <v>270</v>
          </cell>
        </row>
        <row r="109">
          <cell r="A109" t="str">
            <v>C</v>
          </cell>
          <cell r="C109" t="str">
            <v>UK</v>
          </cell>
          <cell r="F109" t="str">
            <v>456CD</v>
          </cell>
          <cell r="H109">
            <v>46164</v>
          </cell>
          <cell r="I109">
            <v>270</v>
          </cell>
        </row>
        <row r="110">
          <cell r="A110" t="str">
            <v>C</v>
          </cell>
          <cell r="C110" t="str">
            <v>UK</v>
          </cell>
          <cell r="F110" t="str">
            <v>456CD</v>
          </cell>
          <cell r="H110">
            <v>46164</v>
          </cell>
          <cell r="I110">
            <v>270</v>
          </cell>
        </row>
        <row r="111">
          <cell r="A111" t="str">
            <v>C</v>
          </cell>
          <cell r="C111" t="str">
            <v>UK</v>
          </cell>
          <cell r="F111" t="str">
            <v>456CD</v>
          </cell>
          <cell r="H111">
            <v>46164</v>
          </cell>
          <cell r="I111">
            <v>270</v>
          </cell>
        </row>
        <row r="112">
          <cell r="A112" t="str">
            <v>C</v>
          </cell>
          <cell r="C112" t="str">
            <v>UK</v>
          </cell>
          <cell r="F112" t="str">
            <v>456CD</v>
          </cell>
          <cell r="H112">
            <v>46164</v>
          </cell>
          <cell r="I112">
            <v>270</v>
          </cell>
        </row>
        <row r="113">
          <cell r="A113" t="str">
            <v>C</v>
          </cell>
          <cell r="C113" t="str">
            <v>UK</v>
          </cell>
          <cell r="F113" t="str">
            <v>456CD</v>
          </cell>
          <cell r="H113">
            <v>46164</v>
          </cell>
          <cell r="I113">
            <v>270</v>
          </cell>
        </row>
        <row r="114">
          <cell r="A114" t="str">
            <v>C</v>
          </cell>
          <cell r="C114" t="str">
            <v>UK</v>
          </cell>
          <cell r="F114" t="str">
            <v>456CD</v>
          </cell>
          <cell r="H114">
            <v>46164</v>
          </cell>
          <cell r="I114">
            <v>270</v>
          </cell>
        </row>
        <row r="115">
          <cell r="A115" t="str">
            <v>C</v>
          </cell>
          <cell r="C115" t="str">
            <v>UK</v>
          </cell>
          <cell r="F115" t="str">
            <v>456CD</v>
          </cell>
          <cell r="H115">
            <v>46164</v>
          </cell>
          <cell r="I115">
            <v>270</v>
          </cell>
        </row>
        <row r="116">
          <cell r="A116" t="str">
            <v>C</v>
          </cell>
          <cell r="C116" t="str">
            <v>UK</v>
          </cell>
          <cell r="F116" t="str">
            <v>456CD</v>
          </cell>
          <cell r="H116">
            <v>46164</v>
          </cell>
          <cell r="I116">
            <v>270</v>
          </cell>
        </row>
        <row r="117">
          <cell r="A117" t="str">
            <v>C</v>
          </cell>
          <cell r="C117" t="str">
            <v>UK</v>
          </cell>
          <cell r="F117" t="str">
            <v>456CD</v>
          </cell>
          <cell r="H117">
            <v>46164</v>
          </cell>
          <cell r="I117">
            <v>270</v>
          </cell>
        </row>
        <row r="118">
          <cell r="A118" t="str">
            <v>C</v>
          </cell>
          <cell r="C118" t="str">
            <v>UK</v>
          </cell>
          <cell r="F118" t="str">
            <v>456CD</v>
          </cell>
          <cell r="H118">
            <v>46164</v>
          </cell>
          <cell r="I118">
            <v>270</v>
          </cell>
        </row>
        <row r="119">
          <cell r="A119" t="str">
            <v>C</v>
          </cell>
          <cell r="C119" t="str">
            <v>UK</v>
          </cell>
          <cell r="F119" t="str">
            <v>456CD</v>
          </cell>
          <cell r="H119">
            <v>46164</v>
          </cell>
          <cell r="I119">
            <v>270</v>
          </cell>
        </row>
        <row r="120">
          <cell r="A120" t="str">
            <v>C</v>
          </cell>
          <cell r="C120" t="str">
            <v>UK</v>
          </cell>
          <cell r="F120" t="str">
            <v>456CD</v>
          </cell>
          <cell r="H120">
            <v>46164</v>
          </cell>
          <cell r="I120">
            <v>270</v>
          </cell>
        </row>
        <row r="121">
          <cell r="A121" t="str">
            <v>C</v>
          </cell>
          <cell r="C121" t="str">
            <v>UK</v>
          </cell>
          <cell r="F121" t="str">
            <v>456CD</v>
          </cell>
          <cell r="H121">
            <v>46164</v>
          </cell>
          <cell r="I121">
            <v>270</v>
          </cell>
        </row>
        <row r="122">
          <cell r="A122" t="str">
            <v>C</v>
          </cell>
          <cell r="C122" t="str">
            <v>UK</v>
          </cell>
          <cell r="F122" t="str">
            <v>456CD</v>
          </cell>
          <cell r="H122">
            <v>46164</v>
          </cell>
          <cell r="I122">
            <v>270</v>
          </cell>
        </row>
        <row r="123">
          <cell r="A123" t="str">
            <v>C</v>
          </cell>
          <cell r="C123" t="str">
            <v>UK</v>
          </cell>
          <cell r="F123" t="str">
            <v>456CD</v>
          </cell>
          <cell r="H123">
            <v>46164</v>
          </cell>
          <cell r="I123">
            <v>270</v>
          </cell>
        </row>
        <row r="124">
          <cell r="A124" t="str">
            <v>C</v>
          </cell>
          <cell r="C124" t="str">
            <v>UK</v>
          </cell>
          <cell r="F124" t="str">
            <v>456CD</v>
          </cell>
          <cell r="H124">
            <v>46164</v>
          </cell>
          <cell r="I124">
            <v>270</v>
          </cell>
        </row>
        <row r="125">
          <cell r="A125" t="str">
            <v>C</v>
          </cell>
          <cell r="C125" t="str">
            <v>UK</v>
          </cell>
          <cell r="F125" t="str">
            <v>456CD</v>
          </cell>
          <cell r="H125">
            <v>46164</v>
          </cell>
          <cell r="I125">
            <v>270</v>
          </cell>
        </row>
        <row r="126">
          <cell r="A126" t="str">
            <v>C</v>
          </cell>
          <cell r="C126" t="str">
            <v>UK</v>
          </cell>
          <cell r="F126" t="str">
            <v>456CD</v>
          </cell>
          <cell r="H126">
            <v>46164</v>
          </cell>
          <cell r="I126">
            <v>270</v>
          </cell>
        </row>
        <row r="127">
          <cell r="A127" t="str">
            <v>C</v>
          </cell>
          <cell r="C127" t="str">
            <v>UK</v>
          </cell>
          <cell r="F127" t="str">
            <v>456CD</v>
          </cell>
          <cell r="H127">
            <v>46164</v>
          </cell>
          <cell r="I127">
            <v>270</v>
          </cell>
        </row>
        <row r="128">
          <cell r="A128" t="str">
            <v>C</v>
          </cell>
          <cell r="C128" t="str">
            <v>UK</v>
          </cell>
          <cell r="F128" t="str">
            <v>456CD</v>
          </cell>
          <cell r="H128">
            <v>46164</v>
          </cell>
          <cell r="I128">
            <v>270</v>
          </cell>
        </row>
        <row r="129">
          <cell r="A129" t="str">
            <v>C</v>
          </cell>
          <cell r="C129" t="str">
            <v>UK</v>
          </cell>
          <cell r="F129" t="str">
            <v>456CD</v>
          </cell>
          <cell r="H129">
            <v>46164</v>
          </cell>
          <cell r="I129">
            <v>270</v>
          </cell>
        </row>
        <row r="130">
          <cell r="A130" t="str">
            <v>C</v>
          </cell>
          <cell r="C130" t="str">
            <v>UK</v>
          </cell>
          <cell r="F130" t="str">
            <v>456CD</v>
          </cell>
          <cell r="H130">
            <v>46164</v>
          </cell>
          <cell r="I130">
            <v>270</v>
          </cell>
        </row>
        <row r="131">
          <cell r="A131" t="str">
            <v>C</v>
          </cell>
          <cell r="C131" t="str">
            <v>UK</v>
          </cell>
          <cell r="F131" t="str">
            <v>456CD</v>
          </cell>
          <cell r="H131">
            <v>46164</v>
          </cell>
          <cell r="I131">
            <v>270</v>
          </cell>
        </row>
        <row r="132">
          <cell r="A132" t="str">
            <v>C</v>
          </cell>
          <cell r="C132" t="str">
            <v>UK</v>
          </cell>
          <cell r="F132" t="str">
            <v>456CD</v>
          </cell>
          <cell r="H132">
            <v>46164</v>
          </cell>
          <cell r="I132">
            <v>270</v>
          </cell>
        </row>
        <row r="133">
          <cell r="A133" t="str">
            <v>C</v>
          </cell>
          <cell r="C133" t="str">
            <v>UK</v>
          </cell>
          <cell r="F133" t="str">
            <v>456CD</v>
          </cell>
          <cell r="H133">
            <v>46164</v>
          </cell>
          <cell r="I133">
            <v>270</v>
          </cell>
        </row>
        <row r="134">
          <cell r="A134" t="str">
            <v>C</v>
          </cell>
          <cell r="C134" t="str">
            <v>UK</v>
          </cell>
          <cell r="F134" t="str">
            <v>456CD</v>
          </cell>
          <cell r="H134">
            <v>46171</v>
          </cell>
          <cell r="I134">
            <v>267</v>
          </cell>
        </row>
        <row r="135">
          <cell r="A135" t="str">
            <v>C</v>
          </cell>
          <cell r="C135" t="str">
            <v>UK</v>
          </cell>
          <cell r="F135" t="str">
            <v>456CD</v>
          </cell>
          <cell r="H135">
            <v>46171</v>
          </cell>
          <cell r="I135">
            <v>178</v>
          </cell>
        </row>
        <row r="136">
          <cell r="A136" t="str">
            <v>C</v>
          </cell>
          <cell r="C136" t="str">
            <v>UK</v>
          </cell>
          <cell r="F136" t="str">
            <v>456CD</v>
          </cell>
          <cell r="H136">
            <v>46171</v>
          </cell>
          <cell r="I136">
            <v>270</v>
          </cell>
        </row>
        <row r="137">
          <cell r="A137" t="str">
            <v>C</v>
          </cell>
          <cell r="C137" t="str">
            <v>UK</v>
          </cell>
          <cell r="F137" t="str">
            <v>456CD</v>
          </cell>
          <cell r="H137">
            <v>46171</v>
          </cell>
          <cell r="I137">
            <v>270</v>
          </cell>
        </row>
        <row r="138">
          <cell r="A138" t="str">
            <v>C</v>
          </cell>
          <cell r="C138" t="str">
            <v>UK</v>
          </cell>
          <cell r="F138" t="str">
            <v>456CD</v>
          </cell>
          <cell r="H138">
            <v>46171</v>
          </cell>
          <cell r="I138">
            <v>270</v>
          </cell>
        </row>
        <row r="139">
          <cell r="A139" t="str">
            <v>C</v>
          </cell>
          <cell r="C139" t="str">
            <v>UK</v>
          </cell>
          <cell r="F139" t="str">
            <v>456CD</v>
          </cell>
          <cell r="H139">
            <v>46171</v>
          </cell>
          <cell r="I139">
            <v>270</v>
          </cell>
        </row>
        <row r="140">
          <cell r="A140" t="str">
            <v>C</v>
          </cell>
          <cell r="C140" t="str">
            <v>UK</v>
          </cell>
          <cell r="F140" t="str">
            <v>456CD</v>
          </cell>
          <cell r="H140">
            <v>46171</v>
          </cell>
          <cell r="I140">
            <v>270</v>
          </cell>
        </row>
        <row r="141">
          <cell r="A141" t="str">
            <v>C</v>
          </cell>
          <cell r="C141" t="str">
            <v>UK</v>
          </cell>
          <cell r="F141" t="str">
            <v>456CD</v>
          </cell>
          <cell r="H141">
            <v>46171</v>
          </cell>
          <cell r="I141">
            <v>270</v>
          </cell>
        </row>
        <row r="142">
          <cell r="A142" t="str">
            <v>C</v>
          </cell>
          <cell r="C142" t="str">
            <v>UK</v>
          </cell>
          <cell r="F142" t="str">
            <v>456CD</v>
          </cell>
          <cell r="H142">
            <v>46171</v>
          </cell>
          <cell r="I142">
            <v>162</v>
          </cell>
        </row>
        <row r="143">
          <cell r="A143" t="str">
            <v>C</v>
          </cell>
          <cell r="C143" t="str">
            <v>UK</v>
          </cell>
          <cell r="F143" t="str">
            <v>456CD</v>
          </cell>
          <cell r="H143">
            <v>46171</v>
          </cell>
          <cell r="I143">
            <v>210</v>
          </cell>
        </row>
        <row r="144">
          <cell r="A144" t="str">
            <v>C</v>
          </cell>
          <cell r="C144" t="str">
            <v>UK</v>
          </cell>
          <cell r="F144" t="str">
            <v>456CD</v>
          </cell>
          <cell r="H144">
            <v>46171</v>
          </cell>
          <cell r="I144">
            <v>270</v>
          </cell>
        </row>
        <row r="145">
          <cell r="A145" t="str">
            <v>C</v>
          </cell>
          <cell r="C145" t="str">
            <v>UK</v>
          </cell>
          <cell r="F145" t="str">
            <v>456CD</v>
          </cell>
          <cell r="H145">
            <v>46171</v>
          </cell>
          <cell r="I145">
            <v>270</v>
          </cell>
        </row>
        <row r="146">
          <cell r="A146" t="str">
            <v>C</v>
          </cell>
          <cell r="C146" t="str">
            <v>UK</v>
          </cell>
          <cell r="F146" t="str">
            <v>456CD</v>
          </cell>
          <cell r="H146">
            <v>46171</v>
          </cell>
          <cell r="I146">
            <v>270</v>
          </cell>
        </row>
        <row r="147">
          <cell r="A147" t="str">
            <v>C</v>
          </cell>
          <cell r="C147" t="str">
            <v>UK</v>
          </cell>
          <cell r="F147" t="str">
            <v>456CD</v>
          </cell>
          <cell r="H147">
            <v>46171</v>
          </cell>
          <cell r="I147">
            <v>270</v>
          </cell>
        </row>
        <row r="148">
          <cell r="A148" t="str">
            <v>C</v>
          </cell>
          <cell r="C148" t="str">
            <v>UK</v>
          </cell>
          <cell r="F148" t="str">
            <v>456CD</v>
          </cell>
          <cell r="H148">
            <v>46171</v>
          </cell>
          <cell r="I148">
            <v>270</v>
          </cell>
        </row>
        <row r="149">
          <cell r="A149" t="str">
            <v>C</v>
          </cell>
          <cell r="C149" t="str">
            <v>UK</v>
          </cell>
          <cell r="F149" t="str">
            <v>456CD</v>
          </cell>
          <cell r="H149">
            <v>46171</v>
          </cell>
          <cell r="I149">
            <v>270</v>
          </cell>
        </row>
        <row r="150">
          <cell r="A150" t="str">
            <v>C</v>
          </cell>
          <cell r="C150" t="str">
            <v>UK</v>
          </cell>
          <cell r="F150" t="str">
            <v>456CD</v>
          </cell>
          <cell r="H150">
            <v>46171</v>
          </cell>
          <cell r="I150">
            <v>270</v>
          </cell>
        </row>
        <row r="151">
          <cell r="A151" t="str">
            <v>C</v>
          </cell>
          <cell r="C151" t="str">
            <v>UK</v>
          </cell>
          <cell r="F151" t="str">
            <v>456CD</v>
          </cell>
          <cell r="H151">
            <v>46171</v>
          </cell>
          <cell r="I151">
            <v>270</v>
          </cell>
        </row>
        <row r="152">
          <cell r="A152" t="str">
            <v>C</v>
          </cell>
          <cell r="C152" t="str">
            <v>UK</v>
          </cell>
          <cell r="F152" t="str">
            <v>456CD</v>
          </cell>
          <cell r="H152">
            <v>46171</v>
          </cell>
          <cell r="I152">
            <v>270</v>
          </cell>
        </row>
        <row r="153">
          <cell r="A153" t="str">
            <v>C</v>
          </cell>
          <cell r="C153" t="str">
            <v>UK</v>
          </cell>
          <cell r="F153" t="str">
            <v>456CD</v>
          </cell>
          <cell r="H153">
            <v>46171</v>
          </cell>
          <cell r="I153">
            <v>270</v>
          </cell>
        </row>
        <row r="154">
          <cell r="A154" t="str">
            <v>C</v>
          </cell>
          <cell r="C154" t="str">
            <v>UK</v>
          </cell>
          <cell r="F154" t="str">
            <v>456CD</v>
          </cell>
          <cell r="H154">
            <v>46171</v>
          </cell>
          <cell r="I154">
            <v>270</v>
          </cell>
        </row>
        <row r="155">
          <cell r="A155" t="str">
            <v>C</v>
          </cell>
          <cell r="C155" t="str">
            <v>UK</v>
          </cell>
          <cell r="F155" t="str">
            <v>456CD</v>
          </cell>
          <cell r="H155">
            <v>46171</v>
          </cell>
          <cell r="I155">
            <v>270</v>
          </cell>
        </row>
        <row r="156">
          <cell r="A156" t="str">
            <v>C</v>
          </cell>
          <cell r="C156" t="str">
            <v>UK</v>
          </cell>
          <cell r="F156" t="str">
            <v>456CD</v>
          </cell>
          <cell r="H156">
            <v>46171</v>
          </cell>
          <cell r="I156">
            <v>270</v>
          </cell>
        </row>
        <row r="157">
          <cell r="A157" t="str">
            <v>C</v>
          </cell>
          <cell r="C157" t="str">
            <v>UK</v>
          </cell>
          <cell r="F157" t="str">
            <v>456CD</v>
          </cell>
          <cell r="H157">
            <v>46171</v>
          </cell>
          <cell r="I157">
            <v>270</v>
          </cell>
        </row>
        <row r="158">
          <cell r="A158" t="str">
            <v>C</v>
          </cell>
          <cell r="C158" t="str">
            <v>UK</v>
          </cell>
          <cell r="F158" t="str">
            <v>456CD</v>
          </cell>
          <cell r="H158">
            <v>46171</v>
          </cell>
          <cell r="I158">
            <v>270</v>
          </cell>
        </row>
        <row r="159">
          <cell r="A159" t="str">
            <v>C</v>
          </cell>
          <cell r="C159" t="str">
            <v>UK</v>
          </cell>
          <cell r="F159" t="str">
            <v>456CD</v>
          </cell>
          <cell r="H159">
            <v>46171</v>
          </cell>
          <cell r="I159">
            <v>270</v>
          </cell>
        </row>
        <row r="160">
          <cell r="A160" t="str">
            <v>C</v>
          </cell>
          <cell r="C160" t="str">
            <v>UK</v>
          </cell>
          <cell r="F160" t="str">
            <v>456CD</v>
          </cell>
          <cell r="H160">
            <v>46171</v>
          </cell>
          <cell r="I160">
            <v>270</v>
          </cell>
        </row>
        <row r="161">
          <cell r="A161" t="str">
            <v>C</v>
          </cell>
          <cell r="C161" t="str">
            <v>UK</v>
          </cell>
          <cell r="F161" t="str">
            <v>456CD</v>
          </cell>
          <cell r="H161">
            <v>46171</v>
          </cell>
          <cell r="I161">
            <v>270</v>
          </cell>
        </row>
        <row r="162">
          <cell r="A162" t="str">
            <v>C</v>
          </cell>
          <cell r="C162" t="str">
            <v>UK</v>
          </cell>
          <cell r="F162" t="str">
            <v>456CD</v>
          </cell>
          <cell r="H162">
            <v>46171</v>
          </cell>
          <cell r="I162">
            <v>270</v>
          </cell>
        </row>
        <row r="163">
          <cell r="A163" t="str">
            <v>C</v>
          </cell>
          <cell r="C163" t="str">
            <v>UK</v>
          </cell>
          <cell r="F163" t="str">
            <v>456CD</v>
          </cell>
          <cell r="H163">
            <v>46171</v>
          </cell>
          <cell r="I163">
            <v>270</v>
          </cell>
        </row>
        <row r="164">
          <cell r="A164" t="str">
            <v>C</v>
          </cell>
          <cell r="C164" t="str">
            <v>UK</v>
          </cell>
          <cell r="F164" t="str">
            <v>456CD</v>
          </cell>
          <cell r="H164">
            <v>46171</v>
          </cell>
          <cell r="I164">
            <v>270</v>
          </cell>
        </row>
        <row r="165">
          <cell r="A165" t="str">
            <v>C</v>
          </cell>
          <cell r="C165" t="str">
            <v>UK</v>
          </cell>
          <cell r="F165" t="str">
            <v>456CD</v>
          </cell>
          <cell r="H165">
            <v>46171</v>
          </cell>
          <cell r="I165">
            <v>270</v>
          </cell>
        </row>
        <row r="166">
          <cell r="A166" t="str">
            <v>C</v>
          </cell>
          <cell r="C166" t="str">
            <v>UK</v>
          </cell>
          <cell r="F166" t="str">
            <v>456CD</v>
          </cell>
          <cell r="H166">
            <v>46171</v>
          </cell>
          <cell r="I166">
            <v>270</v>
          </cell>
        </row>
        <row r="167">
          <cell r="A167" t="str">
            <v>C</v>
          </cell>
          <cell r="C167" t="str">
            <v>UK</v>
          </cell>
          <cell r="F167" t="str">
            <v>456CD</v>
          </cell>
          <cell r="H167">
            <v>46171</v>
          </cell>
          <cell r="I167">
            <v>270</v>
          </cell>
        </row>
        <row r="168">
          <cell r="A168" t="str">
            <v>C</v>
          </cell>
          <cell r="C168" t="str">
            <v>UK</v>
          </cell>
          <cell r="F168" t="str">
            <v>456CD</v>
          </cell>
          <cell r="H168">
            <v>46171</v>
          </cell>
          <cell r="I168">
            <v>270</v>
          </cell>
        </row>
        <row r="169">
          <cell r="A169" t="str">
            <v>C</v>
          </cell>
          <cell r="C169" t="str">
            <v>UK</v>
          </cell>
          <cell r="F169" t="str">
            <v>456CD</v>
          </cell>
          <cell r="H169">
            <v>46171</v>
          </cell>
          <cell r="I169">
            <v>270</v>
          </cell>
        </row>
        <row r="170">
          <cell r="A170" t="str">
            <v>C</v>
          </cell>
          <cell r="C170" t="str">
            <v>UK</v>
          </cell>
          <cell r="F170" t="str">
            <v>456CD</v>
          </cell>
          <cell r="H170">
            <v>46171</v>
          </cell>
          <cell r="I170">
            <v>270</v>
          </cell>
        </row>
        <row r="171">
          <cell r="A171" t="str">
            <v>C</v>
          </cell>
          <cell r="C171" t="str">
            <v>UK</v>
          </cell>
          <cell r="F171" t="str">
            <v>456CD</v>
          </cell>
          <cell r="H171">
            <v>46171</v>
          </cell>
          <cell r="I171">
            <v>270</v>
          </cell>
        </row>
        <row r="172">
          <cell r="A172" t="str">
            <v>C</v>
          </cell>
          <cell r="C172" t="str">
            <v>UK</v>
          </cell>
          <cell r="F172" t="str">
            <v>456CD</v>
          </cell>
          <cell r="H172">
            <v>46171</v>
          </cell>
          <cell r="I172">
            <v>263</v>
          </cell>
        </row>
        <row r="173">
          <cell r="A173" t="str">
            <v>C</v>
          </cell>
          <cell r="C173" t="str">
            <v>UK</v>
          </cell>
          <cell r="F173" t="str">
            <v>456CD</v>
          </cell>
          <cell r="H173">
            <v>46171</v>
          </cell>
          <cell r="I173">
            <v>220</v>
          </cell>
        </row>
        <row r="174">
          <cell r="A174" t="str">
            <v>C</v>
          </cell>
          <cell r="C174" t="str">
            <v>UK</v>
          </cell>
          <cell r="F174" t="str">
            <v>456CD</v>
          </cell>
          <cell r="H174">
            <v>46171</v>
          </cell>
          <cell r="I174">
            <v>270</v>
          </cell>
        </row>
        <row r="175">
          <cell r="A175" t="str">
            <v>C</v>
          </cell>
          <cell r="C175" t="str">
            <v>UK</v>
          </cell>
          <cell r="F175" t="str">
            <v>456CD</v>
          </cell>
          <cell r="H175">
            <v>46171</v>
          </cell>
          <cell r="I175">
            <v>270</v>
          </cell>
        </row>
        <row r="176">
          <cell r="A176" t="str">
            <v>C</v>
          </cell>
          <cell r="C176" t="str">
            <v>UK</v>
          </cell>
          <cell r="F176" t="str">
            <v>456CD</v>
          </cell>
          <cell r="H176">
            <v>46171</v>
          </cell>
          <cell r="I176">
            <v>246</v>
          </cell>
        </row>
        <row r="177">
          <cell r="A177" t="str">
            <v>C</v>
          </cell>
          <cell r="C177" t="str">
            <v>UK</v>
          </cell>
          <cell r="F177" t="str">
            <v>456CD</v>
          </cell>
          <cell r="H177">
            <v>46171</v>
          </cell>
          <cell r="I177">
            <v>246</v>
          </cell>
        </row>
        <row r="178">
          <cell r="A178" t="str">
            <v>C</v>
          </cell>
          <cell r="C178" t="str">
            <v>UK</v>
          </cell>
          <cell r="F178" t="str">
            <v>456CD</v>
          </cell>
          <cell r="H178">
            <v>46171</v>
          </cell>
          <cell r="I178">
            <v>270</v>
          </cell>
        </row>
        <row r="179">
          <cell r="A179" t="str">
            <v>C</v>
          </cell>
          <cell r="C179" t="str">
            <v>UK</v>
          </cell>
          <cell r="F179" t="str">
            <v>456CD</v>
          </cell>
          <cell r="H179">
            <v>46176</v>
          </cell>
          <cell r="I179">
            <v>270</v>
          </cell>
        </row>
        <row r="180">
          <cell r="A180" t="str">
            <v>C</v>
          </cell>
          <cell r="C180" t="str">
            <v>UK</v>
          </cell>
          <cell r="F180" t="str">
            <v>456CD</v>
          </cell>
          <cell r="H180">
            <v>46176</v>
          </cell>
          <cell r="I180">
            <v>264</v>
          </cell>
        </row>
        <row r="181">
          <cell r="A181" t="str">
            <v>C</v>
          </cell>
          <cell r="C181" t="str">
            <v>UK</v>
          </cell>
          <cell r="F181" t="str">
            <v>456CD</v>
          </cell>
          <cell r="H181">
            <v>46178</v>
          </cell>
          <cell r="I181">
            <v>270</v>
          </cell>
        </row>
        <row r="182">
          <cell r="A182" t="str">
            <v>C</v>
          </cell>
          <cell r="C182" t="str">
            <v>UK</v>
          </cell>
          <cell r="F182" t="str">
            <v>456CD</v>
          </cell>
          <cell r="H182">
            <v>46178</v>
          </cell>
          <cell r="I182">
            <v>270</v>
          </cell>
        </row>
        <row r="183">
          <cell r="A183" t="str">
            <v>C</v>
          </cell>
          <cell r="C183" t="str">
            <v>UK</v>
          </cell>
          <cell r="F183" t="str">
            <v>456CD</v>
          </cell>
          <cell r="H183">
            <v>46178</v>
          </cell>
          <cell r="I183">
            <v>270</v>
          </cell>
        </row>
        <row r="184">
          <cell r="A184" t="str">
            <v>C</v>
          </cell>
          <cell r="C184" t="str">
            <v>UK</v>
          </cell>
          <cell r="F184" t="str">
            <v>456CD</v>
          </cell>
          <cell r="H184">
            <v>46178</v>
          </cell>
          <cell r="I184">
            <v>270</v>
          </cell>
        </row>
        <row r="185">
          <cell r="A185" t="str">
            <v>C</v>
          </cell>
          <cell r="C185" t="str">
            <v>UK</v>
          </cell>
          <cell r="F185" t="str">
            <v>456CD</v>
          </cell>
          <cell r="H185">
            <v>46178</v>
          </cell>
          <cell r="I185">
            <v>270</v>
          </cell>
        </row>
        <row r="186">
          <cell r="A186" t="str">
            <v>C</v>
          </cell>
          <cell r="C186" t="str">
            <v>UK</v>
          </cell>
          <cell r="F186" t="str">
            <v>456CD</v>
          </cell>
          <cell r="H186">
            <v>46178</v>
          </cell>
          <cell r="I186">
            <v>270</v>
          </cell>
        </row>
        <row r="187">
          <cell r="A187" t="str">
            <v>C</v>
          </cell>
          <cell r="C187" t="str">
            <v>UK</v>
          </cell>
          <cell r="F187" t="str">
            <v>456CD</v>
          </cell>
          <cell r="H187">
            <v>46178</v>
          </cell>
          <cell r="I187">
            <v>270</v>
          </cell>
        </row>
        <row r="188">
          <cell r="A188" t="str">
            <v>C</v>
          </cell>
          <cell r="C188" t="str">
            <v>UK</v>
          </cell>
          <cell r="F188" t="str">
            <v>456CD</v>
          </cell>
          <cell r="H188">
            <v>46178</v>
          </cell>
          <cell r="I188">
            <v>270</v>
          </cell>
        </row>
        <row r="189">
          <cell r="A189" t="str">
            <v>C</v>
          </cell>
          <cell r="C189" t="str">
            <v>UK</v>
          </cell>
          <cell r="F189" t="str">
            <v>456CD</v>
          </cell>
          <cell r="H189">
            <v>46178</v>
          </cell>
          <cell r="I189">
            <v>270</v>
          </cell>
        </row>
        <row r="190">
          <cell r="A190" t="str">
            <v>C</v>
          </cell>
          <cell r="C190" t="str">
            <v>UK</v>
          </cell>
          <cell r="F190" t="str">
            <v>456CD</v>
          </cell>
          <cell r="H190">
            <v>46178</v>
          </cell>
          <cell r="I190">
            <v>270</v>
          </cell>
        </row>
        <row r="191">
          <cell r="A191" t="str">
            <v>C</v>
          </cell>
          <cell r="C191" t="str">
            <v>UK</v>
          </cell>
          <cell r="F191" t="str">
            <v>456CD</v>
          </cell>
          <cell r="H191">
            <v>46178</v>
          </cell>
          <cell r="I191">
            <v>270</v>
          </cell>
        </row>
        <row r="192">
          <cell r="A192" t="str">
            <v>C</v>
          </cell>
          <cell r="C192" t="str">
            <v>UK</v>
          </cell>
          <cell r="F192" t="str">
            <v>456CD</v>
          </cell>
          <cell r="H192">
            <v>46178</v>
          </cell>
          <cell r="I192">
            <v>270</v>
          </cell>
        </row>
        <row r="193">
          <cell r="A193" t="str">
            <v>C</v>
          </cell>
          <cell r="C193" t="str">
            <v>UK</v>
          </cell>
          <cell r="F193" t="str">
            <v>456CD</v>
          </cell>
          <cell r="H193">
            <v>46178</v>
          </cell>
          <cell r="I193">
            <v>270</v>
          </cell>
        </row>
        <row r="194">
          <cell r="A194" t="str">
            <v>C</v>
          </cell>
          <cell r="C194" t="str">
            <v>UK</v>
          </cell>
          <cell r="F194" t="str">
            <v>456CD</v>
          </cell>
          <cell r="H194">
            <v>46178</v>
          </cell>
          <cell r="I194">
            <v>270</v>
          </cell>
        </row>
        <row r="195">
          <cell r="A195" t="str">
            <v>C</v>
          </cell>
          <cell r="C195" t="str">
            <v>UK</v>
          </cell>
          <cell r="F195" t="str">
            <v>456CD</v>
          </cell>
          <cell r="H195">
            <v>46178</v>
          </cell>
          <cell r="I195">
            <v>270</v>
          </cell>
        </row>
        <row r="196">
          <cell r="A196" t="str">
            <v>C</v>
          </cell>
          <cell r="C196" t="str">
            <v>UK</v>
          </cell>
          <cell r="F196" t="str">
            <v>456CD</v>
          </cell>
          <cell r="H196">
            <v>46178</v>
          </cell>
          <cell r="I196">
            <v>270</v>
          </cell>
        </row>
        <row r="197">
          <cell r="A197" t="str">
            <v>C</v>
          </cell>
          <cell r="C197" t="str">
            <v>UK</v>
          </cell>
          <cell r="F197" t="str">
            <v>456CD</v>
          </cell>
          <cell r="H197">
            <v>46178</v>
          </cell>
          <cell r="I197">
            <v>270</v>
          </cell>
        </row>
        <row r="198">
          <cell r="A198" t="str">
            <v>C</v>
          </cell>
          <cell r="C198" t="str">
            <v>UK</v>
          </cell>
          <cell r="F198" t="str">
            <v>456CD</v>
          </cell>
          <cell r="H198">
            <v>46178</v>
          </cell>
          <cell r="I198">
            <v>270</v>
          </cell>
        </row>
        <row r="199">
          <cell r="A199" t="str">
            <v>C</v>
          </cell>
          <cell r="C199" t="str">
            <v>UK</v>
          </cell>
          <cell r="F199" t="str">
            <v>456CD</v>
          </cell>
          <cell r="H199">
            <v>46178</v>
          </cell>
          <cell r="I199">
            <v>270</v>
          </cell>
        </row>
        <row r="200">
          <cell r="A200" t="str">
            <v>C</v>
          </cell>
          <cell r="C200" t="str">
            <v>UK</v>
          </cell>
          <cell r="F200" t="str">
            <v>456CD</v>
          </cell>
          <cell r="H200">
            <v>46178</v>
          </cell>
          <cell r="I200">
            <v>270</v>
          </cell>
        </row>
        <row r="201">
          <cell r="A201" t="str">
            <v>C</v>
          </cell>
          <cell r="C201" t="str">
            <v>UK</v>
          </cell>
          <cell r="F201" t="str">
            <v>456CD</v>
          </cell>
          <cell r="H201">
            <v>46178</v>
          </cell>
          <cell r="I201">
            <v>270</v>
          </cell>
        </row>
        <row r="202">
          <cell r="A202" t="str">
            <v>C</v>
          </cell>
          <cell r="C202" t="str">
            <v>UK</v>
          </cell>
          <cell r="F202" t="str">
            <v>456CD</v>
          </cell>
          <cell r="H202">
            <v>46178</v>
          </cell>
          <cell r="I202">
            <v>270</v>
          </cell>
        </row>
        <row r="203">
          <cell r="A203" t="str">
            <v>C</v>
          </cell>
          <cell r="C203" t="str">
            <v>UK</v>
          </cell>
          <cell r="F203" t="str">
            <v>456CD</v>
          </cell>
          <cell r="H203">
            <v>46178</v>
          </cell>
          <cell r="I203">
            <v>270</v>
          </cell>
        </row>
        <row r="204">
          <cell r="A204" t="str">
            <v>C</v>
          </cell>
          <cell r="C204" t="str">
            <v>UK</v>
          </cell>
          <cell r="F204" t="str">
            <v>456CD</v>
          </cell>
          <cell r="H204">
            <v>46178</v>
          </cell>
          <cell r="I204">
            <v>270</v>
          </cell>
        </row>
        <row r="205">
          <cell r="A205" t="str">
            <v>C</v>
          </cell>
          <cell r="C205" t="str">
            <v>UK</v>
          </cell>
          <cell r="F205" t="str">
            <v>456CD</v>
          </cell>
          <cell r="H205">
            <v>46178</v>
          </cell>
          <cell r="I205">
            <v>270</v>
          </cell>
        </row>
        <row r="206">
          <cell r="A206" t="str">
            <v>C</v>
          </cell>
          <cell r="C206" t="str">
            <v>UK</v>
          </cell>
          <cell r="F206" t="str">
            <v>456CD</v>
          </cell>
          <cell r="H206">
            <v>46178</v>
          </cell>
          <cell r="I206">
            <v>270</v>
          </cell>
        </row>
        <row r="207">
          <cell r="A207" t="str">
            <v>C</v>
          </cell>
          <cell r="C207" t="str">
            <v>UK</v>
          </cell>
          <cell r="F207" t="str">
            <v>456CD</v>
          </cell>
          <cell r="H207">
            <v>46178</v>
          </cell>
          <cell r="I207">
            <v>270</v>
          </cell>
        </row>
        <row r="208">
          <cell r="A208" t="str">
            <v>C</v>
          </cell>
          <cell r="C208" t="str">
            <v>UK</v>
          </cell>
          <cell r="F208" t="str">
            <v>456CD</v>
          </cell>
          <cell r="H208">
            <v>46178</v>
          </cell>
          <cell r="I208">
            <v>270</v>
          </cell>
        </row>
        <row r="209">
          <cell r="A209" t="str">
            <v>C</v>
          </cell>
          <cell r="C209" t="str">
            <v>UK</v>
          </cell>
          <cell r="F209" t="str">
            <v>456CD</v>
          </cell>
          <cell r="H209">
            <v>46178</v>
          </cell>
          <cell r="I209">
            <v>270</v>
          </cell>
        </row>
        <row r="210">
          <cell r="A210" t="str">
            <v>C</v>
          </cell>
          <cell r="C210" t="str">
            <v>UK</v>
          </cell>
          <cell r="F210" t="str">
            <v>456CD</v>
          </cell>
          <cell r="H210">
            <v>46178</v>
          </cell>
          <cell r="I210">
            <v>270</v>
          </cell>
        </row>
        <row r="211">
          <cell r="A211" t="str">
            <v>C</v>
          </cell>
          <cell r="C211" t="str">
            <v>UK</v>
          </cell>
          <cell r="F211" t="str">
            <v>456CD</v>
          </cell>
          <cell r="H211">
            <v>46178</v>
          </cell>
          <cell r="I211">
            <v>270</v>
          </cell>
        </row>
        <row r="212">
          <cell r="A212" t="str">
            <v>C</v>
          </cell>
          <cell r="C212" t="str">
            <v>UK</v>
          </cell>
          <cell r="F212" t="str">
            <v>456CD</v>
          </cell>
          <cell r="H212">
            <v>46178</v>
          </cell>
          <cell r="I212">
            <v>270</v>
          </cell>
        </row>
        <row r="213">
          <cell r="A213" t="str">
            <v>C</v>
          </cell>
          <cell r="C213" t="str">
            <v>UK</v>
          </cell>
          <cell r="F213" t="str">
            <v>456CD</v>
          </cell>
          <cell r="H213">
            <v>46178</v>
          </cell>
          <cell r="I213">
            <v>270</v>
          </cell>
        </row>
        <row r="214">
          <cell r="A214" t="str">
            <v>C</v>
          </cell>
          <cell r="C214" t="str">
            <v>UK</v>
          </cell>
          <cell r="F214" t="str">
            <v>456CD</v>
          </cell>
          <cell r="H214">
            <v>46178</v>
          </cell>
          <cell r="I214">
            <v>270</v>
          </cell>
        </row>
        <row r="215">
          <cell r="A215" t="str">
            <v>C</v>
          </cell>
          <cell r="C215" t="str">
            <v>UK</v>
          </cell>
          <cell r="F215" t="str">
            <v>456CD</v>
          </cell>
          <cell r="H215">
            <v>46178</v>
          </cell>
          <cell r="I215">
            <v>270</v>
          </cell>
        </row>
        <row r="216">
          <cell r="A216" t="str">
            <v>C</v>
          </cell>
          <cell r="C216" t="str">
            <v>UK</v>
          </cell>
          <cell r="F216" t="str">
            <v>456CD</v>
          </cell>
          <cell r="H216">
            <v>46178</v>
          </cell>
          <cell r="I216">
            <v>270</v>
          </cell>
        </row>
        <row r="217">
          <cell r="A217" t="str">
            <v>C</v>
          </cell>
          <cell r="C217" t="str">
            <v>UK</v>
          </cell>
          <cell r="F217" t="str">
            <v>456CD</v>
          </cell>
          <cell r="H217">
            <v>46178</v>
          </cell>
          <cell r="I217">
            <v>270</v>
          </cell>
        </row>
        <row r="218">
          <cell r="A218" t="str">
            <v>C</v>
          </cell>
          <cell r="C218" t="str">
            <v>UK</v>
          </cell>
          <cell r="F218" t="str">
            <v>456CD</v>
          </cell>
          <cell r="H218">
            <v>46183</v>
          </cell>
          <cell r="I218">
            <v>270</v>
          </cell>
        </row>
        <row r="219">
          <cell r="A219" t="str">
            <v>C</v>
          </cell>
          <cell r="C219" t="str">
            <v>UK</v>
          </cell>
          <cell r="F219" t="str">
            <v>456CD</v>
          </cell>
          <cell r="H219">
            <v>46183</v>
          </cell>
          <cell r="I219">
            <v>270</v>
          </cell>
        </row>
        <row r="220">
          <cell r="A220" t="str">
            <v>C</v>
          </cell>
          <cell r="C220" t="str">
            <v>UK</v>
          </cell>
          <cell r="F220" t="str">
            <v>456CD</v>
          </cell>
          <cell r="H220">
            <v>46183</v>
          </cell>
          <cell r="I220">
            <v>270</v>
          </cell>
        </row>
        <row r="221">
          <cell r="A221" t="str">
            <v>C</v>
          </cell>
          <cell r="C221" t="str">
            <v>UK</v>
          </cell>
          <cell r="F221" t="str">
            <v>456CD</v>
          </cell>
          <cell r="H221">
            <v>46183</v>
          </cell>
          <cell r="I221">
            <v>270</v>
          </cell>
        </row>
        <row r="222">
          <cell r="A222" t="str">
            <v>C</v>
          </cell>
          <cell r="C222" t="str">
            <v>UK</v>
          </cell>
          <cell r="F222" t="str">
            <v>456CD</v>
          </cell>
          <cell r="H222">
            <v>46186</v>
          </cell>
          <cell r="I222">
            <v>270</v>
          </cell>
        </row>
        <row r="223">
          <cell r="A223" t="str">
            <v>C</v>
          </cell>
          <cell r="C223" t="str">
            <v>UK</v>
          </cell>
          <cell r="F223" t="str">
            <v>456CD</v>
          </cell>
          <cell r="H223">
            <v>46186</v>
          </cell>
          <cell r="I223">
            <v>270</v>
          </cell>
        </row>
        <row r="224">
          <cell r="A224" t="str">
            <v>C</v>
          </cell>
          <cell r="C224" t="str">
            <v>UK</v>
          </cell>
          <cell r="F224" t="str">
            <v>456CD</v>
          </cell>
          <cell r="H224">
            <v>46186</v>
          </cell>
          <cell r="I224">
            <v>270</v>
          </cell>
        </row>
        <row r="225">
          <cell r="A225" t="str">
            <v>C</v>
          </cell>
          <cell r="C225" t="str">
            <v>UK</v>
          </cell>
          <cell r="F225" t="str">
            <v>456CD</v>
          </cell>
          <cell r="H225">
            <v>46186</v>
          </cell>
          <cell r="I225">
            <v>270</v>
          </cell>
        </row>
        <row r="226">
          <cell r="A226" t="str">
            <v>C</v>
          </cell>
          <cell r="C226" t="str">
            <v>UK</v>
          </cell>
          <cell r="F226" t="str">
            <v>456CD</v>
          </cell>
          <cell r="H226">
            <v>46186</v>
          </cell>
          <cell r="I226">
            <v>270</v>
          </cell>
        </row>
        <row r="227">
          <cell r="A227" t="str">
            <v>C</v>
          </cell>
          <cell r="C227" t="str">
            <v>UK</v>
          </cell>
          <cell r="F227" t="str">
            <v>456CD</v>
          </cell>
          <cell r="H227">
            <v>46186</v>
          </cell>
          <cell r="I227">
            <v>270</v>
          </cell>
        </row>
        <row r="228">
          <cell r="A228" t="str">
            <v>C</v>
          </cell>
          <cell r="C228" t="str">
            <v>UK</v>
          </cell>
          <cell r="F228" t="str">
            <v>456CD</v>
          </cell>
          <cell r="H228">
            <v>46186</v>
          </cell>
          <cell r="I228">
            <v>270</v>
          </cell>
        </row>
        <row r="229">
          <cell r="A229" t="str">
            <v>C</v>
          </cell>
          <cell r="C229" t="str">
            <v>UK</v>
          </cell>
          <cell r="F229" t="str">
            <v>456CD</v>
          </cell>
          <cell r="H229">
            <v>46186</v>
          </cell>
          <cell r="I229">
            <v>270</v>
          </cell>
        </row>
        <row r="230">
          <cell r="A230" t="str">
            <v>C</v>
          </cell>
          <cell r="C230" t="str">
            <v>UK</v>
          </cell>
          <cell r="F230" t="str">
            <v>456CD</v>
          </cell>
          <cell r="H230">
            <v>46190</v>
          </cell>
          <cell r="I230">
            <v>270</v>
          </cell>
        </row>
        <row r="231">
          <cell r="A231" t="str">
            <v>C</v>
          </cell>
          <cell r="C231" t="str">
            <v>UK</v>
          </cell>
          <cell r="F231" t="str">
            <v>456CD</v>
          </cell>
          <cell r="H231">
            <v>46190</v>
          </cell>
          <cell r="I231">
            <v>270</v>
          </cell>
        </row>
        <row r="232">
          <cell r="A232" t="str">
            <v>C</v>
          </cell>
          <cell r="C232" t="str">
            <v>UK</v>
          </cell>
          <cell r="F232" t="str">
            <v>456CD</v>
          </cell>
          <cell r="H232">
            <v>46190</v>
          </cell>
          <cell r="I232">
            <v>270</v>
          </cell>
        </row>
        <row r="233">
          <cell r="A233" t="str">
            <v>C</v>
          </cell>
          <cell r="C233" t="str">
            <v>UK</v>
          </cell>
          <cell r="F233" t="str">
            <v>456CD</v>
          </cell>
          <cell r="H233">
            <v>46190</v>
          </cell>
          <cell r="I233">
            <v>270</v>
          </cell>
        </row>
        <row r="234">
          <cell r="A234" t="str">
            <v>C</v>
          </cell>
          <cell r="C234" t="str">
            <v>UK</v>
          </cell>
          <cell r="F234" t="str">
            <v>456CD</v>
          </cell>
          <cell r="H234">
            <v>46190</v>
          </cell>
          <cell r="I234">
            <v>270</v>
          </cell>
        </row>
        <row r="235">
          <cell r="A235" t="str">
            <v>C</v>
          </cell>
          <cell r="C235" t="str">
            <v>UK</v>
          </cell>
          <cell r="F235" t="str">
            <v>456CD</v>
          </cell>
          <cell r="H235">
            <v>46190</v>
          </cell>
          <cell r="I235">
            <v>270</v>
          </cell>
        </row>
        <row r="236">
          <cell r="A236" t="str">
            <v>C</v>
          </cell>
          <cell r="C236" t="str">
            <v>UK</v>
          </cell>
          <cell r="F236" t="str">
            <v>456CD</v>
          </cell>
          <cell r="H236">
            <v>46190</v>
          </cell>
          <cell r="I236">
            <v>270</v>
          </cell>
        </row>
        <row r="237">
          <cell r="A237" t="str">
            <v>C</v>
          </cell>
          <cell r="C237" t="str">
            <v>UK</v>
          </cell>
          <cell r="F237" t="str">
            <v>456CD</v>
          </cell>
          <cell r="H237">
            <v>46190</v>
          </cell>
          <cell r="I237">
            <v>270</v>
          </cell>
        </row>
        <row r="238">
          <cell r="A238" t="str">
            <v>C</v>
          </cell>
          <cell r="C238" t="str">
            <v>UK</v>
          </cell>
          <cell r="F238" t="str">
            <v>456CD</v>
          </cell>
          <cell r="H238">
            <v>46190</v>
          </cell>
          <cell r="I238">
            <v>270</v>
          </cell>
        </row>
        <row r="239">
          <cell r="A239" t="str">
            <v>C</v>
          </cell>
          <cell r="C239" t="str">
            <v>UK</v>
          </cell>
          <cell r="F239" t="str">
            <v>456CD</v>
          </cell>
          <cell r="H239">
            <v>46190</v>
          </cell>
          <cell r="I239">
            <v>270</v>
          </cell>
        </row>
        <row r="240">
          <cell r="A240" t="str">
            <v>C</v>
          </cell>
          <cell r="C240" t="str">
            <v>UK</v>
          </cell>
          <cell r="F240" t="str">
            <v>456CD</v>
          </cell>
          <cell r="H240">
            <v>46192</v>
          </cell>
          <cell r="I240">
            <v>3202</v>
          </cell>
        </row>
        <row r="241">
          <cell r="A241" t="str">
            <v>C</v>
          </cell>
          <cell r="C241" t="str">
            <v>UK</v>
          </cell>
          <cell r="F241" t="str">
            <v>456CD</v>
          </cell>
          <cell r="H241">
            <v>46192</v>
          </cell>
          <cell r="I241">
            <v>540</v>
          </cell>
        </row>
        <row r="242">
          <cell r="A242" t="str">
            <v>C</v>
          </cell>
          <cell r="C242" t="str">
            <v>UK</v>
          </cell>
          <cell r="F242" t="str">
            <v>456CD</v>
          </cell>
          <cell r="H242">
            <v>46197</v>
          </cell>
          <cell r="I242">
            <v>270</v>
          </cell>
        </row>
        <row r="243">
          <cell r="A243" t="str">
            <v>C</v>
          </cell>
          <cell r="C243" t="str">
            <v>UK</v>
          </cell>
          <cell r="F243" t="str">
            <v>456CD</v>
          </cell>
          <cell r="H243">
            <v>46197</v>
          </cell>
          <cell r="I243">
            <v>270</v>
          </cell>
        </row>
        <row r="244">
          <cell r="A244" t="str">
            <v>C</v>
          </cell>
          <cell r="C244" t="str">
            <v>UK</v>
          </cell>
          <cell r="F244" t="str">
            <v>456CD</v>
          </cell>
          <cell r="H244">
            <v>46197</v>
          </cell>
          <cell r="I244">
            <v>270</v>
          </cell>
        </row>
        <row r="245">
          <cell r="A245" t="str">
            <v>C</v>
          </cell>
          <cell r="C245" t="str">
            <v>UK</v>
          </cell>
          <cell r="F245" t="str">
            <v>456CD</v>
          </cell>
          <cell r="H245">
            <v>46197</v>
          </cell>
          <cell r="I245">
            <v>270</v>
          </cell>
        </row>
        <row r="246">
          <cell r="A246" t="str">
            <v>C</v>
          </cell>
          <cell r="C246" t="str">
            <v>UK</v>
          </cell>
          <cell r="F246" t="str">
            <v>456CD</v>
          </cell>
          <cell r="H246">
            <v>46197</v>
          </cell>
          <cell r="I246">
            <v>270</v>
          </cell>
        </row>
        <row r="247">
          <cell r="A247" t="str">
            <v>C</v>
          </cell>
          <cell r="C247" t="str">
            <v>UK</v>
          </cell>
          <cell r="F247" t="str">
            <v>456CD</v>
          </cell>
          <cell r="H247">
            <v>46197</v>
          </cell>
          <cell r="I247">
            <v>270</v>
          </cell>
        </row>
        <row r="248">
          <cell r="A248" t="str">
            <v>C</v>
          </cell>
          <cell r="C248" t="str">
            <v>UK</v>
          </cell>
          <cell r="F248" t="str">
            <v>456CD</v>
          </cell>
          <cell r="H248">
            <v>46197</v>
          </cell>
          <cell r="I248">
            <v>228</v>
          </cell>
        </row>
        <row r="249">
          <cell r="A249" t="str">
            <v>C</v>
          </cell>
          <cell r="C249" t="str">
            <v>UK</v>
          </cell>
          <cell r="F249" t="str">
            <v>456CD</v>
          </cell>
          <cell r="H249">
            <v>46197</v>
          </cell>
          <cell r="I249">
            <v>170</v>
          </cell>
        </row>
        <row r="250">
          <cell r="A250" t="str">
            <v>C</v>
          </cell>
          <cell r="C250" t="str">
            <v>UK</v>
          </cell>
          <cell r="F250" t="str">
            <v>456CD</v>
          </cell>
          <cell r="H250">
            <v>46197</v>
          </cell>
          <cell r="I250">
            <v>270</v>
          </cell>
        </row>
        <row r="251">
          <cell r="A251" t="str">
            <v>C</v>
          </cell>
          <cell r="C251" t="str">
            <v>UK</v>
          </cell>
          <cell r="F251" t="str">
            <v>456CD</v>
          </cell>
          <cell r="H251">
            <v>46197</v>
          </cell>
          <cell r="I251">
            <v>270</v>
          </cell>
        </row>
        <row r="252">
          <cell r="A252" t="str">
            <v>C</v>
          </cell>
          <cell r="C252" t="str">
            <v>UK</v>
          </cell>
          <cell r="F252" t="str">
            <v>456CD</v>
          </cell>
          <cell r="H252">
            <v>46197</v>
          </cell>
          <cell r="I252">
            <v>270</v>
          </cell>
        </row>
        <row r="253">
          <cell r="A253" t="str">
            <v>C</v>
          </cell>
          <cell r="C253" t="str">
            <v>UK</v>
          </cell>
          <cell r="F253" t="str">
            <v>456CD</v>
          </cell>
          <cell r="H253">
            <v>46197</v>
          </cell>
          <cell r="I253">
            <v>270</v>
          </cell>
        </row>
        <row r="254">
          <cell r="A254" t="str">
            <v>C</v>
          </cell>
          <cell r="C254" t="str">
            <v>UK</v>
          </cell>
          <cell r="F254" t="str">
            <v>456CD</v>
          </cell>
          <cell r="H254">
            <v>46199</v>
          </cell>
          <cell r="I254">
            <v>5704</v>
          </cell>
        </row>
        <row r="255">
          <cell r="A255" t="str">
            <v>C</v>
          </cell>
          <cell r="C255" t="str">
            <v>UK</v>
          </cell>
          <cell r="F255" t="str">
            <v>456CD</v>
          </cell>
          <cell r="H255">
            <v>46206</v>
          </cell>
          <cell r="I255">
            <v>2500</v>
          </cell>
        </row>
        <row r="256">
          <cell r="A256" t="str">
            <v>C</v>
          </cell>
          <cell r="C256" t="str">
            <v>UK</v>
          </cell>
          <cell r="F256" t="str">
            <v>456CD</v>
          </cell>
          <cell r="H256">
            <v>46206</v>
          </cell>
          <cell r="I256">
            <v>4655</v>
          </cell>
        </row>
        <row r="257">
          <cell r="A257" t="str">
            <v>C</v>
          </cell>
          <cell r="C257" t="str">
            <v>UK</v>
          </cell>
          <cell r="F257" t="str">
            <v>456CD</v>
          </cell>
          <cell r="H257">
            <v>46206</v>
          </cell>
          <cell r="I257">
            <v>540</v>
          </cell>
        </row>
        <row r="258">
          <cell r="A258" t="str">
            <v>C</v>
          </cell>
          <cell r="C258" t="str">
            <v>UK</v>
          </cell>
          <cell r="F258" t="str">
            <v>456CD</v>
          </cell>
          <cell r="H258">
            <v>46213</v>
          </cell>
          <cell r="I258">
            <v>2500</v>
          </cell>
        </row>
        <row r="259">
          <cell r="A259" t="str">
            <v>C</v>
          </cell>
          <cell r="C259" t="str">
            <v>UK</v>
          </cell>
          <cell r="F259" t="str">
            <v>456CD</v>
          </cell>
          <cell r="H259">
            <v>46220</v>
          </cell>
          <cell r="I259">
            <v>2500</v>
          </cell>
        </row>
        <row r="260">
          <cell r="A260" t="str">
            <v>C</v>
          </cell>
          <cell r="C260" t="str">
            <v>UK</v>
          </cell>
          <cell r="F260" t="str">
            <v>456CD</v>
          </cell>
          <cell r="H260">
            <v>46227</v>
          </cell>
          <cell r="I260">
            <v>2500</v>
          </cell>
        </row>
        <row r="261">
          <cell r="A261" t="str">
            <v>C</v>
          </cell>
          <cell r="C261" t="str">
            <v>UK</v>
          </cell>
          <cell r="F261" t="str">
            <v>456CD</v>
          </cell>
          <cell r="H261">
            <v>46234</v>
          </cell>
          <cell r="I261">
            <v>1000</v>
          </cell>
        </row>
        <row r="262">
          <cell r="A262" t="str">
            <v>C</v>
          </cell>
          <cell r="C262" t="str">
            <v>UK</v>
          </cell>
          <cell r="F262" t="str">
            <v>456CD</v>
          </cell>
          <cell r="H262">
            <v>46241</v>
          </cell>
          <cell r="I262">
            <v>1000</v>
          </cell>
        </row>
        <row r="263">
          <cell r="A263" t="str">
            <v>C</v>
          </cell>
          <cell r="C263" t="str">
            <v>UK</v>
          </cell>
          <cell r="F263" t="str">
            <v>456CD</v>
          </cell>
          <cell r="H263">
            <v>46248</v>
          </cell>
          <cell r="I263">
            <v>1000</v>
          </cell>
        </row>
        <row r="264">
          <cell r="A264" t="str">
            <v>C</v>
          </cell>
          <cell r="C264" t="str">
            <v>UK</v>
          </cell>
          <cell r="F264" t="str">
            <v>456CD</v>
          </cell>
          <cell r="H264">
            <v>46255</v>
          </cell>
          <cell r="I264">
            <v>1000</v>
          </cell>
        </row>
        <row r="265">
          <cell r="A265" t="str">
            <v>C</v>
          </cell>
          <cell r="C265" t="str">
            <v>UK</v>
          </cell>
          <cell r="F265" t="str">
            <v>456CD</v>
          </cell>
          <cell r="H265">
            <v>46262</v>
          </cell>
          <cell r="I265">
            <v>1000</v>
          </cell>
        </row>
        <row r="266">
          <cell r="A266" t="str">
            <v>C</v>
          </cell>
          <cell r="C266" t="str">
            <v>UK</v>
          </cell>
          <cell r="F266" t="str">
            <v>456CD</v>
          </cell>
          <cell r="H266">
            <v>46269</v>
          </cell>
          <cell r="I266">
            <v>750</v>
          </cell>
        </row>
        <row r="267">
          <cell r="A267" t="str">
            <v>C</v>
          </cell>
          <cell r="C267" t="str">
            <v>UK</v>
          </cell>
          <cell r="F267" t="str">
            <v>456CD</v>
          </cell>
          <cell r="H267">
            <v>46276</v>
          </cell>
          <cell r="I267">
            <v>750</v>
          </cell>
        </row>
        <row r="268">
          <cell r="A268" t="str">
            <v>C</v>
          </cell>
          <cell r="C268" t="str">
            <v>UK</v>
          </cell>
          <cell r="F268" t="str">
            <v>456CD</v>
          </cell>
          <cell r="H268">
            <v>46283</v>
          </cell>
          <cell r="I268">
            <v>750</v>
          </cell>
        </row>
        <row r="269">
          <cell r="A269" t="str">
            <v>C</v>
          </cell>
          <cell r="C269" t="str">
            <v>UK</v>
          </cell>
          <cell r="F269" t="str">
            <v>456CD</v>
          </cell>
          <cell r="H269">
            <v>46290</v>
          </cell>
          <cell r="I269">
            <v>750</v>
          </cell>
        </row>
        <row r="270">
          <cell r="A270" t="str">
            <v>C</v>
          </cell>
          <cell r="C270" t="str">
            <v>UK</v>
          </cell>
          <cell r="F270" t="str">
            <v>456CD</v>
          </cell>
          <cell r="H270">
            <v>46297</v>
          </cell>
          <cell r="I270">
            <v>600</v>
          </cell>
        </row>
        <row r="271">
          <cell r="A271" t="str">
            <v>C</v>
          </cell>
          <cell r="C271" t="str">
            <v>UK</v>
          </cell>
          <cell r="F271" t="str">
            <v>456CD</v>
          </cell>
          <cell r="H271">
            <v>46304</v>
          </cell>
          <cell r="I271">
            <v>600</v>
          </cell>
        </row>
        <row r="272">
          <cell r="A272" t="str">
            <v>C</v>
          </cell>
          <cell r="C272" t="str">
            <v>UK</v>
          </cell>
          <cell r="F272" t="str">
            <v>456CD</v>
          </cell>
          <cell r="H272">
            <v>46311</v>
          </cell>
          <cell r="I272">
            <v>600</v>
          </cell>
        </row>
        <row r="273">
          <cell r="A273" t="str">
            <v>C</v>
          </cell>
          <cell r="C273" t="str">
            <v>UK</v>
          </cell>
          <cell r="F273" t="str">
            <v>456CD</v>
          </cell>
          <cell r="H273">
            <v>46318</v>
          </cell>
          <cell r="I273">
            <v>600</v>
          </cell>
        </row>
        <row r="274">
          <cell r="A274" t="str">
            <v>C</v>
          </cell>
          <cell r="C274" t="str">
            <v>UK</v>
          </cell>
          <cell r="F274" t="str">
            <v>456CD</v>
          </cell>
          <cell r="H274">
            <v>46325</v>
          </cell>
          <cell r="I274">
            <v>600</v>
          </cell>
        </row>
        <row r="275">
          <cell r="A275" t="str">
            <v>C</v>
          </cell>
          <cell r="C275" t="str">
            <v>UK</v>
          </cell>
          <cell r="F275" t="str">
            <v>456CD</v>
          </cell>
          <cell r="H275">
            <v>46332</v>
          </cell>
          <cell r="I275">
            <v>500</v>
          </cell>
        </row>
        <row r="276">
          <cell r="A276" t="str">
            <v>C</v>
          </cell>
          <cell r="C276" t="str">
            <v>UK</v>
          </cell>
          <cell r="F276" t="str">
            <v>456CD</v>
          </cell>
          <cell r="H276">
            <v>46339</v>
          </cell>
          <cell r="I276">
            <v>500</v>
          </cell>
        </row>
        <row r="277">
          <cell r="A277" t="str">
            <v>C</v>
          </cell>
          <cell r="C277" t="str">
            <v>UK</v>
          </cell>
          <cell r="F277" t="str">
            <v>456CD</v>
          </cell>
          <cell r="H277">
            <v>46346</v>
          </cell>
          <cell r="I277">
            <v>500</v>
          </cell>
        </row>
        <row r="278">
          <cell r="A278" t="str">
            <v>C</v>
          </cell>
          <cell r="C278" t="str">
            <v>UK</v>
          </cell>
          <cell r="F278" t="str">
            <v>456CD</v>
          </cell>
          <cell r="H278">
            <v>46353</v>
          </cell>
          <cell r="I278">
            <v>500</v>
          </cell>
        </row>
        <row r="279">
          <cell r="A279" t="str">
            <v>C</v>
          </cell>
          <cell r="C279" t="str">
            <v>UK</v>
          </cell>
          <cell r="F279" t="str">
            <v>456CD</v>
          </cell>
          <cell r="H279">
            <v>46360</v>
          </cell>
          <cell r="I279">
            <v>3000</v>
          </cell>
        </row>
        <row r="280">
          <cell r="A280" t="str">
            <v>C</v>
          </cell>
          <cell r="C280" t="str">
            <v>UK</v>
          </cell>
          <cell r="F280" t="str">
            <v>456CD</v>
          </cell>
          <cell r="H280">
            <v>46367</v>
          </cell>
          <cell r="I280">
            <v>3000</v>
          </cell>
        </row>
        <row r="281">
          <cell r="A281" t="str">
            <v>C</v>
          </cell>
          <cell r="C281" t="str">
            <v>UK</v>
          </cell>
          <cell r="F281" t="str">
            <v>456CD</v>
          </cell>
          <cell r="H281">
            <v>46374</v>
          </cell>
          <cell r="I281">
            <v>3000</v>
          </cell>
        </row>
        <row r="282">
          <cell r="A282" t="str">
            <v>C</v>
          </cell>
          <cell r="C282" t="str">
            <v>UK</v>
          </cell>
          <cell r="F282" t="str">
            <v>456CD</v>
          </cell>
          <cell r="H282">
            <v>46381</v>
          </cell>
          <cell r="I282">
            <v>3000</v>
          </cell>
        </row>
        <row r="283">
          <cell r="A283" t="str">
            <v>D</v>
          </cell>
          <cell r="C283" t="str">
            <v>UK</v>
          </cell>
          <cell r="F283" t="str">
            <v>456CD</v>
          </cell>
          <cell r="H283">
            <v>46157</v>
          </cell>
          <cell r="I283">
            <v>270</v>
          </cell>
        </row>
        <row r="284">
          <cell r="A284" t="str">
            <v>D</v>
          </cell>
          <cell r="C284" t="str">
            <v>UK</v>
          </cell>
          <cell r="F284" t="str">
            <v>456CD</v>
          </cell>
          <cell r="H284">
            <v>46157</v>
          </cell>
          <cell r="I284">
            <v>270</v>
          </cell>
        </row>
        <row r="285">
          <cell r="A285" t="str">
            <v>D</v>
          </cell>
          <cell r="C285" t="str">
            <v>UK</v>
          </cell>
          <cell r="F285" t="str">
            <v>456CD</v>
          </cell>
          <cell r="H285">
            <v>46157</v>
          </cell>
          <cell r="I285">
            <v>270</v>
          </cell>
        </row>
        <row r="286">
          <cell r="A286" t="str">
            <v>D</v>
          </cell>
          <cell r="C286" t="str">
            <v>UK</v>
          </cell>
          <cell r="F286" t="str">
            <v>456CD</v>
          </cell>
          <cell r="H286">
            <v>46157</v>
          </cell>
          <cell r="I286">
            <v>270</v>
          </cell>
        </row>
        <row r="287">
          <cell r="A287" t="str">
            <v>D</v>
          </cell>
          <cell r="C287" t="str">
            <v>UK</v>
          </cell>
          <cell r="F287" t="str">
            <v>456CD</v>
          </cell>
          <cell r="H287">
            <v>46157</v>
          </cell>
          <cell r="I287">
            <v>270</v>
          </cell>
        </row>
        <row r="288">
          <cell r="A288" t="str">
            <v>D</v>
          </cell>
          <cell r="C288" t="str">
            <v>UK</v>
          </cell>
          <cell r="F288" t="str">
            <v>456CD</v>
          </cell>
          <cell r="H288">
            <v>46157</v>
          </cell>
          <cell r="I288">
            <v>270</v>
          </cell>
        </row>
        <row r="289">
          <cell r="A289" t="str">
            <v>D</v>
          </cell>
          <cell r="C289" t="str">
            <v>UK</v>
          </cell>
          <cell r="F289" t="str">
            <v>456CD</v>
          </cell>
          <cell r="H289">
            <v>46157</v>
          </cell>
          <cell r="I289">
            <v>270</v>
          </cell>
        </row>
        <row r="290">
          <cell r="A290" t="str">
            <v>D</v>
          </cell>
          <cell r="C290" t="str">
            <v>UK</v>
          </cell>
          <cell r="F290" t="str">
            <v>456CD</v>
          </cell>
          <cell r="H290">
            <v>46157</v>
          </cell>
          <cell r="I290">
            <v>270</v>
          </cell>
        </row>
        <row r="291">
          <cell r="A291" t="str">
            <v>D</v>
          </cell>
          <cell r="C291" t="str">
            <v>UK</v>
          </cell>
          <cell r="F291" t="str">
            <v>456CD</v>
          </cell>
          <cell r="H291">
            <v>46157</v>
          </cell>
          <cell r="I291">
            <v>270</v>
          </cell>
        </row>
        <row r="292">
          <cell r="A292" t="str">
            <v>D</v>
          </cell>
          <cell r="C292" t="str">
            <v>UK</v>
          </cell>
          <cell r="F292" t="str">
            <v>456CD</v>
          </cell>
          <cell r="H292">
            <v>46164</v>
          </cell>
          <cell r="I292">
            <v>270</v>
          </cell>
        </row>
        <row r="293">
          <cell r="A293" t="str">
            <v>D</v>
          </cell>
          <cell r="C293" t="str">
            <v>UK</v>
          </cell>
          <cell r="F293" t="str">
            <v>456CD</v>
          </cell>
          <cell r="H293">
            <v>46164</v>
          </cell>
          <cell r="I293">
            <v>270</v>
          </cell>
        </row>
        <row r="294">
          <cell r="A294" t="str">
            <v>D</v>
          </cell>
          <cell r="C294" t="str">
            <v>UK</v>
          </cell>
          <cell r="F294" t="str">
            <v>456CD</v>
          </cell>
          <cell r="H294">
            <v>46164</v>
          </cell>
          <cell r="I294">
            <v>270</v>
          </cell>
        </row>
        <row r="295">
          <cell r="A295" t="str">
            <v>D</v>
          </cell>
          <cell r="C295" t="str">
            <v>UK</v>
          </cell>
          <cell r="F295" t="str">
            <v>456CD</v>
          </cell>
          <cell r="H295">
            <v>46164</v>
          </cell>
          <cell r="I295">
            <v>270</v>
          </cell>
        </row>
        <row r="296">
          <cell r="A296" t="str">
            <v>D</v>
          </cell>
          <cell r="C296" t="str">
            <v>UK</v>
          </cell>
          <cell r="F296" t="str">
            <v>456CD</v>
          </cell>
          <cell r="H296">
            <v>46164</v>
          </cell>
          <cell r="I296">
            <v>270</v>
          </cell>
        </row>
        <row r="297">
          <cell r="A297" t="str">
            <v>D</v>
          </cell>
          <cell r="C297" t="str">
            <v>UK</v>
          </cell>
          <cell r="F297" t="str">
            <v>456CD</v>
          </cell>
          <cell r="H297">
            <v>46164</v>
          </cell>
          <cell r="I297">
            <v>270</v>
          </cell>
        </row>
        <row r="298">
          <cell r="A298" t="str">
            <v>D</v>
          </cell>
          <cell r="C298" t="str">
            <v>UK</v>
          </cell>
          <cell r="F298" t="str">
            <v>456CD</v>
          </cell>
          <cell r="H298">
            <v>46164</v>
          </cell>
          <cell r="I298">
            <v>270</v>
          </cell>
        </row>
        <row r="299">
          <cell r="A299" t="str">
            <v>D</v>
          </cell>
          <cell r="C299" t="str">
            <v>UK</v>
          </cell>
          <cell r="F299" t="str">
            <v>456CD</v>
          </cell>
          <cell r="H299">
            <v>46164</v>
          </cell>
          <cell r="I299">
            <v>270</v>
          </cell>
        </row>
        <row r="300">
          <cell r="A300" t="str">
            <v>D</v>
          </cell>
          <cell r="C300" t="str">
            <v>UK</v>
          </cell>
          <cell r="F300" t="str">
            <v>456CD</v>
          </cell>
          <cell r="H300">
            <v>46164</v>
          </cell>
          <cell r="I300">
            <v>270</v>
          </cell>
        </row>
        <row r="301">
          <cell r="A301" t="str">
            <v>D</v>
          </cell>
          <cell r="C301" t="str">
            <v>UK</v>
          </cell>
          <cell r="F301" t="str">
            <v>456CD</v>
          </cell>
          <cell r="H301">
            <v>46164</v>
          </cell>
          <cell r="I301">
            <v>270</v>
          </cell>
        </row>
        <row r="302">
          <cell r="A302" t="str">
            <v>D</v>
          </cell>
          <cell r="C302" t="str">
            <v>UK</v>
          </cell>
          <cell r="F302" t="str">
            <v>456CD</v>
          </cell>
          <cell r="H302">
            <v>46164</v>
          </cell>
          <cell r="I302">
            <v>270</v>
          </cell>
        </row>
        <row r="303">
          <cell r="A303" t="str">
            <v>D</v>
          </cell>
          <cell r="C303" t="str">
            <v>UK</v>
          </cell>
          <cell r="F303" t="str">
            <v>456CD</v>
          </cell>
          <cell r="H303">
            <v>46164</v>
          </cell>
          <cell r="I303">
            <v>270</v>
          </cell>
        </row>
        <row r="304">
          <cell r="A304" t="str">
            <v>D</v>
          </cell>
          <cell r="C304" t="str">
            <v>UK</v>
          </cell>
          <cell r="F304" t="str">
            <v>456CD</v>
          </cell>
          <cell r="H304">
            <v>46164</v>
          </cell>
          <cell r="I304">
            <v>270</v>
          </cell>
        </row>
        <row r="305">
          <cell r="A305" t="str">
            <v>D</v>
          </cell>
          <cell r="C305" t="str">
            <v>UK</v>
          </cell>
          <cell r="F305" t="str">
            <v>456CD</v>
          </cell>
          <cell r="H305">
            <v>46164</v>
          </cell>
          <cell r="I305">
            <v>270</v>
          </cell>
        </row>
        <row r="306">
          <cell r="A306" t="str">
            <v>D</v>
          </cell>
          <cell r="C306" t="str">
            <v>UK</v>
          </cell>
          <cell r="F306" t="str">
            <v>456CD</v>
          </cell>
          <cell r="H306">
            <v>46164</v>
          </cell>
          <cell r="I306">
            <v>270</v>
          </cell>
        </row>
        <row r="307">
          <cell r="A307" t="str">
            <v>D</v>
          </cell>
          <cell r="C307" t="str">
            <v>UK</v>
          </cell>
          <cell r="F307" t="str">
            <v>456CD</v>
          </cell>
          <cell r="H307">
            <v>46164</v>
          </cell>
          <cell r="I307">
            <v>270</v>
          </cell>
        </row>
        <row r="308">
          <cell r="A308" t="str">
            <v>D</v>
          </cell>
          <cell r="C308" t="str">
            <v>UK</v>
          </cell>
          <cell r="F308" t="str">
            <v>456CD</v>
          </cell>
          <cell r="H308">
            <v>46164</v>
          </cell>
          <cell r="I308">
            <v>270</v>
          </cell>
        </row>
        <row r="309">
          <cell r="A309" t="str">
            <v>D</v>
          </cell>
          <cell r="C309" t="str">
            <v>UK</v>
          </cell>
          <cell r="F309" t="str">
            <v>456CD</v>
          </cell>
          <cell r="H309">
            <v>46164</v>
          </cell>
          <cell r="I309">
            <v>270</v>
          </cell>
        </row>
        <row r="310">
          <cell r="A310" t="str">
            <v>D</v>
          </cell>
          <cell r="C310" t="str">
            <v>UK</v>
          </cell>
          <cell r="F310" t="str">
            <v>456CD</v>
          </cell>
          <cell r="H310">
            <v>46164</v>
          </cell>
          <cell r="I310">
            <v>270</v>
          </cell>
        </row>
        <row r="311">
          <cell r="A311" t="str">
            <v>D</v>
          </cell>
          <cell r="C311" t="str">
            <v>UK</v>
          </cell>
          <cell r="F311" t="str">
            <v>456CD</v>
          </cell>
          <cell r="H311">
            <v>46164</v>
          </cell>
          <cell r="I311">
            <v>270</v>
          </cell>
        </row>
        <row r="312">
          <cell r="A312" t="str">
            <v>D</v>
          </cell>
          <cell r="C312" t="str">
            <v>UK</v>
          </cell>
          <cell r="F312" t="str">
            <v>456CD</v>
          </cell>
          <cell r="H312">
            <v>46164</v>
          </cell>
          <cell r="I312">
            <v>270</v>
          </cell>
        </row>
        <row r="313">
          <cell r="A313" t="str">
            <v>D</v>
          </cell>
          <cell r="C313" t="str">
            <v>UK</v>
          </cell>
          <cell r="F313" t="str">
            <v>456CD</v>
          </cell>
          <cell r="H313">
            <v>46164</v>
          </cell>
          <cell r="I313">
            <v>270</v>
          </cell>
        </row>
        <row r="314">
          <cell r="A314" t="str">
            <v>D</v>
          </cell>
          <cell r="C314" t="str">
            <v>UK</v>
          </cell>
          <cell r="F314" t="str">
            <v>456CD</v>
          </cell>
          <cell r="H314">
            <v>46164</v>
          </cell>
          <cell r="I314">
            <v>270</v>
          </cell>
        </row>
        <row r="315">
          <cell r="A315" t="str">
            <v>D</v>
          </cell>
          <cell r="C315" t="str">
            <v>UK</v>
          </cell>
          <cell r="F315" t="str">
            <v>456CD</v>
          </cell>
          <cell r="H315">
            <v>46164</v>
          </cell>
          <cell r="I315">
            <v>270</v>
          </cell>
        </row>
        <row r="316">
          <cell r="A316" t="str">
            <v>D</v>
          </cell>
          <cell r="C316" t="str">
            <v>UK</v>
          </cell>
          <cell r="F316" t="str">
            <v>456CD</v>
          </cell>
          <cell r="H316">
            <v>46164</v>
          </cell>
          <cell r="I316">
            <v>270</v>
          </cell>
        </row>
        <row r="317">
          <cell r="A317" t="str">
            <v>D</v>
          </cell>
          <cell r="C317" t="str">
            <v>UK</v>
          </cell>
          <cell r="F317" t="str">
            <v>456CD</v>
          </cell>
          <cell r="H317">
            <v>46164</v>
          </cell>
          <cell r="I317">
            <v>270</v>
          </cell>
        </row>
        <row r="318">
          <cell r="A318" t="str">
            <v>D</v>
          </cell>
          <cell r="C318" t="str">
            <v>UK</v>
          </cell>
          <cell r="F318" t="str">
            <v>456CD</v>
          </cell>
          <cell r="H318">
            <v>46164</v>
          </cell>
          <cell r="I318">
            <v>270</v>
          </cell>
        </row>
        <row r="319">
          <cell r="A319" t="str">
            <v>D</v>
          </cell>
          <cell r="C319" t="str">
            <v>UK</v>
          </cell>
          <cell r="F319" t="str">
            <v>456CD</v>
          </cell>
          <cell r="H319">
            <v>46164</v>
          </cell>
          <cell r="I319">
            <v>270</v>
          </cell>
        </row>
        <row r="320">
          <cell r="A320" t="str">
            <v>D</v>
          </cell>
          <cell r="C320" t="str">
            <v>UK</v>
          </cell>
          <cell r="F320" t="str">
            <v>456CD</v>
          </cell>
          <cell r="H320">
            <v>46164</v>
          </cell>
          <cell r="I320">
            <v>270</v>
          </cell>
        </row>
        <row r="321">
          <cell r="A321" t="str">
            <v>D</v>
          </cell>
          <cell r="C321" t="str">
            <v>UK</v>
          </cell>
          <cell r="F321" t="str">
            <v>456CD</v>
          </cell>
          <cell r="H321">
            <v>46164</v>
          </cell>
          <cell r="I321">
            <v>270</v>
          </cell>
        </row>
        <row r="322">
          <cell r="A322" t="str">
            <v>D</v>
          </cell>
          <cell r="C322" t="str">
            <v>UK</v>
          </cell>
          <cell r="F322" t="str">
            <v>456CD</v>
          </cell>
          <cell r="H322">
            <v>46164</v>
          </cell>
          <cell r="I322">
            <v>270</v>
          </cell>
        </row>
        <row r="323">
          <cell r="A323" t="str">
            <v>D</v>
          </cell>
          <cell r="C323" t="str">
            <v>UK</v>
          </cell>
          <cell r="F323" t="str">
            <v>456CD</v>
          </cell>
          <cell r="H323">
            <v>46164</v>
          </cell>
          <cell r="I323">
            <v>270</v>
          </cell>
        </row>
        <row r="324">
          <cell r="A324" t="str">
            <v>D</v>
          </cell>
          <cell r="C324" t="str">
            <v>UK</v>
          </cell>
          <cell r="F324" t="str">
            <v>456CD</v>
          </cell>
          <cell r="H324">
            <v>46164</v>
          </cell>
          <cell r="I324">
            <v>270</v>
          </cell>
        </row>
        <row r="325">
          <cell r="A325" t="str">
            <v>D</v>
          </cell>
          <cell r="C325" t="str">
            <v>UK</v>
          </cell>
          <cell r="F325" t="str">
            <v>456CD</v>
          </cell>
          <cell r="H325">
            <v>46164</v>
          </cell>
          <cell r="I325">
            <v>270</v>
          </cell>
        </row>
        <row r="326">
          <cell r="A326" t="str">
            <v>D</v>
          </cell>
          <cell r="C326" t="str">
            <v>UK</v>
          </cell>
          <cell r="F326" t="str">
            <v>456CD</v>
          </cell>
          <cell r="H326">
            <v>46164</v>
          </cell>
          <cell r="I326">
            <v>270</v>
          </cell>
        </row>
        <row r="327">
          <cell r="A327" t="str">
            <v>D</v>
          </cell>
          <cell r="C327" t="str">
            <v>UK</v>
          </cell>
          <cell r="F327" t="str">
            <v>456CD</v>
          </cell>
          <cell r="H327">
            <v>46164</v>
          </cell>
          <cell r="I327">
            <v>270</v>
          </cell>
        </row>
        <row r="328">
          <cell r="A328" t="str">
            <v>D</v>
          </cell>
          <cell r="C328" t="str">
            <v>UK</v>
          </cell>
          <cell r="F328" t="str">
            <v>456CD</v>
          </cell>
          <cell r="H328">
            <v>46164</v>
          </cell>
          <cell r="I328">
            <v>270</v>
          </cell>
        </row>
        <row r="329">
          <cell r="A329" t="str">
            <v>D</v>
          </cell>
          <cell r="C329" t="str">
            <v>UK</v>
          </cell>
          <cell r="F329" t="str">
            <v>456CD</v>
          </cell>
          <cell r="H329">
            <v>46171</v>
          </cell>
          <cell r="I329">
            <v>222</v>
          </cell>
        </row>
        <row r="330">
          <cell r="A330" t="str">
            <v>D</v>
          </cell>
          <cell r="C330" t="str">
            <v>UK</v>
          </cell>
          <cell r="F330" t="str">
            <v>456CD</v>
          </cell>
          <cell r="H330">
            <v>46171</v>
          </cell>
          <cell r="I330">
            <v>171</v>
          </cell>
        </row>
        <row r="331">
          <cell r="A331" t="str">
            <v>D</v>
          </cell>
          <cell r="C331" t="str">
            <v>UK</v>
          </cell>
          <cell r="F331" t="str">
            <v>456CD</v>
          </cell>
          <cell r="H331">
            <v>46171</v>
          </cell>
          <cell r="I331">
            <v>270</v>
          </cell>
        </row>
        <row r="332">
          <cell r="A332" t="str">
            <v>D</v>
          </cell>
          <cell r="C332" t="str">
            <v>UK</v>
          </cell>
          <cell r="F332" t="str">
            <v>456CD</v>
          </cell>
          <cell r="H332">
            <v>46171</v>
          </cell>
          <cell r="I332">
            <v>270</v>
          </cell>
        </row>
        <row r="333">
          <cell r="A333" t="str">
            <v>D</v>
          </cell>
          <cell r="C333" t="str">
            <v>UK</v>
          </cell>
          <cell r="F333" t="str">
            <v>456CD</v>
          </cell>
          <cell r="H333">
            <v>46171</v>
          </cell>
          <cell r="I333">
            <v>270</v>
          </cell>
        </row>
        <row r="334">
          <cell r="A334" t="str">
            <v>D</v>
          </cell>
          <cell r="C334" t="str">
            <v>UK</v>
          </cell>
          <cell r="F334" t="str">
            <v>456CD</v>
          </cell>
          <cell r="H334">
            <v>46171</v>
          </cell>
          <cell r="I334">
            <v>270</v>
          </cell>
        </row>
        <row r="335">
          <cell r="A335" t="str">
            <v>D</v>
          </cell>
          <cell r="C335" t="str">
            <v>UK</v>
          </cell>
          <cell r="F335" t="str">
            <v>456CD</v>
          </cell>
          <cell r="H335">
            <v>46171</v>
          </cell>
          <cell r="I335">
            <v>270</v>
          </cell>
        </row>
        <row r="336">
          <cell r="A336" t="str">
            <v>D</v>
          </cell>
          <cell r="C336" t="str">
            <v>UK</v>
          </cell>
          <cell r="F336" t="str">
            <v>456CD</v>
          </cell>
          <cell r="H336">
            <v>46171</v>
          </cell>
          <cell r="I336">
            <v>270</v>
          </cell>
        </row>
        <row r="337">
          <cell r="A337" t="str">
            <v>D</v>
          </cell>
          <cell r="C337" t="str">
            <v>UK</v>
          </cell>
          <cell r="F337" t="str">
            <v>456CD</v>
          </cell>
          <cell r="H337">
            <v>46171</v>
          </cell>
          <cell r="I337">
            <v>269</v>
          </cell>
        </row>
        <row r="338">
          <cell r="A338" t="str">
            <v>D</v>
          </cell>
          <cell r="C338" t="str">
            <v>UK</v>
          </cell>
          <cell r="F338" t="str">
            <v>456CD</v>
          </cell>
          <cell r="H338">
            <v>46171</v>
          </cell>
          <cell r="I338">
            <v>270</v>
          </cell>
        </row>
        <row r="339">
          <cell r="A339" t="str">
            <v>D</v>
          </cell>
          <cell r="C339" t="str">
            <v>UK</v>
          </cell>
          <cell r="F339" t="str">
            <v>456CD</v>
          </cell>
          <cell r="H339">
            <v>46171</v>
          </cell>
          <cell r="I339">
            <v>270</v>
          </cell>
        </row>
        <row r="340">
          <cell r="A340" t="str">
            <v>D</v>
          </cell>
          <cell r="C340" t="str">
            <v>UK</v>
          </cell>
          <cell r="F340" t="str">
            <v>456CD</v>
          </cell>
          <cell r="H340">
            <v>46171</v>
          </cell>
          <cell r="I340">
            <v>227</v>
          </cell>
        </row>
        <row r="341">
          <cell r="A341" t="str">
            <v>D</v>
          </cell>
          <cell r="C341" t="str">
            <v>UK</v>
          </cell>
          <cell r="F341" t="str">
            <v>456CD</v>
          </cell>
          <cell r="H341">
            <v>46171</v>
          </cell>
          <cell r="I341">
            <v>264</v>
          </cell>
        </row>
        <row r="342">
          <cell r="A342" t="str">
            <v>D</v>
          </cell>
          <cell r="C342" t="str">
            <v>UK</v>
          </cell>
          <cell r="F342" t="str">
            <v>456CD</v>
          </cell>
          <cell r="H342">
            <v>46171</v>
          </cell>
          <cell r="I342">
            <v>270</v>
          </cell>
        </row>
        <row r="343">
          <cell r="A343" t="str">
            <v>D</v>
          </cell>
          <cell r="C343" t="str">
            <v>UK</v>
          </cell>
          <cell r="F343" t="str">
            <v>456CD</v>
          </cell>
          <cell r="H343">
            <v>46171</v>
          </cell>
          <cell r="I343">
            <v>270</v>
          </cell>
        </row>
        <row r="344">
          <cell r="A344" t="str">
            <v>D</v>
          </cell>
          <cell r="C344" t="str">
            <v>UK</v>
          </cell>
          <cell r="F344" t="str">
            <v>456CD</v>
          </cell>
          <cell r="H344">
            <v>46171</v>
          </cell>
          <cell r="I344">
            <v>270</v>
          </cell>
        </row>
        <row r="345">
          <cell r="A345" t="str">
            <v>D</v>
          </cell>
          <cell r="C345" t="str">
            <v>UK</v>
          </cell>
          <cell r="F345" t="str">
            <v>456CD</v>
          </cell>
          <cell r="H345">
            <v>46171</v>
          </cell>
          <cell r="I345">
            <v>270</v>
          </cell>
        </row>
        <row r="346">
          <cell r="A346" t="str">
            <v>D</v>
          </cell>
          <cell r="C346" t="str">
            <v>UK</v>
          </cell>
          <cell r="F346" t="str">
            <v>456CD</v>
          </cell>
          <cell r="H346">
            <v>46171</v>
          </cell>
          <cell r="I346">
            <v>270</v>
          </cell>
        </row>
        <row r="347">
          <cell r="A347" t="str">
            <v>D</v>
          </cell>
          <cell r="C347" t="str">
            <v>UK</v>
          </cell>
          <cell r="F347" t="str">
            <v>456CD</v>
          </cell>
          <cell r="H347">
            <v>46171</v>
          </cell>
          <cell r="I347">
            <v>207</v>
          </cell>
        </row>
        <row r="348">
          <cell r="A348" t="str">
            <v>D</v>
          </cell>
          <cell r="C348" t="str">
            <v>UK</v>
          </cell>
          <cell r="F348" t="str">
            <v>456CD</v>
          </cell>
          <cell r="H348">
            <v>46171</v>
          </cell>
          <cell r="I348">
            <v>270</v>
          </cell>
        </row>
        <row r="349">
          <cell r="A349" t="str">
            <v>D</v>
          </cell>
          <cell r="C349" t="str">
            <v>UK</v>
          </cell>
          <cell r="F349" t="str">
            <v>456CD</v>
          </cell>
          <cell r="H349">
            <v>46171</v>
          </cell>
          <cell r="I349">
            <v>160</v>
          </cell>
        </row>
        <row r="350">
          <cell r="A350" t="str">
            <v>D</v>
          </cell>
          <cell r="C350" t="str">
            <v>UK</v>
          </cell>
          <cell r="F350" t="str">
            <v>456CD</v>
          </cell>
          <cell r="H350">
            <v>46171</v>
          </cell>
          <cell r="I350">
            <v>270</v>
          </cell>
        </row>
        <row r="351">
          <cell r="A351" t="str">
            <v>D</v>
          </cell>
          <cell r="C351" t="str">
            <v>UK</v>
          </cell>
          <cell r="F351" t="str">
            <v>456CD</v>
          </cell>
          <cell r="H351">
            <v>46171</v>
          </cell>
          <cell r="I351">
            <v>270</v>
          </cell>
        </row>
        <row r="352">
          <cell r="A352" t="str">
            <v>D</v>
          </cell>
          <cell r="C352" t="str">
            <v>UK</v>
          </cell>
          <cell r="F352" t="str">
            <v>456CD</v>
          </cell>
          <cell r="H352">
            <v>46175</v>
          </cell>
          <cell r="I352">
            <v>270</v>
          </cell>
        </row>
        <row r="353">
          <cell r="A353" t="str">
            <v>D</v>
          </cell>
          <cell r="C353" t="str">
            <v>UK</v>
          </cell>
          <cell r="F353" t="str">
            <v>456CD</v>
          </cell>
          <cell r="H353">
            <v>46175</v>
          </cell>
          <cell r="I353">
            <v>270</v>
          </cell>
        </row>
        <row r="354">
          <cell r="A354" t="str">
            <v>D</v>
          </cell>
          <cell r="C354" t="str">
            <v>UK</v>
          </cell>
          <cell r="F354" t="str">
            <v>456CD</v>
          </cell>
          <cell r="H354">
            <v>46175</v>
          </cell>
          <cell r="I354">
            <v>270</v>
          </cell>
        </row>
        <row r="355">
          <cell r="A355" t="str">
            <v>D</v>
          </cell>
          <cell r="C355" t="str">
            <v>UK</v>
          </cell>
          <cell r="F355" t="str">
            <v>456CD</v>
          </cell>
          <cell r="H355">
            <v>46175</v>
          </cell>
          <cell r="I355">
            <v>270</v>
          </cell>
        </row>
        <row r="356">
          <cell r="A356" t="str">
            <v>D</v>
          </cell>
          <cell r="C356" t="str">
            <v>UK</v>
          </cell>
          <cell r="F356" t="str">
            <v>456CD</v>
          </cell>
          <cell r="H356">
            <v>46175</v>
          </cell>
          <cell r="I356">
            <v>270</v>
          </cell>
        </row>
        <row r="357">
          <cell r="A357" t="str">
            <v>D</v>
          </cell>
          <cell r="C357" t="str">
            <v>UK</v>
          </cell>
          <cell r="F357" t="str">
            <v>456CD</v>
          </cell>
          <cell r="H357">
            <v>46175</v>
          </cell>
          <cell r="I357">
            <v>270</v>
          </cell>
        </row>
        <row r="358">
          <cell r="A358" t="str">
            <v>D</v>
          </cell>
          <cell r="C358" t="str">
            <v>UK</v>
          </cell>
          <cell r="F358" t="str">
            <v>456CD</v>
          </cell>
          <cell r="H358">
            <v>46175</v>
          </cell>
          <cell r="I358">
            <v>270</v>
          </cell>
        </row>
        <row r="359">
          <cell r="A359" t="str">
            <v>D</v>
          </cell>
          <cell r="C359" t="str">
            <v>UK</v>
          </cell>
          <cell r="F359" t="str">
            <v>456CD</v>
          </cell>
          <cell r="H359">
            <v>46175</v>
          </cell>
          <cell r="I359">
            <v>270</v>
          </cell>
        </row>
        <row r="360">
          <cell r="A360" t="str">
            <v>D</v>
          </cell>
          <cell r="C360" t="str">
            <v>UK</v>
          </cell>
          <cell r="F360" t="str">
            <v>456CD</v>
          </cell>
          <cell r="H360">
            <v>46175</v>
          </cell>
          <cell r="I360">
            <v>270</v>
          </cell>
        </row>
        <row r="361">
          <cell r="A361" t="str">
            <v>D</v>
          </cell>
          <cell r="C361" t="str">
            <v>UK</v>
          </cell>
          <cell r="F361" t="str">
            <v>456CD</v>
          </cell>
          <cell r="H361">
            <v>46175</v>
          </cell>
          <cell r="I361">
            <v>270</v>
          </cell>
        </row>
        <row r="362">
          <cell r="A362" t="str">
            <v>D</v>
          </cell>
          <cell r="C362" t="str">
            <v>UK</v>
          </cell>
          <cell r="F362" t="str">
            <v>456CD</v>
          </cell>
          <cell r="H362">
            <v>46175</v>
          </cell>
          <cell r="I362">
            <v>270</v>
          </cell>
        </row>
        <row r="363">
          <cell r="A363" t="str">
            <v>D</v>
          </cell>
          <cell r="C363" t="str">
            <v>UK</v>
          </cell>
          <cell r="F363" t="str">
            <v>456CD</v>
          </cell>
          <cell r="H363">
            <v>46175</v>
          </cell>
          <cell r="I363">
            <v>270</v>
          </cell>
        </row>
        <row r="364">
          <cell r="A364" t="str">
            <v>D</v>
          </cell>
          <cell r="C364" t="str">
            <v>UK</v>
          </cell>
          <cell r="F364" t="str">
            <v>456CD</v>
          </cell>
          <cell r="H364">
            <v>46175</v>
          </cell>
          <cell r="I364">
            <v>270</v>
          </cell>
        </row>
        <row r="365">
          <cell r="A365" t="str">
            <v>D</v>
          </cell>
          <cell r="C365" t="str">
            <v>UK</v>
          </cell>
          <cell r="F365" t="str">
            <v>456CD</v>
          </cell>
          <cell r="H365">
            <v>46175</v>
          </cell>
          <cell r="I365">
            <v>270</v>
          </cell>
        </row>
        <row r="366">
          <cell r="A366" t="str">
            <v>D</v>
          </cell>
          <cell r="C366" t="str">
            <v>UK</v>
          </cell>
          <cell r="F366" t="str">
            <v>456CD</v>
          </cell>
          <cell r="H366">
            <v>46175</v>
          </cell>
          <cell r="I366">
            <v>270</v>
          </cell>
        </row>
        <row r="367">
          <cell r="A367" t="str">
            <v>D</v>
          </cell>
          <cell r="C367" t="str">
            <v>UK</v>
          </cell>
          <cell r="F367" t="str">
            <v>456CD</v>
          </cell>
          <cell r="H367">
            <v>46175</v>
          </cell>
          <cell r="I367">
            <v>270</v>
          </cell>
        </row>
        <row r="368">
          <cell r="A368" t="str">
            <v>D</v>
          </cell>
          <cell r="C368" t="str">
            <v>UK</v>
          </cell>
          <cell r="F368" t="str">
            <v>456CD</v>
          </cell>
          <cell r="H368">
            <v>46175</v>
          </cell>
          <cell r="I368">
            <v>270</v>
          </cell>
        </row>
        <row r="369">
          <cell r="A369" t="str">
            <v>D</v>
          </cell>
          <cell r="C369" t="str">
            <v>UK</v>
          </cell>
          <cell r="F369" t="str">
            <v>456CD</v>
          </cell>
          <cell r="H369">
            <v>46175</v>
          </cell>
          <cell r="I369">
            <v>270</v>
          </cell>
        </row>
        <row r="370">
          <cell r="A370" t="str">
            <v>D</v>
          </cell>
          <cell r="C370" t="str">
            <v>UK</v>
          </cell>
          <cell r="F370" t="str">
            <v>456CD</v>
          </cell>
          <cell r="H370">
            <v>46175</v>
          </cell>
          <cell r="I370">
            <v>270</v>
          </cell>
        </row>
        <row r="371">
          <cell r="A371" t="str">
            <v>D</v>
          </cell>
          <cell r="C371" t="str">
            <v>UK</v>
          </cell>
          <cell r="F371" t="str">
            <v>456CD</v>
          </cell>
          <cell r="H371">
            <v>46175</v>
          </cell>
          <cell r="I371">
            <v>270</v>
          </cell>
        </row>
        <row r="372">
          <cell r="A372" t="str">
            <v>D</v>
          </cell>
          <cell r="C372" t="str">
            <v>UK</v>
          </cell>
          <cell r="F372" t="str">
            <v>456CD</v>
          </cell>
          <cell r="H372">
            <v>46175</v>
          </cell>
          <cell r="I372">
            <v>270</v>
          </cell>
        </row>
        <row r="373">
          <cell r="A373" t="str">
            <v>D</v>
          </cell>
          <cell r="C373" t="str">
            <v>UK</v>
          </cell>
          <cell r="F373" t="str">
            <v>456CD</v>
          </cell>
          <cell r="H373">
            <v>46175</v>
          </cell>
          <cell r="I373">
            <v>270</v>
          </cell>
        </row>
        <row r="374">
          <cell r="A374" t="str">
            <v>D</v>
          </cell>
          <cell r="C374" t="str">
            <v>UK</v>
          </cell>
          <cell r="F374" t="str">
            <v>456CD</v>
          </cell>
          <cell r="H374">
            <v>46175</v>
          </cell>
          <cell r="I374">
            <v>270</v>
          </cell>
        </row>
        <row r="375">
          <cell r="A375" t="str">
            <v>D</v>
          </cell>
          <cell r="C375" t="str">
            <v>UK</v>
          </cell>
          <cell r="F375" t="str">
            <v>456CD</v>
          </cell>
          <cell r="H375">
            <v>46175</v>
          </cell>
          <cell r="I375">
            <v>270</v>
          </cell>
        </row>
        <row r="376">
          <cell r="A376" t="str">
            <v>D</v>
          </cell>
          <cell r="C376" t="str">
            <v>UK</v>
          </cell>
          <cell r="F376" t="str">
            <v>456CD</v>
          </cell>
          <cell r="H376">
            <v>46175</v>
          </cell>
          <cell r="I376">
            <v>270</v>
          </cell>
        </row>
        <row r="377">
          <cell r="A377" t="str">
            <v>D</v>
          </cell>
          <cell r="C377" t="str">
            <v>UK</v>
          </cell>
          <cell r="F377" t="str">
            <v>456CD</v>
          </cell>
          <cell r="H377">
            <v>46175</v>
          </cell>
          <cell r="I377">
            <v>270</v>
          </cell>
        </row>
        <row r="378">
          <cell r="A378" t="str">
            <v>D</v>
          </cell>
          <cell r="C378" t="str">
            <v>UK</v>
          </cell>
          <cell r="F378" t="str">
            <v>456CD</v>
          </cell>
          <cell r="H378">
            <v>46175</v>
          </cell>
          <cell r="I378">
            <v>270</v>
          </cell>
        </row>
        <row r="379">
          <cell r="A379" t="str">
            <v>D</v>
          </cell>
          <cell r="C379" t="str">
            <v>UK</v>
          </cell>
          <cell r="F379" t="str">
            <v>456CD</v>
          </cell>
          <cell r="H379">
            <v>46175</v>
          </cell>
          <cell r="I379">
            <v>270</v>
          </cell>
        </row>
        <row r="380">
          <cell r="A380" t="str">
            <v>D</v>
          </cell>
          <cell r="C380" t="str">
            <v>UK</v>
          </cell>
          <cell r="F380" t="str">
            <v>456CD</v>
          </cell>
          <cell r="H380">
            <v>46175</v>
          </cell>
          <cell r="I380">
            <v>270</v>
          </cell>
        </row>
        <row r="381">
          <cell r="A381" t="str">
            <v>D</v>
          </cell>
          <cell r="C381" t="str">
            <v>UK</v>
          </cell>
          <cell r="F381" t="str">
            <v>456CD</v>
          </cell>
          <cell r="H381">
            <v>46175</v>
          </cell>
          <cell r="I381">
            <v>270</v>
          </cell>
        </row>
        <row r="382">
          <cell r="A382" t="str">
            <v>D</v>
          </cell>
          <cell r="C382" t="str">
            <v>UK</v>
          </cell>
          <cell r="F382" t="str">
            <v>456CD</v>
          </cell>
          <cell r="H382">
            <v>46183</v>
          </cell>
          <cell r="I382">
            <v>228</v>
          </cell>
        </row>
        <row r="383">
          <cell r="A383" t="str">
            <v>D</v>
          </cell>
          <cell r="C383" t="str">
            <v>UK</v>
          </cell>
          <cell r="F383" t="str">
            <v>456CD</v>
          </cell>
          <cell r="H383">
            <v>46183</v>
          </cell>
          <cell r="I383">
            <v>270</v>
          </cell>
        </row>
        <row r="384">
          <cell r="A384" t="str">
            <v>D</v>
          </cell>
          <cell r="C384" t="str">
            <v>UK</v>
          </cell>
          <cell r="F384" t="str">
            <v>456CD</v>
          </cell>
          <cell r="H384">
            <v>46183</v>
          </cell>
          <cell r="I384">
            <v>270</v>
          </cell>
        </row>
        <row r="385">
          <cell r="A385" t="str">
            <v>D</v>
          </cell>
          <cell r="C385" t="str">
            <v>UK</v>
          </cell>
          <cell r="F385" t="str">
            <v>456CD</v>
          </cell>
          <cell r="H385">
            <v>46183</v>
          </cell>
          <cell r="I385">
            <v>233</v>
          </cell>
        </row>
        <row r="386">
          <cell r="A386" t="str">
            <v>D</v>
          </cell>
          <cell r="C386" t="str">
            <v>UK</v>
          </cell>
          <cell r="F386" t="str">
            <v>456CD</v>
          </cell>
          <cell r="H386">
            <v>46190</v>
          </cell>
          <cell r="I386">
            <v>270</v>
          </cell>
        </row>
        <row r="387">
          <cell r="A387" t="str">
            <v>D</v>
          </cell>
          <cell r="C387" t="str">
            <v>UK</v>
          </cell>
          <cell r="F387" t="str">
            <v>456CD</v>
          </cell>
          <cell r="H387">
            <v>46190</v>
          </cell>
          <cell r="I387">
            <v>192</v>
          </cell>
        </row>
        <row r="388">
          <cell r="A388" t="str">
            <v>D</v>
          </cell>
          <cell r="C388" t="str">
            <v>UK</v>
          </cell>
          <cell r="F388" t="str">
            <v>456CD</v>
          </cell>
          <cell r="H388">
            <v>46190</v>
          </cell>
          <cell r="I388">
            <v>204</v>
          </cell>
        </row>
        <row r="389">
          <cell r="A389" t="str">
            <v>D</v>
          </cell>
          <cell r="C389" t="str">
            <v>UK</v>
          </cell>
          <cell r="F389" t="str">
            <v>456CD</v>
          </cell>
          <cell r="H389">
            <v>46190</v>
          </cell>
          <cell r="I389">
            <v>270</v>
          </cell>
        </row>
        <row r="390">
          <cell r="A390" t="str">
            <v>D</v>
          </cell>
          <cell r="C390" t="str">
            <v>UK</v>
          </cell>
          <cell r="F390" t="str">
            <v>456CD</v>
          </cell>
          <cell r="H390">
            <v>46190</v>
          </cell>
          <cell r="I390">
            <v>234</v>
          </cell>
        </row>
        <row r="391">
          <cell r="A391" t="str">
            <v>D</v>
          </cell>
          <cell r="C391" t="str">
            <v>UK</v>
          </cell>
          <cell r="F391" t="str">
            <v>456CD</v>
          </cell>
          <cell r="H391">
            <v>46190</v>
          </cell>
          <cell r="I391">
            <v>270</v>
          </cell>
        </row>
        <row r="392">
          <cell r="A392" t="str">
            <v>D</v>
          </cell>
          <cell r="C392" t="str">
            <v>UK</v>
          </cell>
          <cell r="F392" t="str">
            <v>456CD</v>
          </cell>
          <cell r="H392">
            <v>46190</v>
          </cell>
          <cell r="I392">
            <v>179</v>
          </cell>
        </row>
        <row r="393">
          <cell r="A393" t="str">
            <v>D</v>
          </cell>
          <cell r="C393" t="str">
            <v>UK</v>
          </cell>
          <cell r="F393" t="str">
            <v>456CD</v>
          </cell>
          <cell r="H393">
            <v>46190</v>
          </cell>
          <cell r="I393">
            <v>270</v>
          </cell>
        </row>
        <row r="394">
          <cell r="A394" t="str">
            <v>D</v>
          </cell>
          <cell r="C394" t="str">
            <v>UK</v>
          </cell>
          <cell r="F394" t="str">
            <v>456CD</v>
          </cell>
          <cell r="H394">
            <v>46192</v>
          </cell>
          <cell r="I394">
            <v>582</v>
          </cell>
        </row>
        <row r="395">
          <cell r="A395" t="str">
            <v>D</v>
          </cell>
          <cell r="C395" t="str">
            <v>UK</v>
          </cell>
          <cell r="F395" t="str">
            <v>456CD</v>
          </cell>
          <cell r="H395">
            <v>46197</v>
          </cell>
          <cell r="I395">
            <v>228</v>
          </cell>
        </row>
        <row r="396">
          <cell r="A396" t="str">
            <v>D</v>
          </cell>
          <cell r="C396" t="str">
            <v>UK</v>
          </cell>
          <cell r="F396" t="str">
            <v>456CD</v>
          </cell>
          <cell r="H396">
            <v>46197</v>
          </cell>
          <cell r="I396">
            <v>234</v>
          </cell>
        </row>
        <row r="397">
          <cell r="A397" t="str">
            <v>D</v>
          </cell>
          <cell r="C397" t="str">
            <v>UK</v>
          </cell>
          <cell r="F397" t="str">
            <v>456CD</v>
          </cell>
          <cell r="H397">
            <v>46197</v>
          </cell>
          <cell r="I397">
            <v>228</v>
          </cell>
        </row>
        <row r="398">
          <cell r="A398" t="str">
            <v>D</v>
          </cell>
          <cell r="C398" t="str">
            <v>UK</v>
          </cell>
          <cell r="F398" t="str">
            <v>456CD</v>
          </cell>
          <cell r="H398">
            <v>46197</v>
          </cell>
          <cell r="I398">
            <v>228</v>
          </cell>
        </row>
        <row r="399">
          <cell r="A399" t="str">
            <v>D</v>
          </cell>
          <cell r="C399" t="str">
            <v>UK</v>
          </cell>
          <cell r="F399" t="str">
            <v>456CD</v>
          </cell>
          <cell r="H399">
            <v>46199</v>
          </cell>
          <cell r="I399">
            <v>2540</v>
          </cell>
        </row>
        <row r="400">
          <cell r="A400" t="str">
            <v>D</v>
          </cell>
          <cell r="C400" t="str">
            <v>UK</v>
          </cell>
          <cell r="F400" t="str">
            <v>456CD</v>
          </cell>
          <cell r="H400">
            <v>46206</v>
          </cell>
          <cell r="I400">
            <v>500</v>
          </cell>
        </row>
        <row r="401">
          <cell r="A401" t="str">
            <v>D</v>
          </cell>
          <cell r="C401" t="str">
            <v>UK</v>
          </cell>
          <cell r="F401" t="str">
            <v>456CD</v>
          </cell>
          <cell r="H401">
            <v>46213</v>
          </cell>
          <cell r="I401">
            <v>500</v>
          </cell>
        </row>
        <row r="402">
          <cell r="A402" t="str">
            <v>D</v>
          </cell>
          <cell r="C402" t="str">
            <v>UK</v>
          </cell>
          <cell r="F402" t="str">
            <v>456CD</v>
          </cell>
          <cell r="H402">
            <v>46220</v>
          </cell>
          <cell r="I402">
            <v>500</v>
          </cell>
        </row>
        <row r="403">
          <cell r="A403" t="str">
            <v>D</v>
          </cell>
          <cell r="C403" t="str">
            <v>UK</v>
          </cell>
          <cell r="F403" t="str">
            <v>456CD</v>
          </cell>
          <cell r="H403">
            <v>46227</v>
          </cell>
          <cell r="I403">
            <v>500</v>
          </cell>
        </row>
        <row r="404">
          <cell r="A404" t="str">
            <v>D</v>
          </cell>
          <cell r="C404" t="str">
            <v>UK</v>
          </cell>
          <cell r="F404" t="str">
            <v>456CD</v>
          </cell>
          <cell r="H404">
            <v>46248</v>
          </cell>
          <cell r="I404">
            <v>400</v>
          </cell>
        </row>
        <row r="405">
          <cell r="A405" t="str">
            <v>D</v>
          </cell>
          <cell r="C405" t="str">
            <v>UK</v>
          </cell>
          <cell r="F405" t="str">
            <v>456CD</v>
          </cell>
          <cell r="H405">
            <v>46269</v>
          </cell>
          <cell r="I405">
            <v>400</v>
          </cell>
        </row>
        <row r="406">
          <cell r="A406" t="str">
            <v>D</v>
          </cell>
          <cell r="C406" t="str">
            <v>UK</v>
          </cell>
          <cell r="F406" t="str">
            <v>456CD</v>
          </cell>
          <cell r="H406">
            <v>46283</v>
          </cell>
          <cell r="I406">
            <v>400</v>
          </cell>
        </row>
        <row r="407">
          <cell r="A407" t="str">
            <v>D</v>
          </cell>
          <cell r="C407" t="str">
            <v>UK</v>
          </cell>
          <cell r="F407" t="str">
            <v>456CD</v>
          </cell>
          <cell r="H407">
            <v>46297</v>
          </cell>
          <cell r="I407">
            <v>360</v>
          </cell>
        </row>
        <row r="408">
          <cell r="A408" t="str">
            <v>D</v>
          </cell>
          <cell r="C408" t="str">
            <v>UK</v>
          </cell>
          <cell r="F408" t="str">
            <v>456CD</v>
          </cell>
          <cell r="H408">
            <v>46304</v>
          </cell>
          <cell r="I408">
            <v>360</v>
          </cell>
        </row>
        <row r="409">
          <cell r="A409" t="str">
            <v>D</v>
          </cell>
          <cell r="C409" t="str">
            <v>UK</v>
          </cell>
          <cell r="F409" t="str">
            <v>456CD</v>
          </cell>
          <cell r="H409">
            <v>46311</v>
          </cell>
          <cell r="I409">
            <v>360</v>
          </cell>
        </row>
        <row r="410">
          <cell r="A410" t="str">
            <v>D</v>
          </cell>
          <cell r="C410" t="str">
            <v>UK</v>
          </cell>
          <cell r="F410" t="str">
            <v>456CD</v>
          </cell>
          <cell r="H410">
            <v>46318</v>
          </cell>
          <cell r="I410">
            <v>360</v>
          </cell>
        </row>
        <row r="411">
          <cell r="A411" t="str">
            <v>D</v>
          </cell>
          <cell r="C411" t="str">
            <v>UK</v>
          </cell>
          <cell r="F411" t="str">
            <v>456CD</v>
          </cell>
          <cell r="H411">
            <v>46325</v>
          </cell>
          <cell r="I411">
            <v>360</v>
          </cell>
        </row>
        <row r="412">
          <cell r="A412" t="str">
            <v>D</v>
          </cell>
          <cell r="C412" t="str">
            <v>UK</v>
          </cell>
          <cell r="F412" t="str">
            <v>456CD</v>
          </cell>
          <cell r="H412">
            <v>46332</v>
          </cell>
          <cell r="I412">
            <v>1000</v>
          </cell>
        </row>
        <row r="413">
          <cell r="A413" t="str">
            <v>D</v>
          </cell>
          <cell r="C413" t="str">
            <v>UK</v>
          </cell>
          <cell r="F413" t="str">
            <v>456CD</v>
          </cell>
          <cell r="H413">
            <v>46339</v>
          </cell>
          <cell r="I413">
            <v>1000</v>
          </cell>
        </row>
        <row r="414">
          <cell r="A414" t="str">
            <v>D</v>
          </cell>
          <cell r="C414" t="str">
            <v>UK</v>
          </cell>
          <cell r="F414" t="str">
            <v>456CD</v>
          </cell>
          <cell r="H414">
            <v>46346</v>
          </cell>
          <cell r="I414">
            <v>1000</v>
          </cell>
        </row>
        <row r="415">
          <cell r="A415" t="str">
            <v>D</v>
          </cell>
          <cell r="C415" t="str">
            <v>UK</v>
          </cell>
          <cell r="F415" t="str">
            <v>456CD</v>
          </cell>
          <cell r="H415">
            <v>46353</v>
          </cell>
          <cell r="I415">
            <v>1000</v>
          </cell>
        </row>
        <row r="416">
          <cell r="A416" t="str">
            <v>D</v>
          </cell>
          <cell r="C416" t="str">
            <v>UK</v>
          </cell>
          <cell r="F416" t="str">
            <v>456CD</v>
          </cell>
          <cell r="H416">
            <v>46360</v>
          </cell>
          <cell r="I416">
            <v>1250</v>
          </cell>
        </row>
        <row r="417">
          <cell r="A417" t="str">
            <v>D</v>
          </cell>
          <cell r="C417" t="str">
            <v>UK</v>
          </cell>
          <cell r="F417" t="str">
            <v>456CD</v>
          </cell>
          <cell r="H417">
            <v>46367</v>
          </cell>
          <cell r="I417">
            <v>1250</v>
          </cell>
        </row>
        <row r="418">
          <cell r="A418" t="str">
            <v>D</v>
          </cell>
          <cell r="C418" t="str">
            <v>UK</v>
          </cell>
          <cell r="F418" t="str">
            <v>456CD</v>
          </cell>
          <cell r="H418">
            <v>46374</v>
          </cell>
          <cell r="I418">
            <v>1250</v>
          </cell>
        </row>
        <row r="419">
          <cell r="A419" t="str">
            <v>D</v>
          </cell>
          <cell r="C419" t="str">
            <v>UK</v>
          </cell>
          <cell r="F419" t="str">
            <v>456CD</v>
          </cell>
          <cell r="H419">
            <v>46381</v>
          </cell>
          <cell r="I419">
            <v>1250</v>
          </cell>
        </row>
        <row r="420">
          <cell r="A420" t="str">
            <v>E</v>
          </cell>
          <cell r="C420" t="str">
            <v>Australia</v>
          </cell>
          <cell r="F420" t="str">
            <v>789EF</v>
          </cell>
          <cell r="H420">
            <v>46150</v>
          </cell>
          <cell r="I420">
            <v>472</v>
          </cell>
        </row>
        <row r="421">
          <cell r="A421" t="str">
            <v>E</v>
          </cell>
          <cell r="C421" t="str">
            <v>Australia</v>
          </cell>
          <cell r="F421" t="str">
            <v>789EF</v>
          </cell>
          <cell r="H421">
            <v>46157</v>
          </cell>
          <cell r="I421">
            <v>300</v>
          </cell>
        </row>
        <row r="422">
          <cell r="A422" t="str">
            <v>E</v>
          </cell>
          <cell r="C422" t="str">
            <v>Australia</v>
          </cell>
          <cell r="F422" t="str">
            <v>789EF</v>
          </cell>
          <cell r="H422">
            <v>46164</v>
          </cell>
          <cell r="I422">
            <v>698</v>
          </cell>
        </row>
        <row r="423">
          <cell r="A423" t="str">
            <v>E</v>
          </cell>
          <cell r="C423" t="str">
            <v>Australia</v>
          </cell>
          <cell r="F423" t="str">
            <v>789EF</v>
          </cell>
          <cell r="H423">
            <v>46199</v>
          </cell>
          <cell r="I423">
            <v>300</v>
          </cell>
        </row>
        <row r="424">
          <cell r="A424" t="str">
            <v>E</v>
          </cell>
          <cell r="C424" t="str">
            <v>Australia</v>
          </cell>
          <cell r="F424" t="str">
            <v>789EF</v>
          </cell>
          <cell r="H424">
            <v>46213</v>
          </cell>
          <cell r="I424">
            <v>700</v>
          </cell>
        </row>
        <row r="425">
          <cell r="A425" t="str">
            <v>E</v>
          </cell>
          <cell r="C425" t="str">
            <v>Australia</v>
          </cell>
          <cell r="F425" t="str">
            <v>789EF</v>
          </cell>
          <cell r="H425">
            <v>46227</v>
          </cell>
          <cell r="I425">
            <v>300</v>
          </cell>
        </row>
        <row r="426">
          <cell r="A426" t="str">
            <v>E</v>
          </cell>
          <cell r="C426" t="str">
            <v>Australia</v>
          </cell>
          <cell r="F426" t="str">
            <v>789EF</v>
          </cell>
          <cell r="H426">
            <v>46304</v>
          </cell>
          <cell r="I426">
            <v>300</v>
          </cell>
        </row>
        <row r="427">
          <cell r="A427" t="str">
            <v>E</v>
          </cell>
          <cell r="C427" t="str">
            <v>Australia</v>
          </cell>
          <cell r="F427" t="str">
            <v>789EF</v>
          </cell>
          <cell r="H427">
            <v>46367</v>
          </cell>
          <cell r="I427">
            <v>300</v>
          </cell>
        </row>
        <row r="428">
          <cell r="A428" t="str">
            <v>E</v>
          </cell>
          <cell r="C428" t="str">
            <v>Australia</v>
          </cell>
          <cell r="F428" t="str">
            <v>789EF</v>
          </cell>
          <cell r="H428">
            <v>46234</v>
          </cell>
          <cell r="I428">
            <v>300</v>
          </cell>
        </row>
        <row r="429">
          <cell r="A429" t="str">
            <v>E</v>
          </cell>
          <cell r="C429" t="str">
            <v>Australia</v>
          </cell>
          <cell r="F429" t="str">
            <v>789EF</v>
          </cell>
          <cell r="H429">
            <v>46276</v>
          </cell>
          <cell r="I429">
            <v>300</v>
          </cell>
        </row>
        <row r="430">
          <cell r="A430" t="str">
            <v>E</v>
          </cell>
          <cell r="C430" t="str">
            <v>Australia</v>
          </cell>
          <cell r="F430" t="str">
            <v>789EF</v>
          </cell>
          <cell r="H430">
            <v>46339</v>
          </cell>
          <cell r="I430">
            <v>300</v>
          </cell>
        </row>
        <row r="431">
          <cell r="A431" t="str">
            <v>E</v>
          </cell>
          <cell r="C431" t="str">
            <v>Australia</v>
          </cell>
          <cell r="F431" t="str">
            <v>789EF</v>
          </cell>
          <cell r="H431">
            <v>46178</v>
          </cell>
          <cell r="I431">
            <v>300</v>
          </cell>
        </row>
        <row r="432">
          <cell r="A432" t="str">
            <v>E</v>
          </cell>
          <cell r="C432" t="str">
            <v>Australia</v>
          </cell>
          <cell r="F432" t="str">
            <v>789EF</v>
          </cell>
          <cell r="H432">
            <v>46255</v>
          </cell>
          <cell r="I432">
            <v>300</v>
          </cell>
        </row>
        <row r="433">
          <cell r="A433" t="str">
            <v>E</v>
          </cell>
          <cell r="C433" t="str">
            <v>Australia</v>
          </cell>
          <cell r="F433" t="str">
            <v>789EF</v>
          </cell>
          <cell r="H433">
            <v>46220</v>
          </cell>
          <cell r="I433">
            <v>300</v>
          </cell>
        </row>
        <row r="434">
          <cell r="A434" t="str">
            <v>F</v>
          </cell>
          <cell r="C434" t="str">
            <v>US</v>
          </cell>
          <cell r="F434" t="str">
            <v>789EF</v>
          </cell>
          <cell r="H434">
            <v>46367</v>
          </cell>
          <cell r="I434">
            <v>1928</v>
          </cell>
        </row>
        <row r="435">
          <cell r="A435" t="str">
            <v>F</v>
          </cell>
          <cell r="C435" t="str">
            <v>US</v>
          </cell>
          <cell r="F435" t="str">
            <v>789EF</v>
          </cell>
          <cell r="H435">
            <v>46381</v>
          </cell>
          <cell r="I435">
            <v>1928</v>
          </cell>
        </row>
        <row r="436">
          <cell r="A436" t="str">
            <v>F</v>
          </cell>
          <cell r="C436" t="str">
            <v>US</v>
          </cell>
          <cell r="F436" t="str">
            <v>789EF</v>
          </cell>
          <cell r="H436">
            <v>46185</v>
          </cell>
          <cell r="I436">
            <v>4500</v>
          </cell>
        </row>
        <row r="437">
          <cell r="A437" t="str">
            <v>F</v>
          </cell>
          <cell r="C437" t="str">
            <v>US</v>
          </cell>
          <cell r="F437" t="str">
            <v>789EF</v>
          </cell>
          <cell r="H437">
            <v>46262</v>
          </cell>
          <cell r="I437">
            <v>1298</v>
          </cell>
        </row>
        <row r="438">
          <cell r="A438" t="str">
            <v>F</v>
          </cell>
          <cell r="C438" t="str">
            <v>US</v>
          </cell>
          <cell r="F438" t="str">
            <v>789EF</v>
          </cell>
          <cell r="H438">
            <v>46227</v>
          </cell>
          <cell r="I438">
            <v>900</v>
          </cell>
        </row>
        <row r="439">
          <cell r="A439" t="str">
            <v>F</v>
          </cell>
          <cell r="C439" t="str">
            <v>US</v>
          </cell>
          <cell r="F439" t="str">
            <v>789EF</v>
          </cell>
          <cell r="H439">
            <v>46353</v>
          </cell>
          <cell r="I439">
            <v>1756</v>
          </cell>
        </row>
        <row r="440">
          <cell r="A440" t="str">
            <v>F</v>
          </cell>
          <cell r="C440" t="str">
            <v>US</v>
          </cell>
          <cell r="F440" t="str">
            <v>789EF</v>
          </cell>
          <cell r="H440">
            <v>46143</v>
          </cell>
          <cell r="I440">
            <v>588</v>
          </cell>
        </row>
        <row r="441">
          <cell r="A441" t="str">
            <v>F</v>
          </cell>
          <cell r="C441" t="str">
            <v>US</v>
          </cell>
          <cell r="F441" t="str">
            <v>789EF</v>
          </cell>
          <cell r="H441">
            <v>46150</v>
          </cell>
          <cell r="I441">
            <v>4028</v>
          </cell>
        </row>
        <row r="442">
          <cell r="A442" t="str">
            <v>F</v>
          </cell>
          <cell r="C442" t="str">
            <v>US</v>
          </cell>
          <cell r="F442" t="str">
            <v>789EF</v>
          </cell>
          <cell r="H442">
            <v>46157</v>
          </cell>
          <cell r="I442">
            <v>4200</v>
          </cell>
        </row>
        <row r="443">
          <cell r="A443" t="str">
            <v>F</v>
          </cell>
          <cell r="C443" t="str">
            <v>US</v>
          </cell>
          <cell r="F443" t="str">
            <v>789EF</v>
          </cell>
          <cell r="H443">
            <v>46164</v>
          </cell>
          <cell r="I443">
            <v>3802</v>
          </cell>
        </row>
        <row r="444">
          <cell r="A444" t="str">
            <v>F</v>
          </cell>
          <cell r="C444" t="str">
            <v>US</v>
          </cell>
          <cell r="F444" t="str">
            <v>789EF</v>
          </cell>
          <cell r="H444">
            <v>46171</v>
          </cell>
          <cell r="I444">
            <v>4500</v>
          </cell>
        </row>
        <row r="445">
          <cell r="A445" t="str">
            <v>F</v>
          </cell>
          <cell r="C445" t="str">
            <v>US</v>
          </cell>
          <cell r="F445" t="str">
            <v>789EF</v>
          </cell>
          <cell r="H445">
            <v>46178</v>
          </cell>
          <cell r="I445">
            <v>4200</v>
          </cell>
        </row>
        <row r="446">
          <cell r="A446" t="str">
            <v>F</v>
          </cell>
          <cell r="C446" t="str">
            <v>US</v>
          </cell>
          <cell r="F446" t="str">
            <v>789EF</v>
          </cell>
          <cell r="H446">
            <v>46192</v>
          </cell>
          <cell r="I446">
            <v>4500</v>
          </cell>
        </row>
        <row r="447">
          <cell r="A447" t="str">
            <v>F</v>
          </cell>
          <cell r="C447" t="str">
            <v>US</v>
          </cell>
          <cell r="F447" t="str">
            <v>789EF</v>
          </cell>
          <cell r="H447">
            <v>46199</v>
          </cell>
          <cell r="I447">
            <v>2200</v>
          </cell>
        </row>
        <row r="448">
          <cell r="A448" t="str">
            <v>F</v>
          </cell>
          <cell r="C448" t="str">
            <v>US</v>
          </cell>
          <cell r="F448" t="str">
            <v>789EF</v>
          </cell>
          <cell r="H448">
            <v>46206</v>
          </cell>
          <cell r="I448">
            <v>5000</v>
          </cell>
        </row>
        <row r="449">
          <cell r="A449" t="str">
            <v>F</v>
          </cell>
          <cell r="C449" t="str">
            <v>US</v>
          </cell>
          <cell r="F449" t="str">
            <v>789EF</v>
          </cell>
          <cell r="H449">
            <v>46213</v>
          </cell>
          <cell r="I449">
            <v>4300</v>
          </cell>
        </row>
        <row r="450">
          <cell r="A450" t="str">
            <v>F</v>
          </cell>
          <cell r="C450" t="str">
            <v>US</v>
          </cell>
          <cell r="F450" t="str">
            <v>789EF</v>
          </cell>
          <cell r="H450">
            <v>46227</v>
          </cell>
          <cell r="I450">
            <v>3846</v>
          </cell>
        </row>
        <row r="451">
          <cell r="A451" t="str">
            <v>F</v>
          </cell>
          <cell r="C451" t="str">
            <v>US</v>
          </cell>
          <cell r="F451" t="str">
            <v>789EF</v>
          </cell>
          <cell r="H451">
            <v>46234</v>
          </cell>
          <cell r="I451">
            <v>4300</v>
          </cell>
        </row>
        <row r="452">
          <cell r="A452" t="str">
            <v>F</v>
          </cell>
          <cell r="C452" t="str">
            <v>US</v>
          </cell>
          <cell r="F452" t="str">
            <v>789EF</v>
          </cell>
          <cell r="H452">
            <v>46248</v>
          </cell>
          <cell r="I452">
            <v>1298</v>
          </cell>
        </row>
        <row r="453">
          <cell r="A453" t="str">
            <v>F</v>
          </cell>
          <cell r="C453" t="str">
            <v>US</v>
          </cell>
          <cell r="F453" t="str">
            <v>789EF</v>
          </cell>
          <cell r="H453">
            <v>46276</v>
          </cell>
          <cell r="I453">
            <v>1506</v>
          </cell>
        </row>
        <row r="454">
          <cell r="A454" t="str">
            <v>F</v>
          </cell>
          <cell r="C454" t="str">
            <v>US</v>
          </cell>
          <cell r="F454" t="str">
            <v>789EF</v>
          </cell>
          <cell r="H454">
            <v>46283</v>
          </cell>
          <cell r="I454">
            <v>1506</v>
          </cell>
        </row>
        <row r="455">
          <cell r="A455" t="str">
            <v>F</v>
          </cell>
          <cell r="C455" t="str">
            <v>US</v>
          </cell>
          <cell r="F455" t="str">
            <v>789EF</v>
          </cell>
          <cell r="H455">
            <v>46290</v>
          </cell>
          <cell r="I455">
            <v>1506</v>
          </cell>
        </row>
        <row r="456">
          <cell r="A456" t="str">
            <v>F</v>
          </cell>
          <cell r="C456" t="str">
            <v>US</v>
          </cell>
          <cell r="F456" t="str">
            <v>789EF</v>
          </cell>
          <cell r="H456">
            <v>46297</v>
          </cell>
          <cell r="I456">
            <v>1446</v>
          </cell>
        </row>
        <row r="457">
          <cell r="A457" t="str">
            <v>F</v>
          </cell>
          <cell r="C457" t="str">
            <v>US</v>
          </cell>
          <cell r="F457" t="str">
            <v>789EF</v>
          </cell>
          <cell r="H457">
            <v>46318</v>
          </cell>
          <cell r="I457">
            <v>1448</v>
          </cell>
        </row>
        <row r="458">
          <cell r="A458" t="str">
            <v>F</v>
          </cell>
          <cell r="C458" t="str">
            <v>US</v>
          </cell>
          <cell r="F458" t="str">
            <v>789EF</v>
          </cell>
          <cell r="H458">
            <v>46325</v>
          </cell>
          <cell r="I458">
            <v>1448</v>
          </cell>
        </row>
        <row r="459">
          <cell r="A459" t="str">
            <v>F</v>
          </cell>
          <cell r="C459" t="str">
            <v>US</v>
          </cell>
          <cell r="F459" t="str">
            <v>789EF</v>
          </cell>
          <cell r="H459">
            <v>46332</v>
          </cell>
          <cell r="I459">
            <v>1448</v>
          </cell>
        </row>
        <row r="460">
          <cell r="A460" t="str">
            <v>F</v>
          </cell>
          <cell r="C460" t="str">
            <v>US</v>
          </cell>
          <cell r="F460" t="str">
            <v>789EF</v>
          </cell>
          <cell r="H460">
            <v>46346</v>
          </cell>
          <cell r="I460">
            <v>1756</v>
          </cell>
        </row>
        <row r="461">
          <cell r="A461" t="str">
            <v>F</v>
          </cell>
          <cell r="C461" t="str">
            <v>US</v>
          </cell>
          <cell r="F461" t="str">
            <v>789EF</v>
          </cell>
          <cell r="H461">
            <v>46360</v>
          </cell>
          <cell r="I461">
            <v>1756</v>
          </cell>
        </row>
        <row r="462">
          <cell r="A462" t="str">
            <v>F</v>
          </cell>
          <cell r="C462" t="str">
            <v>US</v>
          </cell>
          <cell r="F462" t="str">
            <v>789EF</v>
          </cell>
          <cell r="H462">
            <v>46374</v>
          </cell>
          <cell r="I462">
            <v>1930</v>
          </cell>
        </row>
        <row r="463">
          <cell r="A463" t="str">
            <v>F</v>
          </cell>
          <cell r="C463" t="str">
            <v>US</v>
          </cell>
          <cell r="F463" t="str">
            <v>789EF</v>
          </cell>
          <cell r="H463">
            <v>46220</v>
          </cell>
          <cell r="I463">
            <v>4700</v>
          </cell>
        </row>
        <row r="464">
          <cell r="A464" t="str">
            <v>F</v>
          </cell>
          <cell r="C464" t="str">
            <v>US</v>
          </cell>
          <cell r="F464" t="str">
            <v>789EF</v>
          </cell>
          <cell r="H464">
            <v>46241</v>
          </cell>
          <cell r="I464">
            <v>476</v>
          </cell>
        </row>
        <row r="465">
          <cell r="A465" t="str">
            <v>F</v>
          </cell>
          <cell r="C465" t="str">
            <v>US</v>
          </cell>
          <cell r="F465" t="str">
            <v>789EF</v>
          </cell>
          <cell r="H465">
            <v>46255</v>
          </cell>
          <cell r="I465">
            <v>1300</v>
          </cell>
        </row>
        <row r="466">
          <cell r="A466" t="str">
            <v>F</v>
          </cell>
          <cell r="C466" t="str">
            <v>US</v>
          </cell>
          <cell r="F466" t="str">
            <v>789EF</v>
          </cell>
          <cell r="H466">
            <v>46269</v>
          </cell>
          <cell r="I466">
            <v>1506</v>
          </cell>
        </row>
        <row r="467">
          <cell r="A467" t="str">
            <v>F</v>
          </cell>
          <cell r="C467" t="str">
            <v>US</v>
          </cell>
          <cell r="F467" t="str">
            <v>789EF</v>
          </cell>
          <cell r="H467">
            <v>46339</v>
          </cell>
          <cell r="I467">
            <v>1754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66" totalsRowShown="0" headerRowDxfId="33" tableBorderDxfId="32">
  <autoFilter ref="A1:I466" xr:uid="{00000000-0009-0000-0100-000001000000}"/>
  <sortState xmlns:xlrd2="http://schemas.microsoft.com/office/spreadsheetml/2017/richdata2" ref="A2:I466">
    <sortCondition ref="H1:H466"/>
  </sortState>
  <tableColumns count="9">
    <tableColumn id="4" xr3:uid="{00000000-0010-0000-0000-000004000000}" name="Item name" dataDxfId="31"/>
    <tableColumn id="5" xr3:uid="{00000000-0010-0000-0000-000005000000}" name="Des" dataDxfId="30"/>
    <tableColumn id="6" xr3:uid="{00000000-0010-0000-0000-000006000000}" name="Market " dataDxfId="29"/>
    <tableColumn id="7" xr3:uid="{00000000-0010-0000-0000-000007000000}" name="Price ($)" dataDxfId="28"/>
    <tableColumn id="8" xr3:uid="{00000000-0010-0000-0000-000008000000}" name="Product group" dataDxfId="27"/>
    <tableColumn id="9" xr3:uid="{00000000-0010-0000-0000-000009000000}" name="Fixture"/>
    <tableColumn id="10" xr3:uid="{00000000-0010-0000-0000-00000A000000}" name="Weekly Capcity" dataDxfId="26"/>
    <tableColumn id="11" xr3:uid="{00000000-0010-0000-0000-00000B000000}" name="Shipment Request" dataDxfId="25"/>
    <tableColumn id="12" xr3:uid="{00000000-0010-0000-0000-00000C000000}" name="Demand Quantity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" displayName="Table14" ref="A1:K466" totalsRowShown="0" headerRowDxfId="23" tableBorderDxfId="22">
  <autoFilter ref="A1:K466" xr:uid="{00000000-0009-0000-0100-000002000000}"/>
  <sortState xmlns:xlrd2="http://schemas.microsoft.com/office/spreadsheetml/2017/richdata2" ref="A2:J466">
    <sortCondition ref="A1:A466"/>
  </sortState>
  <tableColumns count="11">
    <tableColumn id="4" xr3:uid="{00000000-0010-0000-0100-000004000000}" name="Item name" dataDxfId="21"/>
    <tableColumn id="5" xr3:uid="{00000000-0010-0000-0100-000005000000}" name="Des" dataDxfId="20"/>
    <tableColumn id="6" xr3:uid="{00000000-0010-0000-0100-000006000000}" name="Market " dataDxfId="19"/>
    <tableColumn id="7" xr3:uid="{00000000-0010-0000-0100-000007000000}" name="Price ($)" dataDxfId="18"/>
    <tableColumn id="8" xr3:uid="{00000000-0010-0000-0100-000008000000}" name="Product group" dataDxfId="17"/>
    <tableColumn id="9" xr3:uid="{00000000-0010-0000-0100-000009000000}" name="Fixture"/>
    <tableColumn id="10" xr3:uid="{00000000-0010-0000-0100-00000A000000}" name="Weekly Capcity" dataDxfId="16"/>
    <tableColumn id="11" xr3:uid="{00000000-0010-0000-0100-00000B000000}" name="Shipment Request" dataDxfId="15"/>
    <tableColumn id="12" xr3:uid="{00000000-0010-0000-0100-00000C000000}" name="Demand Quantity" dataDxfId="14"/>
    <tableColumn id="1" xr3:uid="{00000000-0010-0000-0100-000001000000}" name="week first day" dataDxfId="13">
      <calculatedColumnFormula>$M$1+7*INT((H2-$M$1)/7)</calculatedColumnFormula>
    </tableColumn>
    <tableColumn id="2" xr3:uid="{00000000-0010-0000-0100-000002000000}" name="production day" dataDxfId="12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C5:M36" totalsRowCount="1" headerRowDxfId="11">
  <autoFilter ref="C5:M35" xr:uid="{00000000-0009-0000-0100-000003000000}"/>
  <tableColumns count="11">
    <tableColumn id="1" xr3:uid="{00000000-0010-0000-0200-000001000000}" name="No."/>
    <tableColumn id="2" xr3:uid="{00000000-0010-0000-0200-000002000000}" name="Model number"/>
    <tableColumn id="3" xr3:uid="{00000000-0010-0000-0200-000003000000}" name="Component number"/>
    <tableColumn id="4" xr3:uid="{00000000-0010-0000-0200-000004000000}" name="Description"/>
    <tableColumn id="6" xr3:uid="{00000000-0010-0000-0200-000006000000}" name="Vendor location"/>
    <tableColumn id="5" xr3:uid="{00000000-0010-0000-0200-000005000000}" name="BOM usage"/>
    <tableColumn id="7" xr3:uid="{00000000-0010-0000-0200-000007000000}" name="Leadtime"/>
    <tableColumn id="8" xr3:uid="{00000000-0010-0000-0200-000008000000}" name="Stock"/>
    <tableColumn id="9" xr3:uid="{00000000-0010-0000-0200-000009000000}" name="Pending PO"/>
    <tableColumn id="10" xr3:uid="{00000000-0010-0000-0200-00000A000000}" name="U/P (USD/ uom)"/>
    <tableColumn id="12" xr3:uid="{00000000-0010-0000-0200-00000C000000}" name="UO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23</v>
      </c>
    </row>
    <row r="3" spans="2:4" x14ac:dyDescent="0.3">
      <c r="C3" t="s">
        <v>24</v>
      </c>
    </row>
    <row r="5" spans="2:4" x14ac:dyDescent="0.3">
      <c r="C5" s="1" t="s">
        <v>25</v>
      </c>
    </row>
    <row r="6" spans="2:4" x14ac:dyDescent="0.3">
      <c r="C6" t="s">
        <v>26</v>
      </c>
    </row>
    <row r="7" spans="2:4" x14ac:dyDescent="0.3">
      <c r="C7" t="s">
        <v>27</v>
      </c>
    </row>
    <row r="8" spans="2:4" x14ac:dyDescent="0.3">
      <c r="C8" t="s">
        <v>28</v>
      </c>
    </row>
    <row r="13" spans="2:4" x14ac:dyDescent="0.3">
      <c r="B13" s="2" t="s">
        <v>29</v>
      </c>
      <c r="C13" s="2" t="s">
        <v>30</v>
      </c>
      <c r="D13" s="2" t="s">
        <v>31</v>
      </c>
    </row>
    <row r="14" spans="2:4" x14ac:dyDescent="0.3">
      <c r="B14" s="3">
        <v>1</v>
      </c>
      <c r="C14" s="3" t="s">
        <v>32</v>
      </c>
      <c r="D14" s="3" t="s">
        <v>33</v>
      </c>
    </row>
    <row r="15" spans="2:4" x14ac:dyDescent="0.3">
      <c r="B15" s="3">
        <v>2</v>
      </c>
      <c r="C15" s="3" t="s">
        <v>34</v>
      </c>
      <c r="D15" s="3" t="s">
        <v>35</v>
      </c>
    </row>
    <row r="16" spans="2:4" ht="43.2" customHeight="1" x14ac:dyDescent="0.3">
      <c r="B16" s="3">
        <v>3</v>
      </c>
      <c r="C16" s="3" t="s">
        <v>36</v>
      </c>
      <c r="D16" s="4" t="s">
        <v>37</v>
      </c>
    </row>
    <row r="17" spans="2:4" x14ac:dyDescent="0.3">
      <c r="B17" s="3">
        <v>4</v>
      </c>
      <c r="C17" s="3" t="s">
        <v>38</v>
      </c>
      <c r="D17" s="3" t="s">
        <v>39</v>
      </c>
    </row>
    <row r="18" spans="2:4" x14ac:dyDescent="0.3">
      <c r="B18" s="3">
        <v>5</v>
      </c>
      <c r="C18" s="3" t="s">
        <v>40</v>
      </c>
      <c r="D18" s="3" t="s">
        <v>41</v>
      </c>
    </row>
    <row r="19" spans="2:4" x14ac:dyDescent="0.3">
      <c r="B19" s="3">
        <v>6</v>
      </c>
      <c r="C19" s="3" t="s">
        <v>42</v>
      </c>
      <c r="D19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</row>
    <row r="2" spans="1:9" x14ac:dyDescent="0.3">
      <c r="A2" s="8" t="s">
        <v>6</v>
      </c>
      <c r="B2" s="8" t="s">
        <v>53</v>
      </c>
      <c r="C2" s="8" t="s">
        <v>54</v>
      </c>
      <c r="D2" s="8">
        <v>90</v>
      </c>
      <c r="E2" s="8" t="s">
        <v>55</v>
      </c>
      <c r="F2" t="s">
        <v>56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1</v>
      </c>
      <c r="B3" s="8" t="s">
        <v>57</v>
      </c>
      <c r="C3" s="8" t="s">
        <v>54</v>
      </c>
      <c r="D3" s="8">
        <v>105</v>
      </c>
      <c r="E3" s="8" t="s">
        <v>58</v>
      </c>
      <c r="F3" t="s">
        <v>59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5</v>
      </c>
      <c r="B4" s="8" t="s">
        <v>60</v>
      </c>
      <c r="C4" s="8" t="s">
        <v>61</v>
      </c>
      <c r="D4" s="8">
        <v>30</v>
      </c>
      <c r="E4" s="8" t="s">
        <v>62</v>
      </c>
      <c r="F4" t="s">
        <v>56</v>
      </c>
      <c r="G4" s="8">
        <v>3000</v>
      </c>
      <c r="H4" s="7">
        <v>46150</v>
      </c>
      <c r="I4" s="9">
        <v>472</v>
      </c>
    </row>
    <row r="5" spans="1:9" x14ac:dyDescent="0.3">
      <c r="A5" s="8" t="s">
        <v>6</v>
      </c>
      <c r="B5" s="8" t="s">
        <v>53</v>
      </c>
      <c r="C5" s="8" t="s">
        <v>54</v>
      </c>
      <c r="D5" s="8">
        <v>90</v>
      </c>
      <c r="E5" s="8" t="s">
        <v>55</v>
      </c>
      <c r="F5" t="s">
        <v>56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1</v>
      </c>
      <c r="B6" s="8" t="s">
        <v>57</v>
      </c>
      <c r="C6" s="8" t="s">
        <v>54</v>
      </c>
      <c r="D6" s="8">
        <v>105</v>
      </c>
      <c r="E6" s="8" t="s">
        <v>58</v>
      </c>
      <c r="F6" t="s">
        <v>59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2</v>
      </c>
      <c r="B7" s="8" t="s">
        <v>63</v>
      </c>
      <c r="C7" s="8" t="s">
        <v>54</v>
      </c>
      <c r="D7" s="8">
        <v>55</v>
      </c>
      <c r="E7" s="8" t="s">
        <v>64</v>
      </c>
      <c r="F7" t="s">
        <v>59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2</v>
      </c>
      <c r="B8" s="8" t="s">
        <v>63</v>
      </c>
      <c r="C8" s="8" t="s">
        <v>54</v>
      </c>
      <c r="D8" s="8">
        <v>55</v>
      </c>
      <c r="E8" s="8" t="s">
        <v>64</v>
      </c>
      <c r="F8" t="s">
        <v>59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3</v>
      </c>
      <c r="B9" s="8" t="s">
        <v>65</v>
      </c>
      <c r="C9" s="8" t="s">
        <v>66</v>
      </c>
      <c r="D9" s="8">
        <v>80</v>
      </c>
      <c r="E9" s="8" t="s">
        <v>67</v>
      </c>
      <c r="F9" t="s">
        <v>68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3</v>
      </c>
      <c r="B10" s="8" t="s">
        <v>65</v>
      </c>
      <c r="C10" s="8" t="s">
        <v>66</v>
      </c>
      <c r="D10" s="8">
        <v>80</v>
      </c>
      <c r="E10" s="8" t="s">
        <v>67</v>
      </c>
      <c r="F10" t="s">
        <v>68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3</v>
      </c>
      <c r="B11" s="8" t="s">
        <v>65</v>
      </c>
      <c r="C11" s="8" t="s">
        <v>66</v>
      </c>
      <c r="D11" s="8">
        <v>80</v>
      </c>
      <c r="E11" s="8" t="s">
        <v>67</v>
      </c>
      <c r="F11" t="s">
        <v>68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3</v>
      </c>
      <c r="B12" s="8" t="s">
        <v>65</v>
      </c>
      <c r="C12" s="8" t="s">
        <v>66</v>
      </c>
      <c r="D12" s="8">
        <v>80</v>
      </c>
      <c r="E12" s="8" t="s">
        <v>67</v>
      </c>
      <c r="F12" t="s">
        <v>68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3</v>
      </c>
      <c r="B13" s="8" t="s">
        <v>65</v>
      </c>
      <c r="C13" s="8" t="s">
        <v>66</v>
      </c>
      <c r="D13" s="8">
        <v>80</v>
      </c>
      <c r="E13" s="8" t="s">
        <v>67</v>
      </c>
      <c r="F13" t="s">
        <v>68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3</v>
      </c>
      <c r="B14" s="8" t="s">
        <v>65</v>
      </c>
      <c r="C14" s="8" t="s">
        <v>66</v>
      </c>
      <c r="D14" s="8">
        <v>80</v>
      </c>
      <c r="E14" s="8" t="s">
        <v>67</v>
      </c>
      <c r="F14" t="s">
        <v>68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3</v>
      </c>
      <c r="B15" s="8" t="s">
        <v>65</v>
      </c>
      <c r="C15" s="8" t="s">
        <v>66</v>
      </c>
      <c r="D15" s="8">
        <v>80</v>
      </c>
      <c r="E15" s="8" t="s">
        <v>67</v>
      </c>
      <c r="F15" t="s">
        <v>68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3</v>
      </c>
      <c r="B16" s="8" t="s">
        <v>65</v>
      </c>
      <c r="C16" s="8" t="s">
        <v>66</v>
      </c>
      <c r="D16" s="8">
        <v>80</v>
      </c>
      <c r="E16" s="8" t="s">
        <v>67</v>
      </c>
      <c r="F16" t="s">
        <v>68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3</v>
      </c>
      <c r="B17" s="8" t="s">
        <v>65</v>
      </c>
      <c r="C17" s="8" t="s">
        <v>66</v>
      </c>
      <c r="D17" s="8">
        <v>80</v>
      </c>
      <c r="E17" s="8" t="s">
        <v>67</v>
      </c>
      <c r="F17" t="s">
        <v>68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3</v>
      </c>
      <c r="B18" s="8" t="s">
        <v>65</v>
      </c>
      <c r="C18" s="8" t="s">
        <v>66</v>
      </c>
      <c r="D18" s="8">
        <v>80</v>
      </c>
      <c r="E18" s="8" t="s">
        <v>67</v>
      </c>
      <c r="F18" t="s">
        <v>68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3</v>
      </c>
      <c r="B19" s="8" t="s">
        <v>65</v>
      </c>
      <c r="C19" s="8" t="s">
        <v>66</v>
      </c>
      <c r="D19" s="8">
        <v>80</v>
      </c>
      <c r="E19" s="8" t="s">
        <v>67</v>
      </c>
      <c r="F19" t="s">
        <v>68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3</v>
      </c>
      <c r="B20" s="8" t="s">
        <v>65</v>
      </c>
      <c r="C20" s="8" t="s">
        <v>66</v>
      </c>
      <c r="D20" s="8">
        <v>80</v>
      </c>
      <c r="E20" s="8" t="s">
        <v>67</v>
      </c>
      <c r="F20" t="s">
        <v>68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3</v>
      </c>
      <c r="B21" s="8" t="s">
        <v>65</v>
      </c>
      <c r="C21" s="8" t="s">
        <v>66</v>
      </c>
      <c r="D21" s="8">
        <v>80</v>
      </c>
      <c r="E21" s="8" t="s">
        <v>67</v>
      </c>
      <c r="F21" t="s">
        <v>68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3</v>
      </c>
      <c r="B22" s="8" t="s">
        <v>65</v>
      </c>
      <c r="C22" s="8" t="s">
        <v>66</v>
      </c>
      <c r="D22" s="8">
        <v>80</v>
      </c>
      <c r="E22" s="8" t="s">
        <v>67</v>
      </c>
      <c r="F22" t="s">
        <v>68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3</v>
      </c>
      <c r="B23" s="8" t="s">
        <v>65</v>
      </c>
      <c r="C23" s="8" t="s">
        <v>66</v>
      </c>
      <c r="D23" s="8">
        <v>80</v>
      </c>
      <c r="E23" s="8" t="s">
        <v>67</v>
      </c>
      <c r="F23" t="s">
        <v>68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3</v>
      </c>
      <c r="B24" s="8" t="s">
        <v>65</v>
      </c>
      <c r="C24" s="8" t="s">
        <v>66</v>
      </c>
      <c r="D24" s="8">
        <v>80</v>
      </c>
      <c r="E24" s="8" t="s">
        <v>67</v>
      </c>
      <c r="F24" t="s">
        <v>68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4</v>
      </c>
      <c r="B25" s="8" t="s">
        <v>69</v>
      </c>
      <c r="C25" s="8" t="s">
        <v>66</v>
      </c>
      <c r="D25" s="8">
        <v>40</v>
      </c>
      <c r="E25" s="8" t="s">
        <v>70</v>
      </c>
      <c r="F25" t="s">
        <v>68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4</v>
      </c>
      <c r="B26" s="8" t="s">
        <v>69</v>
      </c>
      <c r="C26" s="8" t="s">
        <v>66</v>
      </c>
      <c r="D26" s="8">
        <v>40</v>
      </c>
      <c r="E26" s="8" t="s">
        <v>70</v>
      </c>
      <c r="F26" t="s">
        <v>68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4</v>
      </c>
      <c r="B27" s="8" t="s">
        <v>69</v>
      </c>
      <c r="C27" s="8" t="s">
        <v>66</v>
      </c>
      <c r="D27" s="8">
        <v>40</v>
      </c>
      <c r="E27" s="8" t="s">
        <v>70</v>
      </c>
      <c r="F27" t="s">
        <v>68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4</v>
      </c>
      <c r="B28" s="8" t="s">
        <v>69</v>
      </c>
      <c r="C28" s="8" t="s">
        <v>66</v>
      </c>
      <c r="D28" s="8">
        <v>40</v>
      </c>
      <c r="E28" s="8" t="s">
        <v>70</v>
      </c>
      <c r="F28" t="s">
        <v>68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4</v>
      </c>
      <c r="B29" s="8" t="s">
        <v>69</v>
      </c>
      <c r="C29" s="8" t="s">
        <v>66</v>
      </c>
      <c r="D29" s="8">
        <v>40</v>
      </c>
      <c r="E29" s="8" t="s">
        <v>70</v>
      </c>
      <c r="F29" t="s">
        <v>68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4</v>
      </c>
      <c r="B30" s="8" t="s">
        <v>69</v>
      </c>
      <c r="C30" s="8" t="s">
        <v>66</v>
      </c>
      <c r="D30" s="8">
        <v>40</v>
      </c>
      <c r="E30" s="8" t="s">
        <v>70</v>
      </c>
      <c r="F30" t="s">
        <v>68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4</v>
      </c>
      <c r="B31" s="8" t="s">
        <v>69</v>
      </c>
      <c r="C31" s="8" t="s">
        <v>66</v>
      </c>
      <c r="D31" s="8">
        <v>40</v>
      </c>
      <c r="E31" s="8" t="s">
        <v>70</v>
      </c>
      <c r="F31" t="s">
        <v>68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4</v>
      </c>
      <c r="B32" s="8" t="s">
        <v>69</v>
      </c>
      <c r="C32" s="8" t="s">
        <v>66</v>
      </c>
      <c r="D32" s="8">
        <v>40</v>
      </c>
      <c r="E32" s="8" t="s">
        <v>70</v>
      </c>
      <c r="F32" t="s">
        <v>68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4</v>
      </c>
      <c r="B33" s="8" t="s">
        <v>69</v>
      </c>
      <c r="C33" s="8" t="s">
        <v>66</v>
      </c>
      <c r="D33" s="8">
        <v>40</v>
      </c>
      <c r="E33" s="8" t="s">
        <v>70</v>
      </c>
      <c r="F33" t="s">
        <v>68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5</v>
      </c>
      <c r="B34" s="8" t="s">
        <v>60</v>
      </c>
      <c r="C34" s="8" t="s">
        <v>61</v>
      </c>
      <c r="D34" s="8">
        <v>30</v>
      </c>
      <c r="E34" s="8" t="s">
        <v>62</v>
      </c>
      <c r="F34" t="s">
        <v>56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6</v>
      </c>
      <c r="B35" s="8" t="s">
        <v>53</v>
      </c>
      <c r="C35" s="8" t="s">
        <v>54</v>
      </c>
      <c r="D35" s="8">
        <v>90</v>
      </c>
      <c r="E35" s="8" t="s">
        <v>55</v>
      </c>
      <c r="F35" t="s">
        <v>56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1</v>
      </c>
      <c r="B36" s="8" t="s">
        <v>57</v>
      </c>
      <c r="C36" s="8" t="s">
        <v>54</v>
      </c>
      <c r="D36" s="8">
        <v>105</v>
      </c>
      <c r="E36" s="8" t="s">
        <v>58</v>
      </c>
      <c r="F36" t="s">
        <v>59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1</v>
      </c>
      <c r="B37" s="8" t="s">
        <v>57</v>
      </c>
      <c r="C37" s="8" t="s">
        <v>54</v>
      </c>
      <c r="D37" s="8">
        <v>105</v>
      </c>
      <c r="E37" s="8" t="s">
        <v>58</v>
      </c>
      <c r="F37" t="s">
        <v>59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2</v>
      </c>
      <c r="B38" s="8" t="s">
        <v>63</v>
      </c>
      <c r="C38" s="8" t="s">
        <v>54</v>
      </c>
      <c r="D38" s="8">
        <v>55</v>
      </c>
      <c r="E38" s="8" t="s">
        <v>64</v>
      </c>
      <c r="F38" t="s">
        <v>59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2</v>
      </c>
      <c r="B39" s="8" t="s">
        <v>63</v>
      </c>
      <c r="C39" s="8" t="s">
        <v>54</v>
      </c>
      <c r="D39" s="8">
        <v>55</v>
      </c>
      <c r="E39" s="8" t="s">
        <v>64</v>
      </c>
      <c r="F39" t="s">
        <v>59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2</v>
      </c>
      <c r="B40" s="8" t="s">
        <v>63</v>
      </c>
      <c r="C40" s="8" t="s">
        <v>54</v>
      </c>
      <c r="D40" s="8">
        <v>55</v>
      </c>
      <c r="E40" s="8" t="s">
        <v>64</v>
      </c>
      <c r="F40" t="s">
        <v>59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2</v>
      </c>
      <c r="B41" s="8" t="s">
        <v>63</v>
      </c>
      <c r="C41" s="8" t="s">
        <v>54</v>
      </c>
      <c r="D41" s="8">
        <v>55</v>
      </c>
      <c r="E41" s="8" t="s">
        <v>64</v>
      </c>
      <c r="F41" t="s">
        <v>59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2</v>
      </c>
      <c r="B42" s="8" t="s">
        <v>63</v>
      </c>
      <c r="C42" s="8" t="s">
        <v>54</v>
      </c>
      <c r="D42" s="8">
        <v>55</v>
      </c>
      <c r="E42" s="8" t="s">
        <v>64</v>
      </c>
      <c r="F42" t="s">
        <v>59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2</v>
      </c>
      <c r="B43" s="8" t="s">
        <v>63</v>
      </c>
      <c r="C43" s="8" t="s">
        <v>54</v>
      </c>
      <c r="D43" s="8">
        <v>55</v>
      </c>
      <c r="E43" s="8" t="s">
        <v>64</v>
      </c>
      <c r="F43" t="s">
        <v>59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2</v>
      </c>
      <c r="B44" s="8" t="s">
        <v>63</v>
      </c>
      <c r="C44" s="8" t="s">
        <v>54</v>
      </c>
      <c r="D44" s="8">
        <v>55</v>
      </c>
      <c r="E44" s="8" t="s">
        <v>64</v>
      </c>
      <c r="F44" t="s">
        <v>59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2</v>
      </c>
      <c r="B45" s="8" t="s">
        <v>63</v>
      </c>
      <c r="C45" s="8" t="s">
        <v>54</v>
      </c>
      <c r="D45" s="8">
        <v>55</v>
      </c>
      <c r="E45" s="8" t="s">
        <v>64</v>
      </c>
      <c r="F45" t="s">
        <v>59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3</v>
      </c>
      <c r="B46" s="8" t="s">
        <v>65</v>
      </c>
      <c r="C46" s="8" t="s">
        <v>66</v>
      </c>
      <c r="D46" s="8">
        <v>80</v>
      </c>
      <c r="E46" s="8" t="s">
        <v>67</v>
      </c>
      <c r="F46" t="s">
        <v>68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3</v>
      </c>
      <c r="B47" s="8" t="s">
        <v>65</v>
      </c>
      <c r="C47" s="8" t="s">
        <v>66</v>
      </c>
      <c r="D47" s="8">
        <v>80</v>
      </c>
      <c r="E47" s="8" t="s">
        <v>67</v>
      </c>
      <c r="F47" t="s">
        <v>68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3</v>
      </c>
      <c r="B48" s="8" t="s">
        <v>65</v>
      </c>
      <c r="C48" s="8" t="s">
        <v>66</v>
      </c>
      <c r="D48" s="8">
        <v>80</v>
      </c>
      <c r="E48" s="8" t="s">
        <v>67</v>
      </c>
      <c r="F48" t="s">
        <v>68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3</v>
      </c>
      <c r="B49" s="8" t="s">
        <v>65</v>
      </c>
      <c r="C49" s="8" t="s">
        <v>66</v>
      </c>
      <c r="D49" s="8">
        <v>80</v>
      </c>
      <c r="E49" s="8" t="s">
        <v>67</v>
      </c>
      <c r="F49" t="s">
        <v>68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3</v>
      </c>
      <c r="B50" s="8" t="s">
        <v>65</v>
      </c>
      <c r="C50" s="8" t="s">
        <v>66</v>
      </c>
      <c r="D50" s="8">
        <v>80</v>
      </c>
      <c r="E50" s="8" t="s">
        <v>67</v>
      </c>
      <c r="F50" t="s">
        <v>68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3</v>
      </c>
      <c r="B51" s="8" t="s">
        <v>65</v>
      </c>
      <c r="C51" s="8" t="s">
        <v>66</v>
      </c>
      <c r="D51" s="8">
        <v>80</v>
      </c>
      <c r="E51" s="8" t="s">
        <v>67</v>
      </c>
      <c r="F51" t="s">
        <v>68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3</v>
      </c>
      <c r="B52" s="8" t="s">
        <v>65</v>
      </c>
      <c r="C52" s="8" t="s">
        <v>66</v>
      </c>
      <c r="D52" s="8">
        <v>80</v>
      </c>
      <c r="E52" s="8" t="s">
        <v>67</v>
      </c>
      <c r="F52" t="s">
        <v>68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3</v>
      </c>
      <c r="B53" s="8" t="s">
        <v>65</v>
      </c>
      <c r="C53" s="8" t="s">
        <v>66</v>
      </c>
      <c r="D53" s="8">
        <v>80</v>
      </c>
      <c r="E53" s="8" t="s">
        <v>67</v>
      </c>
      <c r="F53" t="s">
        <v>68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3</v>
      </c>
      <c r="B54" s="8" t="s">
        <v>65</v>
      </c>
      <c r="C54" s="8" t="s">
        <v>66</v>
      </c>
      <c r="D54" s="8">
        <v>80</v>
      </c>
      <c r="E54" s="8" t="s">
        <v>67</v>
      </c>
      <c r="F54" t="s">
        <v>68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3</v>
      </c>
      <c r="B55" s="8" t="s">
        <v>65</v>
      </c>
      <c r="C55" s="8" t="s">
        <v>66</v>
      </c>
      <c r="D55" s="8">
        <v>80</v>
      </c>
      <c r="E55" s="8" t="s">
        <v>67</v>
      </c>
      <c r="F55" t="s">
        <v>68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3</v>
      </c>
      <c r="B56" s="8" t="s">
        <v>65</v>
      </c>
      <c r="C56" s="8" t="s">
        <v>66</v>
      </c>
      <c r="D56" s="8">
        <v>80</v>
      </c>
      <c r="E56" s="8" t="s">
        <v>67</v>
      </c>
      <c r="F56" t="s">
        <v>68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3</v>
      </c>
      <c r="B57" s="8" t="s">
        <v>65</v>
      </c>
      <c r="C57" s="8" t="s">
        <v>66</v>
      </c>
      <c r="D57" s="8">
        <v>80</v>
      </c>
      <c r="E57" s="8" t="s">
        <v>67</v>
      </c>
      <c r="F57" t="s">
        <v>68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3</v>
      </c>
      <c r="B58" s="8" t="s">
        <v>65</v>
      </c>
      <c r="C58" s="8" t="s">
        <v>66</v>
      </c>
      <c r="D58" s="8">
        <v>80</v>
      </c>
      <c r="E58" s="8" t="s">
        <v>67</v>
      </c>
      <c r="F58" t="s">
        <v>68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3</v>
      </c>
      <c r="B59" s="8" t="s">
        <v>65</v>
      </c>
      <c r="C59" s="8" t="s">
        <v>66</v>
      </c>
      <c r="D59" s="8">
        <v>80</v>
      </c>
      <c r="E59" s="8" t="s">
        <v>67</v>
      </c>
      <c r="F59" t="s">
        <v>68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3</v>
      </c>
      <c r="B60" s="8" t="s">
        <v>65</v>
      </c>
      <c r="C60" s="8" t="s">
        <v>66</v>
      </c>
      <c r="D60" s="8">
        <v>80</v>
      </c>
      <c r="E60" s="8" t="s">
        <v>67</v>
      </c>
      <c r="F60" t="s">
        <v>68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3</v>
      </c>
      <c r="B61" s="8" t="s">
        <v>65</v>
      </c>
      <c r="C61" s="8" t="s">
        <v>66</v>
      </c>
      <c r="D61" s="8">
        <v>80</v>
      </c>
      <c r="E61" s="8" t="s">
        <v>67</v>
      </c>
      <c r="F61" t="s">
        <v>68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3</v>
      </c>
      <c r="B62" s="8" t="s">
        <v>65</v>
      </c>
      <c r="C62" s="8" t="s">
        <v>66</v>
      </c>
      <c r="D62" s="8">
        <v>80</v>
      </c>
      <c r="E62" s="8" t="s">
        <v>67</v>
      </c>
      <c r="F62" t="s">
        <v>68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3</v>
      </c>
      <c r="B63" s="8" t="s">
        <v>65</v>
      </c>
      <c r="C63" s="8" t="s">
        <v>66</v>
      </c>
      <c r="D63" s="8">
        <v>80</v>
      </c>
      <c r="E63" s="8" t="s">
        <v>67</v>
      </c>
      <c r="F63" t="s">
        <v>68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3</v>
      </c>
      <c r="B64" s="8" t="s">
        <v>65</v>
      </c>
      <c r="C64" s="8" t="s">
        <v>66</v>
      </c>
      <c r="D64" s="8">
        <v>80</v>
      </c>
      <c r="E64" s="8" t="s">
        <v>67</v>
      </c>
      <c r="F64" t="s">
        <v>68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3</v>
      </c>
      <c r="B65" s="8" t="s">
        <v>65</v>
      </c>
      <c r="C65" s="8" t="s">
        <v>66</v>
      </c>
      <c r="D65" s="8">
        <v>80</v>
      </c>
      <c r="E65" s="8" t="s">
        <v>67</v>
      </c>
      <c r="F65" t="s">
        <v>68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3</v>
      </c>
      <c r="B66" s="8" t="s">
        <v>65</v>
      </c>
      <c r="C66" s="8" t="s">
        <v>66</v>
      </c>
      <c r="D66" s="8">
        <v>80</v>
      </c>
      <c r="E66" s="8" t="s">
        <v>67</v>
      </c>
      <c r="F66" t="s">
        <v>68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3</v>
      </c>
      <c r="B67" s="8" t="s">
        <v>65</v>
      </c>
      <c r="C67" s="8" t="s">
        <v>66</v>
      </c>
      <c r="D67" s="8">
        <v>80</v>
      </c>
      <c r="E67" s="8" t="s">
        <v>67</v>
      </c>
      <c r="F67" t="s">
        <v>68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3</v>
      </c>
      <c r="B68" s="8" t="s">
        <v>65</v>
      </c>
      <c r="C68" s="8" t="s">
        <v>66</v>
      </c>
      <c r="D68" s="8">
        <v>80</v>
      </c>
      <c r="E68" s="8" t="s">
        <v>67</v>
      </c>
      <c r="F68" t="s">
        <v>68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3</v>
      </c>
      <c r="B69" s="8" t="s">
        <v>65</v>
      </c>
      <c r="C69" s="8" t="s">
        <v>66</v>
      </c>
      <c r="D69" s="8">
        <v>80</v>
      </c>
      <c r="E69" s="8" t="s">
        <v>67</v>
      </c>
      <c r="F69" t="s">
        <v>68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3</v>
      </c>
      <c r="B70" s="8" t="s">
        <v>65</v>
      </c>
      <c r="C70" s="8" t="s">
        <v>66</v>
      </c>
      <c r="D70" s="8">
        <v>80</v>
      </c>
      <c r="E70" s="8" t="s">
        <v>67</v>
      </c>
      <c r="F70" t="s">
        <v>68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3</v>
      </c>
      <c r="B71" s="8" t="s">
        <v>65</v>
      </c>
      <c r="C71" s="8" t="s">
        <v>66</v>
      </c>
      <c r="D71" s="8">
        <v>80</v>
      </c>
      <c r="E71" s="8" t="s">
        <v>67</v>
      </c>
      <c r="F71" t="s">
        <v>68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3</v>
      </c>
      <c r="B72" s="8" t="s">
        <v>65</v>
      </c>
      <c r="C72" s="8" t="s">
        <v>66</v>
      </c>
      <c r="D72" s="8">
        <v>80</v>
      </c>
      <c r="E72" s="8" t="s">
        <v>67</v>
      </c>
      <c r="F72" t="s">
        <v>68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3</v>
      </c>
      <c r="B73" s="8" t="s">
        <v>65</v>
      </c>
      <c r="C73" s="8" t="s">
        <v>66</v>
      </c>
      <c r="D73" s="8">
        <v>80</v>
      </c>
      <c r="E73" s="8" t="s">
        <v>67</v>
      </c>
      <c r="F73" t="s">
        <v>68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3</v>
      </c>
      <c r="B74" s="8" t="s">
        <v>65</v>
      </c>
      <c r="C74" s="8" t="s">
        <v>66</v>
      </c>
      <c r="D74" s="8">
        <v>80</v>
      </c>
      <c r="E74" s="8" t="s">
        <v>67</v>
      </c>
      <c r="F74" t="s">
        <v>68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3</v>
      </c>
      <c r="B75" s="8" t="s">
        <v>65</v>
      </c>
      <c r="C75" s="8" t="s">
        <v>66</v>
      </c>
      <c r="D75" s="8">
        <v>80</v>
      </c>
      <c r="E75" s="8" t="s">
        <v>67</v>
      </c>
      <c r="F75" t="s">
        <v>68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3</v>
      </c>
      <c r="B76" s="8" t="s">
        <v>65</v>
      </c>
      <c r="C76" s="8" t="s">
        <v>66</v>
      </c>
      <c r="D76" s="8">
        <v>80</v>
      </c>
      <c r="E76" s="8" t="s">
        <v>67</v>
      </c>
      <c r="F76" t="s">
        <v>68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4</v>
      </c>
      <c r="B77" s="8" t="s">
        <v>69</v>
      </c>
      <c r="C77" s="8" t="s">
        <v>66</v>
      </c>
      <c r="D77" s="8">
        <v>40</v>
      </c>
      <c r="E77" s="8" t="s">
        <v>70</v>
      </c>
      <c r="F77" t="s">
        <v>68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4</v>
      </c>
      <c r="B78" s="8" t="s">
        <v>69</v>
      </c>
      <c r="C78" s="8" t="s">
        <v>66</v>
      </c>
      <c r="D78" s="8">
        <v>40</v>
      </c>
      <c r="E78" s="8" t="s">
        <v>70</v>
      </c>
      <c r="F78" t="s">
        <v>68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4</v>
      </c>
      <c r="B79" s="8" t="s">
        <v>69</v>
      </c>
      <c r="C79" s="8" t="s">
        <v>66</v>
      </c>
      <c r="D79" s="8">
        <v>40</v>
      </c>
      <c r="E79" s="8" t="s">
        <v>70</v>
      </c>
      <c r="F79" t="s">
        <v>68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4</v>
      </c>
      <c r="B80" s="8" t="s">
        <v>69</v>
      </c>
      <c r="C80" s="8" t="s">
        <v>66</v>
      </c>
      <c r="D80" s="8">
        <v>40</v>
      </c>
      <c r="E80" s="8" t="s">
        <v>70</v>
      </c>
      <c r="F80" t="s">
        <v>68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4</v>
      </c>
      <c r="B81" s="8" t="s">
        <v>69</v>
      </c>
      <c r="C81" s="8" t="s">
        <v>66</v>
      </c>
      <c r="D81" s="8">
        <v>40</v>
      </c>
      <c r="E81" s="8" t="s">
        <v>70</v>
      </c>
      <c r="F81" t="s">
        <v>68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4</v>
      </c>
      <c r="B82" s="8" t="s">
        <v>69</v>
      </c>
      <c r="C82" s="8" t="s">
        <v>66</v>
      </c>
      <c r="D82" s="8">
        <v>40</v>
      </c>
      <c r="E82" s="8" t="s">
        <v>70</v>
      </c>
      <c r="F82" t="s">
        <v>68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4</v>
      </c>
      <c r="B83" s="8" t="s">
        <v>69</v>
      </c>
      <c r="C83" s="8" t="s">
        <v>66</v>
      </c>
      <c r="D83" s="8">
        <v>40</v>
      </c>
      <c r="E83" s="8" t="s">
        <v>70</v>
      </c>
      <c r="F83" t="s">
        <v>68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4</v>
      </c>
      <c r="B84" s="8" t="s">
        <v>69</v>
      </c>
      <c r="C84" s="8" t="s">
        <v>66</v>
      </c>
      <c r="D84" s="8">
        <v>40</v>
      </c>
      <c r="E84" s="8" t="s">
        <v>70</v>
      </c>
      <c r="F84" t="s">
        <v>68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4</v>
      </c>
      <c r="B85" s="8" t="s">
        <v>69</v>
      </c>
      <c r="C85" s="8" t="s">
        <v>66</v>
      </c>
      <c r="D85" s="8">
        <v>40</v>
      </c>
      <c r="E85" s="8" t="s">
        <v>70</v>
      </c>
      <c r="F85" t="s">
        <v>68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4</v>
      </c>
      <c r="B86" s="8" t="s">
        <v>69</v>
      </c>
      <c r="C86" s="8" t="s">
        <v>66</v>
      </c>
      <c r="D86" s="8">
        <v>40</v>
      </c>
      <c r="E86" s="8" t="s">
        <v>70</v>
      </c>
      <c r="F86" t="s">
        <v>68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4</v>
      </c>
      <c r="B87" s="8" t="s">
        <v>69</v>
      </c>
      <c r="C87" s="8" t="s">
        <v>66</v>
      </c>
      <c r="D87" s="8">
        <v>40</v>
      </c>
      <c r="E87" s="8" t="s">
        <v>70</v>
      </c>
      <c r="F87" t="s">
        <v>68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4</v>
      </c>
      <c r="B88" s="8" t="s">
        <v>69</v>
      </c>
      <c r="C88" s="8" t="s">
        <v>66</v>
      </c>
      <c r="D88" s="8">
        <v>40</v>
      </c>
      <c r="E88" s="8" t="s">
        <v>70</v>
      </c>
      <c r="F88" t="s">
        <v>68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4</v>
      </c>
      <c r="B89" s="8" t="s">
        <v>69</v>
      </c>
      <c r="C89" s="8" t="s">
        <v>66</v>
      </c>
      <c r="D89" s="8">
        <v>40</v>
      </c>
      <c r="E89" s="8" t="s">
        <v>70</v>
      </c>
      <c r="F89" t="s">
        <v>68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4</v>
      </c>
      <c r="B90" s="8" t="s">
        <v>69</v>
      </c>
      <c r="C90" s="8" t="s">
        <v>66</v>
      </c>
      <c r="D90" s="8">
        <v>40</v>
      </c>
      <c r="E90" s="8" t="s">
        <v>70</v>
      </c>
      <c r="F90" t="s">
        <v>68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4</v>
      </c>
      <c r="B91" s="8" t="s">
        <v>69</v>
      </c>
      <c r="C91" s="8" t="s">
        <v>66</v>
      </c>
      <c r="D91" s="8">
        <v>40</v>
      </c>
      <c r="E91" s="8" t="s">
        <v>70</v>
      </c>
      <c r="F91" t="s">
        <v>68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4</v>
      </c>
      <c r="B92" s="8" t="s">
        <v>69</v>
      </c>
      <c r="C92" s="8" t="s">
        <v>66</v>
      </c>
      <c r="D92" s="8">
        <v>40</v>
      </c>
      <c r="E92" s="8" t="s">
        <v>70</v>
      </c>
      <c r="F92" t="s">
        <v>68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4</v>
      </c>
      <c r="B93" s="8" t="s">
        <v>69</v>
      </c>
      <c r="C93" s="8" t="s">
        <v>66</v>
      </c>
      <c r="D93" s="8">
        <v>40</v>
      </c>
      <c r="E93" s="8" t="s">
        <v>70</v>
      </c>
      <c r="F93" t="s">
        <v>68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4</v>
      </c>
      <c r="B94" s="8" t="s">
        <v>69</v>
      </c>
      <c r="C94" s="8" t="s">
        <v>66</v>
      </c>
      <c r="D94" s="8">
        <v>40</v>
      </c>
      <c r="E94" s="8" t="s">
        <v>70</v>
      </c>
      <c r="F94" t="s">
        <v>68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4</v>
      </c>
      <c r="B95" s="8" t="s">
        <v>69</v>
      </c>
      <c r="C95" s="8" t="s">
        <v>66</v>
      </c>
      <c r="D95" s="8">
        <v>40</v>
      </c>
      <c r="E95" s="8" t="s">
        <v>70</v>
      </c>
      <c r="F95" t="s">
        <v>68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4</v>
      </c>
      <c r="B96" s="8" t="s">
        <v>69</v>
      </c>
      <c r="C96" s="8" t="s">
        <v>66</v>
      </c>
      <c r="D96" s="8">
        <v>40</v>
      </c>
      <c r="E96" s="8" t="s">
        <v>70</v>
      </c>
      <c r="F96" t="s">
        <v>68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4</v>
      </c>
      <c r="B97" s="8" t="s">
        <v>69</v>
      </c>
      <c r="C97" s="8" t="s">
        <v>66</v>
      </c>
      <c r="D97" s="8">
        <v>40</v>
      </c>
      <c r="E97" s="8" t="s">
        <v>70</v>
      </c>
      <c r="F97" t="s">
        <v>68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4</v>
      </c>
      <c r="B98" s="8" t="s">
        <v>69</v>
      </c>
      <c r="C98" s="8" t="s">
        <v>66</v>
      </c>
      <c r="D98" s="8">
        <v>40</v>
      </c>
      <c r="E98" s="8" t="s">
        <v>70</v>
      </c>
      <c r="F98" t="s">
        <v>68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4</v>
      </c>
      <c r="B99" s="8" t="s">
        <v>69</v>
      </c>
      <c r="C99" s="8" t="s">
        <v>66</v>
      </c>
      <c r="D99" s="8">
        <v>40</v>
      </c>
      <c r="E99" s="8" t="s">
        <v>70</v>
      </c>
      <c r="F99" t="s">
        <v>68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4</v>
      </c>
      <c r="B100" s="8" t="s">
        <v>69</v>
      </c>
      <c r="C100" s="8" t="s">
        <v>66</v>
      </c>
      <c r="D100" s="8">
        <v>40</v>
      </c>
      <c r="E100" s="8" t="s">
        <v>70</v>
      </c>
      <c r="F100" t="s">
        <v>68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4</v>
      </c>
      <c r="B101" s="8" t="s">
        <v>69</v>
      </c>
      <c r="C101" s="8" t="s">
        <v>66</v>
      </c>
      <c r="D101" s="8">
        <v>40</v>
      </c>
      <c r="E101" s="8" t="s">
        <v>70</v>
      </c>
      <c r="F101" t="s">
        <v>68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4</v>
      </c>
      <c r="B102" s="8" t="s">
        <v>69</v>
      </c>
      <c r="C102" s="8" t="s">
        <v>66</v>
      </c>
      <c r="D102" s="8">
        <v>40</v>
      </c>
      <c r="E102" s="8" t="s">
        <v>70</v>
      </c>
      <c r="F102" t="s">
        <v>68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4</v>
      </c>
      <c r="B103" s="8" t="s">
        <v>69</v>
      </c>
      <c r="C103" s="8" t="s">
        <v>66</v>
      </c>
      <c r="D103" s="8">
        <v>40</v>
      </c>
      <c r="E103" s="8" t="s">
        <v>70</v>
      </c>
      <c r="F103" t="s">
        <v>68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4</v>
      </c>
      <c r="B104" s="8" t="s">
        <v>69</v>
      </c>
      <c r="C104" s="8" t="s">
        <v>66</v>
      </c>
      <c r="D104" s="8">
        <v>40</v>
      </c>
      <c r="E104" s="8" t="s">
        <v>70</v>
      </c>
      <c r="F104" t="s">
        <v>68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4</v>
      </c>
      <c r="B105" s="8" t="s">
        <v>69</v>
      </c>
      <c r="C105" s="8" t="s">
        <v>66</v>
      </c>
      <c r="D105" s="8">
        <v>40</v>
      </c>
      <c r="E105" s="8" t="s">
        <v>70</v>
      </c>
      <c r="F105" t="s">
        <v>68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4</v>
      </c>
      <c r="B106" s="8" t="s">
        <v>69</v>
      </c>
      <c r="C106" s="8" t="s">
        <v>66</v>
      </c>
      <c r="D106" s="8">
        <v>40</v>
      </c>
      <c r="E106" s="8" t="s">
        <v>70</v>
      </c>
      <c r="F106" t="s">
        <v>68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4</v>
      </c>
      <c r="B107" s="8" t="s">
        <v>69</v>
      </c>
      <c r="C107" s="8" t="s">
        <v>66</v>
      </c>
      <c r="D107" s="8">
        <v>40</v>
      </c>
      <c r="E107" s="8" t="s">
        <v>70</v>
      </c>
      <c r="F107" t="s">
        <v>68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4</v>
      </c>
      <c r="B108" s="8" t="s">
        <v>69</v>
      </c>
      <c r="C108" s="8" t="s">
        <v>66</v>
      </c>
      <c r="D108" s="8">
        <v>40</v>
      </c>
      <c r="E108" s="8" t="s">
        <v>70</v>
      </c>
      <c r="F108" t="s">
        <v>68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4</v>
      </c>
      <c r="B109" s="8" t="s">
        <v>69</v>
      </c>
      <c r="C109" s="8" t="s">
        <v>66</v>
      </c>
      <c r="D109" s="8">
        <v>40</v>
      </c>
      <c r="E109" s="8" t="s">
        <v>70</v>
      </c>
      <c r="F109" t="s">
        <v>68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4</v>
      </c>
      <c r="B110" s="8" t="s">
        <v>69</v>
      </c>
      <c r="C110" s="8" t="s">
        <v>66</v>
      </c>
      <c r="D110" s="8">
        <v>40</v>
      </c>
      <c r="E110" s="8" t="s">
        <v>70</v>
      </c>
      <c r="F110" t="s">
        <v>68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4</v>
      </c>
      <c r="B111" s="8" t="s">
        <v>69</v>
      </c>
      <c r="C111" s="8" t="s">
        <v>66</v>
      </c>
      <c r="D111" s="8">
        <v>40</v>
      </c>
      <c r="E111" s="8" t="s">
        <v>70</v>
      </c>
      <c r="F111" t="s">
        <v>68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4</v>
      </c>
      <c r="B112" s="8" t="s">
        <v>69</v>
      </c>
      <c r="C112" s="8" t="s">
        <v>66</v>
      </c>
      <c r="D112" s="8">
        <v>40</v>
      </c>
      <c r="E112" s="8" t="s">
        <v>70</v>
      </c>
      <c r="F112" t="s">
        <v>68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4</v>
      </c>
      <c r="B113" s="8" t="s">
        <v>69</v>
      </c>
      <c r="C113" s="8" t="s">
        <v>66</v>
      </c>
      <c r="D113" s="8">
        <v>40</v>
      </c>
      <c r="E113" s="8" t="s">
        <v>70</v>
      </c>
      <c r="F113" t="s">
        <v>68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5</v>
      </c>
      <c r="B114" s="8" t="s">
        <v>60</v>
      </c>
      <c r="C114" s="8" t="s">
        <v>61</v>
      </c>
      <c r="D114" s="8">
        <v>30</v>
      </c>
      <c r="E114" s="8" t="s">
        <v>62</v>
      </c>
      <c r="F114" t="s">
        <v>56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6</v>
      </c>
      <c r="B115" s="8" t="s">
        <v>53</v>
      </c>
      <c r="C115" s="8" t="s">
        <v>54</v>
      </c>
      <c r="D115" s="8">
        <v>90</v>
      </c>
      <c r="E115" s="8" t="s">
        <v>55</v>
      </c>
      <c r="F115" t="s">
        <v>56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1</v>
      </c>
      <c r="B116" s="8" t="s">
        <v>57</v>
      </c>
      <c r="C116" s="8" t="s">
        <v>54</v>
      </c>
      <c r="D116" s="8">
        <v>105</v>
      </c>
      <c r="E116" s="8" t="s">
        <v>58</v>
      </c>
      <c r="F116" t="s">
        <v>59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2</v>
      </c>
      <c r="B117" s="8" t="s">
        <v>63</v>
      </c>
      <c r="C117" s="8" t="s">
        <v>54</v>
      </c>
      <c r="D117" s="8">
        <v>55</v>
      </c>
      <c r="E117" s="8" t="s">
        <v>64</v>
      </c>
      <c r="F117" t="s">
        <v>59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2</v>
      </c>
      <c r="B118" s="8" t="s">
        <v>63</v>
      </c>
      <c r="C118" s="8" t="s">
        <v>54</v>
      </c>
      <c r="D118" s="8">
        <v>55</v>
      </c>
      <c r="E118" s="8" t="s">
        <v>64</v>
      </c>
      <c r="F118" t="s">
        <v>59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2</v>
      </c>
      <c r="B119" s="8" t="s">
        <v>63</v>
      </c>
      <c r="C119" s="8" t="s">
        <v>54</v>
      </c>
      <c r="D119" s="8">
        <v>55</v>
      </c>
      <c r="E119" s="8" t="s">
        <v>64</v>
      </c>
      <c r="F119" t="s">
        <v>59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2</v>
      </c>
      <c r="B120" s="8" t="s">
        <v>63</v>
      </c>
      <c r="C120" s="8" t="s">
        <v>54</v>
      </c>
      <c r="D120" s="8">
        <v>55</v>
      </c>
      <c r="E120" s="8" t="s">
        <v>64</v>
      </c>
      <c r="F120" t="s">
        <v>59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3</v>
      </c>
      <c r="B121" s="8" t="s">
        <v>65</v>
      </c>
      <c r="C121" s="8" t="s">
        <v>66</v>
      </c>
      <c r="D121" s="8">
        <v>80</v>
      </c>
      <c r="E121" s="8" t="s">
        <v>67</v>
      </c>
      <c r="F121" t="s">
        <v>68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3</v>
      </c>
      <c r="B122" s="8" t="s">
        <v>65</v>
      </c>
      <c r="C122" s="8" t="s">
        <v>66</v>
      </c>
      <c r="D122" s="8">
        <v>80</v>
      </c>
      <c r="E122" s="8" t="s">
        <v>67</v>
      </c>
      <c r="F122" t="s">
        <v>68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3</v>
      </c>
      <c r="B123" s="8" t="s">
        <v>65</v>
      </c>
      <c r="C123" s="8" t="s">
        <v>66</v>
      </c>
      <c r="D123" s="8">
        <v>80</v>
      </c>
      <c r="E123" s="8" t="s">
        <v>67</v>
      </c>
      <c r="F123" t="s">
        <v>68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3</v>
      </c>
      <c r="B124" s="8" t="s">
        <v>65</v>
      </c>
      <c r="C124" s="8" t="s">
        <v>66</v>
      </c>
      <c r="D124" s="8">
        <v>80</v>
      </c>
      <c r="E124" s="8" t="s">
        <v>67</v>
      </c>
      <c r="F124" t="s">
        <v>68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3</v>
      </c>
      <c r="B125" s="8" t="s">
        <v>65</v>
      </c>
      <c r="C125" s="8" t="s">
        <v>66</v>
      </c>
      <c r="D125" s="8">
        <v>80</v>
      </c>
      <c r="E125" s="8" t="s">
        <v>67</v>
      </c>
      <c r="F125" t="s">
        <v>68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3</v>
      </c>
      <c r="B126" s="8" t="s">
        <v>65</v>
      </c>
      <c r="C126" s="8" t="s">
        <v>66</v>
      </c>
      <c r="D126" s="8">
        <v>80</v>
      </c>
      <c r="E126" s="8" t="s">
        <v>67</v>
      </c>
      <c r="F126" t="s">
        <v>68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3</v>
      </c>
      <c r="B127" s="8" t="s">
        <v>65</v>
      </c>
      <c r="C127" s="8" t="s">
        <v>66</v>
      </c>
      <c r="D127" s="8">
        <v>80</v>
      </c>
      <c r="E127" s="8" t="s">
        <v>67</v>
      </c>
      <c r="F127" t="s">
        <v>68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3</v>
      </c>
      <c r="B128" s="8" t="s">
        <v>65</v>
      </c>
      <c r="C128" s="8" t="s">
        <v>66</v>
      </c>
      <c r="D128" s="8">
        <v>80</v>
      </c>
      <c r="E128" s="8" t="s">
        <v>67</v>
      </c>
      <c r="F128" t="s">
        <v>68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3</v>
      </c>
      <c r="B129" s="8" t="s">
        <v>65</v>
      </c>
      <c r="C129" s="8" t="s">
        <v>66</v>
      </c>
      <c r="D129" s="8">
        <v>80</v>
      </c>
      <c r="E129" s="8" t="s">
        <v>67</v>
      </c>
      <c r="F129" t="s">
        <v>68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3</v>
      </c>
      <c r="B130" s="8" t="s">
        <v>65</v>
      </c>
      <c r="C130" s="8" t="s">
        <v>66</v>
      </c>
      <c r="D130" s="8">
        <v>80</v>
      </c>
      <c r="E130" s="8" t="s">
        <v>67</v>
      </c>
      <c r="F130" t="s">
        <v>68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3</v>
      </c>
      <c r="B131" s="8" t="s">
        <v>65</v>
      </c>
      <c r="C131" s="8" t="s">
        <v>66</v>
      </c>
      <c r="D131" s="8">
        <v>80</v>
      </c>
      <c r="E131" s="8" t="s">
        <v>67</v>
      </c>
      <c r="F131" t="s">
        <v>68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3</v>
      </c>
      <c r="B132" s="8" t="s">
        <v>65</v>
      </c>
      <c r="C132" s="8" t="s">
        <v>66</v>
      </c>
      <c r="D132" s="8">
        <v>80</v>
      </c>
      <c r="E132" s="8" t="s">
        <v>67</v>
      </c>
      <c r="F132" t="s">
        <v>68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3</v>
      </c>
      <c r="B133" s="8" t="s">
        <v>65</v>
      </c>
      <c r="C133" s="8" t="s">
        <v>66</v>
      </c>
      <c r="D133" s="8">
        <v>80</v>
      </c>
      <c r="E133" s="8" t="s">
        <v>67</v>
      </c>
      <c r="F133" t="s">
        <v>68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3</v>
      </c>
      <c r="B134" s="8" t="s">
        <v>65</v>
      </c>
      <c r="C134" s="8" t="s">
        <v>66</v>
      </c>
      <c r="D134" s="8">
        <v>80</v>
      </c>
      <c r="E134" s="8" t="s">
        <v>67</v>
      </c>
      <c r="F134" t="s">
        <v>68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3</v>
      </c>
      <c r="B135" s="8" t="s">
        <v>65</v>
      </c>
      <c r="C135" s="8" t="s">
        <v>66</v>
      </c>
      <c r="D135" s="8">
        <v>80</v>
      </c>
      <c r="E135" s="8" t="s">
        <v>67</v>
      </c>
      <c r="F135" t="s">
        <v>68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3</v>
      </c>
      <c r="B136" s="8" t="s">
        <v>65</v>
      </c>
      <c r="C136" s="8" t="s">
        <v>66</v>
      </c>
      <c r="D136" s="8">
        <v>80</v>
      </c>
      <c r="E136" s="8" t="s">
        <v>67</v>
      </c>
      <c r="F136" t="s">
        <v>68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3</v>
      </c>
      <c r="B137" s="8" t="s">
        <v>65</v>
      </c>
      <c r="C137" s="8" t="s">
        <v>66</v>
      </c>
      <c r="D137" s="8">
        <v>80</v>
      </c>
      <c r="E137" s="8" t="s">
        <v>67</v>
      </c>
      <c r="F137" t="s">
        <v>68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3</v>
      </c>
      <c r="B138" s="8" t="s">
        <v>65</v>
      </c>
      <c r="C138" s="8" t="s">
        <v>66</v>
      </c>
      <c r="D138" s="8">
        <v>80</v>
      </c>
      <c r="E138" s="8" t="s">
        <v>67</v>
      </c>
      <c r="F138" t="s">
        <v>68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3</v>
      </c>
      <c r="B139" s="8" t="s">
        <v>65</v>
      </c>
      <c r="C139" s="8" t="s">
        <v>66</v>
      </c>
      <c r="D139" s="8">
        <v>80</v>
      </c>
      <c r="E139" s="8" t="s">
        <v>67</v>
      </c>
      <c r="F139" t="s">
        <v>68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3</v>
      </c>
      <c r="B140" s="8" t="s">
        <v>65</v>
      </c>
      <c r="C140" s="8" t="s">
        <v>66</v>
      </c>
      <c r="D140" s="8">
        <v>80</v>
      </c>
      <c r="E140" s="8" t="s">
        <v>67</v>
      </c>
      <c r="F140" t="s">
        <v>68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3</v>
      </c>
      <c r="B141" s="8" t="s">
        <v>65</v>
      </c>
      <c r="C141" s="8" t="s">
        <v>66</v>
      </c>
      <c r="D141" s="8">
        <v>80</v>
      </c>
      <c r="E141" s="8" t="s">
        <v>67</v>
      </c>
      <c r="F141" t="s">
        <v>68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3</v>
      </c>
      <c r="B142" s="8" t="s">
        <v>65</v>
      </c>
      <c r="C142" s="8" t="s">
        <v>66</v>
      </c>
      <c r="D142" s="8">
        <v>80</v>
      </c>
      <c r="E142" s="8" t="s">
        <v>67</v>
      </c>
      <c r="F142" t="s">
        <v>68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3</v>
      </c>
      <c r="B143" s="8" t="s">
        <v>65</v>
      </c>
      <c r="C143" s="8" t="s">
        <v>66</v>
      </c>
      <c r="D143" s="8">
        <v>80</v>
      </c>
      <c r="E143" s="8" t="s">
        <v>67</v>
      </c>
      <c r="F143" t="s">
        <v>68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3</v>
      </c>
      <c r="B144" s="8" t="s">
        <v>65</v>
      </c>
      <c r="C144" s="8" t="s">
        <v>66</v>
      </c>
      <c r="D144" s="8">
        <v>80</v>
      </c>
      <c r="E144" s="8" t="s">
        <v>67</v>
      </c>
      <c r="F144" t="s">
        <v>68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3</v>
      </c>
      <c r="B145" s="8" t="s">
        <v>65</v>
      </c>
      <c r="C145" s="8" t="s">
        <v>66</v>
      </c>
      <c r="D145" s="8">
        <v>80</v>
      </c>
      <c r="E145" s="8" t="s">
        <v>67</v>
      </c>
      <c r="F145" t="s">
        <v>68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3</v>
      </c>
      <c r="B146" s="8" t="s">
        <v>65</v>
      </c>
      <c r="C146" s="8" t="s">
        <v>66</v>
      </c>
      <c r="D146" s="8">
        <v>80</v>
      </c>
      <c r="E146" s="8" t="s">
        <v>67</v>
      </c>
      <c r="F146" t="s">
        <v>68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3</v>
      </c>
      <c r="B147" s="8" t="s">
        <v>65</v>
      </c>
      <c r="C147" s="8" t="s">
        <v>66</v>
      </c>
      <c r="D147" s="8">
        <v>80</v>
      </c>
      <c r="E147" s="8" t="s">
        <v>67</v>
      </c>
      <c r="F147" t="s">
        <v>68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3</v>
      </c>
      <c r="B148" s="8" t="s">
        <v>65</v>
      </c>
      <c r="C148" s="8" t="s">
        <v>66</v>
      </c>
      <c r="D148" s="8">
        <v>80</v>
      </c>
      <c r="E148" s="8" t="s">
        <v>67</v>
      </c>
      <c r="F148" t="s">
        <v>68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3</v>
      </c>
      <c r="B149" s="8" t="s">
        <v>65</v>
      </c>
      <c r="C149" s="8" t="s">
        <v>66</v>
      </c>
      <c r="D149" s="8">
        <v>80</v>
      </c>
      <c r="E149" s="8" t="s">
        <v>67</v>
      </c>
      <c r="F149" t="s">
        <v>68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3</v>
      </c>
      <c r="B150" s="8" t="s">
        <v>65</v>
      </c>
      <c r="C150" s="8" t="s">
        <v>66</v>
      </c>
      <c r="D150" s="8">
        <v>80</v>
      </c>
      <c r="E150" s="8" t="s">
        <v>67</v>
      </c>
      <c r="F150" t="s">
        <v>68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3</v>
      </c>
      <c r="B151" s="8" t="s">
        <v>65</v>
      </c>
      <c r="C151" s="8" t="s">
        <v>66</v>
      </c>
      <c r="D151" s="8">
        <v>80</v>
      </c>
      <c r="E151" s="8" t="s">
        <v>67</v>
      </c>
      <c r="F151" t="s">
        <v>68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3</v>
      </c>
      <c r="B152" s="8" t="s">
        <v>65</v>
      </c>
      <c r="C152" s="8" t="s">
        <v>66</v>
      </c>
      <c r="D152" s="8">
        <v>80</v>
      </c>
      <c r="E152" s="8" t="s">
        <v>67</v>
      </c>
      <c r="F152" t="s">
        <v>68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3</v>
      </c>
      <c r="B153" s="8" t="s">
        <v>65</v>
      </c>
      <c r="C153" s="8" t="s">
        <v>66</v>
      </c>
      <c r="D153" s="8">
        <v>80</v>
      </c>
      <c r="E153" s="8" t="s">
        <v>67</v>
      </c>
      <c r="F153" t="s">
        <v>68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3</v>
      </c>
      <c r="B154" s="8" t="s">
        <v>65</v>
      </c>
      <c r="C154" s="8" t="s">
        <v>66</v>
      </c>
      <c r="D154" s="8">
        <v>80</v>
      </c>
      <c r="E154" s="8" t="s">
        <v>67</v>
      </c>
      <c r="F154" t="s">
        <v>68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3</v>
      </c>
      <c r="B155" s="8" t="s">
        <v>65</v>
      </c>
      <c r="C155" s="8" t="s">
        <v>66</v>
      </c>
      <c r="D155" s="8">
        <v>80</v>
      </c>
      <c r="E155" s="8" t="s">
        <v>67</v>
      </c>
      <c r="F155" t="s">
        <v>68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3</v>
      </c>
      <c r="B156" s="8" t="s">
        <v>65</v>
      </c>
      <c r="C156" s="8" t="s">
        <v>66</v>
      </c>
      <c r="D156" s="8">
        <v>80</v>
      </c>
      <c r="E156" s="8" t="s">
        <v>67</v>
      </c>
      <c r="F156" t="s">
        <v>68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3</v>
      </c>
      <c r="B157" s="8" t="s">
        <v>65</v>
      </c>
      <c r="C157" s="8" t="s">
        <v>66</v>
      </c>
      <c r="D157" s="8">
        <v>80</v>
      </c>
      <c r="E157" s="8" t="s">
        <v>67</v>
      </c>
      <c r="F157" t="s">
        <v>68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3</v>
      </c>
      <c r="B158" s="8" t="s">
        <v>65</v>
      </c>
      <c r="C158" s="8" t="s">
        <v>66</v>
      </c>
      <c r="D158" s="8">
        <v>80</v>
      </c>
      <c r="E158" s="8" t="s">
        <v>67</v>
      </c>
      <c r="F158" t="s">
        <v>68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3</v>
      </c>
      <c r="B159" s="8" t="s">
        <v>65</v>
      </c>
      <c r="C159" s="8" t="s">
        <v>66</v>
      </c>
      <c r="D159" s="8">
        <v>80</v>
      </c>
      <c r="E159" s="8" t="s">
        <v>67</v>
      </c>
      <c r="F159" t="s">
        <v>68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3</v>
      </c>
      <c r="B160" s="8" t="s">
        <v>65</v>
      </c>
      <c r="C160" s="8" t="s">
        <v>66</v>
      </c>
      <c r="D160" s="8">
        <v>80</v>
      </c>
      <c r="E160" s="8" t="s">
        <v>67</v>
      </c>
      <c r="F160" t="s">
        <v>68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3</v>
      </c>
      <c r="B161" s="8" t="s">
        <v>65</v>
      </c>
      <c r="C161" s="8" t="s">
        <v>66</v>
      </c>
      <c r="D161" s="8">
        <v>80</v>
      </c>
      <c r="E161" s="8" t="s">
        <v>67</v>
      </c>
      <c r="F161" t="s">
        <v>68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3</v>
      </c>
      <c r="B162" s="8" t="s">
        <v>65</v>
      </c>
      <c r="C162" s="8" t="s">
        <v>66</v>
      </c>
      <c r="D162" s="8">
        <v>80</v>
      </c>
      <c r="E162" s="8" t="s">
        <v>67</v>
      </c>
      <c r="F162" t="s">
        <v>68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3</v>
      </c>
      <c r="B163" s="8" t="s">
        <v>65</v>
      </c>
      <c r="C163" s="8" t="s">
        <v>66</v>
      </c>
      <c r="D163" s="8">
        <v>80</v>
      </c>
      <c r="E163" s="8" t="s">
        <v>67</v>
      </c>
      <c r="F163" t="s">
        <v>68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3</v>
      </c>
      <c r="B164" s="8" t="s">
        <v>65</v>
      </c>
      <c r="C164" s="8" t="s">
        <v>66</v>
      </c>
      <c r="D164" s="8">
        <v>80</v>
      </c>
      <c r="E164" s="8" t="s">
        <v>67</v>
      </c>
      <c r="F164" t="s">
        <v>68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3</v>
      </c>
      <c r="B165" s="8" t="s">
        <v>65</v>
      </c>
      <c r="C165" s="8" t="s">
        <v>66</v>
      </c>
      <c r="D165" s="8">
        <v>80</v>
      </c>
      <c r="E165" s="8" t="s">
        <v>67</v>
      </c>
      <c r="F165" t="s">
        <v>68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4</v>
      </c>
      <c r="B166" s="8" t="s">
        <v>69</v>
      </c>
      <c r="C166" s="8" t="s">
        <v>66</v>
      </c>
      <c r="D166" s="8">
        <v>40</v>
      </c>
      <c r="E166" s="8" t="s">
        <v>70</v>
      </c>
      <c r="F166" t="s">
        <v>68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4</v>
      </c>
      <c r="B167" s="8" t="s">
        <v>69</v>
      </c>
      <c r="C167" s="8" t="s">
        <v>66</v>
      </c>
      <c r="D167" s="8">
        <v>40</v>
      </c>
      <c r="E167" s="8" t="s">
        <v>70</v>
      </c>
      <c r="F167" t="s">
        <v>68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4</v>
      </c>
      <c r="B168" s="8" t="s">
        <v>69</v>
      </c>
      <c r="C168" s="8" t="s">
        <v>66</v>
      </c>
      <c r="D168" s="8">
        <v>40</v>
      </c>
      <c r="E168" s="8" t="s">
        <v>70</v>
      </c>
      <c r="F168" t="s">
        <v>68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4</v>
      </c>
      <c r="B169" s="8" t="s">
        <v>69</v>
      </c>
      <c r="C169" s="8" t="s">
        <v>66</v>
      </c>
      <c r="D169" s="8">
        <v>40</v>
      </c>
      <c r="E169" s="8" t="s">
        <v>70</v>
      </c>
      <c r="F169" t="s">
        <v>68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4</v>
      </c>
      <c r="B170" s="8" t="s">
        <v>69</v>
      </c>
      <c r="C170" s="8" t="s">
        <v>66</v>
      </c>
      <c r="D170" s="8">
        <v>40</v>
      </c>
      <c r="E170" s="8" t="s">
        <v>70</v>
      </c>
      <c r="F170" t="s">
        <v>68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4</v>
      </c>
      <c r="B171" s="8" t="s">
        <v>69</v>
      </c>
      <c r="C171" s="8" t="s">
        <v>66</v>
      </c>
      <c r="D171" s="8">
        <v>40</v>
      </c>
      <c r="E171" s="8" t="s">
        <v>70</v>
      </c>
      <c r="F171" t="s">
        <v>68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4</v>
      </c>
      <c r="B172" s="8" t="s">
        <v>69</v>
      </c>
      <c r="C172" s="8" t="s">
        <v>66</v>
      </c>
      <c r="D172" s="8">
        <v>40</v>
      </c>
      <c r="E172" s="8" t="s">
        <v>70</v>
      </c>
      <c r="F172" t="s">
        <v>68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4</v>
      </c>
      <c r="B173" s="8" t="s">
        <v>69</v>
      </c>
      <c r="C173" s="8" t="s">
        <v>66</v>
      </c>
      <c r="D173" s="8">
        <v>40</v>
      </c>
      <c r="E173" s="8" t="s">
        <v>70</v>
      </c>
      <c r="F173" t="s">
        <v>68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4</v>
      </c>
      <c r="B174" s="8" t="s">
        <v>69</v>
      </c>
      <c r="C174" s="8" t="s">
        <v>66</v>
      </c>
      <c r="D174" s="8">
        <v>40</v>
      </c>
      <c r="E174" s="8" t="s">
        <v>70</v>
      </c>
      <c r="F174" t="s">
        <v>68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4</v>
      </c>
      <c r="B175" s="8" t="s">
        <v>69</v>
      </c>
      <c r="C175" s="8" t="s">
        <v>66</v>
      </c>
      <c r="D175" s="8">
        <v>40</v>
      </c>
      <c r="E175" s="8" t="s">
        <v>70</v>
      </c>
      <c r="F175" t="s">
        <v>68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4</v>
      </c>
      <c r="B176" s="8" t="s">
        <v>69</v>
      </c>
      <c r="C176" s="8" t="s">
        <v>66</v>
      </c>
      <c r="D176" s="8">
        <v>40</v>
      </c>
      <c r="E176" s="8" t="s">
        <v>70</v>
      </c>
      <c r="F176" t="s">
        <v>68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4</v>
      </c>
      <c r="B177" s="8" t="s">
        <v>69</v>
      </c>
      <c r="C177" s="8" t="s">
        <v>66</v>
      </c>
      <c r="D177" s="8">
        <v>40</v>
      </c>
      <c r="E177" s="8" t="s">
        <v>70</v>
      </c>
      <c r="F177" t="s">
        <v>68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4</v>
      </c>
      <c r="B178" s="8" t="s">
        <v>69</v>
      </c>
      <c r="C178" s="8" t="s">
        <v>66</v>
      </c>
      <c r="D178" s="8">
        <v>40</v>
      </c>
      <c r="E178" s="8" t="s">
        <v>70</v>
      </c>
      <c r="F178" t="s">
        <v>68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4</v>
      </c>
      <c r="B179" s="8" t="s">
        <v>69</v>
      </c>
      <c r="C179" s="8" t="s">
        <v>66</v>
      </c>
      <c r="D179" s="8">
        <v>40</v>
      </c>
      <c r="E179" s="8" t="s">
        <v>70</v>
      </c>
      <c r="F179" t="s">
        <v>68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4</v>
      </c>
      <c r="B180" s="8" t="s">
        <v>69</v>
      </c>
      <c r="C180" s="8" t="s">
        <v>66</v>
      </c>
      <c r="D180" s="8">
        <v>40</v>
      </c>
      <c r="E180" s="8" t="s">
        <v>70</v>
      </c>
      <c r="F180" t="s">
        <v>68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4</v>
      </c>
      <c r="B181" s="8" t="s">
        <v>69</v>
      </c>
      <c r="C181" s="8" t="s">
        <v>66</v>
      </c>
      <c r="D181" s="8">
        <v>40</v>
      </c>
      <c r="E181" s="8" t="s">
        <v>70</v>
      </c>
      <c r="F181" t="s">
        <v>68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4</v>
      </c>
      <c r="B182" s="8" t="s">
        <v>69</v>
      </c>
      <c r="C182" s="8" t="s">
        <v>66</v>
      </c>
      <c r="D182" s="8">
        <v>40</v>
      </c>
      <c r="E182" s="8" t="s">
        <v>70</v>
      </c>
      <c r="F182" t="s">
        <v>68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4</v>
      </c>
      <c r="B183" s="8" t="s">
        <v>69</v>
      </c>
      <c r="C183" s="8" t="s">
        <v>66</v>
      </c>
      <c r="D183" s="8">
        <v>40</v>
      </c>
      <c r="E183" s="8" t="s">
        <v>70</v>
      </c>
      <c r="F183" t="s">
        <v>68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4</v>
      </c>
      <c r="B184" s="8" t="s">
        <v>69</v>
      </c>
      <c r="C184" s="8" t="s">
        <v>66</v>
      </c>
      <c r="D184" s="8">
        <v>40</v>
      </c>
      <c r="E184" s="8" t="s">
        <v>70</v>
      </c>
      <c r="F184" t="s">
        <v>68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4</v>
      </c>
      <c r="B185" s="8" t="s">
        <v>69</v>
      </c>
      <c r="C185" s="8" t="s">
        <v>66</v>
      </c>
      <c r="D185" s="8">
        <v>40</v>
      </c>
      <c r="E185" s="8" t="s">
        <v>70</v>
      </c>
      <c r="F185" t="s">
        <v>68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4</v>
      </c>
      <c r="B186" s="8" t="s">
        <v>69</v>
      </c>
      <c r="C186" s="8" t="s">
        <v>66</v>
      </c>
      <c r="D186" s="8">
        <v>40</v>
      </c>
      <c r="E186" s="8" t="s">
        <v>70</v>
      </c>
      <c r="F186" t="s">
        <v>68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4</v>
      </c>
      <c r="B187" s="8" t="s">
        <v>69</v>
      </c>
      <c r="C187" s="8" t="s">
        <v>66</v>
      </c>
      <c r="D187" s="8">
        <v>40</v>
      </c>
      <c r="E187" s="8" t="s">
        <v>70</v>
      </c>
      <c r="F187" t="s">
        <v>68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4</v>
      </c>
      <c r="B188" s="8" t="s">
        <v>69</v>
      </c>
      <c r="C188" s="8" t="s">
        <v>66</v>
      </c>
      <c r="D188" s="8">
        <v>40</v>
      </c>
      <c r="E188" s="8" t="s">
        <v>70</v>
      </c>
      <c r="F188" t="s">
        <v>68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6</v>
      </c>
      <c r="B189" s="8" t="s">
        <v>53</v>
      </c>
      <c r="C189" s="8" t="s">
        <v>54</v>
      </c>
      <c r="D189" s="8">
        <v>90</v>
      </c>
      <c r="E189" s="8" t="s">
        <v>55</v>
      </c>
      <c r="F189" t="s">
        <v>56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4</v>
      </c>
      <c r="B190" s="8" t="s">
        <v>69</v>
      </c>
      <c r="C190" s="8" t="s">
        <v>66</v>
      </c>
      <c r="D190" s="8">
        <v>40</v>
      </c>
      <c r="E190" s="8" t="s">
        <v>70</v>
      </c>
      <c r="F190" t="s">
        <v>68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4</v>
      </c>
      <c r="B191" s="8" t="s">
        <v>69</v>
      </c>
      <c r="C191" s="8" t="s">
        <v>66</v>
      </c>
      <c r="D191" s="8">
        <v>40</v>
      </c>
      <c r="E191" s="8" t="s">
        <v>70</v>
      </c>
      <c r="F191" t="s">
        <v>68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4</v>
      </c>
      <c r="B192" s="8" t="s">
        <v>69</v>
      </c>
      <c r="C192" s="8" t="s">
        <v>66</v>
      </c>
      <c r="D192" s="8">
        <v>40</v>
      </c>
      <c r="E192" s="8" t="s">
        <v>70</v>
      </c>
      <c r="F192" t="s">
        <v>68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4</v>
      </c>
      <c r="B193" s="8" t="s">
        <v>69</v>
      </c>
      <c r="C193" s="8" t="s">
        <v>66</v>
      </c>
      <c r="D193" s="8">
        <v>40</v>
      </c>
      <c r="E193" s="8" t="s">
        <v>70</v>
      </c>
      <c r="F193" t="s">
        <v>68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4</v>
      </c>
      <c r="B194" s="8" t="s">
        <v>69</v>
      </c>
      <c r="C194" s="8" t="s">
        <v>66</v>
      </c>
      <c r="D194" s="8">
        <v>40</v>
      </c>
      <c r="E194" s="8" t="s">
        <v>70</v>
      </c>
      <c r="F194" t="s">
        <v>68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4</v>
      </c>
      <c r="B195" s="8" t="s">
        <v>69</v>
      </c>
      <c r="C195" s="8" t="s">
        <v>66</v>
      </c>
      <c r="D195" s="8">
        <v>40</v>
      </c>
      <c r="E195" s="8" t="s">
        <v>70</v>
      </c>
      <c r="F195" t="s">
        <v>68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4</v>
      </c>
      <c r="B196" s="8" t="s">
        <v>69</v>
      </c>
      <c r="C196" s="8" t="s">
        <v>66</v>
      </c>
      <c r="D196" s="8">
        <v>40</v>
      </c>
      <c r="E196" s="8" t="s">
        <v>70</v>
      </c>
      <c r="F196" t="s">
        <v>68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4</v>
      </c>
      <c r="B197" s="8" t="s">
        <v>69</v>
      </c>
      <c r="C197" s="8" t="s">
        <v>66</v>
      </c>
      <c r="D197" s="8">
        <v>40</v>
      </c>
      <c r="E197" s="8" t="s">
        <v>70</v>
      </c>
      <c r="F197" t="s">
        <v>68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4</v>
      </c>
      <c r="B198" s="8" t="s">
        <v>69</v>
      </c>
      <c r="C198" s="8" t="s">
        <v>66</v>
      </c>
      <c r="D198" s="8">
        <v>40</v>
      </c>
      <c r="E198" s="8" t="s">
        <v>70</v>
      </c>
      <c r="F198" t="s">
        <v>68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4</v>
      </c>
      <c r="B199" s="8" t="s">
        <v>69</v>
      </c>
      <c r="C199" s="8" t="s">
        <v>66</v>
      </c>
      <c r="D199" s="8">
        <v>40</v>
      </c>
      <c r="E199" s="8" t="s">
        <v>70</v>
      </c>
      <c r="F199" t="s">
        <v>68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4</v>
      </c>
      <c r="B200" s="8" t="s">
        <v>69</v>
      </c>
      <c r="C200" s="8" t="s">
        <v>66</v>
      </c>
      <c r="D200" s="8">
        <v>40</v>
      </c>
      <c r="E200" s="8" t="s">
        <v>70</v>
      </c>
      <c r="F200" t="s">
        <v>68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4</v>
      </c>
      <c r="B201" s="8" t="s">
        <v>69</v>
      </c>
      <c r="C201" s="8" t="s">
        <v>66</v>
      </c>
      <c r="D201" s="8">
        <v>40</v>
      </c>
      <c r="E201" s="8" t="s">
        <v>70</v>
      </c>
      <c r="F201" t="s">
        <v>68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4</v>
      </c>
      <c r="B202" s="8" t="s">
        <v>69</v>
      </c>
      <c r="C202" s="8" t="s">
        <v>66</v>
      </c>
      <c r="D202" s="8">
        <v>40</v>
      </c>
      <c r="E202" s="8" t="s">
        <v>70</v>
      </c>
      <c r="F202" t="s">
        <v>68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4</v>
      </c>
      <c r="B203" s="8" t="s">
        <v>69</v>
      </c>
      <c r="C203" s="8" t="s">
        <v>66</v>
      </c>
      <c r="D203" s="8">
        <v>40</v>
      </c>
      <c r="E203" s="8" t="s">
        <v>70</v>
      </c>
      <c r="F203" t="s">
        <v>68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4</v>
      </c>
      <c r="B204" s="8" t="s">
        <v>69</v>
      </c>
      <c r="C204" s="8" t="s">
        <v>66</v>
      </c>
      <c r="D204" s="8">
        <v>40</v>
      </c>
      <c r="E204" s="8" t="s">
        <v>70</v>
      </c>
      <c r="F204" t="s">
        <v>68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4</v>
      </c>
      <c r="B205" s="8" t="s">
        <v>69</v>
      </c>
      <c r="C205" s="8" t="s">
        <v>66</v>
      </c>
      <c r="D205" s="8">
        <v>40</v>
      </c>
      <c r="E205" s="8" t="s">
        <v>70</v>
      </c>
      <c r="F205" t="s">
        <v>68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4</v>
      </c>
      <c r="B206" s="8" t="s">
        <v>69</v>
      </c>
      <c r="C206" s="8" t="s">
        <v>66</v>
      </c>
      <c r="D206" s="8">
        <v>40</v>
      </c>
      <c r="E206" s="8" t="s">
        <v>70</v>
      </c>
      <c r="F206" t="s">
        <v>68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4</v>
      </c>
      <c r="B207" s="8" t="s">
        <v>69</v>
      </c>
      <c r="C207" s="8" t="s">
        <v>66</v>
      </c>
      <c r="D207" s="8">
        <v>40</v>
      </c>
      <c r="E207" s="8" t="s">
        <v>70</v>
      </c>
      <c r="F207" t="s">
        <v>68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4</v>
      </c>
      <c r="B208" s="8" t="s">
        <v>69</v>
      </c>
      <c r="C208" s="8" t="s">
        <v>66</v>
      </c>
      <c r="D208" s="8">
        <v>40</v>
      </c>
      <c r="E208" s="8" t="s">
        <v>70</v>
      </c>
      <c r="F208" t="s">
        <v>68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4</v>
      </c>
      <c r="B209" s="8" t="s">
        <v>69</v>
      </c>
      <c r="C209" s="8" t="s">
        <v>66</v>
      </c>
      <c r="D209" s="8">
        <v>40</v>
      </c>
      <c r="E209" s="8" t="s">
        <v>70</v>
      </c>
      <c r="F209" t="s">
        <v>68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4</v>
      </c>
      <c r="B210" s="8" t="s">
        <v>69</v>
      </c>
      <c r="C210" s="8" t="s">
        <v>66</v>
      </c>
      <c r="D210" s="8">
        <v>40</v>
      </c>
      <c r="E210" s="8" t="s">
        <v>70</v>
      </c>
      <c r="F210" t="s">
        <v>68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4</v>
      </c>
      <c r="B211" s="8" t="s">
        <v>69</v>
      </c>
      <c r="C211" s="8" t="s">
        <v>66</v>
      </c>
      <c r="D211" s="8">
        <v>40</v>
      </c>
      <c r="E211" s="8" t="s">
        <v>70</v>
      </c>
      <c r="F211" t="s">
        <v>68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4</v>
      </c>
      <c r="B212" s="8" t="s">
        <v>69</v>
      </c>
      <c r="C212" s="8" t="s">
        <v>66</v>
      </c>
      <c r="D212" s="8">
        <v>40</v>
      </c>
      <c r="E212" s="8" t="s">
        <v>70</v>
      </c>
      <c r="F212" t="s">
        <v>68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4</v>
      </c>
      <c r="B213" s="8" t="s">
        <v>69</v>
      </c>
      <c r="C213" s="8" t="s">
        <v>66</v>
      </c>
      <c r="D213" s="8">
        <v>40</v>
      </c>
      <c r="E213" s="8" t="s">
        <v>70</v>
      </c>
      <c r="F213" t="s">
        <v>68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4</v>
      </c>
      <c r="B214" s="8" t="s">
        <v>69</v>
      </c>
      <c r="C214" s="8" t="s">
        <v>66</v>
      </c>
      <c r="D214" s="8">
        <v>40</v>
      </c>
      <c r="E214" s="8" t="s">
        <v>70</v>
      </c>
      <c r="F214" t="s">
        <v>68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4</v>
      </c>
      <c r="B215" s="8" t="s">
        <v>69</v>
      </c>
      <c r="C215" s="8" t="s">
        <v>66</v>
      </c>
      <c r="D215" s="8">
        <v>40</v>
      </c>
      <c r="E215" s="8" t="s">
        <v>70</v>
      </c>
      <c r="F215" t="s">
        <v>68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4</v>
      </c>
      <c r="B216" s="8" t="s">
        <v>69</v>
      </c>
      <c r="C216" s="8" t="s">
        <v>66</v>
      </c>
      <c r="D216" s="8">
        <v>40</v>
      </c>
      <c r="E216" s="8" t="s">
        <v>70</v>
      </c>
      <c r="F216" t="s">
        <v>68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4</v>
      </c>
      <c r="B217" s="8" t="s">
        <v>69</v>
      </c>
      <c r="C217" s="8" t="s">
        <v>66</v>
      </c>
      <c r="D217" s="8">
        <v>40</v>
      </c>
      <c r="E217" s="8" t="s">
        <v>70</v>
      </c>
      <c r="F217" t="s">
        <v>68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4</v>
      </c>
      <c r="B218" s="8" t="s">
        <v>69</v>
      </c>
      <c r="C218" s="8" t="s">
        <v>66</v>
      </c>
      <c r="D218" s="8">
        <v>40</v>
      </c>
      <c r="E218" s="8" t="s">
        <v>70</v>
      </c>
      <c r="F218" t="s">
        <v>68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4</v>
      </c>
      <c r="B219" s="8" t="s">
        <v>69</v>
      </c>
      <c r="C219" s="8" t="s">
        <v>66</v>
      </c>
      <c r="D219" s="8">
        <v>40</v>
      </c>
      <c r="E219" s="8" t="s">
        <v>70</v>
      </c>
      <c r="F219" t="s">
        <v>68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3</v>
      </c>
      <c r="B220" s="8" t="s">
        <v>65</v>
      </c>
      <c r="C220" s="8" t="s">
        <v>66</v>
      </c>
      <c r="D220" s="8">
        <v>80</v>
      </c>
      <c r="E220" s="8" t="s">
        <v>67</v>
      </c>
      <c r="F220" t="s">
        <v>68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3</v>
      </c>
      <c r="B221" s="8" t="s">
        <v>65</v>
      </c>
      <c r="C221" s="8" t="s">
        <v>66</v>
      </c>
      <c r="D221" s="8">
        <v>80</v>
      </c>
      <c r="E221" s="8" t="s">
        <v>67</v>
      </c>
      <c r="F221" t="s">
        <v>68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1</v>
      </c>
      <c r="B222" s="8" t="s">
        <v>57</v>
      </c>
      <c r="C222" s="8" t="s">
        <v>54</v>
      </c>
      <c r="D222" s="8">
        <v>105</v>
      </c>
      <c r="E222" s="8" t="s">
        <v>58</v>
      </c>
      <c r="F222" t="s">
        <v>59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2</v>
      </c>
      <c r="B223" s="8" t="s">
        <v>63</v>
      </c>
      <c r="C223" s="8" t="s">
        <v>54</v>
      </c>
      <c r="D223" s="8">
        <v>55</v>
      </c>
      <c r="E223" s="8" t="s">
        <v>64</v>
      </c>
      <c r="F223" t="s">
        <v>59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3</v>
      </c>
      <c r="B224" s="8" t="s">
        <v>65</v>
      </c>
      <c r="C224" s="8" t="s">
        <v>66</v>
      </c>
      <c r="D224" s="8">
        <v>80</v>
      </c>
      <c r="E224" s="8" t="s">
        <v>67</v>
      </c>
      <c r="F224" t="s">
        <v>68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3</v>
      </c>
      <c r="B225" s="8" t="s">
        <v>65</v>
      </c>
      <c r="C225" s="8" t="s">
        <v>66</v>
      </c>
      <c r="D225" s="8">
        <v>80</v>
      </c>
      <c r="E225" s="8" t="s">
        <v>67</v>
      </c>
      <c r="F225" t="s">
        <v>68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3</v>
      </c>
      <c r="B226" s="8" t="s">
        <v>65</v>
      </c>
      <c r="C226" s="8" t="s">
        <v>66</v>
      </c>
      <c r="D226" s="8">
        <v>80</v>
      </c>
      <c r="E226" s="8" t="s">
        <v>67</v>
      </c>
      <c r="F226" t="s">
        <v>68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3</v>
      </c>
      <c r="B227" s="8" t="s">
        <v>65</v>
      </c>
      <c r="C227" s="8" t="s">
        <v>66</v>
      </c>
      <c r="D227" s="8">
        <v>80</v>
      </c>
      <c r="E227" s="8" t="s">
        <v>67</v>
      </c>
      <c r="F227" t="s">
        <v>68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3</v>
      </c>
      <c r="B228" s="8" t="s">
        <v>65</v>
      </c>
      <c r="C228" s="8" t="s">
        <v>66</v>
      </c>
      <c r="D228" s="8">
        <v>80</v>
      </c>
      <c r="E228" s="8" t="s">
        <v>67</v>
      </c>
      <c r="F228" t="s">
        <v>68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3</v>
      </c>
      <c r="B229" s="8" t="s">
        <v>65</v>
      </c>
      <c r="C229" s="8" t="s">
        <v>66</v>
      </c>
      <c r="D229" s="8">
        <v>80</v>
      </c>
      <c r="E229" s="8" t="s">
        <v>67</v>
      </c>
      <c r="F229" t="s">
        <v>68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3</v>
      </c>
      <c r="B230" s="8" t="s">
        <v>65</v>
      </c>
      <c r="C230" s="8" t="s">
        <v>66</v>
      </c>
      <c r="D230" s="8">
        <v>80</v>
      </c>
      <c r="E230" s="8" t="s">
        <v>67</v>
      </c>
      <c r="F230" t="s">
        <v>68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3</v>
      </c>
      <c r="B231" s="8" t="s">
        <v>65</v>
      </c>
      <c r="C231" s="8" t="s">
        <v>66</v>
      </c>
      <c r="D231" s="8">
        <v>80</v>
      </c>
      <c r="E231" s="8" t="s">
        <v>67</v>
      </c>
      <c r="F231" t="s">
        <v>68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3</v>
      </c>
      <c r="B232" s="8" t="s">
        <v>65</v>
      </c>
      <c r="C232" s="8" t="s">
        <v>66</v>
      </c>
      <c r="D232" s="8">
        <v>80</v>
      </c>
      <c r="E232" s="8" t="s">
        <v>67</v>
      </c>
      <c r="F232" t="s">
        <v>68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3</v>
      </c>
      <c r="B233" s="8" t="s">
        <v>65</v>
      </c>
      <c r="C233" s="8" t="s">
        <v>66</v>
      </c>
      <c r="D233" s="8">
        <v>80</v>
      </c>
      <c r="E233" s="8" t="s">
        <v>67</v>
      </c>
      <c r="F233" t="s">
        <v>68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3</v>
      </c>
      <c r="B234" s="8" t="s">
        <v>65</v>
      </c>
      <c r="C234" s="8" t="s">
        <v>66</v>
      </c>
      <c r="D234" s="8">
        <v>80</v>
      </c>
      <c r="E234" s="8" t="s">
        <v>67</v>
      </c>
      <c r="F234" t="s">
        <v>68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3</v>
      </c>
      <c r="B235" s="8" t="s">
        <v>65</v>
      </c>
      <c r="C235" s="8" t="s">
        <v>66</v>
      </c>
      <c r="D235" s="8">
        <v>80</v>
      </c>
      <c r="E235" s="8" t="s">
        <v>67</v>
      </c>
      <c r="F235" t="s">
        <v>68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3</v>
      </c>
      <c r="B236" s="8" t="s">
        <v>65</v>
      </c>
      <c r="C236" s="8" t="s">
        <v>66</v>
      </c>
      <c r="D236" s="8">
        <v>80</v>
      </c>
      <c r="E236" s="8" t="s">
        <v>67</v>
      </c>
      <c r="F236" t="s">
        <v>68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3</v>
      </c>
      <c r="B237" s="8" t="s">
        <v>65</v>
      </c>
      <c r="C237" s="8" t="s">
        <v>66</v>
      </c>
      <c r="D237" s="8">
        <v>80</v>
      </c>
      <c r="E237" s="8" t="s">
        <v>67</v>
      </c>
      <c r="F237" t="s">
        <v>68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3</v>
      </c>
      <c r="B238" s="8" t="s">
        <v>65</v>
      </c>
      <c r="C238" s="8" t="s">
        <v>66</v>
      </c>
      <c r="D238" s="8">
        <v>80</v>
      </c>
      <c r="E238" s="8" t="s">
        <v>67</v>
      </c>
      <c r="F238" t="s">
        <v>68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3</v>
      </c>
      <c r="B239" s="8" t="s">
        <v>65</v>
      </c>
      <c r="C239" s="8" t="s">
        <v>66</v>
      </c>
      <c r="D239" s="8">
        <v>80</v>
      </c>
      <c r="E239" s="8" t="s">
        <v>67</v>
      </c>
      <c r="F239" t="s">
        <v>68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3</v>
      </c>
      <c r="B240" s="8" t="s">
        <v>65</v>
      </c>
      <c r="C240" s="8" t="s">
        <v>66</v>
      </c>
      <c r="D240" s="8">
        <v>80</v>
      </c>
      <c r="E240" s="8" t="s">
        <v>67</v>
      </c>
      <c r="F240" t="s">
        <v>68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3</v>
      </c>
      <c r="B241" s="8" t="s">
        <v>65</v>
      </c>
      <c r="C241" s="8" t="s">
        <v>66</v>
      </c>
      <c r="D241" s="8">
        <v>80</v>
      </c>
      <c r="E241" s="8" t="s">
        <v>67</v>
      </c>
      <c r="F241" t="s">
        <v>68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3</v>
      </c>
      <c r="B242" s="8" t="s">
        <v>65</v>
      </c>
      <c r="C242" s="8" t="s">
        <v>66</v>
      </c>
      <c r="D242" s="8">
        <v>80</v>
      </c>
      <c r="E242" s="8" t="s">
        <v>67</v>
      </c>
      <c r="F242" t="s">
        <v>68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3</v>
      </c>
      <c r="B243" s="8" t="s">
        <v>65</v>
      </c>
      <c r="C243" s="8" t="s">
        <v>66</v>
      </c>
      <c r="D243" s="8">
        <v>80</v>
      </c>
      <c r="E243" s="8" t="s">
        <v>67</v>
      </c>
      <c r="F243" t="s">
        <v>68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3</v>
      </c>
      <c r="B244" s="8" t="s">
        <v>65</v>
      </c>
      <c r="C244" s="8" t="s">
        <v>66</v>
      </c>
      <c r="D244" s="8">
        <v>80</v>
      </c>
      <c r="E244" s="8" t="s">
        <v>67</v>
      </c>
      <c r="F244" t="s">
        <v>68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3</v>
      </c>
      <c r="B245" s="8" t="s">
        <v>65</v>
      </c>
      <c r="C245" s="8" t="s">
        <v>66</v>
      </c>
      <c r="D245" s="8">
        <v>80</v>
      </c>
      <c r="E245" s="8" t="s">
        <v>67</v>
      </c>
      <c r="F245" t="s">
        <v>68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3</v>
      </c>
      <c r="B246" s="8" t="s">
        <v>65</v>
      </c>
      <c r="C246" s="8" t="s">
        <v>66</v>
      </c>
      <c r="D246" s="8">
        <v>80</v>
      </c>
      <c r="E246" s="8" t="s">
        <v>67</v>
      </c>
      <c r="F246" t="s">
        <v>68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3</v>
      </c>
      <c r="B247" s="8" t="s">
        <v>65</v>
      </c>
      <c r="C247" s="8" t="s">
        <v>66</v>
      </c>
      <c r="D247" s="8">
        <v>80</v>
      </c>
      <c r="E247" s="8" t="s">
        <v>67</v>
      </c>
      <c r="F247" t="s">
        <v>68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3</v>
      </c>
      <c r="B248" s="8" t="s">
        <v>65</v>
      </c>
      <c r="C248" s="8" t="s">
        <v>66</v>
      </c>
      <c r="D248" s="8">
        <v>80</v>
      </c>
      <c r="E248" s="8" t="s">
        <v>67</v>
      </c>
      <c r="F248" t="s">
        <v>68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3</v>
      </c>
      <c r="B249" s="8" t="s">
        <v>65</v>
      </c>
      <c r="C249" s="8" t="s">
        <v>66</v>
      </c>
      <c r="D249" s="8">
        <v>80</v>
      </c>
      <c r="E249" s="8" t="s">
        <v>67</v>
      </c>
      <c r="F249" t="s">
        <v>68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3</v>
      </c>
      <c r="B250" s="8" t="s">
        <v>65</v>
      </c>
      <c r="C250" s="8" t="s">
        <v>66</v>
      </c>
      <c r="D250" s="8">
        <v>80</v>
      </c>
      <c r="E250" s="8" t="s">
        <v>67</v>
      </c>
      <c r="F250" t="s">
        <v>68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3</v>
      </c>
      <c r="B251" s="8" t="s">
        <v>65</v>
      </c>
      <c r="C251" s="8" t="s">
        <v>66</v>
      </c>
      <c r="D251" s="8">
        <v>80</v>
      </c>
      <c r="E251" s="8" t="s">
        <v>67</v>
      </c>
      <c r="F251" t="s">
        <v>68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3</v>
      </c>
      <c r="B252" s="8" t="s">
        <v>65</v>
      </c>
      <c r="C252" s="8" t="s">
        <v>66</v>
      </c>
      <c r="D252" s="8">
        <v>80</v>
      </c>
      <c r="E252" s="8" t="s">
        <v>67</v>
      </c>
      <c r="F252" t="s">
        <v>68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3</v>
      </c>
      <c r="B253" s="8" t="s">
        <v>65</v>
      </c>
      <c r="C253" s="8" t="s">
        <v>66</v>
      </c>
      <c r="D253" s="8">
        <v>80</v>
      </c>
      <c r="E253" s="8" t="s">
        <v>67</v>
      </c>
      <c r="F253" t="s">
        <v>68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3</v>
      </c>
      <c r="B254" s="8" t="s">
        <v>65</v>
      </c>
      <c r="C254" s="8" t="s">
        <v>66</v>
      </c>
      <c r="D254" s="8">
        <v>80</v>
      </c>
      <c r="E254" s="8" t="s">
        <v>67</v>
      </c>
      <c r="F254" t="s">
        <v>68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3</v>
      </c>
      <c r="B255" s="8" t="s">
        <v>65</v>
      </c>
      <c r="C255" s="8" t="s">
        <v>66</v>
      </c>
      <c r="D255" s="8">
        <v>80</v>
      </c>
      <c r="E255" s="8" t="s">
        <v>67</v>
      </c>
      <c r="F255" t="s">
        <v>68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3</v>
      </c>
      <c r="B256" s="8" t="s">
        <v>65</v>
      </c>
      <c r="C256" s="8" t="s">
        <v>66</v>
      </c>
      <c r="D256" s="8">
        <v>80</v>
      </c>
      <c r="E256" s="8" t="s">
        <v>67</v>
      </c>
      <c r="F256" t="s">
        <v>68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3</v>
      </c>
      <c r="B257" s="8" t="s">
        <v>65</v>
      </c>
      <c r="C257" s="8" t="s">
        <v>66</v>
      </c>
      <c r="D257" s="8">
        <v>80</v>
      </c>
      <c r="E257" s="8" t="s">
        <v>67</v>
      </c>
      <c r="F257" t="s">
        <v>68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3</v>
      </c>
      <c r="B258" s="8" t="s">
        <v>65</v>
      </c>
      <c r="C258" s="8" t="s">
        <v>66</v>
      </c>
      <c r="D258" s="8">
        <v>80</v>
      </c>
      <c r="E258" s="8" t="s">
        <v>67</v>
      </c>
      <c r="F258" t="s">
        <v>68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3</v>
      </c>
      <c r="B259" s="8" t="s">
        <v>65</v>
      </c>
      <c r="C259" s="8" t="s">
        <v>66</v>
      </c>
      <c r="D259" s="8">
        <v>80</v>
      </c>
      <c r="E259" s="8" t="s">
        <v>67</v>
      </c>
      <c r="F259" t="s">
        <v>68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3</v>
      </c>
      <c r="B260" s="8" t="s">
        <v>65</v>
      </c>
      <c r="C260" s="8" t="s">
        <v>66</v>
      </c>
      <c r="D260" s="8">
        <v>80</v>
      </c>
      <c r="E260" s="8" t="s">
        <v>67</v>
      </c>
      <c r="F260" t="s">
        <v>68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5</v>
      </c>
      <c r="B261" s="8" t="s">
        <v>60</v>
      </c>
      <c r="C261" s="8" t="s">
        <v>61</v>
      </c>
      <c r="D261" s="8">
        <v>30</v>
      </c>
      <c r="E261" s="8" t="s">
        <v>62</v>
      </c>
      <c r="F261" t="s">
        <v>56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6</v>
      </c>
      <c r="B262" s="8" t="s">
        <v>53</v>
      </c>
      <c r="C262" s="8" t="s">
        <v>54</v>
      </c>
      <c r="D262" s="8">
        <v>90</v>
      </c>
      <c r="E262" s="8" t="s">
        <v>55</v>
      </c>
      <c r="F262" t="s">
        <v>56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3</v>
      </c>
      <c r="B263" s="8" t="s">
        <v>65</v>
      </c>
      <c r="C263" s="8" t="s">
        <v>66</v>
      </c>
      <c r="D263" s="8">
        <v>80</v>
      </c>
      <c r="E263" s="8" t="s">
        <v>67</v>
      </c>
      <c r="F263" t="s">
        <v>68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3</v>
      </c>
      <c r="B264" s="8" t="s">
        <v>65</v>
      </c>
      <c r="C264" s="8" t="s">
        <v>66</v>
      </c>
      <c r="D264" s="8">
        <v>80</v>
      </c>
      <c r="E264" s="8" t="s">
        <v>67</v>
      </c>
      <c r="F264" t="s">
        <v>68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3</v>
      </c>
      <c r="B265" s="8" t="s">
        <v>65</v>
      </c>
      <c r="C265" s="8" t="s">
        <v>66</v>
      </c>
      <c r="D265" s="8">
        <v>80</v>
      </c>
      <c r="E265" s="8" t="s">
        <v>67</v>
      </c>
      <c r="F265" t="s">
        <v>68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3</v>
      </c>
      <c r="B266" s="8" t="s">
        <v>65</v>
      </c>
      <c r="C266" s="8" t="s">
        <v>66</v>
      </c>
      <c r="D266" s="8">
        <v>80</v>
      </c>
      <c r="E266" s="8" t="s">
        <v>67</v>
      </c>
      <c r="F266" t="s">
        <v>68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4</v>
      </c>
      <c r="B267" s="8" t="s">
        <v>69</v>
      </c>
      <c r="C267" s="8" t="s">
        <v>66</v>
      </c>
      <c r="D267" s="8">
        <v>40</v>
      </c>
      <c r="E267" s="8" t="s">
        <v>70</v>
      </c>
      <c r="F267" t="s">
        <v>68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4</v>
      </c>
      <c r="B268" s="8" t="s">
        <v>69</v>
      </c>
      <c r="C268" s="8" t="s">
        <v>66</v>
      </c>
      <c r="D268" s="8">
        <v>40</v>
      </c>
      <c r="E268" s="8" t="s">
        <v>70</v>
      </c>
      <c r="F268" t="s">
        <v>68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4</v>
      </c>
      <c r="B269" s="8" t="s">
        <v>69</v>
      </c>
      <c r="C269" s="8" t="s">
        <v>66</v>
      </c>
      <c r="D269" s="8">
        <v>40</v>
      </c>
      <c r="E269" s="8" t="s">
        <v>70</v>
      </c>
      <c r="F269" t="s">
        <v>68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4</v>
      </c>
      <c r="B270" s="8" t="s">
        <v>69</v>
      </c>
      <c r="C270" s="8" t="s">
        <v>66</v>
      </c>
      <c r="D270" s="8">
        <v>40</v>
      </c>
      <c r="E270" s="8" t="s">
        <v>70</v>
      </c>
      <c r="F270" t="s">
        <v>68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1</v>
      </c>
      <c r="B271" s="8" t="s">
        <v>57</v>
      </c>
      <c r="C271" s="8" t="s">
        <v>54</v>
      </c>
      <c r="D271" s="8">
        <v>105</v>
      </c>
      <c r="E271" s="8" t="s">
        <v>58</v>
      </c>
      <c r="F271" t="s">
        <v>59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2</v>
      </c>
      <c r="B272" s="8" t="s">
        <v>63</v>
      </c>
      <c r="C272" s="8" t="s">
        <v>54</v>
      </c>
      <c r="D272" s="8">
        <v>55</v>
      </c>
      <c r="E272" s="8" t="s">
        <v>64</v>
      </c>
      <c r="F272" t="s">
        <v>59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6</v>
      </c>
      <c r="B273" s="8" t="s">
        <v>53</v>
      </c>
      <c r="C273" s="8" t="s">
        <v>54</v>
      </c>
      <c r="D273" s="8">
        <v>90</v>
      </c>
      <c r="E273" s="8" t="s">
        <v>55</v>
      </c>
      <c r="F273" t="s">
        <v>56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3</v>
      </c>
      <c r="B274" s="8" t="s">
        <v>65</v>
      </c>
      <c r="C274" s="8" t="s">
        <v>66</v>
      </c>
      <c r="D274" s="8">
        <v>80</v>
      </c>
      <c r="E274" s="8" t="s">
        <v>67</v>
      </c>
      <c r="F274" t="s">
        <v>68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3</v>
      </c>
      <c r="B275" s="8" t="s">
        <v>65</v>
      </c>
      <c r="C275" s="8" t="s">
        <v>66</v>
      </c>
      <c r="D275" s="8">
        <v>80</v>
      </c>
      <c r="E275" s="8" t="s">
        <v>67</v>
      </c>
      <c r="F275" t="s">
        <v>68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3</v>
      </c>
      <c r="B276" s="8" t="s">
        <v>65</v>
      </c>
      <c r="C276" s="8" t="s">
        <v>66</v>
      </c>
      <c r="D276" s="8">
        <v>80</v>
      </c>
      <c r="E276" s="8" t="s">
        <v>67</v>
      </c>
      <c r="F276" t="s">
        <v>68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3</v>
      </c>
      <c r="B277" s="8" t="s">
        <v>65</v>
      </c>
      <c r="C277" s="8" t="s">
        <v>66</v>
      </c>
      <c r="D277" s="8">
        <v>80</v>
      </c>
      <c r="E277" s="8" t="s">
        <v>67</v>
      </c>
      <c r="F277" t="s">
        <v>68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3</v>
      </c>
      <c r="B278" s="8" t="s">
        <v>65</v>
      </c>
      <c r="C278" s="8" t="s">
        <v>66</v>
      </c>
      <c r="D278" s="8">
        <v>80</v>
      </c>
      <c r="E278" s="8" t="s">
        <v>67</v>
      </c>
      <c r="F278" t="s">
        <v>68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3</v>
      </c>
      <c r="B279" s="8" t="s">
        <v>65</v>
      </c>
      <c r="C279" s="8" t="s">
        <v>66</v>
      </c>
      <c r="D279" s="8">
        <v>80</v>
      </c>
      <c r="E279" s="8" t="s">
        <v>67</v>
      </c>
      <c r="F279" t="s">
        <v>68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3</v>
      </c>
      <c r="B280" s="8" t="s">
        <v>65</v>
      </c>
      <c r="C280" s="8" t="s">
        <v>66</v>
      </c>
      <c r="D280" s="8">
        <v>80</v>
      </c>
      <c r="E280" s="8" t="s">
        <v>67</v>
      </c>
      <c r="F280" t="s">
        <v>68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3</v>
      </c>
      <c r="B281" s="8" t="s">
        <v>65</v>
      </c>
      <c r="C281" s="8" t="s">
        <v>66</v>
      </c>
      <c r="D281" s="8">
        <v>80</v>
      </c>
      <c r="E281" s="8" t="s">
        <v>67</v>
      </c>
      <c r="F281" t="s">
        <v>68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3</v>
      </c>
      <c r="B282" s="8" t="s">
        <v>65</v>
      </c>
      <c r="C282" s="8" t="s">
        <v>66</v>
      </c>
      <c r="D282" s="8">
        <v>80</v>
      </c>
      <c r="E282" s="8" t="s">
        <v>67</v>
      </c>
      <c r="F282" t="s">
        <v>68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3</v>
      </c>
      <c r="B283" s="8" t="s">
        <v>65</v>
      </c>
      <c r="C283" s="8" t="s">
        <v>66</v>
      </c>
      <c r="D283" s="8">
        <v>80</v>
      </c>
      <c r="E283" s="8" t="s">
        <v>67</v>
      </c>
      <c r="F283" t="s">
        <v>68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3</v>
      </c>
      <c r="B284" s="8" t="s">
        <v>65</v>
      </c>
      <c r="C284" s="8" t="s">
        <v>66</v>
      </c>
      <c r="D284" s="8">
        <v>80</v>
      </c>
      <c r="E284" s="8" t="s">
        <v>67</v>
      </c>
      <c r="F284" t="s">
        <v>68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3</v>
      </c>
      <c r="B285" s="8" t="s">
        <v>65</v>
      </c>
      <c r="C285" s="8" t="s">
        <v>66</v>
      </c>
      <c r="D285" s="8">
        <v>80</v>
      </c>
      <c r="E285" s="8" t="s">
        <v>67</v>
      </c>
      <c r="F285" t="s">
        <v>68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3</v>
      </c>
      <c r="B286" s="8" t="s">
        <v>65</v>
      </c>
      <c r="C286" s="8" t="s">
        <v>66</v>
      </c>
      <c r="D286" s="8">
        <v>80</v>
      </c>
      <c r="E286" s="8" t="s">
        <v>67</v>
      </c>
      <c r="F286" t="s">
        <v>68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3</v>
      </c>
      <c r="B287" s="8" t="s">
        <v>65</v>
      </c>
      <c r="C287" s="8" t="s">
        <v>66</v>
      </c>
      <c r="D287" s="8">
        <v>80</v>
      </c>
      <c r="E287" s="8" t="s">
        <v>67</v>
      </c>
      <c r="F287" t="s">
        <v>68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3</v>
      </c>
      <c r="B288" s="8" t="s">
        <v>65</v>
      </c>
      <c r="C288" s="8" t="s">
        <v>66</v>
      </c>
      <c r="D288" s="8">
        <v>80</v>
      </c>
      <c r="E288" s="8" t="s">
        <v>67</v>
      </c>
      <c r="F288" t="s">
        <v>68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3</v>
      </c>
      <c r="B289" s="8" t="s">
        <v>65</v>
      </c>
      <c r="C289" s="8" t="s">
        <v>66</v>
      </c>
      <c r="D289" s="8">
        <v>80</v>
      </c>
      <c r="E289" s="8" t="s">
        <v>67</v>
      </c>
      <c r="F289" t="s">
        <v>68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3</v>
      </c>
      <c r="B290" s="8" t="s">
        <v>65</v>
      </c>
      <c r="C290" s="8" t="s">
        <v>66</v>
      </c>
      <c r="D290" s="8">
        <v>80</v>
      </c>
      <c r="E290" s="8" t="s">
        <v>67</v>
      </c>
      <c r="F290" t="s">
        <v>68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3</v>
      </c>
      <c r="B291" s="8" t="s">
        <v>65</v>
      </c>
      <c r="C291" s="8" t="s">
        <v>66</v>
      </c>
      <c r="D291" s="8">
        <v>80</v>
      </c>
      <c r="E291" s="8" t="s">
        <v>67</v>
      </c>
      <c r="F291" t="s">
        <v>68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4</v>
      </c>
      <c r="B292" s="8" t="s">
        <v>69</v>
      </c>
      <c r="C292" s="8" t="s">
        <v>66</v>
      </c>
      <c r="D292" s="8">
        <v>40</v>
      </c>
      <c r="E292" s="8" t="s">
        <v>70</v>
      </c>
      <c r="F292" t="s">
        <v>68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4</v>
      </c>
      <c r="B293" s="8" t="s">
        <v>69</v>
      </c>
      <c r="C293" s="8" t="s">
        <v>66</v>
      </c>
      <c r="D293" s="8">
        <v>40</v>
      </c>
      <c r="E293" s="8" t="s">
        <v>70</v>
      </c>
      <c r="F293" t="s">
        <v>68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4</v>
      </c>
      <c r="B294" s="8" t="s">
        <v>69</v>
      </c>
      <c r="C294" s="8" t="s">
        <v>66</v>
      </c>
      <c r="D294" s="8">
        <v>40</v>
      </c>
      <c r="E294" s="8" t="s">
        <v>70</v>
      </c>
      <c r="F294" t="s">
        <v>68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4</v>
      </c>
      <c r="B295" s="8" t="s">
        <v>69</v>
      </c>
      <c r="C295" s="8" t="s">
        <v>66</v>
      </c>
      <c r="D295" s="8">
        <v>40</v>
      </c>
      <c r="E295" s="8" t="s">
        <v>70</v>
      </c>
      <c r="F295" t="s">
        <v>68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4</v>
      </c>
      <c r="B296" s="8" t="s">
        <v>69</v>
      </c>
      <c r="C296" s="8" t="s">
        <v>66</v>
      </c>
      <c r="D296" s="8">
        <v>40</v>
      </c>
      <c r="E296" s="8" t="s">
        <v>70</v>
      </c>
      <c r="F296" t="s">
        <v>68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4</v>
      </c>
      <c r="B297" s="8" t="s">
        <v>69</v>
      </c>
      <c r="C297" s="8" t="s">
        <v>66</v>
      </c>
      <c r="D297" s="8">
        <v>40</v>
      </c>
      <c r="E297" s="8" t="s">
        <v>70</v>
      </c>
      <c r="F297" t="s">
        <v>68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4</v>
      </c>
      <c r="B298" s="8" t="s">
        <v>69</v>
      </c>
      <c r="C298" s="8" t="s">
        <v>66</v>
      </c>
      <c r="D298" s="8">
        <v>40</v>
      </c>
      <c r="E298" s="8" t="s">
        <v>70</v>
      </c>
      <c r="F298" t="s">
        <v>68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4</v>
      </c>
      <c r="B299" s="8" t="s">
        <v>69</v>
      </c>
      <c r="C299" s="8" t="s">
        <v>66</v>
      </c>
      <c r="D299" s="8">
        <v>40</v>
      </c>
      <c r="E299" s="8" t="s">
        <v>70</v>
      </c>
      <c r="F299" t="s">
        <v>68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1</v>
      </c>
      <c r="B300" s="8" t="s">
        <v>57</v>
      </c>
      <c r="C300" s="8" t="s">
        <v>54</v>
      </c>
      <c r="D300" s="8">
        <v>105</v>
      </c>
      <c r="E300" s="8" t="s">
        <v>58</v>
      </c>
      <c r="F300" t="s">
        <v>59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2</v>
      </c>
      <c r="B301" s="8" t="s">
        <v>63</v>
      </c>
      <c r="C301" s="8" t="s">
        <v>54</v>
      </c>
      <c r="D301" s="8">
        <v>55</v>
      </c>
      <c r="E301" s="8" t="s">
        <v>64</v>
      </c>
      <c r="F301" t="s">
        <v>59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3</v>
      </c>
      <c r="B302" s="8" t="s">
        <v>65</v>
      </c>
      <c r="C302" s="8" t="s">
        <v>66</v>
      </c>
      <c r="D302" s="8">
        <v>80</v>
      </c>
      <c r="E302" s="8" t="s">
        <v>67</v>
      </c>
      <c r="F302" t="s">
        <v>68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3</v>
      </c>
      <c r="B303" s="8" t="s">
        <v>65</v>
      </c>
      <c r="C303" s="8" t="s">
        <v>66</v>
      </c>
      <c r="D303" s="8">
        <v>80</v>
      </c>
      <c r="E303" s="8" t="s">
        <v>67</v>
      </c>
      <c r="F303" t="s">
        <v>68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4</v>
      </c>
      <c r="B304" s="8" t="s">
        <v>69</v>
      </c>
      <c r="C304" s="8" t="s">
        <v>66</v>
      </c>
      <c r="D304" s="8">
        <v>40</v>
      </c>
      <c r="E304" s="8" t="s">
        <v>70</v>
      </c>
      <c r="F304" t="s">
        <v>68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6</v>
      </c>
      <c r="B305" s="8" t="s">
        <v>53</v>
      </c>
      <c r="C305" s="8" t="s">
        <v>54</v>
      </c>
      <c r="D305" s="8">
        <v>90</v>
      </c>
      <c r="E305" s="8" t="s">
        <v>55</v>
      </c>
      <c r="F305" t="s">
        <v>56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3</v>
      </c>
      <c r="B306" s="8" t="s">
        <v>65</v>
      </c>
      <c r="C306" s="8" t="s">
        <v>66</v>
      </c>
      <c r="D306" s="8">
        <v>80</v>
      </c>
      <c r="E306" s="8" t="s">
        <v>67</v>
      </c>
      <c r="F306" t="s">
        <v>68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3</v>
      </c>
      <c r="B307" s="8" t="s">
        <v>65</v>
      </c>
      <c r="C307" s="8" t="s">
        <v>66</v>
      </c>
      <c r="D307" s="8">
        <v>80</v>
      </c>
      <c r="E307" s="8" t="s">
        <v>67</v>
      </c>
      <c r="F307" t="s">
        <v>68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3</v>
      </c>
      <c r="B308" s="8" t="s">
        <v>65</v>
      </c>
      <c r="C308" s="8" t="s">
        <v>66</v>
      </c>
      <c r="D308" s="8">
        <v>80</v>
      </c>
      <c r="E308" s="8" t="s">
        <v>67</v>
      </c>
      <c r="F308" t="s">
        <v>68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3</v>
      </c>
      <c r="B309" s="8" t="s">
        <v>65</v>
      </c>
      <c r="C309" s="8" t="s">
        <v>66</v>
      </c>
      <c r="D309" s="8">
        <v>80</v>
      </c>
      <c r="E309" s="8" t="s">
        <v>67</v>
      </c>
      <c r="F309" t="s">
        <v>68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3</v>
      </c>
      <c r="B310" s="8" t="s">
        <v>65</v>
      </c>
      <c r="C310" s="8" t="s">
        <v>66</v>
      </c>
      <c r="D310" s="8">
        <v>80</v>
      </c>
      <c r="E310" s="8" t="s">
        <v>67</v>
      </c>
      <c r="F310" t="s">
        <v>68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3</v>
      </c>
      <c r="B311" s="8" t="s">
        <v>65</v>
      </c>
      <c r="C311" s="8" t="s">
        <v>66</v>
      </c>
      <c r="D311" s="8">
        <v>80</v>
      </c>
      <c r="E311" s="8" t="s">
        <v>67</v>
      </c>
      <c r="F311" t="s">
        <v>68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3</v>
      </c>
      <c r="B312" s="8" t="s">
        <v>65</v>
      </c>
      <c r="C312" s="8" t="s">
        <v>66</v>
      </c>
      <c r="D312" s="8">
        <v>80</v>
      </c>
      <c r="E312" s="8" t="s">
        <v>67</v>
      </c>
      <c r="F312" t="s">
        <v>68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3</v>
      </c>
      <c r="B313" s="8" t="s">
        <v>65</v>
      </c>
      <c r="C313" s="8" t="s">
        <v>66</v>
      </c>
      <c r="D313" s="8">
        <v>80</v>
      </c>
      <c r="E313" s="8" t="s">
        <v>67</v>
      </c>
      <c r="F313" t="s">
        <v>68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3</v>
      </c>
      <c r="B314" s="8" t="s">
        <v>65</v>
      </c>
      <c r="C314" s="8" t="s">
        <v>66</v>
      </c>
      <c r="D314" s="8">
        <v>80</v>
      </c>
      <c r="E314" s="8" t="s">
        <v>67</v>
      </c>
      <c r="F314" t="s">
        <v>68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3</v>
      </c>
      <c r="B315" s="8" t="s">
        <v>65</v>
      </c>
      <c r="C315" s="8" t="s">
        <v>66</v>
      </c>
      <c r="D315" s="8">
        <v>80</v>
      </c>
      <c r="E315" s="8" t="s">
        <v>67</v>
      </c>
      <c r="F315" t="s">
        <v>68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3</v>
      </c>
      <c r="B316" s="8" t="s">
        <v>65</v>
      </c>
      <c r="C316" s="8" t="s">
        <v>66</v>
      </c>
      <c r="D316" s="8">
        <v>80</v>
      </c>
      <c r="E316" s="8" t="s">
        <v>67</v>
      </c>
      <c r="F316" t="s">
        <v>68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3</v>
      </c>
      <c r="B317" s="8" t="s">
        <v>65</v>
      </c>
      <c r="C317" s="8" t="s">
        <v>66</v>
      </c>
      <c r="D317" s="8">
        <v>80</v>
      </c>
      <c r="E317" s="8" t="s">
        <v>67</v>
      </c>
      <c r="F317" t="s">
        <v>68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4</v>
      </c>
      <c r="B318" s="8" t="s">
        <v>69</v>
      </c>
      <c r="C318" s="8" t="s">
        <v>66</v>
      </c>
      <c r="D318" s="8">
        <v>40</v>
      </c>
      <c r="E318" s="8" t="s">
        <v>70</v>
      </c>
      <c r="F318" t="s">
        <v>68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4</v>
      </c>
      <c r="B319" s="8" t="s">
        <v>69</v>
      </c>
      <c r="C319" s="8" t="s">
        <v>66</v>
      </c>
      <c r="D319" s="8">
        <v>40</v>
      </c>
      <c r="E319" s="8" t="s">
        <v>70</v>
      </c>
      <c r="F319" t="s">
        <v>68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4</v>
      </c>
      <c r="B320" s="8" t="s">
        <v>69</v>
      </c>
      <c r="C320" s="8" t="s">
        <v>66</v>
      </c>
      <c r="D320" s="8">
        <v>40</v>
      </c>
      <c r="E320" s="8" t="s">
        <v>70</v>
      </c>
      <c r="F320" t="s">
        <v>68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4</v>
      </c>
      <c r="B321" s="8" t="s">
        <v>69</v>
      </c>
      <c r="C321" s="8" t="s">
        <v>66</v>
      </c>
      <c r="D321" s="8">
        <v>40</v>
      </c>
      <c r="E321" s="8" t="s">
        <v>70</v>
      </c>
      <c r="F321" t="s">
        <v>68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1</v>
      </c>
      <c r="B322" s="8" t="s">
        <v>57</v>
      </c>
      <c r="C322" s="8" t="s">
        <v>54</v>
      </c>
      <c r="D322" s="8">
        <v>105</v>
      </c>
      <c r="E322" s="8" t="s">
        <v>58</v>
      </c>
      <c r="F322" t="s">
        <v>59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2</v>
      </c>
      <c r="B323" s="8" t="s">
        <v>63</v>
      </c>
      <c r="C323" s="8" t="s">
        <v>54</v>
      </c>
      <c r="D323" s="8">
        <v>55</v>
      </c>
      <c r="E323" s="8" t="s">
        <v>64</v>
      </c>
      <c r="F323" t="s">
        <v>59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3</v>
      </c>
      <c r="B324" s="8" t="s">
        <v>65</v>
      </c>
      <c r="C324" s="8" t="s">
        <v>66</v>
      </c>
      <c r="D324" s="8">
        <v>80</v>
      </c>
      <c r="E324" s="8" t="s">
        <v>67</v>
      </c>
      <c r="F324" t="s">
        <v>68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4</v>
      </c>
      <c r="B325" s="8" t="s">
        <v>69</v>
      </c>
      <c r="C325" s="8" t="s">
        <v>66</v>
      </c>
      <c r="D325" s="8">
        <v>40</v>
      </c>
      <c r="E325" s="8" t="s">
        <v>70</v>
      </c>
      <c r="F325" t="s">
        <v>68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5</v>
      </c>
      <c r="B326" s="8" t="s">
        <v>60</v>
      </c>
      <c r="C326" s="8" t="s">
        <v>61</v>
      </c>
      <c r="D326" s="8">
        <v>30</v>
      </c>
      <c r="E326" s="8" t="s">
        <v>62</v>
      </c>
      <c r="F326" t="s">
        <v>56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6</v>
      </c>
      <c r="B327" s="8" t="s">
        <v>53</v>
      </c>
      <c r="C327" s="8" t="s">
        <v>54</v>
      </c>
      <c r="D327" s="8">
        <v>90</v>
      </c>
      <c r="E327" s="8" t="s">
        <v>55</v>
      </c>
      <c r="F327" t="s">
        <v>56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1</v>
      </c>
      <c r="B328" s="8" t="s">
        <v>57</v>
      </c>
      <c r="C328" s="8" t="s">
        <v>54</v>
      </c>
      <c r="D328" s="8">
        <v>105</v>
      </c>
      <c r="E328" s="8" t="s">
        <v>58</v>
      </c>
      <c r="F328" t="s">
        <v>59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1</v>
      </c>
      <c r="B329" s="8" t="s">
        <v>57</v>
      </c>
      <c r="C329" s="8" t="s">
        <v>54</v>
      </c>
      <c r="D329" s="8">
        <v>105</v>
      </c>
      <c r="E329" s="8" t="s">
        <v>58</v>
      </c>
      <c r="F329" t="s">
        <v>59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2</v>
      </c>
      <c r="B330" s="8" t="s">
        <v>63</v>
      </c>
      <c r="C330" s="8" t="s">
        <v>54</v>
      </c>
      <c r="D330" s="8">
        <v>55</v>
      </c>
      <c r="E330" s="8" t="s">
        <v>64</v>
      </c>
      <c r="F330" t="s">
        <v>59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3</v>
      </c>
      <c r="B331" s="8" t="s">
        <v>65</v>
      </c>
      <c r="C331" s="8" t="s">
        <v>66</v>
      </c>
      <c r="D331" s="8">
        <v>80</v>
      </c>
      <c r="E331" s="8" t="s">
        <v>67</v>
      </c>
      <c r="F331" t="s">
        <v>68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3</v>
      </c>
      <c r="B332" s="8" t="s">
        <v>65</v>
      </c>
      <c r="C332" s="8" t="s">
        <v>66</v>
      </c>
      <c r="D332" s="8">
        <v>80</v>
      </c>
      <c r="E332" s="8" t="s">
        <v>67</v>
      </c>
      <c r="F332" t="s">
        <v>68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3</v>
      </c>
      <c r="B333" s="8" t="s">
        <v>65</v>
      </c>
      <c r="C333" s="8" t="s">
        <v>66</v>
      </c>
      <c r="D333" s="8">
        <v>80</v>
      </c>
      <c r="E333" s="8" t="s">
        <v>67</v>
      </c>
      <c r="F333" t="s">
        <v>68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4</v>
      </c>
      <c r="B334" s="8" t="s">
        <v>69</v>
      </c>
      <c r="C334" s="8" t="s">
        <v>66</v>
      </c>
      <c r="D334" s="8">
        <v>40</v>
      </c>
      <c r="E334" s="8" t="s">
        <v>70</v>
      </c>
      <c r="F334" t="s">
        <v>68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6</v>
      </c>
      <c r="B335" s="8" t="s">
        <v>53</v>
      </c>
      <c r="C335" s="8" t="s">
        <v>54</v>
      </c>
      <c r="D335" s="8">
        <v>90</v>
      </c>
      <c r="E335" s="8" t="s">
        <v>55</v>
      </c>
      <c r="F335" t="s">
        <v>56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1</v>
      </c>
      <c r="B336" s="8" t="s">
        <v>57</v>
      </c>
      <c r="C336" s="8" t="s">
        <v>54</v>
      </c>
      <c r="D336" s="8">
        <v>105</v>
      </c>
      <c r="E336" s="8" t="s">
        <v>58</v>
      </c>
      <c r="F336" t="s">
        <v>59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1</v>
      </c>
      <c r="B337" s="8" t="s">
        <v>57</v>
      </c>
      <c r="C337" s="8" t="s">
        <v>54</v>
      </c>
      <c r="D337" s="8">
        <v>105</v>
      </c>
      <c r="E337" s="8" t="s">
        <v>58</v>
      </c>
      <c r="F337" t="s">
        <v>59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2</v>
      </c>
      <c r="B338" s="8" t="s">
        <v>63</v>
      </c>
      <c r="C338" s="8" t="s">
        <v>54</v>
      </c>
      <c r="D338" s="8">
        <v>55</v>
      </c>
      <c r="E338" s="8" t="s">
        <v>64</v>
      </c>
      <c r="F338" t="s">
        <v>59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3</v>
      </c>
      <c r="B339" s="8" t="s">
        <v>65</v>
      </c>
      <c r="C339" s="8" t="s">
        <v>66</v>
      </c>
      <c r="D339" s="8">
        <v>80</v>
      </c>
      <c r="E339" s="8" t="s">
        <v>67</v>
      </c>
      <c r="F339" t="s">
        <v>68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4</v>
      </c>
      <c r="B340" s="8" t="s">
        <v>69</v>
      </c>
      <c r="C340" s="8" t="s">
        <v>66</v>
      </c>
      <c r="D340" s="8">
        <v>40</v>
      </c>
      <c r="E340" s="8" t="s">
        <v>70</v>
      </c>
      <c r="F340" t="s">
        <v>68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5</v>
      </c>
      <c r="B341" s="8" t="s">
        <v>60</v>
      </c>
      <c r="C341" s="8" t="s">
        <v>61</v>
      </c>
      <c r="D341" s="8">
        <v>30</v>
      </c>
      <c r="E341" s="8" t="s">
        <v>62</v>
      </c>
      <c r="F341" t="s">
        <v>56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6</v>
      </c>
      <c r="B342" s="8" t="s">
        <v>53</v>
      </c>
      <c r="C342" s="8" t="s">
        <v>54</v>
      </c>
      <c r="D342" s="8">
        <v>90</v>
      </c>
      <c r="E342" s="8" t="s">
        <v>55</v>
      </c>
      <c r="F342" t="s">
        <v>56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1</v>
      </c>
      <c r="B343" s="8" t="s">
        <v>57</v>
      </c>
      <c r="C343" s="8" t="s">
        <v>54</v>
      </c>
      <c r="D343" s="8">
        <v>105</v>
      </c>
      <c r="E343" s="8" t="s">
        <v>58</v>
      </c>
      <c r="F343" t="s">
        <v>59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1</v>
      </c>
      <c r="B344" s="8" t="s">
        <v>57</v>
      </c>
      <c r="C344" s="8" t="s">
        <v>54</v>
      </c>
      <c r="D344" s="8">
        <v>105</v>
      </c>
      <c r="E344" s="8" t="s">
        <v>58</v>
      </c>
      <c r="F344" t="s">
        <v>59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2</v>
      </c>
      <c r="B345" s="8" t="s">
        <v>63</v>
      </c>
      <c r="C345" s="8" t="s">
        <v>54</v>
      </c>
      <c r="D345" s="8">
        <v>55</v>
      </c>
      <c r="E345" s="8" t="s">
        <v>64</v>
      </c>
      <c r="F345" t="s">
        <v>59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3</v>
      </c>
      <c r="B346" s="8" t="s">
        <v>65</v>
      </c>
      <c r="C346" s="8" t="s">
        <v>66</v>
      </c>
      <c r="D346" s="8">
        <v>80</v>
      </c>
      <c r="E346" s="8" t="s">
        <v>67</v>
      </c>
      <c r="F346" t="s">
        <v>68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4</v>
      </c>
      <c r="B347" s="8" t="s">
        <v>69</v>
      </c>
      <c r="C347" s="8" t="s">
        <v>66</v>
      </c>
      <c r="D347" s="8">
        <v>40</v>
      </c>
      <c r="E347" s="8" t="s">
        <v>70</v>
      </c>
      <c r="F347" t="s">
        <v>68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5</v>
      </c>
      <c r="B348" s="8" t="s">
        <v>60</v>
      </c>
      <c r="C348" s="8" t="s">
        <v>61</v>
      </c>
      <c r="D348" s="8">
        <v>30</v>
      </c>
      <c r="E348" s="8" t="s">
        <v>62</v>
      </c>
      <c r="F348" t="s">
        <v>56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6</v>
      </c>
      <c r="B349" s="8" t="s">
        <v>53</v>
      </c>
      <c r="C349" s="8" t="s">
        <v>54</v>
      </c>
      <c r="D349" s="8">
        <v>90</v>
      </c>
      <c r="E349" s="8" t="s">
        <v>55</v>
      </c>
      <c r="F349" t="s">
        <v>56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2</v>
      </c>
      <c r="B350" s="8" t="s">
        <v>63</v>
      </c>
      <c r="C350" s="8" t="s">
        <v>54</v>
      </c>
      <c r="D350" s="8">
        <v>55</v>
      </c>
      <c r="E350" s="8" t="s">
        <v>64</v>
      </c>
      <c r="F350" t="s">
        <v>59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3</v>
      </c>
      <c r="B351" s="8" t="s">
        <v>65</v>
      </c>
      <c r="C351" s="8" t="s">
        <v>66</v>
      </c>
      <c r="D351" s="8">
        <v>80</v>
      </c>
      <c r="E351" s="8" t="s">
        <v>67</v>
      </c>
      <c r="F351" t="s">
        <v>68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4</v>
      </c>
      <c r="B352" s="8" t="s">
        <v>69</v>
      </c>
      <c r="C352" s="8" t="s">
        <v>66</v>
      </c>
      <c r="D352" s="8">
        <v>40</v>
      </c>
      <c r="E352" s="8" t="s">
        <v>70</v>
      </c>
      <c r="F352" t="s">
        <v>68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5</v>
      </c>
      <c r="B353" s="8" t="s">
        <v>60</v>
      </c>
      <c r="C353" s="8" t="s">
        <v>61</v>
      </c>
      <c r="D353" s="8">
        <v>30</v>
      </c>
      <c r="E353" s="8" t="s">
        <v>62</v>
      </c>
      <c r="F353" t="s">
        <v>56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6</v>
      </c>
      <c r="B354" s="8" t="s">
        <v>53</v>
      </c>
      <c r="C354" s="8" t="s">
        <v>54</v>
      </c>
      <c r="D354" s="8">
        <v>90</v>
      </c>
      <c r="E354" s="8" t="s">
        <v>55</v>
      </c>
      <c r="F354" t="s">
        <v>56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6</v>
      </c>
      <c r="B355" s="8" t="s">
        <v>53</v>
      </c>
      <c r="C355" s="8" t="s">
        <v>54</v>
      </c>
      <c r="D355" s="8">
        <v>90</v>
      </c>
      <c r="E355" s="8" t="s">
        <v>55</v>
      </c>
      <c r="F355" t="s">
        <v>56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2</v>
      </c>
      <c r="B356" s="8" t="s">
        <v>63</v>
      </c>
      <c r="C356" s="8" t="s">
        <v>54</v>
      </c>
      <c r="D356" s="8">
        <v>55</v>
      </c>
      <c r="E356" s="8" t="s">
        <v>64</v>
      </c>
      <c r="F356" t="s">
        <v>59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3</v>
      </c>
      <c r="B357" s="8" t="s">
        <v>65</v>
      </c>
      <c r="C357" s="8" t="s">
        <v>66</v>
      </c>
      <c r="D357" s="8">
        <v>80</v>
      </c>
      <c r="E357" s="8" t="s">
        <v>67</v>
      </c>
      <c r="F357" t="s">
        <v>68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5</v>
      </c>
      <c r="B358" s="8" t="s">
        <v>60</v>
      </c>
      <c r="C358" s="8" t="s">
        <v>61</v>
      </c>
      <c r="D358" s="8">
        <v>30</v>
      </c>
      <c r="E358" s="8" t="s">
        <v>62</v>
      </c>
      <c r="F358" t="s">
        <v>56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6</v>
      </c>
      <c r="B359" s="8" t="s">
        <v>53</v>
      </c>
      <c r="C359" s="8" t="s">
        <v>54</v>
      </c>
      <c r="D359" s="8">
        <v>90</v>
      </c>
      <c r="E359" s="8" t="s">
        <v>55</v>
      </c>
      <c r="F359" t="s">
        <v>56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1</v>
      </c>
      <c r="B360" s="8" t="s">
        <v>57</v>
      </c>
      <c r="C360" s="8" t="s">
        <v>54</v>
      </c>
      <c r="D360" s="8">
        <v>105</v>
      </c>
      <c r="E360" s="8" t="s">
        <v>58</v>
      </c>
      <c r="F360" t="s">
        <v>59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1</v>
      </c>
      <c r="B361" s="8" t="s">
        <v>57</v>
      </c>
      <c r="C361" s="8" t="s">
        <v>54</v>
      </c>
      <c r="D361" s="8">
        <v>105</v>
      </c>
      <c r="E361" s="8" t="s">
        <v>58</v>
      </c>
      <c r="F361" t="s">
        <v>59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1</v>
      </c>
      <c r="B362" s="8" t="s">
        <v>57</v>
      </c>
      <c r="C362" s="8" t="s">
        <v>54</v>
      </c>
      <c r="D362" s="8">
        <v>105</v>
      </c>
      <c r="E362" s="8" t="s">
        <v>58</v>
      </c>
      <c r="F362" t="s">
        <v>59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2</v>
      </c>
      <c r="B363" s="8" t="s">
        <v>63</v>
      </c>
      <c r="C363" s="8" t="s">
        <v>54</v>
      </c>
      <c r="D363" s="8">
        <v>55</v>
      </c>
      <c r="E363" s="8" t="s">
        <v>64</v>
      </c>
      <c r="F363" t="s">
        <v>59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3</v>
      </c>
      <c r="B364" s="8" t="s">
        <v>65</v>
      </c>
      <c r="C364" s="8" t="s">
        <v>66</v>
      </c>
      <c r="D364" s="8">
        <v>80</v>
      </c>
      <c r="E364" s="8" t="s">
        <v>67</v>
      </c>
      <c r="F364" t="s">
        <v>68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6</v>
      </c>
      <c r="B365" s="8" t="s">
        <v>53</v>
      </c>
      <c r="C365" s="8" t="s">
        <v>54</v>
      </c>
      <c r="D365" s="8">
        <v>90</v>
      </c>
      <c r="E365" s="8" t="s">
        <v>55</v>
      </c>
      <c r="F365" t="s">
        <v>56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1</v>
      </c>
      <c r="B366" s="8" t="s">
        <v>57</v>
      </c>
      <c r="C366" s="8" t="s">
        <v>54</v>
      </c>
      <c r="D366" s="8">
        <v>105</v>
      </c>
      <c r="E366" s="8" t="s">
        <v>58</v>
      </c>
      <c r="F366" t="s">
        <v>59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1</v>
      </c>
      <c r="B367" s="8" t="s">
        <v>57</v>
      </c>
      <c r="C367" s="8" t="s">
        <v>54</v>
      </c>
      <c r="D367" s="8">
        <v>105</v>
      </c>
      <c r="E367" s="8" t="s">
        <v>58</v>
      </c>
      <c r="F367" t="s">
        <v>59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1</v>
      </c>
      <c r="B368" s="8" t="s">
        <v>57</v>
      </c>
      <c r="C368" s="8" t="s">
        <v>54</v>
      </c>
      <c r="D368" s="8">
        <v>105</v>
      </c>
      <c r="E368" s="8" t="s">
        <v>58</v>
      </c>
      <c r="F368" t="s">
        <v>59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3</v>
      </c>
      <c r="B369" s="8" t="s">
        <v>65</v>
      </c>
      <c r="C369" s="8" t="s">
        <v>66</v>
      </c>
      <c r="D369" s="8">
        <v>80</v>
      </c>
      <c r="E369" s="8" t="s">
        <v>67</v>
      </c>
      <c r="F369" t="s">
        <v>68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4</v>
      </c>
      <c r="B370" s="8" t="s">
        <v>69</v>
      </c>
      <c r="C370" s="8" t="s">
        <v>66</v>
      </c>
      <c r="D370" s="8">
        <v>40</v>
      </c>
      <c r="E370" s="8" t="s">
        <v>70</v>
      </c>
      <c r="F370" t="s">
        <v>68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6</v>
      </c>
      <c r="B371" s="8" t="s">
        <v>53</v>
      </c>
      <c r="C371" s="8" t="s">
        <v>54</v>
      </c>
      <c r="D371" s="8">
        <v>90</v>
      </c>
      <c r="E371" s="8" t="s">
        <v>55</v>
      </c>
      <c r="F371" t="s">
        <v>56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1</v>
      </c>
      <c r="B372" s="8" t="s">
        <v>57</v>
      </c>
      <c r="C372" s="8" t="s">
        <v>54</v>
      </c>
      <c r="D372" s="8">
        <v>105</v>
      </c>
      <c r="E372" s="8" t="s">
        <v>58</v>
      </c>
      <c r="F372" t="s">
        <v>59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1</v>
      </c>
      <c r="B373" s="8" t="s">
        <v>57</v>
      </c>
      <c r="C373" s="8" t="s">
        <v>54</v>
      </c>
      <c r="D373" s="8">
        <v>105</v>
      </c>
      <c r="E373" s="8" t="s">
        <v>58</v>
      </c>
      <c r="F373" t="s">
        <v>59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2</v>
      </c>
      <c r="B374" s="8" t="s">
        <v>63</v>
      </c>
      <c r="C374" s="8" t="s">
        <v>54</v>
      </c>
      <c r="D374" s="8">
        <v>55</v>
      </c>
      <c r="E374" s="8" t="s">
        <v>64</v>
      </c>
      <c r="F374" t="s">
        <v>59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3</v>
      </c>
      <c r="B375" s="8" t="s">
        <v>65</v>
      </c>
      <c r="C375" s="8" t="s">
        <v>66</v>
      </c>
      <c r="D375" s="8">
        <v>80</v>
      </c>
      <c r="E375" s="8" t="s">
        <v>67</v>
      </c>
      <c r="F375" t="s">
        <v>68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5</v>
      </c>
      <c r="B376" s="8" t="s">
        <v>60</v>
      </c>
      <c r="C376" s="8" t="s">
        <v>61</v>
      </c>
      <c r="D376" s="8">
        <v>30</v>
      </c>
      <c r="E376" s="8" t="s">
        <v>62</v>
      </c>
      <c r="F376" t="s">
        <v>56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6</v>
      </c>
      <c r="B377" s="8" t="s">
        <v>53</v>
      </c>
      <c r="C377" s="8" t="s">
        <v>54</v>
      </c>
      <c r="D377" s="8">
        <v>90</v>
      </c>
      <c r="E377" s="8" t="s">
        <v>55</v>
      </c>
      <c r="F377" t="s">
        <v>56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1</v>
      </c>
      <c r="B378" s="8" t="s">
        <v>57</v>
      </c>
      <c r="C378" s="8" t="s">
        <v>54</v>
      </c>
      <c r="D378" s="8">
        <v>105</v>
      </c>
      <c r="E378" s="8" t="s">
        <v>58</v>
      </c>
      <c r="F378" t="s">
        <v>59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2</v>
      </c>
      <c r="B379" s="8" t="s">
        <v>63</v>
      </c>
      <c r="C379" s="8" t="s">
        <v>54</v>
      </c>
      <c r="D379" s="8">
        <v>55</v>
      </c>
      <c r="E379" s="8" t="s">
        <v>64</v>
      </c>
      <c r="F379" t="s">
        <v>59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3</v>
      </c>
      <c r="B380" s="8" t="s">
        <v>65</v>
      </c>
      <c r="C380" s="8" t="s">
        <v>66</v>
      </c>
      <c r="D380" s="8">
        <v>80</v>
      </c>
      <c r="E380" s="8" t="s">
        <v>67</v>
      </c>
      <c r="F380" t="s">
        <v>68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6</v>
      </c>
      <c r="B381" s="8" t="s">
        <v>53</v>
      </c>
      <c r="C381" s="8" t="s">
        <v>54</v>
      </c>
      <c r="D381" s="8">
        <v>90</v>
      </c>
      <c r="E381" s="8" t="s">
        <v>55</v>
      </c>
      <c r="F381" t="s">
        <v>56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1</v>
      </c>
      <c r="B382" s="8" t="s">
        <v>57</v>
      </c>
      <c r="C382" s="8" t="s">
        <v>54</v>
      </c>
      <c r="D382" s="8">
        <v>105</v>
      </c>
      <c r="E382" s="8" t="s">
        <v>58</v>
      </c>
      <c r="F382" t="s">
        <v>59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2</v>
      </c>
      <c r="B383" s="8" t="s">
        <v>63</v>
      </c>
      <c r="C383" s="8" t="s">
        <v>54</v>
      </c>
      <c r="D383" s="8">
        <v>55</v>
      </c>
      <c r="E383" s="8" t="s">
        <v>64</v>
      </c>
      <c r="F383" t="s">
        <v>59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3</v>
      </c>
      <c r="B384" s="8" t="s">
        <v>65</v>
      </c>
      <c r="C384" s="8" t="s">
        <v>66</v>
      </c>
      <c r="D384" s="8">
        <v>80</v>
      </c>
      <c r="E384" s="8" t="s">
        <v>67</v>
      </c>
      <c r="F384" t="s">
        <v>68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4</v>
      </c>
      <c r="B385" s="8" t="s">
        <v>69</v>
      </c>
      <c r="C385" s="8" t="s">
        <v>66</v>
      </c>
      <c r="D385" s="8">
        <v>40</v>
      </c>
      <c r="E385" s="8" t="s">
        <v>70</v>
      </c>
      <c r="F385" t="s">
        <v>68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6</v>
      </c>
      <c r="B386" s="8" t="s">
        <v>53</v>
      </c>
      <c r="C386" s="8" t="s">
        <v>54</v>
      </c>
      <c r="D386" s="8">
        <v>90</v>
      </c>
      <c r="E386" s="8" t="s">
        <v>55</v>
      </c>
      <c r="F386" t="s">
        <v>56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1</v>
      </c>
      <c r="B387" s="8" t="s">
        <v>57</v>
      </c>
      <c r="C387" s="8" t="s">
        <v>54</v>
      </c>
      <c r="D387" s="8">
        <v>105</v>
      </c>
      <c r="E387" s="8" t="s">
        <v>58</v>
      </c>
      <c r="F387" t="s">
        <v>59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2</v>
      </c>
      <c r="B388" s="8" t="s">
        <v>63</v>
      </c>
      <c r="C388" s="8" t="s">
        <v>54</v>
      </c>
      <c r="D388" s="8">
        <v>55</v>
      </c>
      <c r="E388" s="8" t="s">
        <v>64</v>
      </c>
      <c r="F388" t="s">
        <v>59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3</v>
      </c>
      <c r="B389" s="8" t="s">
        <v>65</v>
      </c>
      <c r="C389" s="8" t="s">
        <v>66</v>
      </c>
      <c r="D389" s="8">
        <v>80</v>
      </c>
      <c r="E389" s="8" t="s">
        <v>67</v>
      </c>
      <c r="F389" t="s">
        <v>68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5</v>
      </c>
      <c r="B390" s="8" t="s">
        <v>60</v>
      </c>
      <c r="C390" s="8" t="s">
        <v>61</v>
      </c>
      <c r="D390" s="8">
        <v>30</v>
      </c>
      <c r="E390" s="8" t="s">
        <v>62</v>
      </c>
      <c r="F390" t="s">
        <v>56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6</v>
      </c>
      <c r="B391" s="8" t="s">
        <v>53</v>
      </c>
      <c r="C391" s="8" t="s">
        <v>54</v>
      </c>
      <c r="D391" s="8">
        <v>90</v>
      </c>
      <c r="E391" s="8" t="s">
        <v>55</v>
      </c>
      <c r="F391" t="s">
        <v>56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1</v>
      </c>
      <c r="B392" s="8" t="s">
        <v>57</v>
      </c>
      <c r="C392" s="8" t="s">
        <v>54</v>
      </c>
      <c r="D392" s="8">
        <v>105</v>
      </c>
      <c r="E392" s="8" t="s">
        <v>58</v>
      </c>
      <c r="F392" t="s">
        <v>59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2</v>
      </c>
      <c r="B393" s="8" t="s">
        <v>63</v>
      </c>
      <c r="C393" s="8" t="s">
        <v>54</v>
      </c>
      <c r="D393" s="8">
        <v>55</v>
      </c>
      <c r="E393" s="8" t="s">
        <v>64</v>
      </c>
      <c r="F393" t="s">
        <v>59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3</v>
      </c>
      <c r="B394" s="8" t="s">
        <v>65</v>
      </c>
      <c r="C394" s="8" t="s">
        <v>66</v>
      </c>
      <c r="D394" s="8">
        <v>80</v>
      </c>
      <c r="E394" s="8" t="s">
        <v>67</v>
      </c>
      <c r="F394" t="s">
        <v>68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4</v>
      </c>
      <c r="B395" s="8" t="s">
        <v>69</v>
      </c>
      <c r="C395" s="8" t="s">
        <v>66</v>
      </c>
      <c r="D395" s="8">
        <v>40</v>
      </c>
      <c r="E395" s="8" t="s">
        <v>70</v>
      </c>
      <c r="F395" t="s">
        <v>68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6</v>
      </c>
      <c r="B396" s="8" t="s">
        <v>53</v>
      </c>
      <c r="C396" s="8" t="s">
        <v>54</v>
      </c>
      <c r="D396" s="8">
        <v>90</v>
      </c>
      <c r="E396" s="8" t="s">
        <v>55</v>
      </c>
      <c r="F396" t="s">
        <v>56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1</v>
      </c>
      <c r="B397" s="8" t="s">
        <v>57</v>
      </c>
      <c r="C397" s="8" t="s">
        <v>54</v>
      </c>
      <c r="D397" s="8">
        <v>105</v>
      </c>
      <c r="E397" s="8" t="s">
        <v>58</v>
      </c>
      <c r="F397" t="s">
        <v>59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2</v>
      </c>
      <c r="B398" s="8" t="s">
        <v>63</v>
      </c>
      <c r="C398" s="8" t="s">
        <v>54</v>
      </c>
      <c r="D398" s="8">
        <v>55</v>
      </c>
      <c r="E398" s="8" t="s">
        <v>64</v>
      </c>
      <c r="F398" t="s">
        <v>59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3</v>
      </c>
      <c r="B399" s="8" t="s">
        <v>65</v>
      </c>
      <c r="C399" s="8" t="s">
        <v>66</v>
      </c>
      <c r="D399" s="8">
        <v>80</v>
      </c>
      <c r="E399" s="8" t="s">
        <v>67</v>
      </c>
      <c r="F399" t="s">
        <v>68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6</v>
      </c>
      <c r="B400" s="8" t="s">
        <v>53</v>
      </c>
      <c r="C400" s="8" t="s">
        <v>54</v>
      </c>
      <c r="D400" s="8">
        <v>90</v>
      </c>
      <c r="E400" s="8" t="s">
        <v>55</v>
      </c>
      <c r="F400" t="s">
        <v>56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1</v>
      </c>
      <c r="B401" s="8" t="s">
        <v>57</v>
      </c>
      <c r="C401" s="8" t="s">
        <v>54</v>
      </c>
      <c r="D401" s="8">
        <v>105</v>
      </c>
      <c r="E401" s="8" t="s">
        <v>58</v>
      </c>
      <c r="F401" t="s">
        <v>59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2</v>
      </c>
      <c r="B402" s="8" t="s">
        <v>63</v>
      </c>
      <c r="C402" s="8" t="s">
        <v>54</v>
      </c>
      <c r="D402" s="8">
        <v>55</v>
      </c>
      <c r="E402" s="8" t="s">
        <v>64</v>
      </c>
      <c r="F402" t="s">
        <v>59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3</v>
      </c>
      <c r="B403" s="8" t="s">
        <v>65</v>
      </c>
      <c r="C403" s="8" t="s">
        <v>66</v>
      </c>
      <c r="D403" s="8">
        <v>80</v>
      </c>
      <c r="E403" s="8" t="s">
        <v>67</v>
      </c>
      <c r="F403" t="s">
        <v>68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4</v>
      </c>
      <c r="B404" s="8" t="s">
        <v>69</v>
      </c>
      <c r="C404" s="8" t="s">
        <v>66</v>
      </c>
      <c r="D404" s="8">
        <v>40</v>
      </c>
      <c r="E404" s="8" t="s">
        <v>70</v>
      </c>
      <c r="F404" t="s">
        <v>68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6</v>
      </c>
      <c r="B405" s="8" t="s">
        <v>53</v>
      </c>
      <c r="C405" s="8" t="s">
        <v>54</v>
      </c>
      <c r="D405" s="8">
        <v>90</v>
      </c>
      <c r="E405" s="8" t="s">
        <v>55</v>
      </c>
      <c r="F405" t="s">
        <v>56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1</v>
      </c>
      <c r="B406" s="8" t="s">
        <v>57</v>
      </c>
      <c r="C406" s="8" t="s">
        <v>54</v>
      </c>
      <c r="D406" s="8">
        <v>105</v>
      </c>
      <c r="E406" s="8" t="s">
        <v>58</v>
      </c>
      <c r="F406" t="s">
        <v>59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2</v>
      </c>
      <c r="B407" s="8" t="s">
        <v>63</v>
      </c>
      <c r="C407" s="8" t="s">
        <v>54</v>
      </c>
      <c r="D407" s="8">
        <v>55</v>
      </c>
      <c r="E407" s="8" t="s">
        <v>64</v>
      </c>
      <c r="F407" t="s">
        <v>59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3</v>
      </c>
      <c r="B408" s="8" t="s">
        <v>65</v>
      </c>
      <c r="C408" s="8" t="s">
        <v>66</v>
      </c>
      <c r="D408" s="8">
        <v>80</v>
      </c>
      <c r="E408" s="8" t="s">
        <v>67</v>
      </c>
      <c r="F408" t="s">
        <v>68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4</v>
      </c>
      <c r="B409" s="8" t="s">
        <v>69</v>
      </c>
      <c r="C409" s="8" t="s">
        <v>66</v>
      </c>
      <c r="D409" s="8">
        <v>40</v>
      </c>
      <c r="E409" s="8" t="s">
        <v>70</v>
      </c>
      <c r="F409" t="s">
        <v>68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5</v>
      </c>
      <c r="B410" s="8" t="s">
        <v>60</v>
      </c>
      <c r="C410" s="8" t="s">
        <v>61</v>
      </c>
      <c r="D410" s="8">
        <v>30</v>
      </c>
      <c r="E410" s="8" t="s">
        <v>62</v>
      </c>
      <c r="F410" t="s">
        <v>56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1</v>
      </c>
      <c r="B411" s="8" t="s">
        <v>57</v>
      </c>
      <c r="C411" s="8" t="s">
        <v>54</v>
      </c>
      <c r="D411" s="8">
        <v>105</v>
      </c>
      <c r="E411" s="8" t="s">
        <v>58</v>
      </c>
      <c r="F411" t="s">
        <v>59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2</v>
      </c>
      <c r="B412" s="8" t="s">
        <v>63</v>
      </c>
      <c r="C412" s="8" t="s">
        <v>54</v>
      </c>
      <c r="D412" s="8">
        <v>55</v>
      </c>
      <c r="E412" s="8" t="s">
        <v>64</v>
      </c>
      <c r="F412" t="s">
        <v>59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3</v>
      </c>
      <c r="B413" s="8" t="s">
        <v>65</v>
      </c>
      <c r="C413" s="8" t="s">
        <v>66</v>
      </c>
      <c r="D413" s="8">
        <v>80</v>
      </c>
      <c r="E413" s="8" t="s">
        <v>67</v>
      </c>
      <c r="F413" t="s">
        <v>68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4</v>
      </c>
      <c r="B414" s="8" t="s">
        <v>69</v>
      </c>
      <c r="C414" s="8" t="s">
        <v>66</v>
      </c>
      <c r="D414" s="8">
        <v>40</v>
      </c>
      <c r="E414" s="8" t="s">
        <v>70</v>
      </c>
      <c r="F414" t="s">
        <v>68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1</v>
      </c>
      <c r="B415" s="8" t="s">
        <v>57</v>
      </c>
      <c r="C415" s="8" t="s">
        <v>54</v>
      </c>
      <c r="D415" s="8">
        <v>105</v>
      </c>
      <c r="E415" s="8" t="s">
        <v>58</v>
      </c>
      <c r="F415" t="s">
        <v>59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2</v>
      </c>
      <c r="B416" s="8" t="s">
        <v>63</v>
      </c>
      <c r="C416" s="8" t="s">
        <v>54</v>
      </c>
      <c r="D416" s="8">
        <v>55</v>
      </c>
      <c r="E416" s="8" t="s">
        <v>64</v>
      </c>
      <c r="F416" t="s">
        <v>59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3</v>
      </c>
      <c r="B417" s="8" t="s">
        <v>65</v>
      </c>
      <c r="C417" s="8" t="s">
        <v>66</v>
      </c>
      <c r="D417" s="8">
        <v>80</v>
      </c>
      <c r="E417" s="8" t="s">
        <v>67</v>
      </c>
      <c r="F417" t="s">
        <v>68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4</v>
      </c>
      <c r="B418" s="8" t="s">
        <v>69</v>
      </c>
      <c r="C418" s="8" t="s">
        <v>66</v>
      </c>
      <c r="D418" s="8">
        <v>40</v>
      </c>
      <c r="E418" s="8" t="s">
        <v>70</v>
      </c>
      <c r="F418" t="s">
        <v>68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6</v>
      </c>
      <c r="B419" s="8" t="s">
        <v>53</v>
      </c>
      <c r="C419" s="8" t="s">
        <v>54</v>
      </c>
      <c r="D419" s="8">
        <v>90</v>
      </c>
      <c r="E419" s="8" t="s">
        <v>55</v>
      </c>
      <c r="F419" t="s">
        <v>56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1</v>
      </c>
      <c r="B420" s="8" t="s">
        <v>57</v>
      </c>
      <c r="C420" s="8" t="s">
        <v>54</v>
      </c>
      <c r="D420" s="8">
        <v>105</v>
      </c>
      <c r="E420" s="8" t="s">
        <v>58</v>
      </c>
      <c r="F420" t="s">
        <v>59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2</v>
      </c>
      <c r="B421" s="8" t="s">
        <v>63</v>
      </c>
      <c r="C421" s="8" t="s">
        <v>54</v>
      </c>
      <c r="D421" s="8">
        <v>55</v>
      </c>
      <c r="E421" s="8" t="s">
        <v>64</v>
      </c>
      <c r="F421" t="s">
        <v>59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3</v>
      </c>
      <c r="B422" s="8" t="s">
        <v>65</v>
      </c>
      <c r="C422" s="8" t="s">
        <v>66</v>
      </c>
      <c r="D422" s="8">
        <v>80</v>
      </c>
      <c r="E422" s="8" t="s">
        <v>67</v>
      </c>
      <c r="F422" t="s">
        <v>68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4</v>
      </c>
      <c r="B423" s="8" t="s">
        <v>69</v>
      </c>
      <c r="C423" s="8" t="s">
        <v>66</v>
      </c>
      <c r="D423" s="8">
        <v>40</v>
      </c>
      <c r="E423" s="8" t="s">
        <v>70</v>
      </c>
      <c r="F423" t="s">
        <v>68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6</v>
      </c>
      <c r="B424" s="8" t="s">
        <v>53</v>
      </c>
      <c r="C424" s="8" t="s">
        <v>54</v>
      </c>
      <c r="D424" s="8">
        <v>90</v>
      </c>
      <c r="E424" s="8" t="s">
        <v>55</v>
      </c>
      <c r="F424" t="s">
        <v>56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1</v>
      </c>
      <c r="B425" s="8" t="s">
        <v>57</v>
      </c>
      <c r="C425" s="8" t="s">
        <v>54</v>
      </c>
      <c r="D425" s="8">
        <v>105</v>
      </c>
      <c r="E425" s="8" t="s">
        <v>58</v>
      </c>
      <c r="F425" t="s">
        <v>59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2</v>
      </c>
      <c r="B426" s="8" t="s">
        <v>63</v>
      </c>
      <c r="C426" s="8" t="s">
        <v>54</v>
      </c>
      <c r="D426" s="8">
        <v>55</v>
      </c>
      <c r="E426" s="8" t="s">
        <v>64</v>
      </c>
      <c r="F426" t="s">
        <v>59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3</v>
      </c>
      <c r="B427" s="8" t="s">
        <v>65</v>
      </c>
      <c r="C427" s="8" t="s">
        <v>66</v>
      </c>
      <c r="D427" s="8">
        <v>80</v>
      </c>
      <c r="E427" s="8" t="s">
        <v>67</v>
      </c>
      <c r="F427" t="s">
        <v>68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4</v>
      </c>
      <c r="B428" s="8" t="s">
        <v>69</v>
      </c>
      <c r="C428" s="8" t="s">
        <v>66</v>
      </c>
      <c r="D428" s="8">
        <v>40</v>
      </c>
      <c r="E428" s="8" t="s">
        <v>70</v>
      </c>
      <c r="F428" t="s">
        <v>68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6</v>
      </c>
      <c r="B429" s="8" t="s">
        <v>53</v>
      </c>
      <c r="C429" s="8" t="s">
        <v>54</v>
      </c>
      <c r="D429" s="8">
        <v>90</v>
      </c>
      <c r="E429" s="8" t="s">
        <v>55</v>
      </c>
      <c r="F429" t="s">
        <v>56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1</v>
      </c>
      <c r="B430" s="8" t="s">
        <v>57</v>
      </c>
      <c r="C430" s="8" t="s">
        <v>54</v>
      </c>
      <c r="D430" s="8">
        <v>105</v>
      </c>
      <c r="E430" s="8" t="s">
        <v>58</v>
      </c>
      <c r="F430" t="s">
        <v>59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2</v>
      </c>
      <c r="B431" s="8" t="s">
        <v>63</v>
      </c>
      <c r="C431" s="8" t="s">
        <v>54</v>
      </c>
      <c r="D431" s="8">
        <v>55</v>
      </c>
      <c r="E431" s="8" t="s">
        <v>64</v>
      </c>
      <c r="F431" t="s">
        <v>59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3</v>
      </c>
      <c r="B432" s="8" t="s">
        <v>65</v>
      </c>
      <c r="C432" s="8" t="s">
        <v>66</v>
      </c>
      <c r="D432" s="8">
        <v>80</v>
      </c>
      <c r="E432" s="8" t="s">
        <v>67</v>
      </c>
      <c r="F432" t="s">
        <v>68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4</v>
      </c>
      <c r="B433" s="8" t="s">
        <v>69</v>
      </c>
      <c r="C433" s="8" t="s">
        <v>66</v>
      </c>
      <c r="D433" s="8">
        <v>40</v>
      </c>
      <c r="E433" s="8" t="s">
        <v>70</v>
      </c>
      <c r="F433" t="s">
        <v>68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5</v>
      </c>
      <c r="B434" s="8" t="s">
        <v>60</v>
      </c>
      <c r="C434" s="8" t="s">
        <v>61</v>
      </c>
      <c r="D434" s="8">
        <v>30</v>
      </c>
      <c r="E434" s="8" t="s">
        <v>62</v>
      </c>
      <c r="F434" t="s">
        <v>56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6</v>
      </c>
      <c r="B435" s="8" t="s">
        <v>53</v>
      </c>
      <c r="C435" s="8" t="s">
        <v>54</v>
      </c>
      <c r="D435" s="8">
        <v>90</v>
      </c>
      <c r="E435" s="8" t="s">
        <v>55</v>
      </c>
      <c r="F435" t="s">
        <v>56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1</v>
      </c>
      <c r="B436" s="8" t="s">
        <v>57</v>
      </c>
      <c r="C436" s="8" t="s">
        <v>54</v>
      </c>
      <c r="D436" s="8">
        <v>105</v>
      </c>
      <c r="E436" s="8" t="s">
        <v>58</v>
      </c>
      <c r="F436" t="s">
        <v>59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2</v>
      </c>
      <c r="B437" s="8" t="s">
        <v>63</v>
      </c>
      <c r="C437" s="8" t="s">
        <v>54</v>
      </c>
      <c r="D437" s="8">
        <v>55</v>
      </c>
      <c r="E437" s="8" t="s">
        <v>64</v>
      </c>
      <c r="F437" t="s">
        <v>59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3</v>
      </c>
      <c r="B438" s="8" t="s">
        <v>65</v>
      </c>
      <c r="C438" s="8" t="s">
        <v>66</v>
      </c>
      <c r="D438" s="8">
        <v>80</v>
      </c>
      <c r="E438" s="8" t="s">
        <v>67</v>
      </c>
      <c r="F438" t="s">
        <v>68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4</v>
      </c>
      <c r="B439" s="8" t="s">
        <v>69</v>
      </c>
      <c r="C439" s="8" t="s">
        <v>66</v>
      </c>
      <c r="D439" s="8">
        <v>40</v>
      </c>
      <c r="E439" s="8" t="s">
        <v>70</v>
      </c>
      <c r="F439" t="s">
        <v>68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6</v>
      </c>
      <c r="B440" s="8" t="s">
        <v>53</v>
      </c>
      <c r="C440" s="8" t="s">
        <v>54</v>
      </c>
      <c r="D440" s="8">
        <v>90</v>
      </c>
      <c r="E440" s="8" t="s">
        <v>55</v>
      </c>
      <c r="F440" t="s">
        <v>56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1</v>
      </c>
      <c r="B441" s="8" t="s">
        <v>57</v>
      </c>
      <c r="C441" s="8" t="s">
        <v>54</v>
      </c>
      <c r="D441" s="8">
        <v>105</v>
      </c>
      <c r="E441" s="8" t="s">
        <v>58</v>
      </c>
      <c r="F441" t="s">
        <v>59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2</v>
      </c>
      <c r="B442" s="8" t="s">
        <v>63</v>
      </c>
      <c r="C442" s="8" t="s">
        <v>54</v>
      </c>
      <c r="D442" s="8">
        <v>55</v>
      </c>
      <c r="E442" s="8" t="s">
        <v>64</v>
      </c>
      <c r="F442" t="s">
        <v>59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3</v>
      </c>
      <c r="B443" s="8" t="s">
        <v>65</v>
      </c>
      <c r="C443" s="8" t="s">
        <v>66</v>
      </c>
      <c r="D443" s="8">
        <v>80</v>
      </c>
      <c r="E443" s="8" t="s">
        <v>67</v>
      </c>
      <c r="F443" t="s">
        <v>68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4</v>
      </c>
      <c r="B444" s="8" t="s">
        <v>69</v>
      </c>
      <c r="C444" s="8" t="s">
        <v>66</v>
      </c>
      <c r="D444" s="8">
        <v>40</v>
      </c>
      <c r="E444" s="8" t="s">
        <v>70</v>
      </c>
      <c r="F444" t="s">
        <v>68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6</v>
      </c>
      <c r="B445" s="8" t="s">
        <v>53</v>
      </c>
      <c r="C445" s="8" t="s">
        <v>54</v>
      </c>
      <c r="D445" s="8">
        <v>90</v>
      </c>
      <c r="E445" s="8" t="s">
        <v>55</v>
      </c>
      <c r="F445" t="s">
        <v>56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1</v>
      </c>
      <c r="B446" s="8" t="s">
        <v>57</v>
      </c>
      <c r="C446" s="8" t="s">
        <v>54</v>
      </c>
      <c r="D446" s="8">
        <v>105</v>
      </c>
      <c r="E446" s="8" t="s">
        <v>58</v>
      </c>
      <c r="F446" t="s">
        <v>59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2</v>
      </c>
      <c r="B447" s="8" t="s">
        <v>63</v>
      </c>
      <c r="C447" s="8" t="s">
        <v>54</v>
      </c>
      <c r="D447" s="8">
        <v>55</v>
      </c>
      <c r="E447" s="8" t="s">
        <v>64</v>
      </c>
      <c r="F447" t="s">
        <v>59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3</v>
      </c>
      <c r="B448" s="8" t="s">
        <v>65</v>
      </c>
      <c r="C448" s="8" t="s">
        <v>66</v>
      </c>
      <c r="D448" s="8">
        <v>80</v>
      </c>
      <c r="E448" s="8" t="s">
        <v>67</v>
      </c>
      <c r="F448" t="s">
        <v>68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4</v>
      </c>
      <c r="B449" s="8" t="s">
        <v>69</v>
      </c>
      <c r="C449" s="8" t="s">
        <v>66</v>
      </c>
      <c r="D449" s="8">
        <v>40</v>
      </c>
      <c r="E449" s="8" t="s">
        <v>70</v>
      </c>
      <c r="F449" t="s">
        <v>68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6</v>
      </c>
      <c r="B450" s="8" t="s">
        <v>53</v>
      </c>
      <c r="C450" s="8" t="s">
        <v>54</v>
      </c>
      <c r="D450" s="8">
        <v>90</v>
      </c>
      <c r="E450" s="8" t="s">
        <v>55</v>
      </c>
      <c r="F450" t="s">
        <v>56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1</v>
      </c>
      <c r="B451" s="8" t="s">
        <v>57</v>
      </c>
      <c r="C451" s="8" t="s">
        <v>54</v>
      </c>
      <c r="D451" s="8">
        <v>105</v>
      </c>
      <c r="E451" s="8" t="s">
        <v>58</v>
      </c>
      <c r="F451" t="s">
        <v>59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2</v>
      </c>
      <c r="B452" s="8" t="s">
        <v>63</v>
      </c>
      <c r="C452" s="8" t="s">
        <v>54</v>
      </c>
      <c r="D452" s="8">
        <v>55</v>
      </c>
      <c r="E452" s="8" t="s">
        <v>64</v>
      </c>
      <c r="F452" t="s">
        <v>59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3</v>
      </c>
      <c r="B453" s="8" t="s">
        <v>65</v>
      </c>
      <c r="C453" s="8" t="s">
        <v>66</v>
      </c>
      <c r="D453" s="8">
        <v>80</v>
      </c>
      <c r="E453" s="8" t="s">
        <v>67</v>
      </c>
      <c r="F453" t="s">
        <v>68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4</v>
      </c>
      <c r="B454" s="8" t="s">
        <v>69</v>
      </c>
      <c r="C454" s="8" t="s">
        <v>66</v>
      </c>
      <c r="D454" s="8">
        <v>40</v>
      </c>
      <c r="E454" s="8" t="s">
        <v>70</v>
      </c>
      <c r="F454" t="s">
        <v>68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5</v>
      </c>
      <c r="B455" s="8" t="s">
        <v>60</v>
      </c>
      <c r="C455" s="8" t="s">
        <v>61</v>
      </c>
      <c r="D455" s="8">
        <v>30</v>
      </c>
      <c r="E455" s="8" t="s">
        <v>62</v>
      </c>
      <c r="F455" t="s">
        <v>56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6</v>
      </c>
      <c r="B456" s="8" t="s">
        <v>53</v>
      </c>
      <c r="C456" s="8" t="s">
        <v>54</v>
      </c>
      <c r="D456" s="8">
        <v>90</v>
      </c>
      <c r="E456" s="8" t="s">
        <v>55</v>
      </c>
      <c r="F456" t="s">
        <v>56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1</v>
      </c>
      <c r="B457" s="8" t="s">
        <v>57</v>
      </c>
      <c r="C457" s="8" t="s">
        <v>54</v>
      </c>
      <c r="D457" s="8">
        <v>105</v>
      </c>
      <c r="E457" s="8" t="s">
        <v>58</v>
      </c>
      <c r="F457" t="s">
        <v>59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2</v>
      </c>
      <c r="B458" s="8" t="s">
        <v>63</v>
      </c>
      <c r="C458" s="8" t="s">
        <v>54</v>
      </c>
      <c r="D458" s="8">
        <v>55</v>
      </c>
      <c r="E458" s="8" t="s">
        <v>64</v>
      </c>
      <c r="F458" t="s">
        <v>59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3</v>
      </c>
      <c r="B459" s="8" t="s">
        <v>65</v>
      </c>
      <c r="C459" s="8" t="s">
        <v>66</v>
      </c>
      <c r="D459" s="8">
        <v>80</v>
      </c>
      <c r="E459" s="8" t="s">
        <v>67</v>
      </c>
      <c r="F459" t="s">
        <v>68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4</v>
      </c>
      <c r="B460" s="8" t="s">
        <v>69</v>
      </c>
      <c r="C460" s="8" t="s">
        <v>66</v>
      </c>
      <c r="D460" s="8">
        <v>40</v>
      </c>
      <c r="E460" s="8" t="s">
        <v>70</v>
      </c>
      <c r="F460" t="s">
        <v>68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6</v>
      </c>
      <c r="B461" s="8" t="s">
        <v>53</v>
      </c>
      <c r="C461" s="8" t="s">
        <v>54</v>
      </c>
      <c r="D461" s="8">
        <v>90</v>
      </c>
      <c r="E461" s="8" t="s">
        <v>55</v>
      </c>
      <c r="F461" t="s">
        <v>56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1</v>
      </c>
      <c r="B462" s="8" t="s">
        <v>57</v>
      </c>
      <c r="C462" s="8" t="s">
        <v>54</v>
      </c>
      <c r="D462" s="8">
        <v>105</v>
      </c>
      <c r="E462" s="8" t="s">
        <v>58</v>
      </c>
      <c r="F462" t="s">
        <v>59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2</v>
      </c>
      <c r="B463" s="8" t="s">
        <v>63</v>
      </c>
      <c r="C463" s="8" t="s">
        <v>54</v>
      </c>
      <c r="D463" s="8">
        <v>55</v>
      </c>
      <c r="E463" s="8" t="s">
        <v>64</v>
      </c>
      <c r="F463" t="s">
        <v>59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3</v>
      </c>
      <c r="B464" s="8" t="s">
        <v>65</v>
      </c>
      <c r="C464" s="8" t="s">
        <v>66</v>
      </c>
      <c r="D464" s="8">
        <v>80</v>
      </c>
      <c r="E464" s="8" t="s">
        <v>67</v>
      </c>
      <c r="F464" t="s">
        <v>68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4</v>
      </c>
      <c r="B465" s="8" t="s">
        <v>69</v>
      </c>
      <c r="C465" s="8" t="s">
        <v>66</v>
      </c>
      <c r="D465" s="8">
        <v>40</v>
      </c>
      <c r="E465" s="8" t="s">
        <v>70</v>
      </c>
      <c r="F465" t="s">
        <v>68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6</v>
      </c>
      <c r="B466" s="8" t="s">
        <v>53</v>
      </c>
      <c r="C466" s="8" t="s">
        <v>54</v>
      </c>
      <c r="D466" s="8">
        <v>90</v>
      </c>
      <c r="E466" s="8" t="s">
        <v>55</v>
      </c>
      <c r="F466" t="s">
        <v>56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6"/>
  <sheetViews>
    <sheetView zoomScale="76" workbookViewId="0">
      <selection activeCell="R5" sqref="R5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6640625" bestFit="1" customWidth="1"/>
    <col min="8" max="8" width="27" customWidth="1"/>
    <col min="9" max="9" width="25.77734375" customWidth="1"/>
    <col min="10" max="11" width="25.77734375" style="31" customWidth="1"/>
    <col min="12" max="12" width="30.21875" bestFit="1" customWidth="1"/>
    <col min="13" max="13" width="9.88671875" bestFit="1" customWidth="1"/>
  </cols>
  <sheetData>
    <row r="1" spans="1:13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32" t="s">
        <v>71</v>
      </c>
      <c r="K1" s="32" t="s">
        <v>72</v>
      </c>
      <c r="L1" s="30" t="s">
        <v>73</v>
      </c>
      <c r="M1" s="31">
        <v>46139</v>
      </c>
    </row>
    <row r="2" spans="1:13" x14ac:dyDescent="0.3">
      <c r="A2" s="8" t="s">
        <v>1</v>
      </c>
      <c r="B2" s="8" t="s">
        <v>57</v>
      </c>
      <c r="C2" s="8" t="s">
        <v>54</v>
      </c>
      <c r="D2" s="8">
        <v>105</v>
      </c>
      <c r="E2" s="8" t="s">
        <v>58</v>
      </c>
      <c r="F2" t="s">
        <v>59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46146</v>
      </c>
      <c r="K2" s="31">
        <f>Table14[[#This Row],[week first day]]-7</f>
        <v>46139</v>
      </c>
      <c r="L2">
        <f t="shared" ref="L2:L65" si="1">SUMIFS($I:$I,$A:$A,A2,J:J,J2)</f>
        <v>684</v>
      </c>
    </row>
    <row r="3" spans="1:13" x14ac:dyDescent="0.3">
      <c r="A3" s="8" t="s">
        <v>1</v>
      </c>
      <c r="B3" s="8" t="s">
        <v>57</v>
      </c>
      <c r="C3" s="8" t="s">
        <v>54</v>
      </c>
      <c r="D3" s="8">
        <v>105</v>
      </c>
      <c r="E3" s="8" t="s">
        <v>58</v>
      </c>
      <c r="F3" t="s">
        <v>59</v>
      </c>
      <c r="G3" s="9">
        <v>15000</v>
      </c>
      <c r="H3" s="7">
        <v>46157</v>
      </c>
      <c r="I3" s="9">
        <v>20000</v>
      </c>
      <c r="J3" s="31">
        <f t="shared" si="0"/>
        <v>46153</v>
      </c>
      <c r="K3" s="31">
        <f>Table14[[#This Row],[week first day]]-7</f>
        <v>46146</v>
      </c>
      <c r="L3">
        <f t="shared" si="1"/>
        <v>20000</v>
      </c>
    </row>
    <row r="4" spans="1:13" x14ac:dyDescent="0.3">
      <c r="A4" s="8" t="s">
        <v>1</v>
      </c>
      <c r="B4" s="8" t="s">
        <v>57</v>
      </c>
      <c r="C4" s="8" t="s">
        <v>54</v>
      </c>
      <c r="D4" s="8">
        <v>105</v>
      </c>
      <c r="E4" s="8" t="s">
        <v>58</v>
      </c>
      <c r="F4" t="s">
        <v>59</v>
      </c>
      <c r="G4" s="9">
        <v>15000</v>
      </c>
      <c r="H4" s="7">
        <v>46164</v>
      </c>
      <c r="I4" s="9">
        <v>15000</v>
      </c>
      <c r="J4" s="31">
        <f t="shared" si="0"/>
        <v>46160</v>
      </c>
      <c r="K4" s="31">
        <f>Table14[[#This Row],[week first day]]-7</f>
        <v>46153</v>
      </c>
      <c r="L4">
        <f t="shared" si="1"/>
        <v>20000</v>
      </c>
    </row>
    <row r="5" spans="1:13" x14ac:dyDescent="0.3">
      <c r="A5" s="8" t="s">
        <v>1</v>
      </c>
      <c r="B5" s="8" t="s">
        <v>57</v>
      </c>
      <c r="C5" s="8" t="s">
        <v>54</v>
      </c>
      <c r="D5" s="8">
        <v>105</v>
      </c>
      <c r="E5" s="8" t="s">
        <v>58</v>
      </c>
      <c r="F5" t="s">
        <v>59</v>
      </c>
      <c r="G5" s="9">
        <v>15000</v>
      </c>
      <c r="H5" s="7">
        <v>46164</v>
      </c>
      <c r="I5" s="9">
        <v>5000</v>
      </c>
      <c r="J5" s="31">
        <f t="shared" si="0"/>
        <v>46160</v>
      </c>
      <c r="K5" s="31">
        <f>Table14[[#This Row],[week first day]]-7</f>
        <v>46153</v>
      </c>
      <c r="L5">
        <f t="shared" si="1"/>
        <v>20000</v>
      </c>
    </row>
    <row r="6" spans="1:13" x14ac:dyDescent="0.3">
      <c r="A6" s="8" t="s">
        <v>1</v>
      </c>
      <c r="B6" s="8" t="s">
        <v>57</v>
      </c>
      <c r="C6" s="8" t="s">
        <v>54</v>
      </c>
      <c r="D6" s="8">
        <v>105</v>
      </c>
      <c r="E6" s="8" t="s">
        <v>58</v>
      </c>
      <c r="F6" t="s">
        <v>59</v>
      </c>
      <c r="G6" s="9">
        <v>15000</v>
      </c>
      <c r="H6" s="7">
        <v>46171</v>
      </c>
      <c r="I6" s="9">
        <v>11000</v>
      </c>
      <c r="J6" s="31">
        <f t="shared" si="0"/>
        <v>46167</v>
      </c>
      <c r="K6" s="31">
        <f>Table14[[#This Row],[week first day]]-7</f>
        <v>46160</v>
      </c>
      <c r="L6">
        <f t="shared" si="1"/>
        <v>11000</v>
      </c>
    </row>
    <row r="7" spans="1:13" x14ac:dyDescent="0.3">
      <c r="A7" s="8" t="s">
        <v>1</v>
      </c>
      <c r="B7" s="8" t="s">
        <v>57</v>
      </c>
      <c r="C7" s="8" t="s">
        <v>54</v>
      </c>
      <c r="D7" s="8">
        <v>105</v>
      </c>
      <c r="E7" s="8" t="s">
        <v>58</v>
      </c>
      <c r="F7" t="s">
        <v>59</v>
      </c>
      <c r="G7" s="9">
        <v>15000</v>
      </c>
      <c r="H7" s="7">
        <v>46178</v>
      </c>
      <c r="I7" s="9">
        <v>13000</v>
      </c>
      <c r="J7" s="31">
        <f t="shared" si="0"/>
        <v>46174</v>
      </c>
      <c r="K7" s="31">
        <f>Table14[[#This Row],[week first day]]-7</f>
        <v>46167</v>
      </c>
      <c r="L7">
        <f t="shared" si="1"/>
        <v>13000</v>
      </c>
    </row>
    <row r="8" spans="1:13" x14ac:dyDescent="0.3">
      <c r="A8" s="8" t="s">
        <v>1</v>
      </c>
      <c r="B8" s="8" t="s">
        <v>57</v>
      </c>
      <c r="C8" s="8" t="s">
        <v>54</v>
      </c>
      <c r="D8" s="8">
        <v>105</v>
      </c>
      <c r="E8" s="8" t="s">
        <v>58</v>
      </c>
      <c r="F8" t="s">
        <v>59</v>
      </c>
      <c r="G8" s="9">
        <v>15000</v>
      </c>
      <c r="H8" s="7">
        <v>46185</v>
      </c>
      <c r="I8" s="9">
        <v>13773</v>
      </c>
      <c r="J8" s="31">
        <f t="shared" si="0"/>
        <v>46181</v>
      </c>
      <c r="K8" s="31">
        <f>Table14[[#This Row],[week first day]]-7</f>
        <v>46174</v>
      </c>
      <c r="L8">
        <f t="shared" si="1"/>
        <v>13773</v>
      </c>
    </row>
    <row r="9" spans="1:13" x14ac:dyDescent="0.3">
      <c r="A9" s="8" t="s">
        <v>1</v>
      </c>
      <c r="B9" s="8" t="s">
        <v>57</v>
      </c>
      <c r="C9" s="8" t="s">
        <v>54</v>
      </c>
      <c r="D9" s="8">
        <v>105</v>
      </c>
      <c r="E9" s="8" t="s">
        <v>58</v>
      </c>
      <c r="F9" t="s">
        <v>59</v>
      </c>
      <c r="G9" s="9">
        <v>15000</v>
      </c>
      <c r="H9" s="7">
        <v>46192</v>
      </c>
      <c r="I9" s="9">
        <v>7058</v>
      </c>
      <c r="J9" s="31">
        <f t="shared" si="0"/>
        <v>46188</v>
      </c>
      <c r="K9" s="31">
        <f>Table14[[#This Row],[week first day]]-7</f>
        <v>46181</v>
      </c>
      <c r="L9">
        <f t="shared" si="1"/>
        <v>7058</v>
      </c>
    </row>
    <row r="10" spans="1:13" x14ac:dyDescent="0.3">
      <c r="A10" s="8" t="s">
        <v>1</v>
      </c>
      <c r="B10" s="8" t="s">
        <v>57</v>
      </c>
      <c r="C10" s="8" t="s">
        <v>54</v>
      </c>
      <c r="D10" s="8">
        <v>105</v>
      </c>
      <c r="E10" s="8" t="s">
        <v>58</v>
      </c>
      <c r="F10" t="s">
        <v>59</v>
      </c>
      <c r="G10" s="9">
        <v>15000</v>
      </c>
      <c r="H10" s="7">
        <v>46199</v>
      </c>
      <c r="I10" s="9">
        <v>2040</v>
      </c>
      <c r="J10" s="31">
        <f t="shared" si="0"/>
        <v>46195</v>
      </c>
      <c r="K10" s="31">
        <f>Table14[[#This Row],[week first day]]-7</f>
        <v>46188</v>
      </c>
      <c r="L10">
        <f t="shared" si="1"/>
        <v>2040</v>
      </c>
    </row>
    <row r="11" spans="1:13" x14ac:dyDescent="0.3">
      <c r="A11" s="8" t="s">
        <v>1</v>
      </c>
      <c r="B11" s="8" t="s">
        <v>57</v>
      </c>
      <c r="C11" s="8" t="s">
        <v>54</v>
      </c>
      <c r="D11" s="8">
        <v>105</v>
      </c>
      <c r="E11" s="8" t="s">
        <v>58</v>
      </c>
      <c r="F11" t="s">
        <v>59</v>
      </c>
      <c r="G11" s="9">
        <v>15000</v>
      </c>
      <c r="H11" s="7">
        <v>46206</v>
      </c>
      <c r="I11" s="9">
        <v>1500</v>
      </c>
      <c r="J11" s="31">
        <f t="shared" si="0"/>
        <v>46202</v>
      </c>
      <c r="K11" s="31">
        <f>Table14[[#This Row],[week first day]]-7</f>
        <v>46195</v>
      </c>
      <c r="L11">
        <f t="shared" si="1"/>
        <v>3541</v>
      </c>
    </row>
    <row r="12" spans="1:13" x14ac:dyDescent="0.3">
      <c r="A12" s="8" t="s">
        <v>1</v>
      </c>
      <c r="B12" s="8" t="s">
        <v>57</v>
      </c>
      <c r="C12" s="8" t="s">
        <v>54</v>
      </c>
      <c r="D12" s="8">
        <v>105</v>
      </c>
      <c r="E12" s="8" t="s">
        <v>58</v>
      </c>
      <c r="F12" t="s">
        <v>59</v>
      </c>
      <c r="G12" s="9">
        <v>15000</v>
      </c>
      <c r="H12" s="7">
        <v>46206</v>
      </c>
      <c r="I12" s="9">
        <v>2041</v>
      </c>
      <c r="J12" s="31">
        <f t="shared" si="0"/>
        <v>46202</v>
      </c>
      <c r="K12" s="31">
        <f>Table14[[#This Row],[week first day]]-7</f>
        <v>46195</v>
      </c>
      <c r="L12">
        <f t="shared" si="1"/>
        <v>3541</v>
      </c>
    </row>
    <row r="13" spans="1:13" x14ac:dyDescent="0.3">
      <c r="A13" s="8" t="s">
        <v>1</v>
      </c>
      <c r="B13" s="8" t="s">
        <v>57</v>
      </c>
      <c r="C13" s="8" t="s">
        <v>54</v>
      </c>
      <c r="D13" s="8">
        <v>105</v>
      </c>
      <c r="E13" s="8" t="s">
        <v>58</v>
      </c>
      <c r="F13" t="s">
        <v>59</v>
      </c>
      <c r="G13" s="9">
        <v>15000</v>
      </c>
      <c r="H13" s="7">
        <v>46213</v>
      </c>
      <c r="I13" s="9">
        <v>2041</v>
      </c>
      <c r="J13" s="31">
        <f t="shared" si="0"/>
        <v>46209</v>
      </c>
      <c r="K13" s="31">
        <f>Table14[[#This Row],[week first day]]-7</f>
        <v>46202</v>
      </c>
      <c r="L13">
        <f t="shared" si="1"/>
        <v>12041</v>
      </c>
    </row>
    <row r="14" spans="1:13" x14ac:dyDescent="0.3">
      <c r="A14" s="8" t="s">
        <v>1</v>
      </c>
      <c r="B14" s="8" t="s">
        <v>57</v>
      </c>
      <c r="C14" s="8" t="s">
        <v>54</v>
      </c>
      <c r="D14" s="8">
        <v>105</v>
      </c>
      <c r="E14" s="8" t="s">
        <v>58</v>
      </c>
      <c r="F14" t="s">
        <v>59</v>
      </c>
      <c r="G14" s="9">
        <v>15000</v>
      </c>
      <c r="H14" s="7">
        <v>46213</v>
      </c>
      <c r="I14" s="9">
        <v>10000</v>
      </c>
      <c r="J14" s="31">
        <f t="shared" si="0"/>
        <v>46209</v>
      </c>
      <c r="K14" s="31">
        <f>Table14[[#This Row],[week first day]]-7</f>
        <v>46202</v>
      </c>
      <c r="L14">
        <f t="shared" si="1"/>
        <v>12041</v>
      </c>
    </row>
    <row r="15" spans="1:13" x14ac:dyDescent="0.3">
      <c r="A15" s="8" t="s">
        <v>1</v>
      </c>
      <c r="B15" s="8" t="s">
        <v>57</v>
      </c>
      <c r="C15" s="8" t="s">
        <v>54</v>
      </c>
      <c r="D15" s="8">
        <v>105</v>
      </c>
      <c r="E15" s="8" t="s">
        <v>58</v>
      </c>
      <c r="F15" t="s">
        <v>59</v>
      </c>
      <c r="G15" s="9">
        <v>15000</v>
      </c>
      <c r="H15" s="7">
        <v>46220</v>
      </c>
      <c r="I15" s="9">
        <v>2040</v>
      </c>
      <c r="J15" s="31">
        <f t="shared" si="0"/>
        <v>46216</v>
      </c>
      <c r="K15" s="31">
        <f>Table14[[#This Row],[week first day]]-7</f>
        <v>46209</v>
      </c>
      <c r="L15">
        <f t="shared" si="1"/>
        <v>12040</v>
      </c>
    </row>
    <row r="16" spans="1:13" x14ac:dyDescent="0.3">
      <c r="A16" s="8" t="s">
        <v>1</v>
      </c>
      <c r="B16" s="8" t="s">
        <v>57</v>
      </c>
      <c r="C16" s="8" t="s">
        <v>54</v>
      </c>
      <c r="D16" s="8">
        <v>105</v>
      </c>
      <c r="E16" s="8" t="s">
        <v>58</v>
      </c>
      <c r="F16" t="s">
        <v>59</v>
      </c>
      <c r="G16" s="9">
        <v>15000</v>
      </c>
      <c r="H16" s="7">
        <v>46220</v>
      </c>
      <c r="I16" s="9">
        <v>10000</v>
      </c>
      <c r="J16" s="31">
        <f t="shared" si="0"/>
        <v>46216</v>
      </c>
      <c r="K16" s="31">
        <f>Table14[[#This Row],[week first day]]-7</f>
        <v>46209</v>
      </c>
      <c r="L16">
        <f t="shared" si="1"/>
        <v>12040</v>
      </c>
    </row>
    <row r="17" spans="1:12" x14ac:dyDescent="0.3">
      <c r="A17" s="8" t="s">
        <v>1</v>
      </c>
      <c r="B17" s="8" t="s">
        <v>57</v>
      </c>
      <c r="C17" s="8" t="s">
        <v>54</v>
      </c>
      <c r="D17" s="8">
        <v>105</v>
      </c>
      <c r="E17" s="8" t="s">
        <v>58</v>
      </c>
      <c r="F17" t="s">
        <v>59</v>
      </c>
      <c r="G17" s="9">
        <v>15000</v>
      </c>
      <c r="H17" s="7">
        <v>46241</v>
      </c>
      <c r="I17" s="9">
        <v>15023</v>
      </c>
      <c r="J17" s="31">
        <f t="shared" si="0"/>
        <v>46237</v>
      </c>
      <c r="K17" s="31">
        <f>Table14[[#This Row],[week first day]]-7</f>
        <v>46230</v>
      </c>
      <c r="L17">
        <f t="shared" si="1"/>
        <v>27760</v>
      </c>
    </row>
    <row r="18" spans="1:12" x14ac:dyDescent="0.3">
      <c r="A18" s="8" t="s">
        <v>1</v>
      </c>
      <c r="B18" s="8" t="s">
        <v>57</v>
      </c>
      <c r="C18" s="8" t="s">
        <v>54</v>
      </c>
      <c r="D18" s="8">
        <v>105</v>
      </c>
      <c r="E18" s="8" t="s">
        <v>58</v>
      </c>
      <c r="F18" t="s">
        <v>59</v>
      </c>
      <c r="G18" s="9">
        <v>15000</v>
      </c>
      <c r="H18" s="7">
        <v>46241</v>
      </c>
      <c r="I18" s="9">
        <v>1737</v>
      </c>
      <c r="J18" s="31">
        <f t="shared" si="0"/>
        <v>46237</v>
      </c>
      <c r="K18" s="31">
        <f>Table14[[#This Row],[week first day]]-7</f>
        <v>46230</v>
      </c>
      <c r="L18">
        <f t="shared" si="1"/>
        <v>27760</v>
      </c>
    </row>
    <row r="19" spans="1:12" x14ac:dyDescent="0.3">
      <c r="A19" s="8" t="s">
        <v>1</v>
      </c>
      <c r="B19" s="8" t="s">
        <v>57</v>
      </c>
      <c r="C19" s="8" t="s">
        <v>54</v>
      </c>
      <c r="D19" s="8">
        <v>105</v>
      </c>
      <c r="E19" s="8" t="s">
        <v>58</v>
      </c>
      <c r="F19" t="s">
        <v>59</v>
      </c>
      <c r="G19" s="9">
        <v>15000</v>
      </c>
      <c r="H19" s="7">
        <v>46241</v>
      </c>
      <c r="I19" s="9">
        <v>11000</v>
      </c>
      <c r="J19" s="31">
        <f t="shared" si="0"/>
        <v>46237</v>
      </c>
      <c r="K19" s="31">
        <f>Table14[[#This Row],[week first day]]-7</f>
        <v>46230</v>
      </c>
      <c r="L19">
        <f t="shared" si="1"/>
        <v>27760</v>
      </c>
    </row>
    <row r="20" spans="1:12" x14ac:dyDescent="0.3">
      <c r="A20" s="8" t="s">
        <v>1</v>
      </c>
      <c r="B20" s="8" t="s">
        <v>57</v>
      </c>
      <c r="C20" s="8" t="s">
        <v>54</v>
      </c>
      <c r="D20" s="8">
        <v>105</v>
      </c>
      <c r="E20" s="8" t="s">
        <v>58</v>
      </c>
      <c r="F20" t="s">
        <v>59</v>
      </c>
      <c r="G20" s="9">
        <v>15000</v>
      </c>
      <c r="H20" s="7">
        <v>46248</v>
      </c>
      <c r="I20" s="9">
        <v>5629</v>
      </c>
      <c r="J20" s="31">
        <f t="shared" si="0"/>
        <v>46244</v>
      </c>
      <c r="K20" s="31">
        <f>Table14[[#This Row],[week first day]]-7</f>
        <v>46237</v>
      </c>
      <c r="L20">
        <f t="shared" si="1"/>
        <v>26486</v>
      </c>
    </row>
    <row r="21" spans="1:12" x14ac:dyDescent="0.3">
      <c r="A21" s="8" t="s">
        <v>1</v>
      </c>
      <c r="B21" s="8" t="s">
        <v>57</v>
      </c>
      <c r="C21" s="8" t="s">
        <v>54</v>
      </c>
      <c r="D21" s="8">
        <v>105</v>
      </c>
      <c r="E21" s="8" t="s">
        <v>58</v>
      </c>
      <c r="F21" t="s">
        <v>59</v>
      </c>
      <c r="G21" s="9">
        <v>15000</v>
      </c>
      <c r="H21" s="7">
        <v>46248</v>
      </c>
      <c r="I21" s="9">
        <v>1857</v>
      </c>
      <c r="J21" s="31">
        <f t="shared" si="0"/>
        <v>46244</v>
      </c>
      <c r="K21" s="31">
        <f>Table14[[#This Row],[week first day]]-7</f>
        <v>46237</v>
      </c>
      <c r="L21">
        <f t="shared" si="1"/>
        <v>26486</v>
      </c>
    </row>
    <row r="22" spans="1:12" x14ac:dyDescent="0.3">
      <c r="A22" s="8" t="s">
        <v>1</v>
      </c>
      <c r="B22" s="8" t="s">
        <v>57</v>
      </c>
      <c r="C22" s="8" t="s">
        <v>54</v>
      </c>
      <c r="D22" s="8">
        <v>105</v>
      </c>
      <c r="E22" s="8" t="s">
        <v>58</v>
      </c>
      <c r="F22" t="s">
        <v>59</v>
      </c>
      <c r="G22" s="9">
        <v>15000</v>
      </c>
      <c r="H22" s="7">
        <v>46248</v>
      </c>
      <c r="I22" s="9">
        <v>19000</v>
      </c>
      <c r="J22" s="31">
        <f t="shared" si="0"/>
        <v>46244</v>
      </c>
      <c r="K22" s="31">
        <f>Table14[[#This Row],[week first day]]-7</f>
        <v>46237</v>
      </c>
      <c r="L22">
        <f t="shared" si="1"/>
        <v>26486</v>
      </c>
    </row>
    <row r="23" spans="1:12" x14ac:dyDescent="0.3">
      <c r="A23" s="8" t="s">
        <v>1</v>
      </c>
      <c r="B23" s="8" t="s">
        <v>57</v>
      </c>
      <c r="C23" s="8" t="s">
        <v>54</v>
      </c>
      <c r="D23" s="8">
        <v>105</v>
      </c>
      <c r="E23" s="8" t="s">
        <v>58</v>
      </c>
      <c r="F23" t="s">
        <v>59</v>
      </c>
      <c r="G23" s="9">
        <v>15000</v>
      </c>
      <c r="H23" s="7">
        <v>46255</v>
      </c>
      <c r="I23" s="9">
        <v>2072</v>
      </c>
      <c r="J23" s="31">
        <f t="shared" si="0"/>
        <v>46251</v>
      </c>
      <c r="K23" s="31">
        <f>Table14[[#This Row],[week first day]]-7</f>
        <v>46244</v>
      </c>
      <c r="L23">
        <f t="shared" si="1"/>
        <v>4248</v>
      </c>
    </row>
    <row r="24" spans="1:12" x14ac:dyDescent="0.3">
      <c r="A24" s="8" t="s">
        <v>1</v>
      </c>
      <c r="B24" s="8" t="s">
        <v>57</v>
      </c>
      <c r="C24" s="8" t="s">
        <v>54</v>
      </c>
      <c r="D24" s="8">
        <v>105</v>
      </c>
      <c r="E24" s="8" t="s">
        <v>58</v>
      </c>
      <c r="F24" t="s">
        <v>59</v>
      </c>
      <c r="G24" s="9">
        <v>15000</v>
      </c>
      <c r="H24" s="7">
        <v>46255</v>
      </c>
      <c r="I24" s="9">
        <v>2176</v>
      </c>
      <c r="J24" s="31">
        <f t="shared" si="0"/>
        <v>46251</v>
      </c>
      <c r="K24" s="31">
        <f>Table14[[#This Row],[week first day]]-7</f>
        <v>46244</v>
      </c>
      <c r="L24">
        <f t="shared" si="1"/>
        <v>4248</v>
      </c>
    </row>
    <row r="25" spans="1:12" x14ac:dyDescent="0.3">
      <c r="A25" s="8" t="s">
        <v>1</v>
      </c>
      <c r="B25" s="8" t="s">
        <v>57</v>
      </c>
      <c r="C25" s="8" t="s">
        <v>54</v>
      </c>
      <c r="D25" s="8">
        <v>105</v>
      </c>
      <c r="E25" s="8" t="s">
        <v>58</v>
      </c>
      <c r="F25" t="s">
        <v>59</v>
      </c>
      <c r="G25" s="9">
        <v>15000</v>
      </c>
      <c r="H25" s="7">
        <v>46262</v>
      </c>
      <c r="I25" s="9">
        <v>4248</v>
      </c>
      <c r="J25" s="31">
        <f t="shared" si="0"/>
        <v>46258</v>
      </c>
      <c r="K25" s="31">
        <f>Table14[[#This Row],[week first day]]-7</f>
        <v>46251</v>
      </c>
      <c r="L25">
        <f t="shared" si="1"/>
        <v>4248</v>
      </c>
    </row>
    <row r="26" spans="1:12" x14ac:dyDescent="0.3">
      <c r="A26" s="8" t="s">
        <v>1</v>
      </c>
      <c r="B26" s="8" t="s">
        <v>57</v>
      </c>
      <c r="C26" s="8" t="s">
        <v>54</v>
      </c>
      <c r="D26" s="8">
        <v>105</v>
      </c>
      <c r="E26" s="8" t="s">
        <v>58</v>
      </c>
      <c r="F26" t="s">
        <v>59</v>
      </c>
      <c r="G26" s="9">
        <v>15000</v>
      </c>
      <c r="H26" s="7">
        <v>46269</v>
      </c>
      <c r="I26" s="9">
        <v>4249</v>
      </c>
      <c r="J26" s="31">
        <f t="shared" si="0"/>
        <v>46265</v>
      </c>
      <c r="K26" s="31">
        <f>Table14[[#This Row],[week first day]]-7</f>
        <v>46258</v>
      </c>
      <c r="L26">
        <f t="shared" si="1"/>
        <v>4249</v>
      </c>
    </row>
    <row r="27" spans="1:12" x14ac:dyDescent="0.3">
      <c r="A27" s="8" t="s">
        <v>1</v>
      </c>
      <c r="B27" s="8" t="s">
        <v>57</v>
      </c>
      <c r="C27" s="8" t="s">
        <v>54</v>
      </c>
      <c r="D27" s="8">
        <v>105</v>
      </c>
      <c r="E27" s="8" t="s">
        <v>58</v>
      </c>
      <c r="F27" t="s">
        <v>59</v>
      </c>
      <c r="G27" s="9">
        <v>15000</v>
      </c>
      <c r="H27" s="7">
        <v>46276</v>
      </c>
      <c r="I27" s="9">
        <v>4248</v>
      </c>
      <c r="J27" s="31">
        <f t="shared" si="0"/>
        <v>46272</v>
      </c>
      <c r="K27" s="31">
        <f>Table14[[#This Row],[week first day]]-7</f>
        <v>46265</v>
      </c>
      <c r="L27">
        <f t="shared" si="1"/>
        <v>4248</v>
      </c>
    </row>
    <row r="28" spans="1:12" x14ac:dyDescent="0.3">
      <c r="A28" s="8" t="s">
        <v>1</v>
      </c>
      <c r="B28" s="8" t="s">
        <v>57</v>
      </c>
      <c r="C28" s="8" t="s">
        <v>54</v>
      </c>
      <c r="D28" s="8">
        <v>105</v>
      </c>
      <c r="E28" s="8" t="s">
        <v>58</v>
      </c>
      <c r="F28" t="s">
        <v>59</v>
      </c>
      <c r="G28" s="9">
        <v>15000</v>
      </c>
      <c r="H28" s="7">
        <v>46283</v>
      </c>
      <c r="I28" s="9">
        <v>2391</v>
      </c>
      <c r="J28" s="31">
        <f t="shared" si="0"/>
        <v>46279</v>
      </c>
      <c r="K28" s="31">
        <f>Table14[[#This Row],[week first day]]-7</f>
        <v>46272</v>
      </c>
      <c r="L28">
        <f t="shared" si="1"/>
        <v>2391</v>
      </c>
    </row>
    <row r="29" spans="1:12" x14ac:dyDescent="0.3">
      <c r="A29" s="8" t="s">
        <v>1</v>
      </c>
      <c r="B29" s="8" t="s">
        <v>57</v>
      </c>
      <c r="C29" s="8" t="s">
        <v>54</v>
      </c>
      <c r="D29" s="8">
        <v>105</v>
      </c>
      <c r="E29" s="8" t="s">
        <v>58</v>
      </c>
      <c r="F29" t="s">
        <v>59</v>
      </c>
      <c r="G29" s="9">
        <v>15000</v>
      </c>
      <c r="H29" s="7">
        <v>46290</v>
      </c>
      <c r="I29" s="9">
        <v>2392</v>
      </c>
      <c r="J29" s="31">
        <f t="shared" si="0"/>
        <v>46286</v>
      </c>
      <c r="K29" s="31">
        <f>Table14[[#This Row],[week first day]]-7</f>
        <v>46279</v>
      </c>
      <c r="L29">
        <f t="shared" si="1"/>
        <v>2392</v>
      </c>
    </row>
    <row r="30" spans="1:12" x14ac:dyDescent="0.3">
      <c r="A30" s="8" t="s">
        <v>1</v>
      </c>
      <c r="B30" s="8" t="s">
        <v>57</v>
      </c>
      <c r="C30" s="8" t="s">
        <v>54</v>
      </c>
      <c r="D30" s="8">
        <v>105</v>
      </c>
      <c r="E30" s="8" t="s">
        <v>58</v>
      </c>
      <c r="F30" t="s">
        <v>59</v>
      </c>
      <c r="G30" s="9">
        <v>15000</v>
      </c>
      <c r="H30" s="7">
        <v>46297</v>
      </c>
      <c r="I30" s="9">
        <v>2391</v>
      </c>
      <c r="J30" s="31">
        <f t="shared" si="0"/>
        <v>46293</v>
      </c>
      <c r="K30" s="31">
        <f>Table14[[#This Row],[week first day]]-7</f>
        <v>46286</v>
      </c>
      <c r="L30">
        <f t="shared" si="1"/>
        <v>2391</v>
      </c>
    </row>
    <row r="31" spans="1:12" x14ac:dyDescent="0.3">
      <c r="A31" s="8" t="s">
        <v>1</v>
      </c>
      <c r="B31" s="8" t="s">
        <v>57</v>
      </c>
      <c r="C31" s="8" t="s">
        <v>54</v>
      </c>
      <c r="D31" s="8">
        <v>105</v>
      </c>
      <c r="E31" s="8" t="s">
        <v>58</v>
      </c>
      <c r="F31" t="s">
        <v>59</v>
      </c>
      <c r="G31" s="9">
        <v>15000</v>
      </c>
      <c r="H31" s="7">
        <v>46304</v>
      </c>
      <c r="I31" s="9">
        <v>2392</v>
      </c>
      <c r="J31" s="31">
        <f t="shared" si="0"/>
        <v>46300</v>
      </c>
      <c r="K31" s="31">
        <f>Table14[[#This Row],[week first day]]-7</f>
        <v>46293</v>
      </c>
      <c r="L31">
        <f t="shared" si="1"/>
        <v>2392</v>
      </c>
    </row>
    <row r="32" spans="1:12" x14ac:dyDescent="0.3">
      <c r="A32" s="8" t="s">
        <v>1</v>
      </c>
      <c r="B32" s="8" t="s">
        <v>57</v>
      </c>
      <c r="C32" s="8" t="s">
        <v>54</v>
      </c>
      <c r="D32" s="8">
        <v>105</v>
      </c>
      <c r="E32" s="8" t="s">
        <v>58</v>
      </c>
      <c r="F32" t="s">
        <v>59</v>
      </c>
      <c r="G32" s="9">
        <v>15000</v>
      </c>
      <c r="H32" s="7">
        <v>46311</v>
      </c>
      <c r="I32" s="9">
        <v>16017</v>
      </c>
      <c r="J32" s="31">
        <f t="shared" si="0"/>
        <v>46307</v>
      </c>
      <c r="K32" s="31">
        <f>Table14[[#This Row],[week first day]]-7</f>
        <v>46300</v>
      </c>
      <c r="L32">
        <f t="shared" si="1"/>
        <v>16017</v>
      </c>
    </row>
    <row r="33" spans="1:12" x14ac:dyDescent="0.3">
      <c r="A33" s="8" t="s">
        <v>1</v>
      </c>
      <c r="B33" s="8" t="s">
        <v>57</v>
      </c>
      <c r="C33" s="8" t="s">
        <v>54</v>
      </c>
      <c r="D33" s="8">
        <v>105</v>
      </c>
      <c r="E33" s="8" t="s">
        <v>58</v>
      </c>
      <c r="F33" t="s">
        <v>59</v>
      </c>
      <c r="G33" s="9">
        <v>15000</v>
      </c>
      <c r="H33" s="7">
        <v>46318</v>
      </c>
      <c r="I33" s="9">
        <v>16017</v>
      </c>
      <c r="J33" s="31">
        <f t="shared" si="0"/>
        <v>46314</v>
      </c>
      <c r="K33" s="31">
        <f>Table14[[#This Row],[week first day]]-7</f>
        <v>46307</v>
      </c>
      <c r="L33">
        <f t="shared" si="1"/>
        <v>16017</v>
      </c>
    </row>
    <row r="34" spans="1:12" x14ac:dyDescent="0.3">
      <c r="A34" s="8" t="s">
        <v>1</v>
      </c>
      <c r="B34" s="8" t="s">
        <v>57</v>
      </c>
      <c r="C34" s="8" t="s">
        <v>54</v>
      </c>
      <c r="D34" s="8">
        <v>105</v>
      </c>
      <c r="E34" s="8" t="s">
        <v>58</v>
      </c>
      <c r="F34" t="s">
        <v>59</v>
      </c>
      <c r="G34" s="9">
        <v>15000</v>
      </c>
      <c r="H34" s="7">
        <v>46325</v>
      </c>
      <c r="I34" s="9">
        <v>16016</v>
      </c>
      <c r="J34" s="31">
        <f t="shared" si="0"/>
        <v>46321</v>
      </c>
      <c r="K34" s="31">
        <f>Table14[[#This Row],[week first day]]-7</f>
        <v>46314</v>
      </c>
      <c r="L34">
        <f t="shared" si="1"/>
        <v>16016</v>
      </c>
    </row>
    <row r="35" spans="1:12" x14ac:dyDescent="0.3">
      <c r="A35" s="8" t="s">
        <v>1</v>
      </c>
      <c r="B35" s="8" t="s">
        <v>57</v>
      </c>
      <c r="C35" s="8" t="s">
        <v>54</v>
      </c>
      <c r="D35" s="8">
        <v>105</v>
      </c>
      <c r="E35" s="8" t="s">
        <v>58</v>
      </c>
      <c r="F35" t="s">
        <v>59</v>
      </c>
      <c r="G35" s="9">
        <v>15000</v>
      </c>
      <c r="H35" s="7">
        <v>46332</v>
      </c>
      <c r="I35" s="9">
        <v>16017</v>
      </c>
      <c r="J35" s="31">
        <f t="shared" si="0"/>
        <v>46328</v>
      </c>
      <c r="K35" s="31">
        <f>Table14[[#This Row],[week first day]]-7</f>
        <v>46321</v>
      </c>
      <c r="L35">
        <f t="shared" si="1"/>
        <v>16017</v>
      </c>
    </row>
    <row r="36" spans="1:12" x14ac:dyDescent="0.3">
      <c r="A36" s="8" t="s">
        <v>1</v>
      </c>
      <c r="B36" s="8" t="s">
        <v>57</v>
      </c>
      <c r="C36" s="8" t="s">
        <v>54</v>
      </c>
      <c r="D36" s="8">
        <v>105</v>
      </c>
      <c r="E36" s="8" t="s">
        <v>58</v>
      </c>
      <c r="F36" t="s">
        <v>59</v>
      </c>
      <c r="G36" s="9">
        <v>15000</v>
      </c>
      <c r="H36" s="7">
        <v>46339</v>
      </c>
      <c r="I36" s="9">
        <v>4281</v>
      </c>
      <c r="J36" s="31">
        <f t="shared" si="0"/>
        <v>46335</v>
      </c>
      <c r="K36" s="31">
        <f>Table14[[#This Row],[week first day]]-7</f>
        <v>46328</v>
      </c>
      <c r="L36">
        <f t="shared" si="1"/>
        <v>4281</v>
      </c>
    </row>
    <row r="37" spans="1:12" x14ac:dyDescent="0.3">
      <c r="A37" s="8" t="s">
        <v>1</v>
      </c>
      <c r="B37" s="8" t="s">
        <v>57</v>
      </c>
      <c r="C37" s="8" t="s">
        <v>54</v>
      </c>
      <c r="D37" s="8">
        <v>105</v>
      </c>
      <c r="E37" s="8" t="s">
        <v>58</v>
      </c>
      <c r="F37" t="s">
        <v>59</v>
      </c>
      <c r="G37" s="9">
        <v>15000</v>
      </c>
      <c r="H37" s="7">
        <v>46346</v>
      </c>
      <c r="I37" s="9">
        <v>4282</v>
      </c>
      <c r="J37" s="31">
        <f t="shared" si="0"/>
        <v>46342</v>
      </c>
      <c r="K37" s="31">
        <f>Table14[[#This Row],[week first day]]-7</f>
        <v>46335</v>
      </c>
      <c r="L37">
        <f t="shared" si="1"/>
        <v>4282</v>
      </c>
    </row>
    <row r="38" spans="1:12" x14ac:dyDescent="0.3">
      <c r="A38" s="8" t="s">
        <v>1</v>
      </c>
      <c r="B38" s="8" t="s">
        <v>57</v>
      </c>
      <c r="C38" s="8" t="s">
        <v>54</v>
      </c>
      <c r="D38" s="8">
        <v>105</v>
      </c>
      <c r="E38" s="8" t="s">
        <v>58</v>
      </c>
      <c r="F38" t="s">
        <v>59</v>
      </c>
      <c r="G38" s="9">
        <v>15000</v>
      </c>
      <c r="H38" s="7">
        <v>46353</v>
      </c>
      <c r="I38" s="9">
        <v>4281</v>
      </c>
      <c r="J38" s="31">
        <f t="shared" si="0"/>
        <v>46349</v>
      </c>
      <c r="K38" s="31">
        <f>Table14[[#This Row],[week first day]]-7</f>
        <v>46342</v>
      </c>
      <c r="L38">
        <f t="shared" si="1"/>
        <v>4281</v>
      </c>
    </row>
    <row r="39" spans="1:12" x14ac:dyDescent="0.3">
      <c r="A39" s="8" t="s">
        <v>1</v>
      </c>
      <c r="B39" s="8" t="s">
        <v>57</v>
      </c>
      <c r="C39" s="8" t="s">
        <v>54</v>
      </c>
      <c r="D39" s="8">
        <v>105</v>
      </c>
      <c r="E39" s="8" t="s">
        <v>58</v>
      </c>
      <c r="F39" t="s">
        <v>59</v>
      </c>
      <c r="G39" s="9">
        <v>15000</v>
      </c>
      <c r="H39" s="7">
        <v>46360</v>
      </c>
      <c r="I39" s="9">
        <v>4282</v>
      </c>
      <c r="J39" s="31">
        <f t="shared" si="0"/>
        <v>46356</v>
      </c>
      <c r="K39" s="31">
        <f>Table14[[#This Row],[week first day]]-7</f>
        <v>46349</v>
      </c>
      <c r="L39">
        <f t="shared" si="1"/>
        <v>4282</v>
      </c>
    </row>
    <row r="40" spans="1:12" x14ac:dyDescent="0.3">
      <c r="A40" s="8" t="s">
        <v>1</v>
      </c>
      <c r="B40" s="8" t="s">
        <v>57</v>
      </c>
      <c r="C40" s="8" t="s">
        <v>54</v>
      </c>
      <c r="D40" s="8">
        <v>105</v>
      </c>
      <c r="E40" s="8" t="s">
        <v>58</v>
      </c>
      <c r="F40" t="s">
        <v>59</v>
      </c>
      <c r="G40" s="9">
        <v>15000</v>
      </c>
      <c r="H40" s="7">
        <v>46367</v>
      </c>
      <c r="I40" s="9">
        <v>4281</v>
      </c>
      <c r="J40" s="31">
        <f t="shared" si="0"/>
        <v>46363</v>
      </c>
      <c r="K40" s="31">
        <f>Table14[[#This Row],[week first day]]-7</f>
        <v>46356</v>
      </c>
      <c r="L40">
        <f t="shared" si="1"/>
        <v>4281</v>
      </c>
    </row>
    <row r="41" spans="1:12" x14ac:dyDescent="0.3">
      <c r="A41" s="8" t="s">
        <v>1</v>
      </c>
      <c r="B41" s="8" t="s">
        <v>57</v>
      </c>
      <c r="C41" s="8" t="s">
        <v>54</v>
      </c>
      <c r="D41" s="8">
        <v>105</v>
      </c>
      <c r="E41" s="8" t="s">
        <v>58</v>
      </c>
      <c r="F41" t="s">
        <v>59</v>
      </c>
      <c r="G41" s="9">
        <v>15000</v>
      </c>
      <c r="H41" s="7">
        <v>46374</v>
      </c>
      <c r="I41" s="9">
        <v>8326</v>
      </c>
      <c r="J41" s="31">
        <f t="shared" si="0"/>
        <v>46370</v>
      </c>
      <c r="K41" s="31">
        <f>Table14[[#This Row],[week first day]]-7</f>
        <v>46363</v>
      </c>
      <c r="L41">
        <f t="shared" si="1"/>
        <v>8326</v>
      </c>
    </row>
    <row r="42" spans="1:12" x14ac:dyDescent="0.3">
      <c r="A42" s="8" t="s">
        <v>1</v>
      </c>
      <c r="B42" s="8" t="s">
        <v>57</v>
      </c>
      <c r="C42" s="8" t="s">
        <v>54</v>
      </c>
      <c r="D42" s="8">
        <v>105</v>
      </c>
      <c r="E42" s="8" t="s">
        <v>58</v>
      </c>
      <c r="F42" t="s">
        <v>59</v>
      </c>
      <c r="G42" s="9">
        <v>15000</v>
      </c>
      <c r="H42" s="7">
        <v>46381</v>
      </c>
      <c r="I42" s="9">
        <v>8325</v>
      </c>
      <c r="J42" s="31">
        <f t="shared" si="0"/>
        <v>46377</v>
      </c>
      <c r="K42" s="31">
        <f>Table14[[#This Row],[week first day]]-7</f>
        <v>46370</v>
      </c>
      <c r="L42">
        <f t="shared" si="1"/>
        <v>8325</v>
      </c>
    </row>
    <row r="43" spans="1:12" x14ac:dyDescent="0.3">
      <c r="A43" s="8" t="s">
        <v>2</v>
      </c>
      <c r="B43" s="8" t="s">
        <v>63</v>
      </c>
      <c r="C43" s="8" t="s">
        <v>54</v>
      </c>
      <c r="D43" s="8">
        <v>55</v>
      </c>
      <c r="E43" s="8" t="s">
        <v>64</v>
      </c>
      <c r="F43" t="s">
        <v>59</v>
      </c>
      <c r="G43" s="9">
        <v>15000</v>
      </c>
      <c r="H43" s="7">
        <v>46157</v>
      </c>
      <c r="I43" s="9">
        <v>2731</v>
      </c>
      <c r="J43" s="31">
        <f t="shared" si="0"/>
        <v>46153</v>
      </c>
      <c r="K43" s="31">
        <f>Table14[[#This Row],[week first day]]-7</f>
        <v>46146</v>
      </c>
      <c r="L43">
        <f t="shared" si="1"/>
        <v>5502</v>
      </c>
    </row>
    <row r="44" spans="1:12" x14ac:dyDescent="0.3">
      <c r="A44" s="8" t="s">
        <v>2</v>
      </c>
      <c r="B44" s="8" t="s">
        <v>63</v>
      </c>
      <c r="C44" s="8" t="s">
        <v>54</v>
      </c>
      <c r="D44" s="8">
        <v>55</v>
      </c>
      <c r="E44" s="8" t="s">
        <v>64</v>
      </c>
      <c r="F44" t="s">
        <v>59</v>
      </c>
      <c r="G44" s="9">
        <v>15000</v>
      </c>
      <c r="H44" s="7">
        <v>46157</v>
      </c>
      <c r="I44" s="9">
        <v>2771</v>
      </c>
      <c r="J44" s="31">
        <f t="shared" si="0"/>
        <v>46153</v>
      </c>
      <c r="K44" s="31">
        <f>Table14[[#This Row],[week first day]]-7</f>
        <v>46146</v>
      </c>
      <c r="L44">
        <f t="shared" si="1"/>
        <v>5502</v>
      </c>
    </row>
    <row r="45" spans="1:12" x14ac:dyDescent="0.3">
      <c r="A45" s="8" t="s">
        <v>2</v>
      </c>
      <c r="B45" s="8" t="s">
        <v>63</v>
      </c>
      <c r="C45" s="8" t="s">
        <v>54</v>
      </c>
      <c r="D45" s="8">
        <v>55</v>
      </c>
      <c r="E45" s="8" t="s">
        <v>64</v>
      </c>
      <c r="F45" t="s">
        <v>59</v>
      </c>
      <c r="G45" s="9">
        <v>15000</v>
      </c>
      <c r="H45" s="7">
        <v>46164</v>
      </c>
      <c r="I45" s="9">
        <v>2270</v>
      </c>
      <c r="J45" s="31">
        <f t="shared" si="0"/>
        <v>46160</v>
      </c>
      <c r="K45" s="31">
        <f>Table14[[#This Row],[week first day]]-7</f>
        <v>46153</v>
      </c>
      <c r="L45">
        <f t="shared" si="1"/>
        <v>15658</v>
      </c>
    </row>
    <row r="46" spans="1:12" x14ac:dyDescent="0.3">
      <c r="A46" s="8" t="s">
        <v>2</v>
      </c>
      <c r="B46" s="8" t="s">
        <v>63</v>
      </c>
      <c r="C46" s="8" t="s">
        <v>54</v>
      </c>
      <c r="D46" s="8">
        <v>55</v>
      </c>
      <c r="E46" s="8" t="s">
        <v>64</v>
      </c>
      <c r="F46" t="s">
        <v>59</v>
      </c>
      <c r="G46" s="9">
        <v>15000</v>
      </c>
      <c r="H46" s="7">
        <v>46164</v>
      </c>
      <c r="I46" s="9">
        <v>1687</v>
      </c>
      <c r="J46" s="31">
        <f t="shared" si="0"/>
        <v>46160</v>
      </c>
      <c r="K46" s="31">
        <f>Table14[[#This Row],[week first day]]-7</f>
        <v>46153</v>
      </c>
      <c r="L46">
        <f t="shared" si="1"/>
        <v>15658</v>
      </c>
    </row>
    <row r="47" spans="1:12" x14ac:dyDescent="0.3">
      <c r="A47" s="8" t="s">
        <v>2</v>
      </c>
      <c r="B47" s="8" t="s">
        <v>63</v>
      </c>
      <c r="C47" s="8" t="s">
        <v>54</v>
      </c>
      <c r="D47" s="8">
        <v>55</v>
      </c>
      <c r="E47" s="8" t="s">
        <v>64</v>
      </c>
      <c r="F47" t="s">
        <v>59</v>
      </c>
      <c r="G47" s="9">
        <v>15000</v>
      </c>
      <c r="H47" s="7">
        <v>46164</v>
      </c>
      <c r="I47" s="9">
        <v>2058</v>
      </c>
      <c r="J47" s="31">
        <f t="shared" si="0"/>
        <v>46160</v>
      </c>
      <c r="K47" s="31">
        <f>Table14[[#This Row],[week first day]]-7</f>
        <v>46153</v>
      </c>
      <c r="L47">
        <f t="shared" si="1"/>
        <v>15658</v>
      </c>
    </row>
    <row r="48" spans="1:12" x14ac:dyDescent="0.3">
      <c r="A48" s="8" t="s">
        <v>2</v>
      </c>
      <c r="B48" s="8" t="s">
        <v>63</v>
      </c>
      <c r="C48" s="8" t="s">
        <v>54</v>
      </c>
      <c r="D48" s="8">
        <v>55</v>
      </c>
      <c r="E48" s="8" t="s">
        <v>64</v>
      </c>
      <c r="F48" t="s">
        <v>59</v>
      </c>
      <c r="G48" s="9">
        <v>15000</v>
      </c>
      <c r="H48" s="7">
        <v>46164</v>
      </c>
      <c r="I48" s="9">
        <v>2771</v>
      </c>
      <c r="J48" s="31">
        <f t="shared" si="0"/>
        <v>46160</v>
      </c>
      <c r="K48" s="31">
        <f>Table14[[#This Row],[week first day]]-7</f>
        <v>46153</v>
      </c>
      <c r="L48">
        <f t="shared" si="1"/>
        <v>15658</v>
      </c>
    </row>
    <row r="49" spans="1:12" x14ac:dyDescent="0.3">
      <c r="A49" s="8" t="s">
        <v>2</v>
      </c>
      <c r="B49" s="8" t="s">
        <v>63</v>
      </c>
      <c r="C49" s="8" t="s">
        <v>54</v>
      </c>
      <c r="D49" s="8">
        <v>55</v>
      </c>
      <c r="E49" s="8" t="s">
        <v>64</v>
      </c>
      <c r="F49" t="s">
        <v>59</v>
      </c>
      <c r="G49" s="9">
        <v>15000</v>
      </c>
      <c r="H49" s="7">
        <v>46164</v>
      </c>
      <c r="I49" s="9">
        <v>450</v>
      </c>
      <c r="J49" s="31">
        <f t="shared" si="0"/>
        <v>46160</v>
      </c>
      <c r="K49" s="31">
        <f>Table14[[#This Row],[week first day]]-7</f>
        <v>46153</v>
      </c>
      <c r="L49">
        <f t="shared" si="1"/>
        <v>15658</v>
      </c>
    </row>
    <row r="50" spans="1:12" x14ac:dyDescent="0.3">
      <c r="A50" s="8" t="s">
        <v>2</v>
      </c>
      <c r="B50" s="8" t="s">
        <v>63</v>
      </c>
      <c r="C50" s="8" t="s">
        <v>54</v>
      </c>
      <c r="D50" s="8">
        <v>55</v>
      </c>
      <c r="E50" s="8" t="s">
        <v>64</v>
      </c>
      <c r="F50" t="s">
        <v>59</v>
      </c>
      <c r="G50" s="9">
        <v>15000</v>
      </c>
      <c r="H50" s="7">
        <v>46164</v>
      </c>
      <c r="I50" s="9">
        <v>2771</v>
      </c>
      <c r="J50" s="31">
        <f t="shared" si="0"/>
        <v>46160</v>
      </c>
      <c r="K50" s="31">
        <f>Table14[[#This Row],[week first day]]-7</f>
        <v>46153</v>
      </c>
      <c r="L50">
        <f t="shared" si="1"/>
        <v>15658</v>
      </c>
    </row>
    <row r="51" spans="1:12" x14ac:dyDescent="0.3">
      <c r="A51" s="8" t="s">
        <v>2</v>
      </c>
      <c r="B51" s="8" t="s">
        <v>63</v>
      </c>
      <c r="C51" s="8" t="s">
        <v>54</v>
      </c>
      <c r="D51" s="8">
        <v>55</v>
      </c>
      <c r="E51" s="8" t="s">
        <v>64</v>
      </c>
      <c r="F51" t="s">
        <v>59</v>
      </c>
      <c r="G51" s="9">
        <v>15000</v>
      </c>
      <c r="H51" s="7">
        <v>46164</v>
      </c>
      <c r="I51" s="9">
        <v>2771</v>
      </c>
      <c r="J51" s="31">
        <f t="shared" si="0"/>
        <v>46160</v>
      </c>
      <c r="K51" s="31">
        <f>Table14[[#This Row],[week first day]]-7</f>
        <v>46153</v>
      </c>
      <c r="L51">
        <f t="shared" si="1"/>
        <v>15658</v>
      </c>
    </row>
    <row r="52" spans="1:12" x14ac:dyDescent="0.3">
      <c r="A52" s="8" t="s">
        <v>2</v>
      </c>
      <c r="B52" s="8" t="s">
        <v>63</v>
      </c>
      <c r="C52" s="8" t="s">
        <v>54</v>
      </c>
      <c r="D52" s="8">
        <v>55</v>
      </c>
      <c r="E52" s="8" t="s">
        <v>64</v>
      </c>
      <c r="F52" t="s">
        <v>59</v>
      </c>
      <c r="G52" s="9">
        <v>15000</v>
      </c>
      <c r="H52" s="7">
        <v>46164</v>
      </c>
      <c r="I52" s="9">
        <v>880</v>
      </c>
      <c r="J52" s="31">
        <f t="shared" si="0"/>
        <v>46160</v>
      </c>
      <c r="K52" s="31">
        <f>Table14[[#This Row],[week first day]]-7</f>
        <v>46153</v>
      </c>
      <c r="L52">
        <f t="shared" si="1"/>
        <v>15658</v>
      </c>
    </row>
    <row r="53" spans="1:12" x14ac:dyDescent="0.3">
      <c r="A53" s="8" t="s">
        <v>2</v>
      </c>
      <c r="B53" s="8" t="s">
        <v>63</v>
      </c>
      <c r="C53" s="8" t="s">
        <v>54</v>
      </c>
      <c r="D53" s="8">
        <v>55</v>
      </c>
      <c r="E53" s="8" t="s">
        <v>64</v>
      </c>
      <c r="F53" t="s">
        <v>59</v>
      </c>
      <c r="G53" s="9">
        <v>15000</v>
      </c>
      <c r="H53" s="7">
        <v>46171</v>
      </c>
      <c r="I53" s="9">
        <v>2771</v>
      </c>
      <c r="J53" s="31">
        <f t="shared" si="0"/>
        <v>46167</v>
      </c>
      <c r="K53" s="31">
        <f>Table14[[#This Row],[week first day]]-7</f>
        <v>46160</v>
      </c>
      <c r="L53">
        <f t="shared" si="1"/>
        <v>8865</v>
      </c>
    </row>
    <row r="54" spans="1:12" x14ac:dyDescent="0.3">
      <c r="A54" s="8" t="s">
        <v>2</v>
      </c>
      <c r="B54" s="8" t="s">
        <v>63</v>
      </c>
      <c r="C54" s="8" t="s">
        <v>54</v>
      </c>
      <c r="D54" s="8">
        <v>55</v>
      </c>
      <c r="E54" s="8" t="s">
        <v>64</v>
      </c>
      <c r="F54" t="s">
        <v>59</v>
      </c>
      <c r="G54" s="9">
        <v>15000</v>
      </c>
      <c r="H54" s="7">
        <v>46171</v>
      </c>
      <c r="I54" s="9">
        <v>552</v>
      </c>
      <c r="J54" s="31">
        <f t="shared" si="0"/>
        <v>46167</v>
      </c>
      <c r="K54" s="31">
        <f>Table14[[#This Row],[week first day]]-7</f>
        <v>46160</v>
      </c>
      <c r="L54">
        <f t="shared" si="1"/>
        <v>8865</v>
      </c>
    </row>
    <row r="55" spans="1:12" x14ac:dyDescent="0.3">
      <c r="A55" s="8" t="s">
        <v>2</v>
      </c>
      <c r="B55" s="8" t="s">
        <v>63</v>
      </c>
      <c r="C55" s="8" t="s">
        <v>54</v>
      </c>
      <c r="D55" s="8">
        <v>55</v>
      </c>
      <c r="E55" s="8" t="s">
        <v>64</v>
      </c>
      <c r="F55" t="s">
        <v>59</v>
      </c>
      <c r="G55" s="9">
        <v>15000</v>
      </c>
      <c r="H55" s="7">
        <v>46171</v>
      </c>
      <c r="I55" s="9">
        <v>2771</v>
      </c>
      <c r="J55" s="31">
        <f t="shared" si="0"/>
        <v>46167</v>
      </c>
      <c r="K55" s="31">
        <f>Table14[[#This Row],[week first day]]-7</f>
        <v>46160</v>
      </c>
      <c r="L55">
        <f t="shared" si="1"/>
        <v>8865</v>
      </c>
    </row>
    <row r="56" spans="1:12" x14ac:dyDescent="0.3">
      <c r="A56" s="8" t="s">
        <v>2</v>
      </c>
      <c r="B56" s="8" t="s">
        <v>63</v>
      </c>
      <c r="C56" s="8" t="s">
        <v>54</v>
      </c>
      <c r="D56" s="8">
        <v>55</v>
      </c>
      <c r="E56" s="8" t="s">
        <v>64</v>
      </c>
      <c r="F56" t="s">
        <v>59</v>
      </c>
      <c r="G56" s="9">
        <v>15000</v>
      </c>
      <c r="H56" s="7">
        <v>46171</v>
      </c>
      <c r="I56" s="9">
        <v>2771</v>
      </c>
      <c r="J56" s="31">
        <f t="shared" si="0"/>
        <v>46167</v>
      </c>
      <c r="K56" s="31">
        <f>Table14[[#This Row],[week first day]]-7</f>
        <v>46160</v>
      </c>
      <c r="L56">
        <f t="shared" si="1"/>
        <v>8865</v>
      </c>
    </row>
    <row r="57" spans="1:12" x14ac:dyDescent="0.3">
      <c r="A57" s="8" t="s">
        <v>2</v>
      </c>
      <c r="B57" s="8" t="s">
        <v>63</v>
      </c>
      <c r="C57" s="8" t="s">
        <v>54</v>
      </c>
      <c r="D57" s="8">
        <v>55</v>
      </c>
      <c r="E57" s="8" t="s">
        <v>64</v>
      </c>
      <c r="F57" t="s">
        <v>59</v>
      </c>
      <c r="G57" s="9">
        <v>15000</v>
      </c>
      <c r="H57" s="7">
        <v>46178</v>
      </c>
      <c r="I57" s="9">
        <v>2146</v>
      </c>
      <c r="J57" s="31">
        <f t="shared" si="0"/>
        <v>46174</v>
      </c>
      <c r="K57" s="31">
        <f>Table14[[#This Row],[week first day]]-7</f>
        <v>46167</v>
      </c>
      <c r="L57">
        <f t="shared" si="1"/>
        <v>2146</v>
      </c>
    </row>
    <row r="58" spans="1:12" x14ac:dyDescent="0.3">
      <c r="A58" s="8" t="s">
        <v>2</v>
      </c>
      <c r="B58" s="8" t="s">
        <v>63</v>
      </c>
      <c r="C58" s="8" t="s">
        <v>54</v>
      </c>
      <c r="D58" s="8">
        <v>55</v>
      </c>
      <c r="E58" s="8" t="s">
        <v>64</v>
      </c>
      <c r="F58" t="s">
        <v>59</v>
      </c>
      <c r="G58" s="9">
        <v>15000</v>
      </c>
      <c r="H58" s="7">
        <v>46185</v>
      </c>
      <c r="I58" s="9">
        <v>7123</v>
      </c>
      <c r="J58" s="31">
        <f t="shared" si="0"/>
        <v>46181</v>
      </c>
      <c r="K58" s="31">
        <f>Table14[[#This Row],[week first day]]-7</f>
        <v>46174</v>
      </c>
      <c r="L58">
        <f t="shared" si="1"/>
        <v>7123</v>
      </c>
    </row>
    <row r="59" spans="1:12" x14ac:dyDescent="0.3">
      <c r="A59" s="8" t="s">
        <v>2</v>
      </c>
      <c r="B59" s="8" t="s">
        <v>63</v>
      </c>
      <c r="C59" s="8" t="s">
        <v>54</v>
      </c>
      <c r="D59" s="8">
        <v>55</v>
      </c>
      <c r="E59" s="8" t="s">
        <v>64</v>
      </c>
      <c r="F59" t="s">
        <v>59</v>
      </c>
      <c r="G59" s="9">
        <v>15000</v>
      </c>
      <c r="H59" s="7">
        <v>46192</v>
      </c>
      <c r="I59" s="9">
        <v>5309</v>
      </c>
      <c r="J59" s="31">
        <f t="shared" si="0"/>
        <v>46188</v>
      </c>
      <c r="K59" s="31">
        <f>Table14[[#This Row],[week first day]]-7</f>
        <v>46181</v>
      </c>
      <c r="L59">
        <f t="shared" si="1"/>
        <v>5309</v>
      </c>
    </row>
    <row r="60" spans="1:12" x14ac:dyDescent="0.3">
      <c r="A60" s="8" t="s">
        <v>2</v>
      </c>
      <c r="B60" s="8" t="s">
        <v>63</v>
      </c>
      <c r="C60" s="8" t="s">
        <v>54</v>
      </c>
      <c r="D60" s="8">
        <v>55</v>
      </c>
      <c r="E60" s="8" t="s">
        <v>64</v>
      </c>
      <c r="F60" t="s">
        <v>59</v>
      </c>
      <c r="G60" s="9">
        <v>15000</v>
      </c>
      <c r="H60" s="7">
        <v>46199</v>
      </c>
      <c r="I60" s="9">
        <v>5309</v>
      </c>
      <c r="J60" s="31">
        <f t="shared" si="0"/>
        <v>46195</v>
      </c>
      <c r="K60" s="31">
        <f>Table14[[#This Row],[week first day]]-7</f>
        <v>46188</v>
      </c>
      <c r="L60">
        <f t="shared" si="1"/>
        <v>5309</v>
      </c>
    </row>
    <row r="61" spans="1:12" x14ac:dyDescent="0.3">
      <c r="A61" s="8" t="s">
        <v>2</v>
      </c>
      <c r="B61" s="8" t="s">
        <v>63</v>
      </c>
      <c r="C61" s="8" t="s">
        <v>54</v>
      </c>
      <c r="D61" s="8">
        <v>55</v>
      </c>
      <c r="E61" s="8" t="s">
        <v>64</v>
      </c>
      <c r="F61" t="s">
        <v>59</v>
      </c>
      <c r="G61" s="9">
        <v>15000</v>
      </c>
      <c r="H61" s="7">
        <v>46206</v>
      </c>
      <c r="I61" s="9">
        <v>3000</v>
      </c>
      <c r="J61" s="31">
        <f t="shared" si="0"/>
        <v>46202</v>
      </c>
      <c r="K61" s="31">
        <f>Table14[[#This Row],[week first day]]-7</f>
        <v>46195</v>
      </c>
      <c r="L61">
        <f t="shared" si="1"/>
        <v>3000</v>
      </c>
    </row>
    <row r="62" spans="1:12" x14ac:dyDescent="0.3">
      <c r="A62" s="8" t="s">
        <v>2</v>
      </c>
      <c r="B62" s="8" t="s">
        <v>63</v>
      </c>
      <c r="C62" s="8" t="s">
        <v>54</v>
      </c>
      <c r="D62" s="8">
        <v>55</v>
      </c>
      <c r="E62" s="8" t="s">
        <v>64</v>
      </c>
      <c r="F62" t="s">
        <v>59</v>
      </c>
      <c r="G62" s="9">
        <v>15000</v>
      </c>
      <c r="H62" s="7">
        <v>46213</v>
      </c>
      <c r="I62" s="9">
        <v>3000</v>
      </c>
      <c r="J62" s="31">
        <f t="shared" si="0"/>
        <v>46209</v>
      </c>
      <c r="K62" s="31">
        <f>Table14[[#This Row],[week first day]]-7</f>
        <v>46202</v>
      </c>
      <c r="L62">
        <f t="shared" si="1"/>
        <v>3000</v>
      </c>
    </row>
    <row r="63" spans="1:12" x14ac:dyDescent="0.3">
      <c r="A63" s="8" t="s">
        <v>2</v>
      </c>
      <c r="B63" s="8" t="s">
        <v>63</v>
      </c>
      <c r="C63" s="8" t="s">
        <v>54</v>
      </c>
      <c r="D63" s="8">
        <v>55</v>
      </c>
      <c r="E63" s="8" t="s">
        <v>64</v>
      </c>
      <c r="F63" t="s">
        <v>59</v>
      </c>
      <c r="G63" s="9">
        <v>15000</v>
      </c>
      <c r="H63" s="7">
        <v>46220</v>
      </c>
      <c r="I63" s="9">
        <v>3000</v>
      </c>
      <c r="J63" s="31">
        <f t="shared" si="0"/>
        <v>46216</v>
      </c>
      <c r="K63" s="31">
        <f>Table14[[#This Row],[week first day]]-7</f>
        <v>46209</v>
      </c>
      <c r="L63">
        <f t="shared" si="1"/>
        <v>3000</v>
      </c>
    </row>
    <row r="64" spans="1:12" x14ac:dyDescent="0.3">
      <c r="A64" s="8" t="s">
        <v>2</v>
      </c>
      <c r="B64" s="8" t="s">
        <v>63</v>
      </c>
      <c r="C64" s="8" t="s">
        <v>54</v>
      </c>
      <c r="D64" s="8">
        <v>55</v>
      </c>
      <c r="E64" s="8" t="s">
        <v>64</v>
      </c>
      <c r="F64" t="s">
        <v>59</v>
      </c>
      <c r="G64" s="9">
        <v>15000</v>
      </c>
      <c r="H64" s="7">
        <v>46227</v>
      </c>
      <c r="I64" s="9">
        <v>3000</v>
      </c>
      <c r="J64" s="31">
        <f t="shared" si="0"/>
        <v>46223</v>
      </c>
      <c r="K64" s="31">
        <f>Table14[[#This Row],[week first day]]-7</f>
        <v>46216</v>
      </c>
      <c r="L64">
        <f t="shared" si="1"/>
        <v>3000</v>
      </c>
    </row>
    <row r="65" spans="1:12" x14ac:dyDescent="0.3">
      <c r="A65" s="8" t="s">
        <v>2</v>
      </c>
      <c r="B65" s="8" t="s">
        <v>63</v>
      </c>
      <c r="C65" s="8" t="s">
        <v>54</v>
      </c>
      <c r="D65" s="8">
        <v>55</v>
      </c>
      <c r="E65" s="8" t="s">
        <v>64</v>
      </c>
      <c r="F65" t="s">
        <v>59</v>
      </c>
      <c r="G65" s="9">
        <v>15000</v>
      </c>
      <c r="H65" s="7">
        <v>46234</v>
      </c>
      <c r="I65" s="9">
        <v>2400</v>
      </c>
      <c r="J65" s="31">
        <f t="shared" si="0"/>
        <v>46230</v>
      </c>
      <c r="K65" s="31">
        <f>Table14[[#This Row],[week first day]]-7</f>
        <v>46223</v>
      </c>
      <c r="L65">
        <f t="shared" si="1"/>
        <v>2400</v>
      </c>
    </row>
    <row r="66" spans="1:12" x14ac:dyDescent="0.3">
      <c r="A66" s="8" t="s">
        <v>2</v>
      </c>
      <c r="B66" s="8" t="s">
        <v>63</v>
      </c>
      <c r="C66" s="8" t="s">
        <v>54</v>
      </c>
      <c r="D66" s="8">
        <v>55</v>
      </c>
      <c r="E66" s="8" t="s">
        <v>64</v>
      </c>
      <c r="F66" t="s">
        <v>59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46237</v>
      </c>
      <c r="K66" s="31">
        <f>Table14[[#This Row],[week first day]]-7</f>
        <v>46230</v>
      </c>
      <c r="L66">
        <f t="shared" ref="L66:L129" si="3">SUMIFS($I:$I,$A:$A,A66,J:J,J66)</f>
        <v>2400</v>
      </c>
    </row>
    <row r="67" spans="1:12" x14ac:dyDescent="0.3">
      <c r="A67" s="8" t="s">
        <v>2</v>
      </c>
      <c r="B67" s="8" t="s">
        <v>63</v>
      </c>
      <c r="C67" s="8" t="s">
        <v>54</v>
      </c>
      <c r="D67" s="8">
        <v>55</v>
      </c>
      <c r="E67" s="8" t="s">
        <v>64</v>
      </c>
      <c r="F67" t="s">
        <v>59</v>
      </c>
      <c r="G67" s="9">
        <v>15000</v>
      </c>
      <c r="H67" s="7">
        <v>46255</v>
      </c>
      <c r="I67" s="9">
        <v>2400</v>
      </c>
      <c r="J67" s="31">
        <f t="shared" si="2"/>
        <v>46251</v>
      </c>
      <c r="K67" s="31">
        <f>Table14[[#This Row],[week first day]]-7</f>
        <v>46244</v>
      </c>
      <c r="L67">
        <f t="shared" si="3"/>
        <v>2400</v>
      </c>
    </row>
    <row r="68" spans="1:12" x14ac:dyDescent="0.3">
      <c r="A68" s="8" t="s">
        <v>2</v>
      </c>
      <c r="B68" s="8" t="s">
        <v>63</v>
      </c>
      <c r="C68" s="8" t="s">
        <v>54</v>
      </c>
      <c r="D68" s="8">
        <v>55</v>
      </c>
      <c r="E68" s="8" t="s">
        <v>64</v>
      </c>
      <c r="F68" t="s">
        <v>59</v>
      </c>
      <c r="G68" s="9">
        <v>15000</v>
      </c>
      <c r="H68" s="7">
        <v>46262</v>
      </c>
      <c r="I68" s="9">
        <v>2400</v>
      </c>
      <c r="J68" s="31">
        <f t="shared" si="2"/>
        <v>46258</v>
      </c>
      <c r="K68" s="31">
        <f>Table14[[#This Row],[week first day]]-7</f>
        <v>46251</v>
      </c>
      <c r="L68">
        <f t="shared" si="3"/>
        <v>2400</v>
      </c>
    </row>
    <row r="69" spans="1:12" x14ac:dyDescent="0.3">
      <c r="A69" s="8" t="s">
        <v>2</v>
      </c>
      <c r="B69" s="8" t="s">
        <v>63</v>
      </c>
      <c r="C69" s="8" t="s">
        <v>54</v>
      </c>
      <c r="D69" s="8">
        <v>55</v>
      </c>
      <c r="E69" s="8" t="s">
        <v>64</v>
      </c>
      <c r="F69" t="s">
        <v>59</v>
      </c>
      <c r="G69" s="9">
        <v>15000</v>
      </c>
      <c r="H69" s="7">
        <v>46269</v>
      </c>
      <c r="I69" s="9">
        <v>3750</v>
      </c>
      <c r="J69" s="31">
        <f t="shared" si="2"/>
        <v>46265</v>
      </c>
      <c r="K69" s="31">
        <f>Table14[[#This Row],[week first day]]-7</f>
        <v>46258</v>
      </c>
      <c r="L69">
        <f t="shared" si="3"/>
        <v>3750</v>
      </c>
    </row>
    <row r="70" spans="1:12" x14ac:dyDescent="0.3">
      <c r="A70" s="8" t="s">
        <v>2</v>
      </c>
      <c r="B70" s="8" t="s">
        <v>63</v>
      </c>
      <c r="C70" s="8" t="s">
        <v>54</v>
      </c>
      <c r="D70" s="8">
        <v>55</v>
      </c>
      <c r="E70" s="8" t="s">
        <v>64</v>
      </c>
      <c r="F70" t="s">
        <v>59</v>
      </c>
      <c r="G70" s="9">
        <v>15000</v>
      </c>
      <c r="H70" s="7">
        <v>46276</v>
      </c>
      <c r="I70" s="9">
        <v>3750</v>
      </c>
      <c r="J70" s="31">
        <f t="shared" si="2"/>
        <v>46272</v>
      </c>
      <c r="K70" s="31">
        <f>Table14[[#This Row],[week first day]]-7</f>
        <v>46265</v>
      </c>
      <c r="L70">
        <f t="shared" si="3"/>
        <v>3750</v>
      </c>
    </row>
    <row r="71" spans="1:12" x14ac:dyDescent="0.3">
      <c r="A71" s="8" t="s">
        <v>2</v>
      </c>
      <c r="B71" s="8" t="s">
        <v>63</v>
      </c>
      <c r="C71" s="8" t="s">
        <v>54</v>
      </c>
      <c r="D71" s="8">
        <v>55</v>
      </c>
      <c r="E71" s="8" t="s">
        <v>64</v>
      </c>
      <c r="F71" t="s">
        <v>59</v>
      </c>
      <c r="G71" s="9">
        <v>15000</v>
      </c>
      <c r="H71" s="7">
        <v>46283</v>
      </c>
      <c r="I71" s="9">
        <v>3750</v>
      </c>
      <c r="J71" s="31">
        <f t="shared" si="2"/>
        <v>46279</v>
      </c>
      <c r="K71" s="31">
        <f>Table14[[#This Row],[week first day]]-7</f>
        <v>46272</v>
      </c>
      <c r="L71">
        <f t="shared" si="3"/>
        <v>3750</v>
      </c>
    </row>
    <row r="72" spans="1:12" x14ac:dyDescent="0.3">
      <c r="A72" s="8" t="s">
        <v>2</v>
      </c>
      <c r="B72" s="8" t="s">
        <v>63</v>
      </c>
      <c r="C72" s="8" t="s">
        <v>54</v>
      </c>
      <c r="D72" s="8">
        <v>55</v>
      </c>
      <c r="E72" s="8" t="s">
        <v>64</v>
      </c>
      <c r="F72" t="s">
        <v>59</v>
      </c>
      <c r="G72" s="9">
        <v>15000</v>
      </c>
      <c r="H72" s="7">
        <v>46290</v>
      </c>
      <c r="I72" s="9">
        <v>3750</v>
      </c>
      <c r="J72" s="31">
        <f t="shared" si="2"/>
        <v>46286</v>
      </c>
      <c r="K72" s="31">
        <f>Table14[[#This Row],[week first day]]-7</f>
        <v>46279</v>
      </c>
      <c r="L72">
        <f t="shared" si="3"/>
        <v>3750</v>
      </c>
    </row>
    <row r="73" spans="1:12" x14ac:dyDescent="0.3">
      <c r="A73" s="8" t="s">
        <v>2</v>
      </c>
      <c r="B73" s="8" t="s">
        <v>63</v>
      </c>
      <c r="C73" s="8" t="s">
        <v>54</v>
      </c>
      <c r="D73" s="8">
        <v>55</v>
      </c>
      <c r="E73" s="8" t="s">
        <v>64</v>
      </c>
      <c r="F73" t="s">
        <v>59</v>
      </c>
      <c r="G73" s="9">
        <v>15000</v>
      </c>
      <c r="H73" s="7">
        <v>46297</v>
      </c>
      <c r="I73" s="9">
        <v>3000</v>
      </c>
      <c r="J73" s="31">
        <f t="shared" si="2"/>
        <v>46293</v>
      </c>
      <c r="K73" s="31">
        <f>Table14[[#This Row],[week first day]]-7</f>
        <v>46286</v>
      </c>
      <c r="L73">
        <f t="shared" si="3"/>
        <v>3000</v>
      </c>
    </row>
    <row r="74" spans="1:12" x14ac:dyDescent="0.3">
      <c r="A74" s="8" t="s">
        <v>2</v>
      </c>
      <c r="B74" s="8" t="s">
        <v>63</v>
      </c>
      <c r="C74" s="8" t="s">
        <v>54</v>
      </c>
      <c r="D74" s="8">
        <v>55</v>
      </c>
      <c r="E74" s="8" t="s">
        <v>64</v>
      </c>
      <c r="F74" t="s">
        <v>59</v>
      </c>
      <c r="G74" s="9">
        <v>15000</v>
      </c>
      <c r="H74" s="7">
        <v>46304</v>
      </c>
      <c r="I74" s="9">
        <v>3000</v>
      </c>
      <c r="J74" s="31">
        <f t="shared" si="2"/>
        <v>46300</v>
      </c>
      <c r="K74" s="31">
        <f>Table14[[#This Row],[week first day]]-7</f>
        <v>46293</v>
      </c>
      <c r="L74">
        <f t="shared" si="3"/>
        <v>3000</v>
      </c>
    </row>
    <row r="75" spans="1:12" x14ac:dyDescent="0.3">
      <c r="A75" s="8" t="s">
        <v>2</v>
      </c>
      <c r="B75" s="8" t="s">
        <v>63</v>
      </c>
      <c r="C75" s="8" t="s">
        <v>54</v>
      </c>
      <c r="D75" s="8">
        <v>55</v>
      </c>
      <c r="E75" s="8" t="s">
        <v>64</v>
      </c>
      <c r="F75" t="s">
        <v>59</v>
      </c>
      <c r="G75" s="9">
        <v>15000</v>
      </c>
      <c r="H75" s="7">
        <v>46311</v>
      </c>
      <c r="I75" s="9">
        <v>3000</v>
      </c>
      <c r="J75" s="31">
        <f t="shared" si="2"/>
        <v>46307</v>
      </c>
      <c r="K75" s="31">
        <f>Table14[[#This Row],[week first day]]-7</f>
        <v>46300</v>
      </c>
      <c r="L75">
        <f t="shared" si="3"/>
        <v>3000</v>
      </c>
    </row>
    <row r="76" spans="1:12" x14ac:dyDescent="0.3">
      <c r="A76" s="8" t="s">
        <v>2</v>
      </c>
      <c r="B76" s="8" t="s">
        <v>63</v>
      </c>
      <c r="C76" s="8" t="s">
        <v>54</v>
      </c>
      <c r="D76" s="8">
        <v>55</v>
      </c>
      <c r="E76" s="8" t="s">
        <v>64</v>
      </c>
      <c r="F76" t="s">
        <v>59</v>
      </c>
      <c r="G76" s="9">
        <v>15000</v>
      </c>
      <c r="H76" s="7">
        <v>46318</v>
      </c>
      <c r="I76" s="9">
        <v>3000</v>
      </c>
      <c r="J76" s="31">
        <f t="shared" si="2"/>
        <v>46314</v>
      </c>
      <c r="K76" s="31">
        <f>Table14[[#This Row],[week first day]]-7</f>
        <v>46307</v>
      </c>
      <c r="L76">
        <f t="shared" si="3"/>
        <v>3000</v>
      </c>
    </row>
    <row r="77" spans="1:12" x14ac:dyDescent="0.3">
      <c r="A77" s="8" t="s">
        <v>2</v>
      </c>
      <c r="B77" s="8" t="s">
        <v>63</v>
      </c>
      <c r="C77" s="8" t="s">
        <v>54</v>
      </c>
      <c r="D77" s="8">
        <v>55</v>
      </c>
      <c r="E77" s="8" t="s">
        <v>64</v>
      </c>
      <c r="F77" t="s">
        <v>59</v>
      </c>
      <c r="G77" s="9">
        <v>15000</v>
      </c>
      <c r="H77" s="7">
        <v>46325</v>
      </c>
      <c r="I77" s="9">
        <v>3000</v>
      </c>
      <c r="J77" s="31">
        <f t="shared" si="2"/>
        <v>46321</v>
      </c>
      <c r="K77" s="31">
        <f>Table14[[#This Row],[week first day]]-7</f>
        <v>46314</v>
      </c>
      <c r="L77">
        <f t="shared" si="3"/>
        <v>3000</v>
      </c>
    </row>
    <row r="78" spans="1:12" x14ac:dyDescent="0.3">
      <c r="A78" s="8" t="s">
        <v>2</v>
      </c>
      <c r="B78" s="8" t="s">
        <v>63</v>
      </c>
      <c r="C78" s="8" t="s">
        <v>54</v>
      </c>
      <c r="D78" s="8">
        <v>55</v>
      </c>
      <c r="E78" s="8" t="s">
        <v>64</v>
      </c>
      <c r="F78" t="s">
        <v>59</v>
      </c>
      <c r="G78" s="9">
        <v>15000</v>
      </c>
      <c r="H78" s="7">
        <v>46332</v>
      </c>
      <c r="I78" s="9">
        <v>6250</v>
      </c>
      <c r="J78" s="31">
        <f t="shared" si="2"/>
        <v>46328</v>
      </c>
      <c r="K78" s="31">
        <f>Table14[[#This Row],[week first day]]-7</f>
        <v>46321</v>
      </c>
      <c r="L78">
        <f t="shared" si="3"/>
        <v>6250</v>
      </c>
    </row>
    <row r="79" spans="1:12" x14ac:dyDescent="0.3">
      <c r="A79" s="8" t="s">
        <v>2</v>
      </c>
      <c r="B79" s="8" t="s">
        <v>63</v>
      </c>
      <c r="C79" s="8" t="s">
        <v>54</v>
      </c>
      <c r="D79" s="8">
        <v>55</v>
      </c>
      <c r="E79" s="8" t="s">
        <v>64</v>
      </c>
      <c r="F79" t="s">
        <v>59</v>
      </c>
      <c r="G79" s="9">
        <v>15000</v>
      </c>
      <c r="H79" s="7">
        <v>46339</v>
      </c>
      <c r="I79" s="9">
        <v>6250</v>
      </c>
      <c r="J79" s="31">
        <f t="shared" si="2"/>
        <v>46335</v>
      </c>
      <c r="K79" s="31">
        <f>Table14[[#This Row],[week first day]]-7</f>
        <v>46328</v>
      </c>
      <c r="L79">
        <f t="shared" si="3"/>
        <v>6250</v>
      </c>
    </row>
    <row r="80" spans="1:12" x14ac:dyDescent="0.3">
      <c r="A80" s="8" t="s">
        <v>2</v>
      </c>
      <c r="B80" s="8" t="s">
        <v>63</v>
      </c>
      <c r="C80" s="8" t="s">
        <v>54</v>
      </c>
      <c r="D80" s="8">
        <v>55</v>
      </c>
      <c r="E80" s="8" t="s">
        <v>64</v>
      </c>
      <c r="F80" t="s">
        <v>59</v>
      </c>
      <c r="G80" s="9">
        <v>15000</v>
      </c>
      <c r="H80" s="7">
        <v>46346</v>
      </c>
      <c r="I80" s="9">
        <v>6250</v>
      </c>
      <c r="J80" s="31">
        <f t="shared" si="2"/>
        <v>46342</v>
      </c>
      <c r="K80" s="31">
        <f>Table14[[#This Row],[week first day]]-7</f>
        <v>46335</v>
      </c>
      <c r="L80">
        <f t="shared" si="3"/>
        <v>6250</v>
      </c>
    </row>
    <row r="81" spans="1:12" x14ac:dyDescent="0.3">
      <c r="A81" s="8" t="s">
        <v>2</v>
      </c>
      <c r="B81" s="8" t="s">
        <v>63</v>
      </c>
      <c r="C81" s="8" t="s">
        <v>54</v>
      </c>
      <c r="D81" s="8">
        <v>55</v>
      </c>
      <c r="E81" s="8" t="s">
        <v>64</v>
      </c>
      <c r="F81" t="s">
        <v>59</v>
      </c>
      <c r="G81" s="9">
        <v>15000</v>
      </c>
      <c r="H81" s="7">
        <v>46353</v>
      </c>
      <c r="I81" s="9">
        <v>6250</v>
      </c>
      <c r="J81" s="31">
        <f t="shared" si="2"/>
        <v>46349</v>
      </c>
      <c r="K81" s="31">
        <f>Table14[[#This Row],[week first day]]-7</f>
        <v>46342</v>
      </c>
      <c r="L81">
        <f t="shared" si="3"/>
        <v>6250</v>
      </c>
    </row>
    <row r="82" spans="1:12" x14ac:dyDescent="0.3">
      <c r="A82" s="8" t="s">
        <v>2</v>
      </c>
      <c r="B82" s="8" t="s">
        <v>63</v>
      </c>
      <c r="C82" s="8" t="s">
        <v>54</v>
      </c>
      <c r="D82" s="8">
        <v>55</v>
      </c>
      <c r="E82" s="8" t="s">
        <v>64</v>
      </c>
      <c r="F82" t="s">
        <v>59</v>
      </c>
      <c r="G82" s="9">
        <v>15000</v>
      </c>
      <c r="H82" s="7">
        <v>46360</v>
      </c>
      <c r="I82" s="9">
        <v>6250</v>
      </c>
      <c r="J82" s="31">
        <f t="shared" si="2"/>
        <v>46356</v>
      </c>
      <c r="K82" s="31">
        <f>Table14[[#This Row],[week first day]]-7</f>
        <v>46349</v>
      </c>
      <c r="L82">
        <f t="shared" si="3"/>
        <v>6250</v>
      </c>
    </row>
    <row r="83" spans="1:12" x14ac:dyDescent="0.3">
      <c r="A83" s="8" t="s">
        <v>2</v>
      </c>
      <c r="B83" s="8" t="s">
        <v>63</v>
      </c>
      <c r="C83" s="8" t="s">
        <v>54</v>
      </c>
      <c r="D83" s="8">
        <v>55</v>
      </c>
      <c r="E83" s="8" t="s">
        <v>64</v>
      </c>
      <c r="F83" t="s">
        <v>59</v>
      </c>
      <c r="G83" s="9">
        <v>15000</v>
      </c>
      <c r="H83" s="7">
        <v>46367</v>
      </c>
      <c r="I83" s="9">
        <v>6250</v>
      </c>
      <c r="J83" s="31">
        <f t="shared" si="2"/>
        <v>46363</v>
      </c>
      <c r="K83" s="31">
        <f>Table14[[#This Row],[week first day]]-7</f>
        <v>46356</v>
      </c>
      <c r="L83">
        <f t="shared" si="3"/>
        <v>6250</v>
      </c>
    </row>
    <row r="84" spans="1:12" x14ac:dyDescent="0.3">
      <c r="A84" s="8" t="s">
        <v>2</v>
      </c>
      <c r="B84" s="8" t="s">
        <v>63</v>
      </c>
      <c r="C84" s="8" t="s">
        <v>54</v>
      </c>
      <c r="D84" s="8">
        <v>55</v>
      </c>
      <c r="E84" s="8" t="s">
        <v>64</v>
      </c>
      <c r="F84" t="s">
        <v>59</v>
      </c>
      <c r="G84" s="9">
        <v>15000</v>
      </c>
      <c r="H84" s="7">
        <v>46374</v>
      </c>
      <c r="I84" s="9">
        <v>6250</v>
      </c>
      <c r="J84" s="31">
        <f t="shared" si="2"/>
        <v>46370</v>
      </c>
      <c r="K84" s="31">
        <f>Table14[[#This Row],[week first day]]-7</f>
        <v>46363</v>
      </c>
      <c r="L84">
        <f t="shared" si="3"/>
        <v>6250</v>
      </c>
    </row>
    <row r="85" spans="1:12" x14ac:dyDescent="0.3">
      <c r="A85" s="8" t="s">
        <v>2</v>
      </c>
      <c r="B85" s="8" t="s">
        <v>63</v>
      </c>
      <c r="C85" s="8" t="s">
        <v>54</v>
      </c>
      <c r="D85" s="8">
        <v>55</v>
      </c>
      <c r="E85" s="8" t="s">
        <v>64</v>
      </c>
      <c r="F85" t="s">
        <v>59</v>
      </c>
      <c r="G85" s="9">
        <v>15000</v>
      </c>
      <c r="H85" s="7">
        <v>46381</v>
      </c>
      <c r="I85" s="9">
        <v>6250</v>
      </c>
      <c r="J85" s="31">
        <f t="shared" si="2"/>
        <v>46377</v>
      </c>
      <c r="K85" s="31">
        <f>Table14[[#This Row],[week first day]]-7</f>
        <v>46370</v>
      </c>
      <c r="L85">
        <f t="shared" si="3"/>
        <v>6250</v>
      </c>
    </row>
    <row r="86" spans="1:12" x14ac:dyDescent="0.3">
      <c r="A86" s="8" t="s">
        <v>3</v>
      </c>
      <c r="B86" s="8" t="s">
        <v>65</v>
      </c>
      <c r="C86" s="8" t="s">
        <v>66</v>
      </c>
      <c r="D86" s="8">
        <v>80</v>
      </c>
      <c r="E86" s="8" t="s">
        <v>67</v>
      </c>
      <c r="F86" t="s">
        <v>68</v>
      </c>
      <c r="G86" s="8">
        <v>5000</v>
      </c>
      <c r="H86" s="7">
        <v>46157</v>
      </c>
      <c r="I86" s="9">
        <v>270</v>
      </c>
      <c r="J86" s="31">
        <f t="shared" si="2"/>
        <v>46153</v>
      </c>
      <c r="K86" s="31">
        <f>Table14[[#This Row],[week first day]]-7</f>
        <v>46146</v>
      </c>
      <c r="L86">
        <f t="shared" si="3"/>
        <v>4320</v>
      </c>
    </row>
    <row r="87" spans="1:12" x14ac:dyDescent="0.3">
      <c r="A87" s="8" t="s">
        <v>3</v>
      </c>
      <c r="B87" s="8" t="s">
        <v>65</v>
      </c>
      <c r="C87" s="8" t="s">
        <v>66</v>
      </c>
      <c r="D87" s="8">
        <v>80</v>
      </c>
      <c r="E87" s="8" t="s">
        <v>67</v>
      </c>
      <c r="F87" t="s">
        <v>68</v>
      </c>
      <c r="G87" s="8">
        <v>5000</v>
      </c>
      <c r="H87" s="7">
        <v>46157</v>
      </c>
      <c r="I87" s="9">
        <v>270</v>
      </c>
      <c r="J87" s="31">
        <f t="shared" si="2"/>
        <v>46153</v>
      </c>
      <c r="K87" s="31">
        <f>Table14[[#This Row],[week first day]]-7</f>
        <v>46146</v>
      </c>
      <c r="L87">
        <f t="shared" si="3"/>
        <v>4320</v>
      </c>
    </row>
    <row r="88" spans="1:12" x14ac:dyDescent="0.3">
      <c r="A88" s="8" t="s">
        <v>3</v>
      </c>
      <c r="B88" s="8" t="s">
        <v>65</v>
      </c>
      <c r="C88" s="8" t="s">
        <v>66</v>
      </c>
      <c r="D88" s="8">
        <v>80</v>
      </c>
      <c r="E88" s="8" t="s">
        <v>67</v>
      </c>
      <c r="F88" t="s">
        <v>68</v>
      </c>
      <c r="G88" s="8">
        <v>5000</v>
      </c>
      <c r="H88" s="7">
        <v>46157</v>
      </c>
      <c r="I88" s="9">
        <v>270</v>
      </c>
      <c r="J88" s="31">
        <f t="shared" si="2"/>
        <v>46153</v>
      </c>
      <c r="K88" s="31">
        <f>Table14[[#This Row],[week first day]]-7</f>
        <v>46146</v>
      </c>
      <c r="L88">
        <f t="shared" si="3"/>
        <v>4320</v>
      </c>
    </row>
    <row r="89" spans="1:12" x14ac:dyDescent="0.3">
      <c r="A89" s="8" t="s">
        <v>3</v>
      </c>
      <c r="B89" s="8" t="s">
        <v>65</v>
      </c>
      <c r="C89" s="8" t="s">
        <v>66</v>
      </c>
      <c r="D89" s="8">
        <v>80</v>
      </c>
      <c r="E89" s="8" t="s">
        <v>67</v>
      </c>
      <c r="F89" t="s">
        <v>68</v>
      </c>
      <c r="G89" s="8">
        <v>5000</v>
      </c>
      <c r="H89" s="7">
        <v>46157</v>
      </c>
      <c r="I89" s="9">
        <v>270</v>
      </c>
      <c r="J89" s="31">
        <f t="shared" si="2"/>
        <v>46153</v>
      </c>
      <c r="K89" s="31">
        <f>Table14[[#This Row],[week first day]]-7</f>
        <v>46146</v>
      </c>
      <c r="L89">
        <f t="shared" si="3"/>
        <v>4320</v>
      </c>
    </row>
    <row r="90" spans="1:12" x14ac:dyDescent="0.3">
      <c r="A90" s="8" t="s">
        <v>3</v>
      </c>
      <c r="B90" s="8" t="s">
        <v>65</v>
      </c>
      <c r="C90" s="8" t="s">
        <v>66</v>
      </c>
      <c r="D90" s="8">
        <v>80</v>
      </c>
      <c r="E90" s="8" t="s">
        <v>67</v>
      </c>
      <c r="F90" t="s">
        <v>68</v>
      </c>
      <c r="G90" s="8">
        <v>5000</v>
      </c>
      <c r="H90" s="7">
        <v>46157</v>
      </c>
      <c r="I90" s="9">
        <v>270</v>
      </c>
      <c r="J90" s="31">
        <f t="shared" si="2"/>
        <v>46153</v>
      </c>
      <c r="K90" s="31">
        <f>Table14[[#This Row],[week first day]]-7</f>
        <v>46146</v>
      </c>
      <c r="L90">
        <f t="shared" si="3"/>
        <v>4320</v>
      </c>
    </row>
    <row r="91" spans="1:12" x14ac:dyDescent="0.3">
      <c r="A91" s="8" t="s">
        <v>3</v>
      </c>
      <c r="B91" s="8" t="s">
        <v>65</v>
      </c>
      <c r="C91" s="8" t="s">
        <v>66</v>
      </c>
      <c r="D91" s="8">
        <v>80</v>
      </c>
      <c r="E91" s="8" t="s">
        <v>67</v>
      </c>
      <c r="F91" t="s">
        <v>68</v>
      </c>
      <c r="G91" s="8">
        <v>5000</v>
      </c>
      <c r="H91" s="7">
        <v>46157</v>
      </c>
      <c r="I91" s="9">
        <v>270</v>
      </c>
      <c r="J91" s="31">
        <f t="shared" si="2"/>
        <v>46153</v>
      </c>
      <c r="K91" s="31">
        <f>Table14[[#This Row],[week first day]]-7</f>
        <v>46146</v>
      </c>
      <c r="L91">
        <f t="shared" si="3"/>
        <v>4320</v>
      </c>
    </row>
    <row r="92" spans="1:12" x14ac:dyDescent="0.3">
      <c r="A92" s="8" t="s">
        <v>3</v>
      </c>
      <c r="B92" s="8" t="s">
        <v>65</v>
      </c>
      <c r="C92" s="8" t="s">
        <v>66</v>
      </c>
      <c r="D92" s="8">
        <v>80</v>
      </c>
      <c r="E92" s="8" t="s">
        <v>67</v>
      </c>
      <c r="F92" t="s">
        <v>68</v>
      </c>
      <c r="G92" s="8">
        <v>5000</v>
      </c>
      <c r="H92" s="7">
        <v>46157</v>
      </c>
      <c r="I92" s="9">
        <v>270</v>
      </c>
      <c r="J92" s="31">
        <f t="shared" si="2"/>
        <v>46153</v>
      </c>
      <c r="K92" s="31">
        <f>Table14[[#This Row],[week first day]]-7</f>
        <v>46146</v>
      </c>
      <c r="L92">
        <f t="shared" si="3"/>
        <v>4320</v>
      </c>
    </row>
    <row r="93" spans="1:12" x14ac:dyDescent="0.3">
      <c r="A93" s="8" t="s">
        <v>3</v>
      </c>
      <c r="B93" s="8" t="s">
        <v>65</v>
      </c>
      <c r="C93" s="8" t="s">
        <v>66</v>
      </c>
      <c r="D93" s="8">
        <v>80</v>
      </c>
      <c r="E93" s="8" t="s">
        <v>67</v>
      </c>
      <c r="F93" t="s">
        <v>68</v>
      </c>
      <c r="G93" s="8">
        <v>5000</v>
      </c>
      <c r="H93" s="7">
        <v>46157</v>
      </c>
      <c r="I93" s="9">
        <v>270</v>
      </c>
      <c r="J93" s="31">
        <f t="shared" si="2"/>
        <v>46153</v>
      </c>
      <c r="K93" s="31">
        <f>Table14[[#This Row],[week first day]]-7</f>
        <v>46146</v>
      </c>
      <c r="L93">
        <f t="shared" si="3"/>
        <v>4320</v>
      </c>
    </row>
    <row r="94" spans="1:12" x14ac:dyDescent="0.3">
      <c r="A94" s="8" t="s">
        <v>3</v>
      </c>
      <c r="B94" s="8" t="s">
        <v>65</v>
      </c>
      <c r="C94" s="8" t="s">
        <v>66</v>
      </c>
      <c r="D94" s="8">
        <v>80</v>
      </c>
      <c r="E94" s="8" t="s">
        <v>67</v>
      </c>
      <c r="F94" t="s">
        <v>68</v>
      </c>
      <c r="G94" s="8">
        <v>5000</v>
      </c>
      <c r="H94" s="7">
        <v>46157</v>
      </c>
      <c r="I94" s="9">
        <v>270</v>
      </c>
      <c r="J94" s="31">
        <f t="shared" si="2"/>
        <v>46153</v>
      </c>
      <c r="K94" s="31">
        <f>Table14[[#This Row],[week first day]]-7</f>
        <v>46146</v>
      </c>
      <c r="L94">
        <f t="shared" si="3"/>
        <v>4320</v>
      </c>
    </row>
    <row r="95" spans="1:12" x14ac:dyDescent="0.3">
      <c r="A95" s="8" t="s">
        <v>3</v>
      </c>
      <c r="B95" s="8" t="s">
        <v>65</v>
      </c>
      <c r="C95" s="8" t="s">
        <v>66</v>
      </c>
      <c r="D95" s="8">
        <v>80</v>
      </c>
      <c r="E95" s="8" t="s">
        <v>67</v>
      </c>
      <c r="F95" t="s">
        <v>68</v>
      </c>
      <c r="G95" s="8">
        <v>5000</v>
      </c>
      <c r="H95" s="7">
        <v>46157</v>
      </c>
      <c r="I95" s="9">
        <v>270</v>
      </c>
      <c r="J95" s="31">
        <f t="shared" si="2"/>
        <v>46153</v>
      </c>
      <c r="K95" s="31">
        <f>Table14[[#This Row],[week first day]]-7</f>
        <v>46146</v>
      </c>
      <c r="L95">
        <f t="shared" si="3"/>
        <v>4320</v>
      </c>
    </row>
    <row r="96" spans="1:12" x14ac:dyDescent="0.3">
      <c r="A96" s="8" t="s">
        <v>3</v>
      </c>
      <c r="B96" s="8" t="s">
        <v>65</v>
      </c>
      <c r="C96" s="8" t="s">
        <v>66</v>
      </c>
      <c r="D96" s="8">
        <v>80</v>
      </c>
      <c r="E96" s="8" t="s">
        <v>67</v>
      </c>
      <c r="F96" t="s">
        <v>68</v>
      </c>
      <c r="G96" s="8">
        <v>5000</v>
      </c>
      <c r="H96" s="7">
        <v>46157</v>
      </c>
      <c r="I96" s="9">
        <v>270</v>
      </c>
      <c r="J96" s="31">
        <f t="shared" si="2"/>
        <v>46153</v>
      </c>
      <c r="K96" s="31">
        <f>Table14[[#This Row],[week first day]]-7</f>
        <v>46146</v>
      </c>
      <c r="L96">
        <f t="shared" si="3"/>
        <v>4320</v>
      </c>
    </row>
    <row r="97" spans="1:12" x14ac:dyDescent="0.3">
      <c r="A97" s="8" t="s">
        <v>3</v>
      </c>
      <c r="B97" s="8" t="s">
        <v>65</v>
      </c>
      <c r="C97" s="8" t="s">
        <v>66</v>
      </c>
      <c r="D97" s="8">
        <v>80</v>
      </c>
      <c r="E97" s="8" t="s">
        <v>67</v>
      </c>
      <c r="F97" t="s">
        <v>68</v>
      </c>
      <c r="G97" s="8">
        <v>5000</v>
      </c>
      <c r="H97" s="7">
        <v>46157</v>
      </c>
      <c r="I97" s="9">
        <v>270</v>
      </c>
      <c r="J97" s="31">
        <f t="shared" si="2"/>
        <v>46153</v>
      </c>
      <c r="K97" s="31">
        <f>Table14[[#This Row],[week first day]]-7</f>
        <v>46146</v>
      </c>
      <c r="L97">
        <f t="shared" si="3"/>
        <v>4320</v>
      </c>
    </row>
    <row r="98" spans="1:12" x14ac:dyDescent="0.3">
      <c r="A98" s="8" t="s">
        <v>3</v>
      </c>
      <c r="B98" s="8" t="s">
        <v>65</v>
      </c>
      <c r="C98" s="8" t="s">
        <v>66</v>
      </c>
      <c r="D98" s="8">
        <v>80</v>
      </c>
      <c r="E98" s="8" t="s">
        <v>67</v>
      </c>
      <c r="F98" t="s">
        <v>68</v>
      </c>
      <c r="G98" s="8">
        <v>5000</v>
      </c>
      <c r="H98" s="7">
        <v>46157</v>
      </c>
      <c r="I98" s="9">
        <v>270</v>
      </c>
      <c r="J98" s="31">
        <f t="shared" si="2"/>
        <v>46153</v>
      </c>
      <c r="K98" s="31">
        <f>Table14[[#This Row],[week first day]]-7</f>
        <v>46146</v>
      </c>
      <c r="L98">
        <f t="shared" si="3"/>
        <v>4320</v>
      </c>
    </row>
    <row r="99" spans="1:12" x14ac:dyDescent="0.3">
      <c r="A99" s="8" t="s">
        <v>3</v>
      </c>
      <c r="B99" s="8" t="s">
        <v>65</v>
      </c>
      <c r="C99" s="8" t="s">
        <v>66</v>
      </c>
      <c r="D99" s="8">
        <v>80</v>
      </c>
      <c r="E99" s="8" t="s">
        <v>67</v>
      </c>
      <c r="F99" t="s">
        <v>68</v>
      </c>
      <c r="G99" s="8">
        <v>5000</v>
      </c>
      <c r="H99" s="7">
        <v>46157</v>
      </c>
      <c r="I99" s="9">
        <v>270</v>
      </c>
      <c r="J99" s="31">
        <f t="shared" si="2"/>
        <v>46153</v>
      </c>
      <c r="K99" s="31">
        <f>Table14[[#This Row],[week first day]]-7</f>
        <v>46146</v>
      </c>
      <c r="L99">
        <f t="shared" si="3"/>
        <v>4320</v>
      </c>
    </row>
    <row r="100" spans="1:12" x14ac:dyDescent="0.3">
      <c r="A100" s="8" t="s">
        <v>3</v>
      </c>
      <c r="B100" s="8" t="s">
        <v>65</v>
      </c>
      <c r="C100" s="8" t="s">
        <v>66</v>
      </c>
      <c r="D100" s="8">
        <v>80</v>
      </c>
      <c r="E100" s="8" t="s">
        <v>67</v>
      </c>
      <c r="F100" t="s">
        <v>68</v>
      </c>
      <c r="G100" s="8">
        <v>5000</v>
      </c>
      <c r="H100" s="7">
        <v>46157</v>
      </c>
      <c r="I100" s="9">
        <v>270</v>
      </c>
      <c r="J100" s="31">
        <f t="shared" si="2"/>
        <v>46153</v>
      </c>
      <c r="K100" s="31">
        <f>Table14[[#This Row],[week first day]]-7</f>
        <v>46146</v>
      </c>
      <c r="L100">
        <f t="shared" si="3"/>
        <v>4320</v>
      </c>
    </row>
    <row r="101" spans="1:12" x14ac:dyDescent="0.3">
      <c r="A101" s="8" t="s">
        <v>3</v>
      </c>
      <c r="B101" s="8" t="s">
        <v>65</v>
      </c>
      <c r="C101" s="8" t="s">
        <v>66</v>
      </c>
      <c r="D101" s="8">
        <v>80</v>
      </c>
      <c r="E101" s="8" t="s">
        <v>67</v>
      </c>
      <c r="F101" t="s">
        <v>68</v>
      </c>
      <c r="G101" s="8">
        <v>5000</v>
      </c>
      <c r="H101" s="7">
        <v>46157</v>
      </c>
      <c r="I101" s="9">
        <v>270</v>
      </c>
      <c r="J101" s="31">
        <f t="shared" si="2"/>
        <v>46153</v>
      </c>
      <c r="K101" s="31">
        <f>Table14[[#This Row],[week first day]]-7</f>
        <v>46146</v>
      </c>
      <c r="L101">
        <f t="shared" si="3"/>
        <v>4320</v>
      </c>
    </row>
    <row r="102" spans="1:12" x14ac:dyDescent="0.3">
      <c r="A102" s="8" t="s">
        <v>3</v>
      </c>
      <c r="B102" s="8" t="s">
        <v>65</v>
      </c>
      <c r="C102" s="8" t="s">
        <v>66</v>
      </c>
      <c r="D102" s="8">
        <v>80</v>
      </c>
      <c r="E102" s="8" t="s">
        <v>67</v>
      </c>
      <c r="F102" t="s">
        <v>68</v>
      </c>
      <c r="G102" s="8">
        <v>5000</v>
      </c>
      <c r="H102" s="7">
        <v>46164</v>
      </c>
      <c r="I102" s="9">
        <v>270</v>
      </c>
      <c r="J102" s="31">
        <f t="shared" si="2"/>
        <v>46160</v>
      </c>
      <c r="K102" s="31">
        <f>Table14[[#This Row],[week first day]]-7</f>
        <v>46153</v>
      </c>
      <c r="L102">
        <f t="shared" si="3"/>
        <v>8370</v>
      </c>
    </row>
    <row r="103" spans="1:12" x14ac:dyDescent="0.3">
      <c r="A103" s="8" t="s">
        <v>3</v>
      </c>
      <c r="B103" s="8" t="s">
        <v>65</v>
      </c>
      <c r="C103" s="8" t="s">
        <v>66</v>
      </c>
      <c r="D103" s="8">
        <v>80</v>
      </c>
      <c r="E103" s="8" t="s">
        <v>67</v>
      </c>
      <c r="F103" t="s">
        <v>68</v>
      </c>
      <c r="G103" s="8">
        <v>5000</v>
      </c>
      <c r="H103" s="7">
        <v>46164</v>
      </c>
      <c r="I103" s="9">
        <v>270</v>
      </c>
      <c r="J103" s="31">
        <f t="shared" si="2"/>
        <v>46160</v>
      </c>
      <c r="K103" s="31">
        <f>Table14[[#This Row],[week first day]]-7</f>
        <v>46153</v>
      </c>
      <c r="L103">
        <f t="shared" si="3"/>
        <v>8370</v>
      </c>
    </row>
    <row r="104" spans="1:12" x14ac:dyDescent="0.3">
      <c r="A104" s="8" t="s">
        <v>3</v>
      </c>
      <c r="B104" s="8" t="s">
        <v>65</v>
      </c>
      <c r="C104" s="8" t="s">
        <v>66</v>
      </c>
      <c r="D104" s="8">
        <v>80</v>
      </c>
      <c r="E104" s="8" t="s">
        <v>67</v>
      </c>
      <c r="F104" t="s">
        <v>68</v>
      </c>
      <c r="G104" s="8">
        <v>5000</v>
      </c>
      <c r="H104" s="7">
        <v>46164</v>
      </c>
      <c r="I104" s="9">
        <v>270</v>
      </c>
      <c r="J104" s="31">
        <f t="shared" si="2"/>
        <v>46160</v>
      </c>
      <c r="K104" s="31">
        <f>Table14[[#This Row],[week first day]]-7</f>
        <v>46153</v>
      </c>
      <c r="L104">
        <f t="shared" si="3"/>
        <v>8370</v>
      </c>
    </row>
    <row r="105" spans="1:12" x14ac:dyDescent="0.3">
      <c r="A105" s="8" t="s">
        <v>3</v>
      </c>
      <c r="B105" s="8" t="s">
        <v>65</v>
      </c>
      <c r="C105" s="8" t="s">
        <v>66</v>
      </c>
      <c r="D105" s="8">
        <v>80</v>
      </c>
      <c r="E105" s="8" t="s">
        <v>67</v>
      </c>
      <c r="F105" t="s">
        <v>68</v>
      </c>
      <c r="G105" s="8">
        <v>5000</v>
      </c>
      <c r="H105" s="7">
        <v>46164</v>
      </c>
      <c r="I105" s="9">
        <v>270</v>
      </c>
      <c r="J105" s="31">
        <f t="shared" si="2"/>
        <v>46160</v>
      </c>
      <c r="K105" s="31">
        <f>Table14[[#This Row],[week first day]]-7</f>
        <v>46153</v>
      </c>
      <c r="L105">
        <f t="shared" si="3"/>
        <v>8370</v>
      </c>
    </row>
    <row r="106" spans="1:12" x14ac:dyDescent="0.3">
      <c r="A106" s="8" t="s">
        <v>3</v>
      </c>
      <c r="B106" s="8" t="s">
        <v>65</v>
      </c>
      <c r="C106" s="8" t="s">
        <v>66</v>
      </c>
      <c r="D106" s="8">
        <v>80</v>
      </c>
      <c r="E106" s="8" t="s">
        <v>67</v>
      </c>
      <c r="F106" t="s">
        <v>68</v>
      </c>
      <c r="G106" s="8">
        <v>5000</v>
      </c>
      <c r="H106" s="7">
        <v>46164</v>
      </c>
      <c r="I106" s="9">
        <v>270</v>
      </c>
      <c r="J106" s="31">
        <f t="shared" si="2"/>
        <v>46160</v>
      </c>
      <c r="K106" s="31">
        <f>Table14[[#This Row],[week first day]]-7</f>
        <v>46153</v>
      </c>
      <c r="L106">
        <f t="shared" si="3"/>
        <v>8370</v>
      </c>
    </row>
    <row r="107" spans="1:12" x14ac:dyDescent="0.3">
      <c r="A107" s="8" t="s">
        <v>3</v>
      </c>
      <c r="B107" s="8" t="s">
        <v>65</v>
      </c>
      <c r="C107" s="8" t="s">
        <v>66</v>
      </c>
      <c r="D107" s="8">
        <v>80</v>
      </c>
      <c r="E107" s="8" t="s">
        <v>67</v>
      </c>
      <c r="F107" t="s">
        <v>68</v>
      </c>
      <c r="G107" s="8">
        <v>5000</v>
      </c>
      <c r="H107" s="7">
        <v>46164</v>
      </c>
      <c r="I107" s="9">
        <v>270</v>
      </c>
      <c r="J107" s="31">
        <f t="shared" si="2"/>
        <v>46160</v>
      </c>
      <c r="K107" s="31">
        <f>Table14[[#This Row],[week first day]]-7</f>
        <v>46153</v>
      </c>
      <c r="L107">
        <f t="shared" si="3"/>
        <v>8370</v>
      </c>
    </row>
    <row r="108" spans="1:12" x14ac:dyDescent="0.3">
      <c r="A108" s="8" t="s">
        <v>3</v>
      </c>
      <c r="B108" s="8" t="s">
        <v>65</v>
      </c>
      <c r="C108" s="8" t="s">
        <v>66</v>
      </c>
      <c r="D108" s="8">
        <v>80</v>
      </c>
      <c r="E108" s="8" t="s">
        <v>67</v>
      </c>
      <c r="F108" t="s">
        <v>68</v>
      </c>
      <c r="G108" s="8">
        <v>5000</v>
      </c>
      <c r="H108" s="7">
        <v>46164</v>
      </c>
      <c r="I108" s="9">
        <v>270</v>
      </c>
      <c r="J108" s="31">
        <f t="shared" si="2"/>
        <v>46160</v>
      </c>
      <c r="K108" s="31">
        <f>Table14[[#This Row],[week first day]]-7</f>
        <v>46153</v>
      </c>
      <c r="L108">
        <f t="shared" si="3"/>
        <v>8370</v>
      </c>
    </row>
    <row r="109" spans="1:12" x14ac:dyDescent="0.3">
      <c r="A109" s="8" t="s">
        <v>3</v>
      </c>
      <c r="B109" s="8" t="s">
        <v>65</v>
      </c>
      <c r="C109" s="8" t="s">
        <v>66</v>
      </c>
      <c r="D109" s="8">
        <v>80</v>
      </c>
      <c r="E109" s="8" t="s">
        <v>67</v>
      </c>
      <c r="F109" t="s">
        <v>68</v>
      </c>
      <c r="G109" s="8">
        <v>5000</v>
      </c>
      <c r="H109" s="7">
        <v>46164</v>
      </c>
      <c r="I109" s="9">
        <v>270</v>
      </c>
      <c r="J109" s="31">
        <f t="shared" si="2"/>
        <v>46160</v>
      </c>
      <c r="K109" s="31">
        <f>Table14[[#This Row],[week first day]]-7</f>
        <v>46153</v>
      </c>
      <c r="L109">
        <f t="shared" si="3"/>
        <v>8370</v>
      </c>
    </row>
    <row r="110" spans="1:12" x14ac:dyDescent="0.3">
      <c r="A110" s="8" t="s">
        <v>3</v>
      </c>
      <c r="B110" s="8" t="s">
        <v>65</v>
      </c>
      <c r="C110" s="8" t="s">
        <v>66</v>
      </c>
      <c r="D110" s="8">
        <v>80</v>
      </c>
      <c r="E110" s="8" t="s">
        <v>67</v>
      </c>
      <c r="F110" t="s">
        <v>68</v>
      </c>
      <c r="G110" s="8">
        <v>5000</v>
      </c>
      <c r="H110" s="7">
        <v>46164</v>
      </c>
      <c r="I110" s="9">
        <v>270</v>
      </c>
      <c r="J110" s="31">
        <f t="shared" si="2"/>
        <v>46160</v>
      </c>
      <c r="K110" s="31">
        <f>Table14[[#This Row],[week first day]]-7</f>
        <v>46153</v>
      </c>
      <c r="L110">
        <f t="shared" si="3"/>
        <v>8370</v>
      </c>
    </row>
    <row r="111" spans="1:12" x14ac:dyDescent="0.3">
      <c r="A111" s="8" t="s">
        <v>3</v>
      </c>
      <c r="B111" s="8" t="s">
        <v>65</v>
      </c>
      <c r="C111" s="8" t="s">
        <v>66</v>
      </c>
      <c r="D111" s="8">
        <v>80</v>
      </c>
      <c r="E111" s="8" t="s">
        <v>67</v>
      </c>
      <c r="F111" t="s">
        <v>68</v>
      </c>
      <c r="G111" s="8">
        <v>5000</v>
      </c>
      <c r="H111" s="7">
        <v>46164</v>
      </c>
      <c r="I111" s="9">
        <v>270</v>
      </c>
      <c r="J111" s="31">
        <f t="shared" si="2"/>
        <v>46160</v>
      </c>
      <c r="K111" s="31">
        <f>Table14[[#This Row],[week first day]]-7</f>
        <v>46153</v>
      </c>
      <c r="L111">
        <f t="shared" si="3"/>
        <v>8370</v>
      </c>
    </row>
    <row r="112" spans="1:12" x14ac:dyDescent="0.3">
      <c r="A112" s="8" t="s">
        <v>3</v>
      </c>
      <c r="B112" s="8" t="s">
        <v>65</v>
      </c>
      <c r="C112" s="8" t="s">
        <v>66</v>
      </c>
      <c r="D112" s="8">
        <v>80</v>
      </c>
      <c r="E112" s="8" t="s">
        <v>67</v>
      </c>
      <c r="F112" t="s">
        <v>68</v>
      </c>
      <c r="G112" s="8">
        <v>5000</v>
      </c>
      <c r="H112" s="7">
        <v>46164</v>
      </c>
      <c r="I112" s="9">
        <v>270</v>
      </c>
      <c r="J112" s="31">
        <f t="shared" si="2"/>
        <v>46160</v>
      </c>
      <c r="K112" s="31">
        <f>Table14[[#This Row],[week first day]]-7</f>
        <v>46153</v>
      </c>
      <c r="L112">
        <f t="shared" si="3"/>
        <v>8370</v>
      </c>
    </row>
    <row r="113" spans="1:12" x14ac:dyDescent="0.3">
      <c r="A113" s="8" t="s">
        <v>3</v>
      </c>
      <c r="B113" s="8" t="s">
        <v>65</v>
      </c>
      <c r="C113" s="8" t="s">
        <v>66</v>
      </c>
      <c r="D113" s="8">
        <v>80</v>
      </c>
      <c r="E113" s="8" t="s">
        <v>67</v>
      </c>
      <c r="F113" t="s">
        <v>68</v>
      </c>
      <c r="G113" s="8">
        <v>5000</v>
      </c>
      <c r="H113" s="7">
        <v>46164</v>
      </c>
      <c r="I113" s="9">
        <v>270</v>
      </c>
      <c r="J113" s="31">
        <f t="shared" si="2"/>
        <v>46160</v>
      </c>
      <c r="K113" s="31">
        <f>Table14[[#This Row],[week first day]]-7</f>
        <v>46153</v>
      </c>
      <c r="L113">
        <f t="shared" si="3"/>
        <v>8370</v>
      </c>
    </row>
    <row r="114" spans="1:12" x14ac:dyDescent="0.3">
      <c r="A114" s="8" t="s">
        <v>3</v>
      </c>
      <c r="B114" s="8" t="s">
        <v>65</v>
      </c>
      <c r="C114" s="8" t="s">
        <v>66</v>
      </c>
      <c r="D114" s="8">
        <v>80</v>
      </c>
      <c r="E114" s="8" t="s">
        <v>67</v>
      </c>
      <c r="F114" t="s">
        <v>68</v>
      </c>
      <c r="G114" s="8">
        <v>5000</v>
      </c>
      <c r="H114" s="7">
        <v>46164</v>
      </c>
      <c r="I114" s="9">
        <v>270</v>
      </c>
      <c r="J114" s="31">
        <f t="shared" si="2"/>
        <v>46160</v>
      </c>
      <c r="K114" s="31">
        <f>Table14[[#This Row],[week first day]]-7</f>
        <v>46153</v>
      </c>
      <c r="L114">
        <f t="shared" si="3"/>
        <v>8370</v>
      </c>
    </row>
    <row r="115" spans="1:12" x14ac:dyDescent="0.3">
      <c r="A115" s="8" t="s">
        <v>3</v>
      </c>
      <c r="B115" s="8" t="s">
        <v>65</v>
      </c>
      <c r="C115" s="8" t="s">
        <v>66</v>
      </c>
      <c r="D115" s="8">
        <v>80</v>
      </c>
      <c r="E115" s="8" t="s">
        <v>67</v>
      </c>
      <c r="F115" t="s">
        <v>68</v>
      </c>
      <c r="G115" s="8">
        <v>5000</v>
      </c>
      <c r="H115" s="7">
        <v>46164</v>
      </c>
      <c r="I115" s="9">
        <v>270</v>
      </c>
      <c r="J115" s="31">
        <f t="shared" si="2"/>
        <v>46160</v>
      </c>
      <c r="K115" s="31">
        <f>Table14[[#This Row],[week first day]]-7</f>
        <v>46153</v>
      </c>
      <c r="L115">
        <f t="shared" si="3"/>
        <v>8370</v>
      </c>
    </row>
    <row r="116" spans="1:12" x14ac:dyDescent="0.3">
      <c r="A116" s="8" t="s">
        <v>3</v>
      </c>
      <c r="B116" s="8" t="s">
        <v>65</v>
      </c>
      <c r="C116" s="8" t="s">
        <v>66</v>
      </c>
      <c r="D116" s="8">
        <v>80</v>
      </c>
      <c r="E116" s="8" t="s">
        <v>67</v>
      </c>
      <c r="F116" t="s">
        <v>68</v>
      </c>
      <c r="G116" s="8">
        <v>5000</v>
      </c>
      <c r="H116" s="7">
        <v>46164</v>
      </c>
      <c r="I116" s="9">
        <v>270</v>
      </c>
      <c r="J116" s="31">
        <f t="shared" si="2"/>
        <v>46160</v>
      </c>
      <c r="K116" s="31">
        <f>Table14[[#This Row],[week first day]]-7</f>
        <v>46153</v>
      </c>
      <c r="L116">
        <f t="shared" si="3"/>
        <v>8370</v>
      </c>
    </row>
    <row r="117" spans="1:12" x14ac:dyDescent="0.3">
      <c r="A117" s="8" t="s">
        <v>3</v>
      </c>
      <c r="B117" s="8" t="s">
        <v>65</v>
      </c>
      <c r="C117" s="8" t="s">
        <v>66</v>
      </c>
      <c r="D117" s="8">
        <v>80</v>
      </c>
      <c r="E117" s="8" t="s">
        <v>67</v>
      </c>
      <c r="F117" t="s">
        <v>68</v>
      </c>
      <c r="G117" s="8">
        <v>5000</v>
      </c>
      <c r="H117" s="7">
        <v>46164</v>
      </c>
      <c r="I117" s="9">
        <v>270</v>
      </c>
      <c r="J117" s="31">
        <f t="shared" si="2"/>
        <v>46160</v>
      </c>
      <c r="K117" s="31">
        <f>Table14[[#This Row],[week first day]]-7</f>
        <v>46153</v>
      </c>
      <c r="L117">
        <f t="shared" si="3"/>
        <v>8370</v>
      </c>
    </row>
    <row r="118" spans="1:12" x14ac:dyDescent="0.3">
      <c r="A118" s="8" t="s">
        <v>3</v>
      </c>
      <c r="B118" s="8" t="s">
        <v>65</v>
      </c>
      <c r="C118" s="8" t="s">
        <v>66</v>
      </c>
      <c r="D118" s="8">
        <v>80</v>
      </c>
      <c r="E118" s="8" t="s">
        <v>67</v>
      </c>
      <c r="F118" t="s">
        <v>68</v>
      </c>
      <c r="G118" s="8">
        <v>5000</v>
      </c>
      <c r="H118" s="7">
        <v>46164</v>
      </c>
      <c r="I118" s="9">
        <v>270</v>
      </c>
      <c r="J118" s="31">
        <f t="shared" si="2"/>
        <v>46160</v>
      </c>
      <c r="K118" s="31">
        <f>Table14[[#This Row],[week first day]]-7</f>
        <v>46153</v>
      </c>
      <c r="L118">
        <f t="shared" si="3"/>
        <v>8370</v>
      </c>
    </row>
    <row r="119" spans="1:12" x14ac:dyDescent="0.3">
      <c r="A119" s="8" t="s">
        <v>3</v>
      </c>
      <c r="B119" s="8" t="s">
        <v>65</v>
      </c>
      <c r="C119" s="8" t="s">
        <v>66</v>
      </c>
      <c r="D119" s="8">
        <v>80</v>
      </c>
      <c r="E119" s="8" t="s">
        <v>67</v>
      </c>
      <c r="F119" t="s">
        <v>68</v>
      </c>
      <c r="G119" s="8">
        <v>5000</v>
      </c>
      <c r="H119" s="7">
        <v>46164</v>
      </c>
      <c r="I119" s="9">
        <v>270</v>
      </c>
      <c r="J119" s="31">
        <f t="shared" si="2"/>
        <v>46160</v>
      </c>
      <c r="K119" s="31">
        <f>Table14[[#This Row],[week first day]]-7</f>
        <v>46153</v>
      </c>
      <c r="L119">
        <f t="shared" si="3"/>
        <v>8370</v>
      </c>
    </row>
    <row r="120" spans="1:12" x14ac:dyDescent="0.3">
      <c r="A120" s="8" t="s">
        <v>3</v>
      </c>
      <c r="B120" s="8" t="s">
        <v>65</v>
      </c>
      <c r="C120" s="8" t="s">
        <v>66</v>
      </c>
      <c r="D120" s="8">
        <v>80</v>
      </c>
      <c r="E120" s="8" t="s">
        <v>67</v>
      </c>
      <c r="F120" t="s">
        <v>68</v>
      </c>
      <c r="G120" s="8">
        <v>5000</v>
      </c>
      <c r="H120" s="7">
        <v>46164</v>
      </c>
      <c r="I120" s="9">
        <v>270</v>
      </c>
      <c r="J120" s="31">
        <f t="shared" si="2"/>
        <v>46160</v>
      </c>
      <c r="K120" s="31">
        <f>Table14[[#This Row],[week first day]]-7</f>
        <v>46153</v>
      </c>
      <c r="L120">
        <f t="shared" si="3"/>
        <v>8370</v>
      </c>
    </row>
    <row r="121" spans="1:12" x14ac:dyDescent="0.3">
      <c r="A121" s="8" t="s">
        <v>3</v>
      </c>
      <c r="B121" s="8" t="s">
        <v>65</v>
      </c>
      <c r="C121" s="8" t="s">
        <v>66</v>
      </c>
      <c r="D121" s="8">
        <v>80</v>
      </c>
      <c r="E121" s="8" t="s">
        <v>67</v>
      </c>
      <c r="F121" t="s">
        <v>68</v>
      </c>
      <c r="G121" s="8">
        <v>5000</v>
      </c>
      <c r="H121" s="7">
        <v>46164</v>
      </c>
      <c r="I121" s="9">
        <v>270</v>
      </c>
      <c r="J121" s="31">
        <f t="shared" si="2"/>
        <v>46160</v>
      </c>
      <c r="K121" s="31">
        <f>Table14[[#This Row],[week first day]]-7</f>
        <v>46153</v>
      </c>
      <c r="L121">
        <f t="shared" si="3"/>
        <v>8370</v>
      </c>
    </row>
    <row r="122" spans="1:12" x14ac:dyDescent="0.3">
      <c r="A122" s="8" t="s">
        <v>3</v>
      </c>
      <c r="B122" s="8" t="s">
        <v>65</v>
      </c>
      <c r="C122" s="8" t="s">
        <v>66</v>
      </c>
      <c r="D122" s="8">
        <v>80</v>
      </c>
      <c r="E122" s="8" t="s">
        <v>67</v>
      </c>
      <c r="F122" t="s">
        <v>68</v>
      </c>
      <c r="G122" s="8">
        <v>5000</v>
      </c>
      <c r="H122" s="7">
        <v>46164</v>
      </c>
      <c r="I122" s="9">
        <v>270</v>
      </c>
      <c r="J122" s="31">
        <f t="shared" si="2"/>
        <v>46160</v>
      </c>
      <c r="K122" s="31">
        <f>Table14[[#This Row],[week first day]]-7</f>
        <v>46153</v>
      </c>
      <c r="L122">
        <f t="shared" si="3"/>
        <v>8370</v>
      </c>
    </row>
    <row r="123" spans="1:12" x14ac:dyDescent="0.3">
      <c r="A123" s="8" t="s">
        <v>3</v>
      </c>
      <c r="B123" s="8" t="s">
        <v>65</v>
      </c>
      <c r="C123" s="8" t="s">
        <v>66</v>
      </c>
      <c r="D123" s="8">
        <v>80</v>
      </c>
      <c r="E123" s="8" t="s">
        <v>67</v>
      </c>
      <c r="F123" t="s">
        <v>68</v>
      </c>
      <c r="G123" s="8">
        <v>5000</v>
      </c>
      <c r="H123" s="7">
        <v>46164</v>
      </c>
      <c r="I123" s="9">
        <v>270</v>
      </c>
      <c r="J123" s="31">
        <f t="shared" si="2"/>
        <v>46160</v>
      </c>
      <c r="K123" s="31">
        <f>Table14[[#This Row],[week first day]]-7</f>
        <v>46153</v>
      </c>
      <c r="L123">
        <f t="shared" si="3"/>
        <v>8370</v>
      </c>
    </row>
    <row r="124" spans="1:12" x14ac:dyDescent="0.3">
      <c r="A124" s="8" t="s">
        <v>3</v>
      </c>
      <c r="B124" s="8" t="s">
        <v>65</v>
      </c>
      <c r="C124" s="8" t="s">
        <v>66</v>
      </c>
      <c r="D124" s="8">
        <v>80</v>
      </c>
      <c r="E124" s="8" t="s">
        <v>67</v>
      </c>
      <c r="F124" t="s">
        <v>68</v>
      </c>
      <c r="G124" s="8">
        <v>5000</v>
      </c>
      <c r="H124" s="7">
        <v>46164</v>
      </c>
      <c r="I124" s="9">
        <v>270</v>
      </c>
      <c r="J124" s="31">
        <f t="shared" si="2"/>
        <v>46160</v>
      </c>
      <c r="K124" s="31">
        <f>Table14[[#This Row],[week first day]]-7</f>
        <v>46153</v>
      </c>
      <c r="L124">
        <f t="shared" si="3"/>
        <v>8370</v>
      </c>
    </row>
    <row r="125" spans="1:12" x14ac:dyDescent="0.3">
      <c r="A125" s="8" t="s">
        <v>3</v>
      </c>
      <c r="B125" s="8" t="s">
        <v>65</v>
      </c>
      <c r="C125" s="8" t="s">
        <v>66</v>
      </c>
      <c r="D125" s="8">
        <v>80</v>
      </c>
      <c r="E125" s="8" t="s">
        <v>67</v>
      </c>
      <c r="F125" t="s">
        <v>68</v>
      </c>
      <c r="G125" s="8">
        <v>5000</v>
      </c>
      <c r="H125" s="7">
        <v>46164</v>
      </c>
      <c r="I125" s="9">
        <v>270</v>
      </c>
      <c r="J125" s="31">
        <f t="shared" si="2"/>
        <v>46160</v>
      </c>
      <c r="K125" s="31">
        <f>Table14[[#This Row],[week first day]]-7</f>
        <v>46153</v>
      </c>
      <c r="L125">
        <f t="shared" si="3"/>
        <v>8370</v>
      </c>
    </row>
    <row r="126" spans="1:12" x14ac:dyDescent="0.3">
      <c r="A126" s="8" t="s">
        <v>3</v>
      </c>
      <c r="B126" s="8" t="s">
        <v>65</v>
      </c>
      <c r="C126" s="8" t="s">
        <v>66</v>
      </c>
      <c r="D126" s="8">
        <v>80</v>
      </c>
      <c r="E126" s="8" t="s">
        <v>67</v>
      </c>
      <c r="F126" t="s">
        <v>68</v>
      </c>
      <c r="G126" s="8">
        <v>5000</v>
      </c>
      <c r="H126" s="7">
        <v>46164</v>
      </c>
      <c r="I126" s="9">
        <v>270</v>
      </c>
      <c r="J126" s="31">
        <f t="shared" si="2"/>
        <v>46160</v>
      </c>
      <c r="K126" s="31">
        <f>Table14[[#This Row],[week first day]]-7</f>
        <v>46153</v>
      </c>
      <c r="L126">
        <f t="shared" si="3"/>
        <v>8370</v>
      </c>
    </row>
    <row r="127" spans="1:12" x14ac:dyDescent="0.3">
      <c r="A127" s="8" t="s">
        <v>3</v>
      </c>
      <c r="B127" s="8" t="s">
        <v>65</v>
      </c>
      <c r="C127" s="8" t="s">
        <v>66</v>
      </c>
      <c r="D127" s="8">
        <v>80</v>
      </c>
      <c r="E127" s="8" t="s">
        <v>67</v>
      </c>
      <c r="F127" t="s">
        <v>68</v>
      </c>
      <c r="G127" s="8">
        <v>5000</v>
      </c>
      <c r="H127" s="7">
        <v>46164</v>
      </c>
      <c r="I127" s="9">
        <v>270</v>
      </c>
      <c r="J127" s="31">
        <f t="shared" si="2"/>
        <v>46160</v>
      </c>
      <c r="K127" s="31">
        <f>Table14[[#This Row],[week first day]]-7</f>
        <v>46153</v>
      </c>
      <c r="L127">
        <f t="shared" si="3"/>
        <v>8370</v>
      </c>
    </row>
    <row r="128" spans="1:12" x14ac:dyDescent="0.3">
      <c r="A128" s="8" t="s">
        <v>3</v>
      </c>
      <c r="B128" s="8" t="s">
        <v>65</v>
      </c>
      <c r="C128" s="8" t="s">
        <v>66</v>
      </c>
      <c r="D128" s="8">
        <v>80</v>
      </c>
      <c r="E128" s="8" t="s">
        <v>67</v>
      </c>
      <c r="F128" t="s">
        <v>68</v>
      </c>
      <c r="G128" s="8">
        <v>5000</v>
      </c>
      <c r="H128" s="7">
        <v>46164</v>
      </c>
      <c r="I128" s="9">
        <v>270</v>
      </c>
      <c r="J128" s="31">
        <f t="shared" si="2"/>
        <v>46160</v>
      </c>
      <c r="K128" s="31">
        <f>Table14[[#This Row],[week first day]]-7</f>
        <v>46153</v>
      </c>
      <c r="L128">
        <f t="shared" si="3"/>
        <v>8370</v>
      </c>
    </row>
    <row r="129" spans="1:12" x14ac:dyDescent="0.3">
      <c r="A129" s="8" t="s">
        <v>3</v>
      </c>
      <c r="B129" s="8" t="s">
        <v>65</v>
      </c>
      <c r="C129" s="8" t="s">
        <v>66</v>
      </c>
      <c r="D129" s="8">
        <v>80</v>
      </c>
      <c r="E129" s="8" t="s">
        <v>67</v>
      </c>
      <c r="F129" t="s">
        <v>68</v>
      </c>
      <c r="G129" s="8">
        <v>5000</v>
      </c>
      <c r="H129" s="7">
        <v>46164</v>
      </c>
      <c r="I129" s="9">
        <v>270</v>
      </c>
      <c r="J129" s="31">
        <f t="shared" si="2"/>
        <v>46160</v>
      </c>
      <c r="K129" s="31">
        <f>Table14[[#This Row],[week first day]]-7</f>
        <v>46153</v>
      </c>
      <c r="L129">
        <f t="shared" si="3"/>
        <v>8370</v>
      </c>
    </row>
    <row r="130" spans="1:12" x14ac:dyDescent="0.3">
      <c r="A130" s="8" t="s">
        <v>3</v>
      </c>
      <c r="B130" s="8" t="s">
        <v>65</v>
      </c>
      <c r="C130" s="8" t="s">
        <v>66</v>
      </c>
      <c r="D130" s="8">
        <v>80</v>
      </c>
      <c r="E130" s="8" t="s">
        <v>67</v>
      </c>
      <c r="F130" t="s">
        <v>68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46160</v>
      </c>
      <c r="K130" s="31">
        <f>Table14[[#This Row],[week first day]]-7</f>
        <v>46153</v>
      </c>
      <c r="L130">
        <f t="shared" ref="L130:L193" si="5">SUMIFS($I:$I,$A:$A,A130,J:J,J130)</f>
        <v>8370</v>
      </c>
    </row>
    <row r="131" spans="1:12" x14ac:dyDescent="0.3">
      <c r="A131" s="8" t="s">
        <v>3</v>
      </c>
      <c r="B131" s="8" t="s">
        <v>65</v>
      </c>
      <c r="C131" s="8" t="s">
        <v>66</v>
      </c>
      <c r="D131" s="8">
        <v>80</v>
      </c>
      <c r="E131" s="8" t="s">
        <v>67</v>
      </c>
      <c r="F131" t="s">
        <v>68</v>
      </c>
      <c r="G131" s="8">
        <v>5000</v>
      </c>
      <c r="H131" s="7">
        <v>46164</v>
      </c>
      <c r="I131" s="9">
        <v>270</v>
      </c>
      <c r="J131" s="31">
        <f t="shared" si="4"/>
        <v>46160</v>
      </c>
      <c r="K131" s="31">
        <f>Table14[[#This Row],[week first day]]-7</f>
        <v>46153</v>
      </c>
      <c r="L131">
        <f t="shared" si="5"/>
        <v>8370</v>
      </c>
    </row>
    <row r="132" spans="1:12" x14ac:dyDescent="0.3">
      <c r="A132" s="8" t="s">
        <v>3</v>
      </c>
      <c r="B132" s="8" t="s">
        <v>65</v>
      </c>
      <c r="C132" s="8" t="s">
        <v>66</v>
      </c>
      <c r="D132" s="8">
        <v>80</v>
      </c>
      <c r="E132" s="8" t="s">
        <v>67</v>
      </c>
      <c r="F132" t="s">
        <v>68</v>
      </c>
      <c r="G132" s="8">
        <v>5000</v>
      </c>
      <c r="H132" s="7">
        <v>46164</v>
      </c>
      <c r="I132" s="9">
        <v>270</v>
      </c>
      <c r="J132" s="31">
        <f t="shared" si="4"/>
        <v>46160</v>
      </c>
      <c r="K132" s="31">
        <f>Table14[[#This Row],[week first day]]-7</f>
        <v>46153</v>
      </c>
      <c r="L132">
        <f t="shared" si="5"/>
        <v>8370</v>
      </c>
    </row>
    <row r="133" spans="1:12" x14ac:dyDescent="0.3">
      <c r="A133" s="8" t="s">
        <v>3</v>
      </c>
      <c r="B133" s="8" t="s">
        <v>65</v>
      </c>
      <c r="C133" s="8" t="s">
        <v>66</v>
      </c>
      <c r="D133" s="8">
        <v>80</v>
      </c>
      <c r="E133" s="8" t="s">
        <v>67</v>
      </c>
      <c r="F133" t="s">
        <v>68</v>
      </c>
      <c r="G133" s="8">
        <v>5000</v>
      </c>
      <c r="H133" s="7">
        <v>46171</v>
      </c>
      <c r="I133" s="9">
        <v>267</v>
      </c>
      <c r="J133" s="31">
        <f t="shared" si="4"/>
        <v>46167</v>
      </c>
      <c r="K133" s="31">
        <f>Table14[[#This Row],[week first day]]-7</f>
        <v>46160</v>
      </c>
      <c r="L133">
        <f t="shared" si="5"/>
        <v>11782</v>
      </c>
    </row>
    <row r="134" spans="1:12" x14ac:dyDescent="0.3">
      <c r="A134" s="8" t="s">
        <v>3</v>
      </c>
      <c r="B134" s="8" t="s">
        <v>65</v>
      </c>
      <c r="C134" s="8" t="s">
        <v>66</v>
      </c>
      <c r="D134" s="8">
        <v>80</v>
      </c>
      <c r="E134" s="8" t="s">
        <v>67</v>
      </c>
      <c r="F134" t="s">
        <v>68</v>
      </c>
      <c r="G134" s="8">
        <v>5000</v>
      </c>
      <c r="H134" s="7">
        <v>46171</v>
      </c>
      <c r="I134" s="9">
        <v>178</v>
      </c>
      <c r="J134" s="31">
        <f t="shared" si="4"/>
        <v>46167</v>
      </c>
      <c r="K134" s="31">
        <f>Table14[[#This Row],[week first day]]-7</f>
        <v>46160</v>
      </c>
      <c r="L134">
        <f t="shared" si="5"/>
        <v>11782</v>
      </c>
    </row>
    <row r="135" spans="1:12" x14ac:dyDescent="0.3">
      <c r="A135" s="8" t="s">
        <v>3</v>
      </c>
      <c r="B135" s="8" t="s">
        <v>65</v>
      </c>
      <c r="C135" s="8" t="s">
        <v>66</v>
      </c>
      <c r="D135" s="8">
        <v>80</v>
      </c>
      <c r="E135" s="8" t="s">
        <v>67</v>
      </c>
      <c r="F135" t="s">
        <v>68</v>
      </c>
      <c r="G135" s="8">
        <v>5000</v>
      </c>
      <c r="H135" s="7">
        <v>46171</v>
      </c>
      <c r="I135" s="9">
        <v>270</v>
      </c>
      <c r="J135" s="31">
        <f t="shared" si="4"/>
        <v>46167</v>
      </c>
      <c r="K135" s="31">
        <f>Table14[[#This Row],[week first day]]-7</f>
        <v>46160</v>
      </c>
      <c r="L135">
        <f t="shared" si="5"/>
        <v>11782</v>
      </c>
    </row>
    <row r="136" spans="1:12" x14ac:dyDescent="0.3">
      <c r="A136" s="8" t="s">
        <v>3</v>
      </c>
      <c r="B136" s="8" t="s">
        <v>65</v>
      </c>
      <c r="C136" s="8" t="s">
        <v>66</v>
      </c>
      <c r="D136" s="8">
        <v>80</v>
      </c>
      <c r="E136" s="8" t="s">
        <v>67</v>
      </c>
      <c r="F136" t="s">
        <v>68</v>
      </c>
      <c r="G136" s="8">
        <v>5000</v>
      </c>
      <c r="H136" s="7">
        <v>46171</v>
      </c>
      <c r="I136" s="9">
        <v>270</v>
      </c>
      <c r="J136" s="31">
        <f t="shared" si="4"/>
        <v>46167</v>
      </c>
      <c r="K136" s="31">
        <f>Table14[[#This Row],[week first day]]-7</f>
        <v>46160</v>
      </c>
      <c r="L136">
        <f t="shared" si="5"/>
        <v>11782</v>
      </c>
    </row>
    <row r="137" spans="1:12" x14ac:dyDescent="0.3">
      <c r="A137" s="8" t="s">
        <v>3</v>
      </c>
      <c r="B137" s="8" t="s">
        <v>65</v>
      </c>
      <c r="C137" s="8" t="s">
        <v>66</v>
      </c>
      <c r="D137" s="8">
        <v>80</v>
      </c>
      <c r="E137" s="8" t="s">
        <v>67</v>
      </c>
      <c r="F137" t="s">
        <v>68</v>
      </c>
      <c r="G137" s="8">
        <v>5000</v>
      </c>
      <c r="H137" s="7">
        <v>46171</v>
      </c>
      <c r="I137" s="9">
        <v>270</v>
      </c>
      <c r="J137" s="31">
        <f t="shared" si="4"/>
        <v>46167</v>
      </c>
      <c r="K137" s="31">
        <f>Table14[[#This Row],[week first day]]-7</f>
        <v>46160</v>
      </c>
      <c r="L137">
        <f t="shared" si="5"/>
        <v>11782</v>
      </c>
    </row>
    <row r="138" spans="1:12" x14ac:dyDescent="0.3">
      <c r="A138" s="8" t="s">
        <v>3</v>
      </c>
      <c r="B138" s="8" t="s">
        <v>65</v>
      </c>
      <c r="C138" s="8" t="s">
        <v>66</v>
      </c>
      <c r="D138" s="8">
        <v>80</v>
      </c>
      <c r="E138" s="8" t="s">
        <v>67</v>
      </c>
      <c r="F138" t="s">
        <v>68</v>
      </c>
      <c r="G138" s="8">
        <v>5000</v>
      </c>
      <c r="H138" s="7">
        <v>46171</v>
      </c>
      <c r="I138" s="9">
        <v>270</v>
      </c>
      <c r="J138" s="31">
        <f t="shared" si="4"/>
        <v>46167</v>
      </c>
      <c r="K138" s="31">
        <f>Table14[[#This Row],[week first day]]-7</f>
        <v>46160</v>
      </c>
      <c r="L138">
        <f t="shared" si="5"/>
        <v>11782</v>
      </c>
    </row>
    <row r="139" spans="1:12" x14ac:dyDescent="0.3">
      <c r="A139" s="8" t="s">
        <v>3</v>
      </c>
      <c r="B139" s="8" t="s">
        <v>65</v>
      </c>
      <c r="C139" s="8" t="s">
        <v>66</v>
      </c>
      <c r="D139" s="8">
        <v>80</v>
      </c>
      <c r="E139" s="8" t="s">
        <v>67</v>
      </c>
      <c r="F139" t="s">
        <v>68</v>
      </c>
      <c r="G139" s="8">
        <v>5000</v>
      </c>
      <c r="H139" s="7">
        <v>46171</v>
      </c>
      <c r="I139" s="9">
        <v>270</v>
      </c>
      <c r="J139" s="31">
        <f t="shared" si="4"/>
        <v>46167</v>
      </c>
      <c r="K139" s="31">
        <f>Table14[[#This Row],[week first day]]-7</f>
        <v>46160</v>
      </c>
      <c r="L139">
        <f t="shared" si="5"/>
        <v>11782</v>
      </c>
    </row>
    <row r="140" spans="1:12" x14ac:dyDescent="0.3">
      <c r="A140" s="8" t="s">
        <v>3</v>
      </c>
      <c r="B140" s="8" t="s">
        <v>65</v>
      </c>
      <c r="C140" s="8" t="s">
        <v>66</v>
      </c>
      <c r="D140" s="8">
        <v>80</v>
      </c>
      <c r="E140" s="8" t="s">
        <v>67</v>
      </c>
      <c r="F140" t="s">
        <v>68</v>
      </c>
      <c r="G140" s="8">
        <v>5000</v>
      </c>
      <c r="H140" s="7">
        <v>46171</v>
      </c>
      <c r="I140" s="9">
        <v>270</v>
      </c>
      <c r="J140" s="31">
        <f t="shared" si="4"/>
        <v>46167</v>
      </c>
      <c r="K140" s="31">
        <f>Table14[[#This Row],[week first day]]-7</f>
        <v>46160</v>
      </c>
      <c r="L140">
        <f t="shared" si="5"/>
        <v>11782</v>
      </c>
    </row>
    <row r="141" spans="1:12" x14ac:dyDescent="0.3">
      <c r="A141" s="8" t="s">
        <v>3</v>
      </c>
      <c r="B141" s="8" t="s">
        <v>65</v>
      </c>
      <c r="C141" s="8" t="s">
        <v>66</v>
      </c>
      <c r="D141" s="8">
        <v>80</v>
      </c>
      <c r="E141" s="8" t="s">
        <v>67</v>
      </c>
      <c r="F141" t="s">
        <v>68</v>
      </c>
      <c r="G141" s="8">
        <v>5000</v>
      </c>
      <c r="H141" s="7">
        <v>46171</v>
      </c>
      <c r="I141" s="9">
        <v>162</v>
      </c>
      <c r="J141" s="31">
        <f t="shared" si="4"/>
        <v>46167</v>
      </c>
      <c r="K141" s="31">
        <f>Table14[[#This Row],[week first day]]-7</f>
        <v>46160</v>
      </c>
      <c r="L141">
        <f t="shared" si="5"/>
        <v>11782</v>
      </c>
    </row>
    <row r="142" spans="1:12" x14ac:dyDescent="0.3">
      <c r="A142" s="8" t="s">
        <v>3</v>
      </c>
      <c r="B142" s="8" t="s">
        <v>65</v>
      </c>
      <c r="C142" s="8" t="s">
        <v>66</v>
      </c>
      <c r="D142" s="8">
        <v>80</v>
      </c>
      <c r="E142" s="8" t="s">
        <v>67</v>
      </c>
      <c r="F142" t="s">
        <v>68</v>
      </c>
      <c r="G142" s="8">
        <v>5000</v>
      </c>
      <c r="H142" s="7">
        <v>46171</v>
      </c>
      <c r="I142" s="9">
        <v>210</v>
      </c>
      <c r="J142" s="31">
        <f t="shared" si="4"/>
        <v>46167</v>
      </c>
      <c r="K142" s="31">
        <f>Table14[[#This Row],[week first day]]-7</f>
        <v>46160</v>
      </c>
      <c r="L142">
        <f t="shared" si="5"/>
        <v>11782</v>
      </c>
    </row>
    <row r="143" spans="1:12" x14ac:dyDescent="0.3">
      <c r="A143" s="8" t="s">
        <v>3</v>
      </c>
      <c r="B143" s="8" t="s">
        <v>65</v>
      </c>
      <c r="C143" s="8" t="s">
        <v>66</v>
      </c>
      <c r="D143" s="8">
        <v>80</v>
      </c>
      <c r="E143" s="8" t="s">
        <v>67</v>
      </c>
      <c r="F143" t="s">
        <v>68</v>
      </c>
      <c r="G143" s="8">
        <v>5000</v>
      </c>
      <c r="H143" s="7">
        <v>46171</v>
      </c>
      <c r="I143" s="9">
        <v>270</v>
      </c>
      <c r="J143" s="31">
        <f t="shared" si="4"/>
        <v>46167</v>
      </c>
      <c r="K143" s="31">
        <f>Table14[[#This Row],[week first day]]-7</f>
        <v>46160</v>
      </c>
      <c r="L143">
        <f t="shared" si="5"/>
        <v>11782</v>
      </c>
    </row>
    <row r="144" spans="1:12" x14ac:dyDescent="0.3">
      <c r="A144" s="8" t="s">
        <v>3</v>
      </c>
      <c r="B144" s="8" t="s">
        <v>65</v>
      </c>
      <c r="C144" s="8" t="s">
        <v>66</v>
      </c>
      <c r="D144" s="8">
        <v>80</v>
      </c>
      <c r="E144" s="8" t="s">
        <v>67</v>
      </c>
      <c r="F144" t="s">
        <v>68</v>
      </c>
      <c r="G144" s="8">
        <v>5000</v>
      </c>
      <c r="H144" s="7">
        <v>46171</v>
      </c>
      <c r="I144" s="9">
        <v>270</v>
      </c>
      <c r="J144" s="31">
        <f t="shared" si="4"/>
        <v>46167</v>
      </c>
      <c r="K144" s="31">
        <f>Table14[[#This Row],[week first day]]-7</f>
        <v>46160</v>
      </c>
      <c r="L144">
        <f t="shared" si="5"/>
        <v>11782</v>
      </c>
    </row>
    <row r="145" spans="1:12" x14ac:dyDescent="0.3">
      <c r="A145" s="8" t="s">
        <v>3</v>
      </c>
      <c r="B145" s="8" t="s">
        <v>65</v>
      </c>
      <c r="C145" s="8" t="s">
        <v>66</v>
      </c>
      <c r="D145" s="8">
        <v>80</v>
      </c>
      <c r="E145" s="8" t="s">
        <v>67</v>
      </c>
      <c r="F145" t="s">
        <v>68</v>
      </c>
      <c r="G145" s="8">
        <v>5000</v>
      </c>
      <c r="H145" s="7">
        <v>46171</v>
      </c>
      <c r="I145" s="9">
        <v>270</v>
      </c>
      <c r="J145" s="31">
        <f t="shared" si="4"/>
        <v>46167</v>
      </c>
      <c r="K145" s="31">
        <f>Table14[[#This Row],[week first day]]-7</f>
        <v>46160</v>
      </c>
      <c r="L145">
        <f t="shared" si="5"/>
        <v>11782</v>
      </c>
    </row>
    <row r="146" spans="1:12" x14ac:dyDescent="0.3">
      <c r="A146" s="8" t="s">
        <v>3</v>
      </c>
      <c r="B146" s="8" t="s">
        <v>65</v>
      </c>
      <c r="C146" s="8" t="s">
        <v>66</v>
      </c>
      <c r="D146" s="8">
        <v>80</v>
      </c>
      <c r="E146" s="8" t="s">
        <v>67</v>
      </c>
      <c r="F146" t="s">
        <v>68</v>
      </c>
      <c r="G146" s="8">
        <v>5000</v>
      </c>
      <c r="H146" s="7">
        <v>46171</v>
      </c>
      <c r="I146" s="9">
        <v>270</v>
      </c>
      <c r="J146" s="31">
        <f t="shared" si="4"/>
        <v>46167</v>
      </c>
      <c r="K146" s="31">
        <f>Table14[[#This Row],[week first day]]-7</f>
        <v>46160</v>
      </c>
      <c r="L146">
        <f t="shared" si="5"/>
        <v>11782</v>
      </c>
    </row>
    <row r="147" spans="1:12" x14ac:dyDescent="0.3">
      <c r="A147" s="8" t="s">
        <v>3</v>
      </c>
      <c r="B147" s="8" t="s">
        <v>65</v>
      </c>
      <c r="C147" s="8" t="s">
        <v>66</v>
      </c>
      <c r="D147" s="8">
        <v>80</v>
      </c>
      <c r="E147" s="8" t="s">
        <v>67</v>
      </c>
      <c r="F147" t="s">
        <v>68</v>
      </c>
      <c r="G147" s="8">
        <v>5000</v>
      </c>
      <c r="H147" s="7">
        <v>46171</v>
      </c>
      <c r="I147" s="9">
        <v>270</v>
      </c>
      <c r="J147" s="31">
        <f t="shared" si="4"/>
        <v>46167</v>
      </c>
      <c r="K147" s="31">
        <f>Table14[[#This Row],[week first day]]-7</f>
        <v>46160</v>
      </c>
      <c r="L147">
        <f t="shared" si="5"/>
        <v>11782</v>
      </c>
    </row>
    <row r="148" spans="1:12" x14ac:dyDescent="0.3">
      <c r="A148" s="8" t="s">
        <v>3</v>
      </c>
      <c r="B148" s="8" t="s">
        <v>65</v>
      </c>
      <c r="C148" s="8" t="s">
        <v>66</v>
      </c>
      <c r="D148" s="8">
        <v>80</v>
      </c>
      <c r="E148" s="8" t="s">
        <v>67</v>
      </c>
      <c r="F148" t="s">
        <v>68</v>
      </c>
      <c r="G148" s="8">
        <v>5000</v>
      </c>
      <c r="H148" s="7">
        <v>46171</v>
      </c>
      <c r="I148" s="9">
        <v>270</v>
      </c>
      <c r="J148" s="31">
        <f t="shared" si="4"/>
        <v>46167</v>
      </c>
      <c r="K148" s="31">
        <f>Table14[[#This Row],[week first day]]-7</f>
        <v>46160</v>
      </c>
      <c r="L148">
        <f t="shared" si="5"/>
        <v>11782</v>
      </c>
    </row>
    <row r="149" spans="1:12" x14ac:dyDescent="0.3">
      <c r="A149" s="8" t="s">
        <v>3</v>
      </c>
      <c r="B149" s="8" t="s">
        <v>65</v>
      </c>
      <c r="C149" s="8" t="s">
        <v>66</v>
      </c>
      <c r="D149" s="8">
        <v>80</v>
      </c>
      <c r="E149" s="8" t="s">
        <v>67</v>
      </c>
      <c r="F149" t="s">
        <v>68</v>
      </c>
      <c r="G149" s="8">
        <v>5000</v>
      </c>
      <c r="H149" s="7">
        <v>46171</v>
      </c>
      <c r="I149" s="9">
        <v>270</v>
      </c>
      <c r="J149" s="31">
        <f t="shared" si="4"/>
        <v>46167</v>
      </c>
      <c r="K149" s="31">
        <f>Table14[[#This Row],[week first day]]-7</f>
        <v>46160</v>
      </c>
      <c r="L149">
        <f t="shared" si="5"/>
        <v>11782</v>
      </c>
    </row>
    <row r="150" spans="1:12" x14ac:dyDescent="0.3">
      <c r="A150" s="8" t="s">
        <v>3</v>
      </c>
      <c r="B150" s="8" t="s">
        <v>65</v>
      </c>
      <c r="C150" s="8" t="s">
        <v>66</v>
      </c>
      <c r="D150" s="8">
        <v>80</v>
      </c>
      <c r="E150" s="8" t="s">
        <v>67</v>
      </c>
      <c r="F150" t="s">
        <v>68</v>
      </c>
      <c r="G150" s="8">
        <v>5000</v>
      </c>
      <c r="H150" s="7">
        <v>46171</v>
      </c>
      <c r="I150" s="9">
        <v>270</v>
      </c>
      <c r="J150" s="31">
        <f t="shared" si="4"/>
        <v>46167</v>
      </c>
      <c r="K150" s="31">
        <f>Table14[[#This Row],[week first day]]-7</f>
        <v>46160</v>
      </c>
      <c r="L150">
        <f t="shared" si="5"/>
        <v>11782</v>
      </c>
    </row>
    <row r="151" spans="1:12" x14ac:dyDescent="0.3">
      <c r="A151" s="8" t="s">
        <v>3</v>
      </c>
      <c r="B151" s="8" t="s">
        <v>65</v>
      </c>
      <c r="C151" s="8" t="s">
        <v>66</v>
      </c>
      <c r="D151" s="8">
        <v>80</v>
      </c>
      <c r="E151" s="8" t="s">
        <v>67</v>
      </c>
      <c r="F151" t="s">
        <v>68</v>
      </c>
      <c r="G151" s="8">
        <v>5000</v>
      </c>
      <c r="H151" s="7">
        <v>46171</v>
      </c>
      <c r="I151" s="9">
        <v>270</v>
      </c>
      <c r="J151" s="31">
        <f t="shared" si="4"/>
        <v>46167</v>
      </c>
      <c r="K151" s="31">
        <f>Table14[[#This Row],[week first day]]-7</f>
        <v>46160</v>
      </c>
      <c r="L151">
        <f t="shared" si="5"/>
        <v>11782</v>
      </c>
    </row>
    <row r="152" spans="1:12" x14ac:dyDescent="0.3">
      <c r="A152" s="8" t="s">
        <v>3</v>
      </c>
      <c r="B152" s="8" t="s">
        <v>65</v>
      </c>
      <c r="C152" s="8" t="s">
        <v>66</v>
      </c>
      <c r="D152" s="8">
        <v>80</v>
      </c>
      <c r="E152" s="8" t="s">
        <v>67</v>
      </c>
      <c r="F152" t="s">
        <v>68</v>
      </c>
      <c r="G152" s="8">
        <v>5000</v>
      </c>
      <c r="H152" s="7">
        <v>46171</v>
      </c>
      <c r="I152" s="9">
        <v>270</v>
      </c>
      <c r="J152" s="31">
        <f t="shared" si="4"/>
        <v>46167</v>
      </c>
      <c r="K152" s="31">
        <f>Table14[[#This Row],[week first day]]-7</f>
        <v>46160</v>
      </c>
      <c r="L152">
        <f t="shared" si="5"/>
        <v>11782</v>
      </c>
    </row>
    <row r="153" spans="1:12" x14ac:dyDescent="0.3">
      <c r="A153" s="8" t="s">
        <v>3</v>
      </c>
      <c r="B153" s="8" t="s">
        <v>65</v>
      </c>
      <c r="C153" s="8" t="s">
        <v>66</v>
      </c>
      <c r="D153" s="8">
        <v>80</v>
      </c>
      <c r="E153" s="8" t="s">
        <v>67</v>
      </c>
      <c r="F153" t="s">
        <v>68</v>
      </c>
      <c r="G153" s="8">
        <v>5000</v>
      </c>
      <c r="H153" s="7">
        <v>46171</v>
      </c>
      <c r="I153" s="9">
        <v>270</v>
      </c>
      <c r="J153" s="31">
        <f t="shared" si="4"/>
        <v>46167</v>
      </c>
      <c r="K153" s="31">
        <f>Table14[[#This Row],[week first day]]-7</f>
        <v>46160</v>
      </c>
      <c r="L153">
        <f t="shared" si="5"/>
        <v>11782</v>
      </c>
    </row>
    <row r="154" spans="1:12" x14ac:dyDescent="0.3">
      <c r="A154" s="8" t="s">
        <v>3</v>
      </c>
      <c r="B154" s="8" t="s">
        <v>65</v>
      </c>
      <c r="C154" s="8" t="s">
        <v>66</v>
      </c>
      <c r="D154" s="8">
        <v>80</v>
      </c>
      <c r="E154" s="8" t="s">
        <v>67</v>
      </c>
      <c r="F154" t="s">
        <v>68</v>
      </c>
      <c r="G154" s="8">
        <v>5000</v>
      </c>
      <c r="H154" s="7">
        <v>46171</v>
      </c>
      <c r="I154" s="9">
        <v>270</v>
      </c>
      <c r="J154" s="31">
        <f t="shared" si="4"/>
        <v>46167</v>
      </c>
      <c r="K154" s="31">
        <f>Table14[[#This Row],[week first day]]-7</f>
        <v>46160</v>
      </c>
      <c r="L154">
        <f t="shared" si="5"/>
        <v>11782</v>
      </c>
    </row>
    <row r="155" spans="1:12" x14ac:dyDescent="0.3">
      <c r="A155" s="8" t="s">
        <v>3</v>
      </c>
      <c r="B155" s="8" t="s">
        <v>65</v>
      </c>
      <c r="C155" s="8" t="s">
        <v>66</v>
      </c>
      <c r="D155" s="8">
        <v>80</v>
      </c>
      <c r="E155" s="8" t="s">
        <v>67</v>
      </c>
      <c r="F155" t="s">
        <v>68</v>
      </c>
      <c r="G155" s="8">
        <v>5000</v>
      </c>
      <c r="H155" s="7">
        <v>46171</v>
      </c>
      <c r="I155" s="9">
        <v>270</v>
      </c>
      <c r="J155" s="31">
        <f t="shared" si="4"/>
        <v>46167</v>
      </c>
      <c r="K155" s="31">
        <f>Table14[[#This Row],[week first day]]-7</f>
        <v>46160</v>
      </c>
      <c r="L155">
        <f t="shared" si="5"/>
        <v>11782</v>
      </c>
    </row>
    <row r="156" spans="1:12" x14ac:dyDescent="0.3">
      <c r="A156" s="8" t="s">
        <v>3</v>
      </c>
      <c r="B156" s="8" t="s">
        <v>65</v>
      </c>
      <c r="C156" s="8" t="s">
        <v>66</v>
      </c>
      <c r="D156" s="8">
        <v>80</v>
      </c>
      <c r="E156" s="8" t="s">
        <v>67</v>
      </c>
      <c r="F156" t="s">
        <v>68</v>
      </c>
      <c r="G156" s="8">
        <v>5000</v>
      </c>
      <c r="H156" s="7">
        <v>46171</v>
      </c>
      <c r="I156" s="9">
        <v>270</v>
      </c>
      <c r="J156" s="31">
        <f t="shared" si="4"/>
        <v>46167</v>
      </c>
      <c r="K156" s="31">
        <f>Table14[[#This Row],[week first day]]-7</f>
        <v>46160</v>
      </c>
      <c r="L156">
        <f t="shared" si="5"/>
        <v>11782</v>
      </c>
    </row>
    <row r="157" spans="1:12" x14ac:dyDescent="0.3">
      <c r="A157" s="8" t="s">
        <v>3</v>
      </c>
      <c r="B157" s="8" t="s">
        <v>65</v>
      </c>
      <c r="C157" s="8" t="s">
        <v>66</v>
      </c>
      <c r="D157" s="8">
        <v>80</v>
      </c>
      <c r="E157" s="8" t="s">
        <v>67</v>
      </c>
      <c r="F157" t="s">
        <v>68</v>
      </c>
      <c r="G157" s="8">
        <v>5000</v>
      </c>
      <c r="H157" s="7">
        <v>46171</v>
      </c>
      <c r="I157" s="9">
        <v>270</v>
      </c>
      <c r="J157" s="31">
        <f t="shared" si="4"/>
        <v>46167</v>
      </c>
      <c r="K157" s="31">
        <f>Table14[[#This Row],[week first day]]-7</f>
        <v>46160</v>
      </c>
      <c r="L157">
        <f t="shared" si="5"/>
        <v>11782</v>
      </c>
    </row>
    <row r="158" spans="1:12" x14ac:dyDescent="0.3">
      <c r="A158" s="8" t="s">
        <v>3</v>
      </c>
      <c r="B158" s="8" t="s">
        <v>65</v>
      </c>
      <c r="C158" s="8" t="s">
        <v>66</v>
      </c>
      <c r="D158" s="8">
        <v>80</v>
      </c>
      <c r="E158" s="8" t="s">
        <v>67</v>
      </c>
      <c r="F158" t="s">
        <v>68</v>
      </c>
      <c r="G158" s="8">
        <v>5000</v>
      </c>
      <c r="H158" s="7">
        <v>46171</v>
      </c>
      <c r="I158" s="9">
        <v>270</v>
      </c>
      <c r="J158" s="31">
        <f t="shared" si="4"/>
        <v>46167</v>
      </c>
      <c r="K158" s="31">
        <f>Table14[[#This Row],[week first day]]-7</f>
        <v>46160</v>
      </c>
      <c r="L158">
        <f t="shared" si="5"/>
        <v>11782</v>
      </c>
    </row>
    <row r="159" spans="1:12" x14ac:dyDescent="0.3">
      <c r="A159" s="8" t="s">
        <v>3</v>
      </c>
      <c r="B159" s="8" t="s">
        <v>65</v>
      </c>
      <c r="C159" s="8" t="s">
        <v>66</v>
      </c>
      <c r="D159" s="8">
        <v>80</v>
      </c>
      <c r="E159" s="8" t="s">
        <v>67</v>
      </c>
      <c r="F159" t="s">
        <v>68</v>
      </c>
      <c r="G159" s="8">
        <v>5000</v>
      </c>
      <c r="H159" s="7">
        <v>46171</v>
      </c>
      <c r="I159" s="9">
        <v>270</v>
      </c>
      <c r="J159" s="31">
        <f t="shared" si="4"/>
        <v>46167</v>
      </c>
      <c r="K159" s="31">
        <f>Table14[[#This Row],[week first day]]-7</f>
        <v>46160</v>
      </c>
      <c r="L159">
        <f t="shared" si="5"/>
        <v>11782</v>
      </c>
    </row>
    <row r="160" spans="1:12" x14ac:dyDescent="0.3">
      <c r="A160" s="8" t="s">
        <v>3</v>
      </c>
      <c r="B160" s="8" t="s">
        <v>65</v>
      </c>
      <c r="C160" s="8" t="s">
        <v>66</v>
      </c>
      <c r="D160" s="8">
        <v>80</v>
      </c>
      <c r="E160" s="8" t="s">
        <v>67</v>
      </c>
      <c r="F160" t="s">
        <v>68</v>
      </c>
      <c r="G160" s="8">
        <v>5000</v>
      </c>
      <c r="H160" s="7">
        <v>46171</v>
      </c>
      <c r="I160" s="9">
        <v>270</v>
      </c>
      <c r="J160" s="31">
        <f t="shared" si="4"/>
        <v>46167</v>
      </c>
      <c r="K160" s="31">
        <f>Table14[[#This Row],[week first day]]-7</f>
        <v>46160</v>
      </c>
      <c r="L160">
        <f t="shared" si="5"/>
        <v>11782</v>
      </c>
    </row>
    <row r="161" spans="1:12" x14ac:dyDescent="0.3">
      <c r="A161" s="8" t="s">
        <v>3</v>
      </c>
      <c r="B161" s="8" t="s">
        <v>65</v>
      </c>
      <c r="C161" s="8" t="s">
        <v>66</v>
      </c>
      <c r="D161" s="8">
        <v>80</v>
      </c>
      <c r="E161" s="8" t="s">
        <v>67</v>
      </c>
      <c r="F161" t="s">
        <v>68</v>
      </c>
      <c r="G161" s="8">
        <v>5000</v>
      </c>
      <c r="H161" s="7">
        <v>46171</v>
      </c>
      <c r="I161" s="9">
        <v>270</v>
      </c>
      <c r="J161" s="31">
        <f t="shared" si="4"/>
        <v>46167</v>
      </c>
      <c r="K161" s="31">
        <f>Table14[[#This Row],[week first day]]-7</f>
        <v>46160</v>
      </c>
      <c r="L161">
        <f t="shared" si="5"/>
        <v>11782</v>
      </c>
    </row>
    <row r="162" spans="1:12" x14ac:dyDescent="0.3">
      <c r="A162" s="8" t="s">
        <v>3</v>
      </c>
      <c r="B162" s="8" t="s">
        <v>65</v>
      </c>
      <c r="C162" s="8" t="s">
        <v>66</v>
      </c>
      <c r="D162" s="8">
        <v>80</v>
      </c>
      <c r="E162" s="8" t="s">
        <v>67</v>
      </c>
      <c r="F162" t="s">
        <v>68</v>
      </c>
      <c r="G162" s="8">
        <v>5000</v>
      </c>
      <c r="H162" s="7">
        <v>46171</v>
      </c>
      <c r="I162" s="9">
        <v>270</v>
      </c>
      <c r="J162" s="31">
        <f t="shared" si="4"/>
        <v>46167</v>
      </c>
      <c r="K162" s="31">
        <f>Table14[[#This Row],[week first day]]-7</f>
        <v>46160</v>
      </c>
      <c r="L162">
        <f t="shared" si="5"/>
        <v>11782</v>
      </c>
    </row>
    <row r="163" spans="1:12" x14ac:dyDescent="0.3">
      <c r="A163" s="8" t="s">
        <v>3</v>
      </c>
      <c r="B163" s="8" t="s">
        <v>65</v>
      </c>
      <c r="C163" s="8" t="s">
        <v>66</v>
      </c>
      <c r="D163" s="8">
        <v>80</v>
      </c>
      <c r="E163" s="8" t="s">
        <v>67</v>
      </c>
      <c r="F163" t="s">
        <v>68</v>
      </c>
      <c r="G163" s="8">
        <v>5000</v>
      </c>
      <c r="H163" s="7">
        <v>46171</v>
      </c>
      <c r="I163" s="9">
        <v>270</v>
      </c>
      <c r="J163" s="31">
        <f t="shared" si="4"/>
        <v>46167</v>
      </c>
      <c r="K163" s="31">
        <f>Table14[[#This Row],[week first day]]-7</f>
        <v>46160</v>
      </c>
      <c r="L163">
        <f t="shared" si="5"/>
        <v>11782</v>
      </c>
    </row>
    <row r="164" spans="1:12" x14ac:dyDescent="0.3">
      <c r="A164" s="8" t="s">
        <v>3</v>
      </c>
      <c r="B164" s="8" t="s">
        <v>65</v>
      </c>
      <c r="C164" s="8" t="s">
        <v>66</v>
      </c>
      <c r="D164" s="8">
        <v>80</v>
      </c>
      <c r="E164" s="8" t="s">
        <v>67</v>
      </c>
      <c r="F164" t="s">
        <v>68</v>
      </c>
      <c r="G164" s="8">
        <v>5000</v>
      </c>
      <c r="H164" s="7">
        <v>46171</v>
      </c>
      <c r="I164" s="9">
        <v>270</v>
      </c>
      <c r="J164" s="31">
        <f t="shared" si="4"/>
        <v>46167</v>
      </c>
      <c r="K164" s="31">
        <f>Table14[[#This Row],[week first day]]-7</f>
        <v>46160</v>
      </c>
      <c r="L164">
        <f t="shared" si="5"/>
        <v>11782</v>
      </c>
    </row>
    <row r="165" spans="1:12" x14ac:dyDescent="0.3">
      <c r="A165" s="8" t="s">
        <v>3</v>
      </c>
      <c r="B165" s="8" t="s">
        <v>65</v>
      </c>
      <c r="C165" s="8" t="s">
        <v>66</v>
      </c>
      <c r="D165" s="8">
        <v>80</v>
      </c>
      <c r="E165" s="8" t="s">
        <v>67</v>
      </c>
      <c r="F165" t="s">
        <v>68</v>
      </c>
      <c r="G165" s="8">
        <v>5000</v>
      </c>
      <c r="H165" s="7">
        <v>46171</v>
      </c>
      <c r="I165" s="9">
        <v>270</v>
      </c>
      <c r="J165" s="31">
        <f t="shared" si="4"/>
        <v>46167</v>
      </c>
      <c r="K165" s="31">
        <f>Table14[[#This Row],[week first day]]-7</f>
        <v>46160</v>
      </c>
      <c r="L165">
        <f t="shared" si="5"/>
        <v>11782</v>
      </c>
    </row>
    <row r="166" spans="1:12" x14ac:dyDescent="0.3">
      <c r="A166" s="8" t="s">
        <v>3</v>
      </c>
      <c r="B166" s="8" t="s">
        <v>65</v>
      </c>
      <c r="C166" s="8" t="s">
        <v>66</v>
      </c>
      <c r="D166" s="8">
        <v>80</v>
      </c>
      <c r="E166" s="8" t="s">
        <v>67</v>
      </c>
      <c r="F166" t="s">
        <v>68</v>
      </c>
      <c r="G166" s="8">
        <v>5000</v>
      </c>
      <c r="H166" s="7">
        <v>46171</v>
      </c>
      <c r="I166" s="9">
        <v>270</v>
      </c>
      <c r="J166" s="31">
        <f t="shared" si="4"/>
        <v>46167</v>
      </c>
      <c r="K166" s="31">
        <f>Table14[[#This Row],[week first day]]-7</f>
        <v>46160</v>
      </c>
      <c r="L166">
        <f t="shared" si="5"/>
        <v>11782</v>
      </c>
    </row>
    <row r="167" spans="1:12" x14ac:dyDescent="0.3">
      <c r="A167" s="8" t="s">
        <v>3</v>
      </c>
      <c r="B167" s="8" t="s">
        <v>65</v>
      </c>
      <c r="C167" s="8" t="s">
        <v>66</v>
      </c>
      <c r="D167" s="8">
        <v>80</v>
      </c>
      <c r="E167" s="8" t="s">
        <v>67</v>
      </c>
      <c r="F167" t="s">
        <v>68</v>
      </c>
      <c r="G167" s="8">
        <v>5000</v>
      </c>
      <c r="H167" s="7">
        <v>46171</v>
      </c>
      <c r="I167" s="9">
        <v>270</v>
      </c>
      <c r="J167" s="31">
        <f t="shared" si="4"/>
        <v>46167</v>
      </c>
      <c r="K167" s="31">
        <f>Table14[[#This Row],[week first day]]-7</f>
        <v>46160</v>
      </c>
      <c r="L167">
        <f t="shared" si="5"/>
        <v>11782</v>
      </c>
    </row>
    <row r="168" spans="1:12" x14ac:dyDescent="0.3">
      <c r="A168" s="8" t="s">
        <v>3</v>
      </c>
      <c r="B168" s="8" t="s">
        <v>65</v>
      </c>
      <c r="C168" s="8" t="s">
        <v>66</v>
      </c>
      <c r="D168" s="8">
        <v>80</v>
      </c>
      <c r="E168" s="8" t="s">
        <v>67</v>
      </c>
      <c r="F168" t="s">
        <v>68</v>
      </c>
      <c r="G168" s="8">
        <v>5000</v>
      </c>
      <c r="H168" s="7">
        <v>46171</v>
      </c>
      <c r="I168" s="9">
        <v>270</v>
      </c>
      <c r="J168" s="31">
        <f t="shared" si="4"/>
        <v>46167</v>
      </c>
      <c r="K168" s="31">
        <f>Table14[[#This Row],[week first day]]-7</f>
        <v>46160</v>
      </c>
      <c r="L168">
        <f t="shared" si="5"/>
        <v>11782</v>
      </c>
    </row>
    <row r="169" spans="1:12" x14ac:dyDescent="0.3">
      <c r="A169" s="8" t="s">
        <v>3</v>
      </c>
      <c r="B169" s="8" t="s">
        <v>65</v>
      </c>
      <c r="C169" s="8" t="s">
        <v>66</v>
      </c>
      <c r="D169" s="8">
        <v>80</v>
      </c>
      <c r="E169" s="8" t="s">
        <v>67</v>
      </c>
      <c r="F169" t="s">
        <v>68</v>
      </c>
      <c r="G169" s="8">
        <v>5000</v>
      </c>
      <c r="H169" s="7">
        <v>46171</v>
      </c>
      <c r="I169" s="9">
        <v>270</v>
      </c>
      <c r="J169" s="31">
        <f t="shared" si="4"/>
        <v>46167</v>
      </c>
      <c r="K169" s="31">
        <f>Table14[[#This Row],[week first day]]-7</f>
        <v>46160</v>
      </c>
      <c r="L169">
        <f t="shared" si="5"/>
        <v>11782</v>
      </c>
    </row>
    <row r="170" spans="1:12" x14ac:dyDescent="0.3">
      <c r="A170" s="8" t="s">
        <v>3</v>
      </c>
      <c r="B170" s="8" t="s">
        <v>65</v>
      </c>
      <c r="C170" s="8" t="s">
        <v>66</v>
      </c>
      <c r="D170" s="8">
        <v>80</v>
      </c>
      <c r="E170" s="8" t="s">
        <v>67</v>
      </c>
      <c r="F170" t="s">
        <v>68</v>
      </c>
      <c r="G170" s="8">
        <v>5000</v>
      </c>
      <c r="H170" s="7">
        <v>46171</v>
      </c>
      <c r="I170" s="9">
        <v>270</v>
      </c>
      <c r="J170" s="31">
        <f t="shared" si="4"/>
        <v>46167</v>
      </c>
      <c r="K170" s="31">
        <f>Table14[[#This Row],[week first day]]-7</f>
        <v>46160</v>
      </c>
      <c r="L170">
        <f t="shared" si="5"/>
        <v>11782</v>
      </c>
    </row>
    <row r="171" spans="1:12" x14ac:dyDescent="0.3">
      <c r="A171" s="8" t="s">
        <v>3</v>
      </c>
      <c r="B171" s="8" t="s">
        <v>65</v>
      </c>
      <c r="C171" s="8" t="s">
        <v>66</v>
      </c>
      <c r="D171" s="8">
        <v>80</v>
      </c>
      <c r="E171" s="8" t="s">
        <v>67</v>
      </c>
      <c r="F171" t="s">
        <v>68</v>
      </c>
      <c r="G171" s="8">
        <v>5000</v>
      </c>
      <c r="H171" s="7">
        <v>46171</v>
      </c>
      <c r="I171" s="9">
        <v>263</v>
      </c>
      <c r="J171" s="31">
        <f t="shared" si="4"/>
        <v>46167</v>
      </c>
      <c r="K171" s="31">
        <f>Table14[[#This Row],[week first day]]-7</f>
        <v>46160</v>
      </c>
      <c r="L171">
        <f t="shared" si="5"/>
        <v>11782</v>
      </c>
    </row>
    <row r="172" spans="1:12" x14ac:dyDescent="0.3">
      <c r="A172" s="8" t="s">
        <v>3</v>
      </c>
      <c r="B172" s="8" t="s">
        <v>65</v>
      </c>
      <c r="C172" s="8" t="s">
        <v>66</v>
      </c>
      <c r="D172" s="8">
        <v>80</v>
      </c>
      <c r="E172" s="8" t="s">
        <v>67</v>
      </c>
      <c r="F172" t="s">
        <v>68</v>
      </c>
      <c r="G172" s="8">
        <v>5000</v>
      </c>
      <c r="H172" s="7">
        <v>46171</v>
      </c>
      <c r="I172" s="9">
        <v>220</v>
      </c>
      <c r="J172" s="31">
        <f t="shared" si="4"/>
        <v>46167</v>
      </c>
      <c r="K172" s="31">
        <f>Table14[[#This Row],[week first day]]-7</f>
        <v>46160</v>
      </c>
      <c r="L172">
        <f t="shared" si="5"/>
        <v>11782</v>
      </c>
    </row>
    <row r="173" spans="1:12" x14ac:dyDescent="0.3">
      <c r="A173" s="8" t="s">
        <v>3</v>
      </c>
      <c r="B173" s="8" t="s">
        <v>65</v>
      </c>
      <c r="C173" s="8" t="s">
        <v>66</v>
      </c>
      <c r="D173" s="8">
        <v>80</v>
      </c>
      <c r="E173" s="8" t="s">
        <v>67</v>
      </c>
      <c r="F173" t="s">
        <v>68</v>
      </c>
      <c r="G173" s="8">
        <v>5000</v>
      </c>
      <c r="H173" s="7">
        <v>46171</v>
      </c>
      <c r="I173" s="9">
        <v>270</v>
      </c>
      <c r="J173" s="31">
        <f t="shared" si="4"/>
        <v>46167</v>
      </c>
      <c r="K173" s="31">
        <f>Table14[[#This Row],[week first day]]-7</f>
        <v>46160</v>
      </c>
      <c r="L173">
        <f t="shared" si="5"/>
        <v>11782</v>
      </c>
    </row>
    <row r="174" spans="1:12" x14ac:dyDescent="0.3">
      <c r="A174" s="8" t="s">
        <v>3</v>
      </c>
      <c r="B174" s="8" t="s">
        <v>65</v>
      </c>
      <c r="C174" s="8" t="s">
        <v>66</v>
      </c>
      <c r="D174" s="8">
        <v>80</v>
      </c>
      <c r="E174" s="8" t="s">
        <v>67</v>
      </c>
      <c r="F174" t="s">
        <v>68</v>
      </c>
      <c r="G174" s="8">
        <v>5000</v>
      </c>
      <c r="H174" s="7">
        <v>46171</v>
      </c>
      <c r="I174" s="9">
        <v>270</v>
      </c>
      <c r="J174" s="31">
        <f t="shared" si="4"/>
        <v>46167</v>
      </c>
      <c r="K174" s="31">
        <f>Table14[[#This Row],[week first day]]-7</f>
        <v>46160</v>
      </c>
      <c r="L174">
        <f t="shared" si="5"/>
        <v>11782</v>
      </c>
    </row>
    <row r="175" spans="1:12" x14ac:dyDescent="0.3">
      <c r="A175" s="8" t="s">
        <v>3</v>
      </c>
      <c r="B175" s="8" t="s">
        <v>65</v>
      </c>
      <c r="C175" s="8" t="s">
        <v>66</v>
      </c>
      <c r="D175" s="8">
        <v>80</v>
      </c>
      <c r="E175" s="8" t="s">
        <v>67</v>
      </c>
      <c r="F175" t="s">
        <v>68</v>
      </c>
      <c r="G175" s="8">
        <v>5000</v>
      </c>
      <c r="H175" s="7">
        <v>46171</v>
      </c>
      <c r="I175" s="9">
        <v>246</v>
      </c>
      <c r="J175" s="31">
        <f t="shared" si="4"/>
        <v>46167</v>
      </c>
      <c r="K175" s="31">
        <f>Table14[[#This Row],[week first day]]-7</f>
        <v>46160</v>
      </c>
      <c r="L175">
        <f t="shared" si="5"/>
        <v>11782</v>
      </c>
    </row>
    <row r="176" spans="1:12" x14ac:dyDescent="0.3">
      <c r="A176" s="8" t="s">
        <v>3</v>
      </c>
      <c r="B176" s="8" t="s">
        <v>65</v>
      </c>
      <c r="C176" s="8" t="s">
        <v>66</v>
      </c>
      <c r="D176" s="8">
        <v>80</v>
      </c>
      <c r="E176" s="8" t="s">
        <v>67</v>
      </c>
      <c r="F176" t="s">
        <v>68</v>
      </c>
      <c r="G176" s="8">
        <v>5000</v>
      </c>
      <c r="H176" s="7">
        <v>46171</v>
      </c>
      <c r="I176" s="9">
        <v>246</v>
      </c>
      <c r="J176" s="31">
        <f t="shared" si="4"/>
        <v>46167</v>
      </c>
      <c r="K176" s="31">
        <f>Table14[[#This Row],[week first day]]-7</f>
        <v>46160</v>
      </c>
      <c r="L176">
        <f t="shared" si="5"/>
        <v>11782</v>
      </c>
    </row>
    <row r="177" spans="1:12" x14ac:dyDescent="0.3">
      <c r="A177" s="8" t="s">
        <v>3</v>
      </c>
      <c r="B177" s="8" t="s">
        <v>65</v>
      </c>
      <c r="C177" s="8" t="s">
        <v>66</v>
      </c>
      <c r="D177" s="8">
        <v>80</v>
      </c>
      <c r="E177" s="8" t="s">
        <v>67</v>
      </c>
      <c r="F177" t="s">
        <v>68</v>
      </c>
      <c r="G177" s="8">
        <v>5000</v>
      </c>
      <c r="H177" s="7">
        <v>46171</v>
      </c>
      <c r="I177" s="9">
        <v>270</v>
      </c>
      <c r="J177" s="31">
        <f t="shared" si="4"/>
        <v>46167</v>
      </c>
      <c r="K177" s="31">
        <f>Table14[[#This Row],[week first day]]-7</f>
        <v>46160</v>
      </c>
      <c r="L177">
        <f t="shared" si="5"/>
        <v>11782</v>
      </c>
    </row>
    <row r="178" spans="1:12" x14ac:dyDescent="0.3">
      <c r="A178" s="8" t="s">
        <v>3</v>
      </c>
      <c r="B178" s="8" t="s">
        <v>65</v>
      </c>
      <c r="C178" s="8" t="s">
        <v>66</v>
      </c>
      <c r="D178" s="8">
        <v>80</v>
      </c>
      <c r="E178" s="8" t="s">
        <v>67</v>
      </c>
      <c r="F178" t="s">
        <v>68</v>
      </c>
      <c r="G178" s="8">
        <v>5000</v>
      </c>
      <c r="H178" s="7">
        <v>46176</v>
      </c>
      <c r="I178" s="9">
        <v>270</v>
      </c>
      <c r="J178" s="31">
        <f t="shared" si="4"/>
        <v>46174</v>
      </c>
      <c r="K178" s="31">
        <f>Table14[[#This Row],[week first day]]-7</f>
        <v>46167</v>
      </c>
      <c r="L178">
        <f t="shared" si="5"/>
        <v>10524</v>
      </c>
    </row>
    <row r="179" spans="1:12" x14ac:dyDescent="0.3">
      <c r="A179" s="8" t="s">
        <v>3</v>
      </c>
      <c r="B179" s="8" t="s">
        <v>65</v>
      </c>
      <c r="C179" s="8" t="s">
        <v>66</v>
      </c>
      <c r="D179" s="8">
        <v>80</v>
      </c>
      <c r="E179" s="8" t="s">
        <v>67</v>
      </c>
      <c r="F179" t="s">
        <v>68</v>
      </c>
      <c r="G179" s="8">
        <v>5000</v>
      </c>
      <c r="H179" s="7">
        <v>46176</v>
      </c>
      <c r="I179" s="9">
        <v>264</v>
      </c>
      <c r="J179" s="31">
        <f t="shared" si="4"/>
        <v>46174</v>
      </c>
      <c r="K179" s="31">
        <f>Table14[[#This Row],[week first day]]-7</f>
        <v>46167</v>
      </c>
      <c r="L179">
        <f t="shared" si="5"/>
        <v>10524</v>
      </c>
    </row>
    <row r="180" spans="1:12" x14ac:dyDescent="0.3">
      <c r="A180" s="8" t="s">
        <v>3</v>
      </c>
      <c r="B180" s="8" t="s">
        <v>65</v>
      </c>
      <c r="C180" s="8" t="s">
        <v>66</v>
      </c>
      <c r="D180" s="8">
        <v>80</v>
      </c>
      <c r="E180" s="8" t="s">
        <v>67</v>
      </c>
      <c r="F180" t="s">
        <v>68</v>
      </c>
      <c r="G180" s="8">
        <v>5000</v>
      </c>
      <c r="H180" s="7">
        <v>46178</v>
      </c>
      <c r="I180" s="9">
        <v>270</v>
      </c>
      <c r="J180" s="31">
        <f t="shared" si="4"/>
        <v>46174</v>
      </c>
      <c r="K180" s="31">
        <f>Table14[[#This Row],[week first day]]-7</f>
        <v>46167</v>
      </c>
      <c r="L180">
        <f t="shared" si="5"/>
        <v>10524</v>
      </c>
    </row>
    <row r="181" spans="1:12" x14ac:dyDescent="0.3">
      <c r="A181" s="8" t="s">
        <v>3</v>
      </c>
      <c r="B181" s="8" t="s">
        <v>65</v>
      </c>
      <c r="C181" s="8" t="s">
        <v>66</v>
      </c>
      <c r="D181" s="8">
        <v>80</v>
      </c>
      <c r="E181" s="8" t="s">
        <v>67</v>
      </c>
      <c r="F181" t="s">
        <v>68</v>
      </c>
      <c r="G181" s="8">
        <v>5000</v>
      </c>
      <c r="H181" s="7">
        <v>46178</v>
      </c>
      <c r="I181" s="9">
        <v>270</v>
      </c>
      <c r="J181" s="31">
        <f t="shared" si="4"/>
        <v>46174</v>
      </c>
      <c r="K181" s="31">
        <f>Table14[[#This Row],[week first day]]-7</f>
        <v>46167</v>
      </c>
      <c r="L181">
        <f t="shared" si="5"/>
        <v>10524</v>
      </c>
    </row>
    <row r="182" spans="1:12" x14ac:dyDescent="0.3">
      <c r="A182" s="8" t="s">
        <v>3</v>
      </c>
      <c r="B182" s="8" t="s">
        <v>65</v>
      </c>
      <c r="C182" s="8" t="s">
        <v>66</v>
      </c>
      <c r="D182" s="8">
        <v>80</v>
      </c>
      <c r="E182" s="8" t="s">
        <v>67</v>
      </c>
      <c r="F182" t="s">
        <v>68</v>
      </c>
      <c r="G182" s="8">
        <v>5000</v>
      </c>
      <c r="H182" s="7">
        <v>46178</v>
      </c>
      <c r="I182" s="9">
        <v>270</v>
      </c>
      <c r="J182" s="31">
        <f t="shared" si="4"/>
        <v>46174</v>
      </c>
      <c r="K182" s="31">
        <f>Table14[[#This Row],[week first day]]-7</f>
        <v>46167</v>
      </c>
      <c r="L182">
        <f t="shared" si="5"/>
        <v>10524</v>
      </c>
    </row>
    <row r="183" spans="1:12" x14ac:dyDescent="0.3">
      <c r="A183" s="8" t="s">
        <v>3</v>
      </c>
      <c r="B183" s="8" t="s">
        <v>65</v>
      </c>
      <c r="C183" s="8" t="s">
        <v>66</v>
      </c>
      <c r="D183" s="8">
        <v>80</v>
      </c>
      <c r="E183" s="8" t="s">
        <v>67</v>
      </c>
      <c r="F183" t="s">
        <v>68</v>
      </c>
      <c r="G183" s="8">
        <v>5000</v>
      </c>
      <c r="H183" s="7">
        <v>46178</v>
      </c>
      <c r="I183" s="9">
        <v>270</v>
      </c>
      <c r="J183" s="31">
        <f t="shared" si="4"/>
        <v>46174</v>
      </c>
      <c r="K183" s="31">
        <f>Table14[[#This Row],[week first day]]-7</f>
        <v>46167</v>
      </c>
      <c r="L183">
        <f t="shared" si="5"/>
        <v>10524</v>
      </c>
    </row>
    <row r="184" spans="1:12" x14ac:dyDescent="0.3">
      <c r="A184" s="8" t="s">
        <v>3</v>
      </c>
      <c r="B184" s="8" t="s">
        <v>65</v>
      </c>
      <c r="C184" s="8" t="s">
        <v>66</v>
      </c>
      <c r="D184" s="8">
        <v>80</v>
      </c>
      <c r="E184" s="8" t="s">
        <v>67</v>
      </c>
      <c r="F184" t="s">
        <v>68</v>
      </c>
      <c r="G184" s="8">
        <v>5000</v>
      </c>
      <c r="H184" s="7">
        <v>46178</v>
      </c>
      <c r="I184" s="9">
        <v>270</v>
      </c>
      <c r="J184" s="31">
        <f t="shared" si="4"/>
        <v>46174</v>
      </c>
      <c r="K184" s="31">
        <f>Table14[[#This Row],[week first day]]-7</f>
        <v>46167</v>
      </c>
      <c r="L184">
        <f t="shared" si="5"/>
        <v>10524</v>
      </c>
    </row>
    <row r="185" spans="1:12" x14ac:dyDescent="0.3">
      <c r="A185" s="8" t="s">
        <v>3</v>
      </c>
      <c r="B185" s="8" t="s">
        <v>65</v>
      </c>
      <c r="C185" s="8" t="s">
        <v>66</v>
      </c>
      <c r="D185" s="8">
        <v>80</v>
      </c>
      <c r="E185" s="8" t="s">
        <v>67</v>
      </c>
      <c r="F185" t="s">
        <v>68</v>
      </c>
      <c r="G185" s="8">
        <v>5000</v>
      </c>
      <c r="H185" s="7">
        <v>46178</v>
      </c>
      <c r="I185" s="9">
        <v>270</v>
      </c>
      <c r="J185" s="31">
        <f t="shared" si="4"/>
        <v>46174</v>
      </c>
      <c r="K185" s="31">
        <f>Table14[[#This Row],[week first day]]-7</f>
        <v>46167</v>
      </c>
      <c r="L185">
        <f t="shared" si="5"/>
        <v>10524</v>
      </c>
    </row>
    <row r="186" spans="1:12" x14ac:dyDescent="0.3">
      <c r="A186" s="8" t="s">
        <v>3</v>
      </c>
      <c r="B186" s="8" t="s">
        <v>65</v>
      </c>
      <c r="C186" s="8" t="s">
        <v>66</v>
      </c>
      <c r="D186" s="8">
        <v>80</v>
      </c>
      <c r="E186" s="8" t="s">
        <v>67</v>
      </c>
      <c r="F186" t="s">
        <v>68</v>
      </c>
      <c r="G186" s="8">
        <v>5000</v>
      </c>
      <c r="H186" s="7">
        <v>46178</v>
      </c>
      <c r="I186" s="9">
        <v>270</v>
      </c>
      <c r="J186" s="31">
        <f t="shared" si="4"/>
        <v>46174</v>
      </c>
      <c r="K186" s="31">
        <f>Table14[[#This Row],[week first day]]-7</f>
        <v>46167</v>
      </c>
      <c r="L186">
        <f t="shared" si="5"/>
        <v>10524</v>
      </c>
    </row>
    <row r="187" spans="1:12" x14ac:dyDescent="0.3">
      <c r="A187" s="8" t="s">
        <v>3</v>
      </c>
      <c r="B187" s="8" t="s">
        <v>65</v>
      </c>
      <c r="C187" s="8" t="s">
        <v>66</v>
      </c>
      <c r="D187" s="8">
        <v>80</v>
      </c>
      <c r="E187" s="8" t="s">
        <v>67</v>
      </c>
      <c r="F187" t="s">
        <v>68</v>
      </c>
      <c r="G187" s="8">
        <v>5000</v>
      </c>
      <c r="H187" s="7">
        <v>46178</v>
      </c>
      <c r="I187" s="9">
        <v>270</v>
      </c>
      <c r="J187" s="31">
        <f t="shared" si="4"/>
        <v>46174</v>
      </c>
      <c r="K187" s="31">
        <f>Table14[[#This Row],[week first day]]-7</f>
        <v>46167</v>
      </c>
      <c r="L187">
        <f t="shared" si="5"/>
        <v>10524</v>
      </c>
    </row>
    <row r="188" spans="1:12" x14ac:dyDescent="0.3">
      <c r="A188" s="8" t="s">
        <v>3</v>
      </c>
      <c r="B188" s="8" t="s">
        <v>65</v>
      </c>
      <c r="C188" s="8" t="s">
        <v>66</v>
      </c>
      <c r="D188" s="8">
        <v>80</v>
      </c>
      <c r="E188" s="8" t="s">
        <v>67</v>
      </c>
      <c r="F188" t="s">
        <v>68</v>
      </c>
      <c r="G188" s="8">
        <v>5000</v>
      </c>
      <c r="H188" s="7">
        <v>46178</v>
      </c>
      <c r="I188" s="9">
        <v>270</v>
      </c>
      <c r="J188" s="31">
        <f t="shared" si="4"/>
        <v>46174</v>
      </c>
      <c r="K188" s="31">
        <f>Table14[[#This Row],[week first day]]-7</f>
        <v>46167</v>
      </c>
      <c r="L188">
        <f t="shared" si="5"/>
        <v>10524</v>
      </c>
    </row>
    <row r="189" spans="1:12" x14ac:dyDescent="0.3">
      <c r="A189" s="8" t="s">
        <v>3</v>
      </c>
      <c r="B189" s="8" t="s">
        <v>65</v>
      </c>
      <c r="C189" s="8" t="s">
        <v>66</v>
      </c>
      <c r="D189" s="8">
        <v>80</v>
      </c>
      <c r="E189" s="8" t="s">
        <v>67</v>
      </c>
      <c r="F189" t="s">
        <v>68</v>
      </c>
      <c r="G189" s="8">
        <v>5000</v>
      </c>
      <c r="H189" s="7">
        <v>46178</v>
      </c>
      <c r="I189" s="9">
        <v>270</v>
      </c>
      <c r="J189" s="31">
        <f t="shared" si="4"/>
        <v>46174</v>
      </c>
      <c r="K189" s="31">
        <f>Table14[[#This Row],[week first day]]-7</f>
        <v>46167</v>
      </c>
      <c r="L189">
        <f t="shared" si="5"/>
        <v>10524</v>
      </c>
    </row>
    <row r="190" spans="1:12" x14ac:dyDescent="0.3">
      <c r="A190" s="8" t="s">
        <v>3</v>
      </c>
      <c r="B190" s="8" t="s">
        <v>65</v>
      </c>
      <c r="C190" s="8" t="s">
        <v>66</v>
      </c>
      <c r="D190" s="8">
        <v>80</v>
      </c>
      <c r="E190" s="8" t="s">
        <v>67</v>
      </c>
      <c r="F190" t="s">
        <v>68</v>
      </c>
      <c r="G190" s="8">
        <v>5000</v>
      </c>
      <c r="H190" s="7">
        <v>46178</v>
      </c>
      <c r="I190" s="9">
        <v>270</v>
      </c>
      <c r="J190" s="31">
        <f t="shared" si="4"/>
        <v>46174</v>
      </c>
      <c r="K190" s="31">
        <f>Table14[[#This Row],[week first day]]-7</f>
        <v>46167</v>
      </c>
      <c r="L190">
        <f t="shared" si="5"/>
        <v>10524</v>
      </c>
    </row>
    <row r="191" spans="1:12" x14ac:dyDescent="0.3">
      <c r="A191" s="8" t="s">
        <v>3</v>
      </c>
      <c r="B191" s="8" t="s">
        <v>65</v>
      </c>
      <c r="C191" s="8" t="s">
        <v>66</v>
      </c>
      <c r="D191" s="8">
        <v>80</v>
      </c>
      <c r="E191" s="8" t="s">
        <v>67</v>
      </c>
      <c r="F191" t="s">
        <v>68</v>
      </c>
      <c r="G191" s="8">
        <v>5000</v>
      </c>
      <c r="H191" s="7">
        <v>46178</v>
      </c>
      <c r="I191" s="9">
        <v>270</v>
      </c>
      <c r="J191" s="31">
        <f t="shared" si="4"/>
        <v>46174</v>
      </c>
      <c r="K191" s="31">
        <f>Table14[[#This Row],[week first day]]-7</f>
        <v>46167</v>
      </c>
      <c r="L191">
        <f t="shared" si="5"/>
        <v>10524</v>
      </c>
    </row>
    <row r="192" spans="1:12" x14ac:dyDescent="0.3">
      <c r="A192" s="8" t="s">
        <v>3</v>
      </c>
      <c r="B192" s="8" t="s">
        <v>65</v>
      </c>
      <c r="C192" s="8" t="s">
        <v>66</v>
      </c>
      <c r="D192" s="8">
        <v>80</v>
      </c>
      <c r="E192" s="8" t="s">
        <v>67</v>
      </c>
      <c r="F192" t="s">
        <v>68</v>
      </c>
      <c r="G192" s="8">
        <v>5000</v>
      </c>
      <c r="H192" s="7">
        <v>46178</v>
      </c>
      <c r="I192" s="9">
        <v>270</v>
      </c>
      <c r="J192" s="31">
        <f t="shared" si="4"/>
        <v>46174</v>
      </c>
      <c r="K192" s="31">
        <f>Table14[[#This Row],[week first day]]-7</f>
        <v>46167</v>
      </c>
      <c r="L192">
        <f t="shared" si="5"/>
        <v>10524</v>
      </c>
    </row>
    <row r="193" spans="1:12" x14ac:dyDescent="0.3">
      <c r="A193" s="8" t="s">
        <v>3</v>
      </c>
      <c r="B193" s="8" t="s">
        <v>65</v>
      </c>
      <c r="C193" s="8" t="s">
        <v>66</v>
      </c>
      <c r="D193" s="8">
        <v>80</v>
      </c>
      <c r="E193" s="8" t="s">
        <v>67</v>
      </c>
      <c r="F193" t="s">
        <v>68</v>
      </c>
      <c r="G193" s="8">
        <v>5000</v>
      </c>
      <c r="H193" s="7">
        <v>46178</v>
      </c>
      <c r="I193" s="9">
        <v>270</v>
      </c>
      <c r="J193" s="31">
        <f t="shared" si="4"/>
        <v>46174</v>
      </c>
      <c r="K193" s="31">
        <f>Table14[[#This Row],[week first day]]-7</f>
        <v>46167</v>
      </c>
      <c r="L193">
        <f t="shared" si="5"/>
        <v>10524</v>
      </c>
    </row>
    <row r="194" spans="1:12" x14ac:dyDescent="0.3">
      <c r="A194" s="8" t="s">
        <v>3</v>
      </c>
      <c r="B194" s="8" t="s">
        <v>65</v>
      </c>
      <c r="C194" s="8" t="s">
        <v>66</v>
      </c>
      <c r="D194" s="8">
        <v>80</v>
      </c>
      <c r="E194" s="8" t="s">
        <v>67</v>
      </c>
      <c r="F194" t="s">
        <v>68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46174</v>
      </c>
      <c r="K194" s="31">
        <f>Table14[[#This Row],[week first day]]-7</f>
        <v>46167</v>
      </c>
      <c r="L194">
        <f t="shared" ref="L194:L257" si="7">SUMIFS($I:$I,$A:$A,A194,J:J,J194)</f>
        <v>10524</v>
      </c>
    </row>
    <row r="195" spans="1:12" x14ac:dyDescent="0.3">
      <c r="A195" s="8" t="s">
        <v>3</v>
      </c>
      <c r="B195" s="8" t="s">
        <v>65</v>
      </c>
      <c r="C195" s="8" t="s">
        <v>66</v>
      </c>
      <c r="D195" s="8">
        <v>80</v>
      </c>
      <c r="E195" s="8" t="s">
        <v>67</v>
      </c>
      <c r="F195" t="s">
        <v>68</v>
      </c>
      <c r="G195" s="8">
        <v>5000</v>
      </c>
      <c r="H195" s="7">
        <v>46178</v>
      </c>
      <c r="I195" s="9">
        <v>270</v>
      </c>
      <c r="J195" s="31">
        <f t="shared" si="6"/>
        <v>46174</v>
      </c>
      <c r="K195" s="31">
        <f>Table14[[#This Row],[week first day]]-7</f>
        <v>46167</v>
      </c>
      <c r="L195">
        <f t="shared" si="7"/>
        <v>10524</v>
      </c>
    </row>
    <row r="196" spans="1:12" x14ac:dyDescent="0.3">
      <c r="A196" s="8" t="s">
        <v>3</v>
      </c>
      <c r="B196" s="8" t="s">
        <v>65</v>
      </c>
      <c r="C196" s="8" t="s">
        <v>66</v>
      </c>
      <c r="D196" s="8">
        <v>80</v>
      </c>
      <c r="E196" s="8" t="s">
        <v>67</v>
      </c>
      <c r="F196" t="s">
        <v>68</v>
      </c>
      <c r="G196" s="8">
        <v>5000</v>
      </c>
      <c r="H196" s="7">
        <v>46178</v>
      </c>
      <c r="I196" s="9">
        <v>270</v>
      </c>
      <c r="J196" s="31">
        <f t="shared" si="6"/>
        <v>46174</v>
      </c>
      <c r="K196" s="31">
        <f>Table14[[#This Row],[week first day]]-7</f>
        <v>46167</v>
      </c>
      <c r="L196">
        <f t="shared" si="7"/>
        <v>10524</v>
      </c>
    </row>
    <row r="197" spans="1:12" x14ac:dyDescent="0.3">
      <c r="A197" s="8" t="s">
        <v>3</v>
      </c>
      <c r="B197" s="8" t="s">
        <v>65</v>
      </c>
      <c r="C197" s="8" t="s">
        <v>66</v>
      </c>
      <c r="D197" s="8">
        <v>80</v>
      </c>
      <c r="E197" s="8" t="s">
        <v>67</v>
      </c>
      <c r="F197" t="s">
        <v>68</v>
      </c>
      <c r="G197" s="8">
        <v>5000</v>
      </c>
      <c r="H197" s="7">
        <v>46178</v>
      </c>
      <c r="I197" s="9">
        <v>270</v>
      </c>
      <c r="J197" s="31">
        <f t="shared" si="6"/>
        <v>46174</v>
      </c>
      <c r="K197" s="31">
        <f>Table14[[#This Row],[week first day]]-7</f>
        <v>46167</v>
      </c>
      <c r="L197">
        <f t="shared" si="7"/>
        <v>10524</v>
      </c>
    </row>
    <row r="198" spans="1:12" x14ac:dyDescent="0.3">
      <c r="A198" s="8" t="s">
        <v>3</v>
      </c>
      <c r="B198" s="8" t="s">
        <v>65</v>
      </c>
      <c r="C198" s="8" t="s">
        <v>66</v>
      </c>
      <c r="D198" s="8">
        <v>80</v>
      </c>
      <c r="E198" s="8" t="s">
        <v>67</v>
      </c>
      <c r="F198" t="s">
        <v>68</v>
      </c>
      <c r="G198" s="8">
        <v>5000</v>
      </c>
      <c r="H198" s="7">
        <v>46178</v>
      </c>
      <c r="I198" s="9">
        <v>270</v>
      </c>
      <c r="J198" s="31">
        <f t="shared" si="6"/>
        <v>46174</v>
      </c>
      <c r="K198" s="31">
        <f>Table14[[#This Row],[week first day]]-7</f>
        <v>46167</v>
      </c>
      <c r="L198">
        <f t="shared" si="7"/>
        <v>10524</v>
      </c>
    </row>
    <row r="199" spans="1:12" x14ac:dyDescent="0.3">
      <c r="A199" s="8" t="s">
        <v>3</v>
      </c>
      <c r="B199" s="8" t="s">
        <v>65</v>
      </c>
      <c r="C199" s="8" t="s">
        <v>66</v>
      </c>
      <c r="D199" s="8">
        <v>80</v>
      </c>
      <c r="E199" s="8" t="s">
        <v>67</v>
      </c>
      <c r="F199" t="s">
        <v>68</v>
      </c>
      <c r="G199" s="8">
        <v>5000</v>
      </c>
      <c r="H199" s="7">
        <v>46178</v>
      </c>
      <c r="I199" s="9">
        <v>270</v>
      </c>
      <c r="J199" s="31">
        <f t="shared" si="6"/>
        <v>46174</v>
      </c>
      <c r="K199" s="31">
        <f>Table14[[#This Row],[week first day]]-7</f>
        <v>46167</v>
      </c>
      <c r="L199">
        <f t="shared" si="7"/>
        <v>10524</v>
      </c>
    </row>
    <row r="200" spans="1:12" x14ac:dyDescent="0.3">
      <c r="A200" s="8" t="s">
        <v>3</v>
      </c>
      <c r="B200" s="8" t="s">
        <v>65</v>
      </c>
      <c r="C200" s="8" t="s">
        <v>66</v>
      </c>
      <c r="D200" s="8">
        <v>80</v>
      </c>
      <c r="E200" s="8" t="s">
        <v>67</v>
      </c>
      <c r="F200" t="s">
        <v>68</v>
      </c>
      <c r="G200" s="8">
        <v>5000</v>
      </c>
      <c r="H200" s="7">
        <v>46178</v>
      </c>
      <c r="I200" s="9">
        <v>270</v>
      </c>
      <c r="J200" s="31">
        <f t="shared" si="6"/>
        <v>46174</v>
      </c>
      <c r="K200" s="31">
        <f>Table14[[#This Row],[week first day]]-7</f>
        <v>46167</v>
      </c>
      <c r="L200">
        <f t="shared" si="7"/>
        <v>10524</v>
      </c>
    </row>
    <row r="201" spans="1:12" x14ac:dyDescent="0.3">
      <c r="A201" s="8" t="s">
        <v>3</v>
      </c>
      <c r="B201" s="8" t="s">
        <v>65</v>
      </c>
      <c r="C201" s="8" t="s">
        <v>66</v>
      </c>
      <c r="D201" s="8">
        <v>80</v>
      </c>
      <c r="E201" s="8" t="s">
        <v>67</v>
      </c>
      <c r="F201" t="s">
        <v>68</v>
      </c>
      <c r="G201" s="8">
        <v>5000</v>
      </c>
      <c r="H201" s="7">
        <v>46178</v>
      </c>
      <c r="I201" s="9">
        <v>270</v>
      </c>
      <c r="J201" s="31">
        <f t="shared" si="6"/>
        <v>46174</v>
      </c>
      <c r="K201" s="31">
        <f>Table14[[#This Row],[week first day]]-7</f>
        <v>46167</v>
      </c>
      <c r="L201">
        <f t="shared" si="7"/>
        <v>10524</v>
      </c>
    </row>
    <row r="202" spans="1:12" x14ac:dyDescent="0.3">
      <c r="A202" s="8" t="s">
        <v>3</v>
      </c>
      <c r="B202" s="8" t="s">
        <v>65</v>
      </c>
      <c r="C202" s="8" t="s">
        <v>66</v>
      </c>
      <c r="D202" s="8">
        <v>80</v>
      </c>
      <c r="E202" s="8" t="s">
        <v>67</v>
      </c>
      <c r="F202" t="s">
        <v>68</v>
      </c>
      <c r="G202" s="8">
        <v>5000</v>
      </c>
      <c r="H202" s="7">
        <v>46178</v>
      </c>
      <c r="I202" s="9">
        <v>270</v>
      </c>
      <c r="J202" s="31">
        <f t="shared" si="6"/>
        <v>46174</v>
      </c>
      <c r="K202" s="31">
        <f>Table14[[#This Row],[week first day]]-7</f>
        <v>46167</v>
      </c>
      <c r="L202">
        <f t="shared" si="7"/>
        <v>10524</v>
      </c>
    </row>
    <row r="203" spans="1:12" x14ac:dyDescent="0.3">
      <c r="A203" s="8" t="s">
        <v>3</v>
      </c>
      <c r="B203" s="8" t="s">
        <v>65</v>
      </c>
      <c r="C203" s="8" t="s">
        <v>66</v>
      </c>
      <c r="D203" s="8">
        <v>80</v>
      </c>
      <c r="E203" s="8" t="s">
        <v>67</v>
      </c>
      <c r="F203" t="s">
        <v>68</v>
      </c>
      <c r="G203" s="8">
        <v>5000</v>
      </c>
      <c r="H203" s="7">
        <v>46178</v>
      </c>
      <c r="I203" s="9">
        <v>270</v>
      </c>
      <c r="J203" s="31">
        <f t="shared" si="6"/>
        <v>46174</v>
      </c>
      <c r="K203" s="31">
        <f>Table14[[#This Row],[week first day]]-7</f>
        <v>46167</v>
      </c>
      <c r="L203">
        <f t="shared" si="7"/>
        <v>10524</v>
      </c>
    </row>
    <row r="204" spans="1:12" x14ac:dyDescent="0.3">
      <c r="A204" s="8" t="s">
        <v>3</v>
      </c>
      <c r="B204" s="8" t="s">
        <v>65</v>
      </c>
      <c r="C204" s="8" t="s">
        <v>66</v>
      </c>
      <c r="D204" s="8">
        <v>80</v>
      </c>
      <c r="E204" s="8" t="s">
        <v>67</v>
      </c>
      <c r="F204" t="s">
        <v>68</v>
      </c>
      <c r="G204" s="8">
        <v>5000</v>
      </c>
      <c r="H204" s="7">
        <v>46178</v>
      </c>
      <c r="I204" s="9">
        <v>270</v>
      </c>
      <c r="J204" s="31">
        <f t="shared" si="6"/>
        <v>46174</v>
      </c>
      <c r="K204" s="31">
        <f>Table14[[#This Row],[week first day]]-7</f>
        <v>46167</v>
      </c>
      <c r="L204">
        <f t="shared" si="7"/>
        <v>10524</v>
      </c>
    </row>
    <row r="205" spans="1:12" x14ac:dyDescent="0.3">
      <c r="A205" s="8" t="s">
        <v>3</v>
      </c>
      <c r="B205" s="8" t="s">
        <v>65</v>
      </c>
      <c r="C205" s="8" t="s">
        <v>66</v>
      </c>
      <c r="D205" s="8">
        <v>80</v>
      </c>
      <c r="E205" s="8" t="s">
        <v>67</v>
      </c>
      <c r="F205" t="s">
        <v>68</v>
      </c>
      <c r="G205" s="8">
        <v>5000</v>
      </c>
      <c r="H205" s="7">
        <v>46178</v>
      </c>
      <c r="I205" s="9">
        <v>270</v>
      </c>
      <c r="J205" s="31">
        <f t="shared" si="6"/>
        <v>46174</v>
      </c>
      <c r="K205" s="31">
        <f>Table14[[#This Row],[week first day]]-7</f>
        <v>46167</v>
      </c>
      <c r="L205">
        <f t="shared" si="7"/>
        <v>10524</v>
      </c>
    </row>
    <row r="206" spans="1:12" x14ac:dyDescent="0.3">
      <c r="A206" s="8" t="s">
        <v>3</v>
      </c>
      <c r="B206" s="8" t="s">
        <v>65</v>
      </c>
      <c r="C206" s="8" t="s">
        <v>66</v>
      </c>
      <c r="D206" s="8">
        <v>80</v>
      </c>
      <c r="E206" s="8" t="s">
        <v>67</v>
      </c>
      <c r="F206" t="s">
        <v>68</v>
      </c>
      <c r="G206" s="8">
        <v>5000</v>
      </c>
      <c r="H206" s="7">
        <v>46178</v>
      </c>
      <c r="I206" s="9">
        <v>270</v>
      </c>
      <c r="J206" s="31">
        <f t="shared" si="6"/>
        <v>46174</v>
      </c>
      <c r="K206" s="31">
        <f>Table14[[#This Row],[week first day]]-7</f>
        <v>46167</v>
      </c>
      <c r="L206">
        <f t="shared" si="7"/>
        <v>10524</v>
      </c>
    </row>
    <row r="207" spans="1:12" x14ac:dyDescent="0.3">
      <c r="A207" s="8" t="s">
        <v>3</v>
      </c>
      <c r="B207" s="8" t="s">
        <v>65</v>
      </c>
      <c r="C207" s="8" t="s">
        <v>66</v>
      </c>
      <c r="D207" s="8">
        <v>80</v>
      </c>
      <c r="E207" s="8" t="s">
        <v>67</v>
      </c>
      <c r="F207" t="s">
        <v>68</v>
      </c>
      <c r="G207" s="8">
        <v>5000</v>
      </c>
      <c r="H207" s="7">
        <v>46178</v>
      </c>
      <c r="I207" s="9">
        <v>270</v>
      </c>
      <c r="J207" s="31">
        <f t="shared" si="6"/>
        <v>46174</v>
      </c>
      <c r="K207" s="31">
        <f>Table14[[#This Row],[week first day]]-7</f>
        <v>46167</v>
      </c>
      <c r="L207">
        <f t="shared" si="7"/>
        <v>10524</v>
      </c>
    </row>
    <row r="208" spans="1:12" x14ac:dyDescent="0.3">
      <c r="A208" s="8" t="s">
        <v>3</v>
      </c>
      <c r="B208" s="8" t="s">
        <v>65</v>
      </c>
      <c r="C208" s="8" t="s">
        <v>66</v>
      </c>
      <c r="D208" s="8">
        <v>80</v>
      </c>
      <c r="E208" s="8" t="s">
        <v>67</v>
      </c>
      <c r="F208" t="s">
        <v>68</v>
      </c>
      <c r="G208" s="8">
        <v>5000</v>
      </c>
      <c r="H208" s="7">
        <v>46178</v>
      </c>
      <c r="I208" s="9">
        <v>270</v>
      </c>
      <c r="J208" s="31">
        <f t="shared" si="6"/>
        <v>46174</v>
      </c>
      <c r="K208" s="31">
        <f>Table14[[#This Row],[week first day]]-7</f>
        <v>46167</v>
      </c>
      <c r="L208">
        <f t="shared" si="7"/>
        <v>10524</v>
      </c>
    </row>
    <row r="209" spans="1:12" x14ac:dyDescent="0.3">
      <c r="A209" s="8" t="s">
        <v>3</v>
      </c>
      <c r="B209" s="8" t="s">
        <v>65</v>
      </c>
      <c r="C209" s="8" t="s">
        <v>66</v>
      </c>
      <c r="D209" s="8">
        <v>80</v>
      </c>
      <c r="E209" s="8" t="s">
        <v>67</v>
      </c>
      <c r="F209" t="s">
        <v>68</v>
      </c>
      <c r="G209" s="8">
        <v>5000</v>
      </c>
      <c r="H209" s="7">
        <v>46178</v>
      </c>
      <c r="I209" s="9">
        <v>270</v>
      </c>
      <c r="J209" s="31">
        <f t="shared" si="6"/>
        <v>46174</v>
      </c>
      <c r="K209" s="31">
        <f>Table14[[#This Row],[week first day]]-7</f>
        <v>46167</v>
      </c>
      <c r="L209">
        <f t="shared" si="7"/>
        <v>10524</v>
      </c>
    </row>
    <row r="210" spans="1:12" x14ac:dyDescent="0.3">
      <c r="A210" s="8" t="s">
        <v>3</v>
      </c>
      <c r="B210" s="8" t="s">
        <v>65</v>
      </c>
      <c r="C210" s="8" t="s">
        <v>66</v>
      </c>
      <c r="D210" s="8">
        <v>80</v>
      </c>
      <c r="E210" s="8" t="s">
        <v>67</v>
      </c>
      <c r="F210" t="s">
        <v>68</v>
      </c>
      <c r="G210" s="8">
        <v>5000</v>
      </c>
      <c r="H210" s="7">
        <v>46178</v>
      </c>
      <c r="I210" s="9">
        <v>270</v>
      </c>
      <c r="J210" s="31">
        <f t="shared" si="6"/>
        <v>46174</v>
      </c>
      <c r="K210" s="31">
        <f>Table14[[#This Row],[week first day]]-7</f>
        <v>46167</v>
      </c>
      <c r="L210">
        <f t="shared" si="7"/>
        <v>10524</v>
      </c>
    </row>
    <row r="211" spans="1:12" x14ac:dyDescent="0.3">
      <c r="A211" s="8" t="s">
        <v>3</v>
      </c>
      <c r="B211" s="8" t="s">
        <v>65</v>
      </c>
      <c r="C211" s="8" t="s">
        <v>66</v>
      </c>
      <c r="D211" s="8">
        <v>80</v>
      </c>
      <c r="E211" s="8" t="s">
        <v>67</v>
      </c>
      <c r="F211" t="s">
        <v>68</v>
      </c>
      <c r="G211" s="8">
        <v>5000</v>
      </c>
      <c r="H211" s="7">
        <v>46178</v>
      </c>
      <c r="I211" s="9">
        <v>270</v>
      </c>
      <c r="J211" s="31">
        <f t="shared" si="6"/>
        <v>46174</v>
      </c>
      <c r="K211" s="31">
        <f>Table14[[#This Row],[week first day]]-7</f>
        <v>46167</v>
      </c>
      <c r="L211">
        <f t="shared" si="7"/>
        <v>10524</v>
      </c>
    </row>
    <row r="212" spans="1:12" x14ac:dyDescent="0.3">
      <c r="A212" s="8" t="s">
        <v>3</v>
      </c>
      <c r="B212" s="8" t="s">
        <v>65</v>
      </c>
      <c r="C212" s="8" t="s">
        <v>66</v>
      </c>
      <c r="D212" s="8">
        <v>80</v>
      </c>
      <c r="E212" s="8" t="s">
        <v>67</v>
      </c>
      <c r="F212" t="s">
        <v>68</v>
      </c>
      <c r="G212" s="8">
        <v>5000</v>
      </c>
      <c r="H212" s="7">
        <v>46178</v>
      </c>
      <c r="I212" s="9">
        <v>270</v>
      </c>
      <c r="J212" s="31">
        <f t="shared" si="6"/>
        <v>46174</v>
      </c>
      <c r="K212" s="31">
        <f>Table14[[#This Row],[week first day]]-7</f>
        <v>46167</v>
      </c>
      <c r="L212">
        <f t="shared" si="7"/>
        <v>10524</v>
      </c>
    </row>
    <row r="213" spans="1:12" x14ac:dyDescent="0.3">
      <c r="A213" s="8" t="s">
        <v>3</v>
      </c>
      <c r="B213" s="8" t="s">
        <v>65</v>
      </c>
      <c r="C213" s="8" t="s">
        <v>66</v>
      </c>
      <c r="D213" s="8">
        <v>80</v>
      </c>
      <c r="E213" s="8" t="s">
        <v>67</v>
      </c>
      <c r="F213" t="s">
        <v>68</v>
      </c>
      <c r="G213" s="8">
        <v>5000</v>
      </c>
      <c r="H213" s="7">
        <v>46178</v>
      </c>
      <c r="I213" s="9">
        <v>270</v>
      </c>
      <c r="J213" s="31">
        <f t="shared" si="6"/>
        <v>46174</v>
      </c>
      <c r="K213" s="31">
        <f>Table14[[#This Row],[week first day]]-7</f>
        <v>46167</v>
      </c>
      <c r="L213">
        <f t="shared" si="7"/>
        <v>10524</v>
      </c>
    </row>
    <row r="214" spans="1:12" x14ac:dyDescent="0.3">
      <c r="A214" s="8" t="s">
        <v>3</v>
      </c>
      <c r="B214" s="8" t="s">
        <v>65</v>
      </c>
      <c r="C214" s="8" t="s">
        <v>66</v>
      </c>
      <c r="D214" s="8">
        <v>80</v>
      </c>
      <c r="E214" s="8" t="s">
        <v>67</v>
      </c>
      <c r="F214" t="s">
        <v>68</v>
      </c>
      <c r="G214" s="8">
        <v>5000</v>
      </c>
      <c r="H214" s="7">
        <v>46178</v>
      </c>
      <c r="I214" s="9">
        <v>270</v>
      </c>
      <c r="J214" s="31">
        <f t="shared" si="6"/>
        <v>46174</v>
      </c>
      <c r="K214" s="31">
        <f>Table14[[#This Row],[week first day]]-7</f>
        <v>46167</v>
      </c>
      <c r="L214">
        <f t="shared" si="7"/>
        <v>10524</v>
      </c>
    </row>
    <row r="215" spans="1:12" x14ac:dyDescent="0.3">
      <c r="A215" s="8" t="s">
        <v>3</v>
      </c>
      <c r="B215" s="8" t="s">
        <v>65</v>
      </c>
      <c r="C215" s="8" t="s">
        <v>66</v>
      </c>
      <c r="D215" s="8">
        <v>80</v>
      </c>
      <c r="E215" s="8" t="s">
        <v>67</v>
      </c>
      <c r="F215" t="s">
        <v>68</v>
      </c>
      <c r="G215" s="8">
        <v>5000</v>
      </c>
      <c r="H215" s="7">
        <v>46178</v>
      </c>
      <c r="I215" s="9">
        <v>270</v>
      </c>
      <c r="J215" s="31">
        <f t="shared" si="6"/>
        <v>46174</v>
      </c>
      <c r="K215" s="31">
        <f>Table14[[#This Row],[week first day]]-7</f>
        <v>46167</v>
      </c>
      <c r="L215">
        <f t="shared" si="7"/>
        <v>10524</v>
      </c>
    </row>
    <row r="216" spans="1:12" x14ac:dyDescent="0.3">
      <c r="A216" s="8" t="s">
        <v>3</v>
      </c>
      <c r="B216" s="8" t="s">
        <v>65</v>
      </c>
      <c r="C216" s="8" t="s">
        <v>66</v>
      </c>
      <c r="D216" s="8">
        <v>80</v>
      </c>
      <c r="E216" s="8" t="s">
        <v>67</v>
      </c>
      <c r="F216" t="s">
        <v>68</v>
      </c>
      <c r="G216" s="8">
        <v>5000</v>
      </c>
      <c r="H216" s="7">
        <v>46178</v>
      </c>
      <c r="I216" s="9">
        <v>270</v>
      </c>
      <c r="J216" s="31">
        <f t="shared" si="6"/>
        <v>46174</v>
      </c>
      <c r="K216" s="31">
        <f>Table14[[#This Row],[week first day]]-7</f>
        <v>46167</v>
      </c>
      <c r="L216">
        <f t="shared" si="7"/>
        <v>10524</v>
      </c>
    </row>
    <row r="217" spans="1:12" x14ac:dyDescent="0.3">
      <c r="A217" s="8" t="s">
        <v>3</v>
      </c>
      <c r="B217" s="8" t="s">
        <v>65</v>
      </c>
      <c r="C217" s="8" t="s">
        <v>66</v>
      </c>
      <c r="D217" s="8">
        <v>80</v>
      </c>
      <c r="E217" s="8" t="s">
        <v>67</v>
      </c>
      <c r="F217" t="s">
        <v>68</v>
      </c>
      <c r="G217" s="8">
        <v>5000</v>
      </c>
      <c r="H217" s="7">
        <v>46183</v>
      </c>
      <c r="I217" s="9">
        <v>270</v>
      </c>
      <c r="J217" s="31">
        <f t="shared" si="6"/>
        <v>46181</v>
      </c>
      <c r="K217" s="31">
        <f>Table14[[#This Row],[week first day]]-7</f>
        <v>46174</v>
      </c>
      <c r="L217">
        <f t="shared" si="7"/>
        <v>3240</v>
      </c>
    </row>
    <row r="218" spans="1:12" x14ac:dyDescent="0.3">
      <c r="A218" s="8" t="s">
        <v>3</v>
      </c>
      <c r="B218" s="8" t="s">
        <v>65</v>
      </c>
      <c r="C218" s="8" t="s">
        <v>66</v>
      </c>
      <c r="D218" s="8">
        <v>80</v>
      </c>
      <c r="E218" s="8" t="s">
        <v>67</v>
      </c>
      <c r="F218" t="s">
        <v>68</v>
      </c>
      <c r="G218" s="8">
        <v>5000</v>
      </c>
      <c r="H218" s="7">
        <v>46183</v>
      </c>
      <c r="I218" s="9">
        <v>270</v>
      </c>
      <c r="J218" s="31">
        <f t="shared" si="6"/>
        <v>46181</v>
      </c>
      <c r="K218" s="31">
        <f>Table14[[#This Row],[week first day]]-7</f>
        <v>46174</v>
      </c>
      <c r="L218">
        <f t="shared" si="7"/>
        <v>3240</v>
      </c>
    </row>
    <row r="219" spans="1:12" x14ac:dyDescent="0.3">
      <c r="A219" s="8" t="s">
        <v>3</v>
      </c>
      <c r="B219" s="8" t="s">
        <v>65</v>
      </c>
      <c r="C219" s="8" t="s">
        <v>66</v>
      </c>
      <c r="D219" s="8">
        <v>80</v>
      </c>
      <c r="E219" s="8" t="s">
        <v>67</v>
      </c>
      <c r="F219" t="s">
        <v>68</v>
      </c>
      <c r="G219" s="8">
        <v>5000</v>
      </c>
      <c r="H219" s="7">
        <v>46183</v>
      </c>
      <c r="I219" s="9">
        <v>270</v>
      </c>
      <c r="J219" s="31">
        <f t="shared" si="6"/>
        <v>46181</v>
      </c>
      <c r="K219" s="31">
        <f>Table14[[#This Row],[week first day]]-7</f>
        <v>46174</v>
      </c>
      <c r="L219">
        <f t="shared" si="7"/>
        <v>3240</v>
      </c>
    </row>
    <row r="220" spans="1:12" x14ac:dyDescent="0.3">
      <c r="A220" s="8" t="s">
        <v>3</v>
      </c>
      <c r="B220" s="8" t="s">
        <v>65</v>
      </c>
      <c r="C220" s="8" t="s">
        <v>66</v>
      </c>
      <c r="D220" s="8">
        <v>80</v>
      </c>
      <c r="E220" s="8" t="s">
        <v>67</v>
      </c>
      <c r="F220" t="s">
        <v>68</v>
      </c>
      <c r="G220" s="8">
        <v>5000</v>
      </c>
      <c r="H220" s="7">
        <v>46183</v>
      </c>
      <c r="I220" s="9">
        <v>270</v>
      </c>
      <c r="J220" s="31">
        <f t="shared" si="6"/>
        <v>46181</v>
      </c>
      <c r="K220" s="31">
        <f>Table14[[#This Row],[week first day]]-7</f>
        <v>46174</v>
      </c>
      <c r="L220">
        <f t="shared" si="7"/>
        <v>3240</v>
      </c>
    </row>
    <row r="221" spans="1:12" x14ac:dyDescent="0.3">
      <c r="A221" s="8" t="s">
        <v>3</v>
      </c>
      <c r="B221" s="8" t="s">
        <v>65</v>
      </c>
      <c r="C221" s="8" t="s">
        <v>66</v>
      </c>
      <c r="D221" s="8">
        <v>80</v>
      </c>
      <c r="E221" s="8" t="s">
        <v>67</v>
      </c>
      <c r="F221" t="s">
        <v>68</v>
      </c>
      <c r="G221" s="8">
        <v>5000</v>
      </c>
      <c r="H221" s="7">
        <v>46186</v>
      </c>
      <c r="I221" s="9">
        <v>270</v>
      </c>
      <c r="J221" s="31">
        <f t="shared" si="6"/>
        <v>46181</v>
      </c>
      <c r="K221" s="31">
        <f>Table14[[#This Row],[week first day]]-7</f>
        <v>46174</v>
      </c>
      <c r="L221">
        <f t="shared" si="7"/>
        <v>3240</v>
      </c>
    </row>
    <row r="222" spans="1:12" x14ac:dyDescent="0.3">
      <c r="A222" s="8" t="s">
        <v>3</v>
      </c>
      <c r="B222" s="8" t="s">
        <v>65</v>
      </c>
      <c r="C222" s="8" t="s">
        <v>66</v>
      </c>
      <c r="D222" s="8">
        <v>80</v>
      </c>
      <c r="E222" s="8" t="s">
        <v>67</v>
      </c>
      <c r="F222" t="s">
        <v>68</v>
      </c>
      <c r="G222" s="8">
        <v>5000</v>
      </c>
      <c r="H222" s="7">
        <v>46186</v>
      </c>
      <c r="I222" s="9">
        <v>270</v>
      </c>
      <c r="J222" s="31">
        <f t="shared" si="6"/>
        <v>46181</v>
      </c>
      <c r="K222" s="31">
        <f>Table14[[#This Row],[week first day]]-7</f>
        <v>46174</v>
      </c>
      <c r="L222">
        <f t="shared" si="7"/>
        <v>3240</v>
      </c>
    </row>
    <row r="223" spans="1:12" x14ac:dyDescent="0.3">
      <c r="A223" s="8" t="s">
        <v>3</v>
      </c>
      <c r="B223" s="8" t="s">
        <v>65</v>
      </c>
      <c r="C223" s="8" t="s">
        <v>66</v>
      </c>
      <c r="D223" s="8">
        <v>80</v>
      </c>
      <c r="E223" s="8" t="s">
        <v>67</v>
      </c>
      <c r="F223" t="s">
        <v>68</v>
      </c>
      <c r="G223" s="8">
        <v>5000</v>
      </c>
      <c r="H223" s="7">
        <v>46186</v>
      </c>
      <c r="I223" s="9">
        <v>270</v>
      </c>
      <c r="J223" s="31">
        <f t="shared" si="6"/>
        <v>46181</v>
      </c>
      <c r="K223" s="31">
        <f>Table14[[#This Row],[week first day]]-7</f>
        <v>46174</v>
      </c>
      <c r="L223">
        <f t="shared" si="7"/>
        <v>3240</v>
      </c>
    </row>
    <row r="224" spans="1:12" x14ac:dyDescent="0.3">
      <c r="A224" s="8" t="s">
        <v>3</v>
      </c>
      <c r="B224" s="8" t="s">
        <v>65</v>
      </c>
      <c r="C224" s="8" t="s">
        <v>66</v>
      </c>
      <c r="D224" s="8">
        <v>80</v>
      </c>
      <c r="E224" s="8" t="s">
        <v>67</v>
      </c>
      <c r="F224" t="s">
        <v>68</v>
      </c>
      <c r="G224" s="8">
        <v>5000</v>
      </c>
      <c r="H224" s="7">
        <v>46186</v>
      </c>
      <c r="I224" s="9">
        <v>270</v>
      </c>
      <c r="J224" s="31">
        <f t="shared" si="6"/>
        <v>46181</v>
      </c>
      <c r="K224" s="31">
        <f>Table14[[#This Row],[week first day]]-7</f>
        <v>46174</v>
      </c>
      <c r="L224">
        <f t="shared" si="7"/>
        <v>3240</v>
      </c>
    </row>
    <row r="225" spans="1:12" x14ac:dyDescent="0.3">
      <c r="A225" s="8" t="s">
        <v>3</v>
      </c>
      <c r="B225" s="8" t="s">
        <v>65</v>
      </c>
      <c r="C225" s="8" t="s">
        <v>66</v>
      </c>
      <c r="D225" s="8">
        <v>80</v>
      </c>
      <c r="E225" s="8" t="s">
        <v>67</v>
      </c>
      <c r="F225" t="s">
        <v>68</v>
      </c>
      <c r="G225" s="8">
        <v>5000</v>
      </c>
      <c r="H225" s="7">
        <v>46186</v>
      </c>
      <c r="I225" s="9">
        <v>270</v>
      </c>
      <c r="J225" s="31">
        <f t="shared" si="6"/>
        <v>46181</v>
      </c>
      <c r="K225" s="31">
        <f>Table14[[#This Row],[week first day]]-7</f>
        <v>46174</v>
      </c>
      <c r="L225">
        <f t="shared" si="7"/>
        <v>3240</v>
      </c>
    </row>
    <row r="226" spans="1:12" x14ac:dyDescent="0.3">
      <c r="A226" s="8" t="s">
        <v>3</v>
      </c>
      <c r="B226" s="8" t="s">
        <v>65</v>
      </c>
      <c r="C226" s="8" t="s">
        <v>66</v>
      </c>
      <c r="D226" s="8">
        <v>80</v>
      </c>
      <c r="E226" s="8" t="s">
        <v>67</v>
      </c>
      <c r="F226" t="s">
        <v>68</v>
      </c>
      <c r="G226" s="8">
        <v>5000</v>
      </c>
      <c r="H226" s="7">
        <v>46186</v>
      </c>
      <c r="I226" s="9">
        <v>270</v>
      </c>
      <c r="J226" s="31">
        <f t="shared" si="6"/>
        <v>46181</v>
      </c>
      <c r="K226" s="31">
        <f>Table14[[#This Row],[week first day]]-7</f>
        <v>46174</v>
      </c>
      <c r="L226">
        <f t="shared" si="7"/>
        <v>3240</v>
      </c>
    </row>
    <row r="227" spans="1:12" x14ac:dyDescent="0.3">
      <c r="A227" s="8" t="s">
        <v>3</v>
      </c>
      <c r="B227" s="8" t="s">
        <v>65</v>
      </c>
      <c r="C227" s="8" t="s">
        <v>66</v>
      </c>
      <c r="D227" s="8">
        <v>80</v>
      </c>
      <c r="E227" s="8" t="s">
        <v>67</v>
      </c>
      <c r="F227" t="s">
        <v>68</v>
      </c>
      <c r="G227" s="8">
        <v>5000</v>
      </c>
      <c r="H227" s="7">
        <v>46186</v>
      </c>
      <c r="I227" s="9">
        <v>270</v>
      </c>
      <c r="J227" s="31">
        <f t="shared" si="6"/>
        <v>46181</v>
      </c>
      <c r="K227" s="31">
        <f>Table14[[#This Row],[week first day]]-7</f>
        <v>46174</v>
      </c>
      <c r="L227">
        <f t="shared" si="7"/>
        <v>3240</v>
      </c>
    </row>
    <row r="228" spans="1:12" x14ac:dyDescent="0.3">
      <c r="A228" s="8" t="s">
        <v>3</v>
      </c>
      <c r="B228" s="8" t="s">
        <v>65</v>
      </c>
      <c r="C228" s="8" t="s">
        <v>66</v>
      </c>
      <c r="D228" s="8">
        <v>80</v>
      </c>
      <c r="E228" s="8" t="s">
        <v>67</v>
      </c>
      <c r="F228" t="s">
        <v>68</v>
      </c>
      <c r="G228" s="8">
        <v>5000</v>
      </c>
      <c r="H228" s="7">
        <v>46186</v>
      </c>
      <c r="I228" s="9">
        <v>270</v>
      </c>
      <c r="J228" s="31">
        <f t="shared" si="6"/>
        <v>46181</v>
      </c>
      <c r="K228" s="31">
        <f>Table14[[#This Row],[week first day]]-7</f>
        <v>46174</v>
      </c>
      <c r="L228">
        <f t="shared" si="7"/>
        <v>3240</v>
      </c>
    </row>
    <row r="229" spans="1:12" x14ac:dyDescent="0.3">
      <c r="A229" s="8" t="s">
        <v>3</v>
      </c>
      <c r="B229" s="8" t="s">
        <v>65</v>
      </c>
      <c r="C229" s="8" t="s">
        <v>66</v>
      </c>
      <c r="D229" s="8">
        <v>80</v>
      </c>
      <c r="E229" s="8" t="s">
        <v>67</v>
      </c>
      <c r="F229" t="s">
        <v>68</v>
      </c>
      <c r="G229" s="8">
        <v>5000</v>
      </c>
      <c r="H229" s="7">
        <v>46190</v>
      </c>
      <c r="I229" s="9">
        <v>270</v>
      </c>
      <c r="J229" s="31">
        <f t="shared" si="6"/>
        <v>46188</v>
      </c>
      <c r="K229" s="31">
        <f>Table14[[#This Row],[week first day]]-7</f>
        <v>46181</v>
      </c>
      <c r="L229">
        <f t="shared" si="7"/>
        <v>6442</v>
      </c>
    </row>
    <row r="230" spans="1:12" x14ac:dyDescent="0.3">
      <c r="A230" s="8" t="s">
        <v>3</v>
      </c>
      <c r="B230" s="8" t="s">
        <v>65</v>
      </c>
      <c r="C230" s="8" t="s">
        <v>66</v>
      </c>
      <c r="D230" s="8">
        <v>80</v>
      </c>
      <c r="E230" s="8" t="s">
        <v>67</v>
      </c>
      <c r="F230" t="s">
        <v>68</v>
      </c>
      <c r="G230" s="8">
        <v>5000</v>
      </c>
      <c r="H230" s="7">
        <v>46190</v>
      </c>
      <c r="I230" s="9">
        <v>270</v>
      </c>
      <c r="J230" s="31">
        <f t="shared" si="6"/>
        <v>46188</v>
      </c>
      <c r="K230" s="31">
        <f>Table14[[#This Row],[week first day]]-7</f>
        <v>46181</v>
      </c>
      <c r="L230">
        <f t="shared" si="7"/>
        <v>6442</v>
      </c>
    </row>
    <row r="231" spans="1:12" x14ac:dyDescent="0.3">
      <c r="A231" s="8" t="s">
        <v>3</v>
      </c>
      <c r="B231" s="8" t="s">
        <v>65</v>
      </c>
      <c r="C231" s="8" t="s">
        <v>66</v>
      </c>
      <c r="D231" s="8">
        <v>80</v>
      </c>
      <c r="E231" s="8" t="s">
        <v>67</v>
      </c>
      <c r="F231" t="s">
        <v>68</v>
      </c>
      <c r="G231" s="8">
        <v>5000</v>
      </c>
      <c r="H231" s="7">
        <v>46190</v>
      </c>
      <c r="I231" s="9">
        <v>270</v>
      </c>
      <c r="J231" s="31">
        <f t="shared" si="6"/>
        <v>46188</v>
      </c>
      <c r="K231" s="31">
        <f>Table14[[#This Row],[week first day]]-7</f>
        <v>46181</v>
      </c>
      <c r="L231">
        <f t="shared" si="7"/>
        <v>6442</v>
      </c>
    </row>
    <row r="232" spans="1:12" x14ac:dyDescent="0.3">
      <c r="A232" s="8" t="s">
        <v>3</v>
      </c>
      <c r="B232" s="8" t="s">
        <v>65</v>
      </c>
      <c r="C232" s="8" t="s">
        <v>66</v>
      </c>
      <c r="D232" s="8">
        <v>80</v>
      </c>
      <c r="E232" s="8" t="s">
        <v>67</v>
      </c>
      <c r="F232" t="s">
        <v>68</v>
      </c>
      <c r="G232" s="8">
        <v>5000</v>
      </c>
      <c r="H232" s="7">
        <v>46190</v>
      </c>
      <c r="I232" s="9">
        <v>270</v>
      </c>
      <c r="J232" s="31">
        <f t="shared" si="6"/>
        <v>46188</v>
      </c>
      <c r="K232" s="31">
        <f>Table14[[#This Row],[week first day]]-7</f>
        <v>46181</v>
      </c>
      <c r="L232">
        <f t="shared" si="7"/>
        <v>6442</v>
      </c>
    </row>
    <row r="233" spans="1:12" x14ac:dyDescent="0.3">
      <c r="A233" s="8" t="s">
        <v>3</v>
      </c>
      <c r="B233" s="8" t="s">
        <v>65</v>
      </c>
      <c r="C233" s="8" t="s">
        <v>66</v>
      </c>
      <c r="D233" s="8">
        <v>80</v>
      </c>
      <c r="E233" s="8" t="s">
        <v>67</v>
      </c>
      <c r="F233" t="s">
        <v>68</v>
      </c>
      <c r="G233" s="8">
        <v>5000</v>
      </c>
      <c r="H233" s="7">
        <v>46190</v>
      </c>
      <c r="I233" s="9">
        <v>270</v>
      </c>
      <c r="J233" s="31">
        <f t="shared" si="6"/>
        <v>46188</v>
      </c>
      <c r="K233" s="31">
        <f>Table14[[#This Row],[week first day]]-7</f>
        <v>46181</v>
      </c>
      <c r="L233">
        <f t="shared" si="7"/>
        <v>6442</v>
      </c>
    </row>
    <row r="234" spans="1:12" x14ac:dyDescent="0.3">
      <c r="A234" s="8" t="s">
        <v>3</v>
      </c>
      <c r="B234" s="8" t="s">
        <v>65</v>
      </c>
      <c r="C234" s="8" t="s">
        <v>66</v>
      </c>
      <c r="D234" s="8">
        <v>80</v>
      </c>
      <c r="E234" s="8" t="s">
        <v>67</v>
      </c>
      <c r="F234" t="s">
        <v>68</v>
      </c>
      <c r="G234" s="8">
        <v>5000</v>
      </c>
      <c r="H234" s="7">
        <v>46190</v>
      </c>
      <c r="I234" s="9">
        <v>270</v>
      </c>
      <c r="J234" s="31">
        <f t="shared" si="6"/>
        <v>46188</v>
      </c>
      <c r="K234" s="31">
        <f>Table14[[#This Row],[week first day]]-7</f>
        <v>46181</v>
      </c>
      <c r="L234">
        <f t="shared" si="7"/>
        <v>6442</v>
      </c>
    </row>
    <row r="235" spans="1:12" x14ac:dyDescent="0.3">
      <c r="A235" s="8" t="s">
        <v>3</v>
      </c>
      <c r="B235" s="8" t="s">
        <v>65</v>
      </c>
      <c r="C235" s="8" t="s">
        <v>66</v>
      </c>
      <c r="D235" s="8">
        <v>80</v>
      </c>
      <c r="E235" s="8" t="s">
        <v>67</v>
      </c>
      <c r="F235" t="s">
        <v>68</v>
      </c>
      <c r="G235" s="8">
        <v>5000</v>
      </c>
      <c r="H235" s="7">
        <v>46190</v>
      </c>
      <c r="I235" s="9">
        <v>270</v>
      </c>
      <c r="J235" s="31">
        <f t="shared" si="6"/>
        <v>46188</v>
      </c>
      <c r="K235" s="31">
        <f>Table14[[#This Row],[week first day]]-7</f>
        <v>46181</v>
      </c>
      <c r="L235">
        <f t="shared" si="7"/>
        <v>6442</v>
      </c>
    </row>
    <row r="236" spans="1:12" x14ac:dyDescent="0.3">
      <c r="A236" s="8" t="s">
        <v>3</v>
      </c>
      <c r="B236" s="8" t="s">
        <v>65</v>
      </c>
      <c r="C236" s="8" t="s">
        <v>66</v>
      </c>
      <c r="D236" s="8">
        <v>80</v>
      </c>
      <c r="E236" s="8" t="s">
        <v>67</v>
      </c>
      <c r="F236" t="s">
        <v>68</v>
      </c>
      <c r="G236" s="8">
        <v>5000</v>
      </c>
      <c r="H236" s="7">
        <v>46190</v>
      </c>
      <c r="I236" s="9">
        <v>270</v>
      </c>
      <c r="J236" s="31">
        <f t="shared" si="6"/>
        <v>46188</v>
      </c>
      <c r="K236" s="31">
        <f>Table14[[#This Row],[week first day]]-7</f>
        <v>46181</v>
      </c>
      <c r="L236">
        <f t="shared" si="7"/>
        <v>6442</v>
      </c>
    </row>
    <row r="237" spans="1:12" x14ac:dyDescent="0.3">
      <c r="A237" s="8" t="s">
        <v>3</v>
      </c>
      <c r="B237" s="8" t="s">
        <v>65</v>
      </c>
      <c r="C237" s="8" t="s">
        <v>66</v>
      </c>
      <c r="D237" s="8">
        <v>80</v>
      </c>
      <c r="E237" s="8" t="s">
        <v>67</v>
      </c>
      <c r="F237" t="s">
        <v>68</v>
      </c>
      <c r="G237" s="8">
        <v>5000</v>
      </c>
      <c r="H237" s="7">
        <v>46190</v>
      </c>
      <c r="I237" s="9">
        <v>270</v>
      </c>
      <c r="J237" s="31">
        <f t="shared" si="6"/>
        <v>46188</v>
      </c>
      <c r="K237" s="31">
        <f>Table14[[#This Row],[week first day]]-7</f>
        <v>46181</v>
      </c>
      <c r="L237">
        <f t="shared" si="7"/>
        <v>6442</v>
      </c>
    </row>
    <row r="238" spans="1:12" x14ac:dyDescent="0.3">
      <c r="A238" s="8" t="s">
        <v>3</v>
      </c>
      <c r="B238" s="8" t="s">
        <v>65</v>
      </c>
      <c r="C238" s="8" t="s">
        <v>66</v>
      </c>
      <c r="D238" s="8">
        <v>80</v>
      </c>
      <c r="E238" s="8" t="s">
        <v>67</v>
      </c>
      <c r="F238" t="s">
        <v>68</v>
      </c>
      <c r="G238" s="8">
        <v>5000</v>
      </c>
      <c r="H238" s="7">
        <v>46190</v>
      </c>
      <c r="I238" s="9">
        <v>270</v>
      </c>
      <c r="J238" s="31">
        <f t="shared" si="6"/>
        <v>46188</v>
      </c>
      <c r="K238" s="31">
        <f>Table14[[#This Row],[week first day]]-7</f>
        <v>46181</v>
      </c>
      <c r="L238">
        <f t="shared" si="7"/>
        <v>6442</v>
      </c>
    </row>
    <row r="239" spans="1:12" x14ac:dyDescent="0.3">
      <c r="A239" s="8" t="s">
        <v>3</v>
      </c>
      <c r="B239" s="8" t="s">
        <v>65</v>
      </c>
      <c r="C239" s="8" t="s">
        <v>66</v>
      </c>
      <c r="D239" s="8">
        <v>80</v>
      </c>
      <c r="E239" s="8" t="s">
        <v>67</v>
      </c>
      <c r="F239" t="s">
        <v>68</v>
      </c>
      <c r="G239" s="8">
        <v>5000</v>
      </c>
      <c r="H239" s="7">
        <v>46192</v>
      </c>
      <c r="I239" s="9">
        <v>3202</v>
      </c>
      <c r="J239" s="31">
        <f t="shared" si="6"/>
        <v>46188</v>
      </c>
      <c r="K239" s="31">
        <f>Table14[[#This Row],[week first day]]-7</f>
        <v>46181</v>
      </c>
      <c r="L239">
        <f t="shared" si="7"/>
        <v>6442</v>
      </c>
    </row>
    <row r="240" spans="1:12" x14ac:dyDescent="0.3">
      <c r="A240" s="8" t="s">
        <v>3</v>
      </c>
      <c r="B240" s="8" t="s">
        <v>65</v>
      </c>
      <c r="C240" s="8" t="s">
        <v>66</v>
      </c>
      <c r="D240" s="8">
        <v>80</v>
      </c>
      <c r="E240" s="8" t="s">
        <v>67</v>
      </c>
      <c r="F240" t="s">
        <v>68</v>
      </c>
      <c r="G240" s="8">
        <v>5000</v>
      </c>
      <c r="H240" s="7">
        <v>46192</v>
      </c>
      <c r="I240" s="9">
        <v>540</v>
      </c>
      <c r="J240" s="31">
        <f t="shared" si="6"/>
        <v>46188</v>
      </c>
      <c r="K240" s="31">
        <f>Table14[[#This Row],[week first day]]-7</f>
        <v>46181</v>
      </c>
      <c r="L240">
        <f t="shared" si="7"/>
        <v>6442</v>
      </c>
    </row>
    <row r="241" spans="1:12" x14ac:dyDescent="0.3">
      <c r="A241" s="8" t="s">
        <v>3</v>
      </c>
      <c r="B241" s="8" t="s">
        <v>65</v>
      </c>
      <c r="C241" s="8" t="s">
        <v>66</v>
      </c>
      <c r="D241" s="8">
        <v>80</v>
      </c>
      <c r="E241" s="8" t="s">
        <v>67</v>
      </c>
      <c r="F241" t="s">
        <v>68</v>
      </c>
      <c r="G241" s="8">
        <v>5000</v>
      </c>
      <c r="H241" s="7">
        <v>46197</v>
      </c>
      <c r="I241" s="9">
        <v>270</v>
      </c>
      <c r="J241" s="31">
        <f t="shared" si="6"/>
        <v>46195</v>
      </c>
      <c r="K241" s="31">
        <f>Table14[[#This Row],[week first day]]-7</f>
        <v>46188</v>
      </c>
      <c r="L241">
        <f t="shared" si="7"/>
        <v>8802</v>
      </c>
    </row>
    <row r="242" spans="1:12" x14ac:dyDescent="0.3">
      <c r="A242" s="8" t="s">
        <v>3</v>
      </c>
      <c r="B242" s="8" t="s">
        <v>65</v>
      </c>
      <c r="C242" s="8" t="s">
        <v>66</v>
      </c>
      <c r="D242" s="8">
        <v>80</v>
      </c>
      <c r="E242" s="8" t="s">
        <v>67</v>
      </c>
      <c r="F242" t="s">
        <v>68</v>
      </c>
      <c r="G242" s="8">
        <v>5000</v>
      </c>
      <c r="H242" s="7">
        <v>46197</v>
      </c>
      <c r="I242" s="9">
        <v>270</v>
      </c>
      <c r="J242" s="31">
        <f t="shared" si="6"/>
        <v>46195</v>
      </c>
      <c r="K242" s="31">
        <f>Table14[[#This Row],[week first day]]-7</f>
        <v>46188</v>
      </c>
      <c r="L242">
        <f t="shared" si="7"/>
        <v>8802</v>
      </c>
    </row>
    <row r="243" spans="1:12" x14ac:dyDescent="0.3">
      <c r="A243" s="8" t="s">
        <v>3</v>
      </c>
      <c r="B243" s="8" t="s">
        <v>65</v>
      </c>
      <c r="C243" s="8" t="s">
        <v>66</v>
      </c>
      <c r="D243" s="8">
        <v>80</v>
      </c>
      <c r="E243" s="8" t="s">
        <v>67</v>
      </c>
      <c r="F243" t="s">
        <v>68</v>
      </c>
      <c r="G243" s="8">
        <v>5000</v>
      </c>
      <c r="H243" s="7">
        <v>46197</v>
      </c>
      <c r="I243" s="9">
        <v>270</v>
      </c>
      <c r="J243" s="31">
        <f t="shared" si="6"/>
        <v>46195</v>
      </c>
      <c r="K243" s="31">
        <f>Table14[[#This Row],[week first day]]-7</f>
        <v>46188</v>
      </c>
      <c r="L243">
        <f t="shared" si="7"/>
        <v>8802</v>
      </c>
    </row>
    <row r="244" spans="1:12" x14ac:dyDescent="0.3">
      <c r="A244" s="8" t="s">
        <v>3</v>
      </c>
      <c r="B244" s="8" t="s">
        <v>65</v>
      </c>
      <c r="C244" s="8" t="s">
        <v>66</v>
      </c>
      <c r="D244" s="8">
        <v>80</v>
      </c>
      <c r="E244" s="8" t="s">
        <v>67</v>
      </c>
      <c r="F244" t="s">
        <v>68</v>
      </c>
      <c r="G244" s="8">
        <v>5000</v>
      </c>
      <c r="H244" s="7">
        <v>46197</v>
      </c>
      <c r="I244" s="9">
        <v>270</v>
      </c>
      <c r="J244" s="31">
        <f t="shared" si="6"/>
        <v>46195</v>
      </c>
      <c r="K244" s="31">
        <f>Table14[[#This Row],[week first day]]-7</f>
        <v>46188</v>
      </c>
      <c r="L244">
        <f t="shared" si="7"/>
        <v>8802</v>
      </c>
    </row>
    <row r="245" spans="1:12" x14ac:dyDescent="0.3">
      <c r="A245" s="8" t="s">
        <v>3</v>
      </c>
      <c r="B245" s="8" t="s">
        <v>65</v>
      </c>
      <c r="C245" s="8" t="s">
        <v>66</v>
      </c>
      <c r="D245" s="8">
        <v>80</v>
      </c>
      <c r="E245" s="8" t="s">
        <v>67</v>
      </c>
      <c r="F245" t="s">
        <v>68</v>
      </c>
      <c r="G245" s="8">
        <v>5000</v>
      </c>
      <c r="H245" s="7">
        <v>46197</v>
      </c>
      <c r="I245" s="9">
        <v>270</v>
      </c>
      <c r="J245" s="31">
        <f t="shared" si="6"/>
        <v>46195</v>
      </c>
      <c r="K245" s="31">
        <f>Table14[[#This Row],[week first day]]-7</f>
        <v>46188</v>
      </c>
      <c r="L245">
        <f t="shared" si="7"/>
        <v>8802</v>
      </c>
    </row>
    <row r="246" spans="1:12" x14ac:dyDescent="0.3">
      <c r="A246" s="8" t="s">
        <v>3</v>
      </c>
      <c r="B246" s="8" t="s">
        <v>65</v>
      </c>
      <c r="C246" s="8" t="s">
        <v>66</v>
      </c>
      <c r="D246" s="8">
        <v>80</v>
      </c>
      <c r="E246" s="8" t="s">
        <v>67</v>
      </c>
      <c r="F246" t="s">
        <v>68</v>
      </c>
      <c r="G246" s="8">
        <v>5000</v>
      </c>
      <c r="H246" s="7">
        <v>46197</v>
      </c>
      <c r="I246" s="9">
        <v>270</v>
      </c>
      <c r="J246" s="31">
        <f t="shared" si="6"/>
        <v>46195</v>
      </c>
      <c r="K246" s="31">
        <f>Table14[[#This Row],[week first day]]-7</f>
        <v>46188</v>
      </c>
      <c r="L246">
        <f t="shared" si="7"/>
        <v>8802</v>
      </c>
    </row>
    <row r="247" spans="1:12" x14ac:dyDescent="0.3">
      <c r="A247" s="8" t="s">
        <v>3</v>
      </c>
      <c r="B247" s="8" t="s">
        <v>65</v>
      </c>
      <c r="C247" s="8" t="s">
        <v>66</v>
      </c>
      <c r="D247" s="8">
        <v>80</v>
      </c>
      <c r="E247" s="8" t="s">
        <v>67</v>
      </c>
      <c r="F247" t="s">
        <v>68</v>
      </c>
      <c r="G247" s="8">
        <v>5000</v>
      </c>
      <c r="H247" s="7">
        <v>46197</v>
      </c>
      <c r="I247" s="9">
        <v>228</v>
      </c>
      <c r="J247" s="31">
        <f t="shared" si="6"/>
        <v>46195</v>
      </c>
      <c r="K247" s="31">
        <f>Table14[[#This Row],[week first day]]-7</f>
        <v>46188</v>
      </c>
      <c r="L247">
        <f t="shared" si="7"/>
        <v>8802</v>
      </c>
    </row>
    <row r="248" spans="1:12" x14ac:dyDescent="0.3">
      <c r="A248" s="8" t="s">
        <v>3</v>
      </c>
      <c r="B248" s="8" t="s">
        <v>65</v>
      </c>
      <c r="C248" s="8" t="s">
        <v>66</v>
      </c>
      <c r="D248" s="8">
        <v>80</v>
      </c>
      <c r="E248" s="8" t="s">
        <v>67</v>
      </c>
      <c r="F248" t="s">
        <v>68</v>
      </c>
      <c r="G248" s="8">
        <v>5000</v>
      </c>
      <c r="H248" s="7">
        <v>46197</v>
      </c>
      <c r="I248" s="9">
        <v>170</v>
      </c>
      <c r="J248" s="31">
        <f t="shared" si="6"/>
        <v>46195</v>
      </c>
      <c r="K248" s="31">
        <f>Table14[[#This Row],[week first day]]-7</f>
        <v>46188</v>
      </c>
      <c r="L248">
        <f t="shared" si="7"/>
        <v>8802</v>
      </c>
    </row>
    <row r="249" spans="1:12" x14ac:dyDescent="0.3">
      <c r="A249" s="8" t="s">
        <v>3</v>
      </c>
      <c r="B249" s="8" t="s">
        <v>65</v>
      </c>
      <c r="C249" s="8" t="s">
        <v>66</v>
      </c>
      <c r="D249" s="8">
        <v>80</v>
      </c>
      <c r="E249" s="8" t="s">
        <v>67</v>
      </c>
      <c r="F249" t="s">
        <v>68</v>
      </c>
      <c r="G249" s="8">
        <v>5000</v>
      </c>
      <c r="H249" s="7">
        <v>46197</v>
      </c>
      <c r="I249" s="9">
        <v>270</v>
      </c>
      <c r="J249" s="31">
        <f t="shared" si="6"/>
        <v>46195</v>
      </c>
      <c r="K249" s="31">
        <f>Table14[[#This Row],[week first day]]-7</f>
        <v>46188</v>
      </c>
      <c r="L249">
        <f t="shared" si="7"/>
        <v>8802</v>
      </c>
    </row>
    <row r="250" spans="1:12" x14ac:dyDescent="0.3">
      <c r="A250" s="8" t="s">
        <v>3</v>
      </c>
      <c r="B250" s="8" t="s">
        <v>65</v>
      </c>
      <c r="C250" s="8" t="s">
        <v>66</v>
      </c>
      <c r="D250" s="8">
        <v>80</v>
      </c>
      <c r="E250" s="8" t="s">
        <v>67</v>
      </c>
      <c r="F250" t="s">
        <v>68</v>
      </c>
      <c r="G250" s="8">
        <v>5000</v>
      </c>
      <c r="H250" s="7">
        <v>46197</v>
      </c>
      <c r="I250" s="9">
        <v>270</v>
      </c>
      <c r="J250" s="31">
        <f t="shared" si="6"/>
        <v>46195</v>
      </c>
      <c r="K250" s="31">
        <f>Table14[[#This Row],[week first day]]-7</f>
        <v>46188</v>
      </c>
      <c r="L250">
        <f t="shared" si="7"/>
        <v>8802</v>
      </c>
    </row>
    <row r="251" spans="1:12" x14ac:dyDescent="0.3">
      <c r="A251" s="8" t="s">
        <v>3</v>
      </c>
      <c r="B251" s="8" t="s">
        <v>65</v>
      </c>
      <c r="C251" s="8" t="s">
        <v>66</v>
      </c>
      <c r="D251" s="8">
        <v>80</v>
      </c>
      <c r="E251" s="8" t="s">
        <v>67</v>
      </c>
      <c r="F251" t="s">
        <v>68</v>
      </c>
      <c r="G251" s="8">
        <v>5000</v>
      </c>
      <c r="H251" s="7">
        <v>46197</v>
      </c>
      <c r="I251" s="9">
        <v>270</v>
      </c>
      <c r="J251" s="31">
        <f t="shared" si="6"/>
        <v>46195</v>
      </c>
      <c r="K251" s="31">
        <f>Table14[[#This Row],[week first day]]-7</f>
        <v>46188</v>
      </c>
      <c r="L251">
        <f t="shared" si="7"/>
        <v>8802</v>
      </c>
    </row>
    <row r="252" spans="1:12" x14ac:dyDescent="0.3">
      <c r="A252" s="8" t="s">
        <v>3</v>
      </c>
      <c r="B252" s="8" t="s">
        <v>65</v>
      </c>
      <c r="C252" s="8" t="s">
        <v>66</v>
      </c>
      <c r="D252" s="8">
        <v>80</v>
      </c>
      <c r="E252" s="8" t="s">
        <v>67</v>
      </c>
      <c r="F252" t="s">
        <v>68</v>
      </c>
      <c r="G252" s="8">
        <v>5000</v>
      </c>
      <c r="H252" s="7">
        <v>46197</v>
      </c>
      <c r="I252" s="9">
        <v>270</v>
      </c>
      <c r="J252" s="31">
        <f t="shared" si="6"/>
        <v>46195</v>
      </c>
      <c r="K252" s="31">
        <f>Table14[[#This Row],[week first day]]-7</f>
        <v>46188</v>
      </c>
      <c r="L252">
        <f t="shared" si="7"/>
        <v>8802</v>
      </c>
    </row>
    <row r="253" spans="1:12" x14ac:dyDescent="0.3">
      <c r="A253" s="8" t="s">
        <v>3</v>
      </c>
      <c r="B253" s="8" t="s">
        <v>65</v>
      </c>
      <c r="C253" s="8" t="s">
        <v>66</v>
      </c>
      <c r="D253" s="8">
        <v>80</v>
      </c>
      <c r="E253" s="8" t="s">
        <v>67</v>
      </c>
      <c r="F253" t="s">
        <v>68</v>
      </c>
      <c r="G253" s="8">
        <v>5000</v>
      </c>
      <c r="H253" s="7">
        <v>46199</v>
      </c>
      <c r="I253" s="9">
        <v>5704</v>
      </c>
      <c r="J253" s="31">
        <f t="shared" si="6"/>
        <v>46195</v>
      </c>
      <c r="K253" s="31">
        <f>Table14[[#This Row],[week first day]]-7</f>
        <v>46188</v>
      </c>
      <c r="L253">
        <f t="shared" si="7"/>
        <v>8802</v>
      </c>
    </row>
    <row r="254" spans="1:12" x14ac:dyDescent="0.3">
      <c r="A254" s="8" t="s">
        <v>3</v>
      </c>
      <c r="B254" s="8" t="s">
        <v>65</v>
      </c>
      <c r="C254" s="8" t="s">
        <v>66</v>
      </c>
      <c r="D254" s="8">
        <v>80</v>
      </c>
      <c r="E254" s="8" t="s">
        <v>67</v>
      </c>
      <c r="F254" t="s">
        <v>68</v>
      </c>
      <c r="G254" s="8">
        <v>5000</v>
      </c>
      <c r="H254" s="7">
        <v>46206</v>
      </c>
      <c r="I254" s="9">
        <v>2500</v>
      </c>
      <c r="J254" s="31">
        <f t="shared" si="6"/>
        <v>46202</v>
      </c>
      <c r="K254" s="31">
        <f>Table14[[#This Row],[week first day]]-7</f>
        <v>46195</v>
      </c>
      <c r="L254">
        <f t="shared" si="7"/>
        <v>7695</v>
      </c>
    </row>
    <row r="255" spans="1:12" x14ac:dyDescent="0.3">
      <c r="A255" s="8" t="s">
        <v>3</v>
      </c>
      <c r="B255" s="8" t="s">
        <v>65</v>
      </c>
      <c r="C255" s="8" t="s">
        <v>66</v>
      </c>
      <c r="D255" s="8">
        <v>80</v>
      </c>
      <c r="E255" s="8" t="s">
        <v>67</v>
      </c>
      <c r="F255" t="s">
        <v>68</v>
      </c>
      <c r="G255" s="8">
        <v>5000</v>
      </c>
      <c r="H255" s="7">
        <v>46206</v>
      </c>
      <c r="I255" s="9">
        <v>4655</v>
      </c>
      <c r="J255" s="31">
        <f t="shared" si="6"/>
        <v>46202</v>
      </c>
      <c r="K255" s="31">
        <f>Table14[[#This Row],[week first day]]-7</f>
        <v>46195</v>
      </c>
      <c r="L255">
        <f t="shared" si="7"/>
        <v>7695</v>
      </c>
    </row>
    <row r="256" spans="1:12" x14ac:dyDescent="0.3">
      <c r="A256" s="8" t="s">
        <v>3</v>
      </c>
      <c r="B256" s="8" t="s">
        <v>65</v>
      </c>
      <c r="C256" s="8" t="s">
        <v>66</v>
      </c>
      <c r="D256" s="8">
        <v>80</v>
      </c>
      <c r="E256" s="8" t="s">
        <v>67</v>
      </c>
      <c r="F256" t="s">
        <v>68</v>
      </c>
      <c r="G256" s="8">
        <v>5000</v>
      </c>
      <c r="H256" s="7">
        <v>46206</v>
      </c>
      <c r="I256" s="9">
        <v>540</v>
      </c>
      <c r="J256" s="31">
        <f t="shared" si="6"/>
        <v>46202</v>
      </c>
      <c r="K256" s="31">
        <f>Table14[[#This Row],[week first day]]-7</f>
        <v>46195</v>
      </c>
      <c r="L256">
        <f t="shared" si="7"/>
        <v>7695</v>
      </c>
    </row>
    <row r="257" spans="1:12" x14ac:dyDescent="0.3">
      <c r="A257" s="8" t="s">
        <v>3</v>
      </c>
      <c r="B257" s="8" t="s">
        <v>65</v>
      </c>
      <c r="C257" s="8" t="s">
        <v>66</v>
      </c>
      <c r="D257" s="8">
        <v>80</v>
      </c>
      <c r="E257" s="8" t="s">
        <v>67</v>
      </c>
      <c r="F257" t="s">
        <v>68</v>
      </c>
      <c r="G257" s="8">
        <v>5000</v>
      </c>
      <c r="H257" s="7">
        <v>46213</v>
      </c>
      <c r="I257" s="9">
        <v>2500</v>
      </c>
      <c r="J257" s="31">
        <f t="shared" si="6"/>
        <v>46209</v>
      </c>
      <c r="K257" s="31">
        <f>Table14[[#This Row],[week first day]]-7</f>
        <v>46202</v>
      </c>
      <c r="L257">
        <f t="shared" si="7"/>
        <v>2500</v>
      </c>
    </row>
    <row r="258" spans="1:12" x14ac:dyDescent="0.3">
      <c r="A258" s="8" t="s">
        <v>3</v>
      </c>
      <c r="B258" s="8" t="s">
        <v>65</v>
      </c>
      <c r="C258" s="8" t="s">
        <v>66</v>
      </c>
      <c r="D258" s="8">
        <v>80</v>
      </c>
      <c r="E258" s="8" t="s">
        <v>67</v>
      </c>
      <c r="F258" t="s">
        <v>68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46216</v>
      </c>
      <c r="K258" s="31">
        <f>Table14[[#This Row],[week first day]]-7</f>
        <v>46209</v>
      </c>
      <c r="L258">
        <f t="shared" ref="L258:L321" si="9">SUMIFS($I:$I,$A:$A,A258,J:J,J258)</f>
        <v>2500</v>
      </c>
    </row>
    <row r="259" spans="1:12" x14ac:dyDescent="0.3">
      <c r="A259" s="8" t="s">
        <v>3</v>
      </c>
      <c r="B259" s="8" t="s">
        <v>65</v>
      </c>
      <c r="C259" s="8" t="s">
        <v>66</v>
      </c>
      <c r="D259" s="8">
        <v>80</v>
      </c>
      <c r="E259" s="8" t="s">
        <v>67</v>
      </c>
      <c r="F259" t="s">
        <v>68</v>
      </c>
      <c r="G259" s="8">
        <v>5000</v>
      </c>
      <c r="H259" s="7">
        <v>46227</v>
      </c>
      <c r="I259" s="9">
        <v>2500</v>
      </c>
      <c r="J259" s="31">
        <f t="shared" si="8"/>
        <v>46223</v>
      </c>
      <c r="K259" s="31">
        <f>Table14[[#This Row],[week first day]]-7</f>
        <v>46216</v>
      </c>
      <c r="L259">
        <f t="shared" si="9"/>
        <v>2500</v>
      </c>
    </row>
    <row r="260" spans="1:12" x14ac:dyDescent="0.3">
      <c r="A260" s="8" t="s">
        <v>3</v>
      </c>
      <c r="B260" s="8" t="s">
        <v>65</v>
      </c>
      <c r="C260" s="8" t="s">
        <v>66</v>
      </c>
      <c r="D260" s="8">
        <v>80</v>
      </c>
      <c r="E260" s="8" t="s">
        <v>67</v>
      </c>
      <c r="F260" t="s">
        <v>68</v>
      </c>
      <c r="G260" s="8">
        <v>5000</v>
      </c>
      <c r="H260" s="7">
        <v>46234</v>
      </c>
      <c r="I260" s="9">
        <v>1000</v>
      </c>
      <c r="J260" s="31">
        <f t="shared" si="8"/>
        <v>46230</v>
      </c>
      <c r="K260" s="31">
        <f>Table14[[#This Row],[week first day]]-7</f>
        <v>46223</v>
      </c>
      <c r="L260">
        <f t="shared" si="9"/>
        <v>1000</v>
      </c>
    </row>
    <row r="261" spans="1:12" x14ac:dyDescent="0.3">
      <c r="A261" s="8" t="s">
        <v>3</v>
      </c>
      <c r="B261" s="8" t="s">
        <v>65</v>
      </c>
      <c r="C261" s="8" t="s">
        <v>66</v>
      </c>
      <c r="D261" s="8">
        <v>80</v>
      </c>
      <c r="E261" s="8" t="s">
        <v>67</v>
      </c>
      <c r="F261" t="s">
        <v>68</v>
      </c>
      <c r="G261" s="8">
        <v>5000</v>
      </c>
      <c r="H261" s="7">
        <v>46241</v>
      </c>
      <c r="I261" s="9">
        <v>1000</v>
      </c>
      <c r="J261" s="31">
        <f t="shared" si="8"/>
        <v>46237</v>
      </c>
      <c r="K261" s="31">
        <f>Table14[[#This Row],[week first day]]-7</f>
        <v>46230</v>
      </c>
      <c r="L261">
        <f t="shared" si="9"/>
        <v>1000</v>
      </c>
    </row>
    <row r="262" spans="1:12" x14ac:dyDescent="0.3">
      <c r="A262" s="8" t="s">
        <v>3</v>
      </c>
      <c r="B262" s="8" t="s">
        <v>65</v>
      </c>
      <c r="C262" s="8" t="s">
        <v>66</v>
      </c>
      <c r="D262" s="8">
        <v>80</v>
      </c>
      <c r="E262" s="8" t="s">
        <v>67</v>
      </c>
      <c r="F262" t="s">
        <v>68</v>
      </c>
      <c r="G262" s="8">
        <v>5000</v>
      </c>
      <c r="H262" s="7">
        <v>46248</v>
      </c>
      <c r="I262" s="9">
        <v>1000</v>
      </c>
      <c r="J262" s="31">
        <f t="shared" si="8"/>
        <v>46244</v>
      </c>
      <c r="K262" s="31">
        <f>Table14[[#This Row],[week first day]]-7</f>
        <v>46237</v>
      </c>
      <c r="L262">
        <f t="shared" si="9"/>
        <v>1000</v>
      </c>
    </row>
    <row r="263" spans="1:12" x14ac:dyDescent="0.3">
      <c r="A263" s="8" t="s">
        <v>3</v>
      </c>
      <c r="B263" s="8" t="s">
        <v>65</v>
      </c>
      <c r="C263" s="8" t="s">
        <v>66</v>
      </c>
      <c r="D263" s="8">
        <v>80</v>
      </c>
      <c r="E263" s="8" t="s">
        <v>67</v>
      </c>
      <c r="F263" t="s">
        <v>68</v>
      </c>
      <c r="G263" s="8">
        <v>5000</v>
      </c>
      <c r="H263" s="7">
        <v>46255</v>
      </c>
      <c r="I263" s="9">
        <v>1000</v>
      </c>
      <c r="J263" s="31">
        <f t="shared" si="8"/>
        <v>46251</v>
      </c>
      <c r="K263" s="31">
        <f>Table14[[#This Row],[week first day]]-7</f>
        <v>46244</v>
      </c>
      <c r="L263">
        <f t="shared" si="9"/>
        <v>1000</v>
      </c>
    </row>
    <row r="264" spans="1:12" x14ac:dyDescent="0.3">
      <c r="A264" s="8" t="s">
        <v>3</v>
      </c>
      <c r="B264" s="8" t="s">
        <v>65</v>
      </c>
      <c r="C264" s="8" t="s">
        <v>66</v>
      </c>
      <c r="D264" s="8">
        <v>80</v>
      </c>
      <c r="E264" s="8" t="s">
        <v>67</v>
      </c>
      <c r="F264" t="s">
        <v>68</v>
      </c>
      <c r="G264" s="8">
        <v>5000</v>
      </c>
      <c r="H264" s="7">
        <v>46262</v>
      </c>
      <c r="I264" s="9">
        <v>1000</v>
      </c>
      <c r="J264" s="31">
        <f t="shared" si="8"/>
        <v>46258</v>
      </c>
      <c r="K264" s="31">
        <f>Table14[[#This Row],[week first day]]-7</f>
        <v>46251</v>
      </c>
      <c r="L264">
        <f t="shared" si="9"/>
        <v>1000</v>
      </c>
    </row>
    <row r="265" spans="1:12" x14ac:dyDescent="0.3">
      <c r="A265" s="8" t="s">
        <v>3</v>
      </c>
      <c r="B265" s="8" t="s">
        <v>65</v>
      </c>
      <c r="C265" s="8" t="s">
        <v>66</v>
      </c>
      <c r="D265" s="8">
        <v>80</v>
      </c>
      <c r="E265" s="8" t="s">
        <v>67</v>
      </c>
      <c r="F265" t="s">
        <v>68</v>
      </c>
      <c r="G265" s="8">
        <v>5000</v>
      </c>
      <c r="H265" s="7">
        <v>46269</v>
      </c>
      <c r="I265" s="9">
        <v>750</v>
      </c>
      <c r="J265" s="31">
        <f t="shared" si="8"/>
        <v>46265</v>
      </c>
      <c r="K265" s="31">
        <f>Table14[[#This Row],[week first day]]-7</f>
        <v>46258</v>
      </c>
      <c r="L265">
        <f t="shared" si="9"/>
        <v>750</v>
      </c>
    </row>
    <row r="266" spans="1:12" x14ac:dyDescent="0.3">
      <c r="A266" s="8" t="s">
        <v>3</v>
      </c>
      <c r="B266" s="8" t="s">
        <v>65</v>
      </c>
      <c r="C266" s="8" t="s">
        <v>66</v>
      </c>
      <c r="D266" s="8">
        <v>80</v>
      </c>
      <c r="E266" s="8" t="s">
        <v>67</v>
      </c>
      <c r="F266" t="s">
        <v>68</v>
      </c>
      <c r="G266" s="8">
        <v>5000</v>
      </c>
      <c r="H266" s="7">
        <v>46276</v>
      </c>
      <c r="I266" s="9">
        <v>750</v>
      </c>
      <c r="J266" s="31">
        <f t="shared" si="8"/>
        <v>46272</v>
      </c>
      <c r="K266" s="31">
        <f>Table14[[#This Row],[week first day]]-7</f>
        <v>46265</v>
      </c>
      <c r="L266">
        <f t="shared" si="9"/>
        <v>750</v>
      </c>
    </row>
    <row r="267" spans="1:12" x14ac:dyDescent="0.3">
      <c r="A267" s="8" t="s">
        <v>3</v>
      </c>
      <c r="B267" s="8" t="s">
        <v>65</v>
      </c>
      <c r="C267" s="8" t="s">
        <v>66</v>
      </c>
      <c r="D267" s="8">
        <v>80</v>
      </c>
      <c r="E267" s="8" t="s">
        <v>67</v>
      </c>
      <c r="F267" t="s">
        <v>68</v>
      </c>
      <c r="G267" s="8">
        <v>5000</v>
      </c>
      <c r="H267" s="7">
        <v>46283</v>
      </c>
      <c r="I267" s="9">
        <v>750</v>
      </c>
      <c r="J267" s="31">
        <f t="shared" si="8"/>
        <v>46279</v>
      </c>
      <c r="K267" s="31">
        <f>Table14[[#This Row],[week first day]]-7</f>
        <v>46272</v>
      </c>
      <c r="L267">
        <f t="shared" si="9"/>
        <v>750</v>
      </c>
    </row>
    <row r="268" spans="1:12" x14ac:dyDescent="0.3">
      <c r="A268" s="8" t="s">
        <v>3</v>
      </c>
      <c r="B268" s="8" t="s">
        <v>65</v>
      </c>
      <c r="C268" s="8" t="s">
        <v>66</v>
      </c>
      <c r="D268" s="8">
        <v>80</v>
      </c>
      <c r="E268" s="8" t="s">
        <v>67</v>
      </c>
      <c r="F268" t="s">
        <v>68</v>
      </c>
      <c r="G268" s="8">
        <v>5000</v>
      </c>
      <c r="H268" s="7">
        <v>46290</v>
      </c>
      <c r="I268" s="9">
        <v>750</v>
      </c>
      <c r="J268" s="31">
        <f t="shared" si="8"/>
        <v>46286</v>
      </c>
      <c r="K268" s="31">
        <f>Table14[[#This Row],[week first day]]-7</f>
        <v>46279</v>
      </c>
      <c r="L268">
        <f t="shared" si="9"/>
        <v>750</v>
      </c>
    </row>
    <row r="269" spans="1:12" x14ac:dyDescent="0.3">
      <c r="A269" s="8" t="s">
        <v>3</v>
      </c>
      <c r="B269" s="8" t="s">
        <v>65</v>
      </c>
      <c r="C269" s="8" t="s">
        <v>66</v>
      </c>
      <c r="D269" s="8">
        <v>80</v>
      </c>
      <c r="E269" s="8" t="s">
        <v>67</v>
      </c>
      <c r="F269" t="s">
        <v>68</v>
      </c>
      <c r="G269" s="8">
        <v>5000</v>
      </c>
      <c r="H269" s="7">
        <v>46297</v>
      </c>
      <c r="I269" s="9">
        <v>600</v>
      </c>
      <c r="J269" s="31">
        <f t="shared" si="8"/>
        <v>46293</v>
      </c>
      <c r="K269" s="31">
        <f>Table14[[#This Row],[week first day]]-7</f>
        <v>46286</v>
      </c>
      <c r="L269">
        <f t="shared" si="9"/>
        <v>600</v>
      </c>
    </row>
    <row r="270" spans="1:12" x14ac:dyDescent="0.3">
      <c r="A270" s="8" t="s">
        <v>3</v>
      </c>
      <c r="B270" s="8" t="s">
        <v>65</v>
      </c>
      <c r="C270" s="8" t="s">
        <v>66</v>
      </c>
      <c r="D270" s="8">
        <v>80</v>
      </c>
      <c r="E270" s="8" t="s">
        <v>67</v>
      </c>
      <c r="F270" t="s">
        <v>68</v>
      </c>
      <c r="G270" s="8">
        <v>5000</v>
      </c>
      <c r="H270" s="7">
        <v>46304</v>
      </c>
      <c r="I270" s="9">
        <v>600</v>
      </c>
      <c r="J270" s="31">
        <f t="shared" si="8"/>
        <v>46300</v>
      </c>
      <c r="K270" s="31">
        <f>Table14[[#This Row],[week first day]]-7</f>
        <v>46293</v>
      </c>
      <c r="L270">
        <f t="shared" si="9"/>
        <v>600</v>
      </c>
    </row>
    <row r="271" spans="1:12" x14ac:dyDescent="0.3">
      <c r="A271" s="8" t="s">
        <v>3</v>
      </c>
      <c r="B271" s="8" t="s">
        <v>65</v>
      </c>
      <c r="C271" s="8" t="s">
        <v>66</v>
      </c>
      <c r="D271" s="8">
        <v>80</v>
      </c>
      <c r="E271" s="8" t="s">
        <v>67</v>
      </c>
      <c r="F271" t="s">
        <v>68</v>
      </c>
      <c r="G271" s="8">
        <v>5000</v>
      </c>
      <c r="H271" s="7">
        <v>46311</v>
      </c>
      <c r="I271" s="9">
        <v>600</v>
      </c>
      <c r="J271" s="31">
        <f t="shared" si="8"/>
        <v>46307</v>
      </c>
      <c r="K271" s="31">
        <f>Table14[[#This Row],[week first day]]-7</f>
        <v>46300</v>
      </c>
      <c r="L271">
        <f t="shared" si="9"/>
        <v>600</v>
      </c>
    </row>
    <row r="272" spans="1:12" x14ac:dyDescent="0.3">
      <c r="A272" s="8" t="s">
        <v>3</v>
      </c>
      <c r="B272" s="8" t="s">
        <v>65</v>
      </c>
      <c r="C272" s="8" t="s">
        <v>66</v>
      </c>
      <c r="D272" s="8">
        <v>80</v>
      </c>
      <c r="E272" s="8" t="s">
        <v>67</v>
      </c>
      <c r="F272" t="s">
        <v>68</v>
      </c>
      <c r="G272" s="8">
        <v>5000</v>
      </c>
      <c r="H272" s="7">
        <v>46318</v>
      </c>
      <c r="I272" s="9">
        <v>600</v>
      </c>
      <c r="J272" s="31">
        <f t="shared" si="8"/>
        <v>46314</v>
      </c>
      <c r="K272" s="31">
        <f>Table14[[#This Row],[week first day]]-7</f>
        <v>46307</v>
      </c>
      <c r="L272">
        <f t="shared" si="9"/>
        <v>600</v>
      </c>
    </row>
    <row r="273" spans="1:12" x14ac:dyDescent="0.3">
      <c r="A273" s="8" t="s">
        <v>3</v>
      </c>
      <c r="B273" s="8" t="s">
        <v>65</v>
      </c>
      <c r="C273" s="8" t="s">
        <v>66</v>
      </c>
      <c r="D273" s="8">
        <v>80</v>
      </c>
      <c r="E273" s="8" t="s">
        <v>67</v>
      </c>
      <c r="F273" t="s">
        <v>68</v>
      </c>
      <c r="G273" s="8">
        <v>5000</v>
      </c>
      <c r="H273" s="7">
        <v>46325</v>
      </c>
      <c r="I273" s="9">
        <v>600</v>
      </c>
      <c r="J273" s="31">
        <f t="shared" si="8"/>
        <v>46321</v>
      </c>
      <c r="K273" s="31">
        <f>Table14[[#This Row],[week first day]]-7</f>
        <v>46314</v>
      </c>
      <c r="L273">
        <f t="shared" si="9"/>
        <v>600</v>
      </c>
    </row>
    <row r="274" spans="1:12" x14ac:dyDescent="0.3">
      <c r="A274" s="8" t="s">
        <v>3</v>
      </c>
      <c r="B274" s="8" t="s">
        <v>65</v>
      </c>
      <c r="C274" s="8" t="s">
        <v>66</v>
      </c>
      <c r="D274" s="8">
        <v>80</v>
      </c>
      <c r="E274" s="8" t="s">
        <v>67</v>
      </c>
      <c r="F274" t="s">
        <v>68</v>
      </c>
      <c r="G274" s="8">
        <v>5000</v>
      </c>
      <c r="H274" s="7">
        <v>46332</v>
      </c>
      <c r="I274" s="9">
        <v>500</v>
      </c>
      <c r="J274" s="31">
        <f t="shared" si="8"/>
        <v>46328</v>
      </c>
      <c r="K274" s="31">
        <f>Table14[[#This Row],[week first day]]-7</f>
        <v>46321</v>
      </c>
      <c r="L274">
        <f t="shared" si="9"/>
        <v>500</v>
      </c>
    </row>
    <row r="275" spans="1:12" x14ac:dyDescent="0.3">
      <c r="A275" s="8" t="s">
        <v>3</v>
      </c>
      <c r="B275" s="8" t="s">
        <v>65</v>
      </c>
      <c r="C275" s="8" t="s">
        <v>66</v>
      </c>
      <c r="D275" s="8">
        <v>80</v>
      </c>
      <c r="E275" s="8" t="s">
        <v>67</v>
      </c>
      <c r="F275" t="s">
        <v>68</v>
      </c>
      <c r="G275" s="8">
        <v>5000</v>
      </c>
      <c r="H275" s="7">
        <v>46339</v>
      </c>
      <c r="I275" s="9">
        <v>500</v>
      </c>
      <c r="J275" s="31">
        <f t="shared" si="8"/>
        <v>46335</v>
      </c>
      <c r="K275" s="31">
        <f>Table14[[#This Row],[week first day]]-7</f>
        <v>46328</v>
      </c>
      <c r="L275">
        <f t="shared" si="9"/>
        <v>500</v>
      </c>
    </row>
    <row r="276" spans="1:12" x14ac:dyDescent="0.3">
      <c r="A276" s="8" t="s">
        <v>3</v>
      </c>
      <c r="B276" s="8" t="s">
        <v>65</v>
      </c>
      <c r="C276" s="8" t="s">
        <v>66</v>
      </c>
      <c r="D276" s="8">
        <v>80</v>
      </c>
      <c r="E276" s="8" t="s">
        <v>67</v>
      </c>
      <c r="F276" t="s">
        <v>68</v>
      </c>
      <c r="G276" s="8">
        <v>5000</v>
      </c>
      <c r="H276" s="7">
        <v>46346</v>
      </c>
      <c r="I276" s="9">
        <v>500</v>
      </c>
      <c r="J276" s="31">
        <f t="shared" si="8"/>
        <v>46342</v>
      </c>
      <c r="K276" s="31">
        <f>Table14[[#This Row],[week first day]]-7</f>
        <v>46335</v>
      </c>
      <c r="L276">
        <f t="shared" si="9"/>
        <v>500</v>
      </c>
    </row>
    <row r="277" spans="1:12" x14ac:dyDescent="0.3">
      <c r="A277" s="8" t="s">
        <v>3</v>
      </c>
      <c r="B277" s="8" t="s">
        <v>65</v>
      </c>
      <c r="C277" s="8" t="s">
        <v>66</v>
      </c>
      <c r="D277" s="8">
        <v>80</v>
      </c>
      <c r="E277" s="8" t="s">
        <v>67</v>
      </c>
      <c r="F277" t="s">
        <v>68</v>
      </c>
      <c r="G277" s="8">
        <v>5000</v>
      </c>
      <c r="H277" s="7">
        <v>46353</v>
      </c>
      <c r="I277" s="9">
        <v>500</v>
      </c>
      <c r="J277" s="31">
        <f t="shared" si="8"/>
        <v>46349</v>
      </c>
      <c r="K277" s="31">
        <f>Table14[[#This Row],[week first day]]-7</f>
        <v>46342</v>
      </c>
      <c r="L277">
        <f t="shared" si="9"/>
        <v>500</v>
      </c>
    </row>
    <row r="278" spans="1:12" x14ac:dyDescent="0.3">
      <c r="A278" s="8" t="s">
        <v>3</v>
      </c>
      <c r="B278" s="8" t="s">
        <v>65</v>
      </c>
      <c r="C278" s="8" t="s">
        <v>66</v>
      </c>
      <c r="D278" s="8">
        <v>80</v>
      </c>
      <c r="E278" s="8" t="s">
        <v>67</v>
      </c>
      <c r="F278" t="s">
        <v>68</v>
      </c>
      <c r="G278" s="8">
        <v>5000</v>
      </c>
      <c r="H278" s="7">
        <v>46360</v>
      </c>
      <c r="I278" s="9">
        <v>3000</v>
      </c>
      <c r="J278" s="31">
        <f t="shared" si="8"/>
        <v>46356</v>
      </c>
      <c r="K278" s="31">
        <f>Table14[[#This Row],[week first day]]-7</f>
        <v>46349</v>
      </c>
      <c r="L278">
        <f t="shared" si="9"/>
        <v>3000</v>
      </c>
    </row>
    <row r="279" spans="1:12" x14ac:dyDescent="0.3">
      <c r="A279" s="8" t="s">
        <v>3</v>
      </c>
      <c r="B279" s="8" t="s">
        <v>65</v>
      </c>
      <c r="C279" s="8" t="s">
        <v>66</v>
      </c>
      <c r="D279" s="8">
        <v>80</v>
      </c>
      <c r="E279" s="8" t="s">
        <v>67</v>
      </c>
      <c r="F279" t="s">
        <v>68</v>
      </c>
      <c r="G279" s="8">
        <v>5000</v>
      </c>
      <c r="H279" s="7">
        <v>46367</v>
      </c>
      <c r="I279" s="9">
        <v>3000</v>
      </c>
      <c r="J279" s="31">
        <f t="shared" si="8"/>
        <v>46363</v>
      </c>
      <c r="K279" s="31">
        <f>Table14[[#This Row],[week first day]]-7</f>
        <v>46356</v>
      </c>
      <c r="L279">
        <f t="shared" si="9"/>
        <v>3000</v>
      </c>
    </row>
    <row r="280" spans="1:12" x14ac:dyDescent="0.3">
      <c r="A280" s="8" t="s">
        <v>3</v>
      </c>
      <c r="B280" s="8" t="s">
        <v>65</v>
      </c>
      <c r="C280" s="8" t="s">
        <v>66</v>
      </c>
      <c r="D280" s="8">
        <v>80</v>
      </c>
      <c r="E280" s="8" t="s">
        <v>67</v>
      </c>
      <c r="F280" t="s">
        <v>68</v>
      </c>
      <c r="G280" s="8">
        <v>5000</v>
      </c>
      <c r="H280" s="7">
        <v>46374</v>
      </c>
      <c r="I280" s="9">
        <v>3000</v>
      </c>
      <c r="J280" s="31">
        <f t="shared" si="8"/>
        <v>46370</v>
      </c>
      <c r="K280" s="31">
        <f>Table14[[#This Row],[week first day]]-7</f>
        <v>46363</v>
      </c>
      <c r="L280">
        <f t="shared" si="9"/>
        <v>3000</v>
      </c>
    </row>
    <row r="281" spans="1:12" x14ac:dyDescent="0.3">
      <c r="A281" s="8" t="s">
        <v>3</v>
      </c>
      <c r="B281" s="8" t="s">
        <v>65</v>
      </c>
      <c r="C281" s="8" t="s">
        <v>66</v>
      </c>
      <c r="D281" s="8">
        <v>80</v>
      </c>
      <c r="E281" s="8" t="s">
        <v>67</v>
      </c>
      <c r="F281" t="s">
        <v>68</v>
      </c>
      <c r="G281" s="8">
        <v>5000</v>
      </c>
      <c r="H281" s="7">
        <v>46381</v>
      </c>
      <c r="I281" s="9">
        <v>3000</v>
      </c>
      <c r="J281" s="31">
        <f t="shared" si="8"/>
        <v>46377</v>
      </c>
      <c r="K281" s="31">
        <f>Table14[[#This Row],[week first day]]-7</f>
        <v>46370</v>
      </c>
      <c r="L281">
        <f t="shared" si="9"/>
        <v>3000</v>
      </c>
    </row>
    <row r="282" spans="1:12" x14ac:dyDescent="0.3">
      <c r="A282" s="8" t="s">
        <v>4</v>
      </c>
      <c r="B282" s="8" t="s">
        <v>69</v>
      </c>
      <c r="C282" s="8" t="s">
        <v>66</v>
      </c>
      <c r="D282" s="8">
        <v>40</v>
      </c>
      <c r="E282" s="8" t="s">
        <v>70</v>
      </c>
      <c r="F282" t="s">
        <v>68</v>
      </c>
      <c r="G282" s="8">
        <v>5000</v>
      </c>
      <c r="H282" s="7">
        <v>46157</v>
      </c>
      <c r="I282" s="9">
        <v>270</v>
      </c>
      <c r="J282" s="31">
        <f t="shared" si="8"/>
        <v>46153</v>
      </c>
      <c r="K282" s="31">
        <f>Table14[[#This Row],[week first day]]-7</f>
        <v>46146</v>
      </c>
      <c r="L282">
        <f t="shared" si="9"/>
        <v>2430</v>
      </c>
    </row>
    <row r="283" spans="1:12" x14ac:dyDescent="0.3">
      <c r="A283" s="8" t="s">
        <v>4</v>
      </c>
      <c r="B283" s="8" t="s">
        <v>69</v>
      </c>
      <c r="C283" s="8" t="s">
        <v>66</v>
      </c>
      <c r="D283" s="8">
        <v>40</v>
      </c>
      <c r="E283" s="8" t="s">
        <v>70</v>
      </c>
      <c r="F283" t="s">
        <v>68</v>
      </c>
      <c r="G283" s="8">
        <v>5000</v>
      </c>
      <c r="H283" s="7">
        <v>46157</v>
      </c>
      <c r="I283" s="9">
        <v>270</v>
      </c>
      <c r="J283" s="31">
        <f t="shared" si="8"/>
        <v>46153</v>
      </c>
      <c r="K283" s="31">
        <f>Table14[[#This Row],[week first day]]-7</f>
        <v>46146</v>
      </c>
      <c r="L283">
        <f t="shared" si="9"/>
        <v>2430</v>
      </c>
    </row>
    <row r="284" spans="1:12" x14ac:dyDescent="0.3">
      <c r="A284" s="8" t="s">
        <v>4</v>
      </c>
      <c r="B284" s="8" t="s">
        <v>69</v>
      </c>
      <c r="C284" s="8" t="s">
        <v>66</v>
      </c>
      <c r="D284" s="8">
        <v>40</v>
      </c>
      <c r="E284" s="8" t="s">
        <v>70</v>
      </c>
      <c r="F284" t="s">
        <v>68</v>
      </c>
      <c r="G284" s="8">
        <v>5000</v>
      </c>
      <c r="H284" s="7">
        <v>46157</v>
      </c>
      <c r="I284" s="9">
        <v>270</v>
      </c>
      <c r="J284" s="31">
        <f t="shared" si="8"/>
        <v>46153</v>
      </c>
      <c r="K284" s="31">
        <f>Table14[[#This Row],[week first day]]-7</f>
        <v>46146</v>
      </c>
      <c r="L284">
        <f t="shared" si="9"/>
        <v>2430</v>
      </c>
    </row>
    <row r="285" spans="1:12" x14ac:dyDescent="0.3">
      <c r="A285" s="8" t="s">
        <v>4</v>
      </c>
      <c r="B285" s="8" t="s">
        <v>69</v>
      </c>
      <c r="C285" s="8" t="s">
        <v>66</v>
      </c>
      <c r="D285" s="8">
        <v>40</v>
      </c>
      <c r="E285" s="8" t="s">
        <v>70</v>
      </c>
      <c r="F285" t="s">
        <v>68</v>
      </c>
      <c r="G285" s="8">
        <v>5000</v>
      </c>
      <c r="H285" s="7">
        <v>46157</v>
      </c>
      <c r="I285" s="9">
        <v>270</v>
      </c>
      <c r="J285" s="31">
        <f t="shared" si="8"/>
        <v>46153</v>
      </c>
      <c r="K285" s="31">
        <f>Table14[[#This Row],[week first day]]-7</f>
        <v>46146</v>
      </c>
      <c r="L285">
        <f t="shared" si="9"/>
        <v>2430</v>
      </c>
    </row>
    <row r="286" spans="1:12" x14ac:dyDescent="0.3">
      <c r="A286" s="8" t="s">
        <v>4</v>
      </c>
      <c r="B286" s="8" t="s">
        <v>69</v>
      </c>
      <c r="C286" s="8" t="s">
        <v>66</v>
      </c>
      <c r="D286" s="8">
        <v>40</v>
      </c>
      <c r="E286" s="8" t="s">
        <v>70</v>
      </c>
      <c r="F286" t="s">
        <v>68</v>
      </c>
      <c r="G286" s="8">
        <v>5000</v>
      </c>
      <c r="H286" s="7">
        <v>46157</v>
      </c>
      <c r="I286" s="9">
        <v>270</v>
      </c>
      <c r="J286" s="31">
        <f t="shared" si="8"/>
        <v>46153</v>
      </c>
      <c r="K286" s="31">
        <f>Table14[[#This Row],[week first day]]-7</f>
        <v>46146</v>
      </c>
      <c r="L286">
        <f t="shared" si="9"/>
        <v>2430</v>
      </c>
    </row>
    <row r="287" spans="1:12" x14ac:dyDescent="0.3">
      <c r="A287" s="8" t="s">
        <v>4</v>
      </c>
      <c r="B287" s="8" t="s">
        <v>69</v>
      </c>
      <c r="C287" s="8" t="s">
        <v>66</v>
      </c>
      <c r="D287" s="8">
        <v>40</v>
      </c>
      <c r="E287" s="8" t="s">
        <v>70</v>
      </c>
      <c r="F287" t="s">
        <v>68</v>
      </c>
      <c r="G287" s="8">
        <v>5000</v>
      </c>
      <c r="H287" s="7">
        <v>46157</v>
      </c>
      <c r="I287" s="9">
        <v>270</v>
      </c>
      <c r="J287" s="31">
        <f t="shared" si="8"/>
        <v>46153</v>
      </c>
      <c r="K287" s="31">
        <f>Table14[[#This Row],[week first day]]-7</f>
        <v>46146</v>
      </c>
      <c r="L287">
        <f t="shared" si="9"/>
        <v>2430</v>
      </c>
    </row>
    <row r="288" spans="1:12" x14ac:dyDescent="0.3">
      <c r="A288" s="8" t="s">
        <v>4</v>
      </c>
      <c r="B288" s="8" t="s">
        <v>69</v>
      </c>
      <c r="C288" s="8" t="s">
        <v>66</v>
      </c>
      <c r="D288" s="8">
        <v>40</v>
      </c>
      <c r="E288" s="8" t="s">
        <v>70</v>
      </c>
      <c r="F288" t="s">
        <v>68</v>
      </c>
      <c r="G288" s="8">
        <v>5000</v>
      </c>
      <c r="H288" s="7">
        <v>46157</v>
      </c>
      <c r="I288" s="9">
        <v>270</v>
      </c>
      <c r="J288" s="31">
        <f t="shared" si="8"/>
        <v>46153</v>
      </c>
      <c r="K288" s="31">
        <f>Table14[[#This Row],[week first day]]-7</f>
        <v>46146</v>
      </c>
      <c r="L288">
        <f t="shared" si="9"/>
        <v>2430</v>
      </c>
    </row>
    <row r="289" spans="1:12" x14ac:dyDescent="0.3">
      <c r="A289" s="8" t="s">
        <v>4</v>
      </c>
      <c r="B289" s="8" t="s">
        <v>69</v>
      </c>
      <c r="C289" s="8" t="s">
        <v>66</v>
      </c>
      <c r="D289" s="8">
        <v>40</v>
      </c>
      <c r="E289" s="8" t="s">
        <v>70</v>
      </c>
      <c r="F289" t="s">
        <v>68</v>
      </c>
      <c r="G289" s="8">
        <v>5000</v>
      </c>
      <c r="H289" s="7">
        <v>46157</v>
      </c>
      <c r="I289" s="9">
        <v>270</v>
      </c>
      <c r="J289" s="31">
        <f t="shared" si="8"/>
        <v>46153</v>
      </c>
      <c r="K289" s="31">
        <f>Table14[[#This Row],[week first day]]-7</f>
        <v>46146</v>
      </c>
      <c r="L289">
        <f t="shared" si="9"/>
        <v>2430</v>
      </c>
    </row>
    <row r="290" spans="1:12" x14ac:dyDescent="0.3">
      <c r="A290" s="8" t="s">
        <v>4</v>
      </c>
      <c r="B290" s="8" t="s">
        <v>69</v>
      </c>
      <c r="C290" s="8" t="s">
        <v>66</v>
      </c>
      <c r="D290" s="8">
        <v>40</v>
      </c>
      <c r="E290" s="8" t="s">
        <v>70</v>
      </c>
      <c r="F290" t="s">
        <v>68</v>
      </c>
      <c r="G290" s="8">
        <v>5000</v>
      </c>
      <c r="H290" s="7">
        <v>46157</v>
      </c>
      <c r="I290" s="9">
        <v>270</v>
      </c>
      <c r="J290" s="31">
        <f t="shared" si="8"/>
        <v>46153</v>
      </c>
      <c r="K290" s="31">
        <f>Table14[[#This Row],[week first day]]-7</f>
        <v>46146</v>
      </c>
      <c r="L290">
        <f t="shared" si="9"/>
        <v>2430</v>
      </c>
    </row>
    <row r="291" spans="1:12" x14ac:dyDescent="0.3">
      <c r="A291" s="8" t="s">
        <v>4</v>
      </c>
      <c r="B291" s="8" t="s">
        <v>69</v>
      </c>
      <c r="C291" s="8" t="s">
        <v>66</v>
      </c>
      <c r="D291" s="8">
        <v>40</v>
      </c>
      <c r="E291" s="8" t="s">
        <v>70</v>
      </c>
      <c r="F291" t="s">
        <v>68</v>
      </c>
      <c r="G291" s="8">
        <v>5000</v>
      </c>
      <c r="H291" s="7">
        <v>46164</v>
      </c>
      <c r="I291" s="9">
        <v>270</v>
      </c>
      <c r="J291" s="31">
        <f t="shared" si="8"/>
        <v>46160</v>
      </c>
      <c r="K291" s="31">
        <f>Table14[[#This Row],[week first day]]-7</f>
        <v>46153</v>
      </c>
      <c r="L291">
        <f t="shared" si="9"/>
        <v>9990</v>
      </c>
    </row>
    <row r="292" spans="1:12" x14ac:dyDescent="0.3">
      <c r="A292" s="8" t="s">
        <v>4</v>
      </c>
      <c r="B292" s="8" t="s">
        <v>69</v>
      </c>
      <c r="C292" s="8" t="s">
        <v>66</v>
      </c>
      <c r="D292" s="8">
        <v>40</v>
      </c>
      <c r="E292" s="8" t="s">
        <v>70</v>
      </c>
      <c r="F292" t="s">
        <v>68</v>
      </c>
      <c r="G292" s="8">
        <v>5000</v>
      </c>
      <c r="H292" s="7">
        <v>46164</v>
      </c>
      <c r="I292" s="9">
        <v>270</v>
      </c>
      <c r="J292" s="31">
        <f t="shared" si="8"/>
        <v>46160</v>
      </c>
      <c r="K292" s="31">
        <f>Table14[[#This Row],[week first day]]-7</f>
        <v>46153</v>
      </c>
      <c r="L292">
        <f t="shared" si="9"/>
        <v>9990</v>
      </c>
    </row>
    <row r="293" spans="1:12" x14ac:dyDescent="0.3">
      <c r="A293" s="8" t="s">
        <v>4</v>
      </c>
      <c r="B293" s="8" t="s">
        <v>69</v>
      </c>
      <c r="C293" s="8" t="s">
        <v>66</v>
      </c>
      <c r="D293" s="8">
        <v>40</v>
      </c>
      <c r="E293" s="8" t="s">
        <v>70</v>
      </c>
      <c r="F293" t="s">
        <v>68</v>
      </c>
      <c r="G293" s="8">
        <v>5000</v>
      </c>
      <c r="H293" s="7">
        <v>46164</v>
      </c>
      <c r="I293" s="9">
        <v>270</v>
      </c>
      <c r="J293" s="31">
        <f t="shared" si="8"/>
        <v>46160</v>
      </c>
      <c r="K293" s="31">
        <f>Table14[[#This Row],[week first day]]-7</f>
        <v>46153</v>
      </c>
      <c r="L293">
        <f t="shared" si="9"/>
        <v>9990</v>
      </c>
    </row>
    <row r="294" spans="1:12" x14ac:dyDescent="0.3">
      <c r="A294" s="8" t="s">
        <v>4</v>
      </c>
      <c r="B294" s="8" t="s">
        <v>69</v>
      </c>
      <c r="C294" s="8" t="s">
        <v>66</v>
      </c>
      <c r="D294" s="8">
        <v>40</v>
      </c>
      <c r="E294" s="8" t="s">
        <v>70</v>
      </c>
      <c r="F294" t="s">
        <v>68</v>
      </c>
      <c r="G294" s="8">
        <v>5000</v>
      </c>
      <c r="H294" s="7">
        <v>46164</v>
      </c>
      <c r="I294" s="9">
        <v>270</v>
      </c>
      <c r="J294" s="31">
        <f t="shared" si="8"/>
        <v>46160</v>
      </c>
      <c r="K294" s="31">
        <f>Table14[[#This Row],[week first day]]-7</f>
        <v>46153</v>
      </c>
      <c r="L294">
        <f t="shared" si="9"/>
        <v>9990</v>
      </c>
    </row>
    <row r="295" spans="1:12" x14ac:dyDescent="0.3">
      <c r="A295" s="8" t="s">
        <v>4</v>
      </c>
      <c r="B295" s="8" t="s">
        <v>69</v>
      </c>
      <c r="C295" s="8" t="s">
        <v>66</v>
      </c>
      <c r="D295" s="8">
        <v>40</v>
      </c>
      <c r="E295" s="8" t="s">
        <v>70</v>
      </c>
      <c r="F295" t="s">
        <v>68</v>
      </c>
      <c r="G295" s="8">
        <v>5000</v>
      </c>
      <c r="H295" s="7">
        <v>46164</v>
      </c>
      <c r="I295" s="9">
        <v>270</v>
      </c>
      <c r="J295" s="31">
        <f t="shared" si="8"/>
        <v>46160</v>
      </c>
      <c r="K295" s="31">
        <f>Table14[[#This Row],[week first day]]-7</f>
        <v>46153</v>
      </c>
      <c r="L295">
        <f t="shared" si="9"/>
        <v>9990</v>
      </c>
    </row>
    <row r="296" spans="1:12" x14ac:dyDescent="0.3">
      <c r="A296" s="8" t="s">
        <v>4</v>
      </c>
      <c r="B296" s="8" t="s">
        <v>69</v>
      </c>
      <c r="C296" s="8" t="s">
        <v>66</v>
      </c>
      <c r="D296" s="8">
        <v>40</v>
      </c>
      <c r="E296" s="8" t="s">
        <v>70</v>
      </c>
      <c r="F296" t="s">
        <v>68</v>
      </c>
      <c r="G296" s="8">
        <v>5000</v>
      </c>
      <c r="H296" s="7">
        <v>46164</v>
      </c>
      <c r="I296" s="9">
        <v>270</v>
      </c>
      <c r="J296" s="31">
        <f t="shared" si="8"/>
        <v>46160</v>
      </c>
      <c r="K296" s="31">
        <f>Table14[[#This Row],[week first day]]-7</f>
        <v>46153</v>
      </c>
      <c r="L296">
        <f t="shared" si="9"/>
        <v>9990</v>
      </c>
    </row>
    <row r="297" spans="1:12" x14ac:dyDescent="0.3">
      <c r="A297" s="8" t="s">
        <v>4</v>
      </c>
      <c r="B297" s="8" t="s">
        <v>69</v>
      </c>
      <c r="C297" s="8" t="s">
        <v>66</v>
      </c>
      <c r="D297" s="8">
        <v>40</v>
      </c>
      <c r="E297" s="8" t="s">
        <v>70</v>
      </c>
      <c r="F297" t="s">
        <v>68</v>
      </c>
      <c r="G297" s="8">
        <v>5000</v>
      </c>
      <c r="H297" s="7">
        <v>46164</v>
      </c>
      <c r="I297" s="9">
        <v>270</v>
      </c>
      <c r="J297" s="31">
        <f t="shared" si="8"/>
        <v>46160</v>
      </c>
      <c r="K297" s="31">
        <f>Table14[[#This Row],[week first day]]-7</f>
        <v>46153</v>
      </c>
      <c r="L297">
        <f t="shared" si="9"/>
        <v>9990</v>
      </c>
    </row>
    <row r="298" spans="1:12" x14ac:dyDescent="0.3">
      <c r="A298" s="8" t="s">
        <v>4</v>
      </c>
      <c r="B298" s="8" t="s">
        <v>69</v>
      </c>
      <c r="C298" s="8" t="s">
        <v>66</v>
      </c>
      <c r="D298" s="8">
        <v>40</v>
      </c>
      <c r="E298" s="8" t="s">
        <v>70</v>
      </c>
      <c r="F298" t="s">
        <v>68</v>
      </c>
      <c r="G298" s="8">
        <v>5000</v>
      </c>
      <c r="H298" s="7">
        <v>46164</v>
      </c>
      <c r="I298" s="9">
        <v>270</v>
      </c>
      <c r="J298" s="31">
        <f t="shared" si="8"/>
        <v>46160</v>
      </c>
      <c r="K298" s="31">
        <f>Table14[[#This Row],[week first day]]-7</f>
        <v>46153</v>
      </c>
      <c r="L298">
        <f t="shared" si="9"/>
        <v>9990</v>
      </c>
    </row>
    <row r="299" spans="1:12" x14ac:dyDescent="0.3">
      <c r="A299" s="8" t="s">
        <v>4</v>
      </c>
      <c r="B299" s="8" t="s">
        <v>69</v>
      </c>
      <c r="C299" s="8" t="s">
        <v>66</v>
      </c>
      <c r="D299" s="8">
        <v>40</v>
      </c>
      <c r="E299" s="8" t="s">
        <v>70</v>
      </c>
      <c r="F299" t="s">
        <v>68</v>
      </c>
      <c r="G299" s="8">
        <v>5000</v>
      </c>
      <c r="H299" s="7">
        <v>46164</v>
      </c>
      <c r="I299" s="9">
        <v>270</v>
      </c>
      <c r="J299" s="31">
        <f t="shared" si="8"/>
        <v>46160</v>
      </c>
      <c r="K299" s="31">
        <f>Table14[[#This Row],[week first day]]-7</f>
        <v>46153</v>
      </c>
      <c r="L299">
        <f t="shared" si="9"/>
        <v>9990</v>
      </c>
    </row>
    <row r="300" spans="1:12" x14ac:dyDescent="0.3">
      <c r="A300" s="8" t="s">
        <v>4</v>
      </c>
      <c r="B300" s="8" t="s">
        <v>69</v>
      </c>
      <c r="C300" s="8" t="s">
        <v>66</v>
      </c>
      <c r="D300" s="8">
        <v>40</v>
      </c>
      <c r="E300" s="8" t="s">
        <v>70</v>
      </c>
      <c r="F300" t="s">
        <v>68</v>
      </c>
      <c r="G300" s="8">
        <v>5000</v>
      </c>
      <c r="H300" s="7">
        <v>46164</v>
      </c>
      <c r="I300" s="9">
        <v>270</v>
      </c>
      <c r="J300" s="31">
        <f t="shared" si="8"/>
        <v>46160</v>
      </c>
      <c r="K300" s="31">
        <f>Table14[[#This Row],[week first day]]-7</f>
        <v>46153</v>
      </c>
      <c r="L300">
        <f t="shared" si="9"/>
        <v>9990</v>
      </c>
    </row>
    <row r="301" spans="1:12" x14ac:dyDescent="0.3">
      <c r="A301" s="8" t="s">
        <v>4</v>
      </c>
      <c r="B301" s="8" t="s">
        <v>69</v>
      </c>
      <c r="C301" s="8" t="s">
        <v>66</v>
      </c>
      <c r="D301" s="8">
        <v>40</v>
      </c>
      <c r="E301" s="8" t="s">
        <v>70</v>
      </c>
      <c r="F301" t="s">
        <v>68</v>
      </c>
      <c r="G301" s="8">
        <v>5000</v>
      </c>
      <c r="H301" s="7">
        <v>46164</v>
      </c>
      <c r="I301" s="9">
        <v>270</v>
      </c>
      <c r="J301" s="31">
        <f t="shared" si="8"/>
        <v>46160</v>
      </c>
      <c r="K301" s="31">
        <f>Table14[[#This Row],[week first day]]-7</f>
        <v>46153</v>
      </c>
      <c r="L301">
        <f t="shared" si="9"/>
        <v>9990</v>
      </c>
    </row>
    <row r="302" spans="1:12" x14ac:dyDescent="0.3">
      <c r="A302" s="8" t="s">
        <v>4</v>
      </c>
      <c r="B302" s="8" t="s">
        <v>69</v>
      </c>
      <c r="C302" s="8" t="s">
        <v>66</v>
      </c>
      <c r="D302" s="8">
        <v>40</v>
      </c>
      <c r="E302" s="8" t="s">
        <v>70</v>
      </c>
      <c r="F302" t="s">
        <v>68</v>
      </c>
      <c r="G302" s="8">
        <v>5000</v>
      </c>
      <c r="H302" s="7">
        <v>46164</v>
      </c>
      <c r="I302" s="9">
        <v>270</v>
      </c>
      <c r="J302" s="31">
        <f t="shared" si="8"/>
        <v>46160</v>
      </c>
      <c r="K302" s="31">
        <f>Table14[[#This Row],[week first day]]-7</f>
        <v>46153</v>
      </c>
      <c r="L302">
        <f t="shared" si="9"/>
        <v>9990</v>
      </c>
    </row>
    <row r="303" spans="1:12" x14ac:dyDescent="0.3">
      <c r="A303" s="8" t="s">
        <v>4</v>
      </c>
      <c r="B303" s="8" t="s">
        <v>69</v>
      </c>
      <c r="C303" s="8" t="s">
        <v>66</v>
      </c>
      <c r="D303" s="8">
        <v>40</v>
      </c>
      <c r="E303" s="8" t="s">
        <v>70</v>
      </c>
      <c r="F303" t="s">
        <v>68</v>
      </c>
      <c r="G303" s="8">
        <v>5000</v>
      </c>
      <c r="H303" s="7">
        <v>46164</v>
      </c>
      <c r="I303" s="9">
        <v>270</v>
      </c>
      <c r="J303" s="31">
        <f t="shared" si="8"/>
        <v>46160</v>
      </c>
      <c r="K303" s="31">
        <f>Table14[[#This Row],[week first day]]-7</f>
        <v>46153</v>
      </c>
      <c r="L303">
        <f t="shared" si="9"/>
        <v>9990</v>
      </c>
    </row>
    <row r="304" spans="1:12" x14ac:dyDescent="0.3">
      <c r="A304" s="8" t="s">
        <v>4</v>
      </c>
      <c r="B304" s="8" t="s">
        <v>69</v>
      </c>
      <c r="C304" s="8" t="s">
        <v>66</v>
      </c>
      <c r="D304" s="8">
        <v>40</v>
      </c>
      <c r="E304" s="8" t="s">
        <v>70</v>
      </c>
      <c r="F304" t="s">
        <v>68</v>
      </c>
      <c r="G304" s="8">
        <v>5000</v>
      </c>
      <c r="H304" s="7">
        <v>46164</v>
      </c>
      <c r="I304" s="9">
        <v>270</v>
      </c>
      <c r="J304" s="31">
        <f t="shared" si="8"/>
        <v>46160</v>
      </c>
      <c r="K304" s="31">
        <f>Table14[[#This Row],[week first day]]-7</f>
        <v>46153</v>
      </c>
      <c r="L304">
        <f t="shared" si="9"/>
        <v>9990</v>
      </c>
    </row>
    <row r="305" spans="1:12" x14ac:dyDescent="0.3">
      <c r="A305" s="8" t="s">
        <v>4</v>
      </c>
      <c r="B305" s="8" t="s">
        <v>69</v>
      </c>
      <c r="C305" s="8" t="s">
        <v>66</v>
      </c>
      <c r="D305" s="8">
        <v>40</v>
      </c>
      <c r="E305" s="8" t="s">
        <v>70</v>
      </c>
      <c r="F305" t="s">
        <v>68</v>
      </c>
      <c r="G305" s="8">
        <v>5000</v>
      </c>
      <c r="H305" s="7">
        <v>46164</v>
      </c>
      <c r="I305" s="9">
        <v>270</v>
      </c>
      <c r="J305" s="31">
        <f t="shared" si="8"/>
        <v>46160</v>
      </c>
      <c r="K305" s="31">
        <f>Table14[[#This Row],[week first day]]-7</f>
        <v>46153</v>
      </c>
      <c r="L305">
        <f t="shared" si="9"/>
        <v>9990</v>
      </c>
    </row>
    <row r="306" spans="1:12" x14ac:dyDescent="0.3">
      <c r="A306" s="8" t="s">
        <v>4</v>
      </c>
      <c r="B306" s="8" t="s">
        <v>69</v>
      </c>
      <c r="C306" s="8" t="s">
        <v>66</v>
      </c>
      <c r="D306" s="8">
        <v>40</v>
      </c>
      <c r="E306" s="8" t="s">
        <v>70</v>
      </c>
      <c r="F306" t="s">
        <v>68</v>
      </c>
      <c r="G306" s="8">
        <v>5000</v>
      </c>
      <c r="H306" s="7">
        <v>46164</v>
      </c>
      <c r="I306" s="9">
        <v>270</v>
      </c>
      <c r="J306" s="31">
        <f t="shared" si="8"/>
        <v>46160</v>
      </c>
      <c r="K306" s="31">
        <f>Table14[[#This Row],[week first day]]-7</f>
        <v>46153</v>
      </c>
      <c r="L306">
        <f t="shared" si="9"/>
        <v>9990</v>
      </c>
    </row>
    <row r="307" spans="1:12" x14ac:dyDescent="0.3">
      <c r="A307" s="8" t="s">
        <v>4</v>
      </c>
      <c r="B307" s="8" t="s">
        <v>69</v>
      </c>
      <c r="C307" s="8" t="s">
        <v>66</v>
      </c>
      <c r="D307" s="8">
        <v>40</v>
      </c>
      <c r="E307" s="8" t="s">
        <v>70</v>
      </c>
      <c r="F307" t="s">
        <v>68</v>
      </c>
      <c r="G307" s="8">
        <v>5000</v>
      </c>
      <c r="H307" s="7">
        <v>46164</v>
      </c>
      <c r="I307" s="9">
        <v>270</v>
      </c>
      <c r="J307" s="31">
        <f t="shared" si="8"/>
        <v>46160</v>
      </c>
      <c r="K307" s="31">
        <f>Table14[[#This Row],[week first day]]-7</f>
        <v>46153</v>
      </c>
      <c r="L307">
        <f t="shared" si="9"/>
        <v>9990</v>
      </c>
    </row>
    <row r="308" spans="1:12" x14ac:dyDescent="0.3">
      <c r="A308" s="8" t="s">
        <v>4</v>
      </c>
      <c r="B308" s="8" t="s">
        <v>69</v>
      </c>
      <c r="C308" s="8" t="s">
        <v>66</v>
      </c>
      <c r="D308" s="8">
        <v>40</v>
      </c>
      <c r="E308" s="8" t="s">
        <v>70</v>
      </c>
      <c r="F308" t="s">
        <v>68</v>
      </c>
      <c r="G308" s="8">
        <v>5000</v>
      </c>
      <c r="H308" s="7">
        <v>46164</v>
      </c>
      <c r="I308" s="9">
        <v>270</v>
      </c>
      <c r="J308" s="31">
        <f t="shared" si="8"/>
        <v>46160</v>
      </c>
      <c r="K308" s="31">
        <f>Table14[[#This Row],[week first day]]-7</f>
        <v>46153</v>
      </c>
      <c r="L308">
        <f t="shared" si="9"/>
        <v>9990</v>
      </c>
    </row>
    <row r="309" spans="1:12" x14ac:dyDescent="0.3">
      <c r="A309" s="8" t="s">
        <v>4</v>
      </c>
      <c r="B309" s="8" t="s">
        <v>69</v>
      </c>
      <c r="C309" s="8" t="s">
        <v>66</v>
      </c>
      <c r="D309" s="8">
        <v>40</v>
      </c>
      <c r="E309" s="8" t="s">
        <v>70</v>
      </c>
      <c r="F309" t="s">
        <v>68</v>
      </c>
      <c r="G309" s="8">
        <v>5000</v>
      </c>
      <c r="H309" s="7">
        <v>46164</v>
      </c>
      <c r="I309" s="9">
        <v>270</v>
      </c>
      <c r="J309" s="31">
        <f t="shared" si="8"/>
        <v>46160</v>
      </c>
      <c r="K309" s="31">
        <f>Table14[[#This Row],[week first day]]-7</f>
        <v>46153</v>
      </c>
      <c r="L309">
        <f t="shared" si="9"/>
        <v>9990</v>
      </c>
    </row>
    <row r="310" spans="1:12" x14ac:dyDescent="0.3">
      <c r="A310" s="8" t="s">
        <v>4</v>
      </c>
      <c r="B310" s="8" t="s">
        <v>69</v>
      </c>
      <c r="C310" s="8" t="s">
        <v>66</v>
      </c>
      <c r="D310" s="8">
        <v>40</v>
      </c>
      <c r="E310" s="8" t="s">
        <v>70</v>
      </c>
      <c r="F310" t="s">
        <v>68</v>
      </c>
      <c r="G310" s="8">
        <v>5000</v>
      </c>
      <c r="H310" s="7">
        <v>46164</v>
      </c>
      <c r="I310" s="9">
        <v>270</v>
      </c>
      <c r="J310" s="31">
        <f t="shared" si="8"/>
        <v>46160</v>
      </c>
      <c r="K310" s="31">
        <f>Table14[[#This Row],[week first day]]-7</f>
        <v>46153</v>
      </c>
      <c r="L310">
        <f t="shared" si="9"/>
        <v>9990</v>
      </c>
    </row>
    <row r="311" spans="1:12" x14ac:dyDescent="0.3">
      <c r="A311" s="8" t="s">
        <v>4</v>
      </c>
      <c r="B311" s="8" t="s">
        <v>69</v>
      </c>
      <c r="C311" s="8" t="s">
        <v>66</v>
      </c>
      <c r="D311" s="8">
        <v>40</v>
      </c>
      <c r="E311" s="8" t="s">
        <v>70</v>
      </c>
      <c r="F311" t="s">
        <v>68</v>
      </c>
      <c r="G311" s="8">
        <v>5000</v>
      </c>
      <c r="H311" s="7">
        <v>46164</v>
      </c>
      <c r="I311" s="9">
        <v>270</v>
      </c>
      <c r="J311" s="31">
        <f t="shared" si="8"/>
        <v>46160</v>
      </c>
      <c r="K311" s="31">
        <f>Table14[[#This Row],[week first day]]-7</f>
        <v>46153</v>
      </c>
      <c r="L311">
        <f t="shared" si="9"/>
        <v>9990</v>
      </c>
    </row>
    <row r="312" spans="1:12" x14ac:dyDescent="0.3">
      <c r="A312" s="8" t="s">
        <v>4</v>
      </c>
      <c r="B312" s="8" t="s">
        <v>69</v>
      </c>
      <c r="C312" s="8" t="s">
        <v>66</v>
      </c>
      <c r="D312" s="8">
        <v>40</v>
      </c>
      <c r="E312" s="8" t="s">
        <v>70</v>
      </c>
      <c r="F312" t="s">
        <v>68</v>
      </c>
      <c r="G312" s="8">
        <v>5000</v>
      </c>
      <c r="H312" s="7">
        <v>46164</v>
      </c>
      <c r="I312" s="9">
        <v>270</v>
      </c>
      <c r="J312" s="31">
        <f t="shared" si="8"/>
        <v>46160</v>
      </c>
      <c r="K312" s="31">
        <f>Table14[[#This Row],[week first day]]-7</f>
        <v>46153</v>
      </c>
      <c r="L312">
        <f t="shared" si="9"/>
        <v>9990</v>
      </c>
    </row>
    <row r="313" spans="1:12" x14ac:dyDescent="0.3">
      <c r="A313" s="8" t="s">
        <v>4</v>
      </c>
      <c r="B313" s="8" t="s">
        <v>69</v>
      </c>
      <c r="C313" s="8" t="s">
        <v>66</v>
      </c>
      <c r="D313" s="8">
        <v>40</v>
      </c>
      <c r="E313" s="8" t="s">
        <v>70</v>
      </c>
      <c r="F313" t="s">
        <v>68</v>
      </c>
      <c r="G313" s="8">
        <v>5000</v>
      </c>
      <c r="H313" s="7">
        <v>46164</v>
      </c>
      <c r="I313" s="9">
        <v>270</v>
      </c>
      <c r="J313" s="31">
        <f t="shared" si="8"/>
        <v>46160</v>
      </c>
      <c r="K313" s="31">
        <f>Table14[[#This Row],[week first day]]-7</f>
        <v>46153</v>
      </c>
      <c r="L313">
        <f t="shared" si="9"/>
        <v>9990</v>
      </c>
    </row>
    <row r="314" spans="1:12" x14ac:dyDescent="0.3">
      <c r="A314" s="8" t="s">
        <v>4</v>
      </c>
      <c r="B314" s="8" t="s">
        <v>69</v>
      </c>
      <c r="C314" s="8" t="s">
        <v>66</v>
      </c>
      <c r="D314" s="8">
        <v>40</v>
      </c>
      <c r="E314" s="8" t="s">
        <v>70</v>
      </c>
      <c r="F314" t="s">
        <v>68</v>
      </c>
      <c r="G314" s="8">
        <v>5000</v>
      </c>
      <c r="H314" s="7">
        <v>46164</v>
      </c>
      <c r="I314" s="9">
        <v>270</v>
      </c>
      <c r="J314" s="31">
        <f t="shared" si="8"/>
        <v>46160</v>
      </c>
      <c r="K314" s="31">
        <f>Table14[[#This Row],[week first day]]-7</f>
        <v>46153</v>
      </c>
      <c r="L314">
        <f t="shared" si="9"/>
        <v>9990</v>
      </c>
    </row>
    <row r="315" spans="1:12" x14ac:dyDescent="0.3">
      <c r="A315" s="8" t="s">
        <v>4</v>
      </c>
      <c r="B315" s="8" t="s">
        <v>69</v>
      </c>
      <c r="C315" s="8" t="s">
        <v>66</v>
      </c>
      <c r="D315" s="8">
        <v>40</v>
      </c>
      <c r="E315" s="8" t="s">
        <v>70</v>
      </c>
      <c r="F315" t="s">
        <v>68</v>
      </c>
      <c r="G315" s="8">
        <v>5000</v>
      </c>
      <c r="H315" s="7">
        <v>46164</v>
      </c>
      <c r="I315" s="9">
        <v>270</v>
      </c>
      <c r="J315" s="31">
        <f t="shared" si="8"/>
        <v>46160</v>
      </c>
      <c r="K315" s="31">
        <f>Table14[[#This Row],[week first day]]-7</f>
        <v>46153</v>
      </c>
      <c r="L315">
        <f t="shared" si="9"/>
        <v>9990</v>
      </c>
    </row>
    <row r="316" spans="1:12" x14ac:dyDescent="0.3">
      <c r="A316" s="8" t="s">
        <v>4</v>
      </c>
      <c r="B316" s="8" t="s">
        <v>69</v>
      </c>
      <c r="C316" s="8" t="s">
        <v>66</v>
      </c>
      <c r="D316" s="8">
        <v>40</v>
      </c>
      <c r="E316" s="8" t="s">
        <v>70</v>
      </c>
      <c r="F316" t="s">
        <v>68</v>
      </c>
      <c r="G316" s="8">
        <v>5000</v>
      </c>
      <c r="H316" s="7">
        <v>46164</v>
      </c>
      <c r="I316" s="9">
        <v>270</v>
      </c>
      <c r="J316" s="31">
        <f t="shared" si="8"/>
        <v>46160</v>
      </c>
      <c r="K316" s="31">
        <f>Table14[[#This Row],[week first day]]-7</f>
        <v>46153</v>
      </c>
      <c r="L316">
        <f t="shared" si="9"/>
        <v>9990</v>
      </c>
    </row>
    <row r="317" spans="1:12" x14ac:dyDescent="0.3">
      <c r="A317" s="8" t="s">
        <v>4</v>
      </c>
      <c r="B317" s="8" t="s">
        <v>69</v>
      </c>
      <c r="C317" s="8" t="s">
        <v>66</v>
      </c>
      <c r="D317" s="8">
        <v>40</v>
      </c>
      <c r="E317" s="8" t="s">
        <v>70</v>
      </c>
      <c r="F317" t="s">
        <v>68</v>
      </c>
      <c r="G317" s="8">
        <v>5000</v>
      </c>
      <c r="H317" s="7">
        <v>46164</v>
      </c>
      <c r="I317" s="9">
        <v>270</v>
      </c>
      <c r="J317" s="31">
        <f t="shared" si="8"/>
        <v>46160</v>
      </c>
      <c r="K317" s="31">
        <f>Table14[[#This Row],[week first day]]-7</f>
        <v>46153</v>
      </c>
      <c r="L317">
        <f t="shared" si="9"/>
        <v>9990</v>
      </c>
    </row>
    <row r="318" spans="1:12" x14ac:dyDescent="0.3">
      <c r="A318" s="8" t="s">
        <v>4</v>
      </c>
      <c r="B318" s="8" t="s">
        <v>69</v>
      </c>
      <c r="C318" s="8" t="s">
        <v>66</v>
      </c>
      <c r="D318" s="8">
        <v>40</v>
      </c>
      <c r="E318" s="8" t="s">
        <v>70</v>
      </c>
      <c r="F318" t="s">
        <v>68</v>
      </c>
      <c r="G318" s="8">
        <v>5000</v>
      </c>
      <c r="H318" s="7">
        <v>46164</v>
      </c>
      <c r="I318" s="9">
        <v>270</v>
      </c>
      <c r="J318" s="31">
        <f t="shared" si="8"/>
        <v>46160</v>
      </c>
      <c r="K318" s="31">
        <f>Table14[[#This Row],[week first day]]-7</f>
        <v>46153</v>
      </c>
      <c r="L318">
        <f t="shared" si="9"/>
        <v>9990</v>
      </c>
    </row>
    <row r="319" spans="1:12" x14ac:dyDescent="0.3">
      <c r="A319" s="8" t="s">
        <v>4</v>
      </c>
      <c r="B319" s="8" t="s">
        <v>69</v>
      </c>
      <c r="C319" s="8" t="s">
        <v>66</v>
      </c>
      <c r="D319" s="8">
        <v>40</v>
      </c>
      <c r="E319" s="8" t="s">
        <v>70</v>
      </c>
      <c r="F319" t="s">
        <v>68</v>
      </c>
      <c r="G319" s="8">
        <v>5000</v>
      </c>
      <c r="H319" s="7">
        <v>46164</v>
      </c>
      <c r="I319" s="9">
        <v>270</v>
      </c>
      <c r="J319" s="31">
        <f t="shared" si="8"/>
        <v>46160</v>
      </c>
      <c r="K319" s="31">
        <f>Table14[[#This Row],[week first day]]-7</f>
        <v>46153</v>
      </c>
      <c r="L319">
        <f t="shared" si="9"/>
        <v>9990</v>
      </c>
    </row>
    <row r="320" spans="1:12" x14ac:dyDescent="0.3">
      <c r="A320" s="8" t="s">
        <v>4</v>
      </c>
      <c r="B320" s="8" t="s">
        <v>69</v>
      </c>
      <c r="C320" s="8" t="s">
        <v>66</v>
      </c>
      <c r="D320" s="8">
        <v>40</v>
      </c>
      <c r="E320" s="8" t="s">
        <v>70</v>
      </c>
      <c r="F320" t="s">
        <v>68</v>
      </c>
      <c r="G320" s="8">
        <v>5000</v>
      </c>
      <c r="H320" s="7">
        <v>46164</v>
      </c>
      <c r="I320" s="9">
        <v>270</v>
      </c>
      <c r="J320" s="31">
        <f t="shared" si="8"/>
        <v>46160</v>
      </c>
      <c r="K320" s="31">
        <f>Table14[[#This Row],[week first day]]-7</f>
        <v>46153</v>
      </c>
      <c r="L320">
        <f t="shared" si="9"/>
        <v>9990</v>
      </c>
    </row>
    <row r="321" spans="1:12" x14ac:dyDescent="0.3">
      <c r="A321" s="8" t="s">
        <v>4</v>
      </c>
      <c r="B321" s="8" t="s">
        <v>69</v>
      </c>
      <c r="C321" s="8" t="s">
        <v>66</v>
      </c>
      <c r="D321" s="8">
        <v>40</v>
      </c>
      <c r="E321" s="8" t="s">
        <v>70</v>
      </c>
      <c r="F321" t="s">
        <v>68</v>
      </c>
      <c r="G321" s="8">
        <v>5000</v>
      </c>
      <c r="H321" s="7">
        <v>46164</v>
      </c>
      <c r="I321" s="9">
        <v>270</v>
      </c>
      <c r="J321" s="31">
        <f t="shared" si="8"/>
        <v>46160</v>
      </c>
      <c r="K321" s="31">
        <f>Table14[[#This Row],[week first day]]-7</f>
        <v>46153</v>
      </c>
      <c r="L321">
        <f t="shared" si="9"/>
        <v>9990</v>
      </c>
    </row>
    <row r="322" spans="1:12" x14ac:dyDescent="0.3">
      <c r="A322" s="8" t="s">
        <v>4</v>
      </c>
      <c r="B322" s="8" t="s">
        <v>69</v>
      </c>
      <c r="C322" s="8" t="s">
        <v>66</v>
      </c>
      <c r="D322" s="8">
        <v>40</v>
      </c>
      <c r="E322" s="8" t="s">
        <v>70</v>
      </c>
      <c r="F322" t="s">
        <v>68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46160</v>
      </c>
      <c r="K322" s="31">
        <f>Table14[[#This Row],[week first day]]-7</f>
        <v>46153</v>
      </c>
      <c r="L322">
        <f t="shared" ref="L322:L385" si="11">SUMIFS($I:$I,$A:$A,A322,J:J,J322)</f>
        <v>9990</v>
      </c>
    </row>
    <row r="323" spans="1:12" x14ac:dyDescent="0.3">
      <c r="A323" s="8" t="s">
        <v>4</v>
      </c>
      <c r="B323" s="8" t="s">
        <v>69</v>
      </c>
      <c r="C323" s="8" t="s">
        <v>66</v>
      </c>
      <c r="D323" s="8">
        <v>40</v>
      </c>
      <c r="E323" s="8" t="s">
        <v>70</v>
      </c>
      <c r="F323" t="s">
        <v>68</v>
      </c>
      <c r="G323" s="8">
        <v>5000</v>
      </c>
      <c r="H323" s="7">
        <v>46164</v>
      </c>
      <c r="I323" s="9">
        <v>270</v>
      </c>
      <c r="J323" s="31">
        <f t="shared" si="10"/>
        <v>46160</v>
      </c>
      <c r="K323" s="31">
        <f>Table14[[#This Row],[week first day]]-7</f>
        <v>46153</v>
      </c>
      <c r="L323">
        <f t="shared" si="11"/>
        <v>9990</v>
      </c>
    </row>
    <row r="324" spans="1:12" x14ac:dyDescent="0.3">
      <c r="A324" s="8" t="s">
        <v>4</v>
      </c>
      <c r="B324" s="8" t="s">
        <v>69</v>
      </c>
      <c r="C324" s="8" t="s">
        <v>66</v>
      </c>
      <c r="D324" s="8">
        <v>40</v>
      </c>
      <c r="E324" s="8" t="s">
        <v>70</v>
      </c>
      <c r="F324" t="s">
        <v>68</v>
      </c>
      <c r="G324" s="8">
        <v>5000</v>
      </c>
      <c r="H324" s="7">
        <v>46164</v>
      </c>
      <c r="I324" s="9">
        <v>270</v>
      </c>
      <c r="J324" s="31">
        <f t="shared" si="10"/>
        <v>46160</v>
      </c>
      <c r="K324" s="31">
        <f>Table14[[#This Row],[week first day]]-7</f>
        <v>46153</v>
      </c>
      <c r="L324">
        <f t="shared" si="11"/>
        <v>9990</v>
      </c>
    </row>
    <row r="325" spans="1:12" x14ac:dyDescent="0.3">
      <c r="A325" s="8" t="s">
        <v>4</v>
      </c>
      <c r="B325" s="8" t="s">
        <v>69</v>
      </c>
      <c r="C325" s="8" t="s">
        <v>66</v>
      </c>
      <c r="D325" s="8">
        <v>40</v>
      </c>
      <c r="E325" s="8" t="s">
        <v>70</v>
      </c>
      <c r="F325" t="s">
        <v>68</v>
      </c>
      <c r="G325" s="8">
        <v>5000</v>
      </c>
      <c r="H325" s="7">
        <v>46164</v>
      </c>
      <c r="I325" s="9">
        <v>270</v>
      </c>
      <c r="J325" s="31">
        <f t="shared" si="10"/>
        <v>46160</v>
      </c>
      <c r="K325" s="31">
        <f>Table14[[#This Row],[week first day]]-7</f>
        <v>46153</v>
      </c>
      <c r="L325">
        <f t="shared" si="11"/>
        <v>9990</v>
      </c>
    </row>
    <row r="326" spans="1:12" x14ac:dyDescent="0.3">
      <c r="A326" s="8" t="s">
        <v>4</v>
      </c>
      <c r="B326" s="8" t="s">
        <v>69</v>
      </c>
      <c r="C326" s="8" t="s">
        <v>66</v>
      </c>
      <c r="D326" s="8">
        <v>40</v>
      </c>
      <c r="E326" s="8" t="s">
        <v>70</v>
      </c>
      <c r="F326" t="s">
        <v>68</v>
      </c>
      <c r="G326" s="8">
        <v>5000</v>
      </c>
      <c r="H326" s="7">
        <v>46164</v>
      </c>
      <c r="I326" s="9">
        <v>270</v>
      </c>
      <c r="J326" s="31">
        <f t="shared" si="10"/>
        <v>46160</v>
      </c>
      <c r="K326" s="31">
        <f>Table14[[#This Row],[week first day]]-7</f>
        <v>46153</v>
      </c>
      <c r="L326">
        <f t="shared" si="11"/>
        <v>9990</v>
      </c>
    </row>
    <row r="327" spans="1:12" x14ac:dyDescent="0.3">
      <c r="A327" s="8" t="s">
        <v>4</v>
      </c>
      <c r="B327" s="8" t="s">
        <v>69</v>
      </c>
      <c r="C327" s="8" t="s">
        <v>66</v>
      </c>
      <c r="D327" s="8">
        <v>40</v>
      </c>
      <c r="E327" s="8" t="s">
        <v>70</v>
      </c>
      <c r="F327" t="s">
        <v>68</v>
      </c>
      <c r="G327" s="8">
        <v>5000</v>
      </c>
      <c r="H327" s="7">
        <v>46164</v>
      </c>
      <c r="I327" s="9">
        <v>270</v>
      </c>
      <c r="J327" s="31">
        <f t="shared" si="10"/>
        <v>46160</v>
      </c>
      <c r="K327" s="31">
        <f>Table14[[#This Row],[week first day]]-7</f>
        <v>46153</v>
      </c>
      <c r="L327">
        <f t="shared" si="11"/>
        <v>9990</v>
      </c>
    </row>
    <row r="328" spans="1:12" x14ac:dyDescent="0.3">
      <c r="A328" s="8" t="s">
        <v>4</v>
      </c>
      <c r="B328" s="8" t="s">
        <v>69</v>
      </c>
      <c r="C328" s="8" t="s">
        <v>66</v>
      </c>
      <c r="D328" s="8">
        <v>40</v>
      </c>
      <c r="E328" s="8" t="s">
        <v>70</v>
      </c>
      <c r="F328" t="s">
        <v>68</v>
      </c>
      <c r="G328" s="8">
        <v>5000</v>
      </c>
      <c r="H328" s="7">
        <v>46171</v>
      </c>
      <c r="I328" s="9">
        <v>222</v>
      </c>
      <c r="J328" s="31">
        <f t="shared" si="10"/>
        <v>46167</v>
      </c>
      <c r="K328" s="31">
        <f>Table14[[#This Row],[week first day]]-7</f>
        <v>46160</v>
      </c>
      <c r="L328">
        <f t="shared" si="11"/>
        <v>5840</v>
      </c>
    </row>
    <row r="329" spans="1:12" x14ac:dyDescent="0.3">
      <c r="A329" s="8" t="s">
        <v>4</v>
      </c>
      <c r="B329" s="8" t="s">
        <v>69</v>
      </c>
      <c r="C329" s="8" t="s">
        <v>66</v>
      </c>
      <c r="D329" s="8">
        <v>40</v>
      </c>
      <c r="E329" s="8" t="s">
        <v>70</v>
      </c>
      <c r="F329" t="s">
        <v>68</v>
      </c>
      <c r="G329" s="8">
        <v>5000</v>
      </c>
      <c r="H329" s="7">
        <v>46171</v>
      </c>
      <c r="I329" s="9">
        <v>171</v>
      </c>
      <c r="J329" s="31">
        <f t="shared" si="10"/>
        <v>46167</v>
      </c>
      <c r="K329" s="31">
        <f>Table14[[#This Row],[week first day]]-7</f>
        <v>46160</v>
      </c>
      <c r="L329">
        <f t="shared" si="11"/>
        <v>5840</v>
      </c>
    </row>
    <row r="330" spans="1:12" x14ac:dyDescent="0.3">
      <c r="A330" s="8" t="s">
        <v>4</v>
      </c>
      <c r="B330" s="8" t="s">
        <v>69</v>
      </c>
      <c r="C330" s="8" t="s">
        <v>66</v>
      </c>
      <c r="D330" s="8">
        <v>40</v>
      </c>
      <c r="E330" s="8" t="s">
        <v>70</v>
      </c>
      <c r="F330" t="s">
        <v>68</v>
      </c>
      <c r="G330" s="8">
        <v>5000</v>
      </c>
      <c r="H330" s="7">
        <v>46171</v>
      </c>
      <c r="I330" s="9">
        <v>270</v>
      </c>
      <c r="J330" s="31">
        <f t="shared" si="10"/>
        <v>46167</v>
      </c>
      <c r="K330" s="31">
        <f>Table14[[#This Row],[week first day]]-7</f>
        <v>46160</v>
      </c>
      <c r="L330">
        <f t="shared" si="11"/>
        <v>5840</v>
      </c>
    </row>
    <row r="331" spans="1:12" x14ac:dyDescent="0.3">
      <c r="A331" s="8" t="s">
        <v>4</v>
      </c>
      <c r="B331" s="8" t="s">
        <v>69</v>
      </c>
      <c r="C331" s="8" t="s">
        <v>66</v>
      </c>
      <c r="D331" s="8">
        <v>40</v>
      </c>
      <c r="E331" s="8" t="s">
        <v>70</v>
      </c>
      <c r="F331" t="s">
        <v>68</v>
      </c>
      <c r="G331" s="8">
        <v>5000</v>
      </c>
      <c r="H331" s="7">
        <v>46171</v>
      </c>
      <c r="I331" s="9">
        <v>270</v>
      </c>
      <c r="J331" s="31">
        <f t="shared" si="10"/>
        <v>46167</v>
      </c>
      <c r="K331" s="31">
        <f>Table14[[#This Row],[week first day]]-7</f>
        <v>46160</v>
      </c>
      <c r="L331">
        <f t="shared" si="11"/>
        <v>5840</v>
      </c>
    </row>
    <row r="332" spans="1:12" x14ac:dyDescent="0.3">
      <c r="A332" s="8" t="s">
        <v>4</v>
      </c>
      <c r="B332" s="8" t="s">
        <v>69</v>
      </c>
      <c r="C332" s="8" t="s">
        <v>66</v>
      </c>
      <c r="D332" s="8">
        <v>40</v>
      </c>
      <c r="E332" s="8" t="s">
        <v>70</v>
      </c>
      <c r="F332" t="s">
        <v>68</v>
      </c>
      <c r="G332" s="8">
        <v>5000</v>
      </c>
      <c r="H332" s="7">
        <v>46171</v>
      </c>
      <c r="I332" s="9">
        <v>270</v>
      </c>
      <c r="J332" s="31">
        <f t="shared" si="10"/>
        <v>46167</v>
      </c>
      <c r="K332" s="31">
        <f>Table14[[#This Row],[week first day]]-7</f>
        <v>46160</v>
      </c>
      <c r="L332">
        <f t="shared" si="11"/>
        <v>5840</v>
      </c>
    </row>
    <row r="333" spans="1:12" x14ac:dyDescent="0.3">
      <c r="A333" s="8" t="s">
        <v>4</v>
      </c>
      <c r="B333" s="8" t="s">
        <v>69</v>
      </c>
      <c r="C333" s="8" t="s">
        <v>66</v>
      </c>
      <c r="D333" s="8">
        <v>40</v>
      </c>
      <c r="E333" s="8" t="s">
        <v>70</v>
      </c>
      <c r="F333" t="s">
        <v>68</v>
      </c>
      <c r="G333" s="8">
        <v>5000</v>
      </c>
      <c r="H333" s="7">
        <v>46171</v>
      </c>
      <c r="I333" s="9">
        <v>270</v>
      </c>
      <c r="J333" s="31">
        <f t="shared" si="10"/>
        <v>46167</v>
      </c>
      <c r="K333" s="31">
        <f>Table14[[#This Row],[week first day]]-7</f>
        <v>46160</v>
      </c>
      <c r="L333">
        <f t="shared" si="11"/>
        <v>5840</v>
      </c>
    </row>
    <row r="334" spans="1:12" x14ac:dyDescent="0.3">
      <c r="A334" s="8" t="s">
        <v>4</v>
      </c>
      <c r="B334" s="8" t="s">
        <v>69</v>
      </c>
      <c r="C334" s="8" t="s">
        <v>66</v>
      </c>
      <c r="D334" s="8">
        <v>40</v>
      </c>
      <c r="E334" s="8" t="s">
        <v>70</v>
      </c>
      <c r="F334" t="s">
        <v>68</v>
      </c>
      <c r="G334" s="8">
        <v>5000</v>
      </c>
      <c r="H334" s="7">
        <v>46171</v>
      </c>
      <c r="I334" s="9">
        <v>270</v>
      </c>
      <c r="J334" s="31">
        <f t="shared" si="10"/>
        <v>46167</v>
      </c>
      <c r="K334" s="31">
        <f>Table14[[#This Row],[week first day]]-7</f>
        <v>46160</v>
      </c>
      <c r="L334">
        <f t="shared" si="11"/>
        <v>5840</v>
      </c>
    </row>
    <row r="335" spans="1:12" x14ac:dyDescent="0.3">
      <c r="A335" s="8" t="s">
        <v>4</v>
      </c>
      <c r="B335" s="8" t="s">
        <v>69</v>
      </c>
      <c r="C335" s="8" t="s">
        <v>66</v>
      </c>
      <c r="D335" s="8">
        <v>40</v>
      </c>
      <c r="E335" s="8" t="s">
        <v>70</v>
      </c>
      <c r="F335" t="s">
        <v>68</v>
      </c>
      <c r="G335" s="8">
        <v>5000</v>
      </c>
      <c r="H335" s="7">
        <v>46171</v>
      </c>
      <c r="I335" s="9">
        <v>270</v>
      </c>
      <c r="J335" s="31">
        <f t="shared" si="10"/>
        <v>46167</v>
      </c>
      <c r="K335" s="31">
        <f>Table14[[#This Row],[week first day]]-7</f>
        <v>46160</v>
      </c>
      <c r="L335">
        <f t="shared" si="11"/>
        <v>5840</v>
      </c>
    </row>
    <row r="336" spans="1:12" x14ac:dyDescent="0.3">
      <c r="A336" s="8" t="s">
        <v>4</v>
      </c>
      <c r="B336" s="8" t="s">
        <v>69</v>
      </c>
      <c r="C336" s="8" t="s">
        <v>66</v>
      </c>
      <c r="D336" s="8">
        <v>40</v>
      </c>
      <c r="E336" s="8" t="s">
        <v>70</v>
      </c>
      <c r="F336" t="s">
        <v>68</v>
      </c>
      <c r="G336" s="8">
        <v>5000</v>
      </c>
      <c r="H336" s="7">
        <v>46171</v>
      </c>
      <c r="I336" s="9">
        <v>269</v>
      </c>
      <c r="J336" s="31">
        <f t="shared" si="10"/>
        <v>46167</v>
      </c>
      <c r="K336" s="31">
        <f>Table14[[#This Row],[week first day]]-7</f>
        <v>46160</v>
      </c>
      <c r="L336">
        <f t="shared" si="11"/>
        <v>5840</v>
      </c>
    </row>
    <row r="337" spans="1:12" x14ac:dyDescent="0.3">
      <c r="A337" s="8" t="s">
        <v>4</v>
      </c>
      <c r="B337" s="8" t="s">
        <v>69</v>
      </c>
      <c r="C337" s="8" t="s">
        <v>66</v>
      </c>
      <c r="D337" s="8">
        <v>40</v>
      </c>
      <c r="E337" s="8" t="s">
        <v>70</v>
      </c>
      <c r="F337" t="s">
        <v>68</v>
      </c>
      <c r="G337" s="8">
        <v>5000</v>
      </c>
      <c r="H337" s="7">
        <v>46171</v>
      </c>
      <c r="I337" s="9">
        <v>270</v>
      </c>
      <c r="J337" s="31">
        <f t="shared" si="10"/>
        <v>46167</v>
      </c>
      <c r="K337" s="31">
        <f>Table14[[#This Row],[week first day]]-7</f>
        <v>46160</v>
      </c>
      <c r="L337">
        <f t="shared" si="11"/>
        <v>5840</v>
      </c>
    </row>
    <row r="338" spans="1:12" x14ac:dyDescent="0.3">
      <c r="A338" s="8" t="s">
        <v>4</v>
      </c>
      <c r="B338" s="8" t="s">
        <v>69</v>
      </c>
      <c r="C338" s="8" t="s">
        <v>66</v>
      </c>
      <c r="D338" s="8">
        <v>40</v>
      </c>
      <c r="E338" s="8" t="s">
        <v>70</v>
      </c>
      <c r="F338" t="s">
        <v>68</v>
      </c>
      <c r="G338" s="8">
        <v>5000</v>
      </c>
      <c r="H338" s="7">
        <v>46171</v>
      </c>
      <c r="I338" s="9">
        <v>270</v>
      </c>
      <c r="J338" s="31">
        <f t="shared" si="10"/>
        <v>46167</v>
      </c>
      <c r="K338" s="31">
        <f>Table14[[#This Row],[week first day]]-7</f>
        <v>46160</v>
      </c>
      <c r="L338">
        <f t="shared" si="11"/>
        <v>5840</v>
      </c>
    </row>
    <row r="339" spans="1:12" x14ac:dyDescent="0.3">
      <c r="A339" s="8" t="s">
        <v>4</v>
      </c>
      <c r="B339" s="8" t="s">
        <v>69</v>
      </c>
      <c r="C339" s="8" t="s">
        <v>66</v>
      </c>
      <c r="D339" s="8">
        <v>40</v>
      </c>
      <c r="E339" s="8" t="s">
        <v>70</v>
      </c>
      <c r="F339" t="s">
        <v>68</v>
      </c>
      <c r="G339" s="8">
        <v>5000</v>
      </c>
      <c r="H339" s="7">
        <v>46171</v>
      </c>
      <c r="I339" s="9">
        <v>227</v>
      </c>
      <c r="J339" s="31">
        <f t="shared" si="10"/>
        <v>46167</v>
      </c>
      <c r="K339" s="31">
        <f>Table14[[#This Row],[week first day]]-7</f>
        <v>46160</v>
      </c>
      <c r="L339">
        <f t="shared" si="11"/>
        <v>5840</v>
      </c>
    </row>
    <row r="340" spans="1:12" x14ac:dyDescent="0.3">
      <c r="A340" s="8" t="s">
        <v>4</v>
      </c>
      <c r="B340" s="8" t="s">
        <v>69</v>
      </c>
      <c r="C340" s="8" t="s">
        <v>66</v>
      </c>
      <c r="D340" s="8">
        <v>40</v>
      </c>
      <c r="E340" s="8" t="s">
        <v>70</v>
      </c>
      <c r="F340" t="s">
        <v>68</v>
      </c>
      <c r="G340" s="8">
        <v>5000</v>
      </c>
      <c r="H340" s="7">
        <v>46171</v>
      </c>
      <c r="I340" s="9">
        <v>264</v>
      </c>
      <c r="J340" s="31">
        <f t="shared" si="10"/>
        <v>46167</v>
      </c>
      <c r="K340" s="31">
        <f>Table14[[#This Row],[week first day]]-7</f>
        <v>46160</v>
      </c>
      <c r="L340">
        <f t="shared" si="11"/>
        <v>5840</v>
      </c>
    </row>
    <row r="341" spans="1:12" x14ac:dyDescent="0.3">
      <c r="A341" s="8" t="s">
        <v>4</v>
      </c>
      <c r="B341" s="8" t="s">
        <v>69</v>
      </c>
      <c r="C341" s="8" t="s">
        <v>66</v>
      </c>
      <c r="D341" s="8">
        <v>40</v>
      </c>
      <c r="E341" s="8" t="s">
        <v>70</v>
      </c>
      <c r="F341" t="s">
        <v>68</v>
      </c>
      <c r="G341" s="8">
        <v>5000</v>
      </c>
      <c r="H341" s="7">
        <v>46171</v>
      </c>
      <c r="I341" s="9">
        <v>270</v>
      </c>
      <c r="J341" s="31">
        <f t="shared" si="10"/>
        <v>46167</v>
      </c>
      <c r="K341" s="31">
        <f>Table14[[#This Row],[week first day]]-7</f>
        <v>46160</v>
      </c>
      <c r="L341">
        <f t="shared" si="11"/>
        <v>5840</v>
      </c>
    </row>
    <row r="342" spans="1:12" x14ac:dyDescent="0.3">
      <c r="A342" s="8" t="s">
        <v>4</v>
      </c>
      <c r="B342" s="8" t="s">
        <v>69</v>
      </c>
      <c r="C342" s="8" t="s">
        <v>66</v>
      </c>
      <c r="D342" s="8">
        <v>40</v>
      </c>
      <c r="E342" s="8" t="s">
        <v>70</v>
      </c>
      <c r="F342" t="s">
        <v>68</v>
      </c>
      <c r="G342" s="8">
        <v>5000</v>
      </c>
      <c r="H342" s="7">
        <v>46171</v>
      </c>
      <c r="I342" s="9">
        <v>270</v>
      </c>
      <c r="J342" s="31">
        <f t="shared" si="10"/>
        <v>46167</v>
      </c>
      <c r="K342" s="31">
        <f>Table14[[#This Row],[week first day]]-7</f>
        <v>46160</v>
      </c>
      <c r="L342">
        <f t="shared" si="11"/>
        <v>5840</v>
      </c>
    </row>
    <row r="343" spans="1:12" x14ac:dyDescent="0.3">
      <c r="A343" s="8" t="s">
        <v>4</v>
      </c>
      <c r="B343" s="8" t="s">
        <v>69</v>
      </c>
      <c r="C343" s="8" t="s">
        <v>66</v>
      </c>
      <c r="D343" s="8">
        <v>40</v>
      </c>
      <c r="E343" s="8" t="s">
        <v>70</v>
      </c>
      <c r="F343" t="s">
        <v>68</v>
      </c>
      <c r="G343" s="8">
        <v>5000</v>
      </c>
      <c r="H343" s="7">
        <v>46171</v>
      </c>
      <c r="I343" s="9">
        <v>270</v>
      </c>
      <c r="J343" s="31">
        <f t="shared" si="10"/>
        <v>46167</v>
      </c>
      <c r="K343" s="31">
        <f>Table14[[#This Row],[week first day]]-7</f>
        <v>46160</v>
      </c>
      <c r="L343">
        <f t="shared" si="11"/>
        <v>5840</v>
      </c>
    </row>
    <row r="344" spans="1:12" x14ac:dyDescent="0.3">
      <c r="A344" s="8" t="s">
        <v>4</v>
      </c>
      <c r="B344" s="8" t="s">
        <v>69</v>
      </c>
      <c r="C344" s="8" t="s">
        <v>66</v>
      </c>
      <c r="D344" s="8">
        <v>40</v>
      </c>
      <c r="E344" s="8" t="s">
        <v>70</v>
      </c>
      <c r="F344" t="s">
        <v>68</v>
      </c>
      <c r="G344" s="8">
        <v>5000</v>
      </c>
      <c r="H344" s="7">
        <v>46171</v>
      </c>
      <c r="I344" s="9">
        <v>270</v>
      </c>
      <c r="J344" s="31">
        <f t="shared" si="10"/>
        <v>46167</v>
      </c>
      <c r="K344" s="31">
        <f>Table14[[#This Row],[week first day]]-7</f>
        <v>46160</v>
      </c>
      <c r="L344">
        <f t="shared" si="11"/>
        <v>5840</v>
      </c>
    </row>
    <row r="345" spans="1:12" x14ac:dyDescent="0.3">
      <c r="A345" s="8" t="s">
        <v>4</v>
      </c>
      <c r="B345" s="8" t="s">
        <v>69</v>
      </c>
      <c r="C345" s="8" t="s">
        <v>66</v>
      </c>
      <c r="D345" s="8">
        <v>40</v>
      </c>
      <c r="E345" s="8" t="s">
        <v>70</v>
      </c>
      <c r="F345" t="s">
        <v>68</v>
      </c>
      <c r="G345" s="8">
        <v>5000</v>
      </c>
      <c r="H345" s="7">
        <v>46171</v>
      </c>
      <c r="I345" s="9">
        <v>270</v>
      </c>
      <c r="J345" s="31">
        <f t="shared" si="10"/>
        <v>46167</v>
      </c>
      <c r="K345" s="31">
        <f>Table14[[#This Row],[week first day]]-7</f>
        <v>46160</v>
      </c>
      <c r="L345">
        <f t="shared" si="11"/>
        <v>5840</v>
      </c>
    </row>
    <row r="346" spans="1:12" x14ac:dyDescent="0.3">
      <c r="A346" s="8" t="s">
        <v>4</v>
      </c>
      <c r="B346" s="8" t="s">
        <v>69</v>
      </c>
      <c r="C346" s="8" t="s">
        <v>66</v>
      </c>
      <c r="D346" s="8">
        <v>40</v>
      </c>
      <c r="E346" s="8" t="s">
        <v>70</v>
      </c>
      <c r="F346" t="s">
        <v>68</v>
      </c>
      <c r="G346" s="8">
        <v>5000</v>
      </c>
      <c r="H346" s="7">
        <v>46171</v>
      </c>
      <c r="I346" s="9">
        <v>207</v>
      </c>
      <c r="J346" s="31">
        <f t="shared" si="10"/>
        <v>46167</v>
      </c>
      <c r="K346" s="31">
        <f>Table14[[#This Row],[week first day]]-7</f>
        <v>46160</v>
      </c>
      <c r="L346">
        <f t="shared" si="11"/>
        <v>5840</v>
      </c>
    </row>
    <row r="347" spans="1:12" x14ac:dyDescent="0.3">
      <c r="A347" s="8" t="s">
        <v>4</v>
      </c>
      <c r="B347" s="8" t="s">
        <v>69</v>
      </c>
      <c r="C347" s="8" t="s">
        <v>66</v>
      </c>
      <c r="D347" s="8">
        <v>40</v>
      </c>
      <c r="E347" s="8" t="s">
        <v>70</v>
      </c>
      <c r="F347" t="s">
        <v>68</v>
      </c>
      <c r="G347" s="8">
        <v>5000</v>
      </c>
      <c r="H347" s="7">
        <v>46171</v>
      </c>
      <c r="I347" s="9">
        <v>270</v>
      </c>
      <c r="J347" s="31">
        <f t="shared" si="10"/>
        <v>46167</v>
      </c>
      <c r="K347" s="31">
        <f>Table14[[#This Row],[week first day]]-7</f>
        <v>46160</v>
      </c>
      <c r="L347">
        <f t="shared" si="11"/>
        <v>5840</v>
      </c>
    </row>
    <row r="348" spans="1:12" x14ac:dyDescent="0.3">
      <c r="A348" s="8" t="s">
        <v>4</v>
      </c>
      <c r="B348" s="8" t="s">
        <v>69</v>
      </c>
      <c r="C348" s="8" t="s">
        <v>66</v>
      </c>
      <c r="D348" s="8">
        <v>40</v>
      </c>
      <c r="E348" s="8" t="s">
        <v>70</v>
      </c>
      <c r="F348" t="s">
        <v>68</v>
      </c>
      <c r="G348" s="8">
        <v>5000</v>
      </c>
      <c r="H348" s="7">
        <v>46171</v>
      </c>
      <c r="I348" s="9">
        <v>160</v>
      </c>
      <c r="J348" s="31">
        <f t="shared" si="10"/>
        <v>46167</v>
      </c>
      <c r="K348" s="31">
        <f>Table14[[#This Row],[week first day]]-7</f>
        <v>46160</v>
      </c>
      <c r="L348">
        <f t="shared" si="11"/>
        <v>5840</v>
      </c>
    </row>
    <row r="349" spans="1:12" x14ac:dyDescent="0.3">
      <c r="A349" s="8" t="s">
        <v>4</v>
      </c>
      <c r="B349" s="8" t="s">
        <v>69</v>
      </c>
      <c r="C349" s="8" t="s">
        <v>66</v>
      </c>
      <c r="D349" s="8">
        <v>40</v>
      </c>
      <c r="E349" s="8" t="s">
        <v>70</v>
      </c>
      <c r="F349" t="s">
        <v>68</v>
      </c>
      <c r="G349" s="8">
        <v>5000</v>
      </c>
      <c r="H349" s="7">
        <v>46171</v>
      </c>
      <c r="I349" s="9">
        <v>270</v>
      </c>
      <c r="J349" s="31">
        <f t="shared" si="10"/>
        <v>46167</v>
      </c>
      <c r="K349" s="31">
        <f>Table14[[#This Row],[week first day]]-7</f>
        <v>46160</v>
      </c>
      <c r="L349">
        <f t="shared" si="11"/>
        <v>5840</v>
      </c>
    </row>
    <row r="350" spans="1:12" x14ac:dyDescent="0.3">
      <c r="A350" s="8" t="s">
        <v>4</v>
      </c>
      <c r="B350" s="8" t="s">
        <v>69</v>
      </c>
      <c r="C350" s="8" t="s">
        <v>66</v>
      </c>
      <c r="D350" s="8">
        <v>40</v>
      </c>
      <c r="E350" s="8" t="s">
        <v>70</v>
      </c>
      <c r="F350" t="s">
        <v>68</v>
      </c>
      <c r="G350" s="8">
        <v>5000</v>
      </c>
      <c r="H350" s="7">
        <v>46171</v>
      </c>
      <c r="I350" s="9">
        <v>270</v>
      </c>
      <c r="J350" s="31">
        <f t="shared" si="10"/>
        <v>46167</v>
      </c>
      <c r="K350" s="31">
        <f>Table14[[#This Row],[week first day]]-7</f>
        <v>46160</v>
      </c>
      <c r="L350">
        <f t="shared" si="11"/>
        <v>5840</v>
      </c>
    </row>
    <row r="351" spans="1:12" x14ac:dyDescent="0.3">
      <c r="A351" s="8" t="s">
        <v>4</v>
      </c>
      <c r="B351" s="8" t="s">
        <v>69</v>
      </c>
      <c r="C351" s="8" t="s">
        <v>66</v>
      </c>
      <c r="D351" s="8">
        <v>40</v>
      </c>
      <c r="E351" s="8" t="s">
        <v>70</v>
      </c>
      <c r="F351" t="s">
        <v>68</v>
      </c>
      <c r="G351" s="8">
        <v>5000</v>
      </c>
      <c r="H351" s="7">
        <v>46175</v>
      </c>
      <c r="I351" s="9">
        <v>270</v>
      </c>
      <c r="J351" s="31">
        <f t="shared" si="10"/>
        <v>46174</v>
      </c>
      <c r="K351" s="31">
        <f>Table14[[#This Row],[week first day]]-7</f>
        <v>46167</v>
      </c>
      <c r="L351">
        <f t="shared" si="11"/>
        <v>8100</v>
      </c>
    </row>
    <row r="352" spans="1:12" x14ac:dyDescent="0.3">
      <c r="A352" s="8" t="s">
        <v>4</v>
      </c>
      <c r="B352" s="8" t="s">
        <v>69</v>
      </c>
      <c r="C352" s="8" t="s">
        <v>66</v>
      </c>
      <c r="D352" s="8">
        <v>40</v>
      </c>
      <c r="E352" s="8" t="s">
        <v>70</v>
      </c>
      <c r="F352" t="s">
        <v>68</v>
      </c>
      <c r="G352" s="8">
        <v>5000</v>
      </c>
      <c r="H352" s="7">
        <v>46175</v>
      </c>
      <c r="I352" s="9">
        <v>270</v>
      </c>
      <c r="J352" s="31">
        <f t="shared" si="10"/>
        <v>46174</v>
      </c>
      <c r="K352" s="31">
        <f>Table14[[#This Row],[week first day]]-7</f>
        <v>46167</v>
      </c>
      <c r="L352">
        <f t="shared" si="11"/>
        <v>8100</v>
      </c>
    </row>
    <row r="353" spans="1:12" x14ac:dyDescent="0.3">
      <c r="A353" s="8" t="s">
        <v>4</v>
      </c>
      <c r="B353" s="8" t="s">
        <v>69</v>
      </c>
      <c r="C353" s="8" t="s">
        <v>66</v>
      </c>
      <c r="D353" s="8">
        <v>40</v>
      </c>
      <c r="E353" s="8" t="s">
        <v>70</v>
      </c>
      <c r="F353" t="s">
        <v>68</v>
      </c>
      <c r="G353" s="8">
        <v>5000</v>
      </c>
      <c r="H353" s="7">
        <v>46175</v>
      </c>
      <c r="I353" s="9">
        <v>270</v>
      </c>
      <c r="J353" s="31">
        <f t="shared" si="10"/>
        <v>46174</v>
      </c>
      <c r="K353" s="31">
        <f>Table14[[#This Row],[week first day]]-7</f>
        <v>46167</v>
      </c>
      <c r="L353">
        <f t="shared" si="11"/>
        <v>8100</v>
      </c>
    </row>
    <row r="354" spans="1:12" x14ac:dyDescent="0.3">
      <c r="A354" s="8" t="s">
        <v>4</v>
      </c>
      <c r="B354" s="8" t="s">
        <v>69</v>
      </c>
      <c r="C354" s="8" t="s">
        <v>66</v>
      </c>
      <c r="D354" s="8">
        <v>40</v>
      </c>
      <c r="E354" s="8" t="s">
        <v>70</v>
      </c>
      <c r="F354" t="s">
        <v>68</v>
      </c>
      <c r="G354" s="8">
        <v>5000</v>
      </c>
      <c r="H354" s="7">
        <v>46175</v>
      </c>
      <c r="I354" s="9">
        <v>270</v>
      </c>
      <c r="J354" s="31">
        <f t="shared" si="10"/>
        <v>46174</v>
      </c>
      <c r="K354" s="31">
        <f>Table14[[#This Row],[week first day]]-7</f>
        <v>46167</v>
      </c>
      <c r="L354">
        <f t="shared" si="11"/>
        <v>8100</v>
      </c>
    </row>
    <row r="355" spans="1:12" x14ac:dyDescent="0.3">
      <c r="A355" s="8" t="s">
        <v>4</v>
      </c>
      <c r="B355" s="8" t="s">
        <v>69</v>
      </c>
      <c r="C355" s="8" t="s">
        <v>66</v>
      </c>
      <c r="D355" s="8">
        <v>40</v>
      </c>
      <c r="E355" s="8" t="s">
        <v>70</v>
      </c>
      <c r="F355" t="s">
        <v>68</v>
      </c>
      <c r="G355" s="8">
        <v>5000</v>
      </c>
      <c r="H355" s="7">
        <v>46175</v>
      </c>
      <c r="I355" s="9">
        <v>270</v>
      </c>
      <c r="J355" s="31">
        <f t="shared" si="10"/>
        <v>46174</v>
      </c>
      <c r="K355" s="31">
        <f>Table14[[#This Row],[week first day]]-7</f>
        <v>46167</v>
      </c>
      <c r="L355">
        <f t="shared" si="11"/>
        <v>8100</v>
      </c>
    </row>
    <row r="356" spans="1:12" x14ac:dyDescent="0.3">
      <c r="A356" s="8" t="s">
        <v>4</v>
      </c>
      <c r="B356" s="8" t="s">
        <v>69</v>
      </c>
      <c r="C356" s="8" t="s">
        <v>66</v>
      </c>
      <c r="D356" s="8">
        <v>40</v>
      </c>
      <c r="E356" s="8" t="s">
        <v>70</v>
      </c>
      <c r="F356" t="s">
        <v>68</v>
      </c>
      <c r="G356" s="8">
        <v>5000</v>
      </c>
      <c r="H356" s="7">
        <v>46175</v>
      </c>
      <c r="I356" s="9">
        <v>270</v>
      </c>
      <c r="J356" s="31">
        <f t="shared" si="10"/>
        <v>46174</v>
      </c>
      <c r="K356" s="31">
        <f>Table14[[#This Row],[week first day]]-7</f>
        <v>46167</v>
      </c>
      <c r="L356">
        <f t="shared" si="11"/>
        <v>8100</v>
      </c>
    </row>
    <row r="357" spans="1:12" x14ac:dyDescent="0.3">
      <c r="A357" s="8" t="s">
        <v>4</v>
      </c>
      <c r="B357" s="8" t="s">
        <v>69</v>
      </c>
      <c r="C357" s="8" t="s">
        <v>66</v>
      </c>
      <c r="D357" s="8">
        <v>40</v>
      </c>
      <c r="E357" s="8" t="s">
        <v>70</v>
      </c>
      <c r="F357" t="s">
        <v>68</v>
      </c>
      <c r="G357" s="8">
        <v>5000</v>
      </c>
      <c r="H357" s="7">
        <v>46175</v>
      </c>
      <c r="I357" s="9">
        <v>270</v>
      </c>
      <c r="J357" s="31">
        <f t="shared" si="10"/>
        <v>46174</v>
      </c>
      <c r="K357" s="31">
        <f>Table14[[#This Row],[week first day]]-7</f>
        <v>46167</v>
      </c>
      <c r="L357">
        <f t="shared" si="11"/>
        <v>8100</v>
      </c>
    </row>
    <row r="358" spans="1:12" x14ac:dyDescent="0.3">
      <c r="A358" s="8" t="s">
        <v>4</v>
      </c>
      <c r="B358" s="8" t="s">
        <v>69</v>
      </c>
      <c r="C358" s="8" t="s">
        <v>66</v>
      </c>
      <c r="D358" s="8">
        <v>40</v>
      </c>
      <c r="E358" s="8" t="s">
        <v>70</v>
      </c>
      <c r="F358" t="s">
        <v>68</v>
      </c>
      <c r="G358" s="8">
        <v>5000</v>
      </c>
      <c r="H358" s="7">
        <v>46175</v>
      </c>
      <c r="I358" s="9">
        <v>270</v>
      </c>
      <c r="J358" s="31">
        <f t="shared" si="10"/>
        <v>46174</v>
      </c>
      <c r="K358" s="31">
        <f>Table14[[#This Row],[week first day]]-7</f>
        <v>46167</v>
      </c>
      <c r="L358">
        <f t="shared" si="11"/>
        <v>8100</v>
      </c>
    </row>
    <row r="359" spans="1:12" x14ac:dyDescent="0.3">
      <c r="A359" s="8" t="s">
        <v>4</v>
      </c>
      <c r="B359" s="8" t="s">
        <v>69</v>
      </c>
      <c r="C359" s="8" t="s">
        <v>66</v>
      </c>
      <c r="D359" s="8">
        <v>40</v>
      </c>
      <c r="E359" s="8" t="s">
        <v>70</v>
      </c>
      <c r="F359" t="s">
        <v>68</v>
      </c>
      <c r="G359" s="8">
        <v>5000</v>
      </c>
      <c r="H359" s="7">
        <v>46175</v>
      </c>
      <c r="I359" s="9">
        <v>270</v>
      </c>
      <c r="J359" s="31">
        <f t="shared" si="10"/>
        <v>46174</v>
      </c>
      <c r="K359" s="31">
        <f>Table14[[#This Row],[week first day]]-7</f>
        <v>46167</v>
      </c>
      <c r="L359">
        <f t="shared" si="11"/>
        <v>8100</v>
      </c>
    </row>
    <row r="360" spans="1:12" x14ac:dyDescent="0.3">
      <c r="A360" s="8" t="s">
        <v>4</v>
      </c>
      <c r="B360" s="8" t="s">
        <v>69</v>
      </c>
      <c r="C360" s="8" t="s">
        <v>66</v>
      </c>
      <c r="D360" s="8">
        <v>40</v>
      </c>
      <c r="E360" s="8" t="s">
        <v>70</v>
      </c>
      <c r="F360" t="s">
        <v>68</v>
      </c>
      <c r="G360" s="8">
        <v>5000</v>
      </c>
      <c r="H360" s="7">
        <v>46175</v>
      </c>
      <c r="I360" s="9">
        <v>270</v>
      </c>
      <c r="J360" s="31">
        <f t="shared" si="10"/>
        <v>46174</v>
      </c>
      <c r="K360" s="31">
        <f>Table14[[#This Row],[week first day]]-7</f>
        <v>46167</v>
      </c>
      <c r="L360">
        <f t="shared" si="11"/>
        <v>8100</v>
      </c>
    </row>
    <row r="361" spans="1:12" x14ac:dyDescent="0.3">
      <c r="A361" s="8" t="s">
        <v>4</v>
      </c>
      <c r="B361" s="8" t="s">
        <v>69</v>
      </c>
      <c r="C361" s="8" t="s">
        <v>66</v>
      </c>
      <c r="D361" s="8">
        <v>40</v>
      </c>
      <c r="E361" s="8" t="s">
        <v>70</v>
      </c>
      <c r="F361" t="s">
        <v>68</v>
      </c>
      <c r="G361" s="8">
        <v>5000</v>
      </c>
      <c r="H361" s="7">
        <v>46175</v>
      </c>
      <c r="I361" s="9">
        <v>270</v>
      </c>
      <c r="J361" s="31">
        <f t="shared" si="10"/>
        <v>46174</v>
      </c>
      <c r="K361" s="31">
        <f>Table14[[#This Row],[week first day]]-7</f>
        <v>46167</v>
      </c>
      <c r="L361">
        <f t="shared" si="11"/>
        <v>8100</v>
      </c>
    </row>
    <row r="362" spans="1:12" x14ac:dyDescent="0.3">
      <c r="A362" s="8" t="s">
        <v>4</v>
      </c>
      <c r="B362" s="8" t="s">
        <v>69</v>
      </c>
      <c r="C362" s="8" t="s">
        <v>66</v>
      </c>
      <c r="D362" s="8">
        <v>40</v>
      </c>
      <c r="E362" s="8" t="s">
        <v>70</v>
      </c>
      <c r="F362" t="s">
        <v>68</v>
      </c>
      <c r="G362" s="8">
        <v>5000</v>
      </c>
      <c r="H362" s="7">
        <v>46175</v>
      </c>
      <c r="I362" s="9">
        <v>270</v>
      </c>
      <c r="J362" s="31">
        <f t="shared" si="10"/>
        <v>46174</v>
      </c>
      <c r="K362" s="31">
        <f>Table14[[#This Row],[week first day]]-7</f>
        <v>46167</v>
      </c>
      <c r="L362">
        <f t="shared" si="11"/>
        <v>8100</v>
      </c>
    </row>
    <row r="363" spans="1:12" x14ac:dyDescent="0.3">
      <c r="A363" s="8" t="s">
        <v>4</v>
      </c>
      <c r="B363" s="8" t="s">
        <v>69</v>
      </c>
      <c r="C363" s="8" t="s">
        <v>66</v>
      </c>
      <c r="D363" s="8">
        <v>40</v>
      </c>
      <c r="E363" s="8" t="s">
        <v>70</v>
      </c>
      <c r="F363" t="s">
        <v>68</v>
      </c>
      <c r="G363" s="8">
        <v>5000</v>
      </c>
      <c r="H363" s="7">
        <v>46175</v>
      </c>
      <c r="I363" s="9">
        <v>270</v>
      </c>
      <c r="J363" s="31">
        <f t="shared" si="10"/>
        <v>46174</v>
      </c>
      <c r="K363" s="31">
        <f>Table14[[#This Row],[week first day]]-7</f>
        <v>46167</v>
      </c>
      <c r="L363">
        <f t="shared" si="11"/>
        <v>8100</v>
      </c>
    </row>
    <row r="364" spans="1:12" x14ac:dyDescent="0.3">
      <c r="A364" s="8" t="s">
        <v>4</v>
      </c>
      <c r="B364" s="8" t="s">
        <v>69</v>
      </c>
      <c r="C364" s="8" t="s">
        <v>66</v>
      </c>
      <c r="D364" s="8">
        <v>40</v>
      </c>
      <c r="E364" s="8" t="s">
        <v>70</v>
      </c>
      <c r="F364" t="s">
        <v>68</v>
      </c>
      <c r="G364" s="8">
        <v>5000</v>
      </c>
      <c r="H364" s="7">
        <v>46175</v>
      </c>
      <c r="I364" s="9">
        <v>270</v>
      </c>
      <c r="J364" s="31">
        <f t="shared" si="10"/>
        <v>46174</v>
      </c>
      <c r="K364" s="31">
        <f>Table14[[#This Row],[week first day]]-7</f>
        <v>46167</v>
      </c>
      <c r="L364">
        <f t="shared" si="11"/>
        <v>8100</v>
      </c>
    </row>
    <row r="365" spans="1:12" x14ac:dyDescent="0.3">
      <c r="A365" s="8" t="s">
        <v>4</v>
      </c>
      <c r="B365" s="8" t="s">
        <v>69</v>
      </c>
      <c r="C365" s="8" t="s">
        <v>66</v>
      </c>
      <c r="D365" s="8">
        <v>40</v>
      </c>
      <c r="E365" s="8" t="s">
        <v>70</v>
      </c>
      <c r="F365" t="s">
        <v>68</v>
      </c>
      <c r="G365" s="8">
        <v>5000</v>
      </c>
      <c r="H365" s="7">
        <v>46175</v>
      </c>
      <c r="I365" s="9">
        <v>270</v>
      </c>
      <c r="J365" s="31">
        <f t="shared" si="10"/>
        <v>46174</v>
      </c>
      <c r="K365" s="31">
        <f>Table14[[#This Row],[week first day]]-7</f>
        <v>46167</v>
      </c>
      <c r="L365">
        <f t="shared" si="11"/>
        <v>8100</v>
      </c>
    </row>
    <row r="366" spans="1:12" x14ac:dyDescent="0.3">
      <c r="A366" s="8" t="s">
        <v>4</v>
      </c>
      <c r="B366" s="8" t="s">
        <v>69</v>
      </c>
      <c r="C366" s="8" t="s">
        <v>66</v>
      </c>
      <c r="D366" s="8">
        <v>40</v>
      </c>
      <c r="E366" s="8" t="s">
        <v>70</v>
      </c>
      <c r="F366" t="s">
        <v>68</v>
      </c>
      <c r="G366" s="8">
        <v>5000</v>
      </c>
      <c r="H366" s="7">
        <v>46175</v>
      </c>
      <c r="I366" s="9">
        <v>270</v>
      </c>
      <c r="J366" s="31">
        <f t="shared" si="10"/>
        <v>46174</v>
      </c>
      <c r="K366" s="31">
        <f>Table14[[#This Row],[week first day]]-7</f>
        <v>46167</v>
      </c>
      <c r="L366">
        <f t="shared" si="11"/>
        <v>8100</v>
      </c>
    </row>
    <row r="367" spans="1:12" x14ac:dyDescent="0.3">
      <c r="A367" s="8" t="s">
        <v>4</v>
      </c>
      <c r="B367" s="8" t="s">
        <v>69</v>
      </c>
      <c r="C367" s="8" t="s">
        <v>66</v>
      </c>
      <c r="D367" s="8">
        <v>40</v>
      </c>
      <c r="E367" s="8" t="s">
        <v>70</v>
      </c>
      <c r="F367" t="s">
        <v>68</v>
      </c>
      <c r="G367" s="8">
        <v>5000</v>
      </c>
      <c r="H367" s="7">
        <v>46175</v>
      </c>
      <c r="I367" s="9">
        <v>270</v>
      </c>
      <c r="J367" s="31">
        <f t="shared" si="10"/>
        <v>46174</v>
      </c>
      <c r="K367" s="31">
        <f>Table14[[#This Row],[week first day]]-7</f>
        <v>46167</v>
      </c>
      <c r="L367">
        <f t="shared" si="11"/>
        <v>8100</v>
      </c>
    </row>
    <row r="368" spans="1:12" x14ac:dyDescent="0.3">
      <c r="A368" s="8" t="s">
        <v>4</v>
      </c>
      <c r="B368" s="8" t="s">
        <v>69</v>
      </c>
      <c r="C368" s="8" t="s">
        <v>66</v>
      </c>
      <c r="D368" s="8">
        <v>40</v>
      </c>
      <c r="E368" s="8" t="s">
        <v>70</v>
      </c>
      <c r="F368" t="s">
        <v>68</v>
      </c>
      <c r="G368" s="8">
        <v>5000</v>
      </c>
      <c r="H368" s="7">
        <v>46175</v>
      </c>
      <c r="I368" s="9">
        <v>270</v>
      </c>
      <c r="J368" s="31">
        <f t="shared" si="10"/>
        <v>46174</v>
      </c>
      <c r="K368" s="31">
        <f>Table14[[#This Row],[week first day]]-7</f>
        <v>46167</v>
      </c>
      <c r="L368">
        <f t="shared" si="11"/>
        <v>8100</v>
      </c>
    </row>
    <row r="369" spans="1:12" x14ac:dyDescent="0.3">
      <c r="A369" s="8" t="s">
        <v>4</v>
      </c>
      <c r="B369" s="8" t="s">
        <v>69</v>
      </c>
      <c r="C369" s="8" t="s">
        <v>66</v>
      </c>
      <c r="D369" s="8">
        <v>40</v>
      </c>
      <c r="E369" s="8" t="s">
        <v>70</v>
      </c>
      <c r="F369" t="s">
        <v>68</v>
      </c>
      <c r="G369" s="8">
        <v>5000</v>
      </c>
      <c r="H369" s="7">
        <v>46175</v>
      </c>
      <c r="I369" s="9">
        <v>270</v>
      </c>
      <c r="J369" s="31">
        <f t="shared" si="10"/>
        <v>46174</v>
      </c>
      <c r="K369" s="31">
        <f>Table14[[#This Row],[week first day]]-7</f>
        <v>46167</v>
      </c>
      <c r="L369">
        <f t="shared" si="11"/>
        <v>8100</v>
      </c>
    </row>
    <row r="370" spans="1:12" x14ac:dyDescent="0.3">
      <c r="A370" s="8" t="s">
        <v>4</v>
      </c>
      <c r="B370" s="8" t="s">
        <v>69</v>
      </c>
      <c r="C370" s="8" t="s">
        <v>66</v>
      </c>
      <c r="D370" s="8">
        <v>40</v>
      </c>
      <c r="E370" s="8" t="s">
        <v>70</v>
      </c>
      <c r="F370" t="s">
        <v>68</v>
      </c>
      <c r="G370" s="8">
        <v>5000</v>
      </c>
      <c r="H370" s="7">
        <v>46175</v>
      </c>
      <c r="I370" s="9">
        <v>270</v>
      </c>
      <c r="J370" s="31">
        <f t="shared" si="10"/>
        <v>46174</v>
      </c>
      <c r="K370" s="31">
        <f>Table14[[#This Row],[week first day]]-7</f>
        <v>46167</v>
      </c>
      <c r="L370">
        <f t="shared" si="11"/>
        <v>8100</v>
      </c>
    </row>
    <row r="371" spans="1:12" x14ac:dyDescent="0.3">
      <c r="A371" s="8" t="s">
        <v>4</v>
      </c>
      <c r="B371" s="8" t="s">
        <v>69</v>
      </c>
      <c r="C371" s="8" t="s">
        <v>66</v>
      </c>
      <c r="D371" s="8">
        <v>40</v>
      </c>
      <c r="E371" s="8" t="s">
        <v>70</v>
      </c>
      <c r="F371" t="s">
        <v>68</v>
      </c>
      <c r="G371" s="8">
        <v>5000</v>
      </c>
      <c r="H371" s="7">
        <v>46175</v>
      </c>
      <c r="I371" s="9">
        <v>270</v>
      </c>
      <c r="J371" s="31">
        <f t="shared" si="10"/>
        <v>46174</v>
      </c>
      <c r="K371" s="31">
        <f>Table14[[#This Row],[week first day]]-7</f>
        <v>46167</v>
      </c>
      <c r="L371">
        <f t="shared" si="11"/>
        <v>8100</v>
      </c>
    </row>
    <row r="372" spans="1:12" x14ac:dyDescent="0.3">
      <c r="A372" s="8" t="s">
        <v>4</v>
      </c>
      <c r="B372" s="8" t="s">
        <v>69</v>
      </c>
      <c r="C372" s="8" t="s">
        <v>66</v>
      </c>
      <c r="D372" s="8">
        <v>40</v>
      </c>
      <c r="E372" s="8" t="s">
        <v>70</v>
      </c>
      <c r="F372" t="s">
        <v>68</v>
      </c>
      <c r="G372" s="8">
        <v>5000</v>
      </c>
      <c r="H372" s="7">
        <v>46175</v>
      </c>
      <c r="I372" s="9">
        <v>270</v>
      </c>
      <c r="J372" s="31">
        <f t="shared" si="10"/>
        <v>46174</v>
      </c>
      <c r="K372" s="31">
        <f>Table14[[#This Row],[week first day]]-7</f>
        <v>46167</v>
      </c>
      <c r="L372">
        <f t="shared" si="11"/>
        <v>8100</v>
      </c>
    </row>
    <row r="373" spans="1:12" x14ac:dyDescent="0.3">
      <c r="A373" s="8" t="s">
        <v>4</v>
      </c>
      <c r="B373" s="8" t="s">
        <v>69</v>
      </c>
      <c r="C373" s="8" t="s">
        <v>66</v>
      </c>
      <c r="D373" s="8">
        <v>40</v>
      </c>
      <c r="E373" s="8" t="s">
        <v>70</v>
      </c>
      <c r="F373" t="s">
        <v>68</v>
      </c>
      <c r="G373" s="8">
        <v>5000</v>
      </c>
      <c r="H373" s="7">
        <v>46175</v>
      </c>
      <c r="I373" s="9">
        <v>270</v>
      </c>
      <c r="J373" s="31">
        <f t="shared" si="10"/>
        <v>46174</v>
      </c>
      <c r="K373" s="31">
        <f>Table14[[#This Row],[week first day]]-7</f>
        <v>46167</v>
      </c>
      <c r="L373">
        <f t="shared" si="11"/>
        <v>8100</v>
      </c>
    </row>
    <row r="374" spans="1:12" x14ac:dyDescent="0.3">
      <c r="A374" s="8" t="s">
        <v>4</v>
      </c>
      <c r="B374" s="8" t="s">
        <v>69</v>
      </c>
      <c r="C374" s="8" t="s">
        <v>66</v>
      </c>
      <c r="D374" s="8">
        <v>40</v>
      </c>
      <c r="E374" s="8" t="s">
        <v>70</v>
      </c>
      <c r="F374" t="s">
        <v>68</v>
      </c>
      <c r="G374" s="8">
        <v>5000</v>
      </c>
      <c r="H374" s="7">
        <v>46175</v>
      </c>
      <c r="I374" s="9">
        <v>270</v>
      </c>
      <c r="J374" s="31">
        <f t="shared" si="10"/>
        <v>46174</v>
      </c>
      <c r="K374" s="31">
        <f>Table14[[#This Row],[week first day]]-7</f>
        <v>46167</v>
      </c>
      <c r="L374">
        <f t="shared" si="11"/>
        <v>8100</v>
      </c>
    </row>
    <row r="375" spans="1:12" x14ac:dyDescent="0.3">
      <c r="A375" s="8" t="s">
        <v>4</v>
      </c>
      <c r="B375" s="8" t="s">
        <v>69</v>
      </c>
      <c r="C375" s="8" t="s">
        <v>66</v>
      </c>
      <c r="D375" s="8">
        <v>40</v>
      </c>
      <c r="E375" s="8" t="s">
        <v>70</v>
      </c>
      <c r="F375" t="s">
        <v>68</v>
      </c>
      <c r="G375" s="8">
        <v>5000</v>
      </c>
      <c r="H375" s="7">
        <v>46175</v>
      </c>
      <c r="I375" s="9">
        <v>270</v>
      </c>
      <c r="J375" s="31">
        <f t="shared" si="10"/>
        <v>46174</v>
      </c>
      <c r="K375" s="31">
        <f>Table14[[#This Row],[week first day]]-7</f>
        <v>46167</v>
      </c>
      <c r="L375">
        <f t="shared" si="11"/>
        <v>8100</v>
      </c>
    </row>
    <row r="376" spans="1:12" x14ac:dyDescent="0.3">
      <c r="A376" s="8" t="s">
        <v>4</v>
      </c>
      <c r="B376" s="8" t="s">
        <v>69</v>
      </c>
      <c r="C376" s="8" t="s">
        <v>66</v>
      </c>
      <c r="D376" s="8">
        <v>40</v>
      </c>
      <c r="E376" s="8" t="s">
        <v>70</v>
      </c>
      <c r="F376" t="s">
        <v>68</v>
      </c>
      <c r="G376" s="8">
        <v>5000</v>
      </c>
      <c r="H376" s="7">
        <v>46175</v>
      </c>
      <c r="I376" s="9">
        <v>270</v>
      </c>
      <c r="J376" s="31">
        <f t="shared" si="10"/>
        <v>46174</v>
      </c>
      <c r="K376" s="31">
        <f>Table14[[#This Row],[week first day]]-7</f>
        <v>46167</v>
      </c>
      <c r="L376">
        <f t="shared" si="11"/>
        <v>8100</v>
      </c>
    </row>
    <row r="377" spans="1:12" x14ac:dyDescent="0.3">
      <c r="A377" s="8" t="s">
        <v>4</v>
      </c>
      <c r="B377" s="8" t="s">
        <v>69</v>
      </c>
      <c r="C377" s="8" t="s">
        <v>66</v>
      </c>
      <c r="D377" s="8">
        <v>40</v>
      </c>
      <c r="E377" s="8" t="s">
        <v>70</v>
      </c>
      <c r="F377" t="s">
        <v>68</v>
      </c>
      <c r="G377" s="8">
        <v>5000</v>
      </c>
      <c r="H377" s="7">
        <v>46175</v>
      </c>
      <c r="I377" s="9">
        <v>270</v>
      </c>
      <c r="J377" s="31">
        <f t="shared" si="10"/>
        <v>46174</v>
      </c>
      <c r="K377" s="31">
        <f>Table14[[#This Row],[week first day]]-7</f>
        <v>46167</v>
      </c>
      <c r="L377">
        <f t="shared" si="11"/>
        <v>8100</v>
      </c>
    </row>
    <row r="378" spans="1:12" x14ac:dyDescent="0.3">
      <c r="A378" s="8" t="s">
        <v>4</v>
      </c>
      <c r="B378" s="8" t="s">
        <v>69</v>
      </c>
      <c r="C378" s="8" t="s">
        <v>66</v>
      </c>
      <c r="D378" s="8">
        <v>40</v>
      </c>
      <c r="E378" s="8" t="s">
        <v>70</v>
      </c>
      <c r="F378" t="s">
        <v>68</v>
      </c>
      <c r="G378" s="8">
        <v>5000</v>
      </c>
      <c r="H378" s="7">
        <v>46175</v>
      </c>
      <c r="I378" s="9">
        <v>270</v>
      </c>
      <c r="J378" s="31">
        <f t="shared" si="10"/>
        <v>46174</v>
      </c>
      <c r="K378" s="31">
        <f>Table14[[#This Row],[week first day]]-7</f>
        <v>46167</v>
      </c>
      <c r="L378">
        <f t="shared" si="11"/>
        <v>8100</v>
      </c>
    </row>
    <row r="379" spans="1:12" x14ac:dyDescent="0.3">
      <c r="A379" s="8" t="s">
        <v>4</v>
      </c>
      <c r="B379" s="8" t="s">
        <v>69</v>
      </c>
      <c r="C379" s="8" t="s">
        <v>66</v>
      </c>
      <c r="D379" s="8">
        <v>40</v>
      </c>
      <c r="E379" s="8" t="s">
        <v>70</v>
      </c>
      <c r="F379" t="s">
        <v>68</v>
      </c>
      <c r="G379" s="8">
        <v>5000</v>
      </c>
      <c r="H379" s="7">
        <v>46175</v>
      </c>
      <c r="I379" s="9">
        <v>270</v>
      </c>
      <c r="J379" s="31">
        <f t="shared" si="10"/>
        <v>46174</v>
      </c>
      <c r="K379" s="31">
        <f>Table14[[#This Row],[week first day]]-7</f>
        <v>46167</v>
      </c>
      <c r="L379">
        <f t="shared" si="11"/>
        <v>8100</v>
      </c>
    </row>
    <row r="380" spans="1:12" x14ac:dyDescent="0.3">
      <c r="A380" s="8" t="s">
        <v>4</v>
      </c>
      <c r="B380" s="8" t="s">
        <v>69</v>
      </c>
      <c r="C380" s="8" t="s">
        <v>66</v>
      </c>
      <c r="D380" s="8">
        <v>40</v>
      </c>
      <c r="E380" s="8" t="s">
        <v>70</v>
      </c>
      <c r="F380" t="s">
        <v>68</v>
      </c>
      <c r="G380" s="8">
        <v>5000</v>
      </c>
      <c r="H380" s="7">
        <v>46175</v>
      </c>
      <c r="I380" s="9">
        <v>270</v>
      </c>
      <c r="J380" s="31">
        <f t="shared" si="10"/>
        <v>46174</v>
      </c>
      <c r="K380" s="31">
        <f>Table14[[#This Row],[week first day]]-7</f>
        <v>46167</v>
      </c>
      <c r="L380">
        <f t="shared" si="11"/>
        <v>8100</v>
      </c>
    </row>
    <row r="381" spans="1:12" x14ac:dyDescent="0.3">
      <c r="A381" s="8" t="s">
        <v>4</v>
      </c>
      <c r="B381" s="8" t="s">
        <v>69</v>
      </c>
      <c r="C381" s="8" t="s">
        <v>66</v>
      </c>
      <c r="D381" s="8">
        <v>40</v>
      </c>
      <c r="E381" s="8" t="s">
        <v>70</v>
      </c>
      <c r="F381" t="s">
        <v>68</v>
      </c>
      <c r="G381" s="8">
        <v>5000</v>
      </c>
      <c r="H381" s="7">
        <v>46183</v>
      </c>
      <c r="I381" s="9">
        <v>228</v>
      </c>
      <c r="J381" s="31">
        <f t="shared" si="10"/>
        <v>46181</v>
      </c>
      <c r="K381" s="31">
        <f>Table14[[#This Row],[week first day]]-7</f>
        <v>46174</v>
      </c>
      <c r="L381">
        <f t="shared" si="11"/>
        <v>1001</v>
      </c>
    </row>
    <row r="382" spans="1:12" x14ac:dyDescent="0.3">
      <c r="A382" s="8" t="s">
        <v>4</v>
      </c>
      <c r="B382" s="8" t="s">
        <v>69</v>
      </c>
      <c r="C382" s="8" t="s">
        <v>66</v>
      </c>
      <c r="D382" s="8">
        <v>40</v>
      </c>
      <c r="E382" s="8" t="s">
        <v>70</v>
      </c>
      <c r="F382" t="s">
        <v>68</v>
      </c>
      <c r="G382" s="8">
        <v>5000</v>
      </c>
      <c r="H382" s="7">
        <v>46183</v>
      </c>
      <c r="I382" s="9">
        <v>270</v>
      </c>
      <c r="J382" s="31">
        <f t="shared" si="10"/>
        <v>46181</v>
      </c>
      <c r="K382" s="31">
        <f>Table14[[#This Row],[week first day]]-7</f>
        <v>46174</v>
      </c>
      <c r="L382">
        <f t="shared" si="11"/>
        <v>1001</v>
      </c>
    </row>
    <row r="383" spans="1:12" x14ac:dyDescent="0.3">
      <c r="A383" s="8" t="s">
        <v>4</v>
      </c>
      <c r="B383" s="8" t="s">
        <v>69</v>
      </c>
      <c r="C383" s="8" t="s">
        <v>66</v>
      </c>
      <c r="D383" s="8">
        <v>40</v>
      </c>
      <c r="E383" s="8" t="s">
        <v>70</v>
      </c>
      <c r="F383" t="s">
        <v>68</v>
      </c>
      <c r="G383" s="8">
        <v>5000</v>
      </c>
      <c r="H383" s="7">
        <v>46183</v>
      </c>
      <c r="I383" s="9">
        <v>270</v>
      </c>
      <c r="J383" s="31">
        <f t="shared" si="10"/>
        <v>46181</v>
      </c>
      <c r="K383" s="31">
        <f>Table14[[#This Row],[week first day]]-7</f>
        <v>46174</v>
      </c>
      <c r="L383">
        <f t="shared" si="11"/>
        <v>1001</v>
      </c>
    </row>
    <row r="384" spans="1:12" x14ac:dyDescent="0.3">
      <c r="A384" s="8" t="s">
        <v>4</v>
      </c>
      <c r="B384" s="8" t="s">
        <v>69</v>
      </c>
      <c r="C384" s="8" t="s">
        <v>66</v>
      </c>
      <c r="D384" s="8">
        <v>40</v>
      </c>
      <c r="E384" s="8" t="s">
        <v>70</v>
      </c>
      <c r="F384" t="s">
        <v>68</v>
      </c>
      <c r="G384" s="8">
        <v>5000</v>
      </c>
      <c r="H384" s="7">
        <v>46183</v>
      </c>
      <c r="I384" s="9">
        <v>233</v>
      </c>
      <c r="J384" s="31">
        <f t="shared" si="10"/>
        <v>46181</v>
      </c>
      <c r="K384" s="31">
        <f>Table14[[#This Row],[week first day]]-7</f>
        <v>46174</v>
      </c>
      <c r="L384">
        <f t="shared" si="11"/>
        <v>1001</v>
      </c>
    </row>
    <row r="385" spans="1:12" x14ac:dyDescent="0.3">
      <c r="A385" s="8" t="s">
        <v>4</v>
      </c>
      <c r="B385" s="8" t="s">
        <v>69</v>
      </c>
      <c r="C385" s="8" t="s">
        <v>66</v>
      </c>
      <c r="D385" s="8">
        <v>40</v>
      </c>
      <c r="E385" s="8" t="s">
        <v>70</v>
      </c>
      <c r="F385" t="s">
        <v>68</v>
      </c>
      <c r="G385" s="8">
        <v>5000</v>
      </c>
      <c r="H385" s="7">
        <v>46190</v>
      </c>
      <c r="I385" s="9">
        <v>270</v>
      </c>
      <c r="J385" s="31">
        <f t="shared" si="10"/>
        <v>46188</v>
      </c>
      <c r="K385" s="31">
        <f>Table14[[#This Row],[week first day]]-7</f>
        <v>46181</v>
      </c>
      <c r="L385">
        <f t="shared" si="11"/>
        <v>2471</v>
      </c>
    </row>
    <row r="386" spans="1:12" x14ac:dyDescent="0.3">
      <c r="A386" s="8" t="s">
        <v>4</v>
      </c>
      <c r="B386" s="8" t="s">
        <v>69</v>
      </c>
      <c r="C386" s="8" t="s">
        <v>66</v>
      </c>
      <c r="D386" s="8">
        <v>40</v>
      </c>
      <c r="E386" s="8" t="s">
        <v>70</v>
      </c>
      <c r="F386" t="s">
        <v>68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46188</v>
      </c>
      <c r="K386" s="31">
        <f>Table14[[#This Row],[week first day]]-7</f>
        <v>46181</v>
      </c>
      <c r="L386">
        <f t="shared" ref="L386:L449" si="13">SUMIFS($I:$I,$A:$A,A386,J:J,J386)</f>
        <v>2471</v>
      </c>
    </row>
    <row r="387" spans="1:12" x14ac:dyDescent="0.3">
      <c r="A387" s="8" t="s">
        <v>4</v>
      </c>
      <c r="B387" s="8" t="s">
        <v>69</v>
      </c>
      <c r="C387" s="8" t="s">
        <v>66</v>
      </c>
      <c r="D387" s="8">
        <v>40</v>
      </c>
      <c r="E387" s="8" t="s">
        <v>70</v>
      </c>
      <c r="F387" t="s">
        <v>68</v>
      </c>
      <c r="G387" s="8">
        <v>5000</v>
      </c>
      <c r="H387" s="7">
        <v>46190</v>
      </c>
      <c r="I387" s="9">
        <v>204</v>
      </c>
      <c r="J387" s="31">
        <f t="shared" si="12"/>
        <v>46188</v>
      </c>
      <c r="K387" s="31">
        <f>Table14[[#This Row],[week first day]]-7</f>
        <v>46181</v>
      </c>
      <c r="L387">
        <f t="shared" si="13"/>
        <v>2471</v>
      </c>
    </row>
    <row r="388" spans="1:12" x14ac:dyDescent="0.3">
      <c r="A388" s="8" t="s">
        <v>4</v>
      </c>
      <c r="B388" s="8" t="s">
        <v>69</v>
      </c>
      <c r="C388" s="8" t="s">
        <v>66</v>
      </c>
      <c r="D388" s="8">
        <v>40</v>
      </c>
      <c r="E388" s="8" t="s">
        <v>70</v>
      </c>
      <c r="F388" t="s">
        <v>68</v>
      </c>
      <c r="G388" s="8">
        <v>5000</v>
      </c>
      <c r="H388" s="7">
        <v>46190</v>
      </c>
      <c r="I388" s="9">
        <v>270</v>
      </c>
      <c r="J388" s="31">
        <f t="shared" si="12"/>
        <v>46188</v>
      </c>
      <c r="K388" s="31">
        <f>Table14[[#This Row],[week first day]]-7</f>
        <v>46181</v>
      </c>
      <c r="L388">
        <f t="shared" si="13"/>
        <v>2471</v>
      </c>
    </row>
    <row r="389" spans="1:12" x14ac:dyDescent="0.3">
      <c r="A389" s="8" t="s">
        <v>4</v>
      </c>
      <c r="B389" s="8" t="s">
        <v>69</v>
      </c>
      <c r="C389" s="8" t="s">
        <v>66</v>
      </c>
      <c r="D389" s="8">
        <v>40</v>
      </c>
      <c r="E389" s="8" t="s">
        <v>70</v>
      </c>
      <c r="F389" t="s">
        <v>68</v>
      </c>
      <c r="G389" s="8">
        <v>5000</v>
      </c>
      <c r="H389" s="7">
        <v>46190</v>
      </c>
      <c r="I389" s="9">
        <v>234</v>
      </c>
      <c r="J389" s="31">
        <f t="shared" si="12"/>
        <v>46188</v>
      </c>
      <c r="K389" s="31">
        <f>Table14[[#This Row],[week first day]]-7</f>
        <v>46181</v>
      </c>
      <c r="L389">
        <f t="shared" si="13"/>
        <v>2471</v>
      </c>
    </row>
    <row r="390" spans="1:12" x14ac:dyDescent="0.3">
      <c r="A390" s="8" t="s">
        <v>4</v>
      </c>
      <c r="B390" s="8" t="s">
        <v>69</v>
      </c>
      <c r="C390" s="8" t="s">
        <v>66</v>
      </c>
      <c r="D390" s="8">
        <v>40</v>
      </c>
      <c r="E390" s="8" t="s">
        <v>70</v>
      </c>
      <c r="F390" t="s">
        <v>68</v>
      </c>
      <c r="G390" s="8">
        <v>5000</v>
      </c>
      <c r="H390" s="7">
        <v>46190</v>
      </c>
      <c r="I390" s="9">
        <v>270</v>
      </c>
      <c r="J390" s="31">
        <f t="shared" si="12"/>
        <v>46188</v>
      </c>
      <c r="K390" s="31">
        <f>Table14[[#This Row],[week first day]]-7</f>
        <v>46181</v>
      </c>
      <c r="L390">
        <f t="shared" si="13"/>
        <v>2471</v>
      </c>
    </row>
    <row r="391" spans="1:12" x14ac:dyDescent="0.3">
      <c r="A391" s="8" t="s">
        <v>4</v>
      </c>
      <c r="B391" s="8" t="s">
        <v>69</v>
      </c>
      <c r="C391" s="8" t="s">
        <v>66</v>
      </c>
      <c r="D391" s="8">
        <v>40</v>
      </c>
      <c r="E391" s="8" t="s">
        <v>70</v>
      </c>
      <c r="F391" t="s">
        <v>68</v>
      </c>
      <c r="G391" s="8">
        <v>5000</v>
      </c>
      <c r="H391" s="7">
        <v>46190</v>
      </c>
      <c r="I391" s="9">
        <v>179</v>
      </c>
      <c r="J391" s="31">
        <f t="shared" si="12"/>
        <v>46188</v>
      </c>
      <c r="K391" s="31">
        <f>Table14[[#This Row],[week first day]]-7</f>
        <v>46181</v>
      </c>
      <c r="L391">
        <f t="shared" si="13"/>
        <v>2471</v>
      </c>
    </row>
    <row r="392" spans="1:12" x14ac:dyDescent="0.3">
      <c r="A392" s="8" t="s">
        <v>4</v>
      </c>
      <c r="B392" s="8" t="s">
        <v>69</v>
      </c>
      <c r="C392" s="8" t="s">
        <v>66</v>
      </c>
      <c r="D392" s="8">
        <v>40</v>
      </c>
      <c r="E392" s="8" t="s">
        <v>70</v>
      </c>
      <c r="F392" t="s">
        <v>68</v>
      </c>
      <c r="G392" s="8">
        <v>5000</v>
      </c>
      <c r="H392" s="7">
        <v>46190</v>
      </c>
      <c r="I392" s="9">
        <v>270</v>
      </c>
      <c r="J392" s="31">
        <f t="shared" si="12"/>
        <v>46188</v>
      </c>
      <c r="K392" s="31">
        <f>Table14[[#This Row],[week first day]]-7</f>
        <v>46181</v>
      </c>
      <c r="L392">
        <f t="shared" si="13"/>
        <v>2471</v>
      </c>
    </row>
    <row r="393" spans="1:12" x14ac:dyDescent="0.3">
      <c r="A393" s="8" t="s">
        <v>4</v>
      </c>
      <c r="B393" s="8" t="s">
        <v>69</v>
      </c>
      <c r="C393" s="8" t="s">
        <v>66</v>
      </c>
      <c r="D393" s="8">
        <v>40</v>
      </c>
      <c r="E393" s="8" t="s">
        <v>70</v>
      </c>
      <c r="F393" t="s">
        <v>68</v>
      </c>
      <c r="G393" s="8">
        <v>5000</v>
      </c>
      <c r="H393" s="7">
        <v>46192</v>
      </c>
      <c r="I393" s="9">
        <v>582</v>
      </c>
      <c r="J393" s="31">
        <f t="shared" si="12"/>
        <v>46188</v>
      </c>
      <c r="K393" s="31">
        <f>Table14[[#This Row],[week first day]]-7</f>
        <v>46181</v>
      </c>
      <c r="L393">
        <f t="shared" si="13"/>
        <v>2471</v>
      </c>
    </row>
    <row r="394" spans="1:12" x14ac:dyDescent="0.3">
      <c r="A394" s="8" t="s">
        <v>4</v>
      </c>
      <c r="B394" s="8" t="s">
        <v>69</v>
      </c>
      <c r="C394" s="8" t="s">
        <v>66</v>
      </c>
      <c r="D394" s="8">
        <v>40</v>
      </c>
      <c r="E394" s="8" t="s">
        <v>70</v>
      </c>
      <c r="F394" t="s">
        <v>68</v>
      </c>
      <c r="G394" s="8">
        <v>5000</v>
      </c>
      <c r="H394" s="7">
        <v>46197</v>
      </c>
      <c r="I394" s="9">
        <v>228</v>
      </c>
      <c r="J394" s="31">
        <f t="shared" si="12"/>
        <v>46195</v>
      </c>
      <c r="K394" s="31">
        <f>Table14[[#This Row],[week first day]]-7</f>
        <v>46188</v>
      </c>
      <c r="L394">
        <f t="shared" si="13"/>
        <v>3458</v>
      </c>
    </row>
    <row r="395" spans="1:12" x14ac:dyDescent="0.3">
      <c r="A395" s="8" t="s">
        <v>4</v>
      </c>
      <c r="B395" s="8" t="s">
        <v>69</v>
      </c>
      <c r="C395" s="8" t="s">
        <v>66</v>
      </c>
      <c r="D395" s="8">
        <v>40</v>
      </c>
      <c r="E395" s="8" t="s">
        <v>70</v>
      </c>
      <c r="F395" t="s">
        <v>68</v>
      </c>
      <c r="G395" s="8">
        <v>5000</v>
      </c>
      <c r="H395" s="7">
        <v>46197</v>
      </c>
      <c r="I395" s="9">
        <v>234</v>
      </c>
      <c r="J395" s="31">
        <f t="shared" si="12"/>
        <v>46195</v>
      </c>
      <c r="K395" s="31">
        <f>Table14[[#This Row],[week first day]]-7</f>
        <v>46188</v>
      </c>
      <c r="L395">
        <f t="shared" si="13"/>
        <v>3458</v>
      </c>
    </row>
    <row r="396" spans="1:12" x14ac:dyDescent="0.3">
      <c r="A396" s="8" t="s">
        <v>4</v>
      </c>
      <c r="B396" s="8" t="s">
        <v>69</v>
      </c>
      <c r="C396" s="8" t="s">
        <v>66</v>
      </c>
      <c r="D396" s="8">
        <v>40</v>
      </c>
      <c r="E396" s="8" t="s">
        <v>70</v>
      </c>
      <c r="F396" t="s">
        <v>68</v>
      </c>
      <c r="G396" s="8">
        <v>5000</v>
      </c>
      <c r="H396" s="7">
        <v>46197</v>
      </c>
      <c r="I396" s="9">
        <v>228</v>
      </c>
      <c r="J396" s="31">
        <f t="shared" si="12"/>
        <v>46195</v>
      </c>
      <c r="K396" s="31">
        <f>Table14[[#This Row],[week first day]]-7</f>
        <v>46188</v>
      </c>
      <c r="L396">
        <f t="shared" si="13"/>
        <v>3458</v>
      </c>
    </row>
    <row r="397" spans="1:12" x14ac:dyDescent="0.3">
      <c r="A397" s="8" t="s">
        <v>4</v>
      </c>
      <c r="B397" s="8" t="s">
        <v>69</v>
      </c>
      <c r="C397" s="8" t="s">
        <v>66</v>
      </c>
      <c r="D397" s="8">
        <v>40</v>
      </c>
      <c r="E397" s="8" t="s">
        <v>70</v>
      </c>
      <c r="F397" t="s">
        <v>68</v>
      </c>
      <c r="G397" s="8">
        <v>5000</v>
      </c>
      <c r="H397" s="7">
        <v>46197</v>
      </c>
      <c r="I397" s="9">
        <v>228</v>
      </c>
      <c r="J397" s="31">
        <f t="shared" si="12"/>
        <v>46195</v>
      </c>
      <c r="K397" s="31">
        <f>Table14[[#This Row],[week first day]]-7</f>
        <v>46188</v>
      </c>
      <c r="L397">
        <f t="shared" si="13"/>
        <v>3458</v>
      </c>
    </row>
    <row r="398" spans="1:12" x14ac:dyDescent="0.3">
      <c r="A398" s="8" t="s">
        <v>4</v>
      </c>
      <c r="B398" s="8" t="s">
        <v>69</v>
      </c>
      <c r="C398" s="8" t="s">
        <v>66</v>
      </c>
      <c r="D398" s="8">
        <v>40</v>
      </c>
      <c r="E398" s="8" t="s">
        <v>70</v>
      </c>
      <c r="F398" t="s">
        <v>68</v>
      </c>
      <c r="G398" s="8">
        <v>5000</v>
      </c>
      <c r="H398" s="7">
        <v>46199</v>
      </c>
      <c r="I398" s="9">
        <v>2540</v>
      </c>
      <c r="J398" s="31">
        <f t="shared" si="12"/>
        <v>46195</v>
      </c>
      <c r="K398" s="31">
        <f>Table14[[#This Row],[week first day]]-7</f>
        <v>46188</v>
      </c>
      <c r="L398">
        <f t="shared" si="13"/>
        <v>3458</v>
      </c>
    </row>
    <row r="399" spans="1:12" x14ac:dyDescent="0.3">
      <c r="A399" s="8" t="s">
        <v>4</v>
      </c>
      <c r="B399" s="8" t="s">
        <v>69</v>
      </c>
      <c r="C399" s="8" t="s">
        <v>66</v>
      </c>
      <c r="D399" s="8">
        <v>40</v>
      </c>
      <c r="E399" s="8" t="s">
        <v>70</v>
      </c>
      <c r="F399" t="s">
        <v>68</v>
      </c>
      <c r="G399" s="8">
        <v>5000</v>
      </c>
      <c r="H399" s="7">
        <v>46206</v>
      </c>
      <c r="I399" s="9">
        <v>500</v>
      </c>
      <c r="J399" s="31">
        <f t="shared" si="12"/>
        <v>46202</v>
      </c>
      <c r="K399" s="31">
        <f>Table14[[#This Row],[week first day]]-7</f>
        <v>46195</v>
      </c>
      <c r="L399">
        <f t="shared" si="13"/>
        <v>500</v>
      </c>
    </row>
    <row r="400" spans="1:12" x14ac:dyDescent="0.3">
      <c r="A400" s="8" t="s">
        <v>4</v>
      </c>
      <c r="B400" s="8" t="s">
        <v>69</v>
      </c>
      <c r="C400" s="8" t="s">
        <v>66</v>
      </c>
      <c r="D400" s="8">
        <v>40</v>
      </c>
      <c r="E400" s="8" t="s">
        <v>70</v>
      </c>
      <c r="F400" t="s">
        <v>68</v>
      </c>
      <c r="G400" s="8">
        <v>5000</v>
      </c>
      <c r="H400" s="7">
        <v>46213</v>
      </c>
      <c r="I400" s="9">
        <v>500</v>
      </c>
      <c r="J400" s="31">
        <f t="shared" si="12"/>
        <v>46209</v>
      </c>
      <c r="K400" s="31">
        <f>Table14[[#This Row],[week first day]]-7</f>
        <v>46202</v>
      </c>
      <c r="L400">
        <f t="shared" si="13"/>
        <v>500</v>
      </c>
    </row>
    <row r="401" spans="1:12" x14ac:dyDescent="0.3">
      <c r="A401" s="8" t="s">
        <v>4</v>
      </c>
      <c r="B401" s="8" t="s">
        <v>69</v>
      </c>
      <c r="C401" s="8" t="s">
        <v>66</v>
      </c>
      <c r="D401" s="8">
        <v>40</v>
      </c>
      <c r="E401" s="8" t="s">
        <v>70</v>
      </c>
      <c r="F401" t="s">
        <v>68</v>
      </c>
      <c r="G401" s="8">
        <v>5000</v>
      </c>
      <c r="H401" s="7">
        <v>46220</v>
      </c>
      <c r="I401" s="9">
        <v>500</v>
      </c>
      <c r="J401" s="31">
        <f t="shared" si="12"/>
        <v>46216</v>
      </c>
      <c r="K401" s="31">
        <f>Table14[[#This Row],[week first day]]-7</f>
        <v>46209</v>
      </c>
      <c r="L401">
        <f t="shared" si="13"/>
        <v>500</v>
      </c>
    </row>
    <row r="402" spans="1:12" x14ac:dyDescent="0.3">
      <c r="A402" s="8" t="s">
        <v>4</v>
      </c>
      <c r="B402" s="8" t="s">
        <v>69</v>
      </c>
      <c r="C402" s="8" t="s">
        <v>66</v>
      </c>
      <c r="D402" s="8">
        <v>40</v>
      </c>
      <c r="E402" s="8" t="s">
        <v>70</v>
      </c>
      <c r="F402" t="s">
        <v>68</v>
      </c>
      <c r="G402" s="8">
        <v>5000</v>
      </c>
      <c r="H402" s="7">
        <v>46227</v>
      </c>
      <c r="I402" s="9">
        <v>500</v>
      </c>
      <c r="J402" s="31">
        <f t="shared" si="12"/>
        <v>46223</v>
      </c>
      <c r="K402" s="31">
        <f>Table14[[#This Row],[week first day]]-7</f>
        <v>46216</v>
      </c>
      <c r="L402">
        <f t="shared" si="13"/>
        <v>500</v>
      </c>
    </row>
    <row r="403" spans="1:12" x14ac:dyDescent="0.3">
      <c r="A403" s="8" t="s">
        <v>4</v>
      </c>
      <c r="B403" s="8" t="s">
        <v>69</v>
      </c>
      <c r="C403" s="8" t="s">
        <v>66</v>
      </c>
      <c r="D403" s="8">
        <v>40</v>
      </c>
      <c r="E403" s="8" t="s">
        <v>70</v>
      </c>
      <c r="F403" t="s">
        <v>68</v>
      </c>
      <c r="G403" s="8">
        <v>5000</v>
      </c>
      <c r="H403" s="7">
        <v>46248</v>
      </c>
      <c r="I403" s="9">
        <v>400</v>
      </c>
      <c r="J403" s="31">
        <f t="shared" si="12"/>
        <v>46244</v>
      </c>
      <c r="K403" s="31">
        <f>Table14[[#This Row],[week first day]]-7</f>
        <v>46237</v>
      </c>
      <c r="L403">
        <f t="shared" si="13"/>
        <v>400</v>
      </c>
    </row>
    <row r="404" spans="1:12" x14ac:dyDescent="0.3">
      <c r="A404" s="8" t="s">
        <v>4</v>
      </c>
      <c r="B404" s="8" t="s">
        <v>69</v>
      </c>
      <c r="C404" s="8" t="s">
        <v>66</v>
      </c>
      <c r="D404" s="8">
        <v>40</v>
      </c>
      <c r="E404" s="8" t="s">
        <v>70</v>
      </c>
      <c r="F404" t="s">
        <v>68</v>
      </c>
      <c r="G404" s="8">
        <v>5000</v>
      </c>
      <c r="H404" s="7">
        <v>46269</v>
      </c>
      <c r="I404" s="9">
        <v>400</v>
      </c>
      <c r="J404" s="31">
        <f t="shared" si="12"/>
        <v>46265</v>
      </c>
      <c r="K404" s="31">
        <f>Table14[[#This Row],[week first day]]-7</f>
        <v>46258</v>
      </c>
      <c r="L404">
        <f t="shared" si="13"/>
        <v>400</v>
      </c>
    </row>
    <row r="405" spans="1:12" x14ac:dyDescent="0.3">
      <c r="A405" s="8" t="s">
        <v>4</v>
      </c>
      <c r="B405" s="8" t="s">
        <v>69</v>
      </c>
      <c r="C405" s="8" t="s">
        <v>66</v>
      </c>
      <c r="D405" s="8">
        <v>40</v>
      </c>
      <c r="E405" s="8" t="s">
        <v>70</v>
      </c>
      <c r="F405" t="s">
        <v>68</v>
      </c>
      <c r="G405" s="8">
        <v>5000</v>
      </c>
      <c r="H405" s="7">
        <v>46283</v>
      </c>
      <c r="I405" s="9">
        <v>400</v>
      </c>
      <c r="J405" s="31">
        <f t="shared" si="12"/>
        <v>46279</v>
      </c>
      <c r="K405" s="31">
        <f>Table14[[#This Row],[week first day]]-7</f>
        <v>46272</v>
      </c>
      <c r="L405">
        <f t="shared" si="13"/>
        <v>400</v>
      </c>
    </row>
    <row r="406" spans="1:12" x14ac:dyDescent="0.3">
      <c r="A406" s="8" t="s">
        <v>4</v>
      </c>
      <c r="B406" s="8" t="s">
        <v>69</v>
      </c>
      <c r="C406" s="8" t="s">
        <v>66</v>
      </c>
      <c r="D406" s="8">
        <v>40</v>
      </c>
      <c r="E406" s="8" t="s">
        <v>70</v>
      </c>
      <c r="F406" t="s">
        <v>68</v>
      </c>
      <c r="G406" s="8">
        <v>5000</v>
      </c>
      <c r="H406" s="7">
        <v>46297</v>
      </c>
      <c r="I406" s="9">
        <v>360</v>
      </c>
      <c r="J406" s="31">
        <f t="shared" si="12"/>
        <v>46293</v>
      </c>
      <c r="K406" s="31">
        <f>Table14[[#This Row],[week first day]]-7</f>
        <v>46286</v>
      </c>
      <c r="L406">
        <f t="shared" si="13"/>
        <v>360</v>
      </c>
    </row>
    <row r="407" spans="1:12" x14ac:dyDescent="0.3">
      <c r="A407" s="8" t="s">
        <v>4</v>
      </c>
      <c r="B407" s="8" t="s">
        <v>69</v>
      </c>
      <c r="C407" s="8" t="s">
        <v>66</v>
      </c>
      <c r="D407" s="8">
        <v>40</v>
      </c>
      <c r="E407" s="8" t="s">
        <v>70</v>
      </c>
      <c r="F407" t="s">
        <v>68</v>
      </c>
      <c r="G407" s="8">
        <v>5000</v>
      </c>
      <c r="H407" s="7">
        <v>46304</v>
      </c>
      <c r="I407" s="9">
        <v>360</v>
      </c>
      <c r="J407" s="31">
        <f t="shared" si="12"/>
        <v>46300</v>
      </c>
      <c r="K407" s="31">
        <f>Table14[[#This Row],[week first day]]-7</f>
        <v>46293</v>
      </c>
      <c r="L407">
        <f t="shared" si="13"/>
        <v>360</v>
      </c>
    </row>
    <row r="408" spans="1:12" x14ac:dyDescent="0.3">
      <c r="A408" s="8" t="s">
        <v>4</v>
      </c>
      <c r="B408" s="8" t="s">
        <v>69</v>
      </c>
      <c r="C408" s="8" t="s">
        <v>66</v>
      </c>
      <c r="D408" s="8">
        <v>40</v>
      </c>
      <c r="E408" s="8" t="s">
        <v>70</v>
      </c>
      <c r="F408" t="s">
        <v>68</v>
      </c>
      <c r="G408" s="8">
        <v>5000</v>
      </c>
      <c r="H408" s="7">
        <v>46311</v>
      </c>
      <c r="I408" s="9">
        <v>360</v>
      </c>
      <c r="J408" s="31">
        <f t="shared" si="12"/>
        <v>46307</v>
      </c>
      <c r="K408" s="31">
        <f>Table14[[#This Row],[week first day]]-7</f>
        <v>46300</v>
      </c>
      <c r="L408">
        <f t="shared" si="13"/>
        <v>360</v>
      </c>
    </row>
    <row r="409" spans="1:12" x14ac:dyDescent="0.3">
      <c r="A409" s="8" t="s">
        <v>4</v>
      </c>
      <c r="B409" s="8" t="s">
        <v>69</v>
      </c>
      <c r="C409" s="8" t="s">
        <v>66</v>
      </c>
      <c r="D409" s="8">
        <v>40</v>
      </c>
      <c r="E409" s="8" t="s">
        <v>70</v>
      </c>
      <c r="F409" t="s">
        <v>68</v>
      </c>
      <c r="G409" s="8">
        <v>5000</v>
      </c>
      <c r="H409" s="7">
        <v>46318</v>
      </c>
      <c r="I409" s="9">
        <v>360</v>
      </c>
      <c r="J409" s="31">
        <f t="shared" si="12"/>
        <v>46314</v>
      </c>
      <c r="K409" s="31">
        <f>Table14[[#This Row],[week first day]]-7</f>
        <v>46307</v>
      </c>
      <c r="L409">
        <f t="shared" si="13"/>
        <v>360</v>
      </c>
    </row>
    <row r="410" spans="1:12" x14ac:dyDescent="0.3">
      <c r="A410" s="8" t="s">
        <v>4</v>
      </c>
      <c r="B410" s="8" t="s">
        <v>69</v>
      </c>
      <c r="C410" s="8" t="s">
        <v>66</v>
      </c>
      <c r="D410" s="8">
        <v>40</v>
      </c>
      <c r="E410" s="8" t="s">
        <v>70</v>
      </c>
      <c r="F410" t="s">
        <v>68</v>
      </c>
      <c r="G410" s="8">
        <v>5000</v>
      </c>
      <c r="H410" s="7">
        <v>46325</v>
      </c>
      <c r="I410" s="9">
        <v>360</v>
      </c>
      <c r="J410" s="31">
        <f t="shared" si="12"/>
        <v>46321</v>
      </c>
      <c r="K410" s="31">
        <f>Table14[[#This Row],[week first day]]-7</f>
        <v>46314</v>
      </c>
      <c r="L410">
        <f t="shared" si="13"/>
        <v>360</v>
      </c>
    </row>
    <row r="411" spans="1:12" x14ac:dyDescent="0.3">
      <c r="A411" s="8" t="s">
        <v>4</v>
      </c>
      <c r="B411" s="8" t="s">
        <v>69</v>
      </c>
      <c r="C411" s="8" t="s">
        <v>66</v>
      </c>
      <c r="D411" s="8">
        <v>40</v>
      </c>
      <c r="E411" s="8" t="s">
        <v>70</v>
      </c>
      <c r="F411" t="s">
        <v>68</v>
      </c>
      <c r="G411" s="8">
        <v>5000</v>
      </c>
      <c r="H411" s="7">
        <v>46332</v>
      </c>
      <c r="I411" s="9">
        <v>1000</v>
      </c>
      <c r="J411" s="31">
        <f t="shared" si="12"/>
        <v>46328</v>
      </c>
      <c r="K411" s="31">
        <f>Table14[[#This Row],[week first day]]-7</f>
        <v>46321</v>
      </c>
      <c r="L411">
        <f t="shared" si="13"/>
        <v>1000</v>
      </c>
    </row>
    <row r="412" spans="1:12" x14ac:dyDescent="0.3">
      <c r="A412" s="8" t="s">
        <v>4</v>
      </c>
      <c r="B412" s="8" t="s">
        <v>69</v>
      </c>
      <c r="C412" s="8" t="s">
        <v>66</v>
      </c>
      <c r="D412" s="8">
        <v>40</v>
      </c>
      <c r="E412" s="8" t="s">
        <v>70</v>
      </c>
      <c r="F412" t="s">
        <v>68</v>
      </c>
      <c r="G412" s="8">
        <v>5000</v>
      </c>
      <c r="H412" s="7">
        <v>46339</v>
      </c>
      <c r="I412" s="9">
        <v>1000</v>
      </c>
      <c r="J412" s="31">
        <f t="shared" si="12"/>
        <v>46335</v>
      </c>
      <c r="K412" s="31">
        <f>Table14[[#This Row],[week first day]]-7</f>
        <v>46328</v>
      </c>
      <c r="L412">
        <f t="shared" si="13"/>
        <v>1000</v>
      </c>
    </row>
    <row r="413" spans="1:12" x14ac:dyDescent="0.3">
      <c r="A413" s="8" t="s">
        <v>4</v>
      </c>
      <c r="B413" s="8" t="s">
        <v>69</v>
      </c>
      <c r="C413" s="8" t="s">
        <v>66</v>
      </c>
      <c r="D413" s="8">
        <v>40</v>
      </c>
      <c r="E413" s="8" t="s">
        <v>70</v>
      </c>
      <c r="F413" t="s">
        <v>68</v>
      </c>
      <c r="G413" s="8">
        <v>5000</v>
      </c>
      <c r="H413" s="7">
        <v>46346</v>
      </c>
      <c r="I413" s="9">
        <v>1000</v>
      </c>
      <c r="J413" s="31">
        <f t="shared" si="12"/>
        <v>46342</v>
      </c>
      <c r="K413" s="31">
        <f>Table14[[#This Row],[week first day]]-7</f>
        <v>46335</v>
      </c>
      <c r="L413">
        <f t="shared" si="13"/>
        <v>1000</v>
      </c>
    </row>
    <row r="414" spans="1:12" x14ac:dyDescent="0.3">
      <c r="A414" s="8" t="s">
        <v>4</v>
      </c>
      <c r="B414" s="8" t="s">
        <v>69</v>
      </c>
      <c r="C414" s="8" t="s">
        <v>66</v>
      </c>
      <c r="D414" s="8">
        <v>40</v>
      </c>
      <c r="E414" s="8" t="s">
        <v>70</v>
      </c>
      <c r="F414" t="s">
        <v>68</v>
      </c>
      <c r="G414" s="8">
        <v>5000</v>
      </c>
      <c r="H414" s="7">
        <v>46353</v>
      </c>
      <c r="I414" s="9">
        <v>1000</v>
      </c>
      <c r="J414" s="31">
        <f t="shared" si="12"/>
        <v>46349</v>
      </c>
      <c r="K414" s="31">
        <f>Table14[[#This Row],[week first day]]-7</f>
        <v>46342</v>
      </c>
      <c r="L414">
        <f t="shared" si="13"/>
        <v>1000</v>
      </c>
    </row>
    <row r="415" spans="1:12" x14ac:dyDescent="0.3">
      <c r="A415" s="8" t="s">
        <v>4</v>
      </c>
      <c r="B415" s="8" t="s">
        <v>69</v>
      </c>
      <c r="C415" s="8" t="s">
        <v>66</v>
      </c>
      <c r="D415" s="8">
        <v>40</v>
      </c>
      <c r="E415" s="8" t="s">
        <v>70</v>
      </c>
      <c r="F415" t="s">
        <v>68</v>
      </c>
      <c r="G415" s="8">
        <v>5000</v>
      </c>
      <c r="H415" s="7">
        <v>46360</v>
      </c>
      <c r="I415" s="9">
        <v>1250</v>
      </c>
      <c r="J415" s="31">
        <f t="shared" si="12"/>
        <v>46356</v>
      </c>
      <c r="K415" s="31">
        <f>Table14[[#This Row],[week first day]]-7</f>
        <v>46349</v>
      </c>
      <c r="L415">
        <f t="shared" si="13"/>
        <v>1250</v>
      </c>
    </row>
    <row r="416" spans="1:12" x14ac:dyDescent="0.3">
      <c r="A416" s="8" t="s">
        <v>4</v>
      </c>
      <c r="B416" s="8" t="s">
        <v>69</v>
      </c>
      <c r="C416" s="8" t="s">
        <v>66</v>
      </c>
      <c r="D416" s="8">
        <v>40</v>
      </c>
      <c r="E416" s="8" t="s">
        <v>70</v>
      </c>
      <c r="F416" t="s">
        <v>68</v>
      </c>
      <c r="G416" s="8">
        <v>5000</v>
      </c>
      <c r="H416" s="7">
        <v>46367</v>
      </c>
      <c r="I416" s="9">
        <v>1250</v>
      </c>
      <c r="J416" s="31">
        <f t="shared" si="12"/>
        <v>46363</v>
      </c>
      <c r="K416" s="31">
        <f>Table14[[#This Row],[week first day]]-7</f>
        <v>46356</v>
      </c>
      <c r="L416">
        <f t="shared" si="13"/>
        <v>1250</v>
      </c>
    </row>
    <row r="417" spans="1:12" x14ac:dyDescent="0.3">
      <c r="A417" s="8" t="s">
        <v>4</v>
      </c>
      <c r="B417" s="8" t="s">
        <v>69</v>
      </c>
      <c r="C417" s="8" t="s">
        <v>66</v>
      </c>
      <c r="D417" s="8">
        <v>40</v>
      </c>
      <c r="E417" s="8" t="s">
        <v>70</v>
      </c>
      <c r="F417" t="s">
        <v>68</v>
      </c>
      <c r="G417" s="8">
        <v>5000</v>
      </c>
      <c r="H417" s="7">
        <v>46374</v>
      </c>
      <c r="I417" s="9">
        <v>1250</v>
      </c>
      <c r="J417" s="31">
        <f t="shared" si="12"/>
        <v>46370</v>
      </c>
      <c r="K417" s="31">
        <f>Table14[[#This Row],[week first day]]-7</f>
        <v>46363</v>
      </c>
      <c r="L417">
        <f t="shared" si="13"/>
        <v>1250</v>
      </c>
    </row>
    <row r="418" spans="1:12" x14ac:dyDescent="0.3">
      <c r="A418" s="8" t="s">
        <v>4</v>
      </c>
      <c r="B418" s="8" t="s">
        <v>69</v>
      </c>
      <c r="C418" s="8" t="s">
        <v>66</v>
      </c>
      <c r="D418" s="8">
        <v>40</v>
      </c>
      <c r="E418" s="8" t="s">
        <v>70</v>
      </c>
      <c r="F418" t="s">
        <v>68</v>
      </c>
      <c r="G418" s="8">
        <v>5000</v>
      </c>
      <c r="H418" s="7">
        <v>46381</v>
      </c>
      <c r="I418" s="9">
        <v>1250</v>
      </c>
      <c r="J418" s="31">
        <f t="shared" si="12"/>
        <v>46377</v>
      </c>
      <c r="K418" s="31">
        <f>Table14[[#This Row],[week first day]]-7</f>
        <v>46370</v>
      </c>
      <c r="L418">
        <f t="shared" si="13"/>
        <v>1250</v>
      </c>
    </row>
    <row r="419" spans="1:12" x14ac:dyDescent="0.3">
      <c r="A419" s="8" t="s">
        <v>5</v>
      </c>
      <c r="B419" s="8" t="s">
        <v>60</v>
      </c>
      <c r="C419" s="8" t="s">
        <v>61</v>
      </c>
      <c r="D419" s="8">
        <v>30</v>
      </c>
      <c r="E419" s="8" t="s">
        <v>62</v>
      </c>
      <c r="F419" t="s">
        <v>56</v>
      </c>
      <c r="G419" s="8">
        <v>3000</v>
      </c>
      <c r="H419" s="7">
        <v>46150</v>
      </c>
      <c r="I419" s="9">
        <v>472</v>
      </c>
      <c r="J419" s="31">
        <f t="shared" si="12"/>
        <v>46146</v>
      </c>
      <c r="K419" s="31">
        <f>Table14[[#This Row],[week first day]]-7</f>
        <v>46139</v>
      </c>
      <c r="L419">
        <f t="shared" si="13"/>
        <v>472</v>
      </c>
    </row>
    <row r="420" spans="1:12" x14ac:dyDescent="0.3">
      <c r="A420" s="8" t="s">
        <v>5</v>
      </c>
      <c r="B420" s="8" t="s">
        <v>60</v>
      </c>
      <c r="C420" s="8" t="s">
        <v>61</v>
      </c>
      <c r="D420" s="8">
        <v>30</v>
      </c>
      <c r="E420" s="8" t="s">
        <v>62</v>
      </c>
      <c r="F420" t="s">
        <v>56</v>
      </c>
      <c r="G420" s="8">
        <v>3000</v>
      </c>
      <c r="H420" s="7">
        <v>46157</v>
      </c>
      <c r="I420" s="9">
        <v>300</v>
      </c>
      <c r="J420" s="31">
        <f t="shared" si="12"/>
        <v>46153</v>
      </c>
      <c r="K420" s="31">
        <f>Table14[[#This Row],[week first day]]-7</f>
        <v>46146</v>
      </c>
      <c r="L420">
        <f t="shared" si="13"/>
        <v>300</v>
      </c>
    </row>
    <row r="421" spans="1:12" x14ac:dyDescent="0.3">
      <c r="A421" s="8" t="s">
        <v>5</v>
      </c>
      <c r="B421" s="8" t="s">
        <v>60</v>
      </c>
      <c r="C421" s="8" t="s">
        <v>61</v>
      </c>
      <c r="D421" s="8">
        <v>30</v>
      </c>
      <c r="E421" s="8" t="s">
        <v>62</v>
      </c>
      <c r="F421" t="s">
        <v>56</v>
      </c>
      <c r="G421" s="8">
        <v>3000</v>
      </c>
      <c r="H421" s="7">
        <v>46164</v>
      </c>
      <c r="I421" s="9">
        <v>698</v>
      </c>
      <c r="J421" s="31">
        <f t="shared" si="12"/>
        <v>46160</v>
      </c>
      <c r="K421" s="31">
        <f>Table14[[#This Row],[week first day]]-7</f>
        <v>46153</v>
      </c>
      <c r="L421">
        <f t="shared" si="13"/>
        <v>698</v>
      </c>
    </row>
    <row r="422" spans="1:12" x14ac:dyDescent="0.3">
      <c r="A422" s="8" t="s">
        <v>5</v>
      </c>
      <c r="B422" s="8" t="s">
        <v>60</v>
      </c>
      <c r="C422" s="8" t="s">
        <v>61</v>
      </c>
      <c r="D422" s="8">
        <v>30</v>
      </c>
      <c r="E422" s="8" t="s">
        <v>62</v>
      </c>
      <c r="F422" t="s">
        <v>56</v>
      </c>
      <c r="G422" s="8">
        <v>3000</v>
      </c>
      <c r="H422" s="7">
        <v>46178</v>
      </c>
      <c r="I422" s="9">
        <v>300</v>
      </c>
      <c r="J422" s="31">
        <f t="shared" si="12"/>
        <v>46174</v>
      </c>
      <c r="K422" s="31">
        <f>Table14[[#This Row],[week first day]]-7</f>
        <v>46167</v>
      </c>
      <c r="L422">
        <f t="shared" si="13"/>
        <v>300</v>
      </c>
    </row>
    <row r="423" spans="1:12" x14ac:dyDescent="0.3">
      <c r="A423" s="8" t="s">
        <v>5</v>
      </c>
      <c r="B423" s="8" t="s">
        <v>60</v>
      </c>
      <c r="C423" s="8" t="s">
        <v>61</v>
      </c>
      <c r="D423" s="8">
        <v>30</v>
      </c>
      <c r="E423" s="8" t="s">
        <v>62</v>
      </c>
      <c r="F423" t="s">
        <v>56</v>
      </c>
      <c r="G423" s="8">
        <v>3000</v>
      </c>
      <c r="H423" s="7">
        <v>46199</v>
      </c>
      <c r="I423" s="9">
        <v>300</v>
      </c>
      <c r="J423" s="31">
        <f t="shared" si="12"/>
        <v>46195</v>
      </c>
      <c r="K423" s="31">
        <f>Table14[[#This Row],[week first day]]-7</f>
        <v>46188</v>
      </c>
      <c r="L423">
        <f t="shared" si="13"/>
        <v>300</v>
      </c>
    </row>
    <row r="424" spans="1:12" x14ac:dyDescent="0.3">
      <c r="A424" s="8" t="s">
        <v>5</v>
      </c>
      <c r="B424" s="8" t="s">
        <v>60</v>
      </c>
      <c r="C424" s="8" t="s">
        <v>61</v>
      </c>
      <c r="D424" s="8">
        <v>30</v>
      </c>
      <c r="E424" s="8" t="s">
        <v>62</v>
      </c>
      <c r="F424" t="s">
        <v>56</v>
      </c>
      <c r="G424" s="8">
        <v>3000</v>
      </c>
      <c r="H424" s="7">
        <v>46213</v>
      </c>
      <c r="I424" s="9">
        <v>700</v>
      </c>
      <c r="J424" s="31">
        <f t="shared" si="12"/>
        <v>46209</v>
      </c>
      <c r="K424" s="31">
        <f>Table14[[#This Row],[week first day]]-7</f>
        <v>46202</v>
      </c>
      <c r="L424">
        <f t="shared" si="13"/>
        <v>700</v>
      </c>
    </row>
    <row r="425" spans="1:12" x14ac:dyDescent="0.3">
      <c r="A425" s="8" t="s">
        <v>5</v>
      </c>
      <c r="B425" s="8" t="s">
        <v>60</v>
      </c>
      <c r="C425" s="8" t="s">
        <v>61</v>
      </c>
      <c r="D425" s="8">
        <v>30</v>
      </c>
      <c r="E425" s="8" t="s">
        <v>62</v>
      </c>
      <c r="F425" t="s">
        <v>56</v>
      </c>
      <c r="G425" s="8">
        <v>3000</v>
      </c>
      <c r="H425" s="7">
        <v>46220</v>
      </c>
      <c r="I425" s="9">
        <v>300</v>
      </c>
      <c r="J425" s="31">
        <f t="shared" si="12"/>
        <v>46216</v>
      </c>
      <c r="K425" s="31">
        <f>Table14[[#This Row],[week first day]]-7</f>
        <v>46209</v>
      </c>
      <c r="L425">
        <f t="shared" si="13"/>
        <v>300</v>
      </c>
    </row>
    <row r="426" spans="1:12" x14ac:dyDescent="0.3">
      <c r="A426" s="8" t="s">
        <v>5</v>
      </c>
      <c r="B426" s="8" t="s">
        <v>60</v>
      </c>
      <c r="C426" s="8" t="s">
        <v>61</v>
      </c>
      <c r="D426" s="8">
        <v>30</v>
      </c>
      <c r="E426" s="8" t="s">
        <v>62</v>
      </c>
      <c r="F426" t="s">
        <v>56</v>
      </c>
      <c r="G426" s="8">
        <v>3000</v>
      </c>
      <c r="H426" s="7">
        <v>46227</v>
      </c>
      <c r="I426" s="9">
        <v>300</v>
      </c>
      <c r="J426" s="31">
        <f t="shared" si="12"/>
        <v>46223</v>
      </c>
      <c r="K426" s="31">
        <f>Table14[[#This Row],[week first day]]-7</f>
        <v>46216</v>
      </c>
      <c r="L426">
        <f t="shared" si="13"/>
        <v>300</v>
      </c>
    </row>
    <row r="427" spans="1:12" x14ac:dyDescent="0.3">
      <c r="A427" s="8" t="s">
        <v>5</v>
      </c>
      <c r="B427" s="8" t="s">
        <v>60</v>
      </c>
      <c r="C427" s="8" t="s">
        <v>61</v>
      </c>
      <c r="D427" s="8">
        <v>30</v>
      </c>
      <c r="E427" s="8" t="s">
        <v>62</v>
      </c>
      <c r="F427" t="s">
        <v>56</v>
      </c>
      <c r="G427" s="8">
        <v>3000</v>
      </c>
      <c r="H427" s="7">
        <v>46234</v>
      </c>
      <c r="I427" s="9">
        <v>300</v>
      </c>
      <c r="J427" s="31">
        <f t="shared" si="12"/>
        <v>46230</v>
      </c>
      <c r="K427" s="31">
        <f>Table14[[#This Row],[week first day]]-7</f>
        <v>46223</v>
      </c>
      <c r="L427">
        <f t="shared" si="13"/>
        <v>300</v>
      </c>
    </row>
    <row r="428" spans="1:12" x14ac:dyDescent="0.3">
      <c r="A428" s="8" t="s">
        <v>5</v>
      </c>
      <c r="B428" s="8" t="s">
        <v>60</v>
      </c>
      <c r="C428" s="8" t="s">
        <v>61</v>
      </c>
      <c r="D428" s="8">
        <v>30</v>
      </c>
      <c r="E428" s="8" t="s">
        <v>62</v>
      </c>
      <c r="F428" t="s">
        <v>56</v>
      </c>
      <c r="G428" s="8">
        <v>3000</v>
      </c>
      <c r="H428" s="7">
        <v>46255</v>
      </c>
      <c r="I428" s="9">
        <v>300</v>
      </c>
      <c r="J428" s="31">
        <f t="shared" si="12"/>
        <v>46251</v>
      </c>
      <c r="K428" s="31">
        <f>Table14[[#This Row],[week first day]]-7</f>
        <v>46244</v>
      </c>
      <c r="L428">
        <f t="shared" si="13"/>
        <v>300</v>
      </c>
    </row>
    <row r="429" spans="1:12" x14ac:dyDescent="0.3">
      <c r="A429" s="8" t="s">
        <v>5</v>
      </c>
      <c r="B429" s="8" t="s">
        <v>60</v>
      </c>
      <c r="C429" s="8" t="s">
        <v>61</v>
      </c>
      <c r="D429" s="8">
        <v>30</v>
      </c>
      <c r="E429" s="8" t="s">
        <v>62</v>
      </c>
      <c r="F429" t="s">
        <v>56</v>
      </c>
      <c r="G429" s="8">
        <v>3000</v>
      </c>
      <c r="H429" s="7">
        <v>46276</v>
      </c>
      <c r="I429" s="9">
        <v>300</v>
      </c>
      <c r="J429" s="31">
        <f t="shared" si="12"/>
        <v>46272</v>
      </c>
      <c r="K429" s="31">
        <f>Table14[[#This Row],[week first day]]-7</f>
        <v>46265</v>
      </c>
      <c r="L429">
        <f t="shared" si="13"/>
        <v>300</v>
      </c>
    </row>
    <row r="430" spans="1:12" x14ac:dyDescent="0.3">
      <c r="A430" s="8" t="s">
        <v>5</v>
      </c>
      <c r="B430" s="8" t="s">
        <v>60</v>
      </c>
      <c r="C430" s="8" t="s">
        <v>61</v>
      </c>
      <c r="D430" s="8">
        <v>30</v>
      </c>
      <c r="E430" s="8" t="s">
        <v>62</v>
      </c>
      <c r="F430" t="s">
        <v>56</v>
      </c>
      <c r="G430" s="8">
        <v>3000</v>
      </c>
      <c r="H430" s="7">
        <v>46304</v>
      </c>
      <c r="I430" s="9">
        <v>300</v>
      </c>
      <c r="J430" s="31">
        <f t="shared" si="12"/>
        <v>46300</v>
      </c>
      <c r="K430" s="31">
        <f>Table14[[#This Row],[week first day]]-7</f>
        <v>46293</v>
      </c>
      <c r="L430">
        <f t="shared" si="13"/>
        <v>300</v>
      </c>
    </row>
    <row r="431" spans="1:12" x14ac:dyDescent="0.3">
      <c r="A431" s="8" t="s">
        <v>5</v>
      </c>
      <c r="B431" s="8" t="s">
        <v>60</v>
      </c>
      <c r="C431" s="8" t="s">
        <v>61</v>
      </c>
      <c r="D431" s="8">
        <v>30</v>
      </c>
      <c r="E431" s="8" t="s">
        <v>62</v>
      </c>
      <c r="F431" t="s">
        <v>56</v>
      </c>
      <c r="G431" s="8">
        <v>3000</v>
      </c>
      <c r="H431" s="7">
        <v>46339</v>
      </c>
      <c r="I431" s="9">
        <v>300</v>
      </c>
      <c r="J431" s="31">
        <f t="shared" si="12"/>
        <v>46335</v>
      </c>
      <c r="K431" s="31">
        <f>Table14[[#This Row],[week first day]]-7</f>
        <v>46328</v>
      </c>
      <c r="L431">
        <f t="shared" si="13"/>
        <v>300</v>
      </c>
    </row>
    <row r="432" spans="1:12" x14ac:dyDescent="0.3">
      <c r="A432" s="8" t="s">
        <v>5</v>
      </c>
      <c r="B432" s="8" t="s">
        <v>60</v>
      </c>
      <c r="C432" s="8" t="s">
        <v>61</v>
      </c>
      <c r="D432" s="8">
        <v>30</v>
      </c>
      <c r="E432" s="8" t="s">
        <v>62</v>
      </c>
      <c r="F432" t="s">
        <v>56</v>
      </c>
      <c r="G432" s="8">
        <v>3000</v>
      </c>
      <c r="H432" s="7">
        <v>46367</v>
      </c>
      <c r="I432" s="9">
        <v>300</v>
      </c>
      <c r="J432" s="31">
        <f t="shared" si="12"/>
        <v>46363</v>
      </c>
      <c r="K432" s="31">
        <f>Table14[[#This Row],[week first day]]-7</f>
        <v>46356</v>
      </c>
      <c r="L432">
        <f t="shared" si="13"/>
        <v>300</v>
      </c>
    </row>
    <row r="433" spans="1:12" x14ac:dyDescent="0.3">
      <c r="A433" s="8" t="s">
        <v>6</v>
      </c>
      <c r="B433" s="8" t="s">
        <v>53</v>
      </c>
      <c r="C433" s="8" t="s">
        <v>54</v>
      </c>
      <c r="D433" s="8">
        <v>90</v>
      </c>
      <c r="E433" s="8" t="s">
        <v>55</v>
      </c>
      <c r="F433" t="s">
        <v>56</v>
      </c>
      <c r="G433" s="8">
        <v>3000</v>
      </c>
      <c r="H433" s="7">
        <v>46143</v>
      </c>
      <c r="I433" s="9">
        <v>588</v>
      </c>
      <c r="J433" s="31">
        <f t="shared" si="12"/>
        <v>46139</v>
      </c>
      <c r="K433" s="31">
        <f>Table14[[#This Row],[week first day]]-7</f>
        <v>46132</v>
      </c>
      <c r="L433">
        <f t="shared" si="13"/>
        <v>588</v>
      </c>
    </row>
    <row r="434" spans="1:12" x14ac:dyDescent="0.3">
      <c r="A434" s="8" t="s">
        <v>6</v>
      </c>
      <c r="B434" s="8" t="s">
        <v>53</v>
      </c>
      <c r="C434" s="8" t="s">
        <v>54</v>
      </c>
      <c r="D434" s="8">
        <v>90</v>
      </c>
      <c r="E434" s="8" t="s">
        <v>55</v>
      </c>
      <c r="F434" t="s">
        <v>56</v>
      </c>
      <c r="G434" s="8">
        <v>3000</v>
      </c>
      <c r="H434" s="7">
        <v>46150</v>
      </c>
      <c r="I434" s="9">
        <v>4028</v>
      </c>
      <c r="J434" s="31">
        <f t="shared" si="12"/>
        <v>46146</v>
      </c>
      <c r="K434" s="31">
        <f>Table14[[#This Row],[week first day]]-7</f>
        <v>46139</v>
      </c>
      <c r="L434">
        <f t="shared" si="13"/>
        <v>4028</v>
      </c>
    </row>
    <row r="435" spans="1:12" x14ac:dyDescent="0.3">
      <c r="A435" s="8" t="s">
        <v>6</v>
      </c>
      <c r="B435" s="8" t="s">
        <v>53</v>
      </c>
      <c r="C435" s="8" t="s">
        <v>54</v>
      </c>
      <c r="D435" s="8">
        <v>90</v>
      </c>
      <c r="E435" s="8" t="s">
        <v>55</v>
      </c>
      <c r="F435" t="s">
        <v>56</v>
      </c>
      <c r="G435" s="8">
        <v>3000</v>
      </c>
      <c r="H435" s="7">
        <v>46157</v>
      </c>
      <c r="I435" s="9">
        <v>4200</v>
      </c>
      <c r="J435" s="31">
        <f t="shared" si="12"/>
        <v>46153</v>
      </c>
      <c r="K435" s="31">
        <f>Table14[[#This Row],[week first day]]-7</f>
        <v>46146</v>
      </c>
      <c r="L435">
        <f t="shared" si="13"/>
        <v>4200</v>
      </c>
    </row>
    <row r="436" spans="1:12" x14ac:dyDescent="0.3">
      <c r="A436" s="8" t="s">
        <v>6</v>
      </c>
      <c r="B436" s="8" t="s">
        <v>53</v>
      </c>
      <c r="C436" s="8" t="s">
        <v>54</v>
      </c>
      <c r="D436" s="8">
        <v>90</v>
      </c>
      <c r="E436" s="8" t="s">
        <v>55</v>
      </c>
      <c r="F436" t="s">
        <v>56</v>
      </c>
      <c r="G436" s="8">
        <v>3000</v>
      </c>
      <c r="H436" s="7">
        <v>46164</v>
      </c>
      <c r="I436" s="9">
        <v>3802</v>
      </c>
      <c r="J436" s="31">
        <f t="shared" si="12"/>
        <v>46160</v>
      </c>
      <c r="K436" s="31">
        <f>Table14[[#This Row],[week first day]]-7</f>
        <v>46153</v>
      </c>
      <c r="L436">
        <f t="shared" si="13"/>
        <v>3802</v>
      </c>
    </row>
    <row r="437" spans="1:12" x14ac:dyDescent="0.3">
      <c r="A437" s="8" t="s">
        <v>6</v>
      </c>
      <c r="B437" s="8" t="s">
        <v>53</v>
      </c>
      <c r="C437" s="8" t="s">
        <v>54</v>
      </c>
      <c r="D437" s="8">
        <v>90</v>
      </c>
      <c r="E437" s="8" t="s">
        <v>55</v>
      </c>
      <c r="F437" t="s">
        <v>56</v>
      </c>
      <c r="G437" s="8">
        <v>3000</v>
      </c>
      <c r="H437" s="7">
        <v>46171</v>
      </c>
      <c r="I437" s="9">
        <v>4500</v>
      </c>
      <c r="J437" s="31">
        <f t="shared" si="12"/>
        <v>46167</v>
      </c>
      <c r="K437" s="31">
        <f>Table14[[#This Row],[week first day]]-7</f>
        <v>46160</v>
      </c>
      <c r="L437">
        <f t="shared" si="13"/>
        <v>4500</v>
      </c>
    </row>
    <row r="438" spans="1:12" x14ac:dyDescent="0.3">
      <c r="A438" s="8" t="s">
        <v>6</v>
      </c>
      <c r="B438" s="8" t="s">
        <v>53</v>
      </c>
      <c r="C438" s="8" t="s">
        <v>54</v>
      </c>
      <c r="D438" s="8">
        <v>90</v>
      </c>
      <c r="E438" s="8" t="s">
        <v>55</v>
      </c>
      <c r="F438" t="s">
        <v>56</v>
      </c>
      <c r="G438" s="8">
        <v>3000</v>
      </c>
      <c r="H438" s="7">
        <v>46178</v>
      </c>
      <c r="I438" s="9">
        <v>4200</v>
      </c>
      <c r="J438" s="31">
        <f t="shared" si="12"/>
        <v>46174</v>
      </c>
      <c r="K438" s="31">
        <f>Table14[[#This Row],[week first day]]-7</f>
        <v>46167</v>
      </c>
      <c r="L438">
        <f t="shared" si="13"/>
        <v>4200</v>
      </c>
    </row>
    <row r="439" spans="1:12" x14ac:dyDescent="0.3">
      <c r="A439" s="8" t="s">
        <v>6</v>
      </c>
      <c r="B439" s="8" t="s">
        <v>53</v>
      </c>
      <c r="C439" s="8" t="s">
        <v>54</v>
      </c>
      <c r="D439" s="8">
        <v>90</v>
      </c>
      <c r="E439" s="8" t="s">
        <v>55</v>
      </c>
      <c r="F439" t="s">
        <v>56</v>
      </c>
      <c r="G439" s="8">
        <v>3000</v>
      </c>
      <c r="H439" s="7">
        <v>46185</v>
      </c>
      <c r="I439" s="9">
        <v>4500</v>
      </c>
      <c r="J439" s="31">
        <f t="shared" si="12"/>
        <v>46181</v>
      </c>
      <c r="K439" s="31">
        <f>Table14[[#This Row],[week first day]]-7</f>
        <v>46174</v>
      </c>
      <c r="L439">
        <f t="shared" si="13"/>
        <v>4500</v>
      </c>
    </row>
    <row r="440" spans="1:12" x14ac:dyDescent="0.3">
      <c r="A440" s="8" t="s">
        <v>6</v>
      </c>
      <c r="B440" s="8" t="s">
        <v>53</v>
      </c>
      <c r="C440" s="8" t="s">
        <v>54</v>
      </c>
      <c r="D440" s="8">
        <v>90</v>
      </c>
      <c r="E440" s="8" t="s">
        <v>55</v>
      </c>
      <c r="F440" t="s">
        <v>56</v>
      </c>
      <c r="G440" s="8">
        <v>3000</v>
      </c>
      <c r="H440" s="7">
        <v>46192</v>
      </c>
      <c r="I440" s="9">
        <v>4500</v>
      </c>
      <c r="J440" s="31">
        <f t="shared" si="12"/>
        <v>46188</v>
      </c>
      <c r="K440" s="31">
        <f>Table14[[#This Row],[week first day]]-7</f>
        <v>46181</v>
      </c>
      <c r="L440">
        <f t="shared" si="13"/>
        <v>4500</v>
      </c>
    </row>
    <row r="441" spans="1:12" x14ac:dyDescent="0.3">
      <c r="A441" s="8" t="s">
        <v>6</v>
      </c>
      <c r="B441" s="8" t="s">
        <v>53</v>
      </c>
      <c r="C441" s="8" t="s">
        <v>54</v>
      </c>
      <c r="D441" s="8">
        <v>90</v>
      </c>
      <c r="E441" s="8" t="s">
        <v>55</v>
      </c>
      <c r="F441" t="s">
        <v>56</v>
      </c>
      <c r="G441" s="8">
        <v>3000</v>
      </c>
      <c r="H441" s="7">
        <v>46199</v>
      </c>
      <c r="I441" s="9">
        <v>2200</v>
      </c>
      <c r="J441" s="31">
        <f t="shared" si="12"/>
        <v>46195</v>
      </c>
      <c r="K441" s="31">
        <f>Table14[[#This Row],[week first day]]-7</f>
        <v>46188</v>
      </c>
      <c r="L441">
        <f t="shared" si="13"/>
        <v>2200</v>
      </c>
    </row>
    <row r="442" spans="1:12" x14ac:dyDescent="0.3">
      <c r="A442" s="8" t="s">
        <v>6</v>
      </c>
      <c r="B442" s="8" t="s">
        <v>53</v>
      </c>
      <c r="C442" s="8" t="s">
        <v>54</v>
      </c>
      <c r="D442" s="8">
        <v>90</v>
      </c>
      <c r="E442" s="8" t="s">
        <v>55</v>
      </c>
      <c r="F442" t="s">
        <v>56</v>
      </c>
      <c r="G442" s="8">
        <v>3000</v>
      </c>
      <c r="H442" s="7">
        <v>46206</v>
      </c>
      <c r="I442" s="9">
        <v>5000</v>
      </c>
      <c r="J442" s="31">
        <f t="shared" si="12"/>
        <v>46202</v>
      </c>
      <c r="K442" s="31">
        <f>Table14[[#This Row],[week first day]]-7</f>
        <v>46195</v>
      </c>
      <c r="L442">
        <f t="shared" si="13"/>
        <v>5000</v>
      </c>
    </row>
    <row r="443" spans="1:12" x14ac:dyDescent="0.3">
      <c r="A443" s="8" t="s">
        <v>6</v>
      </c>
      <c r="B443" s="8" t="s">
        <v>53</v>
      </c>
      <c r="C443" s="8" t="s">
        <v>54</v>
      </c>
      <c r="D443" s="8">
        <v>90</v>
      </c>
      <c r="E443" s="8" t="s">
        <v>55</v>
      </c>
      <c r="F443" t="s">
        <v>56</v>
      </c>
      <c r="G443" s="8">
        <v>3000</v>
      </c>
      <c r="H443" s="7">
        <v>46213</v>
      </c>
      <c r="I443" s="9">
        <v>4300</v>
      </c>
      <c r="J443" s="31">
        <f t="shared" si="12"/>
        <v>46209</v>
      </c>
      <c r="K443" s="31">
        <f>Table14[[#This Row],[week first day]]-7</f>
        <v>46202</v>
      </c>
      <c r="L443">
        <f t="shared" si="13"/>
        <v>4300</v>
      </c>
    </row>
    <row r="444" spans="1:12" x14ac:dyDescent="0.3">
      <c r="A444" s="8" t="s">
        <v>6</v>
      </c>
      <c r="B444" s="8" t="s">
        <v>53</v>
      </c>
      <c r="C444" s="8" t="s">
        <v>54</v>
      </c>
      <c r="D444" s="8">
        <v>90</v>
      </c>
      <c r="E444" s="8" t="s">
        <v>55</v>
      </c>
      <c r="F444" t="s">
        <v>56</v>
      </c>
      <c r="G444" s="8">
        <v>3000</v>
      </c>
      <c r="H444" s="7">
        <v>46220</v>
      </c>
      <c r="I444" s="9">
        <v>4700</v>
      </c>
      <c r="J444" s="31">
        <f t="shared" si="12"/>
        <v>46216</v>
      </c>
      <c r="K444" s="31">
        <f>Table14[[#This Row],[week first day]]-7</f>
        <v>46209</v>
      </c>
      <c r="L444">
        <f t="shared" si="13"/>
        <v>4700</v>
      </c>
    </row>
    <row r="445" spans="1:12" x14ac:dyDescent="0.3">
      <c r="A445" s="8" t="s">
        <v>6</v>
      </c>
      <c r="B445" s="8" t="s">
        <v>53</v>
      </c>
      <c r="C445" s="8" t="s">
        <v>54</v>
      </c>
      <c r="D445" s="8">
        <v>90</v>
      </c>
      <c r="E445" s="8" t="s">
        <v>55</v>
      </c>
      <c r="F445" t="s">
        <v>56</v>
      </c>
      <c r="G445" s="8">
        <v>3000</v>
      </c>
      <c r="H445" s="7">
        <v>46227</v>
      </c>
      <c r="I445" s="9">
        <v>900</v>
      </c>
      <c r="J445" s="31">
        <f t="shared" si="12"/>
        <v>46223</v>
      </c>
      <c r="K445" s="31">
        <f>Table14[[#This Row],[week first day]]-7</f>
        <v>46216</v>
      </c>
      <c r="L445">
        <f t="shared" si="13"/>
        <v>4746</v>
      </c>
    </row>
    <row r="446" spans="1:12" x14ac:dyDescent="0.3">
      <c r="A446" s="8" t="s">
        <v>6</v>
      </c>
      <c r="B446" s="8" t="s">
        <v>53</v>
      </c>
      <c r="C446" s="8" t="s">
        <v>54</v>
      </c>
      <c r="D446" s="8">
        <v>90</v>
      </c>
      <c r="E446" s="8" t="s">
        <v>55</v>
      </c>
      <c r="F446" t="s">
        <v>56</v>
      </c>
      <c r="G446" s="8">
        <v>3000</v>
      </c>
      <c r="H446" s="7">
        <v>46227</v>
      </c>
      <c r="I446" s="9">
        <v>3846</v>
      </c>
      <c r="J446" s="31">
        <f t="shared" si="12"/>
        <v>46223</v>
      </c>
      <c r="K446" s="31">
        <f>Table14[[#This Row],[week first day]]-7</f>
        <v>46216</v>
      </c>
      <c r="L446">
        <f t="shared" si="13"/>
        <v>4746</v>
      </c>
    </row>
    <row r="447" spans="1:12" x14ac:dyDescent="0.3">
      <c r="A447" s="8" t="s">
        <v>6</v>
      </c>
      <c r="B447" s="8" t="s">
        <v>53</v>
      </c>
      <c r="C447" s="8" t="s">
        <v>54</v>
      </c>
      <c r="D447" s="8">
        <v>90</v>
      </c>
      <c r="E447" s="8" t="s">
        <v>55</v>
      </c>
      <c r="F447" t="s">
        <v>56</v>
      </c>
      <c r="G447" s="8">
        <v>3000</v>
      </c>
      <c r="H447" s="7">
        <v>46234</v>
      </c>
      <c r="I447" s="9">
        <v>4300</v>
      </c>
      <c r="J447" s="31">
        <f t="shared" si="12"/>
        <v>46230</v>
      </c>
      <c r="K447" s="31">
        <f>Table14[[#This Row],[week first day]]-7</f>
        <v>46223</v>
      </c>
      <c r="L447">
        <f t="shared" si="13"/>
        <v>4300</v>
      </c>
    </row>
    <row r="448" spans="1:12" x14ac:dyDescent="0.3">
      <c r="A448" s="8" t="s">
        <v>6</v>
      </c>
      <c r="B448" s="8" t="s">
        <v>53</v>
      </c>
      <c r="C448" s="8" t="s">
        <v>54</v>
      </c>
      <c r="D448" s="8">
        <v>90</v>
      </c>
      <c r="E448" s="8" t="s">
        <v>55</v>
      </c>
      <c r="F448" t="s">
        <v>56</v>
      </c>
      <c r="G448" s="8">
        <v>3000</v>
      </c>
      <c r="H448" s="7">
        <v>46241</v>
      </c>
      <c r="I448" s="9">
        <v>476</v>
      </c>
      <c r="J448" s="31">
        <f t="shared" si="12"/>
        <v>46237</v>
      </c>
      <c r="K448" s="31">
        <f>Table14[[#This Row],[week first day]]-7</f>
        <v>46230</v>
      </c>
      <c r="L448">
        <f t="shared" si="13"/>
        <v>476</v>
      </c>
    </row>
    <row r="449" spans="1:12" x14ac:dyDescent="0.3">
      <c r="A449" s="8" t="s">
        <v>6</v>
      </c>
      <c r="B449" s="8" t="s">
        <v>53</v>
      </c>
      <c r="C449" s="8" t="s">
        <v>54</v>
      </c>
      <c r="D449" s="8">
        <v>90</v>
      </c>
      <c r="E449" s="8" t="s">
        <v>55</v>
      </c>
      <c r="F449" t="s">
        <v>56</v>
      </c>
      <c r="G449" s="8">
        <v>3000</v>
      </c>
      <c r="H449" s="7">
        <v>46248</v>
      </c>
      <c r="I449" s="9">
        <v>1298</v>
      </c>
      <c r="J449" s="31">
        <f t="shared" si="12"/>
        <v>46244</v>
      </c>
      <c r="K449" s="31">
        <f>Table14[[#This Row],[week first day]]-7</f>
        <v>46237</v>
      </c>
      <c r="L449">
        <f t="shared" si="13"/>
        <v>1298</v>
      </c>
    </row>
    <row r="450" spans="1:12" x14ac:dyDescent="0.3">
      <c r="A450" s="8" t="s">
        <v>6</v>
      </c>
      <c r="B450" s="8" t="s">
        <v>53</v>
      </c>
      <c r="C450" s="8" t="s">
        <v>54</v>
      </c>
      <c r="D450" s="8">
        <v>90</v>
      </c>
      <c r="E450" s="8" t="s">
        <v>55</v>
      </c>
      <c r="F450" t="s">
        <v>56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46251</v>
      </c>
      <c r="K450" s="31">
        <f>Table14[[#This Row],[week first day]]-7</f>
        <v>46244</v>
      </c>
      <c r="L450">
        <f t="shared" ref="L450:L466" si="15">SUMIFS($I:$I,$A:$A,A450,J:J,J450)</f>
        <v>1300</v>
      </c>
    </row>
    <row r="451" spans="1:12" x14ac:dyDescent="0.3">
      <c r="A451" s="8" t="s">
        <v>6</v>
      </c>
      <c r="B451" s="8" t="s">
        <v>53</v>
      </c>
      <c r="C451" s="8" t="s">
        <v>54</v>
      </c>
      <c r="D451" s="8">
        <v>90</v>
      </c>
      <c r="E451" s="8" t="s">
        <v>55</v>
      </c>
      <c r="F451" t="s">
        <v>56</v>
      </c>
      <c r="G451" s="8">
        <v>3000</v>
      </c>
      <c r="H451" s="7">
        <v>46262</v>
      </c>
      <c r="I451" s="9">
        <v>1298</v>
      </c>
      <c r="J451" s="31">
        <f t="shared" si="14"/>
        <v>46258</v>
      </c>
      <c r="K451" s="31">
        <f>Table14[[#This Row],[week first day]]-7</f>
        <v>46251</v>
      </c>
      <c r="L451">
        <f t="shared" si="15"/>
        <v>1298</v>
      </c>
    </row>
    <row r="452" spans="1:12" x14ac:dyDescent="0.3">
      <c r="A452" s="8" t="s">
        <v>6</v>
      </c>
      <c r="B452" s="8" t="s">
        <v>53</v>
      </c>
      <c r="C452" s="8" t="s">
        <v>54</v>
      </c>
      <c r="D452" s="8">
        <v>90</v>
      </c>
      <c r="E452" s="8" t="s">
        <v>55</v>
      </c>
      <c r="F452" t="s">
        <v>56</v>
      </c>
      <c r="G452" s="8">
        <v>3000</v>
      </c>
      <c r="H452" s="7">
        <v>46269</v>
      </c>
      <c r="I452" s="9">
        <v>1506</v>
      </c>
      <c r="J452" s="31">
        <f t="shared" si="14"/>
        <v>46265</v>
      </c>
      <c r="K452" s="31">
        <f>Table14[[#This Row],[week first day]]-7</f>
        <v>46258</v>
      </c>
      <c r="L452">
        <f t="shared" si="15"/>
        <v>1506</v>
      </c>
    </row>
    <row r="453" spans="1:12" x14ac:dyDescent="0.3">
      <c r="A453" s="8" t="s">
        <v>6</v>
      </c>
      <c r="B453" s="8" t="s">
        <v>53</v>
      </c>
      <c r="C453" s="8" t="s">
        <v>54</v>
      </c>
      <c r="D453" s="8">
        <v>90</v>
      </c>
      <c r="E453" s="8" t="s">
        <v>55</v>
      </c>
      <c r="F453" t="s">
        <v>56</v>
      </c>
      <c r="G453" s="8">
        <v>3000</v>
      </c>
      <c r="H453" s="7">
        <v>46276</v>
      </c>
      <c r="I453" s="9">
        <v>1506</v>
      </c>
      <c r="J453" s="31">
        <f t="shared" si="14"/>
        <v>46272</v>
      </c>
      <c r="K453" s="31">
        <f>Table14[[#This Row],[week first day]]-7</f>
        <v>46265</v>
      </c>
      <c r="L453">
        <f t="shared" si="15"/>
        <v>1506</v>
      </c>
    </row>
    <row r="454" spans="1:12" x14ac:dyDescent="0.3">
      <c r="A454" s="8" t="s">
        <v>6</v>
      </c>
      <c r="B454" s="8" t="s">
        <v>53</v>
      </c>
      <c r="C454" s="8" t="s">
        <v>54</v>
      </c>
      <c r="D454" s="8">
        <v>90</v>
      </c>
      <c r="E454" s="8" t="s">
        <v>55</v>
      </c>
      <c r="F454" t="s">
        <v>56</v>
      </c>
      <c r="G454" s="8">
        <v>3000</v>
      </c>
      <c r="H454" s="7">
        <v>46283</v>
      </c>
      <c r="I454" s="9">
        <v>1506</v>
      </c>
      <c r="J454" s="31">
        <f t="shared" si="14"/>
        <v>46279</v>
      </c>
      <c r="K454" s="31">
        <f>Table14[[#This Row],[week first day]]-7</f>
        <v>46272</v>
      </c>
      <c r="L454">
        <f t="shared" si="15"/>
        <v>1506</v>
      </c>
    </row>
    <row r="455" spans="1:12" x14ac:dyDescent="0.3">
      <c r="A455" s="8" t="s">
        <v>6</v>
      </c>
      <c r="B455" s="8" t="s">
        <v>53</v>
      </c>
      <c r="C455" s="8" t="s">
        <v>54</v>
      </c>
      <c r="D455" s="8">
        <v>90</v>
      </c>
      <c r="E455" s="8" t="s">
        <v>55</v>
      </c>
      <c r="F455" t="s">
        <v>56</v>
      </c>
      <c r="G455" s="8">
        <v>3000</v>
      </c>
      <c r="H455" s="7">
        <v>46290</v>
      </c>
      <c r="I455" s="9">
        <v>1506</v>
      </c>
      <c r="J455" s="31">
        <f t="shared" si="14"/>
        <v>46286</v>
      </c>
      <c r="K455" s="31">
        <f>Table14[[#This Row],[week first day]]-7</f>
        <v>46279</v>
      </c>
      <c r="L455">
        <f t="shared" si="15"/>
        <v>1506</v>
      </c>
    </row>
    <row r="456" spans="1:12" x14ac:dyDescent="0.3">
      <c r="A456" s="8" t="s">
        <v>6</v>
      </c>
      <c r="B456" s="8" t="s">
        <v>53</v>
      </c>
      <c r="C456" s="8" t="s">
        <v>54</v>
      </c>
      <c r="D456" s="8">
        <v>90</v>
      </c>
      <c r="E456" s="8" t="s">
        <v>55</v>
      </c>
      <c r="F456" t="s">
        <v>56</v>
      </c>
      <c r="G456" s="8">
        <v>3000</v>
      </c>
      <c r="H456" s="7">
        <v>46297</v>
      </c>
      <c r="I456" s="9">
        <v>1446</v>
      </c>
      <c r="J456" s="31">
        <f t="shared" si="14"/>
        <v>46293</v>
      </c>
      <c r="K456" s="31">
        <f>Table14[[#This Row],[week first day]]-7</f>
        <v>46286</v>
      </c>
      <c r="L456">
        <f t="shared" si="15"/>
        <v>1446</v>
      </c>
    </row>
    <row r="457" spans="1:12" x14ac:dyDescent="0.3">
      <c r="A457" s="8" t="s">
        <v>6</v>
      </c>
      <c r="B457" s="8" t="s">
        <v>53</v>
      </c>
      <c r="C457" s="8" t="s">
        <v>54</v>
      </c>
      <c r="D457" s="8">
        <v>90</v>
      </c>
      <c r="E457" s="8" t="s">
        <v>55</v>
      </c>
      <c r="F457" t="s">
        <v>56</v>
      </c>
      <c r="G457" s="8">
        <v>3000</v>
      </c>
      <c r="H457" s="7">
        <v>46318</v>
      </c>
      <c r="I457" s="9">
        <v>1448</v>
      </c>
      <c r="J457" s="31">
        <f t="shared" si="14"/>
        <v>46314</v>
      </c>
      <c r="K457" s="31">
        <f>Table14[[#This Row],[week first day]]-7</f>
        <v>46307</v>
      </c>
      <c r="L457">
        <f t="shared" si="15"/>
        <v>1448</v>
      </c>
    </row>
    <row r="458" spans="1:12" x14ac:dyDescent="0.3">
      <c r="A458" s="8" t="s">
        <v>6</v>
      </c>
      <c r="B458" s="8" t="s">
        <v>53</v>
      </c>
      <c r="C458" s="8" t="s">
        <v>54</v>
      </c>
      <c r="D458" s="8">
        <v>90</v>
      </c>
      <c r="E458" s="8" t="s">
        <v>55</v>
      </c>
      <c r="F458" t="s">
        <v>56</v>
      </c>
      <c r="G458" s="8">
        <v>3000</v>
      </c>
      <c r="H458" s="7">
        <v>46325</v>
      </c>
      <c r="I458" s="9">
        <v>1448</v>
      </c>
      <c r="J458" s="31">
        <f t="shared" si="14"/>
        <v>46321</v>
      </c>
      <c r="K458" s="31">
        <f>Table14[[#This Row],[week first day]]-7</f>
        <v>46314</v>
      </c>
      <c r="L458">
        <f t="shared" si="15"/>
        <v>1448</v>
      </c>
    </row>
    <row r="459" spans="1:12" x14ac:dyDescent="0.3">
      <c r="A459" s="8" t="s">
        <v>6</v>
      </c>
      <c r="B459" s="8" t="s">
        <v>53</v>
      </c>
      <c r="C459" s="8" t="s">
        <v>54</v>
      </c>
      <c r="D459" s="8">
        <v>90</v>
      </c>
      <c r="E459" s="8" t="s">
        <v>55</v>
      </c>
      <c r="F459" t="s">
        <v>56</v>
      </c>
      <c r="G459" s="8">
        <v>3000</v>
      </c>
      <c r="H459" s="7">
        <v>46332</v>
      </c>
      <c r="I459" s="9">
        <v>1448</v>
      </c>
      <c r="J459" s="31">
        <f t="shared" si="14"/>
        <v>46328</v>
      </c>
      <c r="K459" s="31">
        <f>Table14[[#This Row],[week first day]]-7</f>
        <v>46321</v>
      </c>
      <c r="L459">
        <f t="shared" si="15"/>
        <v>1448</v>
      </c>
    </row>
    <row r="460" spans="1:12" x14ac:dyDescent="0.3">
      <c r="A460" s="8" t="s">
        <v>6</v>
      </c>
      <c r="B460" s="8" t="s">
        <v>53</v>
      </c>
      <c r="C460" s="8" t="s">
        <v>54</v>
      </c>
      <c r="D460" s="8">
        <v>90</v>
      </c>
      <c r="E460" s="8" t="s">
        <v>55</v>
      </c>
      <c r="F460" t="s">
        <v>56</v>
      </c>
      <c r="G460" s="8">
        <v>3000</v>
      </c>
      <c r="H460" s="7">
        <v>46339</v>
      </c>
      <c r="I460" s="9">
        <v>1754</v>
      </c>
      <c r="J460" s="31">
        <f t="shared" si="14"/>
        <v>46335</v>
      </c>
      <c r="K460" s="31">
        <f>Table14[[#This Row],[week first day]]-7</f>
        <v>46328</v>
      </c>
      <c r="L460">
        <f t="shared" si="15"/>
        <v>1754</v>
      </c>
    </row>
    <row r="461" spans="1:12" x14ac:dyDescent="0.3">
      <c r="A461" s="8" t="s">
        <v>6</v>
      </c>
      <c r="B461" s="8" t="s">
        <v>53</v>
      </c>
      <c r="C461" s="8" t="s">
        <v>54</v>
      </c>
      <c r="D461" s="8">
        <v>90</v>
      </c>
      <c r="E461" s="8" t="s">
        <v>55</v>
      </c>
      <c r="F461" t="s">
        <v>56</v>
      </c>
      <c r="G461" s="8">
        <v>3000</v>
      </c>
      <c r="H461" s="7">
        <v>46346</v>
      </c>
      <c r="I461" s="9">
        <v>1756</v>
      </c>
      <c r="J461" s="31">
        <f t="shared" si="14"/>
        <v>46342</v>
      </c>
      <c r="K461" s="31">
        <f>Table14[[#This Row],[week first day]]-7</f>
        <v>46335</v>
      </c>
      <c r="L461">
        <f t="shared" si="15"/>
        <v>1756</v>
      </c>
    </row>
    <row r="462" spans="1:12" x14ac:dyDescent="0.3">
      <c r="A462" s="8" t="s">
        <v>6</v>
      </c>
      <c r="B462" s="8" t="s">
        <v>53</v>
      </c>
      <c r="C462" s="8" t="s">
        <v>54</v>
      </c>
      <c r="D462" s="8">
        <v>90</v>
      </c>
      <c r="E462" s="8" t="s">
        <v>55</v>
      </c>
      <c r="F462" t="s">
        <v>56</v>
      </c>
      <c r="G462" s="8">
        <v>3000</v>
      </c>
      <c r="H462" s="7">
        <v>46353</v>
      </c>
      <c r="I462" s="9">
        <v>1756</v>
      </c>
      <c r="J462" s="31">
        <f t="shared" si="14"/>
        <v>46349</v>
      </c>
      <c r="K462" s="31">
        <f>Table14[[#This Row],[week first day]]-7</f>
        <v>46342</v>
      </c>
      <c r="L462">
        <f t="shared" si="15"/>
        <v>1756</v>
      </c>
    </row>
    <row r="463" spans="1:12" x14ac:dyDescent="0.3">
      <c r="A463" s="8" t="s">
        <v>6</v>
      </c>
      <c r="B463" s="8" t="s">
        <v>53</v>
      </c>
      <c r="C463" s="8" t="s">
        <v>54</v>
      </c>
      <c r="D463" s="8">
        <v>90</v>
      </c>
      <c r="E463" s="8" t="s">
        <v>55</v>
      </c>
      <c r="F463" t="s">
        <v>56</v>
      </c>
      <c r="G463" s="8">
        <v>3000</v>
      </c>
      <c r="H463" s="7">
        <v>46360</v>
      </c>
      <c r="I463" s="9">
        <v>1756</v>
      </c>
      <c r="J463" s="31">
        <f t="shared" si="14"/>
        <v>46356</v>
      </c>
      <c r="K463" s="31">
        <f>Table14[[#This Row],[week first day]]-7</f>
        <v>46349</v>
      </c>
      <c r="L463">
        <f t="shared" si="15"/>
        <v>1756</v>
      </c>
    </row>
    <row r="464" spans="1:12" x14ac:dyDescent="0.3">
      <c r="A464" s="8" t="s">
        <v>6</v>
      </c>
      <c r="B464" s="8" t="s">
        <v>53</v>
      </c>
      <c r="C464" s="8" t="s">
        <v>54</v>
      </c>
      <c r="D464" s="8">
        <v>90</v>
      </c>
      <c r="E464" s="8" t="s">
        <v>55</v>
      </c>
      <c r="F464" t="s">
        <v>56</v>
      </c>
      <c r="G464" s="8">
        <v>3000</v>
      </c>
      <c r="H464" s="7">
        <v>46367</v>
      </c>
      <c r="I464" s="9">
        <v>1928</v>
      </c>
      <c r="J464" s="31">
        <f t="shared" si="14"/>
        <v>46363</v>
      </c>
      <c r="K464" s="31">
        <f>Table14[[#This Row],[week first day]]-7</f>
        <v>46356</v>
      </c>
      <c r="L464">
        <f t="shared" si="15"/>
        <v>1928</v>
      </c>
    </row>
    <row r="465" spans="1:12" x14ac:dyDescent="0.3">
      <c r="A465" s="8" t="s">
        <v>6</v>
      </c>
      <c r="B465" s="8" t="s">
        <v>53</v>
      </c>
      <c r="C465" s="8" t="s">
        <v>54</v>
      </c>
      <c r="D465" s="8">
        <v>90</v>
      </c>
      <c r="E465" s="8" t="s">
        <v>55</v>
      </c>
      <c r="F465" t="s">
        <v>56</v>
      </c>
      <c r="G465" s="8">
        <v>3000</v>
      </c>
      <c r="H465" s="7">
        <v>46374</v>
      </c>
      <c r="I465" s="9">
        <v>1930</v>
      </c>
      <c r="J465" s="31">
        <f t="shared" si="14"/>
        <v>46370</v>
      </c>
      <c r="K465" s="31">
        <f>Table14[[#This Row],[week first day]]-7</f>
        <v>46363</v>
      </c>
      <c r="L465">
        <f t="shared" si="15"/>
        <v>1930</v>
      </c>
    </row>
    <row r="466" spans="1:12" x14ac:dyDescent="0.3">
      <c r="A466" s="8" t="s">
        <v>6</v>
      </c>
      <c r="B466" s="8" t="s">
        <v>53</v>
      </c>
      <c r="C466" s="8" t="s">
        <v>54</v>
      </c>
      <c r="D466" s="8">
        <v>90</v>
      </c>
      <c r="E466" s="8" t="s">
        <v>55</v>
      </c>
      <c r="F466" t="s">
        <v>56</v>
      </c>
      <c r="G466" s="8">
        <v>3000</v>
      </c>
      <c r="H466" s="12">
        <v>46381</v>
      </c>
      <c r="I466" s="13">
        <v>1928</v>
      </c>
      <c r="J466" s="31">
        <f t="shared" si="14"/>
        <v>46377</v>
      </c>
      <c r="K466" s="31">
        <f>Table14[[#This Row],[week first day]]-7</f>
        <v>46370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2"/>
  <sheetViews>
    <sheetView zoomScale="75" workbookViewId="0">
      <selection activeCell="H6" sqref="H6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57" t="s">
        <v>44</v>
      </c>
      <c r="B1" s="58" t="s">
        <v>74</v>
      </c>
      <c r="C1" s="59" t="s">
        <v>71</v>
      </c>
      <c r="D1" s="60" t="s">
        <v>73</v>
      </c>
      <c r="E1" s="60" t="s">
        <v>75</v>
      </c>
      <c r="F1" s="60" t="s">
        <v>76</v>
      </c>
    </row>
    <row r="2" spans="1:14" x14ac:dyDescent="0.3">
      <c r="A2" t="str">
        <f t="array" ref="A2:D172">_xlfn.UNIQUE(_xlfn.CHOOSECOLS(Demand_!A2:L466,1,3,11,12))</f>
        <v>A</v>
      </c>
      <c r="B2" s="31" t="str">
        <v>US</v>
      </c>
      <c r="C2" s="31">
        <v>46139</v>
      </c>
      <c r="D2">
        <v>684</v>
      </c>
      <c r="E2">
        <f t="shared" ref="E2:E33" si="0">ROUNDUP(D2/_xlfn.XLOOKUP(A2,$J$3:$J$8,$L$3:$L$8),0)</f>
        <v>171</v>
      </c>
      <c r="F2">
        <f t="shared" ref="F2:F33" si="1">E2/100*_xlfn.XLOOKUP(A2,$J$3:$J$8,$M$3:$M$8)</f>
        <v>1.71</v>
      </c>
      <c r="J2" s="19" t="s">
        <v>44</v>
      </c>
      <c r="K2" s="19" t="s">
        <v>45</v>
      </c>
      <c r="L2" s="19" t="s">
        <v>77</v>
      </c>
      <c r="M2" s="19" t="s">
        <v>78</v>
      </c>
      <c r="N2" s="20"/>
    </row>
    <row r="3" spans="1:14" x14ac:dyDescent="0.3">
      <c r="A3" t="str">
        <v>A</v>
      </c>
      <c r="B3" s="31" t="str">
        <v>US</v>
      </c>
      <c r="C3" s="31">
        <v>46146</v>
      </c>
      <c r="D3">
        <v>20000</v>
      </c>
      <c r="E3">
        <f t="shared" si="0"/>
        <v>5000</v>
      </c>
      <c r="F3">
        <f t="shared" si="1"/>
        <v>50</v>
      </c>
      <c r="J3" s="18" t="s">
        <v>1</v>
      </c>
      <c r="K3" t="s">
        <v>57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46153</v>
      </c>
      <c r="D4">
        <v>20000</v>
      </c>
      <c r="E4">
        <f t="shared" si="0"/>
        <v>5000</v>
      </c>
      <c r="F4">
        <f t="shared" si="1"/>
        <v>50</v>
      </c>
      <c r="J4" s="18" t="s">
        <v>2</v>
      </c>
      <c r="K4" t="s">
        <v>63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46160</v>
      </c>
      <c r="D5">
        <v>11000</v>
      </c>
      <c r="E5">
        <f t="shared" si="0"/>
        <v>2750</v>
      </c>
      <c r="F5">
        <f t="shared" si="1"/>
        <v>27.5</v>
      </c>
      <c r="J5" s="18" t="s">
        <v>3</v>
      </c>
      <c r="K5" t="s">
        <v>65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46167</v>
      </c>
      <c r="D6">
        <v>13000</v>
      </c>
      <c r="E6">
        <f t="shared" si="0"/>
        <v>3250</v>
      </c>
      <c r="F6">
        <f t="shared" si="1"/>
        <v>32.5</v>
      </c>
      <c r="J6" s="18" t="s">
        <v>4</v>
      </c>
      <c r="K6" t="s">
        <v>69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46174</v>
      </c>
      <c r="D7">
        <v>13773</v>
      </c>
      <c r="E7">
        <f t="shared" si="0"/>
        <v>3444</v>
      </c>
      <c r="F7">
        <f t="shared" si="1"/>
        <v>34.44</v>
      </c>
      <c r="J7" s="18" t="s">
        <v>5</v>
      </c>
      <c r="K7" t="s">
        <v>60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46181</v>
      </c>
      <c r="D8">
        <v>7058</v>
      </c>
      <c r="E8">
        <f t="shared" si="0"/>
        <v>1765</v>
      </c>
      <c r="F8">
        <f t="shared" si="1"/>
        <v>17.649999999999999</v>
      </c>
      <c r="J8" s="18" t="s">
        <v>6</v>
      </c>
      <c r="K8" t="s">
        <v>53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46188</v>
      </c>
      <c r="D9">
        <v>2040</v>
      </c>
      <c r="E9">
        <f t="shared" si="0"/>
        <v>510</v>
      </c>
      <c r="F9">
        <f t="shared" si="1"/>
        <v>5.0999999999999996</v>
      </c>
    </row>
    <row r="10" spans="1:14" x14ac:dyDescent="0.3">
      <c r="A10" t="str">
        <v>A</v>
      </c>
      <c r="B10" s="31" t="str">
        <v>US</v>
      </c>
      <c r="C10" s="31">
        <v>46195</v>
      </c>
      <c r="D10">
        <v>3541</v>
      </c>
      <c r="E10">
        <f t="shared" si="0"/>
        <v>886</v>
      </c>
      <c r="F10">
        <f t="shared" si="1"/>
        <v>8.86</v>
      </c>
    </row>
    <row r="11" spans="1:14" x14ac:dyDescent="0.3">
      <c r="A11" t="str">
        <v>A</v>
      </c>
      <c r="B11" s="31" t="str">
        <v>US</v>
      </c>
      <c r="C11" s="31">
        <v>46202</v>
      </c>
      <c r="D11">
        <v>12041</v>
      </c>
      <c r="E11">
        <f t="shared" si="0"/>
        <v>3011</v>
      </c>
      <c r="F11">
        <f t="shared" si="1"/>
        <v>30.11</v>
      </c>
    </row>
    <row r="12" spans="1:14" x14ac:dyDescent="0.3">
      <c r="A12" t="str">
        <v>A</v>
      </c>
      <c r="B12" s="31" t="str">
        <v>US</v>
      </c>
      <c r="C12" s="31">
        <v>46209</v>
      </c>
      <c r="D12">
        <v>12040</v>
      </c>
      <c r="E12">
        <f t="shared" si="0"/>
        <v>3010</v>
      </c>
      <c r="F12">
        <f t="shared" si="1"/>
        <v>30.1</v>
      </c>
    </row>
    <row r="13" spans="1:14" x14ac:dyDescent="0.3">
      <c r="A13" t="str">
        <v>A</v>
      </c>
      <c r="B13" s="31" t="str">
        <v>US</v>
      </c>
      <c r="C13" s="31">
        <v>46230</v>
      </c>
      <c r="D13">
        <v>27760</v>
      </c>
      <c r="E13">
        <f t="shared" si="0"/>
        <v>6940</v>
      </c>
      <c r="F13">
        <f t="shared" si="1"/>
        <v>69.400000000000006</v>
      </c>
    </row>
    <row r="14" spans="1:14" x14ac:dyDescent="0.3">
      <c r="A14" t="str">
        <v>A</v>
      </c>
      <c r="B14" s="31" t="str">
        <v>US</v>
      </c>
      <c r="C14" s="31">
        <v>46237</v>
      </c>
      <c r="D14">
        <v>26486</v>
      </c>
      <c r="E14">
        <f t="shared" si="0"/>
        <v>6622</v>
      </c>
      <c r="F14">
        <f t="shared" si="1"/>
        <v>66.22</v>
      </c>
    </row>
    <row r="15" spans="1:14" x14ac:dyDescent="0.3">
      <c r="A15" t="str">
        <v>A</v>
      </c>
      <c r="B15" s="31" t="str">
        <v>US</v>
      </c>
      <c r="C15" s="31">
        <v>46244</v>
      </c>
      <c r="D15">
        <v>4248</v>
      </c>
      <c r="E15">
        <f t="shared" si="0"/>
        <v>1062</v>
      </c>
      <c r="F15">
        <f t="shared" si="1"/>
        <v>10.62</v>
      </c>
    </row>
    <row r="16" spans="1:14" x14ac:dyDescent="0.3">
      <c r="A16" t="str">
        <v>A</v>
      </c>
      <c r="B16" s="31" t="str">
        <v>US</v>
      </c>
      <c r="C16" s="31">
        <v>46251</v>
      </c>
      <c r="D16">
        <v>4248</v>
      </c>
      <c r="E16">
        <f t="shared" si="0"/>
        <v>1062</v>
      </c>
      <c r="F16">
        <f t="shared" si="1"/>
        <v>10.62</v>
      </c>
    </row>
    <row r="17" spans="1:6" x14ac:dyDescent="0.3">
      <c r="A17" t="str">
        <v>A</v>
      </c>
      <c r="B17" s="31" t="str">
        <v>US</v>
      </c>
      <c r="C17" s="31">
        <v>46258</v>
      </c>
      <c r="D17">
        <v>4249</v>
      </c>
      <c r="E17">
        <f t="shared" si="0"/>
        <v>1063</v>
      </c>
      <c r="F17">
        <f t="shared" si="1"/>
        <v>10.63</v>
      </c>
    </row>
    <row r="18" spans="1:6" x14ac:dyDescent="0.3">
      <c r="A18" t="str">
        <v>A</v>
      </c>
      <c r="B18" s="31" t="str">
        <v>US</v>
      </c>
      <c r="C18" s="31">
        <v>46265</v>
      </c>
      <c r="D18">
        <v>4248</v>
      </c>
      <c r="E18">
        <f t="shared" si="0"/>
        <v>1062</v>
      </c>
      <c r="F18">
        <f t="shared" si="1"/>
        <v>10.62</v>
      </c>
    </row>
    <row r="19" spans="1:6" x14ac:dyDescent="0.3">
      <c r="A19" t="str">
        <v>A</v>
      </c>
      <c r="B19" s="31" t="str">
        <v>US</v>
      </c>
      <c r="C19" s="31">
        <v>46272</v>
      </c>
      <c r="D19">
        <v>2391</v>
      </c>
      <c r="E19">
        <f t="shared" si="0"/>
        <v>598</v>
      </c>
      <c r="F19">
        <f t="shared" si="1"/>
        <v>5.98</v>
      </c>
    </row>
    <row r="20" spans="1:6" x14ac:dyDescent="0.3">
      <c r="A20" t="str">
        <v>A</v>
      </c>
      <c r="B20" s="31" t="str">
        <v>US</v>
      </c>
      <c r="C20" s="31">
        <v>46279</v>
      </c>
      <c r="D20">
        <v>2392</v>
      </c>
      <c r="E20">
        <f t="shared" si="0"/>
        <v>598</v>
      </c>
      <c r="F20">
        <f t="shared" si="1"/>
        <v>5.98</v>
      </c>
    </row>
    <row r="21" spans="1:6" x14ac:dyDescent="0.3">
      <c r="A21" t="str">
        <v>A</v>
      </c>
      <c r="B21" s="31" t="str">
        <v>US</v>
      </c>
      <c r="C21" s="31">
        <v>46286</v>
      </c>
      <c r="D21">
        <v>2391</v>
      </c>
      <c r="E21">
        <f t="shared" si="0"/>
        <v>598</v>
      </c>
      <c r="F21">
        <f t="shared" si="1"/>
        <v>5.98</v>
      </c>
    </row>
    <row r="22" spans="1:6" x14ac:dyDescent="0.3">
      <c r="A22" t="str">
        <v>A</v>
      </c>
      <c r="B22" s="31" t="str">
        <v>US</v>
      </c>
      <c r="C22" s="31">
        <v>46293</v>
      </c>
      <c r="D22">
        <v>2392</v>
      </c>
      <c r="E22">
        <f t="shared" si="0"/>
        <v>598</v>
      </c>
      <c r="F22">
        <f t="shared" si="1"/>
        <v>5.98</v>
      </c>
    </row>
    <row r="23" spans="1:6" x14ac:dyDescent="0.3">
      <c r="A23" t="str">
        <v>A</v>
      </c>
      <c r="B23" s="31" t="str">
        <v>US</v>
      </c>
      <c r="C23" s="31">
        <v>46300</v>
      </c>
      <c r="D23">
        <v>16017</v>
      </c>
      <c r="E23">
        <f t="shared" si="0"/>
        <v>4005</v>
      </c>
      <c r="F23">
        <f t="shared" si="1"/>
        <v>40.049999999999997</v>
      </c>
    </row>
    <row r="24" spans="1:6" x14ac:dyDescent="0.3">
      <c r="A24" t="str">
        <v>A</v>
      </c>
      <c r="B24" s="31" t="str">
        <v>US</v>
      </c>
      <c r="C24" s="31">
        <v>46307</v>
      </c>
      <c r="D24">
        <v>16017</v>
      </c>
      <c r="E24">
        <f t="shared" si="0"/>
        <v>4005</v>
      </c>
      <c r="F24">
        <f t="shared" si="1"/>
        <v>40.049999999999997</v>
      </c>
    </row>
    <row r="25" spans="1:6" x14ac:dyDescent="0.3">
      <c r="A25" t="str">
        <v>A</v>
      </c>
      <c r="B25" s="31" t="str">
        <v>US</v>
      </c>
      <c r="C25" s="31">
        <v>46314</v>
      </c>
      <c r="D25">
        <v>16016</v>
      </c>
      <c r="E25">
        <f t="shared" si="0"/>
        <v>4004</v>
      </c>
      <c r="F25">
        <f t="shared" si="1"/>
        <v>40.04</v>
      </c>
    </row>
    <row r="26" spans="1:6" x14ac:dyDescent="0.3">
      <c r="A26" t="str">
        <v>A</v>
      </c>
      <c r="B26" s="31" t="str">
        <v>US</v>
      </c>
      <c r="C26" s="31">
        <v>46321</v>
      </c>
      <c r="D26">
        <v>16017</v>
      </c>
      <c r="E26">
        <f t="shared" si="0"/>
        <v>4005</v>
      </c>
      <c r="F26">
        <f t="shared" si="1"/>
        <v>40.049999999999997</v>
      </c>
    </row>
    <row r="27" spans="1:6" x14ac:dyDescent="0.3">
      <c r="A27" t="str">
        <v>A</v>
      </c>
      <c r="B27" s="31" t="str">
        <v>US</v>
      </c>
      <c r="C27" s="31">
        <v>46328</v>
      </c>
      <c r="D27">
        <v>4281</v>
      </c>
      <c r="E27">
        <f t="shared" si="0"/>
        <v>1071</v>
      </c>
      <c r="F27">
        <f t="shared" si="1"/>
        <v>10.71</v>
      </c>
    </row>
    <row r="28" spans="1:6" x14ac:dyDescent="0.3">
      <c r="A28" t="str">
        <v>A</v>
      </c>
      <c r="B28" s="31" t="str">
        <v>US</v>
      </c>
      <c r="C28" s="31">
        <v>46335</v>
      </c>
      <c r="D28">
        <v>4282</v>
      </c>
      <c r="E28">
        <f t="shared" si="0"/>
        <v>1071</v>
      </c>
      <c r="F28">
        <f t="shared" si="1"/>
        <v>10.71</v>
      </c>
    </row>
    <row r="29" spans="1:6" x14ac:dyDescent="0.3">
      <c r="A29" t="str">
        <v>A</v>
      </c>
      <c r="B29" s="31" t="str">
        <v>US</v>
      </c>
      <c r="C29" s="31">
        <v>46342</v>
      </c>
      <c r="D29">
        <v>4281</v>
      </c>
      <c r="E29">
        <f t="shared" si="0"/>
        <v>1071</v>
      </c>
      <c r="F29">
        <f t="shared" si="1"/>
        <v>10.71</v>
      </c>
    </row>
    <row r="30" spans="1:6" x14ac:dyDescent="0.3">
      <c r="A30" t="str">
        <v>A</v>
      </c>
      <c r="B30" s="31" t="str">
        <v>US</v>
      </c>
      <c r="C30" s="31">
        <v>46349</v>
      </c>
      <c r="D30">
        <v>4282</v>
      </c>
      <c r="E30">
        <f t="shared" si="0"/>
        <v>1071</v>
      </c>
      <c r="F30">
        <f t="shared" si="1"/>
        <v>10.71</v>
      </c>
    </row>
    <row r="31" spans="1:6" x14ac:dyDescent="0.3">
      <c r="A31" t="str">
        <v>A</v>
      </c>
      <c r="B31" s="31" t="str">
        <v>US</v>
      </c>
      <c r="C31" s="31">
        <v>46356</v>
      </c>
      <c r="D31">
        <v>4281</v>
      </c>
      <c r="E31">
        <f t="shared" si="0"/>
        <v>1071</v>
      </c>
      <c r="F31">
        <f t="shared" si="1"/>
        <v>10.71</v>
      </c>
    </row>
    <row r="32" spans="1:6" x14ac:dyDescent="0.3">
      <c r="A32" t="str">
        <v>A</v>
      </c>
      <c r="B32" s="31" t="str">
        <v>US</v>
      </c>
      <c r="C32" s="31">
        <v>46363</v>
      </c>
      <c r="D32">
        <v>8326</v>
      </c>
      <c r="E32">
        <f t="shared" si="0"/>
        <v>2082</v>
      </c>
      <c r="F32">
        <f t="shared" si="1"/>
        <v>20.82</v>
      </c>
    </row>
    <row r="33" spans="1:6" x14ac:dyDescent="0.3">
      <c r="A33" t="str">
        <v>A</v>
      </c>
      <c r="B33" s="31" t="str">
        <v>US</v>
      </c>
      <c r="C33" s="31">
        <v>46370</v>
      </c>
      <c r="D33">
        <v>8325</v>
      </c>
      <c r="E33">
        <f t="shared" si="0"/>
        <v>2082</v>
      </c>
      <c r="F33">
        <f t="shared" si="1"/>
        <v>20.82</v>
      </c>
    </row>
    <row r="34" spans="1:6" x14ac:dyDescent="0.3">
      <c r="A34" t="str">
        <v>B</v>
      </c>
      <c r="B34" s="31" t="str">
        <v>US</v>
      </c>
      <c r="C34" s="31">
        <v>46146</v>
      </c>
      <c r="D34">
        <v>5502</v>
      </c>
      <c r="E34">
        <f t="shared" ref="E34:E65" si="2">ROUNDUP(D34/_xlfn.XLOOKUP(A34,$J$3:$J$8,$L$3:$L$8),0)</f>
        <v>1376</v>
      </c>
      <c r="F34">
        <f t="shared" ref="F34:F65" si="3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46153</v>
      </c>
      <c r="D35">
        <v>15658</v>
      </c>
      <c r="E35">
        <f t="shared" si="2"/>
        <v>3915</v>
      </c>
      <c r="F35">
        <f t="shared" si="3"/>
        <v>24.46875</v>
      </c>
    </row>
    <row r="36" spans="1:6" x14ac:dyDescent="0.3">
      <c r="A36" t="str">
        <v>B</v>
      </c>
      <c r="B36" s="31" t="str">
        <v>US</v>
      </c>
      <c r="C36" s="31">
        <v>46160</v>
      </c>
      <c r="D36">
        <v>8865</v>
      </c>
      <c r="E36">
        <f t="shared" si="2"/>
        <v>2217</v>
      </c>
      <c r="F36">
        <f t="shared" si="3"/>
        <v>13.856250000000001</v>
      </c>
    </row>
    <row r="37" spans="1:6" x14ac:dyDescent="0.3">
      <c r="A37" t="str">
        <v>B</v>
      </c>
      <c r="B37" s="31" t="str">
        <v>US</v>
      </c>
      <c r="C37" s="31">
        <v>46167</v>
      </c>
      <c r="D37">
        <v>2146</v>
      </c>
      <c r="E37">
        <f t="shared" si="2"/>
        <v>537</v>
      </c>
      <c r="F37">
        <f t="shared" si="3"/>
        <v>3.3562500000000002</v>
      </c>
    </row>
    <row r="38" spans="1:6" x14ac:dyDescent="0.3">
      <c r="A38" t="str">
        <v>B</v>
      </c>
      <c r="B38" s="31" t="str">
        <v>US</v>
      </c>
      <c r="C38" s="31">
        <v>46174</v>
      </c>
      <c r="D38">
        <v>7123</v>
      </c>
      <c r="E38">
        <f t="shared" si="2"/>
        <v>1781</v>
      </c>
      <c r="F38">
        <f t="shared" si="3"/>
        <v>11.13125</v>
      </c>
    </row>
    <row r="39" spans="1:6" x14ac:dyDescent="0.3">
      <c r="A39" t="str">
        <v>B</v>
      </c>
      <c r="B39" s="31" t="str">
        <v>US</v>
      </c>
      <c r="C39" s="31">
        <v>46181</v>
      </c>
      <c r="D39">
        <v>5309</v>
      </c>
      <c r="E39">
        <f t="shared" si="2"/>
        <v>1328</v>
      </c>
      <c r="F39">
        <f t="shared" si="3"/>
        <v>8.2999999999999989</v>
      </c>
    </row>
    <row r="40" spans="1:6" x14ac:dyDescent="0.3">
      <c r="A40" t="str">
        <v>B</v>
      </c>
      <c r="B40" s="31" t="str">
        <v>US</v>
      </c>
      <c r="C40" s="31">
        <v>46188</v>
      </c>
      <c r="D40">
        <v>5309</v>
      </c>
      <c r="E40">
        <f t="shared" si="2"/>
        <v>1328</v>
      </c>
      <c r="F40">
        <f t="shared" si="3"/>
        <v>8.2999999999999989</v>
      </c>
    </row>
    <row r="41" spans="1:6" x14ac:dyDescent="0.3">
      <c r="A41" t="str">
        <v>B</v>
      </c>
      <c r="B41" s="31" t="str">
        <v>US</v>
      </c>
      <c r="C41" s="31">
        <v>46195</v>
      </c>
      <c r="D41">
        <v>3000</v>
      </c>
      <c r="E41">
        <f t="shared" si="2"/>
        <v>750</v>
      </c>
      <c r="F41">
        <f t="shared" si="3"/>
        <v>4.6875</v>
      </c>
    </row>
    <row r="42" spans="1:6" x14ac:dyDescent="0.3">
      <c r="A42" t="str">
        <v>B</v>
      </c>
      <c r="B42" s="31" t="str">
        <v>US</v>
      </c>
      <c r="C42" s="31">
        <v>46202</v>
      </c>
      <c r="D42">
        <v>3000</v>
      </c>
      <c r="E42">
        <f t="shared" si="2"/>
        <v>750</v>
      </c>
      <c r="F42">
        <f t="shared" si="3"/>
        <v>4.6875</v>
      </c>
    </row>
    <row r="43" spans="1:6" x14ac:dyDescent="0.3">
      <c r="A43" t="str">
        <v>B</v>
      </c>
      <c r="B43" s="31" t="str">
        <v>US</v>
      </c>
      <c r="C43" s="31">
        <v>46209</v>
      </c>
      <c r="D43">
        <v>3000</v>
      </c>
      <c r="E43">
        <f t="shared" si="2"/>
        <v>750</v>
      </c>
      <c r="F43">
        <f t="shared" si="3"/>
        <v>4.6875</v>
      </c>
    </row>
    <row r="44" spans="1:6" x14ac:dyDescent="0.3">
      <c r="A44" t="str">
        <v>B</v>
      </c>
      <c r="B44" s="31" t="str">
        <v>US</v>
      </c>
      <c r="C44" s="31">
        <v>46216</v>
      </c>
      <c r="D44">
        <v>3000</v>
      </c>
      <c r="E44">
        <f t="shared" si="2"/>
        <v>750</v>
      </c>
      <c r="F44">
        <f t="shared" si="3"/>
        <v>4.6875</v>
      </c>
    </row>
    <row r="45" spans="1:6" x14ac:dyDescent="0.3">
      <c r="A45" t="str">
        <v>B</v>
      </c>
      <c r="B45" s="31" t="str">
        <v>US</v>
      </c>
      <c r="C45" s="31">
        <v>46223</v>
      </c>
      <c r="D45">
        <v>2400</v>
      </c>
      <c r="E45">
        <f t="shared" si="2"/>
        <v>600</v>
      </c>
      <c r="F45">
        <f t="shared" si="3"/>
        <v>3.75</v>
      </c>
    </row>
    <row r="46" spans="1:6" x14ac:dyDescent="0.3">
      <c r="A46" t="str">
        <v>B</v>
      </c>
      <c r="B46" s="31" t="str">
        <v>US</v>
      </c>
      <c r="C46" s="31">
        <v>46230</v>
      </c>
      <c r="D46">
        <v>2400</v>
      </c>
      <c r="E46">
        <f t="shared" si="2"/>
        <v>600</v>
      </c>
      <c r="F46">
        <f t="shared" si="3"/>
        <v>3.75</v>
      </c>
    </row>
    <row r="47" spans="1:6" x14ac:dyDescent="0.3">
      <c r="A47" t="str">
        <v>B</v>
      </c>
      <c r="B47" s="31" t="str">
        <v>US</v>
      </c>
      <c r="C47" s="31">
        <v>46244</v>
      </c>
      <c r="D47">
        <v>2400</v>
      </c>
      <c r="E47">
        <f t="shared" si="2"/>
        <v>600</v>
      </c>
      <c r="F47">
        <f t="shared" si="3"/>
        <v>3.75</v>
      </c>
    </row>
    <row r="48" spans="1:6" x14ac:dyDescent="0.3">
      <c r="A48" t="str">
        <v>B</v>
      </c>
      <c r="B48" s="31" t="str">
        <v>US</v>
      </c>
      <c r="C48" s="31">
        <v>46251</v>
      </c>
      <c r="D48">
        <v>2400</v>
      </c>
      <c r="E48">
        <f t="shared" si="2"/>
        <v>600</v>
      </c>
      <c r="F48">
        <f t="shared" si="3"/>
        <v>3.75</v>
      </c>
    </row>
    <row r="49" spans="1:6" x14ac:dyDescent="0.3">
      <c r="A49" t="str">
        <v>B</v>
      </c>
      <c r="B49" s="31" t="str">
        <v>US</v>
      </c>
      <c r="C49" s="31">
        <v>46258</v>
      </c>
      <c r="D49">
        <v>3750</v>
      </c>
      <c r="E49">
        <f t="shared" si="2"/>
        <v>938</v>
      </c>
      <c r="F49">
        <f t="shared" si="3"/>
        <v>5.8625000000000007</v>
      </c>
    </row>
    <row r="50" spans="1:6" x14ac:dyDescent="0.3">
      <c r="A50" t="str">
        <v>B</v>
      </c>
      <c r="B50" s="31" t="str">
        <v>US</v>
      </c>
      <c r="C50" s="31">
        <v>46265</v>
      </c>
      <c r="D50">
        <v>3750</v>
      </c>
      <c r="E50">
        <f t="shared" si="2"/>
        <v>938</v>
      </c>
      <c r="F50">
        <f t="shared" si="3"/>
        <v>5.8625000000000007</v>
      </c>
    </row>
    <row r="51" spans="1:6" x14ac:dyDescent="0.3">
      <c r="A51" t="str">
        <v>B</v>
      </c>
      <c r="B51" s="31" t="str">
        <v>US</v>
      </c>
      <c r="C51" s="31">
        <v>46272</v>
      </c>
      <c r="D51">
        <v>3750</v>
      </c>
      <c r="E51">
        <f t="shared" si="2"/>
        <v>938</v>
      </c>
      <c r="F51">
        <f t="shared" si="3"/>
        <v>5.8625000000000007</v>
      </c>
    </row>
    <row r="52" spans="1:6" x14ac:dyDescent="0.3">
      <c r="A52" t="str">
        <v>B</v>
      </c>
      <c r="B52" s="31" t="str">
        <v>US</v>
      </c>
      <c r="C52" s="31">
        <v>46279</v>
      </c>
      <c r="D52">
        <v>3750</v>
      </c>
      <c r="E52">
        <f t="shared" si="2"/>
        <v>938</v>
      </c>
      <c r="F52">
        <f t="shared" si="3"/>
        <v>5.8625000000000007</v>
      </c>
    </row>
    <row r="53" spans="1:6" x14ac:dyDescent="0.3">
      <c r="A53" t="str">
        <v>B</v>
      </c>
      <c r="B53" s="31" t="str">
        <v>US</v>
      </c>
      <c r="C53" s="31">
        <v>46286</v>
      </c>
      <c r="D53">
        <v>3000</v>
      </c>
      <c r="E53">
        <f t="shared" si="2"/>
        <v>750</v>
      </c>
      <c r="F53">
        <f t="shared" si="3"/>
        <v>4.6875</v>
      </c>
    </row>
    <row r="54" spans="1:6" x14ac:dyDescent="0.3">
      <c r="A54" t="str">
        <v>B</v>
      </c>
      <c r="B54" s="31" t="str">
        <v>US</v>
      </c>
      <c r="C54" s="31">
        <v>46293</v>
      </c>
      <c r="D54">
        <v>3000</v>
      </c>
      <c r="E54">
        <f t="shared" si="2"/>
        <v>750</v>
      </c>
      <c r="F54">
        <f t="shared" si="3"/>
        <v>4.6875</v>
      </c>
    </row>
    <row r="55" spans="1:6" x14ac:dyDescent="0.3">
      <c r="A55" t="str">
        <v>B</v>
      </c>
      <c r="B55" s="31" t="str">
        <v>US</v>
      </c>
      <c r="C55" s="31">
        <v>46300</v>
      </c>
      <c r="D55">
        <v>3000</v>
      </c>
      <c r="E55">
        <f t="shared" si="2"/>
        <v>750</v>
      </c>
      <c r="F55">
        <f t="shared" si="3"/>
        <v>4.6875</v>
      </c>
    </row>
    <row r="56" spans="1:6" x14ac:dyDescent="0.3">
      <c r="A56" t="str">
        <v>B</v>
      </c>
      <c r="B56" s="31" t="str">
        <v>US</v>
      </c>
      <c r="C56" s="31">
        <v>46307</v>
      </c>
      <c r="D56">
        <v>3000</v>
      </c>
      <c r="E56">
        <f t="shared" si="2"/>
        <v>750</v>
      </c>
      <c r="F56">
        <f t="shared" si="3"/>
        <v>4.6875</v>
      </c>
    </row>
    <row r="57" spans="1:6" x14ac:dyDescent="0.3">
      <c r="A57" t="str">
        <v>B</v>
      </c>
      <c r="B57" s="31" t="str">
        <v>US</v>
      </c>
      <c r="C57" s="31">
        <v>46314</v>
      </c>
      <c r="D57">
        <v>3000</v>
      </c>
      <c r="E57">
        <f t="shared" si="2"/>
        <v>750</v>
      </c>
      <c r="F57">
        <f t="shared" si="3"/>
        <v>4.6875</v>
      </c>
    </row>
    <row r="58" spans="1:6" x14ac:dyDescent="0.3">
      <c r="A58" t="str">
        <v>B</v>
      </c>
      <c r="B58" s="31" t="str">
        <v>US</v>
      </c>
      <c r="C58" s="31">
        <v>46321</v>
      </c>
      <c r="D58">
        <v>6250</v>
      </c>
      <c r="E58">
        <f t="shared" si="2"/>
        <v>1563</v>
      </c>
      <c r="F58">
        <f t="shared" si="3"/>
        <v>9.7687500000000007</v>
      </c>
    </row>
    <row r="59" spans="1:6" x14ac:dyDescent="0.3">
      <c r="A59" t="str">
        <v>B</v>
      </c>
      <c r="B59" s="31" t="str">
        <v>US</v>
      </c>
      <c r="C59" s="31">
        <v>46328</v>
      </c>
      <c r="D59">
        <v>6250</v>
      </c>
      <c r="E59">
        <f t="shared" si="2"/>
        <v>1563</v>
      </c>
      <c r="F59">
        <f t="shared" si="3"/>
        <v>9.7687500000000007</v>
      </c>
    </row>
    <row r="60" spans="1:6" x14ac:dyDescent="0.3">
      <c r="A60" t="str">
        <v>B</v>
      </c>
      <c r="B60" s="31" t="str">
        <v>US</v>
      </c>
      <c r="C60" s="31">
        <v>46335</v>
      </c>
      <c r="D60">
        <v>6250</v>
      </c>
      <c r="E60">
        <f t="shared" si="2"/>
        <v>1563</v>
      </c>
      <c r="F60">
        <f t="shared" si="3"/>
        <v>9.7687500000000007</v>
      </c>
    </row>
    <row r="61" spans="1:6" x14ac:dyDescent="0.3">
      <c r="A61" t="str">
        <v>B</v>
      </c>
      <c r="B61" s="31" t="str">
        <v>US</v>
      </c>
      <c r="C61" s="31">
        <v>46342</v>
      </c>
      <c r="D61">
        <v>6250</v>
      </c>
      <c r="E61">
        <f t="shared" si="2"/>
        <v>1563</v>
      </c>
      <c r="F61">
        <f t="shared" si="3"/>
        <v>9.7687500000000007</v>
      </c>
    </row>
    <row r="62" spans="1:6" x14ac:dyDescent="0.3">
      <c r="A62" t="str">
        <v>B</v>
      </c>
      <c r="B62" s="31" t="str">
        <v>US</v>
      </c>
      <c r="C62" s="31">
        <v>46349</v>
      </c>
      <c r="D62">
        <v>6250</v>
      </c>
      <c r="E62">
        <f t="shared" si="2"/>
        <v>1563</v>
      </c>
      <c r="F62">
        <f t="shared" si="3"/>
        <v>9.7687500000000007</v>
      </c>
    </row>
    <row r="63" spans="1:6" x14ac:dyDescent="0.3">
      <c r="A63" t="str">
        <v>B</v>
      </c>
      <c r="B63" s="31" t="str">
        <v>US</v>
      </c>
      <c r="C63" s="31">
        <v>46356</v>
      </c>
      <c r="D63">
        <v>6250</v>
      </c>
      <c r="E63">
        <f t="shared" si="2"/>
        <v>1563</v>
      </c>
      <c r="F63">
        <f t="shared" si="3"/>
        <v>9.7687500000000007</v>
      </c>
    </row>
    <row r="64" spans="1:6" x14ac:dyDescent="0.3">
      <c r="A64" t="str">
        <v>B</v>
      </c>
      <c r="B64" s="31" t="str">
        <v>US</v>
      </c>
      <c r="C64" s="31">
        <v>46363</v>
      </c>
      <c r="D64">
        <v>6250</v>
      </c>
      <c r="E64">
        <f t="shared" si="2"/>
        <v>1563</v>
      </c>
      <c r="F64">
        <f t="shared" si="3"/>
        <v>9.7687500000000007</v>
      </c>
    </row>
    <row r="65" spans="1:6" x14ac:dyDescent="0.3">
      <c r="A65" t="str">
        <v>B</v>
      </c>
      <c r="B65" s="31" t="str">
        <v>US</v>
      </c>
      <c r="C65" s="31">
        <v>46370</v>
      </c>
      <c r="D65">
        <v>6250</v>
      </c>
      <c r="E65">
        <f t="shared" si="2"/>
        <v>1563</v>
      </c>
      <c r="F65">
        <f t="shared" si="3"/>
        <v>9.7687500000000007</v>
      </c>
    </row>
    <row r="66" spans="1:6" x14ac:dyDescent="0.3">
      <c r="A66" t="str">
        <v>C</v>
      </c>
      <c r="B66" s="31" t="str">
        <v>UK</v>
      </c>
      <c r="C66" s="31">
        <v>46146</v>
      </c>
      <c r="D66">
        <v>4320</v>
      </c>
      <c r="E66">
        <f t="shared" ref="E66:E97" si="4">ROUNDUP(D66/_xlfn.XLOOKUP(A66,$J$3:$J$8,$L$3:$L$8),0)</f>
        <v>2160</v>
      </c>
      <c r="F66">
        <f t="shared" ref="F66:F97" si="5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46153</v>
      </c>
      <c r="D67">
        <v>8370</v>
      </c>
      <c r="E67">
        <f t="shared" si="4"/>
        <v>4185</v>
      </c>
      <c r="F67">
        <f t="shared" si="5"/>
        <v>41.85</v>
      </c>
    </row>
    <row r="68" spans="1:6" x14ac:dyDescent="0.3">
      <c r="A68" t="str">
        <v>C</v>
      </c>
      <c r="B68" s="31" t="str">
        <v>UK</v>
      </c>
      <c r="C68" s="31">
        <v>46160</v>
      </c>
      <c r="D68">
        <v>11782</v>
      </c>
      <c r="E68">
        <f t="shared" si="4"/>
        <v>5891</v>
      </c>
      <c r="F68">
        <f t="shared" si="5"/>
        <v>58.91</v>
      </c>
    </row>
    <row r="69" spans="1:6" x14ac:dyDescent="0.3">
      <c r="A69" t="str">
        <v>C</v>
      </c>
      <c r="B69" s="31" t="str">
        <v>UK</v>
      </c>
      <c r="C69" s="31">
        <v>46167</v>
      </c>
      <c r="D69">
        <v>10524</v>
      </c>
      <c r="E69">
        <f t="shared" si="4"/>
        <v>5262</v>
      </c>
      <c r="F69">
        <f t="shared" si="5"/>
        <v>52.62</v>
      </c>
    </row>
    <row r="70" spans="1:6" x14ac:dyDescent="0.3">
      <c r="A70" t="str">
        <v>C</v>
      </c>
      <c r="B70" s="31" t="str">
        <v>UK</v>
      </c>
      <c r="C70" s="31">
        <v>46174</v>
      </c>
      <c r="D70">
        <v>3240</v>
      </c>
      <c r="E70">
        <f t="shared" si="4"/>
        <v>1620</v>
      </c>
      <c r="F70">
        <f t="shared" si="5"/>
        <v>16.2</v>
      </c>
    </row>
    <row r="71" spans="1:6" x14ac:dyDescent="0.3">
      <c r="A71" t="str">
        <v>C</v>
      </c>
      <c r="B71" s="31" t="str">
        <v>UK</v>
      </c>
      <c r="C71" s="31">
        <v>46181</v>
      </c>
      <c r="D71">
        <v>6442</v>
      </c>
      <c r="E71">
        <f t="shared" si="4"/>
        <v>3221</v>
      </c>
      <c r="F71">
        <f t="shared" si="5"/>
        <v>32.21</v>
      </c>
    </row>
    <row r="72" spans="1:6" x14ac:dyDescent="0.3">
      <c r="A72" t="str">
        <v>C</v>
      </c>
      <c r="B72" s="31" t="str">
        <v>UK</v>
      </c>
      <c r="C72" s="31">
        <v>46188</v>
      </c>
      <c r="D72">
        <v>8802</v>
      </c>
      <c r="E72">
        <f t="shared" si="4"/>
        <v>4401</v>
      </c>
      <c r="F72">
        <f t="shared" si="5"/>
        <v>44.01</v>
      </c>
    </row>
    <row r="73" spans="1:6" x14ac:dyDescent="0.3">
      <c r="A73" t="str">
        <v>C</v>
      </c>
      <c r="B73" s="31" t="str">
        <v>UK</v>
      </c>
      <c r="C73" s="31">
        <v>46195</v>
      </c>
      <c r="D73">
        <v>7695</v>
      </c>
      <c r="E73">
        <f t="shared" si="4"/>
        <v>3848</v>
      </c>
      <c r="F73">
        <f t="shared" si="5"/>
        <v>38.479999999999997</v>
      </c>
    </row>
    <row r="74" spans="1:6" x14ac:dyDescent="0.3">
      <c r="A74" t="str">
        <v>C</v>
      </c>
      <c r="B74" s="31" t="str">
        <v>UK</v>
      </c>
      <c r="C74" s="31">
        <v>46202</v>
      </c>
      <c r="D74">
        <v>2500</v>
      </c>
      <c r="E74">
        <f t="shared" si="4"/>
        <v>1250</v>
      </c>
      <c r="F74">
        <f t="shared" si="5"/>
        <v>12.5</v>
      </c>
    </row>
    <row r="75" spans="1:6" x14ac:dyDescent="0.3">
      <c r="A75" t="str">
        <v>C</v>
      </c>
      <c r="B75" s="31" t="str">
        <v>UK</v>
      </c>
      <c r="C75" s="31">
        <v>46209</v>
      </c>
      <c r="D75">
        <v>2500</v>
      </c>
      <c r="E75">
        <f t="shared" si="4"/>
        <v>1250</v>
      </c>
      <c r="F75">
        <f t="shared" si="5"/>
        <v>12.5</v>
      </c>
    </row>
    <row r="76" spans="1:6" x14ac:dyDescent="0.3">
      <c r="A76" t="str">
        <v>C</v>
      </c>
      <c r="B76" s="31" t="str">
        <v>UK</v>
      </c>
      <c r="C76" s="31">
        <v>46216</v>
      </c>
      <c r="D76">
        <v>2500</v>
      </c>
      <c r="E76">
        <f t="shared" si="4"/>
        <v>1250</v>
      </c>
      <c r="F76">
        <f t="shared" si="5"/>
        <v>12.5</v>
      </c>
    </row>
    <row r="77" spans="1:6" x14ac:dyDescent="0.3">
      <c r="A77" t="str">
        <v>C</v>
      </c>
      <c r="B77" s="31" t="str">
        <v>UK</v>
      </c>
      <c r="C77" s="31">
        <v>46223</v>
      </c>
      <c r="D77">
        <v>1000</v>
      </c>
      <c r="E77">
        <f t="shared" si="4"/>
        <v>500</v>
      </c>
      <c r="F77">
        <f t="shared" si="5"/>
        <v>5</v>
      </c>
    </row>
    <row r="78" spans="1:6" x14ac:dyDescent="0.3">
      <c r="A78" t="str">
        <v>C</v>
      </c>
      <c r="B78" s="31" t="str">
        <v>UK</v>
      </c>
      <c r="C78" s="31">
        <v>46230</v>
      </c>
      <c r="D78">
        <v>1000</v>
      </c>
      <c r="E78">
        <f t="shared" si="4"/>
        <v>500</v>
      </c>
      <c r="F78">
        <f t="shared" si="5"/>
        <v>5</v>
      </c>
    </row>
    <row r="79" spans="1:6" x14ac:dyDescent="0.3">
      <c r="A79" t="str">
        <v>C</v>
      </c>
      <c r="B79" s="31" t="str">
        <v>UK</v>
      </c>
      <c r="C79" s="31">
        <v>46237</v>
      </c>
      <c r="D79">
        <v>1000</v>
      </c>
      <c r="E79">
        <f t="shared" si="4"/>
        <v>500</v>
      </c>
      <c r="F79">
        <f t="shared" si="5"/>
        <v>5</v>
      </c>
    </row>
    <row r="80" spans="1:6" x14ac:dyDescent="0.3">
      <c r="A80" t="str">
        <v>C</v>
      </c>
      <c r="B80" s="31" t="str">
        <v>UK</v>
      </c>
      <c r="C80" s="31">
        <v>46244</v>
      </c>
      <c r="D80">
        <v>1000</v>
      </c>
      <c r="E80">
        <f t="shared" si="4"/>
        <v>500</v>
      </c>
      <c r="F80">
        <f t="shared" si="5"/>
        <v>5</v>
      </c>
    </row>
    <row r="81" spans="1:6" x14ac:dyDescent="0.3">
      <c r="A81" t="str">
        <v>C</v>
      </c>
      <c r="B81" s="31" t="str">
        <v>UK</v>
      </c>
      <c r="C81" s="31">
        <v>46251</v>
      </c>
      <c r="D81">
        <v>1000</v>
      </c>
      <c r="E81">
        <f t="shared" si="4"/>
        <v>500</v>
      </c>
      <c r="F81">
        <f t="shared" si="5"/>
        <v>5</v>
      </c>
    </row>
    <row r="82" spans="1:6" x14ac:dyDescent="0.3">
      <c r="A82" t="str">
        <v>C</v>
      </c>
      <c r="B82" s="31" t="str">
        <v>UK</v>
      </c>
      <c r="C82" s="31">
        <v>46258</v>
      </c>
      <c r="D82">
        <v>750</v>
      </c>
      <c r="E82">
        <f t="shared" si="4"/>
        <v>375</v>
      </c>
      <c r="F82">
        <f t="shared" si="5"/>
        <v>3.75</v>
      </c>
    </row>
    <row r="83" spans="1:6" x14ac:dyDescent="0.3">
      <c r="A83" t="str">
        <v>C</v>
      </c>
      <c r="B83" s="31" t="str">
        <v>UK</v>
      </c>
      <c r="C83" s="31">
        <v>46265</v>
      </c>
      <c r="D83">
        <v>750</v>
      </c>
      <c r="E83">
        <f t="shared" si="4"/>
        <v>375</v>
      </c>
      <c r="F83">
        <f t="shared" si="5"/>
        <v>3.75</v>
      </c>
    </row>
    <row r="84" spans="1:6" x14ac:dyDescent="0.3">
      <c r="A84" t="str">
        <v>C</v>
      </c>
      <c r="B84" s="31" t="str">
        <v>UK</v>
      </c>
      <c r="C84" s="31">
        <v>46272</v>
      </c>
      <c r="D84">
        <v>750</v>
      </c>
      <c r="E84">
        <f t="shared" si="4"/>
        <v>375</v>
      </c>
      <c r="F84">
        <f t="shared" si="5"/>
        <v>3.75</v>
      </c>
    </row>
    <row r="85" spans="1:6" x14ac:dyDescent="0.3">
      <c r="A85" t="str">
        <v>C</v>
      </c>
      <c r="B85" s="31" t="str">
        <v>UK</v>
      </c>
      <c r="C85" s="31">
        <v>46279</v>
      </c>
      <c r="D85">
        <v>750</v>
      </c>
      <c r="E85">
        <f t="shared" si="4"/>
        <v>375</v>
      </c>
      <c r="F85">
        <f t="shared" si="5"/>
        <v>3.75</v>
      </c>
    </row>
    <row r="86" spans="1:6" x14ac:dyDescent="0.3">
      <c r="A86" t="str">
        <v>C</v>
      </c>
      <c r="B86" s="31" t="str">
        <v>UK</v>
      </c>
      <c r="C86" s="31">
        <v>46286</v>
      </c>
      <c r="D86">
        <v>600</v>
      </c>
      <c r="E86">
        <f t="shared" si="4"/>
        <v>300</v>
      </c>
      <c r="F86">
        <f t="shared" si="5"/>
        <v>3</v>
      </c>
    </row>
    <row r="87" spans="1:6" x14ac:dyDescent="0.3">
      <c r="A87" t="str">
        <v>C</v>
      </c>
      <c r="B87" s="31" t="str">
        <v>UK</v>
      </c>
      <c r="C87" s="31">
        <v>46293</v>
      </c>
      <c r="D87">
        <v>600</v>
      </c>
      <c r="E87">
        <f t="shared" si="4"/>
        <v>300</v>
      </c>
      <c r="F87">
        <f t="shared" si="5"/>
        <v>3</v>
      </c>
    </row>
    <row r="88" spans="1:6" x14ac:dyDescent="0.3">
      <c r="A88" t="str">
        <v>C</v>
      </c>
      <c r="B88" s="31" t="str">
        <v>UK</v>
      </c>
      <c r="C88" s="31">
        <v>46300</v>
      </c>
      <c r="D88">
        <v>600</v>
      </c>
      <c r="E88">
        <f t="shared" si="4"/>
        <v>300</v>
      </c>
      <c r="F88">
        <f t="shared" si="5"/>
        <v>3</v>
      </c>
    </row>
    <row r="89" spans="1:6" x14ac:dyDescent="0.3">
      <c r="A89" t="str">
        <v>C</v>
      </c>
      <c r="B89" s="31" t="str">
        <v>UK</v>
      </c>
      <c r="C89" s="31">
        <v>46307</v>
      </c>
      <c r="D89">
        <v>600</v>
      </c>
      <c r="E89">
        <f t="shared" si="4"/>
        <v>300</v>
      </c>
      <c r="F89">
        <f t="shared" si="5"/>
        <v>3</v>
      </c>
    </row>
    <row r="90" spans="1:6" x14ac:dyDescent="0.3">
      <c r="A90" t="str">
        <v>C</v>
      </c>
      <c r="B90" s="31" t="str">
        <v>UK</v>
      </c>
      <c r="C90" s="31">
        <v>46314</v>
      </c>
      <c r="D90">
        <v>600</v>
      </c>
      <c r="E90">
        <f t="shared" si="4"/>
        <v>300</v>
      </c>
      <c r="F90">
        <f t="shared" si="5"/>
        <v>3</v>
      </c>
    </row>
    <row r="91" spans="1:6" x14ac:dyDescent="0.3">
      <c r="A91" t="str">
        <v>C</v>
      </c>
      <c r="B91" s="31" t="str">
        <v>UK</v>
      </c>
      <c r="C91" s="31">
        <v>46321</v>
      </c>
      <c r="D91">
        <v>500</v>
      </c>
      <c r="E91">
        <f t="shared" si="4"/>
        <v>250</v>
      </c>
      <c r="F91">
        <f t="shared" si="5"/>
        <v>2.5</v>
      </c>
    </row>
    <row r="92" spans="1:6" x14ac:dyDescent="0.3">
      <c r="A92" t="str">
        <v>C</v>
      </c>
      <c r="B92" s="31" t="str">
        <v>UK</v>
      </c>
      <c r="C92" s="31">
        <v>46328</v>
      </c>
      <c r="D92">
        <v>500</v>
      </c>
      <c r="E92">
        <f t="shared" si="4"/>
        <v>250</v>
      </c>
      <c r="F92">
        <f t="shared" si="5"/>
        <v>2.5</v>
      </c>
    </row>
    <row r="93" spans="1:6" x14ac:dyDescent="0.3">
      <c r="A93" t="str">
        <v>C</v>
      </c>
      <c r="B93" s="31" t="str">
        <v>UK</v>
      </c>
      <c r="C93" s="31">
        <v>46335</v>
      </c>
      <c r="D93">
        <v>500</v>
      </c>
      <c r="E93">
        <f t="shared" si="4"/>
        <v>250</v>
      </c>
      <c r="F93">
        <f t="shared" si="5"/>
        <v>2.5</v>
      </c>
    </row>
    <row r="94" spans="1:6" x14ac:dyDescent="0.3">
      <c r="A94" t="str">
        <v>C</v>
      </c>
      <c r="B94" s="31" t="str">
        <v>UK</v>
      </c>
      <c r="C94" s="31">
        <v>46342</v>
      </c>
      <c r="D94">
        <v>500</v>
      </c>
      <c r="E94">
        <f t="shared" si="4"/>
        <v>250</v>
      </c>
      <c r="F94">
        <f t="shared" si="5"/>
        <v>2.5</v>
      </c>
    </row>
    <row r="95" spans="1:6" x14ac:dyDescent="0.3">
      <c r="A95" t="str">
        <v>C</v>
      </c>
      <c r="B95" s="31" t="str">
        <v>UK</v>
      </c>
      <c r="C95" s="31">
        <v>46349</v>
      </c>
      <c r="D95">
        <v>3000</v>
      </c>
      <c r="E95">
        <f t="shared" si="4"/>
        <v>1500</v>
      </c>
      <c r="F95">
        <f t="shared" si="5"/>
        <v>15</v>
      </c>
    </row>
    <row r="96" spans="1:6" x14ac:dyDescent="0.3">
      <c r="A96" t="str">
        <v>C</v>
      </c>
      <c r="B96" s="31" t="str">
        <v>UK</v>
      </c>
      <c r="C96" s="31">
        <v>46356</v>
      </c>
      <c r="D96">
        <v>3000</v>
      </c>
      <c r="E96">
        <f t="shared" si="4"/>
        <v>1500</v>
      </c>
      <c r="F96">
        <f t="shared" si="5"/>
        <v>15</v>
      </c>
    </row>
    <row r="97" spans="1:6" x14ac:dyDescent="0.3">
      <c r="A97" t="str">
        <v>C</v>
      </c>
      <c r="B97" s="31" t="str">
        <v>UK</v>
      </c>
      <c r="C97" s="31">
        <v>46363</v>
      </c>
      <c r="D97">
        <v>3000</v>
      </c>
      <c r="E97">
        <f t="shared" si="4"/>
        <v>1500</v>
      </c>
      <c r="F97">
        <f t="shared" si="5"/>
        <v>15</v>
      </c>
    </row>
    <row r="98" spans="1:6" x14ac:dyDescent="0.3">
      <c r="A98" t="str">
        <v>C</v>
      </c>
      <c r="B98" s="31" t="str">
        <v>UK</v>
      </c>
      <c r="C98" s="31">
        <v>46370</v>
      </c>
      <c r="D98">
        <v>3000</v>
      </c>
      <c r="E98">
        <f t="shared" ref="E98:E129" si="6">ROUNDUP(D98/_xlfn.XLOOKUP(A98,$J$3:$J$8,$L$3:$L$8),0)</f>
        <v>1500</v>
      </c>
      <c r="F98">
        <f t="shared" ref="F98:F129" si="7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46146</v>
      </c>
      <c r="D99">
        <v>2430</v>
      </c>
      <c r="E99">
        <f t="shared" si="6"/>
        <v>608</v>
      </c>
      <c r="F99">
        <f t="shared" si="7"/>
        <v>3.8</v>
      </c>
    </row>
    <row r="100" spans="1:6" x14ac:dyDescent="0.3">
      <c r="A100" t="str">
        <v>D</v>
      </c>
      <c r="B100" s="31" t="str">
        <v>UK</v>
      </c>
      <c r="C100" s="31">
        <v>46153</v>
      </c>
      <c r="D100">
        <v>9990</v>
      </c>
      <c r="E100">
        <f t="shared" si="6"/>
        <v>2498</v>
      </c>
      <c r="F100">
        <f t="shared" si="7"/>
        <v>15.612500000000001</v>
      </c>
    </row>
    <row r="101" spans="1:6" x14ac:dyDescent="0.3">
      <c r="A101" t="str">
        <v>D</v>
      </c>
      <c r="B101" s="31" t="str">
        <v>UK</v>
      </c>
      <c r="C101" s="31">
        <v>46160</v>
      </c>
      <c r="D101">
        <v>5840</v>
      </c>
      <c r="E101">
        <f t="shared" si="6"/>
        <v>1460</v>
      </c>
      <c r="F101">
        <f t="shared" si="7"/>
        <v>9.125</v>
      </c>
    </row>
    <row r="102" spans="1:6" x14ac:dyDescent="0.3">
      <c r="A102" t="str">
        <v>D</v>
      </c>
      <c r="B102" s="31" t="str">
        <v>UK</v>
      </c>
      <c r="C102" s="31">
        <v>46167</v>
      </c>
      <c r="D102">
        <v>8100</v>
      </c>
      <c r="E102">
        <f t="shared" si="6"/>
        <v>2025</v>
      </c>
      <c r="F102">
        <f t="shared" si="7"/>
        <v>12.65625</v>
      </c>
    </row>
    <row r="103" spans="1:6" x14ac:dyDescent="0.3">
      <c r="A103" t="str">
        <v>D</v>
      </c>
      <c r="B103" s="31" t="str">
        <v>UK</v>
      </c>
      <c r="C103" s="31">
        <v>46174</v>
      </c>
      <c r="D103">
        <v>1001</v>
      </c>
      <c r="E103">
        <f t="shared" si="6"/>
        <v>251</v>
      </c>
      <c r="F103">
        <f t="shared" si="7"/>
        <v>1.5687499999999999</v>
      </c>
    </row>
    <row r="104" spans="1:6" x14ac:dyDescent="0.3">
      <c r="A104" t="str">
        <v>D</v>
      </c>
      <c r="B104" s="31" t="str">
        <v>UK</v>
      </c>
      <c r="C104" s="31">
        <v>46181</v>
      </c>
      <c r="D104">
        <v>2471</v>
      </c>
      <c r="E104">
        <f t="shared" si="6"/>
        <v>618</v>
      </c>
      <c r="F104">
        <f t="shared" si="7"/>
        <v>3.8624999999999998</v>
      </c>
    </row>
    <row r="105" spans="1:6" x14ac:dyDescent="0.3">
      <c r="A105" t="str">
        <v>D</v>
      </c>
      <c r="B105" s="31" t="str">
        <v>UK</v>
      </c>
      <c r="C105" s="31">
        <v>46188</v>
      </c>
      <c r="D105">
        <v>3458</v>
      </c>
      <c r="E105">
        <f t="shared" si="6"/>
        <v>865</v>
      </c>
      <c r="F105">
        <f t="shared" si="7"/>
        <v>5.40625</v>
      </c>
    </row>
    <row r="106" spans="1:6" x14ac:dyDescent="0.3">
      <c r="A106" t="str">
        <v>D</v>
      </c>
      <c r="B106" s="31" t="str">
        <v>UK</v>
      </c>
      <c r="C106" s="31">
        <v>46195</v>
      </c>
      <c r="D106">
        <v>500</v>
      </c>
      <c r="E106">
        <f t="shared" si="6"/>
        <v>125</v>
      </c>
      <c r="F106">
        <f t="shared" si="7"/>
        <v>0.78125</v>
      </c>
    </row>
    <row r="107" spans="1:6" x14ac:dyDescent="0.3">
      <c r="A107" t="str">
        <v>D</v>
      </c>
      <c r="B107" s="31" t="str">
        <v>UK</v>
      </c>
      <c r="C107" s="31">
        <v>46202</v>
      </c>
      <c r="D107">
        <v>500</v>
      </c>
      <c r="E107">
        <f t="shared" si="6"/>
        <v>125</v>
      </c>
      <c r="F107">
        <f t="shared" si="7"/>
        <v>0.78125</v>
      </c>
    </row>
    <row r="108" spans="1:6" x14ac:dyDescent="0.3">
      <c r="A108" t="str">
        <v>D</v>
      </c>
      <c r="B108" s="31" t="str">
        <v>UK</v>
      </c>
      <c r="C108" s="31">
        <v>46209</v>
      </c>
      <c r="D108">
        <v>500</v>
      </c>
      <c r="E108">
        <f t="shared" si="6"/>
        <v>125</v>
      </c>
      <c r="F108">
        <f t="shared" si="7"/>
        <v>0.78125</v>
      </c>
    </row>
    <row r="109" spans="1:6" x14ac:dyDescent="0.3">
      <c r="A109" t="str">
        <v>D</v>
      </c>
      <c r="B109" s="31" t="str">
        <v>UK</v>
      </c>
      <c r="C109" s="31">
        <v>46216</v>
      </c>
      <c r="D109">
        <v>500</v>
      </c>
      <c r="E109">
        <f t="shared" si="6"/>
        <v>125</v>
      </c>
      <c r="F109">
        <f t="shared" si="7"/>
        <v>0.78125</v>
      </c>
    </row>
    <row r="110" spans="1:6" x14ac:dyDescent="0.3">
      <c r="A110" t="str">
        <v>D</v>
      </c>
      <c r="B110" s="31" t="str">
        <v>UK</v>
      </c>
      <c r="C110" s="31">
        <v>46237</v>
      </c>
      <c r="D110">
        <v>400</v>
      </c>
      <c r="E110">
        <f t="shared" si="6"/>
        <v>100</v>
      </c>
      <c r="F110">
        <f t="shared" si="7"/>
        <v>0.625</v>
      </c>
    </row>
    <row r="111" spans="1:6" x14ac:dyDescent="0.3">
      <c r="A111" t="str">
        <v>D</v>
      </c>
      <c r="B111" s="31" t="str">
        <v>UK</v>
      </c>
      <c r="C111" s="31">
        <v>46258</v>
      </c>
      <c r="D111">
        <v>400</v>
      </c>
      <c r="E111">
        <f t="shared" si="6"/>
        <v>100</v>
      </c>
      <c r="F111">
        <f t="shared" si="7"/>
        <v>0.625</v>
      </c>
    </row>
    <row r="112" spans="1:6" x14ac:dyDescent="0.3">
      <c r="A112" t="str">
        <v>D</v>
      </c>
      <c r="B112" s="31" t="str">
        <v>UK</v>
      </c>
      <c r="C112" s="31">
        <v>46272</v>
      </c>
      <c r="D112">
        <v>400</v>
      </c>
      <c r="E112">
        <f t="shared" si="6"/>
        <v>100</v>
      </c>
      <c r="F112">
        <f t="shared" si="7"/>
        <v>0.625</v>
      </c>
    </row>
    <row r="113" spans="1:6" x14ac:dyDescent="0.3">
      <c r="A113" t="str">
        <v>D</v>
      </c>
      <c r="B113" s="31" t="str">
        <v>UK</v>
      </c>
      <c r="C113" s="31">
        <v>46286</v>
      </c>
      <c r="D113">
        <v>360</v>
      </c>
      <c r="E113">
        <f t="shared" si="6"/>
        <v>90</v>
      </c>
      <c r="F113">
        <f t="shared" si="7"/>
        <v>0.5625</v>
      </c>
    </row>
    <row r="114" spans="1:6" x14ac:dyDescent="0.3">
      <c r="A114" t="str">
        <v>D</v>
      </c>
      <c r="B114" s="31" t="str">
        <v>UK</v>
      </c>
      <c r="C114" s="31">
        <v>46293</v>
      </c>
      <c r="D114">
        <v>360</v>
      </c>
      <c r="E114">
        <f t="shared" si="6"/>
        <v>90</v>
      </c>
      <c r="F114">
        <f t="shared" si="7"/>
        <v>0.5625</v>
      </c>
    </row>
    <row r="115" spans="1:6" x14ac:dyDescent="0.3">
      <c r="A115" t="str">
        <v>D</v>
      </c>
      <c r="B115" s="31" t="str">
        <v>UK</v>
      </c>
      <c r="C115" s="31">
        <v>46300</v>
      </c>
      <c r="D115">
        <v>360</v>
      </c>
      <c r="E115">
        <f t="shared" si="6"/>
        <v>90</v>
      </c>
      <c r="F115">
        <f t="shared" si="7"/>
        <v>0.5625</v>
      </c>
    </row>
    <row r="116" spans="1:6" x14ac:dyDescent="0.3">
      <c r="A116" t="str">
        <v>D</v>
      </c>
      <c r="B116" s="31" t="str">
        <v>UK</v>
      </c>
      <c r="C116" s="31">
        <v>46307</v>
      </c>
      <c r="D116">
        <v>360</v>
      </c>
      <c r="E116">
        <f t="shared" si="6"/>
        <v>90</v>
      </c>
      <c r="F116">
        <f t="shared" si="7"/>
        <v>0.5625</v>
      </c>
    </row>
    <row r="117" spans="1:6" x14ac:dyDescent="0.3">
      <c r="A117" t="str">
        <v>D</v>
      </c>
      <c r="B117" s="31" t="str">
        <v>UK</v>
      </c>
      <c r="C117" s="31">
        <v>46314</v>
      </c>
      <c r="D117">
        <v>360</v>
      </c>
      <c r="E117">
        <f t="shared" si="6"/>
        <v>90</v>
      </c>
      <c r="F117">
        <f t="shared" si="7"/>
        <v>0.5625</v>
      </c>
    </row>
    <row r="118" spans="1:6" x14ac:dyDescent="0.3">
      <c r="A118" t="str">
        <v>D</v>
      </c>
      <c r="B118" s="31" t="str">
        <v>UK</v>
      </c>
      <c r="C118" s="31">
        <v>46321</v>
      </c>
      <c r="D118">
        <v>1000</v>
      </c>
      <c r="E118">
        <f t="shared" si="6"/>
        <v>250</v>
      </c>
      <c r="F118">
        <f t="shared" si="7"/>
        <v>1.5625</v>
      </c>
    </row>
    <row r="119" spans="1:6" x14ac:dyDescent="0.3">
      <c r="A119" t="str">
        <v>D</v>
      </c>
      <c r="B119" s="31" t="str">
        <v>UK</v>
      </c>
      <c r="C119" s="31">
        <v>46328</v>
      </c>
      <c r="D119">
        <v>1000</v>
      </c>
      <c r="E119">
        <f t="shared" si="6"/>
        <v>250</v>
      </c>
      <c r="F119">
        <f t="shared" si="7"/>
        <v>1.5625</v>
      </c>
    </row>
    <row r="120" spans="1:6" x14ac:dyDescent="0.3">
      <c r="A120" t="str">
        <v>D</v>
      </c>
      <c r="B120" s="31" t="str">
        <v>UK</v>
      </c>
      <c r="C120" s="31">
        <v>46335</v>
      </c>
      <c r="D120">
        <v>1000</v>
      </c>
      <c r="E120">
        <f t="shared" si="6"/>
        <v>250</v>
      </c>
      <c r="F120">
        <f t="shared" si="7"/>
        <v>1.5625</v>
      </c>
    </row>
    <row r="121" spans="1:6" x14ac:dyDescent="0.3">
      <c r="A121" t="str">
        <v>D</v>
      </c>
      <c r="B121" s="31" t="str">
        <v>UK</v>
      </c>
      <c r="C121" s="31">
        <v>46342</v>
      </c>
      <c r="D121">
        <v>1000</v>
      </c>
      <c r="E121">
        <f t="shared" si="6"/>
        <v>250</v>
      </c>
      <c r="F121">
        <f t="shared" si="7"/>
        <v>1.5625</v>
      </c>
    </row>
    <row r="122" spans="1:6" x14ac:dyDescent="0.3">
      <c r="A122" t="str">
        <v>D</v>
      </c>
      <c r="B122" s="31" t="str">
        <v>UK</v>
      </c>
      <c r="C122" s="31">
        <v>46349</v>
      </c>
      <c r="D122">
        <v>1250</v>
      </c>
      <c r="E122">
        <f t="shared" si="6"/>
        <v>313</v>
      </c>
      <c r="F122">
        <f t="shared" si="7"/>
        <v>1.9562499999999998</v>
      </c>
    </row>
    <row r="123" spans="1:6" x14ac:dyDescent="0.3">
      <c r="A123" t="str">
        <v>D</v>
      </c>
      <c r="B123" s="31" t="str">
        <v>UK</v>
      </c>
      <c r="C123" s="31">
        <v>46356</v>
      </c>
      <c r="D123">
        <v>1250</v>
      </c>
      <c r="E123">
        <f t="shared" si="6"/>
        <v>313</v>
      </c>
      <c r="F123">
        <f t="shared" si="7"/>
        <v>1.9562499999999998</v>
      </c>
    </row>
    <row r="124" spans="1:6" x14ac:dyDescent="0.3">
      <c r="A124" t="str">
        <v>D</v>
      </c>
      <c r="B124" s="31" t="str">
        <v>UK</v>
      </c>
      <c r="C124" s="31">
        <v>46363</v>
      </c>
      <c r="D124">
        <v>1250</v>
      </c>
      <c r="E124">
        <f t="shared" si="6"/>
        <v>313</v>
      </c>
      <c r="F124">
        <f t="shared" si="7"/>
        <v>1.9562499999999998</v>
      </c>
    </row>
    <row r="125" spans="1:6" x14ac:dyDescent="0.3">
      <c r="A125" t="str">
        <v>D</v>
      </c>
      <c r="B125" s="31" t="str">
        <v>UK</v>
      </c>
      <c r="C125" s="31">
        <v>46370</v>
      </c>
      <c r="D125">
        <v>1250</v>
      </c>
      <c r="E125">
        <f t="shared" si="6"/>
        <v>313</v>
      </c>
      <c r="F125">
        <f t="shared" si="7"/>
        <v>1.9562499999999998</v>
      </c>
    </row>
    <row r="126" spans="1:6" x14ac:dyDescent="0.3">
      <c r="A126" t="str">
        <v>E</v>
      </c>
      <c r="B126" s="31" t="str">
        <v>Australia</v>
      </c>
      <c r="C126" s="31">
        <v>46139</v>
      </c>
      <c r="D126">
        <v>472</v>
      </c>
      <c r="E126">
        <f t="shared" si="6"/>
        <v>236</v>
      </c>
      <c r="F126">
        <f t="shared" si="7"/>
        <v>1.4749999999999999</v>
      </c>
    </row>
    <row r="127" spans="1:6" x14ac:dyDescent="0.3">
      <c r="A127" t="str">
        <v>E</v>
      </c>
      <c r="B127" s="31" t="str">
        <v>Australia</v>
      </c>
      <c r="C127" s="31">
        <v>46146</v>
      </c>
      <c r="D127">
        <v>300</v>
      </c>
      <c r="E127">
        <f t="shared" si="6"/>
        <v>150</v>
      </c>
      <c r="F127">
        <f t="shared" si="7"/>
        <v>0.9375</v>
      </c>
    </row>
    <row r="128" spans="1:6" x14ac:dyDescent="0.3">
      <c r="A128" t="str">
        <v>E</v>
      </c>
      <c r="B128" s="31" t="str">
        <v>Australia</v>
      </c>
      <c r="C128" s="31">
        <v>46153</v>
      </c>
      <c r="D128">
        <v>698</v>
      </c>
      <c r="E128">
        <f t="shared" si="6"/>
        <v>349</v>
      </c>
      <c r="F128">
        <f t="shared" si="7"/>
        <v>2.1812500000000004</v>
      </c>
    </row>
    <row r="129" spans="1:6" x14ac:dyDescent="0.3">
      <c r="A129" t="str">
        <v>E</v>
      </c>
      <c r="B129" s="31" t="str">
        <v>Australia</v>
      </c>
      <c r="C129" s="31">
        <v>46167</v>
      </c>
      <c r="D129">
        <v>300</v>
      </c>
      <c r="E129">
        <f t="shared" si="6"/>
        <v>150</v>
      </c>
      <c r="F129">
        <f t="shared" si="7"/>
        <v>0.9375</v>
      </c>
    </row>
    <row r="130" spans="1:6" x14ac:dyDescent="0.3">
      <c r="A130" t="str">
        <v>E</v>
      </c>
      <c r="B130" s="31" t="str">
        <v>Australia</v>
      </c>
      <c r="C130" s="31">
        <v>46188</v>
      </c>
      <c r="D130">
        <v>300</v>
      </c>
      <c r="E130">
        <f t="shared" ref="E130:E161" si="8">ROUNDUP(D130/_xlfn.XLOOKUP(A130,$J$3:$J$8,$L$3:$L$8),0)</f>
        <v>150</v>
      </c>
      <c r="F130">
        <f t="shared" ref="F130:F161" si="9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46202</v>
      </c>
      <c r="D131">
        <v>700</v>
      </c>
      <c r="E131">
        <f t="shared" si="8"/>
        <v>350</v>
      </c>
      <c r="F131">
        <f t="shared" si="9"/>
        <v>2.1875</v>
      </c>
    </row>
    <row r="132" spans="1:6" x14ac:dyDescent="0.3">
      <c r="A132" t="str">
        <v>E</v>
      </c>
      <c r="B132" s="31" t="str">
        <v>Australia</v>
      </c>
      <c r="C132" s="31">
        <v>46209</v>
      </c>
      <c r="D132">
        <v>300</v>
      </c>
      <c r="E132">
        <f t="shared" si="8"/>
        <v>150</v>
      </c>
      <c r="F132">
        <f t="shared" si="9"/>
        <v>0.9375</v>
      </c>
    </row>
    <row r="133" spans="1:6" x14ac:dyDescent="0.3">
      <c r="A133" t="str">
        <v>E</v>
      </c>
      <c r="B133" s="31" t="str">
        <v>Australia</v>
      </c>
      <c r="C133" s="31">
        <v>46216</v>
      </c>
      <c r="D133">
        <v>300</v>
      </c>
      <c r="E133">
        <f t="shared" si="8"/>
        <v>150</v>
      </c>
      <c r="F133">
        <f t="shared" si="9"/>
        <v>0.9375</v>
      </c>
    </row>
    <row r="134" spans="1:6" x14ac:dyDescent="0.3">
      <c r="A134" t="str">
        <v>E</v>
      </c>
      <c r="B134" s="31" t="str">
        <v>Australia</v>
      </c>
      <c r="C134" s="31">
        <v>46223</v>
      </c>
      <c r="D134">
        <v>300</v>
      </c>
      <c r="E134">
        <f t="shared" si="8"/>
        <v>150</v>
      </c>
      <c r="F134">
        <f t="shared" si="9"/>
        <v>0.9375</v>
      </c>
    </row>
    <row r="135" spans="1:6" x14ac:dyDescent="0.3">
      <c r="A135" t="str">
        <v>E</v>
      </c>
      <c r="B135" s="31" t="str">
        <v>Australia</v>
      </c>
      <c r="C135" s="31">
        <v>46244</v>
      </c>
      <c r="D135">
        <v>300</v>
      </c>
      <c r="E135">
        <f t="shared" si="8"/>
        <v>150</v>
      </c>
      <c r="F135">
        <f t="shared" si="9"/>
        <v>0.9375</v>
      </c>
    </row>
    <row r="136" spans="1:6" x14ac:dyDescent="0.3">
      <c r="A136" t="str">
        <v>E</v>
      </c>
      <c r="B136" s="31" t="str">
        <v>Australia</v>
      </c>
      <c r="C136" s="31">
        <v>46265</v>
      </c>
      <c r="D136">
        <v>300</v>
      </c>
      <c r="E136">
        <f t="shared" si="8"/>
        <v>150</v>
      </c>
      <c r="F136">
        <f t="shared" si="9"/>
        <v>0.9375</v>
      </c>
    </row>
    <row r="137" spans="1:6" x14ac:dyDescent="0.3">
      <c r="A137" t="str">
        <v>E</v>
      </c>
      <c r="B137" s="31" t="str">
        <v>Australia</v>
      </c>
      <c r="C137" s="31">
        <v>46293</v>
      </c>
      <c r="D137">
        <v>300</v>
      </c>
      <c r="E137">
        <f t="shared" si="8"/>
        <v>150</v>
      </c>
      <c r="F137">
        <f t="shared" si="9"/>
        <v>0.9375</v>
      </c>
    </row>
    <row r="138" spans="1:6" x14ac:dyDescent="0.3">
      <c r="A138" t="str">
        <v>E</v>
      </c>
      <c r="B138" s="31" t="str">
        <v>Australia</v>
      </c>
      <c r="C138" s="31">
        <v>46328</v>
      </c>
      <c r="D138">
        <v>300</v>
      </c>
      <c r="E138">
        <f t="shared" si="8"/>
        <v>150</v>
      </c>
      <c r="F138">
        <f t="shared" si="9"/>
        <v>0.9375</v>
      </c>
    </row>
    <row r="139" spans="1:6" x14ac:dyDescent="0.3">
      <c r="A139" t="str">
        <v>E</v>
      </c>
      <c r="B139" s="31" t="str">
        <v>Australia</v>
      </c>
      <c r="C139" s="31">
        <v>46356</v>
      </c>
      <c r="D139">
        <v>300</v>
      </c>
      <c r="E139">
        <f t="shared" si="8"/>
        <v>150</v>
      </c>
      <c r="F139">
        <f t="shared" si="9"/>
        <v>0.9375</v>
      </c>
    </row>
    <row r="140" spans="1:6" x14ac:dyDescent="0.3">
      <c r="A140" t="str">
        <v>F</v>
      </c>
      <c r="B140" s="31" t="str">
        <v>US</v>
      </c>
      <c r="C140" s="31">
        <v>46132</v>
      </c>
      <c r="D140">
        <v>588</v>
      </c>
      <c r="E140">
        <f t="shared" si="8"/>
        <v>74</v>
      </c>
      <c r="F140">
        <f t="shared" si="9"/>
        <v>0.578125</v>
      </c>
    </row>
    <row r="141" spans="1:6" x14ac:dyDescent="0.3">
      <c r="A141" t="str">
        <v>F</v>
      </c>
      <c r="B141" s="31" t="str">
        <v>US</v>
      </c>
      <c r="C141" s="31">
        <v>46139</v>
      </c>
      <c r="D141">
        <v>4028</v>
      </c>
      <c r="E141">
        <f t="shared" si="8"/>
        <v>504</v>
      </c>
      <c r="F141">
        <f t="shared" si="9"/>
        <v>3.9375</v>
      </c>
    </row>
    <row r="142" spans="1:6" x14ac:dyDescent="0.3">
      <c r="A142" t="str">
        <v>F</v>
      </c>
      <c r="B142" s="31" t="str">
        <v>US</v>
      </c>
      <c r="C142" s="31">
        <v>46146</v>
      </c>
      <c r="D142">
        <v>4200</v>
      </c>
      <c r="E142">
        <f t="shared" si="8"/>
        <v>525</v>
      </c>
      <c r="F142">
        <f t="shared" si="9"/>
        <v>4.1015625</v>
      </c>
    </row>
    <row r="143" spans="1:6" x14ac:dyDescent="0.3">
      <c r="A143" t="str">
        <v>F</v>
      </c>
      <c r="B143" s="31" t="str">
        <v>US</v>
      </c>
      <c r="C143" s="31">
        <v>46153</v>
      </c>
      <c r="D143">
        <v>3802</v>
      </c>
      <c r="E143">
        <f t="shared" si="8"/>
        <v>476</v>
      </c>
      <c r="F143">
        <f t="shared" si="9"/>
        <v>3.71875</v>
      </c>
    </row>
    <row r="144" spans="1:6" x14ac:dyDescent="0.3">
      <c r="A144" t="str">
        <v>F</v>
      </c>
      <c r="B144" s="31" t="str">
        <v>US</v>
      </c>
      <c r="C144" s="31">
        <v>46160</v>
      </c>
      <c r="D144">
        <v>4500</v>
      </c>
      <c r="E144">
        <f t="shared" si="8"/>
        <v>563</v>
      </c>
      <c r="F144">
        <f t="shared" si="9"/>
        <v>4.3984375</v>
      </c>
    </row>
    <row r="145" spans="1:6" x14ac:dyDescent="0.3">
      <c r="A145" t="str">
        <v>F</v>
      </c>
      <c r="B145" s="31" t="str">
        <v>US</v>
      </c>
      <c r="C145" s="31">
        <v>46167</v>
      </c>
      <c r="D145">
        <v>4200</v>
      </c>
      <c r="E145">
        <f t="shared" si="8"/>
        <v>525</v>
      </c>
      <c r="F145">
        <f t="shared" si="9"/>
        <v>4.1015625</v>
      </c>
    </row>
    <row r="146" spans="1:6" x14ac:dyDescent="0.3">
      <c r="A146" t="str">
        <v>F</v>
      </c>
      <c r="B146" s="31" t="str">
        <v>US</v>
      </c>
      <c r="C146" s="31">
        <v>46174</v>
      </c>
      <c r="D146">
        <v>4500</v>
      </c>
      <c r="E146">
        <f t="shared" si="8"/>
        <v>563</v>
      </c>
      <c r="F146">
        <f t="shared" si="9"/>
        <v>4.3984375</v>
      </c>
    </row>
    <row r="147" spans="1:6" x14ac:dyDescent="0.3">
      <c r="A147" t="str">
        <v>F</v>
      </c>
      <c r="B147" s="31" t="str">
        <v>US</v>
      </c>
      <c r="C147" s="31">
        <v>46181</v>
      </c>
      <c r="D147">
        <v>4500</v>
      </c>
      <c r="E147">
        <f t="shared" si="8"/>
        <v>563</v>
      </c>
      <c r="F147">
        <f t="shared" si="9"/>
        <v>4.3984375</v>
      </c>
    </row>
    <row r="148" spans="1:6" x14ac:dyDescent="0.3">
      <c r="A148" t="str">
        <v>F</v>
      </c>
      <c r="B148" s="31" t="str">
        <v>US</v>
      </c>
      <c r="C148" s="31">
        <v>46188</v>
      </c>
      <c r="D148">
        <v>2200</v>
      </c>
      <c r="E148">
        <f t="shared" si="8"/>
        <v>275</v>
      </c>
      <c r="F148">
        <f t="shared" si="9"/>
        <v>2.1484375</v>
      </c>
    </row>
    <row r="149" spans="1:6" x14ac:dyDescent="0.3">
      <c r="A149" t="str">
        <v>F</v>
      </c>
      <c r="B149" s="31" t="str">
        <v>US</v>
      </c>
      <c r="C149" s="31">
        <v>46195</v>
      </c>
      <c r="D149">
        <v>5000</v>
      </c>
      <c r="E149">
        <f t="shared" si="8"/>
        <v>625</v>
      </c>
      <c r="F149">
        <f t="shared" si="9"/>
        <v>4.8828125</v>
      </c>
    </row>
    <row r="150" spans="1:6" x14ac:dyDescent="0.3">
      <c r="A150" t="str">
        <v>F</v>
      </c>
      <c r="B150" s="31" t="str">
        <v>US</v>
      </c>
      <c r="C150" s="31">
        <v>46202</v>
      </c>
      <c r="D150">
        <v>4300</v>
      </c>
      <c r="E150">
        <f t="shared" si="8"/>
        <v>538</v>
      </c>
      <c r="F150">
        <f t="shared" si="9"/>
        <v>4.203125</v>
      </c>
    </row>
    <row r="151" spans="1:6" x14ac:dyDescent="0.3">
      <c r="A151" t="str">
        <v>F</v>
      </c>
      <c r="B151" s="31" t="str">
        <v>US</v>
      </c>
      <c r="C151" s="31">
        <v>46209</v>
      </c>
      <c r="D151">
        <v>4700</v>
      </c>
      <c r="E151">
        <f t="shared" si="8"/>
        <v>588</v>
      </c>
      <c r="F151">
        <f t="shared" si="9"/>
        <v>4.59375</v>
      </c>
    </row>
    <row r="152" spans="1:6" x14ac:dyDescent="0.3">
      <c r="A152" t="str">
        <v>F</v>
      </c>
      <c r="B152" s="31" t="str">
        <v>US</v>
      </c>
      <c r="C152" s="31">
        <v>46216</v>
      </c>
      <c r="D152">
        <v>4746</v>
      </c>
      <c r="E152">
        <f t="shared" si="8"/>
        <v>594</v>
      </c>
      <c r="F152">
        <f t="shared" si="9"/>
        <v>4.640625</v>
      </c>
    </row>
    <row r="153" spans="1:6" x14ac:dyDescent="0.3">
      <c r="A153" t="str">
        <v>F</v>
      </c>
      <c r="B153" s="31" t="str">
        <v>US</v>
      </c>
      <c r="C153" s="31">
        <v>46223</v>
      </c>
      <c r="D153">
        <v>4300</v>
      </c>
      <c r="E153">
        <f t="shared" si="8"/>
        <v>538</v>
      </c>
      <c r="F153">
        <f t="shared" si="9"/>
        <v>4.203125</v>
      </c>
    </row>
    <row r="154" spans="1:6" x14ac:dyDescent="0.3">
      <c r="A154" t="str">
        <v>F</v>
      </c>
      <c r="B154" s="31" t="str">
        <v>US</v>
      </c>
      <c r="C154" s="31">
        <v>46230</v>
      </c>
      <c r="D154">
        <v>476</v>
      </c>
      <c r="E154">
        <f t="shared" si="8"/>
        <v>60</v>
      </c>
      <c r="F154">
        <f t="shared" si="9"/>
        <v>0.46875</v>
      </c>
    </row>
    <row r="155" spans="1:6" x14ac:dyDescent="0.3">
      <c r="A155" t="str">
        <v>F</v>
      </c>
      <c r="B155" s="31" t="str">
        <v>US</v>
      </c>
      <c r="C155" s="31">
        <v>46237</v>
      </c>
      <c r="D155">
        <v>1298</v>
      </c>
      <c r="E155">
        <f t="shared" si="8"/>
        <v>163</v>
      </c>
      <c r="F155">
        <f t="shared" si="9"/>
        <v>1.2734375</v>
      </c>
    </row>
    <row r="156" spans="1:6" x14ac:dyDescent="0.3">
      <c r="A156" t="str">
        <v>F</v>
      </c>
      <c r="B156" s="31" t="str">
        <v>US</v>
      </c>
      <c r="C156" s="31">
        <v>46244</v>
      </c>
      <c r="D156">
        <v>1300</v>
      </c>
      <c r="E156">
        <f t="shared" si="8"/>
        <v>163</v>
      </c>
      <c r="F156">
        <f t="shared" si="9"/>
        <v>1.2734375</v>
      </c>
    </row>
    <row r="157" spans="1:6" x14ac:dyDescent="0.3">
      <c r="A157" t="str">
        <v>F</v>
      </c>
      <c r="B157" s="31" t="str">
        <v>US</v>
      </c>
      <c r="C157" s="31">
        <v>46251</v>
      </c>
      <c r="D157">
        <v>1298</v>
      </c>
      <c r="E157">
        <f t="shared" si="8"/>
        <v>163</v>
      </c>
      <c r="F157">
        <f t="shared" si="9"/>
        <v>1.2734375</v>
      </c>
    </row>
    <row r="158" spans="1:6" x14ac:dyDescent="0.3">
      <c r="A158" t="str">
        <v>F</v>
      </c>
      <c r="B158" s="31" t="str">
        <v>US</v>
      </c>
      <c r="C158" s="31">
        <v>46258</v>
      </c>
      <c r="D158">
        <v>1506</v>
      </c>
      <c r="E158">
        <f t="shared" si="8"/>
        <v>189</v>
      </c>
      <c r="F158">
        <f t="shared" si="9"/>
        <v>1.4765625</v>
      </c>
    </row>
    <row r="159" spans="1:6" x14ac:dyDescent="0.3">
      <c r="A159" t="str">
        <v>F</v>
      </c>
      <c r="B159" s="31" t="str">
        <v>US</v>
      </c>
      <c r="C159" s="31">
        <v>46265</v>
      </c>
      <c r="D159">
        <v>1506</v>
      </c>
      <c r="E159">
        <f t="shared" si="8"/>
        <v>189</v>
      </c>
      <c r="F159">
        <f t="shared" si="9"/>
        <v>1.4765625</v>
      </c>
    </row>
    <row r="160" spans="1:6" x14ac:dyDescent="0.3">
      <c r="A160" t="str">
        <v>F</v>
      </c>
      <c r="B160" s="31" t="str">
        <v>US</v>
      </c>
      <c r="C160" s="31">
        <v>46272</v>
      </c>
      <c r="D160">
        <v>1506</v>
      </c>
      <c r="E160">
        <f t="shared" si="8"/>
        <v>189</v>
      </c>
      <c r="F160">
        <f t="shared" si="9"/>
        <v>1.4765625</v>
      </c>
    </row>
    <row r="161" spans="1:6" x14ac:dyDescent="0.3">
      <c r="A161" t="str">
        <v>F</v>
      </c>
      <c r="B161" s="31" t="str">
        <v>US</v>
      </c>
      <c r="C161" s="31">
        <v>46279</v>
      </c>
      <c r="D161">
        <v>1506</v>
      </c>
      <c r="E161">
        <f t="shared" si="8"/>
        <v>189</v>
      </c>
      <c r="F161">
        <f t="shared" si="9"/>
        <v>1.4765625</v>
      </c>
    </row>
    <row r="162" spans="1:6" x14ac:dyDescent="0.3">
      <c r="A162" t="str">
        <v>F</v>
      </c>
      <c r="B162" s="31" t="str">
        <v>US</v>
      </c>
      <c r="C162" s="31">
        <v>46286</v>
      </c>
      <c r="D162">
        <v>1446</v>
      </c>
      <c r="E162">
        <f t="shared" ref="E162:E193" si="10">ROUNDUP(D162/_xlfn.XLOOKUP(A162,$J$3:$J$8,$L$3:$L$8),0)</f>
        <v>181</v>
      </c>
      <c r="F162">
        <f t="shared" ref="F162:F193" si="11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46307</v>
      </c>
      <c r="D163">
        <v>1448</v>
      </c>
      <c r="E163">
        <f t="shared" si="10"/>
        <v>181</v>
      </c>
      <c r="F163">
        <f t="shared" si="11"/>
        <v>1.4140625</v>
      </c>
    </row>
    <row r="164" spans="1:6" x14ac:dyDescent="0.3">
      <c r="A164" t="str">
        <v>F</v>
      </c>
      <c r="B164" s="31" t="str">
        <v>US</v>
      </c>
      <c r="C164" s="31">
        <v>46314</v>
      </c>
      <c r="D164">
        <v>1448</v>
      </c>
      <c r="E164">
        <f t="shared" si="10"/>
        <v>181</v>
      </c>
      <c r="F164">
        <f t="shared" si="11"/>
        <v>1.4140625</v>
      </c>
    </row>
    <row r="165" spans="1:6" x14ac:dyDescent="0.3">
      <c r="A165" t="str">
        <v>F</v>
      </c>
      <c r="B165" s="31" t="str">
        <v>US</v>
      </c>
      <c r="C165" s="31">
        <v>46321</v>
      </c>
      <c r="D165">
        <v>1448</v>
      </c>
      <c r="E165">
        <f t="shared" si="10"/>
        <v>181</v>
      </c>
      <c r="F165">
        <f t="shared" si="11"/>
        <v>1.4140625</v>
      </c>
    </row>
    <row r="166" spans="1:6" x14ac:dyDescent="0.3">
      <c r="A166" t="str">
        <v>F</v>
      </c>
      <c r="B166" s="31" t="str">
        <v>US</v>
      </c>
      <c r="C166" s="31">
        <v>46328</v>
      </c>
      <c r="D166">
        <v>1754</v>
      </c>
      <c r="E166">
        <f t="shared" si="10"/>
        <v>220</v>
      </c>
      <c r="F166">
        <f t="shared" si="11"/>
        <v>1.7187500000000002</v>
      </c>
    </row>
    <row r="167" spans="1:6" x14ac:dyDescent="0.3">
      <c r="A167" t="str">
        <v>F</v>
      </c>
      <c r="B167" s="31" t="str">
        <v>US</v>
      </c>
      <c r="C167" s="31">
        <v>46335</v>
      </c>
      <c r="D167">
        <v>1756</v>
      </c>
      <c r="E167">
        <f t="shared" si="10"/>
        <v>220</v>
      </c>
      <c r="F167">
        <f t="shared" si="11"/>
        <v>1.7187500000000002</v>
      </c>
    </row>
    <row r="168" spans="1:6" x14ac:dyDescent="0.3">
      <c r="A168" t="str">
        <v>F</v>
      </c>
      <c r="B168" s="31" t="str">
        <v>US</v>
      </c>
      <c r="C168" s="31">
        <v>46342</v>
      </c>
      <c r="D168">
        <v>1756</v>
      </c>
      <c r="E168">
        <f t="shared" si="10"/>
        <v>220</v>
      </c>
      <c r="F168">
        <f t="shared" si="11"/>
        <v>1.7187500000000002</v>
      </c>
    </row>
    <row r="169" spans="1:6" x14ac:dyDescent="0.3">
      <c r="A169" t="str">
        <v>F</v>
      </c>
      <c r="B169" s="31" t="str">
        <v>US</v>
      </c>
      <c r="C169" s="31">
        <v>46349</v>
      </c>
      <c r="D169">
        <v>1756</v>
      </c>
      <c r="E169">
        <f t="shared" si="10"/>
        <v>220</v>
      </c>
      <c r="F169">
        <f t="shared" si="11"/>
        <v>1.7187500000000002</v>
      </c>
    </row>
    <row r="170" spans="1:6" x14ac:dyDescent="0.3">
      <c r="A170" t="str">
        <v>F</v>
      </c>
      <c r="B170" s="31" t="str">
        <v>US</v>
      </c>
      <c r="C170" s="31">
        <v>46356</v>
      </c>
      <c r="D170">
        <v>1928</v>
      </c>
      <c r="E170">
        <f t="shared" si="10"/>
        <v>241</v>
      </c>
      <c r="F170">
        <f t="shared" si="11"/>
        <v>1.8828125</v>
      </c>
    </row>
    <row r="171" spans="1:6" x14ac:dyDescent="0.3">
      <c r="A171" t="str">
        <v>F</v>
      </c>
      <c r="B171" s="31" t="str">
        <v>US</v>
      </c>
      <c r="C171" s="31">
        <v>46363</v>
      </c>
      <c r="D171">
        <v>1930</v>
      </c>
      <c r="E171">
        <f t="shared" si="10"/>
        <v>242</v>
      </c>
      <c r="F171">
        <f t="shared" si="11"/>
        <v>1.890625</v>
      </c>
    </row>
    <row r="172" spans="1:6" x14ac:dyDescent="0.3">
      <c r="A172" t="str">
        <v>F</v>
      </c>
      <c r="B172" s="31" t="str">
        <v>US</v>
      </c>
      <c r="C172" s="31">
        <v>46370</v>
      </c>
      <c r="D172">
        <v>1928</v>
      </c>
      <c r="E172">
        <f t="shared" si="10"/>
        <v>241</v>
      </c>
      <c r="F172">
        <f t="shared" si="11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zoomScale="57" workbookViewId="0">
      <selection activeCell="A2" sqref="A2"/>
    </sheetView>
  </sheetViews>
  <sheetFormatPr defaultRowHeight="14.4" x14ac:dyDescent="0.3"/>
  <cols>
    <col min="1" max="1" width="13" customWidth="1"/>
    <col min="2" max="7" width="10" customWidth="1"/>
  </cols>
  <sheetData>
    <row r="1" spans="1:7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x14ac:dyDescent="0.3">
      <c r="A2" s="38">
        <v>46132</v>
      </c>
      <c r="B2" s="56">
        <f>IF($A2="","",SUMIFS(weekly_demand!$D:$D,weekly_demand!$A:$A,B$1,weekly_demand!$C:$C,$A2))</f>
        <v>0</v>
      </c>
      <c r="C2" s="56">
        <f>IF($A2="","",SUMIFS(weekly_demand!$D:$D,weekly_demand!$A:$A,C$1,weekly_demand!$C:$C,$A2))</f>
        <v>0</v>
      </c>
      <c r="D2" s="56">
        <f>IF($A2="","",SUMIFS(weekly_demand!$D:$D,weekly_demand!$A:$A,D$1,weekly_demand!$C:$C,$A2))</f>
        <v>0</v>
      </c>
      <c r="E2" s="56">
        <f>IF($A2="","",SUMIFS(weekly_demand!$D:$D,weekly_demand!$A:$A,E$1,weekly_demand!$C:$C,$A2))</f>
        <v>0</v>
      </c>
      <c r="F2" s="56">
        <f>IF($A2="","",SUMIFS(weekly_demand!$D:$D,weekly_demand!$A:$A,F$1,weekly_demand!$C:$C,$A2))</f>
        <v>0</v>
      </c>
      <c r="G2" s="56">
        <f>IF($A2="","",SUMIFS(weekly_demand!$D:$D,weekly_demand!$A:$A,G$1,weekly_demand!$C:$C,$A2))</f>
        <v>588</v>
      </c>
    </row>
    <row r="3" spans="1:7" x14ac:dyDescent="0.3">
      <c r="A3" s="38">
        <v>46139</v>
      </c>
      <c r="B3" s="56">
        <f>IF($A3="","",SUMIFS(weekly_demand!$D:$D,weekly_demand!$A:$A,B$1,weekly_demand!$C:$C,$A3))</f>
        <v>684</v>
      </c>
      <c r="C3" s="56">
        <f>IF($A3="","",SUMIFS(weekly_demand!$D:$D,weekly_demand!$A:$A,C$1,weekly_demand!$C:$C,$A3))</f>
        <v>0</v>
      </c>
      <c r="D3" s="56">
        <f>IF($A3="","",SUMIFS(weekly_demand!$D:$D,weekly_demand!$A:$A,D$1,weekly_demand!$C:$C,$A3))</f>
        <v>0</v>
      </c>
      <c r="E3" s="56">
        <f>IF($A3="","",SUMIFS(weekly_demand!$D:$D,weekly_demand!$A:$A,E$1,weekly_demand!$C:$C,$A3))</f>
        <v>0</v>
      </c>
      <c r="F3" s="56">
        <f>IF($A3="","",SUMIFS(weekly_demand!$D:$D,weekly_demand!$A:$A,F$1,weekly_demand!$C:$C,$A3))</f>
        <v>472</v>
      </c>
      <c r="G3" s="56">
        <f>IF($A3="","",SUMIFS(weekly_demand!$D:$D,weekly_demand!$A:$A,G$1,weekly_demand!$C:$C,$A3))</f>
        <v>4028</v>
      </c>
    </row>
    <row r="4" spans="1:7" x14ac:dyDescent="0.3">
      <c r="A4" s="38">
        <v>46146</v>
      </c>
      <c r="B4" s="56">
        <f>IF($A4="","",SUMIFS(weekly_demand!$D:$D,weekly_demand!$A:$A,B$1,weekly_demand!$C:$C,$A4))</f>
        <v>20000</v>
      </c>
      <c r="C4" s="56">
        <f>IF($A4="","",SUMIFS(weekly_demand!$D:$D,weekly_demand!$A:$A,C$1,weekly_demand!$C:$C,$A4))</f>
        <v>5502</v>
      </c>
      <c r="D4" s="56">
        <f>IF($A4="","",SUMIFS(weekly_demand!$D:$D,weekly_demand!$A:$A,D$1,weekly_demand!$C:$C,$A4))</f>
        <v>4320</v>
      </c>
      <c r="E4" s="56">
        <f>IF($A4="","",SUMIFS(weekly_demand!$D:$D,weekly_demand!$A:$A,E$1,weekly_demand!$C:$C,$A4))</f>
        <v>2430</v>
      </c>
      <c r="F4" s="56">
        <f>IF($A4="","",SUMIFS(weekly_demand!$D:$D,weekly_demand!$A:$A,F$1,weekly_demand!$C:$C,$A4))</f>
        <v>300</v>
      </c>
      <c r="G4" s="56">
        <f>IF($A4="","",SUMIFS(weekly_demand!$D:$D,weekly_demand!$A:$A,G$1,weekly_demand!$C:$C,$A4))</f>
        <v>4200</v>
      </c>
    </row>
    <row r="5" spans="1:7" x14ac:dyDescent="0.3">
      <c r="A5" s="38">
        <v>46153</v>
      </c>
      <c r="B5" s="56">
        <f>IF($A5="","",SUMIFS(weekly_demand!$D:$D,weekly_demand!$A:$A,B$1,weekly_demand!$C:$C,$A5))</f>
        <v>20000</v>
      </c>
      <c r="C5" s="56">
        <f>IF($A5="","",SUMIFS(weekly_demand!$D:$D,weekly_demand!$A:$A,C$1,weekly_demand!$C:$C,$A5))</f>
        <v>15658</v>
      </c>
      <c r="D5" s="56">
        <f>IF($A5="","",SUMIFS(weekly_demand!$D:$D,weekly_demand!$A:$A,D$1,weekly_demand!$C:$C,$A5))</f>
        <v>8370</v>
      </c>
      <c r="E5" s="56">
        <f>IF($A5="","",SUMIFS(weekly_demand!$D:$D,weekly_demand!$A:$A,E$1,weekly_demand!$C:$C,$A5))</f>
        <v>9990</v>
      </c>
      <c r="F5" s="56">
        <f>IF($A5="","",SUMIFS(weekly_demand!$D:$D,weekly_demand!$A:$A,F$1,weekly_demand!$C:$C,$A5))</f>
        <v>698</v>
      </c>
      <c r="G5" s="56">
        <f>IF($A5="","",SUMIFS(weekly_demand!$D:$D,weekly_demand!$A:$A,G$1,weekly_demand!$C:$C,$A5))</f>
        <v>3802</v>
      </c>
    </row>
    <row r="6" spans="1:7" x14ac:dyDescent="0.3">
      <c r="A6" s="38">
        <v>46160</v>
      </c>
      <c r="B6" s="56">
        <f>IF($A6="","",SUMIFS(weekly_demand!$D:$D,weekly_demand!$A:$A,B$1,weekly_demand!$C:$C,$A6))</f>
        <v>11000</v>
      </c>
      <c r="C6" s="56">
        <f>IF($A6="","",SUMIFS(weekly_demand!$D:$D,weekly_demand!$A:$A,C$1,weekly_demand!$C:$C,$A6))</f>
        <v>8865</v>
      </c>
      <c r="D6" s="56">
        <f>IF($A6="","",SUMIFS(weekly_demand!$D:$D,weekly_demand!$A:$A,D$1,weekly_demand!$C:$C,$A6))</f>
        <v>11782</v>
      </c>
      <c r="E6" s="56">
        <f>IF($A6="","",SUMIFS(weekly_demand!$D:$D,weekly_demand!$A:$A,E$1,weekly_demand!$C:$C,$A6))</f>
        <v>5840</v>
      </c>
      <c r="F6" s="56">
        <f>IF($A6="","",SUMIFS(weekly_demand!$D:$D,weekly_demand!$A:$A,F$1,weekly_demand!$C:$C,$A6))</f>
        <v>0</v>
      </c>
      <c r="G6" s="56">
        <f>IF($A6="","",SUMIFS(weekly_demand!$D:$D,weekly_demand!$A:$A,G$1,weekly_demand!$C:$C,$A6))</f>
        <v>4500</v>
      </c>
    </row>
    <row r="7" spans="1:7" x14ac:dyDescent="0.3">
      <c r="A7" s="38">
        <v>46167</v>
      </c>
      <c r="B7" s="56">
        <f>IF($A7="","",SUMIFS(weekly_demand!$D:$D,weekly_demand!$A:$A,B$1,weekly_demand!$C:$C,$A7))</f>
        <v>13000</v>
      </c>
      <c r="C7" s="56">
        <f>IF($A7="","",SUMIFS(weekly_demand!$D:$D,weekly_demand!$A:$A,C$1,weekly_demand!$C:$C,$A7))</f>
        <v>2146</v>
      </c>
      <c r="D7" s="56">
        <f>IF($A7="","",SUMIFS(weekly_demand!$D:$D,weekly_demand!$A:$A,D$1,weekly_demand!$C:$C,$A7))</f>
        <v>10524</v>
      </c>
      <c r="E7" s="56">
        <f>IF($A7="","",SUMIFS(weekly_demand!$D:$D,weekly_demand!$A:$A,E$1,weekly_demand!$C:$C,$A7))</f>
        <v>8100</v>
      </c>
      <c r="F7" s="56">
        <f>IF($A7="","",SUMIFS(weekly_demand!$D:$D,weekly_demand!$A:$A,F$1,weekly_demand!$C:$C,$A7))</f>
        <v>300</v>
      </c>
      <c r="G7" s="56">
        <f>IF($A7="","",SUMIFS(weekly_demand!$D:$D,weekly_demand!$A:$A,G$1,weekly_demand!$C:$C,$A7))</f>
        <v>4200</v>
      </c>
    </row>
    <row r="8" spans="1:7" x14ac:dyDescent="0.3">
      <c r="A8" s="38">
        <v>46174</v>
      </c>
      <c r="B8" s="56">
        <f>IF($A8="","",SUMIFS(weekly_demand!$D:$D,weekly_demand!$A:$A,B$1,weekly_demand!$C:$C,$A8))</f>
        <v>13773</v>
      </c>
      <c r="C8" s="56">
        <f>IF($A8="","",SUMIFS(weekly_demand!$D:$D,weekly_demand!$A:$A,C$1,weekly_demand!$C:$C,$A8))</f>
        <v>7123</v>
      </c>
      <c r="D8" s="56">
        <f>IF($A8="","",SUMIFS(weekly_demand!$D:$D,weekly_demand!$A:$A,D$1,weekly_demand!$C:$C,$A8))</f>
        <v>3240</v>
      </c>
      <c r="E8" s="56">
        <f>IF($A8="","",SUMIFS(weekly_demand!$D:$D,weekly_demand!$A:$A,E$1,weekly_demand!$C:$C,$A8))</f>
        <v>1001</v>
      </c>
      <c r="F8" s="56">
        <f>IF($A8="","",SUMIFS(weekly_demand!$D:$D,weekly_demand!$A:$A,F$1,weekly_demand!$C:$C,$A8))</f>
        <v>0</v>
      </c>
      <c r="G8" s="56">
        <f>IF($A8="","",SUMIFS(weekly_demand!$D:$D,weekly_demand!$A:$A,G$1,weekly_demand!$C:$C,$A8))</f>
        <v>4500</v>
      </c>
    </row>
    <row r="9" spans="1:7" x14ac:dyDescent="0.3">
      <c r="A9" s="38">
        <v>46181</v>
      </c>
      <c r="B9" s="56">
        <f>IF($A9="","",SUMIFS(weekly_demand!$D:$D,weekly_demand!$A:$A,B$1,weekly_demand!$C:$C,$A9))</f>
        <v>7058</v>
      </c>
      <c r="C9" s="56">
        <f>IF($A9="","",SUMIFS(weekly_demand!$D:$D,weekly_demand!$A:$A,C$1,weekly_demand!$C:$C,$A9))</f>
        <v>5309</v>
      </c>
      <c r="D9" s="56">
        <f>IF($A9="","",SUMIFS(weekly_demand!$D:$D,weekly_demand!$A:$A,D$1,weekly_demand!$C:$C,$A9))</f>
        <v>6442</v>
      </c>
      <c r="E9" s="56">
        <f>IF($A9="","",SUMIFS(weekly_demand!$D:$D,weekly_demand!$A:$A,E$1,weekly_demand!$C:$C,$A9))</f>
        <v>2471</v>
      </c>
      <c r="F9" s="56">
        <f>IF($A9="","",SUMIFS(weekly_demand!$D:$D,weekly_demand!$A:$A,F$1,weekly_demand!$C:$C,$A9))</f>
        <v>0</v>
      </c>
      <c r="G9" s="56">
        <f>IF($A9="","",SUMIFS(weekly_demand!$D:$D,weekly_demand!$A:$A,G$1,weekly_demand!$C:$C,$A9))</f>
        <v>4500</v>
      </c>
    </row>
    <row r="10" spans="1:7" x14ac:dyDescent="0.3">
      <c r="A10" s="38">
        <v>46188</v>
      </c>
      <c r="B10" s="56">
        <f>IF($A10="","",SUMIFS(weekly_demand!$D:$D,weekly_demand!$A:$A,B$1,weekly_demand!$C:$C,$A10))</f>
        <v>2040</v>
      </c>
      <c r="C10" s="56">
        <f>IF($A10="","",SUMIFS(weekly_demand!$D:$D,weekly_demand!$A:$A,C$1,weekly_demand!$C:$C,$A10))</f>
        <v>5309</v>
      </c>
      <c r="D10" s="56">
        <f>IF($A10="","",SUMIFS(weekly_demand!$D:$D,weekly_demand!$A:$A,D$1,weekly_demand!$C:$C,$A10))</f>
        <v>8802</v>
      </c>
      <c r="E10" s="56">
        <f>IF($A10="","",SUMIFS(weekly_demand!$D:$D,weekly_demand!$A:$A,E$1,weekly_demand!$C:$C,$A10))</f>
        <v>3458</v>
      </c>
      <c r="F10" s="56">
        <f>IF($A10="","",SUMIFS(weekly_demand!$D:$D,weekly_demand!$A:$A,F$1,weekly_demand!$C:$C,$A10))</f>
        <v>300</v>
      </c>
      <c r="G10" s="56">
        <f>IF($A10="","",SUMIFS(weekly_demand!$D:$D,weekly_demand!$A:$A,G$1,weekly_demand!$C:$C,$A10))</f>
        <v>2200</v>
      </c>
    </row>
    <row r="11" spans="1:7" x14ac:dyDescent="0.3">
      <c r="A11" s="38">
        <v>46195</v>
      </c>
      <c r="B11" s="56">
        <f>IF($A11="","",SUMIFS(weekly_demand!$D:$D,weekly_demand!$A:$A,B$1,weekly_demand!$C:$C,$A11))</f>
        <v>3541</v>
      </c>
      <c r="C11" s="56">
        <f>IF($A11="","",SUMIFS(weekly_demand!$D:$D,weekly_demand!$A:$A,C$1,weekly_demand!$C:$C,$A11))</f>
        <v>3000</v>
      </c>
      <c r="D11" s="56">
        <f>IF($A11="","",SUMIFS(weekly_demand!$D:$D,weekly_demand!$A:$A,D$1,weekly_demand!$C:$C,$A11))</f>
        <v>7695</v>
      </c>
      <c r="E11" s="56">
        <f>IF($A11="","",SUMIFS(weekly_demand!$D:$D,weekly_demand!$A:$A,E$1,weekly_demand!$C:$C,$A11))</f>
        <v>500</v>
      </c>
      <c r="F11" s="56">
        <f>IF($A11="","",SUMIFS(weekly_demand!$D:$D,weekly_demand!$A:$A,F$1,weekly_demand!$C:$C,$A11))</f>
        <v>0</v>
      </c>
      <c r="G11" s="56">
        <f>IF($A11="","",SUMIFS(weekly_demand!$D:$D,weekly_demand!$A:$A,G$1,weekly_demand!$C:$C,$A11))</f>
        <v>5000</v>
      </c>
    </row>
    <row r="12" spans="1:7" x14ac:dyDescent="0.3">
      <c r="A12" s="38">
        <v>46202</v>
      </c>
      <c r="B12" s="56">
        <f>IF($A12="","",SUMIFS(weekly_demand!$D:$D,weekly_demand!$A:$A,B$1,weekly_demand!$C:$C,$A12))</f>
        <v>12041</v>
      </c>
      <c r="C12" s="56">
        <f>IF($A12="","",SUMIFS(weekly_demand!$D:$D,weekly_demand!$A:$A,C$1,weekly_demand!$C:$C,$A12))</f>
        <v>3000</v>
      </c>
      <c r="D12" s="56">
        <f>IF($A12="","",SUMIFS(weekly_demand!$D:$D,weekly_demand!$A:$A,D$1,weekly_demand!$C:$C,$A12))</f>
        <v>2500</v>
      </c>
      <c r="E12" s="56">
        <f>IF($A12="","",SUMIFS(weekly_demand!$D:$D,weekly_demand!$A:$A,E$1,weekly_demand!$C:$C,$A12))</f>
        <v>500</v>
      </c>
      <c r="F12" s="56">
        <f>IF($A12="","",SUMIFS(weekly_demand!$D:$D,weekly_demand!$A:$A,F$1,weekly_demand!$C:$C,$A12))</f>
        <v>700</v>
      </c>
      <c r="G12" s="56">
        <f>IF($A12="","",SUMIFS(weekly_demand!$D:$D,weekly_demand!$A:$A,G$1,weekly_demand!$C:$C,$A12))</f>
        <v>4300</v>
      </c>
    </row>
    <row r="13" spans="1:7" x14ac:dyDescent="0.3">
      <c r="A13" s="38">
        <v>46209</v>
      </c>
      <c r="B13" s="56">
        <f>IF($A13="","",SUMIFS(weekly_demand!$D:$D,weekly_demand!$A:$A,B$1,weekly_demand!$C:$C,$A13))</f>
        <v>12040</v>
      </c>
      <c r="C13" s="56">
        <f>IF($A13="","",SUMIFS(weekly_demand!$D:$D,weekly_demand!$A:$A,C$1,weekly_demand!$C:$C,$A13))</f>
        <v>3000</v>
      </c>
      <c r="D13" s="56">
        <f>IF($A13="","",SUMIFS(weekly_demand!$D:$D,weekly_demand!$A:$A,D$1,weekly_demand!$C:$C,$A13))</f>
        <v>2500</v>
      </c>
      <c r="E13" s="56">
        <f>IF($A13="","",SUMIFS(weekly_demand!$D:$D,weekly_demand!$A:$A,E$1,weekly_demand!$C:$C,$A13))</f>
        <v>500</v>
      </c>
      <c r="F13" s="56">
        <f>IF($A13="","",SUMIFS(weekly_demand!$D:$D,weekly_demand!$A:$A,F$1,weekly_demand!$C:$C,$A13))</f>
        <v>300</v>
      </c>
      <c r="G13" s="56">
        <f>IF($A13="","",SUMIFS(weekly_demand!$D:$D,weekly_demand!$A:$A,G$1,weekly_demand!$C:$C,$A13))</f>
        <v>4700</v>
      </c>
    </row>
    <row r="14" spans="1:7" x14ac:dyDescent="0.3">
      <c r="A14" s="38">
        <v>46216</v>
      </c>
      <c r="B14" s="56">
        <f>IF($A14="","",SUMIFS(weekly_demand!$D:$D,weekly_demand!$A:$A,B$1,weekly_demand!$C:$C,$A14))</f>
        <v>0</v>
      </c>
      <c r="C14" s="56">
        <f>IF($A14="","",SUMIFS(weekly_demand!$D:$D,weekly_demand!$A:$A,C$1,weekly_demand!$C:$C,$A14))</f>
        <v>3000</v>
      </c>
      <c r="D14" s="56">
        <f>IF($A14="","",SUMIFS(weekly_demand!$D:$D,weekly_demand!$A:$A,D$1,weekly_demand!$C:$C,$A14))</f>
        <v>2500</v>
      </c>
      <c r="E14" s="56">
        <f>IF($A14="","",SUMIFS(weekly_demand!$D:$D,weekly_demand!$A:$A,E$1,weekly_demand!$C:$C,$A14))</f>
        <v>500</v>
      </c>
      <c r="F14" s="56">
        <f>IF($A14="","",SUMIFS(weekly_demand!$D:$D,weekly_demand!$A:$A,F$1,weekly_demand!$C:$C,$A14))</f>
        <v>300</v>
      </c>
      <c r="G14" s="56">
        <f>IF($A14="","",SUMIFS(weekly_demand!$D:$D,weekly_demand!$A:$A,G$1,weekly_demand!$C:$C,$A14))</f>
        <v>4746</v>
      </c>
    </row>
    <row r="15" spans="1:7" x14ac:dyDescent="0.3">
      <c r="A15" s="38">
        <v>46223</v>
      </c>
      <c r="B15" s="56">
        <f>IF($A15="","",SUMIFS(weekly_demand!$D:$D,weekly_demand!$A:$A,B$1,weekly_demand!$C:$C,$A15))</f>
        <v>0</v>
      </c>
      <c r="C15" s="56">
        <f>IF($A15="","",SUMIFS(weekly_demand!$D:$D,weekly_demand!$A:$A,C$1,weekly_demand!$C:$C,$A15))</f>
        <v>2400</v>
      </c>
      <c r="D15" s="56">
        <f>IF($A15="","",SUMIFS(weekly_demand!$D:$D,weekly_demand!$A:$A,D$1,weekly_demand!$C:$C,$A15))</f>
        <v>1000</v>
      </c>
      <c r="E15" s="56">
        <f>IF($A15="","",SUMIFS(weekly_demand!$D:$D,weekly_demand!$A:$A,E$1,weekly_demand!$C:$C,$A15))</f>
        <v>0</v>
      </c>
      <c r="F15" s="56">
        <f>IF($A15="","",SUMIFS(weekly_demand!$D:$D,weekly_demand!$A:$A,F$1,weekly_demand!$C:$C,$A15))</f>
        <v>300</v>
      </c>
      <c r="G15" s="56">
        <f>IF($A15="","",SUMIFS(weekly_demand!$D:$D,weekly_demand!$A:$A,G$1,weekly_demand!$C:$C,$A15))</f>
        <v>4300</v>
      </c>
    </row>
    <row r="16" spans="1:7" x14ac:dyDescent="0.3">
      <c r="A16" s="38">
        <v>46230</v>
      </c>
      <c r="B16" s="56">
        <f>IF($A16="","",SUMIFS(weekly_demand!$D:$D,weekly_demand!$A:$A,B$1,weekly_demand!$C:$C,$A16))</f>
        <v>27760</v>
      </c>
      <c r="C16" s="56">
        <f>IF($A16="","",SUMIFS(weekly_demand!$D:$D,weekly_demand!$A:$A,C$1,weekly_demand!$C:$C,$A16))</f>
        <v>2400</v>
      </c>
      <c r="D16" s="56">
        <f>IF($A16="","",SUMIFS(weekly_demand!$D:$D,weekly_demand!$A:$A,D$1,weekly_demand!$C:$C,$A16))</f>
        <v>1000</v>
      </c>
      <c r="E16" s="56">
        <f>IF($A16="","",SUMIFS(weekly_demand!$D:$D,weekly_demand!$A:$A,E$1,weekly_demand!$C:$C,$A16))</f>
        <v>0</v>
      </c>
      <c r="F16" s="56">
        <f>IF($A16="","",SUMIFS(weekly_demand!$D:$D,weekly_demand!$A:$A,F$1,weekly_demand!$C:$C,$A16))</f>
        <v>0</v>
      </c>
      <c r="G16" s="56">
        <f>IF($A16="","",SUMIFS(weekly_demand!$D:$D,weekly_demand!$A:$A,G$1,weekly_demand!$C:$C,$A16))</f>
        <v>476</v>
      </c>
    </row>
    <row r="17" spans="1:7" x14ac:dyDescent="0.3">
      <c r="A17" s="38">
        <v>46237</v>
      </c>
      <c r="B17" s="56">
        <f>IF($A17="","",SUMIFS(weekly_demand!$D:$D,weekly_demand!$A:$A,B$1,weekly_demand!$C:$C,$A17))</f>
        <v>26486</v>
      </c>
      <c r="C17" s="56">
        <f>IF($A17="","",SUMIFS(weekly_demand!$D:$D,weekly_demand!$A:$A,C$1,weekly_demand!$C:$C,$A17))</f>
        <v>0</v>
      </c>
      <c r="D17" s="56">
        <f>IF($A17="","",SUMIFS(weekly_demand!$D:$D,weekly_demand!$A:$A,D$1,weekly_demand!$C:$C,$A17))</f>
        <v>1000</v>
      </c>
      <c r="E17" s="56">
        <f>IF($A17="","",SUMIFS(weekly_demand!$D:$D,weekly_demand!$A:$A,E$1,weekly_demand!$C:$C,$A17))</f>
        <v>400</v>
      </c>
      <c r="F17" s="56">
        <f>IF($A17="","",SUMIFS(weekly_demand!$D:$D,weekly_demand!$A:$A,F$1,weekly_demand!$C:$C,$A17))</f>
        <v>0</v>
      </c>
      <c r="G17" s="56">
        <f>IF($A17="","",SUMIFS(weekly_demand!$D:$D,weekly_demand!$A:$A,G$1,weekly_demand!$C:$C,$A17))</f>
        <v>1298</v>
      </c>
    </row>
    <row r="18" spans="1:7" x14ac:dyDescent="0.3">
      <c r="A18" s="38">
        <v>46244</v>
      </c>
      <c r="B18" s="56">
        <f>IF($A18="","",SUMIFS(weekly_demand!$D:$D,weekly_demand!$A:$A,B$1,weekly_demand!$C:$C,$A18))</f>
        <v>4248</v>
      </c>
      <c r="C18" s="56">
        <f>IF($A18="","",SUMIFS(weekly_demand!$D:$D,weekly_demand!$A:$A,C$1,weekly_demand!$C:$C,$A18))</f>
        <v>2400</v>
      </c>
      <c r="D18" s="56">
        <f>IF($A18="","",SUMIFS(weekly_demand!$D:$D,weekly_demand!$A:$A,D$1,weekly_demand!$C:$C,$A18))</f>
        <v>1000</v>
      </c>
      <c r="E18" s="56">
        <f>IF($A18="","",SUMIFS(weekly_demand!$D:$D,weekly_demand!$A:$A,E$1,weekly_demand!$C:$C,$A18))</f>
        <v>0</v>
      </c>
      <c r="F18" s="56">
        <f>IF($A18="","",SUMIFS(weekly_demand!$D:$D,weekly_demand!$A:$A,F$1,weekly_demand!$C:$C,$A18))</f>
        <v>300</v>
      </c>
      <c r="G18" s="56">
        <f>IF($A18="","",SUMIFS(weekly_demand!$D:$D,weekly_demand!$A:$A,G$1,weekly_demand!$C:$C,$A18))</f>
        <v>1300</v>
      </c>
    </row>
    <row r="19" spans="1:7" x14ac:dyDescent="0.3">
      <c r="A19" s="38">
        <v>46251</v>
      </c>
      <c r="B19" s="56">
        <f>IF($A19="","",SUMIFS(weekly_demand!$D:$D,weekly_demand!$A:$A,B$1,weekly_demand!$C:$C,$A19))</f>
        <v>4248</v>
      </c>
      <c r="C19" s="56">
        <f>IF($A19="","",SUMIFS(weekly_demand!$D:$D,weekly_demand!$A:$A,C$1,weekly_demand!$C:$C,$A19))</f>
        <v>2400</v>
      </c>
      <c r="D19" s="56">
        <f>IF($A19="","",SUMIFS(weekly_demand!$D:$D,weekly_demand!$A:$A,D$1,weekly_demand!$C:$C,$A19))</f>
        <v>1000</v>
      </c>
      <c r="E19" s="56">
        <f>IF($A19="","",SUMIFS(weekly_demand!$D:$D,weekly_demand!$A:$A,E$1,weekly_demand!$C:$C,$A19))</f>
        <v>0</v>
      </c>
      <c r="F19" s="56">
        <f>IF($A19="","",SUMIFS(weekly_demand!$D:$D,weekly_demand!$A:$A,F$1,weekly_demand!$C:$C,$A19))</f>
        <v>0</v>
      </c>
      <c r="G19" s="56">
        <f>IF($A19="","",SUMIFS(weekly_demand!$D:$D,weekly_demand!$A:$A,G$1,weekly_demand!$C:$C,$A19))</f>
        <v>1298</v>
      </c>
    </row>
    <row r="20" spans="1:7" x14ac:dyDescent="0.3">
      <c r="A20" s="38">
        <v>46258</v>
      </c>
      <c r="B20" s="56">
        <f>IF($A20="","",SUMIFS(weekly_demand!$D:$D,weekly_demand!$A:$A,B$1,weekly_demand!$C:$C,$A20))</f>
        <v>4249</v>
      </c>
      <c r="C20" s="56">
        <f>IF($A20="","",SUMIFS(weekly_demand!$D:$D,weekly_demand!$A:$A,C$1,weekly_demand!$C:$C,$A20))</f>
        <v>3750</v>
      </c>
      <c r="D20" s="56">
        <f>IF($A20="","",SUMIFS(weekly_demand!$D:$D,weekly_demand!$A:$A,D$1,weekly_demand!$C:$C,$A20))</f>
        <v>750</v>
      </c>
      <c r="E20" s="56">
        <f>IF($A20="","",SUMIFS(weekly_demand!$D:$D,weekly_demand!$A:$A,E$1,weekly_demand!$C:$C,$A20))</f>
        <v>400</v>
      </c>
      <c r="F20" s="56">
        <f>IF($A20="","",SUMIFS(weekly_demand!$D:$D,weekly_demand!$A:$A,F$1,weekly_demand!$C:$C,$A20))</f>
        <v>0</v>
      </c>
      <c r="G20" s="56">
        <f>IF($A20="","",SUMIFS(weekly_demand!$D:$D,weekly_demand!$A:$A,G$1,weekly_demand!$C:$C,$A20))</f>
        <v>1506</v>
      </c>
    </row>
    <row r="21" spans="1:7" x14ac:dyDescent="0.3">
      <c r="A21" s="38">
        <v>46265</v>
      </c>
      <c r="B21" s="56">
        <f>IF($A21="","",SUMIFS(weekly_demand!$D:$D,weekly_demand!$A:$A,B$1,weekly_demand!$C:$C,$A21))</f>
        <v>4248</v>
      </c>
      <c r="C21" s="56">
        <f>IF($A21="","",SUMIFS(weekly_demand!$D:$D,weekly_demand!$A:$A,C$1,weekly_demand!$C:$C,$A21))</f>
        <v>3750</v>
      </c>
      <c r="D21" s="56">
        <f>IF($A21="","",SUMIFS(weekly_demand!$D:$D,weekly_demand!$A:$A,D$1,weekly_demand!$C:$C,$A21))</f>
        <v>750</v>
      </c>
      <c r="E21" s="56">
        <f>IF($A21="","",SUMIFS(weekly_demand!$D:$D,weekly_demand!$A:$A,E$1,weekly_demand!$C:$C,$A21))</f>
        <v>0</v>
      </c>
      <c r="F21" s="56">
        <f>IF($A21="","",SUMIFS(weekly_demand!$D:$D,weekly_demand!$A:$A,F$1,weekly_demand!$C:$C,$A21))</f>
        <v>300</v>
      </c>
      <c r="G21" s="56">
        <f>IF($A21="","",SUMIFS(weekly_demand!$D:$D,weekly_demand!$A:$A,G$1,weekly_demand!$C:$C,$A21))</f>
        <v>1506</v>
      </c>
    </row>
    <row r="22" spans="1:7" x14ac:dyDescent="0.3">
      <c r="A22" s="38">
        <v>46272</v>
      </c>
      <c r="B22" s="56">
        <f>IF($A22="","",SUMIFS(weekly_demand!$D:$D,weekly_demand!$A:$A,B$1,weekly_demand!$C:$C,$A22))</f>
        <v>2391</v>
      </c>
      <c r="C22" s="56">
        <f>IF($A22="","",SUMIFS(weekly_demand!$D:$D,weekly_demand!$A:$A,C$1,weekly_demand!$C:$C,$A22))</f>
        <v>3750</v>
      </c>
      <c r="D22" s="56">
        <f>IF($A22="","",SUMIFS(weekly_demand!$D:$D,weekly_demand!$A:$A,D$1,weekly_demand!$C:$C,$A22))</f>
        <v>750</v>
      </c>
      <c r="E22" s="56">
        <f>IF($A22="","",SUMIFS(weekly_demand!$D:$D,weekly_demand!$A:$A,E$1,weekly_demand!$C:$C,$A22))</f>
        <v>400</v>
      </c>
      <c r="F22" s="56">
        <f>IF($A22="","",SUMIFS(weekly_demand!$D:$D,weekly_demand!$A:$A,F$1,weekly_demand!$C:$C,$A22))</f>
        <v>0</v>
      </c>
      <c r="G22" s="56">
        <f>IF($A22="","",SUMIFS(weekly_demand!$D:$D,weekly_demand!$A:$A,G$1,weekly_demand!$C:$C,$A22))</f>
        <v>1506</v>
      </c>
    </row>
    <row r="23" spans="1:7" x14ac:dyDescent="0.3">
      <c r="A23" s="38">
        <v>46279</v>
      </c>
      <c r="B23" s="56">
        <f>IF($A23="","",SUMIFS(weekly_demand!$D:$D,weekly_demand!$A:$A,B$1,weekly_demand!$C:$C,$A23))</f>
        <v>2392</v>
      </c>
      <c r="C23" s="56">
        <f>IF($A23="","",SUMIFS(weekly_demand!$D:$D,weekly_demand!$A:$A,C$1,weekly_demand!$C:$C,$A23))</f>
        <v>3750</v>
      </c>
      <c r="D23" s="56">
        <f>IF($A23="","",SUMIFS(weekly_demand!$D:$D,weekly_demand!$A:$A,D$1,weekly_demand!$C:$C,$A23))</f>
        <v>750</v>
      </c>
      <c r="E23" s="56">
        <f>IF($A23="","",SUMIFS(weekly_demand!$D:$D,weekly_demand!$A:$A,E$1,weekly_demand!$C:$C,$A23))</f>
        <v>0</v>
      </c>
      <c r="F23" s="56">
        <f>IF($A23="","",SUMIFS(weekly_demand!$D:$D,weekly_demand!$A:$A,F$1,weekly_demand!$C:$C,$A23))</f>
        <v>0</v>
      </c>
      <c r="G23" s="56">
        <f>IF($A23="","",SUMIFS(weekly_demand!$D:$D,weekly_demand!$A:$A,G$1,weekly_demand!$C:$C,$A23))</f>
        <v>1506</v>
      </c>
    </row>
    <row r="24" spans="1:7" x14ac:dyDescent="0.3">
      <c r="A24" s="38">
        <v>46286</v>
      </c>
      <c r="B24" s="56">
        <f>IF($A24="","",SUMIFS(weekly_demand!$D:$D,weekly_demand!$A:$A,B$1,weekly_demand!$C:$C,$A24))</f>
        <v>2391</v>
      </c>
      <c r="C24" s="56">
        <f>IF($A24="","",SUMIFS(weekly_demand!$D:$D,weekly_demand!$A:$A,C$1,weekly_demand!$C:$C,$A24))</f>
        <v>3000</v>
      </c>
      <c r="D24" s="56">
        <f>IF($A24="","",SUMIFS(weekly_demand!$D:$D,weekly_demand!$A:$A,D$1,weekly_demand!$C:$C,$A24))</f>
        <v>600</v>
      </c>
      <c r="E24" s="56">
        <f>IF($A24="","",SUMIFS(weekly_demand!$D:$D,weekly_demand!$A:$A,E$1,weekly_demand!$C:$C,$A24))</f>
        <v>360</v>
      </c>
      <c r="F24" s="56">
        <f>IF($A24="","",SUMIFS(weekly_demand!$D:$D,weekly_demand!$A:$A,F$1,weekly_demand!$C:$C,$A24))</f>
        <v>0</v>
      </c>
      <c r="G24" s="56">
        <f>IF($A24="","",SUMIFS(weekly_demand!$D:$D,weekly_demand!$A:$A,G$1,weekly_demand!$C:$C,$A24))</f>
        <v>1446</v>
      </c>
    </row>
    <row r="25" spans="1:7" x14ac:dyDescent="0.3">
      <c r="A25" s="38">
        <v>46293</v>
      </c>
      <c r="B25" s="56">
        <f>IF($A25="","",SUMIFS(weekly_demand!$D:$D,weekly_demand!$A:$A,B$1,weekly_demand!$C:$C,$A25))</f>
        <v>2392</v>
      </c>
      <c r="C25" s="56">
        <f>IF($A25="","",SUMIFS(weekly_demand!$D:$D,weekly_demand!$A:$A,C$1,weekly_demand!$C:$C,$A25))</f>
        <v>3000</v>
      </c>
      <c r="D25" s="56">
        <f>IF($A25="","",SUMIFS(weekly_demand!$D:$D,weekly_demand!$A:$A,D$1,weekly_demand!$C:$C,$A25))</f>
        <v>600</v>
      </c>
      <c r="E25" s="56">
        <f>IF($A25="","",SUMIFS(weekly_demand!$D:$D,weekly_demand!$A:$A,E$1,weekly_demand!$C:$C,$A25))</f>
        <v>360</v>
      </c>
      <c r="F25" s="56">
        <f>IF($A25="","",SUMIFS(weekly_demand!$D:$D,weekly_demand!$A:$A,F$1,weekly_demand!$C:$C,$A25))</f>
        <v>300</v>
      </c>
      <c r="G25" s="56">
        <f>IF($A25="","",SUMIFS(weekly_demand!$D:$D,weekly_demand!$A:$A,G$1,weekly_demand!$C:$C,$A25))</f>
        <v>0</v>
      </c>
    </row>
    <row r="26" spans="1:7" x14ac:dyDescent="0.3">
      <c r="A26" s="38">
        <v>46300</v>
      </c>
      <c r="B26" s="56">
        <f>IF($A26="","",SUMIFS(weekly_demand!$D:$D,weekly_demand!$A:$A,B$1,weekly_demand!$C:$C,$A26))</f>
        <v>16017</v>
      </c>
      <c r="C26" s="56">
        <f>IF($A26="","",SUMIFS(weekly_demand!$D:$D,weekly_demand!$A:$A,C$1,weekly_demand!$C:$C,$A26))</f>
        <v>3000</v>
      </c>
      <c r="D26" s="56">
        <f>IF($A26="","",SUMIFS(weekly_demand!$D:$D,weekly_demand!$A:$A,D$1,weekly_demand!$C:$C,$A26))</f>
        <v>600</v>
      </c>
      <c r="E26" s="56">
        <f>IF($A26="","",SUMIFS(weekly_demand!$D:$D,weekly_demand!$A:$A,E$1,weekly_demand!$C:$C,$A26))</f>
        <v>360</v>
      </c>
      <c r="F26" s="56">
        <f>IF($A26="","",SUMIFS(weekly_demand!$D:$D,weekly_demand!$A:$A,F$1,weekly_demand!$C:$C,$A26))</f>
        <v>0</v>
      </c>
      <c r="G26" s="56">
        <f>IF($A26="","",SUMIFS(weekly_demand!$D:$D,weekly_demand!$A:$A,G$1,weekly_demand!$C:$C,$A26))</f>
        <v>0</v>
      </c>
    </row>
    <row r="27" spans="1:7" x14ac:dyDescent="0.3">
      <c r="A27" s="38">
        <v>46307</v>
      </c>
      <c r="B27" s="56">
        <f>IF($A27="","",SUMIFS(weekly_demand!$D:$D,weekly_demand!$A:$A,B$1,weekly_demand!$C:$C,$A27))</f>
        <v>16017</v>
      </c>
      <c r="C27" s="56">
        <f>IF($A27="","",SUMIFS(weekly_demand!$D:$D,weekly_demand!$A:$A,C$1,weekly_demand!$C:$C,$A27))</f>
        <v>3000</v>
      </c>
      <c r="D27" s="56">
        <f>IF($A27="","",SUMIFS(weekly_demand!$D:$D,weekly_demand!$A:$A,D$1,weekly_demand!$C:$C,$A27))</f>
        <v>600</v>
      </c>
      <c r="E27" s="56">
        <f>IF($A27="","",SUMIFS(weekly_demand!$D:$D,weekly_demand!$A:$A,E$1,weekly_demand!$C:$C,$A27))</f>
        <v>360</v>
      </c>
      <c r="F27" s="56">
        <f>IF($A27="","",SUMIFS(weekly_demand!$D:$D,weekly_demand!$A:$A,F$1,weekly_demand!$C:$C,$A27))</f>
        <v>0</v>
      </c>
      <c r="G27" s="56">
        <f>IF($A27="","",SUMIFS(weekly_demand!$D:$D,weekly_demand!$A:$A,G$1,weekly_demand!$C:$C,$A27))</f>
        <v>1448</v>
      </c>
    </row>
    <row r="28" spans="1:7" x14ac:dyDescent="0.3">
      <c r="A28" s="38">
        <v>46314</v>
      </c>
      <c r="B28" s="56">
        <f>IF($A28="","",SUMIFS(weekly_demand!$D:$D,weekly_demand!$A:$A,B$1,weekly_demand!$C:$C,$A28))</f>
        <v>16016</v>
      </c>
      <c r="C28" s="56">
        <f>IF($A28="","",SUMIFS(weekly_demand!$D:$D,weekly_demand!$A:$A,C$1,weekly_demand!$C:$C,$A28))</f>
        <v>3000</v>
      </c>
      <c r="D28" s="56">
        <f>IF($A28="","",SUMIFS(weekly_demand!$D:$D,weekly_demand!$A:$A,D$1,weekly_demand!$C:$C,$A28))</f>
        <v>600</v>
      </c>
      <c r="E28" s="56">
        <f>IF($A28="","",SUMIFS(weekly_demand!$D:$D,weekly_demand!$A:$A,E$1,weekly_demand!$C:$C,$A28))</f>
        <v>360</v>
      </c>
      <c r="F28" s="56">
        <f>IF($A28="","",SUMIFS(weekly_demand!$D:$D,weekly_demand!$A:$A,F$1,weekly_demand!$C:$C,$A28))</f>
        <v>0</v>
      </c>
      <c r="G28" s="56">
        <f>IF($A28="","",SUMIFS(weekly_demand!$D:$D,weekly_demand!$A:$A,G$1,weekly_demand!$C:$C,$A28))</f>
        <v>1448</v>
      </c>
    </row>
    <row r="29" spans="1:7" x14ac:dyDescent="0.3">
      <c r="A29" s="38">
        <v>46321</v>
      </c>
      <c r="B29" s="56">
        <f>IF($A29="","",SUMIFS(weekly_demand!$D:$D,weekly_demand!$A:$A,B$1,weekly_demand!$C:$C,$A29))</f>
        <v>16017</v>
      </c>
      <c r="C29" s="56">
        <f>IF($A29="","",SUMIFS(weekly_demand!$D:$D,weekly_demand!$A:$A,C$1,weekly_demand!$C:$C,$A29))</f>
        <v>6250</v>
      </c>
      <c r="D29" s="56">
        <f>IF($A29="","",SUMIFS(weekly_demand!$D:$D,weekly_demand!$A:$A,D$1,weekly_demand!$C:$C,$A29))</f>
        <v>500</v>
      </c>
      <c r="E29" s="56">
        <f>IF($A29="","",SUMIFS(weekly_demand!$D:$D,weekly_demand!$A:$A,E$1,weekly_demand!$C:$C,$A29))</f>
        <v>1000</v>
      </c>
      <c r="F29" s="56">
        <f>IF($A29="","",SUMIFS(weekly_demand!$D:$D,weekly_demand!$A:$A,F$1,weekly_demand!$C:$C,$A29))</f>
        <v>0</v>
      </c>
      <c r="G29" s="56">
        <f>IF($A29="","",SUMIFS(weekly_demand!$D:$D,weekly_demand!$A:$A,G$1,weekly_demand!$C:$C,$A29))</f>
        <v>1448</v>
      </c>
    </row>
    <row r="30" spans="1:7" x14ac:dyDescent="0.3">
      <c r="A30" s="38">
        <v>46328</v>
      </c>
      <c r="B30" s="56">
        <f>IF($A30="","",SUMIFS(weekly_demand!$D:$D,weekly_demand!$A:$A,B$1,weekly_demand!$C:$C,$A30))</f>
        <v>4281</v>
      </c>
      <c r="C30" s="56">
        <f>IF($A30="","",SUMIFS(weekly_demand!$D:$D,weekly_demand!$A:$A,C$1,weekly_demand!$C:$C,$A30))</f>
        <v>6250</v>
      </c>
      <c r="D30" s="56">
        <f>IF($A30="","",SUMIFS(weekly_demand!$D:$D,weekly_demand!$A:$A,D$1,weekly_demand!$C:$C,$A30))</f>
        <v>500</v>
      </c>
      <c r="E30" s="56">
        <f>IF($A30="","",SUMIFS(weekly_demand!$D:$D,weekly_demand!$A:$A,E$1,weekly_demand!$C:$C,$A30))</f>
        <v>1000</v>
      </c>
      <c r="F30" s="56">
        <f>IF($A30="","",SUMIFS(weekly_demand!$D:$D,weekly_demand!$A:$A,F$1,weekly_demand!$C:$C,$A30))</f>
        <v>300</v>
      </c>
      <c r="G30" s="56">
        <f>IF($A30="","",SUMIFS(weekly_demand!$D:$D,weekly_demand!$A:$A,G$1,weekly_demand!$C:$C,$A30))</f>
        <v>1754</v>
      </c>
    </row>
    <row r="31" spans="1:7" x14ac:dyDescent="0.3">
      <c r="A31" s="38">
        <v>46335</v>
      </c>
      <c r="B31" s="56">
        <f>IF($A31="","",SUMIFS(weekly_demand!$D:$D,weekly_demand!$A:$A,B$1,weekly_demand!$C:$C,$A31))</f>
        <v>4282</v>
      </c>
      <c r="C31" s="56">
        <f>IF($A31="","",SUMIFS(weekly_demand!$D:$D,weekly_demand!$A:$A,C$1,weekly_demand!$C:$C,$A31))</f>
        <v>6250</v>
      </c>
      <c r="D31" s="56">
        <f>IF($A31="","",SUMIFS(weekly_demand!$D:$D,weekly_demand!$A:$A,D$1,weekly_demand!$C:$C,$A31))</f>
        <v>500</v>
      </c>
      <c r="E31" s="56">
        <f>IF($A31="","",SUMIFS(weekly_demand!$D:$D,weekly_demand!$A:$A,E$1,weekly_demand!$C:$C,$A31))</f>
        <v>1000</v>
      </c>
      <c r="F31" s="56">
        <f>IF($A31="","",SUMIFS(weekly_demand!$D:$D,weekly_demand!$A:$A,F$1,weekly_demand!$C:$C,$A31))</f>
        <v>0</v>
      </c>
      <c r="G31" s="56">
        <f>IF($A31="","",SUMIFS(weekly_demand!$D:$D,weekly_demand!$A:$A,G$1,weekly_demand!$C:$C,$A31))</f>
        <v>1756</v>
      </c>
    </row>
    <row r="32" spans="1:7" x14ac:dyDescent="0.3">
      <c r="A32" s="38">
        <v>46342</v>
      </c>
      <c r="B32" s="56">
        <f>IF($A32="","",SUMIFS(weekly_demand!$D:$D,weekly_demand!$A:$A,B$1,weekly_demand!$C:$C,$A32))</f>
        <v>4281</v>
      </c>
      <c r="C32" s="56">
        <f>IF($A32="","",SUMIFS(weekly_demand!$D:$D,weekly_demand!$A:$A,C$1,weekly_demand!$C:$C,$A32))</f>
        <v>6250</v>
      </c>
      <c r="D32" s="56">
        <f>IF($A32="","",SUMIFS(weekly_demand!$D:$D,weekly_demand!$A:$A,D$1,weekly_demand!$C:$C,$A32))</f>
        <v>500</v>
      </c>
      <c r="E32" s="56">
        <f>IF($A32="","",SUMIFS(weekly_demand!$D:$D,weekly_demand!$A:$A,E$1,weekly_demand!$C:$C,$A32))</f>
        <v>1000</v>
      </c>
      <c r="F32" s="56">
        <f>IF($A32="","",SUMIFS(weekly_demand!$D:$D,weekly_demand!$A:$A,F$1,weekly_demand!$C:$C,$A32))</f>
        <v>0</v>
      </c>
      <c r="G32" s="56">
        <f>IF($A32="","",SUMIFS(weekly_demand!$D:$D,weekly_demand!$A:$A,G$1,weekly_demand!$C:$C,$A32))</f>
        <v>1756</v>
      </c>
    </row>
    <row r="33" spans="1:7" x14ac:dyDescent="0.3">
      <c r="A33" s="38">
        <v>46349</v>
      </c>
      <c r="B33" s="56">
        <f>IF($A33="","",SUMIFS(weekly_demand!$D:$D,weekly_demand!$A:$A,B$1,weekly_demand!$C:$C,$A33))</f>
        <v>4282</v>
      </c>
      <c r="C33" s="56">
        <f>IF($A33="","",SUMIFS(weekly_demand!$D:$D,weekly_demand!$A:$A,C$1,weekly_demand!$C:$C,$A33))</f>
        <v>6250</v>
      </c>
      <c r="D33" s="56">
        <f>IF($A33="","",SUMIFS(weekly_demand!$D:$D,weekly_demand!$A:$A,D$1,weekly_demand!$C:$C,$A33))</f>
        <v>3000</v>
      </c>
      <c r="E33" s="56">
        <f>IF($A33="","",SUMIFS(weekly_demand!$D:$D,weekly_demand!$A:$A,E$1,weekly_demand!$C:$C,$A33))</f>
        <v>1250</v>
      </c>
      <c r="F33" s="56">
        <f>IF($A33="","",SUMIFS(weekly_demand!$D:$D,weekly_demand!$A:$A,F$1,weekly_demand!$C:$C,$A33))</f>
        <v>0</v>
      </c>
      <c r="G33" s="56">
        <f>IF($A33="","",SUMIFS(weekly_demand!$D:$D,weekly_demand!$A:$A,G$1,weekly_demand!$C:$C,$A33))</f>
        <v>1756</v>
      </c>
    </row>
    <row r="34" spans="1:7" x14ac:dyDescent="0.3">
      <c r="A34" s="38">
        <v>46356</v>
      </c>
      <c r="B34" s="56">
        <f>IF($A34="","",SUMIFS(weekly_demand!$D:$D,weekly_demand!$A:$A,B$1,weekly_demand!$C:$C,$A34))</f>
        <v>4281</v>
      </c>
      <c r="C34" s="56">
        <f>IF($A34="","",SUMIFS(weekly_demand!$D:$D,weekly_demand!$A:$A,C$1,weekly_demand!$C:$C,$A34))</f>
        <v>6250</v>
      </c>
      <c r="D34" s="56">
        <f>IF($A34="","",SUMIFS(weekly_demand!$D:$D,weekly_demand!$A:$A,D$1,weekly_demand!$C:$C,$A34))</f>
        <v>3000</v>
      </c>
      <c r="E34" s="56">
        <f>IF($A34="","",SUMIFS(weekly_demand!$D:$D,weekly_demand!$A:$A,E$1,weekly_demand!$C:$C,$A34))</f>
        <v>1250</v>
      </c>
      <c r="F34" s="56">
        <f>IF($A34="","",SUMIFS(weekly_demand!$D:$D,weekly_demand!$A:$A,F$1,weekly_demand!$C:$C,$A34))</f>
        <v>300</v>
      </c>
      <c r="G34" s="56">
        <f>IF($A34="","",SUMIFS(weekly_demand!$D:$D,weekly_demand!$A:$A,G$1,weekly_demand!$C:$C,$A34))</f>
        <v>1928</v>
      </c>
    </row>
    <row r="35" spans="1:7" x14ac:dyDescent="0.3">
      <c r="A35" s="38">
        <v>46363</v>
      </c>
      <c r="B35" s="56">
        <f>IF($A35="","",SUMIFS(weekly_demand!$D:$D,weekly_demand!$A:$A,B$1,weekly_demand!$C:$C,$A35))</f>
        <v>8326</v>
      </c>
      <c r="C35" s="56">
        <f>IF($A35="","",SUMIFS(weekly_demand!$D:$D,weekly_demand!$A:$A,C$1,weekly_demand!$C:$C,$A35))</f>
        <v>6250</v>
      </c>
      <c r="D35" s="56">
        <f>IF($A35="","",SUMIFS(weekly_demand!$D:$D,weekly_demand!$A:$A,D$1,weekly_demand!$C:$C,$A35))</f>
        <v>3000</v>
      </c>
      <c r="E35" s="56">
        <f>IF($A35="","",SUMIFS(weekly_demand!$D:$D,weekly_demand!$A:$A,E$1,weekly_demand!$C:$C,$A35))</f>
        <v>1250</v>
      </c>
      <c r="F35" s="56">
        <f>IF($A35="","",SUMIFS(weekly_demand!$D:$D,weekly_demand!$A:$A,F$1,weekly_demand!$C:$C,$A35))</f>
        <v>0</v>
      </c>
      <c r="G35" s="56">
        <f>IF($A35="","",SUMIFS(weekly_demand!$D:$D,weekly_demand!$A:$A,G$1,weekly_demand!$C:$C,$A35))</f>
        <v>1930</v>
      </c>
    </row>
    <row r="36" spans="1:7" x14ac:dyDescent="0.3">
      <c r="A36" s="38">
        <v>46370</v>
      </c>
      <c r="B36" s="56">
        <f>IF($A36="","",SUMIFS(weekly_demand!$D:$D,weekly_demand!$A:$A,B$1,weekly_demand!$C:$C,$A36))</f>
        <v>8325</v>
      </c>
      <c r="C36" s="56">
        <f>IF($A36="","",SUMIFS(weekly_demand!$D:$D,weekly_demand!$A:$A,C$1,weekly_demand!$C:$C,$A36))</f>
        <v>6250</v>
      </c>
      <c r="D36" s="56">
        <f>IF($A36="","",SUMIFS(weekly_demand!$D:$D,weekly_demand!$A:$A,D$1,weekly_demand!$C:$C,$A36))</f>
        <v>3000</v>
      </c>
      <c r="E36" s="56">
        <f>IF($A36="","",SUMIFS(weekly_demand!$D:$D,weekly_demand!$A:$A,E$1,weekly_demand!$C:$C,$A36))</f>
        <v>1250</v>
      </c>
      <c r="F36" s="56">
        <f>IF($A36="","",SUMIFS(weekly_demand!$D:$D,weekly_demand!$A:$A,F$1,weekly_demand!$C:$C,$A36))</f>
        <v>0</v>
      </c>
      <c r="G36" s="56">
        <f>IF($A36="","",SUMIFS(weekly_demand!$D:$D,weekly_demand!$A:$A,G$1,weekly_demand!$C:$C,$A36))</f>
        <v>1928</v>
      </c>
    </row>
    <row r="37" spans="1:7" x14ac:dyDescent="0.3">
      <c r="A37" s="38"/>
      <c r="B37" s="39" t="str">
        <f>IF($A37="","",SUMIFS(weekly_demand!$D:$D,weekly_demand!$A:$A,B$1,weekly_demand!$C:$C,$A37))</f>
        <v/>
      </c>
      <c r="C37" s="39" t="str">
        <f>IF($A37="","",SUMIFS(weekly_demand!$D:$D,weekly_demand!$A:$A,C$1,weekly_demand!$C:$C,$A37))</f>
        <v/>
      </c>
      <c r="D37" s="39" t="str">
        <f>IF($A37="","",SUMIFS(weekly_demand!$D:$D,weekly_demand!$A:$A,D$1,weekly_demand!$C:$C,$A37))</f>
        <v/>
      </c>
      <c r="E37" s="39" t="str">
        <f>IF($A37="","",SUMIFS(weekly_demand!$D:$D,weekly_demand!$A:$A,E$1,weekly_demand!$C:$C,$A37))</f>
        <v/>
      </c>
      <c r="F37" s="39" t="str">
        <f>IF($A37="","",SUMIFS(weekly_demand!$D:$D,weekly_demand!$A:$A,F$1,weekly_demand!$C:$C,$A37))</f>
        <v/>
      </c>
      <c r="G37" s="39" t="str">
        <f>IF($A37="","",SUMIFS(weekly_demand!$D:$D,weekly_demand!$A:$A,G$1,weekly_demand!$C:$C,$A37))</f>
        <v/>
      </c>
    </row>
    <row r="38" spans="1:7" x14ac:dyDescent="0.3">
      <c r="A38" s="38"/>
      <c r="B38" s="39" t="str">
        <f>IF($A38="","",SUMIFS(weekly_demand!$D:$D,weekly_demand!$A:$A,B$1,weekly_demand!$C:$C,$A38))</f>
        <v/>
      </c>
      <c r="C38" s="39" t="str">
        <f>IF($A38="","",SUMIFS(weekly_demand!$D:$D,weekly_demand!$A:$A,C$1,weekly_demand!$C:$C,$A38))</f>
        <v/>
      </c>
      <c r="D38" s="39" t="str">
        <f>IF($A38="","",SUMIFS(weekly_demand!$D:$D,weekly_demand!$A:$A,D$1,weekly_demand!$C:$C,$A38))</f>
        <v/>
      </c>
      <c r="E38" s="39" t="str">
        <f>IF($A38="","",SUMIFS(weekly_demand!$D:$D,weekly_demand!$A:$A,E$1,weekly_demand!$C:$C,$A38))</f>
        <v/>
      </c>
      <c r="F38" s="39" t="str">
        <f>IF($A38="","",SUMIFS(weekly_demand!$D:$D,weekly_demand!$A:$A,F$1,weekly_demand!$C:$C,$A38))</f>
        <v/>
      </c>
      <c r="G38" s="39" t="str">
        <f>IF($A38="","",SUMIFS(weekly_demand!$D:$D,weekly_demand!$A:$A,G$1,weekly_demand!$C:$C,$A38))</f>
        <v/>
      </c>
    </row>
    <row r="39" spans="1:7" x14ac:dyDescent="0.3">
      <c r="A39" s="38"/>
      <c r="B39" s="39" t="str">
        <f>IF($A39="","",SUMIFS(weekly_demand!$D:$D,weekly_demand!$A:$A,B$1,weekly_demand!$C:$C,$A39))</f>
        <v/>
      </c>
      <c r="C39" s="39" t="str">
        <f>IF($A39="","",SUMIFS(weekly_demand!$D:$D,weekly_demand!$A:$A,C$1,weekly_demand!$C:$C,$A39))</f>
        <v/>
      </c>
      <c r="D39" s="39" t="str">
        <f>IF($A39="","",SUMIFS(weekly_demand!$D:$D,weekly_demand!$A:$A,D$1,weekly_demand!$C:$C,$A39))</f>
        <v/>
      </c>
      <c r="E39" s="39" t="str">
        <f>IF($A39="","",SUMIFS(weekly_demand!$D:$D,weekly_demand!$A:$A,E$1,weekly_demand!$C:$C,$A39))</f>
        <v/>
      </c>
      <c r="F39" s="39" t="str">
        <f>IF($A39="","",SUMIFS(weekly_demand!$D:$D,weekly_demand!$A:$A,F$1,weekly_demand!$C:$C,$A39))</f>
        <v/>
      </c>
      <c r="G39" s="39" t="str">
        <f>IF($A39="","",SUMIFS(weekly_demand!$D:$D,weekly_demand!$A:$A,G$1,weekly_demand!$C:$C,$A39))</f>
        <v/>
      </c>
    </row>
    <row r="40" spans="1:7" x14ac:dyDescent="0.3">
      <c r="A40" s="38"/>
      <c r="B40" s="39" t="str">
        <f>IF($A40="","",SUMIFS(weekly_demand!$D:$D,weekly_demand!$A:$A,B$1,weekly_demand!$C:$C,$A40))</f>
        <v/>
      </c>
      <c r="C40" s="39" t="str">
        <f>IF($A40="","",SUMIFS(weekly_demand!$D:$D,weekly_demand!$A:$A,C$1,weekly_demand!$C:$C,$A40))</f>
        <v/>
      </c>
      <c r="D40" s="39" t="str">
        <f>IF($A40="","",SUMIFS(weekly_demand!$D:$D,weekly_demand!$A:$A,D$1,weekly_demand!$C:$C,$A40))</f>
        <v/>
      </c>
      <c r="E40" s="39" t="str">
        <f>IF($A40="","",SUMIFS(weekly_demand!$D:$D,weekly_demand!$A:$A,E$1,weekly_demand!$C:$C,$A40))</f>
        <v/>
      </c>
      <c r="F40" s="39" t="str">
        <f>IF($A40="","",SUMIFS(weekly_demand!$D:$D,weekly_demand!$A:$A,F$1,weekly_demand!$C:$C,$A40))</f>
        <v/>
      </c>
      <c r="G40" s="39" t="str">
        <f>IF($A40="","",SUMIFS(weekly_demand!$D:$D,weekly_demand!$A:$A,G$1,weekly_demand!$C:$C,$A40))</f>
        <v/>
      </c>
    </row>
    <row r="41" spans="1:7" x14ac:dyDescent="0.3">
      <c r="A41" s="38"/>
      <c r="B41" s="39" t="str">
        <f>IF($A41="","",SUMIFS(weekly_demand!$D:$D,weekly_demand!$A:$A,B$1,weekly_demand!$C:$C,$A41))</f>
        <v/>
      </c>
      <c r="C41" s="39" t="str">
        <f>IF($A41="","",SUMIFS(weekly_demand!$D:$D,weekly_demand!$A:$A,C$1,weekly_demand!$C:$C,$A41))</f>
        <v/>
      </c>
      <c r="D41" s="39" t="str">
        <f>IF($A41="","",SUMIFS(weekly_demand!$D:$D,weekly_demand!$A:$A,D$1,weekly_demand!$C:$C,$A41))</f>
        <v/>
      </c>
      <c r="E41" s="39" t="str">
        <f>IF($A41="","",SUMIFS(weekly_demand!$D:$D,weekly_demand!$A:$A,E$1,weekly_demand!$C:$C,$A41))</f>
        <v/>
      </c>
      <c r="F41" s="39" t="str">
        <f>IF($A41="","",SUMIFS(weekly_demand!$D:$D,weekly_demand!$A:$A,F$1,weekly_demand!$C:$C,$A41))</f>
        <v/>
      </c>
      <c r="G41" s="39" t="str">
        <f>IF($A41="","",SUMIFS(weekly_demand!$D:$D,weekly_demand!$A:$A,G$1,weekly_demand!$C:$C,$A41))</f>
        <v/>
      </c>
    </row>
    <row r="42" spans="1:7" x14ac:dyDescent="0.3">
      <c r="A42" s="38"/>
      <c r="B42" s="39" t="str">
        <f>IF($A42="","",SUMIFS(weekly_demand!$D:$D,weekly_demand!$A:$A,B$1,weekly_demand!$C:$C,$A42))</f>
        <v/>
      </c>
      <c r="C42" s="39" t="str">
        <f>IF($A42="","",SUMIFS(weekly_demand!$D:$D,weekly_demand!$A:$A,C$1,weekly_demand!$C:$C,$A42))</f>
        <v/>
      </c>
      <c r="D42" s="39" t="str">
        <f>IF($A42="","",SUMIFS(weekly_demand!$D:$D,weekly_demand!$A:$A,D$1,weekly_demand!$C:$C,$A42))</f>
        <v/>
      </c>
      <c r="E42" s="39" t="str">
        <f>IF($A42="","",SUMIFS(weekly_demand!$D:$D,weekly_demand!$A:$A,E$1,weekly_demand!$C:$C,$A42))</f>
        <v/>
      </c>
      <c r="F42" s="39" t="str">
        <f>IF($A42="","",SUMIFS(weekly_demand!$D:$D,weekly_demand!$A:$A,F$1,weekly_demand!$C:$C,$A42))</f>
        <v/>
      </c>
      <c r="G42" s="39" t="str">
        <f>IF($A42="","",SUMIFS(weekly_demand!$D:$D,weekly_demand!$A:$A,G$1,weekly_demand!$C:$C,$A42))</f>
        <v/>
      </c>
    </row>
    <row r="43" spans="1:7" x14ac:dyDescent="0.3">
      <c r="A43" s="38"/>
      <c r="B43" s="39" t="str">
        <f>IF($A43="","",SUMIFS(weekly_demand!$D:$D,weekly_demand!$A:$A,B$1,weekly_demand!$C:$C,$A43))</f>
        <v/>
      </c>
      <c r="C43" s="39" t="str">
        <f>IF($A43="","",SUMIFS(weekly_demand!$D:$D,weekly_demand!$A:$A,C$1,weekly_demand!$C:$C,$A43))</f>
        <v/>
      </c>
      <c r="D43" s="39" t="str">
        <f>IF($A43="","",SUMIFS(weekly_demand!$D:$D,weekly_demand!$A:$A,D$1,weekly_demand!$C:$C,$A43))</f>
        <v/>
      </c>
      <c r="E43" s="39" t="str">
        <f>IF($A43="","",SUMIFS(weekly_demand!$D:$D,weekly_demand!$A:$A,E$1,weekly_demand!$C:$C,$A43))</f>
        <v/>
      </c>
      <c r="F43" s="39" t="str">
        <f>IF($A43="","",SUMIFS(weekly_demand!$D:$D,weekly_demand!$A:$A,F$1,weekly_demand!$C:$C,$A43))</f>
        <v/>
      </c>
      <c r="G43" s="39" t="str">
        <f>IF($A43="","",SUMIFS(weekly_demand!$D:$D,weekly_demand!$A:$A,G$1,weekly_demand!$C:$C,$A43))</f>
        <v/>
      </c>
    </row>
    <row r="44" spans="1:7" x14ac:dyDescent="0.3">
      <c r="A44" s="38"/>
      <c r="B44" s="39" t="str">
        <f>IF($A44="","",SUMIFS(weekly_demand!$D:$D,weekly_demand!$A:$A,B$1,weekly_demand!$C:$C,$A44))</f>
        <v/>
      </c>
      <c r="C44" s="39" t="str">
        <f>IF($A44="","",SUMIFS(weekly_demand!$D:$D,weekly_demand!$A:$A,C$1,weekly_demand!$C:$C,$A44))</f>
        <v/>
      </c>
      <c r="D44" s="39" t="str">
        <f>IF($A44="","",SUMIFS(weekly_demand!$D:$D,weekly_demand!$A:$A,D$1,weekly_demand!$C:$C,$A44))</f>
        <v/>
      </c>
      <c r="E44" s="39" t="str">
        <f>IF($A44="","",SUMIFS(weekly_demand!$D:$D,weekly_demand!$A:$A,E$1,weekly_demand!$C:$C,$A44))</f>
        <v/>
      </c>
      <c r="F44" s="39" t="str">
        <f>IF($A44="","",SUMIFS(weekly_demand!$D:$D,weekly_demand!$A:$A,F$1,weekly_demand!$C:$C,$A44))</f>
        <v/>
      </c>
      <c r="G44" s="39" t="str">
        <f>IF($A44="","",SUMIFS(weekly_demand!$D:$D,weekly_demand!$A:$A,G$1,weekly_demand!$C:$C,$A44))</f>
        <v/>
      </c>
    </row>
    <row r="45" spans="1:7" x14ac:dyDescent="0.3">
      <c r="A45" s="38"/>
      <c r="B45" s="39" t="str">
        <f>IF($A45="","",SUMIFS(weekly_demand!$D:$D,weekly_demand!$A:$A,B$1,weekly_demand!$C:$C,$A45))</f>
        <v/>
      </c>
      <c r="C45" s="39" t="str">
        <f>IF($A45="","",SUMIFS(weekly_demand!$D:$D,weekly_demand!$A:$A,C$1,weekly_demand!$C:$C,$A45))</f>
        <v/>
      </c>
      <c r="D45" s="39" t="str">
        <f>IF($A45="","",SUMIFS(weekly_demand!$D:$D,weekly_demand!$A:$A,D$1,weekly_demand!$C:$C,$A45))</f>
        <v/>
      </c>
      <c r="E45" s="39" t="str">
        <f>IF($A45="","",SUMIFS(weekly_demand!$D:$D,weekly_demand!$A:$A,E$1,weekly_demand!$C:$C,$A45))</f>
        <v/>
      </c>
      <c r="F45" s="39" t="str">
        <f>IF($A45="","",SUMIFS(weekly_demand!$D:$D,weekly_demand!$A:$A,F$1,weekly_demand!$C:$C,$A45))</f>
        <v/>
      </c>
      <c r="G45" s="39" t="str">
        <f>IF($A45="","",SUMIFS(weekly_demand!$D:$D,weekly_demand!$A:$A,G$1,weekly_demand!$C:$C,$A45))</f>
        <v/>
      </c>
    </row>
    <row r="46" spans="1:7" x14ac:dyDescent="0.3">
      <c r="A46" s="38"/>
      <c r="B46" s="39" t="str">
        <f>IF($A46="","",SUMIFS(weekly_demand!$D:$D,weekly_demand!$A:$A,B$1,weekly_demand!$C:$C,$A46))</f>
        <v/>
      </c>
      <c r="C46" s="39" t="str">
        <f>IF($A46="","",SUMIFS(weekly_demand!$D:$D,weekly_demand!$A:$A,C$1,weekly_demand!$C:$C,$A46))</f>
        <v/>
      </c>
      <c r="D46" s="39" t="str">
        <f>IF($A46="","",SUMIFS(weekly_demand!$D:$D,weekly_demand!$A:$A,D$1,weekly_demand!$C:$C,$A46))</f>
        <v/>
      </c>
      <c r="E46" s="39" t="str">
        <f>IF($A46="","",SUMIFS(weekly_demand!$D:$D,weekly_demand!$A:$A,E$1,weekly_demand!$C:$C,$A46))</f>
        <v/>
      </c>
      <c r="F46" s="39" t="str">
        <f>IF($A46="","",SUMIFS(weekly_demand!$D:$D,weekly_demand!$A:$A,F$1,weekly_demand!$C:$C,$A46))</f>
        <v/>
      </c>
      <c r="G46" s="39" t="str">
        <f>IF($A46="","",SUMIFS(weekly_demand!$D:$D,weekly_demand!$A:$A,G$1,weekly_demand!$C:$C,$A46))</f>
        <v/>
      </c>
    </row>
    <row r="47" spans="1:7" x14ac:dyDescent="0.3">
      <c r="A47" s="38"/>
      <c r="B47" s="39" t="str">
        <f>IF($A47="","",SUMIFS(weekly_demand!$D:$D,weekly_demand!$A:$A,B$1,weekly_demand!$C:$C,$A47))</f>
        <v/>
      </c>
      <c r="C47" s="39" t="str">
        <f>IF($A47="","",SUMIFS(weekly_demand!$D:$D,weekly_demand!$A:$A,C$1,weekly_demand!$C:$C,$A47))</f>
        <v/>
      </c>
      <c r="D47" s="39" t="str">
        <f>IF($A47="","",SUMIFS(weekly_demand!$D:$D,weekly_demand!$A:$A,D$1,weekly_demand!$C:$C,$A47))</f>
        <v/>
      </c>
      <c r="E47" s="39" t="str">
        <f>IF($A47="","",SUMIFS(weekly_demand!$D:$D,weekly_demand!$A:$A,E$1,weekly_demand!$C:$C,$A47))</f>
        <v/>
      </c>
      <c r="F47" s="39" t="str">
        <f>IF($A47="","",SUMIFS(weekly_demand!$D:$D,weekly_demand!$A:$A,F$1,weekly_demand!$C:$C,$A47))</f>
        <v/>
      </c>
      <c r="G47" s="39" t="str">
        <f>IF($A47="","",SUMIFS(weekly_demand!$D:$D,weekly_demand!$A:$A,G$1,weekly_demand!$C:$C,$A47))</f>
        <v/>
      </c>
    </row>
    <row r="48" spans="1:7" x14ac:dyDescent="0.3">
      <c r="A48" s="38"/>
      <c r="B48" s="39" t="str">
        <f>IF($A48="","",SUMIFS(weekly_demand!$D:$D,weekly_demand!$A:$A,B$1,weekly_demand!$C:$C,$A48))</f>
        <v/>
      </c>
      <c r="C48" s="39" t="str">
        <f>IF($A48="","",SUMIFS(weekly_demand!$D:$D,weekly_demand!$A:$A,C$1,weekly_demand!$C:$C,$A48))</f>
        <v/>
      </c>
      <c r="D48" s="39" t="str">
        <f>IF($A48="","",SUMIFS(weekly_demand!$D:$D,weekly_demand!$A:$A,D$1,weekly_demand!$C:$C,$A48))</f>
        <v/>
      </c>
      <c r="E48" s="39" t="str">
        <f>IF($A48="","",SUMIFS(weekly_demand!$D:$D,weekly_demand!$A:$A,E$1,weekly_demand!$C:$C,$A48))</f>
        <v/>
      </c>
      <c r="F48" s="39" t="str">
        <f>IF($A48="","",SUMIFS(weekly_demand!$D:$D,weekly_demand!$A:$A,F$1,weekly_demand!$C:$C,$A48))</f>
        <v/>
      </c>
      <c r="G48" s="39" t="str">
        <f>IF($A48="","",SUMIFS(weekly_demand!$D:$D,weekly_demand!$A:$A,G$1,weekly_demand!$C:$C,$A48))</f>
        <v/>
      </c>
    </row>
    <row r="49" spans="1:7" x14ac:dyDescent="0.3">
      <c r="A49" s="38"/>
      <c r="B49" s="39" t="str">
        <f>IF($A49="","",SUMIFS(weekly_demand!$D:$D,weekly_demand!$A:$A,B$1,weekly_demand!$C:$C,$A49))</f>
        <v/>
      </c>
      <c r="C49" s="39" t="str">
        <f>IF($A49="","",SUMIFS(weekly_demand!$D:$D,weekly_demand!$A:$A,C$1,weekly_demand!$C:$C,$A49))</f>
        <v/>
      </c>
      <c r="D49" s="39" t="str">
        <f>IF($A49="","",SUMIFS(weekly_demand!$D:$D,weekly_demand!$A:$A,D$1,weekly_demand!$C:$C,$A49))</f>
        <v/>
      </c>
      <c r="E49" s="39" t="str">
        <f>IF($A49="","",SUMIFS(weekly_demand!$D:$D,weekly_demand!$A:$A,E$1,weekly_demand!$C:$C,$A49))</f>
        <v/>
      </c>
      <c r="F49" s="39" t="str">
        <f>IF($A49="","",SUMIFS(weekly_demand!$D:$D,weekly_demand!$A:$A,F$1,weekly_demand!$C:$C,$A49))</f>
        <v/>
      </c>
      <c r="G49" s="39" t="str">
        <f>IF($A49="","",SUMIFS(weekly_demand!$D:$D,weekly_demand!$A:$A,G$1,weekly_demand!$C:$C,$A49))</f>
        <v/>
      </c>
    </row>
    <row r="50" spans="1:7" x14ac:dyDescent="0.3">
      <c r="A50" s="38"/>
      <c r="B50" s="39" t="str">
        <f>IF($A50="","",SUMIFS(weekly_demand!$D:$D,weekly_demand!$A:$A,B$1,weekly_demand!$C:$C,$A50))</f>
        <v/>
      </c>
      <c r="C50" s="39" t="str">
        <f>IF($A50="","",SUMIFS(weekly_demand!$D:$D,weekly_demand!$A:$A,C$1,weekly_demand!$C:$C,$A50))</f>
        <v/>
      </c>
      <c r="D50" s="39" t="str">
        <f>IF($A50="","",SUMIFS(weekly_demand!$D:$D,weekly_demand!$A:$A,D$1,weekly_demand!$C:$C,$A50))</f>
        <v/>
      </c>
      <c r="E50" s="39" t="str">
        <f>IF($A50="","",SUMIFS(weekly_demand!$D:$D,weekly_demand!$A:$A,E$1,weekly_demand!$C:$C,$A50))</f>
        <v/>
      </c>
      <c r="F50" s="39" t="str">
        <f>IF($A50="","",SUMIFS(weekly_demand!$D:$D,weekly_demand!$A:$A,F$1,weekly_demand!$C:$C,$A50))</f>
        <v/>
      </c>
      <c r="G50" s="39" t="str">
        <f>IF($A50="","",SUMIFS(weekly_demand!$D:$D,weekly_demand!$A:$A,G$1,weekly_demand!$C:$C,$A50))</f>
        <v/>
      </c>
    </row>
    <row r="51" spans="1:7" x14ac:dyDescent="0.3">
      <c r="A51" s="38"/>
      <c r="B51" s="39" t="str">
        <f>IF($A51="","",SUMIFS(weekly_demand!$D:$D,weekly_demand!$A:$A,B$1,weekly_demand!$C:$C,$A51))</f>
        <v/>
      </c>
      <c r="C51" s="39" t="str">
        <f>IF($A51="","",SUMIFS(weekly_demand!$D:$D,weekly_demand!$A:$A,C$1,weekly_demand!$C:$C,$A51))</f>
        <v/>
      </c>
      <c r="D51" s="39" t="str">
        <f>IF($A51="","",SUMIFS(weekly_demand!$D:$D,weekly_demand!$A:$A,D$1,weekly_demand!$C:$C,$A51))</f>
        <v/>
      </c>
      <c r="E51" s="39" t="str">
        <f>IF($A51="","",SUMIFS(weekly_demand!$D:$D,weekly_demand!$A:$A,E$1,weekly_demand!$C:$C,$A51))</f>
        <v/>
      </c>
      <c r="F51" s="39" t="str">
        <f>IF($A51="","",SUMIFS(weekly_demand!$D:$D,weekly_demand!$A:$A,F$1,weekly_demand!$C:$C,$A51))</f>
        <v/>
      </c>
      <c r="G51" s="39" t="str">
        <f>IF($A51="","",SUMIFS(weekly_demand!$D:$D,weekly_demand!$A:$A,G$1,weekly_demand!$C:$C,$A51))</f>
        <v/>
      </c>
    </row>
    <row r="52" spans="1:7" x14ac:dyDescent="0.3">
      <c r="A52" s="38"/>
      <c r="B52" s="39" t="str">
        <f>IF($A52="","",SUMIFS(weekly_demand!$D:$D,weekly_demand!$A:$A,B$1,weekly_demand!$C:$C,$A52))</f>
        <v/>
      </c>
      <c r="C52" s="39" t="str">
        <f>IF($A52="","",SUMIFS(weekly_demand!$D:$D,weekly_demand!$A:$A,C$1,weekly_demand!$C:$C,$A52))</f>
        <v/>
      </c>
      <c r="D52" s="39" t="str">
        <f>IF($A52="","",SUMIFS(weekly_demand!$D:$D,weekly_demand!$A:$A,D$1,weekly_demand!$C:$C,$A52))</f>
        <v/>
      </c>
      <c r="E52" s="39" t="str">
        <f>IF($A52="","",SUMIFS(weekly_demand!$D:$D,weekly_demand!$A:$A,E$1,weekly_demand!$C:$C,$A52))</f>
        <v/>
      </c>
      <c r="F52" s="39" t="str">
        <f>IF($A52="","",SUMIFS(weekly_demand!$D:$D,weekly_demand!$A:$A,F$1,weekly_demand!$C:$C,$A52))</f>
        <v/>
      </c>
      <c r="G52" s="39" t="str">
        <f>IF($A52="","",SUMIFS(weekly_demand!$D:$D,weekly_demand!$A:$A,G$1,weekly_demand!$C:$C,$A52))</f>
        <v/>
      </c>
    </row>
    <row r="53" spans="1:7" x14ac:dyDescent="0.3">
      <c r="A53" s="38"/>
      <c r="B53" s="39" t="str">
        <f>IF($A53="","",SUMIFS(weekly_demand!$D:$D,weekly_demand!$A:$A,B$1,weekly_demand!$C:$C,$A53))</f>
        <v/>
      </c>
      <c r="C53" s="39" t="str">
        <f>IF($A53="","",SUMIFS(weekly_demand!$D:$D,weekly_demand!$A:$A,C$1,weekly_demand!$C:$C,$A53))</f>
        <v/>
      </c>
      <c r="D53" s="39" t="str">
        <f>IF($A53="","",SUMIFS(weekly_demand!$D:$D,weekly_demand!$A:$A,D$1,weekly_demand!$C:$C,$A53))</f>
        <v/>
      </c>
      <c r="E53" s="39" t="str">
        <f>IF($A53="","",SUMIFS(weekly_demand!$D:$D,weekly_demand!$A:$A,E$1,weekly_demand!$C:$C,$A53))</f>
        <v/>
      </c>
      <c r="F53" s="39" t="str">
        <f>IF($A53="","",SUMIFS(weekly_demand!$D:$D,weekly_demand!$A:$A,F$1,weekly_demand!$C:$C,$A53))</f>
        <v/>
      </c>
      <c r="G53" s="39" t="str">
        <f>IF($A53="","",SUMIFS(weekly_demand!$D:$D,weekly_demand!$A:$A,G$1,weekly_demand!$C:$C,$A53))</f>
        <v/>
      </c>
    </row>
    <row r="54" spans="1:7" x14ac:dyDescent="0.3">
      <c r="A54" s="38"/>
      <c r="B54" s="39" t="str">
        <f>IF($A54="","",SUMIFS(weekly_demand!$D:$D,weekly_demand!$A:$A,B$1,weekly_demand!$C:$C,$A54))</f>
        <v/>
      </c>
      <c r="C54" s="39" t="str">
        <f>IF($A54="","",SUMIFS(weekly_demand!$D:$D,weekly_demand!$A:$A,C$1,weekly_demand!$C:$C,$A54))</f>
        <v/>
      </c>
      <c r="D54" s="39" t="str">
        <f>IF($A54="","",SUMIFS(weekly_demand!$D:$D,weekly_demand!$A:$A,D$1,weekly_demand!$C:$C,$A54))</f>
        <v/>
      </c>
      <c r="E54" s="39" t="str">
        <f>IF($A54="","",SUMIFS(weekly_demand!$D:$D,weekly_demand!$A:$A,E$1,weekly_demand!$C:$C,$A54))</f>
        <v/>
      </c>
      <c r="F54" s="39" t="str">
        <f>IF($A54="","",SUMIFS(weekly_demand!$D:$D,weekly_demand!$A:$A,F$1,weekly_demand!$C:$C,$A54))</f>
        <v/>
      </c>
      <c r="G54" s="39" t="str">
        <f>IF($A54="","",SUMIFS(weekly_demand!$D:$D,weekly_demand!$A:$A,G$1,weekly_demand!$C:$C,$A54))</f>
        <v/>
      </c>
    </row>
    <row r="55" spans="1:7" x14ac:dyDescent="0.3">
      <c r="A55" s="38"/>
      <c r="B55" s="39" t="str">
        <f>IF($A55="","",SUMIFS(weekly_demand!$D:$D,weekly_demand!$A:$A,B$1,weekly_demand!$C:$C,$A55))</f>
        <v/>
      </c>
      <c r="C55" s="39" t="str">
        <f>IF($A55="","",SUMIFS(weekly_demand!$D:$D,weekly_demand!$A:$A,C$1,weekly_demand!$C:$C,$A55))</f>
        <v/>
      </c>
      <c r="D55" s="39" t="str">
        <f>IF($A55="","",SUMIFS(weekly_demand!$D:$D,weekly_demand!$A:$A,D$1,weekly_demand!$C:$C,$A55))</f>
        <v/>
      </c>
      <c r="E55" s="39" t="str">
        <f>IF($A55="","",SUMIFS(weekly_demand!$D:$D,weekly_demand!$A:$A,E$1,weekly_demand!$C:$C,$A55))</f>
        <v/>
      </c>
      <c r="F55" s="39" t="str">
        <f>IF($A55="","",SUMIFS(weekly_demand!$D:$D,weekly_demand!$A:$A,F$1,weekly_demand!$C:$C,$A55))</f>
        <v/>
      </c>
      <c r="G55" s="39" t="str">
        <f>IF($A55="","",SUMIFS(weekly_demand!$D:$D,weekly_demand!$A:$A,G$1,weekly_demand!$C:$C,$A55))</f>
        <v/>
      </c>
    </row>
    <row r="56" spans="1:7" x14ac:dyDescent="0.3">
      <c r="A56" s="38"/>
      <c r="B56" s="39" t="str">
        <f>IF($A56="","",SUMIFS(weekly_demand!$D:$D,weekly_demand!$A:$A,B$1,weekly_demand!$C:$C,$A56))</f>
        <v/>
      </c>
      <c r="C56" s="39" t="str">
        <f>IF($A56="","",SUMIFS(weekly_demand!$D:$D,weekly_demand!$A:$A,C$1,weekly_demand!$C:$C,$A56))</f>
        <v/>
      </c>
      <c r="D56" s="39" t="str">
        <f>IF($A56="","",SUMIFS(weekly_demand!$D:$D,weekly_demand!$A:$A,D$1,weekly_demand!$C:$C,$A56))</f>
        <v/>
      </c>
      <c r="E56" s="39" t="str">
        <f>IF($A56="","",SUMIFS(weekly_demand!$D:$D,weekly_demand!$A:$A,E$1,weekly_demand!$C:$C,$A56))</f>
        <v/>
      </c>
      <c r="F56" s="39" t="str">
        <f>IF($A56="","",SUMIFS(weekly_demand!$D:$D,weekly_demand!$A:$A,F$1,weekly_demand!$C:$C,$A56))</f>
        <v/>
      </c>
      <c r="G56" s="39" t="str">
        <f>IF($A56="","",SUMIFS(weekly_demand!$D:$D,weekly_demand!$A:$A,G$1,weekly_demand!$C:$C,$A56))</f>
        <v/>
      </c>
    </row>
    <row r="57" spans="1:7" x14ac:dyDescent="0.3">
      <c r="A57" s="38"/>
      <c r="B57" s="39" t="str">
        <f>IF($A57="","",SUMIFS(weekly_demand!$D:$D,weekly_demand!$A:$A,B$1,weekly_demand!$C:$C,$A57))</f>
        <v/>
      </c>
      <c r="C57" s="39" t="str">
        <f>IF($A57="","",SUMIFS(weekly_demand!$D:$D,weekly_demand!$A:$A,C$1,weekly_demand!$C:$C,$A57))</f>
        <v/>
      </c>
      <c r="D57" s="39" t="str">
        <f>IF($A57="","",SUMIFS(weekly_demand!$D:$D,weekly_demand!$A:$A,D$1,weekly_demand!$C:$C,$A57))</f>
        <v/>
      </c>
      <c r="E57" s="39" t="str">
        <f>IF($A57="","",SUMIFS(weekly_demand!$D:$D,weekly_demand!$A:$A,E$1,weekly_demand!$C:$C,$A57))</f>
        <v/>
      </c>
      <c r="F57" s="39" t="str">
        <f>IF($A57="","",SUMIFS(weekly_demand!$D:$D,weekly_demand!$A:$A,F$1,weekly_demand!$C:$C,$A57))</f>
        <v/>
      </c>
      <c r="G57" s="39" t="str">
        <f>IF($A57="","",SUMIFS(weekly_demand!$D:$D,weekly_demand!$A:$A,G$1,weekly_demand!$C:$C,$A57))</f>
        <v/>
      </c>
    </row>
    <row r="58" spans="1:7" x14ac:dyDescent="0.3">
      <c r="A58" s="38"/>
      <c r="B58" s="39" t="str">
        <f>IF($A58="","",SUMIFS(weekly_demand!$D:$D,weekly_demand!$A:$A,B$1,weekly_demand!$C:$C,$A58))</f>
        <v/>
      </c>
      <c r="C58" s="39" t="str">
        <f>IF($A58="","",SUMIFS(weekly_demand!$D:$D,weekly_demand!$A:$A,C$1,weekly_demand!$C:$C,$A58))</f>
        <v/>
      </c>
      <c r="D58" s="39" t="str">
        <f>IF($A58="","",SUMIFS(weekly_demand!$D:$D,weekly_demand!$A:$A,D$1,weekly_demand!$C:$C,$A58))</f>
        <v/>
      </c>
      <c r="E58" s="39" t="str">
        <f>IF($A58="","",SUMIFS(weekly_demand!$D:$D,weekly_demand!$A:$A,E$1,weekly_demand!$C:$C,$A58))</f>
        <v/>
      </c>
      <c r="F58" s="39" t="str">
        <f>IF($A58="","",SUMIFS(weekly_demand!$D:$D,weekly_demand!$A:$A,F$1,weekly_demand!$C:$C,$A58))</f>
        <v/>
      </c>
      <c r="G58" s="39" t="str">
        <f>IF($A58="","",SUMIFS(weekly_demand!$D:$D,weekly_demand!$A:$A,G$1,weekly_demand!$C:$C,$A58))</f>
        <v/>
      </c>
    </row>
    <row r="59" spans="1:7" x14ac:dyDescent="0.3">
      <c r="A59" s="38"/>
      <c r="B59" s="39" t="str">
        <f>IF($A59="","",SUMIFS(weekly_demand!$D:$D,weekly_demand!$A:$A,B$1,weekly_demand!$C:$C,$A59))</f>
        <v/>
      </c>
      <c r="C59" s="39" t="str">
        <f>IF($A59="","",SUMIFS(weekly_demand!$D:$D,weekly_demand!$A:$A,C$1,weekly_demand!$C:$C,$A59))</f>
        <v/>
      </c>
      <c r="D59" s="39" t="str">
        <f>IF($A59="","",SUMIFS(weekly_demand!$D:$D,weekly_demand!$A:$A,D$1,weekly_demand!$C:$C,$A59))</f>
        <v/>
      </c>
      <c r="E59" s="39" t="str">
        <f>IF($A59="","",SUMIFS(weekly_demand!$D:$D,weekly_demand!$A:$A,E$1,weekly_demand!$C:$C,$A59))</f>
        <v/>
      </c>
      <c r="F59" s="39" t="str">
        <f>IF($A59="","",SUMIFS(weekly_demand!$D:$D,weekly_demand!$A:$A,F$1,weekly_demand!$C:$C,$A59))</f>
        <v/>
      </c>
      <c r="G59" s="39" t="str">
        <f>IF($A59="","",SUMIFS(weekly_demand!$D:$D,weekly_demand!$A:$A,G$1,weekly_demand!$C:$C,$A59))</f>
        <v/>
      </c>
    </row>
    <row r="60" spans="1:7" x14ac:dyDescent="0.3">
      <c r="A60" s="38"/>
      <c r="B60" s="39" t="str">
        <f>IF($A60="","",SUMIFS(weekly_demand!$D:$D,weekly_demand!$A:$A,B$1,weekly_demand!$C:$C,$A60))</f>
        <v/>
      </c>
      <c r="C60" s="39" t="str">
        <f>IF($A60="","",SUMIFS(weekly_demand!$D:$D,weekly_demand!$A:$A,C$1,weekly_demand!$C:$C,$A60))</f>
        <v/>
      </c>
      <c r="D60" s="39" t="str">
        <f>IF($A60="","",SUMIFS(weekly_demand!$D:$D,weekly_demand!$A:$A,D$1,weekly_demand!$C:$C,$A60))</f>
        <v/>
      </c>
      <c r="E60" s="39" t="str">
        <f>IF($A60="","",SUMIFS(weekly_demand!$D:$D,weekly_demand!$A:$A,E$1,weekly_demand!$C:$C,$A60))</f>
        <v/>
      </c>
      <c r="F60" s="39" t="str">
        <f>IF($A60="","",SUMIFS(weekly_demand!$D:$D,weekly_demand!$A:$A,F$1,weekly_demand!$C:$C,$A60))</f>
        <v/>
      </c>
      <c r="G60" s="39" t="str">
        <f>IF($A60="","",SUMIFS(weekly_demand!$D:$D,weekly_demand!$A:$A,G$1,weekly_demand!$C:$C,$A60))</f>
        <v/>
      </c>
    </row>
    <row r="61" spans="1:7" x14ac:dyDescent="0.3">
      <c r="A61" s="38"/>
      <c r="B61" s="39" t="str">
        <f>IF($A61="","",SUMIFS(weekly_demand!$D:$D,weekly_demand!$A:$A,B$1,weekly_demand!$C:$C,$A61))</f>
        <v/>
      </c>
      <c r="C61" s="39" t="str">
        <f>IF($A61="","",SUMIFS(weekly_demand!$D:$D,weekly_demand!$A:$A,C$1,weekly_demand!$C:$C,$A61))</f>
        <v/>
      </c>
      <c r="D61" s="39" t="str">
        <f>IF($A61="","",SUMIFS(weekly_demand!$D:$D,weekly_demand!$A:$A,D$1,weekly_demand!$C:$C,$A61))</f>
        <v/>
      </c>
      <c r="E61" s="39" t="str">
        <f>IF($A61="","",SUMIFS(weekly_demand!$D:$D,weekly_demand!$A:$A,E$1,weekly_demand!$C:$C,$A61))</f>
        <v/>
      </c>
      <c r="F61" s="39" t="str">
        <f>IF($A61="","",SUMIFS(weekly_demand!$D:$D,weekly_demand!$A:$A,F$1,weekly_demand!$C:$C,$A61))</f>
        <v/>
      </c>
      <c r="G61" s="39" t="str">
        <f>IF($A61="","",SUMIFS(weekly_demand!$D:$D,weekly_demand!$A:$A,G$1,weekly_demand!$C:$C,$A61))</f>
        <v/>
      </c>
    </row>
    <row r="62" spans="1:7" x14ac:dyDescent="0.3">
      <c r="A62" s="38"/>
      <c r="B62" s="39" t="str">
        <f>IF($A62="","",SUMIFS(weekly_demand!$D:$D,weekly_demand!$A:$A,B$1,weekly_demand!$C:$C,$A62))</f>
        <v/>
      </c>
      <c r="C62" s="39" t="str">
        <f>IF($A62="","",SUMIFS(weekly_demand!$D:$D,weekly_demand!$A:$A,C$1,weekly_demand!$C:$C,$A62))</f>
        <v/>
      </c>
      <c r="D62" s="39" t="str">
        <f>IF($A62="","",SUMIFS(weekly_demand!$D:$D,weekly_demand!$A:$A,D$1,weekly_demand!$C:$C,$A62))</f>
        <v/>
      </c>
      <c r="E62" s="39" t="str">
        <f>IF($A62="","",SUMIFS(weekly_demand!$D:$D,weekly_demand!$A:$A,E$1,weekly_demand!$C:$C,$A62))</f>
        <v/>
      </c>
      <c r="F62" s="39" t="str">
        <f>IF($A62="","",SUMIFS(weekly_demand!$D:$D,weekly_demand!$A:$A,F$1,weekly_demand!$C:$C,$A62))</f>
        <v/>
      </c>
      <c r="G62" s="39" t="str">
        <f>IF($A62="","",SUMIFS(weekly_demand!$D:$D,weekly_demand!$A:$A,G$1,weekly_demand!$C:$C,$A62))</f>
        <v/>
      </c>
    </row>
    <row r="63" spans="1:7" x14ac:dyDescent="0.3">
      <c r="A63" s="38"/>
      <c r="B63" s="39" t="str">
        <f>IF($A63="","",SUMIFS(weekly_demand!$D:$D,weekly_demand!$A:$A,B$1,weekly_demand!$C:$C,$A63))</f>
        <v/>
      </c>
      <c r="C63" s="39" t="str">
        <f>IF($A63="","",SUMIFS(weekly_demand!$D:$D,weekly_demand!$A:$A,C$1,weekly_demand!$C:$C,$A63))</f>
        <v/>
      </c>
      <c r="D63" s="39" t="str">
        <f>IF($A63="","",SUMIFS(weekly_demand!$D:$D,weekly_demand!$A:$A,D$1,weekly_demand!$C:$C,$A63))</f>
        <v/>
      </c>
      <c r="E63" s="39" t="str">
        <f>IF($A63="","",SUMIFS(weekly_demand!$D:$D,weekly_demand!$A:$A,E$1,weekly_demand!$C:$C,$A63))</f>
        <v/>
      </c>
      <c r="F63" s="39" t="str">
        <f>IF($A63="","",SUMIFS(weekly_demand!$D:$D,weekly_demand!$A:$A,F$1,weekly_demand!$C:$C,$A63))</f>
        <v/>
      </c>
      <c r="G63" s="39" t="str">
        <f>IF($A63="","",SUMIFS(weekly_demand!$D:$D,weekly_demand!$A:$A,G$1,weekly_demand!$C:$C,$A63))</f>
        <v/>
      </c>
    </row>
    <row r="64" spans="1:7" x14ac:dyDescent="0.3">
      <c r="A64" s="38"/>
      <c r="B64" s="39" t="str">
        <f>IF($A64="","",SUMIFS(weekly_demand!$D:$D,weekly_demand!$A:$A,B$1,weekly_demand!$C:$C,$A64))</f>
        <v/>
      </c>
      <c r="C64" s="39" t="str">
        <f>IF($A64="","",SUMIFS(weekly_demand!$D:$D,weekly_demand!$A:$A,C$1,weekly_demand!$C:$C,$A64))</f>
        <v/>
      </c>
      <c r="D64" s="39" t="str">
        <f>IF($A64="","",SUMIFS(weekly_demand!$D:$D,weekly_demand!$A:$A,D$1,weekly_demand!$C:$C,$A64))</f>
        <v/>
      </c>
      <c r="E64" s="39" t="str">
        <f>IF($A64="","",SUMIFS(weekly_demand!$D:$D,weekly_demand!$A:$A,E$1,weekly_demand!$C:$C,$A64))</f>
        <v/>
      </c>
      <c r="F64" s="39" t="str">
        <f>IF($A64="","",SUMIFS(weekly_demand!$D:$D,weekly_demand!$A:$A,F$1,weekly_demand!$C:$C,$A64))</f>
        <v/>
      </c>
      <c r="G64" s="39" t="str">
        <f>IF($A64="","",SUMIFS(weekly_demand!$D:$D,weekly_demand!$A:$A,G$1,weekly_demand!$C:$C,$A64))</f>
        <v/>
      </c>
    </row>
    <row r="65" spans="1:7" x14ac:dyDescent="0.3">
      <c r="A65" s="38"/>
      <c r="B65" s="39" t="str">
        <f>IF($A65="","",SUMIFS(weekly_demand!$D:$D,weekly_demand!$A:$A,B$1,weekly_demand!$C:$C,$A65))</f>
        <v/>
      </c>
      <c r="C65" s="39" t="str">
        <f>IF($A65="","",SUMIFS(weekly_demand!$D:$D,weekly_demand!$A:$A,C$1,weekly_demand!$C:$C,$A65))</f>
        <v/>
      </c>
      <c r="D65" s="39" t="str">
        <f>IF($A65="","",SUMIFS(weekly_demand!$D:$D,weekly_demand!$A:$A,D$1,weekly_demand!$C:$C,$A65))</f>
        <v/>
      </c>
      <c r="E65" s="39" t="str">
        <f>IF($A65="","",SUMIFS(weekly_demand!$D:$D,weekly_demand!$A:$A,E$1,weekly_demand!$C:$C,$A65))</f>
        <v/>
      </c>
      <c r="F65" s="39" t="str">
        <f>IF($A65="","",SUMIFS(weekly_demand!$D:$D,weekly_demand!$A:$A,F$1,weekly_demand!$C:$C,$A65))</f>
        <v/>
      </c>
      <c r="G65" s="39" t="str">
        <f>IF($A65="","",SUMIFS(weekly_demand!$D:$D,weekly_demand!$A:$A,G$1,weekly_demand!$C:$C,$A65))</f>
        <v/>
      </c>
    </row>
    <row r="66" spans="1:7" x14ac:dyDescent="0.3">
      <c r="A66" s="38"/>
      <c r="B66" s="39" t="str">
        <f>IF($A66="","",SUMIFS(weekly_demand!$D:$D,weekly_demand!$A:$A,B$1,weekly_demand!$C:$C,$A66))</f>
        <v/>
      </c>
      <c r="C66" s="39" t="str">
        <f>IF($A66="","",SUMIFS(weekly_demand!$D:$D,weekly_demand!$A:$A,C$1,weekly_demand!$C:$C,$A66))</f>
        <v/>
      </c>
      <c r="D66" s="39" t="str">
        <f>IF($A66="","",SUMIFS(weekly_demand!$D:$D,weekly_demand!$A:$A,D$1,weekly_demand!$C:$C,$A66))</f>
        <v/>
      </c>
      <c r="E66" s="39" t="str">
        <f>IF($A66="","",SUMIFS(weekly_demand!$D:$D,weekly_demand!$A:$A,E$1,weekly_demand!$C:$C,$A66))</f>
        <v/>
      </c>
      <c r="F66" s="39" t="str">
        <f>IF($A66="","",SUMIFS(weekly_demand!$D:$D,weekly_demand!$A:$A,F$1,weekly_demand!$C:$C,$A66))</f>
        <v/>
      </c>
      <c r="G66" s="39" t="str">
        <f>IF($A66="","",SUMIFS(weekly_demand!$D:$D,weekly_demand!$A:$A,G$1,weekly_demand!$C:$C,$A66))</f>
        <v/>
      </c>
    </row>
    <row r="67" spans="1:7" x14ac:dyDescent="0.3">
      <c r="A67" s="38"/>
      <c r="B67" s="39" t="str">
        <f>IF($A67="","",SUMIFS(weekly_demand!$D:$D,weekly_demand!$A:$A,B$1,weekly_demand!$C:$C,$A67))</f>
        <v/>
      </c>
      <c r="C67" s="39" t="str">
        <f>IF($A67="","",SUMIFS(weekly_demand!$D:$D,weekly_demand!$A:$A,C$1,weekly_demand!$C:$C,$A67))</f>
        <v/>
      </c>
      <c r="D67" s="39" t="str">
        <f>IF($A67="","",SUMIFS(weekly_demand!$D:$D,weekly_demand!$A:$A,D$1,weekly_demand!$C:$C,$A67))</f>
        <v/>
      </c>
      <c r="E67" s="39" t="str">
        <f>IF($A67="","",SUMIFS(weekly_demand!$D:$D,weekly_demand!$A:$A,E$1,weekly_demand!$C:$C,$A67))</f>
        <v/>
      </c>
      <c r="F67" s="39" t="str">
        <f>IF($A67="","",SUMIFS(weekly_demand!$D:$D,weekly_demand!$A:$A,F$1,weekly_demand!$C:$C,$A67))</f>
        <v/>
      </c>
      <c r="G67" s="39" t="str">
        <f>IF($A67="","",SUMIFS(weekly_demand!$D:$D,weekly_demand!$A:$A,G$1,weekly_demand!$C:$C,$A67))</f>
        <v/>
      </c>
    </row>
    <row r="68" spans="1:7" x14ac:dyDescent="0.3">
      <c r="A68" s="38"/>
      <c r="B68" s="39" t="str">
        <f>IF($A68="","",SUMIFS(weekly_demand!$D:$D,weekly_demand!$A:$A,B$1,weekly_demand!$C:$C,$A68))</f>
        <v/>
      </c>
      <c r="C68" s="39" t="str">
        <f>IF($A68="","",SUMIFS(weekly_demand!$D:$D,weekly_demand!$A:$A,C$1,weekly_demand!$C:$C,$A68))</f>
        <v/>
      </c>
      <c r="D68" s="39" t="str">
        <f>IF($A68="","",SUMIFS(weekly_demand!$D:$D,weekly_demand!$A:$A,D$1,weekly_demand!$C:$C,$A68))</f>
        <v/>
      </c>
      <c r="E68" s="39" t="str">
        <f>IF($A68="","",SUMIFS(weekly_demand!$D:$D,weekly_demand!$A:$A,E$1,weekly_demand!$C:$C,$A68))</f>
        <v/>
      </c>
      <c r="F68" s="39" t="str">
        <f>IF($A68="","",SUMIFS(weekly_demand!$D:$D,weekly_demand!$A:$A,F$1,weekly_demand!$C:$C,$A68))</f>
        <v/>
      </c>
      <c r="G68" s="39" t="str">
        <f>IF($A68="","",SUMIFS(weekly_demand!$D:$D,weekly_demand!$A:$A,G$1,weekly_demand!$C:$C,$A68))</f>
        <v/>
      </c>
    </row>
    <row r="69" spans="1:7" x14ac:dyDescent="0.3">
      <c r="A69" s="38"/>
      <c r="B69" s="39" t="str">
        <f>IF($A69="","",SUMIFS(weekly_demand!$D:$D,weekly_demand!$A:$A,B$1,weekly_demand!$C:$C,$A69))</f>
        <v/>
      </c>
      <c r="C69" s="39" t="str">
        <f>IF($A69="","",SUMIFS(weekly_demand!$D:$D,weekly_demand!$A:$A,C$1,weekly_demand!$C:$C,$A69))</f>
        <v/>
      </c>
      <c r="D69" s="39" t="str">
        <f>IF($A69="","",SUMIFS(weekly_demand!$D:$D,weekly_demand!$A:$A,D$1,weekly_demand!$C:$C,$A69))</f>
        <v/>
      </c>
      <c r="E69" s="39" t="str">
        <f>IF($A69="","",SUMIFS(weekly_demand!$D:$D,weekly_demand!$A:$A,E$1,weekly_demand!$C:$C,$A69))</f>
        <v/>
      </c>
      <c r="F69" s="39" t="str">
        <f>IF($A69="","",SUMIFS(weekly_demand!$D:$D,weekly_demand!$A:$A,F$1,weekly_demand!$C:$C,$A69))</f>
        <v/>
      </c>
      <c r="G69" s="39" t="str">
        <f>IF($A69="","",SUMIFS(weekly_demand!$D:$D,weekly_demand!$A:$A,G$1,weekly_demand!$C:$C,$A69))</f>
        <v/>
      </c>
    </row>
    <row r="70" spans="1:7" x14ac:dyDescent="0.3">
      <c r="A70" s="38"/>
      <c r="B70" s="39" t="str">
        <f>IF($A70="","",SUMIFS(weekly_demand!$D:$D,weekly_demand!$A:$A,B$1,weekly_demand!$C:$C,$A70))</f>
        <v/>
      </c>
      <c r="C70" s="39" t="str">
        <f>IF($A70="","",SUMIFS(weekly_demand!$D:$D,weekly_demand!$A:$A,C$1,weekly_demand!$C:$C,$A70))</f>
        <v/>
      </c>
      <c r="D70" s="39" t="str">
        <f>IF($A70="","",SUMIFS(weekly_demand!$D:$D,weekly_demand!$A:$A,D$1,weekly_demand!$C:$C,$A70))</f>
        <v/>
      </c>
      <c r="E70" s="39" t="str">
        <f>IF($A70="","",SUMIFS(weekly_demand!$D:$D,weekly_demand!$A:$A,E$1,weekly_demand!$C:$C,$A70))</f>
        <v/>
      </c>
      <c r="F70" s="39" t="str">
        <f>IF($A70="","",SUMIFS(weekly_demand!$D:$D,weekly_demand!$A:$A,F$1,weekly_demand!$C:$C,$A70))</f>
        <v/>
      </c>
      <c r="G70" s="39" t="str">
        <f>IF($A70="","",SUMIFS(weekly_demand!$D:$D,weekly_demand!$A:$A,G$1,weekly_demand!$C:$C,$A70))</f>
        <v/>
      </c>
    </row>
    <row r="71" spans="1:7" x14ac:dyDescent="0.3">
      <c r="A71" s="38"/>
      <c r="B71" s="39" t="str">
        <f>IF($A71="","",SUMIFS(weekly_demand!$D:$D,weekly_demand!$A:$A,B$1,weekly_demand!$C:$C,$A71))</f>
        <v/>
      </c>
      <c r="C71" s="39" t="str">
        <f>IF($A71="","",SUMIFS(weekly_demand!$D:$D,weekly_demand!$A:$A,C$1,weekly_demand!$C:$C,$A71))</f>
        <v/>
      </c>
      <c r="D71" s="39" t="str">
        <f>IF($A71="","",SUMIFS(weekly_demand!$D:$D,weekly_demand!$A:$A,D$1,weekly_demand!$C:$C,$A71))</f>
        <v/>
      </c>
      <c r="E71" s="39" t="str">
        <f>IF($A71="","",SUMIFS(weekly_demand!$D:$D,weekly_demand!$A:$A,E$1,weekly_demand!$C:$C,$A71))</f>
        <v/>
      </c>
      <c r="F71" s="39" t="str">
        <f>IF($A71="","",SUMIFS(weekly_demand!$D:$D,weekly_demand!$A:$A,F$1,weekly_demand!$C:$C,$A71))</f>
        <v/>
      </c>
      <c r="G71" s="39" t="str">
        <f>IF($A71="","",SUMIFS(weekly_demand!$D:$D,weekly_demand!$A:$A,G$1,weekly_demand!$C:$C,$A71))</f>
        <v/>
      </c>
    </row>
    <row r="72" spans="1:7" x14ac:dyDescent="0.3">
      <c r="A72" s="38"/>
      <c r="B72" s="39" t="str">
        <f>IF($A72="","",SUMIFS(weekly_demand!$D:$D,weekly_demand!$A:$A,B$1,weekly_demand!$C:$C,$A72))</f>
        <v/>
      </c>
      <c r="C72" s="39" t="str">
        <f>IF($A72="","",SUMIFS(weekly_demand!$D:$D,weekly_demand!$A:$A,C$1,weekly_demand!$C:$C,$A72))</f>
        <v/>
      </c>
      <c r="D72" s="39" t="str">
        <f>IF($A72="","",SUMIFS(weekly_demand!$D:$D,weekly_demand!$A:$A,D$1,weekly_demand!$C:$C,$A72))</f>
        <v/>
      </c>
      <c r="E72" s="39" t="str">
        <f>IF($A72="","",SUMIFS(weekly_demand!$D:$D,weekly_demand!$A:$A,E$1,weekly_demand!$C:$C,$A72))</f>
        <v/>
      </c>
      <c r="F72" s="39" t="str">
        <f>IF($A72="","",SUMIFS(weekly_demand!$D:$D,weekly_demand!$A:$A,F$1,weekly_demand!$C:$C,$A72))</f>
        <v/>
      </c>
      <c r="G72" s="39" t="str">
        <f>IF($A72="","",SUMIFS(weekly_demand!$D:$D,weekly_demand!$A:$A,G$1,weekly_demand!$C:$C,$A72))</f>
        <v/>
      </c>
    </row>
    <row r="73" spans="1:7" x14ac:dyDescent="0.3">
      <c r="A73" s="38"/>
      <c r="B73" s="39" t="str">
        <f>IF($A73="","",SUMIFS(weekly_demand!$D:$D,weekly_demand!$A:$A,B$1,weekly_demand!$C:$C,$A73))</f>
        <v/>
      </c>
      <c r="C73" s="39" t="str">
        <f>IF($A73="","",SUMIFS(weekly_demand!$D:$D,weekly_demand!$A:$A,C$1,weekly_demand!$C:$C,$A73))</f>
        <v/>
      </c>
      <c r="D73" s="39" t="str">
        <f>IF($A73="","",SUMIFS(weekly_demand!$D:$D,weekly_demand!$A:$A,D$1,weekly_demand!$C:$C,$A73))</f>
        <v/>
      </c>
      <c r="E73" s="39" t="str">
        <f>IF($A73="","",SUMIFS(weekly_demand!$D:$D,weekly_demand!$A:$A,E$1,weekly_demand!$C:$C,$A73))</f>
        <v/>
      </c>
      <c r="F73" s="39" t="str">
        <f>IF($A73="","",SUMIFS(weekly_demand!$D:$D,weekly_demand!$A:$A,F$1,weekly_demand!$C:$C,$A73))</f>
        <v/>
      </c>
      <c r="G73" s="39" t="str">
        <f>IF($A73="","",SUMIFS(weekly_demand!$D:$D,weekly_demand!$A:$A,G$1,weekly_demand!$C:$C,$A73))</f>
        <v/>
      </c>
    </row>
    <row r="74" spans="1:7" x14ac:dyDescent="0.3">
      <c r="A74" s="38"/>
      <c r="B74" s="39" t="str">
        <f>IF($A74="","",SUMIFS(weekly_demand!$D:$D,weekly_demand!$A:$A,B$1,weekly_demand!$C:$C,$A74))</f>
        <v/>
      </c>
      <c r="C74" s="39" t="str">
        <f>IF($A74="","",SUMIFS(weekly_demand!$D:$D,weekly_demand!$A:$A,C$1,weekly_demand!$C:$C,$A74))</f>
        <v/>
      </c>
      <c r="D74" s="39" t="str">
        <f>IF($A74="","",SUMIFS(weekly_demand!$D:$D,weekly_demand!$A:$A,D$1,weekly_demand!$C:$C,$A74))</f>
        <v/>
      </c>
      <c r="E74" s="39" t="str">
        <f>IF($A74="","",SUMIFS(weekly_demand!$D:$D,weekly_demand!$A:$A,E$1,weekly_demand!$C:$C,$A74))</f>
        <v/>
      </c>
      <c r="F74" s="39" t="str">
        <f>IF($A74="","",SUMIFS(weekly_demand!$D:$D,weekly_demand!$A:$A,F$1,weekly_demand!$C:$C,$A74))</f>
        <v/>
      </c>
      <c r="G74" s="39" t="str">
        <f>IF($A74="","",SUMIFS(weekly_demand!$D:$D,weekly_demand!$A:$A,G$1,weekly_demand!$C:$C,$A74))</f>
        <v/>
      </c>
    </row>
    <row r="75" spans="1:7" x14ac:dyDescent="0.3">
      <c r="A75" s="38"/>
      <c r="B75" s="39" t="str">
        <f>IF($A75="","",SUMIFS(weekly_demand!$D:$D,weekly_demand!$A:$A,B$1,weekly_demand!$C:$C,$A75))</f>
        <v/>
      </c>
      <c r="C75" s="39" t="str">
        <f>IF($A75="","",SUMIFS(weekly_demand!$D:$D,weekly_demand!$A:$A,C$1,weekly_demand!$C:$C,$A75))</f>
        <v/>
      </c>
      <c r="D75" s="39" t="str">
        <f>IF($A75="","",SUMIFS(weekly_demand!$D:$D,weekly_demand!$A:$A,D$1,weekly_demand!$C:$C,$A75))</f>
        <v/>
      </c>
      <c r="E75" s="39" t="str">
        <f>IF($A75="","",SUMIFS(weekly_demand!$D:$D,weekly_demand!$A:$A,E$1,weekly_demand!$C:$C,$A75))</f>
        <v/>
      </c>
      <c r="F75" s="39" t="str">
        <f>IF($A75="","",SUMIFS(weekly_demand!$D:$D,weekly_demand!$A:$A,F$1,weekly_demand!$C:$C,$A75))</f>
        <v/>
      </c>
      <c r="G75" s="39" t="str">
        <f>IF($A75="","",SUMIFS(weekly_demand!$D:$D,weekly_demand!$A:$A,G$1,weekly_demand!$C:$C,$A75))</f>
        <v/>
      </c>
    </row>
    <row r="76" spans="1:7" x14ac:dyDescent="0.3">
      <c r="A76" s="38"/>
      <c r="B76" s="39" t="str">
        <f>IF($A76="","",SUMIFS(weekly_demand!$D:$D,weekly_demand!$A:$A,B$1,weekly_demand!$C:$C,$A76))</f>
        <v/>
      </c>
      <c r="C76" s="39" t="str">
        <f>IF($A76="","",SUMIFS(weekly_demand!$D:$D,weekly_demand!$A:$A,C$1,weekly_demand!$C:$C,$A76))</f>
        <v/>
      </c>
      <c r="D76" s="39" t="str">
        <f>IF($A76="","",SUMIFS(weekly_demand!$D:$D,weekly_demand!$A:$A,D$1,weekly_demand!$C:$C,$A76))</f>
        <v/>
      </c>
      <c r="E76" s="39" t="str">
        <f>IF($A76="","",SUMIFS(weekly_demand!$D:$D,weekly_demand!$A:$A,E$1,weekly_demand!$C:$C,$A76))</f>
        <v/>
      </c>
      <c r="F76" s="39" t="str">
        <f>IF($A76="","",SUMIFS(weekly_demand!$D:$D,weekly_demand!$A:$A,F$1,weekly_demand!$C:$C,$A76))</f>
        <v/>
      </c>
      <c r="G76" s="39" t="str">
        <f>IF($A76="","",SUMIFS(weekly_demand!$D:$D,weekly_demand!$A:$A,G$1,weekly_demand!$C:$C,$A76))</f>
        <v/>
      </c>
    </row>
    <row r="77" spans="1:7" x14ac:dyDescent="0.3">
      <c r="A77" s="38"/>
      <c r="B77" s="39" t="str">
        <f>IF($A77="","",SUMIFS(weekly_demand!$D:$D,weekly_demand!$A:$A,B$1,weekly_demand!$C:$C,$A77))</f>
        <v/>
      </c>
      <c r="C77" s="39" t="str">
        <f>IF($A77="","",SUMIFS(weekly_demand!$D:$D,weekly_demand!$A:$A,C$1,weekly_demand!$C:$C,$A77))</f>
        <v/>
      </c>
      <c r="D77" s="39" t="str">
        <f>IF($A77="","",SUMIFS(weekly_demand!$D:$D,weekly_demand!$A:$A,D$1,weekly_demand!$C:$C,$A77))</f>
        <v/>
      </c>
      <c r="E77" s="39" t="str">
        <f>IF($A77="","",SUMIFS(weekly_demand!$D:$D,weekly_demand!$A:$A,E$1,weekly_demand!$C:$C,$A77))</f>
        <v/>
      </c>
      <c r="F77" s="39" t="str">
        <f>IF($A77="","",SUMIFS(weekly_demand!$D:$D,weekly_demand!$A:$A,F$1,weekly_demand!$C:$C,$A77))</f>
        <v/>
      </c>
      <c r="G77" s="39" t="str">
        <f>IF($A77="","",SUMIFS(weekly_demand!$D:$D,weekly_demand!$A:$A,G$1,weekly_demand!$C:$C,$A77))</f>
        <v/>
      </c>
    </row>
    <row r="78" spans="1:7" x14ac:dyDescent="0.3">
      <c r="A78" s="38"/>
      <c r="B78" s="39" t="str">
        <f>IF($A78="","",SUMIFS(weekly_demand!$D:$D,weekly_demand!$A:$A,B$1,weekly_demand!$C:$C,$A78))</f>
        <v/>
      </c>
      <c r="C78" s="39" t="str">
        <f>IF($A78="","",SUMIFS(weekly_demand!$D:$D,weekly_demand!$A:$A,C$1,weekly_demand!$C:$C,$A78))</f>
        <v/>
      </c>
      <c r="D78" s="39" t="str">
        <f>IF($A78="","",SUMIFS(weekly_demand!$D:$D,weekly_demand!$A:$A,D$1,weekly_demand!$C:$C,$A78))</f>
        <v/>
      </c>
      <c r="E78" s="39" t="str">
        <f>IF($A78="","",SUMIFS(weekly_demand!$D:$D,weekly_demand!$A:$A,E$1,weekly_demand!$C:$C,$A78))</f>
        <v/>
      </c>
      <c r="F78" s="39" t="str">
        <f>IF($A78="","",SUMIFS(weekly_demand!$D:$D,weekly_demand!$A:$A,F$1,weekly_demand!$C:$C,$A78))</f>
        <v/>
      </c>
      <c r="G78" s="39" t="str">
        <f>IF($A78="","",SUMIFS(weekly_demand!$D:$D,weekly_demand!$A:$A,G$1,weekly_demand!$C:$C,$A78))</f>
        <v/>
      </c>
    </row>
    <row r="79" spans="1:7" x14ac:dyDescent="0.3">
      <c r="A79" s="38"/>
      <c r="B79" s="39" t="str">
        <f>IF($A79="","",SUMIFS(weekly_demand!$D:$D,weekly_demand!$A:$A,B$1,weekly_demand!$C:$C,$A79))</f>
        <v/>
      </c>
      <c r="C79" s="39" t="str">
        <f>IF($A79="","",SUMIFS(weekly_demand!$D:$D,weekly_demand!$A:$A,C$1,weekly_demand!$C:$C,$A79))</f>
        <v/>
      </c>
      <c r="D79" s="39" t="str">
        <f>IF($A79="","",SUMIFS(weekly_demand!$D:$D,weekly_demand!$A:$A,D$1,weekly_demand!$C:$C,$A79))</f>
        <v/>
      </c>
      <c r="E79" s="39" t="str">
        <f>IF($A79="","",SUMIFS(weekly_demand!$D:$D,weekly_demand!$A:$A,E$1,weekly_demand!$C:$C,$A79))</f>
        <v/>
      </c>
      <c r="F79" s="39" t="str">
        <f>IF($A79="","",SUMIFS(weekly_demand!$D:$D,weekly_demand!$A:$A,F$1,weekly_demand!$C:$C,$A79))</f>
        <v/>
      </c>
      <c r="G79" s="39" t="str">
        <f>IF($A79="","",SUMIFS(weekly_demand!$D:$D,weekly_demand!$A:$A,G$1,weekly_demand!$C:$C,$A79))</f>
        <v/>
      </c>
    </row>
    <row r="80" spans="1:7" x14ac:dyDescent="0.3">
      <c r="A80" s="38"/>
      <c r="B80" s="39" t="str">
        <f>IF($A80="","",SUMIFS(weekly_demand!$D:$D,weekly_demand!$A:$A,B$1,weekly_demand!$C:$C,$A80))</f>
        <v/>
      </c>
      <c r="C80" s="39" t="str">
        <f>IF($A80="","",SUMIFS(weekly_demand!$D:$D,weekly_demand!$A:$A,C$1,weekly_demand!$C:$C,$A80))</f>
        <v/>
      </c>
      <c r="D80" s="39" t="str">
        <f>IF($A80="","",SUMIFS(weekly_demand!$D:$D,weekly_demand!$A:$A,D$1,weekly_demand!$C:$C,$A80))</f>
        <v/>
      </c>
      <c r="E80" s="39" t="str">
        <f>IF($A80="","",SUMIFS(weekly_demand!$D:$D,weekly_demand!$A:$A,E$1,weekly_demand!$C:$C,$A80))</f>
        <v/>
      </c>
      <c r="F80" s="39" t="str">
        <f>IF($A80="","",SUMIFS(weekly_demand!$D:$D,weekly_demand!$A:$A,F$1,weekly_demand!$C:$C,$A80))</f>
        <v/>
      </c>
      <c r="G80" s="39" t="str">
        <f>IF($A80="","",SUMIFS(weekly_demand!$D:$D,weekly_demand!$A:$A,G$1,weekly_demand!$C:$C,$A80))</f>
        <v/>
      </c>
    </row>
    <row r="81" spans="1:7" x14ac:dyDescent="0.3">
      <c r="A81" s="38"/>
      <c r="B81" s="39" t="str">
        <f>IF($A81="","",SUMIFS(weekly_demand!$D:$D,weekly_demand!$A:$A,B$1,weekly_demand!$C:$C,$A81))</f>
        <v/>
      </c>
      <c r="C81" s="39" t="str">
        <f>IF($A81="","",SUMIFS(weekly_demand!$D:$D,weekly_demand!$A:$A,C$1,weekly_demand!$C:$C,$A81))</f>
        <v/>
      </c>
      <c r="D81" s="39" t="str">
        <f>IF($A81="","",SUMIFS(weekly_demand!$D:$D,weekly_demand!$A:$A,D$1,weekly_demand!$C:$C,$A81))</f>
        <v/>
      </c>
      <c r="E81" s="39" t="str">
        <f>IF($A81="","",SUMIFS(weekly_demand!$D:$D,weekly_demand!$A:$A,E$1,weekly_demand!$C:$C,$A81))</f>
        <v/>
      </c>
      <c r="F81" s="39" t="str">
        <f>IF($A81="","",SUMIFS(weekly_demand!$D:$D,weekly_demand!$A:$A,F$1,weekly_demand!$C:$C,$A81))</f>
        <v/>
      </c>
      <c r="G81" s="39" t="str">
        <f>IF($A81="","",SUMIFS(weekly_demand!$D:$D,weekly_demand!$A:$A,G$1,weekly_demand!$C:$C,$A81))</f>
        <v/>
      </c>
    </row>
    <row r="82" spans="1:7" x14ac:dyDescent="0.3">
      <c r="A82" s="38"/>
      <c r="B82" s="39" t="str">
        <f>IF($A82="","",SUMIFS(weekly_demand!$D:$D,weekly_demand!$A:$A,B$1,weekly_demand!$C:$C,$A82))</f>
        <v/>
      </c>
      <c r="C82" s="39" t="str">
        <f>IF($A82="","",SUMIFS(weekly_demand!$D:$D,weekly_demand!$A:$A,C$1,weekly_demand!$C:$C,$A82))</f>
        <v/>
      </c>
      <c r="D82" s="39" t="str">
        <f>IF($A82="","",SUMIFS(weekly_demand!$D:$D,weekly_demand!$A:$A,D$1,weekly_demand!$C:$C,$A82))</f>
        <v/>
      </c>
      <c r="E82" s="39" t="str">
        <f>IF($A82="","",SUMIFS(weekly_demand!$D:$D,weekly_demand!$A:$A,E$1,weekly_demand!$C:$C,$A82))</f>
        <v/>
      </c>
      <c r="F82" s="39" t="str">
        <f>IF($A82="","",SUMIFS(weekly_demand!$D:$D,weekly_demand!$A:$A,F$1,weekly_demand!$C:$C,$A82))</f>
        <v/>
      </c>
      <c r="G82" s="39" t="str">
        <f>IF($A82="","",SUMIFS(weekly_demand!$D:$D,weekly_demand!$A:$A,G$1,weekly_demand!$C:$C,$A82))</f>
        <v/>
      </c>
    </row>
    <row r="83" spans="1:7" x14ac:dyDescent="0.3">
      <c r="A83" s="38"/>
      <c r="B83" s="39" t="str">
        <f>IF($A83="","",SUMIFS(weekly_demand!$D:$D,weekly_demand!$A:$A,B$1,weekly_demand!$C:$C,$A83))</f>
        <v/>
      </c>
      <c r="C83" s="39" t="str">
        <f>IF($A83="","",SUMIFS(weekly_demand!$D:$D,weekly_demand!$A:$A,C$1,weekly_demand!$C:$C,$A83))</f>
        <v/>
      </c>
      <c r="D83" s="39" t="str">
        <f>IF($A83="","",SUMIFS(weekly_demand!$D:$D,weekly_demand!$A:$A,D$1,weekly_demand!$C:$C,$A83))</f>
        <v/>
      </c>
      <c r="E83" s="39" t="str">
        <f>IF($A83="","",SUMIFS(weekly_demand!$D:$D,weekly_demand!$A:$A,E$1,weekly_demand!$C:$C,$A83))</f>
        <v/>
      </c>
      <c r="F83" s="39" t="str">
        <f>IF($A83="","",SUMIFS(weekly_demand!$D:$D,weekly_demand!$A:$A,F$1,weekly_demand!$C:$C,$A83))</f>
        <v/>
      </c>
      <c r="G83" s="39" t="str">
        <f>IF($A83="","",SUMIFS(weekly_demand!$D:$D,weekly_demand!$A:$A,G$1,weekly_demand!$C:$C,$A83))</f>
        <v/>
      </c>
    </row>
    <row r="84" spans="1:7" x14ac:dyDescent="0.3">
      <c r="A84" s="38"/>
      <c r="B84" s="39" t="str">
        <f>IF($A84="","",SUMIFS(weekly_demand!$D:$D,weekly_demand!$A:$A,B$1,weekly_demand!$C:$C,$A84))</f>
        <v/>
      </c>
      <c r="C84" s="39" t="str">
        <f>IF($A84="","",SUMIFS(weekly_demand!$D:$D,weekly_demand!$A:$A,C$1,weekly_demand!$C:$C,$A84))</f>
        <v/>
      </c>
      <c r="D84" s="39" t="str">
        <f>IF($A84="","",SUMIFS(weekly_demand!$D:$D,weekly_demand!$A:$A,D$1,weekly_demand!$C:$C,$A84))</f>
        <v/>
      </c>
      <c r="E84" s="39" t="str">
        <f>IF($A84="","",SUMIFS(weekly_demand!$D:$D,weekly_demand!$A:$A,E$1,weekly_demand!$C:$C,$A84))</f>
        <v/>
      </c>
      <c r="F84" s="39" t="str">
        <f>IF($A84="","",SUMIFS(weekly_demand!$D:$D,weekly_demand!$A:$A,F$1,weekly_demand!$C:$C,$A84))</f>
        <v/>
      </c>
      <c r="G84" s="39" t="str">
        <f>IF($A84="","",SUMIFS(weekly_demand!$D:$D,weekly_demand!$A:$A,G$1,weekly_demand!$C:$C,$A84))</f>
        <v/>
      </c>
    </row>
    <row r="85" spans="1:7" x14ac:dyDescent="0.3">
      <c r="A85" s="38"/>
      <c r="B85" s="39" t="str">
        <f>IF($A85="","",SUMIFS(weekly_demand!$D:$D,weekly_demand!$A:$A,B$1,weekly_demand!$C:$C,$A85))</f>
        <v/>
      </c>
      <c r="C85" s="39" t="str">
        <f>IF($A85="","",SUMIFS(weekly_demand!$D:$D,weekly_demand!$A:$A,C$1,weekly_demand!$C:$C,$A85))</f>
        <v/>
      </c>
      <c r="D85" s="39" t="str">
        <f>IF($A85="","",SUMIFS(weekly_demand!$D:$D,weekly_demand!$A:$A,D$1,weekly_demand!$C:$C,$A85))</f>
        <v/>
      </c>
      <c r="E85" s="39" t="str">
        <f>IF($A85="","",SUMIFS(weekly_demand!$D:$D,weekly_demand!$A:$A,E$1,weekly_demand!$C:$C,$A85))</f>
        <v/>
      </c>
      <c r="F85" s="39" t="str">
        <f>IF($A85="","",SUMIFS(weekly_demand!$D:$D,weekly_demand!$A:$A,F$1,weekly_demand!$C:$C,$A85))</f>
        <v/>
      </c>
      <c r="G85" s="39" t="str">
        <f>IF($A85="","",SUMIFS(weekly_demand!$D:$D,weekly_demand!$A:$A,G$1,weekly_demand!$C:$C,$A85))</f>
        <v/>
      </c>
    </row>
    <row r="86" spans="1:7" x14ac:dyDescent="0.3">
      <c r="A86" s="38"/>
      <c r="B86" s="39" t="str">
        <f>IF($A86="","",SUMIFS(weekly_demand!$D:$D,weekly_demand!$A:$A,B$1,weekly_demand!$C:$C,$A86))</f>
        <v/>
      </c>
      <c r="C86" s="39" t="str">
        <f>IF($A86="","",SUMIFS(weekly_demand!$D:$D,weekly_demand!$A:$A,C$1,weekly_demand!$C:$C,$A86))</f>
        <v/>
      </c>
      <c r="D86" s="39" t="str">
        <f>IF($A86="","",SUMIFS(weekly_demand!$D:$D,weekly_demand!$A:$A,D$1,weekly_demand!$C:$C,$A86))</f>
        <v/>
      </c>
      <c r="E86" s="39" t="str">
        <f>IF($A86="","",SUMIFS(weekly_demand!$D:$D,weekly_demand!$A:$A,E$1,weekly_demand!$C:$C,$A86))</f>
        <v/>
      </c>
      <c r="F86" s="39" t="str">
        <f>IF($A86="","",SUMIFS(weekly_demand!$D:$D,weekly_demand!$A:$A,F$1,weekly_demand!$C:$C,$A86))</f>
        <v/>
      </c>
      <c r="G86" s="39" t="str">
        <f>IF($A86="","",SUMIFS(weekly_demand!$D:$D,weekly_demand!$A:$A,G$1,weekly_demand!$C:$C,$A86))</f>
        <v/>
      </c>
    </row>
    <row r="87" spans="1:7" x14ac:dyDescent="0.3">
      <c r="A87" s="38"/>
      <c r="B87" s="39" t="str">
        <f>IF($A87="","",SUMIFS(weekly_demand!$D:$D,weekly_demand!$A:$A,B$1,weekly_demand!$C:$C,$A87))</f>
        <v/>
      </c>
      <c r="C87" s="39" t="str">
        <f>IF($A87="","",SUMIFS(weekly_demand!$D:$D,weekly_demand!$A:$A,C$1,weekly_demand!$C:$C,$A87))</f>
        <v/>
      </c>
      <c r="D87" s="39" t="str">
        <f>IF($A87="","",SUMIFS(weekly_demand!$D:$D,weekly_demand!$A:$A,D$1,weekly_demand!$C:$C,$A87))</f>
        <v/>
      </c>
      <c r="E87" s="39" t="str">
        <f>IF($A87="","",SUMIFS(weekly_demand!$D:$D,weekly_demand!$A:$A,E$1,weekly_demand!$C:$C,$A87))</f>
        <v/>
      </c>
      <c r="F87" s="39" t="str">
        <f>IF($A87="","",SUMIFS(weekly_demand!$D:$D,weekly_demand!$A:$A,F$1,weekly_demand!$C:$C,$A87))</f>
        <v/>
      </c>
      <c r="G87" s="39" t="str">
        <f>IF($A87="","",SUMIFS(weekly_demand!$D:$D,weekly_demand!$A:$A,G$1,weekly_demand!$C:$C,$A87))</f>
        <v/>
      </c>
    </row>
    <row r="88" spans="1:7" x14ac:dyDescent="0.3">
      <c r="A88" s="38"/>
      <c r="B88" s="39" t="str">
        <f>IF($A88="","",SUMIFS(weekly_demand!$D:$D,weekly_demand!$A:$A,B$1,weekly_demand!$C:$C,$A88))</f>
        <v/>
      </c>
      <c r="C88" s="39" t="str">
        <f>IF($A88="","",SUMIFS(weekly_demand!$D:$D,weekly_demand!$A:$A,C$1,weekly_demand!$C:$C,$A88))</f>
        <v/>
      </c>
      <c r="D88" s="39" t="str">
        <f>IF($A88="","",SUMIFS(weekly_demand!$D:$D,weekly_demand!$A:$A,D$1,weekly_demand!$C:$C,$A88))</f>
        <v/>
      </c>
      <c r="E88" s="39" t="str">
        <f>IF($A88="","",SUMIFS(weekly_demand!$D:$D,weekly_demand!$A:$A,E$1,weekly_demand!$C:$C,$A88))</f>
        <v/>
      </c>
      <c r="F88" s="39" t="str">
        <f>IF($A88="","",SUMIFS(weekly_demand!$D:$D,weekly_demand!$A:$A,F$1,weekly_demand!$C:$C,$A88))</f>
        <v/>
      </c>
      <c r="G88" s="39" t="str">
        <f>IF($A88="","",SUMIFS(weekly_demand!$D:$D,weekly_demand!$A:$A,G$1,weekly_demand!$C:$C,$A88))</f>
        <v/>
      </c>
    </row>
    <row r="89" spans="1:7" x14ac:dyDescent="0.3">
      <c r="A89" s="38"/>
      <c r="B89" s="39" t="str">
        <f>IF($A89="","",SUMIFS(weekly_demand!$D:$D,weekly_demand!$A:$A,B$1,weekly_demand!$C:$C,$A89))</f>
        <v/>
      </c>
      <c r="C89" s="39" t="str">
        <f>IF($A89="","",SUMIFS(weekly_demand!$D:$D,weekly_demand!$A:$A,C$1,weekly_demand!$C:$C,$A89))</f>
        <v/>
      </c>
      <c r="D89" s="39" t="str">
        <f>IF($A89="","",SUMIFS(weekly_demand!$D:$D,weekly_demand!$A:$A,D$1,weekly_demand!$C:$C,$A89))</f>
        <v/>
      </c>
      <c r="E89" s="39" t="str">
        <f>IF($A89="","",SUMIFS(weekly_demand!$D:$D,weekly_demand!$A:$A,E$1,weekly_demand!$C:$C,$A89))</f>
        <v/>
      </c>
      <c r="F89" s="39" t="str">
        <f>IF($A89="","",SUMIFS(weekly_demand!$D:$D,weekly_demand!$A:$A,F$1,weekly_demand!$C:$C,$A89))</f>
        <v/>
      </c>
      <c r="G89" s="39" t="str">
        <f>IF($A89="","",SUMIFS(weekly_demand!$D:$D,weekly_demand!$A:$A,G$1,weekly_demand!$C:$C,$A89))</f>
        <v/>
      </c>
    </row>
    <row r="90" spans="1:7" x14ac:dyDescent="0.3">
      <c r="A90" s="38"/>
      <c r="B90" s="39" t="str">
        <f>IF($A90="","",SUMIFS(weekly_demand!$D:$D,weekly_demand!$A:$A,B$1,weekly_demand!$C:$C,$A90))</f>
        <v/>
      </c>
      <c r="C90" s="39" t="str">
        <f>IF($A90="","",SUMIFS(weekly_demand!$D:$D,weekly_demand!$A:$A,C$1,weekly_demand!$C:$C,$A90))</f>
        <v/>
      </c>
      <c r="D90" s="39" t="str">
        <f>IF($A90="","",SUMIFS(weekly_demand!$D:$D,weekly_demand!$A:$A,D$1,weekly_demand!$C:$C,$A90))</f>
        <v/>
      </c>
      <c r="E90" s="39" t="str">
        <f>IF($A90="","",SUMIFS(weekly_demand!$D:$D,weekly_demand!$A:$A,E$1,weekly_demand!$C:$C,$A90))</f>
        <v/>
      </c>
      <c r="F90" s="39" t="str">
        <f>IF($A90="","",SUMIFS(weekly_demand!$D:$D,weekly_demand!$A:$A,F$1,weekly_demand!$C:$C,$A90))</f>
        <v/>
      </c>
      <c r="G90" s="39" t="str">
        <f>IF($A90="","",SUMIFS(weekly_demand!$D:$D,weekly_demand!$A:$A,G$1,weekly_demand!$C:$C,$A90))</f>
        <v/>
      </c>
    </row>
    <row r="91" spans="1:7" x14ac:dyDescent="0.3">
      <c r="A91" s="38"/>
      <c r="B91" s="39" t="str">
        <f>IF($A91="","",SUMIFS(weekly_demand!$D:$D,weekly_demand!$A:$A,B$1,weekly_demand!$C:$C,$A91))</f>
        <v/>
      </c>
      <c r="C91" s="39" t="str">
        <f>IF($A91="","",SUMIFS(weekly_demand!$D:$D,weekly_demand!$A:$A,C$1,weekly_demand!$C:$C,$A91))</f>
        <v/>
      </c>
      <c r="D91" s="39" t="str">
        <f>IF($A91="","",SUMIFS(weekly_demand!$D:$D,weekly_demand!$A:$A,D$1,weekly_demand!$C:$C,$A91))</f>
        <v/>
      </c>
      <c r="E91" s="39" t="str">
        <f>IF($A91="","",SUMIFS(weekly_demand!$D:$D,weekly_demand!$A:$A,E$1,weekly_demand!$C:$C,$A91))</f>
        <v/>
      </c>
      <c r="F91" s="39" t="str">
        <f>IF($A91="","",SUMIFS(weekly_demand!$D:$D,weekly_demand!$A:$A,F$1,weekly_demand!$C:$C,$A91))</f>
        <v/>
      </c>
      <c r="G91" s="39" t="str">
        <f>IF($A91="","",SUMIFS(weekly_demand!$D:$D,weekly_demand!$A:$A,G$1,weekly_demand!$C:$C,$A91))</f>
        <v/>
      </c>
    </row>
    <row r="92" spans="1:7" x14ac:dyDescent="0.3">
      <c r="A92" s="38"/>
      <c r="B92" s="39" t="str">
        <f>IF($A92="","",SUMIFS(weekly_demand!$D:$D,weekly_demand!$A:$A,B$1,weekly_demand!$C:$C,$A92))</f>
        <v/>
      </c>
      <c r="C92" s="39" t="str">
        <f>IF($A92="","",SUMIFS(weekly_demand!$D:$D,weekly_demand!$A:$A,C$1,weekly_demand!$C:$C,$A92))</f>
        <v/>
      </c>
      <c r="D92" s="39" t="str">
        <f>IF($A92="","",SUMIFS(weekly_demand!$D:$D,weekly_demand!$A:$A,D$1,weekly_demand!$C:$C,$A92))</f>
        <v/>
      </c>
      <c r="E92" s="39" t="str">
        <f>IF($A92="","",SUMIFS(weekly_demand!$D:$D,weekly_demand!$A:$A,E$1,weekly_demand!$C:$C,$A92))</f>
        <v/>
      </c>
      <c r="F92" s="39" t="str">
        <f>IF($A92="","",SUMIFS(weekly_demand!$D:$D,weekly_demand!$A:$A,F$1,weekly_demand!$C:$C,$A92))</f>
        <v/>
      </c>
      <c r="G92" s="39" t="str">
        <f>IF($A92="","",SUMIFS(weekly_demand!$D:$D,weekly_demand!$A:$A,G$1,weekly_demand!$C:$C,$A92))</f>
        <v/>
      </c>
    </row>
    <row r="93" spans="1:7" x14ac:dyDescent="0.3">
      <c r="A93" s="38"/>
      <c r="B93" s="39" t="str">
        <f>IF($A93="","",SUMIFS(weekly_demand!$D:$D,weekly_demand!$A:$A,B$1,weekly_demand!$C:$C,$A93))</f>
        <v/>
      </c>
      <c r="C93" s="39" t="str">
        <f>IF($A93="","",SUMIFS(weekly_demand!$D:$D,weekly_demand!$A:$A,C$1,weekly_demand!$C:$C,$A93))</f>
        <v/>
      </c>
      <c r="D93" s="39" t="str">
        <f>IF($A93="","",SUMIFS(weekly_demand!$D:$D,weekly_demand!$A:$A,D$1,weekly_demand!$C:$C,$A93))</f>
        <v/>
      </c>
      <c r="E93" s="39" t="str">
        <f>IF($A93="","",SUMIFS(weekly_demand!$D:$D,weekly_demand!$A:$A,E$1,weekly_demand!$C:$C,$A93))</f>
        <v/>
      </c>
      <c r="F93" s="39" t="str">
        <f>IF($A93="","",SUMIFS(weekly_demand!$D:$D,weekly_demand!$A:$A,F$1,weekly_demand!$C:$C,$A93))</f>
        <v/>
      </c>
      <c r="G93" s="39" t="str">
        <f>IF($A93="","",SUMIFS(weekly_demand!$D:$D,weekly_demand!$A:$A,G$1,weekly_demand!$C:$C,$A93))</f>
        <v/>
      </c>
    </row>
    <row r="94" spans="1:7" x14ac:dyDescent="0.3">
      <c r="A94" s="38"/>
      <c r="B94" s="39" t="str">
        <f>IF($A94="","",SUMIFS(weekly_demand!$D:$D,weekly_demand!$A:$A,B$1,weekly_demand!$C:$C,$A94))</f>
        <v/>
      </c>
      <c r="C94" s="39" t="str">
        <f>IF($A94="","",SUMIFS(weekly_demand!$D:$D,weekly_demand!$A:$A,C$1,weekly_demand!$C:$C,$A94))</f>
        <v/>
      </c>
      <c r="D94" s="39" t="str">
        <f>IF($A94="","",SUMIFS(weekly_demand!$D:$D,weekly_demand!$A:$A,D$1,weekly_demand!$C:$C,$A94))</f>
        <v/>
      </c>
      <c r="E94" s="39" t="str">
        <f>IF($A94="","",SUMIFS(weekly_demand!$D:$D,weekly_demand!$A:$A,E$1,weekly_demand!$C:$C,$A94))</f>
        <v/>
      </c>
      <c r="F94" s="39" t="str">
        <f>IF($A94="","",SUMIFS(weekly_demand!$D:$D,weekly_demand!$A:$A,F$1,weekly_demand!$C:$C,$A94))</f>
        <v/>
      </c>
      <c r="G94" s="39" t="str">
        <f>IF($A94="","",SUMIFS(weekly_demand!$D:$D,weekly_demand!$A:$A,G$1,weekly_demand!$C:$C,$A94))</f>
        <v/>
      </c>
    </row>
    <row r="95" spans="1:7" x14ac:dyDescent="0.3">
      <c r="A95" s="38"/>
      <c r="B95" s="39" t="str">
        <f>IF($A95="","",SUMIFS(weekly_demand!$D:$D,weekly_demand!$A:$A,B$1,weekly_demand!$C:$C,$A95))</f>
        <v/>
      </c>
      <c r="C95" s="39" t="str">
        <f>IF($A95="","",SUMIFS(weekly_demand!$D:$D,weekly_demand!$A:$A,C$1,weekly_demand!$C:$C,$A95))</f>
        <v/>
      </c>
      <c r="D95" s="39" t="str">
        <f>IF($A95="","",SUMIFS(weekly_demand!$D:$D,weekly_demand!$A:$A,D$1,weekly_demand!$C:$C,$A95))</f>
        <v/>
      </c>
      <c r="E95" s="39" t="str">
        <f>IF($A95="","",SUMIFS(weekly_demand!$D:$D,weekly_demand!$A:$A,E$1,weekly_demand!$C:$C,$A95))</f>
        <v/>
      </c>
      <c r="F95" s="39" t="str">
        <f>IF($A95="","",SUMIFS(weekly_demand!$D:$D,weekly_demand!$A:$A,F$1,weekly_demand!$C:$C,$A95))</f>
        <v/>
      </c>
      <c r="G95" s="39" t="str">
        <f>IF($A95="","",SUMIFS(weekly_demand!$D:$D,weekly_demand!$A:$A,G$1,weekly_demand!$C:$C,$A95))</f>
        <v/>
      </c>
    </row>
    <row r="96" spans="1:7" x14ac:dyDescent="0.3">
      <c r="A96" s="38"/>
      <c r="B96" s="39" t="str">
        <f>IF($A96="","",SUMIFS(weekly_demand!$D:$D,weekly_demand!$A:$A,B$1,weekly_demand!$C:$C,$A96))</f>
        <v/>
      </c>
      <c r="C96" s="39" t="str">
        <f>IF($A96="","",SUMIFS(weekly_demand!$D:$D,weekly_demand!$A:$A,C$1,weekly_demand!$C:$C,$A96))</f>
        <v/>
      </c>
      <c r="D96" s="39" t="str">
        <f>IF($A96="","",SUMIFS(weekly_demand!$D:$D,weekly_demand!$A:$A,D$1,weekly_demand!$C:$C,$A96))</f>
        <v/>
      </c>
      <c r="E96" s="39" t="str">
        <f>IF($A96="","",SUMIFS(weekly_demand!$D:$D,weekly_demand!$A:$A,E$1,weekly_demand!$C:$C,$A96))</f>
        <v/>
      </c>
      <c r="F96" s="39" t="str">
        <f>IF($A96="","",SUMIFS(weekly_demand!$D:$D,weekly_demand!$A:$A,F$1,weekly_demand!$C:$C,$A96))</f>
        <v/>
      </c>
      <c r="G96" s="39" t="str">
        <f>IF($A96="","",SUMIFS(weekly_demand!$D:$D,weekly_demand!$A:$A,G$1,weekly_demand!$C:$C,$A96))</f>
        <v/>
      </c>
    </row>
    <row r="97" spans="1:7" x14ac:dyDescent="0.3">
      <c r="A97" s="38"/>
      <c r="B97" s="39" t="str">
        <f>IF($A97="","",SUMIFS(weekly_demand!$D:$D,weekly_demand!$A:$A,B$1,weekly_demand!$C:$C,$A97))</f>
        <v/>
      </c>
      <c r="C97" s="39" t="str">
        <f>IF($A97="","",SUMIFS(weekly_demand!$D:$D,weekly_demand!$A:$A,C$1,weekly_demand!$C:$C,$A97))</f>
        <v/>
      </c>
      <c r="D97" s="39" t="str">
        <f>IF($A97="","",SUMIFS(weekly_demand!$D:$D,weekly_demand!$A:$A,D$1,weekly_demand!$C:$C,$A97))</f>
        <v/>
      </c>
      <c r="E97" s="39" t="str">
        <f>IF($A97="","",SUMIFS(weekly_demand!$D:$D,weekly_demand!$A:$A,E$1,weekly_demand!$C:$C,$A97))</f>
        <v/>
      </c>
      <c r="F97" s="39" t="str">
        <f>IF($A97="","",SUMIFS(weekly_demand!$D:$D,weekly_demand!$A:$A,F$1,weekly_demand!$C:$C,$A97))</f>
        <v/>
      </c>
      <c r="G97" s="39" t="str">
        <f>IF($A97="","",SUMIFS(weekly_demand!$D:$D,weekly_demand!$A:$A,G$1,weekly_demand!$C:$C,$A97))</f>
        <v/>
      </c>
    </row>
    <row r="98" spans="1:7" x14ac:dyDescent="0.3">
      <c r="A98" s="38"/>
      <c r="B98" s="39" t="str">
        <f>IF($A98="","",SUMIFS(weekly_demand!$D:$D,weekly_demand!$A:$A,B$1,weekly_demand!$C:$C,$A98))</f>
        <v/>
      </c>
      <c r="C98" s="39" t="str">
        <f>IF($A98="","",SUMIFS(weekly_demand!$D:$D,weekly_demand!$A:$A,C$1,weekly_demand!$C:$C,$A98))</f>
        <v/>
      </c>
      <c r="D98" s="39" t="str">
        <f>IF($A98="","",SUMIFS(weekly_demand!$D:$D,weekly_demand!$A:$A,D$1,weekly_demand!$C:$C,$A98))</f>
        <v/>
      </c>
      <c r="E98" s="39" t="str">
        <f>IF($A98="","",SUMIFS(weekly_demand!$D:$D,weekly_demand!$A:$A,E$1,weekly_demand!$C:$C,$A98))</f>
        <v/>
      </c>
      <c r="F98" s="39" t="str">
        <f>IF($A98="","",SUMIFS(weekly_demand!$D:$D,weekly_demand!$A:$A,F$1,weekly_demand!$C:$C,$A98))</f>
        <v/>
      </c>
      <c r="G98" s="39" t="str">
        <f>IF($A98="","",SUMIFS(weekly_demand!$D:$D,weekly_demand!$A:$A,G$1,weekly_demand!$C:$C,$A98))</f>
        <v/>
      </c>
    </row>
    <row r="99" spans="1:7" x14ac:dyDescent="0.3">
      <c r="A99" s="38"/>
      <c r="B99" s="39" t="str">
        <f>IF($A99="","",SUMIFS(weekly_demand!$D:$D,weekly_demand!$A:$A,B$1,weekly_demand!$C:$C,$A99))</f>
        <v/>
      </c>
      <c r="C99" s="39" t="str">
        <f>IF($A99="","",SUMIFS(weekly_demand!$D:$D,weekly_demand!$A:$A,C$1,weekly_demand!$C:$C,$A99))</f>
        <v/>
      </c>
      <c r="D99" s="39" t="str">
        <f>IF($A99="","",SUMIFS(weekly_demand!$D:$D,weekly_demand!$A:$A,D$1,weekly_demand!$C:$C,$A99))</f>
        <v/>
      </c>
      <c r="E99" s="39" t="str">
        <f>IF($A99="","",SUMIFS(weekly_demand!$D:$D,weekly_demand!$A:$A,E$1,weekly_demand!$C:$C,$A99))</f>
        <v/>
      </c>
      <c r="F99" s="39" t="str">
        <f>IF($A99="","",SUMIFS(weekly_demand!$D:$D,weekly_demand!$A:$A,F$1,weekly_demand!$C:$C,$A99))</f>
        <v/>
      </c>
      <c r="G99" s="39" t="str">
        <f>IF($A99="","",SUMIFS(weekly_demand!$D:$D,weekly_demand!$A:$A,G$1,weekly_demand!$C:$C,$A99))</f>
        <v/>
      </c>
    </row>
    <row r="100" spans="1:7" x14ac:dyDescent="0.3">
      <c r="A100" s="38"/>
      <c r="B100" s="39" t="str">
        <f>IF($A100="","",SUMIFS(weekly_demand!$D:$D,weekly_demand!$A:$A,B$1,weekly_demand!$C:$C,$A100))</f>
        <v/>
      </c>
      <c r="C100" s="39" t="str">
        <f>IF($A100="","",SUMIFS(weekly_demand!$D:$D,weekly_demand!$A:$A,C$1,weekly_demand!$C:$C,$A100))</f>
        <v/>
      </c>
      <c r="D100" s="39" t="str">
        <f>IF($A100="","",SUMIFS(weekly_demand!$D:$D,weekly_demand!$A:$A,D$1,weekly_demand!$C:$C,$A100))</f>
        <v/>
      </c>
      <c r="E100" s="39" t="str">
        <f>IF($A100="","",SUMIFS(weekly_demand!$D:$D,weekly_demand!$A:$A,E$1,weekly_demand!$C:$C,$A100))</f>
        <v/>
      </c>
      <c r="F100" s="39" t="str">
        <f>IF($A100="","",SUMIFS(weekly_demand!$D:$D,weekly_demand!$A:$A,F$1,weekly_demand!$C:$C,$A100))</f>
        <v/>
      </c>
      <c r="G100" s="39" t="str">
        <f>IF($A100="","",SUMIFS(weekly_demand!$D:$D,weekly_demand!$A:$A,G$1,weekly_demand!$C:$C,$A100))</f>
        <v/>
      </c>
    </row>
    <row r="101" spans="1:7" x14ac:dyDescent="0.3">
      <c r="A101" s="38"/>
      <c r="B101" s="39" t="str">
        <f>IF($A101="","",SUMIFS(weekly_demand!$D:$D,weekly_demand!$A:$A,B$1,weekly_demand!$C:$C,$A101))</f>
        <v/>
      </c>
      <c r="C101" s="39" t="str">
        <f>IF($A101="","",SUMIFS(weekly_demand!$D:$D,weekly_demand!$A:$A,C$1,weekly_demand!$C:$C,$A101))</f>
        <v/>
      </c>
      <c r="D101" s="39" t="str">
        <f>IF($A101="","",SUMIFS(weekly_demand!$D:$D,weekly_demand!$A:$A,D$1,weekly_demand!$C:$C,$A101))</f>
        <v/>
      </c>
      <c r="E101" s="39" t="str">
        <f>IF($A101="","",SUMIFS(weekly_demand!$D:$D,weekly_demand!$A:$A,E$1,weekly_demand!$C:$C,$A101))</f>
        <v/>
      </c>
      <c r="F101" s="39" t="str">
        <f>IF($A101="","",SUMIFS(weekly_demand!$D:$D,weekly_demand!$A:$A,F$1,weekly_demand!$C:$C,$A101))</f>
        <v/>
      </c>
      <c r="G101" s="39" t="str">
        <f>IF($A101="","",SUMIFS(weekly_demand!$D:$D,weekly_demand!$A:$A,G$1,weekly_demand!$C:$C,$A101))</f>
        <v/>
      </c>
    </row>
    <row r="102" spans="1:7" x14ac:dyDescent="0.3">
      <c r="A102" s="38"/>
      <c r="B102" s="39" t="str">
        <f>IF($A102="","",SUMIFS(weekly_demand!$D:$D,weekly_demand!$A:$A,B$1,weekly_demand!$C:$C,$A102))</f>
        <v/>
      </c>
      <c r="C102" s="39" t="str">
        <f>IF($A102="","",SUMIFS(weekly_demand!$D:$D,weekly_demand!$A:$A,C$1,weekly_demand!$C:$C,$A102))</f>
        <v/>
      </c>
      <c r="D102" s="39" t="str">
        <f>IF($A102="","",SUMIFS(weekly_demand!$D:$D,weekly_demand!$A:$A,D$1,weekly_demand!$C:$C,$A102))</f>
        <v/>
      </c>
      <c r="E102" s="39" t="str">
        <f>IF($A102="","",SUMIFS(weekly_demand!$D:$D,weekly_demand!$A:$A,E$1,weekly_demand!$C:$C,$A102))</f>
        <v/>
      </c>
      <c r="F102" s="39" t="str">
        <f>IF($A102="","",SUMIFS(weekly_demand!$D:$D,weekly_demand!$A:$A,F$1,weekly_demand!$C:$C,$A102))</f>
        <v/>
      </c>
      <c r="G102" s="39" t="str">
        <f>IF($A102="","",SUMIFS(weekly_demand!$D:$D,weekly_demand!$A:$A,G$1,weekly_demand!$C:$C,$A102))</f>
        <v/>
      </c>
    </row>
    <row r="103" spans="1:7" x14ac:dyDescent="0.3">
      <c r="A103" s="38"/>
      <c r="B103" s="39" t="str">
        <f>IF($A103="","",SUMIFS(weekly_demand!$D:$D,weekly_demand!$A:$A,B$1,weekly_demand!$C:$C,$A103))</f>
        <v/>
      </c>
      <c r="C103" s="39" t="str">
        <f>IF($A103="","",SUMIFS(weekly_demand!$D:$D,weekly_demand!$A:$A,C$1,weekly_demand!$C:$C,$A103))</f>
        <v/>
      </c>
      <c r="D103" s="39" t="str">
        <f>IF($A103="","",SUMIFS(weekly_demand!$D:$D,weekly_demand!$A:$A,D$1,weekly_demand!$C:$C,$A103))</f>
        <v/>
      </c>
      <c r="E103" s="39" t="str">
        <f>IF($A103="","",SUMIFS(weekly_demand!$D:$D,weekly_demand!$A:$A,E$1,weekly_demand!$C:$C,$A103))</f>
        <v/>
      </c>
      <c r="F103" s="39" t="str">
        <f>IF($A103="","",SUMIFS(weekly_demand!$D:$D,weekly_demand!$A:$A,F$1,weekly_demand!$C:$C,$A103))</f>
        <v/>
      </c>
      <c r="G103" s="39" t="str">
        <f>IF($A103="","",SUMIFS(weekly_demand!$D:$D,weekly_demand!$A:$A,G$1,weekly_demand!$C:$C,$A103))</f>
        <v/>
      </c>
    </row>
    <row r="104" spans="1:7" x14ac:dyDescent="0.3">
      <c r="A104" s="38"/>
      <c r="B104" s="39" t="str">
        <f>IF($A104="","",SUMIFS(weekly_demand!$D:$D,weekly_demand!$A:$A,B$1,weekly_demand!$C:$C,$A104))</f>
        <v/>
      </c>
      <c r="C104" s="39" t="str">
        <f>IF($A104="","",SUMIFS(weekly_demand!$D:$D,weekly_demand!$A:$A,C$1,weekly_demand!$C:$C,$A104))</f>
        <v/>
      </c>
      <c r="D104" s="39" t="str">
        <f>IF($A104="","",SUMIFS(weekly_demand!$D:$D,weekly_demand!$A:$A,D$1,weekly_demand!$C:$C,$A104))</f>
        <v/>
      </c>
      <c r="E104" s="39" t="str">
        <f>IF($A104="","",SUMIFS(weekly_demand!$D:$D,weekly_demand!$A:$A,E$1,weekly_demand!$C:$C,$A104))</f>
        <v/>
      </c>
      <c r="F104" s="39" t="str">
        <f>IF($A104="","",SUMIFS(weekly_demand!$D:$D,weekly_demand!$A:$A,F$1,weekly_demand!$C:$C,$A104))</f>
        <v/>
      </c>
      <c r="G104" s="39" t="str">
        <f>IF($A104="","",SUMIFS(weekly_demand!$D:$D,weekly_demand!$A:$A,G$1,weekly_demand!$C:$C,$A104))</f>
        <v/>
      </c>
    </row>
    <row r="105" spans="1:7" x14ac:dyDescent="0.3">
      <c r="A105" s="38"/>
      <c r="B105" s="39" t="str">
        <f>IF($A105="","",SUMIFS(weekly_demand!$D:$D,weekly_demand!$A:$A,B$1,weekly_demand!$C:$C,$A105))</f>
        <v/>
      </c>
      <c r="C105" s="39" t="str">
        <f>IF($A105="","",SUMIFS(weekly_demand!$D:$D,weekly_demand!$A:$A,C$1,weekly_demand!$C:$C,$A105))</f>
        <v/>
      </c>
      <c r="D105" s="39" t="str">
        <f>IF($A105="","",SUMIFS(weekly_demand!$D:$D,weekly_demand!$A:$A,D$1,weekly_demand!$C:$C,$A105))</f>
        <v/>
      </c>
      <c r="E105" s="39" t="str">
        <f>IF($A105="","",SUMIFS(weekly_demand!$D:$D,weekly_demand!$A:$A,E$1,weekly_demand!$C:$C,$A105))</f>
        <v/>
      </c>
      <c r="F105" s="39" t="str">
        <f>IF($A105="","",SUMIFS(weekly_demand!$D:$D,weekly_demand!$A:$A,F$1,weekly_demand!$C:$C,$A105))</f>
        <v/>
      </c>
      <c r="G105" s="39" t="str">
        <f>IF($A105="","",SUMIFS(weekly_demand!$D:$D,weekly_demand!$A:$A,G$1,weekly_demand!$C:$C,$A105))</f>
        <v/>
      </c>
    </row>
    <row r="106" spans="1:7" x14ac:dyDescent="0.3">
      <c r="A106" s="38"/>
      <c r="B106" s="39" t="str">
        <f>IF($A106="","",SUMIFS(weekly_demand!$D:$D,weekly_demand!$A:$A,B$1,weekly_demand!$C:$C,$A106))</f>
        <v/>
      </c>
      <c r="C106" s="39" t="str">
        <f>IF($A106="","",SUMIFS(weekly_demand!$D:$D,weekly_demand!$A:$A,C$1,weekly_demand!$C:$C,$A106))</f>
        <v/>
      </c>
      <c r="D106" s="39" t="str">
        <f>IF($A106="","",SUMIFS(weekly_demand!$D:$D,weekly_demand!$A:$A,D$1,weekly_demand!$C:$C,$A106))</f>
        <v/>
      </c>
      <c r="E106" s="39" t="str">
        <f>IF($A106="","",SUMIFS(weekly_demand!$D:$D,weekly_demand!$A:$A,E$1,weekly_demand!$C:$C,$A106))</f>
        <v/>
      </c>
      <c r="F106" s="39" t="str">
        <f>IF($A106="","",SUMIFS(weekly_demand!$D:$D,weekly_demand!$A:$A,F$1,weekly_demand!$C:$C,$A106))</f>
        <v/>
      </c>
      <c r="G106" s="39" t="str">
        <f>IF($A106="","",SUMIFS(weekly_demand!$D:$D,weekly_demand!$A:$A,G$1,weekly_demand!$C:$C,$A106))</f>
        <v/>
      </c>
    </row>
    <row r="107" spans="1:7" x14ac:dyDescent="0.3">
      <c r="A107" s="38"/>
      <c r="B107" s="39" t="str">
        <f>IF($A107="","",SUMIFS(weekly_demand!$D:$D,weekly_demand!$A:$A,B$1,weekly_demand!$C:$C,$A107))</f>
        <v/>
      </c>
      <c r="C107" s="39" t="str">
        <f>IF($A107="","",SUMIFS(weekly_demand!$D:$D,weekly_demand!$A:$A,C$1,weekly_demand!$C:$C,$A107))</f>
        <v/>
      </c>
      <c r="D107" s="39" t="str">
        <f>IF($A107="","",SUMIFS(weekly_demand!$D:$D,weekly_demand!$A:$A,D$1,weekly_demand!$C:$C,$A107))</f>
        <v/>
      </c>
      <c r="E107" s="39" t="str">
        <f>IF($A107="","",SUMIFS(weekly_demand!$D:$D,weekly_demand!$A:$A,E$1,weekly_demand!$C:$C,$A107))</f>
        <v/>
      </c>
      <c r="F107" s="39" t="str">
        <f>IF($A107="","",SUMIFS(weekly_demand!$D:$D,weekly_demand!$A:$A,F$1,weekly_demand!$C:$C,$A107))</f>
        <v/>
      </c>
      <c r="G107" s="39" t="str">
        <f>IF($A107="","",SUMIFS(weekly_demand!$D:$D,weekly_demand!$A:$A,G$1,weekly_demand!$C:$C,$A107))</f>
        <v/>
      </c>
    </row>
    <row r="108" spans="1:7" x14ac:dyDescent="0.3">
      <c r="A108" s="38"/>
      <c r="B108" s="39" t="str">
        <f>IF($A108="","",SUMIFS(weekly_demand!$D:$D,weekly_demand!$A:$A,B$1,weekly_demand!$C:$C,$A108))</f>
        <v/>
      </c>
      <c r="C108" s="39" t="str">
        <f>IF($A108="","",SUMIFS(weekly_demand!$D:$D,weekly_demand!$A:$A,C$1,weekly_demand!$C:$C,$A108))</f>
        <v/>
      </c>
      <c r="D108" s="39" t="str">
        <f>IF($A108="","",SUMIFS(weekly_demand!$D:$D,weekly_demand!$A:$A,D$1,weekly_demand!$C:$C,$A108))</f>
        <v/>
      </c>
      <c r="E108" s="39" t="str">
        <f>IF($A108="","",SUMIFS(weekly_demand!$D:$D,weekly_demand!$A:$A,E$1,weekly_demand!$C:$C,$A108))</f>
        <v/>
      </c>
      <c r="F108" s="39" t="str">
        <f>IF($A108="","",SUMIFS(weekly_demand!$D:$D,weekly_demand!$A:$A,F$1,weekly_demand!$C:$C,$A108))</f>
        <v/>
      </c>
      <c r="G108" s="39" t="str">
        <f>IF($A108="","",SUMIFS(weekly_demand!$D:$D,weekly_demand!$A:$A,G$1,weekly_demand!$C:$C,$A108))</f>
        <v/>
      </c>
    </row>
    <row r="109" spans="1:7" x14ac:dyDescent="0.3">
      <c r="A109" s="38"/>
      <c r="B109" s="39" t="str">
        <f>IF($A109="","",SUMIFS(weekly_demand!$D:$D,weekly_demand!$A:$A,B$1,weekly_demand!$C:$C,$A109))</f>
        <v/>
      </c>
      <c r="C109" s="39" t="str">
        <f>IF($A109="","",SUMIFS(weekly_demand!$D:$D,weekly_demand!$A:$A,C$1,weekly_demand!$C:$C,$A109))</f>
        <v/>
      </c>
      <c r="D109" s="39" t="str">
        <f>IF($A109="","",SUMIFS(weekly_demand!$D:$D,weekly_demand!$A:$A,D$1,weekly_demand!$C:$C,$A109))</f>
        <v/>
      </c>
      <c r="E109" s="39" t="str">
        <f>IF($A109="","",SUMIFS(weekly_demand!$D:$D,weekly_demand!$A:$A,E$1,weekly_demand!$C:$C,$A109))</f>
        <v/>
      </c>
      <c r="F109" s="39" t="str">
        <f>IF($A109="","",SUMIFS(weekly_demand!$D:$D,weekly_demand!$A:$A,F$1,weekly_demand!$C:$C,$A109))</f>
        <v/>
      </c>
      <c r="G109" s="39" t="str">
        <f>IF($A109="","",SUMIFS(weekly_demand!$D:$D,weekly_demand!$A:$A,G$1,weekly_demand!$C:$C,$A109))</f>
        <v/>
      </c>
    </row>
    <row r="110" spans="1:7" x14ac:dyDescent="0.3">
      <c r="A110" s="38"/>
      <c r="B110" s="39" t="str">
        <f>IF($A110="","",SUMIFS(weekly_demand!$D:$D,weekly_demand!$A:$A,B$1,weekly_demand!$C:$C,$A110))</f>
        <v/>
      </c>
      <c r="C110" s="39" t="str">
        <f>IF($A110="","",SUMIFS(weekly_demand!$D:$D,weekly_demand!$A:$A,C$1,weekly_demand!$C:$C,$A110))</f>
        <v/>
      </c>
      <c r="D110" s="39" t="str">
        <f>IF($A110="","",SUMIFS(weekly_demand!$D:$D,weekly_demand!$A:$A,D$1,weekly_demand!$C:$C,$A110))</f>
        <v/>
      </c>
      <c r="E110" s="39" t="str">
        <f>IF($A110="","",SUMIFS(weekly_demand!$D:$D,weekly_demand!$A:$A,E$1,weekly_demand!$C:$C,$A110))</f>
        <v/>
      </c>
      <c r="F110" s="39" t="str">
        <f>IF($A110="","",SUMIFS(weekly_demand!$D:$D,weekly_demand!$A:$A,F$1,weekly_demand!$C:$C,$A110))</f>
        <v/>
      </c>
      <c r="G110" s="39" t="str">
        <f>IF($A110="","",SUMIFS(weekly_demand!$D:$D,weekly_demand!$A:$A,G$1,weekly_demand!$C:$C,$A110))</f>
        <v/>
      </c>
    </row>
    <row r="111" spans="1:7" x14ac:dyDescent="0.3">
      <c r="A111" s="38"/>
      <c r="B111" s="39" t="str">
        <f>IF($A111="","",SUMIFS(weekly_demand!$D:$D,weekly_demand!$A:$A,B$1,weekly_demand!$C:$C,$A111))</f>
        <v/>
      </c>
      <c r="C111" s="39" t="str">
        <f>IF($A111="","",SUMIFS(weekly_demand!$D:$D,weekly_demand!$A:$A,C$1,weekly_demand!$C:$C,$A111))</f>
        <v/>
      </c>
      <c r="D111" s="39" t="str">
        <f>IF($A111="","",SUMIFS(weekly_demand!$D:$D,weekly_demand!$A:$A,D$1,weekly_demand!$C:$C,$A111))</f>
        <v/>
      </c>
      <c r="E111" s="39" t="str">
        <f>IF($A111="","",SUMIFS(weekly_demand!$D:$D,weekly_demand!$A:$A,E$1,weekly_demand!$C:$C,$A111))</f>
        <v/>
      </c>
      <c r="F111" s="39" t="str">
        <f>IF($A111="","",SUMIFS(weekly_demand!$D:$D,weekly_demand!$A:$A,F$1,weekly_demand!$C:$C,$A111))</f>
        <v/>
      </c>
      <c r="G111" s="39" t="str">
        <f>IF($A111="","",SUMIFS(weekly_demand!$D:$D,weekly_demand!$A:$A,G$1,weekly_demand!$C:$C,$A111))</f>
        <v/>
      </c>
    </row>
    <row r="112" spans="1:7" x14ac:dyDescent="0.3">
      <c r="A112" s="38"/>
      <c r="B112" s="39" t="str">
        <f>IF($A112="","",SUMIFS(weekly_demand!$D:$D,weekly_demand!$A:$A,B$1,weekly_demand!$C:$C,$A112))</f>
        <v/>
      </c>
      <c r="C112" s="39" t="str">
        <f>IF($A112="","",SUMIFS(weekly_demand!$D:$D,weekly_demand!$A:$A,C$1,weekly_demand!$C:$C,$A112))</f>
        <v/>
      </c>
      <c r="D112" s="39" t="str">
        <f>IF($A112="","",SUMIFS(weekly_demand!$D:$D,weekly_demand!$A:$A,D$1,weekly_demand!$C:$C,$A112))</f>
        <v/>
      </c>
      <c r="E112" s="39" t="str">
        <f>IF($A112="","",SUMIFS(weekly_demand!$D:$D,weekly_demand!$A:$A,E$1,weekly_demand!$C:$C,$A112))</f>
        <v/>
      </c>
      <c r="F112" s="39" t="str">
        <f>IF($A112="","",SUMIFS(weekly_demand!$D:$D,weekly_demand!$A:$A,F$1,weekly_demand!$C:$C,$A112))</f>
        <v/>
      </c>
      <c r="G112" s="39" t="str">
        <f>IF($A112="","",SUMIFS(weekly_demand!$D:$D,weekly_demand!$A:$A,G$1,weekly_demand!$C:$C,$A112))</f>
        <v/>
      </c>
    </row>
    <row r="113" spans="1:7" x14ac:dyDescent="0.3">
      <c r="A113" s="38"/>
      <c r="B113" s="39" t="str">
        <f>IF($A113="","",SUMIFS(weekly_demand!$D:$D,weekly_demand!$A:$A,B$1,weekly_demand!$C:$C,$A113))</f>
        <v/>
      </c>
      <c r="C113" s="39" t="str">
        <f>IF($A113="","",SUMIFS(weekly_demand!$D:$D,weekly_demand!$A:$A,C$1,weekly_demand!$C:$C,$A113))</f>
        <v/>
      </c>
      <c r="D113" s="39" t="str">
        <f>IF($A113="","",SUMIFS(weekly_demand!$D:$D,weekly_demand!$A:$A,D$1,weekly_demand!$C:$C,$A113))</f>
        <v/>
      </c>
      <c r="E113" s="39" t="str">
        <f>IF($A113="","",SUMIFS(weekly_demand!$D:$D,weekly_demand!$A:$A,E$1,weekly_demand!$C:$C,$A113))</f>
        <v/>
      </c>
      <c r="F113" s="39" t="str">
        <f>IF($A113="","",SUMIFS(weekly_demand!$D:$D,weekly_demand!$A:$A,F$1,weekly_demand!$C:$C,$A113))</f>
        <v/>
      </c>
      <c r="G113" s="39" t="str">
        <f>IF($A113="","",SUMIFS(weekly_demand!$D:$D,weekly_demand!$A:$A,G$1,weekly_demand!$C:$C,$A113))</f>
        <v/>
      </c>
    </row>
    <row r="114" spans="1:7" x14ac:dyDescent="0.3">
      <c r="A114" s="38"/>
      <c r="B114" s="39" t="str">
        <f>IF($A114="","",SUMIFS(weekly_demand!$D:$D,weekly_demand!$A:$A,B$1,weekly_demand!$C:$C,$A114))</f>
        <v/>
      </c>
      <c r="C114" s="39" t="str">
        <f>IF($A114="","",SUMIFS(weekly_demand!$D:$D,weekly_demand!$A:$A,C$1,weekly_demand!$C:$C,$A114))</f>
        <v/>
      </c>
      <c r="D114" s="39" t="str">
        <f>IF($A114="","",SUMIFS(weekly_demand!$D:$D,weekly_demand!$A:$A,D$1,weekly_demand!$C:$C,$A114))</f>
        <v/>
      </c>
      <c r="E114" s="39" t="str">
        <f>IF($A114="","",SUMIFS(weekly_demand!$D:$D,weekly_demand!$A:$A,E$1,weekly_demand!$C:$C,$A114))</f>
        <v/>
      </c>
      <c r="F114" s="39" t="str">
        <f>IF($A114="","",SUMIFS(weekly_demand!$D:$D,weekly_demand!$A:$A,F$1,weekly_demand!$C:$C,$A114))</f>
        <v/>
      </c>
      <c r="G114" s="39" t="str">
        <f>IF($A114="","",SUMIFS(weekly_demand!$D:$D,weekly_demand!$A:$A,G$1,weekly_demand!$C:$C,$A114))</f>
        <v/>
      </c>
    </row>
    <row r="115" spans="1:7" x14ac:dyDescent="0.3">
      <c r="A115" s="38"/>
      <c r="B115" s="39" t="str">
        <f>IF($A115="","",SUMIFS(weekly_demand!$D:$D,weekly_demand!$A:$A,B$1,weekly_demand!$C:$C,$A115))</f>
        <v/>
      </c>
      <c r="C115" s="39" t="str">
        <f>IF($A115="","",SUMIFS(weekly_demand!$D:$D,weekly_demand!$A:$A,C$1,weekly_demand!$C:$C,$A115))</f>
        <v/>
      </c>
      <c r="D115" s="39" t="str">
        <f>IF($A115="","",SUMIFS(weekly_demand!$D:$D,weekly_demand!$A:$A,D$1,weekly_demand!$C:$C,$A115))</f>
        <v/>
      </c>
      <c r="E115" s="39" t="str">
        <f>IF($A115="","",SUMIFS(weekly_demand!$D:$D,weekly_demand!$A:$A,E$1,weekly_demand!$C:$C,$A115))</f>
        <v/>
      </c>
      <c r="F115" s="39" t="str">
        <f>IF($A115="","",SUMIFS(weekly_demand!$D:$D,weekly_demand!$A:$A,F$1,weekly_demand!$C:$C,$A115))</f>
        <v/>
      </c>
      <c r="G115" s="39" t="str">
        <f>IF($A115="","",SUMIFS(weekly_demand!$D:$D,weekly_demand!$A:$A,G$1,weekly_demand!$C:$C,$A115))</f>
        <v/>
      </c>
    </row>
    <row r="116" spans="1:7" x14ac:dyDescent="0.3">
      <c r="A116" s="38"/>
      <c r="B116" s="39" t="str">
        <f>IF($A116="","",SUMIFS(weekly_demand!$D:$D,weekly_demand!$A:$A,B$1,weekly_demand!$C:$C,$A116))</f>
        <v/>
      </c>
      <c r="C116" s="39" t="str">
        <f>IF($A116="","",SUMIFS(weekly_demand!$D:$D,weekly_demand!$A:$A,C$1,weekly_demand!$C:$C,$A116))</f>
        <v/>
      </c>
      <c r="D116" s="39" t="str">
        <f>IF($A116="","",SUMIFS(weekly_demand!$D:$D,weekly_demand!$A:$A,D$1,weekly_demand!$C:$C,$A116))</f>
        <v/>
      </c>
      <c r="E116" s="39" t="str">
        <f>IF($A116="","",SUMIFS(weekly_demand!$D:$D,weekly_demand!$A:$A,E$1,weekly_demand!$C:$C,$A116))</f>
        <v/>
      </c>
      <c r="F116" s="39" t="str">
        <f>IF($A116="","",SUMIFS(weekly_demand!$D:$D,weekly_demand!$A:$A,F$1,weekly_demand!$C:$C,$A116))</f>
        <v/>
      </c>
      <c r="G116" s="39" t="str">
        <f>IF($A116="","",SUMIFS(weekly_demand!$D:$D,weekly_demand!$A:$A,G$1,weekly_demand!$C:$C,$A116))</f>
        <v/>
      </c>
    </row>
    <row r="117" spans="1:7" x14ac:dyDescent="0.3">
      <c r="A117" s="38"/>
      <c r="B117" s="39" t="str">
        <f>IF($A117="","",SUMIFS(weekly_demand!$D:$D,weekly_demand!$A:$A,B$1,weekly_demand!$C:$C,$A117))</f>
        <v/>
      </c>
      <c r="C117" s="39" t="str">
        <f>IF($A117="","",SUMIFS(weekly_demand!$D:$D,weekly_demand!$A:$A,C$1,weekly_demand!$C:$C,$A117))</f>
        <v/>
      </c>
      <c r="D117" s="39" t="str">
        <f>IF($A117="","",SUMIFS(weekly_demand!$D:$D,weekly_demand!$A:$A,D$1,weekly_demand!$C:$C,$A117))</f>
        <v/>
      </c>
      <c r="E117" s="39" t="str">
        <f>IF($A117="","",SUMIFS(weekly_demand!$D:$D,weekly_demand!$A:$A,E$1,weekly_demand!$C:$C,$A117))</f>
        <v/>
      </c>
      <c r="F117" s="39" t="str">
        <f>IF($A117="","",SUMIFS(weekly_demand!$D:$D,weekly_demand!$A:$A,F$1,weekly_demand!$C:$C,$A117))</f>
        <v/>
      </c>
      <c r="G117" s="39" t="str">
        <f>IF($A117="","",SUMIFS(weekly_demand!$D:$D,weekly_demand!$A:$A,G$1,weekly_demand!$C:$C,$A117))</f>
        <v/>
      </c>
    </row>
    <row r="118" spans="1:7" x14ac:dyDescent="0.3">
      <c r="A118" s="38"/>
      <c r="B118" s="39" t="str">
        <f>IF($A118="","",SUMIFS(weekly_demand!$D:$D,weekly_demand!$A:$A,B$1,weekly_demand!$C:$C,$A118))</f>
        <v/>
      </c>
      <c r="C118" s="39" t="str">
        <f>IF($A118="","",SUMIFS(weekly_demand!$D:$D,weekly_demand!$A:$A,C$1,weekly_demand!$C:$C,$A118))</f>
        <v/>
      </c>
      <c r="D118" s="39" t="str">
        <f>IF($A118="","",SUMIFS(weekly_demand!$D:$D,weekly_demand!$A:$A,D$1,weekly_demand!$C:$C,$A118))</f>
        <v/>
      </c>
      <c r="E118" s="39" t="str">
        <f>IF($A118="","",SUMIFS(weekly_demand!$D:$D,weekly_demand!$A:$A,E$1,weekly_demand!$C:$C,$A118))</f>
        <v/>
      </c>
      <c r="F118" s="39" t="str">
        <f>IF($A118="","",SUMIFS(weekly_demand!$D:$D,weekly_demand!$A:$A,F$1,weekly_demand!$C:$C,$A118))</f>
        <v/>
      </c>
      <c r="G118" s="39" t="str">
        <f>IF($A118="","",SUMIFS(weekly_demand!$D:$D,weekly_demand!$A:$A,G$1,weekly_demand!$C:$C,$A118))</f>
        <v/>
      </c>
    </row>
    <row r="119" spans="1:7" x14ac:dyDescent="0.3">
      <c r="A119" s="38"/>
      <c r="B119" s="39" t="str">
        <f>IF($A119="","",SUMIFS(weekly_demand!$D:$D,weekly_demand!$A:$A,B$1,weekly_demand!$C:$C,$A119))</f>
        <v/>
      </c>
      <c r="C119" s="39" t="str">
        <f>IF($A119="","",SUMIFS(weekly_demand!$D:$D,weekly_demand!$A:$A,C$1,weekly_demand!$C:$C,$A119))</f>
        <v/>
      </c>
      <c r="D119" s="39" t="str">
        <f>IF($A119="","",SUMIFS(weekly_demand!$D:$D,weekly_demand!$A:$A,D$1,weekly_demand!$C:$C,$A119))</f>
        <v/>
      </c>
      <c r="E119" s="39" t="str">
        <f>IF($A119="","",SUMIFS(weekly_demand!$D:$D,weekly_demand!$A:$A,E$1,weekly_demand!$C:$C,$A119))</f>
        <v/>
      </c>
      <c r="F119" s="39" t="str">
        <f>IF($A119="","",SUMIFS(weekly_demand!$D:$D,weekly_demand!$A:$A,F$1,weekly_demand!$C:$C,$A119))</f>
        <v/>
      </c>
      <c r="G119" s="39" t="str">
        <f>IF($A119="","",SUMIFS(weekly_demand!$D:$D,weekly_demand!$A:$A,G$1,weekly_demand!$C:$C,$A119))</f>
        <v/>
      </c>
    </row>
    <row r="120" spans="1:7" x14ac:dyDescent="0.3">
      <c r="A120" s="38"/>
      <c r="B120" s="39" t="str">
        <f>IF($A120="","",SUMIFS(weekly_demand!$D:$D,weekly_demand!$A:$A,B$1,weekly_demand!$C:$C,$A120))</f>
        <v/>
      </c>
      <c r="C120" s="39" t="str">
        <f>IF($A120="","",SUMIFS(weekly_demand!$D:$D,weekly_demand!$A:$A,C$1,weekly_demand!$C:$C,$A120))</f>
        <v/>
      </c>
      <c r="D120" s="39" t="str">
        <f>IF($A120="","",SUMIFS(weekly_demand!$D:$D,weekly_demand!$A:$A,D$1,weekly_demand!$C:$C,$A120))</f>
        <v/>
      </c>
      <c r="E120" s="39" t="str">
        <f>IF($A120="","",SUMIFS(weekly_demand!$D:$D,weekly_demand!$A:$A,E$1,weekly_demand!$C:$C,$A120))</f>
        <v/>
      </c>
      <c r="F120" s="39" t="str">
        <f>IF($A120="","",SUMIFS(weekly_demand!$D:$D,weekly_demand!$A:$A,F$1,weekly_demand!$C:$C,$A120))</f>
        <v/>
      </c>
      <c r="G120" s="39" t="str">
        <f>IF($A120="","",SUMIFS(weekly_demand!$D:$D,weekly_demand!$A:$A,G$1,weekly_demand!$C:$C,$A120))</f>
        <v/>
      </c>
    </row>
    <row r="121" spans="1:7" x14ac:dyDescent="0.3">
      <c r="A121" s="38"/>
      <c r="B121" s="39" t="str">
        <f>IF($A121="","",SUMIFS(weekly_demand!$D:$D,weekly_demand!$A:$A,B$1,weekly_demand!$C:$C,$A121))</f>
        <v/>
      </c>
      <c r="C121" s="39" t="str">
        <f>IF($A121="","",SUMIFS(weekly_demand!$D:$D,weekly_demand!$A:$A,C$1,weekly_demand!$C:$C,$A121))</f>
        <v/>
      </c>
      <c r="D121" s="39" t="str">
        <f>IF($A121="","",SUMIFS(weekly_demand!$D:$D,weekly_demand!$A:$A,D$1,weekly_demand!$C:$C,$A121))</f>
        <v/>
      </c>
      <c r="E121" s="39" t="str">
        <f>IF($A121="","",SUMIFS(weekly_demand!$D:$D,weekly_demand!$A:$A,E$1,weekly_demand!$C:$C,$A121))</f>
        <v/>
      </c>
      <c r="F121" s="39" t="str">
        <f>IF($A121="","",SUMIFS(weekly_demand!$D:$D,weekly_demand!$A:$A,F$1,weekly_demand!$C:$C,$A121))</f>
        <v/>
      </c>
      <c r="G121" s="39" t="str">
        <f>IF($A121="","",SUMIFS(weekly_demand!$D:$D,weekly_demand!$A:$A,G$1,weekly_demand!$C:$C,$A121))</f>
        <v/>
      </c>
    </row>
    <row r="122" spans="1:7" x14ac:dyDescent="0.3">
      <c r="A122" s="38"/>
      <c r="B122" s="39" t="str">
        <f>IF($A122="","",SUMIFS(weekly_demand!$D:$D,weekly_demand!$A:$A,B$1,weekly_demand!$C:$C,$A122))</f>
        <v/>
      </c>
      <c r="C122" s="39" t="str">
        <f>IF($A122="","",SUMIFS(weekly_demand!$D:$D,weekly_demand!$A:$A,C$1,weekly_demand!$C:$C,$A122))</f>
        <v/>
      </c>
      <c r="D122" s="39" t="str">
        <f>IF($A122="","",SUMIFS(weekly_demand!$D:$D,weekly_demand!$A:$A,D$1,weekly_demand!$C:$C,$A122))</f>
        <v/>
      </c>
      <c r="E122" s="39" t="str">
        <f>IF($A122="","",SUMIFS(weekly_demand!$D:$D,weekly_demand!$A:$A,E$1,weekly_demand!$C:$C,$A122))</f>
        <v/>
      </c>
      <c r="F122" s="39" t="str">
        <f>IF($A122="","",SUMIFS(weekly_demand!$D:$D,weekly_demand!$A:$A,F$1,weekly_demand!$C:$C,$A122))</f>
        <v/>
      </c>
      <c r="G122" s="39" t="str">
        <f>IF($A122="","",SUMIFS(weekly_demand!$D:$D,weekly_demand!$A:$A,G$1,weekly_demand!$C:$C,$A122))</f>
        <v/>
      </c>
    </row>
    <row r="123" spans="1:7" x14ac:dyDescent="0.3">
      <c r="A123" s="38"/>
      <c r="B123" s="39" t="str">
        <f>IF($A123="","",SUMIFS(weekly_demand!$D:$D,weekly_demand!$A:$A,B$1,weekly_demand!$C:$C,$A123))</f>
        <v/>
      </c>
      <c r="C123" s="39" t="str">
        <f>IF($A123="","",SUMIFS(weekly_demand!$D:$D,weekly_demand!$A:$A,C$1,weekly_demand!$C:$C,$A123))</f>
        <v/>
      </c>
      <c r="D123" s="39" t="str">
        <f>IF($A123="","",SUMIFS(weekly_demand!$D:$D,weekly_demand!$A:$A,D$1,weekly_demand!$C:$C,$A123))</f>
        <v/>
      </c>
      <c r="E123" s="39" t="str">
        <f>IF($A123="","",SUMIFS(weekly_demand!$D:$D,weekly_demand!$A:$A,E$1,weekly_demand!$C:$C,$A123))</f>
        <v/>
      </c>
      <c r="F123" s="39" t="str">
        <f>IF($A123="","",SUMIFS(weekly_demand!$D:$D,weekly_demand!$A:$A,F$1,weekly_demand!$C:$C,$A123))</f>
        <v/>
      </c>
      <c r="G123" s="39" t="str">
        <f>IF($A123="","",SUMIFS(weekly_demand!$D:$D,weekly_demand!$A:$A,G$1,weekly_demand!$C:$C,$A123))</f>
        <v/>
      </c>
    </row>
    <row r="124" spans="1:7" x14ac:dyDescent="0.3">
      <c r="A124" s="38"/>
      <c r="B124" s="39" t="str">
        <f>IF($A124="","",SUMIFS(weekly_demand!$D:$D,weekly_demand!$A:$A,B$1,weekly_demand!$C:$C,$A124))</f>
        <v/>
      </c>
      <c r="C124" s="39" t="str">
        <f>IF($A124="","",SUMIFS(weekly_demand!$D:$D,weekly_demand!$A:$A,C$1,weekly_demand!$C:$C,$A124))</f>
        <v/>
      </c>
      <c r="D124" s="39" t="str">
        <f>IF($A124="","",SUMIFS(weekly_demand!$D:$D,weekly_demand!$A:$A,D$1,weekly_demand!$C:$C,$A124))</f>
        <v/>
      </c>
      <c r="E124" s="39" t="str">
        <f>IF($A124="","",SUMIFS(weekly_demand!$D:$D,weekly_demand!$A:$A,E$1,weekly_demand!$C:$C,$A124))</f>
        <v/>
      </c>
      <c r="F124" s="39" t="str">
        <f>IF($A124="","",SUMIFS(weekly_demand!$D:$D,weekly_demand!$A:$A,F$1,weekly_demand!$C:$C,$A124))</f>
        <v/>
      </c>
      <c r="G124" s="39" t="str">
        <f>IF($A124="","",SUMIFS(weekly_demand!$D:$D,weekly_demand!$A:$A,G$1,weekly_demand!$C:$C,$A124))</f>
        <v/>
      </c>
    </row>
    <row r="125" spans="1:7" x14ac:dyDescent="0.3">
      <c r="A125" s="38"/>
      <c r="B125" s="39" t="str">
        <f>IF($A125="","",SUMIFS(weekly_demand!$D:$D,weekly_demand!$A:$A,B$1,weekly_demand!$C:$C,$A125))</f>
        <v/>
      </c>
      <c r="C125" s="39" t="str">
        <f>IF($A125="","",SUMIFS(weekly_demand!$D:$D,weekly_demand!$A:$A,C$1,weekly_demand!$C:$C,$A125))</f>
        <v/>
      </c>
      <c r="D125" s="39" t="str">
        <f>IF($A125="","",SUMIFS(weekly_demand!$D:$D,weekly_demand!$A:$A,D$1,weekly_demand!$C:$C,$A125))</f>
        <v/>
      </c>
      <c r="E125" s="39" t="str">
        <f>IF($A125="","",SUMIFS(weekly_demand!$D:$D,weekly_demand!$A:$A,E$1,weekly_demand!$C:$C,$A125))</f>
        <v/>
      </c>
      <c r="F125" s="39" t="str">
        <f>IF($A125="","",SUMIFS(weekly_demand!$D:$D,weekly_demand!$A:$A,F$1,weekly_demand!$C:$C,$A125))</f>
        <v/>
      </c>
      <c r="G125" s="39" t="str">
        <f>IF($A125="","",SUMIFS(weekly_demand!$D:$D,weekly_demand!$A:$A,G$1,weekly_demand!$C:$C,$A125))</f>
        <v/>
      </c>
    </row>
    <row r="126" spans="1:7" x14ac:dyDescent="0.3">
      <c r="A126" s="38"/>
      <c r="B126" s="39" t="str">
        <f>IF($A126="","",SUMIFS(weekly_demand!$D:$D,weekly_demand!$A:$A,B$1,weekly_demand!$C:$C,$A126))</f>
        <v/>
      </c>
      <c r="C126" s="39" t="str">
        <f>IF($A126="","",SUMIFS(weekly_demand!$D:$D,weekly_demand!$A:$A,C$1,weekly_demand!$C:$C,$A126))</f>
        <v/>
      </c>
      <c r="D126" s="39" t="str">
        <f>IF($A126="","",SUMIFS(weekly_demand!$D:$D,weekly_demand!$A:$A,D$1,weekly_demand!$C:$C,$A126))</f>
        <v/>
      </c>
      <c r="E126" s="39" t="str">
        <f>IF($A126="","",SUMIFS(weekly_demand!$D:$D,weekly_demand!$A:$A,E$1,weekly_demand!$C:$C,$A126))</f>
        <v/>
      </c>
      <c r="F126" s="39" t="str">
        <f>IF($A126="","",SUMIFS(weekly_demand!$D:$D,weekly_demand!$A:$A,F$1,weekly_demand!$C:$C,$A126))</f>
        <v/>
      </c>
      <c r="G126" s="39" t="str">
        <f>IF($A126="","",SUMIFS(weekly_demand!$D:$D,weekly_demand!$A:$A,G$1,weekly_demand!$C:$C,$A126))</f>
        <v/>
      </c>
    </row>
    <row r="127" spans="1:7" x14ac:dyDescent="0.3">
      <c r="A127" s="38"/>
      <c r="B127" s="39" t="str">
        <f>IF($A127="","",SUMIFS(weekly_demand!$D:$D,weekly_demand!$A:$A,B$1,weekly_demand!$C:$C,$A127))</f>
        <v/>
      </c>
      <c r="C127" s="39" t="str">
        <f>IF($A127="","",SUMIFS(weekly_demand!$D:$D,weekly_demand!$A:$A,C$1,weekly_demand!$C:$C,$A127))</f>
        <v/>
      </c>
      <c r="D127" s="39" t="str">
        <f>IF($A127="","",SUMIFS(weekly_demand!$D:$D,weekly_demand!$A:$A,D$1,weekly_demand!$C:$C,$A127))</f>
        <v/>
      </c>
      <c r="E127" s="39" t="str">
        <f>IF($A127="","",SUMIFS(weekly_demand!$D:$D,weekly_demand!$A:$A,E$1,weekly_demand!$C:$C,$A127))</f>
        <v/>
      </c>
      <c r="F127" s="39" t="str">
        <f>IF($A127="","",SUMIFS(weekly_demand!$D:$D,weekly_demand!$A:$A,F$1,weekly_demand!$C:$C,$A127))</f>
        <v/>
      </c>
      <c r="G127" s="39" t="str">
        <f>IF($A127="","",SUMIFS(weekly_demand!$D:$D,weekly_demand!$A:$A,G$1,weekly_demand!$C:$C,$A127))</f>
        <v/>
      </c>
    </row>
    <row r="128" spans="1:7" x14ac:dyDescent="0.3">
      <c r="A128" s="38"/>
      <c r="B128" s="39" t="str">
        <f>IF($A128="","",SUMIFS(weekly_demand!$D:$D,weekly_demand!$A:$A,B$1,weekly_demand!$C:$C,$A128))</f>
        <v/>
      </c>
      <c r="C128" s="39" t="str">
        <f>IF($A128="","",SUMIFS(weekly_demand!$D:$D,weekly_demand!$A:$A,C$1,weekly_demand!$C:$C,$A128))</f>
        <v/>
      </c>
      <c r="D128" s="39" t="str">
        <f>IF($A128="","",SUMIFS(weekly_demand!$D:$D,weekly_demand!$A:$A,D$1,weekly_demand!$C:$C,$A128))</f>
        <v/>
      </c>
      <c r="E128" s="39" t="str">
        <f>IF($A128="","",SUMIFS(weekly_demand!$D:$D,weekly_demand!$A:$A,E$1,weekly_demand!$C:$C,$A128))</f>
        <v/>
      </c>
      <c r="F128" s="39" t="str">
        <f>IF($A128="","",SUMIFS(weekly_demand!$D:$D,weekly_demand!$A:$A,F$1,weekly_demand!$C:$C,$A128))</f>
        <v/>
      </c>
      <c r="G128" s="39" t="str">
        <f>IF($A128="","",SUMIFS(weekly_demand!$D:$D,weekly_demand!$A:$A,G$1,weekly_demand!$C:$C,$A128))</f>
        <v/>
      </c>
    </row>
    <row r="129" spans="1:7" x14ac:dyDescent="0.3">
      <c r="A129" s="38"/>
      <c r="B129" s="39" t="str">
        <f>IF($A129="","",SUMIFS(weekly_demand!$D:$D,weekly_demand!$A:$A,B$1,weekly_demand!$C:$C,$A129))</f>
        <v/>
      </c>
      <c r="C129" s="39" t="str">
        <f>IF($A129="","",SUMIFS(weekly_demand!$D:$D,weekly_demand!$A:$A,C$1,weekly_demand!$C:$C,$A129))</f>
        <v/>
      </c>
      <c r="D129" s="39" t="str">
        <f>IF($A129="","",SUMIFS(weekly_demand!$D:$D,weekly_demand!$A:$A,D$1,weekly_demand!$C:$C,$A129))</f>
        <v/>
      </c>
      <c r="E129" s="39" t="str">
        <f>IF($A129="","",SUMIFS(weekly_demand!$D:$D,weekly_demand!$A:$A,E$1,weekly_demand!$C:$C,$A129))</f>
        <v/>
      </c>
      <c r="F129" s="39" t="str">
        <f>IF($A129="","",SUMIFS(weekly_demand!$D:$D,weekly_demand!$A:$A,F$1,weekly_demand!$C:$C,$A129))</f>
        <v/>
      </c>
      <c r="G129" s="39" t="str">
        <f>IF($A129="","",SUMIFS(weekly_demand!$D:$D,weekly_demand!$A:$A,G$1,weekly_demand!$C:$C,$A129))</f>
        <v/>
      </c>
    </row>
    <row r="130" spans="1:7" x14ac:dyDescent="0.3">
      <c r="A130" s="38"/>
      <c r="B130" s="39" t="str">
        <f>IF($A130="","",SUMIFS(weekly_demand!$D:$D,weekly_demand!$A:$A,B$1,weekly_demand!$C:$C,$A130))</f>
        <v/>
      </c>
      <c r="C130" s="39" t="str">
        <f>IF($A130="","",SUMIFS(weekly_demand!$D:$D,weekly_demand!$A:$A,C$1,weekly_demand!$C:$C,$A130))</f>
        <v/>
      </c>
      <c r="D130" s="39" t="str">
        <f>IF($A130="","",SUMIFS(weekly_demand!$D:$D,weekly_demand!$A:$A,D$1,weekly_demand!$C:$C,$A130))</f>
        <v/>
      </c>
      <c r="E130" s="39" t="str">
        <f>IF($A130="","",SUMIFS(weekly_demand!$D:$D,weekly_demand!$A:$A,E$1,weekly_demand!$C:$C,$A130))</f>
        <v/>
      </c>
      <c r="F130" s="39" t="str">
        <f>IF($A130="","",SUMIFS(weekly_demand!$D:$D,weekly_demand!$A:$A,F$1,weekly_demand!$C:$C,$A130))</f>
        <v/>
      </c>
      <c r="G130" s="39" t="str">
        <f>IF($A130="","",SUMIFS(weekly_demand!$D:$D,weekly_demand!$A:$A,G$1,weekly_demand!$C:$C,$A130))</f>
        <v/>
      </c>
    </row>
    <row r="131" spans="1:7" x14ac:dyDescent="0.3">
      <c r="A131" s="38"/>
      <c r="B131" s="39" t="str">
        <f>IF($A131="","",SUMIFS(weekly_demand!$D:$D,weekly_demand!$A:$A,B$1,weekly_demand!$C:$C,$A131))</f>
        <v/>
      </c>
      <c r="C131" s="39" t="str">
        <f>IF($A131="","",SUMIFS(weekly_demand!$D:$D,weekly_demand!$A:$A,C$1,weekly_demand!$C:$C,$A131))</f>
        <v/>
      </c>
      <c r="D131" s="39" t="str">
        <f>IF($A131="","",SUMIFS(weekly_demand!$D:$D,weekly_demand!$A:$A,D$1,weekly_demand!$C:$C,$A131))</f>
        <v/>
      </c>
      <c r="E131" s="39" t="str">
        <f>IF($A131="","",SUMIFS(weekly_demand!$D:$D,weekly_demand!$A:$A,E$1,weekly_demand!$C:$C,$A131))</f>
        <v/>
      </c>
      <c r="F131" s="39" t="str">
        <f>IF($A131="","",SUMIFS(weekly_demand!$D:$D,weekly_demand!$A:$A,F$1,weekly_demand!$C:$C,$A131))</f>
        <v/>
      </c>
      <c r="G131" s="39" t="str">
        <f>IF($A131="","",SUMIFS(weekly_demand!$D:$D,weekly_demand!$A:$A,G$1,weekly_demand!$C:$C,$A131))</f>
        <v/>
      </c>
    </row>
    <row r="132" spans="1:7" x14ac:dyDescent="0.3">
      <c r="A132" s="38"/>
      <c r="B132" s="39" t="str">
        <f>IF($A132="","",SUMIFS(weekly_demand!$D:$D,weekly_demand!$A:$A,B$1,weekly_demand!$C:$C,$A132))</f>
        <v/>
      </c>
      <c r="C132" s="39" t="str">
        <f>IF($A132="","",SUMIFS(weekly_demand!$D:$D,weekly_demand!$A:$A,C$1,weekly_demand!$C:$C,$A132))</f>
        <v/>
      </c>
      <c r="D132" s="39" t="str">
        <f>IF($A132="","",SUMIFS(weekly_demand!$D:$D,weekly_demand!$A:$A,D$1,weekly_demand!$C:$C,$A132))</f>
        <v/>
      </c>
      <c r="E132" s="39" t="str">
        <f>IF($A132="","",SUMIFS(weekly_demand!$D:$D,weekly_demand!$A:$A,E$1,weekly_demand!$C:$C,$A132))</f>
        <v/>
      </c>
      <c r="F132" s="39" t="str">
        <f>IF($A132="","",SUMIFS(weekly_demand!$D:$D,weekly_demand!$A:$A,F$1,weekly_demand!$C:$C,$A132))</f>
        <v/>
      </c>
      <c r="G132" s="39" t="str">
        <f>IF($A132="","",SUMIFS(weekly_demand!$D:$D,weekly_demand!$A:$A,G$1,weekly_demand!$C:$C,$A132))</f>
        <v/>
      </c>
    </row>
    <row r="133" spans="1:7" x14ac:dyDescent="0.3">
      <c r="A133" s="38"/>
      <c r="B133" s="39" t="str">
        <f>IF($A133="","",SUMIFS(weekly_demand!$D:$D,weekly_demand!$A:$A,B$1,weekly_demand!$C:$C,$A133))</f>
        <v/>
      </c>
      <c r="C133" s="39" t="str">
        <f>IF($A133="","",SUMIFS(weekly_demand!$D:$D,weekly_demand!$A:$A,C$1,weekly_demand!$C:$C,$A133))</f>
        <v/>
      </c>
      <c r="D133" s="39" t="str">
        <f>IF($A133="","",SUMIFS(weekly_demand!$D:$D,weekly_demand!$A:$A,D$1,weekly_demand!$C:$C,$A133))</f>
        <v/>
      </c>
      <c r="E133" s="39" t="str">
        <f>IF($A133="","",SUMIFS(weekly_demand!$D:$D,weekly_demand!$A:$A,E$1,weekly_demand!$C:$C,$A133))</f>
        <v/>
      </c>
      <c r="F133" s="39" t="str">
        <f>IF($A133="","",SUMIFS(weekly_demand!$D:$D,weekly_demand!$A:$A,F$1,weekly_demand!$C:$C,$A133))</f>
        <v/>
      </c>
      <c r="G133" s="39" t="str">
        <f>IF($A133="","",SUMIFS(weekly_demand!$D:$D,weekly_demand!$A:$A,G$1,weekly_demand!$C:$C,$A133))</f>
        <v/>
      </c>
    </row>
    <row r="134" spans="1:7" x14ac:dyDescent="0.3">
      <c r="A134" s="38"/>
      <c r="B134" s="39" t="str">
        <f>IF($A134="","",SUMIFS(weekly_demand!$D:$D,weekly_demand!$A:$A,B$1,weekly_demand!$C:$C,$A134))</f>
        <v/>
      </c>
      <c r="C134" s="39" t="str">
        <f>IF($A134="","",SUMIFS(weekly_demand!$D:$D,weekly_demand!$A:$A,C$1,weekly_demand!$C:$C,$A134))</f>
        <v/>
      </c>
      <c r="D134" s="39" t="str">
        <f>IF($A134="","",SUMIFS(weekly_demand!$D:$D,weekly_demand!$A:$A,D$1,weekly_demand!$C:$C,$A134))</f>
        <v/>
      </c>
      <c r="E134" s="39" t="str">
        <f>IF($A134="","",SUMIFS(weekly_demand!$D:$D,weekly_demand!$A:$A,E$1,weekly_demand!$C:$C,$A134))</f>
        <v/>
      </c>
      <c r="F134" s="39" t="str">
        <f>IF($A134="","",SUMIFS(weekly_demand!$D:$D,weekly_demand!$A:$A,F$1,weekly_demand!$C:$C,$A134))</f>
        <v/>
      </c>
      <c r="G134" s="39" t="str">
        <f>IF($A134="","",SUMIFS(weekly_demand!$D:$D,weekly_demand!$A:$A,G$1,weekly_demand!$C:$C,$A134))</f>
        <v/>
      </c>
    </row>
    <row r="135" spans="1:7" x14ac:dyDescent="0.3">
      <c r="A135" s="38"/>
      <c r="B135" s="39" t="str">
        <f>IF($A135="","",SUMIFS(weekly_demand!$D:$D,weekly_demand!$A:$A,B$1,weekly_demand!$C:$C,$A135))</f>
        <v/>
      </c>
      <c r="C135" s="39" t="str">
        <f>IF($A135="","",SUMIFS(weekly_demand!$D:$D,weekly_demand!$A:$A,C$1,weekly_demand!$C:$C,$A135))</f>
        <v/>
      </c>
      <c r="D135" s="39" t="str">
        <f>IF($A135="","",SUMIFS(weekly_demand!$D:$D,weekly_demand!$A:$A,D$1,weekly_demand!$C:$C,$A135))</f>
        <v/>
      </c>
      <c r="E135" s="39" t="str">
        <f>IF($A135="","",SUMIFS(weekly_demand!$D:$D,weekly_demand!$A:$A,E$1,weekly_demand!$C:$C,$A135))</f>
        <v/>
      </c>
      <c r="F135" s="39" t="str">
        <f>IF($A135="","",SUMIFS(weekly_demand!$D:$D,weekly_demand!$A:$A,F$1,weekly_demand!$C:$C,$A135))</f>
        <v/>
      </c>
      <c r="G135" s="39" t="str">
        <f>IF($A135="","",SUMIFS(weekly_demand!$D:$D,weekly_demand!$A:$A,G$1,weekly_demand!$C:$C,$A135))</f>
        <v/>
      </c>
    </row>
    <row r="136" spans="1:7" x14ac:dyDescent="0.3">
      <c r="A136" s="38"/>
      <c r="B136" s="39" t="str">
        <f>IF($A136="","",SUMIFS(weekly_demand!$D:$D,weekly_demand!$A:$A,B$1,weekly_demand!$C:$C,$A136))</f>
        <v/>
      </c>
      <c r="C136" s="39" t="str">
        <f>IF($A136="","",SUMIFS(weekly_demand!$D:$D,weekly_demand!$A:$A,C$1,weekly_demand!$C:$C,$A136))</f>
        <v/>
      </c>
      <c r="D136" s="39" t="str">
        <f>IF($A136="","",SUMIFS(weekly_demand!$D:$D,weekly_demand!$A:$A,D$1,weekly_demand!$C:$C,$A136))</f>
        <v/>
      </c>
      <c r="E136" s="39" t="str">
        <f>IF($A136="","",SUMIFS(weekly_demand!$D:$D,weekly_demand!$A:$A,E$1,weekly_demand!$C:$C,$A136))</f>
        <v/>
      </c>
      <c r="F136" s="39" t="str">
        <f>IF($A136="","",SUMIFS(weekly_demand!$D:$D,weekly_demand!$A:$A,F$1,weekly_demand!$C:$C,$A136))</f>
        <v/>
      </c>
      <c r="G136" s="39" t="str">
        <f>IF($A136="","",SUMIFS(weekly_demand!$D:$D,weekly_demand!$A:$A,G$1,weekly_demand!$C:$C,$A136))</f>
        <v/>
      </c>
    </row>
    <row r="137" spans="1:7" x14ac:dyDescent="0.3">
      <c r="A137" s="38"/>
      <c r="B137" s="39" t="str">
        <f>IF($A137="","",SUMIFS(weekly_demand!$D:$D,weekly_demand!$A:$A,B$1,weekly_demand!$C:$C,$A137))</f>
        <v/>
      </c>
      <c r="C137" s="39" t="str">
        <f>IF($A137="","",SUMIFS(weekly_demand!$D:$D,weekly_demand!$A:$A,C$1,weekly_demand!$C:$C,$A137))</f>
        <v/>
      </c>
      <c r="D137" s="39" t="str">
        <f>IF($A137="","",SUMIFS(weekly_demand!$D:$D,weekly_demand!$A:$A,D$1,weekly_demand!$C:$C,$A137))</f>
        <v/>
      </c>
      <c r="E137" s="39" t="str">
        <f>IF($A137="","",SUMIFS(weekly_demand!$D:$D,weekly_demand!$A:$A,E$1,weekly_demand!$C:$C,$A137))</f>
        <v/>
      </c>
      <c r="F137" s="39" t="str">
        <f>IF($A137="","",SUMIFS(weekly_demand!$D:$D,weekly_demand!$A:$A,F$1,weekly_demand!$C:$C,$A137))</f>
        <v/>
      </c>
      <c r="G137" s="39" t="str">
        <f>IF($A137="","",SUMIFS(weekly_demand!$D:$D,weekly_demand!$A:$A,G$1,weekly_demand!$C:$C,$A137))</f>
        <v/>
      </c>
    </row>
    <row r="138" spans="1:7" x14ac:dyDescent="0.3">
      <c r="A138" s="38"/>
      <c r="B138" s="39" t="str">
        <f>IF($A138="","",SUMIFS(weekly_demand!$D:$D,weekly_demand!$A:$A,B$1,weekly_demand!$C:$C,$A138))</f>
        <v/>
      </c>
      <c r="C138" s="39" t="str">
        <f>IF($A138="","",SUMIFS(weekly_demand!$D:$D,weekly_demand!$A:$A,C$1,weekly_demand!$C:$C,$A138))</f>
        <v/>
      </c>
      <c r="D138" s="39" t="str">
        <f>IF($A138="","",SUMIFS(weekly_demand!$D:$D,weekly_demand!$A:$A,D$1,weekly_demand!$C:$C,$A138))</f>
        <v/>
      </c>
      <c r="E138" s="39" t="str">
        <f>IF($A138="","",SUMIFS(weekly_demand!$D:$D,weekly_demand!$A:$A,E$1,weekly_demand!$C:$C,$A138))</f>
        <v/>
      </c>
      <c r="F138" s="39" t="str">
        <f>IF($A138="","",SUMIFS(weekly_demand!$D:$D,weekly_demand!$A:$A,F$1,weekly_demand!$C:$C,$A138))</f>
        <v/>
      </c>
      <c r="G138" s="39" t="str">
        <f>IF($A138="","",SUMIFS(weekly_demand!$D:$D,weekly_demand!$A:$A,G$1,weekly_demand!$C:$C,$A138))</f>
        <v/>
      </c>
    </row>
    <row r="139" spans="1:7" x14ac:dyDescent="0.3">
      <c r="A139" s="38"/>
      <c r="B139" s="39" t="str">
        <f>IF($A139="","",SUMIFS(weekly_demand!$D:$D,weekly_demand!$A:$A,B$1,weekly_demand!$C:$C,$A139))</f>
        <v/>
      </c>
      <c r="C139" s="39" t="str">
        <f>IF($A139="","",SUMIFS(weekly_demand!$D:$D,weekly_demand!$A:$A,C$1,weekly_demand!$C:$C,$A139))</f>
        <v/>
      </c>
      <c r="D139" s="39" t="str">
        <f>IF($A139="","",SUMIFS(weekly_demand!$D:$D,weekly_demand!$A:$A,D$1,weekly_demand!$C:$C,$A139))</f>
        <v/>
      </c>
      <c r="E139" s="39" t="str">
        <f>IF($A139="","",SUMIFS(weekly_demand!$D:$D,weekly_demand!$A:$A,E$1,weekly_demand!$C:$C,$A139))</f>
        <v/>
      </c>
      <c r="F139" s="39" t="str">
        <f>IF($A139="","",SUMIFS(weekly_demand!$D:$D,weekly_demand!$A:$A,F$1,weekly_demand!$C:$C,$A139))</f>
        <v/>
      </c>
      <c r="G139" s="39" t="str">
        <f>IF($A139="","",SUMIFS(weekly_demand!$D:$D,weekly_demand!$A:$A,G$1,weekly_demand!$C:$C,$A139))</f>
        <v/>
      </c>
    </row>
    <row r="140" spans="1:7" x14ac:dyDescent="0.3">
      <c r="A140" s="38"/>
      <c r="B140" s="39" t="str">
        <f>IF($A140="","",SUMIFS(weekly_demand!$D:$D,weekly_demand!$A:$A,B$1,weekly_demand!$C:$C,$A140))</f>
        <v/>
      </c>
      <c r="C140" s="39" t="str">
        <f>IF($A140="","",SUMIFS(weekly_demand!$D:$D,weekly_demand!$A:$A,C$1,weekly_demand!$C:$C,$A140))</f>
        <v/>
      </c>
      <c r="D140" s="39" t="str">
        <f>IF($A140="","",SUMIFS(weekly_demand!$D:$D,weekly_demand!$A:$A,D$1,weekly_demand!$C:$C,$A140))</f>
        <v/>
      </c>
      <c r="E140" s="39" t="str">
        <f>IF($A140="","",SUMIFS(weekly_demand!$D:$D,weekly_demand!$A:$A,E$1,weekly_demand!$C:$C,$A140))</f>
        <v/>
      </c>
      <c r="F140" s="39" t="str">
        <f>IF($A140="","",SUMIFS(weekly_demand!$D:$D,weekly_demand!$A:$A,F$1,weekly_demand!$C:$C,$A140))</f>
        <v/>
      </c>
      <c r="G140" s="39" t="str">
        <f>IF($A140="","",SUMIFS(weekly_demand!$D:$D,weekly_demand!$A:$A,G$1,weekly_demand!$C:$C,$A140))</f>
        <v/>
      </c>
    </row>
    <row r="141" spans="1:7" x14ac:dyDescent="0.3">
      <c r="A141" s="38"/>
      <c r="B141" s="39" t="str">
        <f>IF($A141="","",SUMIFS(weekly_demand!$D:$D,weekly_demand!$A:$A,B$1,weekly_demand!$C:$C,$A141))</f>
        <v/>
      </c>
      <c r="C141" s="39" t="str">
        <f>IF($A141="","",SUMIFS(weekly_demand!$D:$D,weekly_demand!$A:$A,C$1,weekly_demand!$C:$C,$A141))</f>
        <v/>
      </c>
      <c r="D141" s="39" t="str">
        <f>IF($A141="","",SUMIFS(weekly_demand!$D:$D,weekly_demand!$A:$A,D$1,weekly_demand!$C:$C,$A141))</f>
        <v/>
      </c>
      <c r="E141" s="39" t="str">
        <f>IF($A141="","",SUMIFS(weekly_demand!$D:$D,weekly_demand!$A:$A,E$1,weekly_demand!$C:$C,$A141))</f>
        <v/>
      </c>
      <c r="F141" s="39" t="str">
        <f>IF($A141="","",SUMIFS(weekly_demand!$D:$D,weekly_demand!$A:$A,F$1,weekly_demand!$C:$C,$A141))</f>
        <v/>
      </c>
      <c r="G141" s="39" t="str">
        <f>IF($A141="","",SUMIFS(weekly_demand!$D:$D,weekly_demand!$A:$A,G$1,weekly_demand!$C:$C,$A141))</f>
        <v/>
      </c>
    </row>
    <row r="142" spans="1:7" x14ac:dyDescent="0.3">
      <c r="A142" s="38"/>
      <c r="B142" s="39" t="str">
        <f>IF($A142="","",SUMIFS(weekly_demand!$D:$D,weekly_demand!$A:$A,B$1,weekly_demand!$C:$C,$A142))</f>
        <v/>
      </c>
      <c r="C142" s="39" t="str">
        <f>IF($A142="","",SUMIFS(weekly_demand!$D:$D,weekly_demand!$A:$A,C$1,weekly_demand!$C:$C,$A142))</f>
        <v/>
      </c>
      <c r="D142" s="39" t="str">
        <f>IF($A142="","",SUMIFS(weekly_demand!$D:$D,weekly_demand!$A:$A,D$1,weekly_demand!$C:$C,$A142))</f>
        <v/>
      </c>
      <c r="E142" s="39" t="str">
        <f>IF($A142="","",SUMIFS(weekly_demand!$D:$D,weekly_demand!$A:$A,E$1,weekly_demand!$C:$C,$A142))</f>
        <v/>
      </c>
      <c r="F142" s="39" t="str">
        <f>IF($A142="","",SUMIFS(weekly_demand!$D:$D,weekly_demand!$A:$A,F$1,weekly_demand!$C:$C,$A142))</f>
        <v/>
      </c>
      <c r="G142" s="39" t="str">
        <f>IF($A142="","",SUMIFS(weekly_demand!$D:$D,weekly_demand!$A:$A,G$1,weekly_demand!$C:$C,$A142))</f>
        <v/>
      </c>
    </row>
    <row r="143" spans="1:7" x14ac:dyDescent="0.3">
      <c r="A143" s="38"/>
      <c r="B143" s="39" t="str">
        <f>IF($A143="","",SUMIFS(weekly_demand!$D:$D,weekly_demand!$A:$A,B$1,weekly_demand!$C:$C,$A143))</f>
        <v/>
      </c>
      <c r="C143" s="39" t="str">
        <f>IF($A143="","",SUMIFS(weekly_demand!$D:$D,weekly_demand!$A:$A,C$1,weekly_demand!$C:$C,$A143))</f>
        <v/>
      </c>
      <c r="D143" s="39" t="str">
        <f>IF($A143="","",SUMIFS(weekly_demand!$D:$D,weekly_demand!$A:$A,D$1,weekly_demand!$C:$C,$A143))</f>
        <v/>
      </c>
      <c r="E143" s="39" t="str">
        <f>IF($A143="","",SUMIFS(weekly_demand!$D:$D,weekly_demand!$A:$A,E$1,weekly_demand!$C:$C,$A143))</f>
        <v/>
      </c>
      <c r="F143" s="39" t="str">
        <f>IF($A143="","",SUMIFS(weekly_demand!$D:$D,weekly_demand!$A:$A,F$1,weekly_demand!$C:$C,$A143))</f>
        <v/>
      </c>
      <c r="G143" s="39" t="str">
        <f>IF($A143="","",SUMIFS(weekly_demand!$D:$D,weekly_demand!$A:$A,G$1,weekly_demand!$C:$C,$A143))</f>
        <v/>
      </c>
    </row>
    <row r="144" spans="1:7" x14ac:dyDescent="0.3">
      <c r="A144" s="38"/>
      <c r="B144" s="39" t="str">
        <f>IF($A144="","",SUMIFS(weekly_demand!$D:$D,weekly_demand!$A:$A,B$1,weekly_demand!$C:$C,$A144))</f>
        <v/>
      </c>
      <c r="C144" s="39" t="str">
        <f>IF($A144="","",SUMIFS(weekly_demand!$D:$D,weekly_demand!$A:$A,C$1,weekly_demand!$C:$C,$A144))</f>
        <v/>
      </c>
      <c r="D144" s="39" t="str">
        <f>IF($A144="","",SUMIFS(weekly_demand!$D:$D,weekly_demand!$A:$A,D$1,weekly_demand!$C:$C,$A144))</f>
        <v/>
      </c>
      <c r="E144" s="39" t="str">
        <f>IF($A144="","",SUMIFS(weekly_demand!$D:$D,weekly_demand!$A:$A,E$1,weekly_demand!$C:$C,$A144))</f>
        <v/>
      </c>
      <c r="F144" s="39" t="str">
        <f>IF($A144="","",SUMIFS(weekly_demand!$D:$D,weekly_demand!$A:$A,F$1,weekly_demand!$C:$C,$A144))</f>
        <v/>
      </c>
      <c r="G144" s="39" t="str">
        <f>IF($A144="","",SUMIFS(weekly_demand!$D:$D,weekly_demand!$A:$A,G$1,weekly_demand!$C:$C,$A144))</f>
        <v/>
      </c>
    </row>
    <row r="145" spans="1:7" x14ac:dyDescent="0.3">
      <c r="A145" s="38"/>
      <c r="B145" s="39" t="str">
        <f>IF($A145="","",SUMIFS(weekly_demand!$D:$D,weekly_demand!$A:$A,B$1,weekly_demand!$C:$C,$A145))</f>
        <v/>
      </c>
      <c r="C145" s="39" t="str">
        <f>IF($A145="","",SUMIFS(weekly_demand!$D:$D,weekly_demand!$A:$A,C$1,weekly_demand!$C:$C,$A145))</f>
        <v/>
      </c>
      <c r="D145" s="39" t="str">
        <f>IF($A145="","",SUMIFS(weekly_demand!$D:$D,weekly_demand!$A:$A,D$1,weekly_demand!$C:$C,$A145))</f>
        <v/>
      </c>
      <c r="E145" s="39" t="str">
        <f>IF($A145="","",SUMIFS(weekly_demand!$D:$D,weekly_demand!$A:$A,E$1,weekly_demand!$C:$C,$A145))</f>
        <v/>
      </c>
      <c r="F145" s="39" t="str">
        <f>IF($A145="","",SUMIFS(weekly_demand!$D:$D,weekly_demand!$A:$A,F$1,weekly_demand!$C:$C,$A145))</f>
        <v/>
      </c>
      <c r="G145" s="39" t="str">
        <f>IF($A145="","",SUMIFS(weekly_demand!$D:$D,weekly_demand!$A:$A,G$1,weekly_demand!$C:$C,$A145))</f>
        <v/>
      </c>
    </row>
    <row r="146" spans="1:7" x14ac:dyDescent="0.3">
      <c r="A146" s="38"/>
      <c r="B146" s="39" t="str">
        <f>IF($A146="","",SUMIFS(weekly_demand!$D:$D,weekly_demand!$A:$A,B$1,weekly_demand!$C:$C,$A146))</f>
        <v/>
      </c>
      <c r="C146" s="39" t="str">
        <f>IF($A146="","",SUMIFS(weekly_demand!$D:$D,weekly_demand!$A:$A,C$1,weekly_demand!$C:$C,$A146))</f>
        <v/>
      </c>
      <c r="D146" s="39" t="str">
        <f>IF($A146="","",SUMIFS(weekly_demand!$D:$D,weekly_demand!$A:$A,D$1,weekly_demand!$C:$C,$A146))</f>
        <v/>
      </c>
      <c r="E146" s="39" t="str">
        <f>IF($A146="","",SUMIFS(weekly_demand!$D:$D,weekly_demand!$A:$A,E$1,weekly_demand!$C:$C,$A146))</f>
        <v/>
      </c>
      <c r="F146" s="39" t="str">
        <f>IF($A146="","",SUMIFS(weekly_demand!$D:$D,weekly_demand!$A:$A,F$1,weekly_demand!$C:$C,$A146))</f>
        <v/>
      </c>
      <c r="G146" s="39" t="str">
        <f>IF($A146="","",SUMIFS(weekly_demand!$D:$D,weekly_demand!$A:$A,G$1,weekly_demand!$C:$C,$A146))</f>
        <v/>
      </c>
    </row>
    <row r="147" spans="1:7" x14ac:dyDescent="0.3">
      <c r="A147" s="38"/>
      <c r="B147" s="39" t="str">
        <f>IF($A147="","",SUMIFS(weekly_demand!$D:$D,weekly_demand!$A:$A,B$1,weekly_demand!$C:$C,$A147))</f>
        <v/>
      </c>
      <c r="C147" s="39" t="str">
        <f>IF($A147="","",SUMIFS(weekly_demand!$D:$D,weekly_demand!$A:$A,C$1,weekly_demand!$C:$C,$A147))</f>
        <v/>
      </c>
      <c r="D147" s="39" t="str">
        <f>IF($A147="","",SUMIFS(weekly_demand!$D:$D,weekly_demand!$A:$A,D$1,weekly_demand!$C:$C,$A147))</f>
        <v/>
      </c>
      <c r="E147" s="39" t="str">
        <f>IF($A147="","",SUMIFS(weekly_demand!$D:$D,weekly_demand!$A:$A,E$1,weekly_demand!$C:$C,$A147))</f>
        <v/>
      </c>
      <c r="F147" s="39" t="str">
        <f>IF($A147="","",SUMIFS(weekly_demand!$D:$D,weekly_demand!$A:$A,F$1,weekly_demand!$C:$C,$A147))</f>
        <v/>
      </c>
      <c r="G147" s="39" t="str">
        <f>IF($A147="","",SUMIFS(weekly_demand!$D:$D,weekly_demand!$A:$A,G$1,weekly_demand!$C:$C,$A147))</f>
        <v/>
      </c>
    </row>
    <row r="148" spans="1:7" x14ac:dyDescent="0.3">
      <c r="A148" s="38"/>
      <c r="B148" s="39" t="str">
        <f>IF($A148="","",SUMIFS(weekly_demand!$D:$D,weekly_demand!$A:$A,B$1,weekly_demand!$C:$C,$A148))</f>
        <v/>
      </c>
      <c r="C148" s="39" t="str">
        <f>IF($A148="","",SUMIFS(weekly_demand!$D:$D,weekly_demand!$A:$A,C$1,weekly_demand!$C:$C,$A148))</f>
        <v/>
      </c>
      <c r="D148" s="39" t="str">
        <f>IF($A148="","",SUMIFS(weekly_demand!$D:$D,weekly_demand!$A:$A,D$1,weekly_demand!$C:$C,$A148))</f>
        <v/>
      </c>
      <c r="E148" s="39" t="str">
        <f>IF($A148="","",SUMIFS(weekly_demand!$D:$D,weekly_demand!$A:$A,E$1,weekly_demand!$C:$C,$A148))</f>
        <v/>
      </c>
      <c r="F148" s="39" t="str">
        <f>IF($A148="","",SUMIFS(weekly_demand!$D:$D,weekly_demand!$A:$A,F$1,weekly_demand!$C:$C,$A148))</f>
        <v/>
      </c>
      <c r="G148" s="39" t="str">
        <f>IF($A148="","",SUMIFS(weekly_demand!$D:$D,weekly_demand!$A:$A,G$1,weekly_demand!$C:$C,$A148))</f>
        <v/>
      </c>
    </row>
    <row r="149" spans="1:7" x14ac:dyDescent="0.3">
      <c r="A149" s="38"/>
      <c r="B149" s="39" t="str">
        <f>IF($A149="","",SUMIFS(weekly_demand!$D:$D,weekly_demand!$A:$A,B$1,weekly_demand!$C:$C,$A149))</f>
        <v/>
      </c>
      <c r="C149" s="39" t="str">
        <f>IF($A149="","",SUMIFS(weekly_demand!$D:$D,weekly_demand!$A:$A,C$1,weekly_demand!$C:$C,$A149))</f>
        <v/>
      </c>
      <c r="D149" s="39" t="str">
        <f>IF($A149="","",SUMIFS(weekly_demand!$D:$D,weekly_demand!$A:$A,D$1,weekly_demand!$C:$C,$A149))</f>
        <v/>
      </c>
      <c r="E149" s="39" t="str">
        <f>IF($A149="","",SUMIFS(weekly_demand!$D:$D,weekly_demand!$A:$A,E$1,weekly_demand!$C:$C,$A149))</f>
        <v/>
      </c>
      <c r="F149" s="39" t="str">
        <f>IF($A149="","",SUMIFS(weekly_demand!$D:$D,weekly_demand!$A:$A,F$1,weekly_demand!$C:$C,$A149))</f>
        <v/>
      </c>
      <c r="G149" s="39" t="str">
        <f>IF($A149="","",SUMIFS(weekly_demand!$D:$D,weekly_demand!$A:$A,G$1,weekly_demand!$C:$C,$A149))</f>
        <v/>
      </c>
    </row>
    <row r="150" spans="1:7" x14ac:dyDescent="0.3">
      <c r="A150" s="38"/>
      <c r="B150" s="39" t="str">
        <f>IF($A150="","",SUMIFS(weekly_demand!$D:$D,weekly_demand!$A:$A,B$1,weekly_demand!$C:$C,$A150))</f>
        <v/>
      </c>
      <c r="C150" s="39" t="str">
        <f>IF($A150="","",SUMIFS(weekly_demand!$D:$D,weekly_demand!$A:$A,C$1,weekly_demand!$C:$C,$A150))</f>
        <v/>
      </c>
      <c r="D150" s="39" t="str">
        <f>IF($A150="","",SUMIFS(weekly_demand!$D:$D,weekly_demand!$A:$A,D$1,weekly_demand!$C:$C,$A150))</f>
        <v/>
      </c>
      <c r="E150" s="39" t="str">
        <f>IF($A150="","",SUMIFS(weekly_demand!$D:$D,weekly_demand!$A:$A,E$1,weekly_demand!$C:$C,$A150))</f>
        <v/>
      </c>
      <c r="F150" s="39" t="str">
        <f>IF($A150="","",SUMIFS(weekly_demand!$D:$D,weekly_demand!$A:$A,F$1,weekly_demand!$C:$C,$A150))</f>
        <v/>
      </c>
      <c r="G150" s="39" t="str">
        <f>IF($A150="","",SUMIFS(weekly_demand!$D:$D,weekly_demand!$A:$A,G$1,weekly_demand!$C:$C,$A150))</f>
        <v/>
      </c>
    </row>
    <row r="151" spans="1:7" x14ac:dyDescent="0.3">
      <c r="A151" s="38"/>
      <c r="B151" s="39" t="str">
        <f>IF($A151="","",SUMIFS(weekly_demand!$D:$D,weekly_demand!$A:$A,B$1,weekly_demand!$C:$C,$A151))</f>
        <v/>
      </c>
      <c r="C151" s="39" t="str">
        <f>IF($A151="","",SUMIFS(weekly_demand!$D:$D,weekly_demand!$A:$A,C$1,weekly_demand!$C:$C,$A151))</f>
        <v/>
      </c>
      <c r="D151" s="39" t="str">
        <f>IF($A151="","",SUMIFS(weekly_demand!$D:$D,weekly_demand!$A:$A,D$1,weekly_demand!$C:$C,$A151))</f>
        <v/>
      </c>
      <c r="E151" s="39" t="str">
        <f>IF($A151="","",SUMIFS(weekly_demand!$D:$D,weekly_demand!$A:$A,E$1,weekly_demand!$C:$C,$A151))</f>
        <v/>
      </c>
      <c r="F151" s="39" t="str">
        <f>IF($A151="","",SUMIFS(weekly_demand!$D:$D,weekly_demand!$A:$A,F$1,weekly_demand!$C:$C,$A151))</f>
        <v/>
      </c>
      <c r="G151" s="39" t="str">
        <f>IF($A151="","",SUMIFS(weekly_demand!$D:$D,weekly_demand!$A:$A,G$1,weekly_demand!$C:$C,$A151))</f>
        <v/>
      </c>
    </row>
    <row r="152" spans="1:7" x14ac:dyDescent="0.3">
      <c r="A152" s="38"/>
      <c r="B152" s="39" t="str">
        <f>IF($A152="","",SUMIFS(weekly_demand!$D:$D,weekly_demand!$A:$A,B$1,weekly_demand!$C:$C,$A152))</f>
        <v/>
      </c>
      <c r="C152" s="39" t="str">
        <f>IF($A152="","",SUMIFS(weekly_demand!$D:$D,weekly_demand!$A:$A,C$1,weekly_demand!$C:$C,$A152))</f>
        <v/>
      </c>
      <c r="D152" s="39" t="str">
        <f>IF($A152="","",SUMIFS(weekly_demand!$D:$D,weekly_demand!$A:$A,D$1,weekly_demand!$C:$C,$A152))</f>
        <v/>
      </c>
      <c r="E152" s="39" t="str">
        <f>IF($A152="","",SUMIFS(weekly_demand!$D:$D,weekly_demand!$A:$A,E$1,weekly_demand!$C:$C,$A152))</f>
        <v/>
      </c>
      <c r="F152" s="39" t="str">
        <f>IF($A152="","",SUMIFS(weekly_demand!$D:$D,weekly_demand!$A:$A,F$1,weekly_demand!$C:$C,$A152))</f>
        <v/>
      </c>
      <c r="G152" s="39" t="str">
        <f>IF($A152="","",SUMIFS(weekly_demand!$D:$D,weekly_demand!$A:$A,G$1,weekly_demand!$C:$C,$A152))</f>
        <v/>
      </c>
    </row>
    <row r="153" spans="1:7" x14ac:dyDescent="0.3">
      <c r="A153" s="38"/>
      <c r="B153" s="39" t="str">
        <f>IF($A153="","",SUMIFS(weekly_demand!$D:$D,weekly_demand!$A:$A,B$1,weekly_demand!$C:$C,$A153))</f>
        <v/>
      </c>
      <c r="C153" s="39" t="str">
        <f>IF($A153="","",SUMIFS(weekly_demand!$D:$D,weekly_demand!$A:$A,C$1,weekly_demand!$C:$C,$A153))</f>
        <v/>
      </c>
      <c r="D153" s="39" t="str">
        <f>IF($A153="","",SUMIFS(weekly_demand!$D:$D,weekly_demand!$A:$A,D$1,weekly_demand!$C:$C,$A153))</f>
        <v/>
      </c>
      <c r="E153" s="39" t="str">
        <f>IF($A153="","",SUMIFS(weekly_demand!$D:$D,weekly_demand!$A:$A,E$1,weekly_demand!$C:$C,$A153))</f>
        <v/>
      </c>
      <c r="F153" s="39" t="str">
        <f>IF($A153="","",SUMIFS(weekly_demand!$D:$D,weekly_demand!$A:$A,F$1,weekly_demand!$C:$C,$A153))</f>
        <v/>
      </c>
      <c r="G153" s="39" t="str">
        <f>IF($A153="","",SUMIFS(weekly_demand!$D:$D,weekly_demand!$A:$A,G$1,weekly_demand!$C:$C,$A153))</f>
        <v/>
      </c>
    </row>
    <row r="154" spans="1:7" x14ac:dyDescent="0.3">
      <c r="A154" s="38"/>
      <c r="B154" s="39" t="str">
        <f>IF($A154="","",SUMIFS(weekly_demand!$D:$D,weekly_demand!$A:$A,B$1,weekly_demand!$C:$C,$A154))</f>
        <v/>
      </c>
      <c r="C154" s="39" t="str">
        <f>IF($A154="","",SUMIFS(weekly_demand!$D:$D,weekly_demand!$A:$A,C$1,weekly_demand!$C:$C,$A154))</f>
        <v/>
      </c>
      <c r="D154" s="39" t="str">
        <f>IF($A154="","",SUMIFS(weekly_demand!$D:$D,weekly_demand!$A:$A,D$1,weekly_demand!$C:$C,$A154))</f>
        <v/>
      </c>
      <c r="E154" s="39" t="str">
        <f>IF($A154="","",SUMIFS(weekly_demand!$D:$D,weekly_demand!$A:$A,E$1,weekly_demand!$C:$C,$A154))</f>
        <v/>
      </c>
      <c r="F154" s="39" t="str">
        <f>IF($A154="","",SUMIFS(weekly_demand!$D:$D,weekly_demand!$A:$A,F$1,weekly_demand!$C:$C,$A154))</f>
        <v/>
      </c>
      <c r="G154" s="39" t="str">
        <f>IF($A154="","",SUMIFS(weekly_demand!$D:$D,weekly_demand!$A:$A,G$1,weekly_demand!$C:$C,$A154))</f>
        <v/>
      </c>
    </row>
    <row r="155" spans="1:7" x14ac:dyDescent="0.3">
      <c r="A155" s="38"/>
      <c r="B155" s="39" t="str">
        <f>IF($A155="","",SUMIFS(weekly_demand!$D:$D,weekly_demand!$A:$A,B$1,weekly_demand!$C:$C,$A155))</f>
        <v/>
      </c>
      <c r="C155" s="39" t="str">
        <f>IF($A155="","",SUMIFS(weekly_demand!$D:$D,weekly_demand!$A:$A,C$1,weekly_demand!$C:$C,$A155))</f>
        <v/>
      </c>
      <c r="D155" s="39" t="str">
        <f>IF($A155="","",SUMIFS(weekly_demand!$D:$D,weekly_demand!$A:$A,D$1,weekly_demand!$C:$C,$A155))</f>
        <v/>
      </c>
      <c r="E155" s="39" t="str">
        <f>IF($A155="","",SUMIFS(weekly_demand!$D:$D,weekly_demand!$A:$A,E$1,weekly_demand!$C:$C,$A155))</f>
        <v/>
      </c>
      <c r="F155" s="39" t="str">
        <f>IF($A155="","",SUMIFS(weekly_demand!$D:$D,weekly_demand!$A:$A,F$1,weekly_demand!$C:$C,$A155))</f>
        <v/>
      </c>
      <c r="G155" s="39" t="str">
        <f>IF($A155="","",SUMIFS(weekly_demand!$D:$D,weekly_demand!$A:$A,G$1,weekly_demand!$C:$C,$A155))</f>
        <v/>
      </c>
    </row>
    <row r="156" spans="1:7" x14ac:dyDescent="0.3">
      <c r="A156" s="38"/>
      <c r="B156" s="39" t="str">
        <f>IF($A156="","",SUMIFS(weekly_demand!$D:$D,weekly_demand!$A:$A,B$1,weekly_demand!$C:$C,$A156))</f>
        <v/>
      </c>
      <c r="C156" s="39" t="str">
        <f>IF($A156="","",SUMIFS(weekly_demand!$D:$D,weekly_demand!$A:$A,C$1,weekly_demand!$C:$C,$A156))</f>
        <v/>
      </c>
      <c r="D156" s="39" t="str">
        <f>IF($A156="","",SUMIFS(weekly_demand!$D:$D,weekly_demand!$A:$A,D$1,weekly_demand!$C:$C,$A156))</f>
        <v/>
      </c>
      <c r="E156" s="39" t="str">
        <f>IF($A156="","",SUMIFS(weekly_demand!$D:$D,weekly_demand!$A:$A,E$1,weekly_demand!$C:$C,$A156))</f>
        <v/>
      </c>
      <c r="F156" s="39" t="str">
        <f>IF($A156="","",SUMIFS(weekly_demand!$D:$D,weekly_demand!$A:$A,F$1,weekly_demand!$C:$C,$A156))</f>
        <v/>
      </c>
      <c r="G156" s="39" t="str">
        <f>IF($A156="","",SUMIFS(weekly_demand!$D:$D,weekly_demand!$A:$A,G$1,weekly_demand!$C:$C,$A156))</f>
        <v/>
      </c>
    </row>
    <row r="157" spans="1:7" x14ac:dyDescent="0.3">
      <c r="A157" s="38"/>
      <c r="B157" s="39" t="str">
        <f>IF($A157="","",SUMIFS(weekly_demand!$D:$D,weekly_demand!$A:$A,B$1,weekly_demand!$C:$C,$A157))</f>
        <v/>
      </c>
      <c r="C157" s="39" t="str">
        <f>IF($A157="","",SUMIFS(weekly_demand!$D:$D,weekly_demand!$A:$A,C$1,weekly_demand!$C:$C,$A157))</f>
        <v/>
      </c>
      <c r="D157" s="39" t="str">
        <f>IF($A157="","",SUMIFS(weekly_demand!$D:$D,weekly_demand!$A:$A,D$1,weekly_demand!$C:$C,$A157))</f>
        <v/>
      </c>
      <c r="E157" s="39" t="str">
        <f>IF($A157="","",SUMIFS(weekly_demand!$D:$D,weekly_demand!$A:$A,E$1,weekly_demand!$C:$C,$A157))</f>
        <v/>
      </c>
      <c r="F157" s="39" t="str">
        <f>IF($A157="","",SUMIFS(weekly_demand!$D:$D,weekly_demand!$A:$A,F$1,weekly_demand!$C:$C,$A157))</f>
        <v/>
      </c>
      <c r="G157" s="39" t="str">
        <f>IF($A157="","",SUMIFS(weekly_demand!$D:$D,weekly_demand!$A:$A,G$1,weekly_demand!$C:$C,$A157))</f>
        <v/>
      </c>
    </row>
    <row r="158" spans="1:7" x14ac:dyDescent="0.3">
      <c r="A158" s="38"/>
      <c r="B158" s="39" t="str">
        <f>IF($A158="","",SUMIFS(weekly_demand!$D:$D,weekly_demand!$A:$A,B$1,weekly_demand!$C:$C,$A158))</f>
        <v/>
      </c>
      <c r="C158" s="39" t="str">
        <f>IF($A158="","",SUMIFS(weekly_demand!$D:$D,weekly_demand!$A:$A,C$1,weekly_demand!$C:$C,$A158))</f>
        <v/>
      </c>
      <c r="D158" s="39" t="str">
        <f>IF($A158="","",SUMIFS(weekly_demand!$D:$D,weekly_demand!$A:$A,D$1,weekly_demand!$C:$C,$A158))</f>
        <v/>
      </c>
      <c r="E158" s="39" t="str">
        <f>IF($A158="","",SUMIFS(weekly_demand!$D:$D,weekly_demand!$A:$A,E$1,weekly_demand!$C:$C,$A158))</f>
        <v/>
      </c>
      <c r="F158" s="39" t="str">
        <f>IF($A158="","",SUMIFS(weekly_demand!$D:$D,weekly_demand!$A:$A,F$1,weekly_demand!$C:$C,$A158))</f>
        <v/>
      </c>
      <c r="G158" s="39" t="str">
        <f>IF($A158="","",SUMIFS(weekly_demand!$D:$D,weekly_demand!$A:$A,G$1,weekly_demand!$C:$C,$A158))</f>
        <v/>
      </c>
    </row>
    <row r="159" spans="1:7" x14ac:dyDescent="0.3">
      <c r="A159" s="38"/>
      <c r="B159" s="39" t="str">
        <f>IF($A159="","",SUMIFS(weekly_demand!$D:$D,weekly_demand!$A:$A,B$1,weekly_demand!$C:$C,$A159))</f>
        <v/>
      </c>
      <c r="C159" s="39" t="str">
        <f>IF($A159="","",SUMIFS(weekly_demand!$D:$D,weekly_demand!$A:$A,C$1,weekly_demand!$C:$C,$A159))</f>
        <v/>
      </c>
      <c r="D159" s="39" t="str">
        <f>IF($A159="","",SUMIFS(weekly_demand!$D:$D,weekly_demand!$A:$A,D$1,weekly_demand!$C:$C,$A159))</f>
        <v/>
      </c>
      <c r="E159" s="39" t="str">
        <f>IF($A159="","",SUMIFS(weekly_demand!$D:$D,weekly_demand!$A:$A,E$1,weekly_demand!$C:$C,$A159))</f>
        <v/>
      </c>
      <c r="F159" s="39" t="str">
        <f>IF($A159="","",SUMIFS(weekly_demand!$D:$D,weekly_demand!$A:$A,F$1,weekly_demand!$C:$C,$A159))</f>
        <v/>
      </c>
      <c r="G159" s="39" t="str">
        <f>IF($A159="","",SUMIFS(weekly_demand!$D:$D,weekly_demand!$A:$A,G$1,weekly_demand!$C:$C,$A159))</f>
        <v/>
      </c>
    </row>
    <row r="160" spans="1:7" x14ac:dyDescent="0.3">
      <c r="A160" s="38"/>
      <c r="B160" s="39" t="str">
        <f>IF($A160="","",SUMIFS(weekly_demand!$D:$D,weekly_demand!$A:$A,B$1,weekly_demand!$C:$C,$A160))</f>
        <v/>
      </c>
      <c r="C160" s="39" t="str">
        <f>IF($A160="","",SUMIFS(weekly_demand!$D:$D,weekly_demand!$A:$A,C$1,weekly_demand!$C:$C,$A160))</f>
        <v/>
      </c>
      <c r="D160" s="39" t="str">
        <f>IF($A160="","",SUMIFS(weekly_demand!$D:$D,weekly_demand!$A:$A,D$1,weekly_demand!$C:$C,$A160))</f>
        <v/>
      </c>
      <c r="E160" s="39" t="str">
        <f>IF($A160="","",SUMIFS(weekly_demand!$D:$D,weekly_demand!$A:$A,E$1,weekly_demand!$C:$C,$A160))</f>
        <v/>
      </c>
      <c r="F160" s="39" t="str">
        <f>IF($A160="","",SUMIFS(weekly_demand!$D:$D,weekly_demand!$A:$A,F$1,weekly_demand!$C:$C,$A160))</f>
        <v/>
      </c>
      <c r="G160" s="39" t="str">
        <f>IF($A160="","",SUMIFS(weekly_demand!$D:$D,weekly_demand!$A:$A,G$1,weekly_demand!$C:$C,$A160))</f>
        <v/>
      </c>
    </row>
    <row r="161" spans="1:7" x14ac:dyDescent="0.3">
      <c r="A161" s="38"/>
      <c r="B161" s="39" t="str">
        <f>IF($A161="","",SUMIFS(weekly_demand!$D:$D,weekly_demand!$A:$A,B$1,weekly_demand!$C:$C,$A161))</f>
        <v/>
      </c>
      <c r="C161" s="39" t="str">
        <f>IF($A161="","",SUMIFS(weekly_demand!$D:$D,weekly_demand!$A:$A,C$1,weekly_demand!$C:$C,$A161))</f>
        <v/>
      </c>
      <c r="D161" s="39" t="str">
        <f>IF($A161="","",SUMIFS(weekly_demand!$D:$D,weekly_demand!$A:$A,D$1,weekly_demand!$C:$C,$A161))</f>
        <v/>
      </c>
      <c r="E161" s="39" t="str">
        <f>IF($A161="","",SUMIFS(weekly_demand!$D:$D,weekly_demand!$A:$A,E$1,weekly_demand!$C:$C,$A161))</f>
        <v/>
      </c>
      <c r="F161" s="39" t="str">
        <f>IF($A161="","",SUMIFS(weekly_demand!$D:$D,weekly_demand!$A:$A,F$1,weekly_demand!$C:$C,$A161))</f>
        <v/>
      </c>
      <c r="G161" s="39" t="str">
        <f>IF($A161="","",SUMIFS(weekly_demand!$D:$D,weekly_demand!$A:$A,G$1,weekly_demand!$C:$C,$A161))</f>
        <v/>
      </c>
    </row>
    <row r="162" spans="1:7" x14ac:dyDescent="0.3">
      <c r="A162" s="38"/>
      <c r="B162" s="39" t="str">
        <f>IF($A162="","",SUMIFS(weekly_demand!$D:$D,weekly_demand!$A:$A,B$1,weekly_demand!$C:$C,$A162))</f>
        <v/>
      </c>
      <c r="C162" s="39" t="str">
        <f>IF($A162="","",SUMIFS(weekly_demand!$D:$D,weekly_demand!$A:$A,C$1,weekly_demand!$C:$C,$A162))</f>
        <v/>
      </c>
      <c r="D162" s="39" t="str">
        <f>IF($A162="","",SUMIFS(weekly_demand!$D:$D,weekly_demand!$A:$A,D$1,weekly_demand!$C:$C,$A162))</f>
        <v/>
      </c>
      <c r="E162" s="39" t="str">
        <f>IF($A162="","",SUMIFS(weekly_demand!$D:$D,weekly_demand!$A:$A,E$1,weekly_demand!$C:$C,$A162))</f>
        <v/>
      </c>
      <c r="F162" s="39" t="str">
        <f>IF($A162="","",SUMIFS(weekly_demand!$D:$D,weekly_demand!$A:$A,F$1,weekly_demand!$C:$C,$A162))</f>
        <v/>
      </c>
      <c r="G162" s="39" t="str">
        <f>IF($A162="","",SUMIFS(weekly_demand!$D:$D,weekly_demand!$A:$A,G$1,weekly_demand!$C:$C,$A162))</f>
        <v/>
      </c>
    </row>
    <row r="163" spans="1:7" x14ac:dyDescent="0.3">
      <c r="A163" s="38"/>
      <c r="B163" s="39" t="str">
        <f>IF($A163="","",SUMIFS(weekly_demand!$D:$D,weekly_demand!$A:$A,B$1,weekly_demand!$C:$C,$A163))</f>
        <v/>
      </c>
      <c r="C163" s="39" t="str">
        <f>IF($A163="","",SUMIFS(weekly_demand!$D:$D,weekly_demand!$A:$A,C$1,weekly_demand!$C:$C,$A163))</f>
        <v/>
      </c>
      <c r="D163" s="39" t="str">
        <f>IF($A163="","",SUMIFS(weekly_demand!$D:$D,weekly_demand!$A:$A,D$1,weekly_demand!$C:$C,$A163))</f>
        <v/>
      </c>
      <c r="E163" s="39" t="str">
        <f>IF($A163="","",SUMIFS(weekly_demand!$D:$D,weekly_demand!$A:$A,E$1,weekly_demand!$C:$C,$A163))</f>
        <v/>
      </c>
      <c r="F163" s="39" t="str">
        <f>IF($A163="","",SUMIFS(weekly_demand!$D:$D,weekly_demand!$A:$A,F$1,weekly_demand!$C:$C,$A163))</f>
        <v/>
      </c>
      <c r="G163" s="39" t="str">
        <f>IF($A163="","",SUMIFS(weekly_demand!$D:$D,weekly_demand!$A:$A,G$1,weekly_demand!$C:$C,$A163))</f>
        <v/>
      </c>
    </row>
    <row r="164" spans="1:7" x14ac:dyDescent="0.3">
      <c r="A164" s="38"/>
      <c r="B164" s="39" t="str">
        <f>IF($A164="","",SUMIFS(weekly_demand!$D:$D,weekly_demand!$A:$A,B$1,weekly_demand!$C:$C,$A164))</f>
        <v/>
      </c>
      <c r="C164" s="39" t="str">
        <f>IF($A164="","",SUMIFS(weekly_demand!$D:$D,weekly_demand!$A:$A,C$1,weekly_demand!$C:$C,$A164))</f>
        <v/>
      </c>
      <c r="D164" s="39" t="str">
        <f>IF($A164="","",SUMIFS(weekly_demand!$D:$D,weekly_demand!$A:$A,D$1,weekly_demand!$C:$C,$A164))</f>
        <v/>
      </c>
      <c r="E164" s="39" t="str">
        <f>IF($A164="","",SUMIFS(weekly_demand!$D:$D,weekly_demand!$A:$A,E$1,weekly_demand!$C:$C,$A164))</f>
        <v/>
      </c>
      <c r="F164" s="39" t="str">
        <f>IF($A164="","",SUMIFS(weekly_demand!$D:$D,weekly_demand!$A:$A,F$1,weekly_demand!$C:$C,$A164))</f>
        <v/>
      </c>
      <c r="G164" s="39" t="str">
        <f>IF($A164="","",SUMIFS(weekly_demand!$D:$D,weekly_demand!$A:$A,G$1,weekly_demand!$C:$C,$A164))</f>
        <v/>
      </c>
    </row>
    <row r="165" spans="1:7" x14ac:dyDescent="0.3">
      <c r="A165" s="38"/>
      <c r="B165" s="39" t="str">
        <f>IF($A165="","",SUMIFS(weekly_demand!$D:$D,weekly_demand!$A:$A,B$1,weekly_demand!$C:$C,$A165))</f>
        <v/>
      </c>
      <c r="C165" s="39" t="str">
        <f>IF($A165="","",SUMIFS(weekly_demand!$D:$D,weekly_demand!$A:$A,C$1,weekly_demand!$C:$C,$A165))</f>
        <v/>
      </c>
      <c r="D165" s="39" t="str">
        <f>IF($A165="","",SUMIFS(weekly_demand!$D:$D,weekly_demand!$A:$A,D$1,weekly_demand!$C:$C,$A165))</f>
        <v/>
      </c>
      <c r="E165" s="39" t="str">
        <f>IF($A165="","",SUMIFS(weekly_demand!$D:$D,weekly_demand!$A:$A,E$1,weekly_demand!$C:$C,$A165))</f>
        <v/>
      </c>
      <c r="F165" s="39" t="str">
        <f>IF($A165="","",SUMIFS(weekly_demand!$D:$D,weekly_demand!$A:$A,F$1,weekly_demand!$C:$C,$A165))</f>
        <v/>
      </c>
      <c r="G165" s="39" t="str">
        <f>IF($A165="","",SUMIFS(weekly_demand!$D:$D,weekly_demand!$A:$A,G$1,weekly_demand!$C:$C,$A165))</f>
        <v/>
      </c>
    </row>
    <row r="166" spans="1:7" x14ac:dyDescent="0.3">
      <c r="A166" s="38"/>
      <c r="B166" s="39" t="str">
        <f>IF($A166="","",SUMIFS(weekly_demand!$D:$D,weekly_demand!$A:$A,B$1,weekly_demand!$C:$C,$A166))</f>
        <v/>
      </c>
      <c r="C166" s="39" t="str">
        <f>IF($A166="","",SUMIFS(weekly_demand!$D:$D,weekly_demand!$A:$A,C$1,weekly_demand!$C:$C,$A166))</f>
        <v/>
      </c>
      <c r="D166" s="39" t="str">
        <f>IF($A166="","",SUMIFS(weekly_demand!$D:$D,weekly_demand!$A:$A,D$1,weekly_demand!$C:$C,$A166))</f>
        <v/>
      </c>
      <c r="E166" s="39" t="str">
        <f>IF($A166="","",SUMIFS(weekly_demand!$D:$D,weekly_demand!$A:$A,E$1,weekly_demand!$C:$C,$A166))</f>
        <v/>
      </c>
      <c r="F166" s="39" t="str">
        <f>IF($A166="","",SUMIFS(weekly_demand!$D:$D,weekly_demand!$A:$A,F$1,weekly_demand!$C:$C,$A166))</f>
        <v/>
      </c>
      <c r="G166" s="39" t="str">
        <f>IF($A166="","",SUMIFS(weekly_demand!$D:$D,weekly_demand!$A:$A,G$1,weekly_demand!$C:$C,$A166))</f>
        <v/>
      </c>
    </row>
    <row r="167" spans="1:7" x14ac:dyDescent="0.3">
      <c r="A167" s="38"/>
      <c r="B167" s="39" t="str">
        <f>IF($A167="","",SUMIFS(weekly_demand!$D:$D,weekly_demand!$A:$A,B$1,weekly_demand!$C:$C,$A167))</f>
        <v/>
      </c>
      <c r="C167" s="39" t="str">
        <f>IF($A167="","",SUMIFS(weekly_demand!$D:$D,weekly_demand!$A:$A,C$1,weekly_demand!$C:$C,$A167))</f>
        <v/>
      </c>
      <c r="D167" s="39" t="str">
        <f>IF($A167="","",SUMIFS(weekly_demand!$D:$D,weekly_demand!$A:$A,D$1,weekly_demand!$C:$C,$A167))</f>
        <v/>
      </c>
      <c r="E167" s="39" t="str">
        <f>IF($A167="","",SUMIFS(weekly_demand!$D:$D,weekly_demand!$A:$A,E$1,weekly_demand!$C:$C,$A167))</f>
        <v/>
      </c>
      <c r="F167" s="39" t="str">
        <f>IF($A167="","",SUMIFS(weekly_demand!$D:$D,weekly_demand!$A:$A,F$1,weekly_demand!$C:$C,$A167))</f>
        <v/>
      </c>
      <c r="G167" s="39" t="str">
        <f>IF($A167="","",SUMIFS(weekly_demand!$D:$D,weekly_demand!$A:$A,G$1,weekly_demand!$C:$C,$A167))</f>
        <v/>
      </c>
    </row>
    <row r="168" spans="1:7" x14ac:dyDescent="0.3">
      <c r="A168" s="38"/>
      <c r="B168" s="39" t="str">
        <f>IF($A168="","",SUMIFS(weekly_demand!$D:$D,weekly_demand!$A:$A,B$1,weekly_demand!$C:$C,$A168))</f>
        <v/>
      </c>
      <c r="C168" s="39" t="str">
        <f>IF($A168="","",SUMIFS(weekly_demand!$D:$D,weekly_demand!$A:$A,C$1,weekly_demand!$C:$C,$A168))</f>
        <v/>
      </c>
      <c r="D168" s="39" t="str">
        <f>IF($A168="","",SUMIFS(weekly_demand!$D:$D,weekly_demand!$A:$A,D$1,weekly_demand!$C:$C,$A168))</f>
        <v/>
      </c>
      <c r="E168" s="39" t="str">
        <f>IF($A168="","",SUMIFS(weekly_demand!$D:$D,weekly_demand!$A:$A,E$1,weekly_demand!$C:$C,$A168))</f>
        <v/>
      </c>
      <c r="F168" s="39" t="str">
        <f>IF($A168="","",SUMIFS(weekly_demand!$D:$D,weekly_demand!$A:$A,F$1,weekly_demand!$C:$C,$A168))</f>
        <v/>
      </c>
      <c r="G168" s="39" t="str">
        <f>IF($A168="","",SUMIFS(weekly_demand!$D:$D,weekly_demand!$A:$A,G$1,weekly_demand!$C:$C,$A168))</f>
        <v/>
      </c>
    </row>
    <row r="169" spans="1:7" x14ac:dyDescent="0.3">
      <c r="A169" s="38"/>
      <c r="B169" s="39" t="str">
        <f>IF($A169="","",SUMIFS(weekly_demand!$D:$D,weekly_demand!$A:$A,B$1,weekly_demand!$C:$C,$A169))</f>
        <v/>
      </c>
      <c r="C169" s="39" t="str">
        <f>IF($A169="","",SUMIFS(weekly_demand!$D:$D,weekly_demand!$A:$A,C$1,weekly_demand!$C:$C,$A169))</f>
        <v/>
      </c>
      <c r="D169" s="39" t="str">
        <f>IF($A169="","",SUMIFS(weekly_demand!$D:$D,weekly_demand!$A:$A,D$1,weekly_demand!$C:$C,$A169))</f>
        <v/>
      </c>
      <c r="E169" s="39" t="str">
        <f>IF($A169="","",SUMIFS(weekly_demand!$D:$D,weekly_demand!$A:$A,E$1,weekly_demand!$C:$C,$A169))</f>
        <v/>
      </c>
      <c r="F169" s="39" t="str">
        <f>IF($A169="","",SUMIFS(weekly_demand!$D:$D,weekly_demand!$A:$A,F$1,weekly_demand!$C:$C,$A169))</f>
        <v/>
      </c>
      <c r="G169" s="39" t="str">
        <f>IF($A169="","",SUMIFS(weekly_demand!$D:$D,weekly_demand!$A:$A,G$1,weekly_demand!$C:$C,$A169))</f>
        <v/>
      </c>
    </row>
    <row r="170" spans="1:7" x14ac:dyDescent="0.3">
      <c r="A170" s="38"/>
      <c r="B170" s="39" t="str">
        <f>IF($A170="","",SUMIFS(weekly_demand!$D:$D,weekly_demand!$A:$A,B$1,weekly_demand!$C:$C,$A170))</f>
        <v/>
      </c>
      <c r="C170" s="39" t="str">
        <f>IF($A170="","",SUMIFS(weekly_demand!$D:$D,weekly_demand!$A:$A,C$1,weekly_demand!$C:$C,$A170))</f>
        <v/>
      </c>
      <c r="D170" s="39" t="str">
        <f>IF($A170="","",SUMIFS(weekly_demand!$D:$D,weekly_demand!$A:$A,D$1,weekly_demand!$C:$C,$A170))</f>
        <v/>
      </c>
      <c r="E170" s="39" t="str">
        <f>IF($A170="","",SUMIFS(weekly_demand!$D:$D,weekly_demand!$A:$A,E$1,weekly_demand!$C:$C,$A170))</f>
        <v/>
      </c>
      <c r="F170" s="39" t="str">
        <f>IF($A170="","",SUMIFS(weekly_demand!$D:$D,weekly_demand!$A:$A,F$1,weekly_demand!$C:$C,$A170))</f>
        <v/>
      </c>
      <c r="G170" s="39" t="str">
        <f>IF($A170="","",SUMIFS(weekly_demand!$D:$D,weekly_demand!$A:$A,G$1,weekly_demand!$C:$C,$A170))</f>
        <v/>
      </c>
    </row>
    <row r="171" spans="1:7" x14ac:dyDescent="0.3">
      <c r="A171" s="38"/>
      <c r="B171" s="39" t="str">
        <f>IF($A171="","",SUMIFS(weekly_demand!$D:$D,weekly_demand!$A:$A,B$1,weekly_demand!$C:$C,$A171))</f>
        <v/>
      </c>
      <c r="C171" s="39" t="str">
        <f>IF($A171="","",SUMIFS(weekly_demand!$D:$D,weekly_demand!$A:$A,C$1,weekly_demand!$C:$C,$A171))</f>
        <v/>
      </c>
      <c r="D171" s="39" t="str">
        <f>IF($A171="","",SUMIFS(weekly_demand!$D:$D,weekly_demand!$A:$A,D$1,weekly_demand!$C:$C,$A171))</f>
        <v/>
      </c>
      <c r="E171" s="39" t="str">
        <f>IF($A171="","",SUMIFS(weekly_demand!$D:$D,weekly_demand!$A:$A,E$1,weekly_demand!$C:$C,$A171))</f>
        <v/>
      </c>
      <c r="F171" s="39" t="str">
        <f>IF($A171="","",SUMIFS(weekly_demand!$D:$D,weekly_demand!$A:$A,F$1,weekly_demand!$C:$C,$A171))</f>
        <v/>
      </c>
      <c r="G171" s="39" t="str">
        <f>IF($A171="","",SUMIFS(weekly_demand!$D:$D,weekly_demand!$A:$A,G$1,weekly_demand!$C:$C,$A171))</f>
        <v/>
      </c>
    </row>
    <row r="172" spans="1:7" x14ac:dyDescent="0.3">
      <c r="A172" s="38"/>
      <c r="B172" s="39" t="str">
        <f>IF($A172="","",SUMIFS(weekly_demand!$D:$D,weekly_demand!$A:$A,B$1,weekly_demand!$C:$C,$A172))</f>
        <v/>
      </c>
      <c r="C172" s="39" t="str">
        <f>IF($A172="","",SUMIFS(weekly_demand!$D:$D,weekly_demand!$A:$A,C$1,weekly_demand!$C:$C,$A172))</f>
        <v/>
      </c>
      <c r="D172" s="39" t="str">
        <f>IF($A172="","",SUMIFS(weekly_demand!$D:$D,weekly_demand!$A:$A,D$1,weekly_demand!$C:$C,$A172))</f>
        <v/>
      </c>
      <c r="E172" s="39" t="str">
        <f>IF($A172="","",SUMIFS(weekly_demand!$D:$D,weekly_demand!$A:$A,E$1,weekly_demand!$C:$C,$A172))</f>
        <v/>
      </c>
      <c r="F172" s="39" t="str">
        <f>IF($A172="","",SUMIFS(weekly_demand!$D:$D,weekly_demand!$A:$A,F$1,weekly_demand!$C:$C,$A172))</f>
        <v/>
      </c>
      <c r="G172" s="39" t="str">
        <f>IF($A172="","",SUMIFS(weekly_demand!$D:$D,weekly_demand!$A:$A,G$1,weekly_demand!$C:$C,$A172))</f>
        <v/>
      </c>
    </row>
    <row r="173" spans="1:7" x14ac:dyDescent="0.3">
      <c r="A173" s="38"/>
      <c r="B173" s="39" t="str">
        <f>IF($A173="","",SUMIFS(weekly_demand!$D:$D,weekly_demand!$A:$A,B$1,weekly_demand!$C:$C,$A173))</f>
        <v/>
      </c>
      <c r="C173" s="39" t="str">
        <f>IF($A173="","",SUMIFS(weekly_demand!$D:$D,weekly_demand!$A:$A,C$1,weekly_demand!$C:$C,$A173))</f>
        <v/>
      </c>
      <c r="D173" s="39" t="str">
        <f>IF($A173="","",SUMIFS(weekly_demand!$D:$D,weekly_demand!$A:$A,D$1,weekly_demand!$C:$C,$A173))</f>
        <v/>
      </c>
      <c r="E173" s="39" t="str">
        <f>IF($A173="","",SUMIFS(weekly_demand!$D:$D,weekly_demand!$A:$A,E$1,weekly_demand!$C:$C,$A173))</f>
        <v/>
      </c>
      <c r="F173" s="39" t="str">
        <f>IF($A173="","",SUMIFS(weekly_demand!$D:$D,weekly_demand!$A:$A,F$1,weekly_demand!$C:$C,$A173))</f>
        <v/>
      </c>
      <c r="G173" s="39" t="str">
        <f>IF($A173="","",SUMIFS(weekly_demand!$D:$D,weekly_demand!$A:$A,G$1,weekly_demand!$C:$C,$A173))</f>
        <v/>
      </c>
    </row>
    <row r="174" spans="1:7" x14ac:dyDescent="0.3">
      <c r="A174" s="38"/>
      <c r="B174" s="39" t="str">
        <f>IF($A174="","",SUMIFS(weekly_demand!$D:$D,weekly_demand!$A:$A,B$1,weekly_demand!$C:$C,$A174))</f>
        <v/>
      </c>
      <c r="C174" s="39" t="str">
        <f>IF($A174="","",SUMIFS(weekly_demand!$D:$D,weekly_demand!$A:$A,C$1,weekly_demand!$C:$C,$A174))</f>
        <v/>
      </c>
      <c r="D174" s="39" t="str">
        <f>IF($A174="","",SUMIFS(weekly_demand!$D:$D,weekly_demand!$A:$A,D$1,weekly_demand!$C:$C,$A174))</f>
        <v/>
      </c>
      <c r="E174" s="39" t="str">
        <f>IF($A174="","",SUMIFS(weekly_demand!$D:$D,weekly_demand!$A:$A,E$1,weekly_demand!$C:$C,$A174))</f>
        <v/>
      </c>
      <c r="F174" s="39" t="str">
        <f>IF($A174="","",SUMIFS(weekly_demand!$D:$D,weekly_demand!$A:$A,F$1,weekly_demand!$C:$C,$A174))</f>
        <v/>
      </c>
      <c r="G174" s="39" t="str">
        <f>IF($A174="","",SUMIFS(weekly_demand!$D:$D,weekly_demand!$A:$A,G$1,weekly_demand!$C:$C,$A174))</f>
        <v/>
      </c>
    </row>
    <row r="175" spans="1:7" x14ac:dyDescent="0.3">
      <c r="A175" s="38"/>
      <c r="B175" s="39" t="str">
        <f>IF($A175="","",SUMIFS(weekly_demand!$D:$D,weekly_demand!$A:$A,B$1,weekly_demand!$C:$C,$A175))</f>
        <v/>
      </c>
      <c r="C175" s="39" t="str">
        <f>IF($A175="","",SUMIFS(weekly_demand!$D:$D,weekly_demand!$A:$A,C$1,weekly_demand!$C:$C,$A175))</f>
        <v/>
      </c>
      <c r="D175" s="39" t="str">
        <f>IF($A175="","",SUMIFS(weekly_demand!$D:$D,weekly_demand!$A:$A,D$1,weekly_demand!$C:$C,$A175))</f>
        <v/>
      </c>
      <c r="E175" s="39" t="str">
        <f>IF($A175="","",SUMIFS(weekly_demand!$D:$D,weekly_demand!$A:$A,E$1,weekly_demand!$C:$C,$A175))</f>
        <v/>
      </c>
      <c r="F175" s="39" t="str">
        <f>IF($A175="","",SUMIFS(weekly_demand!$D:$D,weekly_demand!$A:$A,F$1,weekly_demand!$C:$C,$A175))</f>
        <v/>
      </c>
      <c r="G175" s="39" t="str">
        <f>IF($A175="","",SUMIFS(weekly_demand!$D:$D,weekly_demand!$A:$A,G$1,weekly_demand!$C:$C,$A175))</f>
        <v/>
      </c>
    </row>
    <row r="176" spans="1:7" x14ac:dyDescent="0.3">
      <c r="A176" s="38"/>
      <c r="B176" s="39" t="str">
        <f>IF($A176="","",SUMIFS(weekly_demand!$D:$D,weekly_demand!$A:$A,B$1,weekly_demand!$C:$C,$A176))</f>
        <v/>
      </c>
      <c r="C176" s="39" t="str">
        <f>IF($A176="","",SUMIFS(weekly_demand!$D:$D,weekly_demand!$A:$A,C$1,weekly_demand!$C:$C,$A176))</f>
        <v/>
      </c>
      <c r="D176" s="39" t="str">
        <f>IF($A176="","",SUMIFS(weekly_demand!$D:$D,weekly_demand!$A:$A,D$1,weekly_demand!$C:$C,$A176))</f>
        <v/>
      </c>
      <c r="E176" s="39" t="str">
        <f>IF($A176="","",SUMIFS(weekly_demand!$D:$D,weekly_demand!$A:$A,E$1,weekly_demand!$C:$C,$A176))</f>
        <v/>
      </c>
      <c r="F176" s="39" t="str">
        <f>IF($A176="","",SUMIFS(weekly_demand!$D:$D,weekly_demand!$A:$A,F$1,weekly_demand!$C:$C,$A176))</f>
        <v/>
      </c>
      <c r="G176" s="39" t="str">
        <f>IF($A176="","",SUMIFS(weekly_demand!$D:$D,weekly_demand!$A:$A,G$1,weekly_demand!$C:$C,$A176))</f>
        <v/>
      </c>
    </row>
    <row r="177" spans="1:7" x14ac:dyDescent="0.3">
      <c r="A177" s="38"/>
      <c r="B177" s="39" t="str">
        <f>IF($A177="","",SUMIFS(weekly_demand!$D:$D,weekly_demand!$A:$A,B$1,weekly_demand!$C:$C,$A177))</f>
        <v/>
      </c>
      <c r="C177" s="39" t="str">
        <f>IF($A177="","",SUMIFS(weekly_demand!$D:$D,weekly_demand!$A:$A,C$1,weekly_demand!$C:$C,$A177))</f>
        <v/>
      </c>
      <c r="D177" s="39" t="str">
        <f>IF($A177="","",SUMIFS(weekly_demand!$D:$D,weekly_demand!$A:$A,D$1,weekly_demand!$C:$C,$A177))</f>
        <v/>
      </c>
      <c r="E177" s="39" t="str">
        <f>IF($A177="","",SUMIFS(weekly_demand!$D:$D,weekly_demand!$A:$A,E$1,weekly_demand!$C:$C,$A177))</f>
        <v/>
      </c>
      <c r="F177" s="39" t="str">
        <f>IF($A177="","",SUMIFS(weekly_demand!$D:$D,weekly_demand!$A:$A,F$1,weekly_demand!$C:$C,$A177))</f>
        <v/>
      </c>
      <c r="G177" s="39" t="str">
        <f>IF($A177="","",SUMIFS(weekly_demand!$D:$D,weekly_demand!$A:$A,G$1,weekly_demand!$C:$C,$A177))</f>
        <v/>
      </c>
    </row>
    <row r="178" spans="1:7" x14ac:dyDescent="0.3">
      <c r="A178" s="38"/>
      <c r="B178" s="39" t="str">
        <f>IF($A178="","",SUMIFS(weekly_demand!$D:$D,weekly_demand!$A:$A,B$1,weekly_demand!$C:$C,$A178))</f>
        <v/>
      </c>
      <c r="C178" s="39" t="str">
        <f>IF($A178="","",SUMIFS(weekly_demand!$D:$D,weekly_demand!$A:$A,C$1,weekly_demand!$C:$C,$A178))</f>
        <v/>
      </c>
      <c r="D178" s="39" t="str">
        <f>IF($A178="","",SUMIFS(weekly_demand!$D:$D,weekly_demand!$A:$A,D$1,weekly_demand!$C:$C,$A178))</f>
        <v/>
      </c>
      <c r="E178" s="39" t="str">
        <f>IF($A178="","",SUMIFS(weekly_demand!$D:$D,weekly_demand!$A:$A,E$1,weekly_demand!$C:$C,$A178))</f>
        <v/>
      </c>
      <c r="F178" s="39" t="str">
        <f>IF($A178="","",SUMIFS(weekly_demand!$D:$D,weekly_demand!$A:$A,F$1,weekly_demand!$C:$C,$A178))</f>
        <v/>
      </c>
      <c r="G178" s="39" t="str">
        <f>IF($A178="","",SUMIFS(weekly_demand!$D:$D,weekly_demand!$A:$A,G$1,weekly_demand!$C:$C,$A178))</f>
        <v/>
      </c>
    </row>
    <row r="179" spans="1:7" x14ac:dyDescent="0.3">
      <c r="A179" s="38"/>
      <c r="B179" s="39" t="str">
        <f>IF($A179="","",SUMIFS(weekly_demand!$D:$D,weekly_demand!$A:$A,B$1,weekly_demand!$C:$C,$A179))</f>
        <v/>
      </c>
      <c r="C179" s="39" t="str">
        <f>IF($A179="","",SUMIFS(weekly_demand!$D:$D,weekly_demand!$A:$A,C$1,weekly_demand!$C:$C,$A179))</f>
        <v/>
      </c>
      <c r="D179" s="39" t="str">
        <f>IF($A179="","",SUMIFS(weekly_demand!$D:$D,weekly_demand!$A:$A,D$1,weekly_demand!$C:$C,$A179))</f>
        <v/>
      </c>
      <c r="E179" s="39" t="str">
        <f>IF($A179="","",SUMIFS(weekly_demand!$D:$D,weekly_demand!$A:$A,E$1,weekly_demand!$C:$C,$A179))</f>
        <v/>
      </c>
      <c r="F179" s="39" t="str">
        <f>IF($A179="","",SUMIFS(weekly_demand!$D:$D,weekly_demand!$A:$A,F$1,weekly_demand!$C:$C,$A179))</f>
        <v/>
      </c>
      <c r="G179" s="39" t="str">
        <f>IF($A179="","",SUMIFS(weekly_demand!$D:$D,weekly_demand!$A:$A,G$1,weekly_demand!$C:$C,$A179))</f>
        <v/>
      </c>
    </row>
    <row r="180" spans="1:7" x14ac:dyDescent="0.3">
      <c r="A180" s="38"/>
      <c r="B180" s="39" t="str">
        <f>IF($A180="","",SUMIFS(weekly_demand!$D:$D,weekly_demand!$A:$A,B$1,weekly_demand!$C:$C,$A180))</f>
        <v/>
      </c>
      <c r="C180" s="39" t="str">
        <f>IF($A180="","",SUMIFS(weekly_demand!$D:$D,weekly_demand!$A:$A,C$1,weekly_demand!$C:$C,$A180))</f>
        <v/>
      </c>
      <c r="D180" s="39" t="str">
        <f>IF($A180="","",SUMIFS(weekly_demand!$D:$D,weekly_demand!$A:$A,D$1,weekly_demand!$C:$C,$A180))</f>
        <v/>
      </c>
      <c r="E180" s="39" t="str">
        <f>IF($A180="","",SUMIFS(weekly_demand!$D:$D,weekly_demand!$A:$A,E$1,weekly_demand!$C:$C,$A180))</f>
        <v/>
      </c>
      <c r="F180" s="39" t="str">
        <f>IF($A180="","",SUMIFS(weekly_demand!$D:$D,weekly_demand!$A:$A,F$1,weekly_demand!$C:$C,$A180))</f>
        <v/>
      </c>
      <c r="G180" s="39" t="str">
        <f>IF($A180="","",SUMIFS(weekly_demand!$D:$D,weekly_demand!$A:$A,G$1,weekly_demand!$C:$C,$A180))</f>
        <v/>
      </c>
    </row>
    <row r="181" spans="1:7" x14ac:dyDescent="0.3">
      <c r="A181" s="38"/>
      <c r="B181" s="39" t="str">
        <f>IF($A181="","",SUMIFS(weekly_demand!$D:$D,weekly_demand!$A:$A,B$1,weekly_demand!$C:$C,$A181))</f>
        <v/>
      </c>
      <c r="C181" s="39" t="str">
        <f>IF($A181="","",SUMIFS(weekly_demand!$D:$D,weekly_demand!$A:$A,C$1,weekly_demand!$C:$C,$A181))</f>
        <v/>
      </c>
      <c r="D181" s="39" t="str">
        <f>IF($A181="","",SUMIFS(weekly_demand!$D:$D,weekly_demand!$A:$A,D$1,weekly_demand!$C:$C,$A181))</f>
        <v/>
      </c>
      <c r="E181" s="39" t="str">
        <f>IF($A181="","",SUMIFS(weekly_demand!$D:$D,weekly_demand!$A:$A,E$1,weekly_demand!$C:$C,$A181))</f>
        <v/>
      </c>
      <c r="F181" s="39" t="str">
        <f>IF($A181="","",SUMIFS(weekly_demand!$D:$D,weekly_demand!$A:$A,F$1,weekly_demand!$C:$C,$A181))</f>
        <v/>
      </c>
      <c r="G181" s="39" t="str">
        <f>IF($A181="","",SUMIFS(weekly_demand!$D:$D,weekly_demand!$A:$A,G$1,weekly_demand!$C:$C,$A181))</f>
        <v/>
      </c>
    </row>
    <row r="182" spans="1:7" x14ac:dyDescent="0.3">
      <c r="A182" s="38"/>
      <c r="B182" s="39" t="str">
        <f>IF($A182="","",SUMIFS(weekly_demand!$D:$D,weekly_demand!$A:$A,B$1,weekly_demand!$C:$C,$A182))</f>
        <v/>
      </c>
      <c r="C182" s="39" t="str">
        <f>IF($A182="","",SUMIFS(weekly_demand!$D:$D,weekly_demand!$A:$A,C$1,weekly_demand!$C:$C,$A182))</f>
        <v/>
      </c>
      <c r="D182" s="39" t="str">
        <f>IF($A182="","",SUMIFS(weekly_demand!$D:$D,weekly_demand!$A:$A,D$1,weekly_demand!$C:$C,$A182))</f>
        <v/>
      </c>
      <c r="E182" s="39" t="str">
        <f>IF($A182="","",SUMIFS(weekly_demand!$D:$D,weekly_demand!$A:$A,E$1,weekly_demand!$C:$C,$A182))</f>
        <v/>
      </c>
      <c r="F182" s="39" t="str">
        <f>IF($A182="","",SUMIFS(weekly_demand!$D:$D,weekly_demand!$A:$A,F$1,weekly_demand!$C:$C,$A182))</f>
        <v/>
      </c>
      <c r="G182" s="39" t="str">
        <f>IF($A182="","",SUMIFS(weekly_demand!$D:$D,weekly_demand!$A:$A,G$1,weekly_demand!$C:$C,$A182))</f>
        <v/>
      </c>
    </row>
    <row r="183" spans="1:7" x14ac:dyDescent="0.3">
      <c r="A183" s="38"/>
      <c r="B183" s="39" t="str">
        <f>IF($A183="","",SUMIFS(weekly_demand!$D:$D,weekly_demand!$A:$A,B$1,weekly_demand!$C:$C,$A183))</f>
        <v/>
      </c>
      <c r="C183" s="39" t="str">
        <f>IF($A183="","",SUMIFS(weekly_demand!$D:$D,weekly_demand!$A:$A,C$1,weekly_demand!$C:$C,$A183))</f>
        <v/>
      </c>
      <c r="D183" s="39" t="str">
        <f>IF($A183="","",SUMIFS(weekly_demand!$D:$D,weekly_demand!$A:$A,D$1,weekly_demand!$C:$C,$A183))</f>
        <v/>
      </c>
      <c r="E183" s="39" t="str">
        <f>IF($A183="","",SUMIFS(weekly_demand!$D:$D,weekly_demand!$A:$A,E$1,weekly_demand!$C:$C,$A183))</f>
        <v/>
      </c>
      <c r="F183" s="39" t="str">
        <f>IF($A183="","",SUMIFS(weekly_demand!$D:$D,weekly_demand!$A:$A,F$1,weekly_demand!$C:$C,$A183))</f>
        <v/>
      </c>
      <c r="G183" s="39" t="str">
        <f>IF($A183="","",SUMIFS(weekly_demand!$D:$D,weekly_demand!$A:$A,G$1,weekly_demand!$C:$C,$A183))</f>
        <v/>
      </c>
    </row>
    <row r="184" spans="1:7" x14ac:dyDescent="0.3">
      <c r="A184" s="38"/>
      <c r="B184" s="39" t="str">
        <f>IF($A184="","",SUMIFS(weekly_demand!$D:$D,weekly_demand!$A:$A,B$1,weekly_demand!$C:$C,$A184))</f>
        <v/>
      </c>
      <c r="C184" s="39" t="str">
        <f>IF($A184="","",SUMIFS(weekly_demand!$D:$D,weekly_demand!$A:$A,C$1,weekly_demand!$C:$C,$A184))</f>
        <v/>
      </c>
      <c r="D184" s="39" t="str">
        <f>IF($A184="","",SUMIFS(weekly_demand!$D:$D,weekly_demand!$A:$A,D$1,weekly_demand!$C:$C,$A184))</f>
        <v/>
      </c>
      <c r="E184" s="39" t="str">
        <f>IF($A184="","",SUMIFS(weekly_demand!$D:$D,weekly_demand!$A:$A,E$1,weekly_demand!$C:$C,$A184))</f>
        <v/>
      </c>
      <c r="F184" s="39" t="str">
        <f>IF($A184="","",SUMIFS(weekly_demand!$D:$D,weekly_demand!$A:$A,F$1,weekly_demand!$C:$C,$A184))</f>
        <v/>
      </c>
      <c r="G184" s="39" t="str">
        <f>IF($A184="","",SUMIFS(weekly_demand!$D:$D,weekly_demand!$A:$A,G$1,weekly_demand!$C:$C,$A184))</f>
        <v/>
      </c>
    </row>
    <row r="185" spans="1:7" x14ac:dyDescent="0.3">
      <c r="A185" s="38"/>
      <c r="B185" s="39" t="str">
        <f>IF($A185="","",SUMIFS(weekly_demand!$D:$D,weekly_demand!$A:$A,B$1,weekly_demand!$C:$C,$A185))</f>
        <v/>
      </c>
      <c r="C185" s="39" t="str">
        <f>IF($A185="","",SUMIFS(weekly_demand!$D:$D,weekly_demand!$A:$A,C$1,weekly_demand!$C:$C,$A185))</f>
        <v/>
      </c>
      <c r="D185" s="39" t="str">
        <f>IF($A185="","",SUMIFS(weekly_demand!$D:$D,weekly_demand!$A:$A,D$1,weekly_demand!$C:$C,$A185))</f>
        <v/>
      </c>
      <c r="E185" s="39" t="str">
        <f>IF($A185="","",SUMIFS(weekly_demand!$D:$D,weekly_demand!$A:$A,E$1,weekly_demand!$C:$C,$A185))</f>
        <v/>
      </c>
      <c r="F185" s="39" t="str">
        <f>IF($A185="","",SUMIFS(weekly_demand!$D:$D,weekly_demand!$A:$A,F$1,weekly_demand!$C:$C,$A185))</f>
        <v/>
      </c>
      <c r="G185" s="39" t="str">
        <f>IF($A185="","",SUMIFS(weekly_demand!$D:$D,weekly_demand!$A:$A,G$1,weekly_demand!$C:$C,$A185))</f>
        <v/>
      </c>
    </row>
    <row r="186" spans="1:7" x14ac:dyDescent="0.3">
      <c r="A186" s="38"/>
      <c r="B186" s="39" t="str">
        <f>IF($A186="","",SUMIFS(weekly_demand!$D:$D,weekly_demand!$A:$A,B$1,weekly_demand!$C:$C,$A186))</f>
        <v/>
      </c>
      <c r="C186" s="39" t="str">
        <f>IF($A186="","",SUMIFS(weekly_demand!$D:$D,weekly_demand!$A:$A,C$1,weekly_demand!$C:$C,$A186))</f>
        <v/>
      </c>
      <c r="D186" s="39" t="str">
        <f>IF($A186="","",SUMIFS(weekly_demand!$D:$D,weekly_demand!$A:$A,D$1,weekly_demand!$C:$C,$A186))</f>
        <v/>
      </c>
      <c r="E186" s="39" t="str">
        <f>IF($A186="","",SUMIFS(weekly_demand!$D:$D,weekly_demand!$A:$A,E$1,weekly_demand!$C:$C,$A186))</f>
        <v/>
      </c>
      <c r="F186" s="39" t="str">
        <f>IF($A186="","",SUMIFS(weekly_demand!$D:$D,weekly_demand!$A:$A,F$1,weekly_demand!$C:$C,$A186))</f>
        <v/>
      </c>
      <c r="G186" s="39" t="str">
        <f>IF($A186="","",SUMIFS(weekly_demand!$D:$D,weekly_demand!$A:$A,G$1,weekly_demand!$C:$C,$A186))</f>
        <v/>
      </c>
    </row>
    <row r="187" spans="1:7" x14ac:dyDescent="0.3">
      <c r="A187" s="38"/>
      <c r="B187" s="39" t="str">
        <f>IF($A187="","",SUMIFS(weekly_demand!$D:$D,weekly_demand!$A:$A,B$1,weekly_demand!$C:$C,$A187))</f>
        <v/>
      </c>
      <c r="C187" s="39" t="str">
        <f>IF($A187="","",SUMIFS(weekly_demand!$D:$D,weekly_demand!$A:$A,C$1,weekly_demand!$C:$C,$A187))</f>
        <v/>
      </c>
      <c r="D187" s="39" t="str">
        <f>IF($A187="","",SUMIFS(weekly_demand!$D:$D,weekly_demand!$A:$A,D$1,weekly_demand!$C:$C,$A187))</f>
        <v/>
      </c>
      <c r="E187" s="39" t="str">
        <f>IF($A187="","",SUMIFS(weekly_demand!$D:$D,weekly_demand!$A:$A,E$1,weekly_demand!$C:$C,$A187))</f>
        <v/>
      </c>
      <c r="F187" s="39" t="str">
        <f>IF($A187="","",SUMIFS(weekly_demand!$D:$D,weekly_demand!$A:$A,F$1,weekly_demand!$C:$C,$A187))</f>
        <v/>
      </c>
      <c r="G187" s="39" t="str">
        <f>IF($A187="","",SUMIFS(weekly_demand!$D:$D,weekly_demand!$A:$A,G$1,weekly_demand!$C:$C,$A187))</f>
        <v/>
      </c>
    </row>
    <row r="188" spans="1:7" x14ac:dyDescent="0.3">
      <c r="A188" s="38"/>
      <c r="B188" s="39" t="str">
        <f>IF($A188="","",SUMIFS(weekly_demand!$D:$D,weekly_demand!$A:$A,B$1,weekly_demand!$C:$C,$A188))</f>
        <v/>
      </c>
      <c r="C188" s="39" t="str">
        <f>IF($A188="","",SUMIFS(weekly_demand!$D:$D,weekly_demand!$A:$A,C$1,weekly_demand!$C:$C,$A188))</f>
        <v/>
      </c>
      <c r="D188" s="39" t="str">
        <f>IF($A188="","",SUMIFS(weekly_demand!$D:$D,weekly_demand!$A:$A,D$1,weekly_demand!$C:$C,$A188))</f>
        <v/>
      </c>
      <c r="E188" s="39" t="str">
        <f>IF($A188="","",SUMIFS(weekly_demand!$D:$D,weekly_demand!$A:$A,E$1,weekly_demand!$C:$C,$A188))</f>
        <v/>
      </c>
      <c r="F188" s="39" t="str">
        <f>IF($A188="","",SUMIFS(weekly_demand!$D:$D,weekly_demand!$A:$A,F$1,weekly_demand!$C:$C,$A188))</f>
        <v/>
      </c>
      <c r="G188" s="39" t="str">
        <f>IF($A188="","",SUMIFS(weekly_demand!$D:$D,weekly_demand!$A:$A,G$1,weekly_demand!$C:$C,$A188))</f>
        <v/>
      </c>
    </row>
    <row r="189" spans="1:7" x14ac:dyDescent="0.3">
      <c r="A189" s="38"/>
      <c r="B189" s="39" t="str">
        <f>IF($A189="","",SUMIFS(weekly_demand!$D:$D,weekly_demand!$A:$A,B$1,weekly_demand!$C:$C,$A189))</f>
        <v/>
      </c>
      <c r="C189" s="39" t="str">
        <f>IF($A189="","",SUMIFS(weekly_demand!$D:$D,weekly_demand!$A:$A,C$1,weekly_demand!$C:$C,$A189))</f>
        <v/>
      </c>
      <c r="D189" s="39" t="str">
        <f>IF($A189="","",SUMIFS(weekly_demand!$D:$D,weekly_demand!$A:$A,D$1,weekly_demand!$C:$C,$A189))</f>
        <v/>
      </c>
      <c r="E189" s="39" t="str">
        <f>IF($A189="","",SUMIFS(weekly_demand!$D:$D,weekly_demand!$A:$A,E$1,weekly_demand!$C:$C,$A189))</f>
        <v/>
      </c>
      <c r="F189" s="39" t="str">
        <f>IF($A189="","",SUMIFS(weekly_demand!$D:$D,weekly_demand!$A:$A,F$1,weekly_demand!$C:$C,$A189))</f>
        <v/>
      </c>
      <c r="G189" s="39" t="str">
        <f>IF($A189="","",SUMIFS(weekly_demand!$D:$D,weekly_demand!$A:$A,G$1,weekly_demand!$C:$C,$A189))</f>
        <v/>
      </c>
    </row>
    <row r="190" spans="1:7" x14ac:dyDescent="0.3">
      <c r="A190" s="38"/>
      <c r="B190" s="39" t="str">
        <f>IF($A190="","",SUMIFS(weekly_demand!$D:$D,weekly_demand!$A:$A,B$1,weekly_demand!$C:$C,$A190))</f>
        <v/>
      </c>
      <c r="C190" s="39" t="str">
        <f>IF($A190="","",SUMIFS(weekly_demand!$D:$D,weekly_demand!$A:$A,C$1,weekly_demand!$C:$C,$A190))</f>
        <v/>
      </c>
      <c r="D190" s="39" t="str">
        <f>IF($A190="","",SUMIFS(weekly_demand!$D:$D,weekly_demand!$A:$A,D$1,weekly_demand!$C:$C,$A190))</f>
        <v/>
      </c>
      <c r="E190" s="39" t="str">
        <f>IF($A190="","",SUMIFS(weekly_demand!$D:$D,weekly_demand!$A:$A,E$1,weekly_demand!$C:$C,$A190))</f>
        <v/>
      </c>
      <c r="F190" s="39" t="str">
        <f>IF($A190="","",SUMIFS(weekly_demand!$D:$D,weekly_demand!$A:$A,F$1,weekly_demand!$C:$C,$A190))</f>
        <v/>
      </c>
      <c r="G190" s="39" t="str">
        <f>IF($A190="","",SUMIFS(weekly_demand!$D:$D,weekly_demand!$A:$A,G$1,weekly_demand!$C:$C,$A190))</f>
        <v/>
      </c>
    </row>
    <row r="191" spans="1:7" x14ac:dyDescent="0.3">
      <c r="A191" s="38"/>
      <c r="B191" s="39" t="str">
        <f>IF($A191="","",SUMIFS(weekly_demand!$D:$D,weekly_demand!$A:$A,B$1,weekly_demand!$C:$C,$A191))</f>
        <v/>
      </c>
      <c r="C191" s="39" t="str">
        <f>IF($A191="","",SUMIFS(weekly_demand!$D:$D,weekly_demand!$A:$A,C$1,weekly_demand!$C:$C,$A191))</f>
        <v/>
      </c>
      <c r="D191" s="39" t="str">
        <f>IF($A191="","",SUMIFS(weekly_demand!$D:$D,weekly_demand!$A:$A,D$1,weekly_demand!$C:$C,$A191))</f>
        <v/>
      </c>
      <c r="E191" s="39" t="str">
        <f>IF($A191="","",SUMIFS(weekly_demand!$D:$D,weekly_demand!$A:$A,E$1,weekly_demand!$C:$C,$A191))</f>
        <v/>
      </c>
      <c r="F191" s="39" t="str">
        <f>IF($A191="","",SUMIFS(weekly_demand!$D:$D,weekly_demand!$A:$A,F$1,weekly_demand!$C:$C,$A191))</f>
        <v/>
      </c>
      <c r="G191" s="39" t="str">
        <f>IF($A191="","",SUMIFS(weekly_demand!$D:$D,weekly_demand!$A:$A,G$1,weekly_demand!$C:$C,$A191))</f>
        <v/>
      </c>
    </row>
    <row r="192" spans="1:7" x14ac:dyDescent="0.3">
      <c r="A192" s="38"/>
      <c r="B192" s="39" t="str">
        <f>IF($A192="","",SUMIFS(weekly_demand!$D:$D,weekly_demand!$A:$A,B$1,weekly_demand!$C:$C,$A192))</f>
        <v/>
      </c>
      <c r="C192" s="39" t="str">
        <f>IF($A192="","",SUMIFS(weekly_demand!$D:$D,weekly_demand!$A:$A,C$1,weekly_demand!$C:$C,$A192))</f>
        <v/>
      </c>
      <c r="D192" s="39" t="str">
        <f>IF($A192="","",SUMIFS(weekly_demand!$D:$D,weekly_demand!$A:$A,D$1,weekly_demand!$C:$C,$A192))</f>
        <v/>
      </c>
      <c r="E192" s="39" t="str">
        <f>IF($A192="","",SUMIFS(weekly_demand!$D:$D,weekly_demand!$A:$A,E$1,weekly_demand!$C:$C,$A192))</f>
        <v/>
      </c>
      <c r="F192" s="39" t="str">
        <f>IF($A192="","",SUMIFS(weekly_demand!$D:$D,weekly_demand!$A:$A,F$1,weekly_demand!$C:$C,$A192))</f>
        <v/>
      </c>
      <c r="G192" s="39" t="str">
        <f>IF($A192="","",SUMIFS(weekly_demand!$D:$D,weekly_demand!$A:$A,G$1,weekly_demand!$C:$C,$A192))</f>
        <v/>
      </c>
    </row>
    <row r="193" spans="1:7" x14ac:dyDescent="0.3">
      <c r="A193" s="38"/>
      <c r="B193" s="39" t="str">
        <f>IF($A193="","",SUMIFS(weekly_demand!$D:$D,weekly_demand!$A:$A,B$1,weekly_demand!$C:$C,$A193))</f>
        <v/>
      </c>
      <c r="C193" s="39" t="str">
        <f>IF($A193="","",SUMIFS(weekly_demand!$D:$D,weekly_demand!$A:$A,C$1,weekly_demand!$C:$C,$A193))</f>
        <v/>
      </c>
      <c r="D193" s="39" t="str">
        <f>IF($A193="","",SUMIFS(weekly_demand!$D:$D,weekly_demand!$A:$A,D$1,weekly_demand!$C:$C,$A193))</f>
        <v/>
      </c>
      <c r="E193" s="39" t="str">
        <f>IF($A193="","",SUMIFS(weekly_demand!$D:$D,weekly_demand!$A:$A,E$1,weekly_demand!$C:$C,$A193))</f>
        <v/>
      </c>
      <c r="F193" s="39" t="str">
        <f>IF($A193="","",SUMIFS(weekly_demand!$D:$D,weekly_demand!$A:$A,F$1,weekly_demand!$C:$C,$A193))</f>
        <v/>
      </c>
      <c r="G193" s="39" t="str">
        <f>IF($A193="","",SUMIFS(weekly_demand!$D:$D,weekly_demand!$A:$A,G$1,weekly_demand!$C:$C,$A193))</f>
        <v/>
      </c>
    </row>
    <row r="194" spans="1:7" x14ac:dyDescent="0.3">
      <c r="A194" s="38"/>
      <c r="B194" s="39" t="str">
        <f>IF($A194="","",SUMIFS(weekly_demand!$D:$D,weekly_demand!$A:$A,B$1,weekly_demand!$C:$C,$A194))</f>
        <v/>
      </c>
      <c r="C194" s="39" t="str">
        <f>IF($A194="","",SUMIFS(weekly_demand!$D:$D,weekly_demand!$A:$A,C$1,weekly_demand!$C:$C,$A194))</f>
        <v/>
      </c>
      <c r="D194" s="39" t="str">
        <f>IF($A194="","",SUMIFS(weekly_demand!$D:$D,weekly_demand!$A:$A,D$1,weekly_demand!$C:$C,$A194))</f>
        <v/>
      </c>
      <c r="E194" s="39" t="str">
        <f>IF($A194="","",SUMIFS(weekly_demand!$D:$D,weekly_demand!$A:$A,E$1,weekly_demand!$C:$C,$A194))</f>
        <v/>
      </c>
      <c r="F194" s="39" t="str">
        <f>IF($A194="","",SUMIFS(weekly_demand!$D:$D,weekly_demand!$A:$A,F$1,weekly_demand!$C:$C,$A194))</f>
        <v/>
      </c>
      <c r="G194" s="39" t="str">
        <f>IF($A194="","",SUMIFS(weekly_demand!$D:$D,weekly_demand!$A:$A,G$1,weekly_demand!$C:$C,$A194))</f>
        <v/>
      </c>
    </row>
    <row r="195" spans="1:7" x14ac:dyDescent="0.3">
      <c r="A195" s="38"/>
      <c r="B195" s="39" t="str">
        <f>IF($A195="","",SUMIFS(weekly_demand!$D:$D,weekly_demand!$A:$A,B$1,weekly_demand!$C:$C,$A195))</f>
        <v/>
      </c>
      <c r="C195" s="39" t="str">
        <f>IF($A195="","",SUMIFS(weekly_demand!$D:$D,weekly_demand!$A:$A,C$1,weekly_demand!$C:$C,$A195))</f>
        <v/>
      </c>
      <c r="D195" s="39" t="str">
        <f>IF($A195="","",SUMIFS(weekly_demand!$D:$D,weekly_demand!$A:$A,D$1,weekly_demand!$C:$C,$A195))</f>
        <v/>
      </c>
      <c r="E195" s="39" t="str">
        <f>IF($A195="","",SUMIFS(weekly_demand!$D:$D,weekly_demand!$A:$A,E$1,weekly_demand!$C:$C,$A195))</f>
        <v/>
      </c>
      <c r="F195" s="39" t="str">
        <f>IF($A195="","",SUMIFS(weekly_demand!$D:$D,weekly_demand!$A:$A,F$1,weekly_demand!$C:$C,$A195))</f>
        <v/>
      </c>
      <c r="G195" s="39" t="str">
        <f>IF($A195="","",SUMIFS(weekly_demand!$D:$D,weekly_demand!$A:$A,G$1,weekly_demand!$C:$C,$A195))</f>
        <v/>
      </c>
    </row>
    <row r="196" spans="1:7" x14ac:dyDescent="0.3">
      <c r="A196" s="38"/>
      <c r="B196" s="39" t="str">
        <f>IF($A196="","",SUMIFS(weekly_demand!$D:$D,weekly_demand!$A:$A,B$1,weekly_demand!$C:$C,$A196))</f>
        <v/>
      </c>
      <c r="C196" s="39" t="str">
        <f>IF($A196="","",SUMIFS(weekly_demand!$D:$D,weekly_demand!$A:$A,C$1,weekly_demand!$C:$C,$A196))</f>
        <v/>
      </c>
      <c r="D196" s="39" t="str">
        <f>IF($A196="","",SUMIFS(weekly_demand!$D:$D,weekly_demand!$A:$A,D$1,weekly_demand!$C:$C,$A196))</f>
        <v/>
      </c>
      <c r="E196" s="39" t="str">
        <f>IF($A196="","",SUMIFS(weekly_demand!$D:$D,weekly_demand!$A:$A,E$1,weekly_demand!$C:$C,$A196))</f>
        <v/>
      </c>
      <c r="F196" s="39" t="str">
        <f>IF($A196="","",SUMIFS(weekly_demand!$D:$D,weekly_demand!$A:$A,F$1,weekly_demand!$C:$C,$A196))</f>
        <v/>
      </c>
      <c r="G196" s="39" t="str">
        <f>IF($A196="","",SUMIFS(weekly_demand!$D:$D,weekly_demand!$A:$A,G$1,weekly_demand!$C:$C,$A196))</f>
        <v/>
      </c>
    </row>
    <row r="197" spans="1:7" x14ac:dyDescent="0.3">
      <c r="A197" s="38"/>
      <c r="B197" s="39" t="str">
        <f>IF($A197="","",SUMIFS(weekly_demand!$D:$D,weekly_demand!$A:$A,B$1,weekly_demand!$C:$C,$A197))</f>
        <v/>
      </c>
      <c r="C197" s="39" t="str">
        <f>IF($A197="","",SUMIFS(weekly_demand!$D:$D,weekly_demand!$A:$A,C$1,weekly_demand!$C:$C,$A197))</f>
        <v/>
      </c>
      <c r="D197" s="39" t="str">
        <f>IF($A197="","",SUMIFS(weekly_demand!$D:$D,weekly_demand!$A:$A,D$1,weekly_demand!$C:$C,$A197))</f>
        <v/>
      </c>
      <c r="E197" s="39" t="str">
        <f>IF($A197="","",SUMIFS(weekly_demand!$D:$D,weekly_demand!$A:$A,E$1,weekly_demand!$C:$C,$A197))</f>
        <v/>
      </c>
      <c r="F197" s="39" t="str">
        <f>IF($A197="","",SUMIFS(weekly_demand!$D:$D,weekly_demand!$A:$A,F$1,weekly_demand!$C:$C,$A197))</f>
        <v/>
      </c>
      <c r="G197" s="39" t="str">
        <f>IF($A197="","",SUMIFS(weekly_demand!$D:$D,weekly_demand!$A:$A,G$1,weekly_demand!$C:$C,$A197))</f>
        <v/>
      </c>
    </row>
    <row r="198" spans="1:7" x14ac:dyDescent="0.3">
      <c r="A198" s="38"/>
      <c r="B198" s="39" t="str">
        <f>IF($A198="","",SUMIFS(weekly_demand!$D:$D,weekly_demand!$A:$A,B$1,weekly_demand!$C:$C,$A198))</f>
        <v/>
      </c>
      <c r="C198" s="39" t="str">
        <f>IF($A198="","",SUMIFS(weekly_demand!$D:$D,weekly_demand!$A:$A,C$1,weekly_demand!$C:$C,$A198))</f>
        <v/>
      </c>
      <c r="D198" s="39" t="str">
        <f>IF($A198="","",SUMIFS(weekly_demand!$D:$D,weekly_demand!$A:$A,D$1,weekly_demand!$C:$C,$A198))</f>
        <v/>
      </c>
      <c r="E198" s="39" t="str">
        <f>IF($A198="","",SUMIFS(weekly_demand!$D:$D,weekly_demand!$A:$A,E$1,weekly_demand!$C:$C,$A198))</f>
        <v/>
      </c>
      <c r="F198" s="39" t="str">
        <f>IF($A198="","",SUMIFS(weekly_demand!$D:$D,weekly_demand!$A:$A,F$1,weekly_demand!$C:$C,$A198))</f>
        <v/>
      </c>
      <c r="G198" s="39" t="str">
        <f>IF($A198="","",SUMIFS(weekly_demand!$D:$D,weekly_demand!$A:$A,G$1,weekly_demand!$C:$C,$A198))</f>
        <v/>
      </c>
    </row>
    <row r="199" spans="1:7" x14ac:dyDescent="0.3">
      <c r="A199" s="38"/>
      <c r="B199" s="39" t="str">
        <f>IF($A199="","",SUMIFS(weekly_demand!$D:$D,weekly_demand!$A:$A,B$1,weekly_demand!$C:$C,$A199))</f>
        <v/>
      </c>
      <c r="C199" s="39" t="str">
        <f>IF($A199="","",SUMIFS(weekly_demand!$D:$D,weekly_demand!$A:$A,C$1,weekly_demand!$C:$C,$A199))</f>
        <v/>
      </c>
      <c r="D199" s="39" t="str">
        <f>IF($A199="","",SUMIFS(weekly_demand!$D:$D,weekly_demand!$A:$A,D$1,weekly_demand!$C:$C,$A199))</f>
        <v/>
      </c>
      <c r="E199" s="39" t="str">
        <f>IF($A199="","",SUMIFS(weekly_demand!$D:$D,weekly_demand!$A:$A,E$1,weekly_demand!$C:$C,$A199))</f>
        <v/>
      </c>
      <c r="F199" s="39" t="str">
        <f>IF($A199="","",SUMIFS(weekly_demand!$D:$D,weekly_demand!$A:$A,F$1,weekly_demand!$C:$C,$A199))</f>
        <v/>
      </c>
      <c r="G199" s="39" t="str">
        <f>IF($A199="","",SUMIFS(weekly_demand!$D:$D,weekly_demand!$A:$A,G$1,weekly_demand!$C:$C,$A199))</f>
        <v/>
      </c>
    </row>
    <row r="200" spans="1:7" x14ac:dyDescent="0.3">
      <c r="A200" s="38"/>
      <c r="B200" s="39" t="str">
        <f>IF($A200="","",SUMIFS(weekly_demand!$D:$D,weekly_demand!$A:$A,B$1,weekly_demand!$C:$C,$A200))</f>
        <v/>
      </c>
      <c r="C200" s="39" t="str">
        <f>IF($A200="","",SUMIFS(weekly_demand!$D:$D,weekly_demand!$A:$A,C$1,weekly_demand!$C:$C,$A200))</f>
        <v/>
      </c>
      <c r="D200" s="39" t="str">
        <f>IF($A200="","",SUMIFS(weekly_demand!$D:$D,weekly_demand!$A:$A,D$1,weekly_demand!$C:$C,$A200))</f>
        <v/>
      </c>
      <c r="E200" s="39" t="str">
        <f>IF($A200="","",SUMIFS(weekly_demand!$D:$D,weekly_demand!$A:$A,E$1,weekly_demand!$C:$C,$A200))</f>
        <v/>
      </c>
      <c r="F200" s="39" t="str">
        <f>IF($A200="","",SUMIFS(weekly_demand!$D:$D,weekly_demand!$A:$A,F$1,weekly_demand!$C:$C,$A200))</f>
        <v/>
      </c>
      <c r="G200" s="39" t="str">
        <f>IF($A200="","",SUMIFS(weekly_demand!$D:$D,weekly_demand!$A:$A,G$1,weekly_demand!$C:$C,$A200))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0"/>
  <sheetViews>
    <sheetView zoomScale="65" workbookViewId="0">
      <selection activeCell="K9" sqref="K9"/>
    </sheetView>
  </sheetViews>
  <sheetFormatPr defaultColWidth="8.6640625" defaultRowHeight="14.4" x14ac:dyDescent="0.3"/>
  <cols>
    <col min="1" max="1" width="13" style="61" customWidth="1"/>
    <col min="2" max="2" width="12" style="61" customWidth="1"/>
    <col min="3" max="3" width="16" style="61" customWidth="1"/>
    <col min="4" max="5" width="12" style="61" customWidth="1"/>
    <col min="6" max="6" width="13" style="61" customWidth="1"/>
    <col min="7" max="8" width="12" style="61" customWidth="1"/>
    <col min="9" max="9" width="16" style="61" customWidth="1"/>
    <col min="11" max="11" width="13" style="61" customWidth="1"/>
    <col min="12" max="14" width="12" style="61" customWidth="1"/>
    <col min="15" max="15" width="13" style="61" customWidth="1"/>
    <col min="16" max="16" width="12" style="61" customWidth="1"/>
  </cols>
  <sheetData>
    <row r="1" spans="1:16" x14ac:dyDescent="0.3">
      <c r="A1" s="133" t="s">
        <v>79</v>
      </c>
      <c r="B1" s="134"/>
      <c r="C1" s="134"/>
      <c r="D1" s="134"/>
      <c r="E1" s="134"/>
      <c r="F1" s="134"/>
      <c r="G1" s="134"/>
      <c r="H1" s="134"/>
      <c r="I1" s="134"/>
      <c r="K1" s="133" t="s">
        <v>80</v>
      </c>
      <c r="L1" s="134"/>
      <c r="M1" s="134"/>
      <c r="N1" s="134"/>
      <c r="O1" s="134"/>
      <c r="P1" s="134"/>
    </row>
    <row r="2" spans="1:16" x14ac:dyDescent="0.3">
      <c r="A2" s="84" t="s">
        <v>0</v>
      </c>
      <c r="B2" s="84" t="s">
        <v>49</v>
      </c>
      <c r="C2" s="84" t="s">
        <v>81</v>
      </c>
      <c r="D2" s="84" t="s">
        <v>82</v>
      </c>
      <c r="E2" s="84" t="s">
        <v>83</v>
      </c>
      <c r="F2" s="84" t="s">
        <v>84</v>
      </c>
      <c r="G2" s="84" t="s">
        <v>85</v>
      </c>
      <c r="H2" s="84" t="s">
        <v>86</v>
      </c>
      <c r="I2" s="84" t="s">
        <v>87</v>
      </c>
      <c r="K2" s="84" t="s">
        <v>0</v>
      </c>
      <c r="L2" s="84" t="s">
        <v>88</v>
      </c>
      <c r="M2" s="84" t="s">
        <v>82</v>
      </c>
      <c r="N2" s="84" t="s">
        <v>83</v>
      </c>
      <c r="O2" s="84" t="s">
        <v>89</v>
      </c>
      <c r="P2" s="84" t="s">
        <v>85</v>
      </c>
    </row>
    <row r="3" spans="1:16" x14ac:dyDescent="0.3">
      <c r="A3" s="86">
        <v>46125</v>
      </c>
      <c r="B3" s="85" t="s">
        <v>59</v>
      </c>
      <c r="C3" s="96">
        <v>15000</v>
      </c>
      <c r="D3" s="96">
        <f>SUMIFS(MPS!$E$2:$E$217,MPS!$C$2:$C$217,A3,MPS!$B$2:$B$217,B3)</f>
        <v>0</v>
      </c>
      <c r="E3" s="96">
        <f>SUMIFS(MPS!$J$2:$J$217,MPS!$C$2:$C$217,A3,MPS!$B$2:$B$217,B3)</f>
        <v>12751</v>
      </c>
      <c r="F3" s="96">
        <f>SUMIFS(MPS!$K$2:$K$217,MPS!$C$2:$C$217,A3,MPS!$B$2:$B$217,B3)</f>
        <v>12751</v>
      </c>
      <c r="G3" s="96">
        <f>SUMIFS(MPS!$L$2:$L$217,MPS!$C$2:$C$217,A3,MPS!$B$2:$B$217,B3)</f>
        <v>0</v>
      </c>
      <c r="H3" s="97">
        <f t="shared" ref="H3:H34" si="0">IFERROR(E3/C3,0)</f>
        <v>0.85006666666666664</v>
      </c>
      <c r="I3" s="85" t="str">
        <f t="shared" ref="I3:I34" si="1">IF(E3&gt;C3,"Over shared cap","OK")</f>
        <v>OK</v>
      </c>
      <c r="K3" s="86">
        <v>46125</v>
      </c>
      <c r="L3" s="96">
        <v>23000</v>
      </c>
      <c r="M3" s="96">
        <f>SUMIFS(MPS!$E$2:$E$217,MPS!$C$2:$C$217,K3)</f>
        <v>0</v>
      </c>
      <c r="N3" s="96">
        <f>SUMIFS(MPS!$J$2:$J$217,MPS!$C$2:$C$217,K3)</f>
        <v>20751</v>
      </c>
      <c r="O3" s="96">
        <f>SUMIFS(MPS!$K$2:$K$217,MPS!$C$2:$C$217,K3)</f>
        <v>20751</v>
      </c>
      <c r="P3" s="96">
        <f>SUMIFS(MPS!$L$2:$L$217,MPS!$C$2:$C$217,K3)</f>
        <v>0</v>
      </c>
    </row>
    <row r="4" spans="1:16" x14ac:dyDescent="0.3">
      <c r="A4" s="86">
        <v>46125</v>
      </c>
      <c r="B4" s="85" t="s">
        <v>68</v>
      </c>
      <c r="C4" s="96">
        <v>5000</v>
      </c>
      <c r="D4" s="96">
        <f>SUMIFS(MPS!$E$2:$E$217,MPS!$C$2:$C$217,A4,MPS!$B$2:$B$217,B4)</f>
        <v>0</v>
      </c>
      <c r="E4" s="96">
        <f>SUMIFS(MPS!$J$2:$J$217,MPS!$C$2:$C$217,A4,MPS!$B$2:$B$217,B4)</f>
        <v>5000</v>
      </c>
      <c r="F4" s="96">
        <f>SUMIFS(MPS!$K$2:$K$217,MPS!$C$2:$C$217,A4,MPS!$B$2:$B$217,B4)</f>
        <v>5000</v>
      </c>
      <c r="G4" s="96">
        <f>SUMIFS(MPS!$L$2:$L$217,MPS!$C$2:$C$217,A4,MPS!$B$2:$B$217,B4)</f>
        <v>0</v>
      </c>
      <c r="H4" s="97">
        <f t="shared" si="0"/>
        <v>1</v>
      </c>
      <c r="I4" s="85" t="str">
        <f t="shared" si="1"/>
        <v>OK</v>
      </c>
      <c r="K4" s="86">
        <v>46132</v>
      </c>
      <c r="L4" s="96">
        <v>23000</v>
      </c>
      <c r="M4" s="96">
        <f>SUMIFS(MPS!$E$2:$E$217,MPS!$C$2:$C$217,K4)</f>
        <v>588</v>
      </c>
      <c r="N4" s="96">
        <f>SUMIFS(MPS!$J$2:$J$217,MPS!$C$2:$C$217,K4)</f>
        <v>7837</v>
      </c>
      <c r="O4" s="96">
        <f>SUMIFS(MPS!$K$2:$K$217,MPS!$C$2:$C$217,K4)</f>
        <v>28000</v>
      </c>
      <c r="P4" s="96">
        <f>SUMIFS(MPS!$L$2:$L$217,MPS!$C$2:$C$217,K4)</f>
        <v>0</v>
      </c>
    </row>
    <row r="5" spans="1:16" x14ac:dyDescent="0.3">
      <c r="A5" s="86">
        <v>46125</v>
      </c>
      <c r="B5" s="85" t="s">
        <v>56</v>
      </c>
      <c r="C5" s="96">
        <v>3000</v>
      </c>
      <c r="D5" s="96">
        <f>SUMIFS(MPS!$E$2:$E$217,MPS!$C$2:$C$217,A5,MPS!$B$2:$B$217,B5)</f>
        <v>0</v>
      </c>
      <c r="E5" s="96">
        <f>SUMIFS(MPS!$J$2:$J$217,MPS!$C$2:$C$217,A5,MPS!$B$2:$B$217,B5)</f>
        <v>3000</v>
      </c>
      <c r="F5" s="96">
        <f>SUMIFS(MPS!$K$2:$K$217,MPS!$C$2:$C$217,A5,MPS!$B$2:$B$217,B5)</f>
        <v>3000</v>
      </c>
      <c r="G5" s="96">
        <f>SUMIFS(MPS!$L$2:$L$217,MPS!$C$2:$C$217,A5,MPS!$B$2:$B$217,B5)</f>
        <v>0</v>
      </c>
      <c r="H5" s="97">
        <f t="shared" si="0"/>
        <v>1</v>
      </c>
      <c r="I5" s="85" t="str">
        <f t="shared" si="1"/>
        <v>OK</v>
      </c>
      <c r="K5" s="86">
        <v>46139</v>
      </c>
      <c r="L5" s="96">
        <v>23000</v>
      </c>
      <c r="M5" s="96">
        <f>SUMIFS(MPS!$E$2:$E$217,MPS!$C$2:$C$217,K5)</f>
        <v>5184</v>
      </c>
      <c r="N5" s="96">
        <f>SUMIFS(MPS!$J$2:$J$217,MPS!$C$2:$C$217,K5)</f>
        <v>13684</v>
      </c>
      <c r="O5" s="96">
        <f>SUMIFS(MPS!$K$2:$K$217,MPS!$C$2:$C$217,K5)</f>
        <v>36500</v>
      </c>
      <c r="P5" s="96">
        <f>SUMIFS(MPS!$L$2:$L$217,MPS!$C$2:$C$217,K5)</f>
        <v>0</v>
      </c>
    </row>
    <row r="6" spans="1:16" x14ac:dyDescent="0.3">
      <c r="A6" s="86">
        <v>46132</v>
      </c>
      <c r="B6" s="85" t="s">
        <v>59</v>
      </c>
      <c r="C6" s="96">
        <v>15000</v>
      </c>
      <c r="D6" s="96">
        <f>SUMIFS(MPS!$E$2:$E$217,MPS!$C$2:$C$217,A6,MPS!$B$2:$B$217,B6)</f>
        <v>0</v>
      </c>
      <c r="E6" s="96">
        <f>SUMIFS(MPS!$J$2:$J$217,MPS!$C$2:$C$217,A6,MPS!$B$2:$B$217,B6)</f>
        <v>2249</v>
      </c>
      <c r="F6" s="96">
        <f>SUMIFS(MPS!$K$2:$K$217,MPS!$C$2:$C$217,A6,MPS!$B$2:$B$217,B6)</f>
        <v>15000</v>
      </c>
      <c r="G6" s="96">
        <f>SUMIFS(MPS!$L$2:$L$217,MPS!$C$2:$C$217,A6,MPS!$B$2:$B$217,B6)</f>
        <v>0</v>
      </c>
      <c r="H6" s="97">
        <f t="shared" si="0"/>
        <v>0.14993333333333334</v>
      </c>
      <c r="I6" s="85" t="str">
        <f t="shared" si="1"/>
        <v>OK</v>
      </c>
      <c r="K6" s="86">
        <v>46146</v>
      </c>
      <c r="L6" s="96">
        <v>23000</v>
      </c>
      <c r="M6" s="96">
        <f>SUMIFS(MPS!$E$2:$E$217,MPS!$C$2:$C$217,K6)</f>
        <v>36752</v>
      </c>
      <c r="N6" s="96">
        <f>SUMIFS(MPS!$J$2:$J$217,MPS!$C$2:$C$217,K6)</f>
        <v>23000</v>
      </c>
      <c r="O6" s="96">
        <f>SUMIFS(MPS!$K$2:$K$217,MPS!$C$2:$C$217,K6)</f>
        <v>22748</v>
      </c>
      <c r="P6" s="96">
        <f>SUMIFS(MPS!$L$2:$L$217,MPS!$C$2:$C$217,K6)</f>
        <v>0</v>
      </c>
    </row>
    <row r="7" spans="1:16" x14ac:dyDescent="0.3">
      <c r="A7" s="86">
        <v>46132</v>
      </c>
      <c r="B7" s="85" t="s">
        <v>68</v>
      </c>
      <c r="C7" s="96">
        <v>5000</v>
      </c>
      <c r="D7" s="96">
        <f>SUMIFS(MPS!$E$2:$E$217,MPS!$C$2:$C$217,A7,MPS!$B$2:$B$217,B7)</f>
        <v>0</v>
      </c>
      <c r="E7" s="96">
        <f>SUMIFS(MPS!$J$2:$J$217,MPS!$C$2:$C$217,A7,MPS!$B$2:$B$217,B7)</f>
        <v>5000</v>
      </c>
      <c r="F7" s="96">
        <f>SUMIFS(MPS!$K$2:$K$217,MPS!$C$2:$C$217,A7,MPS!$B$2:$B$217,B7)</f>
        <v>10000</v>
      </c>
      <c r="G7" s="96">
        <f>SUMIFS(MPS!$L$2:$L$217,MPS!$C$2:$C$217,A7,MPS!$B$2:$B$217,B7)</f>
        <v>0</v>
      </c>
      <c r="H7" s="97">
        <f t="shared" si="0"/>
        <v>1</v>
      </c>
      <c r="I7" s="85" t="str">
        <f t="shared" si="1"/>
        <v>OK</v>
      </c>
      <c r="K7" s="86">
        <v>46153</v>
      </c>
      <c r="L7" s="96">
        <v>23000</v>
      </c>
      <c r="M7" s="96">
        <f>SUMIFS(MPS!$E$2:$E$217,MPS!$C$2:$C$217,K7)</f>
        <v>58518</v>
      </c>
      <c r="N7" s="96">
        <f>SUMIFS(MPS!$J$2:$J$217,MPS!$C$2:$C$217,K7)</f>
        <v>23000</v>
      </c>
      <c r="O7" s="96">
        <f>SUMIFS(MPS!$K$2:$K$217,MPS!$C$2:$C$217,K7)</f>
        <v>1630</v>
      </c>
      <c r="P7" s="96">
        <f>SUMIFS(MPS!$L$2:$L$217,MPS!$C$2:$C$217,K7)</f>
        <v>14400</v>
      </c>
    </row>
    <row r="8" spans="1:16" x14ac:dyDescent="0.3">
      <c r="A8" s="86">
        <v>46132</v>
      </c>
      <c r="B8" s="85" t="s">
        <v>56</v>
      </c>
      <c r="C8" s="96">
        <v>3000</v>
      </c>
      <c r="D8" s="96">
        <f>SUMIFS(MPS!$E$2:$E$217,MPS!$C$2:$C$217,A8,MPS!$B$2:$B$217,B8)</f>
        <v>588</v>
      </c>
      <c r="E8" s="96">
        <f>SUMIFS(MPS!$J$2:$J$217,MPS!$C$2:$C$217,A8,MPS!$B$2:$B$217,B8)</f>
        <v>588</v>
      </c>
      <c r="F8" s="96">
        <f>SUMIFS(MPS!$K$2:$K$217,MPS!$C$2:$C$217,A8,MPS!$B$2:$B$217,B8)</f>
        <v>3000</v>
      </c>
      <c r="G8" s="96">
        <f>SUMIFS(MPS!$L$2:$L$217,MPS!$C$2:$C$217,A8,MPS!$B$2:$B$217,B8)</f>
        <v>0</v>
      </c>
      <c r="H8" s="97">
        <f t="shared" si="0"/>
        <v>0.19600000000000001</v>
      </c>
      <c r="I8" s="85" t="str">
        <f t="shared" si="1"/>
        <v>OK</v>
      </c>
      <c r="K8" s="86">
        <v>46160</v>
      </c>
      <c r="L8" s="96">
        <v>23000</v>
      </c>
      <c r="M8" s="96">
        <f>SUMIFS(MPS!$E$2:$E$217,MPS!$C$2:$C$217,K8)</f>
        <v>41987</v>
      </c>
      <c r="N8" s="96">
        <f>SUMIFS(MPS!$J$2:$J$217,MPS!$C$2:$C$217,K8)</f>
        <v>23000</v>
      </c>
      <c r="O8" s="96">
        <f>SUMIFS(MPS!$K$2:$K$217,MPS!$C$2:$C$217,K8)</f>
        <v>0</v>
      </c>
      <c r="P8" s="96">
        <f>SUMIFS(MPS!$L$2:$L$217,MPS!$C$2:$C$217,K8)</f>
        <v>17357</v>
      </c>
    </row>
    <row r="9" spans="1:16" x14ac:dyDescent="0.3">
      <c r="A9" s="86">
        <v>46139</v>
      </c>
      <c r="B9" s="85" t="s">
        <v>59</v>
      </c>
      <c r="C9" s="96">
        <v>15000</v>
      </c>
      <c r="D9" s="96">
        <f>SUMIFS(MPS!$E$2:$E$217,MPS!$C$2:$C$217,A9,MPS!$B$2:$B$217,B9)</f>
        <v>684</v>
      </c>
      <c r="E9" s="96">
        <f>SUMIFS(MPS!$J$2:$J$217,MPS!$C$2:$C$217,A9,MPS!$B$2:$B$217,B9)</f>
        <v>10684</v>
      </c>
      <c r="F9" s="96">
        <f>SUMIFS(MPS!$K$2:$K$217,MPS!$C$2:$C$217,A9,MPS!$B$2:$B$217,B9)</f>
        <v>25000</v>
      </c>
      <c r="G9" s="96">
        <f>SUMIFS(MPS!$L$2:$L$217,MPS!$C$2:$C$217,A9,MPS!$B$2:$B$217,B9)</f>
        <v>0</v>
      </c>
      <c r="H9" s="97">
        <f t="shared" si="0"/>
        <v>0.71226666666666671</v>
      </c>
      <c r="I9" s="85" t="str">
        <f t="shared" si="1"/>
        <v>OK</v>
      </c>
      <c r="K9" s="86">
        <v>46167</v>
      </c>
      <c r="L9" s="96">
        <v>23000</v>
      </c>
      <c r="M9" s="96">
        <f>SUMIFS(MPS!$E$2:$E$217,MPS!$C$2:$C$217,K9)</f>
        <v>38270</v>
      </c>
      <c r="N9" s="96">
        <f>SUMIFS(MPS!$J$2:$J$217,MPS!$C$2:$C$217,K9)</f>
        <v>23000</v>
      </c>
      <c r="O9" s="96">
        <f>SUMIFS(MPS!$K$2:$K$217,MPS!$C$2:$C$217,K9)</f>
        <v>0</v>
      </c>
      <c r="P9" s="96">
        <f>SUMIFS(MPS!$L$2:$L$217,MPS!$C$2:$C$217,K9)</f>
        <v>15270</v>
      </c>
    </row>
    <row r="10" spans="1:16" x14ac:dyDescent="0.3">
      <c r="A10" s="86">
        <v>46139</v>
      </c>
      <c r="B10" s="85" t="s">
        <v>68</v>
      </c>
      <c r="C10" s="96">
        <v>5000</v>
      </c>
      <c r="D10" s="96">
        <f>SUMIFS(MPS!$E$2:$E$217,MPS!$C$2:$C$217,A10,MPS!$B$2:$B$217,B10)</f>
        <v>0</v>
      </c>
      <c r="E10" s="96">
        <f>SUMIFS(MPS!$J$2:$J$217,MPS!$C$2:$C$217,A10,MPS!$B$2:$B$217,B10)</f>
        <v>0</v>
      </c>
      <c r="F10" s="96">
        <f>SUMIFS(MPS!$K$2:$K$217,MPS!$C$2:$C$217,A10,MPS!$B$2:$B$217,B10)</f>
        <v>10000</v>
      </c>
      <c r="G10" s="96">
        <f>SUMIFS(MPS!$L$2:$L$217,MPS!$C$2:$C$217,A10,MPS!$B$2:$B$217,B10)</f>
        <v>0</v>
      </c>
      <c r="H10" s="97">
        <f t="shared" si="0"/>
        <v>0</v>
      </c>
      <c r="I10" s="85" t="str">
        <f t="shared" si="1"/>
        <v>OK</v>
      </c>
      <c r="K10" s="86">
        <v>46174</v>
      </c>
      <c r="L10" s="96">
        <v>23000</v>
      </c>
      <c r="M10" s="96">
        <f>SUMIFS(MPS!$E$2:$E$217,MPS!$C$2:$C$217,K10)</f>
        <v>29637</v>
      </c>
      <c r="N10" s="96">
        <f>SUMIFS(MPS!$J$2:$J$217,MPS!$C$2:$C$217,K10)</f>
        <v>23000</v>
      </c>
      <c r="O10" s="96">
        <f>SUMIFS(MPS!$K$2:$K$217,MPS!$C$2:$C$217,K10)</f>
        <v>1760</v>
      </c>
      <c r="P10" s="96">
        <f>SUMIFS(MPS!$L$2:$L$217,MPS!$C$2:$C$217,K10)</f>
        <v>8397</v>
      </c>
    </row>
    <row r="11" spans="1:16" x14ac:dyDescent="0.3">
      <c r="A11" s="86">
        <v>46139</v>
      </c>
      <c r="B11" s="85" t="s">
        <v>56</v>
      </c>
      <c r="C11" s="96">
        <v>3000</v>
      </c>
      <c r="D11" s="96">
        <f>SUMIFS(MPS!$E$2:$E$217,MPS!$C$2:$C$217,A11,MPS!$B$2:$B$217,B11)</f>
        <v>4500</v>
      </c>
      <c r="E11" s="96">
        <f>SUMIFS(MPS!$J$2:$J$217,MPS!$C$2:$C$217,A11,MPS!$B$2:$B$217,B11)</f>
        <v>3000</v>
      </c>
      <c r="F11" s="96">
        <f>SUMIFS(MPS!$K$2:$K$217,MPS!$C$2:$C$217,A11,MPS!$B$2:$B$217,B11)</f>
        <v>1500</v>
      </c>
      <c r="G11" s="96">
        <f>SUMIFS(MPS!$L$2:$L$217,MPS!$C$2:$C$217,A11,MPS!$B$2:$B$217,B11)</f>
        <v>0</v>
      </c>
      <c r="H11" s="97">
        <f t="shared" si="0"/>
        <v>1</v>
      </c>
      <c r="I11" s="85" t="str">
        <f t="shared" si="1"/>
        <v>OK</v>
      </c>
      <c r="K11" s="86">
        <v>46181</v>
      </c>
      <c r="L11" s="96">
        <v>23000</v>
      </c>
      <c r="M11" s="96">
        <f>SUMIFS(MPS!$E$2:$E$217,MPS!$C$2:$C$217,K11)</f>
        <v>25780</v>
      </c>
      <c r="N11" s="96">
        <f>SUMIFS(MPS!$J$2:$J$217,MPS!$C$2:$C$217,K11)</f>
        <v>20367</v>
      </c>
      <c r="O11" s="96">
        <f>SUMIFS(MPS!$K$2:$K$217,MPS!$C$2:$C$217,K11)</f>
        <v>318</v>
      </c>
      <c r="P11" s="96">
        <f>SUMIFS(MPS!$L$2:$L$217,MPS!$C$2:$C$217,K11)</f>
        <v>3971</v>
      </c>
    </row>
    <row r="12" spans="1:16" x14ac:dyDescent="0.3">
      <c r="A12" s="86">
        <v>46146</v>
      </c>
      <c r="B12" s="85" t="s">
        <v>59</v>
      </c>
      <c r="C12" s="96">
        <v>15000</v>
      </c>
      <c r="D12" s="96">
        <f>SUMIFS(MPS!$E$2:$E$217,MPS!$C$2:$C$217,A12,MPS!$B$2:$B$217,B12)</f>
        <v>25502</v>
      </c>
      <c r="E12" s="96">
        <f>SUMIFS(MPS!$J$2:$J$217,MPS!$C$2:$C$217,A12,MPS!$B$2:$B$217,B12)</f>
        <v>15000</v>
      </c>
      <c r="F12" s="96">
        <f>SUMIFS(MPS!$K$2:$K$217,MPS!$C$2:$C$217,A12,MPS!$B$2:$B$217,B12)</f>
        <v>14498</v>
      </c>
      <c r="G12" s="96">
        <f>SUMIFS(MPS!$L$2:$L$217,MPS!$C$2:$C$217,A12,MPS!$B$2:$B$217,B12)</f>
        <v>0</v>
      </c>
      <c r="H12" s="97">
        <f t="shared" si="0"/>
        <v>1</v>
      </c>
      <c r="I12" s="85" t="str">
        <f t="shared" si="1"/>
        <v>OK</v>
      </c>
      <c r="K12" s="86">
        <v>46188</v>
      </c>
      <c r="L12" s="96">
        <v>23000</v>
      </c>
      <c r="M12" s="96">
        <f>SUMIFS(MPS!$E$2:$E$217,MPS!$C$2:$C$217,K12)</f>
        <v>22109</v>
      </c>
      <c r="N12" s="96">
        <f>SUMIFS(MPS!$J$2:$J$217,MPS!$C$2:$C$217,K12)</f>
        <v>15349</v>
      </c>
      <c r="O12" s="96">
        <f>SUMIFS(MPS!$K$2:$K$217,MPS!$C$2:$C$217,K12)</f>
        <v>500</v>
      </c>
      <c r="P12" s="96">
        <f>SUMIFS(MPS!$L$2:$L$217,MPS!$C$2:$C$217,K12)</f>
        <v>6942</v>
      </c>
    </row>
    <row r="13" spans="1:16" x14ac:dyDescent="0.3">
      <c r="A13" s="86">
        <v>46146</v>
      </c>
      <c r="B13" s="85" t="s">
        <v>68</v>
      </c>
      <c r="C13" s="96">
        <v>5000</v>
      </c>
      <c r="D13" s="96">
        <f>SUMIFS(MPS!$E$2:$E$217,MPS!$C$2:$C$217,A13,MPS!$B$2:$B$217,B13)</f>
        <v>6750</v>
      </c>
      <c r="E13" s="96">
        <f>SUMIFS(MPS!$J$2:$J$217,MPS!$C$2:$C$217,A13,MPS!$B$2:$B$217,B13)</f>
        <v>5000</v>
      </c>
      <c r="F13" s="96">
        <f>SUMIFS(MPS!$K$2:$K$217,MPS!$C$2:$C$217,A13,MPS!$B$2:$B$217,B13)</f>
        <v>8250</v>
      </c>
      <c r="G13" s="96">
        <f>SUMIFS(MPS!$L$2:$L$217,MPS!$C$2:$C$217,A13,MPS!$B$2:$B$217,B13)</f>
        <v>0</v>
      </c>
      <c r="H13" s="97">
        <f t="shared" si="0"/>
        <v>1</v>
      </c>
      <c r="I13" s="85" t="str">
        <f t="shared" si="1"/>
        <v>OK</v>
      </c>
      <c r="K13" s="86">
        <v>46195</v>
      </c>
      <c r="L13" s="96">
        <v>23000</v>
      </c>
      <c r="M13" s="96">
        <f>SUMIFS(MPS!$E$2:$E$217,MPS!$C$2:$C$217,K13)</f>
        <v>19736</v>
      </c>
      <c r="N13" s="96">
        <f>SUMIFS(MPS!$J$2:$J$217,MPS!$C$2:$C$217,K13)</f>
        <v>14622</v>
      </c>
      <c r="O13" s="96">
        <f>SUMIFS(MPS!$K$2:$K$217,MPS!$C$2:$C$217,K13)</f>
        <v>81</v>
      </c>
      <c r="P13" s="96">
        <f>SUMIFS(MPS!$L$2:$L$217,MPS!$C$2:$C$217,K13)</f>
        <v>4695</v>
      </c>
    </row>
    <row r="14" spans="1:16" x14ac:dyDescent="0.3">
      <c r="A14" s="86">
        <v>46146</v>
      </c>
      <c r="B14" s="85" t="s">
        <v>56</v>
      </c>
      <c r="C14" s="96">
        <v>3000</v>
      </c>
      <c r="D14" s="96">
        <f>SUMIFS(MPS!$E$2:$E$217,MPS!$C$2:$C$217,A14,MPS!$B$2:$B$217,B14)</f>
        <v>4500</v>
      </c>
      <c r="E14" s="96">
        <f>SUMIFS(MPS!$J$2:$J$217,MPS!$C$2:$C$217,A14,MPS!$B$2:$B$217,B14)</f>
        <v>3000</v>
      </c>
      <c r="F14" s="96">
        <f>SUMIFS(MPS!$K$2:$K$217,MPS!$C$2:$C$217,A14,MPS!$B$2:$B$217,B14)</f>
        <v>0</v>
      </c>
      <c r="G14" s="96">
        <f>SUMIFS(MPS!$L$2:$L$217,MPS!$C$2:$C$217,A14,MPS!$B$2:$B$217,B14)</f>
        <v>0</v>
      </c>
      <c r="H14" s="97">
        <f t="shared" si="0"/>
        <v>1</v>
      </c>
      <c r="I14" s="85" t="str">
        <f t="shared" si="1"/>
        <v>OK</v>
      </c>
      <c r="K14" s="86">
        <v>46202</v>
      </c>
      <c r="L14" s="96">
        <v>23000</v>
      </c>
      <c r="M14" s="96">
        <f>SUMIFS(MPS!$E$2:$E$217,MPS!$C$2:$C$217,K14)</f>
        <v>23041</v>
      </c>
      <c r="N14" s="96">
        <f>SUMIFS(MPS!$J$2:$J$217,MPS!$C$2:$C$217,K14)</f>
        <v>21000</v>
      </c>
      <c r="O14" s="96">
        <f>SUMIFS(MPS!$K$2:$K$217,MPS!$C$2:$C$217,K14)</f>
        <v>40</v>
      </c>
      <c r="P14" s="96">
        <f>SUMIFS(MPS!$L$2:$L$217,MPS!$C$2:$C$217,K14)</f>
        <v>2000</v>
      </c>
    </row>
    <row r="15" spans="1:16" x14ac:dyDescent="0.3">
      <c r="A15" s="86">
        <v>46153</v>
      </c>
      <c r="B15" s="85" t="s">
        <v>59</v>
      </c>
      <c r="C15" s="96">
        <v>15000</v>
      </c>
      <c r="D15" s="96">
        <f>SUMIFS(MPS!$E$2:$E$217,MPS!$C$2:$C$217,A15,MPS!$B$2:$B$217,B15)</f>
        <v>35658</v>
      </c>
      <c r="E15" s="96">
        <f>SUMIFS(MPS!$J$2:$J$217,MPS!$C$2:$C$217,A15,MPS!$B$2:$B$217,B15)</f>
        <v>15000</v>
      </c>
      <c r="F15" s="96">
        <f>SUMIFS(MPS!$K$2:$K$217,MPS!$C$2:$C$217,A15,MPS!$B$2:$B$217,B15)</f>
        <v>0</v>
      </c>
      <c r="G15" s="96">
        <f>SUMIFS(MPS!$L$2:$L$217,MPS!$C$2:$C$217,A15,MPS!$B$2:$B$217,B15)</f>
        <v>6160</v>
      </c>
      <c r="H15" s="97">
        <f t="shared" si="0"/>
        <v>1</v>
      </c>
      <c r="I15" s="85" t="str">
        <f t="shared" si="1"/>
        <v>OK</v>
      </c>
      <c r="K15" s="86">
        <v>46209</v>
      </c>
      <c r="L15" s="96">
        <v>23000</v>
      </c>
      <c r="M15" s="96">
        <f>SUMIFS(MPS!$E$2:$E$217,MPS!$C$2:$C$217,K15)</f>
        <v>23040</v>
      </c>
      <c r="N15" s="96">
        <f>SUMIFS(MPS!$J$2:$J$217,MPS!$C$2:$C$217,K15)</f>
        <v>21000</v>
      </c>
      <c r="O15" s="96">
        <f>SUMIFS(MPS!$K$2:$K$217,MPS!$C$2:$C$217,K15)</f>
        <v>0</v>
      </c>
      <c r="P15" s="96">
        <f>SUMIFS(MPS!$L$2:$L$217,MPS!$C$2:$C$217,K15)</f>
        <v>2000</v>
      </c>
    </row>
    <row r="16" spans="1:16" x14ac:dyDescent="0.3">
      <c r="A16" s="86">
        <v>46153</v>
      </c>
      <c r="B16" s="85" t="s">
        <v>68</v>
      </c>
      <c r="C16" s="96">
        <v>5000</v>
      </c>
      <c r="D16" s="96">
        <f>SUMIFS(MPS!$E$2:$E$217,MPS!$C$2:$C$217,A16,MPS!$B$2:$B$217,B16)</f>
        <v>18360</v>
      </c>
      <c r="E16" s="96">
        <f>SUMIFS(MPS!$J$2:$J$217,MPS!$C$2:$C$217,A16,MPS!$B$2:$B$217,B16)</f>
        <v>5000</v>
      </c>
      <c r="F16" s="96">
        <f>SUMIFS(MPS!$K$2:$K$217,MPS!$C$2:$C$217,A16,MPS!$B$2:$B$217,B16)</f>
        <v>1630</v>
      </c>
      <c r="G16" s="96">
        <f>SUMIFS(MPS!$L$2:$L$217,MPS!$C$2:$C$217,A16,MPS!$B$2:$B$217,B16)</f>
        <v>6740</v>
      </c>
      <c r="H16" s="97">
        <f t="shared" si="0"/>
        <v>1</v>
      </c>
      <c r="I16" s="85" t="str">
        <f t="shared" si="1"/>
        <v>OK</v>
      </c>
      <c r="K16" s="86">
        <v>46216</v>
      </c>
      <c r="L16" s="96">
        <v>23000</v>
      </c>
      <c r="M16" s="96">
        <f>SUMIFS(MPS!$E$2:$E$217,MPS!$C$2:$C$217,K16)</f>
        <v>11046</v>
      </c>
      <c r="N16" s="96">
        <f>SUMIFS(MPS!$J$2:$J$217,MPS!$C$2:$C$217,K16)</f>
        <v>18246</v>
      </c>
      <c r="O16" s="96">
        <f>SUMIFS(MPS!$K$2:$K$217,MPS!$C$2:$C$217,K16)</f>
        <v>9246</v>
      </c>
      <c r="P16" s="96">
        <f>SUMIFS(MPS!$L$2:$L$217,MPS!$C$2:$C$217,K16)</f>
        <v>2046</v>
      </c>
    </row>
    <row r="17" spans="1:16" x14ac:dyDescent="0.3">
      <c r="A17" s="86">
        <v>46153</v>
      </c>
      <c r="B17" s="85" t="s">
        <v>56</v>
      </c>
      <c r="C17" s="96">
        <v>3000</v>
      </c>
      <c r="D17" s="96">
        <f>SUMIFS(MPS!$E$2:$E$217,MPS!$C$2:$C$217,A17,MPS!$B$2:$B$217,B17)</f>
        <v>4500</v>
      </c>
      <c r="E17" s="96">
        <f>SUMIFS(MPS!$J$2:$J$217,MPS!$C$2:$C$217,A17,MPS!$B$2:$B$217,B17)</f>
        <v>3000</v>
      </c>
      <c r="F17" s="96">
        <f>SUMIFS(MPS!$K$2:$K$217,MPS!$C$2:$C$217,A17,MPS!$B$2:$B$217,B17)</f>
        <v>0</v>
      </c>
      <c r="G17" s="96">
        <f>SUMIFS(MPS!$L$2:$L$217,MPS!$C$2:$C$217,A17,MPS!$B$2:$B$217,B17)</f>
        <v>1500</v>
      </c>
      <c r="H17" s="97">
        <f t="shared" si="0"/>
        <v>1</v>
      </c>
      <c r="I17" s="85" t="str">
        <f t="shared" si="1"/>
        <v>OK</v>
      </c>
      <c r="K17" s="86">
        <v>46223</v>
      </c>
      <c r="L17" s="96">
        <v>23000</v>
      </c>
      <c r="M17" s="96">
        <f>SUMIFS(MPS!$E$2:$E$217,MPS!$C$2:$C$217,K17)</f>
        <v>8000</v>
      </c>
      <c r="N17" s="96">
        <f>SUMIFS(MPS!$J$2:$J$217,MPS!$C$2:$C$217,K17)</f>
        <v>14554</v>
      </c>
      <c r="O17" s="96">
        <f>SUMIFS(MPS!$K$2:$K$217,MPS!$C$2:$C$217,K17)</f>
        <v>17400</v>
      </c>
      <c r="P17" s="96">
        <f>SUMIFS(MPS!$L$2:$L$217,MPS!$C$2:$C$217,K17)</f>
        <v>1600</v>
      </c>
    </row>
    <row r="18" spans="1:16" x14ac:dyDescent="0.3">
      <c r="A18" s="86">
        <v>46160</v>
      </c>
      <c r="B18" s="85" t="s">
        <v>59</v>
      </c>
      <c r="C18" s="96">
        <v>15000</v>
      </c>
      <c r="D18" s="96">
        <f>SUMIFS(MPS!$E$2:$E$217,MPS!$C$2:$C$217,A18,MPS!$B$2:$B$217,B18)</f>
        <v>19865</v>
      </c>
      <c r="E18" s="96">
        <f>SUMIFS(MPS!$J$2:$J$217,MPS!$C$2:$C$217,A18,MPS!$B$2:$B$217,B18)</f>
        <v>15000</v>
      </c>
      <c r="F18" s="96">
        <f>SUMIFS(MPS!$K$2:$K$217,MPS!$C$2:$C$217,A18,MPS!$B$2:$B$217,B18)</f>
        <v>0</v>
      </c>
      <c r="G18" s="96">
        <f>SUMIFS(MPS!$L$2:$L$217,MPS!$C$2:$C$217,A18,MPS!$B$2:$B$217,B18)</f>
        <v>4865</v>
      </c>
      <c r="H18" s="97">
        <f t="shared" si="0"/>
        <v>1</v>
      </c>
      <c r="I18" s="85" t="str">
        <f t="shared" si="1"/>
        <v>OK</v>
      </c>
      <c r="K18" s="86">
        <v>46230</v>
      </c>
      <c r="L18" s="96">
        <v>23000</v>
      </c>
      <c r="M18" s="96">
        <f>SUMIFS(MPS!$E$2:$E$217,MPS!$C$2:$C$217,K18)</f>
        <v>31636</v>
      </c>
      <c r="N18" s="96">
        <f>SUMIFS(MPS!$J$2:$J$217,MPS!$C$2:$C$217,K18)</f>
        <v>16476</v>
      </c>
      <c r="O18" s="96">
        <f>SUMIFS(MPS!$K$2:$K$217,MPS!$C$2:$C$217,K18)</f>
        <v>2240</v>
      </c>
      <c r="P18" s="96">
        <f>SUMIFS(MPS!$L$2:$L$217,MPS!$C$2:$C$217,K18)</f>
        <v>0</v>
      </c>
    </row>
    <row r="19" spans="1:16" x14ac:dyDescent="0.3">
      <c r="A19" s="86">
        <v>46160</v>
      </c>
      <c r="B19" s="85" t="s">
        <v>68</v>
      </c>
      <c r="C19" s="96">
        <v>5000</v>
      </c>
      <c r="D19" s="96">
        <f>SUMIFS(MPS!$E$2:$E$217,MPS!$C$2:$C$217,A19,MPS!$B$2:$B$217,B19)</f>
        <v>17622</v>
      </c>
      <c r="E19" s="96">
        <f>SUMIFS(MPS!$J$2:$J$217,MPS!$C$2:$C$217,A19,MPS!$B$2:$B$217,B19)</f>
        <v>5000</v>
      </c>
      <c r="F19" s="96">
        <f>SUMIFS(MPS!$K$2:$K$217,MPS!$C$2:$C$217,A19,MPS!$B$2:$B$217,B19)</f>
        <v>0</v>
      </c>
      <c r="G19" s="96">
        <f>SUMIFS(MPS!$L$2:$L$217,MPS!$C$2:$C$217,A19,MPS!$B$2:$B$217,B19)</f>
        <v>10992</v>
      </c>
      <c r="H19" s="97">
        <f t="shared" si="0"/>
        <v>1</v>
      </c>
      <c r="I19" s="85" t="str">
        <f t="shared" si="1"/>
        <v>OK</v>
      </c>
      <c r="K19" s="86">
        <v>46237</v>
      </c>
      <c r="L19" s="96">
        <v>23000</v>
      </c>
      <c r="M19" s="96">
        <f>SUMIFS(MPS!$E$2:$E$217,MPS!$C$2:$C$217,K19)</f>
        <v>29184</v>
      </c>
      <c r="N19" s="96">
        <f>SUMIFS(MPS!$J$2:$J$217,MPS!$C$2:$C$217,K19)</f>
        <v>17698</v>
      </c>
      <c r="O19" s="96">
        <f>SUMIFS(MPS!$K$2:$K$217,MPS!$C$2:$C$217,K19)</f>
        <v>0</v>
      </c>
      <c r="P19" s="96">
        <f>SUMIFS(MPS!$L$2:$L$217,MPS!$C$2:$C$217,K19)</f>
        <v>9246</v>
      </c>
    </row>
    <row r="20" spans="1:16" x14ac:dyDescent="0.3">
      <c r="A20" s="86">
        <v>46160</v>
      </c>
      <c r="B20" s="85" t="s">
        <v>56</v>
      </c>
      <c r="C20" s="96">
        <v>3000</v>
      </c>
      <c r="D20" s="96">
        <f>SUMIFS(MPS!$E$2:$E$217,MPS!$C$2:$C$217,A20,MPS!$B$2:$B$217,B20)</f>
        <v>4500</v>
      </c>
      <c r="E20" s="96">
        <f>SUMIFS(MPS!$J$2:$J$217,MPS!$C$2:$C$217,A20,MPS!$B$2:$B$217,B20)</f>
        <v>3000</v>
      </c>
      <c r="F20" s="96">
        <f>SUMIFS(MPS!$K$2:$K$217,MPS!$C$2:$C$217,A20,MPS!$B$2:$B$217,B20)</f>
        <v>0</v>
      </c>
      <c r="G20" s="96">
        <f>SUMIFS(MPS!$L$2:$L$217,MPS!$C$2:$C$217,A20,MPS!$B$2:$B$217,B20)</f>
        <v>1500</v>
      </c>
      <c r="H20" s="97">
        <f t="shared" si="0"/>
        <v>1</v>
      </c>
      <c r="I20" s="85" t="str">
        <f t="shared" si="1"/>
        <v>OK</v>
      </c>
      <c r="K20" s="86">
        <v>46244</v>
      </c>
      <c r="L20" s="96">
        <v>23000</v>
      </c>
      <c r="M20" s="96">
        <f>SUMIFS(MPS!$E$2:$E$217,MPS!$C$2:$C$217,K20)</f>
        <v>9248</v>
      </c>
      <c r="N20" s="96">
        <f>SUMIFS(MPS!$J$2:$J$217,MPS!$C$2:$C$217,K20)</f>
        <v>9248</v>
      </c>
      <c r="O20" s="96">
        <f>SUMIFS(MPS!$K$2:$K$217,MPS!$C$2:$C$217,K20)</f>
        <v>0</v>
      </c>
      <c r="P20" s="96">
        <f>SUMIFS(MPS!$L$2:$L$217,MPS!$C$2:$C$217,K20)</f>
        <v>0</v>
      </c>
    </row>
    <row r="21" spans="1:16" x14ac:dyDescent="0.3">
      <c r="A21" s="86">
        <v>46167</v>
      </c>
      <c r="B21" s="85" t="s">
        <v>59</v>
      </c>
      <c r="C21" s="96">
        <v>15000</v>
      </c>
      <c r="D21" s="96">
        <f>SUMIFS(MPS!$E$2:$E$217,MPS!$C$2:$C$217,A21,MPS!$B$2:$B$217,B21)</f>
        <v>15146</v>
      </c>
      <c r="E21" s="96">
        <f>SUMIFS(MPS!$J$2:$J$217,MPS!$C$2:$C$217,A21,MPS!$B$2:$B$217,B21)</f>
        <v>15000</v>
      </c>
      <c r="F21" s="96">
        <f>SUMIFS(MPS!$K$2:$K$217,MPS!$C$2:$C$217,A21,MPS!$B$2:$B$217,B21)</f>
        <v>0</v>
      </c>
      <c r="G21" s="96">
        <f>SUMIFS(MPS!$L$2:$L$217,MPS!$C$2:$C$217,A21,MPS!$B$2:$B$217,B21)</f>
        <v>146</v>
      </c>
      <c r="H21" s="97">
        <f t="shared" si="0"/>
        <v>1</v>
      </c>
      <c r="I21" s="85" t="str">
        <f t="shared" si="1"/>
        <v>OK</v>
      </c>
      <c r="K21" s="86">
        <v>46251</v>
      </c>
      <c r="L21" s="96">
        <v>23000</v>
      </c>
      <c r="M21" s="96">
        <f>SUMIFS(MPS!$E$2:$E$217,MPS!$C$2:$C$217,K21)</f>
        <v>8946</v>
      </c>
      <c r="N21" s="96">
        <f>SUMIFS(MPS!$J$2:$J$217,MPS!$C$2:$C$217,K21)</f>
        <v>8946</v>
      </c>
      <c r="O21" s="96">
        <f>SUMIFS(MPS!$K$2:$K$217,MPS!$C$2:$C$217,K21)</f>
        <v>0</v>
      </c>
      <c r="P21" s="96">
        <f>SUMIFS(MPS!$L$2:$L$217,MPS!$C$2:$C$217,K21)</f>
        <v>0</v>
      </c>
    </row>
    <row r="22" spans="1:16" x14ac:dyDescent="0.3">
      <c r="A22" s="86">
        <v>46167</v>
      </c>
      <c r="B22" s="85" t="s">
        <v>68</v>
      </c>
      <c r="C22" s="96">
        <v>5000</v>
      </c>
      <c r="D22" s="96">
        <f>SUMIFS(MPS!$E$2:$E$217,MPS!$C$2:$C$217,A22,MPS!$B$2:$B$217,B22)</f>
        <v>18624</v>
      </c>
      <c r="E22" s="96">
        <f>SUMIFS(MPS!$J$2:$J$217,MPS!$C$2:$C$217,A22,MPS!$B$2:$B$217,B22)</f>
        <v>5000</v>
      </c>
      <c r="F22" s="96">
        <f>SUMIFS(MPS!$K$2:$K$217,MPS!$C$2:$C$217,A22,MPS!$B$2:$B$217,B22)</f>
        <v>0</v>
      </c>
      <c r="G22" s="96">
        <f>SUMIFS(MPS!$L$2:$L$217,MPS!$C$2:$C$217,A22,MPS!$B$2:$B$217,B22)</f>
        <v>13624</v>
      </c>
      <c r="H22" s="97">
        <f t="shared" si="0"/>
        <v>1</v>
      </c>
      <c r="I22" s="85" t="str">
        <f t="shared" si="1"/>
        <v>OK</v>
      </c>
      <c r="K22" s="86">
        <v>46258</v>
      </c>
      <c r="L22" s="96">
        <v>23000</v>
      </c>
      <c r="M22" s="96">
        <f>SUMIFS(MPS!$E$2:$E$217,MPS!$C$2:$C$217,K22)</f>
        <v>10655</v>
      </c>
      <c r="N22" s="96">
        <f>SUMIFS(MPS!$J$2:$J$217,MPS!$C$2:$C$217,K22)</f>
        <v>10655</v>
      </c>
      <c r="O22" s="96">
        <f>SUMIFS(MPS!$K$2:$K$217,MPS!$C$2:$C$217,K22)</f>
        <v>0</v>
      </c>
      <c r="P22" s="96">
        <f>SUMIFS(MPS!$L$2:$L$217,MPS!$C$2:$C$217,K22)</f>
        <v>0</v>
      </c>
    </row>
    <row r="23" spans="1:16" x14ac:dyDescent="0.3">
      <c r="A23" s="86">
        <v>46167</v>
      </c>
      <c r="B23" s="85" t="s">
        <v>56</v>
      </c>
      <c r="C23" s="96">
        <v>3000</v>
      </c>
      <c r="D23" s="96">
        <f>SUMIFS(MPS!$E$2:$E$217,MPS!$C$2:$C$217,A23,MPS!$B$2:$B$217,B23)</f>
        <v>4500</v>
      </c>
      <c r="E23" s="96">
        <f>SUMIFS(MPS!$J$2:$J$217,MPS!$C$2:$C$217,A23,MPS!$B$2:$B$217,B23)</f>
        <v>3000</v>
      </c>
      <c r="F23" s="96">
        <f>SUMIFS(MPS!$K$2:$K$217,MPS!$C$2:$C$217,A23,MPS!$B$2:$B$217,B23)</f>
        <v>0</v>
      </c>
      <c r="G23" s="96">
        <f>SUMIFS(MPS!$L$2:$L$217,MPS!$C$2:$C$217,A23,MPS!$B$2:$B$217,B23)</f>
        <v>1500</v>
      </c>
      <c r="H23" s="97">
        <f t="shared" si="0"/>
        <v>1</v>
      </c>
      <c r="I23" s="85" t="str">
        <f t="shared" si="1"/>
        <v>OK</v>
      </c>
      <c r="K23" s="86">
        <v>46265</v>
      </c>
      <c r="L23" s="96">
        <v>23000</v>
      </c>
      <c r="M23" s="96">
        <f>SUMIFS(MPS!$E$2:$E$217,MPS!$C$2:$C$217,K23)</f>
        <v>10554</v>
      </c>
      <c r="N23" s="96">
        <f>SUMIFS(MPS!$J$2:$J$217,MPS!$C$2:$C$217,K23)</f>
        <v>10554</v>
      </c>
      <c r="O23" s="96">
        <f>SUMIFS(MPS!$K$2:$K$217,MPS!$C$2:$C$217,K23)</f>
        <v>0</v>
      </c>
      <c r="P23" s="96">
        <f>SUMIFS(MPS!$L$2:$L$217,MPS!$C$2:$C$217,K23)</f>
        <v>0</v>
      </c>
    </row>
    <row r="24" spans="1:16" x14ac:dyDescent="0.3">
      <c r="A24" s="86">
        <v>46174</v>
      </c>
      <c r="B24" s="85" t="s">
        <v>59</v>
      </c>
      <c r="C24" s="96">
        <v>15000</v>
      </c>
      <c r="D24" s="96">
        <f>SUMIFS(MPS!$E$2:$E$217,MPS!$C$2:$C$217,A24,MPS!$B$2:$B$217,B24)</f>
        <v>20896</v>
      </c>
      <c r="E24" s="96">
        <f>SUMIFS(MPS!$J$2:$J$217,MPS!$C$2:$C$217,A24,MPS!$B$2:$B$217,B24)</f>
        <v>15000</v>
      </c>
      <c r="F24" s="96">
        <f>SUMIFS(MPS!$K$2:$K$217,MPS!$C$2:$C$217,A24,MPS!$B$2:$B$217,B24)</f>
        <v>0</v>
      </c>
      <c r="G24" s="96">
        <f>SUMIFS(MPS!$L$2:$L$217,MPS!$C$2:$C$217,A24,MPS!$B$2:$B$217,B24)</f>
        <v>5896</v>
      </c>
      <c r="H24" s="97">
        <f t="shared" si="0"/>
        <v>1</v>
      </c>
      <c r="I24" s="85" t="str">
        <f t="shared" si="1"/>
        <v>OK</v>
      </c>
      <c r="K24" s="86">
        <v>46272</v>
      </c>
      <c r="L24" s="96">
        <v>23000</v>
      </c>
      <c r="M24" s="96">
        <f>SUMIFS(MPS!$E$2:$E$217,MPS!$C$2:$C$217,K24)</f>
        <v>8797</v>
      </c>
      <c r="N24" s="96">
        <f>SUMIFS(MPS!$J$2:$J$217,MPS!$C$2:$C$217,K24)</f>
        <v>8797</v>
      </c>
      <c r="O24" s="96">
        <f>SUMIFS(MPS!$K$2:$K$217,MPS!$C$2:$C$217,K24)</f>
        <v>0</v>
      </c>
      <c r="P24" s="96">
        <f>SUMIFS(MPS!$L$2:$L$217,MPS!$C$2:$C$217,K24)</f>
        <v>0</v>
      </c>
    </row>
    <row r="25" spans="1:16" x14ac:dyDescent="0.3">
      <c r="A25" s="86">
        <v>46174</v>
      </c>
      <c r="B25" s="85" t="s">
        <v>68</v>
      </c>
      <c r="C25" s="96">
        <v>5000</v>
      </c>
      <c r="D25" s="96">
        <f>SUMIFS(MPS!$E$2:$E$217,MPS!$C$2:$C$217,A25,MPS!$B$2:$B$217,B25)</f>
        <v>4241</v>
      </c>
      <c r="E25" s="96">
        <f>SUMIFS(MPS!$J$2:$J$217,MPS!$C$2:$C$217,A25,MPS!$B$2:$B$217,B25)</f>
        <v>5000</v>
      </c>
      <c r="F25" s="96">
        <f>SUMIFS(MPS!$K$2:$K$217,MPS!$C$2:$C$217,A25,MPS!$B$2:$B$217,B25)</f>
        <v>1760</v>
      </c>
      <c r="G25" s="96">
        <f>SUMIFS(MPS!$L$2:$L$217,MPS!$C$2:$C$217,A25,MPS!$B$2:$B$217,B25)</f>
        <v>1001</v>
      </c>
      <c r="H25" s="97">
        <f t="shared" si="0"/>
        <v>1</v>
      </c>
      <c r="I25" s="85" t="str">
        <f t="shared" si="1"/>
        <v>OK</v>
      </c>
      <c r="K25" s="86">
        <v>46279</v>
      </c>
      <c r="L25" s="96">
        <v>23000</v>
      </c>
      <c r="M25" s="96">
        <f>SUMIFS(MPS!$E$2:$E$217,MPS!$C$2:$C$217,K25)</f>
        <v>8398</v>
      </c>
      <c r="N25" s="96">
        <f>SUMIFS(MPS!$J$2:$J$217,MPS!$C$2:$C$217,K25)</f>
        <v>8498</v>
      </c>
      <c r="O25" s="96">
        <f>SUMIFS(MPS!$K$2:$K$217,MPS!$C$2:$C$217,K25)</f>
        <v>100</v>
      </c>
      <c r="P25" s="96">
        <f>SUMIFS(MPS!$L$2:$L$217,MPS!$C$2:$C$217,K25)</f>
        <v>0</v>
      </c>
    </row>
    <row r="26" spans="1:16" x14ac:dyDescent="0.3">
      <c r="A26" s="86">
        <v>46174</v>
      </c>
      <c r="B26" s="85" t="s">
        <v>56</v>
      </c>
      <c r="C26" s="96">
        <v>3000</v>
      </c>
      <c r="D26" s="96">
        <f>SUMIFS(MPS!$E$2:$E$217,MPS!$C$2:$C$217,A26,MPS!$B$2:$B$217,B26)</f>
        <v>4500</v>
      </c>
      <c r="E26" s="96">
        <f>SUMIFS(MPS!$J$2:$J$217,MPS!$C$2:$C$217,A26,MPS!$B$2:$B$217,B26)</f>
        <v>3000</v>
      </c>
      <c r="F26" s="96">
        <f>SUMIFS(MPS!$K$2:$K$217,MPS!$C$2:$C$217,A26,MPS!$B$2:$B$217,B26)</f>
        <v>0</v>
      </c>
      <c r="G26" s="96">
        <f>SUMIFS(MPS!$L$2:$L$217,MPS!$C$2:$C$217,A26,MPS!$B$2:$B$217,B26)</f>
        <v>1500</v>
      </c>
      <c r="H26" s="97">
        <f t="shared" si="0"/>
        <v>1</v>
      </c>
      <c r="I26" s="85" t="str">
        <f t="shared" si="1"/>
        <v>OK</v>
      </c>
      <c r="K26" s="86">
        <v>46286</v>
      </c>
      <c r="L26" s="96">
        <v>23000</v>
      </c>
      <c r="M26" s="96">
        <f>SUMIFS(MPS!$E$2:$E$217,MPS!$C$2:$C$217,K26)</f>
        <v>7797</v>
      </c>
      <c r="N26" s="96">
        <f>SUMIFS(MPS!$J$2:$J$217,MPS!$C$2:$C$217,K26)</f>
        <v>17406</v>
      </c>
      <c r="O26" s="96">
        <f>SUMIFS(MPS!$K$2:$K$217,MPS!$C$2:$C$217,K26)</f>
        <v>9709</v>
      </c>
      <c r="P26" s="96">
        <f>SUMIFS(MPS!$L$2:$L$217,MPS!$C$2:$C$217,K26)</f>
        <v>0</v>
      </c>
    </row>
    <row r="27" spans="1:16" x14ac:dyDescent="0.3">
      <c r="A27" s="86">
        <v>46181</v>
      </c>
      <c r="B27" s="85" t="s">
        <v>59</v>
      </c>
      <c r="C27" s="96">
        <v>15000</v>
      </c>
      <c r="D27" s="96">
        <f>SUMIFS(MPS!$E$2:$E$217,MPS!$C$2:$C$217,A27,MPS!$B$2:$B$217,B27)</f>
        <v>12367</v>
      </c>
      <c r="E27" s="96">
        <f>SUMIFS(MPS!$J$2:$J$217,MPS!$C$2:$C$217,A27,MPS!$B$2:$B$217,B27)</f>
        <v>12367</v>
      </c>
      <c r="F27" s="96">
        <f>SUMIFS(MPS!$K$2:$K$217,MPS!$C$2:$C$217,A27,MPS!$B$2:$B$217,B27)</f>
        <v>0</v>
      </c>
      <c r="G27" s="96">
        <f>SUMIFS(MPS!$L$2:$L$217,MPS!$C$2:$C$217,A27,MPS!$B$2:$B$217,B27)</f>
        <v>0</v>
      </c>
      <c r="H27" s="97">
        <f t="shared" si="0"/>
        <v>0.82446666666666668</v>
      </c>
      <c r="I27" s="85" t="str">
        <f t="shared" si="1"/>
        <v>OK</v>
      </c>
      <c r="K27" s="86">
        <v>46293</v>
      </c>
      <c r="L27" s="96">
        <v>23000</v>
      </c>
      <c r="M27" s="96">
        <f>SUMIFS(MPS!$E$2:$E$217,MPS!$C$2:$C$217,K27)</f>
        <v>6652</v>
      </c>
      <c r="N27" s="96">
        <f>SUMIFS(MPS!$J$2:$J$217,MPS!$C$2:$C$217,K27)</f>
        <v>16010</v>
      </c>
      <c r="O27" s="96">
        <f>SUMIFS(MPS!$K$2:$K$217,MPS!$C$2:$C$217,K27)</f>
        <v>19067</v>
      </c>
      <c r="P27" s="96">
        <f>SUMIFS(MPS!$L$2:$L$217,MPS!$C$2:$C$217,K27)</f>
        <v>0</v>
      </c>
    </row>
    <row r="28" spans="1:16" x14ac:dyDescent="0.3">
      <c r="A28" s="86">
        <v>46181</v>
      </c>
      <c r="B28" s="85" t="s">
        <v>68</v>
      </c>
      <c r="C28" s="96">
        <v>5000</v>
      </c>
      <c r="D28" s="96">
        <f>SUMIFS(MPS!$E$2:$E$217,MPS!$C$2:$C$217,A28,MPS!$B$2:$B$217,B28)</f>
        <v>8913</v>
      </c>
      <c r="E28" s="96">
        <f>SUMIFS(MPS!$J$2:$J$217,MPS!$C$2:$C$217,A28,MPS!$B$2:$B$217,B28)</f>
        <v>5000</v>
      </c>
      <c r="F28" s="96">
        <f>SUMIFS(MPS!$K$2:$K$217,MPS!$C$2:$C$217,A28,MPS!$B$2:$B$217,B28)</f>
        <v>318</v>
      </c>
      <c r="G28" s="96">
        <f>SUMIFS(MPS!$L$2:$L$217,MPS!$C$2:$C$217,A28,MPS!$B$2:$B$217,B28)</f>
        <v>2471</v>
      </c>
      <c r="H28" s="97">
        <f t="shared" si="0"/>
        <v>1</v>
      </c>
      <c r="I28" s="85" t="str">
        <f t="shared" si="1"/>
        <v>OK</v>
      </c>
      <c r="K28" s="86">
        <v>46300</v>
      </c>
      <c r="L28" s="96">
        <v>23000</v>
      </c>
      <c r="M28" s="96">
        <f>SUMIFS(MPS!$E$2:$E$217,MPS!$C$2:$C$217,K28)</f>
        <v>19977</v>
      </c>
      <c r="N28" s="96">
        <f>SUMIFS(MPS!$J$2:$J$217,MPS!$C$2:$C$217,K28)</f>
        <v>15960</v>
      </c>
      <c r="O28" s="96">
        <f>SUMIFS(MPS!$K$2:$K$217,MPS!$C$2:$C$217,K28)</f>
        <v>15050</v>
      </c>
      <c r="P28" s="96">
        <f>SUMIFS(MPS!$L$2:$L$217,MPS!$C$2:$C$217,K28)</f>
        <v>0</v>
      </c>
    </row>
    <row r="29" spans="1:16" x14ac:dyDescent="0.3">
      <c r="A29" s="86">
        <v>46181</v>
      </c>
      <c r="B29" s="85" t="s">
        <v>56</v>
      </c>
      <c r="C29" s="96">
        <v>3000</v>
      </c>
      <c r="D29" s="96">
        <f>SUMIFS(MPS!$E$2:$E$217,MPS!$C$2:$C$217,A29,MPS!$B$2:$B$217,B29)</f>
        <v>4500</v>
      </c>
      <c r="E29" s="96">
        <f>SUMIFS(MPS!$J$2:$J$217,MPS!$C$2:$C$217,A29,MPS!$B$2:$B$217,B29)</f>
        <v>3000</v>
      </c>
      <c r="F29" s="96">
        <f>SUMIFS(MPS!$K$2:$K$217,MPS!$C$2:$C$217,A29,MPS!$B$2:$B$217,B29)</f>
        <v>0</v>
      </c>
      <c r="G29" s="96">
        <f>SUMIFS(MPS!$L$2:$L$217,MPS!$C$2:$C$217,A29,MPS!$B$2:$B$217,B29)</f>
        <v>1500</v>
      </c>
      <c r="H29" s="97">
        <f t="shared" si="0"/>
        <v>1</v>
      </c>
      <c r="I29" s="85" t="str">
        <f t="shared" si="1"/>
        <v>OK</v>
      </c>
      <c r="K29" s="86">
        <v>46307</v>
      </c>
      <c r="L29" s="96">
        <v>23000</v>
      </c>
      <c r="M29" s="96">
        <f>SUMIFS(MPS!$E$2:$E$217,MPS!$C$2:$C$217,K29)</f>
        <v>21425</v>
      </c>
      <c r="N29" s="96">
        <f>SUMIFS(MPS!$J$2:$J$217,MPS!$C$2:$C$217,K29)</f>
        <v>17408</v>
      </c>
      <c r="O29" s="96">
        <f>SUMIFS(MPS!$K$2:$K$217,MPS!$C$2:$C$217,K29)</f>
        <v>11033</v>
      </c>
      <c r="P29" s="96">
        <f>SUMIFS(MPS!$L$2:$L$217,MPS!$C$2:$C$217,K29)</f>
        <v>0</v>
      </c>
    </row>
    <row r="30" spans="1:16" x14ac:dyDescent="0.3">
      <c r="A30" s="86">
        <v>46188</v>
      </c>
      <c r="B30" s="85" t="s">
        <v>59</v>
      </c>
      <c r="C30" s="96">
        <v>15000</v>
      </c>
      <c r="D30" s="96">
        <f>SUMIFS(MPS!$E$2:$E$217,MPS!$C$2:$C$217,A30,MPS!$B$2:$B$217,B30)</f>
        <v>7349</v>
      </c>
      <c r="E30" s="96">
        <f>SUMIFS(MPS!$J$2:$J$217,MPS!$C$2:$C$217,A30,MPS!$B$2:$B$217,B30)</f>
        <v>7349</v>
      </c>
      <c r="F30" s="96">
        <f>SUMIFS(MPS!$K$2:$K$217,MPS!$C$2:$C$217,A30,MPS!$B$2:$B$217,B30)</f>
        <v>0</v>
      </c>
      <c r="G30" s="96">
        <f>SUMIFS(MPS!$L$2:$L$217,MPS!$C$2:$C$217,A30,MPS!$B$2:$B$217,B30)</f>
        <v>0</v>
      </c>
      <c r="H30" s="97">
        <f t="shared" si="0"/>
        <v>0.48993333333333333</v>
      </c>
      <c r="I30" s="85" t="str">
        <f t="shared" si="1"/>
        <v>OK</v>
      </c>
      <c r="K30" s="86">
        <v>46314</v>
      </c>
      <c r="L30" s="96">
        <v>23000</v>
      </c>
      <c r="M30" s="96">
        <f>SUMIFS(MPS!$E$2:$E$217,MPS!$C$2:$C$217,K30)</f>
        <v>21424</v>
      </c>
      <c r="N30" s="96">
        <f>SUMIFS(MPS!$J$2:$J$217,MPS!$C$2:$C$217,K30)</f>
        <v>17408</v>
      </c>
      <c r="O30" s="96">
        <f>SUMIFS(MPS!$K$2:$K$217,MPS!$C$2:$C$217,K30)</f>
        <v>7017</v>
      </c>
      <c r="P30" s="96">
        <f>SUMIFS(MPS!$L$2:$L$217,MPS!$C$2:$C$217,K30)</f>
        <v>0</v>
      </c>
    </row>
    <row r="31" spans="1:16" x14ac:dyDescent="0.3">
      <c r="A31" s="86">
        <v>46188</v>
      </c>
      <c r="B31" s="85" t="s">
        <v>68</v>
      </c>
      <c r="C31" s="96">
        <v>5000</v>
      </c>
      <c r="D31" s="96">
        <f>SUMIFS(MPS!$E$2:$E$217,MPS!$C$2:$C$217,A31,MPS!$B$2:$B$217,B31)</f>
        <v>12260</v>
      </c>
      <c r="E31" s="96">
        <f>SUMIFS(MPS!$J$2:$J$217,MPS!$C$2:$C$217,A31,MPS!$B$2:$B$217,B31)</f>
        <v>5000</v>
      </c>
      <c r="F31" s="96">
        <f>SUMIFS(MPS!$K$2:$K$217,MPS!$C$2:$C$217,A31,MPS!$B$2:$B$217,B31)</f>
        <v>0</v>
      </c>
      <c r="G31" s="96">
        <f>SUMIFS(MPS!$L$2:$L$217,MPS!$C$2:$C$217,A31,MPS!$B$2:$B$217,B31)</f>
        <v>6942</v>
      </c>
      <c r="H31" s="97">
        <f t="shared" si="0"/>
        <v>1</v>
      </c>
      <c r="I31" s="85" t="str">
        <f t="shared" si="1"/>
        <v>OK</v>
      </c>
      <c r="K31" s="86">
        <v>46321</v>
      </c>
      <c r="L31" s="96">
        <v>23000</v>
      </c>
      <c r="M31" s="96">
        <f>SUMIFS(MPS!$E$2:$E$217,MPS!$C$2:$C$217,K31)</f>
        <v>25215</v>
      </c>
      <c r="N31" s="96">
        <f>SUMIFS(MPS!$J$2:$J$217,MPS!$C$2:$C$217,K31)</f>
        <v>17948</v>
      </c>
      <c r="O31" s="96">
        <f>SUMIFS(MPS!$K$2:$K$217,MPS!$C$2:$C$217,K31)</f>
        <v>0</v>
      </c>
      <c r="P31" s="96">
        <f>SUMIFS(MPS!$L$2:$L$217,MPS!$C$2:$C$217,K31)</f>
        <v>250</v>
      </c>
    </row>
    <row r="32" spans="1:16" x14ac:dyDescent="0.3">
      <c r="A32" s="86">
        <v>46188</v>
      </c>
      <c r="B32" s="85" t="s">
        <v>56</v>
      </c>
      <c r="C32" s="96">
        <v>3000</v>
      </c>
      <c r="D32" s="96">
        <f>SUMIFS(MPS!$E$2:$E$217,MPS!$C$2:$C$217,A32,MPS!$B$2:$B$217,B32)</f>
        <v>2500</v>
      </c>
      <c r="E32" s="96">
        <f>SUMIFS(MPS!$J$2:$J$217,MPS!$C$2:$C$217,A32,MPS!$B$2:$B$217,B32)</f>
        <v>3000</v>
      </c>
      <c r="F32" s="96">
        <f>SUMIFS(MPS!$K$2:$K$217,MPS!$C$2:$C$217,A32,MPS!$B$2:$B$217,B32)</f>
        <v>500</v>
      </c>
      <c r="G32" s="96">
        <f>SUMIFS(MPS!$L$2:$L$217,MPS!$C$2:$C$217,A32,MPS!$B$2:$B$217,B32)</f>
        <v>0</v>
      </c>
      <c r="H32" s="97">
        <f t="shared" si="0"/>
        <v>1</v>
      </c>
      <c r="I32" s="85" t="str">
        <f t="shared" si="1"/>
        <v>OK</v>
      </c>
      <c r="K32" s="86">
        <v>46328</v>
      </c>
      <c r="L32" s="96">
        <v>23000</v>
      </c>
      <c r="M32" s="96">
        <f>SUMIFS(MPS!$E$2:$E$217,MPS!$C$2:$C$217,K32)</f>
        <v>14085</v>
      </c>
      <c r="N32" s="96">
        <f>SUMIFS(MPS!$J$2:$J$217,MPS!$C$2:$C$217,K32)</f>
        <v>14085</v>
      </c>
      <c r="O32" s="96">
        <f>SUMIFS(MPS!$K$2:$K$217,MPS!$C$2:$C$217,K32)</f>
        <v>0</v>
      </c>
      <c r="P32" s="96">
        <f>SUMIFS(MPS!$L$2:$L$217,MPS!$C$2:$C$217,K32)</f>
        <v>0</v>
      </c>
    </row>
    <row r="33" spans="1:16" x14ac:dyDescent="0.3">
      <c r="A33" s="86">
        <v>46195</v>
      </c>
      <c r="B33" s="85" t="s">
        <v>59</v>
      </c>
      <c r="C33" s="96">
        <v>15000</v>
      </c>
      <c r="D33" s="96">
        <f>SUMIFS(MPS!$E$2:$E$217,MPS!$C$2:$C$217,A33,MPS!$B$2:$B$217,B33)</f>
        <v>6541</v>
      </c>
      <c r="E33" s="96">
        <f>SUMIFS(MPS!$J$2:$J$217,MPS!$C$2:$C$217,A33,MPS!$B$2:$B$217,B33)</f>
        <v>6622</v>
      </c>
      <c r="F33" s="96">
        <f>SUMIFS(MPS!$K$2:$K$217,MPS!$C$2:$C$217,A33,MPS!$B$2:$B$217,B33)</f>
        <v>81</v>
      </c>
      <c r="G33" s="96">
        <f>SUMIFS(MPS!$L$2:$L$217,MPS!$C$2:$C$217,A33,MPS!$B$2:$B$217,B33)</f>
        <v>0</v>
      </c>
      <c r="H33" s="97">
        <f t="shared" si="0"/>
        <v>0.44146666666666667</v>
      </c>
      <c r="I33" s="85" t="str">
        <f t="shared" si="1"/>
        <v>OK</v>
      </c>
      <c r="K33" s="86">
        <v>46335</v>
      </c>
      <c r="L33" s="96">
        <v>23000</v>
      </c>
      <c r="M33" s="96">
        <f>SUMIFS(MPS!$E$2:$E$217,MPS!$C$2:$C$217,K33)</f>
        <v>13788</v>
      </c>
      <c r="N33" s="96">
        <f>SUMIFS(MPS!$J$2:$J$217,MPS!$C$2:$C$217,K33)</f>
        <v>13788</v>
      </c>
      <c r="O33" s="96">
        <f>SUMIFS(MPS!$K$2:$K$217,MPS!$C$2:$C$217,K33)</f>
        <v>0</v>
      </c>
      <c r="P33" s="96">
        <f>SUMIFS(MPS!$L$2:$L$217,MPS!$C$2:$C$217,K33)</f>
        <v>0</v>
      </c>
    </row>
    <row r="34" spans="1:16" x14ac:dyDescent="0.3">
      <c r="A34" s="86">
        <v>46195</v>
      </c>
      <c r="B34" s="85" t="s">
        <v>68</v>
      </c>
      <c r="C34" s="96">
        <v>5000</v>
      </c>
      <c r="D34" s="96">
        <f>SUMIFS(MPS!$E$2:$E$217,MPS!$C$2:$C$217,A34,MPS!$B$2:$B$217,B34)</f>
        <v>8195</v>
      </c>
      <c r="E34" s="96">
        <f>SUMIFS(MPS!$J$2:$J$217,MPS!$C$2:$C$217,A34,MPS!$B$2:$B$217,B34)</f>
        <v>5000</v>
      </c>
      <c r="F34" s="96">
        <f>SUMIFS(MPS!$K$2:$K$217,MPS!$C$2:$C$217,A34,MPS!$B$2:$B$217,B34)</f>
        <v>0</v>
      </c>
      <c r="G34" s="96">
        <f>SUMIFS(MPS!$L$2:$L$217,MPS!$C$2:$C$217,A34,MPS!$B$2:$B$217,B34)</f>
        <v>3195</v>
      </c>
      <c r="H34" s="97">
        <f t="shared" si="0"/>
        <v>1</v>
      </c>
      <c r="I34" s="85" t="str">
        <f t="shared" si="1"/>
        <v>OK</v>
      </c>
      <c r="K34" s="86">
        <v>46342</v>
      </c>
      <c r="L34" s="96">
        <v>23000</v>
      </c>
      <c r="M34" s="96">
        <f>SUMIFS(MPS!$E$2:$E$217,MPS!$C$2:$C$217,K34)</f>
        <v>13787</v>
      </c>
      <c r="N34" s="96">
        <f>SUMIFS(MPS!$J$2:$J$217,MPS!$C$2:$C$217,K34)</f>
        <v>13787</v>
      </c>
      <c r="O34" s="96">
        <f>SUMIFS(MPS!$K$2:$K$217,MPS!$C$2:$C$217,K34)</f>
        <v>0</v>
      </c>
      <c r="P34" s="96">
        <f>SUMIFS(MPS!$L$2:$L$217,MPS!$C$2:$C$217,K34)</f>
        <v>0</v>
      </c>
    </row>
    <row r="35" spans="1:16" x14ac:dyDescent="0.3">
      <c r="A35" s="86">
        <v>46195</v>
      </c>
      <c r="B35" s="85" t="s">
        <v>56</v>
      </c>
      <c r="C35" s="96">
        <v>3000</v>
      </c>
      <c r="D35" s="96">
        <f>SUMIFS(MPS!$E$2:$E$217,MPS!$C$2:$C$217,A35,MPS!$B$2:$B$217,B35)</f>
        <v>5000</v>
      </c>
      <c r="E35" s="96">
        <f>SUMIFS(MPS!$J$2:$J$217,MPS!$C$2:$C$217,A35,MPS!$B$2:$B$217,B35)</f>
        <v>3000</v>
      </c>
      <c r="F35" s="96">
        <f>SUMIFS(MPS!$K$2:$K$217,MPS!$C$2:$C$217,A35,MPS!$B$2:$B$217,B35)</f>
        <v>0</v>
      </c>
      <c r="G35" s="96">
        <f>SUMIFS(MPS!$L$2:$L$217,MPS!$C$2:$C$217,A35,MPS!$B$2:$B$217,B35)</f>
        <v>1500</v>
      </c>
      <c r="H35" s="97">
        <f t="shared" ref="H35:H66" si="2">IFERROR(E35/C35,0)</f>
        <v>1</v>
      </c>
      <c r="I35" s="85" t="str">
        <f t="shared" ref="I35:I66" si="3">IF(E35&gt;C35,"Over shared cap","OK")</f>
        <v>OK</v>
      </c>
      <c r="K35" s="86">
        <v>46349</v>
      </c>
      <c r="L35" s="96">
        <v>23000</v>
      </c>
      <c r="M35" s="96">
        <f>SUMIFS(MPS!$E$2:$E$217,MPS!$C$2:$C$217,K35)</f>
        <v>16538</v>
      </c>
      <c r="N35" s="96">
        <f>SUMIFS(MPS!$J$2:$J$217,MPS!$C$2:$C$217,K35)</f>
        <v>16538</v>
      </c>
      <c r="O35" s="96">
        <f>SUMIFS(MPS!$K$2:$K$217,MPS!$C$2:$C$217,K35)</f>
        <v>0</v>
      </c>
      <c r="P35" s="96">
        <f>SUMIFS(MPS!$L$2:$L$217,MPS!$C$2:$C$217,K35)</f>
        <v>0</v>
      </c>
    </row>
    <row r="36" spans="1:16" x14ac:dyDescent="0.3">
      <c r="A36" s="86">
        <v>46202</v>
      </c>
      <c r="B36" s="85" t="s">
        <v>59</v>
      </c>
      <c r="C36" s="96">
        <v>15000</v>
      </c>
      <c r="D36" s="96">
        <f>SUMIFS(MPS!$E$2:$E$217,MPS!$C$2:$C$217,A36,MPS!$B$2:$B$217,B36)</f>
        <v>15041</v>
      </c>
      <c r="E36" s="96">
        <f>SUMIFS(MPS!$J$2:$J$217,MPS!$C$2:$C$217,A36,MPS!$B$2:$B$217,B36)</f>
        <v>15000</v>
      </c>
      <c r="F36" s="96">
        <f>SUMIFS(MPS!$K$2:$K$217,MPS!$C$2:$C$217,A36,MPS!$B$2:$B$217,B36)</f>
        <v>40</v>
      </c>
      <c r="G36" s="96">
        <f>SUMIFS(MPS!$L$2:$L$217,MPS!$C$2:$C$217,A36,MPS!$B$2:$B$217,B36)</f>
        <v>0</v>
      </c>
      <c r="H36" s="97">
        <f t="shared" si="2"/>
        <v>1</v>
      </c>
      <c r="I36" s="85" t="str">
        <f t="shared" si="3"/>
        <v>OK</v>
      </c>
      <c r="K36" s="86">
        <v>46356</v>
      </c>
      <c r="L36" s="96">
        <v>23000</v>
      </c>
      <c r="M36" s="96">
        <f>SUMIFS(MPS!$E$2:$E$217,MPS!$C$2:$C$217,K36)</f>
        <v>17009</v>
      </c>
      <c r="N36" s="96">
        <f>SUMIFS(MPS!$J$2:$J$217,MPS!$C$2:$C$217,K36)</f>
        <v>17009</v>
      </c>
      <c r="O36" s="96">
        <f>SUMIFS(MPS!$K$2:$K$217,MPS!$C$2:$C$217,K36)</f>
        <v>0</v>
      </c>
      <c r="P36" s="96">
        <f>SUMIFS(MPS!$L$2:$L$217,MPS!$C$2:$C$217,K36)</f>
        <v>0</v>
      </c>
    </row>
    <row r="37" spans="1:16" x14ac:dyDescent="0.3">
      <c r="A37" s="86">
        <v>46202</v>
      </c>
      <c r="B37" s="85" t="s">
        <v>68</v>
      </c>
      <c r="C37" s="96">
        <v>5000</v>
      </c>
      <c r="D37" s="96">
        <f>SUMIFS(MPS!$E$2:$E$217,MPS!$C$2:$C$217,A37,MPS!$B$2:$B$217,B37)</f>
        <v>3000</v>
      </c>
      <c r="E37" s="96">
        <f>SUMIFS(MPS!$J$2:$J$217,MPS!$C$2:$C$217,A37,MPS!$B$2:$B$217,B37)</f>
        <v>3000</v>
      </c>
      <c r="F37" s="96">
        <f>SUMIFS(MPS!$K$2:$K$217,MPS!$C$2:$C$217,A37,MPS!$B$2:$B$217,B37)</f>
        <v>0</v>
      </c>
      <c r="G37" s="96">
        <f>SUMIFS(MPS!$L$2:$L$217,MPS!$C$2:$C$217,A37,MPS!$B$2:$B$217,B37)</f>
        <v>0</v>
      </c>
      <c r="H37" s="97">
        <f t="shared" si="2"/>
        <v>0.6</v>
      </c>
      <c r="I37" s="85" t="str">
        <f t="shared" si="3"/>
        <v>OK</v>
      </c>
      <c r="K37" s="86">
        <v>46363</v>
      </c>
      <c r="L37" s="96">
        <v>23000</v>
      </c>
      <c r="M37" s="96">
        <f>SUMIFS(MPS!$E$2:$E$217,MPS!$C$2:$C$217,K37)</f>
        <v>20756</v>
      </c>
      <c r="N37" s="96">
        <f>SUMIFS(MPS!$J$2:$J$217,MPS!$C$2:$C$217,K37)</f>
        <v>20756</v>
      </c>
      <c r="O37" s="96">
        <f>SUMIFS(MPS!$K$2:$K$217,MPS!$C$2:$C$217,K37)</f>
        <v>0</v>
      </c>
      <c r="P37" s="96">
        <f>SUMIFS(MPS!$L$2:$L$217,MPS!$C$2:$C$217,K37)</f>
        <v>0</v>
      </c>
    </row>
    <row r="38" spans="1:16" x14ac:dyDescent="0.3">
      <c r="A38" s="86">
        <v>46202</v>
      </c>
      <c r="B38" s="85" t="s">
        <v>56</v>
      </c>
      <c r="C38" s="96">
        <v>3000</v>
      </c>
      <c r="D38" s="96">
        <f>SUMIFS(MPS!$E$2:$E$217,MPS!$C$2:$C$217,A38,MPS!$B$2:$B$217,B38)</f>
        <v>5000</v>
      </c>
      <c r="E38" s="96">
        <f>SUMIFS(MPS!$J$2:$J$217,MPS!$C$2:$C$217,A38,MPS!$B$2:$B$217,B38)</f>
        <v>3000</v>
      </c>
      <c r="F38" s="96">
        <f>SUMIFS(MPS!$K$2:$K$217,MPS!$C$2:$C$217,A38,MPS!$B$2:$B$217,B38)</f>
        <v>0</v>
      </c>
      <c r="G38" s="96">
        <f>SUMIFS(MPS!$L$2:$L$217,MPS!$C$2:$C$217,A38,MPS!$B$2:$B$217,B38)</f>
        <v>2000</v>
      </c>
      <c r="H38" s="97">
        <f t="shared" si="2"/>
        <v>1</v>
      </c>
      <c r="I38" s="85" t="str">
        <f t="shared" si="3"/>
        <v>OK</v>
      </c>
      <c r="K38" s="86">
        <v>46370</v>
      </c>
      <c r="L38" s="96">
        <v>23000</v>
      </c>
      <c r="M38" s="96">
        <f>SUMIFS(MPS!$E$2:$E$217,MPS!$C$2:$C$217,K38)</f>
        <v>20753</v>
      </c>
      <c r="N38" s="96">
        <f>SUMIFS(MPS!$J$2:$J$217,MPS!$C$2:$C$217,K38)</f>
        <v>20753</v>
      </c>
      <c r="O38" s="96">
        <f>SUMIFS(MPS!$K$2:$K$217,MPS!$C$2:$C$217,K38)</f>
        <v>0</v>
      </c>
      <c r="P38" s="96">
        <f>SUMIFS(MPS!$L$2:$L$217,MPS!$C$2:$C$217,K38)</f>
        <v>0</v>
      </c>
    </row>
    <row r="39" spans="1:16" x14ac:dyDescent="0.3">
      <c r="A39" s="86">
        <v>46209</v>
      </c>
      <c r="B39" s="85" t="s">
        <v>59</v>
      </c>
      <c r="C39" s="96">
        <v>15000</v>
      </c>
      <c r="D39" s="96">
        <f>SUMIFS(MPS!$E$2:$E$217,MPS!$C$2:$C$217,A39,MPS!$B$2:$B$217,B39)</f>
        <v>15040</v>
      </c>
      <c r="E39" s="96">
        <f>SUMIFS(MPS!$J$2:$J$217,MPS!$C$2:$C$217,A39,MPS!$B$2:$B$217,B39)</f>
        <v>15000</v>
      </c>
      <c r="F39" s="96">
        <f>SUMIFS(MPS!$K$2:$K$217,MPS!$C$2:$C$217,A39,MPS!$B$2:$B$217,B39)</f>
        <v>0</v>
      </c>
      <c r="G39" s="96">
        <f>SUMIFS(MPS!$L$2:$L$217,MPS!$C$2:$C$217,A39,MPS!$B$2:$B$217,B39)</f>
        <v>0</v>
      </c>
      <c r="H39" s="97">
        <f t="shared" si="2"/>
        <v>1</v>
      </c>
      <c r="I39" s="85" t="str">
        <f t="shared" si="3"/>
        <v>OK</v>
      </c>
    </row>
    <row r="40" spans="1:16" x14ac:dyDescent="0.3">
      <c r="A40" s="86">
        <v>46209</v>
      </c>
      <c r="B40" s="85" t="s">
        <v>68</v>
      </c>
      <c r="C40" s="96">
        <v>5000</v>
      </c>
      <c r="D40" s="96">
        <f>SUMIFS(MPS!$E$2:$E$217,MPS!$C$2:$C$217,A40,MPS!$B$2:$B$217,B40)</f>
        <v>3000</v>
      </c>
      <c r="E40" s="96">
        <f>SUMIFS(MPS!$J$2:$J$217,MPS!$C$2:$C$217,A40,MPS!$B$2:$B$217,B40)</f>
        <v>3000</v>
      </c>
      <c r="F40" s="96">
        <f>SUMIFS(MPS!$K$2:$K$217,MPS!$C$2:$C$217,A40,MPS!$B$2:$B$217,B40)</f>
        <v>0</v>
      </c>
      <c r="G40" s="96">
        <f>SUMIFS(MPS!$L$2:$L$217,MPS!$C$2:$C$217,A40,MPS!$B$2:$B$217,B40)</f>
        <v>0</v>
      </c>
      <c r="H40" s="97">
        <f t="shared" si="2"/>
        <v>0.6</v>
      </c>
      <c r="I40" s="85" t="str">
        <f t="shared" si="3"/>
        <v>OK</v>
      </c>
    </row>
    <row r="41" spans="1:16" s="61" customFormat="1" ht="288" customHeight="1" x14ac:dyDescent="0.3">
      <c r="A41" s="98" t="s">
        <v>90</v>
      </c>
      <c r="B41" s="99" t="s">
        <v>91</v>
      </c>
      <c r="C41" s="96">
        <v>3000</v>
      </c>
      <c r="D41" s="96">
        <f>SUMIFS(MPS!$E$2:$E$217,MPS!$C$2:$C$217,A41,MPS!$B$2:$B$217,B41)</f>
        <v>0</v>
      </c>
      <c r="E41" s="96">
        <f>SUMIFS(MPS!$J$2:$J$217,MPS!$C$2:$C$217,A41,MPS!$B$2:$B$217,B41)</f>
        <v>0</v>
      </c>
      <c r="F41" s="96">
        <f>SUMIFS(MPS!$K$2:$K$217,MPS!$C$2:$C$217,A41,MPS!$B$2:$B$217,B41)</f>
        <v>0</v>
      </c>
      <c r="G41" s="96">
        <f>SUMIFS(MPS!$L$2:$L$217,MPS!$C$2:$C$217,A41,MPS!$B$2:$B$217,B41)</f>
        <v>0</v>
      </c>
      <c r="H41" s="97">
        <f t="shared" si="2"/>
        <v>0</v>
      </c>
      <c r="I41" s="85" t="str">
        <f t="shared" si="3"/>
        <v>OK</v>
      </c>
    </row>
    <row r="42" spans="1:16" x14ac:dyDescent="0.3">
      <c r="A42" s="86">
        <v>46216</v>
      </c>
      <c r="B42" s="85" t="s">
        <v>59</v>
      </c>
      <c r="C42" s="96">
        <v>15000</v>
      </c>
      <c r="D42" s="96">
        <f>SUMIFS(MPS!$E$2:$E$217,MPS!$C$2:$C$217,A42,MPS!$B$2:$B$217,B42)</f>
        <v>3000</v>
      </c>
      <c r="E42" s="96">
        <f>SUMIFS(MPS!$J$2:$J$217,MPS!$C$2:$C$217,A42,MPS!$B$2:$B$217,B42)</f>
        <v>12246</v>
      </c>
      <c r="F42" s="96">
        <f>SUMIFS(MPS!$K$2:$K$217,MPS!$C$2:$C$217,A42,MPS!$B$2:$B$217,B42)</f>
        <v>9246</v>
      </c>
      <c r="G42" s="96">
        <f>SUMIFS(MPS!$L$2:$L$217,MPS!$C$2:$C$217,A42,MPS!$B$2:$B$217,B42)</f>
        <v>0</v>
      </c>
      <c r="H42" s="97">
        <f t="shared" si="2"/>
        <v>0.81640000000000001</v>
      </c>
      <c r="I42" s="85" t="str">
        <f t="shared" si="3"/>
        <v>OK</v>
      </c>
    </row>
    <row r="43" spans="1:16" x14ac:dyDescent="0.3">
      <c r="A43" s="86">
        <v>46216</v>
      </c>
      <c r="B43" s="85" t="s">
        <v>68</v>
      </c>
      <c r="C43" s="96">
        <v>5000</v>
      </c>
      <c r="D43" s="96">
        <f>SUMIFS(MPS!$E$2:$E$217,MPS!$C$2:$C$217,A43,MPS!$B$2:$B$217,B43)</f>
        <v>3000</v>
      </c>
      <c r="E43" s="96">
        <f>SUMIFS(MPS!$J$2:$J$217,MPS!$C$2:$C$217,A43,MPS!$B$2:$B$217,B43)</f>
        <v>3000</v>
      </c>
      <c r="F43" s="96">
        <f>SUMIFS(MPS!$K$2:$K$217,MPS!$C$2:$C$217,A43,MPS!$B$2:$B$217,B43)</f>
        <v>0</v>
      </c>
      <c r="G43" s="96">
        <f>SUMIFS(MPS!$L$2:$L$217,MPS!$C$2:$C$217,A43,MPS!$B$2:$B$217,B43)</f>
        <v>0</v>
      </c>
      <c r="H43" s="97">
        <f t="shared" si="2"/>
        <v>0.6</v>
      </c>
      <c r="I43" s="85" t="str">
        <f t="shared" si="3"/>
        <v>OK</v>
      </c>
    </row>
    <row r="44" spans="1:16" x14ac:dyDescent="0.3">
      <c r="A44" s="86">
        <v>46216</v>
      </c>
      <c r="B44" s="85" t="s">
        <v>56</v>
      </c>
      <c r="C44" s="96">
        <v>3000</v>
      </c>
      <c r="D44" s="96">
        <f>SUMIFS(MPS!$E$2:$E$217,MPS!$C$2:$C$217,A44,MPS!$B$2:$B$217,B44)</f>
        <v>5046</v>
      </c>
      <c r="E44" s="96">
        <f>SUMIFS(MPS!$J$2:$J$217,MPS!$C$2:$C$217,A44,MPS!$B$2:$B$217,B44)</f>
        <v>3000</v>
      </c>
      <c r="F44" s="96">
        <f>SUMIFS(MPS!$K$2:$K$217,MPS!$C$2:$C$217,A44,MPS!$B$2:$B$217,B44)</f>
        <v>0</v>
      </c>
      <c r="G44" s="96">
        <f>SUMIFS(MPS!$L$2:$L$217,MPS!$C$2:$C$217,A44,MPS!$B$2:$B$217,B44)</f>
        <v>2046</v>
      </c>
      <c r="H44" s="97">
        <f t="shared" si="2"/>
        <v>1</v>
      </c>
      <c r="I44" s="85" t="str">
        <f t="shared" si="3"/>
        <v>OK</v>
      </c>
    </row>
    <row r="45" spans="1:16" x14ac:dyDescent="0.3">
      <c r="A45" s="86">
        <v>46223</v>
      </c>
      <c r="B45" s="85" t="s">
        <v>59</v>
      </c>
      <c r="C45" s="96">
        <v>15000</v>
      </c>
      <c r="D45" s="96">
        <f>SUMIFS(MPS!$E$2:$E$217,MPS!$C$2:$C$217,A45,MPS!$B$2:$B$217,B45)</f>
        <v>2400</v>
      </c>
      <c r="E45" s="96">
        <f>SUMIFS(MPS!$J$2:$J$217,MPS!$C$2:$C$217,A45,MPS!$B$2:$B$217,B45)</f>
        <v>10554</v>
      </c>
      <c r="F45" s="96">
        <f>SUMIFS(MPS!$K$2:$K$217,MPS!$C$2:$C$217,A45,MPS!$B$2:$B$217,B45)</f>
        <v>17400</v>
      </c>
      <c r="G45" s="96">
        <f>SUMIFS(MPS!$L$2:$L$217,MPS!$C$2:$C$217,A45,MPS!$B$2:$B$217,B45)</f>
        <v>0</v>
      </c>
      <c r="H45" s="97">
        <f t="shared" si="2"/>
        <v>0.7036</v>
      </c>
      <c r="I45" s="85" t="str">
        <f t="shared" si="3"/>
        <v>OK</v>
      </c>
    </row>
    <row r="46" spans="1:16" x14ac:dyDescent="0.3">
      <c r="A46" s="86">
        <v>46223</v>
      </c>
      <c r="B46" s="85" t="s">
        <v>68</v>
      </c>
      <c r="C46" s="96">
        <v>5000</v>
      </c>
      <c r="D46" s="96">
        <f>SUMIFS(MPS!$E$2:$E$217,MPS!$C$2:$C$217,A46,MPS!$B$2:$B$217,B46)</f>
        <v>1000</v>
      </c>
      <c r="E46" s="96">
        <f>SUMIFS(MPS!$J$2:$J$217,MPS!$C$2:$C$217,A46,MPS!$B$2:$B$217,B46)</f>
        <v>1000</v>
      </c>
      <c r="F46" s="96">
        <f>SUMIFS(MPS!$K$2:$K$217,MPS!$C$2:$C$217,A46,MPS!$B$2:$B$217,B46)</f>
        <v>0</v>
      </c>
      <c r="G46" s="96">
        <f>SUMIFS(MPS!$L$2:$L$217,MPS!$C$2:$C$217,A46,MPS!$B$2:$B$217,B46)</f>
        <v>0</v>
      </c>
      <c r="H46" s="97">
        <f t="shared" si="2"/>
        <v>0.2</v>
      </c>
      <c r="I46" s="85" t="str">
        <f t="shared" si="3"/>
        <v>OK</v>
      </c>
    </row>
    <row r="47" spans="1:16" x14ac:dyDescent="0.3">
      <c r="A47" s="86">
        <v>46223</v>
      </c>
      <c r="B47" s="85" t="s">
        <v>56</v>
      </c>
      <c r="C47" s="96">
        <v>3000</v>
      </c>
      <c r="D47" s="96">
        <f>SUMIFS(MPS!$E$2:$E$217,MPS!$C$2:$C$217,A47,MPS!$B$2:$B$217,B47)</f>
        <v>4600</v>
      </c>
      <c r="E47" s="96">
        <f>SUMIFS(MPS!$J$2:$J$217,MPS!$C$2:$C$217,A47,MPS!$B$2:$B$217,B47)</f>
        <v>3000</v>
      </c>
      <c r="F47" s="96">
        <f>SUMIFS(MPS!$K$2:$K$217,MPS!$C$2:$C$217,A47,MPS!$B$2:$B$217,B47)</f>
        <v>0</v>
      </c>
      <c r="G47" s="96">
        <f>SUMIFS(MPS!$L$2:$L$217,MPS!$C$2:$C$217,A47,MPS!$B$2:$B$217,B47)</f>
        <v>1600</v>
      </c>
      <c r="H47" s="97">
        <f t="shared" si="2"/>
        <v>1</v>
      </c>
      <c r="I47" s="85" t="str">
        <f t="shared" si="3"/>
        <v>OK</v>
      </c>
    </row>
    <row r="48" spans="1:16" x14ac:dyDescent="0.3">
      <c r="A48" s="86">
        <v>46230</v>
      </c>
      <c r="B48" s="85" t="s">
        <v>59</v>
      </c>
      <c r="C48" s="96">
        <v>15000</v>
      </c>
      <c r="D48" s="96">
        <f>SUMIFS(MPS!$E$2:$E$217,MPS!$C$2:$C$217,A48,MPS!$B$2:$B$217,B48)</f>
        <v>30160</v>
      </c>
      <c r="E48" s="96">
        <f>SUMIFS(MPS!$J$2:$J$217,MPS!$C$2:$C$217,A48,MPS!$B$2:$B$217,B48)</f>
        <v>15000</v>
      </c>
      <c r="F48" s="96">
        <f>SUMIFS(MPS!$K$2:$K$217,MPS!$C$2:$C$217,A48,MPS!$B$2:$B$217,B48)</f>
        <v>2240</v>
      </c>
      <c r="G48" s="96">
        <f>SUMIFS(MPS!$L$2:$L$217,MPS!$C$2:$C$217,A48,MPS!$B$2:$B$217,B48)</f>
        <v>0</v>
      </c>
      <c r="H48" s="97">
        <f t="shared" si="2"/>
        <v>1</v>
      </c>
      <c r="I48" s="85" t="str">
        <f t="shared" si="3"/>
        <v>OK</v>
      </c>
    </row>
    <row r="49" spans="1:9" x14ac:dyDescent="0.3">
      <c r="A49" s="86">
        <v>46230</v>
      </c>
      <c r="B49" s="85" t="s">
        <v>68</v>
      </c>
      <c r="C49" s="96">
        <v>5000</v>
      </c>
      <c r="D49" s="96">
        <f>SUMIFS(MPS!$E$2:$E$217,MPS!$C$2:$C$217,A49,MPS!$B$2:$B$217,B49)</f>
        <v>1000</v>
      </c>
      <c r="E49" s="96">
        <f>SUMIFS(MPS!$J$2:$J$217,MPS!$C$2:$C$217,A49,MPS!$B$2:$B$217,B49)</f>
        <v>1000</v>
      </c>
      <c r="F49" s="96">
        <f>SUMIFS(MPS!$K$2:$K$217,MPS!$C$2:$C$217,A49,MPS!$B$2:$B$217,B49)</f>
        <v>0</v>
      </c>
      <c r="G49" s="96">
        <f>SUMIFS(MPS!$L$2:$L$217,MPS!$C$2:$C$217,A49,MPS!$B$2:$B$217,B49)</f>
        <v>0</v>
      </c>
      <c r="H49" s="97">
        <f t="shared" si="2"/>
        <v>0.2</v>
      </c>
      <c r="I49" s="85" t="str">
        <f t="shared" si="3"/>
        <v>OK</v>
      </c>
    </row>
    <row r="50" spans="1:9" x14ac:dyDescent="0.3">
      <c r="A50" s="86">
        <v>46230</v>
      </c>
      <c r="B50" s="85" t="s">
        <v>56</v>
      </c>
      <c r="C50" s="96">
        <v>3000</v>
      </c>
      <c r="D50" s="96">
        <f>SUMIFS(MPS!$E$2:$E$217,MPS!$C$2:$C$217,A50,MPS!$B$2:$B$217,B50)</f>
        <v>476</v>
      </c>
      <c r="E50" s="96">
        <f>SUMIFS(MPS!$J$2:$J$217,MPS!$C$2:$C$217,A50,MPS!$B$2:$B$217,B50)</f>
        <v>476</v>
      </c>
      <c r="F50" s="96">
        <f>SUMIFS(MPS!$K$2:$K$217,MPS!$C$2:$C$217,A50,MPS!$B$2:$B$217,B50)</f>
        <v>0</v>
      </c>
      <c r="G50" s="96">
        <f>SUMIFS(MPS!$L$2:$L$217,MPS!$C$2:$C$217,A50,MPS!$B$2:$B$217,B50)</f>
        <v>0</v>
      </c>
      <c r="H50" s="97">
        <f t="shared" si="2"/>
        <v>0.15866666666666668</v>
      </c>
      <c r="I50" s="85" t="str">
        <f t="shared" si="3"/>
        <v>OK</v>
      </c>
    </row>
    <row r="51" spans="1:9" x14ac:dyDescent="0.3">
      <c r="A51" s="86">
        <v>46237</v>
      </c>
      <c r="B51" s="85" t="s">
        <v>59</v>
      </c>
      <c r="C51" s="96">
        <v>15000</v>
      </c>
      <c r="D51" s="96">
        <f>SUMIFS(MPS!$E$2:$E$217,MPS!$C$2:$C$217,A51,MPS!$B$2:$B$217,B51)</f>
        <v>26486</v>
      </c>
      <c r="E51" s="96">
        <f>SUMIFS(MPS!$J$2:$J$217,MPS!$C$2:$C$217,A51,MPS!$B$2:$B$217,B51)</f>
        <v>15000</v>
      </c>
      <c r="F51" s="96">
        <f>SUMIFS(MPS!$K$2:$K$217,MPS!$C$2:$C$217,A51,MPS!$B$2:$B$217,B51)</f>
        <v>0</v>
      </c>
      <c r="G51" s="96">
        <f>SUMIFS(MPS!$L$2:$L$217,MPS!$C$2:$C$217,A51,MPS!$B$2:$B$217,B51)</f>
        <v>9246</v>
      </c>
      <c r="H51" s="97">
        <f t="shared" si="2"/>
        <v>1</v>
      </c>
      <c r="I51" s="85" t="str">
        <f t="shared" si="3"/>
        <v>OK</v>
      </c>
    </row>
    <row r="52" spans="1:9" x14ac:dyDescent="0.3">
      <c r="A52" s="86">
        <v>46237</v>
      </c>
      <c r="B52" s="85" t="s">
        <v>68</v>
      </c>
      <c r="C52" s="96">
        <v>5000</v>
      </c>
      <c r="D52" s="96">
        <f>SUMIFS(MPS!$E$2:$E$217,MPS!$C$2:$C$217,A52,MPS!$B$2:$B$217,B52)</f>
        <v>1400</v>
      </c>
      <c r="E52" s="96">
        <f>SUMIFS(MPS!$J$2:$J$217,MPS!$C$2:$C$217,A52,MPS!$B$2:$B$217,B52)</f>
        <v>1400</v>
      </c>
      <c r="F52" s="96">
        <f>SUMIFS(MPS!$K$2:$K$217,MPS!$C$2:$C$217,A52,MPS!$B$2:$B$217,B52)</f>
        <v>0</v>
      </c>
      <c r="G52" s="96">
        <f>SUMIFS(MPS!$L$2:$L$217,MPS!$C$2:$C$217,A52,MPS!$B$2:$B$217,B52)</f>
        <v>0</v>
      </c>
      <c r="H52" s="97">
        <f t="shared" si="2"/>
        <v>0.28000000000000003</v>
      </c>
      <c r="I52" s="85" t="str">
        <f t="shared" si="3"/>
        <v>OK</v>
      </c>
    </row>
    <row r="53" spans="1:9" x14ac:dyDescent="0.3">
      <c r="A53" s="86">
        <v>46237</v>
      </c>
      <c r="B53" s="85" t="s">
        <v>56</v>
      </c>
      <c r="C53" s="96">
        <v>3000</v>
      </c>
      <c r="D53" s="96">
        <f>SUMIFS(MPS!$E$2:$E$217,MPS!$C$2:$C$217,A53,MPS!$B$2:$B$217,B53)</f>
        <v>1298</v>
      </c>
      <c r="E53" s="96">
        <f>SUMIFS(MPS!$J$2:$J$217,MPS!$C$2:$C$217,A53,MPS!$B$2:$B$217,B53)</f>
        <v>1298</v>
      </c>
      <c r="F53" s="96">
        <f>SUMIFS(MPS!$K$2:$K$217,MPS!$C$2:$C$217,A53,MPS!$B$2:$B$217,B53)</f>
        <v>0</v>
      </c>
      <c r="G53" s="96">
        <f>SUMIFS(MPS!$L$2:$L$217,MPS!$C$2:$C$217,A53,MPS!$B$2:$B$217,B53)</f>
        <v>0</v>
      </c>
      <c r="H53" s="97">
        <f t="shared" si="2"/>
        <v>0.43266666666666664</v>
      </c>
      <c r="I53" s="85" t="str">
        <f t="shared" si="3"/>
        <v>OK</v>
      </c>
    </row>
    <row r="54" spans="1:9" x14ac:dyDescent="0.3">
      <c r="A54" s="86">
        <v>46244</v>
      </c>
      <c r="B54" s="85" t="s">
        <v>59</v>
      </c>
      <c r="C54" s="96">
        <v>15000</v>
      </c>
      <c r="D54" s="96">
        <f>SUMIFS(MPS!$E$2:$E$217,MPS!$C$2:$C$217,A54,MPS!$B$2:$B$217,B54)</f>
        <v>6648</v>
      </c>
      <c r="E54" s="96">
        <f>SUMIFS(MPS!$J$2:$J$217,MPS!$C$2:$C$217,A54,MPS!$B$2:$B$217,B54)</f>
        <v>6648</v>
      </c>
      <c r="F54" s="96">
        <f>SUMIFS(MPS!$K$2:$K$217,MPS!$C$2:$C$217,A54,MPS!$B$2:$B$217,B54)</f>
        <v>0</v>
      </c>
      <c r="G54" s="96">
        <f>SUMIFS(MPS!$L$2:$L$217,MPS!$C$2:$C$217,A54,MPS!$B$2:$B$217,B54)</f>
        <v>0</v>
      </c>
      <c r="H54" s="97">
        <f t="shared" si="2"/>
        <v>0.44319999999999998</v>
      </c>
      <c r="I54" s="85" t="str">
        <f t="shared" si="3"/>
        <v>OK</v>
      </c>
    </row>
    <row r="55" spans="1:9" x14ac:dyDescent="0.3">
      <c r="A55" s="86">
        <v>46244</v>
      </c>
      <c r="B55" s="85" t="s">
        <v>68</v>
      </c>
      <c r="C55" s="96">
        <v>5000</v>
      </c>
      <c r="D55" s="96">
        <f>SUMIFS(MPS!$E$2:$E$217,MPS!$C$2:$C$217,A55,MPS!$B$2:$B$217,B55)</f>
        <v>1000</v>
      </c>
      <c r="E55" s="96">
        <f>SUMIFS(MPS!$J$2:$J$217,MPS!$C$2:$C$217,A55,MPS!$B$2:$B$217,B55)</f>
        <v>1000</v>
      </c>
      <c r="F55" s="96">
        <f>SUMIFS(MPS!$K$2:$K$217,MPS!$C$2:$C$217,A55,MPS!$B$2:$B$217,B55)</f>
        <v>0</v>
      </c>
      <c r="G55" s="96">
        <f>SUMIFS(MPS!$L$2:$L$217,MPS!$C$2:$C$217,A55,MPS!$B$2:$B$217,B55)</f>
        <v>0</v>
      </c>
      <c r="H55" s="97">
        <f t="shared" si="2"/>
        <v>0.2</v>
      </c>
      <c r="I55" s="85" t="str">
        <f t="shared" si="3"/>
        <v>OK</v>
      </c>
    </row>
    <row r="56" spans="1:9" x14ac:dyDescent="0.3">
      <c r="A56" s="86">
        <v>46244</v>
      </c>
      <c r="B56" s="85" t="s">
        <v>56</v>
      </c>
      <c r="C56" s="96">
        <v>3000</v>
      </c>
      <c r="D56" s="96">
        <f>SUMIFS(MPS!$E$2:$E$217,MPS!$C$2:$C$217,A56,MPS!$B$2:$B$217,B56)</f>
        <v>1600</v>
      </c>
      <c r="E56" s="96">
        <f>SUMIFS(MPS!$J$2:$J$217,MPS!$C$2:$C$217,A56,MPS!$B$2:$B$217,B56)</f>
        <v>1600</v>
      </c>
      <c r="F56" s="96">
        <f>SUMIFS(MPS!$K$2:$K$217,MPS!$C$2:$C$217,A56,MPS!$B$2:$B$217,B56)</f>
        <v>0</v>
      </c>
      <c r="G56" s="96">
        <f>SUMIFS(MPS!$L$2:$L$217,MPS!$C$2:$C$217,A56,MPS!$B$2:$B$217,B56)</f>
        <v>0</v>
      </c>
      <c r="H56" s="97">
        <f t="shared" si="2"/>
        <v>0.53333333333333333</v>
      </c>
      <c r="I56" s="85" t="str">
        <f t="shared" si="3"/>
        <v>OK</v>
      </c>
    </row>
    <row r="57" spans="1:9" x14ac:dyDescent="0.3">
      <c r="A57" s="86">
        <v>46251</v>
      </c>
      <c r="B57" s="85" t="s">
        <v>59</v>
      </c>
      <c r="C57" s="96">
        <v>15000</v>
      </c>
      <c r="D57" s="96">
        <f>SUMIFS(MPS!$E$2:$E$217,MPS!$C$2:$C$217,A57,MPS!$B$2:$B$217,B57)</f>
        <v>6648</v>
      </c>
      <c r="E57" s="96">
        <f>SUMIFS(MPS!$J$2:$J$217,MPS!$C$2:$C$217,A57,MPS!$B$2:$B$217,B57)</f>
        <v>6648</v>
      </c>
      <c r="F57" s="96">
        <f>SUMIFS(MPS!$K$2:$K$217,MPS!$C$2:$C$217,A57,MPS!$B$2:$B$217,B57)</f>
        <v>0</v>
      </c>
      <c r="G57" s="96">
        <f>SUMIFS(MPS!$L$2:$L$217,MPS!$C$2:$C$217,A57,MPS!$B$2:$B$217,B57)</f>
        <v>0</v>
      </c>
      <c r="H57" s="97">
        <f t="shared" si="2"/>
        <v>0.44319999999999998</v>
      </c>
      <c r="I57" s="85" t="str">
        <f t="shared" si="3"/>
        <v>OK</v>
      </c>
    </row>
    <row r="58" spans="1:9" x14ac:dyDescent="0.3">
      <c r="A58" s="86">
        <v>46251</v>
      </c>
      <c r="B58" s="85" t="s">
        <v>68</v>
      </c>
      <c r="C58" s="96">
        <v>5000</v>
      </c>
      <c r="D58" s="96">
        <f>SUMIFS(MPS!$E$2:$E$217,MPS!$C$2:$C$217,A58,MPS!$B$2:$B$217,B58)</f>
        <v>1000</v>
      </c>
      <c r="E58" s="96">
        <f>SUMIFS(MPS!$J$2:$J$217,MPS!$C$2:$C$217,A58,MPS!$B$2:$B$217,B58)</f>
        <v>1000</v>
      </c>
      <c r="F58" s="96">
        <f>SUMIFS(MPS!$K$2:$K$217,MPS!$C$2:$C$217,A58,MPS!$B$2:$B$217,B58)</f>
        <v>0</v>
      </c>
      <c r="G58" s="96">
        <f>SUMIFS(MPS!$L$2:$L$217,MPS!$C$2:$C$217,A58,MPS!$B$2:$B$217,B58)</f>
        <v>0</v>
      </c>
      <c r="H58" s="97">
        <f t="shared" si="2"/>
        <v>0.2</v>
      </c>
      <c r="I58" s="85" t="str">
        <f t="shared" si="3"/>
        <v>OK</v>
      </c>
    </row>
    <row r="59" spans="1:9" x14ac:dyDescent="0.3">
      <c r="A59" s="86">
        <v>46251</v>
      </c>
      <c r="B59" s="85" t="s">
        <v>56</v>
      </c>
      <c r="C59" s="96">
        <v>3000</v>
      </c>
      <c r="D59" s="96">
        <f>SUMIFS(MPS!$E$2:$E$217,MPS!$C$2:$C$217,A59,MPS!$B$2:$B$217,B59)</f>
        <v>1298</v>
      </c>
      <c r="E59" s="96">
        <f>SUMIFS(MPS!$J$2:$J$217,MPS!$C$2:$C$217,A59,MPS!$B$2:$B$217,B59)</f>
        <v>1298</v>
      </c>
      <c r="F59" s="96">
        <f>SUMIFS(MPS!$K$2:$K$217,MPS!$C$2:$C$217,A59,MPS!$B$2:$B$217,B59)</f>
        <v>0</v>
      </c>
      <c r="G59" s="96">
        <f>SUMIFS(MPS!$L$2:$L$217,MPS!$C$2:$C$217,A59,MPS!$B$2:$B$217,B59)</f>
        <v>0</v>
      </c>
      <c r="H59" s="97">
        <f t="shared" si="2"/>
        <v>0.43266666666666664</v>
      </c>
      <c r="I59" s="85" t="str">
        <f t="shared" si="3"/>
        <v>OK</v>
      </c>
    </row>
    <row r="60" spans="1:9" x14ac:dyDescent="0.3">
      <c r="A60" s="86">
        <v>46258</v>
      </c>
      <c r="B60" s="85" t="s">
        <v>59</v>
      </c>
      <c r="C60" s="96">
        <v>15000</v>
      </c>
      <c r="D60" s="96">
        <f>SUMIFS(MPS!$E$2:$E$217,MPS!$C$2:$C$217,A60,MPS!$B$2:$B$217,B60)</f>
        <v>7999</v>
      </c>
      <c r="E60" s="96">
        <f>SUMIFS(MPS!$J$2:$J$217,MPS!$C$2:$C$217,A60,MPS!$B$2:$B$217,B60)</f>
        <v>7999</v>
      </c>
      <c r="F60" s="96">
        <f>SUMIFS(MPS!$K$2:$K$217,MPS!$C$2:$C$217,A60,MPS!$B$2:$B$217,B60)</f>
        <v>0</v>
      </c>
      <c r="G60" s="96">
        <f>SUMIFS(MPS!$L$2:$L$217,MPS!$C$2:$C$217,A60,MPS!$B$2:$B$217,B60)</f>
        <v>0</v>
      </c>
      <c r="H60" s="97">
        <f t="shared" si="2"/>
        <v>0.53326666666666667</v>
      </c>
      <c r="I60" s="85" t="str">
        <f t="shared" si="3"/>
        <v>OK</v>
      </c>
    </row>
    <row r="61" spans="1:9" x14ac:dyDescent="0.3">
      <c r="A61" s="86">
        <v>46258</v>
      </c>
      <c r="B61" s="85" t="s">
        <v>68</v>
      </c>
      <c r="C61" s="96">
        <v>5000</v>
      </c>
      <c r="D61" s="96">
        <f>SUMIFS(MPS!$E$2:$E$217,MPS!$C$2:$C$217,A61,MPS!$B$2:$B$217,B61)</f>
        <v>1150</v>
      </c>
      <c r="E61" s="96">
        <f>SUMIFS(MPS!$J$2:$J$217,MPS!$C$2:$C$217,A61,MPS!$B$2:$B$217,B61)</f>
        <v>1150</v>
      </c>
      <c r="F61" s="96">
        <f>SUMIFS(MPS!$K$2:$K$217,MPS!$C$2:$C$217,A61,MPS!$B$2:$B$217,B61)</f>
        <v>0</v>
      </c>
      <c r="G61" s="96">
        <f>SUMIFS(MPS!$L$2:$L$217,MPS!$C$2:$C$217,A61,MPS!$B$2:$B$217,B61)</f>
        <v>0</v>
      </c>
      <c r="H61" s="97">
        <f t="shared" si="2"/>
        <v>0.23</v>
      </c>
      <c r="I61" s="85" t="str">
        <f t="shared" si="3"/>
        <v>OK</v>
      </c>
    </row>
    <row r="62" spans="1:9" x14ac:dyDescent="0.3">
      <c r="A62" s="86">
        <v>46258</v>
      </c>
      <c r="B62" s="85" t="s">
        <v>56</v>
      </c>
      <c r="C62" s="96">
        <v>3000</v>
      </c>
      <c r="D62" s="96">
        <f>SUMIFS(MPS!$E$2:$E$217,MPS!$C$2:$C$217,A62,MPS!$B$2:$B$217,B62)</f>
        <v>1506</v>
      </c>
      <c r="E62" s="96">
        <f>SUMIFS(MPS!$J$2:$J$217,MPS!$C$2:$C$217,A62,MPS!$B$2:$B$217,B62)</f>
        <v>1506</v>
      </c>
      <c r="F62" s="96">
        <f>SUMIFS(MPS!$K$2:$K$217,MPS!$C$2:$C$217,A62,MPS!$B$2:$B$217,B62)</f>
        <v>0</v>
      </c>
      <c r="G62" s="96">
        <f>SUMIFS(MPS!$L$2:$L$217,MPS!$C$2:$C$217,A62,MPS!$B$2:$B$217,B62)</f>
        <v>0</v>
      </c>
      <c r="H62" s="97">
        <f t="shared" si="2"/>
        <v>0.502</v>
      </c>
      <c r="I62" s="85" t="str">
        <f t="shared" si="3"/>
        <v>OK</v>
      </c>
    </row>
    <row r="63" spans="1:9" x14ac:dyDescent="0.3">
      <c r="A63" s="86">
        <v>46265</v>
      </c>
      <c r="B63" s="85" t="s">
        <v>59</v>
      </c>
      <c r="C63" s="96">
        <v>15000</v>
      </c>
      <c r="D63" s="96">
        <f>SUMIFS(MPS!$E$2:$E$217,MPS!$C$2:$C$217,A63,MPS!$B$2:$B$217,B63)</f>
        <v>7998</v>
      </c>
      <c r="E63" s="96">
        <f>SUMIFS(MPS!$J$2:$J$217,MPS!$C$2:$C$217,A63,MPS!$B$2:$B$217,B63)</f>
        <v>7998</v>
      </c>
      <c r="F63" s="96">
        <f>SUMIFS(MPS!$K$2:$K$217,MPS!$C$2:$C$217,A63,MPS!$B$2:$B$217,B63)</f>
        <v>0</v>
      </c>
      <c r="G63" s="96">
        <f>SUMIFS(MPS!$L$2:$L$217,MPS!$C$2:$C$217,A63,MPS!$B$2:$B$217,B63)</f>
        <v>0</v>
      </c>
      <c r="H63" s="97">
        <f t="shared" si="2"/>
        <v>0.53320000000000001</v>
      </c>
      <c r="I63" s="85" t="str">
        <f t="shared" si="3"/>
        <v>OK</v>
      </c>
    </row>
    <row r="64" spans="1:9" x14ac:dyDescent="0.3">
      <c r="A64" s="86">
        <v>46265</v>
      </c>
      <c r="B64" s="85" t="s">
        <v>68</v>
      </c>
      <c r="C64" s="96">
        <v>5000</v>
      </c>
      <c r="D64" s="96">
        <f>SUMIFS(MPS!$E$2:$E$217,MPS!$C$2:$C$217,A64,MPS!$B$2:$B$217,B64)</f>
        <v>750</v>
      </c>
      <c r="E64" s="96">
        <f>SUMIFS(MPS!$J$2:$J$217,MPS!$C$2:$C$217,A64,MPS!$B$2:$B$217,B64)</f>
        <v>750</v>
      </c>
      <c r="F64" s="96">
        <f>SUMIFS(MPS!$K$2:$K$217,MPS!$C$2:$C$217,A64,MPS!$B$2:$B$217,B64)</f>
        <v>0</v>
      </c>
      <c r="G64" s="96">
        <f>SUMIFS(MPS!$L$2:$L$217,MPS!$C$2:$C$217,A64,MPS!$B$2:$B$217,B64)</f>
        <v>0</v>
      </c>
      <c r="H64" s="97">
        <f t="shared" si="2"/>
        <v>0.15</v>
      </c>
      <c r="I64" s="85" t="str">
        <f t="shared" si="3"/>
        <v>OK</v>
      </c>
    </row>
    <row r="65" spans="1:9" x14ac:dyDescent="0.3">
      <c r="A65" s="86">
        <v>46265</v>
      </c>
      <c r="B65" s="85" t="s">
        <v>56</v>
      </c>
      <c r="C65" s="96">
        <v>3000</v>
      </c>
      <c r="D65" s="96">
        <f>SUMIFS(MPS!$E$2:$E$217,MPS!$C$2:$C$217,A65,MPS!$B$2:$B$217,B65)</f>
        <v>1806</v>
      </c>
      <c r="E65" s="96">
        <f>SUMIFS(MPS!$J$2:$J$217,MPS!$C$2:$C$217,A65,MPS!$B$2:$B$217,B65)</f>
        <v>1806</v>
      </c>
      <c r="F65" s="96">
        <f>SUMIFS(MPS!$K$2:$K$217,MPS!$C$2:$C$217,A65,MPS!$B$2:$B$217,B65)</f>
        <v>0</v>
      </c>
      <c r="G65" s="96">
        <f>SUMIFS(MPS!$L$2:$L$217,MPS!$C$2:$C$217,A65,MPS!$B$2:$B$217,B65)</f>
        <v>0</v>
      </c>
      <c r="H65" s="97">
        <f t="shared" si="2"/>
        <v>0.60199999999999998</v>
      </c>
      <c r="I65" s="85" t="str">
        <f t="shared" si="3"/>
        <v>OK</v>
      </c>
    </row>
    <row r="66" spans="1:9" x14ac:dyDescent="0.3">
      <c r="A66" s="86">
        <v>46272</v>
      </c>
      <c r="B66" s="85" t="s">
        <v>59</v>
      </c>
      <c r="C66" s="96">
        <v>15000</v>
      </c>
      <c r="D66" s="96">
        <f>SUMIFS(MPS!$E$2:$E$217,MPS!$C$2:$C$217,A66,MPS!$B$2:$B$217,B66)</f>
        <v>6141</v>
      </c>
      <c r="E66" s="96">
        <f>SUMIFS(MPS!$J$2:$J$217,MPS!$C$2:$C$217,A66,MPS!$B$2:$B$217,B66)</f>
        <v>6141</v>
      </c>
      <c r="F66" s="96">
        <f>SUMIFS(MPS!$K$2:$K$217,MPS!$C$2:$C$217,A66,MPS!$B$2:$B$217,B66)</f>
        <v>0</v>
      </c>
      <c r="G66" s="96">
        <f>SUMIFS(MPS!$L$2:$L$217,MPS!$C$2:$C$217,A66,MPS!$B$2:$B$217,B66)</f>
        <v>0</v>
      </c>
      <c r="H66" s="97">
        <f t="shared" si="2"/>
        <v>0.40939999999999999</v>
      </c>
      <c r="I66" s="85" t="str">
        <f t="shared" si="3"/>
        <v>OK</v>
      </c>
    </row>
    <row r="67" spans="1:9" x14ac:dyDescent="0.3">
      <c r="A67" s="86">
        <v>46272</v>
      </c>
      <c r="B67" s="85" t="s">
        <v>68</v>
      </c>
      <c r="C67" s="96">
        <v>5000</v>
      </c>
      <c r="D67" s="96">
        <f>SUMIFS(MPS!$E$2:$E$217,MPS!$C$2:$C$217,A67,MPS!$B$2:$B$217,B67)</f>
        <v>1150</v>
      </c>
      <c r="E67" s="96">
        <f>SUMIFS(MPS!$J$2:$J$217,MPS!$C$2:$C$217,A67,MPS!$B$2:$B$217,B67)</f>
        <v>1150</v>
      </c>
      <c r="F67" s="96">
        <f>SUMIFS(MPS!$K$2:$K$217,MPS!$C$2:$C$217,A67,MPS!$B$2:$B$217,B67)</f>
        <v>0</v>
      </c>
      <c r="G67" s="96">
        <f>SUMIFS(MPS!$L$2:$L$217,MPS!$C$2:$C$217,A67,MPS!$B$2:$B$217,B67)</f>
        <v>0</v>
      </c>
      <c r="H67" s="97">
        <f t="shared" ref="H67:H98" si="4">IFERROR(E67/C67,0)</f>
        <v>0.23</v>
      </c>
      <c r="I67" s="85" t="str">
        <f t="shared" ref="I67:I98" si="5">IF(E67&gt;C67,"Over shared cap","OK")</f>
        <v>OK</v>
      </c>
    </row>
    <row r="68" spans="1:9" x14ac:dyDescent="0.3">
      <c r="A68" s="86">
        <v>46272</v>
      </c>
      <c r="B68" s="85" t="s">
        <v>56</v>
      </c>
      <c r="C68" s="96">
        <v>3000</v>
      </c>
      <c r="D68" s="96">
        <f>SUMIFS(MPS!$E$2:$E$217,MPS!$C$2:$C$217,A68,MPS!$B$2:$B$217,B68)</f>
        <v>1506</v>
      </c>
      <c r="E68" s="96">
        <f>SUMIFS(MPS!$J$2:$J$217,MPS!$C$2:$C$217,A68,MPS!$B$2:$B$217,B68)</f>
        <v>1506</v>
      </c>
      <c r="F68" s="96">
        <f>SUMIFS(MPS!$K$2:$K$217,MPS!$C$2:$C$217,A68,MPS!$B$2:$B$217,B68)</f>
        <v>0</v>
      </c>
      <c r="G68" s="96">
        <f>SUMIFS(MPS!$L$2:$L$217,MPS!$C$2:$C$217,A68,MPS!$B$2:$B$217,B68)</f>
        <v>0</v>
      </c>
      <c r="H68" s="97">
        <f t="shared" si="4"/>
        <v>0.502</v>
      </c>
      <c r="I68" s="85" t="str">
        <f t="shared" si="5"/>
        <v>OK</v>
      </c>
    </row>
    <row r="69" spans="1:9" x14ac:dyDescent="0.3">
      <c r="A69" s="86">
        <v>46279</v>
      </c>
      <c r="B69" s="85" t="s">
        <v>59</v>
      </c>
      <c r="C69" s="96">
        <v>15000</v>
      </c>
      <c r="D69" s="96">
        <f>SUMIFS(MPS!$E$2:$E$217,MPS!$C$2:$C$217,A69,MPS!$B$2:$B$217,B69)</f>
        <v>6142</v>
      </c>
      <c r="E69" s="96">
        <f>SUMIFS(MPS!$J$2:$J$217,MPS!$C$2:$C$217,A69,MPS!$B$2:$B$217,B69)</f>
        <v>6242</v>
      </c>
      <c r="F69" s="96">
        <f>SUMIFS(MPS!$K$2:$K$217,MPS!$C$2:$C$217,A69,MPS!$B$2:$B$217,B69)</f>
        <v>100</v>
      </c>
      <c r="G69" s="96">
        <f>SUMIFS(MPS!$L$2:$L$217,MPS!$C$2:$C$217,A69,MPS!$B$2:$B$217,B69)</f>
        <v>0</v>
      </c>
      <c r="H69" s="97">
        <f t="shared" si="4"/>
        <v>0.41613333333333336</v>
      </c>
      <c r="I69" s="85" t="str">
        <f t="shared" si="5"/>
        <v>OK</v>
      </c>
    </row>
    <row r="70" spans="1:9" x14ac:dyDescent="0.3">
      <c r="A70" s="86">
        <v>46279</v>
      </c>
      <c r="B70" s="85" t="s">
        <v>68</v>
      </c>
      <c r="C70" s="96">
        <v>5000</v>
      </c>
      <c r="D70" s="96">
        <f>SUMIFS(MPS!$E$2:$E$217,MPS!$C$2:$C$217,A70,MPS!$B$2:$B$217,B70)</f>
        <v>750</v>
      </c>
      <c r="E70" s="96">
        <f>SUMIFS(MPS!$J$2:$J$217,MPS!$C$2:$C$217,A70,MPS!$B$2:$B$217,B70)</f>
        <v>750</v>
      </c>
      <c r="F70" s="96">
        <f>SUMIFS(MPS!$K$2:$K$217,MPS!$C$2:$C$217,A70,MPS!$B$2:$B$217,B70)</f>
        <v>0</v>
      </c>
      <c r="G70" s="96">
        <f>SUMIFS(MPS!$L$2:$L$217,MPS!$C$2:$C$217,A70,MPS!$B$2:$B$217,B70)</f>
        <v>0</v>
      </c>
      <c r="H70" s="97">
        <f t="shared" si="4"/>
        <v>0.15</v>
      </c>
      <c r="I70" s="85" t="str">
        <f t="shared" si="5"/>
        <v>OK</v>
      </c>
    </row>
    <row r="71" spans="1:9" x14ac:dyDescent="0.3">
      <c r="A71" s="86">
        <v>46279</v>
      </c>
      <c r="B71" s="85" t="s">
        <v>56</v>
      </c>
      <c r="C71" s="96">
        <v>3000</v>
      </c>
      <c r="D71" s="96">
        <f>SUMIFS(MPS!$E$2:$E$217,MPS!$C$2:$C$217,A71,MPS!$B$2:$B$217,B71)</f>
        <v>1506</v>
      </c>
      <c r="E71" s="96">
        <f>SUMIFS(MPS!$J$2:$J$217,MPS!$C$2:$C$217,A71,MPS!$B$2:$B$217,B71)</f>
        <v>1506</v>
      </c>
      <c r="F71" s="96">
        <f>SUMIFS(MPS!$K$2:$K$217,MPS!$C$2:$C$217,A71,MPS!$B$2:$B$217,B71)</f>
        <v>0</v>
      </c>
      <c r="G71" s="96">
        <f>SUMIFS(MPS!$L$2:$L$217,MPS!$C$2:$C$217,A71,MPS!$B$2:$B$217,B71)</f>
        <v>0</v>
      </c>
      <c r="H71" s="97">
        <f t="shared" si="4"/>
        <v>0.502</v>
      </c>
      <c r="I71" s="85" t="str">
        <f t="shared" si="5"/>
        <v>OK</v>
      </c>
    </row>
    <row r="72" spans="1:9" x14ac:dyDescent="0.3">
      <c r="A72" s="86">
        <v>46286</v>
      </c>
      <c r="B72" s="85" t="s">
        <v>59</v>
      </c>
      <c r="C72" s="96">
        <v>15000</v>
      </c>
      <c r="D72" s="96">
        <f>SUMIFS(MPS!$E$2:$E$217,MPS!$C$2:$C$217,A72,MPS!$B$2:$B$217,B72)</f>
        <v>5391</v>
      </c>
      <c r="E72" s="96">
        <f>SUMIFS(MPS!$J$2:$J$217,MPS!$C$2:$C$217,A72,MPS!$B$2:$B$217,B72)</f>
        <v>15000</v>
      </c>
      <c r="F72" s="96">
        <f>SUMIFS(MPS!$K$2:$K$217,MPS!$C$2:$C$217,A72,MPS!$B$2:$B$217,B72)</f>
        <v>9709</v>
      </c>
      <c r="G72" s="96">
        <f>SUMIFS(MPS!$L$2:$L$217,MPS!$C$2:$C$217,A72,MPS!$B$2:$B$217,B72)</f>
        <v>0</v>
      </c>
      <c r="H72" s="97">
        <f t="shared" si="4"/>
        <v>1</v>
      </c>
      <c r="I72" s="85" t="str">
        <f t="shared" si="5"/>
        <v>OK</v>
      </c>
    </row>
    <row r="73" spans="1:9" x14ac:dyDescent="0.3">
      <c r="A73" s="86">
        <v>46286</v>
      </c>
      <c r="B73" s="85" t="s">
        <v>68</v>
      </c>
      <c r="C73" s="96">
        <v>5000</v>
      </c>
      <c r="D73" s="96">
        <f>SUMIFS(MPS!$E$2:$E$217,MPS!$C$2:$C$217,A73,MPS!$B$2:$B$217,B73)</f>
        <v>960</v>
      </c>
      <c r="E73" s="96">
        <f>SUMIFS(MPS!$J$2:$J$217,MPS!$C$2:$C$217,A73,MPS!$B$2:$B$217,B73)</f>
        <v>960</v>
      </c>
      <c r="F73" s="96">
        <f>SUMIFS(MPS!$K$2:$K$217,MPS!$C$2:$C$217,A73,MPS!$B$2:$B$217,B73)</f>
        <v>0</v>
      </c>
      <c r="G73" s="96">
        <f>SUMIFS(MPS!$L$2:$L$217,MPS!$C$2:$C$217,A73,MPS!$B$2:$B$217,B73)</f>
        <v>0</v>
      </c>
      <c r="H73" s="97">
        <f t="shared" si="4"/>
        <v>0.192</v>
      </c>
      <c r="I73" s="85" t="str">
        <f t="shared" si="5"/>
        <v>OK</v>
      </c>
    </row>
    <row r="74" spans="1:9" x14ac:dyDescent="0.3">
      <c r="A74" s="86">
        <v>46286</v>
      </c>
      <c r="B74" s="85" t="s">
        <v>56</v>
      </c>
      <c r="C74" s="96">
        <v>3000</v>
      </c>
      <c r="D74" s="96">
        <f>SUMIFS(MPS!$E$2:$E$217,MPS!$C$2:$C$217,A74,MPS!$B$2:$B$217,B74)</f>
        <v>1446</v>
      </c>
      <c r="E74" s="96">
        <f>SUMIFS(MPS!$J$2:$J$217,MPS!$C$2:$C$217,A74,MPS!$B$2:$B$217,B74)</f>
        <v>1446</v>
      </c>
      <c r="F74" s="96">
        <f>SUMIFS(MPS!$K$2:$K$217,MPS!$C$2:$C$217,A74,MPS!$B$2:$B$217,B74)</f>
        <v>0</v>
      </c>
      <c r="G74" s="96">
        <f>SUMIFS(MPS!$L$2:$L$217,MPS!$C$2:$C$217,A74,MPS!$B$2:$B$217,B74)</f>
        <v>0</v>
      </c>
      <c r="H74" s="97">
        <f t="shared" si="4"/>
        <v>0.48199999999999998</v>
      </c>
      <c r="I74" s="85" t="str">
        <f t="shared" si="5"/>
        <v>OK</v>
      </c>
    </row>
    <row r="75" spans="1:9" x14ac:dyDescent="0.3">
      <c r="A75" s="86">
        <v>46293</v>
      </c>
      <c r="B75" s="85" t="s">
        <v>59</v>
      </c>
      <c r="C75" s="96">
        <v>15000</v>
      </c>
      <c r="D75" s="96">
        <f>SUMIFS(MPS!$E$2:$E$217,MPS!$C$2:$C$217,A75,MPS!$B$2:$B$217,B75)</f>
        <v>5392</v>
      </c>
      <c r="E75" s="96">
        <f>SUMIFS(MPS!$J$2:$J$217,MPS!$C$2:$C$217,A75,MPS!$B$2:$B$217,B75)</f>
        <v>14750</v>
      </c>
      <c r="F75" s="96">
        <f>SUMIFS(MPS!$K$2:$K$217,MPS!$C$2:$C$217,A75,MPS!$B$2:$B$217,B75)</f>
        <v>19067</v>
      </c>
      <c r="G75" s="96">
        <f>SUMIFS(MPS!$L$2:$L$217,MPS!$C$2:$C$217,A75,MPS!$B$2:$B$217,B75)</f>
        <v>0</v>
      </c>
      <c r="H75" s="97">
        <f t="shared" si="4"/>
        <v>0.98333333333333328</v>
      </c>
      <c r="I75" s="85" t="str">
        <f t="shared" si="5"/>
        <v>OK</v>
      </c>
    </row>
    <row r="76" spans="1:9" x14ac:dyDescent="0.3">
      <c r="A76" s="86">
        <v>46293</v>
      </c>
      <c r="B76" s="85" t="s">
        <v>68</v>
      </c>
      <c r="C76" s="96">
        <v>5000</v>
      </c>
      <c r="D76" s="96">
        <f>SUMIFS(MPS!$E$2:$E$217,MPS!$C$2:$C$217,A76,MPS!$B$2:$B$217,B76)</f>
        <v>960</v>
      </c>
      <c r="E76" s="96">
        <f>SUMIFS(MPS!$J$2:$J$217,MPS!$C$2:$C$217,A76,MPS!$B$2:$B$217,B76)</f>
        <v>960</v>
      </c>
      <c r="F76" s="96">
        <f>SUMIFS(MPS!$K$2:$K$217,MPS!$C$2:$C$217,A76,MPS!$B$2:$B$217,B76)</f>
        <v>0</v>
      </c>
      <c r="G76" s="96">
        <f>SUMIFS(MPS!$L$2:$L$217,MPS!$C$2:$C$217,A76,MPS!$B$2:$B$217,B76)</f>
        <v>0</v>
      </c>
      <c r="H76" s="97">
        <f t="shared" si="4"/>
        <v>0.192</v>
      </c>
      <c r="I76" s="85" t="str">
        <f t="shared" si="5"/>
        <v>OK</v>
      </c>
    </row>
    <row r="77" spans="1:9" x14ac:dyDescent="0.3">
      <c r="A77" s="86">
        <v>46293</v>
      </c>
      <c r="B77" s="85" t="s">
        <v>56</v>
      </c>
      <c r="C77" s="96">
        <v>3000</v>
      </c>
      <c r="D77" s="96">
        <f>SUMIFS(MPS!$E$2:$E$217,MPS!$C$2:$C$217,A77,MPS!$B$2:$B$217,B77)</f>
        <v>300</v>
      </c>
      <c r="E77" s="96">
        <f>SUMIFS(MPS!$J$2:$J$217,MPS!$C$2:$C$217,A77,MPS!$B$2:$B$217,B77)</f>
        <v>300</v>
      </c>
      <c r="F77" s="96">
        <f>SUMIFS(MPS!$K$2:$K$217,MPS!$C$2:$C$217,A77,MPS!$B$2:$B$217,B77)</f>
        <v>0</v>
      </c>
      <c r="G77" s="96">
        <f>SUMIFS(MPS!$L$2:$L$217,MPS!$C$2:$C$217,A77,MPS!$B$2:$B$217,B77)</f>
        <v>0</v>
      </c>
      <c r="H77" s="97">
        <f t="shared" si="4"/>
        <v>0.1</v>
      </c>
      <c r="I77" s="85" t="str">
        <f t="shared" si="5"/>
        <v>OK</v>
      </c>
    </row>
    <row r="78" spans="1:9" x14ac:dyDescent="0.3">
      <c r="A78" s="86">
        <v>46300</v>
      </c>
      <c r="B78" s="85" t="s">
        <v>59</v>
      </c>
      <c r="C78" s="96">
        <v>15000</v>
      </c>
      <c r="D78" s="96">
        <f>SUMIFS(MPS!$E$2:$E$217,MPS!$C$2:$C$217,A78,MPS!$B$2:$B$217,B78)</f>
        <v>19017</v>
      </c>
      <c r="E78" s="96">
        <f>SUMIFS(MPS!$J$2:$J$217,MPS!$C$2:$C$217,A78,MPS!$B$2:$B$217,B78)</f>
        <v>15000</v>
      </c>
      <c r="F78" s="96">
        <f>SUMIFS(MPS!$K$2:$K$217,MPS!$C$2:$C$217,A78,MPS!$B$2:$B$217,B78)</f>
        <v>15050</v>
      </c>
      <c r="G78" s="96">
        <f>SUMIFS(MPS!$L$2:$L$217,MPS!$C$2:$C$217,A78,MPS!$B$2:$B$217,B78)</f>
        <v>0</v>
      </c>
      <c r="H78" s="97">
        <f t="shared" si="4"/>
        <v>1</v>
      </c>
      <c r="I78" s="85" t="str">
        <f t="shared" si="5"/>
        <v>OK</v>
      </c>
    </row>
    <row r="79" spans="1:9" x14ac:dyDescent="0.3">
      <c r="A79" s="86">
        <v>46300</v>
      </c>
      <c r="B79" s="85" t="s">
        <v>68</v>
      </c>
      <c r="C79" s="96">
        <v>5000</v>
      </c>
      <c r="D79" s="96">
        <f>SUMIFS(MPS!$E$2:$E$217,MPS!$C$2:$C$217,A79,MPS!$B$2:$B$217,B79)</f>
        <v>960</v>
      </c>
      <c r="E79" s="96">
        <f>SUMIFS(MPS!$J$2:$J$217,MPS!$C$2:$C$217,A79,MPS!$B$2:$B$217,B79)</f>
        <v>960</v>
      </c>
      <c r="F79" s="96">
        <f>SUMIFS(MPS!$K$2:$K$217,MPS!$C$2:$C$217,A79,MPS!$B$2:$B$217,B79)</f>
        <v>0</v>
      </c>
      <c r="G79" s="96">
        <f>SUMIFS(MPS!$L$2:$L$217,MPS!$C$2:$C$217,A79,MPS!$B$2:$B$217,B79)</f>
        <v>0</v>
      </c>
      <c r="H79" s="97">
        <f t="shared" si="4"/>
        <v>0.192</v>
      </c>
      <c r="I79" s="85" t="str">
        <f t="shared" si="5"/>
        <v>OK</v>
      </c>
    </row>
    <row r="80" spans="1:9" x14ac:dyDescent="0.3">
      <c r="A80" s="86">
        <v>46300</v>
      </c>
      <c r="B80" s="85" t="s">
        <v>56</v>
      </c>
      <c r="C80" s="96">
        <v>3000</v>
      </c>
      <c r="D80" s="96">
        <f>SUMIFS(MPS!$E$2:$E$217,MPS!$C$2:$C$217,A80,MPS!$B$2:$B$217,B80)</f>
        <v>0</v>
      </c>
      <c r="E80" s="96">
        <f>SUMIFS(MPS!$J$2:$J$217,MPS!$C$2:$C$217,A80,MPS!$B$2:$B$217,B80)</f>
        <v>0</v>
      </c>
      <c r="F80" s="96">
        <f>SUMIFS(MPS!$K$2:$K$217,MPS!$C$2:$C$217,A80,MPS!$B$2:$B$217,B80)</f>
        <v>0</v>
      </c>
      <c r="G80" s="96">
        <f>SUMIFS(MPS!$L$2:$L$217,MPS!$C$2:$C$217,A80,MPS!$B$2:$B$217,B80)</f>
        <v>0</v>
      </c>
      <c r="H80" s="97">
        <f t="shared" si="4"/>
        <v>0</v>
      </c>
      <c r="I80" s="85" t="str">
        <f t="shared" si="5"/>
        <v>OK</v>
      </c>
    </row>
    <row r="81" spans="1:9" x14ac:dyDescent="0.3">
      <c r="A81" s="86">
        <v>46307</v>
      </c>
      <c r="B81" s="85" t="s">
        <v>59</v>
      </c>
      <c r="C81" s="96">
        <v>15000</v>
      </c>
      <c r="D81" s="96">
        <f>SUMIFS(MPS!$E$2:$E$217,MPS!$C$2:$C$217,A81,MPS!$B$2:$B$217,B81)</f>
        <v>19017</v>
      </c>
      <c r="E81" s="96">
        <f>SUMIFS(MPS!$J$2:$J$217,MPS!$C$2:$C$217,A81,MPS!$B$2:$B$217,B81)</f>
        <v>15000</v>
      </c>
      <c r="F81" s="96">
        <f>SUMIFS(MPS!$K$2:$K$217,MPS!$C$2:$C$217,A81,MPS!$B$2:$B$217,B81)</f>
        <v>11033</v>
      </c>
      <c r="G81" s="96">
        <f>SUMIFS(MPS!$L$2:$L$217,MPS!$C$2:$C$217,A81,MPS!$B$2:$B$217,B81)</f>
        <v>0</v>
      </c>
      <c r="H81" s="97">
        <f t="shared" si="4"/>
        <v>1</v>
      </c>
      <c r="I81" s="85" t="str">
        <f t="shared" si="5"/>
        <v>OK</v>
      </c>
    </row>
    <row r="82" spans="1:9" x14ac:dyDescent="0.3">
      <c r="A82" s="86">
        <v>46307</v>
      </c>
      <c r="B82" s="85" t="s">
        <v>68</v>
      </c>
      <c r="C82" s="96">
        <v>5000</v>
      </c>
      <c r="D82" s="96">
        <f>SUMIFS(MPS!$E$2:$E$217,MPS!$C$2:$C$217,A82,MPS!$B$2:$B$217,B82)</f>
        <v>960</v>
      </c>
      <c r="E82" s="96">
        <f>SUMIFS(MPS!$J$2:$J$217,MPS!$C$2:$C$217,A82,MPS!$B$2:$B$217,B82)</f>
        <v>960</v>
      </c>
      <c r="F82" s="96">
        <f>SUMIFS(MPS!$K$2:$K$217,MPS!$C$2:$C$217,A82,MPS!$B$2:$B$217,B82)</f>
        <v>0</v>
      </c>
      <c r="G82" s="96">
        <f>SUMIFS(MPS!$L$2:$L$217,MPS!$C$2:$C$217,A82,MPS!$B$2:$B$217,B82)</f>
        <v>0</v>
      </c>
      <c r="H82" s="97">
        <f t="shared" si="4"/>
        <v>0.192</v>
      </c>
      <c r="I82" s="85" t="str">
        <f t="shared" si="5"/>
        <v>OK</v>
      </c>
    </row>
    <row r="83" spans="1:9" x14ac:dyDescent="0.3">
      <c r="A83" s="86">
        <v>46307</v>
      </c>
      <c r="B83" s="85" t="s">
        <v>56</v>
      </c>
      <c r="C83" s="96">
        <v>3000</v>
      </c>
      <c r="D83" s="96">
        <f>SUMIFS(MPS!$E$2:$E$217,MPS!$C$2:$C$217,A83,MPS!$B$2:$B$217,B83)</f>
        <v>1448</v>
      </c>
      <c r="E83" s="96">
        <f>SUMIFS(MPS!$J$2:$J$217,MPS!$C$2:$C$217,A83,MPS!$B$2:$B$217,B83)</f>
        <v>1448</v>
      </c>
      <c r="F83" s="96">
        <f>SUMIFS(MPS!$K$2:$K$217,MPS!$C$2:$C$217,A83,MPS!$B$2:$B$217,B83)</f>
        <v>0</v>
      </c>
      <c r="G83" s="96">
        <f>SUMIFS(MPS!$L$2:$L$217,MPS!$C$2:$C$217,A83,MPS!$B$2:$B$217,B83)</f>
        <v>0</v>
      </c>
      <c r="H83" s="97">
        <f t="shared" si="4"/>
        <v>0.48266666666666669</v>
      </c>
      <c r="I83" s="85" t="str">
        <f t="shared" si="5"/>
        <v>OK</v>
      </c>
    </row>
    <row r="84" spans="1:9" x14ac:dyDescent="0.3">
      <c r="A84" s="86">
        <v>46314</v>
      </c>
      <c r="B84" s="85" t="s">
        <v>59</v>
      </c>
      <c r="C84" s="96">
        <v>15000</v>
      </c>
      <c r="D84" s="96">
        <f>SUMIFS(MPS!$E$2:$E$217,MPS!$C$2:$C$217,A84,MPS!$B$2:$B$217,B84)</f>
        <v>19016</v>
      </c>
      <c r="E84" s="96">
        <f>SUMIFS(MPS!$J$2:$J$217,MPS!$C$2:$C$217,A84,MPS!$B$2:$B$217,B84)</f>
        <v>15000</v>
      </c>
      <c r="F84" s="96">
        <f>SUMIFS(MPS!$K$2:$K$217,MPS!$C$2:$C$217,A84,MPS!$B$2:$B$217,B84)</f>
        <v>7017</v>
      </c>
      <c r="G84" s="96">
        <f>SUMIFS(MPS!$L$2:$L$217,MPS!$C$2:$C$217,A84,MPS!$B$2:$B$217,B84)</f>
        <v>0</v>
      </c>
      <c r="H84" s="97">
        <f t="shared" si="4"/>
        <v>1</v>
      </c>
      <c r="I84" s="85" t="str">
        <f t="shared" si="5"/>
        <v>OK</v>
      </c>
    </row>
    <row r="85" spans="1:9" x14ac:dyDescent="0.3">
      <c r="A85" s="86">
        <v>46314</v>
      </c>
      <c r="B85" s="85" t="s">
        <v>68</v>
      </c>
      <c r="C85" s="96">
        <v>5000</v>
      </c>
      <c r="D85" s="96">
        <f>SUMIFS(MPS!$E$2:$E$217,MPS!$C$2:$C$217,A85,MPS!$B$2:$B$217,B85)</f>
        <v>960</v>
      </c>
      <c r="E85" s="96">
        <f>SUMIFS(MPS!$J$2:$J$217,MPS!$C$2:$C$217,A85,MPS!$B$2:$B$217,B85)</f>
        <v>960</v>
      </c>
      <c r="F85" s="96">
        <f>SUMIFS(MPS!$K$2:$K$217,MPS!$C$2:$C$217,A85,MPS!$B$2:$B$217,B85)</f>
        <v>0</v>
      </c>
      <c r="G85" s="96">
        <f>SUMIFS(MPS!$L$2:$L$217,MPS!$C$2:$C$217,A85,MPS!$B$2:$B$217,B85)</f>
        <v>0</v>
      </c>
      <c r="H85" s="97">
        <f t="shared" si="4"/>
        <v>0.192</v>
      </c>
      <c r="I85" s="85" t="str">
        <f t="shared" si="5"/>
        <v>OK</v>
      </c>
    </row>
    <row r="86" spans="1:9" x14ac:dyDescent="0.3">
      <c r="A86" s="86">
        <v>46314</v>
      </c>
      <c r="B86" s="85" t="s">
        <v>56</v>
      </c>
      <c r="C86" s="96">
        <v>3000</v>
      </c>
      <c r="D86" s="96">
        <f>SUMIFS(MPS!$E$2:$E$217,MPS!$C$2:$C$217,A86,MPS!$B$2:$B$217,B86)</f>
        <v>1448</v>
      </c>
      <c r="E86" s="96">
        <f>SUMIFS(MPS!$J$2:$J$217,MPS!$C$2:$C$217,A86,MPS!$B$2:$B$217,B86)</f>
        <v>1448</v>
      </c>
      <c r="F86" s="96">
        <f>SUMIFS(MPS!$K$2:$K$217,MPS!$C$2:$C$217,A86,MPS!$B$2:$B$217,B86)</f>
        <v>0</v>
      </c>
      <c r="G86" s="96">
        <f>SUMIFS(MPS!$L$2:$L$217,MPS!$C$2:$C$217,A86,MPS!$B$2:$B$217,B86)</f>
        <v>0</v>
      </c>
      <c r="H86" s="97">
        <f t="shared" si="4"/>
        <v>0.48266666666666669</v>
      </c>
      <c r="I86" s="85" t="str">
        <f t="shared" si="5"/>
        <v>OK</v>
      </c>
    </row>
    <row r="87" spans="1:9" x14ac:dyDescent="0.3">
      <c r="A87" s="86">
        <v>46321</v>
      </c>
      <c r="B87" s="85" t="s">
        <v>59</v>
      </c>
      <c r="C87" s="96">
        <v>15000</v>
      </c>
      <c r="D87" s="96">
        <f>SUMIFS(MPS!$E$2:$E$217,MPS!$C$2:$C$217,A87,MPS!$B$2:$B$217,B87)</f>
        <v>22267</v>
      </c>
      <c r="E87" s="96">
        <f>SUMIFS(MPS!$J$2:$J$217,MPS!$C$2:$C$217,A87,MPS!$B$2:$B$217,B87)</f>
        <v>15000</v>
      </c>
      <c r="F87" s="96">
        <f>SUMIFS(MPS!$K$2:$K$217,MPS!$C$2:$C$217,A87,MPS!$B$2:$B$217,B87)</f>
        <v>0</v>
      </c>
      <c r="G87" s="96">
        <f>SUMIFS(MPS!$L$2:$L$217,MPS!$C$2:$C$217,A87,MPS!$B$2:$B$217,B87)</f>
        <v>250</v>
      </c>
      <c r="H87" s="97">
        <f t="shared" si="4"/>
        <v>1</v>
      </c>
      <c r="I87" s="85" t="str">
        <f t="shared" si="5"/>
        <v>OK</v>
      </c>
    </row>
    <row r="88" spans="1:9" x14ac:dyDescent="0.3">
      <c r="A88" s="86">
        <v>46321</v>
      </c>
      <c r="B88" s="85" t="s">
        <v>68</v>
      </c>
      <c r="C88" s="96">
        <v>5000</v>
      </c>
      <c r="D88" s="96">
        <f>SUMIFS(MPS!$E$2:$E$217,MPS!$C$2:$C$217,A88,MPS!$B$2:$B$217,B88)</f>
        <v>1500</v>
      </c>
      <c r="E88" s="96">
        <f>SUMIFS(MPS!$J$2:$J$217,MPS!$C$2:$C$217,A88,MPS!$B$2:$B$217,B88)</f>
        <v>1500</v>
      </c>
      <c r="F88" s="96">
        <f>SUMIFS(MPS!$K$2:$K$217,MPS!$C$2:$C$217,A88,MPS!$B$2:$B$217,B88)</f>
        <v>0</v>
      </c>
      <c r="G88" s="96">
        <f>SUMIFS(MPS!$L$2:$L$217,MPS!$C$2:$C$217,A88,MPS!$B$2:$B$217,B88)</f>
        <v>0</v>
      </c>
      <c r="H88" s="97">
        <f t="shared" si="4"/>
        <v>0.3</v>
      </c>
      <c r="I88" s="85" t="str">
        <f t="shared" si="5"/>
        <v>OK</v>
      </c>
    </row>
    <row r="89" spans="1:9" x14ac:dyDescent="0.3">
      <c r="A89" s="86">
        <v>46321</v>
      </c>
      <c r="B89" s="85" t="s">
        <v>56</v>
      </c>
      <c r="C89" s="96">
        <v>3000</v>
      </c>
      <c r="D89" s="96">
        <f>SUMIFS(MPS!$E$2:$E$217,MPS!$C$2:$C$217,A89,MPS!$B$2:$B$217,B89)</f>
        <v>1448</v>
      </c>
      <c r="E89" s="96">
        <f>SUMIFS(MPS!$J$2:$J$217,MPS!$C$2:$C$217,A89,MPS!$B$2:$B$217,B89)</f>
        <v>1448</v>
      </c>
      <c r="F89" s="96">
        <f>SUMIFS(MPS!$K$2:$K$217,MPS!$C$2:$C$217,A89,MPS!$B$2:$B$217,B89)</f>
        <v>0</v>
      </c>
      <c r="G89" s="96">
        <f>SUMIFS(MPS!$L$2:$L$217,MPS!$C$2:$C$217,A89,MPS!$B$2:$B$217,B89)</f>
        <v>0</v>
      </c>
      <c r="H89" s="97">
        <f t="shared" si="4"/>
        <v>0.48266666666666669</v>
      </c>
      <c r="I89" s="85" t="str">
        <f t="shared" si="5"/>
        <v>OK</v>
      </c>
    </row>
    <row r="90" spans="1:9" x14ac:dyDescent="0.3">
      <c r="A90" s="86">
        <v>46328</v>
      </c>
      <c r="B90" s="85" t="s">
        <v>59</v>
      </c>
      <c r="C90" s="96">
        <v>15000</v>
      </c>
      <c r="D90" s="96">
        <f>SUMIFS(MPS!$E$2:$E$217,MPS!$C$2:$C$217,A90,MPS!$B$2:$B$217,B90)</f>
        <v>10531</v>
      </c>
      <c r="E90" s="96">
        <f>SUMIFS(MPS!$J$2:$J$217,MPS!$C$2:$C$217,A90,MPS!$B$2:$B$217,B90)</f>
        <v>10531</v>
      </c>
      <c r="F90" s="96">
        <f>SUMIFS(MPS!$K$2:$K$217,MPS!$C$2:$C$217,A90,MPS!$B$2:$B$217,B90)</f>
        <v>0</v>
      </c>
      <c r="G90" s="96">
        <f>SUMIFS(MPS!$L$2:$L$217,MPS!$C$2:$C$217,A90,MPS!$B$2:$B$217,B90)</f>
        <v>0</v>
      </c>
      <c r="H90" s="97">
        <f t="shared" si="4"/>
        <v>0.70206666666666662</v>
      </c>
      <c r="I90" s="85" t="str">
        <f t="shared" si="5"/>
        <v>OK</v>
      </c>
    </row>
    <row r="91" spans="1:9" x14ac:dyDescent="0.3">
      <c r="A91" s="86">
        <v>46328</v>
      </c>
      <c r="B91" s="85" t="s">
        <v>68</v>
      </c>
      <c r="C91" s="96">
        <v>5000</v>
      </c>
      <c r="D91" s="96">
        <f>SUMIFS(MPS!$E$2:$E$217,MPS!$C$2:$C$217,A91,MPS!$B$2:$B$217,B91)</f>
        <v>1500</v>
      </c>
      <c r="E91" s="96">
        <f>SUMIFS(MPS!$J$2:$J$217,MPS!$C$2:$C$217,A91,MPS!$B$2:$B$217,B91)</f>
        <v>1500</v>
      </c>
      <c r="F91" s="96">
        <f>SUMIFS(MPS!$K$2:$K$217,MPS!$C$2:$C$217,A91,MPS!$B$2:$B$217,B91)</f>
        <v>0</v>
      </c>
      <c r="G91" s="96">
        <f>SUMIFS(MPS!$L$2:$L$217,MPS!$C$2:$C$217,A91,MPS!$B$2:$B$217,B91)</f>
        <v>0</v>
      </c>
      <c r="H91" s="97">
        <f t="shared" si="4"/>
        <v>0.3</v>
      </c>
      <c r="I91" s="85" t="str">
        <f t="shared" si="5"/>
        <v>OK</v>
      </c>
    </row>
    <row r="92" spans="1:9" x14ac:dyDescent="0.3">
      <c r="A92" s="86">
        <v>46328</v>
      </c>
      <c r="B92" s="85" t="s">
        <v>56</v>
      </c>
      <c r="C92" s="96">
        <v>3000</v>
      </c>
      <c r="D92" s="96">
        <f>SUMIFS(MPS!$E$2:$E$217,MPS!$C$2:$C$217,A92,MPS!$B$2:$B$217,B92)</f>
        <v>2054</v>
      </c>
      <c r="E92" s="96">
        <f>SUMIFS(MPS!$J$2:$J$217,MPS!$C$2:$C$217,A92,MPS!$B$2:$B$217,B92)</f>
        <v>2054</v>
      </c>
      <c r="F92" s="96">
        <f>SUMIFS(MPS!$K$2:$K$217,MPS!$C$2:$C$217,A92,MPS!$B$2:$B$217,B92)</f>
        <v>0</v>
      </c>
      <c r="G92" s="96">
        <f>SUMIFS(MPS!$L$2:$L$217,MPS!$C$2:$C$217,A92,MPS!$B$2:$B$217,B92)</f>
        <v>0</v>
      </c>
      <c r="H92" s="97">
        <f t="shared" si="4"/>
        <v>0.68466666666666665</v>
      </c>
      <c r="I92" s="85" t="str">
        <f t="shared" si="5"/>
        <v>OK</v>
      </c>
    </row>
    <row r="93" spans="1:9" x14ac:dyDescent="0.3">
      <c r="A93" s="86">
        <v>46335</v>
      </c>
      <c r="B93" s="85" t="s">
        <v>59</v>
      </c>
      <c r="C93" s="96">
        <v>15000</v>
      </c>
      <c r="D93" s="96">
        <f>SUMIFS(MPS!$E$2:$E$217,MPS!$C$2:$C$217,A93,MPS!$B$2:$B$217,B93)</f>
        <v>10532</v>
      </c>
      <c r="E93" s="96">
        <f>SUMIFS(MPS!$J$2:$J$217,MPS!$C$2:$C$217,A93,MPS!$B$2:$B$217,B93)</f>
        <v>10532</v>
      </c>
      <c r="F93" s="96">
        <f>SUMIFS(MPS!$K$2:$K$217,MPS!$C$2:$C$217,A93,MPS!$B$2:$B$217,B93)</f>
        <v>0</v>
      </c>
      <c r="G93" s="96">
        <f>SUMIFS(MPS!$L$2:$L$217,MPS!$C$2:$C$217,A93,MPS!$B$2:$B$217,B93)</f>
        <v>0</v>
      </c>
      <c r="H93" s="97">
        <f t="shared" si="4"/>
        <v>0.70213333333333339</v>
      </c>
      <c r="I93" s="85" t="str">
        <f t="shared" si="5"/>
        <v>OK</v>
      </c>
    </row>
    <row r="94" spans="1:9" x14ac:dyDescent="0.3">
      <c r="A94" s="86">
        <v>46335</v>
      </c>
      <c r="B94" s="85" t="s">
        <v>68</v>
      </c>
      <c r="C94" s="96">
        <v>5000</v>
      </c>
      <c r="D94" s="96">
        <f>SUMIFS(MPS!$E$2:$E$217,MPS!$C$2:$C$217,A94,MPS!$B$2:$B$217,B94)</f>
        <v>1500</v>
      </c>
      <c r="E94" s="96">
        <f>SUMIFS(MPS!$J$2:$J$217,MPS!$C$2:$C$217,A94,MPS!$B$2:$B$217,B94)</f>
        <v>1500</v>
      </c>
      <c r="F94" s="96">
        <f>SUMIFS(MPS!$K$2:$K$217,MPS!$C$2:$C$217,A94,MPS!$B$2:$B$217,B94)</f>
        <v>0</v>
      </c>
      <c r="G94" s="96">
        <f>SUMIFS(MPS!$L$2:$L$217,MPS!$C$2:$C$217,A94,MPS!$B$2:$B$217,B94)</f>
        <v>0</v>
      </c>
      <c r="H94" s="97">
        <f t="shared" si="4"/>
        <v>0.3</v>
      </c>
      <c r="I94" s="85" t="str">
        <f t="shared" si="5"/>
        <v>OK</v>
      </c>
    </row>
    <row r="95" spans="1:9" x14ac:dyDescent="0.3">
      <c r="A95" s="86">
        <v>46335</v>
      </c>
      <c r="B95" s="85" t="s">
        <v>56</v>
      </c>
      <c r="C95" s="96">
        <v>3000</v>
      </c>
      <c r="D95" s="96">
        <f>SUMIFS(MPS!$E$2:$E$217,MPS!$C$2:$C$217,A95,MPS!$B$2:$B$217,B95)</f>
        <v>1756</v>
      </c>
      <c r="E95" s="96">
        <f>SUMIFS(MPS!$J$2:$J$217,MPS!$C$2:$C$217,A95,MPS!$B$2:$B$217,B95)</f>
        <v>1756</v>
      </c>
      <c r="F95" s="96">
        <f>SUMIFS(MPS!$K$2:$K$217,MPS!$C$2:$C$217,A95,MPS!$B$2:$B$217,B95)</f>
        <v>0</v>
      </c>
      <c r="G95" s="96">
        <f>SUMIFS(MPS!$L$2:$L$217,MPS!$C$2:$C$217,A95,MPS!$B$2:$B$217,B95)</f>
        <v>0</v>
      </c>
      <c r="H95" s="97">
        <f t="shared" si="4"/>
        <v>0.58533333333333337</v>
      </c>
      <c r="I95" s="85" t="str">
        <f t="shared" si="5"/>
        <v>OK</v>
      </c>
    </row>
    <row r="96" spans="1:9" x14ac:dyDescent="0.3">
      <c r="A96" s="86">
        <v>46342</v>
      </c>
      <c r="B96" s="85" t="s">
        <v>59</v>
      </c>
      <c r="C96" s="96">
        <v>15000</v>
      </c>
      <c r="D96" s="96">
        <f>SUMIFS(MPS!$E$2:$E$217,MPS!$C$2:$C$217,A96,MPS!$B$2:$B$217,B96)</f>
        <v>10531</v>
      </c>
      <c r="E96" s="96">
        <f>SUMIFS(MPS!$J$2:$J$217,MPS!$C$2:$C$217,A96,MPS!$B$2:$B$217,B96)</f>
        <v>10531</v>
      </c>
      <c r="F96" s="96">
        <f>SUMIFS(MPS!$K$2:$K$217,MPS!$C$2:$C$217,A96,MPS!$B$2:$B$217,B96)</f>
        <v>0</v>
      </c>
      <c r="G96" s="96">
        <f>SUMIFS(MPS!$L$2:$L$217,MPS!$C$2:$C$217,A96,MPS!$B$2:$B$217,B96)</f>
        <v>0</v>
      </c>
      <c r="H96" s="97">
        <f t="shared" si="4"/>
        <v>0.70206666666666662</v>
      </c>
      <c r="I96" s="85" t="str">
        <f t="shared" si="5"/>
        <v>OK</v>
      </c>
    </row>
    <row r="97" spans="1:9" x14ac:dyDescent="0.3">
      <c r="A97" s="86">
        <v>46342</v>
      </c>
      <c r="B97" s="85" t="s">
        <v>68</v>
      </c>
      <c r="C97" s="96">
        <v>5000</v>
      </c>
      <c r="D97" s="96">
        <f>SUMIFS(MPS!$E$2:$E$217,MPS!$C$2:$C$217,A97,MPS!$B$2:$B$217,B97)</f>
        <v>1500</v>
      </c>
      <c r="E97" s="96">
        <f>SUMIFS(MPS!$J$2:$J$217,MPS!$C$2:$C$217,A97,MPS!$B$2:$B$217,B97)</f>
        <v>1500</v>
      </c>
      <c r="F97" s="96">
        <f>SUMIFS(MPS!$K$2:$K$217,MPS!$C$2:$C$217,A97,MPS!$B$2:$B$217,B97)</f>
        <v>0</v>
      </c>
      <c r="G97" s="96">
        <f>SUMIFS(MPS!$L$2:$L$217,MPS!$C$2:$C$217,A97,MPS!$B$2:$B$217,B97)</f>
        <v>0</v>
      </c>
      <c r="H97" s="97">
        <f t="shared" si="4"/>
        <v>0.3</v>
      </c>
      <c r="I97" s="85" t="str">
        <f t="shared" si="5"/>
        <v>OK</v>
      </c>
    </row>
    <row r="98" spans="1:9" x14ac:dyDescent="0.3">
      <c r="A98" s="86">
        <v>46342</v>
      </c>
      <c r="B98" s="85" t="s">
        <v>56</v>
      </c>
      <c r="C98" s="96">
        <v>3000</v>
      </c>
      <c r="D98" s="96">
        <f>SUMIFS(MPS!$E$2:$E$217,MPS!$C$2:$C$217,A98,MPS!$B$2:$B$217,B98)</f>
        <v>1756</v>
      </c>
      <c r="E98" s="96">
        <f>SUMIFS(MPS!$J$2:$J$217,MPS!$C$2:$C$217,A98,MPS!$B$2:$B$217,B98)</f>
        <v>1756</v>
      </c>
      <c r="F98" s="96">
        <f>SUMIFS(MPS!$K$2:$K$217,MPS!$C$2:$C$217,A98,MPS!$B$2:$B$217,B98)</f>
        <v>0</v>
      </c>
      <c r="G98" s="96">
        <f>SUMIFS(MPS!$L$2:$L$217,MPS!$C$2:$C$217,A98,MPS!$B$2:$B$217,B98)</f>
        <v>0</v>
      </c>
      <c r="H98" s="97">
        <f t="shared" si="4"/>
        <v>0.58533333333333337</v>
      </c>
      <c r="I98" s="85" t="str">
        <f t="shared" si="5"/>
        <v>OK</v>
      </c>
    </row>
    <row r="99" spans="1:9" x14ac:dyDescent="0.3">
      <c r="A99" s="86">
        <v>46349</v>
      </c>
      <c r="B99" s="85" t="s">
        <v>59</v>
      </c>
      <c r="C99" s="96">
        <v>15000</v>
      </c>
      <c r="D99" s="96">
        <f>SUMIFS(MPS!$E$2:$E$217,MPS!$C$2:$C$217,A99,MPS!$B$2:$B$217,B99)</f>
        <v>10532</v>
      </c>
      <c r="E99" s="96">
        <f>SUMIFS(MPS!$J$2:$J$217,MPS!$C$2:$C$217,A99,MPS!$B$2:$B$217,B99)</f>
        <v>10532</v>
      </c>
      <c r="F99" s="96">
        <f>SUMIFS(MPS!$K$2:$K$217,MPS!$C$2:$C$217,A99,MPS!$B$2:$B$217,B99)</f>
        <v>0</v>
      </c>
      <c r="G99" s="96">
        <f>SUMIFS(MPS!$L$2:$L$217,MPS!$C$2:$C$217,A99,MPS!$B$2:$B$217,B99)</f>
        <v>0</v>
      </c>
      <c r="H99" s="97">
        <f t="shared" ref="H99:H110" si="6">IFERROR(E99/C99,0)</f>
        <v>0.70213333333333339</v>
      </c>
      <c r="I99" s="85" t="str">
        <f t="shared" ref="I99:I110" si="7">IF(E99&gt;C99,"Over shared cap","OK")</f>
        <v>OK</v>
      </c>
    </row>
    <row r="100" spans="1:9" x14ac:dyDescent="0.3">
      <c r="A100" s="86">
        <v>46349</v>
      </c>
      <c r="B100" s="85" t="s">
        <v>68</v>
      </c>
      <c r="C100" s="96">
        <v>5000</v>
      </c>
      <c r="D100" s="96">
        <f>SUMIFS(MPS!$E$2:$E$217,MPS!$C$2:$C$217,A100,MPS!$B$2:$B$217,B100)</f>
        <v>4250</v>
      </c>
      <c r="E100" s="96">
        <f>SUMIFS(MPS!$J$2:$J$217,MPS!$C$2:$C$217,A100,MPS!$B$2:$B$217,B100)</f>
        <v>4250</v>
      </c>
      <c r="F100" s="96">
        <f>SUMIFS(MPS!$K$2:$K$217,MPS!$C$2:$C$217,A100,MPS!$B$2:$B$217,B100)</f>
        <v>0</v>
      </c>
      <c r="G100" s="96">
        <f>SUMIFS(MPS!$L$2:$L$217,MPS!$C$2:$C$217,A100,MPS!$B$2:$B$217,B100)</f>
        <v>0</v>
      </c>
      <c r="H100" s="97">
        <f t="shared" si="6"/>
        <v>0.85</v>
      </c>
      <c r="I100" s="85" t="str">
        <f t="shared" si="7"/>
        <v>OK</v>
      </c>
    </row>
    <row r="101" spans="1:9" x14ac:dyDescent="0.3">
      <c r="A101" s="86">
        <v>46349</v>
      </c>
      <c r="B101" s="85" t="s">
        <v>56</v>
      </c>
      <c r="C101" s="96">
        <v>3000</v>
      </c>
      <c r="D101" s="96">
        <f>SUMIFS(MPS!$E$2:$E$217,MPS!$C$2:$C$217,A101,MPS!$B$2:$B$217,B101)</f>
        <v>1756</v>
      </c>
      <c r="E101" s="96">
        <f>SUMIFS(MPS!$J$2:$J$217,MPS!$C$2:$C$217,A101,MPS!$B$2:$B$217,B101)</f>
        <v>1756</v>
      </c>
      <c r="F101" s="96">
        <f>SUMIFS(MPS!$K$2:$K$217,MPS!$C$2:$C$217,A101,MPS!$B$2:$B$217,B101)</f>
        <v>0</v>
      </c>
      <c r="G101" s="96">
        <f>SUMIFS(MPS!$L$2:$L$217,MPS!$C$2:$C$217,A101,MPS!$B$2:$B$217,B101)</f>
        <v>0</v>
      </c>
      <c r="H101" s="97">
        <f t="shared" si="6"/>
        <v>0.58533333333333337</v>
      </c>
      <c r="I101" s="85" t="str">
        <f t="shared" si="7"/>
        <v>OK</v>
      </c>
    </row>
    <row r="102" spans="1:9" x14ac:dyDescent="0.3">
      <c r="A102" s="86">
        <v>46356</v>
      </c>
      <c r="B102" s="85" t="s">
        <v>59</v>
      </c>
      <c r="C102" s="96">
        <v>15000</v>
      </c>
      <c r="D102" s="96">
        <f>SUMIFS(MPS!$E$2:$E$217,MPS!$C$2:$C$217,A102,MPS!$B$2:$B$217,B102)</f>
        <v>10531</v>
      </c>
      <c r="E102" s="96">
        <f>SUMIFS(MPS!$J$2:$J$217,MPS!$C$2:$C$217,A102,MPS!$B$2:$B$217,B102)</f>
        <v>10531</v>
      </c>
      <c r="F102" s="96">
        <f>SUMIFS(MPS!$K$2:$K$217,MPS!$C$2:$C$217,A102,MPS!$B$2:$B$217,B102)</f>
        <v>0</v>
      </c>
      <c r="G102" s="96">
        <f>SUMIFS(MPS!$L$2:$L$217,MPS!$C$2:$C$217,A102,MPS!$B$2:$B$217,B102)</f>
        <v>0</v>
      </c>
      <c r="H102" s="97">
        <f t="shared" si="6"/>
        <v>0.70206666666666662</v>
      </c>
      <c r="I102" s="85" t="str">
        <f t="shared" si="7"/>
        <v>OK</v>
      </c>
    </row>
    <row r="103" spans="1:9" x14ac:dyDescent="0.3">
      <c r="A103" s="86">
        <v>46356</v>
      </c>
      <c r="B103" s="85" t="s">
        <v>68</v>
      </c>
      <c r="C103" s="96">
        <v>5000</v>
      </c>
      <c r="D103" s="96">
        <f>SUMIFS(MPS!$E$2:$E$217,MPS!$C$2:$C$217,A103,MPS!$B$2:$B$217,B103)</f>
        <v>4250</v>
      </c>
      <c r="E103" s="96">
        <f>SUMIFS(MPS!$J$2:$J$217,MPS!$C$2:$C$217,A103,MPS!$B$2:$B$217,B103)</f>
        <v>4250</v>
      </c>
      <c r="F103" s="96">
        <f>SUMIFS(MPS!$K$2:$K$217,MPS!$C$2:$C$217,A103,MPS!$B$2:$B$217,B103)</f>
        <v>0</v>
      </c>
      <c r="G103" s="96">
        <f>SUMIFS(MPS!$L$2:$L$217,MPS!$C$2:$C$217,A103,MPS!$B$2:$B$217,B103)</f>
        <v>0</v>
      </c>
      <c r="H103" s="97">
        <f t="shared" si="6"/>
        <v>0.85</v>
      </c>
      <c r="I103" s="85" t="str">
        <f t="shared" si="7"/>
        <v>OK</v>
      </c>
    </row>
    <row r="104" spans="1:9" x14ac:dyDescent="0.3">
      <c r="A104" s="86">
        <v>46356</v>
      </c>
      <c r="B104" s="85" t="s">
        <v>56</v>
      </c>
      <c r="C104" s="96">
        <v>3000</v>
      </c>
      <c r="D104" s="96">
        <f>SUMIFS(MPS!$E$2:$E$217,MPS!$C$2:$C$217,A104,MPS!$B$2:$B$217,B104)</f>
        <v>2228</v>
      </c>
      <c r="E104" s="96">
        <f>SUMIFS(MPS!$J$2:$J$217,MPS!$C$2:$C$217,A104,MPS!$B$2:$B$217,B104)</f>
        <v>2228</v>
      </c>
      <c r="F104" s="96">
        <f>SUMIFS(MPS!$K$2:$K$217,MPS!$C$2:$C$217,A104,MPS!$B$2:$B$217,B104)</f>
        <v>0</v>
      </c>
      <c r="G104" s="96">
        <f>SUMIFS(MPS!$L$2:$L$217,MPS!$C$2:$C$217,A104,MPS!$B$2:$B$217,B104)</f>
        <v>0</v>
      </c>
      <c r="H104" s="97">
        <f t="shared" si="6"/>
        <v>0.7426666666666667</v>
      </c>
      <c r="I104" s="85" t="str">
        <f t="shared" si="7"/>
        <v>OK</v>
      </c>
    </row>
    <row r="105" spans="1:9" x14ac:dyDescent="0.3">
      <c r="A105" s="86">
        <v>46363</v>
      </c>
      <c r="B105" s="85" t="s">
        <v>59</v>
      </c>
      <c r="C105" s="96">
        <v>15000</v>
      </c>
      <c r="D105" s="96">
        <f>SUMIFS(MPS!$E$2:$E$217,MPS!$C$2:$C$217,A105,MPS!$B$2:$B$217,B105)</f>
        <v>14576</v>
      </c>
      <c r="E105" s="96">
        <f>SUMIFS(MPS!$J$2:$J$217,MPS!$C$2:$C$217,A105,MPS!$B$2:$B$217,B105)</f>
        <v>14576</v>
      </c>
      <c r="F105" s="96">
        <f>SUMIFS(MPS!$K$2:$K$217,MPS!$C$2:$C$217,A105,MPS!$B$2:$B$217,B105)</f>
        <v>0</v>
      </c>
      <c r="G105" s="96">
        <f>SUMIFS(MPS!$L$2:$L$217,MPS!$C$2:$C$217,A105,MPS!$B$2:$B$217,B105)</f>
        <v>0</v>
      </c>
      <c r="H105" s="97">
        <f t="shared" si="6"/>
        <v>0.97173333333333334</v>
      </c>
      <c r="I105" s="85" t="str">
        <f t="shared" si="7"/>
        <v>OK</v>
      </c>
    </row>
    <row r="106" spans="1:9" x14ac:dyDescent="0.3">
      <c r="A106" s="86">
        <v>46363</v>
      </c>
      <c r="B106" s="85" t="s">
        <v>68</v>
      </c>
      <c r="C106" s="96">
        <v>5000</v>
      </c>
      <c r="D106" s="96">
        <f>SUMIFS(MPS!$E$2:$E$217,MPS!$C$2:$C$217,A106,MPS!$B$2:$B$217,B106)</f>
        <v>4250</v>
      </c>
      <c r="E106" s="96">
        <f>SUMIFS(MPS!$J$2:$J$217,MPS!$C$2:$C$217,A106,MPS!$B$2:$B$217,B106)</f>
        <v>4250</v>
      </c>
      <c r="F106" s="96">
        <f>SUMIFS(MPS!$K$2:$K$217,MPS!$C$2:$C$217,A106,MPS!$B$2:$B$217,B106)</f>
        <v>0</v>
      </c>
      <c r="G106" s="96">
        <f>SUMIFS(MPS!$L$2:$L$217,MPS!$C$2:$C$217,A106,MPS!$B$2:$B$217,B106)</f>
        <v>0</v>
      </c>
      <c r="H106" s="97">
        <f t="shared" si="6"/>
        <v>0.85</v>
      </c>
      <c r="I106" s="85" t="str">
        <f t="shared" si="7"/>
        <v>OK</v>
      </c>
    </row>
    <row r="107" spans="1:9" x14ac:dyDescent="0.3">
      <c r="A107" s="86">
        <v>46363</v>
      </c>
      <c r="B107" s="85" t="s">
        <v>56</v>
      </c>
      <c r="C107" s="96">
        <v>3000</v>
      </c>
      <c r="D107" s="96">
        <f>SUMIFS(MPS!$E$2:$E$217,MPS!$C$2:$C$217,A107,MPS!$B$2:$B$217,B107)</f>
        <v>1930</v>
      </c>
      <c r="E107" s="96">
        <f>SUMIFS(MPS!$J$2:$J$217,MPS!$C$2:$C$217,A107,MPS!$B$2:$B$217,B107)</f>
        <v>1930</v>
      </c>
      <c r="F107" s="96">
        <f>SUMIFS(MPS!$K$2:$K$217,MPS!$C$2:$C$217,A107,MPS!$B$2:$B$217,B107)</f>
        <v>0</v>
      </c>
      <c r="G107" s="96">
        <f>SUMIFS(MPS!$L$2:$L$217,MPS!$C$2:$C$217,A107,MPS!$B$2:$B$217,B107)</f>
        <v>0</v>
      </c>
      <c r="H107" s="97">
        <f t="shared" si="6"/>
        <v>0.64333333333333331</v>
      </c>
      <c r="I107" s="85" t="str">
        <f t="shared" si="7"/>
        <v>OK</v>
      </c>
    </row>
    <row r="108" spans="1:9" x14ac:dyDescent="0.3">
      <c r="A108" s="86">
        <v>46370</v>
      </c>
      <c r="B108" s="85" t="s">
        <v>59</v>
      </c>
      <c r="C108" s="96">
        <v>15000</v>
      </c>
      <c r="D108" s="96">
        <f>SUMIFS(MPS!$E$2:$E$217,MPS!$C$2:$C$217,A108,MPS!$B$2:$B$217,B108)</f>
        <v>14575</v>
      </c>
      <c r="E108" s="96">
        <f>SUMIFS(MPS!$J$2:$J$217,MPS!$C$2:$C$217,A108,MPS!$B$2:$B$217,B108)</f>
        <v>14575</v>
      </c>
      <c r="F108" s="96">
        <f>SUMIFS(MPS!$K$2:$K$217,MPS!$C$2:$C$217,A108,MPS!$B$2:$B$217,B108)</f>
        <v>0</v>
      </c>
      <c r="G108" s="96">
        <f>SUMIFS(MPS!$L$2:$L$217,MPS!$C$2:$C$217,A108,MPS!$B$2:$B$217,B108)</f>
        <v>0</v>
      </c>
      <c r="H108" s="97">
        <f t="shared" si="6"/>
        <v>0.97166666666666668</v>
      </c>
      <c r="I108" s="85" t="str">
        <f t="shared" si="7"/>
        <v>OK</v>
      </c>
    </row>
    <row r="109" spans="1:9" x14ac:dyDescent="0.3">
      <c r="A109" s="86">
        <v>46370</v>
      </c>
      <c r="B109" s="85" t="s">
        <v>68</v>
      </c>
      <c r="C109" s="96">
        <v>5000</v>
      </c>
      <c r="D109" s="96">
        <f>SUMIFS(MPS!$E$2:$E$217,MPS!$C$2:$C$217,A109,MPS!$B$2:$B$217,B109)</f>
        <v>4250</v>
      </c>
      <c r="E109" s="96">
        <f>SUMIFS(MPS!$J$2:$J$217,MPS!$C$2:$C$217,A109,MPS!$B$2:$B$217,B109)</f>
        <v>4250</v>
      </c>
      <c r="F109" s="96">
        <f>SUMIFS(MPS!$K$2:$K$217,MPS!$C$2:$C$217,A109,MPS!$B$2:$B$217,B109)</f>
        <v>0</v>
      </c>
      <c r="G109" s="96">
        <f>SUMIFS(MPS!$L$2:$L$217,MPS!$C$2:$C$217,A109,MPS!$B$2:$B$217,B109)</f>
        <v>0</v>
      </c>
      <c r="H109" s="97">
        <f t="shared" si="6"/>
        <v>0.85</v>
      </c>
      <c r="I109" s="85" t="str">
        <f t="shared" si="7"/>
        <v>OK</v>
      </c>
    </row>
    <row r="110" spans="1:9" x14ac:dyDescent="0.3">
      <c r="A110" s="86">
        <v>46370</v>
      </c>
      <c r="B110" s="85" t="s">
        <v>56</v>
      </c>
      <c r="C110" s="96">
        <v>3000</v>
      </c>
      <c r="D110" s="96">
        <f>SUMIFS(MPS!$E$2:$E$217,MPS!$C$2:$C$217,A110,MPS!$B$2:$B$217,B110)</f>
        <v>1928</v>
      </c>
      <c r="E110" s="96">
        <f>SUMIFS(MPS!$J$2:$J$217,MPS!$C$2:$C$217,A110,MPS!$B$2:$B$217,B110)</f>
        <v>1928</v>
      </c>
      <c r="F110" s="96">
        <f>SUMIFS(MPS!$K$2:$K$217,MPS!$C$2:$C$217,A110,MPS!$B$2:$B$217,B110)</f>
        <v>0</v>
      </c>
      <c r="G110" s="96">
        <f>SUMIFS(MPS!$L$2:$L$217,MPS!$C$2:$C$217,A110,MPS!$B$2:$B$217,B110)</f>
        <v>0</v>
      </c>
      <c r="H110" s="97">
        <f t="shared" si="6"/>
        <v>0.64266666666666672</v>
      </c>
      <c r="I110" s="85" t="str">
        <f t="shared" si="7"/>
        <v>OK</v>
      </c>
    </row>
  </sheetData>
  <mergeCells count="2">
    <mergeCell ref="A1:I1"/>
    <mergeCell ref="K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74" zoomScaleNormal="74" workbookViewId="0">
      <selection activeCell="F11" sqref="F11"/>
    </sheetView>
  </sheetViews>
  <sheetFormatPr defaultColWidth="8.6640625" defaultRowHeight="14.4" x14ac:dyDescent="0.3"/>
  <cols>
    <col min="1" max="1" width="10" style="61" customWidth="1"/>
    <col min="2" max="2" width="30" style="61" customWidth="1"/>
    <col min="3" max="3" width="12" style="61" customWidth="1"/>
    <col min="4" max="4" width="15" style="61" customWidth="1"/>
    <col min="5" max="6" width="12" style="61" customWidth="1"/>
    <col min="7" max="7" width="10" style="61" customWidth="1"/>
    <col min="8" max="8" width="13" style="61" customWidth="1"/>
    <col min="9" max="14" width="10" style="61" customWidth="1"/>
  </cols>
  <sheetData>
    <row r="1" spans="1:14" x14ac:dyDescent="0.3">
      <c r="A1" s="133" t="s">
        <v>111</v>
      </c>
      <c r="B1" s="134"/>
      <c r="C1" s="134"/>
      <c r="D1" s="134"/>
      <c r="E1" s="134"/>
      <c r="F1" s="134"/>
    </row>
    <row r="3" spans="1:14" x14ac:dyDescent="0.3">
      <c r="A3" s="81" t="s">
        <v>112</v>
      </c>
      <c r="B3" s="82" t="s">
        <v>113</v>
      </c>
    </row>
    <row r="4" spans="1:14" x14ac:dyDescent="0.3">
      <c r="A4" s="81" t="s">
        <v>114</v>
      </c>
      <c r="B4" s="83">
        <v>46125</v>
      </c>
    </row>
    <row r="5" spans="1:14" x14ac:dyDescent="0.3">
      <c r="A5" s="81" t="s">
        <v>115</v>
      </c>
      <c r="B5" s="82" t="s">
        <v>116</v>
      </c>
    </row>
    <row r="6" spans="1:14" x14ac:dyDescent="0.3">
      <c r="A6" s="81" t="s">
        <v>117</v>
      </c>
      <c r="B6" s="82">
        <v>0</v>
      </c>
    </row>
    <row r="7" spans="1:14" x14ac:dyDescent="0.3">
      <c r="A7" s="81" t="s">
        <v>118</v>
      </c>
      <c r="B7" s="82" t="s">
        <v>119</v>
      </c>
    </row>
    <row r="9" spans="1:14" x14ac:dyDescent="0.3">
      <c r="A9" s="84" t="s">
        <v>92</v>
      </c>
      <c r="B9" s="84" t="s">
        <v>120</v>
      </c>
      <c r="C9" s="84" t="s">
        <v>49</v>
      </c>
      <c r="D9" s="84" t="s">
        <v>93</v>
      </c>
      <c r="E9" s="84" t="s">
        <v>121</v>
      </c>
      <c r="F9" s="84" t="s">
        <v>95</v>
      </c>
      <c r="G9" s="84" t="s">
        <v>122</v>
      </c>
      <c r="H9" s="84" t="s">
        <v>0</v>
      </c>
      <c r="I9" s="84" t="s">
        <v>1</v>
      </c>
      <c r="J9" s="84" t="s">
        <v>2</v>
      </c>
      <c r="K9" s="84" t="s">
        <v>3</v>
      </c>
      <c r="L9" s="84" t="s">
        <v>4</v>
      </c>
      <c r="M9" s="84" t="s">
        <v>5</v>
      </c>
      <c r="N9" s="84" t="s">
        <v>6</v>
      </c>
    </row>
    <row r="10" spans="1:14" x14ac:dyDescent="0.3">
      <c r="A10" s="85" t="s">
        <v>1</v>
      </c>
      <c r="B10" s="85" t="s">
        <v>57</v>
      </c>
      <c r="C10" s="85" t="s">
        <v>59</v>
      </c>
      <c r="D10" s="85">
        <v>15000</v>
      </c>
      <c r="E10" s="85">
        <v>0</v>
      </c>
      <c r="F10" s="85">
        <v>15000</v>
      </c>
      <c r="G10" s="85">
        <v>1</v>
      </c>
      <c r="H10" s="86">
        <v>46125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</row>
    <row r="11" spans="1:14" x14ac:dyDescent="0.3">
      <c r="A11" s="85" t="s">
        <v>2</v>
      </c>
      <c r="B11" s="85" t="s">
        <v>63</v>
      </c>
      <c r="C11" s="85" t="s">
        <v>59</v>
      </c>
      <c r="D11" s="85">
        <v>15000</v>
      </c>
      <c r="E11" s="85">
        <v>0</v>
      </c>
      <c r="F11" s="85">
        <v>15000</v>
      </c>
      <c r="G11" s="85">
        <v>2</v>
      </c>
      <c r="H11" s="86">
        <v>46132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588</v>
      </c>
    </row>
    <row r="12" spans="1:14" x14ac:dyDescent="0.3">
      <c r="A12" s="85" t="s">
        <v>3</v>
      </c>
      <c r="B12" s="85" t="s">
        <v>65</v>
      </c>
      <c r="C12" s="85" t="s">
        <v>68</v>
      </c>
      <c r="D12" s="85">
        <v>5000</v>
      </c>
      <c r="E12" s="85">
        <v>0</v>
      </c>
      <c r="F12" s="85">
        <v>5000</v>
      </c>
      <c r="G12" s="85">
        <v>1</v>
      </c>
      <c r="H12" s="86">
        <v>46139</v>
      </c>
      <c r="I12" s="87">
        <v>684</v>
      </c>
      <c r="J12" s="87">
        <v>0</v>
      </c>
      <c r="K12" s="87">
        <v>0</v>
      </c>
      <c r="L12" s="87">
        <v>0</v>
      </c>
      <c r="M12" s="87">
        <v>472</v>
      </c>
      <c r="N12" s="87">
        <v>4028</v>
      </c>
    </row>
    <row r="13" spans="1:14" x14ac:dyDescent="0.3">
      <c r="A13" s="85" t="s">
        <v>4</v>
      </c>
      <c r="B13" s="85" t="s">
        <v>69</v>
      </c>
      <c r="C13" s="85" t="s">
        <v>68</v>
      </c>
      <c r="D13" s="85">
        <v>5000</v>
      </c>
      <c r="E13" s="85">
        <v>0</v>
      </c>
      <c r="F13" s="85">
        <v>5000</v>
      </c>
      <c r="G13" s="85">
        <v>2</v>
      </c>
      <c r="H13" s="86">
        <v>46146</v>
      </c>
      <c r="I13" s="87">
        <v>20000</v>
      </c>
      <c r="J13" s="87">
        <v>5502</v>
      </c>
      <c r="K13" s="87">
        <v>4320</v>
      </c>
      <c r="L13" s="87">
        <v>2430</v>
      </c>
      <c r="M13" s="87">
        <v>300</v>
      </c>
      <c r="N13" s="87">
        <v>4200</v>
      </c>
    </row>
    <row r="14" spans="1:14" x14ac:dyDescent="0.3">
      <c r="A14" s="85" t="s">
        <v>5</v>
      </c>
      <c r="B14" s="85" t="s">
        <v>60</v>
      </c>
      <c r="C14" s="85" t="s">
        <v>56</v>
      </c>
      <c r="D14" s="85">
        <v>3000</v>
      </c>
      <c r="E14" s="85">
        <v>0</v>
      </c>
      <c r="F14" s="85">
        <v>3000</v>
      </c>
      <c r="G14" s="85">
        <v>1</v>
      </c>
      <c r="H14" s="86">
        <v>46153</v>
      </c>
      <c r="I14" s="87">
        <v>20000</v>
      </c>
      <c r="J14" s="87">
        <v>15658</v>
      </c>
      <c r="K14" s="87">
        <v>8370</v>
      </c>
      <c r="L14" s="87">
        <v>9990</v>
      </c>
      <c r="M14" s="87">
        <v>698</v>
      </c>
      <c r="N14" s="87">
        <v>3802</v>
      </c>
    </row>
    <row r="15" spans="1:14" x14ac:dyDescent="0.3">
      <c r="A15" s="85" t="s">
        <v>6</v>
      </c>
      <c r="B15" s="85" t="s">
        <v>53</v>
      </c>
      <c r="C15" s="85" t="s">
        <v>56</v>
      </c>
      <c r="D15" s="85">
        <v>3000</v>
      </c>
      <c r="E15" s="85">
        <v>0</v>
      </c>
      <c r="F15" s="85">
        <v>3000</v>
      </c>
      <c r="G15" s="85">
        <v>2</v>
      </c>
      <c r="H15" s="86">
        <v>46160</v>
      </c>
      <c r="I15" s="87">
        <v>11000</v>
      </c>
      <c r="J15" s="87">
        <v>8865</v>
      </c>
      <c r="K15" s="87">
        <v>11782</v>
      </c>
      <c r="L15" s="87">
        <v>5840</v>
      </c>
      <c r="M15" s="87">
        <v>0</v>
      </c>
      <c r="N15" s="87">
        <v>4500</v>
      </c>
    </row>
    <row r="16" spans="1:14" x14ac:dyDescent="0.3">
      <c r="H16" s="86">
        <v>46167</v>
      </c>
      <c r="I16" s="87">
        <v>13000</v>
      </c>
      <c r="J16" s="87">
        <v>2146</v>
      </c>
      <c r="K16" s="87">
        <v>10524</v>
      </c>
      <c r="L16" s="87">
        <v>8100</v>
      </c>
      <c r="M16" s="87">
        <v>300</v>
      </c>
      <c r="N16" s="87">
        <v>4200</v>
      </c>
    </row>
    <row r="17" spans="8:14" x14ac:dyDescent="0.3">
      <c r="H17" s="86">
        <v>46174</v>
      </c>
      <c r="I17" s="87">
        <v>13773</v>
      </c>
      <c r="J17" s="87">
        <v>7123</v>
      </c>
      <c r="K17" s="87">
        <v>3240</v>
      </c>
      <c r="L17" s="87">
        <v>1001</v>
      </c>
      <c r="M17" s="87">
        <v>0</v>
      </c>
      <c r="N17" s="87">
        <v>4500</v>
      </c>
    </row>
    <row r="18" spans="8:14" x14ac:dyDescent="0.3">
      <c r="H18" s="86">
        <v>46181</v>
      </c>
      <c r="I18" s="87">
        <v>7058</v>
      </c>
      <c r="J18" s="87">
        <v>5309</v>
      </c>
      <c r="K18" s="87">
        <v>6442</v>
      </c>
      <c r="L18" s="87">
        <v>2471</v>
      </c>
      <c r="M18" s="87">
        <v>0</v>
      </c>
      <c r="N18" s="87">
        <v>4500</v>
      </c>
    </row>
    <row r="19" spans="8:14" x14ac:dyDescent="0.3">
      <c r="H19" s="86">
        <v>46188</v>
      </c>
      <c r="I19" s="87">
        <v>2040</v>
      </c>
      <c r="J19" s="87">
        <v>5309</v>
      </c>
      <c r="K19" s="87">
        <v>8802</v>
      </c>
      <c r="L19" s="87">
        <v>3458</v>
      </c>
      <c r="M19" s="87">
        <v>300</v>
      </c>
      <c r="N19" s="87">
        <v>2200</v>
      </c>
    </row>
    <row r="20" spans="8:14" x14ac:dyDescent="0.3">
      <c r="H20" s="86">
        <v>46195</v>
      </c>
      <c r="I20" s="87">
        <v>3541</v>
      </c>
      <c r="J20" s="87">
        <v>3000</v>
      </c>
      <c r="K20" s="87">
        <v>7695</v>
      </c>
      <c r="L20" s="87">
        <v>500</v>
      </c>
      <c r="M20" s="87">
        <v>0</v>
      </c>
      <c r="N20" s="87">
        <v>5000</v>
      </c>
    </row>
    <row r="21" spans="8:14" x14ac:dyDescent="0.3">
      <c r="H21" s="86">
        <v>46202</v>
      </c>
      <c r="I21" s="87">
        <v>12041</v>
      </c>
      <c r="J21" s="87">
        <v>3000</v>
      </c>
      <c r="K21" s="87">
        <v>2500</v>
      </c>
      <c r="L21" s="87">
        <v>500</v>
      </c>
      <c r="M21" s="87">
        <v>700</v>
      </c>
      <c r="N21" s="87">
        <v>4300</v>
      </c>
    </row>
    <row r="22" spans="8:14" x14ac:dyDescent="0.3">
      <c r="H22" s="86">
        <v>46209</v>
      </c>
      <c r="I22" s="87">
        <v>12040</v>
      </c>
      <c r="J22" s="87">
        <v>3000</v>
      </c>
      <c r="K22" s="87">
        <v>2500</v>
      </c>
      <c r="L22" s="87">
        <v>500</v>
      </c>
      <c r="M22" s="87">
        <v>300</v>
      </c>
      <c r="N22" s="87">
        <v>4700</v>
      </c>
    </row>
    <row r="23" spans="8:14" x14ac:dyDescent="0.3">
      <c r="H23" s="86">
        <v>46216</v>
      </c>
      <c r="I23" s="87">
        <v>0</v>
      </c>
      <c r="J23" s="87">
        <v>3000</v>
      </c>
      <c r="K23" s="87">
        <v>2500</v>
      </c>
      <c r="L23" s="87">
        <v>500</v>
      </c>
      <c r="M23" s="87">
        <v>300</v>
      </c>
      <c r="N23" s="87">
        <v>4746</v>
      </c>
    </row>
    <row r="24" spans="8:14" x14ac:dyDescent="0.3">
      <c r="H24" s="86">
        <v>46223</v>
      </c>
      <c r="I24" s="87">
        <v>0</v>
      </c>
      <c r="J24" s="87">
        <v>2400</v>
      </c>
      <c r="K24" s="87">
        <v>1000</v>
      </c>
      <c r="L24" s="87">
        <v>0</v>
      </c>
      <c r="M24" s="87">
        <v>300</v>
      </c>
      <c r="N24" s="87">
        <v>4300</v>
      </c>
    </row>
    <row r="25" spans="8:14" x14ac:dyDescent="0.3">
      <c r="H25" s="86">
        <v>46230</v>
      </c>
      <c r="I25" s="87">
        <v>27760</v>
      </c>
      <c r="J25" s="87">
        <v>2400</v>
      </c>
      <c r="K25" s="87">
        <v>1000</v>
      </c>
      <c r="L25" s="87">
        <v>0</v>
      </c>
      <c r="M25" s="87">
        <v>0</v>
      </c>
      <c r="N25" s="87">
        <v>476</v>
      </c>
    </row>
    <row r="26" spans="8:14" x14ac:dyDescent="0.3">
      <c r="H26" s="86">
        <v>46237</v>
      </c>
      <c r="I26" s="87">
        <v>26486</v>
      </c>
      <c r="J26" s="87">
        <v>0</v>
      </c>
      <c r="K26" s="87">
        <v>1000</v>
      </c>
      <c r="L26" s="87">
        <v>400</v>
      </c>
      <c r="M26" s="87">
        <v>0</v>
      </c>
      <c r="N26" s="87">
        <v>1298</v>
      </c>
    </row>
    <row r="27" spans="8:14" x14ac:dyDescent="0.3">
      <c r="H27" s="86">
        <v>46244</v>
      </c>
      <c r="I27" s="87">
        <v>4248</v>
      </c>
      <c r="J27" s="87">
        <v>2400</v>
      </c>
      <c r="K27" s="87">
        <v>1000</v>
      </c>
      <c r="L27" s="87">
        <v>0</v>
      </c>
      <c r="M27" s="87">
        <v>300</v>
      </c>
      <c r="N27" s="87">
        <v>1300</v>
      </c>
    </row>
    <row r="28" spans="8:14" x14ac:dyDescent="0.3">
      <c r="H28" s="86">
        <v>46251</v>
      </c>
      <c r="I28" s="87">
        <v>4248</v>
      </c>
      <c r="J28" s="87">
        <v>2400</v>
      </c>
      <c r="K28" s="87">
        <v>1000</v>
      </c>
      <c r="L28" s="87">
        <v>0</v>
      </c>
      <c r="M28" s="87">
        <v>0</v>
      </c>
      <c r="N28" s="87">
        <v>1298</v>
      </c>
    </row>
    <row r="29" spans="8:14" x14ac:dyDescent="0.3">
      <c r="H29" s="86">
        <v>46258</v>
      </c>
      <c r="I29" s="87">
        <v>4249</v>
      </c>
      <c r="J29" s="87">
        <v>3750</v>
      </c>
      <c r="K29" s="87">
        <v>750</v>
      </c>
      <c r="L29" s="87">
        <v>400</v>
      </c>
      <c r="M29" s="87">
        <v>0</v>
      </c>
      <c r="N29" s="87">
        <v>1506</v>
      </c>
    </row>
    <row r="30" spans="8:14" x14ac:dyDescent="0.3">
      <c r="H30" s="86">
        <v>46265</v>
      </c>
      <c r="I30" s="87">
        <v>4248</v>
      </c>
      <c r="J30" s="87">
        <v>3750</v>
      </c>
      <c r="K30" s="87">
        <v>750</v>
      </c>
      <c r="L30" s="87">
        <v>0</v>
      </c>
      <c r="M30" s="87">
        <v>300</v>
      </c>
      <c r="N30" s="87">
        <v>1506</v>
      </c>
    </row>
    <row r="31" spans="8:14" x14ac:dyDescent="0.3">
      <c r="H31" s="86">
        <v>46272</v>
      </c>
      <c r="I31" s="87">
        <v>2391</v>
      </c>
      <c r="J31" s="87">
        <v>3750</v>
      </c>
      <c r="K31" s="87">
        <v>750</v>
      </c>
      <c r="L31" s="87">
        <v>400</v>
      </c>
      <c r="M31" s="87">
        <v>0</v>
      </c>
      <c r="N31" s="87">
        <v>1506</v>
      </c>
    </row>
    <row r="32" spans="8:14" x14ac:dyDescent="0.3">
      <c r="H32" s="86">
        <v>46279</v>
      </c>
      <c r="I32" s="87">
        <v>2392</v>
      </c>
      <c r="J32" s="87">
        <v>3750</v>
      </c>
      <c r="K32" s="87">
        <v>750</v>
      </c>
      <c r="L32" s="87">
        <v>0</v>
      </c>
      <c r="M32" s="87">
        <v>0</v>
      </c>
      <c r="N32" s="87">
        <v>1506</v>
      </c>
    </row>
    <row r="33" spans="8:14" x14ac:dyDescent="0.3">
      <c r="H33" s="86">
        <v>46286</v>
      </c>
      <c r="I33" s="87">
        <v>2391</v>
      </c>
      <c r="J33" s="87">
        <v>3000</v>
      </c>
      <c r="K33" s="87">
        <v>600</v>
      </c>
      <c r="L33" s="87">
        <v>360</v>
      </c>
      <c r="M33" s="87">
        <v>0</v>
      </c>
      <c r="N33" s="87">
        <v>1446</v>
      </c>
    </row>
    <row r="34" spans="8:14" x14ac:dyDescent="0.3">
      <c r="H34" s="86">
        <v>46293</v>
      </c>
      <c r="I34" s="87">
        <v>2392</v>
      </c>
      <c r="J34" s="87">
        <v>3000</v>
      </c>
      <c r="K34" s="87">
        <v>600</v>
      </c>
      <c r="L34" s="87">
        <v>360</v>
      </c>
      <c r="M34" s="87">
        <v>300</v>
      </c>
      <c r="N34" s="87">
        <v>0</v>
      </c>
    </row>
    <row r="35" spans="8:14" x14ac:dyDescent="0.3">
      <c r="H35" s="86">
        <v>46300</v>
      </c>
      <c r="I35" s="87">
        <v>16017</v>
      </c>
      <c r="J35" s="87">
        <v>3000</v>
      </c>
      <c r="K35" s="87">
        <v>600</v>
      </c>
      <c r="L35" s="87">
        <v>360</v>
      </c>
      <c r="M35" s="87">
        <v>0</v>
      </c>
      <c r="N35" s="87">
        <v>0</v>
      </c>
    </row>
    <row r="36" spans="8:14" x14ac:dyDescent="0.3">
      <c r="H36" s="86">
        <v>46307</v>
      </c>
      <c r="I36" s="87">
        <v>16017</v>
      </c>
      <c r="J36" s="87">
        <v>3000</v>
      </c>
      <c r="K36" s="87">
        <v>600</v>
      </c>
      <c r="L36" s="87">
        <v>360</v>
      </c>
      <c r="M36" s="87">
        <v>0</v>
      </c>
      <c r="N36" s="87">
        <v>1448</v>
      </c>
    </row>
    <row r="37" spans="8:14" x14ac:dyDescent="0.3">
      <c r="H37" s="86">
        <v>46314</v>
      </c>
      <c r="I37" s="87">
        <v>16016</v>
      </c>
      <c r="J37" s="87">
        <v>3000</v>
      </c>
      <c r="K37" s="87">
        <v>600</v>
      </c>
      <c r="L37" s="87">
        <v>360</v>
      </c>
      <c r="M37" s="87">
        <v>0</v>
      </c>
      <c r="N37" s="87">
        <v>1448</v>
      </c>
    </row>
    <row r="38" spans="8:14" x14ac:dyDescent="0.3">
      <c r="H38" s="86">
        <v>46321</v>
      </c>
      <c r="I38" s="87">
        <v>16017</v>
      </c>
      <c r="J38" s="87">
        <v>6250</v>
      </c>
      <c r="K38" s="87">
        <v>500</v>
      </c>
      <c r="L38" s="87">
        <v>1000</v>
      </c>
      <c r="M38" s="87">
        <v>0</v>
      </c>
      <c r="N38" s="87">
        <v>1448</v>
      </c>
    </row>
    <row r="39" spans="8:14" x14ac:dyDescent="0.3">
      <c r="H39" s="86">
        <v>46328</v>
      </c>
      <c r="I39" s="87">
        <v>4281</v>
      </c>
      <c r="J39" s="87">
        <v>6250</v>
      </c>
      <c r="K39" s="87">
        <v>500</v>
      </c>
      <c r="L39" s="87">
        <v>1000</v>
      </c>
      <c r="M39" s="87">
        <v>300</v>
      </c>
      <c r="N39" s="87">
        <v>1754</v>
      </c>
    </row>
    <row r="40" spans="8:14" x14ac:dyDescent="0.3">
      <c r="H40" s="86">
        <v>46335</v>
      </c>
      <c r="I40" s="87">
        <v>4282</v>
      </c>
      <c r="J40" s="87">
        <v>6250</v>
      </c>
      <c r="K40" s="87">
        <v>500</v>
      </c>
      <c r="L40" s="87">
        <v>1000</v>
      </c>
      <c r="M40" s="87">
        <v>0</v>
      </c>
      <c r="N40" s="87">
        <v>1756</v>
      </c>
    </row>
    <row r="41" spans="8:14" x14ac:dyDescent="0.3">
      <c r="H41" s="86">
        <v>46342</v>
      </c>
      <c r="I41" s="87">
        <v>4281</v>
      </c>
      <c r="J41" s="87">
        <v>6250</v>
      </c>
      <c r="K41" s="87">
        <v>500</v>
      </c>
      <c r="L41" s="87">
        <v>1000</v>
      </c>
      <c r="M41" s="87">
        <v>0</v>
      </c>
      <c r="N41" s="87">
        <v>1756</v>
      </c>
    </row>
    <row r="42" spans="8:14" x14ac:dyDescent="0.3">
      <c r="H42" s="86">
        <v>46349</v>
      </c>
      <c r="I42" s="87">
        <v>4282</v>
      </c>
      <c r="J42" s="87">
        <v>6250</v>
      </c>
      <c r="K42" s="87">
        <v>3000</v>
      </c>
      <c r="L42" s="87">
        <v>1250</v>
      </c>
      <c r="M42" s="87">
        <v>0</v>
      </c>
      <c r="N42" s="87">
        <v>1756</v>
      </c>
    </row>
    <row r="43" spans="8:14" x14ac:dyDescent="0.3">
      <c r="H43" s="86">
        <v>46356</v>
      </c>
      <c r="I43" s="87">
        <v>4281</v>
      </c>
      <c r="J43" s="87">
        <v>6250</v>
      </c>
      <c r="K43" s="87">
        <v>3000</v>
      </c>
      <c r="L43" s="87">
        <v>1250</v>
      </c>
      <c r="M43" s="87">
        <v>300</v>
      </c>
      <c r="N43" s="87">
        <v>1928</v>
      </c>
    </row>
    <row r="44" spans="8:14" x14ac:dyDescent="0.3">
      <c r="H44" s="86">
        <v>46363</v>
      </c>
      <c r="I44" s="87">
        <v>8326</v>
      </c>
      <c r="J44" s="87">
        <v>6250</v>
      </c>
      <c r="K44" s="87">
        <v>3000</v>
      </c>
      <c r="L44" s="87">
        <v>1250</v>
      </c>
      <c r="M44" s="87">
        <v>0</v>
      </c>
      <c r="N44" s="87">
        <v>1930</v>
      </c>
    </row>
    <row r="45" spans="8:14" x14ac:dyDescent="0.3">
      <c r="H45" s="86">
        <v>46370</v>
      </c>
      <c r="I45" s="87">
        <v>8325</v>
      </c>
      <c r="J45" s="87">
        <v>6250</v>
      </c>
      <c r="K45" s="87">
        <v>3000</v>
      </c>
      <c r="L45" s="87">
        <v>1250</v>
      </c>
      <c r="M45" s="87">
        <v>0</v>
      </c>
      <c r="N45" s="87">
        <v>1928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7"/>
  <sheetViews>
    <sheetView zoomScale="64" workbookViewId="0">
      <selection activeCell="F10" sqref="F10"/>
    </sheetView>
  </sheetViews>
  <sheetFormatPr defaultColWidth="8.6640625" defaultRowHeight="14.4" x14ac:dyDescent="0.3"/>
  <cols>
    <col min="1" max="1" width="8" style="61" customWidth="1"/>
    <col min="2" max="2" width="10" style="61" customWidth="1"/>
    <col min="3" max="3" width="13" style="102" customWidth="1"/>
    <col min="4" max="4" width="15" style="61" customWidth="1"/>
    <col min="5" max="5" width="12" style="61" customWidth="1"/>
    <col min="6" max="6" width="14" style="61" customWidth="1"/>
    <col min="7" max="7" width="12" style="61" customWidth="1"/>
    <col min="8" max="8" width="14" style="61" customWidth="1"/>
    <col min="9" max="9" width="12" style="61" customWidth="1"/>
    <col min="10" max="10" width="16" style="61" customWidth="1"/>
    <col min="11" max="11" width="12" style="61" customWidth="1"/>
    <col min="12" max="13" width="10" style="61" customWidth="1"/>
    <col min="14" max="14" width="14" style="61" customWidth="1"/>
    <col min="15" max="15" width="38" style="61" customWidth="1"/>
    <col min="16" max="16" width="20" style="61" customWidth="1"/>
    <col min="17" max="17" width="22" style="61" customWidth="1"/>
    <col min="18" max="18" width="15.44140625" bestFit="1" customWidth="1"/>
  </cols>
  <sheetData>
    <row r="1" spans="1:21" x14ac:dyDescent="0.3">
      <c r="A1" s="80" t="s">
        <v>92</v>
      </c>
      <c r="B1" s="80" t="s">
        <v>49</v>
      </c>
      <c r="C1" s="100" t="s">
        <v>0</v>
      </c>
      <c r="D1" s="80" t="s">
        <v>93</v>
      </c>
      <c r="E1" s="80" t="s">
        <v>82</v>
      </c>
      <c r="F1" s="80" t="s">
        <v>94</v>
      </c>
      <c r="G1" s="80" t="s">
        <v>95</v>
      </c>
      <c r="H1" s="80" t="s">
        <v>96</v>
      </c>
      <c r="I1" s="80" t="s">
        <v>97</v>
      </c>
      <c r="J1" s="80" t="s">
        <v>98</v>
      </c>
      <c r="K1" s="80" t="s">
        <v>99</v>
      </c>
      <c r="L1" s="80" t="s">
        <v>100</v>
      </c>
      <c r="M1" s="80" t="s">
        <v>101</v>
      </c>
      <c r="N1" s="80" t="s">
        <v>102</v>
      </c>
      <c r="O1" s="80" t="s">
        <v>103</v>
      </c>
      <c r="P1" s="80" t="s">
        <v>104</v>
      </c>
      <c r="Q1" s="80" t="s">
        <v>105</v>
      </c>
      <c r="R1" s="80" t="s">
        <v>106</v>
      </c>
      <c r="U1" s="88">
        <f>SUM(L:L)</f>
        <v>88174</v>
      </c>
    </row>
    <row r="2" spans="1:21" x14ac:dyDescent="0.3">
      <c r="A2" s="87" t="s">
        <v>1</v>
      </c>
      <c r="B2" s="87" t="s">
        <v>59</v>
      </c>
      <c r="C2" s="101">
        <v>46125</v>
      </c>
      <c r="D2" s="89">
        <v>15000</v>
      </c>
      <c r="E2" s="89">
        <v>0</v>
      </c>
      <c r="F2" s="89">
        <f>0</f>
        <v>0</v>
      </c>
      <c r="G2" s="89">
        <v>15000</v>
      </c>
      <c r="H2" s="90">
        <f t="shared" ref="H2:H36" si="0">MAX(0,H3+E3-Q3)</f>
        <v>0</v>
      </c>
      <c r="I2" s="90">
        <f t="shared" ref="I2:I65" si="1">MAX(0,E2+H2-F2)</f>
        <v>0</v>
      </c>
      <c r="J2" s="90">
        <f t="shared" ref="J2:J65" si="2">MIN(Q2,I2,MAX(0,E2+G2-F2))</f>
        <v>0</v>
      </c>
      <c r="K2" s="90">
        <f t="shared" ref="K2:K65" si="3">MIN(G2,MAX(0,F2+J2-E2))</f>
        <v>0</v>
      </c>
      <c r="L2" s="90">
        <f t="shared" ref="L2:L65" si="4">MAX(0,E2-F2-J2)</f>
        <v>0</v>
      </c>
      <c r="M2" s="90">
        <f t="shared" ref="M2:M65" si="5">MAX(0,F2+J2-E2)</f>
        <v>0</v>
      </c>
      <c r="N2" s="91">
        <f t="shared" ref="N2:N65" si="6">IFERROR(SUMIFS($J$2:$J$217,$B$2:$B$217,B2,$C$2:$C$217,C2)/D2,0)</f>
        <v>0.85006666666666664</v>
      </c>
      <c r="O2" s="61" t="s">
        <v>107</v>
      </c>
      <c r="P2" s="92">
        <f>0</f>
        <v>0</v>
      </c>
      <c r="Q2" s="92">
        <f t="shared" ref="Q2:Q65" si="7">MAX(0,D2-P2)</f>
        <v>15000</v>
      </c>
      <c r="R2" s="93">
        <f t="shared" ref="R2:R65" si="8">MAX(0,MIN(E2,F2+J2))</f>
        <v>0</v>
      </c>
      <c r="U2" s="94">
        <f>SUM(E:E)</f>
        <v>680312</v>
      </c>
    </row>
    <row r="3" spans="1:21" ht="15" customHeight="1" thickBot="1" x14ac:dyDescent="0.35">
      <c r="A3" s="87" t="s">
        <v>1</v>
      </c>
      <c r="B3" s="87" t="s">
        <v>59</v>
      </c>
      <c r="C3" s="101">
        <v>46132</v>
      </c>
      <c r="D3" s="89">
        <v>15000</v>
      </c>
      <c r="E3" s="89">
        <v>0</v>
      </c>
      <c r="F3" s="89">
        <f t="shared" ref="F3:F37" si="9">K2</f>
        <v>0</v>
      </c>
      <c r="G3" s="89">
        <v>15000</v>
      </c>
      <c r="H3" s="90">
        <f t="shared" si="0"/>
        <v>0</v>
      </c>
      <c r="I3" s="90">
        <f t="shared" si="1"/>
        <v>0</v>
      </c>
      <c r="J3" s="90">
        <f t="shared" si="2"/>
        <v>0</v>
      </c>
      <c r="K3" s="90">
        <f t="shared" si="3"/>
        <v>0</v>
      </c>
      <c r="L3" s="90">
        <f t="shared" si="4"/>
        <v>0</v>
      </c>
      <c r="M3" s="90">
        <f t="shared" si="5"/>
        <v>0</v>
      </c>
      <c r="N3" s="91">
        <f t="shared" si="6"/>
        <v>0.14993333333333334</v>
      </c>
      <c r="O3" s="61" t="s">
        <v>108</v>
      </c>
      <c r="P3" s="92">
        <f>SUMIFS($J$2:J2,$B$2:B2,B3,$C$2:C2,C3)</f>
        <v>0</v>
      </c>
      <c r="Q3" s="92">
        <f t="shared" si="7"/>
        <v>15000</v>
      </c>
      <c r="R3" s="93">
        <f t="shared" si="8"/>
        <v>0</v>
      </c>
      <c r="U3" s="95">
        <f>U1/U2</f>
        <v>0.12960817977633793</v>
      </c>
    </row>
    <row r="4" spans="1:21" x14ac:dyDescent="0.3">
      <c r="A4" s="87" t="s">
        <v>1</v>
      </c>
      <c r="B4" s="87" t="s">
        <v>59</v>
      </c>
      <c r="C4" s="101">
        <v>46139</v>
      </c>
      <c r="D4" s="89">
        <v>15000</v>
      </c>
      <c r="E4" s="89">
        <v>684</v>
      </c>
      <c r="F4" s="89">
        <f t="shared" si="9"/>
        <v>0</v>
      </c>
      <c r="G4" s="89">
        <v>15000</v>
      </c>
      <c r="H4" s="90">
        <f t="shared" si="0"/>
        <v>10000</v>
      </c>
      <c r="I4" s="90">
        <f t="shared" si="1"/>
        <v>10684</v>
      </c>
      <c r="J4" s="90">
        <f t="shared" si="2"/>
        <v>10684</v>
      </c>
      <c r="K4" s="90">
        <f t="shared" si="3"/>
        <v>10000</v>
      </c>
      <c r="L4" s="90">
        <f t="shared" si="4"/>
        <v>0</v>
      </c>
      <c r="M4" s="90">
        <f t="shared" si="5"/>
        <v>10000</v>
      </c>
      <c r="N4" s="91">
        <f t="shared" si="6"/>
        <v>0.71226666666666671</v>
      </c>
      <c r="P4" s="92">
        <f>SUMIFS($J$2:J3,$B$2:B3,B4,$C$2:C3,C4)</f>
        <v>0</v>
      </c>
      <c r="Q4" s="92">
        <f t="shared" si="7"/>
        <v>15000</v>
      </c>
      <c r="R4" s="93">
        <f t="shared" si="8"/>
        <v>684</v>
      </c>
    </row>
    <row r="5" spans="1:21" x14ac:dyDescent="0.3">
      <c r="A5" s="87" t="s">
        <v>1</v>
      </c>
      <c r="B5" s="87" t="s">
        <v>59</v>
      </c>
      <c r="C5" s="101">
        <v>46146</v>
      </c>
      <c r="D5" s="89">
        <v>15000</v>
      </c>
      <c r="E5" s="89">
        <v>20000</v>
      </c>
      <c r="F5" s="89">
        <f t="shared" si="9"/>
        <v>10000</v>
      </c>
      <c r="G5" s="89">
        <v>15000</v>
      </c>
      <c r="H5" s="90">
        <f t="shared" si="0"/>
        <v>5000</v>
      </c>
      <c r="I5" s="90">
        <f t="shared" si="1"/>
        <v>15000</v>
      </c>
      <c r="J5" s="90">
        <f t="shared" si="2"/>
        <v>15000</v>
      </c>
      <c r="K5" s="90">
        <f t="shared" si="3"/>
        <v>5000</v>
      </c>
      <c r="L5" s="90">
        <f t="shared" si="4"/>
        <v>0</v>
      </c>
      <c r="M5" s="90">
        <f t="shared" si="5"/>
        <v>5000</v>
      </c>
      <c r="N5" s="91">
        <f t="shared" si="6"/>
        <v>1</v>
      </c>
      <c r="P5" s="92">
        <f>SUMIFS($J$2:J4,$B$2:B4,B5,$C$2:C4,C5)</f>
        <v>0</v>
      </c>
      <c r="Q5" s="92">
        <f t="shared" si="7"/>
        <v>15000</v>
      </c>
      <c r="R5" s="93">
        <f t="shared" si="8"/>
        <v>20000</v>
      </c>
    </row>
    <row r="6" spans="1:21" x14ac:dyDescent="0.3">
      <c r="A6" s="87" t="s">
        <v>1</v>
      </c>
      <c r="B6" s="87" t="s">
        <v>59</v>
      </c>
      <c r="C6" s="101">
        <v>46153</v>
      </c>
      <c r="D6" s="89">
        <v>15000</v>
      </c>
      <c r="E6" s="89">
        <v>20000</v>
      </c>
      <c r="F6" s="89">
        <f t="shared" si="9"/>
        <v>5000</v>
      </c>
      <c r="G6" s="89">
        <v>15000</v>
      </c>
      <c r="H6" s="90">
        <f t="shared" si="0"/>
        <v>0</v>
      </c>
      <c r="I6" s="90">
        <f t="shared" si="1"/>
        <v>15000</v>
      </c>
      <c r="J6" s="90">
        <f t="shared" si="2"/>
        <v>15000</v>
      </c>
      <c r="K6" s="90">
        <f t="shared" si="3"/>
        <v>0</v>
      </c>
      <c r="L6" s="90">
        <f t="shared" si="4"/>
        <v>0</v>
      </c>
      <c r="M6" s="90">
        <f t="shared" si="5"/>
        <v>0</v>
      </c>
      <c r="N6" s="91">
        <f t="shared" si="6"/>
        <v>1</v>
      </c>
      <c r="P6" s="92">
        <f>SUMIFS($J$2:J5,$B$2:B5,B6,$C$2:C5,C6)</f>
        <v>0</v>
      </c>
      <c r="Q6" s="92">
        <f t="shared" si="7"/>
        <v>15000</v>
      </c>
      <c r="R6" s="93">
        <f t="shared" si="8"/>
        <v>20000</v>
      </c>
    </row>
    <row r="7" spans="1:21" x14ac:dyDescent="0.3">
      <c r="A7" s="87" t="s">
        <v>1</v>
      </c>
      <c r="B7" s="87" t="s">
        <v>59</v>
      </c>
      <c r="C7" s="101">
        <v>46160</v>
      </c>
      <c r="D7" s="89">
        <v>15000</v>
      </c>
      <c r="E7" s="89">
        <v>11000</v>
      </c>
      <c r="F7" s="89">
        <f t="shared" si="9"/>
        <v>0</v>
      </c>
      <c r="G7" s="89">
        <v>15000</v>
      </c>
      <c r="H7" s="90">
        <f t="shared" si="0"/>
        <v>0</v>
      </c>
      <c r="I7" s="90">
        <f t="shared" si="1"/>
        <v>11000</v>
      </c>
      <c r="J7" s="90">
        <f t="shared" si="2"/>
        <v>11000</v>
      </c>
      <c r="K7" s="90">
        <f t="shared" si="3"/>
        <v>0</v>
      </c>
      <c r="L7" s="90">
        <f t="shared" si="4"/>
        <v>0</v>
      </c>
      <c r="M7" s="90">
        <f t="shared" si="5"/>
        <v>0</v>
      </c>
      <c r="N7" s="91">
        <f t="shared" si="6"/>
        <v>1</v>
      </c>
      <c r="P7" s="92">
        <f>SUMIFS($J$2:J6,$B$2:B6,B7,$C$2:C6,C7)</f>
        <v>0</v>
      </c>
      <c r="Q7" s="92">
        <f t="shared" si="7"/>
        <v>15000</v>
      </c>
      <c r="R7" s="93">
        <f t="shared" si="8"/>
        <v>11000</v>
      </c>
    </row>
    <row r="8" spans="1:21" x14ac:dyDescent="0.3">
      <c r="A8" s="87" t="s">
        <v>1</v>
      </c>
      <c r="B8" s="87" t="s">
        <v>59</v>
      </c>
      <c r="C8" s="101">
        <v>46167</v>
      </c>
      <c r="D8" s="89">
        <v>15000</v>
      </c>
      <c r="E8" s="89">
        <v>13000</v>
      </c>
      <c r="F8" s="89">
        <f t="shared" si="9"/>
        <v>0</v>
      </c>
      <c r="G8" s="89">
        <v>15000</v>
      </c>
      <c r="H8" s="90">
        <f t="shared" si="0"/>
        <v>0</v>
      </c>
      <c r="I8" s="90">
        <f t="shared" si="1"/>
        <v>13000</v>
      </c>
      <c r="J8" s="90">
        <f t="shared" si="2"/>
        <v>13000</v>
      </c>
      <c r="K8" s="90">
        <f t="shared" si="3"/>
        <v>0</v>
      </c>
      <c r="L8" s="90">
        <f t="shared" si="4"/>
        <v>0</v>
      </c>
      <c r="M8" s="90">
        <f t="shared" si="5"/>
        <v>0</v>
      </c>
      <c r="N8" s="91">
        <f t="shared" si="6"/>
        <v>1</v>
      </c>
      <c r="P8" s="92">
        <f>SUMIFS($J$2:J7,$B$2:B7,B8,$C$2:C7,C8)</f>
        <v>0</v>
      </c>
      <c r="Q8" s="92">
        <f t="shared" si="7"/>
        <v>15000</v>
      </c>
      <c r="R8" s="93">
        <f t="shared" si="8"/>
        <v>13000</v>
      </c>
    </row>
    <row r="9" spans="1:21" x14ac:dyDescent="0.3">
      <c r="A9" s="87" t="s">
        <v>1</v>
      </c>
      <c r="B9" s="87" t="s">
        <v>59</v>
      </c>
      <c r="C9" s="101">
        <v>46174</v>
      </c>
      <c r="D9" s="89">
        <v>15000</v>
      </c>
      <c r="E9" s="89">
        <v>13773</v>
      </c>
      <c r="F9" s="89">
        <f t="shared" si="9"/>
        <v>0</v>
      </c>
      <c r="G9" s="89">
        <v>15000</v>
      </c>
      <c r="H9" s="90">
        <f t="shared" si="0"/>
        <v>0</v>
      </c>
      <c r="I9" s="90">
        <f t="shared" si="1"/>
        <v>13773</v>
      </c>
      <c r="J9" s="90">
        <f t="shared" si="2"/>
        <v>13773</v>
      </c>
      <c r="K9" s="90">
        <f t="shared" si="3"/>
        <v>0</v>
      </c>
      <c r="L9" s="90">
        <f t="shared" si="4"/>
        <v>0</v>
      </c>
      <c r="M9" s="90">
        <f t="shared" si="5"/>
        <v>0</v>
      </c>
      <c r="N9" s="91">
        <f t="shared" si="6"/>
        <v>1</v>
      </c>
      <c r="P9" s="92">
        <f>SUMIFS($J$2:J8,$B$2:B8,B9,$C$2:C8,C9)</f>
        <v>0</v>
      </c>
      <c r="Q9" s="92">
        <f t="shared" si="7"/>
        <v>15000</v>
      </c>
      <c r="R9" s="93">
        <f t="shared" si="8"/>
        <v>13773</v>
      </c>
    </row>
    <row r="10" spans="1:21" x14ac:dyDescent="0.3">
      <c r="A10" s="87" t="s">
        <v>1</v>
      </c>
      <c r="B10" s="87" t="s">
        <v>59</v>
      </c>
      <c r="C10" s="101">
        <v>46181</v>
      </c>
      <c r="D10" s="89">
        <v>15000</v>
      </c>
      <c r="E10" s="89">
        <v>7058</v>
      </c>
      <c r="F10" s="89">
        <f t="shared" si="9"/>
        <v>0</v>
      </c>
      <c r="G10" s="89">
        <v>15000</v>
      </c>
      <c r="H10" s="90">
        <f t="shared" si="0"/>
        <v>0</v>
      </c>
      <c r="I10" s="90">
        <f t="shared" si="1"/>
        <v>7058</v>
      </c>
      <c r="J10" s="90">
        <f t="shared" si="2"/>
        <v>7058</v>
      </c>
      <c r="K10" s="90">
        <f t="shared" si="3"/>
        <v>0</v>
      </c>
      <c r="L10" s="90">
        <f t="shared" si="4"/>
        <v>0</v>
      </c>
      <c r="M10" s="90">
        <f t="shared" si="5"/>
        <v>0</v>
      </c>
      <c r="N10" s="91">
        <f t="shared" si="6"/>
        <v>0.82446666666666668</v>
      </c>
      <c r="P10" s="92">
        <f>SUMIFS($J$2:J9,$B$2:B9,B10,$C$2:C9,C10)</f>
        <v>0</v>
      </c>
      <c r="Q10" s="92">
        <f t="shared" si="7"/>
        <v>15000</v>
      </c>
      <c r="R10" s="93">
        <f t="shared" si="8"/>
        <v>7058</v>
      </c>
    </row>
    <row r="11" spans="1:21" x14ac:dyDescent="0.3">
      <c r="A11" s="87" t="s">
        <v>1</v>
      </c>
      <c r="B11" s="87" t="s">
        <v>59</v>
      </c>
      <c r="C11" s="101">
        <v>46188</v>
      </c>
      <c r="D11" s="89">
        <v>15000</v>
      </c>
      <c r="E11" s="89">
        <v>2040</v>
      </c>
      <c r="F11" s="89">
        <f t="shared" si="9"/>
        <v>0</v>
      </c>
      <c r="G11" s="89">
        <v>15000</v>
      </c>
      <c r="H11" s="90">
        <f t="shared" si="0"/>
        <v>0</v>
      </c>
      <c r="I11" s="90">
        <f t="shared" si="1"/>
        <v>2040</v>
      </c>
      <c r="J11" s="90">
        <f t="shared" si="2"/>
        <v>2040</v>
      </c>
      <c r="K11" s="90">
        <f t="shared" si="3"/>
        <v>0</v>
      </c>
      <c r="L11" s="90">
        <f t="shared" si="4"/>
        <v>0</v>
      </c>
      <c r="M11" s="90">
        <f t="shared" si="5"/>
        <v>0</v>
      </c>
      <c r="N11" s="91">
        <f t="shared" si="6"/>
        <v>0.48993333333333333</v>
      </c>
      <c r="P11" s="92">
        <f>SUMIFS($J$2:J10,$B$2:B10,B11,$C$2:C10,C11)</f>
        <v>0</v>
      </c>
      <c r="Q11" s="92">
        <f t="shared" si="7"/>
        <v>15000</v>
      </c>
      <c r="R11" s="93">
        <f t="shared" si="8"/>
        <v>2040</v>
      </c>
    </row>
    <row r="12" spans="1:21" x14ac:dyDescent="0.3">
      <c r="A12" s="87" t="s">
        <v>1</v>
      </c>
      <c r="B12" s="87" t="s">
        <v>59</v>
      </c>
      <c r="C12" s="101">
        <v>46195</v>
      </c>
      <c r="D12" s="89">
        <v>15000</v>
      </c>
      <c r="E12" s="89">
        <v>3541</v>
      </c>
      <c r="F12" s="89">
        <f t="shared" si="9"/>
        <v>0</v>
      </c>
      <c r="G12" s="89">
        <v>15000</v>
      </c>
      <c r="H12" s="90">
        <f t="shared" si="0"/>
        <v>0</v>
      </c>
      <c r="I12" s="90">
        <f t="shared" si="1"/>
        <v>3541</v>
      </c>
      <c r="J12" s="90">
        <f t="shared" si="2"/>
        <v>3541</v>
      </c>
      <c r="K12" s="90">
        <f t="shared" si="3"/>
        <v>0</v>
      </c>
      <c r="L12" s="90">
        <f t="shared" si="4"/>
        <v>0</v>
      </c>
      <c r="M12" s="90">
        <f t="shared" si="5"/>
        <v>0</v>
      </c>
      <c r="N12" s="91">
        <f t="shared" si="6"/>
        <v>0.44146666666666667</v>
      </c>
      <c r="P12" s="92">
        <f>SUMIFS($J$2:J11,$B$2:B11,B12,$C$2:C11,C12)</f>
        <v>0</v>
      </c>
      <c r="Q12" s="92">
        <f t="shared" si="7"/>
        <v>15000</v>
      </c>
      <c r="R12" s="93">
        <f t="shared" si="8"/>
        <v>3541</v>
      </c>
    </row>
    <row r="13" spans="1:21" x14ac:dyDescent="0.3">
      <c r="A13" s="87" t="s">
        <v>1</v>
      </c>
      <c r="B13" s="87" t="s">
        <v>59</v>
      </c>
      <c r="C13" s="101">
        <v>46202</v>
      </c>
      <c r="D13" s="89">
        <v>15000</v>
      </c>
      <c r="E13" s="89">
        <v>12041</v>
      </c>
      <c r="F13" s="89">
        <f t="shared" si="9"/>
        <v>0</v>
      </c>
      <c r="G13" s="89">
        <v>15000</v>
      </c>
      <c r="H13" s="90">
        <f t="shared" si="0"/>
        <v>0</v>
      </c>
      <c r="I13" s="90">
        <f t="shared" si="1"/>
        <v>12041</v>
      </c>
      <c r="J13" s="90">
        <f t="shared" si="2"/>
        <v>12041</v>
      </c>
      <c r="K13" s="90">
        <f t="shared" si="3"/>
        <v>0</v>
      </c>
      <c r="L13" s="90">
        <f t="shared" si="4"/>
        <v>0</v>
      </c>
      <c r="M13" s="90">
        <f t="shared" si="5"/>
        <v>0</v>
      </c>
      <c r="N13" s="91">
        <f t="shared" si="6"/>
        <v>1</v>
      </c>
      <c r="P13" s="92">
        <f>SUMIFS($J$2:J12,$B$2:B12,B13,$C$2:C12,C13)</f>
        <v>0</v>
      </c>
      <c r="Q13" s="92">
        <f t="shared" si="7"/>
        <v>15000</v>
      </c>
      <c r="R13" s="93">
        <f t="shared" si="8"/>
        <v>12041</v>
      </c>
    </row>
    <row r="14" spans="1:21" x14ac:dyDescent="0.3">
      <c r="A14" s="87" t="s">
        <v>1</v>
      </c>
      <c r="B14" s="87" t="s">
        <v>59</v>
      </c>
      <c r="C14" s="101">
        <v>46209</v>
      </c>
      <c r="D14" s="89">
        <v>15000</v>
      </c>
      <c r="E14" s="89">
        <v>12040</v>
      </c>
      <c r="F14" s="89">
        <f t="shared" si="9"/>
        <v>0</v>
      </c>
      <c r="G14" s="89">
        <v>15000</v>
      </c>
      <c r="H14" s="90">
        <f t="shared" si="0"/>
        <v>0</v>
      </c>
      <c r="I14" s="90">
        <f t="shared" si="1"/>
        <v>12040</v>
      </c>
      <c r="J14" s="90">
        <f t="shared" si="2"/>
        <v>12040</v>
      </c>
      <c r="K14" s="90">
        <f t="shared" si="3"/>
        <v>0</v>
      </c>
      <c r="L14" s="90">
        <f t="shared" si="4"/>
        <v>0</v>
      </c>
      <c r="M14" s="90">
        <f t="shared" si="5"/>
        <v>0</v>
      </c>
      <c r="N14" s="91">
        <f t="shared" si="6"/>
        <v>1</v>
      </c>
      <c r="P14" s="92">
        <f>SUMIFS($J$2:J13,$B$2:B13,B14,$C$2:C13,C14)</f>
        <v>0</v>
      </c>
      <c r="Q14" s="92">
        <f t="shared" si="7"/>
        <v>15000</v>
      </c>
      <c r="R14" s="93">
        <f t="shared" si="8"/>
        <v>12040</v>
      </c>
    </row>
    <row r="15" spans="1:21" x14ac:dyDescent="0.3">
      <c r="A15" s="87" t="s">
        <v>1</v>
      </c>
      <c r="B15" s="87" t="s">
        <v>59</v>
      </c>
      <c r="C15" s="101">
        <v>46216</v>
      </c>
      <c r="D15" s="89">
        <v>15000</v>
      </c>
      <c r="E15" s="89">
        <v>0</v>
      </c>
      <c r="F15" s="89">
        <f t="shared" si="9"/>
        <v>0</v>
      </c>
      <c r="G15" s="89">
        <v>15000</v>
      </c>
      <c r="H15" s="90">
        <f t="shared" si="0"/>
        <v>9246</v>
      </c>
      <c r="I15" s="90">
        <f t="shared" si="1"/>
        <v>9246</v>
      </c>
      <c r="J15" s="90">
        <f t="shared" si="2"/>
        <v>9246</v>
      </c>
      <c r="K15" s="90">
        <f t="shared" si="3"/>
        <v>9246</v>
      </c>
      <c r="L15" s="90">
        <f t="shared" si="4"/>
        <v>0</v>
      </c>
      <c r="M15" s="90">
        <f t="shared" si="5"/>
        <v>9246</v>
      </c>
      <c r="N15" s="91">
        <f t="shared" si="6"/>
        <v>0.81640000000000001</v>
      </c>
      <c r="P15" s="92">
        <f>SUMIFS($J$2:J14,$B$2:B14,B15,$C$2:C14,C15)</f>
        <v>0</v>
      </c>
      <c r="Q15" s="92">
        <f t="shared" si="7"/>
        <v>15000</v>
      </c>
      <c r="R15" s="93">
        <f t="shared" si="8"/>
        <v>0</v>
      </c>
    </row>
    <row r="16" spans="1:21" x14ac:dyDescent="0.3">
      <c r="A16" s="87" t="s">
        <v>1</v>
      </c>
      <c r="B16" s="87" t="s">
        <v>59</v>
      </c>
      <c r="C16" s="101">
        <v>46223</v>
      </c>
      <c r="D16" s="89">
        <v>15000</v>
      </c>
      <c r="E16" s="89">
        <v>0</v>
      </c>
      <c r="F16" s="89">
        <f t="shared" si="9"/>
        <v>9246</v>
      </c>
      <c r="G16" s="89">
        <v>15000</v>
      </c>
      <c r="H16" s="90">
        <f t="shared" si="0"/>
        <v>24246</v>
      </c>
      <c r="I16" s="90">
        <f t="shared" si="1"/>
        <v>15000</v>
      </c>
      <c r="J16" s="90">
        <f t="shared" si="2"/>
        <v>5754</v>
      </c>
      <c r="K16" s="90">
        <f t="shared" si="3"/>
        <v>15000</v>
      </c>
      <c r="L16" s="90">
        <f t="shared" si="4"/>
        <v>0</v>
      </c>
      <c r="M16" s="90">
        <f t="shared" si="5"/>
        <v>15000</v>
      </c>
      <c r="N16" s="91">
        <f t="shared" si="6"/>
        <v>0.7036</v>
      </c>
      <c r="P16" s="92">
        <f>SUMIFS($J$2:J15,$B$2:B15,B16,$C$2:C15,C16)</f>
        <v>0</v>
      </c>
      <c r="Q16" s="92">
        <f t="shared" si="7"/>
        <v>15000</v>
      </c>
      <c r="R16" s="93">
        <f t="shared" si="8"/>
        <v>0</v>
      </c>
    </row>
    <row r="17" spans="1:18" x14ac:dyDescent="0.3">
      <c r="A17" s="87" t="s">
        <v>1</v>
      </c>
      <c r="B17" s="87" t="s">
        <v>59</v>
      </c>
      <c r="C17" s="101">
        <v>46230</v>
      </c>
      <c r="D17" s="89">
        <v>15000</v>
      </c>
      <c r="E17" s="89">
        <v>27760</v>
      </c>
      <c r="F17" s="89">
        <f t="shared" si="9"/>
        <v>15000</v>
      </c>
      <c r="G17" s="89">
        <v>15000</v>
      </c>
      <c r="H17" s="90">
        <f t="shared" si="0"/>
        <v>11486</v>
      </c>
      <c r="I17" s="90">
        <f t="shared" si="1"/>
        <v>24246</v>
      </c>
      <c r="J17" s="90">
        <f t="shared" si="2"/>
        <v>15000</v>
      </c>
      <c r="K17" s="90">
        <f t="shared" si="3"/>
        <v>2240</v>
      </c>
      <c r="L17" s="90">
        <f t="shared" si="4"/>
        <v>0</v>
      </c>
      <c r="M17" s="90">
        <f t="shared" si="5"/>
        <v>2240</v>
      </c>
      <c r="N17" s="91">
        <f t="shared" si="6"/>
        <v>1</v>
      </c>
      <c r="P17" s="92">
        <f>SUMIFS($J$2:J16,$B$2:B16,B17,$C$2:C16,C17)</f>
        <v>0</v>
      </c>
      <c r="Q17" s="92">
        <f t="shared" si="7"/>
        <v>15000</v>
      </c>
      <c r="R17" s="93">
        <f t="shared" si="8"/>
        <v>27760</v>
      </c>
    </row>
    <row r="18" spans="1:18" x14ac:dyDescent="0.3">
      <c r="A18" s="87" t="s">
        <v>1</v>
      </c>
      <c r="B18" s="87" t="s">
        <v>59</v>
      </c>
      <c r="C18" s="101">
        <v>46237</v>
      </c>
      <c r="D18" s="89">
        <v>15000</v>
      </c>
      <c r="E18" s="89">
        <v>26486</v>
      </c>
      <c r="F18" s="89">
        <f t="shared" si="9"/>
        <v>2240</v>
      </c>
      <c r="G18" s="89">
        <v>15000</v>
      </c>
      <c r="H18" s="90">
        <f t="shared" si="0"/>
        <v>0</v>
      </c>
      <c r="I18" s="90">
        <f t="shared" si="1"/>
        <v>24246</v>
      </c>
      <c r="J18" s="90">
        <f t="shared" si="2"/>
        <v>15000</v>
      </c>
      <c r="K18" s="90">
        <f t="shared" si="3"/>
        <v>0</v>
      </c>
      <c r="L18" s="90">
        <f t="shared" si="4"/>
        <v>9246</v>
      </c>
      <c r="M18" s="90">
        <f t="shared" si="5"/>
        <v>0</v>
      </c>
      <c r="N18" s="91">
        <f t="shared" si="6"/>
        <v>1</v>
      </c>
      <c r="P18" s="92">
        <f>SUMIFS($J$2:J17,$B$2:B17,B18,$C$2:C17,C18)</f>
        <v>0</v>
      </c>
      <c r="Q18" s="92">
        <f t="shared" si="7"/>
        <v>15000</v>
      </c>
      <c r="R18" s="93">
        <f t="shared" si="8"/>
        <v>17240</v>
      </c>
    </row>
    <row r="19" spans="1:18" x14ac:dyDescent="0.3">
      <c r="A19" s="87" t="s">
        <v>1</v>
      </c>
      <c r="B19" s="87" t="s">
        <v>59</v>
      </c>
      <c r="C19" s="101">
        <v>46244</v>
      </c>
      <c r="D19" s="89">
        <v>15000</v>
      </c>
      <c r="E19" s="89">
        <v>4248</v>
      </c>
      <c r="F19" s="89">
        <f t="shared" si="9"/>
        <v>0</v>
      </c>
      <c r="G19" s="89">
        <v>15000</v>
      </c>
      <c r="H19" s="90">
        <f t="shared" si="0"/>
        <v>0</v>
      </c>
      <c r="I19" s="90">
        <f t="shared" si="1"/>
        <v>4248</v>
      </c>
      <c r="J19" s="90">
        <f t="shared" si="2"/>
        <v>4248</v>
      </c>
      <c r="K19" s="90">
        <f t="shared" si="3"/>
        <v>0</v>
      </c>
      <c r="L19" s="90">
        <f t="shared" si="4"/>
        <v>0</v>
      </c>
      <c r="M19" s="90">
        <f t="shared" si="5"/>
        <v>0</v>
      </c>
      <c r="N19" s="91">
        <f t="shared" si="6"/>
        <v>0.44319999999999998</v>
      </c>
      <c r="P19" s="92">
        <f>SUMIFS($J$2:J18,$B$2:B18,B19,$C$2:C18,C19)</f>
        <v>0</v>
      </c>
      <c r="Q19" s="92">
        <f t="shared" si="7"/>
        <v>15000</v>
      </c>
      <c r="R19" s="93">
        <f t="shared" si="8"/>
        <v>4248</v>
      </c>
    </row>
    <row r="20" spans="1:18" x14ac:dyDescent="0.3">
      <c r="A20" s="87" t="s">
        <v>1</v>
      </c>
      <c r="B20" s="87" t="s">
        <v>59</v>
      </c>
      <c r="C20" s="101">
        <v>46251</v>
      </c>
      <c r="D20" s="89">
        <v>15000</v>
      </c>
      <c r="E20" s="89">
        <v>4248</v>
      </c>
      <c r="F20" s="89">
        <f t="shared" si="9"/>
        <v>0</v>
      </c>
      <c r="G20" s="89">
        <v>15000</v>
      </c>
      <c r="H20" s="90">
        <f t="shared" si="0"/>
        <v>0</v>
      </c>
      <c r="I20" s="90">
        <f t="shared" si="1"/>
        <v>4248</v>
      </c>
      <c r="J20" s="90">
        <f t="shared" si="2"/>
        <v>4248</v>
      </c>
      <c r="K20" s="90">
        <f t="shared" si="3"/>
        <v>0</v>
      </c>
      <c r="L20" s="90">
        <f t="shared" si="4"/>
        <v>0</v>
      </c>
      <c r="M20" s="90">
        <f t="shared" si="5"/>
        <v>0</v>
      </c>
      <c r="N20" s="91">
        <f t="shared" si="6"/>
        <v>0.44319999999999998</v>
      </c>
      <c r="P20" s="92">
        <f>SUMIFS($J$2:J19,$B$2:B19,B20,$C$2:C19,C20)</f>
        <v>0</v>
      </c>
      <c r="Q20" s="92">
        <f t="shared" si="7"/>
        <v>15000</v>
      </c>
      <c r="R20" s="93">
        <f t="shared" si="8"/>
        <v>4248</v>
      </c>
    </row>
    <row r="21" spans="1:18" x14ac:dyDescent="0.3">
      <c r="A21" s="87" t="s">
        <v>1</v>
      </c>
      <c r="B21" s="87" t="s">
        <v>59</v>
      </c>
      <c r="C21" s="101">
        <v>46258</v>
      </c>
      <c r="D21" s="89">
        <v>15000</v>
      </c>
      <c r="E21" s="89">
        <v>4249</v>
      </c>
      <c r="F21" s="89">
        <f t="shared" si="9"/>
        <v>0</v>
      </c>
      <c r="G21" s="89">
        <v>15000</v>
      </c>
      <c r="H21" s="90">
        <f t="shared" si="0"/>
        <v>0</v>
      </c>
      <c r="I21" s="90">
        <f t="shared" si="1"/>
        <v>4249</v>
      </c>
      <c r="J21" s="90">
        <f t="shared" si="2"/>
        <v>4249</v>
      </c>
      <c r="K21" s="90">
        <f t="shared" si="3"/>
        <v>0</v>
      </c>
      <c r="L21" s="90">
        <f t="shared" si="4"/>
        <v>0</v>
      </c>
      <c r="M21" s="90">
        <f t="shared" si="5"/>
        <v>0</v>
      </c>
      <c r="N21" s="91">
        <f t="shared" si="6"/>
        <v>0.53326666666666667</v>
      </c>
      <c r="P21" s="92">
        <f>SUMIFS($J$2:J20,$B$2:B20,B21,$C$2:C20,C21)</f>
        <v>0</v>
      </c>
      <c r="Q21" s="92">
        <f t="shared" si="7"/>
        <v>15000</v>
      </c>
      <c r="R21" s="93">
        <f t="shared" si="8"/>
        <v>4249</v>
      </c>
    </row>
    <row r="22" spans="1:18" x14ac:dyDescent="0.3">
      <c r="A22" s="87" t="s">
        <v>1</v>
      </c>
      <c r="B22" s="87" t="s">
        <v>59</v>
      </c>
      <c r="C22" s="101">
        <v>46265</v>
      </c>
      <c r="D22" s="89">
        <v>15000</v>
      </c>
      <c r="E22" s="89">
        <v>4248</v>
      </c>
      <c r="F22" s="89">
        <f t="shared" si="9"/>
        <v>0</v>
      </c>
      <c r="G22" s="89">
        <v>15000</v>
      </c>
      <c r="H22" s="90">
        <f t="shared" si="0"/>
        <v>0</v>
      </c>
      <c r="I22" s="90">
        <f t="shared" si="1"/>
        <v>4248</v>
      </c>
      <c r="J22" s="90">
        <f t="shared" si="2"/>
        <v>4248</v>
      </c>
      <c r="K22" s="90">
        <f t="shared" si="3"/>
        <v>0</v>
      </c>
      <c r="L22" s="90">
        <f t="shared" si="4"/>
        <v>0</v>
      </c>
      <c r="M22" s="90">
        <f t="shared" si="5"/>
        <v>0</v>
      </c>
      <c r="N22" s="91">
        <f t="shared" si="6"/>
        <v>0.53320000000000001</v>
      </c>
      <c r="P22" s="92">
        <f>SUMIFS($J$2:J21,$B$2:B21,B22,$C$2:C21,C22)</f>
        <v>0</v>
      </c>
      <c r="Q22" s="92">
        <f t="shared" si="7"/>
        <v>15000</v>
      </c>
      <c r="R22" s="93">
        <f t="shared" si="8"/>
        <v>4248</v>
      </c>
    </row>
    <row r="23" spans="1:18" x14ac:dyDescent="0.3">
      <c r="A23" s="87" t="s">
        <v>1</v>
      </c>
      <c r="B23" s="87" t="s">
        <v>59</v>
      </c>
      <c r="C23" s="101">
        <v>46272</v>
      </c>
      <c r="D23" s="89">
        <v>15000</v>
      </c>
      <c r="E23" s="89">
        <v>2391</v>
      </c>
      <c r="F23" s="89">
        <f t="shared" si="9"/>
        <v>0</v>
      </c>
      <c r="G23" s="89">
        <v>15000</v>
      </c>
      <c r="H23" s="90">
        <f t="shared" si="0"/>
        <v>0</v>
      </c>
      <c r="I23" s="90">
        <f t="shared" si="1"/>
        <v>2391</v>
      </c>
      <c r="J23" s="90">
        <f t="shared" si="2"/>
        <v>2391</v>
      </c>
      <c r="K23" s="90">
        <f t="shared" si="3"/>
        <v>0</v>
      </c>
      <c r="L23" s="90">
        <f t="shared" si="4"/>
        <v>0</v>
      </c>
      <c r="M23" s="90">
        <f t="shared" si="5"/>
        <v>0</v>
      </c>
      <c r="N23" s="91">
        <f t="shared" si="6"/>
        <v>0.40939999999999999</v>
      </c>
      <c r="P23" s="92">
        <f>SUMIFS($J$2:J22,$B$2:B22,B23,$C$2:C22,C23)</f>
        <v>0</v>
      </c>
      <c r="Q23" s="92">
        <f t="shared" si="7"/>
        <v>15000</v>
      </c>
      <c r="R23" s="93">
        <f t="shared" si="8"/>
        <v>2391</v>
      </c>
    </row>
    <row r="24" spans="1:18" x14ac:dyDescent="0.3">
      <c r="A24" s="87" t="s">
        <v>1</v>
      </c>
      <c r="B24" s="87" t="s">
        <v>59</v>
      </c>
      <c r="C24" s="101">
        <v>46279</v>
      </c>
      <c r="D24" s="89">
        <v>15000</v>
      </c>
      <c r="E24" s="89">
        <v>2392</v>
      </c>
      <c r="F24" s="89">
        <f t="shared" si="9"/>
        <v>0</v>
      </c>
      <c r="G24" s="89">
        <v>15000</v>
      </c>
      <c r="H24" s="90">
        <f t="shared" si="0"/>
        <v>0</v>
      </c>
      <c r="I24" s="90">
        <f t="shared" si="1"/>
        <v>2392</v>
      </c>
      <c r="J24" s="90">
        <f t="shared" si="2"/>
        <v>2392</v>
      </c>
      <c r="K24" s="90">
        <f t="shared" si="3"/>
        <v>0</v>
      </c>
      <c r="L24" s="90">
        <f t="shared" si="4"/>
        <v>0</v>
      </c>
      <c r="M24" s="90">
        <f t="shared" si="5"/>
        <v>0</v>
      </c>
      <c r="N24" s="91">
        <f t="shared" si="6"/>
        <v>0.41613333333333336</v>
      </c>
      <c r="P24" s="92">
        <f>SUMIFS($J$2:J23,$B$2:B23,B24,$C$2:C23,C24)</f>
        <v>0</v>
      </c>
      <c r="Q24" s="92">
        <f t="shared" si="7"/>
        <v>15000</v>
      </c>
      <c r="R24" s="93">
        <f t="shared" si="8"/>
        <v>2392</v>
      </c>
    </row>
    <row r="25" spans="1:18" x14ac:dyDescent="0.3">
      <c r="A25" s="87" t="s">
        <v>1</v>
      </c>
      <c r="B25" s="87" t="s">
        <v>59</v>
      </c>
      <c r="C25" s="101">
        <v>46286</v>
      </c>
      <c r="D25" s="89">
        <v>15000</v>
      </c>
      <c r="E25" s="89">
        <v>2391</v>
      </c>
      <c r="F25" s="89">
        <f t="shared" si="9"/>
        <v>0</v>
      </c>
      <c r="G25" s="89">
        <v>15000</v>
      </c>
      <c r="H25" s="90">
        <f t="shared" si="0"/>
        <v>0</v>
      </c>
      <c r="I25" s="90">
        <f t="shared" si="1"/>
        <v>2391</v>
      </c>
      <c r="J25" s="90">
        <f t="shared" si="2"/>
        <v>2391</v>
      </c>
      <c r="K25" s="90">
        <f t="shared" si="3"/>
        <v>0</v>
      </c>
      <c r="L25" s="90">
        <f t="shared" si="4"/>
        <v>0</v>
      </c>
      <c r="M25" s="90">
        <f t="shared" si="5"/>
        <v>0</v>
      </c>
      <c r="N25" s="91">
        <f t="shared" si="6"/>
        <v>1</v>
      </c>
      <c r="P25" s="92">
        <f>SUMIFS($J$2:J24,$B$2:B24,B25,$C$2:C24,C25)</f>
        <v>0</v>
      </c>
      <c r="Q25" s="92">
        <f t="shared" si="7"/>
        <v>15000</v>
      </c>
      <c r="R25" s="93">
        <f t="shared" si="8"/>
        <v>2391</v>
      </c>
    </row>
    <row r="26" spans="1:18" x14ac:dyDescent="0.3">
      <c r="A26" s="87" t="s">
        <v>1</v>
      </c>
      <c r="B26" s="87" t="s">
        <v>59</v>
      </c>
      <c r="C26" s="101">
        <v>46293</v>
      </c>
      <c r="D26" s="89">
        <v>15000</v>
      </c>
      <c r="E26" s="89">
        <v>2392</v>
      </c>
      <c r="F26" s="89">
        <f t="shared" si="9"/>
        <v>0</v>
      </c>
      <c r="G26" s="89">
        <v>15000</v>
      </c>
      <c r="H26" s="90">
        <f t="shared" si="0"/>
        <v>4067</v>
      </c>
      <c r="I26" s="90">
        <f t="shared" si="1"/>
        <v>6459</v>
      </c>
      <c r="J26" s="90">
        <f t="shared" si="2"/>
        <v>6459</v>
      </c>
      <c r="K26" s="90">
        <f t="shared" si="3"/>
        <v>4067</v>
      </c>
      <c r="L26" s="90">
        <f t="shared" si="4"/>
        <v>0</v>
      </c>
      <c r="M26" s="90">
        <f t="shared" si="5"/>
        <v>4067</v>
      </c>
      <c r="N26" s="91">
        <f t="shared" si="6"/>
        <v>0.98333333333333328</v>
      </c>
      <c r="P26" s="92">
        <f>SUMIFS($J$2:J25,$B$2:B25,B26,$C$2:C25,C26)</f>
        <v>0</v>
      </c>
      <c r="Q26" s="92">
        <f t="shared" si="7"/>
        <v>15000</v>
      </c>
      <c r="R26" s="93">
        <f t="shared" si="8"/>
        <v>2392</v>
      </c>
    </row>
    <row r="27" spans="1:18" x14ac:dyDescent="0.3">
      <c r="A27" s="87" t="s">
        <v>1</v>
      </c>
      <c r="B27" s="87" t="s">
        <v>59</v>
      </c>
      <c r="C27" s="101">
        <v>46300</v>
      </c>
      <c r="D27" s="89">
        <v>15000</v>
      </c>
      <c r="E27" s="89">
        <v>16017</v>
      </c>
      <c r="F27" s="89">
        <f t="shared" si="9"/>
        <v>4067</v>
      </c>
      <c r="G27" s="89">
        <v>15000</v>
      </c>
      <c r="H27" s="90">
        <f t="shared" si="0"/>
        <v>3050</v>
      </c>
      <c r="I27" s="90">
        <f t="shared" si="1"/>
        <v>15000</v>
      </c>
      <c r="J27" s="90">
        <f t="shared" si="2"/>
        <v>15000</v>
      </c>
      <c r="K27" s="90">
        <f t="shared" si="3"/>
        <v>3050</v>
      </c>
      <c r="L27" s="90">
        <f t="shared" si="4"/>
        <v>0</v>
      </c>
      <c r="M27" s="90">
        <f t="shared" si="5"/>
        <v>3050</v>
      </c>
      <c r="N27" s="91">
        <f t="shared" si="6"/>
        <v>1</v>
      </c>
      <c r="P27" s="92">
        <f>SUMIFS($J$2:J26,$B$2:B26,B27,$C$2:C26,C27)</f>
        <v>0</v>
      </c>
      <c r="Q27" s="92">
        <f t="shared" si="7"/>
        <v>15000</v>
      </c>
      <c r="R27" s="93">
        <f t="shared" si="8"/>
        <v>16017</v>
      </c>
    </row>
    <row r="28" spans="1:18" x14ac:dyDescent="0.3">
      <c r="A28" s="87" t="s">
        <v>1</v>
      </c>
      <c r="B28" s="87" t="s">
        <v>59</v>
      </c>
      <c r="C28" s="101">
        <v>46307</v>
      </c>
      <c r="D28" s="89">
        <v>15000</v>
      </c>
      <c r="E28" s="89">
        <v>16017</v>
      </c>
      <c r="F28" s="89">
        <f t="shared" si="9"/>
        <v>3050</v>
      </c>
      <c r="G28" s="89">
        <v>15000</v>
      </c>
      <c r="H28" s="90">
        <f t="shared" si="0"/>
        <v>2033</v>
      </c>
      <c r="I28" s="90">
        <f t="shared" si="1"/>
        <v>15000</v>
      </c>
      <c r="J28" s="90">
        <f t="shared" si="2"/>
        <v>15000</v>
      </c>
      <c r="K28" s="90">
        <f t="shared" si="3"/>
        <v>2033</v>
      </c>
      <c r="L28" s="90">
        <f t="shared" si="4"/>
        <v>0</v>
      </c>
      <c r="M28" s="90">
        <f t="shared" si="5"/>
        <v>2033</v>
      </c>
      <c r="N28" s="91">
        <f t="shared" si="6"/>
        <v>1</v>
      </c>
      <c r="P28" s="92">
        <f>SUMIFS($J$2:J27,$B$2:B27,B28,$C$2:C27,C28)</f>
        <v>0</v>
      </c>
      <c r="Q28" s="92">
        <f t="shared" si="7"/>
        <v>15000</v>
      </c>
      <c r="R28" s="93">
        <f t="shared" si="8"/>
        <v>16017</v>
      </c>
    </row>
    <row r="29" spans="1:18" x14ac:dyDescent="0.3">
      <c r="A29" s="87" t="s">
        <v>1</v>
      </c>
      <c r="B29" s="87" t="s">
        <v>59</v>
      </c>
      <c r="C29" s="101">
        <v>46314</v>
      </c>
      <c r="D29" s="89">
        <v>15000</v>
      </c>
      <c r="E29" s="89">
        <v>16016</v>
      </c>
      <c r="F29" s="89">
        <f t="shared" si="9"/>
        <v>2033</v>
      </c>
      <c r="G29" s="89">
        <v>15000</v>
      </c>
      <c r="H29" s="90">
        <f t="shared" si="0"/>
        <v>1017</v>
      </c>
      <c r="I29" s="90">
        <f t="shared" si="1"/>
        <v>15000</v>
      </c>
      <c r="J29" s="90">
        <f t="shared" si="2"/>
        <v>15000</v>
      </c>
      <c r="K29" s="90">
        <f t="shared" si="3"/>
        <v>1017</v>
      </c>
      <c r="L29" s="90">
        <f t="shared" si="4"/>
        <v>0</v>
      </c>
      <c r="M29" s="90">
        <f t="shared" si="5"/>
        <v>1017</v>
      </c>
      <c r="N29" s="91">
        <f t="shared" si="6"/>
        <v>1</v>
      </c>
      <c r="P29" s="92">
        <f>SUMIFS($J$2:J28,$B$2:B28,B29,$C$2:C28,C29)</f>
        <v>0</v>
      </c>
      <c r="Q29" s="92">
        <f t="shared" si="7"/>
        <v>15000</v>
      </c>
      <c r="R29" s="93">
        <f t="shared" si="8"/>
        <v>16016</v>
      </c>
    </row>
    <row r="30" spans="1:18" x14ac:dyDescent="0.3">
      <c r="A30" s="87" t="s">
        <v>1</v>
      </c>
      <c r="B30" s="87" t="s">
        <v>59</v>
      </c>
      <c r="C30" s="101">
        <v>46321</v>
      </c>
      <c r="D30" s="89">
        <v>15000</v>
      </c>
      <c r="E30" s="89">
        <v>16017</v>
      </c>
      <c r="F30" s="89">
        <f t="shared" si="9"/>
        <v>1017</v>
      </c>
      <c r="G30" s="89">
        <v>15000</v>
      </c>
      <c r="H30" s="90">
        <f t="shared" si="0"/>
        <v>0</v>
      </c>
      <c r="I30" s="90">
        <f t="shared" si="1"/>
        <v>15000</v>
      </c>
      <c r="J30" s="90">
        <f t="shared" si="2"/>
        <v>15000</v>
      </c>
      <c r="K30" s="90">
        <f t="shared" si="3"/>
        <v>0</v>
      </c>
      <c r="L30" s="90">
        <f t="shared" si="4"/>
        <v>0</v>
      </c>
      <c r="M30" s="90">
        <f t="shared" si="5"/>
        <v>0</v>
      </c>
      <c r="N30" s="91">
        <f t="shared" si="6"/>
        <v>1</v>
      </c>
      <c r="P30" s="92">
        <f>SUMIFS($J$2:J29,$B$2:B29,B30,$C$2:C29,C30)</f>
        <v>0</v>
      </c>
      <c r="Q30" s="92">
        <f t="shared" si="7"/>
        <v>15000</v>
      </c>
      <c r="R30" s="93">
        <f t="shared" si="8"/>
        <v>16017</v>
      </c>
    </row>
    <row r="31" spans="1:18" x14ac:dyDescent="0.3">
      <c r="A31" s="87" t="s">
        <v>1</v>
      </c>
      <c r="B31" s="87" t="s">
        <v>59</v>
      </c>
      <c r="C31" s="101">
        <v>46328</v>
      </c>
      <c r="D31" s="89">
        <v>15000</v>
      </c>
      <c r="E31" s="89">
        <v>4281</v>
      </c>
      <c r="F31" s="89">
        <f t="shared" si="9"/>
        <v>0</v>
      </c>
      <c r="G31" s="89">
        <v>15000</v>
      </c>
      <c r="H31" s="90">
        <f t="shared" si="0"/>
        <v>0</v>
      </c>
      <c r="I31" s="90">
        <f t="shared" si="1"/>
        <v>4281</v>
      </c>
      <c r="J31" s="90">
        <f t="shared" si="2"/>
        <v>4281</v>
      </c>
      <c r="K31" s="90">
        <f t="shared" si="3"/>
        <v>0</v>
      </c>
      <c r="L31" s="90">
        <f t="shared" si="4"/>
        <v>0</v>
      </c>
      <c r="M31" s="90">
        <f t="shared" si="5"/>
        <v>0</v>
      </c>
      <c r="N31" s="91">
        <f t="shared" si="6"/>
        <v>0.70206666666666662</v>
      </c>
      <c r="P31" s="92">
        <f>SUMIFS($J$2:J30,$B$2:B30,B31,$C$2:C30,C31)</f>
        <v>0</v>
      </c>
      <c r="Q31" s="92">
        <f t="shared" si="7"/>
        <v>15000</v>
      </c>
      <c r="R31" s="93">
        <f t="shared" si="8"/>
        <v>4281</v>
      </c>
    </row>
    <row r="32" spans="1:18" x14ac:dyDescent="0.3">
      <c r="A32" s="87" t="s">
        <v>1</v>
      </c>
      <c r="B32" s="87" t="s">
        <v>59</v>
      </c>
      <c r="C32" s="101">
        <v>46335</v>
      </c>
      <c r="D32" s="89">
        <v>15000</v>
      </c>
      <c r="E32" s="89">
        <v>4282</v>
      </c>
      <c r="F32" s="89">
        <f t="shared" si="9"/>
        <v>0</v>
      </c>
      <c r="G32" s="89">
        <v>15000</v>
      </c>
      <c r="H32" s="90">
        <f t="shared" si="0"/>
        <v>0</v>
      </c>
      <c r="I32" s="90">
        <f t="shared" si="1"/>
        <v>4282</v>
      </c>
      <c r="J32" s="90">
        <f t="shared" si="2"/>
        <v>4282</v>
      </c>
      <c r="K32" s="90">
        <f t="shared" si="3"/>
        <v>0</v>
      </c>
      <c r="L32" s="90">
        <f t="shared" si="4"/>
        <v>0</v>
      </c>
      <c r="M32" s="90">
        <f t="shared" si="5"/>
        <v>0</v>
      </c>
      <c r="N32" s="91">
        <f t="shared" si="6"/>
        <v>0.70213333333333339</v>
      </c>
      <c r="P32" s="92">
        <f>SUMIFS($J$2:J31,$B$2:B31,B32,$C$2:C31,C32)</f>
        <v>0</v>
      </c>
      <c r="Q32" s="92">
        <f t="shared" si="7"/>
        <v>15000</v>
      </c>
      <c r="R32" s="93">
        <f t="shared" si="8"/>
        <v>4282</v>
      </c>
    </row>
    <row r="33" spans="1:18" x14ac:dyDescent="0.3">
      <c r="A33" s="87" t="s">
        <v>1</v>
      </c>
      <c r="B33" s="87" t="s">
        <v>59</v>
      </c>
      <c r="C33" s="101">
        <v>46342</v>
      </c>
      <c r="D33" s="89">
        <v>15000</v>
      </c>
      <c r="E33" s="89">
        <v>4281</v>
      </c>
      <c r="F33" s="89">
        <f t="shared" si="9"/>
        <v>0</v>
      </c>
      <c r="G33" s="89">
        <v>15000</v>
      </c>
      <c r="H33" s="90">
        <f t="shared" si="0"/>
        <v>0</v>
      </c>
      <c r="I33" s="90">
        <f t="shared" si="1"/>
        <v>4281</v>
      </c>
      <c r="J33" s="90">
        <f t="shared" si="2"/>
        <v>4281</v>
      </c>
      <c r="K33" s="90">
        <f t="shared" si="3"/>
        <v>0</v>
      </c>
      <c r="L33" s="90">
        <f t="shared" si="4"/>
        <v>0</v>
      </c>
      <c r="M33" s="90">
        <f t="shared" si="5"/>
        <v>0</v>
      </c>
      <c r="N33" s="91">
        <f t="shared" si="6"/>
        <v>0.70206666666666662</v>
      </c>
      <c r="P33" s="92">
        <f>SUMIFS($J$2:J32,$B$2:B32,B33,$C$2:C32,C33)</f>
        <v>0</v>
      </c>
      <c r="Q33" s="92">
        <f t="shared" si="7"/>
        <v>15000</v>
      </c>
      <c r="R33" s="93">
        <f t="shared" si="8"/>
        <v>4281</v>
      </c>
    </row>
    <row r="34" spans="1:18" x14ac:dyDescent="0.3">
      <c r="A34" s="87" t="s">
        <v>1</v>
      </c>
      <c r="B34" s="87" t="s">
        <v>59</v>
      </c>
      <c r="C34" s="101">
        <v>46349</v>
      </c>
      <c r="D34" s="89">
        <v>15000</v>
      </c>
      <c r="E34" s="89">
        <v>4282</v>
      </c>
      <c r="F34" s="89">
        <f t="shared" si="9"/>
        <v>0</v>
      </c>
      <c r="G34" s="89">
        <v>15000</v>
      </c>
      <c r="H34" s="90">
        <f t="shared" si="0"/>
        <v>0</v>
      </c>
      <c r="I34" s="90">
        <f t="shared" si="1"/>
        <v>4282</v>
      </c>
      <c r="J34" s="90">
        <f t="shared" si="2"/>
        <v>4282</v>
      </c>
      <c r="K34" s="90">
        <f t="shared" si="3"/>
        <v>0</v>
      </c>
      <c r="L34" s="90">
        <f t="shared" si="4"/>
        <v>0</v>
      </c>
      <c r="M34" s="90">
        <f t="shared" si="5"/>
        <v>0</v>
      </c>
      <c r="N34" s="91">
        <f t="shared" si="6"/>
        <v>0.70213333333333339</v>
      </c>
      <c r="P34" s="92">
        <f>SUMIFS($J$2:J33,$B$2:B33,B34,$C$2:C33,C34)</f>
        <v>0</v>
      </c>
      <c r="Q34" s="92">
        <f t="shared" si="7"/>
        <v>15000</v>
      </c>
      <c r="R34" s="93">
        <f t="shared" si="8"/>
        <v>4282</v>
      </c>
    </row>
    <row r="35" spans="1:18" x14ac:dyDescent="0.3">
      <c r="A35" s="87" t="s">
        <v>1</v>
      </c>
      <c r="B35" s="87" t="s">
        <v>59</v>
      </c>
      <c r="C35" s="101">
        <v>46356</v>
      </c>
      <c r="D35" s="89">
        <v>15000</v>
      </c>
      <c r="E35" s="89">
        <v>4281</v>
      </c>
      <c r="F35" s="89">
        <f t="shared" si="9"/>
        <v>0</v>
      </c>
      <c r="G35" s="89">
        <v>15000</v>
      </c>
      <c r="H35" s="90">
        <f t="shared" si="0"/>
        <v>0</v>
      </c>
      <c r="I35" s="90">
        <f t="shared" si="1"/>
        <v>4281</v>
      </c>
      <c r="J35" s="90">
        <f t="shared" si="2"/>
        <v>4281</v>
      </c>
      <c r="K35" s="90">
        <f t="shared" si="3"/>
        <v>0</v>
      </c>
      <c r="L35" s="90">
        <f t="shared" si="4"/>
        <v>0</v>
      </c>
      <c r="M35" s="90">
        <f t="shared" si="5"/>
        <v>0</v>
      </c>
      <c r="N35" s="91">
        <f t="shared" si="6"/>
        <v>0.70206666666666662</v>
      </c>
      <c r="P35" s="92">
        <f>SUMIFS($J$2:J34,$B$2:B34,B35,$C$2:C34,C35)</f>
        <v>0</v>
      </c>
      <c r="Q35" s="92">
        <f t="shared" si="7"/>
        <v>15000</v>
      </c>
      <c r="R35" s="93">
        <f t="shared" si="8"/>
        <v>4281</v>
      </c>
    </row>
    <row r="36" spans="1:18" x14ac:dyDescent="0.3">
      <c r="A36" s="87" t="s">
        <v>1</v>
      </c>
      <c r="B36" s="87" t="s">
        <v>59</v>
      </c>
      <c r="C36" s="101">
        <v>46363</v>
      </c>
      <c r="D36" s="89">
        <v>15000</v>
      </c>
      <c r="E36" s="89">
        <v>8326</v>
      </c>
      <c r="F36" s="89">
        <f t="shared" si="9"/>
        <v>0</v>
      </c>
      <c r="G36" s="89">
        <v>15000</v>
      </c>
      <c r="H36" s="90">
        <f t="shared" si="0"/>
        <v>0</v>
      </c>
      <c r="I36" s="90">
        <f t="shared" si="1"/>
        <v>8326</v>
      </c>
      <c r="J36" s="90">
        <f t="shared" si="2"/>
        <v>8326</v>
      </c>
      <c r="K36" s="90">
        <f t="shared" si="3"/>
        <v>0</v>
      </c>
      <c r="L36" s="90">
        <f t="shared" si="4"/>
        <v>0</v>
      </c>
      <c r="M36" s="90">
        <f t="shared" si="5"/>
        <v>0</v>
      </c>
      <c r="N36" s="91">
        <f t="shared" si="6"/>
        <v>0.97173333333333334</v>
      </c>
      <c r="P36" s="92">
        <f>SUMIFS($J$2:J35,$B$2:B35,B36,$C$2:C35,C36)</f>
        <v>0</v>
      </c>
      <c r="Q36" s="92">
        <f t="shared" si="7"/>
        <v>15000</v>
      </c>
      <c r="R36" s="93">
        <f t="shared" si="8"/>
        <v>8326</v>
      </c>
    </row>
    <row r="37" spans="1:18" x14ac:dyDescent="0.3">
      <c r="A37" s="87" t="s">
        <v>1</v>
      </c>
      <c r="B37" s="87" t="s">
        <v>59</v>
      </c>
      <c r="C37" s="101">
        <v>46370</v>
      </c>
      <c r="D37" s="89">
        <v>15000</v>
      </c>
      <c r="E37" s="89">
        <v>8325</v>
      </c>
      <c r="F37" s="89">
        <f t="shared" si="9"/>
        <v>0</v>
      </c>
      <c r="G37" s="89">
        <v>15000</v>
      </c>
      <c r="H37" s="90">
        <f>0</f>
        <v>0</v>
      </c>
      <c r="I37" s="90">
        <f t="shared" si="1"/>
        <v>8325</v>
      </c>
      <c r="J37" s="90">
        <f t="shared" si="2"/>
        <v>8325</v>
      </c>
      <c r="K37" s="90">
        <f t="shared" si="3"/>
        <v>0</v>
      </c>
      <c r="L37" s="90">
        <f t="shared" si="4"/>
        <v>0</v>
      </c>
      <c r="M37" s="90">
        <f t="shared" si="5"/>
        <v>0</v>
      </c>
      <c r="N37" s="91">
        <f t="shared" si="6"/>
        <v>0.97166666666666668</v>
      </c>
      <c r="P37" s="92">
        <f>SUMIFS($J$2:J36,$B$2:B36,B37,$C$2:C36,C37)</f>
        <v>0</v>
      </c>
      <c r="Q37" s="92">
        <f t="shared" si="7"/>
        <v>15000</v>
      </c>
      <c r="R37" s="93">
        <f t="shared" si="8"/>
        <v>8325</v>
      </c>
    </row>
    <row r="38" spans="1:18" x14ac:dyDescent="0.3">
      <c r="A38" s="87" t="s">
        <v>2</v>
      </c>
      <c r="B38" s="87" t="s">
        <v>59</v>
      </c>
      <c r="C38" s="101">
        <v>46125</v>
      </c>
      <c r="D38" s="89">
        <v>15000</v>
      </c>
      <c r="E38" s="89">
        <v>0</v>
      </c>
      <c r="F38" s="89">
        <f>0</f>
        <v>0</v>
      </c>
      <c r="G38" s="89">
        <v>15000</v>
      </c>
      <c r="H38" s="90">
        <f t="shared" ref="H38:H72" si="10">MAX(0,H39+E39-Q39)</f>
        <v>12751</v>
      </c>
      <c r="I38" s="90">
        <f t="shared" si="1"/>
        <v>12751</v>
      </c>
      <c r="J38" s="90">
        <f t="shared" si="2"/>
        <v>12751</v>
      </c>
      <c r="K38" s="90">
        <f t="shared" si="3"/>
        <v>12751</v>
      </c>
      <c r="L38" s="90">
        <f t="shared" si="4"/>
        <v>0</v>
      </c>
      <c r="M38" s="90">
        <f t="shared" si="5"/>
        <v>12751</v>
      </c>
      <c r="N38" s="91">
        <f t="shared" si="6"/>
        <v>0.85006666666666664</v>
      </c>
      <c r="O38" s="61" t="s">
        <v>109</v>
      </c>
      <c r="P38" s="92">
        <f>SUMIFS($J$2:J37,$B$2:B37,B38,$C$2:C37,C38)</f>
        <v>0</v>
      </c>
      <c r="Q38" s="92">
        <f t="shared" si="7"/>
        <v>15000</v>
      </c>
      <c r="R38" s="93">
        <f t="shared" si="8"/>
        <v>0</v>
      </c>
    </row>
    <row r="39" spans="1:18" x14ac:dyDescent="0.3">
      <c r="A39" s="87" t="s">
        <v>2</v>
      </c>
      <c r="B39" s="87" t="s">
        <v>59</v>
      </c>
      <c r="C39" s="101">
        <v>46132</v>
      </c>
      <c r="D39" s="89">
        <v>15000</v>
      </c>
      <c r="E39" s="89">
        <v>0</v>
      </c>
      <c r="F39" s="89">
        <f t="shared" ref="F39:F73" si="11">K38</f>
        <v>12751</v>
      </c>
      <c r="G39" s="89">
        <v>15000</v>
      </c>
      <c r="H39" s="90">
        <f t="shared" si="10"/>
        <v>27751</v>
      </c>
      <c r="I39" s="90">
        <f t="shared" si="1"/>
        <v>15000</v>
      </c>
      <c r="J39" s="90">
        <f t="shared" si="2"/>
        <v>2249</v>
      </c>
      <c r="K39" s="90">
        <f t="shared" si="3"/>
        <v>15000</v>
      </c>
      <c r="L39" s="90">
        <f t="shared" si="4"/>
        <v>0</v>
      </c>
      <c r="M39" s="90">
        <f t="shared" si="5"/>
        <v>15000</v>
      </c>
      <c r="N39" s="91">
        <f t="shared" si="6"/>
        <v>0.14993333333333334</v>
      </c>
      <c r="P39" s="92">
        <f>SUMIFS($J$2:J38,$B$2:B38,B39,$C$2:C38,C39)</f>
        <v>0</v>
      </c>
      <c r="Q39" s="92">
        <f t="shared" si="7"/>
        <v>15000</v>
      </c>
      <c r="R39" s="93">
        <f t="shared" si="8"/>
        <v>0</v>
      </c>
    </row>
    <row r="40" spans="1:18" x14ac:dyDescent="0.3">
      <c r="A40" s="87" t="s">
        <v>2</v>
      </c>
      <c r="B40" s="87" t="s">
        <v>59</v>
      </c>
      <c r="C40" s="101">
        <v>46139</v>
      </c>
      <c r="D40" s="89">
        <v>15000</v>
      </c>
      <c r="E40" s="89">
        <v>0</v>
      </c>
      <c r="F40" s="89">
        <f t="shared" si="11"/>
        <v>15000</v>
      </c>
      <c r="G40" s="89">
        <v>15000</v>
      </c>
      <c r="H40" s="90">
        <f t="shared" si="10"/>
        <v>32067</v>
      </c>
      <c r="I40" s="90">
        <f t="shared" si="1"/>
        <v>17067</v>
      </c>
      <c r="J40" s="90">
        <f t="shared" si="2"/>
        <v>0</v>
      </c>
      <c r="K40" s="90">
        <f t="shared" si="3"/>
        <v>15000</v>
      </c>
      <c r="L40" s="90">
        <f t="shared" si="4"/>
        <v>0</v>
      </c>
      <c r="M40" s="90">
        <f t="shared" si="5"/>
        <v>15000</v>
      </c>
      <c r="N40" s="91">
        <f t="shared" si="6"/>
        <v>0.71226666666666671</v>
      </c>
      <c r="P40" s="92">
        <f>SUMIFS($J$2:J39,$B$2:B39,B40,$C$2:C39,C40)</f>
        <v>10684</v>
      </c>
      <c r="Q40" s="92">
        <f t="shared" si="7"/>
        <v>4316</v>
      </c>
      <c r="R40" s="93">
        <f t="shared" si="8"/>
        <v>0</v>
      </c>
    </row>
    <row r="41" spans="1:18" x14ac:dyDescent="0.3">
      <c r="A41" s="87" t="s">
        <v>2</v>
      </c>
      <c r="B41" s="87" t="s">
        <v>59</v>
      </c>
      <c r="C41" s="101">
        <v>46146</v>
      </c>
      <c r="D41" s="89">
        <v>15000</v>
      </c>
      <c r="E41" s="89">
        <v>5502</v>
      </c>
      <c r="F41" s="89">
        <f t="shared" si="11"/>
        <v>15000</v>
      </c>
      <c r="G41" s="89">
        <v>15000</v>
      </c>
      <c r="H41" s="90">
        <f t="shared" si="10"/>
        <v>26565</v>
      </c>
      <c r="I41" s="90">
        <f t="shared" si="1"/>
        <v>17067</v>
      </c>
      <c r="J41" s="90">
        <f t="shared" si="2"/>
        <v>0</v>
      </c>
      <c r="K41" s="90">
        <f t="shared" si="3"/>
        <v>9498</v>
      </c>
      <c r="L41" s="90">
        <f t="shared" si="4"/>
        <v>0</v>
      </c>
      <c r="M41" s="90">
        <f t="shared" si="5"/>
        <v>9498</v>
      </c>
      <c r="N41" s="91">
        <f t="shared" si="6"/>
        <v>1</v>
      </c>
      <c r="P41" s="92">
        <f>SUMIFS($J$2:J40,$B$2:B40,B41,$C$2:C40,C41)</f>
        <v>15000</v>
      </c>
      <c r="Q41" s="92">
        <f t="shared" si="7"/>
        <v>0</v>
      </c>
      <c r="R41" s="93">
        <f t="shared" si="8"/>
        <v>5502</v>
      </c>
    </row>
    <row r="42" spans="1:18" x14ac:dyDescent="0.3">
      <c r="A42" s="87" t="s">
        <v>2</v>
      </c>
      <c r="B42" s="87" t="s">
        <v>59</v>
      </c>
      <c r="C42" s="101">
        <v>46153</v>
      </c>
      <c r="D42" s="89">
        <v>15000</v>
      </c>
      <c r="E42" s="89">
        <v>15658</v>
      </c>
      <c r="F42" s="89">
        <f t="shared" si="11"/>
        <v>9498</v>
      </c>
      <c r="G42" s="89">
        <v>15000</v>
      </c>
      <c r="H42" s="90">
        <f t="shared" si="10"/>
        <v>10907</v>
      </c>
      <c r="I42" s="90">
        <f t="shared" si="1"/>
        <v>17067</v>
      </c>
      <c r="J42" s="90">
        <f t="shared" si="2"/>
        <v>0</v>
      </c>
      <c r="K42" s="90">
        <f t="shared" si="3"/>
        <v>0</v>
      </c>
      <c r="L42" s="90">
        <f t="shared" si="4"/>
        <v>6160</v>
      </c>
      <c r="M42" s="90">
        <f t="shared" si="5"/>
        <v>0</v>
      </c>
      <c r="N42" s="91">
        <f t="shared" si="6"/>
        <v>1</v>
      </c>
      <c r="P42" s="92">
        <f>SUMIFS($J$2:J41,$B$2:B41,B42,$C$2:C41,C42)</f>
        <v>15000</v>
      </c>
      <c r="Q42" s="92">
        <f t="shared" si="7"/>
        <v>0</v>
      </c>
      <c r="R42" s="93">
        <f t="shared" si="8"/>
        <v>9498</v>
      </c>
    </row>
    <row r="43" spans="1:18" x14ac:dyDescent="0.3">
      <c r="A43" s="87" t="s">
        <v>2</v>
      </c>
      <c r="B43" s="87" t="s">
        <v>59</v>
      </c>
      <c r="C43" s="101">
        <v>46160</v>
      </c>
      <c r="D43" s="89">
        <v>15000</v>
      </c>
      <c r="E43" s="89">
        <v>8865</v>
      </c>
      <c r="F43" s="89">
        <f t="shared" si="11"/>
        <v>0</v>
      </c>
      <c r="G43" s="89">
        <v>15000</v>
      </c>
      <c r="H43" s="90">
        <f t="shared" si="10"/>
        <v>6042</v>
      </c>
      <c r="I43" s="90">
        <f t="shared" si="1"/>
        <v>14907</v>
      </c>
      <c r="J43" s="90">
        <f t="shared" si="2"/>
        <v>4000</v>
      </c>
      <c r="K43" s="90">
        <f t="shared" si="3"/>
        <v>0</v>
      </c>
      <c r="L43" s="90">
        <f t="shared" si="4"/>
        <v>4865</v>
      </c>
      <c r="M43" s="90">
        <f t="shared" si="5"/>
        <v>0</v>
      </c>
      <c r="N43" s="91">
        <f t="shared" si="6"/>
        <v>1</v>
      </c>
      <c r="P43" s="92">
        <f>SUMIFS($J$2:J42,$B$2:B42,B43,$C$2:C42,C43)</f>
        <v>11000</v>
      </c>
      <c r="Q43" s="92">
        <f t="shared" si="7"/>
        <v>4000</v>
      </c>
      <c r="R43" s="93">
        <f t="shared" si="8"/>
        <v>4000</v>
      </c>
    </row>
    <row r="44" spans="1:18" x14ac:dyDescent="0.3">
      <c r="A44" s="87" t="s">
        <v>2</v>
      </c>
      <c r="B44" s="87" t="s">
        <v>59</v>
      </c>
      <c r="C44" s="101">
        <v>46167</v>
      </c>
      <c r="D44" s="89">
        <v>15000</v>
      </c>
      <c r="E44" s="89">
        <v>2146</v>
      </c>
      <c r="F44" s="89">
        <f t="shared" si="11"/>
        <v>0</v>
      </c>
      <c r="G44" s="89">
        <v>15000</v>
      </c>
      <c r="H44" s="90">
        <f t="shared" si="10"/>
        <v>5896</v>
      </c>
      <c r="I44" s="90">
        <f t="shared" si="1"/>
        <v>8042</v>
      </c>
      <c r="J44" s="90">
        <f t="shared" si="2"/>
        <v>2000</v>
      </c>
      <c r="K44" s="90">
        <f t="shared" si="3"/>
        <v>0</v>
      </c>
      <c r="L44" s="90">
        <f t="shared" si="4"/>
        <v>146</v>
      </c>
      <c r="M44" s="90">
        <f t="shared" si="5"/>
        <v>0</v>
      </c>
      <c r="N44" s="91">
        <f t="shared" si="6"/>
        <v>1</v>
      </c>
      <c r="P44" s="92">
        <f>SUMIFS($J$2:J43,$B$2:B43,B44,$C$2:C43,C44)</f>
        <v>13000</v>
      </c>
      <c r="Q44" s="92">
        <f t="shared" si="7"/>
        <v>2000</v>
      </c>
      <c r="R44" s="93">
        <f t="shared" si="8"/>
        <v>2000</v>
      </c>
    </row>
    <row r="45" spans="1:18" x14ac:dyDescent="0.3">
      <c r="A45" s="87" t="s">
        <v>2</v>
      </c>
      <c r="B45" s="87" t="s">
        <v>59</v>
      </c>
      <c r="C45" s="101">
        <v>46174</v>
      </c>
      <c r="D45" s="89">
        <v>15000</v>
      </c>
      <c r="E45" s="89">
        <v>7123</v>
      </c>
      <c r="F45" s="89">
        <f t="shared" si="11"/>
        <v>0</v>
      </c>
      <c r="G45" s="89">
        <v>15000</v>
      </c>
      <c r="H45" s="90">
        <f t="shared" si="10"/>
        <v>0</v>
      </c>
      <c r="I45" s="90">
        <f t="shared" si="1"/>
        <v>7123</v>
      </c>
      <c r="J45" s="90">
        <f t="shared" si="2"/>
        <v>1227</v>
      </c>
      <c r="K45" s="90">
        <f t="shared" si="3"/>
        <v>0</v>
      </c>
      <c r="L45" s="90">
        <f t="shared" si="4"/>
        <v>5896</v>
      </c>
      <c r="M45" s="90">
        <f t="shared" si="5"/>
        <v>0</v>
      </c>
      <c r="N45" s="91">
        <f t="shared" si="6"/>
        <v>1</v>
      </c>
      <c r="P45" s="92">
        <f>SUMIFS($J$2:J44,$B$2:B44,B45,$C$2:C44,C45)</f>
        <v>13773</v>
      </c>
      <c r="Q45" s="92">
        <f t="shared" si="7"/>
        <v>1227</v>
      </c>
      <c r="R45" s="93">
        <f t="shared" si="8"/>
        <v>1227</v>
      </c>
    </row>
    <row r="46" spans="1:18" x14ac:dyDescent="0.3">
      <c r="A46" s="87" t="s">
        <v>2</v>
      </c>
      <c r="B46" s="87" t="s">
        <v>59</v>
      </c>
      <c r="C46" s="101">
        <v>46181</v>
      </c>
      <c r="D46" s="89">
        <v>15000</v>
      </c>
      <c r="E46" s="89">
        <v>5309</v>
      </c>
      <c r="F46" s="89">
        <f t="shared" si="11"/>
        <v>0</v>
      </c>
      <c r="G46" s="89">
        <v>15000</v>
      </c>
      <c r="H46" s="90">
        <f t="shared" si="10"/>
        <v>0</v>
      </c>
      <c r="I46" s="90">
        <f t="shared" si="1"/>
        <v>5309</v>
      </c>
      <c r="J46" s="90">
        <f t="shared" si="2"/>
        <v>5309</v>
      </c>
      <c r="K46" s="90">
        <f t="shared" si="3"/>
        <v>0</v>
      </c>
      <c r="L46" s="90">
        <f t="shared" si="4"/>
        <v>0</v>
      </c>
      <c r="M46" s="90">
        <f t="shared" si="5"/>
        <v>0</v>
      </c>
      <c r="N46" s="91">
        <f t="shared" si="6"/>
        <v>0.82446666666666668</v>
      </c>
      <c r="P46" s="92">
        <f>SUMIFS($J$2:J45,$B$2:B45,B46,$C$2:C45,C46)</f>
        <v>7058</v>
      </c>
      <c r="Q46" s="92">
        <f t="shared" si="7"/>
        <v>7942</v>
      </c>
      <c r="R46" s="93">
        <f t="shared" si="8"/>
        <v>5309</v>
      </c>
    </row>
    <row r="47" spans="1:18" x14ac:dyDescent="0.3">
      <c r="A47" s="87" t="s">
        <v>2</v>
      </c>
      <c r="B47" s="87" t="s">
        <v>59</v>
      </c>
      <c r="C47" s="101">
        <v>46188</v>
      </c>
      <c r="D47" s="89">
        <v>15000</v>
      </c>
      <c r="E47" s="89">
        <v>5309</v>
      </c>
      <c r="F47" s="89">
        <f t="shared" si="11"/>
        <v>0</v>
      </c>
      <c r="G47" s="89">
        <v>15000</v>
      </c>
      <c r="H47" s="90">
        <f t="shared" si="10"/>
        <v>0</v>
      </c>
      <c r="I47" s="90">
        <f t="shared" si="1"/>
        <v>5309</v>
      </c>
      <c r="J47" s="90">
        <f t="shared" si="2"/>
        <v>5309</v>
      </c>
      <c r="K47" s="90">
        <f t="shared" si="3"/>
        <v>0</v>
      </c>
      <c r="L47" s="90">
        <f t="shared" si="4"/>
        <v>0</v>
      </c>
      <c r="M47" s="90">
        <f t="shared" si="5"/>
        <v>0</v>
      </c>
      <c r="N47" s="91">
        <f t="shared" si="6"/>
        <v>0.48993333333333333</v>
      </c>
      <c r="P47" s="92">
        <f>SUMIFS($J$2:J46,$B$2:B46,B47,$C$2:C46,C47)</f>
        <v>2040</v>
      </c>
      <c r="Q47" s="92">
        <f t="shared" si="7"/>
        <v>12960</v>
      </c>
      <c r="R47" s="93">
        <f t="shared" si="8"/>
        <v>5309</v>
      </c>
    </row>
    <row r="48" spans="1:18" x14ac:dyDescent="0.3">
      <c r="A48" s="87" t="s">
        <v>2</v>
      </c>
      <c r="B48" s="87" t="s">
        <v>59</v>
      </c>
      <c r="C48" s="101">
        <v>46195</v>
      </c>
      <c r="D48" s="89">
        <v>15000</v>
      </c>
      <c r="E48" s="89">
        <v>3000</v>
      </c>
      <c r="F48" s="89">
        <f t="shared" si="11"/>
        <v>0</v>
      </c>
      <c r="G48" s="89">
        <v>15000</v>
      </c>
      <c r="H48" s="90">
        <f t="shared" si="10"/>
        <v>81</v>
      </c>
      <c r="I48" s="90">
        <f t="shared" si="1"/>
        <v>3081</v>
      </c>
      <c r="J48" s="90">
        <f t="shared" si="2"/>
        <v>3081</v>
      </c>
      <c r="K48" s="90">
        <f t="shared" si="3"/>
        <v>81</v>
      </c>
      <c r="L48" s="90">
        <f t="shared" si="4"/>
        <v>0</v>
      </c>
      <c r="M48" s="90">
        <f t="shared" si="5"/>
        <v>81</v>
      </c>
      <c r="N48" s="91">
        <f t="shared" si="6"/>
        <v>0.44146666666666667</v>
      </c>
      <c r="P48" s="92">
        <f>SUMIFS($J$2:J47,$B$2:B47,B48,$C$2:C47,C48)</f>
        <v>3541</v>
      </c>
      <c r="Q48" s="92">
        <f t="shared" si="7"/>
        <v>11459</v>
      </c>
      <c r="R48" s="93">
        <f t="shared" si="8"/>
        <v>3000</v>
      </c>
    </row>
    <row r="49" spans="1:18" x14ac:dyDescent="0.3">
      <c r="A49" s="87" t="s">
        <v>2</v>
      </c>
      <c r="B49" s="87" t="s">
        <v>59</v>
      </c>
      <c r="C49" s="101">
        <v>46202</v>
      </c>
      <c r="D49" s="89">
        <v>15000</v>
      </c>
      <c r="E49" s="89">
        <v>3000</v>
      </c>
      <c r="F49" s="89">
        <f t="shared" si="11"/>
        <v>81</v>
      </c>
      <c r="G49" s="89">
        <v>15000</v>
      </c>
      <c r="H49" s="90">
        <f t="shared" si="10"/>
        <v>40</v>
      </c>
      <c r="I49" s="90">
        <f t="shared" si="1"/>
        <v>2959</v>
      </c>
      <c r="J49" s="90">
        <f t="shared" si="2"/>
        <v>2959</v>
      </c>
      <c r="K49" s="90">
        <f t="shared" si="3"/>
        <v>40</v>
      </c>
      <c r="L49" s="90">
        <f t="shared" si="4"/>
        <v>0</v>
      </c>
      <c r="M49" s="90">
        <f t="shared" si="5"/>
        <v>40</v>
      </c>
      <c r="N49" s="91">
        <f t="shared" si="6"/>
        <v>1</v>
      </c>
      <c r="P49" s="92">
        <f>SUMIFS($J$2:J48,$B$2:B48,B49,$C$2:C48,C49)</f>
        <v>12041</v>
      </c>
      <c r="Q49" s="92">
        <f t="shared" si="7"/>
        <v>2959</v>
      </c>
      <c r="R49" s="93">
        <f t="shared" si="8"/>
        <v>3000</v>
      </c>
    </row>
    <row r="50" spans="1:18" x14ac:dyDescent="0.3">
      <c r="A50" s="87" t="s">
        <v>2</v>
      </c>
      <c r="B50" s="87" t="s">
        <v>59</v>
      </c>
      <c r="C50" s="101">
        <v>46209</v>
      </c>
      <c r="D50" s="89">
        <v>15000</v>
      </c>
      <c r="E50" s="89">
        <v>3000</v>
      </c>
      <c r="F50" s="89">
        <f t="shared" si="11"/>
        <v>40</v>
      </c>
      <c r="G50" s="89">
        <v>15000</v>
      </c>
      <c r="H50" s="90">
        <f t="shared" si="10"/>
        <v>0</v>
      </c>
      <c r="I50" s="90">
        <f t="shared" si="1"/>
        <v>2960</v>
      </c>
      <c r="J50" s="90">
        <f t="shared" si="2"/>
        <v>2960</v>
      </c>
      <c r="K50" s="90">
        <f t="shared" si="3"/>
        <v>0</v>
      </c>
      <c r="L50" s="90">
        <f t="shared" si="4"/>
        <v>0</v>
      </c>
      <c r="M50" s="90">
        <f t="shared" si="5"/>
        <v>0</v>
      </c>
      <c r="N50" s="91">
        <f t="shared" si="6"/>
        <v>1</v>
      </c>
      <c r="P50" s="92">
        <f>SUMIFS($J$2:J49,$B$2:B49,B50,$C$2:C49,C50)</f>
        <v>12040</v>
      </c>
      <c r="Q50" s="92">
        <f t="shared" si="7"/>
        <v>2960</v>
      </c>
      <c r="R50" s="93">
        <f t="shared" si="8"/>
        <v>3000</v>
      </c>
    </row>
    <row r="51" spans="1:18" x14ac:dyDescent="0.3">
      <c r="A51" s="87" t="s">
        <v>2</v>
      </c>
      <c r="B51" s="87" t="s">
        <v>59</v>
      </c>
      <c r="C51" s="101">
        <v>46216</v>
      </c>
      <c r="D51" s="89">
        <v>15000</v>
      </c>
      <c r="E51" s="89">
        <v>3000</v>
      </c>
      <c r="F51" s="89">
        <f t="shared" si="11"/>
        <v>0</v>
      </c>
      <c r="G51" s="89">
        <v>15000</v>
      </c>
      <c r="H51" s="90">
        <f t="shared" si="10"/>
        <v>0</v>
      </c>
      <c r="I51" s="90">
        <f t="shared" si="1"/>
        <v>3000</v>
      </c>
      <c r="J51" s="90">
        <f t="shared" si="2"/>
        <v>3000</v>
      </c>
      <c r="K51" s="90">
        <f t="shared" si="3"/>
        <v>0</v>
      </c>
      <c r="L51" s="90">
        <f t="shared" si="4"/>
        <v>0</v>
      </c>
      <c r="M51" s="90">
        <f t="shared" si="5"/>
        <v>0</v>
      </c>
      <c r="N51" s="91">
        <f t="shared" si="6"/>
        <v>0.81640000000000001</v>
      </c>
      <c r="P51" s="92">
        <f>SUMIFS($J$2:J50,$B$2:B50,B51,$C$2:C50,C51)</f>
        <v>9246</v>
      </c>
      <c r="Q51" s="92">
        <f t="shared" si="7"/>
        <v>5754</v>
      </c>
      <c r="R51" s="93">
        <f t="shared" si="8"/>
        <v>3000</v>
      </c>
    </row>
    <row r="52" spans="1:18" x14ac:dyDescent="0.3">
      <c r="A52" s="87" t="s">
        <v>2</v>
      </c>
      <c r="B52" s="87" t="s">
        <v>59</v>
      </c>
      <c r="C52" s="101">
        <v>46223</v>
      </c>
      <c r="D52" s="89">
        <v>15000</v>
      </c>
      <c r="E52" s="89">
        <v>2400</v>
      </c>
      <c r="F52" s="89">
        <f t="shared" si="11"/>
        <v>0</v>
      </c>
      <c r="G52" s="89">
        <v>15000</v>
      </c>
      <c r="H52" s="90">
        <f t="shared" si="10"/>
        <v>2400</v>
      </c>
      <c r="I52" s="90">
        <f t="shared" si="1"/>
        <v>4800</v>
      </c>
      <c r="J52" s="90">
        <f t="shared" si="2"/>
        <v>4800</v>
      </c>
      <c r="K52" s="90">
        <f t="shared" si="3"/>
        <v>2400</v>
      </c>
      <c r="L52" s="90">
        <f t="shared" si="4"/>
        <v>0</v>
      </c>
      <c r="M52" s="90">
        <f t="shared" si="5"/>
        <v>2400</v>
      </c>
      <c r="N52" s="91">
        <f t="shared" si="6"/>
        <v>0.7036</v>
      </c>
      <c r="P52" s="92">
        <f>SUMIFS($J$2:J51,$B$2:B51,B52,$C$2:C51,C52)</f>
        <v>5754</v>
      </c>
      <c r="Q52" s="92">
        <f t="shared" si="7"/>
        <v>9246</v>
      </c>
      <c r="R52" s="93">
        <f t="shared" si="8"/>
        <v>2400</v>
      </c>
    </row>
    <row r="53" spans="1:18" x14ac:dyDescent="0.3">
      <c r="A53" s="87" t="s">
        <v>2</v>
      </c>
      <c r="B53" s="87" t="s">
        <v>59</v>
      </c>
      <c r="C53" s="101">
        <v>46230</v>
      </c>
      <c r="D53" s="89">
        <v>15000</v>
      </c>
      <c r="E53" s="89">
        <v>2400</v>
      </c>
      <c r="F53" s="89">
        <f t="shared" si="11"/>
        <v>2400</v>
      </c>
      <c r="G53" s="89">
        <v>15000</v>
      </c>
      <c r="H53" s="90">
        <f t="shared" si="10"/>
        <v>0</v>
      </c>
      <c r="I53" s="90">
        <f t="shared" si="1"/>
        <v>0</v>
      </c>
      <c r="J53" s="90">
        <f t="shared" si="2"/>
        <v>0</v>
      </c>
      <c r="K53" s="90">
        <f t="shared" si="3"/>
        <v>0</v>
      </c>
      <c r="L53" s="90">
        <f t="shared" si="4"/>
        <v>0</v>
      </c>
      <c r="M53" s="90">
        <f t="shared" si="5"/>
        <v>0</v>
      </c>
      <c r="N53" s="91">
        <f t="shared" si="6"/>
        <v>1</v>
      </c>
      <c r="P53" s="92">
        <f>SUMIFS($J$2:J52,$B$2:B52,B53,$C$2:C52,C53)</f>
        <v>15000</v>
      </c>
      <c r="Q53" s="92">
        <f t="shared" si="7"/>
        <v>0</v>
      </c>
      <c r="R53" s="93">
        <f t="shared" si="8"/>
        <v>2400</v>
      </c>
    </row>
    <row r="54" spans="1:18" x14ac:dyDescent="0.3">
      <c r="A54" s="87" t="s">
        <v>2</v>
      </c>
      <c r="B54" s="87" t="s">
        <v>59</v>
      </c>
      <c r="C54" s="101">
        <v>46237</v>
      </c>
      <c r="D54" s="89">
        <v>15000</v>
      </c>
      <c r="E54" s="89">
        <v>0</v>
      </c>
      <c r="F54" s="89">
        <f t="shared" si="11"/>
        <v>0</v>
      </c>
      <c r="G54" s="89">
        <v>15000</v>
      </c>
      <c r="H54" s="90">
        <f t="shared" si="10"/>
        <v>0</v>
      </c>
      <c r="I54" s="90">
        <f t="shared" si="1"/>
        <v>0</v>
      </c>
      <c r="J54" s="90">
        <f t="shared" si="2"/>
        <v>0</v>
      </c>
      <c r="K54" s="90">
        <f t="shared" si="3"/>
        <v>0</v>
      </c>
      <c r="L54" s="90">
        <f t="shared" si="4"/>
        <v>0</v>
      </c>
      <c r="M54" s="90">
        <f t="shared" si="5"/>
        <v>0</v>
      </c>
      <c r="N54" s="91">
        <f t="shared" si="6"/>
        <v>1</v>
      </c>
      <c r="P54" s="92">
        <f>SUMIFS($J$2:J53,$B$2:B53,B54,$C$2:C53,C54)</f>
        <v>15000</v>
      </c>
      <c r="Q54" s="92">
        <f t="shared" si="7"/>
        <v>0</v>
      </c>
      <c r="R54" s="93">
        <f t="shared" si="8"/>
        <v>0</v>
      </c>
    </row>
    <row r="55" spans="1:18" x14ac:dyDescent="0.3">
      <c r="A55" s="87" t="s">
        <v>2</v>
      </c>
      <c r="B55" s="87" t="s">
        <v>59</v>
      </c>
      <c r="C55" s="101">
        <v>46244</v>
      </c>
      <c r="D55" s="89">
        <v>15000</v>
      </c>
      <c r="E55" s="89">
        <v>2400</v>
      </c>
      <c r="F55" s="89">
        <f t="shared" si="11"/>
        <v>0</v>
      </c>
      <c r="G55" s="89">
        <v>15000</v>
      </c>
      <c r="H55" s="90">
        <f t="shared" si="10"/>
        <v>0</v>
      </c>
      <c r="I55" s="90">
        <f t="shared" si="1"/>
        <v>2400</v>
      </c>
      <c r="J55" s="90">
        <f t="shared" si="2"/>
        <v>2400</v>
      </c>
      <c r="K55" s="90">
        <f t="shared" si="3"/>
        <v>0</v>
      </c>
      <c r="L55" s="90">
        <f t="shared" si="4"/>
        <v>0</v>
      </c>
      <c r="M55" s="90">
        <f t="shared" si="5"/>
        <v>0</v>
      </c>
      <c r="N55" s="91">
        <f t="shared" si="6"/>
        <v>0.44319999999999998</v>
      </c>
      <c r="P55" s="92">
        <f>SUMIFS($J$2:J54,$B$2:B54,B55,$C$2:C54,C55)</f>
        <v>4248</v>
      </c>
      <c r="Q55" s="92">
        <f t="shared" si="7"/>
        <v>10752</v>
      </c>
      <c r="R55" s="93">
        <f t="shared" si="8"/>
        <v>2400</v>
      </c>
    </row>
    <row r="56" spans="1:18" x14ac:dyDescent="0.3">
      <c r="A56" s="87" t="s">
        <v>2</v>
      </c>
      <c r="B56" s="87" t="s">
        <v>59</v>
      </c>
      <c r="C56" s="101">
        <v>46251</v>
      </c>
      <c r="D56" s="89">
        <v>15000</v>
      </c>
      <c r="E56" s="89">
        <v>2400</v>
      </c>
      <c r="F56" s="89">
        <f t="shared" si="11"/>
        <v>0</v>
      </c>
      <c r="G56" s="89">
        <v>15000</v>
      </c>
      <c r="H56" s="90">
        <f t="shared" si="10"/>
        <v>0</v>
      </c>
      <c r="I56" s="90">
        <f t="shared" si="1"/>
        <v>2400</v>
      </c>
      <c r="J56" s="90">
        <f t="shared" si="2"/>
        <v>2400</v>
      </c>
      <c r="K56" s="90">
        <f t="shared" si="3"/>
        <v>0</v>
      </c>
      <c r="L56" s="90">
        <f t="shared" si="4"/>
        <v>0</v>
      </c>
      <c r="M56" s="90">
        <f t="shared" si="5"/>
        <v>0</v>
      </c>
      <c r="N56" s="91">
        <f t="shared" si="6"/>
        <v>0.44319999999999998</v>
      </c>
      <c r="P56" s="92">
        <f>SUMIFS($J$2:J55,$B$2:B55,B56,$C$2:C55,C56)</f>
        <v>4248</v>
      </c>
      <c r="Q56" s="92">
        <f t="shared" si="7"/>
        <v>10752</v>
      </c>
      <c r="R56" s="93">
        <f t="shared" si="8"/>
        <v>2400</v>
      </c>
    </row>
    <row r="57" spans="1:18" x14ac:dyDescent="0.3">
      <c r="A57" s="87" t="s">
        <v>2</v>
      </c>
      <c r="B57" s="87" t="s">
        <v>59</v>
      </c>
      <c r="C57" s="101">
        <v>46258</v>
      </c>
      <c r="D57" s="89">
        <v>15000</v>
      </c>
      <c r="E57" s="89">
        <v>3750</v>
      </c>
      <c r="F57" s="89">
        <f t="shared" si="11"/>
        <v>0</v>
      </c>
      <c r="G57" s="89">
        <v>15000</v>
      </c>
      <c r="H57" s="90">
        <f t="shared" si="10"/>
        <v>0</v>
      </c>
      <c r="I57" s="90">
        <f t="shared" si="1"/>
        <v>3750</v>
      </c>
      <c r="J57" s="90">
        <f t="shared" si="2"/>
        <v>3750</v>
      </c>
      <c r="K57" s="90">
        <f t="shared" si="3"/>
        <v>0</v>
      </c>
      <c r="L57" s="90">
        <f t="shared" si="4"/>
        <v>0</v>
      </c>
      <c r="M57" s="90">
        <f t="shared" si="5"/>
        <v>0</v>
      </c>
      <c r="N57" s="91">
        <f t="shared" si="6"/>
        <v>0.53326666666666667</v>
      </c>
      <c r="P57" s="92">
        <f>SUMIFS($J$2:J56,$B$2:B56,B57,$C$2:C56,C57)</f>
        <v>4249</v>
      </c>
      <c r="Q57" s="92">
        <f t="shared" si="7"/>
        <v>10751</v>
      </c>
      <c r="R57" s="93">
        <f t="shared" si="8"/>
        <v>3750</v>
      </c>
    </row>
    <row r="58" spans="1:18" x14ac:dyDescent="0.3">
      <c r="A58" s="87" t="s">
        <v>2</v>
      </c>
      <c r="B58" s="87" t="s">
        <v>59</v>
      </c>
      <c r="C58" s="101">
        <v>46265</v>
      </c>
      <c r="D58" s="89">
        <v>15000</v>
      </c>
      <c r="E58" s="89">
        <v>3750</v>
      </c>
      <c r="F58" s="89">
        <f t="shared" si="11"/>
        <v>0</v>
      </c>
      <c r="G58" s="89">
        <v>15000</v>
      </c>
      <c r="H58" s="90">
        <f t="shared" si="10"/>
        <v>0</v>
      </c>
      <c r="I58" s="90">
        <f t="shared" si="1"/>
        <v>3750</v>
      </c>
      <c r="J58" s="90">
        <f t="shared" si="2"/>
        <v>3750</v>
      </c>
      <c r="K58" s="90">
        <f t="shared" si="3"/>
        <v>0</v>
      </c>
      <c r="L58" s="90">
        <f t="shared" si="4"/>
        <v>0</v>
      </c>
      <c r="M58" s="90">
        <f t="shared" si="5"/>
        <v>0</v>
      </c>
      <c r="N58" s="91">
        <f t="shared" si="6"/>
        <v>0.53320000000000001</v>
      </c>
      <c r="P58" s="92">
        <f>SUMIFS($J$2:J57,$B$2:B57,B58,$C$2:C57,C58)</f>
        <v>4248</v>
      </c>
      <c r="Q58" s="92">
        <f t="shared" si="7"/>
        <v>10752</v>
      </c>
      <c r="R58" s="93">
        <f t="shared" si="8"/>
        <v>3750</v>
      </c>
    </row>
    <row r="59" spans="1:18" x14ac:dyDescent="0.3">
      <c r="A59" s="87" t="s">
        <v>2</v>
      </c>
      <c r="B59" s="87" t="s">
        <v>59</v>
      </c>
      <c r="C59" s="101">
        <v>46272</v>
      </c>
      <c r="D59" s="89">
        <v>15000</v>
      </c>
      <c r="E59" s="89">
        <v>3750</v>
      </c>
      <c r="F59" s="89">
        <f t="shared" si="11"/>
        <v>0</v>
      </c>
      <c r="G59" s="89">
        <v>15000</v>
      </c>
      <c r="H59" s="90">
        <f t="shared" si="10"/>
        <v>0</v>
      </c>
      <c r="I59" s="90">
        <f t="shared" si="1"/>
        <v>3750</v>
      </c>
      <c r="J59" s="90">
        <f t="shared" si="2"/>
        <v>3750</v>
      </c>
      <c r="K59" s="90">
        <f t="shared" si="3"/>
        <v>0</v>
      </c>
      <c r="L59" s="90">
        <f t="shared" si="4"/>
        <v>0</v>
      </c>
      <c r="M59" s="90">
        <f t="shared" si="5"/>
        <v>0</v>
      </c>
      <c r="N59" s="91">
        <f t="shared" si="6"/>
        <v>0.40939999999999999</v>
      </c>
      <c r="P59" s="92">
        <f>SUMIFS($J$2:J58,$B$2:B58,B59,$C$2:C58,C59)</f>
        <v>2391</v>
      </c>
      <c r="Q59" s="92">
        <f t="shared" si="7"/>
        <v>12609</v>
      </c>
      <c r="R59" s="93">
        <f t="shared" si="8"/>
        <v>3750</v>
      </c>
    </row>
    <row r="60" spans="1:18" x14ac:dyDescent="0.3">
      <c r="A60" s="87" t="s">
        <v>2</v>
      </c>
      <c r="B60" s="87" t="s">
        <v>59</v>
      </c>
      <c r="C60" s="101">
        <v>46279</v>
      </c>
      <c r="D60" s="89">
        <v>15000</v>
      </c>
      <c r="E60" s="89">
        <v>3750</v>
      </c>
      <c r="F60" s="89">
        <f t="shared" si="11"/>
        <v>0</v>
      </c>
      <c r="G60" s="89">
        <v>15000</v>
      </c>
      <c r="H60" s="90">
        <f t="shared" si="10"/>
        <v>100</v>
      </c>
      <c r="I60" s="90">
        <f t="shared" si="1"/>
        <v>3850</v>
      </c>
      <c r="J60" s="90">
        <f t="shared" si="2"/>
        <v>3850</v>
      </c>
      <c r="K60" s="90">
        <f t="shared" si="3"/>
        <v>100</v>
      </c>
      <c r="L60" s="90">
        <f t="shared" si="4"/>
        <v>0</v>
      </c>
      <c r="M60" s="90">
        <f t="shared" si="5"/>
        <v>100</v>
      </c>
      <c r="N60" s="91">
        <f t="shared" si="6"/>
        <v>0.41613333333333336</v>
      </c>
      <c r="P60" s="92">
        <f>SUMIFS($J$2:J59,$B$2:B59,B60,$C$2:C59,C60)</f>
        <v>2392</v>
      </c>
      <c r="Q60" s="92">
        <f t="shared" si="7"/>
        <v>12608</v>
      </c>
      <c r="R60" s="93">
        <f t="shared" si="8"/>
        <v>3750</v>
      </c>
    </row>
    <row r="61" spans="1:18" x14ac:dyDescent="0.3">
      <c r="A61" s="87" t="s">
        <v>2</v>
      </c>
      <c r="B61" s="87" t="s">
        <v>59</v>
      </c>
      <c r="C61" s="101">
        <v>46286</v>
      </c>
      <c r="D61" s="89">
        <v>15000</v>
      </c>
      <c r="E61" s="89">
        <v>3000</v>
      </c>
      <c r="F61" s="89">
        <f t="shared" si="11"/>
        <v>100</v>
      </c>
      <c r="G61" s="89">
        <v>15000</v>
      </c>
      <c r="H61" s="90">
        <f t="shared" si="10"/>
        <v>9709</v>
      </c>
      <c r="I61" s="90">
        <f t="shared" si="1"/>
        <v>12609</v>
      </c>
      <c r="J61" s="90">
        <f t="shared" si="2"/>
        <v>12609</v>
      </c>
      <c r="K61" s="90">
        <f t="shared" si="3"/>
        <v>9709</v>
      </c>
      <c r="L61" s="90">
        <f t="shared" si="4"/>
        <v>0</v>
      </c>
      <c r="M61" s="90">
        <f t="shared" si="5"/>
        <v>9709</v>
      </c>
      <c r="N61" s="91">
        <f t="shared" si="6"/>
        <v>1</v>
      </c>
      <c r="P61" s="92">
        <f>SUMIFS($J$2:J60,$B$2:B60,B61,$C$2:C60,C61)</f>
        <v>2391</v>
      </c>
      <c r="Q61" s="92">
        <f t="shared" si="7"/>
        <v>12609</v>
      </c>
      <c r="R61" s="93">
        <f t="shared" si="8"/>
        <v>3000</v>
      </c>
    </row>
    <row r="62" spans="1:18" x14ac:dyDescent="0.3">
      <c r="A62" s="87" t="s">
        <v>2</v>
      </c>
      <c r="B62" s="87" t="s">
        <v>59</v>
      </c>
      <c r="C62" s="101">
        <v>46293</v>
      </c>
      <c r="D62" s="89">
        <v>15000</v>
      </c>
      <c r="E62" s="89">
        <v>3000</v>
      </c>
      <c r="F62" s="89">
        <f t="shared" si="11"/>
        <v>9709</v>
      </c>
      <c r="G62" s="89">
        <v>15000</v>
      </c>
      <c r="H62" s="90">
        <f t="shared" si="10"/>
        <v>15250</v>
      </c>
      <c r="I62" s="90">
        <f t="shared" si="1"/>
        <v>8541</v>
      </c>
      <c r="J62" s="90">
        <f t="shared" si="2"/>
        <v>8291</v>
      </c>
      <c r="K62" s="90">
        <f t="shared" si="3"/>
        <v>15000</v>
      </c>
      <c r="L62" s="90">
        <f t="shared" si="4"/>
        <v>0</v>
      </c>
      <c r="M62" s="90">
        <f t="shared" si="5"/>
        <v>15000</v>
      </c>
      <c r="N62" s="91">
        <f t="shared" si="6"/>
        <v>0.98333333333333328</v>
      </c>
      <c r="P62" s="92">
        <f>SUMIFS($J$2:J61,$B$2:B61,B62,$C$2:C61,C62)</f>
        <v>6459</v>
      </c>
      <c r="Q62" s="92">
        <f t="shared" si="7"/>
        <v>8541</v>
      </c>
      <c r="R62" s="93">
        <f t="shared" si="8"/>
        <v>3000</v>
      </c>
    </row>
    <row r="63" spans="1:18" x14ac:dyDescent="0.3">
      <c r="A63" s="87" t="s">
        <v>2</v>
      </c>
      <c r="B63" s="87" t="s">
        <v>59</v>
      </c>
      <c r="C63" s="101">
        <v>46300</v>
      </c>
      <c r="D63" s="89">
        <v>15000</v>
      </c>
      <c r="E63" s="89">
        <v>3000</v>
      </c>
      <c r="F63" s="89">
        <f t="shared" si="11"/>
        <v>15000</v>
      </c>
      <c r="G63" s="89">
        <v>15000</v>
      </c>
      <c r="H63" s="90">
        <f t="shared" si="10"/>
        <v>12250</v>
      </c>
      <c r="I63" s="90">
        <f t="shared" si="1"/>
        <v>250</v>
      </c>
      <c r="J63" s="90">
        <f t="shared" si="2"/>
        <v>0</v>
      </c>
      <c r="K63" s="90">
        <f t="shared" si="3"/>
        <v>12000</v>
      </c>
      <c r="L63" s="90">
        <f t="shared" si="4"/>
        <v>0</v>
      </c>
      <c r="M63" s="90">
        <f t="shared" si="5"/>
        <v>12000</v>
      </c>
      <c r="N63" s="91">
        <f t="shared" si="6"/>
        <v>1</v>
      </c>
      <c r="P63" s="92">
        <f>SUMIFS($J$2:J62,$B$2:B62,B63,$C$2:C62,C63)</f>
        <v>15000</v>
      </c>
      <c r="Q63" s="92">
        <f t="shared" si="7"/>
        <v>0</v>
      </c>
      <c r="R63" s="93">
        <f t="shared" si="8"/>
        <v>3000</v>
      </c>
    </row>
    <row r="64" spans="1:18" x14ac:dyDescent="0.3">
      <c r="A64" s="87" t="s">
        <v>2</v>
      </c>
      <c r="B64" s="87" t="s">
        <v>59</v>
      </c>
      <c r="C64" s="101">
        <v>46307</v>
      </c>
      <c r="D64" s="89">
        <v>15000</v>
      </c>
      <c r="E64" s="89">
        <v>3000</v>
      </c>
      <c r="F64" s="89">
        <f t="shared" si="11"/>
        <v>12000</v>
      </c>
      <c r="G64" s="89">
        <v>15000</v>
      </c>
      <c r="H64" s="90">
        <f t="shared" si="10"/>
        <v>9250</v>
      </c>
      <c r="I64" s="90">
        <f t="shared" si="1"/>
        <v>250</v>
      </c>
      <c r="J64" s="90">
        <f t="shared" si="2"/>
        <v>0</v>
      </c>
      <c r="K64" s="90">
        <f t="shared" si="3"/>
        <v>9000</v>
      </c>
      <c r="L64" s="90">
        <f t="shared" si="4"/>
        <v>0</v>
      </c>
      <c r="M64" s="90">
        <f t="shared" si="5"/>
        <v>9000</v>
      </c>
      <c r="N64" s="91">
        <f t="shared" si="6"/>
        <v>1</v>
      </c>
      <c r="P64" s="92">
        <f>SUMIFS($J$2:J63,$B$2:B63,B64,$C$2:C63,C64)</f>
        <v>15000</v>
      </c>
      <c r="Q64" s="92">
        <f t="shared" si="7"/>
        <v>0</v>
      </c>
      <c r="R64" s="93">
        <f t="shared" si="8"/>
        <v>3000</v>
      </c>
    </row>
    <row r="65" spans="1:18" x14ac:dyDescent="0.3">
      <c r="A65" s="87" t="s">
        <v>2</v>
      </c>
      <c r="B65" s="87" t="s">
        <v>59</v>
      </c>
      <c r="C65" s="101">
        <v>46314</v>
      </c>
      <c r="D65" s="89">
        <v>15000</v>
      </c>
      <c r="E65" s="89">
        <v>3000</v>
      </c>
      <c r="F65" s="89">
        <f t="shared" si="11"/>
        <v>9000</v>
      </c>
      <c r="G65" s="89">
        <v>15000</v>
      </c>
      <c r="H65" s="90">
        <f t="shared" si="10"/>
        <v>6250</v>
      </c>
      <c r="I65" s="90">
        <f t="shared" si="1"/>
        <v>250</v>
      </c>
      <c r="J65" s="90">
        <f t="shared" si="2"/>
        <v>0</v>
      </c>
      <c r="K65" s="90">
        <f t="shared" si="3"/>
        <v>6000</v>
      </c>
      <c r="L65" s="90">
        <f t="shared" si="4"/>
        <v>0</v>
      </c>
      <c r="M65" s="90">
        <f t="shared" si="5"/>
        <v>6000</v>
      </c>
      <c r="N65" s="91">
        <f t="shared" si="6"/>
        <v>1</v>
      </c>
      <c r="P65" s="92">
        <f>SUMIFS($J$2:J64,$B$2:B64,B65,$C$2:C64,C65)</f>
        <v>15000</v>
      </c>
      <c r="Q65" s="92">
        <f t="shared" si="7"/>
        <v>0</v>
      </c>
      <c r="R65" s="93">
        <f t="shared" si="8"/>
        <v>3000</v>
      </c>
    </row>
    <row r="66" spans="1:18" x14ac:dyDescent="0.3">
      <c r="A66" s="87" t="s">
        <v>2</v>
      </c>
      <c r="B66" s="87" t="s">
        <v>59</v>
      </c>
      <c r="C66" s="101">
        <v>46321</v>
      </c>
      <c r="D66" s="89">
        <v>15000</v>
      </c>
      <c r="E66" s="89">
        <v>6250</v>
      </c>
      <c r="F66" s="89">
        <f t="shared" si="11"/>
        <v>6000</v>
      </c>
      <c r="G66" s="89">
        <v>15000</v>
      </c>
      <c r="H66" s="90">
        <f t="shared" si="10"/>
        <v>0</v>
      </c>
      <c r="I66" s="90">
        <f t="shared" ref="I66:I129" si="12">MAX(0,E66+H66-F66)</f>
        <v>250</v>
      </c>
      <c r="J66" s="90">
        <f t="shared" ref="J66:J129" si="13">MIN(Q66,I66,MAX(0,E66+G66-F66))</f>
        <v>0</v>
      </c>
      <c r="K66" s="90">
        <f t="shared" ref="K66:K129" si="14">MIN(G66,MAX(0,F66+J66-E66))</f>
        <v>0</v>
      </c>
      <c r="L66" s="90">
        <f t="shared" ref="L66:L129" si="15">MAX(0,E66-F66-J66)</f>
        <v>250</v>
      </c>
      <c r="M66" s="90">
        <f t="shared" ref="M66:M129" si="16">MAX(0,F66+J66-E66)</f>
        <v>0</v>
      </c>
      <c r="N66" s="91">
        <f t="shared" ref="N66:N129" si="17">IFERROR(SUMIFS($J$2:$J$217,$B$2:$B$217,B66,$C$2:$C$217,C66)/D66,0)</f>
        <v>1</v>
      </c>
      <c r="P66" s="92">
        <f>SUMIFS($J$2:J65,$B$2:B65,B66,$C$2:C65,C66)</f>
        <v>15000</v>
      </c>
      <c r="Q66" s="92">
        <f t="shared" ref="Q66:Q129" si="18">MAX(0,D66-P66)</f>
        <v>0</v>
      </c>
      <c r="R66" s="93">
        <f t="shared" ref="R66:R129" si="19">MAX(0,MIN(E66,F66+J66))</f>
        <v>6000</v>
      </c>
    </row>
    <row r="67" spans="1:18" x14ac:dyDescent="0.3">
      <c r="A67" s="87" t="s">
        <v>2</v>
      </c>
      <c r="B67" s="87" t="s">
        <v>59</v>
      </c>
      <c r="C67" s="101">
        <v>46328</v>
      </c>
      <c r="D67" s="89">
        <v>15000</v>
      </c>
      <c r="E67" s="89">
        <v>6250</v>
      </c>
      <c r="F67" s="89">
        <f t="shared" si="11"/>
        <v>0</v>
      </c>
      <c r="G67" s="89">
        <v>15000</v>
      </c>
      <c r="H67" s="90">
        <f t="shared" si="10"/>
        <v>0</v>
      </c>
      <c r="I67" s="90">
        <f t="shared" si="12"/>
        <v>6250</v>
      </c>
      <c r="J67" s="90">
        <f t="shared" si="13"/>
        <v>6250</v>
      </c>
      <c r="K67" s="90">
        <f t="shared" si="14"/>
        <v>0</v>
      </c>
      <c r="L67" s="90">
        <f t="shared" si="15"/>
        <v>0</v>
      </c>
      <c r="M67" s="90">
        <f t="shared" si="16"/>
        <v>0</v>
      </c>
      <c r="N67" s="91">
        <f t="shared" si="17"/>
        <v>0.70206666666666662</v>
      </c>
      <c r="P67" s="92">
        <f>SUMIFS($J$2:J66,$B$2:B66,B67,$C$2:C66,C67)</f>
        <v>4281</v>
      </c>
      <c r="Q67" s="92">
        <f t="shared" si="18"/>
        <v>10719</v>
      </c>
      <c r="R67" s="93">
        <f t="shared" si="19"/>
        <v>6250</v>
      </c>
    </row>
    <row r="68" spans="1:18" x14ac:dyDescent="0.3">
      <c r="A68" s="87" t="s">
        <v>2</v>
      </c>
      <c r="B68" s="87" t="s">
        <v>59</v>
      </c>
      <c r="C68" s="101">
        <v>46335</v>
      </c>
      <c r="D68" s="89">
        <v>15000</v>
      </c>
      <c r="E68" s="89">
        <v>6250</v>
      </c>
      <c r="F68" s="89">
        <f t="shared" si="11"/>
        <v>0</v>
      </c>
      <c r="G68" s="89">
        <v>15000</v>
      </c>
      <c r="H68" s="90">
        <f t="shared" si="10"/>
        <v>0</v>
      </c>
      <c r="I68" s="90">
        <f t="shared" si="12"/>
        <v>6250</v>
      </c>
      <c r="J68" s="90">
        <f t="shared" si="13"/>
        <v>6250</v>
      </c>
      <c r="K68" s="90">
        <f t="shared" si="14"/>
        <v>0</v>
      </c>
      <c r="L68" s="90">
        <f t="shared" si="15"/>
        <v>0</v>
      </c>
      <c r="M68" s="90">
        <f t="shared" si="16"/>
        <v>0</v>
      </c>
      <c r="N68" s="91">
        <f t="shared" si="17"/>
        <v>0.70213333333333339</v>
      </c>
      <c r="P68" s="92">
        <f>SUMIFS($J$2:J67,$B$2:B67,B68,$C$2:C67,C68)</f>
        <v>4282</v>
      </c>
      <c r="Q68" s="92">
        <f t="shared" si="18"/>
        <v>10718</v>
      </c>
      <c r="R68" s="93">
        <f t="shared" si="19"/>
        <v>6250</v>
      </c>
    </row>
    <row r="69" spans="1:18" x14ac:dyDescent="0.3">
      <c r="A69" s="87" t="s">
        <v>2</v>
      </c>
      <c r="B69" s="87" t="s">
        <v>59</v>
      </c>
      <c r="C69" s="101">
        <v>46342</v>
      </c>
      <c r="D69" s="89">
        <v>15000</v>
      </c>
      <c r="E69" s="89">
        <v>6250</v>
      </c>
      <c r="F69" s="89">
        <f t="shared" si="11"/>
        <v>0</v>
      </c>
      <c r="G69" s="89">
        <v>15000</v>
      </c>
      <c r="H69" s="90">
        <f t="shared" si="10"/>
        <v>0</v>
      </c>
      <c r="I69" s="90">
        <f t="shared" si="12"/>
        <v>6250</v>
      </c>
      <c r="J69" s="90">
        <f t="shared" si="13"/>
        <v>6250</v>
      </c>
      <c r="K69" s="90">
        <f t="shared" si="14"/>
        <v>0</v>
      </c>
      <c r="L69" s="90">
        <f t="shared" si="15"/>
        <v>0</v>
      </c>
      <c r="M69" s="90">
        <f t="shared" si="16"/>
        <v>0</v>
      </c>
      <c r="N69" s="91">
        <f t="shared" si="17"/>
        <v>0.70206666666666662</v>
      </c>
      <c r="P69" s="92">
        <f>SUMIFS($J$2:J68,$B$2:B68,B69,$C$2:C68,C69)</f>
        <v>4281</v>
      </c>
      <c r="Q69" s="92">
        <f t="shared" si="18"/>
        <v>10719</v>
      </c>
      <c r="R69" s="93">
        <f t="shared" si="19"/>
        <v>6250</v>
      </c>
    </row>
    <row r="70" spans="1:18" x14ac:dyDescent="0.3">
      <c r="A70" s="87" t="s">
        <v>2</v>
      </c>
      <c r="B70" s="87" t="s">
        <v>59</v>
      </c>
      <c r="C70" s="101">
        <v>46349</v>
      </c>
      <c r="D70" s="89">
        <v>15000</v>
      </c>
      <c r="E70" s="89">
        <v>6250</v>
      </c>
      <c r="F70" s="89">
        <f t="shared" si="11"/>
        <v>0</v>
      </c>
      <c r="G70" s="89">
        <v>15000</v>
      </c>
      <c r="H70" s="90">
        <f t="shared" si="10"/>
        <v>0</v>
      </c>
      <c r="I70" s="90">
        <f t="shared" si="12"/>
        <v>6250</v>
      </c>
      <c r="J70" s="90">
        <f t="shared" si="13"/>
        <v>6250</v>
      </c>
      <c r="K70" s="90">
        <f t="shared" si="14"/>
        <v>0</v>
      </c>
      <c r="L70" s="90">
        <f t="shared" si="15"/>
        <v>0</v>
      </c>
      <c r="M70" s="90">
        <f t="shared" si="16"/>
        <v>0</v>
      </c>
      <c r="N70" s="91">
        <f t="shared" si="17"/>
        <v>0.70213333333333339</v>
      </c>
      <c r="P70" s="92">
        <f>SUMIFS($J$2:J69,$B$2:B69,B70,$C$2:C69,C70)</f>
        <v>4282</v>
      </c>
      <c r="Q70" s="92">
        <f t="shared" si="18"/>
        <v>10718</v>
      </c>
      <c r="R70" s="93">
        <f t="shared" si="19"/>
        <v>6250</v>
      </c>
    </row>
    <row r="71" spans="1:18" x14ac:dyDescent="0.3">
      <c r="A71" s="87" t="s">
        <v>2</v>
      </c>
      <c r="B71" s="87" t="s">
        <v>59</v>
      </c>
      <c r="C71" s="101">
        <v>46356</v>
      </c>
      <c r="D71" s="89">
        <v>15000</v>
      </c>
      <c r="E71" s="89">
        <v>6250</v>
      </c>
      <c r="F71" s="89">
        <f t="shared" si="11"/>
        <v>0</v>
      </c>
      <c r="G71" s="89">
        <v>15000</v>
      </c>
      <c r="H71" s="90">
        <f t="shared" si="10"/>
        <v>0</v>
      </c>
      <c r="I71" s="90">
        <f t="shared" si="12"/>
        <v>6250</v>
      </c>
      <c r="J71" s="90">
        <f t="shared" si="13"/>
        <v>6250</v>
      </c>
      <c r="K71" s="90">
        <f t="shared" si="14"/>
        <v>0</v>
      </c>
      <c r="L71" s="90">
        <f t="shared" si="15"/>
        <v>0</v>
      </c>
      <c r="M71" s="90">
        <f t="shared" si="16"/>
        <v>0</v>
      </c>
      <c r="N71" s="91">
        <f t="shared" si="17"/>
        <v>0.70206666666666662</v>
      </c>
      <c r="P71" s="92">
        <f>SUMIFS($J$2:J70,$B$2:B70,B71,$C$2:C70,C71)</f>
        <v>4281</v>
      </c>
      <c r="Q71" s="92">
        <f t="shared" si="18"/>
        <v>10719</v>
      </c>
      <c r="R71" s="93">
        <f t="shared" si="19"/>
        <v>6250</v>
      </c>
    </row>
    <row r="72" spans="1:18" x14ac:dyDescent="0.3">
      <c r="A72" s="87" t="s">
        <v>2</v>
      </c>
      <c r="B72" s="87" t="s">
        <v>59</v>
      </c>
      <c r="C72" s="101">
        <v>46363</v>
      </c>
      <c r="D72" s="89">
        <v>15000</v>
      </c>
      <c r="E72" s="89">
        <v>6250</v>
      </c>
      <c r="F72" s="89">
        <f t="shared" si="11"/>
        <v>0</v>
      </c>
      <c r="G72" s="89">
        <v>15000</v>
      </c>
      <c r="H72" s="90">
        <f t="shared" si="10"/>
        <v>0</v>
      </c>
      <c r="I72" s="90">
        <f t="shared" si="12"/>
        <v>6250</v>
      </c>
      <c r="J72" s="90">
        <f t="shared" si="13"/>
        <v>6250</v>
      </c>
      <c r="K72" s="90">
        <f t="shared" si="14"/>
        <v>0</v>
      </c>
      <c r="L72" s="90">
        <f t="shared" si="15"/>
        <v>0</v>
      </c>
      <c r="M72" s="90">
        <f t="shared" si="16"/>
        <v>0</v>
      </c>
      <c r="N72" s="91">
        <f t="shared" si="17"/>
        <v>0.97173333333333334</v>
      </c>
      <c r="P72" s="92">
        <f>SUMIFS($J$2:J71,$B$2:B71,B72,$C$2:C71,C72)</f>
        <v>8326</v>
      </c>
      <c r="Q72" s="92">
        <f t="shared" si="18"/>
        <v>6674</v>
      </c>
      <c r="R72" s="93">
        <f t="shared" si="19"/>
        <v>6250</v>
      </c>
    </row>
    <row r="73" spans="1:18" x14ac:dyDescent="0.3">
      <c r="A73" s="87" t="s">
        <v>2</v>
      </c>
      <c r="B73" s="87" t="s">
        <v>59</v>
      </c>
      <c r="C73" s="101">
        <v>46370</v>
      </c>
      <c r="D73" s="89">
        <v>15000</v>
      </c>
      <c r="E73" s="89">
        <v>6250</v>
      </c>
      <c r="F73" s="89">
        <f t="shared" si="11"/>
        <v>0</v>
      </c>
      <c r="G73" s="89">
        <v>15000</v>
      </c>
      <c r="H73" s="90">
        <f>0</f>
        <v>0</v>
      </c>
      <c r="I73" s="90">
        <f t="shared" si="12"/>
        <v>6250</v>
      </c>
      <c r="J73" s="90">
        <f t="shared" si="13"/>
        <v>6250</v>
      </c>
      <c r="K73" s="90">
        <f t="shared" si="14"/>
        <v>0</v>
      </c>
      <c r="L73" s="90">
        <f t="shared" si="15"/>
        <v>0</v>
      </c>
      <c r="M73" s="90">
        <f t="shared" si="16"/>
        <v>0</v>
      </c>
      <c r="N73" s="91">
        <f t="shared" si="17"/>
        <v>0.97166666666666668</v>
      </c>
      <c r="P73" s="92">
        <f>SUMIFS($J$2:J72,$B$2:B72,B73,$C$2:C72,C73)</f>
        <v>8325</v>
      </c>
      <c r="Q73" s="92">
        <f t="shared" si="18"/>
        <v>6675</v>
      </c>
      <c r="R73" s="93">
        <f t="shared" si="19"/>
        <v>6250</v>
      </c>
    </row>
    <row r="74" spans="1:18" x14ac:dyDescent="0.3">
      <c r="A74" s="87" t="s">
        <v>3</v>
      </c>
      <c r="B74" s="87" t="s">
        <v>68</v>
      </c>
      <c r="C74" s="101">
        <v>46125</v>
      </c>
      <c r="D74" s="89">
        <v>5000</v>
      </c>
      <c r="E74" s="89">
        <v>0</v>
      </c>
      <c r="F74" s="89">
        <f>0</f>
        <v>0</v>
      </c>
      <c r="G74" s="89">
        <v>5000</v>
      </c>
      <c r="H74" s="90">
        <f t="shared" ref="H74:H108" si="20">MAX(0,H75+E75-Q75)</f>
        <v>11175</v>
      </c>
      <c r="I74" s="90">
        <f t="shared" si="12"/>
        <v>11175</v>
      </c>
      <c r="J74" s="90">
        <f t="shared" si="13"/>
        <v>5000</v>
      </c>
      <c r="K74" s="90">
        <f t="shared" si="14"/>
        <v>5000</v>
      </c>
      <c r="L74" s="90">
        <f t="shared" si="15"/>
        <v>0</v>
      </c>
      <c r="M74" s="90">
        <f t="shared" si="16"/>
        <v>5000</v>
      </c>
      <c r="N74" s="91">
        <f t="shared" si="17"/>
        <v>1</v>
      </c>
      <c r="O74" s="61" t="s">
        <v>110</v>
      </c>
      <c r="P74" s="92">
        <f>SUMIFS($J$2:J73,$B$2:B73,B74,$C$2:C73,C74)</f>
        <v>0</v>
      </c>
      <c r="Q74" s="90">
        <f t="shared" si="18"/>
        <v>5000</v>
      </c>
      <c r="R74" s="93">
        <f t="shared" si="19"/>
        <v>0</v>
      </c>
    </row>
    <row r="75" spans="1:18" x14ac:dyDescent="0.3">
      <c r="A75" s="87" t="s">
        <v>3</v>
      </c>
      <c r="B75" s="87" t="s">
        <v>68</v>
      </c>
      <c r="C75" s="101">
        <v>46132</v>
      </c>
      <c r="D75" s="89">
        <v>5000</v>
      </c>
      <c r="E75" s="89">
        <v>0</v>
      </c>
      <c r="F75" s="89">
        <f t="shared" ref="F75:F109" si="21">K74</f>
        <v>5000</v>
      </c>
      <c r="G75" s="89">
        <v>5000</v>
      </c>
      <c r="H75" s="90">
        <f t="shared" si="20"/>
        <v>16175</v>
      </c>
      <c r="I75" s="90">
        <f t="shared" si="12"/>
        <v>11175</v>
      </c>
      <c r="J75" s="90">
        <f t="shared" si="13"/>
        <v>0</v>
      </c>
      <c r="K75" s="90">
        <f t="shared" si="14"/>
        <v>5000</v>
      </c>
      <c r="L75" s="90">
        <f t="shared" si="15"/>
        <v>0</v>
      </c>
      <c r="M75" s="90">
        <f t="shared" si="16"/>
        <v>5000</v>
      </c>
      <c r="N75" s="91">
        <f t="shared" si="17"/>
        <v>1</v>
      </c>
      <c r="P75" s="92">
        <f>SUMIFS($J$2:J74,$B$2:B74,B75,$C$2:C74,C75)</f>
        <v>0</v>
      </c>
      <c r="Q75" s="92">
        <f t="shared" si="18"/>
        <v>5000</v>
      </c>
      <c r="R75" s="93">
        <f t="shared" si="19"/>
        <v>0</v>
      </c>
    </row>
    <row r="76" spans="1:18" x14ac:dyDescent="0.3">
      <c r="A76" s="87" t="s">
        <v>3</v>
      </c>
      <c r="B76" s="87" t="s">
        <v>68</v>
      </c>
      <c r="C76" s="101">
        <v>46139</v>
      </c>
      <c r="D76" s="89">
        <v>5000</v>
      </c>
      <c r="E76" s="89">
        <v>0</v>
      </c>
      <c r="F76" s="89">
        <f t="shared" si="21"/>
        <v>5000</v>
      </c>
      <c r="G76" s="89">
        <v>5000</v>
      </c>
      <c r="H76" s="90">
        <f t="shared" si="20"/>
        <v>21175</v>
      </c>
      <c r="I76" s="90">
        <f t="shared" si="12"/>
        <v>16175</v>
      </c>
      <c r="J76" s="90">
        <f t="shared" si="13"/>
        <v>0</v>
      </c>
      <c r="K76" s="90">
        <f t="shared" si="14"/>
        <v>5000</v>
      </c>
      <c r="L76" s="90">
        <f t="shared" si="15"/>
        <v>0</v>
      </c>
      <c r="M76" s="90">
        <f t="shared" si="16"/>
        <v>5000</v>
      </c>
      <c r="N76" s="91">
        <f t="shared" si="17"/>
        <v>0</v>
      </c>
      <c r="P76" s="92">
        <f>SUMIFS($J$2:J75,$B$2:B75,B76,$C$2:C75,C76)</f>
        <v>0</v>
      </c>
      <c r="Q76" s="92">
        <f t="shared" si="18"/>
        <v>5000</v>
      </c>
      <c r="R76" s="93">
        <f t="shared" si="19"/>
        <v>0</v>
      </c>
    </row>
    <row r="77" spans="1:18" x14ac:dyDescent="0.3">
      <c r="A77" s="87" t="s">
        <v>3</v>
      </c>
      <c r="B77" s="87" t="s">
        <v>68</v>
      </c>
      <c r="C77" s="101">
        <v>46146</v>
      </c>
      <c r="D77" s="89">
        <v>5000</v>
      </c>
      <c r="E77" s="89">
        <v>4320</v>
      </c>
      <c r="F77" s="89">
        <f t="shared" si="21"/>
        <v>5000</v>
      </c>
      <c r="G77" s="89">
        <v>5000</v>
      </c>
      <c r="H77" s="90">
        <f t="shared" si="20"/>
        <v>21855</v>
      </c>
      <c r="I77" s="90">
        <f t="shared" si="12"/>
        <v>21175</v>
      </c>
      <c r="J77" s="90">
        <f t="shared" si="13"/>
        <v>4320</v>
      </c>
      <c r="K77" s="90">
        <f t="shared" si="14"/>
        <v>5000</v>
      </c>
      <c r="L77" s="90">
        <f t="shared" si="15"/>
        <v>0</v>
      </c>
      <c r="M77" s="90">
        <f t="shared" si="16"/>
        <v>5000</v>
      </c>
      <c r="N77" s="91">
        <f t="shared" si="17"/>
        <v>1</v>
      </c>
      <c r="P77" s="92">
        <f>SUMIFS($J$2:J76,$B$2:B76,B77,$C$2:C76,C77)</f>
        <v>0</v>
      </c>
      <c r="Q77" s="92">
        <f t="shared" si="18"/>
        <v>5000</v>
      </c>
      <c r="R77" s="93">
        <f t="shared" si="19"/>
        <v>4320</v>
      </c>
    </row>
    <row r="78" spans="1:18" x14ac:dyDescent="0.3">
      <c r="A78" s="87" t="s">
        <v>3</v>
      </c>
      <c r="B78" s="87" t="s">
        <v>68</v>
      </c>
      <c r="C78" s="101">
        <v>46153</v>
      </c>
      <c r="D78" s="89">
        <v>5000</v>
      </c>
      <c r="E78" s="89">
        <v>8370</v>
      </c>
      <c r="F78" s="89">
        <f t="shared" si="21"/>
        <v>5000</v>
      </c>
      <c r="G78" s="89">
        <v>5000</v>
      </c>
      <c r="H78" s="90">
        <f t="shared" si="20"/>
        <v>18485</v>
      </c>
      <c r="I78" s="90">
        <f t="shared" si="12"/>
        <v>21855</v>
      </c>
      <c r="J78" s="90">
        <f t="shared" si="13"/>
        <v>5000</v>
      </c>
      <c r="K78" s="90">
        <f t="shared" si="14"/>
        <v>1630</v>
      </c>
      <c r="L78" s="90">
        <f t="shared" si="15"/>
        <v>0</v>
      </c>
      <c r="M78" s="90">
        <f t="shared" si="16"/>
        <v>1630</v>
      </c>
      <c r="N78" s="91">
        <f t="shared" si="17"/>
        <v>1</v>
      </c>
      <c r="P78" s="92">
        <f>SUMIFS($J$2:J77,$B$2:B77,B78,$C$2:C77,C78)</f>
        <v>0</v>
      </c>
      <c r="Q78" s="92">
        <f t="shared" si="18"/>
        <v>5000</v>
      </c>
      <c r="R78" s="93">
        <f t="shared" si="19"/>
        <v>8370</v>
      </c>
    </row>
    <row r="79" spans="1:18" x14ac:dyDescent="0.3">
      <c r="A79" s="87" t="s">
        <v>3</v>
      </c>
      <c r="B79" s="87" t="s">
        <v>68</v>
      </c>
      <c r="C79" s="101">
        <v>46160</v>
      </c>
      <c r="D79" s="89">
        <v>5000</v>
      </c>
      <c r="E79" s="89">
        <v>11782</v>
      </c>
      <c r="F79" s="89">
        <f t="shared" si="21"/>
        <v>1630</v>
      </c>
      <c r="G79" s="89">
        <v>5000</v>
      </c>
      <c r="H79" s="90">
        <f t="shared" si="20"/>
        <v>11703</v>
      </c>
      <c r="I79" s="90">
        <f t="shared" si="12"/>
        <v>21855</v>
      </c>
      <c r="J79" s="90">
        <f t="shared" si="13"/>
        <v>5000</v>
      </c>
      <c r="K79" s="90">
        <f t="shared" si="14"/>
        <v>0</v>
      </c>
      <c r="L79" s="90">
        <f t="shared" si="15"/>
        <v>5152</v>
      </c>
      <c r="M79" s="90">
        <f t="shared" si="16"/>
        <v>0</v>
      </c>
      <c r="N79" s="91">
        <f t="shared" si="17"/>
        <v>1</v>
      </c>
      <c r="P79" s="92">
        <f>SUMIFS($J$2:J78,$B$2:B78,B79,$C$2:C78,C79)</f>
        <v>0</v>
      </c>
      <c r="Q79" s="92">
        <f t="shared" si="18"/>
        <v>5000</v>
      </c>
      <c r="R79" s="93">
        <f t="shared" si="19"/>
        <v>6630</v>
      </c>
    </row>
    <row r="80" spans="1:18" x14ac:dyDescent="0.3">
      <c r="A80" s="87" t="s">
        <v>3</v>
      </c>
      <c r="B80" s="87" t="s">
        <v>68</v>
      </c>
      <c r="C80" s="101">
        <v>46167</v>
      </c>
      <c r="D80" s="89">
        <v>5000</v>
      </c>
      <c r="E80" s="89">
        <v>10524</v>
      </c>
      <c r="F80" s="89">
        <f t="shared" si="21"/>
        <v>0</v>
      </c>
      <c r="G80" s="89">
        <v>5000</v>
      </c>
      <c r="H80" s="90">
        <f t="shared" si="20"/>
        <v>6179</v>
      </c>
      <c r="I80" s="90">
        <f t="shared" si="12"/>
        <v>16703</v>
      </c>
      <c r="J80" s="90">
        <f t="shared" si="13"/>
        <v>5000</v>
      </c>
      <c r="K80" s="90">
        <f t="shared" si="14"/>
        <v>0</v>
      </c>
      <c r="L80" s="90">
        <f t="shared" si="15"/>
        <v>5524</v>
      </c>
      <c r="M80" s="90">
        <f t="shared" si="16"/>
        <v>0</v>
      </c>
      <c r="N80" s="91">
        <f t="shared" si="17"/>
        <v>1</v>
      </c>
      <c r="P80" s="92">
        <f>SUMIFS($J$2:J79,$B$2:B79,B80,$C$2:C79,C80)</f>
        <v>0</v>
      </c>
      <c r="Q80" s="92">
        <f t="shared" si="18"/>
        <v>5000</v>
      </c>
      <c r="R80" s="93">
        <f t="shared" si="19"/>
        <v>5000</v>
      </c>
    </row>
    <row r="81" spans="1:18" x14ac:dyDescent="0.3">
      <c r="A81" s="87" t="s">
        <v>3</v>
      </c>
      <c r="B81" s="87" t="s">
        <v>68</v>
      </c>
      <c r="C81" s="101">
        <v>46174</v>
      </c>
      <c r="D81" s="89">
        <v>5000</v>
      </c>
      <c r="E81" s="89">
        <v>3240</v>
      </c>
      <c r="F81" s="89">
        <f t="shared" si="21"/>
        <v>0</v>
      </c>
      <c r="G81" s="89">
        <v>5000</v>
      </c>
      <c r="H81" s="90">
        <f t="shared" si="20"/>
        <v>7939</v>
      </c>
      <c r="I81" s="90">
        <f t="shared" si="12"/>
        <v>11179</v>
      </c>
      <c r="J81" s="90">
        <f t="shared" si="13"/>
        <v>5000</v>
      </c>
      <c r="K81" s="90">
        <f t="shared" si="14"/>
        <v>1760</v>
      </c>
      <c r="L81" s="90">
        <f t="shared" si="15"/>
        <v>0</v>
      </c>
      <c r="M81" s="90">
        <f t="shared" si="16"/>
        <v>1760</v>
      </c>
      <c r="N81" s="91">
        <f t="shared" si="17"/>
        <v>1</v>
      </c>
      <c r="P81" s="92">
        <f>SUMIFS($J$2:J80,$B$2:B80,B81,$C$2:C80,C81)</f>
        <v>0</v>
      </c>
      <c r="Q81" s="92">
        <f t="shared" si="18"/>
        <v>5000</v>
      </c>
      <c r="R81" s="93">
        <f t="shared" si="19"/>
        <v>3240</v>
      </c>
    </row>
    <row r="82" spans="1:18" x14ac:dyDescent="0.3">
      <c r="A82" s="87" t="s">
        <v>3</v>
      </c>
      <c r="B82" s="87" t="s">
        <v>68</v>
      </c>
      <c r="C82" s="101">
        <v>46181</v>
      </c>
      <c r="D82" s="89">
        <v>5000</v>
      </c>
      <c r="E82" s="89">
        <v>6442</v>
      </c>
      <c r="F82" s="89">
        <f t="shared" si="21"/>
        <v>1760</v>
      </c>
      <c r="G82" s="89">
        <v>5000</v>
      </c>
      <c r="H82" s="90">
        <f t="shared" si="20"/>
        <v>6497</v>
      </c>
      <c r="I82" s="90">
        <f t="shared" si="12"/>
        <v>11179</v>
      </c>
      <c r="J82" s="90">
        <f t="shared" si="13"/>
        <v>5000</v>
      </c>
      <c r="K82" s="90">
        <f t="shared" si="14"/>
        <v>318</v>
      </c>
      <c r="L82" s="90">
        <f t="shared" si="15"/>
        <v>0</v>
      </c>
      <c r="M82" s="90">
        <f t="shared" si="16"/>
        <v>318</v>
      </c>
      <c r="N82" s="91">
        <f t="shared" si="17"/>
        <v>1</v>
      </c>
      <c r="P82" s="92">
        <f>SUMIFS($J$2:J81,$B$2:B81,B82,$C$2:C81,C82)</f>
        <v>0</v>
      </c>
      <c r="Q82" s="92">
        <f t="shared" si="18"/>
        <v>5000</v>
      </c>
      <c r="R82" s="93">
        <f t="shared" si="19"/>
        <v>6442</v>
      </c>
    </row>
    <row r="83" spans="1:18" x14ac:dyDescent="0.3">
      <c r="A83" s="87" t="s">
        <v>3</v>
      </c>
      <c r="B83" s="87" t="s">
        <v>68</v>
      </c>
      <c r="C83" s="101">
        <v>46188</v>
      </c>
      <c r="D83" s="89">
        <v>5000</v>
      </c>
      <c r="E83" s="89">
        <v>8802</v>
      </c>
      <c r="F83" s="89">
        <f t="shared" si="21"/>
        <v>318</v>
      </c>
      <c r="G83" s="89">
        <v>5000</v>
      </c>
      <c r="H83" s="90">
        <f t="shared" si="20"/>
        <v>2695</v>
      </c>
      <c r="I83" s="90">
        <f t="shared" si="12"/>
        <v>11179</v>
      </c>
      <c r="J83" s="90">
        <f t="shared" si="13"/>
        <v>5000</v>
      </c>
      <c r="K83" s="90">
        <f t="shared" si="14"/>
        <v>0</v>
      </c>
      <c r="L83" s="90">
        <f t="shared" si="15"/>
        <v>3484</v>
      </c>
      <c r="M83" s="90">
        <f t="shared" si="16"/>
        <v>0</v>
      </c>
      <c r="N83" s="91">
        <f t="shared" si="17"/>
        <v>1</v>
      </c>
      <c r="P83" s="92">
        <f>SUMIFS($J$2:J82,$B$2:B82,B83,$C$2:C82,C83)</f>
        <v>0</v>
      </c>
      <c r="Q83" s="92">
        <f t="shared" si="18"/>
        <v>5000</v>
      </c>
      <c r="R83" s="93">
        <f t="shared" si="19"/>
        <v>5318</v>
      </c>
    </row>
    <row r="84" spans="1:18" x14ac:dyDescent="0.3">
      <c r="A84" s="87" t="s">
        <v>3</v>
      </c>
      <c r="B84" s="87" t="s">
        <v>68</v>
      </c>
      <c r="C84" s="101">
        <v>46195</v>
      </c>
      <c r="D84" s="89">
        <v>5000</v>
      </c>
      <c r="E84" s="89">
        <v>7695</v>
      </c>
      <c r="F84" s="89">
        <f t="shared" si="21"/>
        <v>0</v>
      </c>
      <c r="G84" s="89">
        <v>5000</v>
      </c>
      <c r="H84" s="90">
        <f t="shared" si="20"/>
        <v>0</v>
      </c>
      <c r="I84" s="90">
        <f t="shared" si="12"/>
        <v>7695</v>
      </c>
      <c r="J84" s="90">
        <f t="shared" si="13"/>
        <v>5000</v>
      </c>
      <c r="K84" s="90">
        <f t="shared" si="14"/>
        <v>0</v>
      </c>
      <c r="L84" s="90">
        <f t="shared" si="15"/>
        <v>2695</v>
      </c>
      <c r="M84" s="90">
        <f t="shared" si="16"/>
        <v>0</v>
      </c>
      <c r="N84" s="91">
        <f t="shared" si="17"/>
        <v>1</v>
      </c>
      <c r="P84" s="92">
        <f>SUMIFS($J$2:J83,$B$2:B83,B84,$C$2:C83,C84)</f>
        <v>0</v>
      </c>
      <c r="Q84" s="92">
        <f t="shared" si="18"/>
        <v>5000</v>
      </c>
      <c r="R84" s="93">
        <f t="shared" si="19"/>
        <v>5000</v>
      </c>
    </row>
    <row r="85" spans="1:18" x14ac:dyDescent="0.3">
      <c r="A85" s="87" t="s">
        <v>3</v>
      </c>
      <c r="B85" s="87" t="s">
        <v>68</v>
      </c>
      <c r="C85" s="101">
        <v>46202</v>
      </c>
      <c r="D85" s="89">
        <v>5000</v>
      </c>
      <c r="E85" s="89">
        <v>2500</v>
      </c>
      <c r="F85" s="89">
        <f t="shared" si="21"/>
        <v>0</v>
      </c>
      <c r="G85" s="89">
        <v>5000</v>
      </c>
      <c r="H85" s="90">
        <f t="shared" si="20"/>
        <v>0</v>
      </c>
      <c r="I85" s="90">
        <f t="shared" si="12"/>
        <v>2500</v>
      </c>
      <c r="J85" s="90">
        <f t="shared" si="13"/>
        <v>2500</v>
      </c>
      <c r="K85" s="90">
        <f t="shared" si="14"/>
        <v>0</v>
      </c>
      <c r="L85" s="90">
        <f t="shared" si="15"/>
        <v>0</v>
      </c>
      <c r="M85" s="90">
        <f t="shared" si="16"/>
        <v>0</v>
      </c>
      <c r="N85" s="91">
        <f t="shared" si="17"/>
        <v>0.6</v>
      </c>
      <c r="P85" s="92">
        <f>SUMIFS($J$2:J84,$B$2:B84,B85,$C$2:C84,C85)</f>
        <v>0</v>
      </c>
      <c r="Q85" s="92">
        <f t="shared" si="18"/>
        <v>5000</v>
      </c>
      <c r="R85" s="93">
        <f t="shared" si="19"/>
        <v>2500</v>
      </c>
    </row>
    <row r="86" spans="1:18" x14ac:dyDescent="0.3">
      <c r="A86" s="87" t="s">
        <v>3</v>
      </c>
      <c r="B86" s="87" t="s">
        <v>68</v>
      </c>
      <c r="C86" s="101">
        <v>46209</v>
      </c>
      <c r="D86" s="89">
        <v>5000</v>
      </c>
      <c r="E86" s="89">
        <v>2500</v>
      </c>
      <c r="F86" s="89">
        <f t="shared" si="21"/>
        <v>0</v>
      </c>
      <c r="G86" s="89">
        <v>5000</v>
      </c>
      <c r="H86" s="90">
        <f t="shared" si="20"/>
        <v>0</v>
      </c>
      <c r="I86" s="90">
        <f t="shared" si="12"/>
        <v>2500</v>
      </c>
      <c r="J86" s="90">
        <f t="shared" si="13"/>
        <v>2500</v>
      </c>
      <c r="K86" s="90">
        <f t="shared" si="14"/>
        <v>0</v>
      </c>
      <c r="L86" s="90">
        <f t="shared" si="15"/>
        <v>0</v>
      </c>
      <c r="M86" s="90">
        <f t="shared" si="16"/>
        <v>0</v>
      </c>
      <c r="N86" s="91">
        <f t="shared" si="17"/>
        <v>0.6</v>
      </c>
      <c r="P86" s="92">
        <f>SUMIFS($J$2:J85,$B$2:B85,B86,$C$2:C85,C86)</f>
        <v>0</v>
      </c>
      <c r="Q86" s="92">
        <f t="shared" si="18"/>
        <v>5000</v>
      </c>
      <c r="R86" s="93">
        <f t="shared" si="19"/>
        <v>2500</v>
      </c>
    </row>
    <row r="87" spans="1:18" x14ac:dyDescent="0.3">
      <c r="A87" s="87" t="s">
        <v>3</v>
      </c>
      <c r="B87" s="87" t="s">
        <v>68</v>
      </c>
      <c r="C87" s="101">
        <v>46216</v>
      </c>
      <c r="D87" s="89">
        <v>5000</v>
      </c>
      <c r="E87" s="89">
        <v>2500</v>
      </c>
      <c r="F87" s="89">
        <f t="shared" si="21"/>
        <v>0</v>
      </c>
      <c r="G87" s="89">
        <v>5000</v>
      </c>
      <c r="H87" s="90">
        <f t="shared" si="20"/>
        <v>0</v>
      </c>
      <c r="I87" s="90">
        <f t="shared" si="12"/>
        <v>2500</v>
      </c>
      <c r="J87" s="90">
        <f t="shared" si="13"/>
        <v>2500</v>
      </c>
      <c r="K87" s="90">
        <f t="shared" si="14"/>
        <v>0</v>
      </c>
      <c r="L87" s="90">
        <f t="shared" si="15"/>
        <v>0</v>
      </c>
      <c r="M87" s="90">
        <f t="shared" si="16"/>
        <v>0</v>
      </c>
      <c r="N87" s="91">
        <f t="shared" si="17"/>
        <v>0.6</v>
      </c>
      <c r="P87" s="92">
        <f>SUMIFS($J$2:J86,$B$2:B86,B87,$C$2:C86,C87)</f>
        <v>0</v>
      </c>
      <c r="Q87" s="92">
        <f t="shared" si="18"/>
        <v>5000</v>
      </c>
      <c r="R87" s="93">
        <f t="shared" si="19"/>
        <v>2500</v>
      </c>
    </row>
    <row r="88" spans="1:18" x14ac:dyDescent="0.3">
      <c r="A88" s="87" t="s">
        <v>3</v>
      </c>
      <c r="B88" s="87" t="s">
        <v>68</v>
      </c>
      <c r="C88" s="101">
        <v>46223</v>
      </c>
      <c r="D88" s="89">
        <v>5000</v>
      </c>
      <c r="E88" s="89">
        <v>1000</v>
      </c>
      <c r="F88" s="89">
        <f t="shared" si="21"/>
        <v>0</v>
      </c>
      <c r="G88" s="89">
        <v>5000</v>
      </c>
      <c r="H88" s="90">
        <f t="shared" si="20"/>
        <v>0</v>
      </c>
      <c r="I88" s="90">
        <f t="shared" si="12"/>
        <v>1000</v>
      </c>
      <c r="J88" s="90">
        <f t="shared" si="13"/>
        <v>1000</v>
      </c>
      <c r="K88" s="90">
        <f t="shared" si="14"/>
        <v>0</v>
      </c>
      <c r="L88" s="90">
        <f t="shared" si="15"/>
        <v>0</v>
      </c>
      <c r="M88" s="90">
        <f t="shared" si="16"/>
        <v>0</v>
      </c>
      <c r="N88" s="91">
        <f t="shared" si="17"/>
        <v>0.2</v>
      </c>
      <c r="P88" s="92">
        <f>SUMIFS($J$2:J87,$B$2:B87,B88,$C$2:C87,C88)</f>
        <v>0</v>
      </c>
      <c r="Q88" s="92">
        <f t="shared" si="18"/>
        <v>5000</v>
      </c>
      <c r="R88" s="93">
        <f t="shared" si="19"/>
        <v>1000</v>
      </c>
    </row>
    <row r="89" spans="1:18" x14ac:dyDescent="0.3">
      <c r="A89" s="87" t="s">
        <v>3</v>
      </c>
      <c r="B89" s="87" t="s">
        <v>68</v>
      </c>
      <c r="C89" s="101">
        <v>46230</v>
      </c>
      <c r="D89" s="89">
        <v>5000</v>
      </c>
      <c r="E89" s="89">
        <v>1000</v>
      </c>
      <c r="F89" s="89">
        <f t="shared" si="21"/>
        <v>0</v>
      </c>
      <c r="G89" s="89">
        <v>5000</v>
      </c>
      <c r="H89" s="90">
        <f t="shared" si="20"/>
        <v>0</v>
      </c>
      <c r="I89" s="90">
        <f t="shared" si="12"/>
        <v>1000</v>
      </c>
      <c r="J89" s="90">
        <f t="shared" si="13"/>
        <v>1000</v>
      </c>
      <c r="K89" s="90">
        <f t="shared" si="14"/>
        <v>0</v>
      </c>
      <c r="L89" s="90">
        <f t="shared" si="15"/>
        <v>0</v>
      </c>
      <c r="M89" s="90">
        <f t="shared" si="16"/>
        <v>0</v>
      </c>
      <c r="N89" s="91">
        <f t="shared" si="17"/>
        <v>0.2</v>
      </c>
      <c r="P89" s="92">
        <f>SUMIFS($J$2:J88,$B$2:B88,B89,$C$2:C88,C89)</f>
        <v>0</v>
      </c>
      <c r="Q89" s="92">
        <f t="shared" si="18"/>
        <v>5000</v>
      </c>
      <c r="R89" s="93">
        <f t="shared" si="19"/>
        <v>1000</v>
      </c>
    </row>
    <row r="90" spans="1:18" x14ac:dyDescent="0.3">
      <c r="A90" s="87" t="s">
        <v>3</v>
      </c>
      <c r="B90" s="87" t="s">
        <v>68</v>
      </c>
      <c r="C90" s="101">
        <v>46237</v>
      </c>
      <c r="D90" s="89">
        <v>5000</v>
      </c>
      <c r="E90" s="89">
        <v>1000</v>
      </c>
      <c r="F90" s="89">
        <f t="shared" si="21"/>
        <v>0</v>
      </c>
      <c r="G90" s="89">
        <v>5000</v>
      </c>
      <c r="H90" s="90">
        <f t="shared" si="20"/>
        <v>0</v>
      </c>
      <c r="I90" s="90">
        <f t="shared" si="12"/>
        <v>1000</v>
      </c>
      <c r="J90" s="90">
        <f t="shared" si="13"/>
        <v>1000</v>
      </c>
      <c r="K90" s="90">
        <f t="shared" si="14"/>
        <v>0</v>
      </c>
      <c r="L90" s="90">
        <f t="shared" si="15"/>
        <v>0</v>
      </c>
      <c r="M90" s="90">
        <f t="shared" si="16"/>
        <v>0</v>
      </c>
      <c r="N90" s="91">
        <f t="shared" si="17"/>
        <v>0.28000000000000003</v>
      </c>
      <c r="P90" s="92">
        <f>SUMIFS($J$2:J89,$B$2:B89,B90,$C$2:C89,C90)</f>
        <v>0</v>
      </c>
      <c r="Q90" s="92">
        <f t="shared" si="18"/>
        <v>5000</v>
      </c>
      <c r="R90" s="93">
        <f t="shared" si="19"/>
        <v>1000</v>
      </c>
    </row>
    <row r="91" spans="1:18" x14ac:dyDescent="0.3">
      <c r="A91" s="87" t="s">
        <v>3</v>
      </c>
      <c r="B91" s="87" t="s">
        <v>68</v>
      </c>
      <c r="C91" s="101">
        <v>46244</v>
      </c>
      <c r="D91" s="89">
        <v>5000</v>
      </c>
      <c r="E91" s="89">
        <v>1000</v>
      </c>
      <c r="F91" s="89">
        <f t="shared" si="21"/>
        <v>0</v>
      </c>
      <c r="G91" s="89">
        <v>5000</v>
      </c>
      <c r="H91" s="90">
        <f t="shared" si="20"/>
        <v>0</v>
      </c>
      <c r="I91" s="90">
        <f t="shared" si="12"/>
        <v>1000</v>
      </c>
      <c r="J91" s="90">
        <f t="shared" si="13"/>
        <v>1000</v>
      </c>
      <c r="K91" s="90">
        <f t="shared" si="14"/>
        <v>0</v>
      </c>
      <c r="L91" s="90">
        <f t="shared" si="15"/>
        <v>0</v>
      </c>
      <c r="M91" s="90">
        <f t="shared" si="16"/>
        <v>0</v>
      </c>
      <c r="N91" s="91">
        <f t="shared" si="17"/>
        <v>0.2</v>
      </c>
      <c r="P91" s="92">
        <f>SUMIFS($J$2:J90,$B$2:B90,B91,$C$2:C90,C91)</f>
        <v>0</v>
      </c>
      <c r="Q91" s="92">
        <f t="shared" si="18"/>
        <v>5000</v>
      </c>
      <c r="R91" s="93">
        <f t="shared" si="19"/>
        <v>1000</v>
      </c>
    </row>
    <row r="92" spans="1:18" x14ac:dyDescent="0.3">
      <c r="A92" s="87" t="s">
        <v>3</v>
      </c>
      <c r="B92" s="87" t="s">
        <v>68</v>
      </c>
      <c r="C92" s="101">
        <v>46251</v>
      </c>
      <c r="D92" s="89">
        <v>5000</v>
      </c>
      <c r="E92" s="89">
        <v>1000</v>
      </c>
      <c r="F92" s="89">
        <f t="shared" si="21"/>
        <v>0</v>
      </c>
      <c r="G92" s="89">
        <v>5000</v>
      </c>
      <c r="H92" s="90">
        <f t="shared" si="20"/>
        <v>0</v>
      </c>
      <c r="I92" s="90">
        <f t="shared" si="12"/>
        <v>1000</v>
      </c>
      <c r="J92" s="90">
        <f t="shared" si="13"/>
        <v>1000</v>
      </c>
      <c r="K92" s="90">
        <f t="shared" si="14"/>
        <v>0</v>
      </c>
      <c r="L92" s="90">
        <f t="shared" si="15"/>
        <v>0</v>
      </c>
      <c r="M92" s="90">
        <f t="shared" si="16"/>
        <v>0</v>
      </c>
      <c r="N92" s="91">
        <f t="shared" si="17"/>
        <v>0.2</v>
      </c>
      <c r="P92" s="92">
        <f>SUMIFS($J$2:J91,$B$2:B91,B92,$C$2:C91,C92)</f>
        <v>0</v>
      </c>
      <c r="Q92" s="92">
        <f t="shared" si="18"/>
        <v>5000</v>
      </c>
      <c r="R92" s="93">
        <f t="shared" si="19"/>
        <v>1000</v>
      </c>
    </row>
    <row r="93" spans="1:18" x14ac:dyDescent="0.3">
      <c r="A93" s="87" t="s">
        <v>3</v>
      </c>
      <c r="B93" s="87" t="s">
        <v>68</v>
      </c>
      <c r="C93" s="101">
        <v>46258</v>
      </c>
      <c r="D93" s="89">
        <v>5000</v>
      </c>
      <c r="E93" s="89">
        <v>750</v>
      </c>
      <c r="F93" s="89">
        <f t="shared" si="21"/>
        <v>0</v>
      </c>
      <c r="G93" s="89">
        <v>5000</v>
      </c>
      <c r="H93" s="90">
        <f t="shared" si="20"/>
        <v>0</v>
      </c>
      <c r="I93" s="90">
        <f t="shared" si="12"/>
        <v>750</v>
      </c>
      <c r="J93" s="90">
        <f t="shared" si="13"/>
        <v>750</v>
      </c>
      <c r="K93" s="90">
        <f t="shared" si="14"/>
        <v>0</v>
      </c>
      <c r="L93" s="90">
        <f t="shared" si="15"/>
        <v>0</v>
      </c>
      <c r="M93" s="90">
        <f t="shared" si="16"/>
        <v>0</v>
      </c>
      <c r="N93" s="91">
        <f t="shared" si="17"/>
        <v>0.23</v>
      </c>
      <c r="P93" s="92">
        <f>SUMIFS($J$2:J92,$B$2:B92,B93,$C$2:C92,C93)</f>
        <v>0</v>
      </c>
      <c r="Q93" s="92">
        <f t="shared" si="18"/>
        <v>5000</v>
      </c>
      <c r="R93" s="93">
        <f t="shared" si="19"/>
        <v>750</v>
      </c>
    </row>
    <row r="94" spans="1:18" x14ac:dyDescent="0.3">
      <c r="A94" s="87" t="s">
        <v>3</v>
      </c>
      <c r="B94" s="87" t="s">
        <v>68</v>
      </c>
      <c r="C94" s="101">
        <v>46265</v>
      </c>
      <c r="D94" s="89">
        <v>5000</v>
      </c>
      <c r="E94" s="89">
        <v>750</v>
      </c>
      <c r="F94" s="89">
        <f t="shared" si="21"/>
        <v>0</v>
      </c>
      <c r="G94" s="89">
        <v>5000</v>
      </c>
      <c r="H94" s="90">
        <f t="shared" si="20"/>
        <v>0</v>
      </c>
      <c r="I94" s="90">
        <f t="shared" si="12"/>
        <v>750</v>
      </c>
      <c r="J94" s="90">
        <f t="shared" si="13"/>
        <v>750</v>
      </c>
      <c r="K94" s="90">
        <f t="shared" si="14"/>
        <v>0</v>
      </c>
      <c r="L94" s="90">
        <f t="shared" si="15"/>
        <v>0</v>
      </c>
      <c r="M94" s="90">
        <f t="shared" si="16"/>
        <v>0</v>
      </c>
      <c r="N94" s="91">
        <f t="shared" si="17"/>
        <v>0.15</v>
      </c>
      <c r="P94" s="92">
        <f>SUMIFS($J$2:J93,$B$2:B93,B94,$C$2:C93,C94)</f>
        <v>0</v>
      </c>
      <c r="Q94" s="92">
        <f t="shared" si="18"/>
        <v>5000</v>
      </c>
      <c r="R94" s="93">
        <f t="shared" si="19"/>
        <v>750</v>
      </c>
    </row>
    <row r="95" spans="1:18" x14ac:dyDescent="0.3">
      <c r="A95" s="87" t="s">
        <v>3</v>
      </c>
      <c r="B95" s="87" t="s">
        <v>68</v>
      </c>
      <c r="C95" s="101">
        <v>46272</v>
      </c>
      <c r="D95" s="89">
        <v>5000</v>
      </c>
      <c r="E95" s="89">
        <v>750</v>
      </c>
      <c r="F95" s="89">
        <f t="shared" si="21"/>
        <v>0</v>
      </c>
      <c r="G95" s="89">
        <v>5000</v>
      </c>
      <c r="H95" s="90">
        <f t="shared" si="20"/>
        <v>0</v>
      </c>
      <c r="I95" s="90">
        <f t="shared" si="12"/>
        <v>750</v>
      </c>
      <c r="J95" s="90">
        <f t="shared" si="13"/>
        <v>750</v>
      </c>
      <c r="K95" s="90">
        <f t="shared" si="14"/>
        <v>0</v>
      </c>
      <c r="L95" s="90">
        <f t="shared" si="15"/>
        <v>0</v>
      </c>
      <c r="M95" s="90">
        <f t="shared" si="16"/>
        <v>0</v>
      </c>
      <c r="N95" s="91">
        <f t="shared" si="17"/>
        <v>0.23</v>
      </c>
      <c r="P95" s="92">
        <f>SUMIFS($J$2:J94,$B$2:B94,B95,$C$2:C94,C95)</f>
        <v>0</v>
      </c>
      <c r="Q95" s="92">
        <f t="shared" si="18"/>
        <v>5000</v>
      </c>
      <c r="R95" s="93">
        <f t="shared" si="19"/>
        <v>750</v>
      </c>
    </row>
    <row r="96" spans="1:18" x14ac:dyDescent="0.3">
      <c r="A96" s="87" t="s">
        <v>3</v>
      </c>
      <c r="B96" s="87" t="s">
        <v>68</v>
      </c>
      <c r="C96" s="101">
        <v>46279</v>
      </c>
      <c r="D96" s="89">
        <v>5000</v>
      </c>
      <c r="E96" s="89">
        <v>750</v>
      </c>
      <c r="F96" s="89">
        <f t="shared" si="21"/>
        <v>0</v>
      </c>
      <c r="G96" s="89">
        <v>5000</v>
      </c>
      <c r="H96" s="90">
        <f t="shared" si="20"/>
        <v>0</v>
      </c>
      <c r="I96" s="90">
        <f t="shared" si="12"/>
        <v>750</v>
      </c>
      <c r="J96" s="90">
        <f t="shared" si="13"/>
        <v>750</v>
      </c>
      <c r="K96" s="90">
        <f t="shared" si="14"/>
        <v>0</v>
      </c>
      <c r="L96" s="90">
        <f t="shared" si="15"/>
        <v>0</v>
      </c>
      <c r="M96" s="90">
        <f t="shared" si="16"/>
        <v>0</v>
      </c>
      <c r="N96" s="91">
        <f t="shared" si="17"/>
        <v>0.15</v>
      </c>
      <c r="P96" s="92">
        <f>SUMIFS($J$2:J95,$B$2:B95,B96,$C$2:C95,C96)</f>
        <v>0</v>
      </c>
      <c r="Q96" s="92">
        <f t="shared" si="18"/>
        <v>5000</v>
      </c>
      <c r="R96" s="93">
        <f t="shared" si="19"/>
        <v>750</v>
      </c>
    </row>
    <row r="97" spans="1:18" x14ac:dyDescent="0.3">
      <c r="A97" s="87" t="s">
        <v>3</v>
      </c>
      <c r="B97" s="87" t="s">
        <v>68</v>
      </c>
      <c r="C97" s="101">
        <v>46286</v>
      </c>
      <c r="D97" s="89">
        <v>5000</v>
      </c>
      <c r="E97" s="89">
        <v>600</v>
      </c>
      <c r="F97" s="89">
        <f t="shared" si="21"/>
        <v>0</v>
      </c>
      <c r="G97" s="89">
        <v>5000</v>
      </c>
      <c r="H97" s="90">
        <f t="shared" si="20"/>
        <v>0</v>
      </c>
      <c r="I97" s="90">
        <f t="shared" si="12"/>
        <v>600</v>
      </c>
      <c r="J97" s="90">
        <f t="shared" si="13"/>
        <v>600</v>
      </c>
      <c r="K97" s="90">
        <f t="shared" si="14"/>
        <v>0</v>
      </c>
      <c r="L97" s="90">
        <f t="shared" si="15"/>
        <v>0</v>
      </c>
      <c r="M97" s="90">
        <f t="shared" si="16"/>
        <v>0</v>
      </c>
      <c r="N97" s="91">
        <f t="shared" si="17"/>
        <v>0.192</v>
      </c>
      <c r="P97" s="92">
        <f>SUMIFS($J$2:J96,$B$2:B96,B97,$C$2:C96,C97)</f>
        <v>0</v>
      </c>
      <c r="Q97" s="92">
        <f t="shared" si="18"/>
        <v>5000</v>
      </c>
      <c r="R97" s="93">
        <f t="shared" si="19"/>
        <v>600</v>
      </c>
    </row>
    <row r="98" spans="1:18" x14ac:dyDescent="0.3">
      <c r="A98" s="87" t="s">
        <v>3</v>
      </c>
      <c r="B98" s="87" t="s">
        <v>68</v>
      </c>
      <c r="C98" s="101">
        <v>46293</v>
      </c>
      <c r="D98" s="89">
        <v>5000</v>
      </c>
      <c r="E98" s="89">
        <v>600</v>
      </c>
      <c r="F98" s="89">
        <f t="shared" si="21"/>
        <v>0</v>
      </c>
      <c r="G98" s="89">
        <v>5000</v>
      </c>
      <c r="H98" s="90">
        <f t="shared" si="20"/>
        <v>0</v>
      </c>
      <c r="I98" s="90">
        <f t="shared" si="12"/>
        <v>600</v>
      </c>
      <c r="J98" s="90">
        <f t="shared" si="13"/>
        <v>600</v>
      </c>
      <c r="K98" s="90">
        <f t="shared" si="14"/>
        <v>0</v>
      </c>
      <c r="L98" s="90">
        <f t="shared" si="15"/>
        <v>0</v>
      </c>
      <c r="M98" s="90">
        <f t="shared" si="16"/>
        <v>0</v>
      </c>
      <c r="N98" s="91">
        <f t="shared" si="17"/>
        <v>0.192</v>
      </c>
      <c r="P98" s="92">
        <f>SUMIFS($J$2:J97,$B$2:B97,B98,$C$2:C97,C98)</f>
        <v>0</v>
      </c>
      <c r="Q98" s="92">
        <f t="shared" si="18"/>
        <v>5000</v>
      </c>
      <c r="R98" s="93">
        <f t="shared" si="19"/>
        <v>600</v>
      </c>
    </row>
    <row r="99" spans="1:18" x14ac:dyDescent="0.3">
      <c r="A99" s="87" t="s">
        <v>3</v>
      </c>
      <c r="B99" s="87" t="s">
        <v>68</v>
      </c>
      <c r="C99" s="101">
        <v>46300</v>
      </c>
      <c r="D99" s="89">
        <v>5000</v>
      </c>
      <c r="E99" s="89">
        <v>600</v>
      </c>
      <c r="F99" s="89">
        <f t="shared" si="21"/>
        <v>0</v>
      </c>
      <c r="G99" s="89">
        <v>5000</v>
      </c>
      <c r="H99" s="90">
        <f t="shared" si="20"/>
        <v>0</v>
      </c>
      <c r="I99" s="90">
        <f t="shared" si="12"/>
        <v>600</v>
      </c>
      <c r="J99" s="90">
        <f t="shared" si="13"/>
        <v>600</v>
      </c>
      <c r="K99" s="90">
        <f t="shared" si="14"/>
        <v>0</v>
      </c>
      <c r="L99" s="90">
        <f t="shared" si="15"/>
        <v>0</v>
      </c>
      <c r="M99" s="90">
        <f t="shared" si="16"/>
        <v>0</v>
      </c>
      <c r="N99" s="91">
        <f t="shared" si="17"/>
        <v>0.192</v>
      </c>
      <c r="P99" s="92">
        <f>SUMIFS($J$2:J98,$B$2:B98,B99,$C$2:C98,C99)</f>
        <v>0</v>
      </c>
      <c r="Q99" s="92">
        <f t="shared" si="18"/>
        <v>5000</v>
      </c>
      <c r="R99" s="93">
        <f t="shared" si="19"/>
        <v>600</v>
      </c>
    </row>
    <row r="100" spans="1:18" x14ac:dyDescent="0.3">
      <c r="A100" s="87" t="s">
        <v>3</v>
      </c>
      <c r="B100" s="87" t="s">
        <v>68</v>
      </c>
      <c r="C100" s="101">
        <v>46307</v>
      </c>
      <c r="D100" s="89">
        <v>5000</v>
      </c>
      <c r="E100" s="89">
        <v>600</v>
      </c>
      <c r="F100" s="89">
        <f t="shared" si="21"/>
        <v>0</v>
      </c>
      <c r="G100" s="89">
        <v>5000</v>
      </c>
      <c r="H100" s="90">
        <f t="shared" si="20"/>
        <v>0</v>
      </c>
      <c r="I100" s="90">
        <f t="shared" si="12"/>
        <v>600</v>
      </c>
      <c r="J100" s="90">
        <f t="shared" si="13"/>
        <v>600</v>
      </c>
      <c r="K100" s="90">
        <f t="shared" si="14"/>
        <v>0</v>
      </c>
      <c r="L100" s="90">
        <f t="shared" si="15"/>
        <v>0</v>
      </c>
      <c r="M100" s="90">
        <f t="shared" si="16"/>
        <v>0</v>
      </c>
      <c r="N100" s="91">
        <f t="shared" si="17"/>
        <v>0.192</v>
      </c>
      <c r="P100" s="92">
        <f>SUMIFS($J$2:J99,$B$2:B99,B100,$C$2:C99,C100)</f>
        <v>0</v>
      </c>
      <c r="Q100" s="92">
        <f t="shared" si="18"/>
        <v>5000</v>
      </c>
      <c r="R100" s="93">
        <f t="shared" si="19"/>
        <v>600</v>
      </c>
    </row>
    <row r="101" spans="1:18" x14ac:dyDescent="0.3">
      <c r="A101" s="87" t="s">
        <v>3</v>
      </c>
      <c r="B101" s="87" t="s">
        <v>68</v>
      </c>
      <c r="C101" s="101">
        <v>46314</v>
      </c>
      <c r="D101" s="89">
        <v>5000</v>
      </c>
      <c r="E101" s="89">
        <v>600</v>
      </c>
      <c r="F101" s="89">
        <f t="shared" si="21"/>
        <v>0</v>
      </c>
      <c r="G101" s="89">
        <v>5000</v>
      </c>
      <c r="H101" s="90">
        <f t="shared" si="20"/>
        <v>0</v>
      </c>
      <c r="I101" s="90">
        <f t="shared" si="12"/>
        <v>600</v>
      </c>
      <c r="J101" s="90">
        <f t="shared" si="13"/>
        <v>600</v>
      </c>
      <c r="K101" s="90">
        <f t="shared" si="14"/>
        <v>0</v>
      </c>
      <c r="L101" s="90">
        <f t="shared" si="15"/>
        <v>0</v>
      </c>
      <c r="M101" s="90">
        <f t="shared" si="16"/>
        <v>0</v>
      </c>
      <c r="N101" s="91">
        <f t="shared" si="17"/>
        <v>0.192</v>
      </c>
      <c r="P101" s="92">
        <f>SUMIFS($J$2:J100,$B$2:B100,B101,$C$2:C100,C101)</f>
        <v>0</v>
      </c>
      <c r="Q101" s="92">
        <f t="shared" si="18"/>
        <v>5000</v>
      </c>
      <c r="R101" s="93">
        <f t="shared" si="19"/>
        <v>600</v>
      </c>
    </row>
    <row r="102" spans="1:18" x14ac:dyDescent="0.3">
      <c r="A102" s="87" t="s">
        <v>3</v>
      </c>
      <c r="B102" s="87" t="s">
        <v>68</v>
      </c>
      <c r="C102" s="101">
        <v>46321</v>
      </c>
      <c r="D102" s="89">
        <v>5000</v>
      </c>
      <c r="E102" s="89">
        <v>500</v>
      </c>
      <c r="F102" s="89">
        <f t="shared" si="21"/>
        <v>0</v>
      </c>
      <c r="G102" s="89">
        <v>5000</v>
      </c>
      <c r="H102" s="90">
        <f t="shared" si="20"/>
        <v>0</v>
      </c>
      <c r="I102" s="90">
        <f t="shared" si="12"/>
        <v>500</v>
      </c>
      <c r="J102" s="90">
        <f t="shared" si="13"/>
        <v>500</v>
      </c>
      <c r="K102" s="90">
        <f t="shared" si="14"/>
        <v>0</v>
      </c>
      <c r="L102" s="90">
        <f t="shared" si="15"/>
        <v>0</v>
      </c>
      <c r="M102" s="90">
        <f t="shared" si="16"/>
        <v>0</v>
      </c>
      <c r="N102" s="91">
        <f t="shared" si="17"/>
        <v>0.3</v>
      </c>
      <c r="P102" s="92">
        <f>SUMIFS($J$2:J101,$B$2:B101,B102,$C$2:C101,C102)</f>
        <v>0</v>
      </c>
      <c r="Q102" s="92">
        <f t="shared" si="18"/>
        <v>5000</v>
      </c>
      <c r="R102" s="93">
        <f t="shared" si="19"/>
        <v>500</v>
      </c>
    </row>
    <row r="103" spans="1:18" x14ac:dyDescent="0.3">
      <c r="A103" s="87" t="s">
        <v>3</v>
      </c>
      <c r="B103" s="87" t="s">
        <v>68</v>
      </c>
      <c r="C103" s="101">
        <v>46328</v>
      </c>
      <c r="D103" s="89">
        <v>5000</v>
      </c>
      <c r="E103" s="89">
        <v>500</v>
      </c>
      <c r="F103" s="89">
        <f t="shared" si="21"/>
        <v>0</v>
      </c>
      <c r="G103" s="89">
        <v>5000</v>
      </c>
      <c r="H103" s="90">
        <f t="shared" si="20"/>
        <v>0</v>
      </c>
      <c r="I103" s="90">
        <f t="shared" si="12"/>
        <v>500</v>
      </c>
      <c r="J103" s="90">
        <f t="shared" si="13"/>
        <v>500</v>
      </c>
      <c r="K103" s="90">
        <f t="shared" si="14"/>
        <v>0</v>
      </c>
      <c r="L103" s="90">
        <f t="shared" si="15"/>
        <v>0</v>
      </c>
      <c r="M103" s="90">
        <f t="shared" si="16"/>
        <v>0</v>
      </c>
      <c r="N103" s="91">
        <f t="shared" si="17"/>
        <v>0.3</v>
      </c>
      <c r="P103" s="92">
        <f>SUMIFS($J$2:J102,$B$2:B102,B103,$C$2:C102,C103)</f>
        <v>0</v>
      </c>
      <c r="Q103" s="92">
        <f t="shared" si="18"/>
        <v>5000</v>
      </c>
      <c r="R103" s="93">
        <f t="shared" si="19"/>
        <v>500</v>
      </c>
    </row>
    <row r="104" spans="1:18" x14ac:dyDescent="0.3">
      <c r="A104" s="87" t="s">
        <v>3</v>
      </c>
      <c r="B104" s="87" t="s">
        <v>68</v>
      </c>
      <c r="C104" s="101">
        <v>46335</v>
      </c>
      <c r="D104" s="89">
        <v>5000</v>
      </c>
      <c r="E104" s="89">
        <v>500</v>
      </c>
      <c r="F104" s="89">
        <f t="shared" si="21"/>
        <v>0</v>
      </c>
      <c r="G104" s="89">
        <v>5000</v>
      </c>
      <c r="H104" s="90">
        <f t="shared" si="20"/>
        <v>0</v>
      </c>
      <c r="I104" s="90">
        <f t="shared" si="12"/>
        <v>500</v>
      </c>
      <c r="J104" s="90">
        <f t="shared" si="13"/>
        <v>500</v>
      </c>
      <c r="K104" s="90">
        <f t="shared" si="14"/>
        <v>0</v>
      </c>
      <c r="L104" s="90">
        <f t="shared" si="15"/>
        <v>0</v>
      </c>
      <c r="M104" s="90">
        <f t="shared" si="16"/>
        <v>0</v>
      </c>
      <c r="N104" s="91">
        <f t="shared" si="17"/>
        <v>0.3</v>
      </c>
      <c r="P104" s="92">
        <f>SUMIFS($J$2:J103,$B$2:B103,B104,$C$2:C103,C104)</f>
        <v>0</v>
      </c>
      <c r="Q104" s="92">
        <f t="shared" si="18"/>
        <v>5000</v>
      </c>
      <c r="R104" s="93">
        <f t="shared" si="19"/>
        <v>500</v>
      </c>
    </row>
    <row r="105" spans="1:18" x14ac:dyDescent="0.3">
      <c r="A105" s="87" t="s">
        <v>3</v>
      </c>
      <c r="B105" s="87" t="s">
        <v>68</v>
      </c>
      <c r="C105" s="101">
        <v>46342</v>
      </c>
      <c r="D105" s="89">
        <v>5000</v>
      </c>
      <c r="E105" s="89">
        <v>500</v>
      </c>
      <c r="F105" s="89">
        <f t="shared" si="21"/>
        <v>0</v>
      </c>
      <c r="G105" s="89">
        <v>5000</v>
      </c>
      <c r="H105" s="90">
        <f t="shared" si="20"/>
        <v>0</v>
      </c>
      <c r="I105" s="90">
        <f t="shared" si="12"/>
        <v>500</v>
      </c>
      <c r="J105" s="90">
        <f t="shared" si="13"/>
        <v>500</v>
      </c>
      <c r="K105" s="90">
        <f t="shared" si="14"/>
        <v>0</v>
      </c>
      <c r="L105" s="90">
        <f t="shared" si="15"/>
        <v>0</v>
      </c>
      <c r="M105" s="90">
        <f t="shared" si="16"/>
        <v>0</v>
      </c>
      <c r="N105" s="91">
        <f t="shared" si="17"/>
        <v>0.3</v>
      </c>
      <c r="P105" s="92">
        <f>SUMIFS($J$2:J104,$B$2:B104,B105,$C$2:C104,C105)</f>
        <v>0</v>
      </c>
      <c r="Q105" s="92">
        <f t="shared" si="18"/>
        <v>5000</v>
      </c>
      <c r="R105" s="93">
        <f t="shared" si="19"/>
        <v>500</v>
      </c>
    </row>
    <row r="106" spans="1:18" x14ac:dyDescent="0.3">
      <c r="A106" s="87" t="s">
        <v>3</v>
      </c>
      <c r="B106" s="87" t="s">
        <v>68</v>
      </c>
      <c r="C106" s="101">
        <v>46349</v>
      </c>
      <c r="D106" s="89">
        <v>5000</v>
      </c>
      <c r="E106" s="89">
        <v>3000</v>
      </c>
      <c r="F106" s="89">
        <f t="shared" si="21"/>
        <v>0</v>
      </c>
      <c r="G106" s="89">
        <v>5000</v>
      </c>
      <c r="H106" s="90">
        <f t="shared" si="20"/>
        <v>0</v>
      </c>
      <c r="I106" s="90">
        <f t="shared" si="12"/>
        <v>3000</v>
      </c>
      <c r="J106" s="90">
        <f t="shared" si="13"/>
        <v>3000</v>
      </c>
      <c r="K106" s="90">
        <f t="shared" si="14"/>
        <v>0</v>
      </c>
      <c r="L106" s="90">
        <f t="shared" si="15"/>
        <v>0</v>
      </c>
      <c r="M106" s="90">
        <f t="shared" si="16"/>
        <v>0</v>
      </c>
      <c r="N106" s="91">
        <f t="shared" si="17"/>
        <v>0.85</v>
      </c>
      <c r="P106" s="92">
        <f>SUMIFS($J$2:J105,$B$2:B105,B106,$C$2:C105,C106)</f>
        <v>0</v>
      </c>
      <c r="Q106" s="92">
        <f t="shared" si="18"/>
        <v>5000</v>
      </c>
      <c r="R106" s="93">
        <f t="shared" si="19"/>
        <v>3000</v>
      </c>
    </row>
    <row r="107" spans="1:18" x14ac:dyDescent="0.3">
      <c r="A107" s="87" t="s">
        <v>3</v>
      </c>
      <c r="B107" s="87" t="s">
        <v>68</v>
      </c>
      <c r="C107" s="101">
        <v>46356</v>
      </c>
      <c r="D107" s="89">
        <v>5000</v>
      </c>
      <c r="E107" s="89">
        <v>3000</v>
      </c>
      <c r="F107" s="89">
        <f t="shared" si="21"/>
        <v>0</v>
      </c>
      <c r="G107" s="89">
        <v>5000</v>
      </c>
      <c r="H107" s="90">
        <f t="shared" si="20"/>
        <v>0</v>
      </c>
      <c r="I107" s="90">
        <f t="shared" si="12"/>
        <v>3000</v>
      </c>
      <c r="J107" s="90">
        <f t="shared" si="13"/>
        <v>3000</v>
      </c>
      <c r="K107" s="90">
        <f t="shared" si="14"/>
        <v>0</v>
      </c>
      <c r="L107" s="90">
        <f t="shared" si="15"/>
        <v>0</v>
      </c>
      <c r="M107" s="90">
        <f t="shared" si="16"/>
        <v>0</v>
      </c>
      <c r="N107" s="91">
        <f t="shared" si="17"/>
        <v>0.85</v>
      </c>
      <c r="P107" s="92">
        <f>SUMIFS($J$2:J106,$B$2:B106,B107,$C$2:C106,C107)</f>
        <v>0</v>
      </c>
      <c r="Q107" s="92">
        <f t="shared" si="18"/>
        <v>5000</v>
      </c>
      <c r="R107" s="93">
        <f t="shared" si="19"/>
        <v>3000</v>
      </c>
    </row>
    <row r="108" spans="1:18" x14ac:dyDescent="0.3">
      <c r="A108" s="87" t="s">
        <v>3</v>
      </c>
      <c r="B108" s="87" t="s">
        <v>68</v>
      </c>
      <c r="C108" s="101">
        <v>46363</v>
      </c>
      <c r="D108" s="89">
        <v>5000</v>
      </c>
      <c r="E108" s="89">
        <v>3000</v>
      </c>
      <c r="F108" s="89">
        <f t="shared" si="21"/>
        <v>0</v>
      </c>
      <c r="G108" s="89">
        <v>5000</v>
      </c>
      <c r="H108" s="90">
        <f t="shared" si="20"/>
        <v>0</v>
      </c>
      <c r="I108" s="90">
        <f t="shared" si="12"/>
        <v>3000</v>
      </c>
      <c r="J108" s="90">
        <f t="shared" si="13"/>
        <v>3000</v>
      </c>
      <c r="K108" s="90">
        <f t="shared" si="14"/>
        <v>0</v>
      </c>
      <c r="L108" s="90">
        <f t="shared" si="15"/>
        <v>0</v>
      </c>
      <c r="M108" s="90">
        <f t="shared" si="16"/>
        <v>0</v>
      </c>
      <c r="N108" s="91">
        <f t="shared" si="17"/>
        <v>0.85</v>
      </c>
      <c r="P108" s="92">
        <f>SUMIFS($J$2:J107,$B$2:B107,B108,$C$2:C107,C108)</f>
        <v>0</v>
      </c>
      <c r="Q108" s="92">
        <f t="shared" si="18"/>
        <v>5000</v>
      </c>
      <c r="R108" s="93">
        <f t="shared" si="19"/>
        <v>3000</v>
      </c>
    </row>
    <row r="109" spans="1:18" x14ac:dyDescent="0.3">
      <c r="A109" s="87" t="s">
        <v>3</v>
      </c>
      <c r="B109" s="87" t="s">
        <v>68</v>
      </c>
      <c r="C109" s="101">
        <v>46370</v>
      </c>
      <c r="D109" s="89">
        <v>5000</v>
      </c>
      <c r="E109" s="89">
        <v>3000</v>
      </c>
      <c r="F109" s="89">
        <f t="shared" si="21"/>
        <v>0</v>
      </c>
      <c r="G109" s="89">
        <v>5000</v>
      </c>
      <c r="H109" s="90">
        <f>0</f>
        <v>0</v>
      </c>
      <c r="I109" s="90">
        <f t="shared" si="12"/>
        <v>3000</v>
      </c>
      <c r="J109" s="90">
        <f t="shared" si="13"/>
        <v>3000</v>
      </c>
      <c r="K109" s="90">
        <f t="shared" si="14"/>
        <v>0</v>
      </c>
      <c r="L109" s="90">
        <f t="shared" si="15"/>
        <v>0</v>
      </c>
      <c r="M109" s="90">
        <f t="shared" si="16"/>
        <v>0</v>
      </c>
      <c r="N109" s="91">
        <f t="shared" si="17"/>
        <v>0.85</v>
      </c>
      <c r="P109" s="92">
        <f>SUMIFS($J$2:J108,$B$2:B108,B109,$C$2:C108,C109)</f>
        <v>0</v>
      </c>
      <c r="Q109" s="92">
        <f t="shared" si="18"/>
        <v>5000</v>
      </c>
      <c r="R109" s="93">
        <f t="shared" si="19"/>
        <v>3000</v>
      </c>
    </row>
    <row r="110" spans="1:18" x14ac:dyDescent="0.3">
      <c r="A110" s="87" t="s">
        <v>4</v>
      </c>
      <c r="B110" s="87" t="s">
        <v>68</v>
      </c>
      <c r="C110" s="101">
        <v>46125</v>
      </c>
      <c r="D110" s="89">
        <v>5000</v>
      </c>
      <c r="E110" s="89">
        <v>0</v>
      </c>
      <c r="F110" s="89">
        <f>0</f>
        <v>0</v>
      </c>
      <c r="G110" s="89">
        <v>5000</v>
      </c>
      <c r="H110" s="90">
        <f t="shared" ref="H110:H144" si="22">MAX(0,H111+E111-Q111)</f>
        <v>23110</v>
      </c>
      <c r="I110" s="90">
        <f t="shared" si="12"/>
        <v>23110</v>
      </c>
      <c r="J110" s="90">
        <f t="shared" si="13"/>
        <v>0</v>
      </c>
      <c r="K110" s="90">
        <f t="shared" si="14"/>
        <v>0</v>
      </c>
      <c r="L110" s="90">
        <f t="shared" si="15"/>
        <v>0</v>
      </c>
      <c r="M110" s="90">
        <f t="shared" si="16"/>
        <v>0</v>
      </c>
      <c r="N110" s="91">
        <f t="shared" si="17"/>
        <v>1</v>
      </c>
      <c r="O110" s="61" t="s">
        <v>109</v>
      </c>
      <c r="P110" s="92">
        <f>SUMIFS($J$2:J109,$B$2:B109,B110,$C$2:C109,C110)</f>
        <v>5000</v>
      </c>
      <c r="Q110" s="92">
        <f t="shared" si="18"/>
        <v>0</v>
      </c>
      <c r="R110" s="93">
        <f t="shared" si="19"/>
        <v>0</v>
      </c>
    </row>
    <row r="111" spans="1:18" x14ac:dyDescent="0.3">
      <c r="A111" s="87" t="s">
        <v>4</v>
      </c>
      <c r="B111" s="87" t="s">
        <v>68</v>
      </c>
      <c r="C111" s="101">
        <v>46132</v>
      </c>
      <c r="D111" s="89">
        <v>5000</v>
      </c>
      <c r="E111" s="89">
        <v>0</v>
      </c>
      <c r="F111" s="89">
        <f t="shared" ref="F111:F145" si="23">K110</f>
        <v>0</v>
      </c>
      <c r="G111" s="89">
        <v>5000</v>
      </c>
      <c r="H111" s="90">
        <f t="shared" si="22"/>
        <v>28110</v>
      </c>
      <c r="I111" s="90">
        <f t="shared" si="12"/>
        <v>28110</v>
      </c>
      <c r="J111" s="90">
        <f t="shared" si="13"/>
        <v>5000</v>
      </c>
      <c r="K111" s="90">
        <f t="shared" si="14"/>
        <v>5000</v>
      </c>
      <c r="L111" s="90">
        <f t="shared" si="15"/>
        <v>0</v>
      </c>
      <c r="M111" s="90">
        <f t="shared" si="16"/>
        <v>5000</v>
      </c>
      <c r="N111" s="91">
        <f t="shared" si="17"/>
        <v>1</v>
      </c>
      <c r="P111" s="92">
        <f>SUMIFS($J$2:J110,$B$2:B110,B111,$C$2:C110,C111)</f>
        <v>0</v>
      </c>
      <c r="Q111" s="92">
        <f t="shared" si="18"/>
        <v>5000</v>
      </c>
      <c r="R111" s="93">
        <f t="shared" si="19"/>
        <v>0</v>
      </c>
    </row>
    <row r="112" spans="1:18" x14ac:dyDescent="0.3">
      <c r="A112" s="87" t="s">
        <v>4</v>
      </c>
      <c r="B112" s="87" t="s">
        <v>68</v>
      </c>
      <c r="C112" s="101">
        <v>46139</v>
      </c>
      <c r="D112" s="89">
        <v>5000</v>
      </c>
      <c r="E112" s="89">
        <v>0</v>
      </c>
      <c r="F112" s="89">
        <f t="shared" si="23"/>
        <v>5000</v>
      </c>
      <c r="G112" s="89">
        <v>5000</v>
      </c>
      <c r="H112" s="90">
        <f t="shared" si="22"/>
        <v>33110</v>
      </c>
      <c r="I112" s="90">
        <f t="shared" si="12"/>
        <v>28110</v>
      </c>
      <c r="J112" s="90">
        <f t="shared" si="13"/>
        <v>0</v>
      </c>
      <c r="K112" s="90">
        <f t="shared" si="14"/>
        <v>5000</v>
      </c>
      <c r="L112" s="90">
        <f t="shared" si="15"/>
        <v>0</v>
      </c>
      <c r="M112" s="90">
        <f t="shared" si="16"/>
        <v>5000</v>
      </c>
      <c r="N112" s="91">
        <f t="shared" si="17"/>
        <v>0</v>
      </c>
      <c r="P112" s="92">
        <f>SUMIFS($J$2:J111,$B$2:B111,B112,$C$2:C111,C112)</f>
        <v>0</v>
      </c>
      <c r="Q112" s="92">
        <f t="shared" si="18"/>
        <v>5000</v>
      </c>
      <c r="R112" s="93">
        <f t="shared" si="19"/>
        <v>0</v>
      </c>
    </row>
    <row r="113" spans="1:18" x14ac:dyDescent="0.3">
      <c r="A113" s="87" t="s">
        <v>4</v>
      </c>
      <c r="B113" s="87" t="s">
        <v>68</v>
      </c>
      <c r="C113" s="101">
        <v>46146</v>
      </c>
      <c r="D113" s="89">
        <v>5000</v>
      </c>
      <c r="E113" s="89">
        <v>2430</v>
      </c>
      <c r="F113" s="89">
        <f t="shared" si="23"/>
        <v>5000</v>
      </c>
      <c r="G113" s="89">
        <v>5000</v>
      </c>
      <c r="H113" s="90">
        <f t="shared" si="22"/>
        <v>31360</v>
      </c>
      <c r="I113" s="90">
        <f t="shared" si="12"/>
        <v>28790</v>
      </c>
      <c r="J113" s="90">
        <f t="shared" si="13"/>
        <v>680</v>
      </c>
      <c r="K113" s="90">
        <f t="shared" si="14"/>
        <v>3250</v>
      </c>
      <c r="L113" s="90">
        <f t="shared" si="15"/>
        <v>0</v>
      </c>
      <c r="M113" s="90">
        <f t="shared" si="16"/>
        <v>3250</v>
      </c>
      <c r="N113" s="91">
        <f t="shared" si="17"/>
        <v>1</v>
      </c>
      <c r="P113" s="92">
        <f>SUMIFS($J$2:J112,$B$2:B112,B113,$C$2:C112,C113)</f>
        <v>4320</v>
      </c>
      <c r="Q113" s="92">
        <f t="shared" si="18"/>
        <v>680</v>
      </c>
      <c r="R113" s="93">
        <f t="shared" si="19"/>
        <v>2430</v>
      </c>
    </row>
    <row r="114" spans="1:18" x14ac:dyDescent="0.3">
      <c r="A114" s="87" t="s">
        <v>4</v>
      </c>
      <c r="B114" s="87" t="s">
        <v>68</v>
      </c>
      <c r="C114" s="101">
        <v>46153</v>
      </c>
      <c r="D114" s="89">
        <v>5000</v>
      </c>
      <c r="E114" s="89">
        <v>9990</v>
      </c>
      <c r="F114" s="89">
        <f t="shared" si="23"/>
        <v>3250</v>
      </c>
      <c r="G114" s="89">
        <v>5000</v>
      </c>
      <c r="H114" s="90">
        <f t="shared" si="22"/>
        <v>21370</v>
      </c>
      <c r="I114" s="90">
        <f t="shared" si="12"/>
        <v>28110</v>
      </c>
      <c r="J114" s="90">
        <f t="shared" si="13"/>
        <v>0</v>
      </c>
      <c r="K114" s="90">
        <f t="shared" si="14"/>
        <v>0</v>
      </c>
      <c r="L114" s="90">
        <f t="shared" si="15"/>
        <v>6740</v>
      </c>
      <c r="M114" s="90">
        <f t="shared" si="16"/>
        <v>0</v>
      </c>
      <c r="N114" s="91">
        <f t="shared" si="17"/>
        <v>1</v>
      </c>
      <c r="P114" s="92">
        <f>SUMIFS($J$2:J113,$B$2:B113,B114,$C$2:C113,C114)</f>
        <v>5000</v>
      </c>
      <c r="Q114" s="92">
        <f t="shared" si="18"/>
        <v>0</v>
      </c>
      <c r="R114" s="93">
        <f t="shared" si="19"/>
        <v>3250</v>
      </c>
    </row>
    <row r="115" spans="1:18" x14ac:dyDescent="0.3">
      <c r="A115" s="87" t="s">
        <v>4</v>
      </c>
      <c r="B115" s="87" t="s">
        <v>68</v>
      </c>
      <c r="C115" s="101">
        <v>46160</v>
      </c>
      <c r="D115" s="89">
        <v>5000</v>
      </c>
      <c r="E115" s="89">
        <v>5840</v>
      </c>
      <c r="F115" s="89">
        <f t="shared" si="23"/>
        <v>0</v>
      </c>
      <c r="G115" s="89">
        <v>5000</v>
      </c>
      <c r="H115" s="90">
        <f t="shared" si="22"/>
        <v>15530</v>
      </c>
      <c r="I115" s="90">
        <f t="shared" si="12"/>
        <v>21370</v>
      </c>
      <c r="J115" s="90">
        <f t="shared" si="13"/>
        <v>0</v>
      </c>
      <c r="K115" s="90">
        <f t="shared" si="14"/>
        <v>0</v>
      </c>
      <c r="L115" s="90">
        <f t="shared" si="15"/>
        <v>5840</v>
      </c>
      <c r="M115" s="90">
        <f t="shared" si="16"/>
        <v>0</v>
      </c>
      <c r="N115" s="91">
        <f t="shared" si="17"/>
        <v>1</v>
      </c>
      <c r="P115" s="92">
        <f>SUMIFS($J$2:J114,$B$2:B114,B115,$C$2:C114,C115)</f>
        <v>5000</v>
      </c>
      <c r="Q115" s="92">
        <f t="shared" si="18"/>
        <v>0</v>
      </c>
      <c r="R115" s="93">
        <f t="shared" si="19"/>
        <v>0</v>
      </c>
    </row>
    <row r="116" spans="1:18" x14ac:dyDescent="0.3">
      <c r="A116" s="87" t="s">
        <v>4</v>
      </c>
      <c r="B116" s="87" t="s">
        <v>68</v>
      </c>
      <c r="C116" s="101">
        <v>46167</v>
      </c>
      <c r="D116" s="89">
        <v>5000</v>
      </c>
      <c r="E116" s="89">
        <v>8100</v>
      </c>
      <c r="F116" s="89">
        <f t="shared" si="23"/>
        <v>0</v>
      </c>
      <c r="G116" s="89">
        <v>5000</v>
      </c>
      <c r="H116" s="90">
        <f t="shared" si="22"/>
        <v>7430</v>
      </c>
      <c r="I116" s="90">
        <f t="shared" si="12"/>
        <v>15530</v>
      </c>
      <c r="J116" s="90">
        <f t="shared" si="13"/>
        <v>0</v>
      </c>
      <c r="K116" s="90">
        <f t="shared" si="14"/>
        <v>0</v>
      </c>
      <c r="L116" s="90">
        <f t="shared" si="15"/>
        <v>8100</v>
      </c>
      <c r="M116" s="90">
        <f t="shared" si="16"/>
        <v>0</v>
      </c>
      <c r="N116" s="91">
        <f t="shared" si="17"/>
        <v>1</v>
      </c>
      <c r="P116" s="92">
        <f>SUMIFS($J$2:J115,$B$2:B115,B116,$C$2:C115,C116)</f>
        <v>5000</v>
      </c>
      <c r="Q116" s="92">
        <f t="shared" si="18"/>
        <v>0</v>
      </c>
      <c r="R116" s="93">
        <f t="shared" si="19"/>
        <v>0</v>
      </c>
    </row>
    <row r="117" spans="1:18" x14ac:dyDescent="0.3">
      <c r="A117" s="87" t="s">
        <v>4</v>
      </c>
      <c r="B117" s="87" t="s">
        <v>68</v>
      </c>
      <c r="C117" s="101">
        <v>46174</v>
      </c>
      <c r="D117" s="89">
        <v>5000</v>
      </c>
      <c r="E117" s="89">
        <v>1001</v>
      </c>
      <c r="F117" s="89">
        <f t="shared" si="23"/>
        <v>0</v>
      </c>
      <c r="G117" s="89">
        <v>5000</v>
      </c>
      <c r="H117" s="90">
        <f t="shared" si="22"/>
        <v>6429</v>
      </c>
      <c r="I117" s="90">
        <f t="shared" si="12"/>
        <v>7430</v>
      </c>
      <c r="J117" s="90">
        <f t="shared" si="13"/>
        <v>0</v>
      </c>
      <c r="K117" s="90">
        <f t="shared" si="14"/>
        <v>0</v>
      </c>
      <c r="L117" s="90">
        <f t="shared" si="15"/>
        <v>1001</v>
      </c>
      <c r="M117" s="90">
        <f t="shared" si="16"/>
        <v>0</v>
      </c>
      <c r="N117" s="91">
        <f t="shared" si="17"/>
        <v>1</v>
      </c>
      <c r="P117" s="92">
        <f>SUMIFS($J$2:J116,$B$2:B116,B117,$C$2:C116,C117)</f>
        <v>5000</v>
      </c>
      <c r="Q117" s="92">
        <f t="shared" si="18"/>
        <v>0</v>
      </c>
      <c r="R117" s="93">
        <f t="shared" si="19"/>
        <v>0</v>
      </c>
    </row>
    <row r="118" spans="1:18" x14ac:dyDescent="0.3">
      <c r="A118" s="87" t="s">
        <v>4</v>
      </c>
      <c r="B118" s="87" t="s">
        <v>68</v>
      </c>
      <c r="C118" s="101">
        <v>46181</v>
      </c>
      <c r="D118" s="89">
        <v>5000</v>
      </c>
      <c r="E118" s="89">
        <v>2471</v>
      </c>
      <c r="F118" s="89">
        <f t="shared" si="23"/>
        <v>0</v>
      </c>
      <c r="G118" s="89">
        <v>5000</v>
      </c>
      <c r="H118" s="90">
        <f t="shared" si="22"/>
        <v>3958</v>
      </c>
      <c r="I118" s="90">
        <f t="shared" si="12"/>
        <v>6429</v>
      </c>
      <c r="J118" s="90">
        <f t="shared" si="13"/>
        <v>0</v>
      </c>
      <c r="K118" s="90">
        <f t="shared" si="14"/>
        <v>0</v>
      </c>
      <c r="L118" s="90">
        <f t="shared" si="15"/>
        <v>2471</v>
      </c>
      <c r="M118" s="90">
        <f t="shared" si="16"/>
        <v>0</v>
      </c>
      <c r="N118" s="91">
        <f t="shared" si="17"/>
        <v>1</v>
      </c>
      <c r="P118" s="92">
        <f>SUMIFS($J$2:J117,$B$2:B117,B118,$C$2:C117,C118)</f>
        <v>5000</v>
      </c>
      <c r="Q118" s="92">
        <f t="shared" si="18"/>
        <v>0</v>
      </c>
      <c r="R118" s="93">
        <f t="shared" si="19"/>
        <v>0</v>
      </c>
    </row>
    <row r="119" spans="1:18" x14ac:dyDescent="0.3">
      <c r="A119" s="87" t="s">
        <v>4</v>
      </c>
      <c r="B119" s="87" t="s">
        <v>68</v>
      </c>
      <c r="C119" s="101">
        <v>46188</v>
      </c>
      <c r="D119" s="89">
        <v>5000</v>
      </c>
      <c r="E119" s="89">
        <v>3458</v>
      </c>
      <c r="F119" s="89">
        <f t="shared" si="23"/>
        <v>0</v>
      </c>
      <c r="G119" s="89">
        <v>5000</v>
      </c>
      <c r="H119" s="90">
        <f t="shared" si="22"/>
        <v>500</v>
      </c>
      <c r="I119" s="90">
        <f t="shared" si="12"/>
        <v>3958</v>
      </c>
      <c r="J119" s="90">
        <f t="shared" si="13"/>
        <v>0</v>
      </c>
      <c r="K119" s="90">
        <f t="shared" si="14"/>
        <v>0</v>
      </c>
      <c r="L119" s="90">
        <f t="shared" si="15"/>
        <v>3458</v>
      </c>
      <c r="M119" s="90">
        <f t="shared" si="16"/>
        <v>0</v>
      </c>
      <c r="N119" s="91">
        <f t="shared" si="17"/>
        <v>1</v>
      </c>
      <c r="P119" s="92">
        <f>SUMIFS($J$2:J118,$B$2:B118,B119,$C$2:C118,C119)</f>
        <v>5000</v>
      </c>
      <c r="Q119" s="92">
        <f t="shared" si="18"/>
        <v>0</v>
      </c>
      <c r="R119" s="93">
        <f t="shared" si="19"/>
        <v>0</v>
      </c>
    </row>
    <row r="120" spans="1:18" x14ac:dyDescent="0.3">
      <c r="A120" s="87" t="s">
        <v>4</v>
      </c>
      <c r="B120" s="87" t="s">
        <v>68</v>
      </c>
      <c r="C120" s="101">
        <v>46195</v>
      </c>
      <c r="D120" s="89">
        <v>5000</v>
      </c>
      <c r="E120" s="89">
        <v>500</v>
      </c>
      <c r="F120" s="89">
        <f t="shared" si="23"/>
        <v>0</v>
      </c>
      <c r="G120" s="89">
        <v>5000</v>
      </c>
      <c r="H120" s="90">
        <f t="shared" si="22"/>
        <v>0</v>
      </c>
      <c r="I120" s="90">
        <f t="shared" si="12"/>
        <v>500</v>
      </c>
      <c r="J120" s="90">
        <f t="shared" si="13"/>
        <v>0</v>
      </c>
      <c r="K120" s="90">
        <f t="shared" si="14"/>
        <v>0</v>
      </c>
      <c r="L120" s="90">
        <f t="shared" si="15"/>
        <v>500</v>
      </c>
      <c r="M120" s="90">
        <f t="shared" si="16"/>
        <v>0</v>
      </c>
      <c r="N120" s="91">
        <f t="shared" si="17"/>
        <v>1</v>
      </c>
      <c r="P120" s="92">
        <f>SUMIFS($J$2:J119,$B$2:B119,B120,$C$2:C119,C120)</f>
        <v>5000</v>
      </c>
      <c r="Q120" s="92">
        <f t="shared" si="18"/>
        <v>0</v>
      </c>
      <c r="R120" s="93">
        <f t="shared" si="19"/>
        <v>0</v>
      </c>
    </row>
    <row r="121" spans="1:18" x14ac:dyDescent="0.3">
      <c r="A121" s="87" t="s">
        <v>4</v>
      </c>
      <c r="B121" s="87" t="s">
        <v>68</v>
      </c>
      <c r="C121" s="101">
        <v>46202</v>
      </c>
      <c r="D121" s="89">
        <v>5000</v>
      </c>
      <c r="E121" s="89">
        <v>500</v>
      </c>
      <c r="F121" s="89">
        <f t="shared" si="23"/>
        <v>0</v>
      </c>
      <c r="G121" s="89">
        <v>5000</v>
      </c>
      <c r="H121" s="90">
        <f t="shared" si="22"/>
        <v>0</v>
      </c>
      <c r="I121" s="90">
        <f t="shared" si="12"/>
        <v>500</v>
      </c>
      <c r="J121" s="90">
        <f t="shared" si="13"/>
        <v>500</v>
      </c>
      <c r="K121" s="90">
        <f t="shared" si="14"/>
        <v>0</v>
      </c>
      <c r="L121" s="90">
        <f t="shared" si="15"/>
        <v>0</v>
      </c>
      <c r="M121" s="90">
        <f t="shared" si="16"/>
        <v>0</v>
      </c>
      <c r="N121" s="91">
        <f t="shared" si="17"/>
        <v>0.6</v>
      </c>
      <c r="P121" s="92">
        <f>SUMIFS($J$2:J120,$B$2:B120,B121,$C$2:C120,C121)</f>
        <v>2500</v>
      </c>
      <c r="Q121" s="92">
        <f t="shared" si="18"/>
        <v>2500</v>
      </c>
      <c r="R121" s="93">
        <f t="shared" si="19"/>
        <v>500</v>
      </c>
    </row>
    <row r="122" spans="1:18" x14ac:dyDescent="0.3">
      <c r="A122" s="87" t="s">
        <v>4</v>
      </c>
      <c r="B122" s="87" t="s">
        <v>68</v>
      </c>
      <c r="C122" s="101">
        <v>46209</v>
      </c>
      <c r="D122" s="89">
        <v>5000</v>
      </c>
      <c r="E122" s="89">
        <v>500</v>
      </c>
      <c r="F122" s="89">
        <f t="shared" si="23"/>
        <v>0</v>
      </c>
      <c r="G122" s="89">
        <v>5000</v>
      </c>
      <c r="H122" s="90">
        <f t="shared" si="22"/>
        <v>0</v>
      </c>
      <c r="I122" s="90">
        <f t="shared" si="12"/>
        <v>500</v>
      </c>
      <c r="J122" s="90">
        <f t="shared" si="13"/>
        <v>500</v>
      </c>
      <c r="K122" s="90">
        <f t="shared" si="14"/>
        <v>0</v>
      </c>
      <c r="L122" s="90">
        <f t="shared" si="15"/>
        <v>0</v>
      </c>
      <c r="M122" s="90">
        <f t="shared" si="16"/>
        <v>0</v>
      </c>
      <c r="N122" s="91">
        <f t="shared" si="17"/>
        <v>0.6</v>
      </c>
      <c r="P122" s="92">
        <f>SUMIFS($J$2:J121,$B$2:B121,B122,$C$2:C121,C122)</f>
        <v>2500</v>
      </c>
      <c r="Q122" s="92">
        <f t="shared" si="18"/>
        <v>2500</v>
      </c>
      <c r="R122" s="93">
        <f t="shared" si="19"/>
        <v>500</v>
      </c>
    </row>
    <row r="123" spans="1:18" x14ac:dyDescent="0.3">
      <c r="A123" s="87" t="s">
        <v>4</v>
      </c>
      <c r="B123" s="87" t="s">
        <v>68</v>
      </c>
      <c r="C123" s="101">
        <v>46216</v>
      </c>
      <c r="D123" s="89">
        <v>5000</v>
      </c>
      <c r="E123" s="89">
        <v>500</v>
      </c>
      <c r="F123" s="89">
        <f t="shared" si="23"/>
        <v>0</v>
      </c>
      <c r="G123" s="89">
        <v>5000</v>
      </c>
      <c r="H123" s="90">
        <f t="shared" si="22"/>
        <v>0</v>
      </c>
      <c r="I123" s="90">
        <f t="shared" si="12"/>
        <v>500</v>
      </c>
      <c r="J123" s="90">
        <f t="shared" si="13"/>
        <v>500</v>
      </c>
      <c r="K123" s="90">
        <f t="shared" si="14"/>
        <v>0</v>
      </c>
      <c r="L123" s="90">
        <f t="shared" si="15"/>
        <v>0</v>
      </c>
      <c r="M123" s="90">
        <f t="shared" si="16"/>
        <v>0</v>
      </c>
      <c r="N123" s="91">
        <f t="shared" si="17"/>
        <v>0.6</v>
      </c>
      <c r="P123" s="92">
        <f>SUMIFS($J$2:J122,$B$2:B122,B123,$C$2:C122,C123)</f>
        <v>2500</v>
      </c>
      <c r="Q123" s="92">
        <f t="shared" si="18"/>
        <v>2500</v>
      </c>
      <c r="R123" s="93">
        <f t="shared" si="19"/>
        <v>500</v>
      </c>
    </row>
    <row r="124" spans="1:18" x14ac:dyDescent="0.3">
      <c r="A124" s="87" t="s">
        <v>4</v>
      </c>
      <c r="B124" s="87" t="s">
        <v>68</v>
      </c>
      <c r="C124" s="101">
        <v>46223</v>
      </c>
      <c r="D124" s="89">
        <v>5000</v>
      </c>
      <c r="E124" s="89">
        <v>0</v>
      </c>
      <c r="F124" s="89">
        <f t="shared" si="23"/>
        <v>0</v>
      </c>
      <c r="G124" s="89">
        <v>5000</v>
      </c>
      <c r="H124" s="90">
        <f t="shared" si="22"/>
        <v>0</v>
      </c>
      <c r="I124" s="90">
        <f t="shared" si="12"/>
        <v>0</v>
      </c>
      <c r="J124" s="90">
        <f t="shared" si="13"/>
        <v>0</v>
      </c>
      <c r="K124" s="90">
        <f t="shared" si="14"/>
        <v>0</v>
      </c>
      <c r="L124" s="90">
        <f t="shared" si="15"/>
        <v>0</v>
      </c>
      <c r="M124" s="90">
        <f t="shared" si="16"/>
        <v>0</v>
      </c>
      <c r="N124" s="91">
        <f t="shared" si="17"/>
        <v>0.2</v>
      </c>
      <c r="P124" s="92">
        <f>SUMIFS($J$2:J123,$B$2:B123,B124,$C$2:C123,C124)</f>
        <v>1000</v>
      </c>
      <c r="Q124" s="92">
        <f t="shared" si="18"/>
        <v>4000</v>
      </c>
      <c r="R124" s="93">
        <f t="shared" si="19"/>
        <v>0</v>
      </c>
    </row>
    <row r="125" spans="1:18" x14ac:dyDescent="0.3">
      <c r="A125" s="87" t="s">
        <v>4</v>
      </c>
      <c r="B125" s="87" t="s">
        <v>68</v>
      </c>
      <c r="C125" s="101">
        <v>46230</v>
      </c>
      <c r="D125" s="89">
        <v>5000</v>
      </c>
      <c r="E125" s="89">
        <v>0</v>
      </c>
      <c r="F125" s="89">
        <f t="shared" si="23"/>
        <v>0</v>
      </c>
      <c r="G125" s="89">
        <v>5000</v>
      </c>
      <c r="H125" s="90">
        <f t="shared" si="22"/>
        <v>0</v>
      </c>
      <c r="I125" s="90">
        <f t="shared" si="12"/>
        <v>0</v>
      </c>
      <c r="J125" s="90">
        <f t="shared" si="13"/>
        <v>0</v>
      </c>
      <c r="K125" s="90">
        <f t="shared" si="14"/>
        <v>0</v>
      </c>
      <c r="L125" s="90">
        <f t="shared" si="15"/>
        <v>0</v>
      </c>
      <c r="M125" s="90">
        <f t="shared" si="16"/>
        <v>0</v>
      </c>
      <c r="N125" s="91">
        <f t="shared" si="17"/>
        <v>0.2</v>
      </c>
      <c r="P125" s="92">
        <f>SUMIFS($J$2:J124,$B$2:B124,B125,$C$2:C124,C125)</f>
        <v>1000</v>
      </c>
      <c r="Q125" s="92">
        <f t="shared" si="18"/>
        <v>4000</v>
      </c>
      <c r="R125" s="93">
        <f t="shared" si="19"/>
        <v>0</v>
      </c>
    </row>
    <row r="126" spans="1:18" x14ac:dyDescent="0.3">
      <c r="A126" s="87" t="s">
        <v>4</v>
      </c>
      <c r="B126" s="87" t="s">
        <v>68</v>
      </c>
      <c r="C126" s="101">
        <v>46237</v>
      </c>
      <c r="D126" s="89">
        <v>5000</v>
      </c>
      <c r="E126" s="89">
        <v>400</v>
      </c>
      <c r="F126" s="89">
        <f t="shared" si="23"/>
        <v>0</v>
      </c>
      <c r="G126" s="89">
        <v>5000</v>
      </c>
      <c r="H126" s="90">
        <f t="shared" si="22"/>
        <v>0</v>
      </c>
      <c r="I126" s="90">
        <f t="shared" si="12"/>
        <v>400</v>
      </c>
      <c r="J126" s="90">
        <f t="shared" si="13"/>
        <v>400</v>
      </c>
      <c r="K126" s="90">
        <f t="shared" si="14"/>
        <v>0</v>
      </c>
      <c r="L126" s="90">
        <f t="shared" si="15"/>
        <v>0</v>
      </c>
      <c r="M126" s="90">
        <f t="shared" si="16"/>
        <v>0</v>
      </c>
      <c r="N126" s="91">
        <f t="shared" si="17"/>
        <v>0.28000000000000003</v>
      </c>
      <c r="P126" s="92">
        <f>SUMIFS($J$2:J125,$B$2:B125,B126,$C$2:C125,C126)</f>
        <v>1000</v>
      </c>
      <c r="Q126" s="92">
        <f t="shared" si="18"/>
        <v>4000</v>
      </c>
      <c r="R126" s="93">
        <f t="shared" si="19"/>
        <v>400</v>
      </c>
    </row>
    <row r="127" spans="1:18" x14ac:dyDescent="0.3">
      <c r="A127" s="87" t="s">
        <v>4</v>
      </c>
      <c r="B127" s="87" t="s">
        <v>68</v>
      </c>
      <c r="C127" s="101">
        <v>46244</v>
      </c>
      <c r="D127" s="89">
        <v>5000</v>
      </c>
      <c r="E127" s="89">
        <v>0</v>
      </c>
      <c r="F127" s="89">
        <f t="shared" si="23"/>
        <v>0</v>
      </c>
      <c r="G127" s="89">
        <v>5000</v>
      </c>
      <c r="H127" s="90">
        <f t="shared" si="22"/>
        <v>0</v>
      </c>
      <c r="I127" s="90">
        <f t="shared" si="12"/>
        <v>0</v>
      </c>
      <c r="J127" s="90">
        <f t="shared" si="13"/>
        <v>0</v>
      </c>
      <c r="K127" s="90">
        <f t="shared" si="14"/>
        <v>0</v>
      </c>
      <c r="L127" s="90">
        <f t="shared" si="15"/>
        <v>0</v>
      </c>
      <c r="M127" s="90">
        <f t="shared" si="16"/>
        <v>0</v>
      </c>
      <c r="N127" s="91">
        <f t="shared" si="17"/>
        <v>0.2</v>
      </c>
      <c r="P127" s="92">
        <f>SUMIFS($J$2:J126,$B$2:B126,B127,$C$2:C126,C127)</f>
        <v>1000</v>
      </c>
      <c r="Q127" s="92">
        <f t="shared" si="18"/>
        <v>4000</v>
      </c>
      <c r="R127" s="93">
        <f t="shared" si="19"/>
        <v>0</v>
      </c>
    </row>
    <row r="128" spans="1:18" x14ac:dyDescent="0.3">
      <c r="A128" s="87" t="s">
        <v>4</v>
      </c>
      <c r="B128" s="87" t="s">
        <v>68</v>
      </c>
      <c r="C128" s="101">
        <v>46251</v>
      </c>
      <c r="D128" s="89">
        <v>5000</v>
      </c>
      <c r="E128" s="89">
        <v>0</v>
      </c>
      <c r="F128" s="89">
        <f t="shared" si="23"/>
        <v>0</v>
      </c>
      <c r="G128" s="89">
        <v>5000</v>
      </c>
      <c r="H128" s="90">
        <f t="shared" si="22"/>
        <v>0</v>
      </c>
      <c r="I128" s="90">
        <f t="shared" si="12"/>
        <v>0</v>
      </c>
      <c r="J128" s="90">
        <f t="shared" si="13"/>
        <v>0</v>
      </c>
      <c r="K128" s="90">
        <f t="shared" si="14"/>
        <v>0</v>
      </c>
      <c r="L128" s="90">
        <f t="shared" si="15"/>
        <v>0</v>
      </c>
      <c r="M128" s="90">
        <f t="shared" si="16"/>
        <v>0</v>
      </c>
      <c r="N128" s="91">
        <f t="shared" si="17"/>
        <v>0.2</v>
      </c>
      <c r="P128" s="92">
        <f>SUMIFS($J$2:J127,$B$2:B127,B128,$C$2:C127,C128)</f>
        <v>1000</v>
      </c>
      <c r="Q128" s="92">
        <f t="shared" si="18"/>
        <v>4000</v>
      </c>
      <c r="R128" s="93">
        <f t="shared" si="19"/>
        <v>0</v>
      </c>
    </row>
    <row r="129" spans="1:18" x14ac:dyDescent="0.3">
      <c r="A129" s="87" t="s">
        <v>4</v>
      </c>
      <c r="B129" s="87" t="s">
        <v>68</v>
      </c>
      <c r="C129" s="101">
        <v>46258</v>
      </c>
      <c r="D129" s="89">
        <v>5000</v>
      </c>
      <c r="E129" s="89">
        <v>400</v>
      </c>
      <c r="F129" s="89">
        <f t="shared" si="23"/>
        <v>0</v>
      </c>
      <c r="G129" s="89">
        <v>5000</v>
      </c>
      <c r="H129" s="90">
        <f t="shared" si="22"/>
        <v>0</v>
      </c>
      <c r="I129" s="90">
        <f t="shared" si="12"/>
        <v>400</v>
      </c>
      <c r="J129" s="90">
        <f t="shared" si="13"/>
        <v>400</v>
      </c>
      <c r="K129" s="90">
        <f t="shared" si="14"/>
        <v>0</v>
      </c>
      <c r="L129" s="90">
        <f t="shared" si="15"/>
        <v>0</v>
      </c>
      <c r="M129" s="90">
        <f t="shared" si="16"/>
        <v>0</v>
      </c>
      <c r="N129" s="91">
        <f t="shared" si="17"/>
        <v>0.23</v>
      </c>
      <c r="P129" s="92">
        <f>SUMIFS($J$2:J128,$B$2:B128,B129,$C$2:C128,C129)</f>
        <v>750</v>
      </c>
      <c r="Q129" s="92">
        <f t="shared" si="18"/>
        <v>4250</v>
      </c>
      <c r="R129" s="93">
        <f t="shared" si="19"/>
        <v>400</v>
      </c>
    </row>
    <row r="130" spans="1:18" x14ac:dyDescent="0.3">
      <c r="A130" s="87" t="s">
        <v>4</v>
      </c>
      <c r="B130" s="87" t="s">
        <v>68</v>
      </c>
      <c r="C130" s="101">
        <v>46265</v>
      </c>
      <c r="D130" s="89">
        <v>5000</v>
      </c>
      <c r="E130" s="89">
        <v>0</v>
      </c>
      <c r="F130" s="89">
        <f t="shared" si="23"/>
        <v>0</v>
      </c>
      <c r="G130" s="89">
        <v>5000</v>
      </c>
      <c r="H130" s="90">
        <f t="shared" si="22"/>
        <v>0</v>
      </c>
      <c r="I130" s="90">
        <f t="shared" ref="I130:I193" si="24">MAX(0,E130+H130-F130)</f>
        <v>0</v>
      </c>
      <c r="J130" s="90">
        <f t="shared" ref="J130:J193" si="25">MIN(Q130,I130,MAX(0,E130+G130-F130))</f>
        <v>0</v>
      </c>
      <c r="K130" s="90">
        <f t="shared" ref="K130:K193" si="26">MIN(G130,MAX(0,F130+J130-E130))</f>
        <v>0</v>
      </c>
      <c r="L130" s="90">
        <f t="shared" ref="L130:L193" si="27">MAX(0,E130-F130-J130)</f>
        <v>0</v>
      </c>
      <c r="M130" s="90">
        <f t="shared" ref="M130:M193" si="28">MAX(0,F130+J130-E130)</f>
        <v>0</v>
      </c>
      <c r="N130" s="91">
        <f t="shared" ref="N130:N193" si="29">IFERROR(SUMIFS($J$2:$J$217,$B$2:$B$217,B130,$C$2:$C$217,C130)/D130,0)</f>
        <v>0.15</v>
      </c>
      <c r="P130" s="92">
        <f>SUMIFS($J$2:J129,$B$2:B129,B130,$C$2:C129,C130)</f>
        <v>750</v>
      </c>
      <c r="Q130" s="92">
        <f t="shared" ref="Q130:Q193" si="30">MAX(0,D130-P130)</f>
        <v>4250</v>
      </c>
      <c r="R130" s="93">
        <f t="shared" ref="R130:R193" si="31">MAX(0,MIN(E130,F130+J130))</f>
        <v>0</v>
      </c>
    </row>
    <row r="131" spans="1:18" x14ac:dyDescent="0.3">
      <c r="A131" s="87" t="s">
        <v>4</v>
      </c>
      <c r="B131" s="87" t="s">
        <v>68</v>
      </c>
      <c r="C131" s="101">
        <v>46272</v>
      </c>
      <c r="D131" s="89">
        <v>5000</v>
      </c>
      <c r="E131" s="89">
        <v>400</v>
      </c>
      <c r="F131" s="89">
        <f t="shared" si="23"/>
        <v>0</v>
      </c>
      <c r="G131" s="89">
        <v>5000</v>
      </c>
      <c r="H131" s="90">
        <f t="shared" si="22"/>
        <v>0</v>
      </c>
      <c r="I131" s="90">
        <f t="shared" si="24"/>
        <v>400</v>
      </c>
      <c r="J131" s="90">
        <f t="shared" si="25"/>
        <v>400</v>
      </c>
      <c r="K131" s="90">
        <f t="shared" si="26"/>
        <v>0</v>
      </c>
      <c r="L131" s="90">
        <f t="shared" si="27"/>
        <v>0</v>
      </c>
      <c r="M131" s="90">
        <f t="shared" si="28"/>
        <v>0</v>
      </c>
      <c r="N131" s="91">
        <f t="shared" si="29"/>
        <v>0.23</v>
      </c>
      <c r="P131" s="92">
        <f>SUMIFS($J$2:J130,$B$2:B130,B131,$C$2:C130,C131)</f>
        <v>750</v>
      </c>
      <c r="Q131" s="92">
        <f t="shared" si="30"/>
        <v>4250</v>
      </c>
      <c r="R131" s="93">
        <f t="shared" si="31"/>
        <v>400</v>
      </c>
    </row>
    <row r="132" spans="1:18" x14ac:dyDescent="0.3">
      <c r="A132" s="87" t="s">
        <v>4</v>
      </c>
      <c r="B132" s="87" t="s">
        <v>68</v>
      </c>
      <c r="C132" s="101">
        <v>46279</v>
      </c>
      <c r="D132" s="89">
        <v>5000</v>
      </c>
      <c r="E132" s="89">
        <v>0</v>
      </c>
      <c r="F132" s="89">
        <f t="shared" si="23"/>
        <v>0</v>
      </c>
      <c r="G132" s="89">
        <v>5000</v>
      </c>
      <c r="H132" s="90">
        <f t="shared" si="22"/>
        <v>0</v>
      </c>
      <c r="I132" s="90">
        <f t="shared" si="24"/>
        <v>0</v>
      </c>
      <c r="J132" s="90">
        <f t="shared" si="25"/>
        <v>0</v>
      </c>
      <c r="K132" s="90">
        <f t="shared" si="26"/>
        <v>0</v>
      </c>
      <c r="L132" s="90">
        <f t="shared" si="27"/>
        <v>0</v>
      </c>
      <c r="M132" s="90">
        <f t="shared" si="28"/>
        <v>0</v>
      </c>
      <c r="N132" s="91">
        <f t="shared" si="29"/>
        <v>0.15</v>
      </c>
      <c r="P132" s="92">
        <f>SUMIFS($J$2:J131,$B$2:B131,B132,$C$2:C131,C132)</f>
        <v>750</v>
      </c>
      <c r="Q132" s="92">
        <f t="shared" si="30"/>
        <v>4250</v>
      </c>
      <c r="R132" s="93">
        <f t="shared" si="31"/>
        <v>0</v>
      </c>
    </row>
    <row r="133" spans="1:18" x14ac:dyDescent="0.3">
      <c r="A133" s="87" t="s">
        <v>4</v>
      </c>
      <c r="B133" s="87" t="s">
        <v>68</v>
      </c>
      <c r="C133" s="101">
        <v>46286</v>
      </c>
      <c r="D133" s="89">
        <v>5000</v>
      </c>
      <c r="E133" s="89">
        <v>360</v>
      </c>
      <c r="F133" s="89">
        <f t="shared" si="23"/>
        <v>0</v>
      </c>
      <c r="G133" s="89">
        <v>5000</v>
      </c>
      <c r="H133" s="90">
        <f t="shared" si="22"/>
        <v>0</v>
      </c>
      <c r="I133" s="90">
        <f t="shared" si="24"/>
        <v>360</v>
      </c>
      <c r="J133" s="90">
        <f t="shared" si="25"/>
        <v>360</v>
      </c>
      <c r="K133" s="90">
        <f t="shared" si="26"/>
        <v>0</v>
      </c>
      <c r="L133" s="90">
        <f t="shared" si="27"/>
        <v>0</v>
      </c>
      <c r="M133" s="90">
        <f t="shared" si="28"/>
        <v>0</v>
      </c>
      <c r="N133" s="91">
        <f t="shared" si="29"/>
        <v>0.192</v>
      </c>
      <c r="P133" s="92">
        <f>SUMIFS($J$2:J132,$B$2:B132,B133,$C$2:C132,C133)</f>
        <v>600</v>
      </c>
      <c r="Q133" s="92">
        <f t="shared" si="30"/>
        <v>4400</v>
      </c>
      <c r="R133" s="93">
        <f t="shared" si="31"/>
        <v>360</v>
      </c>
    </row>
    <row r="134" spans="1:18" x14ac:dyDescent="0.3">
      <c r="A134" s="87" t="s">
        <v>4</v>
      </c>
      <c r="B134" s="87" t="s">
        <v>68</v>
      </c>
      <c r="C134" s="101">
        <v>46293</v>
      </c>
      <c r="D134" s="89">
        <v>5000</v>
      </c>
      <c r="E134" s="89">
        <v>360</v>
      </c>
      <c r="F134" s="89">
        <f t="shared" si="23"/>
        <v>0</v>
      </c>
      <c r="G134" s="89">
        <v>5000</v>
      </c>
      <c r="H134" s="90">
        <f t="shared" si="22"/>
        <v>0</v>
      </c>
      <c r="I134" s="90">
        <f t="shared" si="24"/>
        <v>360</v>
      </c>
      <c r="J134" s="90">
        <f t="shared" si="25"/>
        <v>360</v>
      </c>
      <c r="K134" s="90">
        <f t="shared" si="26"/>
        <v>0</v>
      </c>
      <c r="L134" s="90">
        <f t="shared" si="27"/>
        <v>0</v>
      </c>
      <c r="M134" s="90">
        <f t="shared" si="28"/>
        <v>0</v>
      </c>
      <c r="N134" s="91">
        <f t="shared" si="29"/>
        <v>0.192</v>
      </c>
      <c r="P134" s="92">
        <f>SUMIFS($J$2:J133,$B$2:B133,B134,$C$2:C133,C134)</f>
        <v>600</v>
      </c>
      <c r="Q134" s="92">
        <f t="shared" si="30"/>
        <v>4400</v>
      </c>
      <c r="R134" s="93">
        <f t="shared" si="31"/>
        <v>360</v>
      </c>
    </row>
    <row r="135" spans="1:18" x14ac:dyDescent="0.3">
      <c r="A135" s="87" t="s">
        <v>4</v>
      </c>
      <c r="B135" s="87" t="s">
        <v>68</v>
      </c>
      <c r="C135" s="101">
        <v>46300</v>
      </c>
      <c r="D135" s="89">
        <v>5000</v>
      </c>
      <c r="E135" s="89">
        <v>360</v>
      </c>
      <c r="F135" s="89">
        <f t="shared" si="23"/>
        <v>0</v>
      </c>
      <c r="G135" s="89">
        <v>5000</v>
      </c>
      <c r="H135" s="90">
        <f t="shared" si="22"/>
        <v>0</v>
      </c>
      <c r="I135" s="90">
        <f t="shared" si="24"/>
        <v>360</v>
      </c>
      <c r="J135" s="90">
        <f t="shared" si="25"/>
        <v>360</v>
      </c>
      <c r="K135" s="90">
        <f t="shared" si="26"/>
        <v>0</v>
      </c>
      <c r="L135" s="90">
        <f t="shared" si="27"/>
        <v>0</v>
      </c>
      <c r="M135" s="90">
        <f t="shared" si="28"/>
        <v>0</v>
      </c>
      <c r="N135" s="91">
        <f t="shared" si="29"/>
        <v>0.192</v>
      </c>
      <c r="P135" s="92">
        <f>SUMIFS($J$2:J134,$B$2:B134,B135,$C$2:C134,C135)</f>
        <v>600</v>
      </c>
      <c r="Q135" s="92">
        <f t="shared" si="30"/>
        <v>4400</v>
      </c>
      <c r="R135" s="93">
        <f t="shared" si="31"/>
        <v>360</v>
      </c>
    </row>
    <row r="136" spans="1:18" x14ac:dyDescent="0.3">
      <c r="A136" s="87" t="s">
        <v>4</v>
      </c>
      <c r="B136" s="87" t="s">
        <v>68</v>
      </c>
      <c r="C136" s="101">
        <v>46307</v>
      </c>
      <c r="D136" s="89">
        <v>5000</v>
      </c>
      <c r="E136" s="89">
        <v>360</v>
      </c>
      <c r="F136" s="89">
        <f t="shared" si="23"/>
        <v>0</v>
      </c>
      <c r="G136" s="89">
        <v>5000</v>
      </c>
      <c r="H136" s="90">
        <f t="shared" si="22"/>
        <v>0</v>
      </c>
      <c r="I136" s="90">
        <f t="shared" si="24"/>
        <v>360</v>
      </c>
      <c r="J136" s="90">
        <f t="shared" si="25"/>
        <v>360</v>
      </c>
      <c r="K136" s="90">
        <f t="shared" si="26"/>
        <v>0</v>
      </c>
      <c r="L136" s="90">
        <f t="shared" si="27"/>
        <v>0</v>
      </c>
      <c r="M136" s="90">
        <f t="shared" si="28"/>
        <v>0</v>
      </c>
      <c r="N136" s="91">
        <f t="shared" si="29"/>
        <v>0.192</v>
      </c>
      <c r="P136" s="92">
        <f>SUMIFS($J$2:J135,$B$2:B135,B136,$C$2:C135,C136)</f>
        <v>600</v>
      </c>
      <c r="Q136" s="92">
        <f t="shared" si="30"/>
        <v>4400</v>
      </c>
      <c r="R136" s="93">
        <f t="shared" si="31"/>
        <v>360</v>
      </c>
    </row>
    <row r="137" spans="1:18" x14ac:dyDescent="0.3">
      <c r="A137" s="87" t="s">
        <v>4</v>
      </c>
      <c r="B137" s="87" t="s">
        <v>68</v>
      </c>
      <c r="C137" s="101">
        <v>46314</v>
      </c>
      <c r="D137" s="89">
        <v>5000</v>
      </c>
      <c r="E137" s="89">
        <v>360</v>
      </c>
      <c r="F137" s="89">
        <f t="shared" si="23"/>
        <v>0</v>
      </c>
      <c r="G137" s="89">
        <v>5000</v>
      </c>
      <c r="H137" s="90">
        <f t="shared" si="22"/>
        <v>0</v>
      </c>
      <c r="I137" s="90">
        <f t="shared" si="24"/>
        <v>360</v>
      </c>
      <c r="J137" s="90">
        <f t="shared" si="25"/>
        <v>360</v>
      </c>
      <c r="K137" s="90">
        <f t="shared" si="26"/>
        <v>0</v>
      </c>
      <c r="L137" s="90">
        <f t="shared" si="27"/>
        <v>0</v>
      </c>
      <c r="M137" s="90">
        <f t="shared" si="28"/>
        <v>0</v>
      </c>
      <c r="N137" s="91">
        <f t="shared" si="29"/>
        <v>0.192</v>
      </c>
      <c r="P137" s="92">
        <f>SUMIFS($J$2:J136,$B$2:B136,B137,$C$2:C136,C137)</f>
        <v>600</v>
      </c>
      <c r="Q137" s="92">
        <f t="shared" si="30"/>
        <v>4400</v>
      </c>
      <c r="R137" s="93">
        <f t="shared" si="31"/>
        <v>360</v>
      </c>
    </row>
    <row r="138" spans="1:18" x14ac:dyDescent="0.3">
      <c r="A138" s="87" t="s">
        <v>4</v>
      </c>
      <c r="B138" s="87" t="s">
        <v>68</v>
      </c>
      <c r="C138" s="101">
        <v>46321</v>
      </c>
      <c r="D138" s="89">
        <v>5000</v>
      </c>
      <c r="E138" s="89">
        <v>1000</v>
      </c>
      <c r="F138" s="89">
        <f t="shared" si="23"/>
        <v>0</v>
      </c>
      <c r="G138" s="89">
        <v>5000</v>
      </c>
      <c r="H138" s="90">
        <f t="shared" si="22"/>
        <v>0</v>
      </c>
      <c r="I138" s="90">
        <f t="shared" si="24"/>
        <v>1000</v>
      </c>
      <c r="J138" s="90">
        <f t="shared" si="25"/>
        <v>1000</v>
      </c>
      <c r="K138" s="90">
        <f t="shared" si="26"/>
        <v>0</v>
      </c>
      <c r="L138" s="90">
        <f t="shared" si="27"/>
        <v>0</v>
      </c>
      <c r="M138" s="90">
        <f t="shared" si="28"/>
        <v>0</v>
      </c>
      <c r="N138" s="91">
        <f t="shared" si="29"/>
        <v>0.3</v>
      </c>
      <c r="P138" s="92">
        <f>SUMIFS($J$2:J137,$B$2:B137,B138,$C$2:C137,C138)</f>
        <v>500</v>
      </c>
      <c r="Q138" s="92">
        <f t="shared" si="30"/>
        <v>4500</v>
      </c>
      <c r="R138" s="93">
        <f t="shared" si="31"/>
        <v>1000</v>
      </c>
    </row>
    <row r="139" spans="1:18" x14ac:dyDescent="0.3">
      <c r="A139" s="87" t="s">
        <v>4</v>
      </c>
      <c r="B139" s="87" t="s">
        <v>68</v>
      </c>
      <c r="C139" s="101">
        <v>46328</v>
      </c>
      <c r="D139" s="89">
        <v>5000</v>
      </c>
      <c r="E139" s="89">
        <v>1000</v>
      </c>
      <c r="F139" s="89">
        <f t="shared" si="23"/>
        <v>0</v>
      </c>
      <c r="G139" s="89">
        <v>5000</v>
      </c>
      <c r="H139" s="90">
        <f t="shared" si="22"/>
        <v>0</v>
      </c>
      <c r="I139" s="90">
        <f t="shared" si="24"/>
        <v>1000</v>
      </c>
      <c r="J139" s="90">
        <f t="shared" si="25"/>
        <v>1000</v>
      </c>
      <c r="K139" s="90">
        <f t="shared" si="26"/>
        <v>0</v>
      </c>
      <c r="L139" s="90">
        <f t="shared" si="27"/>
        <v>0</v>
      </c>
      <c r="M139" s="90">
        <f t="shared" si="28"/>
        <v>0</v>
      </c>
      <c r="N139" s="91">
        <f t="shared" si="29"/>
        <v>0.3</v>
      </c>
      <c r="P139" s="92">
        <f>SUMIFS($J$2:J138,$B$2:B138,B139,$C$2:C138,C139)</f>
        <v>500</v>
      </c>
      <c r="Q139" s="92">
        <f t="shared" si="30"/>
        <v>4500</v>
      </c>
      <c r="R139" s="93">
        <f t="shared" si="31"/>
        <v>1000</v>
      </c>
    </row>
    <row r="140" spans="1:18" x14ac:dyDescent="0.3">
      <c r="A140" s="87" t="s">
        <v>4</v>
      </c>
      <c r="B140" s="87" t="s">
        <v>68</v>
      </c>
      <c r="C140" s="101">
        <v>46335</v>
      </c>
      <c r="D140" s="89">
        <v>5000</v>
      </c>
      <c r="E140" s="89">
        <v>1000</v>
      </c>
      <c r="F140" s="89">
        <f t="shared" si="23"/>
        <v>0</v>
      </c>
      <c r="G140" s="89">
        <v>5000</v>
      </c>
      <c r="H140" s="90">
        <f t="shared" si="22"/>
        <v>0</v>
      </c>
      <c r="I140" s="90">
        <f t="shared" si="24"/>
        <v>1000</v>
      </c>
      <c r="J140" s="90">
        <f t="shared" si="25"/>
        <v>1000</v>
      </c>
      <c r="K140" s="90">
        <f t="shared" si="26"/>
        <v>0</v>
      </c>
      <c r="L140" s="90">
        <f t="shared" si="27"/>
        <v>0</v>
      </c>
      <c r="M140" s="90">
        <f t="shared" si="28"/>
        <v>0</v>
      </c>
      <c r="N140" s="91">
        <f t="shared" si="29"/>
        <v>0.3</v>
      </c>
      <c r="P140" s="92">
        <f>SUMIFS($J$2:J139,$B$2:B139,B140,$C$2:C139,C140)</f>
        <v>500</v>
      </c>
      <c r="Q140" s="92">
        <f t="shared" si="30"/>
        <v>4500</v>
      </c>
      <c r="R140" s="93">
        <f t="shared" si="31"/>
        <v>1000</v>
      </c>
    </row>
    <row r="141" spans="1:18" x14ac:dyDescent="0.3">
      <c r="A141" s="87" t="s">
        <v>4</v>
      </c>
      <c r="B141" s="87" t="s">
        <v>68</v>
      </c>
      <c r="C141" s="101">
        <v>46342</v>
      </c>
      <c r="D141" s="89">
        <v>5000</v>
      </c>
      <c r="E141" s="89">
        <v>1000</v>
      </c>
      <c r="F141" s="89">
        <f t="shared" si="23"/>
        <v>0</v>
      </c>
      <c r="G141" s="89">
        <v>5000</v>
      </c>
      <c r="H141" s="90">
        <f t="shared" si="22"/>
        <v>0</v>
      </c>
      <c r="I141" s="90">
        <f t="shared" si="24"/>
        <v>1000</v>
      </c>
      <c r="J141" s="90">
        <f t="shared" si="25"/>
        <v>1000</v>
      </c>
      <c r="K141" s="90">
        <f t="shared" si="26"/>
        <v>0</v>
      </c>
      <c r="L141" s="90">
        <f t="shared" si="27"/>
        <v>0</v>
      </c>
      <c r="M141" s="90">
        <f t="shared" si="28"/>
        <v>0</v>
      </c>
      <c r="N141" s="91">
        <f t="shared" si="29"/>
        <v>0.3</v>
      </c>
      <c r="P141" s="92">
        <f>SUMIFS($J$2:J140,$B$2:B140,B141,$C$2:C140,C141)</f>
        <v>500</v>
      </c>
      <c r="Q141" s="92">
        <f t="shared" si="30"/>
        <v>4500</v>
      </c>
      <c r="R141" s="93">
        <f t="shared" si="31"/>
        <v>1000</v>
      </c>
    </row>
    <row r="142" spans="1:18" x14ac:dyDescent="0.3">
      <c r="A142" s="87" t="s">
        <v>4</v>
      </c>
      <c r="B142" s="87" t="s">
        <v>68</v>
      </c>
      <c r="C142" s="101">
        <v>46349</v>
      </c>
      <c r="D142" s="89">
        <v>5000</v>
      </c>
      <c r="E142" s="89">
        <v>1250</v>
      </c>
      <c r="F142" s="89">
        <f t="shared" si="23"/>
        <v>0</v>
      </c>
      <c r="G142" s="89">
        <v>5000</v>
      </c>
      <c r="H142" s="90">
        <f t="shared" si="22"/>
        <v>0</v>
      </c>
      <c r="I142" s="90">
        <f t="shared" si="24"/>
        <v>1250</v>
      </c>
      <c r="J142" s="90">
        <f t="shared" si="25"/>
        <v>1250</v>
      </c>
      <c r="K142" s="90">
        <f t="shared" si="26"/>
        <v>0</v>
      </c>
      <c r="L142" s="90">
        <f t="shared" si="27"/>
        <v>0</v>
      </c>
      <c r="M142" s="90">
        <f t="shared" si="28"/>
        <v>0</v>
      </c>
      <c r="N142" s="91">
        <f t="shared" si="29"/>
        <v>0.85</v>
      </c>
      <c r="P142" s="92">
        <f>SUMIFS($J$2:J141,$B$2:B141,B142,$C$2:C141,C142)</f>
        <v>3000</v>
      </c>
      <c r="Q142" s="92">
        <f t="shared" si="30"/>
        <v>2000</v>
      </c>
      <c r="R142" s="93">
        <f t="shared" si="31"/>
        <v>1250</v>
      </c>
    </row>
    <row r="143" spans="1:18" x14ac:dyDescent="0.3">
      <c r="A143" s="87" t="s">
        <v>4</v>
      </c>
      <c r="B143" s="87" t="s">
        <v>68</v>
      </c>
      <c r="C143" s="101">
        <v>46356</v>
      </c>
      <c r="D143" s="89">
        <v>5000</v>
      </c>
      <c r="E143" s="89">
        <v>1250</v>
      </c>
      <c r="F143" s="89">
        <f t="shared" si="23"/>
        <v>0</v>
      </c>
      <c r="G143" s="89">
        <v>5000</v>
      </c>
      <c r="H143" s="90">
        <f t="shared" si="22"/>
        <v>0</v>
      </c>
      <c r="I143" s="90">
        <f t="shared" si="24"/>
        <v>1250</v>
      </c>
      <c r="J143" s="90">
        <f t="shared" si="25"/>
        <v>1250</v>
      </c>
      <c r="K143" s="90">
        <f t="shared" si="26"/>
        <v>0</v>
      </c>
      <c r="L143" s="90">
        <f t="shared" si="27"/>
        <v>0</v>
      </c>
      <c r="M143" s="90">
        <f t="shared" si="28"/>
        <v>0</v>
      </c>
      <c r="N143" s="91">
        <f t="shared" si="29"/>
        <v>0.85</v>
      </c>
      <c r="P143" s="92">
        <f>SUMIFS($J$2:J142,$B$2:B142,B143,$C$2:C142,C143)</f>
        <v>3000</v>
      </c>
      <c r="Q143" s="92">
        <f t="shared" si="30"/>
        <v>2000</v>
      </c>
      <c r="R143" s="93">
        <f t="shared" si="31"/>
        <v>1250</v>
      </c>
    </row>
    <row r="144" spans="1:18" x14ac:dyDescent="0.3">
      <c r="A144" s="87" t="s">
        <v>4</v>
      </c>
      <c r="B144" s="87" t="s">
        <v>68</v>
      </c>
      <c r="C144" s="101">
        <v>46363</v>
      </c>
      <c r="D144" s="89">
        <v>5000</v>
      </c>
      <c r="E144" s="89">
        <v>1250</v>
      </c>
      <c r="F144" s="89">
        <f t="shared" si="23"/>
        <v>0</v>
      </c>
      <c r="G144" s="89">
        <v>5000</v>
      </c>
      <c r="H144" s="90">
        <f t="shared" si="22"/>
        <v>0</v>
      </c>
      <c r="I144" s="90">
        <f t="shared" si="24"/>
        <v>1250</v>
      </c>
      <c r="J144" s="90">
        <f t="shared" si="25"/>
        <v>1250</v>
      </c>
      <c r="K144" s="90">
        <f t="shared" si="26"/>
        <v>0</v>
      </c>
      <c r="L144" s="90">
        <f t="shared" si="27"/>
        <v>0</v>
      </c>
      <c r="M144" s="90">
        <f t="shared" si="28"/>
        <v>0</v>
      </c>
      <c r="N144" s="91">
        <f t="shared" si="29"/>
        <v>0.85</v>
      </c>
      <c r="P144" s="92">
        <f>SUMIFS($J$2:J143,$B$2:B143,B144,$C$2:C143,C144)</f>
        <v>3000</v>
      </c>
      <c r="Q144" s="92">
        <f t="shared" si="30"/>
        <v>2000</v>
      </c>
      <c r="R144" s="93">
        <f t="shared" si="31"/>
        <v>1250</v>
      </c>
    </row>
    <row r="145" spans="1:18" x14ac:dyDescent="0.3">
      <c r="A145" s="87" t="s">
        <v>4</v>
      </c>
      <c r="B145" s="87" t="s">
        <v>68</v>
      </c>
      <c r="C145" s="101">
        <v>46370</v>
      </c>
      <c r="D145" s="89">
        <v>5000</v>
      </c>
      <c r="E145" s="89">
        <v>1250</v>
      </c>
      <c r="F145" s="89">
        <f t="shared" si="23"/>
        <v>0</v>
      </c>
      <c r="G145" s="89">
        <v>5000</v>
      </c>
      <c r="H145" s="90">
        <f>0</f>
        <v>0</v>
      </c>
      <c r="I145" s="90">
        <f t="shared" si="24"/>
        <v>1250</v>
      </c>
      <c r="J145" s="90">
        <f t="shared" si="25"/>
        <v>1250</v>
      </c>
      <c r="K145" s="90">
        <f t="shared" si="26"/>
        <v>0</v>
      </c>
      <c r="L145" s="90">
        <f t="shared" si="27"/>
        <v>0</v>
      </c>
      <c r="M145" s="90">
        <f t="shared" si="28"/>
        <v>0</v>
      </c>
      <c r="N145" s="91">
        <f t="shared" si="29"/>
        <v>0.85</v>
      </c>
      <c r="P145" s="92">
        <f>SUMIFS($J$2:J144,$B$2:B144,B145,$C$2:C144,C145)</f>
        <v>3000</v>
      </c>
      <c r="Q145" s="92">
        <f t="shared" si="30"/>
        <v>2000</v>
      </c>
      <c r="R145" s="93">
        <f t="shared" si="31"/>
        <v>1250</v>
      </c>
    </row>
    <row r="146" spans="1:18" x14ac:dyDescent="0.3">
      <c r="A146" s="87" t="s">
        <v>5</v>
      </c>
      <c r="B146" s="87" t="s">
        <v>56</v>
      </c>
      <c r="C146" s="101">
        <v>46125</v>
      </c>
      <c r="D146" s="89">
        <v>3000</v>
      </c>
      <c r="E146" s="89">
        <v>0</v>
      </c>
      <c r="F146" s="89">
        <f>0</f>
        <v>0</v>
      </c>
      <c r="G146" s="89">
        <v>3000</v>
      </c>
      <c r="H146" s="90">
        <f t="shared" ref="H146:H180" si="32">MAX(0,H147+E147-Q147)</f>
        <v>0</v>
      </c>
      <c r="I146" s="90">
        <f t="shared" si="24"/>
        <v>0</v>
      </c>
      <c r="J146" s="90">
        <f t="shared" si="25"/>
        <v>0</v>
      </c>
      <c r="K146" s="90">
        <f t="shared" si="26"/>
        <v>0</v>
      </c>
      <c r="L146" s="90">
        <f t="shared" si="27"/>
        <v>0</v>
      </c>
      <c r="M146" s="90">
        <f t="shared" si="28"/>
        <v>0</v>
      </c>
      <c r="N146" s="91">
        <f t="shared" si="29"/>
        <v>1</v>
      </c>
      <c r="O146" s="61" t="s">
        <v>110</v>
      </c>
      <c r="P146" s="92">
        <f>SUMIFS($J$2:J145,$B$2:B145,B146,$C$2:C145,C146)</f>
        <v>0</v>
      </c>
      <c r="Q146" s="92">
        <f t="shared" si="30"/>
        <v>3000</v>
      </c>
      <c r="R146" s="93">
        <f t="shared" si="31"/>
        <v>0</v>
      </c>
    </row>
    <row r="147" spans="1:18" x14ac:dyDescent="0.3">
      <c r="A147" s="87" t="s">
        <v>5</v>
      </c>
      <c r="B147" s="87" t="s">
        <v>56</v>
      </c>
      <c r="C147" s="101">
        <v>46132</v>
      </c>
      <c r="D147" s="89">
        <v>3000</v>
      </c>
      <c r="E147" s="89">
        <v>0</v>
      </c>
      <c r="F147" s="89">
        <f t="shared" ref="F147:F181" si="33">K146</f>
        <v>0</v>
      </c>
      <c r="G147" s="89">
        <v>3000</v>
      </c>
      <c r="H147" s="90">
        <f t="shared" si="32"/>
        <v>0</v>
      </c>
      <c r="I147" s="90">
        <f t="shared" si="24"/>
        <v>0</v>
      </c>
      <c r="J147" s="90">
        <f t="shared" si="25"/>
        <v>0</v>
      </c>
      <c r="K147" s="90">
        <f t="shared" si="26"/>
        <v>0</v>
      </c>
      <c r="L147" s="90">
        <f t="shared" si="27"/>
        <v>0</v>
      </c>
      <c r="M147" s="90">
        <f t="shared" si="28"/>
        <v>0</v>
      </c>
      <c r="N147" s="91">
        <f t="shared" si="29"/>
        <v>0.19600000000000001</v>
      </c>
      <c r="P147" s="92">
        <f>SUMIFS($J$2:J146,$B$2:B146,B147,$C$2:C146,C147)</f>
        <v>0</v>
      </c>
      <c r="Q147" s="92">
        <f t="shared" si="30"/>
        <v>3000</v>
      </c>
      <c r="R147" s="93">
        <f t="shared" si="31"/>
        <v>0</v>
      </c>
    </row>
    <row r="148" spans="1:18" x14ac:dyDescent="0.3">
      <c r="A148" s="87" t="s">
        <v>5</v>
      </c>
      <c r="B148" s="87" t="s">
        <v>56</v>
      </c>
      <c r="C148" s="101">
        <v>46139</v>
      </c>
      <c r="D148" s="89">
        <v>3000</v>
      </c>
      <c r="E148" s="89">
        <v>472</v>
      </c>
      <c r="F148" s="89">
        <f t="shared" si="33"/>
        <v>0</v>
      </c>
      <c r="G148" s="89">
        <v>3000</v>
      </c>
      <c r="H148" s="90">
        <f t="shared" si="32"/>
        <v>0</v>
      </c>
      <c r="I148" s="90">
        <f t="shared" si="24"/>
        <v>472</v>
      </c>
      <c r="J148" s="90">
        <f t="shared" si="25"/>
        <v>472</v>
      </c>
      <c r="K148" s="90">
        <f t="shared" si="26"/>
        <v>0</v>
      </c>
      <c r="L148" s="90">
        <f t="shared" si="27"/>
        <v>0</v>
      </c>
      <c r="M148" s="90">
        <f t="shared" si="28"/>
        <v>0</v>
      </c>
      <c r="N148" s="91">
        <f t="shared" si="29"/>
        <v>1</v>
      </c>
      <c r="P148" s="92">
        <f>SUMIFS($J$2:J147,$B$2:B147,B148,$C$2:C147,C148)</f>
        <v>0</v>
      </c>
      <c r="Q148" s="92">
        <f t="shared" si="30"/>
        <v>3000</v>
      </c>
      <c r="R148" s="93">
        <f t="shared" si="31"/>
        <v>472</v>
      </c>
    </row>
    <row r="149" spans="1:18" x14ac:dyDescent="0.3">
      <c r="A149" s="87" t="s">
        <v>5</v>
      </c>
      <c r="B149" s="87" t="s">
        <v>56</v>
      </c>
      <c r="C149" s="101">
        <v>46146</v>
      </c>
      <c r="D149" s="89">
        <v>3000</v>
      </c>
      <c r="E149" s="89">
        <v>300</v>
      </c>
      <c r="F149" s="89">
        <f t="shared" si="33"/>
        <v>0</v>
      </c>
      <c r="G149" s="89">
        <v>3000</v>
      </c>
      <c r="H149" s="90">
        <f t="shared" si="32"/>
        <v>0</v>
      </c>
      <c r="I149" s="90">
        <f t="shared" si="24"/>
        <v>300</v>
      </c>
      <c r="J149" s="90">
        <f t="shared" si="25"/>
        <v>300</v>
      </c>
      <c r="K149" s="90">
        <f t="shared" si="26"/>
        <v>0</v>
      </c>
      <c r="L149" s="90">
        <f t="shared" si="27"/>
        <v>0</v>
      </c>
      <c r="M149" s="90">
        <f t="shared" si="28"/>
        <v>0</v>
      </c>
      <c r="N149" s="91">
        <f t="shared" si="29"/>
        <v>1</v>
      </c>
      <c r="P149" s="92">
        <f>SUMIFS($J$2:J148,$B$2:B148,B149,$C$2:C148,C149)</f>
        <v>0</v>
      </c>
      <c r="Q149" s="92">
        <f t="shared" si="30"/>
        <v>3000</v>
      </c>
      <c r="R149" s="93">
        <f t="shared" si="31"/>
        <v>300</v>
      </c>
    </row>
    <row r="150" spans="1:18" x14ac:dyDescent="0.3">
      <c r="A150" s="87" t="s">
        <v>5</v>
      </c>
      <c r="B150" s="87" t="s">
        <v>56</v>
      </c>
      <c r="C150" s="101">
        <v>46153</v>
      </c>
      <c r="D150" s="89">
        <v>3000</v>
      </c>
      <c r="E150" s="89">
        <v>698</v>
      </c>
      <c r="F150" s="89">
        <f t="shared" si="33"/>
        <v>0</v>
      </c>
      <c r="G150" s="89">
        <v>3000</v>
      </c>
      <c r="H150" s="90">
        <f t="shared" si="32"/>
        <v>0</v>
      </c>
      <c r="I150" s="90">
        <f t="shared" si="24"/>
        <v>698</v>
      </c>
      <c r="J150" s="90">
        <f t="shared" si="25"/>
        <v>698</v>
      </c>
      <c r="K150" s="90">
        <f t="shared" si="26"/>
        <v>0</v>
      </c>
      <c r="L150" s="90">
        <f t="shared" si="27"/>
        <v>0</v>
      </c>
      <c r="M150" s="90">
        <f t="shared" si="28"/>
        <v>0</v>
      </c>
      <c r="N150" s="91">
        <f t="shared" si="29"/>
        <v>1</v>
      </c>
      <c r="P150" s="92">
        <f>SUMIFS($J$2:J149,$B$2:B149,B150,$C$2:C149,C150)</f>
        <v>0</v>
      </c>
      <c r="Q150" s="92">
        <f t="shared" si="30"/>
        <v>3000</v>
      </c>
      <c r="R150" s="93">
        <f t="shared" si="31"/>
        <v>698</v>
      </c>
    </row>
    <row r="151" spans="1:18" x14ac:dyDescent="0.3">
      <c r="A151" s="87" t="s">
        <v>5</v>
      </c>
      <c r="B151" s="87" t="s">
        <v>56</v>
      </c>
      <c r="C151" s="101">
        <v>46160</v>
      </c>
      <c r="D151" s="89">
        <v>3000</v>
      </c>
      <c r="E151" s="89">
        <v>0</v>
      </c>
      <c r="F151" s="89">
        <f t="shared" si="33"/>
        <v>0</v>
      </c>
      <c r="G151" s="89">
        <v>3000</v>
      </c>
      <c r="H151" s="90">
        <f t="shared" si="32"/>
        <v>0</v>
      </c>
      <c r="I151" s="90">
        <f t="shared" si="24"/>
        <v>0</v>
      </c>
      <c r="J151" s="90">
        <f t="shared" si="25"/>
        <v>0</v>
      </c>
      <c r="K151" s="90">
        <f t="shared" si="26"/>
        <v>0</v>
      </c>
      <c r="L151" s="90">
        <f t="shared" si="27"/>
        <v>0</v>
      </c>
      <c r="M151" s="90">
        <f t="shared" si="28"/>
        <v>0</v>
      </c>
      <c r="N151" s="91">
        <f t="shared" si="29"/>
        <v>1</v>
      </c>
      <c r="P151" s="92">
        <f>SUMIFS($J$2:J150,$B$2:B150,B151,$C$2:C150,C151)</f>
        <v>0</v>
      </c>
      <c r="Q151" s="92">
        <f t="shared" si="30"/>
        <v>3000</v>
      </c>
      <c r="R151" s="93">
        <f t="shared" si="31"/>
        <v>0</v>
      </c>
    </row>
    <row r="152" spans="1:18" x14ac:dyDescent="0.3">
      <c r="A152" s="87" t="s">
        <v>5</v>
      </c>
      <c r="B152" s="87" t="s">
        <v>56</v>
      </c>
      <c r="C152" s="101">
        <v>46167</v>
      </c>
      <c r="D152" s="89">
        <v>3000</v>
      </c>
      <c r="E152" s="89">
        <v>300</v>
      </c>
      <c r="F152" s="89">
        <f t="shared" si="33"/>
        <v>0</v>
      </c>
      <c r="G152" s="89">
        <v>3000</v>
      </c>
      <c r="H152" s="90">
        <f t="shared" si="32"/>
        <v>0</v>
      </c>
      <c r="I152" s="90">
        <f t="shared" si="24"/>
        <v>300</v>
      </c>
      <c r="J152" s="90">
        <f t="shared" si="25"/>
        <v>300</v>
      </c>
      <c r="K152" s="90">
        <f t="shared" si="26"/>
        <v>0</v>
      </c>
      <c r="L152" s="90">
        <f t="shared" si="27"/>
        <v>0</v>
      </c>
      <c r="M152" s="90">
        <f t="shared" si="28"/>
        <v>0</v>
      </c>
      <c r="N152" s="91">
        <f t="shared" si="29"/>
        <v>1</v>
      </c>
      <c r="P152" s="92">
        <f>SUMIFS($J$2:J151,$B$2:B151,B152,$C$2:C151,C152)</f>
        <v>0</v>
      </c>
      <c r="Q152" s="92">
        <f t="shared" si="30"/>
        <v>3000</v>
      </c>
      <c r="R152" s="93">
        <f t="shared" si="31"/>
        <v>300</v>
      </c>
    </row>
    <row r="153" spans="1:18" x14ac:dyDescent="0.3">
      <c r="A153" s="87" t="s">
        <v>5</v>
      </c>
      <c r="B153" s="87" t="s">
        <v>56</v>
      </c>
      <c r="C153" s="101">
        <v>46174</v>
      </c>
      <c r="D153" s="89">
        <v>3000</v>
      </c>
      <c r="E153" s="89">
        <v>0</v>
      </c>
      <c r="F153" s="89">
        <f t="shared" si="33"/>
        <v>0</v>
      </c>
      <c r="G153" s="89">
        <v>3000</v>
      </c>
      <c r="H153" s="90">
        <f t="shared" si="32"/>
        <v>0</v>
      </c>
      <c r="I153" s="90">
        <f t="shared" si="24"/>
        <v>0</v>
      </c>
      <c r="J153" s="90">
        <f t="shared" si="25"/>
        <v>0</v>
      </c>
      <c r="K153" s="90">
        <f t="shared" si="26"/>
        <v>0</v>
      </c>
      <c r="L153" s="90">
        <f t="shared" si="27"/>
        <v>0</v>
      </c>
      <c r="M153" s="90">
        <f t="shared" si="28"/>
        <v>0</v>
      </c>
      <c r="N153" s="91">
        <f t="shared" si="29"/>
        <v>1</v>
      </c>
      <c r="P153" s="92">
        <f>SUMIFS($J$2:J152,$B$2:B152,B153,$C$2:C152,C153)</f>
        <v>0</v>
      </c>
      <c r="Q153" s="92">
        <f t="shared" si="30"/>
        <v>3000</v>
      </c>
      <c r="R153" s="93">
        <f t="shared" si="31"/>
        <v>0</v>
      </c>
    </row>
    <row r="154" spans="1:18" x14ac:dyDescent="0.3">
      <c r="A154" s="87" t="s">
        <v>5</v>
      </c>
      <c r="B154" s="87" t="s">
        <v>56</v>
      </c>
      <c r="C154" s="101">
        <v>46181</v>
      </c>
      <c r="D154" s="89">
        <v>3000</v>
      </c>
      <c r="E154" s="89">
        <v>0</v>
      </c>
      <c r="F154" s="89">
        <f t="shared" si="33"/>
        <v>0</v>
      </c>
      <c r="G154" s="89">
        <v>3000</v>
      </c>
      <c r="H154" s="90">
        <f t="shared" si="32"/>
        <v>0</v>
      </c>
      <c r="I154" s="90">
        <f t="shared" si="24"/>
        <v>0</v>
      </c>
      <c r="J154" s="90">
        <f t="shared" si="25"/>
        <v>0</v>
      </c>
      <c r="K154" s="90">
        <f t="shared" si="26"/>
        <v>0</v>
      </c>
      <c r="L154" s="90">
        <f t="shared" si="27"/>
        <v>0</v>
      </c>
      <c r="M154" s="90">
        <f t="shared" si="28"/>
        <v>0</v>
      </c>
      <c r="N154" s="91">
        <f t="shared" si="29"/>
        <v>1</v>
      </c>
      <c r="P154" s="92">
        <f>SUMIFS($J$2:J153,$B$2:B153,B154,$C$2:C153,C154)</f>
        <v>0</v>
      </c>
      <c r="Q154" s="92">
        <f t="shared" si="30"/>
        <v>3000</v>
      </c>
      <c r="R154" s="93">
        <f t="shared" si="31"/>
        <v>0</v>
      </c>
    </row>
    <row r="155" spans="1:18" x14ac:dyDescent="0.3">
      <c r="A155" s="87" t="s">
        <v>5</v>
      </c>
      <c r="B155" s="87" t="s">
        <v>56</v>
      </c>
      <c r="C155" s="101">
        <v>46188</v>
      </c>
      <c r="D155" s="89">
        <v>3000</v>
      </c>
      <c r="E155" s="89">
        <v>300</v>
      </c>
      <c r="F155" s="89">
        <f t="shared" si="33"/>
        <v>0</v>
      </c>
      <c r="G155" s="89">
        <v>3000</v>
      </c>
      <c r="H155" s="90">
        <f t="shared" si="32"/>
        <v>0</v>
      </c>
      <c r="I155" s="90">
        <f t="shared" si="24"/>
        <v>300</v>
      </c>
      <c r="J155" s="90">
        <f t="shared" si="25"/>
        <v>300</v>
      </c>
      <c r="K155" s="90">
        <f t="shared" si="26"/>
        <v>0</v>
      </c>
      <c r="L155" s="90">
        <f t="shared" si="27"/>
        <v>0</v>
      </c>
      <c r="M155" s="90">
        <f t="shared" si="28"/>
        <v>0</v>
      </c>
      <c r="N155" s="91">
        <f t="shared" si="29"/>
        <v>1</v>
      </c>
      <c r="P155" s="92">
        <f>SUMIFS($J$2:J154,$B$2:B154,B155,$C$2:C154,C155)</f>
        <v>0</v>
      </c>
      <c r="Q155" s="92">
        <f t="shared" si="30"/>
        <v>3000</v>
      </c>
      <c r="R155" s="93">
        <f t="shared" si="31"/>
        <v>300</v>
      </c>
    </row>
    <row r="156" spans="1:18" x14ac:dyDescent="0.3">
      <c r="A156" s="87" t="s">
        <v>5</v>
      </c>
      <c r="B156" s="87" t="s">
        <v>56</v>
      </c>
      <c r="C156" s="101">
        <v>46195</v>
      </c>
      <c r="D156" s="89">
        <v>3000</v>
      </c>
      <c r="E156" s="89">
        <v>0</v>
      </c>
      <c r="F156" s="89">
        <f t="shared" si="33"/>
        <v>0</v>
      </c>
      <c r="G156" s="89">
        <v>3000</v>
      </c>
      <c r="H156" s="90">
        <f t="shared" si="32"/>
        <v>0</v>
      </c>
      <c r="I156" s="90">
        <f t="shared" si="24"/>
        <v>0</v>
      </c>
      <c r="J156" s="90">
        <f t="shared" si="25"/>
        <v>0</v>
      </c>
      <c r="K156" s="90">
        <f t="shared" si="26"/>
        <v>0</v>
      </c>
      <c r="L156" s="90">
        <f t="shared" si="27"/>
        <v>0</v>
      </c>
      <c r="M156" s="90">
        <f t="shared" si="28"/>
        <v>0</v>
      </c>
      <c r="N156" s="91">
        <f t="shared" si="29"/>
        <v>1</v>
      </c>
      <c r="P156" s="92">
        <f>SUMIFS($J$2:J155,$B$2:B155,B156,$C$2:C155,C156)</f>
        <v>0</v>
      </c>
      <c r="Q156" s="92">
        <f t="shared" si="30"/>
        <v>3000</v>
      </c>
      <c r="R156" s="93">
        <f t="shared" si="31"/>
        <v>0</v>
      </c>
    </row>
    <row r="157" spans="1:18" x14ac:dyDescent="0.3">
      <c r="A157" s="87" t="s">
        <v>5</v>
      </c>
      <c r="B157" s="87" t="s">
        <v>56</v>
      </c>
      <c r="C157" s="101">
        <v>46202</v>
      </c>
      <c r="D157" s="89">
        <v>3000</v>
      </c>
      <c r="E157" s="89">
        <v>700</v>
      </c>
      <c r="F157" s="89">
        <f t="shared" si="33"/>
        <v>0</v>
      </c>
      <c r="G157" s="89">
        <v>3000</v>
      </c>
      <c r="H157" s="90">
        <f t="shared" si="32"/>
        <v>0</v>
      </c>
      <c r="I157" s="90">
        <f t="shared" si="24"/>
        <v>700</v>
      </c>
      <c r="J157" s="90">
        <f t="shared" si="25"/>
        <v>700</v>
      </c>
      <c r="K157" s="90">
        <f t="shared" si="26"/>
        <v>0</v>
      </c>
      <c r="L157" s="90">
        <f t="shared" si="27"/>
        <v>0</v>
      </c>
      <c r="M157" s="90">
        <f t="shared" si="28"/>
        <v>0</v>
      </c>
      <c r="N157" s="91">
        <f t="shared" si="29"/>
        <v>1</v>
      </c>
      <c r="P157" s="92">
        <f>SUMIFS($J$2:J156,$B$2:B156,B157,$C$2:C156,C157)</f>
        <v>0</v>
      </c>
      <c r="Q157" s="92">
        <f t="shared" si="30"/>
        <v>3000</v>
      </c>
      <c r="R157" s="93">
        <f t="shared" si="31"/>
        <v>700</v>
      </c>
    </row>
    <row r="158" spans="1:18" x14ac:dyDescent="0.3">
      <c r="A158" s="87" t="s">
        <v>5</v>
      </c>
      <c r="B158" s="87" t="s">
        <v>56</v>
      </c>
      <c r="C158" s="101">
        <v>46209</v>
      </c>
      <c r="D158" s="89">
        <v>3000</v>
      </c>
      <c r="E158" s="89">
        <v>300</v>
      </c>
      <c r="F158" s="89">
        <f t="shared" si="33"/>
        <v>0</v>
      </c>
      <c r="G158" s="89">
        <v>3000</v>
      </c>
      <c r="H158" s="90">
        <f t="shared" si="32"/>
        <v>0</v>
      </c>
      <c r="I158" s="90">
        <f t="shared" si="24"/>
        <v>300</v>
      </c>
      <c r="J158" s="90">
        <f t="shared" si="25"/>
        <v>300</v>
      </c>
      <c r="K158" s="90">
        <f t="shared" si="26"/>
        <v>0</v>
      </c>
      <c r="L158" s="90">
        <f t="shared" si="27"/>
        <v>0</v>
      </c>
      <c r="M158" s="90">
        <f t="shared" si="28"/>
        <v>0</v>
      </c>
      <c r="N158" s="91">
        <f t="shared" si="29"/>
        <v>1</v>
      </c>
      <c r="P158" s="92">
        <f>SUMIFS($J$2:J157,$B$2:B157,B158,$C$2:C157,C158)</f>
        <v>0</v>
      </c>
      <c r="Q158" s="92">
        <f t="shared" si="30"/>
        <v>3000</v>
      </c>
      <c r="R158" s="93">
        <f t="shared" si="31"/>
        <v>300</v>
      </c>
    </row>
    <row r="159" spans="1:18" x14ac:dyDescent="0.3">
      <c r="A159" s="87" t="s">
        <v>5</v>
      </c>
      <c r="B159" s="87" t="s">
        <v>56</v>
      </c>
      <c r="C159" s="101">
        <v>46216</v>
      </c>
      <c r="D159" s="89">
        <v>3000</v>
      </c>
      <c r="E159" s="89">
        <v>300</v>
      </c>
      <c r="F159" s="89">
        <f t="shared" si="33"/>
        <v>0</v>
      </c>
      <c r="G159" s="89">
        <v>3000</v>
      </c>
      <c r="H159" s="90">
        <f t="shared" si="32"/>
        <v>0</v>
      </c>
      <c r="I159" s="90">
        <f t="shared" si="24"/>
        <v>300</v>
      </c>
      <c r="J159" s="90">
        <f t="shared" si="25"/>
        <v>300</v>
      </c>
      <c r="K159" s="90">
        <f t="shared" si="26"/>
        <v>0</v>
      </c>
      <c r="L159" s="90">
        <f t="shared" si="27"/>
        <v>0</v>
      </c>
      <c r="M159" s="90">
        <f t="shared" si="28"/>
        <v>0</v>
      </c>
      <c r="N159" s="91">
        <f t="shared" si="29"/>
        <v>1</v>
      </c>
      <c r="P159" s="92">
        <f>SUMIFS($J$2:J158,$B$2:B158,B159,$C$2:C158,C159)</f>
        <v>0</v>
      </c>
      <c r="Q159" s="92">
        <f t="shared" si="30"/>
        <v>3000</v>
      </c>
      <c r="R159" s="93">
        <f t="shared" si="31"/>
        <v>300</v>
      </c>
    </row>
    <row r="160" spans="1:18" x14ac:dyDescent="0.3">
      <c r="A160" s="87" t="s">
        <v>5</v>
      </c>
      <c r="B160" s="87" t="s">
        <v>56</v>
      </c>
      <c r="C160" s="101">
        <v>46223</v>
      </c>
      <c r="D160" s="89">
        <v>3000</v>
      </c>
      <c r="E160" s="89">
        <v>300</v>
      </c>
      <c r="F160" s="89">
        <f t="shared" si="33"/>
        <v>0</v>
      </c>
      <c r="G160" s="89">
        <v>3000</v>
      </c>
      <c r="H160" s="90">
        <f t="shared" si="32"/>
        <v>0</v>
      </c>
      <c r="I160" s="90">
        <f t="shared" si="24"/>
        <v>300</v>
      </c>
      <c r="J160" s="90">
        <f t="shared" si="25"/>
        <v>300</v>
      </c>
      <c r="K160" s="90">
        <f t="shared" si="26"/>
        <v>0</v>
      </c>
      <c r="L160" s="90">
        <f t="shared" si="27"/>
        <v>0</v>
      </c>
      <c r="M160" s="90">
        <f t="shared" si="28"/>
        <v>0</v>
      </c>
      <c r="N160" s="91">
        <f t="shared" si="29"/>
        <v>1</v>
      </c>
      <c r="P160" s="92">
        <f>SUMIFS($J$2:J159,$B$2:B159,B160,$C$2:C159,C160)</f>
        <v>0</v>
      </c>
      <c r="Q160" s="92">
        <f t="shared" si="30"/>
        <v>3000</v>
      </c>
      <c r="R160" s="93">
        <f t="shared" si="31"/>
        <v>300</v>
      </c>
    </row>
    <row r="161" spans="1:18" x14ac:dyDescent="0.3">
      <c r="A161" s="87" t="s">
        <v>5</v>
      </c>
      <c r="B161" s="87" t="s">
        <v>56</v>
      </c>
      <c r="C161" s="101">
        <v>46230</v>
      </c>
      <c r="D161" s="89">
        <v>3000</v>
      </c>
      <c r="E161" s="89">
        <v>0</v>
      </c>
      <c r="F161" s="89">
        <f t="shared" si="33"/>
        <v>0</v>
      </c>
      <c r="G161" s="89">
        <v>3000</v>
      </c>
      <c r="H161" s="90">
        <f t="shared" si="32"/>
        <v>0</v>
      </c>
      <c r="I161" s="90">
        <f t="shared" si="24"/>
        <v>0</v>
      </c>
      <c r="J161" s="90">
        <f t="shared" si="25"/>
        <v>0</v>
      </c>
      <c r="K161" s="90">
        <f t="shared" si="26"/>
        <v>0</v>
      </c>
      <c r="L161" s="90">
        <f t="shared" si="27"/>
        <v>0</v>
      </c>
      <c r="M161" s="90">
        <f t="shared" si="28"/>
        <v>0</v>
      </c>
      <c r="N161" s="91">
        <f t="shared" si="29"/>
        <v>0.15866666666666668</v>
      </c>
      <c r="P161" s="92">
        <f>SUMIFS($J$2:J160,$B$2:B160,B161,$C$2:C160,C161)</f>
        <v>0</v>
      </c>
      <c r="Q161" s="92">
        <f t="shared" si="30"/>
        <v>3000</v>
      </c>
      <c r="R161" s="93">
        <f t="shared" si="31"/>
        <v>0</v>
      </c>
    </row>
    <row r="162" spans="1:18" x14ac:dyDescent="0.3">
      <c r="A162" s="87" t="s">
        <v>5</v>
      </c>
      <c r="B162" s="87" t="s">
        <v>56</v>
      </c>
      <c r="C162" s="101">
        <v>46237</v>
      </c>
      <c r="D162" s="89">
        <v>3000</v>
      </c>
      <c r="E162" s="89">
        <v>0</v>
      </c>
      <c r="F162" s="89">
        <f t="shared" si="33"/>
        <v>0</v>
      </c>
      <c r="G162" s="89">
        <v>3000</v>
      </c>
      <c r="H162" s="90">
        <f t="shared" si="32"/>
        <v>0</v>
      </c>
      <c r="I162" s="90">
        <f t="shared" si="24"/>
        <v>0</v>
      </c>
      <c r="J162" s="90">
        <f t="shared" si="25"/>
        <v>0</v>
      </c>
      <c r="K162" s="90">
        <f t="shared" si="26"/>
        <v>0</v>
      </c>
      <c r="L162" s="90">
        <f t="shared" si="27"/>
        <v>0</v>
      </c>
      <c r="M162" s="90">
        <f t="shared" si="28"/>
        <v>0</v>
      </c>
      <c r="N162" s="91">
        <f t="shared" si="29"/>
        <v>0.43266666666666664</v>
      </c>
      <c r="P162" s="92">
        <f>SUMIFS($J$2:J161,$B$2:B161,B162,$C$2:C161,C162)</f>
        <v>0</v>
      </c>
      <c r="Q162" s="92">
        <f t="shared" si="30"/>
        <v>3000</v>
      </c>
      <c r="R162" s="93">
        <f t="shared" si="31"/>
        <v>0</v>
      </c>
    </row>
    <row r="163" spans="1:18" x14ac:dyDescent="0.3">
      <c r="A163" s="87" t="s">
        <v>5</v>
      </c>
      <c r="B163" s="87" t="s">
        <v>56</v>
      </c>
      <c r="C163" s="101">
        <v>46244</v>
      </c>
      <c r="D163" s="89">
        <v>3000</v>
      </c>
      <c r="E163" s="89">
        <v>300</v>
      </c>
      <c r="F163" s="89">
        <f t="shared" si="33"/>
        <v>0</v>
      </c>
      <c r="G163" s="89">
        <v>3000</v>
      </c>
      <c r="H163" s="90">
        <f t="shared" si="32"/>
        <v>0</v>
      </c>
      <c r="I163" s="90">
        <f t="shared" si="24"/>
        <v>300</v>
      </c>
      <c r="J163" s="90">
        <f t="shared" si="25"/>
        <v>300</v>
      </c>
      <c r="K163" s="90">
        <f t="shared" si="26"/>
        <v>0</v>
      </c>
      <c r="L163" s="90">
        <f t="shared" si="27"/>
        <v>0</v>
      </c>
      <c r="M163" s="90">
        <f t="shared" si="28"/>
        <v>0</v>
      </c>
      <c r="N163" s="91">
        <f t="shared" si="29"/>
        <v>0.53333333333333333</v>
      </c>
      <c r="P163" s="92">
        <f>SUMIFS($J$2:J162,$B$2:B162,B163,$C$2:C162,C163)</f>
        <v>0</v>
      </c>
      <c r="Q163" s="92">
        <f t="shared" si="30"/>
        <v>3000</v>
      </c>
      <c r="R163" s="93">
        <f t="shared" si="31"/>
        <v>300</v>
      </c>
    </row>
    <row r="164" spans="1:18" x14ac:dyDescent="0.3">
      <c r="A164" s="87" t="s">
        <v>5</v>
      </c>
      <c r="B164" s="87" t="s">
        <v>56</v>
      </c>
      <c r="C164" s="101">
        <v>46251</v>
      </c>
      <c r="D164" s="89">
        <v>3000</v>
      </c>
      <c r="E164" s="89">
        <v>0</v>
      </c>
      <c r="F164" s="89">
        <f t="shared" si="33"/>
        <v>0</v>
      </c>
      <c r="G164" s="89">
        <v>3000</v>
      </c>
      <c r="H164" s="90">
        <f t="shared" si="32"/>
        <v>0</v>
      </c>
      <c r="I164" s="90">
        <f t="shared" si="24"/>
        <v>0</v>
      </c>
      <c r="J164" s="90">
        <f t="shared" si="25"/>
        <v>0</v>
      </c>
      <c r="K164" s="90">
        <f t="shared" si="26"/>
        <v>0</v>
      </c>
      <c r="L164" s="90">
        <f t="shared" si="27"/>
        <v>0</v>
      </c>
      <c r="M164" s="90">
        <f t="shared" si="28"/>
        <v>0</v>
      </c>
      <c r="N164" s="91">
        <f t="shared" si="29"/>
        <v>0.43266666666666664</v>
      </c>
      <c r="P164" s="92">
        <f>SUMIFS($J$2:J163,$B$2:B163,B164,$C$2:C163,C164)</f>
        <v>0</v>
      </c>
      <c r="Q164" s="92">
        <f t="shared" si="30"/>
        <v>3000</v>
      </c>
      <c r="R164" s="93">
        <f t="shared" si="31"/>
        <v>0</v>
      </c>
    </row>
    <row r="165" spans="1:18" x14ac:dyDescent="0.3">
      <c r="A165" s="87" t="s">
        <v>5</v>
      </c>
      <c r="B165" s="87" t="s">
        <v>56</v>
      </c>
      <c r="C165" s="101">
        <v>46258</v>
      </c>
      <c r="D165" s="89">
        <v>3000</v>
      </c>
      <c r="E165" s="89">
        <v>0</v>
      </c>
      <c r="F165" s="89">
        <f t="shared" si="33"/>
        <v>0</v>
      </c>
      <c r="G165" s="89">
        <v>3000</v>
      </c>
      <c r="H165" s="90">
        <f t="shared" si="32"/>
        <v>0</v>
      </c>
      <c r="I165" s="90">
        <f t="shared" si="24"/>
        <v>0</v>
      </c>
      <c r="J165" s="90">
        <f t="shared" si="25"/>
        <v>0</v>
      </c>
      <c r="K165" s="90">
        <f t="shared" si="26"/>
        <v>0</v>
      </c>
      <c r="L165" s="90">
        <f t="shared" si="27"/>
        <v>0</v>
      </c>
      <c r="M165" s="90">
        <f t="shared" si="28"/>
        <v>0</v>
      </c>
      <c r="N165" s="91">
        <f t="shared" si="29"/>
        <v>0.502</v>
      </c>
      <c r="P165" s="92">
        <f>SUMIFS($J$2:J164,$B$2:B164,B165,$C$2:C164,C165)</f>
        <v>0</v>
      </c>
      <c r="Q165" s="92">
        <f t="shared" si="30"/>
        <v>3000</v>
      </c>
      <c r="R165" s="93">
        <f t="shared" si="31"/>
        <v>0</v>
      </c>
    </row>
    <row r="166" spans="1:18" x14ac:dyDescent="0.3">
      <c r="A166" s="87" t="s">
        <v>5</v>
      </c>
      <c r="B166" s="87" t="s">
        <v>56</v>
      </c>
      <c r="C166" s="101">
        <v>46265</v>
      </c>
      <c r="D166" s="89">
        <v>3000</v>
      </c>
      <c r="E166" s="89">
        <v>300</v>
      </c>
      <c r="F166" s="89">
        <f t="shared" si="33"/>
        <v>0</v>
      </c>
      <c r="G166" s="89">
        <v>3000</v>
      </c>
      <c r="H166" s="90">
        <f t="shared" si="32"/>
        <v>0</v>
      </c>
      <c r="I166" s="90">
        <f t="shared" si="24"/>
        <v>300</v>
      </c>
      <c r="J166" s="90">
        <f t="shared" si="25"/>
        <v>300</v>
      </c>
      <c r="K166" s="90">
        <f t="shared" si="26"/>
        <v>0</v>
      </c>
      <c r="L166" s="90">
        <f t="shared" si="27"/>
        <v>0</v>
      </c>
      <c r="M166" s="90">
        <f t="shared" si="28"/>
        <v>0</v>
      </c>
      <c r="N166" s="91">
        <f t="shared" si="29"/>
        <v>0.60199999999999998</v>
      </c>
      <c r="P166" s="92">
        <f>SUMIFS($J$2:J165,$B$2:B165,B166,$C$2:C165,C166)</f>
        <v>0</v>
      </c>
      <c r="Q166" s="92">
        <f t="shared" si="30"/>
        <v>3000</v>
      </c>
      <c r="R166" s="93">
        <f t="shared" si="31"/>
        <v>300</v>
      </c>
    </row>
    <row r="167" spans="1:18" x14ac:dyDescent="0.3">
      <c r="A167" s="87" t="s">
        <v>5</v>
      </c>
      <c r="B167" s="87" t="s">
        <v>56</v>
      </c>
      <c r="C167" s="101">
        <v>46272</v>
      </c>
      <c r="D167" s="89">
        <v>3000</v>
      </c>
      <c r="E167" s="89">
        <v>0</v>
      </c>
      <c r="F167" s="89">
        <f t="shared" si="33"/>
        <v>0</v>
      </c>
      <c r="G167" s="89">
        <v>3000</v>
      </c>
      <c r="H167" s="90">
        <f t="shared" si="32"/>
        <v>0</v>
      </c>
      <c r="I167" s="90">
        <f t="shared" si="24"/>
        <v>0</v>
      </c>
      <c r="J167" s="90">
        <f t="shared" si="25"/>
        <v>0</v>
      </c>
      <c r="K167" s="90">
        <f t="shared" si="26"/>
        <v>0</v>
      </c>
      <c r="L167" s="90">
        <f t="shared" si="27"/>
        <v>0</v>
      </c>
      <c r="M167" s="90">
        <f t="shared" si="28"/>
        <v>0</v>
      </c>
      <c r="N167" s="91">
        <f t="shared" si="29"/>
        <v>0.502</v>
      </c>
      <c r="P167" s="92">
        <f>SUMIFS($J$2:J166,$B$2:B166,B167,$C$2:C166,C167)</f>
        <v>0</v>
      </c>
      <c r="Q167" s="92">
        <f t="shared" si="30"/>
        <v>3000</v>
      </c>
      <c r="R167" s="93">
        <f t="shared" si="31"/>
        <v>0</v>
      </c>
    </row>
    <row r="168" spans="1:18" x14ac:dyDescent="0.3">
      <c r="A168" s="87" t="s">
        <v>5</v>
      </c>
      <c r="B168" s="87" t="s">
        <v>56</v>
      </c>
      <c r="C168" s="101">
        <v>46279</v>
      </c>
      <c r="D168" s="89">
        <v>3000</v>
      </c>
      <c r="E168" s="89">
        <v>0</v>
      </c>
      <c r="F168" s="89">
        <f t="shared" si="33"/>
        <v>0</v>
      </c>
      <c r="G168" s="89">
        <v>3000</v>
      </c>
      <c r="H168" s="90">
        <f t="shared" si="32"/>
        <v>0</v>
      </c>
      <c r="I168" s="90">
        <f t="shared" si="24"/>
        <v>0</v>
      </c>
      <c r="J168" s="90">
        <f t="shared" si="25"/>
        <v>0</v>
      </c>
      <c r="K168" s="90">
        <f t="shared" si="26"/>
        <v>0</v>
      </c>
      <c r="L168" s="90">
        <f t="shared" si="27"/>
        <v>0</v>
      </c>
      <c r="M168" s="90">
        <f t="shared" si="28"/>
        <v>0</v>
      </c>
      <c r="N168" s="91">
        <f t="shared" si="29"/>
        <v>0.502</v>
      </c>
      <c r="P168" s="92">
        <f>SUMIFS($J$2:J167,$B$2:B167,B168,$C$2:C167,C168)</f>
        <v>0</v>
      </c>
      <c r="Q168" s="92">
        <f t="shared" si="30"/>
        <v>3000</v>
      </c>
      <c r="R168" s="93">
        <f t="shared" si="31"/>
        <v>0</v>
      </c>
    </row>
    <row r="169" spans="1:18" x14ac:dyDescent="0.3">
      <c r="A169" s="87" t="s">
        <v>5</v>
      </c>
      <c r="B169" s="87" t="s">
        <v>56</v>
      </c>
      <c r="C169" s="101">
        <v>46286</v>
      </c>
      <c r="D169" s="89">
        <v>3000</v>
      </c>
      <c r="E169" s="89">
        <v>0</v>
      </c>
      <c r="F169" s="89">
        <f t="shared" si="33"/>
        <v>0</v>
      </c>
      <c r="G169" s="89">
        <v>3000</v>
      </c>
      <c r="H169" s="90">
        <f t="shared" si="32"/>
        <v>0</v>
      </c>
      <c r="I169" s="90">
        <f t="shared" si="24"/>
        <v>0</v>
      </c>
      <c r="J169" s="90">
        <f t="shared" si="25"/>
        <v>0</v>
      </c>
      <c r="K169" s="90">
        <f t="shared" si="26"/>
        <v>0</v>
      </c>
      <c r="L169" s="90">
        <f t="shared" si="27"/>
        <v>0</v>
      </c>
      <c r="M169" s="90">
        <f t="shared" si="28"/>
        <v>0</v>
      </c>
      <c r="N169" s="91">
        <f t="shared" si="29"/>
        <v>0.48199999999999998</v>
      </c>
      <c r="P169" s="92">
        <f>SUMIFS($J$2:J168,$B$2:B168,B169,$C$2:C168,C169)</f>
        <v>0</v>
      </c>
      <c r="Q169" s="92">
        <f t="shared" si="30"/>
        <v>3000</v>
      </c>
      <c r="R169" s="93">
        <f t="shared" si="31"/>
        <v>0</v>
      </c>
    </row>
    <row r="170" spans="1:18" x14ac:dyDescent="0.3">
      <c r="A170" s="87" t="s">
        <v>5</v>
      </c>
      <c r="B170" s="87" t="s">
        <v>56</v>
      </c>
      <c r="C170" s="101">
        <v>46293</v>
      </c>
      <c r="D170" s="89">
        <v>3000</v>
      </c>
      <c r="E170" s="89">
        <v>300</v>
      </c>
      <c r="F170" s="89">
        <f t="shared" si="33"/>
        <v>0</v>
      </c>
      <c r="G170" s="89">
        <v>3000</v>
      </c>
      <c r="H170" s="90">
        <f t="shared" si="32"/>
        <v>0</v>
      </c>
      <c r="I170" s="90">
        <f t="shared" si="24"/>
        <v>300</v>
      </c>
      <c r="J170" s="90">
        <f t="shared" si="25"/>
        <v>300</v>
      </c>
      <c r="K170" s="90">
        <f t="shared" si="26"/>
        <v>0</v>
      </c>
      <c r="L170" s="90">
        <f t="shared" si="27"/>
        <v>0</v>
      </c>
      <c r="M170" s="90">
        <f t="shared" si="28"/>
        <v>0</v>
      </c>
      <c r="N170" s="91">
        <f t="shared" si="29"/>
        <v>0.1</v>
      </c>
      <c r="P170" s="92">
        <f>SUMIFS($J$2:J169,$B$2:B169,B170,$C$2:C169,C170)</f>
        <v>0</v>
      </c>
      <c r="Q170" s="92">
        <f t="shared" si="30"/>
        <v>3000</v>
      </c>
      <c r="R170" s="93">
        <f t="shared" si="31"/>
        <v>300</v>
      </c>
    </row>
    <row r="171" spans="1:18" x14ac:dyDescent="0.3">
      <c r="A171" s="87" t="s">
        <v>5</v>
      </c>
      <c r="B171" s="87" t="s">
        <v>56</v>
      </c>
      <c r="C171" s="101">
        <v>46300</v>
      </c>
      <c r="D171" s="89">
        <v>3000</v>
      </c>
      <c r="E171" s="89">
        <v>0</v>
      </c>
      <c r="F171" s="89">
        <f t="shared" si="33"/>
        <v>0</v>
      </c>
      <c r="G171" s="89">
        <v>3000</v>
      </c>
      <c r="H171" s="90">
        <f t="shared" si="32"/>
        <v>0</v>
      </c>
      <c r="I171" s="90">
        <f t="shared" si="24"/>
        <v>0</v>
      </c>
      <c r="J171" s="90">
        <f t="shared" si="25"/>
        <v>0</v>
      </c>
      <c r="K171" s="90">
        <f t="shared" si="26"/>
        <v>0</v>
      </c>
      <c r="L171" s="90">
        <f t="shared" si="27"/>
        <v>0</v>
      </c>
      <c r="M171" s="90">
        <f t="shared" si="28"/>
        <v>0</v>
      </c>
      <c r="N171" s="91">
        <f t="shared" si="29"/>
        <v>0</v>
      </c>
      <c r="P171" s="92">
        <f>SUMIFS($J$2:J170,$B$2:B170,B171,$C$2:C170,C171)</f>
        <v>0</v>
      </c>
      <c r="Q171" s="92">
        <f t="shared" si="30"/>
        <v>3000</v>
      </c>
      <c r="R171" s="93">
        <f t="shared" si="31"/>
        <v>0</v>
      </c>
    </row>
    <row r="172" spans="1:18" x14ac:dyDescent="0.3">
      <c r="A172" s="87" t="s">
        <v>5</v>
      </c>
      <c r="B172" s="87" t="s">
        <v>56</v>
      </c>
      <c r="C172" s="101">
        <v>46307</v>
      </c>
      <c r="D172" s="89">
        <v>3000</v>
      </c>
      <c r="E172" s="89">
        <v>0</v>
      </c>
      <c r="F172" s="89">
        <f t="shared" si="33"/>
        <v>0</v>
      </c>
      <c r="G172" s="89">
        <v>3000</v>
      </c>
      <c r="H172" s="90">
        <f t="shared" si="32"/>
        <v>0</v>
      </c>
      <c r="I172" s="90">
        <f t="shared" si="24"/>
        <v>0</v>
      </c>
      <c r="J172" s="90">
        <f t="shared" si="25"/>
        <v>0</v>
      </c>
      <c r="K172" s="90">
        <f t="shared" si="26"/>
        <v>0</v>
      </c>
      <c r="L172" s="90">
        <f t="shared" si="27"/>
        <v>0</v>
      </c>
      <c r="M172" s="90">
        <f t="shared" si="28"/>
        <v>0</v>
      </c>
      <c r="N172" s="91">
        <f t="shared" si="29"/>
        <v>0.48266666666666669</v>
      </c>
      <c r="P172" s="92">
        <f>SUMIFS($J$2:J171,$B$2:B171,B172,$C$2:C171,C172)</f>
        <v>0</v>
      </c>
      <c r="Q172" s="92">
        <f t="shared" si="30"/>
        <v>3000</v>
      </c>
      <c r="R172" s="93">
        <f t="shared" si="31"/>
        <v>0</v>
      </c>
    </row>
    <row r="173" spans="1:18" x14ac:dyDescent="0.3">
      <c r="A173" s="87" t="s">
        <v>5</v>
      </c>
      <c r="B173" s="87" t="s">
        <v>56</v>
      </c>
      <c r="C173" s="101">
        <v>46314</v>
      </c>
      <c r="D173" s="89">
        <v>3000</v>
      </c>
      <c r="E173" s="89">
        <v>0</v>
      </c>
      <c r="F173" s="89">
        <f t="shared" si="33"/>
        <v>0</v>
      </c>
      <c r="G173" s="89">
        <v>3000</v>
      </c>
      <c r="H173" s="90">
        <f t="shared" si="32"/>
        <v>0</v>
      </c>
      <c r="I173" s="90">
        <f t="shared" si="24"/>
        <v>0</v>
      </c>
      <c r="J173" s="90">
        <f t="shared" si="25"/>
        <v>0</v>
      </c>
      <c r="K173" s="90">
        <f t="shared" si="26"/>
        <v>0</v>
      </c>
      <c r="L173" s="90">
        <f t="shared" si="27"/>
        <v>0</v>
      </c>
      <c r="M173" s="90">
        <f t="shared" si="28"/>
        <v>0</v>
      </c>
      <c r="N173" s="91">
        <f t="shared" si="29"/>
        <v>0.48266666666666669</v>
      </c>
      <c r="P173" s="92">
        <f>SUMIFS($J$2:J172,$B$2:B172,B173,$C$2:C172,C173)</f>
        <v>0</v>
      </c>
      <c r="Q173" s="92">
        <f t="shared" si="30"/>
        <v>3000</v>
      </c>
      <c r="R173" s="93">
        <f t="shared" si="31"/>
        <v>0</v>
      </c>
    </row>
    <row r="174" spans="1:18" x14ac:dyDescent="0.3">
      <c r="A174" s="87" t="s">
        <v>5</v>
      </c>
      <c r="B174" s="87" t="s">
        <v>56</v>
      </c>
      <c r="C174" s="101">
        <v>46321</v>
      </c>
      <c r="D174" s="89">
        <v>3000</v>
      </c>
      <c r="E174" s="89">
        <v>0</v>
      </c>
      <c r="F174" s="89">
        <f t="shared" si="33"/>
        <v>0</v>
      </c>
      <c r="G174" s="89">
        <v>3000</v>
      </c>
      <c r="H174" s="90">
        <f t="shared" si="32"/>
        <v>0</v>
      </c>
      <c r="I174" s="90">
        <f t="shared" si="24"/>
        <v>0</v>
      </c>
      <c r="J174" s="90">
        <f t="shared" si="25"/>
        <v>0</v>
      </c>
      <c r="K174" s="90">
        <f t="shared" si="26"/>
        <v>0</v>
      </c>
      <c r="L174" s="90">
        <f t="shared" si="27"/>
        <v>0</v>
      </c>
      <c r="M174" s="90">
        <f t="shared" si="28"/>
        <v>0</v>
      </c>
      <c r="N174" s="91">
        <f t="shared" si="29"/>
        <v>0.48266666666666669</v>
      </c>
      <c r="P174" s="92">
        <f>SUMIFS($J$2:J173,$B$2:B173,B174,$C$2:C173,C174)</f>
        <v>0</v>
      </c>
      <c r="Q174" s="92">
        <f t="shared" si="30"/>
        <v>3000</v>
      </c>
      <c r="R174" s="93">
        <f t="shared" si="31"/>
        <v>0</v>
      </c>
    </row>
    <row r="175" spans="1:18" x14ac:dyDescent="0.3">
      <c r="A175" s="87" t="s">
        <v>5</v>
      </c>
      <c r="B175" s="87" t="s">
        <v>56</v>
      </c>
      <c r="C175" s="101">
        <v>46328</v>
      </c>
      <c r="D175" s="89">
        <v>3000</v>
      </c>
      <c r="E175" s="89">
        <v>300</v>
      </c>
      <c r="F175" s="89">
        <f t="shared" si="33"/>
        <v>0</v>
      </c>
      <c r="G175" s="89">
        <v>3000</v>
      </c>
      <c r="H175" s="90">
        <f t="shared" si="32"/>
        <v>0</v>
      </c>
      <c r="I175" s="90">
        <f t="shared" si="24"/>
        <v>300</v>
      </c>
      <c r="J175" s="90">
        <f t="shared" si="25"/>
        <v>300</v>
      </c>
      <c r="K175" s="90">
        <f t="shared" si="26"/>
        <v>0</v>
      </c>
      <c r="L175" s="90">
        <f t="shared" si="27"/>
        <v>0</v>
      </c>
      <c r="M175" s="90">
        <f t="shared" si="28"/>
        <v>0</v>
      </c>
      <c r="N175" s="91">
        <f t="shared" si="29"/>
        <v>0.68466666666666665</v>
      </c>
      <c r="P175" s="92">
        <f>SUMIFS($J$2:J174,$B$2:B174,B175,$C$2:C174,C175)</f>
        <v>0</v>
      </c>
      <c r="Q175" s="92">
        <f t="shared" si="30"/>
        <v>3000</v>
      </c>
      <c r="R175" s="93">
        <f t="shared" si="31"/>
        <v>300</v>
      </c>
    </row>
    <row r="176" spans="1:18" x14ac:dyDescent="0.3">
      <c r="A176" s="87" t="s">
        <v>5</v>
      </c>
      <c r="B176" s="87" t="s">
        <v>56</v>
      </c>
      <c r="C176" s="101">
        <v>46335</v>
      </c>
      <c r="D176" s="89">
        <v>3000</v>
      </c>
      <c r="E176" s="89">
        <v>0</v>
      </c>
      <c r="F176" s="89">
        <f t="shared" si="33"/>
        <v>0</v>
      </c>
      <c r="G176" s="89">
        <v>3000</v>
      </c>
      <c r="H176" s="90">
        <f t="shared" si="32"/>
        <v>0</v>
      </c>
      <c r="I176" s="90">
        <f t="shared" si="24"/>
        <v>0</v>
      </c>
      <c r="J176" s="90">
        <f t="shared" si="25"/>
        <v>0</v>
      </c>
      <c r="K176" s="90">
        <f t="shared" si="26"/>
        <v>0</v>
      </c>
      <c r="L176" s="90">
        <f t="shared" si="27"/>
        <v>0</v>
      </c>
      <c r="M176" s="90">
        <f t="shared" si="28"/>
        <v>0</v>
      </c>
      <c r="N176" s="91">
        <f t="shared" si="29"/>
        <v>0.58533333333333337</v>
      </c>
      <c r="P176" s="92">
        <f>SUMIFS($J$2:J175,$B$2:B175,B176,$C$2:C175,C176)</f>
        <v>0</v>
      </c>
      <c r="Q176" s="92">
        <f t="shared" si="30"/>
        <v>3000</v>
      </c>
      <c r="R176" s="93">
        <f t="shared" si="31"/>
        <v>0</v>
      </c>
    </row>
    <row r="177" spans="1:18" x14ac:dyDescent="0.3">
      <c r="A177" s="87" t="s">
        <v>5</v>
      </c>
      <c r="B177" s="87" t="s">
        <v>56</v>
      </c>
      <c r="C177" s="101">
        <v>46342</v>
      </c>
      <c r="D177" s="89">
        <v>3000</v>
      </c>
      <c r="E177" s="89">
        <v>0</v>
      </c>
      <c r="F177" s="89">
        <f t="shared" si="33"/>
        <v>0</v>
      </c>
      <c r="G177" s="89">
        <v>3000</v>
      </c>
      <c r="H177" s="90">
        <f t="shared" si="32"/>
        <v>0</v>
      </c>
      <c r="I177" s="90">
        <f t="shared" si="24"/>
        <v>0</v>
      </c>
      <c r="J177" s="90">
        <f t="shared" si="25"/>
        <v>0</v>
      </c>
      <c r="K177" s="90">
        <f t="shared" si="26"/>
        <v>0</v>
      </c>
      <c r="L177" s="90">
        <f t="shared" si="27"/>
        <v>0</v>
      </c>
      <c r="M177" s="90">
        <f t="shared" si="28"/>
        <v>0</v>
      </c>
      <c r="N177" s="91">
        <f t="shared" si="29"/>
        <v>0.58533333333333337</v>
      </c>
      <c r="P177" s="92">
        <f>SUMIFS($J$2:J176,$B$2:B176,B177,$C$2:C176,C177)</f>
        <v>0</v>
      </c>
      <c r="Q177" s="92">
        <f t="shared" si="30"/>
        <v>3000</v>
      </c>
      <c r="R177" s="93">
        <f t="shared" si="31"/>
        <v>0</v>
      </c>
    </row>
    <row r="178" spans="1:18" x14ac:dyDescent="0.3">
      <c r="A178" s="87" t="s">
        <v>5</v>
      </c>
      <c r="B178" s="87" t="s">
        <v>56</v>
      </c>
      <c r="C178" s="101">
        <v>46349</v>
      </c>
      <c r="D178" s="89">
        <v>3000</v>
      </c>
      <c r="E178" s="89">
        <v>0</v>
      </c>
      <c r="F178" s="89">
        <f t="shared" si="33"/>
        <v>0</v>
      </c>
      <c r="G178" s="89">
        <v>3000</v>
      </c>
      <c r="H178" s="90">
        <f t="shared" si="32"/>
        <v>0</v>
      </c>
      <c r="I178" s="90">
        <f t="shared" si="24"/>
        <v>0</v>
      </c>
      <c r="J178" s="90">
        <f t="shared" si="25"/>
        <v>0</v>
      </c>
      <c r="K178" s="90">
        <f t="shared" si="26"/>
        <v>0</v>
      </c>
      <c r="L178" s="90">
        <f t="shared" si="27"/>
        <v>0</v>
      </c>
      <c r="M178" s="90">
        <f t="shared" si="28"/>
        <v>0</v>
      </c>
      <c r="N178" s="91">
        <f t="shared" si="29"/>
        <v>0.58533333333333337</v>
      </c>
      <c r="P178" s="92">
        <f>SUMIFS($J$2:J177,$B$2:B177,B178,$C$2:C177,C178)</f>
        <v>0</v>
      </c>
      <c r="Q178" s="92">
        <f t="shared" si="30"/>
        <v>3000</v>
      </c>
      <c r="R178" s="93">
        <f t="shared" si="31"/>
        <v>0</v>
      </c>
    </row>
    <row r="179" spans="1:18" x14ac:dyDescent="0.3">
      <c r="A179" s="87" t="s">
        <v>5</v>
      </c>
      <c r="B179" s="87" t="s">
        <v>56</v>
      </c>
      <c r="C179" s="101">
        <v>46356</v>
      </c>
      <c r="D179" s="89">
        <v>3000</v>
      </c>
      <c r="E179" s="89">
        <v>300</v>
      </c>
      <c r="F179" s="89">
        <f t="shared" si="33"/>
        <v>0</v>
      </c>
      <c r="G179" s="89">
        <v>3000</v>
      </c>
      <c r="H179" s="90">
        <f t="shared" si="32"/>
        <v>0</v>
      </c>
      <c r="I179" s="90">
        <f t="shared" si="24"/>
        <v>300</v>
      </c>
      <c r="J179" s="90">
        <f t="shared" si="25"/>
        <v>300</v>
      </c>
      <c r="K179" s="90">
        <f t="shared" si="26"/>
        <v>0</v>
      </c>
      <c r="L179" s="90">
        <f t="shared" si="27"/>
        <v>0</v>
      </c>
      <c r="M179" s="90">
        <f t="shared" si="28"/>
        <v>0</v>
      </c>
      <c r="N179" s="91">
        <f t="shared" si="29"/>
        <v>0.7426666666666667</v>
      </c>
      <c r="P179" s="92">
        <f>SUMIFS($J$2:J178,$B$2:B178,B179,$C$2:C178,C179)</f>
        <v>0</v>
      </c>
      <c r="Q179" s="92">
        <f t="shared" si="30"/>
        <v>3000</v>
      </c>
      <c r="R179" s="93">
        <f t="shared" si="31"/>
        <v>300</v>
      </c>
    </row>
    <row r="180" spans="1:18" x14ac:dyDescent="0.3">
      <c r="A180" s="87" t="s">
        <v>5</v>
      </c>
      <c r="B180" s="87" t="s">
        <v>56</v>
      </c>
      <c r="C180" s="101">
        <v>46363</v>
      </c>
      <c r="D180" s="89">
        <v>3000</v>
      </c>
      <c r="E180" s="89">
        <v>0</v>
      </c>
      <c r="F180" s="89">
        <f t="shared" si="33"/>
        <v>0</v>
      </c>
      <c r="G180" s="89">
        <v>3000</v>
      </c>
      <c r="H180" s="90">
        <f t="shared" si="32"/>
        <v>0</v>
      </c>
      <c r="I180" s="90">
        <f t="shared" si="24"/>
        <v>0</v>
      </c>
      <c r="J180" s="90">
        <f t="shared" si="25"/>
        <v>0</v>
      </c>
      <c r="K180" s="90">
        <f t="shared" si="26"/>
        <v>0</v>
      </c>
      <c r="L180" s="90">
        <f t="shared" si="27"/>
        <v>0</v>
      </c>
      <c r="M180" s="90">
        <f t="shared" si="28"/>
        <v>0</v>
      </c>
      <c r="N180" s="91">
        <f t="shared" si="29"/>
        <v>0.64333333333333331</v>
      </c>
      <c r="P180" s="92">
        <f>SUMIFS($J$2:J179,$B$2:B179,B180,$C$2:C179,C180)</f>
        <v>0</v>
      </c>
      <c r="Q180" s="92">
        <f t="shared" si="30"/>
        <v>3000</v>
      </c>
      <c r="R180" s="93">
        <f t="shared" si="31"/>
        <v>0</v>
      </c>
    </row>
    <row r="181" spans="1:18" x14ac:dyDescent="0.3">
      <c r="A181" s="87" t="s">
        <v>5</v>
      </c>
      <c r="B181" s="87" t="s">
        <v>56</v>
      </c>
      <c r="C181" s="101">
        <v>46370</v>
      </c>
      <c r="D181" s="89">
        <v>3000</v>
      </c>
      <c r="E181" s="89">
        <v>0</v>
      </c>
      <c r="F181" s="89">
        <f t="shared" si="33"/>
        <v>0</v>
      </c>
      <c r="G181" s="89">
        <v>3000</v>
      </c>
      <c r="H181" s="90">
        <f>0</f>
        <v>0</v>
      </c>
      <c r="I181" s="90">
        <f t="shared" si="24"/>
        <v>0</v>
      </c>
      <c r="J181" s="90">
        <f t="shared" si="25"/>
        <v>0</v>
      </c>
      <c r="K181" s="90">
        <f t="shared" si="26"/>
        <v>0</v>
      </c>
      <c r="L181" s="90">
        <f t="shared" si="27"/>
        <v>0</v>
      </c>
      <c r="M181" s="90">
        <f t="shared" si="28"/>
        <v>0</v>
      </c>
      <c r="N181" s="91">
        <f t="shared" si="29"/>
        <v>0.64266666666666672</v>
      </c>
      <c r="P181" s="92">
        <f>SUMIFS($J$2:J180,$B$2:B180,B181,$C$2:C180,C181)</f>
        <v>0</v>
      </c>
      <c r="Q181" s="92">
        <f t="shared" si="30"/>
        <v>3000</v>
      </c>
      <c r="R181" s="93">
        <f t="shared" si="31"/>
        <v>0</v>
      </c>
    </row>
    <row r="182" spans="1:18" x14ac:dyDescent="0.3">
      <c r="A182" s="87" t="s">
        <v>6</v>
      </c>
      <c r="B182" s="87" t="s">
        <v>56</v>
      </c>
      <c r="C182" s="101">
        <v>46125</v>
      </c>
      <c r="D182" s="89">
        <v>3000</v>
      </c>
      <c r="E182" s="89">
        <v>0</v>
      </c>
      <c r="F182" s="89">
        <f>0</f>
        <v>0</v>
      </c>
      <c r="G182" s="89">
        <v>3000</v>
      </c>
      <c r="H182" s="90">
        <f t="shared" ref="H182:H216" si="34">MAX(0,H183+E183-Q183)</f>
        <v>17234</v>
      </c>
      <c r="I182" s="90">
        <f t="shared" si="24"/>
        <v>17234</v>
      </c>
      <c r="J182" s="90">
        <f t="shared" si="25"/>
        <v>3000</v>
      </c>
      <c r="K182" s="90">
        <f t="shared" si="26"/>
        <v>3000</v>
      </c>
      <c r="L182" s="90">
        <f t="shared" si="27"/>
        <v>0</v>
      </c>
      <c r="M182" s="90">
        <f t="shared" si="28"/>
        <v>3000</v>
      </c>
      <c r="N182" s="91">
        <f t="shared" si="29"/>
        <v>1</v>
      </c>
      <c r="O182" s="61" t="s">
        <v>109</v>
      </c>
      <c r="P182" s="92">
        <f>SUMIFS($J$2:J181,$B$2:B181,B182,$C$2:C181,C182)</f>
        <v>0</v>
      </c>
      <c r="Q182" s="92">
        <f t="shared" si="30"/>
        <v>3000</v>
      </c>
      <c r="R182" s="93">
        <f t="shared" si="31"/>
        <v>0</v>
      </c>
    </row>
    <row r="183" spans="1:18" x14ac:dyDescent="0.3">
      <c r="A183" s="87" t="s">
        <v>6</v>
      </c>
      <c r="B183" s="87" t="s">
        <v>56</v>
      </c>
      <c r="C183" s="101">
        <v>46132</v>
      </c>
      <c r="D183" s="89">
        <v>3000</v>
      </c>
      <c r="E183" s="89">
        <v>588</v>
      </c>
      <c r="F183" s="89">
        <f t="shared" ref="F183:F217" si="35">K182</f>
        <v>3000</v>
      </c>
      <c r="G183" s="89">
        <v>3000</v>
      </c>
      <c r="H183" s="90">
        <f t="shared" si="34"/>
        <v>19646</v>
      </c>
      <c r="I183" s="90">
        <f t="shared" si="24"/>
        <v>17234</v>
      </c>
      <c r="J183" s="90">
        <f t="shared" si="25"/>
        <v>588</v>
      </c>
      <c r="K183" s="90">
        <f t="shared" si="26"/>
        <v>3000</v>
      </c>
      <c r="L183" s="90">
        <f t="shared" si="27"/>
        <v>0</v>
      </c>
      <c r="M183" s="90">
        <f t="shared" si="28"/>
        <v>3000</v>
      </c>
      <c r="N183" s="91">
        <f t="shared" si="29"/>
        <v>0.19600000000000001</v>
      </c>
      <c r="P183" s="92">
        <f>SUMIFS($J$2:J182,$B$2:B182,B183,$C$2:C182,C183)</f>
        <v>0</v>
      </c>
      <c r="Q183" s="92">
        <f t="shared" si="30"/>
        <v>3000</v>
      </c>
      <c r="R183" s="93">
        <f t="shared" si="31"/>
        <v>588</v>
      </c>
    </row>
    <row r="184" spans="1:18" x14ac:dyDescent="0.3">
      <c r="A184" s="87" t="s">
        <v>6</v>
      </c>
      <c r="B184" s="87" t="s">
        <v>56</v>
      </c>
      <c r="C184" s="101">
        <v>46139</v>
      </c>
      <c r="D184" s="89">
        <v>3000</v>
      </c>
      <c r="E184" s="89">
        <v>4028</v>
      </c>
      <c r="F184" s="89">
        <f t="shared" si="35"/>
        <v>3000</v>
      </c>
      <c r="G184" s="89">
        <v>3000</v>
      </c>
      <c r="H184" s="90">
        <f t="shared" si="34"/>
        <v>18146</v>
      </c>
      <c r="I184" s="90">
        <f t="shared" si="24"/>
        <v>19174</v>
      </c>
      <c r="J184" s="90">
        <f t="shared" si="25"/>
        <v>2528</v>
      </c>
      <c r="K184" s="90">
        <f t="shared" si="26"/>
        <v>1500</v>
      </c>
      <c r="L184" s="90">
        <f t="shared" si="27"/>
        <v>0</v>
      </c>
      <c r="M184" s="90">
        <f t="shared" si="28"/>
        <v>1500</v>
      </c>
      <c r="N184" s="91">
        <f t="shared" si="29"/>
        <v>1</v>
      </c>
      <c r="P184" s="92">
        <f>SUMIFS($J$2:J183,$B$2:B183,B184,$C$2:C183,C184)</f>
        <v>472</v>
      </c>
      <c r="Q184" s="92">
        <f t="shared" si="30"/>
        <v>2528</v>
      </c>
      <c r="R184" s="93">
        <f t="shared" si="31"/>
        <v>4028</v>
      </c>
    </row>
    <row r="185" spans="1:18" x14ac:dyDescent="0.3">
      <c r="A185" s="87" t="s">
        <v>6</v>
      </c>
      <c r="B185" s="87" t="s">
        <v>56</v>
      </c>
      <c r="C185" s="101">
        <v>46146</v>
      </c>
      <c r="D185" s="89">
        <v>3000</v>
      </c>
      <c r="E185" s="89">
        <v>4200</v>
      </c>
      <c r="F185" s="89">
        <f t="shared" si="35"/>
        <v>1500</v>
      </c>
      <c r="G185" s="89">
        <v>3000</v>
      </c>
      <c r="H185" s="90">
        <f t="shared" si="34"/>
        <v>16646</v>
      </c>
      <c r="I185" s="90">
        <f t="shared" si="24"/>
        <v>19346</v>
      </c>
      <c r="J185" s="90">
        <f t="shared" si="25"/>
        <v>2700</v>
      </c>
      <c r="K185" s="90">
        <f t="shared" si="26"/>
        <v>0</v>
      </c>
      <c r="L185" s="90">
        <f t="shared" si="27"/>
        <v>0</v>
      </c>
      <c r="M185" s="90">
        <f t="shared" si="28"/>
        <v>0</v>
      </c>
      <c r="N185" s="91">
        <f t="shared" si="29"/>
        <v>1</v>
      </c>
      <c r="P185" s="92">
        <f>SUMIFS($J$2:J184,$B$2:B184,B185,$C$2:C184,C185)</f>
        <v>300</v>
      </c>
      <c r="Q185" s="92">
        <f t="shared" si="30"/>
        <v>2700</v>
      </c>
      <c r="R185" s="93">
        <f t="shared" si="31"/>
        <v>4200</v>
      </c>
    </row>
    <row r="186" spans="1:18" x14ac:dyDescent="0.3">
      <c r="A186" s="87" t="s">
        <v>6</v>
      </c>
      <c r="B186" s="87" t="s">
        <v>56</v>
      </c>
      <c r="C186" s="101">
        <v>46153</v>
      </c>
      <c r="D186" s="89">
        <v>3000</v>
      </c>
      <c r="E186" s="89">
        <v>3802</v>
      </c>
      <c r="F186" s="89">
        <f t="shared" si="35"/>
        <v>0</v>
      </c>
      <c r="G186" s="89">
        <v>3000</v>
      </c>
      <c r="H186" s="90">
        <f t="shared" si="34"/>
        <v>15146</v>
      </c>
      <c r="I186" s="90">
        <f t="shared" si="24"/>
        <v>18948</v>
      </c>
      <c r="J186" s="90">
        <f t="shared" si="25"/>
        <v>2302</v>
      </c>
      <c r="K186" s="90">
        <f t="shared" si="26"/>
        <v>0</v>
      </c>
      <c r="L186" s="90">
        <f t="shared" si="27"/>
        <v>1500</v>
      </c>
      <c r="M186" s="90">
        <f t="shared" si="28"/>
        <v>0</v>
      </c>
      <c r="N186" s="91">
        <f t="shared" si="29"/>
        <v>1</v>
      </c>
      <c r="P186" s="92">
        <f>SUMIFS($J$2:J185,$B$2:B185,B186,$C$2:C185,C186)</f>
        <v>698</v>
      </c>
      <c r="Q186" s="92">
        <f t="shared" si="30"/>
        <v>2302</v>
      </c>
      <c r="R186" s="93">
        <f t="shared" si="31"/>
        <v>2302</v>
      </c>
    </row>
    <row r="187" spans="1:18" x14ac:dyDescent="0.3">
      <c r="A187" s="87" t="s">
        <v>6</v>
      </c>
      <c r="B187" s="87" t="s">
        <v>56</v>
      </c>
      <c r="C187" s="101">
        <v>46160</v>
      </c>
      <c r="D187" s="89">
        <v>3000</v>
      </c>
      <c r="E187" s="89">
        <v>4500</v>
      </c>
      <c r="F187" s="89">
        <f t="shared" si="35"/>
        <v>0</v>
      </c>
      <c r="G187" s="89">
        <v>3000</v>
      </c>
      <c r="H187" s="90">
        <f t="shared" si="34"/>
        <v>13646</v>
      </c>
      <c r="I187" s="90">
        <f t="shared" si="24"/>
        <v>18146</v>
      </c>
      <c r="J187" s="90">
        <f t="shared" si="25"/>
        <v>3000</v>
      </c>
      <c r="K187" s="90">
        <f t="shared" si="26"/>
        <v>0</v>
      </c>
      <c r="L187" s="90">
        <f t="shared" si="27"/>
        <v>1500</v>
      </c>
      <c r="M187" s="90">
        <f t="shared" si="28"/>
        <v>0</v>
      </c>
      <c r="N187" s="91">
        <f t="shared" si="29"/>
        <v>1</v>
      </c>
      <c r="P187" s="92">
        <f>SUMIFS($J$2:J186,$B$2:B186,B187,$C$2:C186,C187)</f>
        <v>0</v>
      </c>
      <c r="Q187" s="92">
        <f t="shared" si="30"/>
        <v>3000</v>
      </c>
      <c r="R187" s="93">
        <f t="shared" si="31"/>
        <v>3000</v>
      </c>
    </row>
    <row r="188" spans="1:18" x14ac:dyDescent="0.3">
      <c r="A188" s="87" t="s">
        <v>6</v>
      </c>
      <c r="B188" s="87" t="s">
        <v>56</v>
      </c>
      <c r="C188" s="101">
        <v>46167</v>
      </c>
      <c r="D188" s="89">
        <v>3000</v>
      </c>
      <c r="E188" s="89">
        <v>4200</v>
      </c>
      <c r="F188" s="89">
        <f t="shared" si="35"/>
        <v>0</v>
      </c>
      <c r="G188" s="89">
        <v>3000</v>
      </c>
      <c r="H188" s="90">
        <f t="shared" si="34"/>
        <v>12146</v>
      </c>
      <c r="I188" s="90">
        <f t="shared" si="24"/>
        <v>16346</v>
      </c>
      <c r="J188" s="90">
        <f t="shared" si="25"/>
        <v>2700</v>
      </c>
      <c r="K188" s="90">
        <f t="shared" si="26"/>
        <v>0</v>
      </c>
      <c r="L188" s="90">
        <f t="shared" si="27"/>
        <v>1500</v>
      </c>
      <c r="M188" s="90">
        <f t="shared" si="28"/>
        <v>0</v>
      </c>
      <c r="N188" s="91">
        <f t="shared" si="29"/>
        <v>1</v>
      </c>
      <c r="P188" s="92">
        <f>SUMIFS($J$2:J187,$B$2:B187,B188,$C$2:C187,C188)</f>
        <v>300</v>
      </c>
      <c r="Q188" s="92">
        <f t="shared" si="30"/>
        <v>2700</v>
      </c>
      <c r="R188" s="93">
        <f t="shared" si="31"/>
        <v>2700</v>
      </c>
    </row>
    <row r="189" spans="1:18" x14ac:dyDescent="0.3">
      <c r="A189" s="87" t="s">
        <v>6</v>
      </c>
      <c r="B189" s="87" t="s">
        <v>56</v>
      </c>
      <c r="C189" s="101">
        <v>46174</v>
      </c>
      <c r="D189" s="89">
        <v>3000</v>
      </c>
      <c r="E189" s="89">
        <v>4500</v>
      </c>
      <c r="F189" s="89">
        <f t="shared" si="35"/>
        <v>0</v>
      </c>
      <c r="G189" s="89">
        <v>3000</v>
      </c>
      <c r="H189" s="90">
        <f t="shared" si="34"/>
        <v>10646</v>
      </c>
      <c r="I189" s="90">
        <f t="shared" si="24"/>
        <v>15146</v>
      </c>
      <c r="J189" s="90">
        <f t="shared" si="25"/>
        <v>3000</v>
      </c>
      <c r="K189" s="90">
        <f t="shared" si="26"/>
        <v>0</v>
      </c>
      <c r="L189" s="90">
        <f t="shared" si="27"/>
        <v>1500</v>
      </c>
      <c r="M189" s="90">
        <f t="shared" si="28"/>
        <v>0</v>
      </c>
      <c r="N189" s="91">
        <f t="shared" si="29"/>
        <v>1</v>
      </c>
      <c r="P189" s="92">
        <f>SUMIFS($J$2:J188,$B$2:B188,B189,$C$2:C188,C189)</f>
        <v>0</v>
      </c>
      <c r="Q189" s="92">
        <f t="shared" si="30"/>
        <v>3000</v>
      </c>
      <c r="R189" s="93">
        <f t="shared" si="31"/>
        <v>3000</v>
      </c>
    </row>
    <row r="190" spans="1:18" x14ac:dyDescent="0.3">
      <c r="A190" s="87" t="s">
        <v>6</v>
      </c>
      <c r="B190" s="87" t="s">
        <v>56</v>
      </c>
      <c r="C190" s="101">
        <v>46181</v>
      </c>
      <c r="D190" s="89">
        <v>3000</v>
      </c>
      <c r="E190" s="89">
        <v>4500</v>
      </c>
      <c r="F190" s="89">
        <f t="shared" si="35"/>
        <v>0</v>
      </c>
      <c r="G190" s="89">
        <v>3000</v>
      </c>
      <c r="H190" s="90">
        <f t="shared" si="34"/>
        <v>9146</v>
      </c>
      <c r="I190" s="90">
        <f t="shared" si="24"/>
        <v>13646</v>
      </c>
      <c r="J190" s="90">
        <f t="shared" si="25"/>
        <v>3000</v>
      </c>
      <c r="K190" s="90">
        <f t="shared" si="26"/>
        <v>0</v>
      </c>
      <c r="L190" s="90">
        <f t="shared" si="27"/>
        <v>1500</v>
      </c>
      <c r="M190" s="90">
        <f t="shared" si="28"/>
        <v>0</v>
      </c>
      <c r="N190" s="91">
        <f t="shared" si="29"/>
        <v>1</v>
      </c>
      <c r="P190" s="92">
        <f>SUMIFS($J$2:J189,$B$2:B189,B190,$C$2:C189,C190)</f>
        <v>0</v>
      </c>
      <c r="Q190" s="92">
        <f t="shared" si="30"/>
        <v>3000</v>
      </c>
      <c r="R190" s="93">
        <f t="shared" si="31"/>
        <v>3000</v>
      </c>
    </row>
    <row r="191" spans="1:18" x14ac:dyDescent="0.3">
      <c r="A191" s="87" t="s">
        <v>6</v>
      </c>
      <c r="B191" s="87" t="s">
        <v>56</v>
      </c>
      <c r="C191" s="101">
        <v>46188</v>
      </c>
      <c r="D191" s="89">
        <v>3000</v>
      </c>
      <c r="E191" s="89">
        <v>2200</v>
      </c>
      <c r="F191" s="89">
        <f t="shared" si="35"/>
        <v>0</v>
      </c>
      <c r="G191" s="89">
        <v>3000</v>
      </c>
      <c r="H191" s="90">
        <f t="shared" si="34"/>
        <v>9646</v>
      </c>
      <c r="I191" s="90">
        <f t="shared" si="24"/>
        <v>11846</v>
      </c>
      <c r="J191" s="90">
        <f t="shared" si="25"/>
        <v>2700</v>
      </c>
      <c r="K191" s="90">
        <f t="shared" si="26"/>
        <v>500</v>
      </c>
      <c r="L191" s="90">
        <f t="shared" si="27"/>
        <v>0</v>
      </c>
      <c r="M191" s="90">
        <f t="shared" si="28"/>
        <v>500</v>
      </c>
      <c r="N191" s="91">
        <f t="shared" si="29"/>
        <v>1</v>
      </c>
      <c r="P191" s="92">
        <f>SUMIFS($J$2:J190,$B$2:B190,B191,$C$2:C190,C191)</f>
        <v>300</v>
      </c>
      <c r="Q191" s="92">
        <f t="shared" si="30"/>
        <v>2700</v>
      </c>
      <c r="R191" s="93">
        <f t="shared" si="31"/>
        <v>2200</v>
      </c>
    </row>
    <row r="192" spans="1:18" x14ac:dyDescent="0.3">
      <c r="A192" s="87" t="s">
        <v>6</v>
      </c>
      <c r="B192" s="87" t="s">
        <v>56</v>
      </c>
      <c r="C192" s="101">
        <v>46195</v>
      </c>
      <c r="D192" s="89">
        <v>3000</v>
      </c>
      <c r="E192" s="89">
        <v>5000</v>
      </c>
      <c r="F192" s="89">
        <f t="shared" si="35"/>
        <v>500</v>
      </c>
      <c r="G192" s="89">
        <v>3000</v>
      </c>
      <c r="H192" s="90">
        <f t="shared" si="34"/>
        <v>7646</v>
      </c>
      <c r="I192" s="90">
        <f t="shared" si="24"/>
        <v>12146</v>
      </c>
      <c r="J192" s="90">
        <f t="shared" si="25"/>
        <v>3000</v>
      </c>
      <c r="K192" s="90">
        <f t="shared" si="26"/>
        <v>0</v>
      </c>
      <c r="L192" s="90">
        <f t="shared" si="27"/>
        <v>1500</v>
      </c>
      <c r="M192" s="90">
        <f t="shared" si="28"/>
        <v>0</v>
      </c>
      <c r="N192" s="91">
        <f t="shared" si="29"/>
        <v>1</v>
      </c>
      <c r="P192" s="92">
        <f>SUMIFS($J$2:J191,$B$2:B191,B192,$C$2:C191,C192)</f>
        <v>0</v>
      </c>
      <c r="Q192" s="92">
        <f t="shared" si="30"/>
        <v>3000</v>
      </c>
      <c r="R192" s="93">
        <f t="shared" si="31"/>
        <v>3500</v>
      </c>
    </row>
    <row r="193" spans="1:18" x14ac:dyDescent="0.3">
      <c r="A193" s="87" t="s">
        <v>6</v>
      </c>
      <c r="B193" s="87" t="s">
        <v>56</v>
      </c>
      <c r="C193" s="101">
        <v>46202</v>
      </c>
      <c r="D193" s="89">
        <v>3000</v>
      </c>
      <c r="E193" s="89">
        <v>4300</v>
      </c>
      <c r="F193" s="89">
        <f t="shared" si="35"/>
        <v>0</v>
      </c>
      <c r="G193" s="89">
        <v>3000</v>
      </c>
      <c r="H193" s="90">
        <f t="shared" si="34"/>
        <v>5646</v>
      </c>
      <c r="I193" s="90">
        <f t="shared" si="24"/>
        <v>9946</v>
      </c>
      <c r="J193" s="90">
        <f t="shared" si="25"/>
        <v>2300</v>
      </c>
      <c r="K193" s="90">
        <f t="shared" si="26"/>
        <v>0</v>
      </c>
      <c r="L193" s="90">
        <f t="shared" si="27"/>
        <v>2000</v>
      </c>
      <c r="M193" s="90">
        <f t="shared" si="28"/>
        <v>0</v>
      </c>
      <c r="N193" s="91">
        <f t="shared" si="29"/>
        <v>1</v>
      </c>
      <c r="P193" s="92">
        <f>SUMIFS($J$2:J192,$B$2:B192,B193,$C$2:C192,C193)</f>
        <v>700</v>
      </c>
      <c r="Q193" s="92">
        <f t="shared" si="30"/>
        <v>2300</v>
      </c>
      <c r="R193" s="93">
        <f t="shared" si="31"/>
        <v>2300</v>
      </c>
    </row>
    <row r="194" spans="1:18" x14ac:dyDescent="0.3">
      <c r="A194" s="87" t="s">
        <v>6</v>
      </c>
      <c r="B194" s="87" t="s">
        <v>56</v>
      </c>
      <c r="C194" s="101">
        <v>46209</v>
      </c>
      <c r="D194" s="89">
        <v>3000</v>
      </c>
      <c r="E194" s="89">
        <v>4700</v>
      </c>
      <c r="F194" s="89">
        <f t="shared" si="35"/>
        <v>0</v>
      </c>
      <c r="G194" s="89">
        <v>3000</v>
      </c>
      <c r="H194" s="90">
        <f t="shared" si="34"/>
        <v>3646</v>
      </c>
      <c r="I194" s="90">
        <f t="shared" ref="I194:I257" si="36">MAX(0,E194+H194-F194)</f>
        <v>8346</v>
      </c>
      <c r="J194" s="90">
        <f t="shared" ref="J194:J257" si="37">MIN(Q194,I194,MAX(0,E194+G194-F194))</f>
        <v>2700</v>
      </c>
      <c r="K194" s="90">
        <f t="shared" ref="K194:K257" si="38">MIN(G194,MAX(0,F194+J194-E194))</f>
        <v>0</v>
      </c>
      <c r="L194" s="90">
        <f t="shared" ref="L194:L217" si="39">MAX(0,E194-F194-J194)</f>
        <v>2000</v>
      </c>
      <c r="M194" s="90">
        <f t="shared" ref="M194:M217" si="40">MAX(0,F194+J194-E194)</f>
        <v>0</v>
      </c>
      <c r="N194" s="91">
        <f t="shared" ref="N194:N217" si="41">IFERROR(SUMIFS($J$2:$J$217,$B$2:$B$217,B194,$C$2:$C$217,C194)/D194,0)</f>
        <v>1</v>
      </c>
      <c r="P194" s="92">
        <f>SUMIFS($J$2:J193,$B$2:B193,B194,$C$2:C193,C194)</f>
        <v>300</v>
      </c>
      <c r="Q194" s="92">
        <f t="shared" ref="Q194:Q257" si="42">MAX(0,D194-P194)</f>
        <v>2700</v>
      </c>
      <c r="R194" s="93">
        <f t="shared" ref="R194:R217" si="43">MAX(0,MIN(E194,F194+J194))</f>
        <v>2700</v>
      </c>
    </row>
    <row r="195" spans="1:18" x14ac:dyDescent="0.3">
      <c r="A195" s="87" t="s">
        <v>6</v>
      </c>
      <c r="B195" s="87" t="s">
        <v>56</v>
      </c>
      <c r="C195" s="101">
        <v>46216</v>
      </c>
      <c r="D195" s="89">
        <v>3000</v>
      </c>
      <c r="E195" s="89">
        <v>4746</v>
      </c>
      <c r="F195" s="89">
        <f t="shared" si="35"/>
        <v>0</v>
      </c>
      <c r="G195" s="89">
        <v>3000</v>
      </c>
      <c r="H195" s="90">
        <f t="shared" si="34"/>
        <v>1600</v>
      </c>
      <c r="I195" s="90">
        <f t="shared" si="36"/>
        <v>6346</v>
      </c>
      <c r="J195" s="90">
        <f t="shared" si="37"/>
        <v>2700</v>
      </c>
      <c r="K195" s="90">
        <f t="shared" si="38"/>
        <v>0</v>
      </c>
      <c r="L195" s="90">
        <f t="shared" si="39"/>
        <v>2046</v>
      </c>
      <c r="M195" s="90">
        <f t="shared" si="40"/>
        <v>0</v>
      </c>
      <c r="N195" s="91">
        <f t="shared" si="41"/>
        <v>1</v>
      </c>
      <c r="P195" s="92">
        <f>SUMIFS($J$2:J194,$B$2:B194,B195,$C$2:C194,C195)</f>
        <v>300</v>
      </c>
      <c r="Q195" s="92">
        <f t="shared" si="42"/>
        <v>2700</v>
      </c>
      <c r="R195" s="93">
        <f t="shared" si="43"/>
        <v>2700</v>
      </c>
    </row>
    <row r="196" spans="1:18" x14ac:dyDescent="0.3">
      <c r="A196" s="87" t="s">
        <v>6</v>
      </c>
      <c r="B196" s="87" t="s">
        <v>56</v>
      </c>
      <c r="C196" s="101">
        <v>46223</v>
      </c>
      <c r="D196" s="89">
        <v>3000</v>
      </c>
      <c r="E196" s="89">
        <v>4300</v>
      </c>
      <c r="F196" s="89">
        <f t="shared" si="35"/>
        <v>0</v>
      </c>
      <c r="G196" s="89">
        <v>3000</v>
      </c>
      <c r="H196" s="90">
        <f t="shared" si="34"/>
        <v>0</v>
      </c>
      <c r="I196" s="90">
        <f t="shared" si="36"/>
        <v>4300</v>
      </c>
      <c r="J196" s="90">
        <f t="shared" si="37"/>
        <v>2700</v>
      </c>
      <c r="K196" s="90">
        <f t="shared" si="38"/>
        <v>0</v>
      </c>
      <c r="L196" s="90">
        <f t="shared" si="39"/>
        <v>1600</v>
      </c>
      <c r="M196" s="90">
        <f t="shared" si="40"/>
        <v>0</v>
      </c>
      <c r="N196" s="91">
        <f t="shared" si="41"/>
        <v>1</v>
      </c>
      <c r="P196" s="92">
        <f>SUMIFS($J$2:J195,$B$2:B195,B196,$C$2:C195,C196)</f>
        <v>300</v>
      </c>
      <c r="Q196" s="92">
        <f t="shared" si="42"/>
        <v>2700</v>
      </c>
      <c r="R196" s="93">
        <f t="shared" si="43"/>
        <v>2700</v>
      </c>
    </row>
    <row r="197" spans="1:18" x14ac:dyDescent="0.3">
      <c r="A197" s="87" t="s">
        <v>6</v>
      </c>
      <c r="B197" s="87" t="s">
        <v>56</v>
      </c>
      <c r="C197" s="101">
        <v>46230</v>
      </c>
      <c r="D197" s="89">
        <v>3000</v>
      </c>
      <c r="E197" s="89">
        <v>476</v>
      </c>
      <c r="F197" s="89">
        <f t="shared" si="35"/>
        <v>0</v>
      </c>
      <c r="G197" s="89">
        <v>3000</v>
      </c>
      <c r="H197" s="90">
        <f t="shared" si="34"/>
        <v>0</v>
      </c>
      <c r="I197" s="90">
        <f t="shared" si="36"/>
        <v>476</v>
      </c>
      <c r="J197" s="90">
        <f t="shared" si="37"/>
        <v>476</v>
      </c>
      <c r="K197" s="90">
        <f t="shared" si="38"/>
        <v>0</v>
      </c>
      <c r="L197" s="90">
        <f t="shared" si="39"/>
        <v>0</v>
      </c>
      <c r="M197" s="90">
        <f t="shared" si="40"/>
        <v>0</v>
      </c>
      <c r="N197" s="91">
        <f t="shared" si="41"/>
        <v>0.15866666666666668</v>
      </c>
      <c r="P197" s="92">
        <f>SUMIFS($J$2:J196,$B$2:B196,B197,$C$2:C196,C197)</f>
        <v>0</v>
      </c>
      <c r="Q197" s="92">
        <f t="shared" si="42"/>
        <v>3000</v>
      </c>
      <c r="R197" s="93">
        <f t="shared" si="43"/>
        <v>476</v>
      </c>
    </row>
    <row r="198" spans="1:18" x14ac:dyDescent="0.3">
      <c r="A198" s="87" t="s">
        <v>6</v>
      </c>
      <c r="B198" s="87" t="s">
        <v>56</v>
      </c>
      <c r="C198" s="101">
        <v>46237</v>
      </c>
      <c r="D198" s="89">
        <v>3000</v>
      </c>
      <c r="E198" s="89">
        <v>1298</v>
      </c>
      <c r="F198" s="89">
        <f t="shared" si="35"/>
        <v>0</v>
      </c>
      <c r="G198" s="89">
        <v>3000</v>
      </c>
      <c r="H198" s="90">
        <f t="shared" si="34"/>
        <v>0</v>
      </c>
      <c r="I198" s="90">
        <f t="shared" si="36"/>
        <v>1298</v>
      </c>
      <c r="J198" s="90">
        <f t="shared" si="37"/>
        <v>1298</v>
      </c>
      <c r="K198" s="90">
        <f t="shared" si="38"/>
        <v>0</v>
      </c>
      <c r="L198" s="90">
        <f t="shared" si="39"/>
        <v>0</v>
      </c>
      <c r="M198" s="90">
        <f t="shared" si="40"/>
        <v>0</v>
      </c>
      <c r="N198" s="91">
        <f t="shared" si="41"/>
        <v>0.43266666666666664</v>
      </c>
      <c r="P198" s="92">
        <f>SUMIFS($J$2:J197,$B$2:B197,B198,$C$2:C197,C198)</f>
        <v>0</v>
      </c>
      <c r="Q198" s="92">
        <f t="shared" si="42"/>
        <v>3000</v>
      </c>
      <c r="R198" s="93">
        <f t="shared" si="43"/>
        <v>1298</v>
      </c>
    </row>
    <row r="199" spans="1:18" x14ac:dyDescent="0.3">
      <c r="A199" s="87" t="s">
        <v>6</v>
      </c>
      <c r="B199" s="87" t="s">
        <v>56</v>
      </c>
      <c r="C199" s="101">
        <v>46244</v>
      </c>
      <c r="D199" s="89">
        <v>3000</v>
      </c>
      <c r="E199" s="89">
        <v>1300</v>
      </c>
      <c r="F199" s="89">
        <f t="shared" si="35"/>
        <v>0</v>
      </c>
      <c r="G199" s="89">
        <v>3000</v>
      </c>
      <c r="H199" s="90">
        <f t="shared" si="34"/>
        <v>0</v>
      </c>
      <c r="I199" s="90">
        <f t="shared" si="36"/>
        <v>1300</v>
      </c>
      <c r="J199" s="90">
        <f t="shared" si="37"/>
        <v>1300</v>
      </c>
      <c r="K199" s="90">
        <f t="shared" si="38"/>
        <v>0</v>
      </c>
      <c r="L199" s="90">
        <f t="shared" si="39"/>
        <v>0</v>
      </c>
      <c r="M199" s="90">
        <f t="shared" si="40"/>
        <v>0</v>
      </c>
      <c r="N199" s="91">
        <f t="shared" si="41"/>
        <v>0.53333333333333333</v>
      </c>
      <c r="P199" s="92">
        <f>SUMIFS($J$2:J198,$B$2:B198,B199,$C$2:C198,C199)</f>
        <v>300</v>
      </c>
      <c r="Q199" s="92">
        <f t="shared" si="42"/>
        <v>2700</v>
      </c>
      <c r="R199" s="93">
        <f t="shared" si="43"/>
        <v>1300</v>
      </c>
    </row>
    <row r="200" spans="1:18" x14ac:dyDescent="0.3">
      <c r="A200" s="87" t="s">
        <v>6</v>
      </c>
      <c r="B200" s="87" t="s">
        <v>56</v>
      </c>
      <c r="C200" s="101">
        <v>46251</v>
      </c>
      <c r="D200" s="89">
        <v>3000</v>
      </c>
      <c r="E200" s="89">
        <v>1298</v>
      </c>
      <c r="F200" s="89">
        <f t="shared" si="35"/>
        <v>0</v>
      </c>
      <c r="G200" s="89">
        <v>3000</v>
      </c>
      <c r="H200" s="90">
        <f t="shared" si="34"/>
        <v>0</v>
      </c>
      <c r="I200" s="90">
        <f t="shared" si="36"/>
        <v>1298</v>
      </c>
      <c r="J200" s="90">
        <f t="shared" si="37"/>
        <v>1298</v>
      </c>
      <c r="K200" s="90">
        <f t="shared" si="38"/>
        <v>0</v>
      </c>
      <c r="L200" s="90">
        <f t="shared" si="39"/>
        <v>0</v>
      </c>
      <c r="M200" s="90">
        <f t="shared" si="40"/>
        <v>0</v>
      </c>
      <c r="N200" s="91">
        <f t="shared" si="41"/>
        <v>0.43266666666666664</v>
      </c>
      <c r="P200" s="92">
        <f>SUMIFS($J$2:J199,$B$2:B199,B200,$C$2:C199,C200)</f>
        <v>0</v>
      </c>
      <c r="Q200" s="92">
        <f t="shared" si="42"/>
        <v>3000</v>
      </c>
      <c r="R200" s="93">
        <f t="shared" si="43"/>
        <v>1298</v>
      </c>
    </row>
    <row r="201" spans="1:18" x14ac:dyDescent="0.3">
      <c r="A201" s="87" t="s">
        <v>6</v>
      </c>
      <c r="B201" s="87" t="s">
        <v>56</v>
      </c>
      <c r="C201" s="101">
        <v>46258</v>
      </c>
      <c r="D201" s="89">
        <v>3000</v>
      </c>
      <c r="E201" s="89">
        <v>1506</v>
      </c>
      <c r="F201" s="89">
        <f t="shared" si="35"/>
        <v>0</v>
      </c>
      <c r="G201" s="89">
        <v>3000</v>
      </c>
      <c r="H201" s="90">
        <f t="shared" si="34"/>
        <v>0</v>
      </c>
      <c r="I201" s="90">
        <f t="shared" si="36"/>
        <v>1506</v>
      </c>
      <c r="J201" s="90">
        <f t="shared" si="37"/>
        <v>1506</v>
      </c>
      <c r="K201" s="90">
        <f t="shared" si="38"/>
        <v>0</v>
      </c>
      <c r="L201" s="90">
        <f t="shared" si="39"/>
        <v>0</v>
      </c>
      <c r="M201" s="90">
        <f t="shared" si="40"/>
        <v>0</v>
      </c>
      <c r="N201" s="91">
        <f t="shared" si="41"/>
        <v>0.502</v>
      </c>
      <c r="P201" s="92">
        <f>SUMIFS($J$2:J200,$B$2:B200,B201,$C$2:C200,C201)</f>
        <v>0</v>
      </c>
      <c r="Q201" s="92">
        <f t="shared" si="42"/>
        <v>3000</v>
      </c>
      <c r="R201" s="93">
        <f t="shared" si="43"/>
        <v>1506</v>
      </c>
    </row>
    <row r="202" spans="1:18" x14ac:dyDescent="0.3">
      <c r="A202" s="87" t="s">
        <v>6</v>
      </c>
      <c r="B202" s="87" t="s">
        <v>56</v>
      </c>
      <c r="C202" s="101">
        <v>46265</v>
      </c>
      <c r="D202" s="89">
        <v>3000</v>
      </c>
      <c r="E202" s="89">
        <v>1506</v>
      </c>
      <c r="F202" s="89">
        <f t="shared" si="35"/>
        <v>0</v>
      </c>
      <c r="G202" s="89">
        <v>3000</v>
      </c>
      <c r="H202" s="90">
        <f t="shared" si="34"/>
        <v>0</v>
      </c>
      <c r="I202" s="90">
        <f t="shared" si="36"/>
        <v>1506</v>
      </c>
      <c r="J202" s="90">
        <f t="shared" si="37"/>
        <v>1506</v>
      </c>
      <c r="K202" s="90">
        <f t="shared" si="38"/>
        <v>0</v>
      </c>
      <c r="L202" s="90">
        <f t="shared" si="39"/>
        <v>0</v>
      </c>
      <c r="M202" s="90">
        <f t="shared" si="40"/>
        <v>0</v>
      </c>
      <c r="N202" s="91">
        <f t="shared" si="41"/>
        <v>0.60199999999999998</v>
      </c>
      <c r="P202" s="92">
        <f>SUMIFS($J$2:J201,$B$2:B201,B202,$C$2:C201,C202)</f>
        <v>300</v>
      </c>
      <c r="Q202" s="92">
        <f t="shared" si="42"/>
        <v>2700</v>
      </c>
      <c r="R202" s="93">
        <f t="shared" si="43"/>
        <v>1506</v>
      </c>
    </row>
    <row r="203" spans="1:18" x14ac:dyDescent="0.3">
      <c r="A203" s="87" t="s">
        <v>6</v>
      </c>
      <c r="B203" s="87" t="s">
        <v>56</v>
      </c>
      <c r="C203" s="101">
        <v>46272</v>
      </c>
      <c r="D203" s="89">
        <v>3000</v>
      </c>
      <c r="E203" s="89">
        <v>1506</v>
      </c>
      <c r="F203" s="89">
        <f t="shared" si="35"/>
        <v>0</v>
      </c>
      <c r="G203" s="89">
        <v>3000</v>
      </c>
      <c r="H203" s="90">
        <f t="shared" si="34"/>
        <v>0</v>
      </c>
      <c r="I203" s="90">
        <f t="shared" si="36"/>
        <v>1506</v>
      </c>
      <c r="J203" s="90">
        <f t="shared" si="37"/>
        <v>1506</v>
      </c>
      <c r="K203" s="90">
        <f t="shared" si="38"/>
        <v>0</v>
      </c>
      <c r="L203" s="90">
        <f t="shared" si="39"/>
        <v>0</v>
      </c>
      <c r="M203" s="90">
        <f t="shared" si="40"/>
        <v>0</v>
      </c>
      <c r="N203" s="91">
        <f t="shared" si="41"/>
        <v>0.502</v>
      </c>
      <c r="P203" s="92">
        <f>SUMIFS($J$2:J202,$B$2:B202,B203,$C$2:C202,C203)</f>
        <v>0</v>
      </c>
      <c r="Q203" s="92">
        <f t="shared" si="42"/>
        <v>3000</v>
      </c>
      <c r="R203" s="93">
        <f t="shared" si="43"/>
        <v>1506</v>
      </c>
    </row>
    <row r="204" spans="1:18" x14ac:dyDescent="0.3">
      <c r="A204" s="87" t="s">
        <v>6</v>
      </c>
      <c r="B204" s="87" t="s">
        <v>56</v>
      </c>
      <c r="C204" s="101">
        <v>46279</v>
      </c>
      <c r="D204" s="89">
        <v>3000</v>
      </c>
      <c r="E204" s="89">
        <v>1506</v>
      </c>
      <c r="F204" s="89">
        <f t="shared" si="35"/>
        <v>0</v>
      </c>
      <c r="G204" s="89">
        <v>3000</v>
      </c>
      <c r="H204" s="90">
        <f t="shared" si="34"/>
        <v>0</v>
      </c>
      <c r="I204" s="90">
        <f t="shared" si="36"/>
        <v>1506</v>
      </c>
      <c r="J204" s="90">
        <f t="shared" si="37"/>
        <v>1506</v>
      </c>
      <c r="K204" s="90">
        <f t="shared" si="38"/>
        <v>0</v>
      </c>
      <c r="L204" s="90">
        <f t="shared" si="39"/>
        <v>0</v>
      </c>
      <c r="M204" s="90">
        <f t="shared" si="40"/>
        <v>0</v>
      </c>
      <c r="N204" s="91">
        <f t="shared" si="41"/>
        <v>0.502</v>
      </c>
      <c r="P204" s="92">
        <f>SUMIFS($J$2:J203,$B$2:B203,B204,$C$2:C203,C204)</f>
        <v>0</v>
      </c>
      <c r="Q204" s="92">
        <f t="shared" si="42"/>
        <v>3000</v>
      </c>
      <c r="R204" s="93">
        <f t="shared" si="43"/>
        <v>1506</v>
      </c>
    </row>
    <row r="205" spans="1:18" x14ac:dyDescent="0.3">
      <c r="A205" s="87" t="s">
        <v>6</v>
      </c>
      <c r="B205" s="87" t="s">
        <v>56</v>
      </c>
      <c r="C205" s="101">
        <v>46286</v>
      </c>
      <c r="D205" s="89">
        <v>3000</v>
      </c>
      <c r="E205" s="89">
        <v>1446</v>
      </c>
      <c r="F205" s="89">
        <f t="shared" si="35"/>
        <v>0</v>
      </c>
      <c r="G205" s="89">
        <v>3000</v>
      </c>
      <c r="H205" s="90">
        <f t="shared" si="34"/>
        <v>0</v>
      </c>
      <c r="I205" s="90">
        <f t="shared" si="36"/>
        <v>1446</v>
      </c>
      <c r="J205" s="90">
        <f t="shared" si="37"/>
        <v>1446</v>
      </c>
      <c r="K205" s="90">
        <f t="shared" si="38"/>
        <v>0</v>
      </c>
      <c r="L205" s="90">
        <f t="shared" si="39"/>
        <v>0</v>
      </c>
      <c r="M205" s="90">
        <f t="shared" si="40"/>
        <v>0</v>
      </c>
      <c r="N205" s="91">
        <f t="shared" si="41"/>
        <v>0.48199999999999998</v>
      </c>
      <c r="P205" s="92">
        <f>SUMIFS($J$2:J204,$B$2:B204,B205,$C$2:C204,C205)</f>
        <v>0</v>
      </c>
      <c r="Q205" s="92">
        <f t="shared" si="42"/>
        <v>3000</v>
      </c>
      <c r="R205" s="93">
        <f t="shared" si="43"/>
        <v>1446</v>
      </c>
    </row>
    <row r="206" spans="1:18" x14ac:dyDescent="0.3">
      <c r="A206" s="87" t="s">
        <v>6</v>
      </c>
      <c r="B206" s="87" t="s">
        <v>56</v>
      </c>
      <c r="C206" s="101">
        <v>46293</v>
      </c>
      <c r="D206" s="89">
        <v>3000</v>
      </c>
      <c r="E206" s="89">
        <v>0</v>
      </c>
      <c r="F206" s="89">
        <f t="shared" si="35"/>
        <v>0</v>
      </c>
      <c r="G206" s="89">
        <v>3000</v>
      </c>
      <c r="H206" s="90">
        <f t="shared" si="34"/>
        <v>0</v>
      </c>
      <c r="I206" s="90">
        <f t="shared" si="36"/>
        <v>0</v>
      </c>
      <c r="J206" s="90">
        <f t="shared" si="37"/>
        <v>0</v>
      </c>
      <c r="K206" s="90">
        <f t="shared" si="38"/>
        <v>0</v>
      </c>
      <c r="L206" s="90">
        <f t="shared" si="39"/>
        <v>0</v>
      </c>
      <c r="M206" s="90">
        <f t="shared" si="40"/>
        <v>0</v>
      </c>
      <c r="N206" s="91">
        <f t="shared" si="41"/>
        <v>0.1</v>
      </c>
      <c r="P206" s="92">
        <f>SUMIFS($J$2:J205,$B$2:B205,B206,$C$2:C205,C206)</f>
        <v>300</v>
      </c>
      <c r="Q206" s="92">
        <f t="shared" si="42"/>
        <v>2700</v>
      </c>
      <c r="R206" s="93">
        <f t="shared" si="43"/>
        <v>0</v>
      </c>
    </row>
    <row r="207" spans="1:18" x14ac:dyDescent="0.3">
      <c r="A207" s="87" t="s">
        <v>6</v>
      </c>
      <c r="B207" s="87" t="s">
        <v>56</v>
      </c>
      <c r="C207" s="101">
        <v>46300</v>
      </c>
      <c r="D207" s="89">
        <v>3000</v>
      </c>
      <c r="E207" s="89">
        <v>0</v>
      </c>
      <c r="F207" s="89">
        <f t="shared" si="35"/>
        <v>0</v>
      </c>
      <c r="G207" s="89">
        <v>3000</v>
      </c>
      <c r="H207" s="90">
        <f t="shared" si="34"/>
        <v>0</v>
      </c>
      <c r="I207" s="90">
        <f t="shared" si="36"/>
        <v>0</v>
      </c>
      <c r="J207" s="90">
        <f t="shared" si="37"/>
        <v>0</v>
      </c>
      <c r="K207" s="90">
        <f t="shared" si="38"/>
        <v>0</v>
      </c>
      <c r="L207" s="90">
        <f t="shared" si="39"/>
        <v>0</v>
      </c>
      <c r="M207" s="90">
        <f t="shared" si="40"/>
        <v>0</v>
      </c>
      <c r="N207" s="91">
        <f t="shared" si="41"/>
        <v>0</v>
      </c>
      <c r="P207" s="92">
        <f>SUMIFS($J$2:J206,$B$2:B206,B207,$C$2:C206,C207)</f>
        <v>0</v>
      </c>
      <c r="Q207" s="92">
        <f t="shared" si="42"/>
        <v>3000</v>
      </c>
      <c r="R207" s="93">
        <f t="shared" si="43"/>
        <v>0</v>
      </c>
    </row>
    <row r="208" spans="1:18" x14ac:dyDescent="0.3">
      <c r="A208" s="87" t="s">
        <v>6</v>
      </c>
      <c r="B208" s="87" t="s">
        <v>56</v>
      </c>
      <c r="C208" s="101">
        <v>46307</v>
      </c>
      <c r="D208" s="89">
        <v>3000</v>
      </c>
      <c r="E208" s="89">
        <v>1448</v>
      </c>
      <c r="F208" s="89">
        <f t="shared" si="35"/>
        <v>0</v>
      </c>
      <c r="G208" s="89">
        <v>3000</v>
      </c>
      <c r="H208" s="90">
        <f t="shared" si="34"/>
        <v>0</v>
      </c>
      <c r="I208" s="90">
        <f t="shared" si="36"/>
        <v>1448</v>
      </c>
      <c r="J208" s="90">
        <f t="shared" si="37"/>
        <v>1448</v>
      </c>
      <c r="K208" s="90">
        <f t="shared" si="38"/>
        <v>0</v>
      </c>
      <c r="L208" s="90">
        <f t="shared" si="39"/>
        <v>0</v>
      </c>
      <c r="M208" s="90">
        <f t="shared" si="40"/>
        <v>0</v>
      </c>
      <c r="N208" s="91">
        <f t="shared" si="41"/>
        <v>0.48266666666666669</v>
      </c>
      <c r="P208" s="92">
        <f>SUMIFS($J$2:J207,$B$2:B207,B208,$C$2:C207,C208)</f>
        <v>0</v>
      </c>
      <c r="Q208" s="92">
        <f t="shared" si="42"/>
        <v>3000</v>
      </c>
      <c r="R208" s="93">
        <f t="shared" si="43"/>
        <v>1448</v>
      </c>
    </row>
    <row r="209" spans="1:18" x14ac:dyDescent="0.3">
      <c r="A209" s="87" t="s">
        <v>6</v>
      </c>
      <c r="B209" s="87" t="s">
        <v>56</v>
      </c>
      <c r="C209" s="101">
        <v>46314</v>
      </c>
      <c r="D209" s="89">
        <v>3000</v>
      </c>
      <c r="E209" s="89">
        <v>1448</v>
      </c>
      <c r="F209" s="89">
        <f t="shared" si="35"/>
        <v>0</v>
      </c>
      <c r="G209" s="89">
        <v>3000</v>
      </c>
      <c r="H209" s="90">
        <f t="shared" si="34"/>
        <v>0</v>
      </c>
      <c r="I209" s="90">
        <f t="shared" si="36"/>
        <v>1448</v>
      </c>
      <c r="J209" s="90">
        <f t="shared" si="37"/>
        <v>1448</v>
      </c>
      <c r="K209" s="90">
        <f t="shared" si="38"/>
        <v>0</v>
      </c>
      <c r="L209" s="90">
        <f t="shared" si="39"/>
        <v>0</v>
      </c>
      <c r="M209" s="90">
        <f t="shared" si="40"/>
        <v>0</v>
      </c>
      <c r="N209" s="91">
        <f t="shared" si="41"/>
        <v>0.48266666666666669</v>
      </c>
      <c r="P209" s="92">
        <f>SUMIFS($J$2:J208,$B$2:B208,B209,$C$2:C208,C209)</f>
        <v>0</v>
      </c>
      <c r="Q209" s="92">
        <f t="shared" si="42"/>
        <v>3000</v>
      </c>
      <c r="R209" s="93">
        <f t="shared" si="43"/>
        <v>1448</v>
      </c>
    </row>
    <row r="210" spans="1:18" x14ac:dyDescent="0.3">
      <c r="A210" s="87" t="s">
        <v>6</v>
      </c>
      <c r="B210" s="87" t="s">
        <v>56</v>
      </c>
      <c r="C210" s="101">
        <v>46321</v>
      </c>
      <c r="D210" s="89">
        <v>3000</v>
      </c>
      <c r="E210" s="89">
        <v>1448</v>
      </c>
      <c r="F210" s="89">
        <f t="shared" si="35"/>
        <v>0</v>
      </c>
      <c r="G210" s="89">
        <v>3000</v>
      </c>
      <c r="H210" s="90">
        <f t="shared" si="34"/>
        <v>0</v>
      </c>
      <c r="I210" s="90">
        <f t="shared" si="36"/>
        <v>1448</v>
      </c>
      <c r="J210" s="90">
        <f t="shared" si="37"/>
        <v>1448</v>
      </c>
      <c r="K210" s="90">
        <f t="shared" si="38"/>
        <v>0</v>
      </c>
      <c r="L210" s="90">
        <f t="shared" si="39"/>
        <v>0</v>
      </c>
      <c r="M210" s="90">
        <f t="shared" si="40"/>
        <v>0</v>
      </c>
      <c r="N210" s="91">
        <f t="shared" si="41"/>
        <v>0.48266666666666669</v>
      </c>
      <c r="P210" s="92">
        <f>SUMIFS($J$2:J209,$B$2:B209,B210,$C$2:C209,C210)</f>
        <v>0</v>
      </c>
      <c r="Q210" s="92">
        <f t="shared" si="42"/>
        <v>3000</v>
      </c>
      <c r="R210" s="93">
        <f t="shared" si="43"/>
        <v>1448</v>
      </c>
    </row>
    <row r="211" spans="1:18" x14ac:dyDescent="0.3">
      <c r="A211" s="87" t="s">
        <v>6</v>
      </c>
      <c r="B211" s="87" t="s">
        <v>56</v>
      </c>
      <c r="C211" s="101">
        <v>46328</v>
      </c>
      <c r="D211" s="89">
        <v>3000</v>
      </c>
      <c r="E211" s="89">
        <v>1754</v>
      </c>
      <c r="F211" s="89">
        <f t="shared" si="35"/>
        <v>0</v>
      </c>
      <c r="G211" s="89">
        <v>3000</v>
      </c>
      <c r="H211" s="90">
        <f t="shared" si="34"/>
        <v>0</v>
      </c>
      <c r="I211" s="90">
        <f t="shared" si="36"/>
        <v>1754</v>
      </c>
      <c r="J211" s="90">
        <f t="shared" si="37"/>
        <v>1754</v>
      </c>
      <c r="K211" s="90">
        <f t="shared" si="38"/>
        <v>0</v>
      </c>
      <c r="L211" s="90">
        <f t="shared" si="39"/>
        <v>0</v>
      </c>
      <c r="M211" s="90">
        <f t="shared" si="40"/>
        <v>0</v>
      </c>
      <c r="N211" s="91">
        <f t="shared" si="41"/>
        <v>0.68466666666666665</v>
      </c>
      <c r="P211" s="92">
        <f>SUMIFS($J$2:J210,$B$2:B210,B211,$C$2:C210,C211)</f>
        <v>300</v>
      </c>
      <c r="Q211" s="92">
        <f t="shared" si="42"/>
        <v>2700</v>
      </c>
      <c r="R211" s="93">
        <f t="shared" si="43"/>
        <v>1754</v>
      </c>
    </row>
    <row r="212" spans="1:18" x14ac:dyDescent="0.3">
      <c r="A212" s="87" t="s">
        <v>6</v>
      </c>
      <c r="B212" s="87" t="s">
        <v>56</v>
      </c>
      <c r="C212" s="101">
        <v>46335</v>
      </c>
      <c r="D212" s="89">
        <v>3000</v>
      </c>
      <c r="E212" s="89">
        <v>1756</v>
      </c>
      <c r="F212" s="89">
        <f t="shared" si="35"/>
        <v>0</v>
      </c>
      <c r="G212" s="89">
        <v>3000</v>
      </c>
      <c r="H212" s="90">
        <f t="shared" si="34"/>
        <v>0</v>
      </c>
      <c r="I212" s="90">
        <f t="shared" si="36"/>
        <v>1756</v>
      </c>
      <c r="J212" s="90">
        <f t="shared" si="37"/>
        <v>1756</v>
      </c>
      <c r="K212" s="90">
        <f t="shared" si="38"/>
        <v>0</v>
      </c>
      <c r="L212" s="90">
        <f t="shared" si="39"/>
        <v>0</v>
      </c>
      <c r="M212" s="90">
        <f t="shared" si="40"/>
        <v>0</v>
      </c>
      <c r="N212" s="91">
        <f t="shared" si="41"/>
        <v>0.58533333333333337</v>
      </c>
      <c r="P212" s="92">
        <f>SUMIFS($J$2:J211,$B$2:B211,B212,$C$2:C211,C212)</f>
        <v>0</v>
      </c>
      <c r="Q212" s="92">
        <f t="shared" si="42"/>
        <v>3000</v>
      </c>
      <c r="R212" s="93">
        <f t="shared" si="43"/>
        <v>1756</v>
      </c>
    </row>
    <row r="213" spans="1:18" x14ac:dyDescent="0.3">
      <c r="A213" s="87" t="s">
        <v>6</v>
      </c>
      <c r="B213" s="87" t="s">
        <v>56</v>
      </c>
      <c r="C213" s="101">
        <v>46342</v>
      </c>
      <c r="D213" s="89">
        <v>3000</v>
      </c>
      <c r="E213" s="89">
        <v>1756</v>
      </c>
      <c r="F213" s="89">
        <f t="shared" si="35"/>
        <v>0</v>
      </c>
      <c r="G213" s="89">
        <v>3000</v>
      </c>
      <c r="H213" s="90">
        <f t="shared" si="34"/>
        <v>0</v>
      </c>
      <c r="I213" s="90">
        <f t="shared" si="36"/>
        <v>1756</v>
      </c>
      <c r="J213" s="90">
        <f t="shared" si="37"/>
        <v>1756</v>
      </c>
      <c r="K213" s="90">
        <f t="shared" si="38"/>
        <v>0</v>
      </c>
      <c r="L213" s="90">
        <f t="shared" si="39"/>
        <v>0</v>
      </c>
      <c r="M213" s="90">
        <f t="shared" si="40"/>
        <v>0</v>
      </c>
      <c r="N213" s="91">
        <f t="shared" si="41"/>
        <v>0.58533333333333337</v>
      </c>
      <c r="P213" s="92">
        <f>SUMIFS($J$2:J212,$B$2:B212,B213,$C$2:C212,C213)</f>
        <v>0</v>
      </c>
      <c r="Q213" s="92">
        <f t="shared" si="42"/>
        <v>3000</v>
      </c>
      <c r="R213" s="93">
        <f t="shared" si="43"/>
        <v>1756</v>
      </c>
    </row>
    <row r="214" spans="1:18" x14ac:dyDescent="0.3">
      <c r="A214" s="87" t="s">
        <v>6</v>
      </c>
      <c r="B214" s="87" t="s">
        <v>56</v>
      </c>
      <c r="C214" s="101">
        <v>46349</v>
      </c>
      <c r="D214" s="89">
        <v>3000</v>
      </c>
      <c r="E214" s="89">
        <v>1756</v>
      </c>
      <c r="F214" s="89">
        <f t="shared" si="35"/>
        <v>0</v>
      </c>
      <c r="G214" s="89">
        <v>3000</v>
      </c>
      <c r="H214" s="90">
        <f t="shared" si="34"/>
        <v>0</v>
      </c>
      <c r="I214" s="90">
        <f t="shared" si="36"/>
        <v>1756</v>
      </c>
      <c r="J214" s="90">
        <f t="shared" si="37"/>
        <v>1756</v>
      </c>
      <c r="K214" s="90">
        <f t="shared" si="38"/>
        <v>0</v>
      </c>
      <c r="L214" s="90">
        <f t="shared" si="39"/>
        <v>0</v>
      </c>
      <c r="M214" s="90">
        <f t="shared" si="40"/>
        <v>0</v>
      </c>
      <c r="N214" s="91">
        <f t="shared" si="41"/>
        <v>0.58533333333333337</v>
      </c>
      <c r="P214" s="92">
        <f>SUMIFS($J$2:J213,$B$2:B213,B214,$C$2:C213,C214)</f>
        <v>0</v>
      </c>
      <c r="Q214" s="92">
        <f t="shared" si="42"/>
        <v>3000</v>
      </c>
      <c r="R214" s="93">
        <f t="shared" si="43"/>
        <v>1756</v>
      </c>
    </row>
    <row r="215" spans="1:18" x14ac:dyDescent="0.3">
      <c r="A215" s="87" t="s">
        <v>6</v>
      </c>
      <c r="B215" s="87" t="s">
        <v>56</v>
      </c>
      <c r="C215" s="101">
        <v>46356</v>
      </c>
      <c r="D215" s="89">
        <v>3000</v>
      </c>
      <c r="E215" s="89">
        <v>1928</v>
      </c>
      <c r="F215" s="89">
        <f t="shared" si="35"/>
        <v>0</v>
      </c>
      <c r="G215" s="89">
        <v>3000</v>
      </c>
      <c r="H215" s="90">
        <f t="shared" si="34"/>
        <v>0</v>
      </c>
      <c r="I215" s="90">
        <f t="shared" si="36"/>
        <v>1928</v>
      </c>
      <c r="J215" s="90">
        <f t="shared" si="37"/>
        <v>1928</v>
      </c>
      <c r="K215" s="90">
        <f t="shared" si="38"/>
        <v>0</v>
      </c>
      <c r="L215" s="90">
        <f t="shared" si="39"/>
        <v>0</v>
      </c>
      <c r="M215" s="90">
        <f t="shared" si="40"/>
        <v>0</v>
      </c>
      <c r="N215" s="91">
        <f t="shared" si="41"/>
        <v>0.7426666666666667</v>
      </c>
      <c r="P215" s="92">
        <f>SUMIFS($J$2:J214,$B$2:B214,B215,$C$2:C214,C215)</f>
        <v>300</v>
      </c>
      <c r="Q215" s="92">
        <f t="shared" si="42"/>
        <v>2700</v>
      </c>
      <c r="R215" s="93">
        <f t="shared" si="43"/>
        <v>1928</v>
      </c>
    </row>
    <row r="216" spans="1:18" x14ac:dyDescent="0.3">
      <c r="A216" s="87" t="s">
        <v>6</v>
      </c>
      <c r="B216" s="87" t="s">
        <v>56</v>
      </c>
      <c r="C216" s="101">
        <v>46363</v>
      </c>
      <c r="D216" s="89">
        <v>3000</v>
      </c>
      <c r="E216" s="89">
        <v>1930</v>
      </c>
      <c r="F216" s="89">
        <f t="shared" si="35"/>
        <v>0</v>
      </c>
      <c r="G216" s="89">
        <v>3000</v>
      </c>
      <c r="H216" s="90">
        <f t="shared" si="34"/>
        <v>0</v>
      </c>
      <c r="I216" s="90">
        <f t="shared" si="36"/>
        <v>1930</v>
      </c>
      <c r="J216" s="90">
        <f t="shared" si="37"/>
        <v>1930</v>
      </c>
      <c r="K216" s="90">
        <f t="shared" si="38"/>
        <v>0</v>
      </c>
      <c r="L216" s="90">
        <f t="shared" si="39"/>
        <v>0</v>
      </c>
      <c r="M216" s="90">
        <f t="shared" si="40"/>
        <v>0</v>
      </c>
      <c r="N216" s="91">
        <f t="shared" si="41"/>
        <v>0.64333333333333331</v>
      </c>
      <c r="P216" s="92">
        <f>SUMIFS($J$2:J215,$B$2:B215,B216,$C$2:C215,C216)</f>
        <v>0</v>
      </c>
      <c r="Q216" s="92">
        <f t="shared" si="42"/>
        <v>3000</v>
      </c>
      <c r="R216" s="93">
        <f t="shared" si="43"/>
        <v>1930</v>
      </c>
    </row>
    <row r="217" spans="1:18" x14ac:dyDescent="0.3">
      <c r="A217" s="87" t="s">
        <v>6</v>
      </c>
      <c r="B217" s="87" t="s">
        <v>56</v>
      </c>
      <c r="C217" s="101">
        <v>46370</v>
      </c>
      <c r="D217" s="89">
        <v>3000</v>
      </c>
      <c r="E217" s="89">
        <v>1928</v>
      </c>
      <c r="F217" s="89">
        <f t="shared" si="35"/>
        <v>0</v>
      </c>
      <c r="G217" s="89">
        <v>3000</v>
      </c>
      <c r="H217" s="90">
        <f>0</f>
        <v>0</v>
      </c>
      <c r="I217" s="90">
        <f t="shared" si="36"/>
        <v>1928</v>
      </c>
      <c r="J217" s="90">
        <f t="shared" si="37"/>
        <v>1928</v>
      </c>
      <c r="K217" s="90">
        <f t="shared" si="38"/>
        <v>0</v>
      </c>
      <c r="L217" s="90">
        <f t="shared" si="39"/>
        <v>0</v>
      </c>
      <c r="M217" s="90">
        <f t="shared" si="40"/>
        <v>0</v>
      </c>
      <c r="N217" s="91">
        <f t="shared" si="41"/>
        <v>0.64266666666666672</v>
      </c>
      <c r="P217" s="92">
        <f>SUMIFS($J$2:J216,$B$2:B216,B217,$C$2:C216,C217)</f>
        <v>0</v>
      </c>
      <c r="Q217" s="92">
        <f t="shared" si="42"/>
        <v>3000</v>
      </c>
      <c r="R217" s="93">
        <f t="shared" si="43"/>
        <v>1928</v>
      </c>
    </row>
  </sheetData>
  <conditionalFormatting sqref="L2:L1000">
    <cfRule type="cellIs" dxfId="10" priority="1" operator="greaterThan">
      <formula>0</formula>
    </cfRule>
  </conditionalFormatting>
  <conditionalFormatting sqref="N2:N1000">
    <cfRule type="cellIs" dxfId="9" priority="2" operator="greaterThan">
      <formula>1</formula>
    </cfRule>
    <cfRule type="cellIs" dxfId="8" priority="3" operator="between">
      <formula>0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17"/>
  <sheetViews>
    <sheetView zoomScale="78" workbookViewId="0">
      <selection activeCell="O4" sqref="O4"/>
    </sheetView>
  </sheetViews>
  <sheetFormatPr defaultRowHeight="14.4" x14ac:dyDescent="0.3"/>
  <cols>
    <col min="1" max="1" width="8" customWidth="1"/>
    <col min="2" max="2" width="10" customWidth="1"/>
    <col min="3" max="3" width="13" customWidth="1"/>
    <col min="4" max="4" width="15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6" customWidth="1"/>
    <col min="11" max="11" width="12" customWidth="1"/>
    <col min="12" max="12" width="10" customWidth="1"/>
    <col min="14" max="14" width="14" customWidth="1"/>
    <col min="15" max="15" width="38" customWidth="1"/>
    <col min="16" max="16" width="20" customWidth="1"/>
    <col min="17" max="17" width="22" customWidth="1"/>
    <col min="18" max="18" width="15.44140625" bestFit="1" customWidth="1"/>
  </cols>
  <sheetData>
    <row r="1" spans="1:21" x14ac:dyDescent="0.3">
      <c r="A1" s="80" t="s">
        <v>92</v>
      </c>
      <c r="B1" s="80" t="s">
        <v>49</v>
      </c>
      <c r="C1" s="100" t="s">
        <v>0</v>
      </c>
      <c r="D1" s="80" t="s">
        <v>93</v>
      </c>
      <c r="E1" s="80" t="s">
        <v>82</v>
      </c>
      <c r="F1" s="80" t="s">
        <v>94</v>
      </c>
      <c r="G1" s="80" t="s">
        <v>95</v>
      </c>
      <c r="H1" s="80" t="s">
        <v>96</v>
      </c>
      <c r="I1" s="80" t="s">
        <v>97</v>
      </c>
      <c r="J1" s="80" t="s">
        <v>98</v>
      </c>
      <c r="K1" s="80" t="s">
        <v>99</v>
      </c>
      <c r="L1" s="80" t="s">
        <v>100</v>
      </c>
      <c r="M1" s="80" t="s">
        <v>101</v>
      </c>
      <c r="N1" s="80" t="s">
        <v>102</v>
      </c>
      <c r="O1" s="80" t="s">
        <v>103</v>
      </c>
      <c r="P1" s="80" t="s">
        <v>104</v>
      </c>
      <c r="Q1" s="80" t="s">
        <v>105</v>
      </c>
      <c r="R1" s="80" t="s">
        <v>106</v>
      </c>
      <c r="S1" s="104"/>
      <c r="T1" s="104"/>
      <c r="U1" s="105">
        <f>SUM(L:L)</f>
        <v>95363</v>
      </c>
    </row>
    <row r="2" spans="1:21" x14ac:dyDescent="0.3">
      <c r="A2" s="87" t="s">
        <v>1</v>
      </c>
      <c r="B2" s="87" t="s">
        <v>59</v>
      </c>
      <c r="C2" s="101">
        <v>46125</v>
      </c>
      <c r="D2" s="89">
        <v>15000</v>
      </c>
      <c r="E2" s="89">
        <v>0</v>
      </c>
      <c r="F2" s="89">
        <f>0</f>
        <v>0</v>
      </c>
      <c r="G2" s="89">
        <v>15000</v>
      </c>
      <c r="H2" s="90">
        <f t="shared" ref="H2:H36" si="0">MAX(0,H3+E3-Q3)</f>
        <v>0</v>
      </c>
      <c r="I2" s="90">
        <f t="shared" ref="I2:I65" si="1">MAX(0,E2+H2-F2)</f>
        <v>0</v>
      </c>
      <c r="J2" s="90">
        <f>IF(COUNTIFS(Scenario_Weekly_Plan!$A:$A,$A2,Scenario_Weekly_Plan!$B:$B,$C2)&gt;0,SUMIFS(Scenario_Weekly_Plan!$C:$C,Scenario_Weekly_Plan!$A:$A,$A2,Scenario_Weekly_Plan!$B:$B,$C2),MIN(Q2,I2,MAX(0,E2+G2-F2)))</f>
        <v>0</v>
      </c>
      <c r="K2" s="90">
        <f t="shared" ref="K2:K65" si="2">MIN(G2,MAX(0,F2+J2-E2))</f>
        <v>0</v>
      </c>
      <c r="L2" s="90">
        <f t="shared" ref="L2:L65" si="3">MAX(0,E2-F2-J2)</f>
        <v>0</v>
      </c>
      <c r="M2" s="90">
        <f t="shared" ref="M2:M65" si="4">MAX(0,F2+J2-E2)</f>
        <v>0</v>
      </c>
      <c r="N2" s="91">
        <f t="shared" ref="N2:N65" si="5">IFERROR(SUMIFS($J$2:$J$217,$B$2:$B$217,B2,$C$2:$C$217,C2)/D2,0)</f>
        <v>0.66666666666666663</v>
      </c>
      <c r="O2" s="61" t="str">
        <f>IF(COUNTIFS(Scenario_Weekly_Plan!$A:$A,$A2,Scenario_Weekly_Plan!$B:$B,$C2)&gt;0,"Scenario PP imported",MPS!O2)</f>
        <v>Scenario PP imported</v>
      </c>
      <c r="P2" s="92">
        <f>0</f>
        <v>0</v>
      </c>
      <c r="Q2" s="92">
        <f t="shared" ref="Q2:Q65" si="6">MAX(0,D2-P2)</f>
        <v>15000</v>
      </c>
      <c r="R2" s="106">
        <f t="shared" ref="R2:R65" si="7">MAX(0,MIN(E2,F2+J2))</f>
        <v>0</v>
      </c>
      <c r="S2" s="104"/>
      <c r="T2" s="104"/>
      <c r="U2" s="107">
        <f>SUM(E:E)</f>
        <v>680312</v>
      </c>
    </row>
    <row r="3" spans="1:21" ht="15" customHeight="1" x14ac:dyDescent="0.3">
      <c r="A3" s="87" t="s">
        <v>1</v>
      </c>
      <c r="B3" s="87" t="s">
        <v>59</v>
      </c>
      <c r="C3" s="101">
        <v>46132</v>
      </c>
      <c r="D3" s="89">
        <v>15000</v>
      </c>
      <c r="E3" s="89">
        <v>0</v>
      </c>
      <c r="F3" s="89">
        <f t="shared" ref="F3:F37" si="8">K2</f>
        <v>0</v>
      </c>
      <c r="G3" s="89">
        <v>15000</v>
      </c>
      <c r="H3" s="90">
        <f t="shared" si="0"/>
        <v>0</v>
      </c>
      <c r="I3" s="90">
        <f t="shared" si="1"/>
        <v>0</v>
      </c>
      <c r="J3" s="90">
        <f>IF(COUNTIFS(Scenario_Weekly_Plan!$A:$A,$A3,Scenario_Weekly_Plan!$B:$B,$C3)&gt;0,SUMIFS(Scenario_Weekly_Plan!$C:$C,Scenario_Weekly_Plan!$A:$A,$A3,Scenario_Weekly_Plan!$B:$B,$C3),MIN(Q3,I3,MAX(0,E3+G3-F3)))</f>
        <v>5510</v>
      </c>
      <c r="K3" s="90">
        <f t="shared" si="2"/>
        <v>5510</v>
      </c>
      <c r="L3" s="90">
        <f t="shared" si="3"/>
        <v>0</v>
      </c>
      <c r="M3" s="90">
        <f t="shared" si="4"/>
        <v>5510</v>
      </c>
      <c r="N3" s="91">
        <f t="shared" si="5"/>
        <v>1</v>
      </c>
      <c r="O3" s="61" t="str">
        <f>IF(COUNTIFS(Scenario_Weekly_Plan!$A:$A,$A3,Scenario_Weekly_Plan!$B:$B,$C3)&gt;0,"Scenario PP imported",MPS!O3)</f>
        <v>Scenario PP imported</v>
      </c>
      <c r="P3" s="92">
        <f>SUMIFS($J$2:J2,$B$2:B2,B3,$C$2:C2,C3)</f>
        <v>0</v>
      </c>
      <c r="Q3" s="92">
        <f t="shared" si="6"/>
        <v>15000</v>
      </c>
      <c r="R3" s="106">
        <f t="shared" si="7"/>
        <v>0</v>
      </c>
      <c r="S3" s="104"/>
      <c r="T3" s="104"/>
      <c r="U3" s="108">
        <f>U1/U2</f>
        <v>0.14017539011512364</v>
      </c>
    </row>
    <row r="4" spans="1:21" x14ac:dyDescent="0.3">
      <c r="A4" s="87" t="s">
        <v>1</v>
      </c>
      <c r="B4" s="87" t="s">
        <v>59</v>
      </c>
      <c r="C4" s="101">
        <v>46139</v>
      </c>
      <c r="D4" s="89">
        <v>15000</v>
      </c>
      <c r="E4" s="89">
        <v>684</v>
      </c>
      <c r="F4" s="89">
        <f t="shared" si="8"/>
        <v>5510</v>
      </c>
      <c r="G4" s="89">
        <v>15000</v>
      </c>
      <c r="H4" s="90">
        <f t="shared" si="0"/>
        <v>10000</v>
      </c>
      <c r="I4" s="90">
        <f t="shared" si="1"/>
        <v>5174</v>
      </c>
      <c r="J4" s="90">
        <f>IF(COUNTIFS(Scenario_Weekly_Plan!$A:$A,$A4,Scenario_Weekly_Plan!$B:$B,$C4)&gt;0,SUMIFS(Scenario_Weekly_Plan!$C:$C,Scenario_Weekly_Plan!$A:$A,$A4,Scenario_Weekly_Plan!$B:$B,$C4),MIN(Q4,I4,MAX(0,E4+G4-F4)))</f>
        <v>7000</v>
      </c>
      <c r="K4" s="90">
        <f t="shared" si="2"/>
        <v>11826</v>
      </c>
      <c r="L4" s="90">
        <f t="shared" si="3"/>
        <v>0</v>
      </c>
      <c r="M4" s="90">
        <f t="shared" si="4"/>
        <v>11826</v>
      </c>
      <c r="N4" s="91">
        <f t="shared" si="5"/>
        <v>1</v>
      </c>
      <c r="O4" s="104" t="str">
        <f>IF(COUNTIFS(Scenario_Weekly_Plan!$A:$A,$A4,Scenario_Weekly_Plan!$B:$B,$C4)&gt;0,"Scenario PP imported",MPS!O4)</f>
        <v>Scenario PP imported</v>
      </c>
      <c r="P4" s="92">
        <f>SUMIFS($J$2:J3,$B$2:B3,B4,$C$2:C3,C4)</f>
        <v>0</v>
      </c>
      <c r="Q4" s="92">
        <f t="shared" si="6"/>
        <v>15000</v>
      </c>
      <c r="R4" s="106">
        <f t="shared" si="7"/>
        <v>684</v>
      </c>
      <c r="S4" s="104"/>
      <c r="T4" s="104"/>
      <c r="U4" s="104"/>
    </row>
    <row r="5" spans="1:21" x14ac:dyDescent="0.3">
      <c r="A5" s="87" t="s">
        <v>1</v>
      </c>
      <c r="B5" s="87" t="s">
        <v>59</v>
      </c>
      <c r="C5" s="101">
        <v>46146</v>
      </c>
      <c r="D5" s="89">
        <v>15000</v>
      </c>
      <c r="E5" s="89">
        <v>20000</v>
      </c>
      <c r="F5" s="89">
        <f t="shared" si="8"/>
        <v>11826</v>
      </c>
      <c r="G5" s="89">
        <v>15000</v>
      </c>
      <c r="H5" s="90">
        <f t="shared" si="0"/>
        <v>5000</v>
      </c>
      <c r="I5" s="90">
        <f t="shared" si="1"/>
        <v>13174</v>
      </c>
      <c r="J5" s="90">
        <f>IF(COUNTIFS(Scenario_Weekly_Plan!$A:$A,$A5,Scenario_Weekly_Plan!$B:$B,$C5)&gt;0,SUMIFS(Scenario_Weekly_Plan!$C:$C,Scenario_Weekly_Plan!$A:$A,$A5,Scenario_Weekly_Plan!$B:$B,$C5),MIN(Q5,I5,MAX(0,E5+G5-F5)))</f>
        <v>15000</v>
      </c>
      <c r="K5" s="90">
        <f t="shared" si="2"/>
        <v>6826</v>
      </c>
      <c r="L5" s="90">
        <f t="shared" si="3"/>
        <v>0</v>
      </c>
      <c r="M5" s="90">
        <f t="shared" si="4"/>
        <v>6826</v>
      </c>
      <c r="N5" s="91">
        <f t="shared" si="5"/>
        <v>1</v>
      </c>
      <c r="O5" s="104" t="str">
        <f>IF(COUNTIFS(Scenario_Weekly_Plan!$A:$A,$A5,Scenario_Weekly_Plan!$B:$B,$C5)&gt;0,"Scenario PP imported",MPS!O5)</f>
        <v>Scenario PP imported</v>
      </c>
      <c r="P5" s="92">
        <f>SUMIFS($J$2:J4,$B$2:B4,B5,$C$2:C4,C5)</f>
        <v>0</v>
      </c>
      <c r="Q5" s="92">
        <f t="shared" si="6"/>
        <v>15000</v>
      </c>
      <c r="R5" s="106">
        <f t="shared" si="7"/>
        <v>20000</v>
      </c>
      <c r="S5" s="104"/>
      <c r="T5" s="104"/>
      <c r="U5" s="104"/>
    </row>
    <row r="6" spans="1:21" x14ac:dyDescent="0.3">
      <c r="A6" s="87" t="s">
        <v>1</v>
      </c>
      <c r="B6" s="87" t="s">
        <v>59</v>
      </c>
      <c r="C6" s="101">
        <v>46153</v>
      </c>
      <c r="D6" s="89">
        <v>15000</v>
      </c>
      <c r="E6" s="89">
        <v>20000</v>
      </c>
      <c r="F6" s="89">
        <f t="shared" si="8"/>
        <v>6826</v>
      </c>
      <c r="G6" s="89">
        <v>15000</v>
      </c>
      <c r="H6" s="90">
        <f t="shared" si="0"/>
        <v>0</v>
      </c>
      <c r="I6" s="90">
        <f t="shared" si="1"/>
        <v>13174</v>
      </c>
      <c r="J6" s="90">
        <f>IF(COUNTIFS(Scenario_Weekly_Plan!$A:$A,$A6,Scenario_Weekly_Plan!$B:$B,$C6)&gt;0,SUMIFS(Scenario_Weekly_Plan!$C:$C,Scenario_Weekly_Plan!$A:$A,$A6,Scenario_Weekly_Plan!$B:$B,$C6),MIN(Q6,I6,MAX(0,E6+G6-F6)))</f>
        <v>12500</v>
      </c>
      <c r="K6" s="90">
        <f t="shared" si="2"/>
        <v>0</v>
      </c>
      <c r="L6" s="90">
        <f t="shared" si="3"/>
        <v>674</v>
      </c>
      <c r="M6" s="90">
        <f t="shared" si="4"/>
        <v>0</v>
      </c>
      <c r="N6" s="91">
        <f t="shared" si="5"/>
        <v>0.83333333333333337</v>
      </c>
      <c r="O6" s="104" t="str">
        <f>IF(COUNTIFS(Scenario_Weekly_Plan!$A:$A,$A6,Scenario_Weekly_Plan!$B:$B,$C6)&gt;0,"Scenario PP imported",MPS!O6)</f>
        <v>Scenario PP imported</v>
      </c>
      <c r="P6" s="92">
        <f>SUMIFS($J$2:J5,$B$2:B5,B6,$C$2:C5,C6)</f>
        <v>0</v>
      </c>
      <c r="Q6" s="92">
        <f t="shared" si="6"/>
        <v>15000</v>
      </c>
      <c r="R6" s="106">
        <f t="shared" si="7"/>
        <v>19326</v>
      </c>
      <c r="S6" s="104"/>
      <c r="T6" s="104"/>
      <c r="U6" s="104"/>
    </row>
    <row r="7" spans="1:21" x14ac:dyDescent="0.3">
      <c r="A7" s="87" t="s">
        <v>1</v>
      </c>
      <c r="B7" s="87" t="s">
        <v>59</v>
      </c>
      <c r="C7" s="101">
        <v>46160</v>
      </c>
      <c r="D7" s="89">
        <v>15000</v>
      </c>
      <c r="E7" s="89">
        <v>11000</v>
      </c>
      <c r="F7" s="89">
        <f t="shared" si="8"/>
        <v>0</v>
      </c>
      <c r="G7" s="89">
        <v>15000</v>
      </c>
      <c r="H7" s="90">
        <f t="shared" si="0"/>
        <v>0</v>
      </c>
      <c r="I7" s="90">
        <f t="shared" si="1"/>
        <v>11000</v>
      </c>
      <c r="J7" s="90">
        <f>IF(COUNTIFS(Scenario_Weekly_Plan!$A:$A,$A7,Scenario_Weekly_Plan!$B:$B,$C7)&gt;0,SUMIFS(Scenario_Weekly_Plan!$C:$C,Scenario_Weekly_Plan!$A:$A,$A7,Scenario_Weekly_Plan!$B:$B,$C7),MIN(Q7,I7,MAX(0,E7+G7-F7)))</f>
        <v>11000</v>
      </c>
      <c r="K7" s="90">
        <f t="shared" si="2"/>
        <v>0</v>
      </c>
      <c r="L7" s="90">
        <f t="shared" si="3"/>
        <v>0</v>
      </c>
      <c r="M7" s="90">
        <f t="shared" si="4"/>
        <v>0</v>
      </c>
      <c r="N7" s="91">
        <f t="shared" si="5"/>
        <v>1</v>
      </c>
      <c r="O7" s="104">
        <f>IF(COUNTIFS(Scenario_Weekly_Plan!$A:$A,$A7,Scenario_Weekly_Plan!$B:$B,$C7)&gt;0,"Scenario PP imported",MPS!O7)</f>
        <v>0</v>
      </c>
      <c r="P7" s="92">
        <f>SUMIFS($J$2:J6,$B$2:B6,B7,$C$2:C6,C7)</f>
        <v>0</v>
      </c>
      <c r="Q7" s="92">
        <f t="shared" si="6"/>
        <v>15000</v>
      </c>
      <c r="R7" s="106">
        <f t="shared" si="7"/>
        <v>11000</v>
      </c>
      <c r="S7" s="104"/>
      <c r="T7" s="104"/>
      <c r="U7" s="104"/>
    </row>
    <row r="8" spans="1:21" x14ac:dyDescent="0.3">
      <c r="A8" s="87" t="s">
        <v>1</v>
      </c>
      <c r="B8" s="87" t="s">
        <v>59</v>
      </c>
      <c r="C8" s="101">
        <v>46167</v>
      </c>
      <c r="D8" s="89">
        <v>15000</v>
      </c>
      <c r="E8" s="89">
        <v>13000</v>
      </c>
      <c r="F8" s="89">
        <f t="shared" si="8"/>
        <v>0</v>
      </c>
      <c r="G8" s="89">
        <v>15000</v>
      </c>
      <c r="H8" s="90">
        <f t="shared" si="0"/>
        <v>0</v>
      </c>
      <c r="I8" s="90">
        <f t="shared" si="1"/>
        <v>13000</v>
      </c>
      <c r="J8" s="90">
        <f>IF(COUNTIFS(Scenario_Weekly_Plan!$A:$A,$A8,Scenario_Weekly_Plan!$B:$B,$C8)&gt;0,SUMIFS(Scenario_Weekly_Plan!$C:$C,Scenario_Weekly_Plan!$A:$A,$A8,Scenario_Weekly_Plan!$B:$B,$C8),MIN(Q8,I8,MAX(0,E8+G8-F8)))</f>
        <v>13000</v>
      </c>
      <c r="K8" s="90">
        <f t="shared" si="2"/>
        <v>0</v>
      </c>
      <c r="L8" s="90">
        <f t="shared" si="3"/>
        <v>0</v>
      </c>
      <c r="M8" s="90">
        <f t="shared" si="4"/>
        <v>0</v>
      </c>
      <c r="N8" s="91">
        <f t="shared" si="5"/>
        <v>1</v>
      </c>
      <c r="O8" s="104">
        <f>IF(COUNTIFS(Scenario_Weekly_Plan!$A:$A,$A8,Scenario_Weekly_Plan!$B:$B,$C8)&gt;0,"Scenario PP imported",MPS!O8)</f>
        <v>0</v>
      </c>
      <c r="P8" s="92">
        <f>SUMIFS($J$2:J7,$B$2:B7,B8,$C$2:C7,C8)</f>
        <v>0</v>
      </c>
      <c r="Q8" s="92">
        <f t="shared" si="6"/>
        <v>15000</v>
      </c>
      <c r="R8" s="106">
        <f t="shared" si="7"/>
        <v>13000</v>
      </c>
      <c r="S8" s="104"/>
      <c r="T8" s="104"/>
      <c r="U8" s="104"/>
    </row>
    <row r="9" spans="1:21" x14ac:dyDescent="0.3">
      <c r="A9" s="87" t="s">
        <v>1</v>
      </c>
      <c r="B9" s="87" t="s">
        <v>59</v>
      </c>
      <c r="C9" s="101">
        <v>46174</v>
      </c>
      <c r="D9" s="89">
        <v>15000</v>
      </c>
      <c r="E9" s="89">
        <v>13773</v>
      </c>
      <c r="F9" s="89">
        <f t="shared" si="8"/>
        <v>0</v>
      </c>
      <c r="G9" s="89">
        <v>15000</v>
      </c>
      <c r="H9" s="90">
        <f t="shared" si="0"/>
        <v>0</v>
      </c>
      <c r="I9" s="90">
        <f t="shared" si="1"/>
        <v>13773</v>
      </c>
      <c r="J9" s="90">
        <f>IF(COUNTIFS(Scenario_Weekly_Plan!$A:$A,$A9,Scenario_Weekly_Plan!$B:$B,$C9)&gt;0,SUMIFS(Scenario_Weekly_Plan!$C:$C,Scenario_Weekly_Plan!$A:$A,$A9,Scenario_Weekly_Plan!$B:$B,$C9),MIN(Q9,I9,MAX(0,E9+G9-F9)))</f>
        <v>13773</v>
      </c>
      <c r="K9" s="90">
        <f t="shared" si="2"/>
        <v>0</v>
      </c>
      <c r="L9" s="90">
        <f t="shared" si="3"/>
        <v>0</v>
      </c>
      <c r="M9" s="90">
        <f t="shared" si="4"/>
        <v>0</v>
      </c>
      <c r="N9" s="91">
        <f t="shared" si="5"/>
        <v>1</v>
      </c>
      <c r="O9" s="104">
        <f>IF(COUNTIFS(Scenario_Weekly_Plan!$A:$A,$A9,Scenario_Weekly_Plan!$B:$B,$C9)&gt;0,"Scenario PP imported",MPS!O9)</f>
        <v>0</v>
      </c>
      <c r="P9" s="92">
        <f>SUMIFS($J$2:J8,$B$2:B8,B9,$C$2:C8,C9)</f>
        <v>0</v>
      </c>
      <c r="Q9" s="92">
        <f t="shared" si="6"/>
        <v>15000</v>
      </c>
      <c r="R9" s="106">
        <f t="shared" si="7"/>
        <v>13773</v>
      </c>
      <c r="S9" s="104"/>
      <c r="T9" s="104"/>
      <c r="U9" s="104"/>
    </row>
    <row r="10" spans="1:21" x14ac:dyDescent="0.3">
      <c r="A10" s="87" t="s">
        <v>1</v>
      </c>
      <c r="B10" s="87" t="s">
        <v>59</v>
      </c>
      <c r="C10" s="101">
        <v>46181</v>
      </c>
      <c r="D10" s="89">
        <v>15000</v>
      </c>
      <c r="E10" s="89">
        <v>7058</v>
      </c>
      <c r="F10" s="89">
        <f t="shared" si="8"/>
        <v>0</v>
      </c>
      <c r="G10" s="89">
        <v>15000</v>
      </c>
      <c r="H10" s="90">
        <f t="shared" si="0"/>
        <v>0</v>
      </c>
      <c r="I10" s="90">
        <f t="shared" si="1"/>
        <v>7058</v>
      </c>
      <c r="J10" s="90">
        <f>IF(COUNTIFS(Scenario_Weekly_Plan!$A:$A,$A10,Scenario_Weekly_Plan!$B:$B,$C10)&gt;0,SUMIFS(Scenario_Weekly_Plan!$C:$C,Scenario_Weekly_Plan!$A:$A,$A10,Scenario_Weekly_Plan!$B:$B,$C10),MIN(Q10,I10,MAX(0,E10+G10-F10)))</f>
        <v>7058</v>
      </c>
      <c r="K10" s="90">
        <f t="shared" si="2"/>
        <v>0</v>
      </c>
      <c r="L10" s="90">
        <f t="shared" si="3"/>
        <v>0</v>
      </c>
      <c r="M10" s="90">
        <f t="shared" si="4"/>
        <v>0</v>
      </c>
      <c r="N10" s="91">
        <f t="shared" si="5"/>
        <v>0.82446666666666668</v>
      </c>
      <c r="O10" s="104">
        <f>IF(COUNTIFS(Scenario_Weekly_Plan!$A:$A,$A10,Scenario_Weekly_Plan!$B:$B,$C10)&gt;0,"Scenario PP imported",MPS!O10)</f>
        <v>0</v>
      </c>
      <c r="P10" s="92">
        <f>SUMIFS($J$2:J9,$B$2:B9,B10,$C$2:C9,C10)</f>
        <v>0</v>
      </c>
      <c r="Q10" s="92">
        <f t="shared" si="6"/>
        <v>15000</v>
      </c>
      <c r="R10" s="106">
        <f t="shared" si="7"/>
        <v>7058</v>
      </c>
      <c r="S10" s="104"/>
      <c r="T10" s="104"/>
      <c r="U10" s="104"/>
    </row>
    <row r="11" spans="1:21" x14ac:dyDescent="0.3">
      <c r="A11" s="87" t="s">
        <v>1</v>
      </c>
      <c r="B11" s="87" t="s">
        <v>59</v>
      </c>
      <c r="C11" s="101">
        <v>46188</v>
      </c>
      <c r="D11" s="89">
        <v>15000</v>
      </c>
      <c r="E11" s="89">
        <v>2040</v>
      </c>
      <c r="F11" s="89">
        <f t="shared" si="8"/>
        <v>0</v>
      </c>
      <c r="G11" s="89">
        <v>15000</v>
      </c>
      <c r="H11" s="90">
        <f t="shared" si="0"/>
        <v>0</v>
      </c>
      <c r="I11" s="90">
        <f t="shared" si="1"/>
        <v>2040</v>
      </c>
      <c r="J11" s="90">
        <f>IF(COUNTIFS(Scenario_Weekly_Plan!$A:$A,$A11,Scenario_Weekly_Plan!$B:$B,$C11)&gt;0,SUMIFS(Scenario_Weekly_Plan!$C:$C,Scenario_Weekly_Plan!$A:$A,$A11,Scenario_Weekly_Plan!$B:$B,$C11),MIN(Q11,I11,MAX(0,E11+G11-F11)))</f>
        <v>2040</v>
      </c>
      <c r="K11" s="90">
        <f t="shared" si="2"/>
        <v>0</v>
      </c>
      <c r="L11" s="90">
        <f t="shared" si="3"/>
        <v>0</v>
      </c>
      <c r="M11" s="90">
        <f t="shared" si="4"/>
        <v>0</v>
      </c>
      <c r="N11" s="91">
        <f t="shared" si="5"/>
        <v>0.48993333333333333</v>
      </c>
      <c r="O11" s="104">
        <f>IF(COUNTIFS(Scenario_Weekly_Plan!$A:$A,$A11,Scenario_Weekly_Plan!$B:$B,$C11)&gt;0,"Scenario PP imported",MPS!O11)</f>
        <v>0</v>
      </c>
      <c r="P11" s="92">
        <f>SUMIFS($J$2:J10,$B$2:B10,B11,$C$2:C10,C11)</f>
        <v>0</v>
      </c>
      <c r="Q11" s="92">
        <f t="shared" si="6"/>
        <v>15000</v>
      </c>
      <c r="R11" s="106">
        <f t="shared" si="7"/>
        <v>2040</v>
      </c>
      <c r="S11" s="104"/>
      <c r="T11" s="104"/>
      <c r="U11" s="104"/>
    </row>
    <row r="12" spans="1:21" x14ac:dyDescent="0.3">
      <c r="A12" s="87" t="s">
        <v>1</v>
      </c>
      <c r="B12" s="87" t="s">
        <v>59</v>
      </c>
      <c r="C12" s="101">
        <v>46195</v>
      </c>
      <c r="D12" s="89">
        <v>15000</v>
      </c>
      <c r="E12" s="89">
        <v>3541</v>
      </c>
      <c r="F12" s="89">
        <f t="shared" si="8"/>
        <v>0</v>
      </c>
      <c r="G12" s="89">
        <v>15000</v>
      </c>
      <c r="H12" s="90">
        <f t="shared" si="0"/>
        <v>0</v>
      </c>
      <c r="I12" s="90">
        <f t="shared" si="1"/>
        <v>3541</v>
      </c>
      <c r="J12" s="90">
        <f>IF(COUNTIFS(Scenario_Weekly_Plan!$A:$A,$A12,Scenario_Weekly_Plan!$B:$B,$C12)&gt;0,SUMIFS(Scenario_Weekly_Plan!$C:$C,Scenario_Weekly_Plan!$A:$A,$A12,Scenario_Weekly_Plan!$B:$B,$C12),MIN(Q12,I12,MAX(0,E12+G12-F12)))</f>
        <v>3541</v>
      </c>
      <c r="K12" s="90">
        <f t="shared" si="2"/>
        <v>0</v>
      </c>
      <c r="L12" s="90">
        <f t="shared" si="3"/>
        <v>0</v>
      </c>
      <c r="M12" s="90">
        <f t="shared" si="4"/>
        <v>0</v>
      </c>
      <c r="N12" s="91">
        <f t="shared" si="5"/>
        <v>0.44146666666666667</v>
      </c>
      <c r="O12" s="104">
        <f>IF(COUNTIFS(Scenario_Weekly_Plan!$A:$A,$A12,Scenario_Weekly_Plan!$B:$B,$C12)&gt;0,"Scenario PP imported",MPS!O12)</f>
        <v>0</v>
      </c>
      <c r="P12" s="92">
        <f>SUMIFS($J$2:J11,$B$2:B11,B12,$C$2:C11,C12)</f>
        <v>0</v>
      </c>
      <c r="Q12" s="92">
        <f t="shared" si="6"/>
        <v>15000</v>
      </c>
      <c r="R12" s="106">
        <f t="shared" si="7"/>
        <v>3541</v>
      </c>
      <c r="S12" s="104"/>
      <c r="T12" s="104"/>
      <c r="U12" s="104"/>
    </row>
    <row r="13" spans="1:21" x14ac:dyDescent="0.3">
      <c r="A13" s="87" t="s">
        <v>1</v>
      </c>
      <c r="B13" s="87" t="s">
        <v>59</v>
      </c>
      <c r="C13" s="101">
        <v>46202</v>
      </c>
      <c r="D13" s="89">
        <v>15000</v>
      </c>
      <c r="E13" s="89">
        <v>12041</v>
      </c>
      <c r="F13" s="89">
        <f t="shared" si="8"/>
        <v>0</v>
      </c>
      <c r="G13" s="89">
        <v>15000</v>
      </c>
      <c r="H13" s="90">
        <f t="shared" si="0"/>
        <v>0</v>
      </c>
      <c r="I13" s="90">
        <f t="shared" si="1"/>
        <v>12041</v>
      </c>
      <c r="J13" s="90">
        <f>IF(COUNTIFS(Scenario_Weekly_Plan!$A:$A,$A13,Scenario_Weekly_Plan!$B:$B,$C13)&gt;0,SUMIFS(Scenario_Weekly_Plan!$C:$C,Scenario_Weekly_Plan!$A:$A,$A13,Scenario_Weekly_Plan!$B:$B,$C13),MIN(Q13,I13,MAX(0,E13+G13-F13)))</f>
        <v>12041</v>
      </c>
      <c r="K13" s="90">
        <f t="shared" si="2"/>
        <v>0</v>
      </c>
      <c r="L13" s="90">
        <f t="shared" si="3"/>
        <v>0</v>
      </c>
      <c r="M13" s="90">
        <f t="shared" si="4"/>
        <v>0</v>
      </c>
      <c r="N13" s="91">
        <f t="shared" si="5"/>
        <v>1</v>
      </c>
      <c r="O13" s="104">
        <f>IF(COUNTIFS(Scenario_Weekly_Plan!$A:$A,$A13,Scenario_Weekly_Plan!$B:$B,$C13)&gt;0,"Scenario PP imported",MPS!O13)</f>
        <v>0</v>
      </c>
      <c r="P13" s="92">
        <f>SUMIFS($J$2:J12,$B$2:B12,B13,$C$2:C12,C13)</f>
        <v>0</v>
      </c>
      <c r="Q13" s="92">
        <f t="shared" si="6"/>
        <v>15000</v>
      </c>
      <c r="R13" s="106">
        <f t="shared" si="7"/>
        <v>12041</v>
      </c>
      <c r="S13" s="104"/>
      <c r="T13" s="104"/>
      <c r="U13" s="104"/>
    </row>
    <row r="14" spans="1:21" x14ac:dyDescent="0.3">
      <c r="A14" s="87" t="s">
        <v>1</v>
      </c>
      <c r="B14" s="87" t="s">
        <v>59</v>
      </c>
      <c r="C14" s="101">
        <v>46209</v>
      </c>
      <c r="D14" s="89">
        <v>15000</v>
      </c>
      <c r="E14" s="89">
        <v>12040</v>
      </c>
      <c r="F14" s="89">
        <f t="shared" si="8"/>
        <v>0</v>
      </c>
      <c r="G14" s="89">
        <v>15000</v>
      </c>
      <c r="H14" s="90">
        <f t="shared" si="0"/>
        <v>0</v>
      </c>
      <c r="I14" s="90">
        <f t="shared" si="1"/>
        <v>12040</v>
      </c>
      <c r="J14" s="90">
        <f>IF(COUNTIFS(Scenario_Weekly_Plan!$A:$A,$A14,Scenario_Weekly_Plan!$B:$B,$C14)&gt;0,SUMIFS(Scenario_Weekly_Plan!$C:$C,Scenario_Weekly_Plan!$A:$A,$A14,Scenario_Weekly_Plan!$B:$B,$C14),MIN(Q14,I14,MAX(0,E14+G14-F14)))</f>
        <v>12040</v>
      </c>
      <c r="K14" s="90">
        <f t="shared" si="2"/>
        <v>0</v>
      </c>
      <c r="L14" s="90">
        <f t="shared" si="3"/>
        <v>0</v>
      </c>
      <c r="M14" s="90">
        <f t="shared" si="4"/>
        <v>0</v>
      </c>
      <c r="N14" s="91">
        <f t="shared" si="5"/>
        <v>1</v>
      </c>
      <c r="O14" s="104">
        <f>IF(COUNTIFS(Scenario_Weekly_Plan!$A:$A,$A14,Scenario_Weekly_Plan!$B:$B,$C14)&gt;0,"Scenario PP imported",MPS!O14)</f>
        <v>0</v>
      </c>
      <c r="P14" s="92">
        <f>SUMIFS($J$2:J13,$B$2:B13,B14,$C$2:C13,C14)</f>
        <v>0</v>
      </c>
      <c r="Q14" s="92">
        <f t="shared" si="6"/>
        <v>15000</v>
      </c>
      <c r="R14" s="106">
        <f t="shared" si="7"/>
        <v>12040</v>
      </c>
      <c r="S14" s="104"/>
      <c r="T14" s="104"/>
      <c r="U14" s="104"/>
    </row>
    <row r="15" spans="1:21" x14ac:dyDescent="0.3">
      <c r="A15" s="87" t="s">
        <v>1</v>
      </c>
      <c r="B15" s="87" t="s">
        <v>59</v>
      </c>
      <c r="C15" s="101">
        <v>46216</v>
      </c>
      <c r="D15" s="89">
        <v>15000</v>
      </c>
      <c r="E15" s="89">
        <v>0</v>
      </c>
      <c r="F15" s="89">
        <f t="shared" si="8"/>
        <v>0</v>
      </c>
      <c r="G15" s="89">
        <v>15000</v>
      </c>
      <c r="H15" s="90">
        <f t="shared" si="0"/>
        <v>9246</v>
      </c>
      <c r="I15" s="90">
        <f t="shared" si="1"/>
        <v>9246</v>
      </c>
      <c r="J15" s="90">
        <f>IF(COUNTIFS(Scenario_Weekly_Plan!$A:$A,$A15,Scenario_Weekly_Plan!$B:$B,$C15)&gt;0,SUMIFS(Scenario_Weekly_Plan!$C:$C,Scenario_Weekly_Plan!$A:$A,$A15,Scenario_Weekly_Plan!$B:$B,$C15),MIN(Q15,I15,MAX(0,E15+G15-F15)))</f>
        <v>9246</v>
      </c>
      <c r="K15" s="90">
        <f t="shared" si="2"/>
        <v>9246</v>
      </c>
      <c r="L15" s="90">
        <f t="shared" si="3"/>
        <v>0</v>
      </c>
      <c r="M15" s="90">
        <f t="shared" si="4"/>
        <v>9246</v>
      </c>
      <c r="N15" s="91">
        <f t="shared" si="5"/>
        <v>0.81640000000000001</v>
      </c>
      <c r="O15" s="104">
        <f>IF(COUNTIFS(Scenario_Weekly_Plan!$A:$A,$A15,Scenario_Weekly_Plan!$B:$B,$C15)&gt;0,"Scenario PP imported",MPS!O15)</f>
        <v>0</v>
      </c>
      <c r="P15" s="92">
        <f>SUMIFS($J$2:J14,$B$2:B14,B15,$C$2:C14,C15)</f>
        <v>0</v>
      </c>
      <c r="Q15" s="92">
        <f t="shared" si="6"/>
        <v>15000</v>
      </c>
      <c r="R15" s="106">
        <f t="shared" si="7"/>
        <v>0</v>
      </c>
      <c r="S15" s="104"/>
      <c r="T15" s="104"/>
      <c r="U15" s="104"/>
    </row>
    <row r="16" spans="1:21" x14ac:dyDescent="0.3">
      <c r="A16" s="87" t="s">
        <v>1</v>
      </c>
      <c r="B16" s="87" t="s">
        <v>59</v>
      </c>
      <c r="C16" s="101">
        <v>46223</v>
      </c>
      <c r="D16" s="89">
        <v>15000</v>
      </c>
      <c r="E16" s="89">
        <v>0</v>
      </c>
      <c r="F16" s="89">
        <f t="shared" si="8"/>
        <v>9246</v>
      </c>
      <c r="G16" s="89">
        <v>15000</v>
      </c>
      <c r="H16" s="90">
        <f t="shared" si="0"/>
        <v>24246</v>
      </c>
      <c r="I16" s="90">
        <f t="shared" si="1"/>
        <v>15000</v>
      </c>
      <c r="J16" s="90">
        <f>IF(COUNTIFS(Scenario_Weekly_Plan!$A:$A,$A16,Scenario_Weekly_Plan!$B:$B,$C16)&gt;0,SUMIFS(Scenario_Weekly_Plan!$C:$C,Scenario_Weekly_Plan!$A:$A,$A16,Scenario_Weekly_Plan!$B:$B,$C16),MIN(Q16,I16,MAX(0,E16+G16-F16)))</f>
        <v>5754</v>
      </c>
      <c r="K16" s="90">
        <f t="shared" si="2"/>
        <v>15000</v>
      </c>
      <c r="L16" s="90">
        <f t="shared" si="3"/>
        <v>0</v>
      </c>
      <c r="M16" s="90">
        <f t="shared" si="4"/>
        <v>15000</v>
      </c>
      <c r="N16" s="91">
        <f t="shared" si="5"/>
        <v>0.7036</v>
      </c>
      <c r="O16" s="104">
        <f>IF(COUNTIFS(Scenario_Weekly_Plan!$A:$A,$A16,Scenario_Weekly_Plan!$B:$B,$C16)&gt;0,"Scenario PP imported",MPS!O16)</f>
        <v>0</v>
      </c>
      <c r="P16" s="92">
        <f>SUMIFS($J$2:J15,$B$2:B15,B16,$C$2:C15,C16)</f>
        <v>0</v>
      </c>
      <c r="Q16" s="92">
        <f t="shared" si="6"/>
        <v>15000</v>
      </c>
      <c r="R16" s="106">
        <f t="shared" si="7"/>
        <v>0</v>
      </c>
      <c r="S16" s="104"/>
      <c r="T16" s="104"/>
      <c r="U16" s="104"/>
    </row>
    <row r="17" spans="1:21" x14ac:dyDescent="0.3">
      <c r="A17" s="87" t="s">
        <v>1</v>
      </c>
      <c r="B17" s="87" t="s">
        <v>59</v>
      </c>
      <c r="C17" s="101">
        <v>46230</v>
      </c>
      <c r="D17" s="89">
        <v>15000</v>
      </c>
      <c r="E17" s="89">
        <v>27760</v>
      </c>
      <c r="F17" s="89">
        <f t="shared" si="8"/>
        <v>15000</v>
      </c>
      <c r="G17" s="89">
        <v>15000</v>
      </c>
      <c r="H17" s="90">
        <f t="shared" si="0"/>
        <v>11486</v>
      </c>
      <c r="I17" s="90">
        <f t="shared" si="1"/>
        <v>24246</v>
      </c>
      <c r="J17" s="90">
        <f>IF(COUNTIFS(Scenario_Weekly_Plan!$A:$A,$A17,Scenario_Weekly_Plan!$B:$B,$C17)&gt;0,SUMIFS(Scenario_Weekly_Plan!$C:$C,Scenario_Weekly_Plan!$A:$A,$A17,Scenario_Weekly_Plan!$B:$B,$C17),MIN(Q17,I17,MAX(0,E17+G17-F17)))</f>
        <v>15000</v>
      </c>
      <c r="K17" s="90">
        <f t="shared" si="2"/>
        <v>2240</v>
      </c>
      <c r="L17" s="90">
        <f t="shared" si="3"/>
        <v>0</v>
      </c>
      <c r="M17" s="90">
        <f t="shared" si="4"/>
        <v>2240</v>
      </c>
      <c r="N17" s="91">
        <f t="shared" si="5"/>
        <v>1</v>
      </c>
      <c r="O17" s="104">
        <f>IF(COUNTIFS(Scenario_Weekly_Plan!$A:$A,$A17,Scenario_Weekly_Plan!$B:$B,$C17)&gt;0,"Scenario PP imported",MPS!O17)</f>
        <v>0</v>
      </c>
      <c r="P17" s="92">
        <f>SUMIFS($J$2:J16,$B$2:B16,B17,$C$2:C16,C17)</f>
        <v>0</v>
      </c>
      <c r="Q17" s="92">
        <f t="shared" si="6"/>
        <v>15000</v>
      </c>
      <c r="R17" s="106">
        <f t="shared" si="7"/>
        <v>27760</v>
      </c>
      <c r="S17" s="104"/>
      <c r="T17" s="104"/>
      <c r="U17" s="104"/>
    </row>
    <row r="18" spans="1:21" x14ac:dyDescent="0.3">
      <c r="A18" s="87" t="s">
        <v>1</v>
      </c>
      <c r="B18" s="87" t="s">
        <v>59</v>
      </c>
      <c r="C18" s="101">
        <v>46237</v>
      </c>
      <c r="D18" s="89">
        <v>15000</v>
      </c>
      <c r="E18" s="89">
        <v>26486</v>
      </c>
      <c r="F18" s="89">
        <f t="shared" si="8"/>
        <v>2240</v>
      </c>
      <c r="G18" s="89">
        <v>15000</v>
      </c>
      <c r="H18" s="90">
        <f t="shared" si="0"/>
        <v>0</v>
      </c>
      <c r="I18" s="90">
        <f t="shared" si="1"/>
        <v>24246</v>
      </c>
      <c r="J18" s="90">
        <f>IF(COUNTIFS(Scenario_Weekly_Plan!$A:$A,$A18,Scenario_Weekly_Plan!$B:$B,$C18)&gt;0,SUMIFS(Scenario_Weekly_Plan!$C:$C,Scenario_Weekly_Plan!$A:$A,$A18,Scenario_Weekly_Plan!$B:$B,$C18),MIN(Q18,I18,MAX(0,E18+G18-F18)))</f>
        <v>15000</v>
      </c>
      <c r="K18" s="90">
        <f t="shared" si="2"/>
        <v>0</v>
      </c>
      <c r="L18" s="90">
        <f t="shared" si="3"/>
        <v>9246</v>
      </c>
      <c r="M18" s="90">
        <f t="shared" si="4"/>
        <v>0</v>
      </c>
      <c r="N18" s="91">
        <f t="shared" si="5"/>
        <v>1</v>
      </c>
      <c r="O18" s="104">
        <f>IF(COUNTIFS(Scenario_Weekly_Plan!$A:$A,$A18,Scenario_Weekly_Plan!$B:$B,$C18)&gt;0,"Scenario PP imported",MPS!O18)</f>
        <v>0</v>
      </c>
      <c r="P18" s="92">
        <f>SUMIFS($J$2:J17,$B$2:B17,B18,$C$2:C17,C18)</f>
        <v>0</v>
      </c>
      <c r="Q18" s="92">
        <f t="shared" si="6"/>
        <v>15000</v>
      </c>
      <c r="R18" s="106">
        <f t="shared" si="7"/>
        <v>17240</v>
      </c>
      <c r="S18" s="104"/>
      <c r="T18" s="104"/>
      <c r="U18" s="104"/>
    </row>
    <row r="19" spans="1:21" x14ac:dyDescent="0.3">
      <c r="A19" s="87" t="s">
        <v>1</v>
      </c>
      <c r="B19" s="87" t="s">
        <v>59</v>
      </c>
      <c r="C19" s="101">
        <v>46244</v>
      </c>
      <c r="D19" s="89">
        <v>15000</v>
      </c>
      <c r="E19" s="89">
        <v>4248</v>
      </c>
      <c r="F19" s="89">
        <f t="shared" si="8"/>
        <v>0</v>
      </c>
      <c r="G19" s="89">
        <v>15000</v>
      </c>
      <c r="H19" s="90">
        <f t="shared" si="0"/>
        <v>0</v>
      </c>
      <c r="I19" s="90">
        <f t="shared" si="1"/>
        <v>4248</v>
      </c>
      <c r="J19" s="90">
        <f>IF(COUNTIFS(Scenario_Weekly_Plan!$A:$A,$A19,Scenario_Weekly_Plan!$B:$B,$C19)&gt;0,SUMIFS(Scenario_Weekly_Plan!$C:$C,Scenario_Weekly_Plan!$A:$A,$A19,Scenario_Weekly_Plan!$B:$B,$C19),MIN(Q19,I19,MAX(0,E19+G19-F19)))</f>
        <v>4248</v>
      </c>
      <c r="K19" s="90">
        <f t="shared" si="2"/>
        <v>0</v>
      </c>
      <c r="L19" s="90">
        <f t="shared" si="3"/>
        <v>0</v>
      </c>
      <c r="M19" s="90">
        <f t="shared" si="4"/>
        <v>0</v>
      </c>
      <c r="N19" s="91">
        <f t="shared" si="5"/>
        <v>0.44319999999999998</v>
      </c>
      <c r="O19" s="104">
        <f>IF(COUNTIFS(Scenario_Weekly_Plan!$A:$A,$A19,Scenario_Weekly_Plan!$B:$B,$C19)&gt;0,"Scenario PP imported",MPS!O19)</f>
        <v>0</v>
      </c>
      <c r="P19" s="92">
        <f>SUMIFS($J$2:J18,$B$2:B18,B19,$C$2:C18,C19)</f>
        <v>0</v>
      </c>
      <c r="Q19" s="92">
        <f t="shared" si="6"/>
        <v>15000</v>
      </c>
      <c r="R19" s="106">
        <f t="shared" si="7"/>
        <v>4248</v>
      </c>
      <c r="S19" s="104"/>
      <c r="T19" s="104"/>
      <c r="U19" s="104"/>
    </row>
    <row r="20" spans="1:21" x14ac:dyDescent="0.3">
      <c r="A20" s="87" t="s">
        <v>1</v>
      </c>
      <c r="B20" s="87" t="s">
        <v>59</v>
      </c>
      <c r="C20" s="101">
        <v>46251</v>
      </c>
      <c r="D20" s="89">
        <v>15000</v>
      </c>
      <c r="E20" s="89">
        <v>4248</v>
      </c>
      <c r="F20" s="89">
        <f t="shared" si="8"/>
        <v>0</v>
      </c>
      <c r="G20" s="89">
        <v>15000</v>
      </c>
      <c r="H20" s="90">
        <f t="shared" si="0"/>
        <v>0</v>
      </c>
      <c r="I20" s="90">
        <f t="shared" si="1"/>
        <v>4248</v>
      </c>
      <c r="J20" s="90">
        <f>IF(COUNTIFS(Scenario_Weekly_Plan!$A:$A,$A20,Scenario_Weekly_Plan!$B:$B,$C20)&gt;0,SUMIFS(Scenario_Weekly_Plan!$C:$C,Scenario_Weekly_Plan!$A:$A,$A20,Scenario_Weekly_Plan!$B:$B,$C20),MIN(Q20,I20,MAX(0,E20+G20-F20)))</f>
        <v>4248</v>
      </c>
      <c r="K20" s="90">
        <f t="shared" si="2"/>
        <v>0</v>
      </c>
      <c r="L20" s="90">
        <f t="shared" si="3"/>
        <v>0</v>
      </c>
      <c r="M20" s="90">
        <f t="shared" si="4"/>
        <v>0</v>
      </c>
      <c r="N20" s="91">
        <f t="shared" si="5"/>
        <v>0.44319999999999998</v>
      </c>
      <c r="O20" s="104">
        <f>IF(COUNTIFS(Scenario_Weekly_Plan!$A:$A,$A20,Scenario_Weekly_Plan!$B:$B,$C20)&gt;0,"Scenario PP imported",MPS!O20)</f>
        <v>0</v>
      </c>
      <c r="P20" s="92">
        <f>SUMIFS($J$2:J19,$B$2:B19,B20,$C$2:C19,C20)</f>
        <v>0</v>
      </c>
      <c r="Q20" s="92">
        <f t="shared" si="6"/>
        <v>15000</v>
      </c>
      <c r="R20" s="106">
        <f t="shared" si="7"/>
        <v>4248</v>
      </c>
      <c r="S20" s="104"/>
      <c r="T20" s="104"/>
      <c r="U20" s="104"/>
    </row>
    <row r="21" spans="1:21" x14ac:dyDescent="0.3">
      <c r="A21" s="87" t="s">
        <v>1</v>
      </c>
      <c r="B21" s="87" t="s">
        <v>59</v>
      </c>
      <c r="C21" s="101">
        <v>46258</v>
      </c>
      <c r="D21" s="89">
        <v>15000</v>
      </c>
      <c r="E21" s="89">
        <v>4249</v>
      </c>
      <c r="F21" s="89">
        <f t="shared" si="8"/>
        <v>0</v>
      </c>
      <c r="G21" s="89">
        <v>15000</v>
      </c>
      <c r="H21" s="90">
        <f t="shared" si="0"/>
        <v>0</v>
      </c>
      <c r="I21" s="90">
        <f t="shared" si="1"/>
        <v>4249</v>
      </c>
      <c r="J21" s="90">
        <f>IF(COUNTIFS(Scenario_Weekly_Plan!$A:$A,$A21,Scenario_Weekly_Plan!$B:$B,$C21)&gt;0,SUMIFS(Scenario_Weekly_Plan!$C:$C,Scenario_Weekly_Plan!$A:$A,$A21,Scenario_Weekly_Plan!$B:$B,$C21),MIN(Q21,I21,MAX(0,E21+G21-F21)))</f>
        <v>4249</v>
      </c>
      <c r="K21" s="90">
        <f t="shared" si="2"/>
        <v>0</v>
      </c>
      <c r="L21" s="90">
        <f t="shared" si="3"/>
        <v>0</v>
      </c>
      <c r="M21" s="90">
        <f t="shared" si="4"/>
        <v>0</v>
      </c>
      <c r="N21" s="91">
        <f t="shared" si="5"/>
        <v>0.53326666666666667</v>
      </c>
      <c r="O21" s="104">
        <f>IF(COUNTIFS(Scenario_Weekly_Plan!$A:$A,$A21,Scenario_Weekly_Plan!$B:$B,$C21)&gt;0,"Scenario PP imported",MPS!O21)</f>
        <v>0</v>
      </c>
      <c r="P21" s="92">
        <f>SUMIFS($J$2:J20,$B$2:B20,B21,$C$2:C20,C21)</f>
        <v>0</v>
      </c>
      <c r="Q21" s="92">
        <f t="shared" si="6"/>
        <v>15000</v>
      </c>
      <c r="R21" s="106">
        <f t="shared" si="7"/>
        <v>4249</v>
      </c>
      <c r="S21" s="104"/>
      <c r="T21" s="104"/>
      <c r="U21" s="104"/>
    </row>
    <row r="22" spans="1:21" x14ac:dyDescent="0.3">
      <c r="A22" s="87" t="s">
        <v>1</v>
      </c>
      <c r="B22" s="87" t="s">
        <v>59</v>
      </c>
      <c r="C22" s="101">
        <v>46265</v>
      </c>
      <c r="D22" s="89">
        <v>15000</v>
      </c>
      <c r="E22" s="89">
        <v>4248</v>
      </c>
      <c r="F22" s="89">
        <f t="shared" si="8"/>
        <v>0</v>
      </c>
      <c r="G22" s="89">
        <v>15000</v>
      </c>
      <c r="H22" s="90">
        <f t="shared" si="0"/>
        <v>0</v>
      </c>
      <c r="I22" s="90">
        <f t="shared" si="1"/>
        <v>4248</v>
      </c>
      <c r="J22" s="90">
        <f>IF(COUNTIFS(Scenario_Weekly_Plan!$A:$A,$A22,Scenario_Weekly_Plan!$B:$B,$C22)&gt;0,SUMIFS(Scenario_Weekly_Plan!$C:$C,Scenario_Weekly_Plan!$A:$A,$A22,Scenario_Weekly_Plan!$B:$B,$C22),MIN(Q22,I22,MAX(0,E22+G22-F22)))</f>
        <v>4248</v>
      </c>
      <c r="K22" s="90">
        <f t="shared" si="2"/>
        <v>0</v>
      </c>
      <c r="L22" s="90">
        <f t="shared" si="3"/>
        <v>0</v>
      </c>
      <c r="M22" s="90">
        <f t="shared" si="4"/>
        <v>0</v>
      </c>
      <c r="N22" s="91">
        <f t="shared" si="5"/>
        <v>0.53320000000000001</v>
      </c>
      <c r="O22" s="104">
        <f>IF(COUNTIFS(Scenario_Weekly_Plan!$A:$A,$A22,Scenario_Weekly_Plan!$B:$B,$C22)&gt;0,"Scenario PP imported",MPS!O22)</f>
        <v>0</v>
      </c>
      <c r="P22" s="92">
        <f>SUMIFS($J$2:J21,$B$2:B21,B22,$C$2:C21,C22)</f>
        <v>0</v>
      </c>
      <c r="Q22" s="92">
        <f t="shared" si="6"/>
        <v>15000</v>
      </c>
      <c r="R22" s="106">
        <f t="shared" si="7"/>
        <v>4248</v>
      </c>
      <c r="S22" s="104"/>
      <c r="T22" s="104"/>
      <c r="U22" s="104"/>
    </row>
    <row r="23" spans="1:21" x14ac:dyDescent="0.3">
      <c r="A23" s="87" t="s">
        <v>1</v>
      </c>
      <c r="B23" s="87" t="s">
        <v>59</v>
      </c>
      <c r="C23" s="101">
        <v>46272</v>
      </c>
      <c r="D23" s="89">
        <v>15000</v>
      </c>
      <c r="E23" s="89">
        <v>2391</v>
      </c>
      <c r="F23" s="89">
        <f t="shared" si="8"/>
        <v>0</v>
      </c>
      <c r="G23" s="89">
        <v>15000</v>
      </c>
      <c r="H23" s="90">
        <f t="shared" si="0"/>
        <v>0</v>
      </c>
      <c r="I23" s="90">
        <f t="shared" si="1"/>
        <v>2391</v>
      </c>
      <c r="J23" s="90">
        <f>IF(COUNTIFS(Scenario_Weekly_Plan!$A:$A,$A23,Scenario_Weekly_Plan!$B:$B,$C23)&gt;0,SUMIFS(Scenario_Weekly_Plan!$C:$C,Scenario_Weekly_Plan!$A:$A,$A23,Scenario_Weekly_Plan!$B:$B,$C23),MIN(Q23,I23,MAX(0,E23+G23-F23)))</f>
        <v>2391</v>
      </c>
      <c r="K23" s="90">
        <f t="shared" si="2"/>
        <v>0</v>
      </c>
      <c r="L23" s="90">
        <f t="shared" si="3"/>
        <v>0</v>
      </c>
      <c r="M23" s="90">
        <f t="shared" si="4"/>
        <v>0</v>
      </c>
      <c r="N23" s="91">
        <f t="shared" si="5"/>
        <v>0.40939999999999999</v>
      </c>
      <c r="O23" s="104">
        <f>IF(COUNTIFS(Scenario_Weekly_Plan!$A:$A,$A23,Scenario_Weekly_Plan!$B:$B,$C23)&gt;0,"Scenario PP imported",MPS!O23)</f>
        <v>0</v>
      </c>
      <c r="P23" s="92">
        <f>SUMIFS($J$2:J22,$B$2:B22,B23,$C$2:C22,C23)</f>
        <v>0</v>
      </c>
      <c r="Q23" s="92">
        <f t="shared" si="6"/>
        <v>15000</v>
      </c>
      <c r="R23" s="106">
        <f t="shared" si="7"/>
        <v>2391</v>
      </c>
      <c r="S23" s="104"/>
      <c r="T23" s="104"/>
      <c r="U23" s="104"/>
    </row>
    <row r="24" spans="1:21" x14ac:dyDescent="0.3">
      <c r="A24" s="87" t="s">
        <v>1</v>
      </c>
      <c r="B24" s="87" t="s">
        <v>59</v>
      </c>
      <c r="C24" s="101">
        <v>46279</v>
      </c>
      <c r="D24" s="89">
        <v>15000</v>
      </c>
      <c r="E24" s="89">
        <v>2392</v>
      </c>
      <c r="F24" s="89">
        <f t="shared" si="8"/>
        <v>0</v>
      </c>
      <c r="G24" s="89">
        <v>15000</v>
      </c>
      <c r="H24" s="90">
        <f t="shared" si="0"/>
        <v>0</v>
      </c>
      <c r="I24" s="90">
        <f t="shared" si="1"/>
        <v>2392</v>
      </c>
      <c r="J24" s="90">
        <f>IF(COUNTIFS(Scenario_Weekly_Plan!$A:$A,$A24,Scenario_Weekly_Plan!$B:$B,$C24)&gt;0,SUMIFS(Scenario_Weekly_Plan!$C:$C,Scenario_Weekly_Plan!$A:$A,$A24,Scenario_Weekly_Plan!$B:$B,$C24),MIN(Q24,I24,MAX(0,E24+G24-F24)))</f>
        <v>2392</v>
      </c>
      <c r="K24" s="90">
        <f t="shared" si="2"/>
        <v>0</v>
      </c>
      <c r="L24" s="90">
        <f t="shared" si="3"/>
        <v>0</v>
      </c>
      <c r="M24" s="90">
        <f t="shared" si="4"/>
        <v>0</v>
      </c>
      <c r="N24" s="91">
        <f t="shared" si="5"/>
        <v>0.41613333333333336</v>
      </c>
      <c r="O24" s="104">
        <f>IF(COUNTIFS(Scenario_Weekly_Plan!$A:$A,$A24,Scenario_Weekly_Plan!$B:$B,$C24)&gt;0,"Scenario PP imported",MPS!O24)</f>
        <v>0</v>
      </c>
      <c r="P24" s="92">
        <f>SUMIFS($J$2:J23,$B$2:B23,B24,$C$2:C23,C24)</f>
        <v>0</v>
      </c>
      <c r="Q24" s="92">
        <f t="shared" si="6"/>
        <v>15000</v>
      </c>
      <c r="R24" s="106">
        <f t="shared" si="7"/>
        <v>2392</v>
      </c>
      <c r="S24" s="104"/>
      <c r="T24" s="104"/>
      <c r="U24" s="104"/>
    </row>
    <row r="25" spans="1:21" x14ac:dyDescent="0.3">
      <c r="A25" s="87" t="s">
        <v>1</v>
      </c>
      <c r="B25" s="87" t="s">
        <v>59</v>
      </c>
      <c r="C25" s="101">
        <v>46286</v>
      </c>
      <c r="D25" s="89">
        <v>15000</v>
      </c>
      <c r="E25" s="89">
        <v>2391</v>
      </c>
      <c r="F25" s="89">
        <f t="shared" si="8"/>
        <v>0</v>
      </c>
      <c r="G25" s="89">
        <v>15000</v>
      </c>
      <c r="H25" s="90">
        <f t="shared" si="0"/>
        <v>0</v>
      </c>
      <c r="I25" s="90">
        <f t="shared" si="1"/>
        <v>2391</v>
      </c>
      <c r="J25" s="90">
        <f>IF(COUNTIFS(Scenario_Weekly_Plan!$A:$A,$A25,Scenario_Weekly_Plan!$B:$B,$C25)&gt;0,SUMIFS(Scenario_Weekly_Plan!$C:$C,Scenario_Weekly_Plan!$A:$A,$A25,Scenario_Weekly_Plan!$B:$B,$C25),MIN(Q25,I25,MAX(0,E25+G25-F25)))</f>
        <v>2391</v>
      </c>
      <c r="K25" s="90">
        <f t="shared" si="2"/>
        <v>0</v>
      </c>
      <c r="L25" s="90">
        <f t="shared" si="3"/>
        <v>0</v>
      </c>
      <c r="M25" s="90">
        <f t="shared" si="4"/>
        <v>0</v>
      </c>
      <c r="N25" s="91">
        <f t="shared" si="5"/>
        <v>1</v>
      </c>
      <c r="O25" s="104">
        <f>IF(COUNTIFS(Scenario_Weekly_Plan!$A:$A,$A25,Scenario_Weekly_Plan!$B:$B,$C25)&gt;0,"Scenario PP imported",MPS!O25)</f>
        <v>0</v>
      </c>
      <c r="P25" s="92">
        <f>SUMIFS($J$2:J24,$B$2:B24,B25,$C$2:C24,C25)</f>
        <v>0</v>
      </c>
      <c r="Q25" s="92">
        <f t="shared" si="6"/>
        <v>15000</v>
      </c>
      <c r="R25" s="106">
        <f t="shared" si="7"/>
        <v>2391</v>
      </c>
      <c r="S25" s="104"/>
      <c r="T25" s="104"/>
      <c r="U25" s="104"/>
    </row>
    <row r="26" spans="1:21" x14ac:dyDescent="0.3">
      <c r="A26" s="87" t="s">
        <v>1</v>
      </c>
      <c r="B26" s="87" t="s">
        <v>59</v>
      </c>
      <c r="C26" s="101">
        <v>46293</v>
      </c>
      <c r="D26" s="89">
        <v>15000</v>
      </c>
      <c r="E26" s="89">
        <v>2392</v>
      </c>
      <c r="F26" s="89">
        <f t="shared" si="8"/>
        <v>0</v>
      </c>
      <c r="G26" s="89">
        <v>15000</v>
      </c>
      <c r="H26" s="90">
        <f t="shared" si="0"/>
        <v>4067</v>
      </c>
      <c r="I26" s="90">
        <f t="shared" si="1"/>
        <v>6459</v>
      </c>
      <c r="J26" s="90">
        <f>IF(COUNTIFS(Scenario_Weekly_Plan!$A:$A,$A26,Scenario_Weekly_Plan!$B:$B,$C26)&gt;0,SUMIFS(Scenario_Weekly_Plan!$C:$C,Scenario_Weekly_Plan!$A:$A,$A26,Scenario_Weekly_Plan!$B:$B,$C26),MIN(Q26,I26,MAX(0,E26+G26-F26)))</f>
        <v>6459</v>
      </c>
      <c r="K26" s="90">
        <f t="shared" si="2"/>
        <v>4067</v>
      </c>
      <c r="L26" s="90">
        <f t="shared" si="3"/>
        <v>0</v>
      </c>
      <c r="M26" s="90">
        <f t="shared" si="4"/>
        <v>4067</v>
      </c>
      <c r="N26" s="91">
        <f t="shared" si="5"/>
        <v>0.98333333333333328</v>
      </c>
      <c r="O26" s="104">
        <f>IF(COUNTIFS(Scenario_Weekly_Plan!$A:$A,$A26,Scenario_Weekly_Plan!$B:$B,$C26)&gt;0,"Scenario PP imported",MPS!O26)</f>
        <v>0</v>
      </c>
      <c r="P26" s="92">
        <f>SUMIFS($J$2:J25,$B$2:B25,B26,$C$2:C25,C26)</f>
        <v>0</v>
      </c>
      <c r="Q26" s="92">
        <f t="shared" si="6"/>
        <v>15000</v>
      </c>
      <c r="R26" s="106">
        <f t="shared" si="7"/>
        <v>2392</v>
      </c>
      <c r="S26" s="104"/>
      <c r="T26" s="104"/>
      <c r="U26" s="104"/>
    </row>
    <row r="27" spans="1:21" x14ac:dyDescent="0.3">
      <c r="A27" s="87" t="s">
        <v>1</v>
      </c>
      <c r="B27" s="87" t="s">
        <v>59</v>
      </c>
      <c r="C27" s="101">
        <v>46300</v>
      </c>
      <c r="D27" s="89">
        <v>15000</v>
      </c>
      <c r="E27" s="89">
        <v>16017</v>
      </c>
      <c r="F27" s="89">
        <f t="shared" si="8"/>
        <v>4067</v>
      </c>
      <c r="G27" s="89">
        <v>15000</v>
      </c>
      <c r="H27" s="90">
        <f t="shared" si="0"/>
        <v>3050</v>
      </c>
      <c r="I27" s="90">
        <f t="shared" si="1"/>
        <v>15000</v>
      </c>
      <c r="J27" s="90">
        <f>IF(COUNTIFS(Scenario_Weekly_Plan!$A:$A,$A27,Scenario_Weekly_Plan!$B:$B,$C27)&gt;0,SUMIFS(Scenario_Weekly_Plan!$C:$C,Scenario_Weekly_Plan!$A:$A,$A27,Scenario_Weekly_Plan!$B:$B,$C27),MIN(Q27,I27,MAX(0,E27+G27-F27)))</f>
        <v>15000</v>
      </c>
      <c r="K27" s="90">
        <f t="shared" si="2"/>
        <v>3050</v>
      </c>
      <c r="L27" s="90">
        <f t="shared" si="3"/>
        <v>0</v>
      </c>
      <c r="M27" s="90">
        <f t="shared" si="4"/>
        <v>3050</v>
      </c>
      <c r="N27" s="91">
        <f t="shared" si="5"/>
        <v>1</v>
      </c>
      <c r="O27" s="104">
        <f>IF(COUNTIFS(Scenario_Weekly_Plan!$A:$A,$A27,Scenario_Weekly_Plan!$B:$B,$C27)&gt;0,"Scenario PP imported",MPS!O27)</f>
        <v>0</v>
      </c>
      <c r="P27" s="92">
        <f>SUMIFS($J$2:J26,$B$2:B26,B27,$C$2:C26,C27)</f>
        <v>0</v>
      </c>
      <c r="Q27" s="92">
        <f t="shared" si="6"/>
        <v>15000</v>
      </c>
      <c r="R27" s="106">
        <f t="shared" si="7"/>
        <v>16017</v>
      </c>
      <c r="S27" s="104"/>
      <c r="T27" s="104"/>
      <c r="U27" s="104"/>
    </row>
    <row r="28" spans="1:21" x14ac:dyDescent="0.3">
      <c r="A28" s="87" t="s">
        <v>1</v>
      </c>
      <c r="B28" s="87" t="s">
        <v>59</v>
      </c>
      <c r="C28" s="101">
        <v>46307</v>
      </c>
      <c r="D28" s="89">
        <v>15000</v>
      </c>
      <c r="E28" s="89">
        <v>16017</v>
      </c>
      <c r="F28" s="89">
        <f t="shared" si="8"/>
        <v>3050</v>
      </c>
      <c r="G28" s="89">
        <v>15000</v>
      </c>
      <c r="H28" s="90">
        <f t="shared" si="0"/>
        <v>2033</v>
      </c>
      <c r="I28" s="90">
        <f t="shared" si="1"/>
        <v>15000</v>
      </c>
      <c r="J28" s="90">
        <f>IF(COUNTIFS(Scenario_Weekly_Plan!$A:$A,$A28,Scenario_Weekly_Plan!$B:$B,$C28)&gt;0,SUMIFS(Scenario_Weekly_Plan!$C:$C,Scenario_Weekly_Plan!$A:$A,$A28,Scenario_Weekly_Plan!$B:$B,$C28),MIN(Q28,I28,MAX(0,E28+G28-F28)))</f>
        <v>15000</v>
      </c>
      <c r="K28" s="90">
        <f t="shared" si="2"/>
        <v>2033</v>
      </c>
      <c r="L28" s="90">
        <f t="shared" si="3"/>
        <v>0</v>
      </c>
      <c r="M28" s="90">
        <f t="shared" si="4"/>
        <v>2033</v>
      </c>
      <c r="N28" s="91">
        <f t="shared" si="5"/>
        <v>1</v>
      </c>
      <c r="O28" s="104">
        <f>IF(COUNTIFS(Scenario_Weekly_Plan!$A:$A,$A28,Scenario_Weekly_Plan!$B:$B,$C28)&gt;0,"Scenario PP imported",MPS!O28)</f>
        <v>0</v>
      </c>
      <c r="P28" s="92">
        <f>SUMIFS($J$2:J27,$B$2:B27,B28,$C$2:C27,C28)</f>
        <v>0</v>
      </c>
      <c r="Q28" s="92">
        <f t="shared" si="6"/>
        <v>15000</v>
      </c>
      <c r="R28" s="106">
        <f t="shared" si="7"/>
        <v>16017</v>
      </c>
      <c r="S28" s="104"/>
      <c r="T28" s="104"/>
      <c r="U28" s="104"/>
    </row>
    <row r="29" spans="1:21" x14ac:dyDescent="0.3">
      <c r="A29" s="87" t="s">
        <v>1</v>
      </c>
      <c r="B29" s="87" t="s">
        <v>59</v>
      </c>
      <c r="C29" s="101">
        <v>46314</v>
      </c>
      <c r="D29" s="89">
        <v>15000</v>
      </c>
      <c r="E29" s="89">
        <v>16016</v>
      </c>
      <c r="F29" s="89">
        <f t="shared" si="8"/>
        <v>2033</v>
      </c>
      <c r="G29" s="89">
        <v>15000</v>
      </c>
      <c r="H29" s="90">
        <f t="shared" si="0"/>
        <v>1017</v>
      </c>
      <c r="I29" s="90">
        <f t="shared" si="1"/>
        <v>15000</v>
      </c>
      <c r="J29" s="90">
        <f>IF(COUNTIFS(Scenario_Weekly_Plan!$A:$A,$A29,Scenario_Weekly_Plan!$B:$B,$C29)&gt;0,SUMIFS(Scenario_Weekly_Plan!$C:$C,Scenario_Weekly_Plan!$A:$A,$A29,Scenario_Weekly_Plan!$B:$B,$C29),MIN(Q29,I29,MAX(0,E29+G29-F29)))</f>
        <v>15000</v>
      </c>
      <c r="K29" s="90">
        <f t="shared" si="2"/>
        <v>1017</v>
      </c>
      <c r="L29" s="90">
        <f t="shared" si="3"/>
        <v>0</v>
      </c>
      <c r="M29" s="90">
        <f t="shared" si="4"/>
        <v>1017</v>
      </c>
      <c r="N29" s="91">
        <f t="shared" si="5"/>
        <v>1</v>
      </c>
      <c r="O29" s="104">
        <f>IF(COUNTIFS(Scenario_Weekly_Plan!$A:$A,$A29,Scenario_Weekly_Plan!$B:$B,$C29)&gt;0,"Scenario PP imported",MPS!O29)</f>
        <v>0</v>
      </c>
      <c r="P29" s="92">
        <f>SUMIFS($J$2:J28,$B$2:B28,B29,$C$2:C28,C29)</f>
        <v>0</v>
      </c>
      <c r="Q29" s="92">
        <f t="shared" si="6"/>
        <v>15000</v>
      </c>
      <c r="R29" s="106">
        <f t="shared" si="7"/>
        <v>16016</v>
      </c>
      <c r="S29" s="104"/>
      <c r="T29" s="104"/>
      <c r="U29" s="104"/>
    </row>
    <row r="30" spans="1:21" x14ac:dyDescent="0.3">
      <c r="A30" s="87" t="s">
        <v>1</v>
      </c>
      <c r="B30" s="87" t="s">
        <v>59</v>
      </c>
      <c r="C30" s="101">
        <v>46321</v>
      </c>
      <c r="D30" s="89">
        <v>15000</v>
      </c>
      <c r="E30" s="89">
        <v>16017</v>
      </c>
      <c r="F30" s="89">
        <f t="shared" si="8"/>
        <v>1017</v>
      </c>
      <c r="G30" s="89">
        <v>15000</v>
      </c>
      <c r="H30" s="90">
        <f t="shared" si="0"/>
        <v>0</v>
      </c>
      <c r="I30" s="90">
        <f t="shared" si="1"/>
        <v>15000</v>
      </c>
      <c r="J30" s="90">
        <f>IF(COUNTIFS(Scenario_Weekly_Plan!$A:$A,$A30,Scenario_Weekly_Plan!$B:$B,$C30)&gt;0,SUMIFS(Scenario_Weekly_Plan!$C:$C,Scenario_Weekly_Plan!$A:$A,$A30,Scenario_Weekly_Plan!$B:$B,$C30),MIN(Q30,I30,MAX(0,E30+G30-F30)))</f>
        <v>15000</v>
      </c>
      <c r="K30" s="90">
        <f t="shared" si="2"/>
        <v>0</v>
      </c>
      <c r="L30" s="90">
        <f t="shared" si="3"/>
        <v>0</v>
      </c>
      <c r="M30" s="90">
        <f t="shared" si="4"/>
        <v>0</v>
      </c>
      <c r="N30" s="91">
        <f t="shared" si="5"/>
        <v>1</v>
      </c>
      <c r="O30" s="104">
        <f>IF(COUNTIFS(Scenario_Weekly_Plan!$A:$A,$A30,Scenario_Weekly_Plan!$B:$B,$C30)&gt;0,"Scenario PP imported",MPS!O30)</f>
        <v>0</v>
      </c>
      <c r="P30" s="92">
        <f>SUMIFS($J$2:J29,$B$2:B29,B30,$C$2:C29,C30)</f>
        <v>0</v>
      </c>
      <c r="Q30" s="92">
        <f t="shared" si="6"/>
        <v>15000</v>
      </c>
      <c r="R30" s="106">
        <f t="shared" si="7"/>
        <v>16017</v>
      </c>
      <c r="S30" s="104"/>
      <c r="T30" s="104"/>
      <c r="U30" s="104"/>
    </row>
    <row r="31" spans="1:21" x14ac:dyDescent="0.3">
      <c r="A31" s="87" t="s">
        <v>1</v>
      </c>
      <c r="B31" s="87" t="s">
        <v>59</v>
      </c>
      <c r="C31" s="101">
        <v>46328</v>
      </c>
      <c r="D31" s="89">
        <v>15000</v>
      </c>
      <c r="E31" s="89">
        <v>4281</v>
      </c>
      <c r="F31" s="89">
        <f t="shared" si="8"/>
        <v>0</v>
      </c>
      <c r="G31" s="89">
        <v>15000</v>
      </c>
      <c r="H31" s="90">
        <f t="shared" si="0"/>
        <v>0</v>
      </c>
      <c r="I31" s="90">
        <f t="shared" si="1"/>
        <v>4281</v>
      </c>
      <c r="J31" s="90">
        <f>IF(COUNTIFS(Scenario_Weekly_Plan!$A:$A,$A31,Scenario_Weekly_Plan!$B:$B,$C31)&gt;0,SUMIFS(Scenario_Weekly_Plan!$C:$C,Scenario_Weekly_Plan!$A:$A,$A31,Scenario_Weekly_Plan!$B:$B,$C31),MIN(Q31,I31,MAX(0,E31+G31-F31)))</f>
        <v>4281</v>
      </c>
      <c r="K31" s="90">
        <f t="shared" si="2"/>
        <v>0</v>
      </c>
      <c r="L31" s="90">
        <f t="shared" si="3"/>
        <v>0</v>
      </c>
      <c r="M31" s="90">
        <f t="shared" si="4"/>
        <v>0</v>
      </c>
      <c r="N31" s="91">
        <f t="shared" si="5"/>
        <v>0.70206666666666662</v>
      </c>
      <c r="O31" s="104">
        <f>IF(COUNTIFS(Scenario_Weekly_Plan!$A:$A,$A31,Scenario_Weekly_Plan!$B:$B,$C31)&gt;0,"Scenario PP imported",MPS!O31)</f>
        <v>0</v>
      </c>
      <c r="P31" s="92">
        <f>SUMIFS($J$2:J30,$B$2:B30,B31,$C$2:C30,C31)</f>
        <v>0</v>
      </c>
      <c r="Q31" s="92">
        <f t="shared" si="6"/>
        <v>15000</v>
      </c>
      <c r="R31" s="106">
        <f t="shared" si="7"/>
        <v>4281</v>
      </c>
      <c r="S31" s="104"/>
      <c r="T31" s="104"/>
      <c r="U31" s="104"/>
    </row>
    <row r="32" spans="1:21" x14ac:dyDescent="0.3">
      <c r="A32" s="87" t="s">
        <v>1</v>
      </c>
      <c r="B32" s="87" t="s">
        <v>59</v>
      </c>
      <c r="C32" s="101">
        <v>46335</v>
      </c>
      <c r="D32" s="89">
        <v>15000</v>
      </c>
      <c r="E32" s="89">
        <v>4282</v>
      </c>
      <c r="F32" s="89">
        <f t="shared" si="8"/>
        <v>0</v>
      </c>
      <c r="G32" s="89">
        <v>15000</v>
      </c>
      <c r="H32" s="90">
        <f t="shared" si="0"/>
        <v>0</v>
      </c>
      <c r="I32" s="90">
        <f t="shared" si="1"/>
        <v>4282</v>
      </c>
      <c r="J32" s="90">
        <f>IF(COUNTIFS(Scenario_Weekly_Plan!$A:$A,$A32,Scenario_Weekly_Plan!$B:$B,$C32)&gt;0,SUMIFS(Scenario_Weekly_Plan!$C:$C,Scenario_Weekly_Plan!$A:$A,$A32,Scenario_Weekly_Plan!$B:$B,$C32),MIN(Q32,I32,MAX(0,E32+G32-F32)))</f>
        <v>4282</v>
      </c>
      <c r="K32" s="90">
        <f t="shared" si="2"/>
        <v>0</v>
      </c>
      <c r="L32" s="90">
        <f t="shared" si="3"/>
        <v>0</v>
      </c>
      <c r="M32" s="90">
        <f t="shared" si="4"/>
        <v>0</v>
      </c>
      <c r="N32" s="91">
        <f t="shared" si="5"/>
        <v>0.70213333333333339</v>
      </c>
      <c r="O32" s="104">
        <f>IF(COUNTIFS(Scenario_Weekly_Plan!$A:$A,$A32,Scenario_Weekly_Plan!$B:$B,$C32)&gt;0,"Scenario PP imported",MPS!O32)</f>
        <v>0</v>
      </c>
      <c r="P32" s="92">
        <f>SUMIFS($J$2:J31,$B$2:B31,B32,$C$2:C31,C32)</f>
        <v>0</v>
      </c>
      <c r="Q32" s="92">
        <f t="shared" si="6"/>
        <v>15000</v>
      </c>
      <c r="R32" s="106">
        <f t="shared" si="7"/>
        <v>4282</v>
      </c>
      <c r="S32" s="104"/>
      <c r="T32" s="104"/>
      <c r="U32" s="104"/>
    </row>
    <row r="33" spans="1:21" x14ac:dyDescent="0.3">
      <c r="A33" s="87" t="s">
        <v>1</v>
      </c>
      <c r="B33" s="87" t="s">
        <v>59</v>
      </c>
      <c r="C33" s="101">
        <v>46342</v>
      </c>
      <c r="D33" s="89">
        <v>15000</v>
      </c>
      <c r="E33" s="89">
        <v>4281</v>
      </c>
      <c r="F33" s="89">
        <f t="shared" si="8"/>
        <v>0</v>
      </c>
      <c r="G33" s="89">
        <v>15000</v>
      </c>
      <c r="H33" s="90">
        <f t="shared" si="0"/>
        <v>0</v>
      </c>
      <c r="I33" s="90">
        <f t="shared" si="1"/>
        <v>4281</v>
      </c>
      <c r="J33" s="90">
        <f>IF(COUNTIFS(Scenario_Weekly_Plan!$A:$A,$A33,Scenario_Weekly_Plan!$B:$B,$C33)&gt;0,SUMIFS(Scenario_Weekly_Plan!$C:$C,Scenario_Weekly_Plan!$A:$A,$A33,Scenario_Weekly_Plan!$B:$B,$C33),MIN(Q33,I33,MAX(0,E33+G33-F33)))</f>
        <v>4281</v>
      </c>
      <c r="K33" s="90">
        <f t="shared" si="2"/>
        <v>0</v>
      </c>
      <c r="L33" s="90">
        <f t="shared" si="3"/>
        <v>0</v>
      </c>
      <c r="M33" s="90">
        <f t="shared" si="4"/>
        <v>0</v>
      </c>
      <c r="N33" s="91">
        <f t="shared" si="5"/>
        <v>0.70206666666666662</v>
      </c>
      <c r="O33" s="104">
        <f>IF(COUNTIFS(Scenario_Weekly_Plan!$A:$A,$A33,Scenario_Weekly_Plan!$B:$B,$C33)&gt;0,"Scenario PP imported",MPS!O33)</f>
        <v>0</v>
      </c>
      <c r="P33" s="92">
        <f>SUMIFS($J$2:J32,$B$2:B32,B33,$C$2:C32,C33)</f>
        <v>0</v>
      </c>
      <c r="Q33" s="92">
        <f t="shared" si="6"/>
        <v>15000</v>
      </c>
      <c r="R33" s="106">
        <f t="shared" si="7"/>
        <v>4281</v>
      </c>
      <c r="S33" s="104"/>
      <c r="T33" s="104"/>
      <c r="U33" s="104"/>
    </row>
    <row r="34" spans="1:21" x14ac:dyDescent="0.3">
      <c r="A34" s="87" t="s">
        <v>1</v>
      </c>
      <c r="B34" s="87" t="s">
        <v>59</v>
      </c>
      <c r="C34" s="101">
        <v>46349</v>
      </c>
      <c r="D34" s="89">
        <v>15000</v>
      </c>
      <c r="E34" s="89">
        <v>4282</v>
      </c>
      <c r="F34" s="89">
        <f t="shared" si="8"/>
        <v>0</v>
      </c>
      <c r="G34" s="89">
        <v>15000</v>
      </c>
      <c r="H34" s="90">
        <f t="shared" si="0"/>
        <v>0</v>
      </c>
      <c r="I34" s="90">
        <f t="shared" si="1"/>
        <v>4282</v>
      </c>
      <c r="J34" s="90">
        <f>IF(COUNTIFS(Scenario_Weekly_Plan!$A:$A,$A34,Scenario_Weekly_Plan!$B:$B,$C34)&gt;0,SUMIFS(Scenario_Weekly_Plan!$C:$C,Scenario_Weekly_Plan!$A:$A,$A34,Scenario_Weekly_Plan!$B:$B,$C34),MIN(Q34,I34,MAX(0,E34+G34-F34)))</f>
        <v>4282</v>
      </c>
      <c r="K34" s="90">
        <f t="shared" si="2"/>
        <v>0</v>
      </c>
      <c r="L34" s="90">
        <f t="shared" si="3"/>
        <v>0</v>
      </c>
      <c r="M34" s="90">
        <f t="shared" si="4"/>
        <v>0</v>
      </c>
      <c r="N34" s="91">
        <f t="shared" si="5"/>
        <v>0.70213333333333339</v>
      </c>
      <c r="O34" s="104">
        <f>IF(COUNTIFS(Scenario_Weekly_Plan!$A:$A,$A34,Scenario_Weekly_Plan!$B:$B,$C34)&gt;0,"Scenario PP imported",MPS!O34)</f>
        <v>0</v>
      </c>
      <c r="P34" s="92">
        <f>SUMIFS($J$2:J33,$B$2:B33,B34,$C$2:C33,C34)</f>
        <v>0</v>
      </c>
      <c r="Q34" s="92">
        <f t="shared" si="6"/>
        <v>15000</v>
      </c>
      <c r="R34" s="106">
        <f t="shared" si="7"/>
        <v>4282</v>
      </c>
      <c r="S34" s="104"/>
      <c r="T34" s="104"/>
      <c r="U34" s="104"/>
    </row>
    <row r="35" spans="1:21" x14ac:dyDescent="0.3">
      <c r="A35" s="87" t="s">
        <v>1</v>
      </c>
      <c r="B35" s="87" t="s">
        <v>59</v>
      </c>
      <c r="C35" s="101">
        <v>46356</v>
      </c>
      <c r="D35" s="89">
        <v>15000</v>
      </c>
      <c r="E35" s="89">
        <v>4281</v>
      </c>
      <c r="F35" s="89">
        <f t="shared" si="8"/>
        <v>0</v>
      </c>
      <c r="G35" s="89">
        <v>15000</v>
      </c>
      <c r="H35" s="90">
        <f t="shared" si="0"/>
        <v>0</v>
      </c>
      <c r="I35" s="90">
        <f t="shared" si="1"/>
        <v>4281</v>
      </c>
      <c r="J35" s="90">
        <f>IF(COUNTIFS(Scenario_Weekly_Plan!$A:$A,$A35,Scenario_Weekly_Plan!$B:$B,$C35)&gt;0,SUMIFS(Scenario_Weekly_Plan!$C:$C,Scenario_Weekly_Plan!$A:$A,$A35,Scenario_Weekly_Plan!$B:$B,$C35),MIN(Q35,I35,MAX(0,E35+G35-F35)))</f>
        <v>4281</v>
      </c>
      <c r="K35" s="90">
        <f t="shared" si="2"/>
        <v>0</v>
      </c>
      <c r="L35" s="90">
        <f t="shared" si="3"/>
        <v>0</v>
      </c>
      <c r="M35" s="90">
        <f t="shared" si="4"/>
        <v>0</v>
      </c>
      <c r="N35" s="91">
        <f t="shared" si="5"/>
        <v>0.70206666666666662</v>
      </c>
      <c r="O35" s="104">
        <f>IF(COUNTIFS(Scenario_Weekly_Plan!$A:$A,$A35,Scenario_Weekly_Plan!$B:$B,$C35)&gt;0,"Scenario PP imported",MPS!O35)</f>
        <v>0</v>
      </c>
      <c r="P35" s="92">
        <f>SUMIFS($J$2:J34,$B$2:B34,B35,$C$2:C34,C35)</f>
        <v>0</v>
      </c>
      <c r="Q35" s="92">
        <f t="shared" si="6"/>
        <v>15000</v>
      </c>
      <c r="R35" s="106">
        <f t="shared" si="7"/>
        <v>4281</v>
      </c>
      <c r="S35" s="104"/>
      <c r="T35" s="104"/>
      <c r="U35" s="104"/>
    </row>
    <row r="36" spans="1:21" x14ac:dyDescent="0.3">
      <c r="A36" s="87" t="s">
        <v>1</v>
      </c>
      <c r="B36" s="87" t="s">
        <v>59</v>
      </c>
      <c r="C36" s="101">
        <v>46363</v>
      </c>
      <c r="D36" s="89">
        <v>15000</v>
      </c>
      <c r="E36" s="89">
        <v>8326</v>
      </c>
      <c r="F36" s="89">
        <f t="shared" si="8"/>
        <v>0</v>
      </c>
      <c r="G36" s="89">
        <v>15000</v>
      </c>
      <c r="H36" s="90">
        <f t="shared" si="0"/>
        <v>0</v>
      </c>
      <c r="I36" s="90">
        <f t="shared" si="1"/>
        <v>8326</v>
      </c>
      <c r="J36" s="90">
        <f>IF(COUNTIFS(Scenario_Weekly_Plan!$A:$A,$A36,Scenario_Weekly_Plan!$B:$B,$C36)&gt;0,SUMIFS(Scenario_Weekly_Plan!$C:$C,Scenario_Weekly_Plan!$A:$A,$A36,Scenario_Weekly_Plan!$B:$B,$C36),MIN(Q36,I36,MAX(0,E36+G36-F36)))</f>
        <v>8326</v>
      </c>
      <c r="K36" s="90">
        <f t="shared" si="2"/>
        <v>0</v>
      </c>
      <c r="L36" s="90">
        <f t="shared" si="3"/>
        <v>0</v>
      </c>
      <c r="M36" s="90">
        <f t="shared" si="4"/>
        <v>0</v>
      </c>
      <c r="N36" s="91">
        <f t="shared" si="5"/>
        <v>0.97173333333333334</v>
      </c>
      <c r="O36" s="104">
        <f>IF(COUNTIFS(Scenario_Weekly_Plan!$A:$A,$A36,Scenario_Weekly_Plan!$B:$B,$C36)&gt;0,"Scenario PP imported",MPS!O36)</f>
        <v>0</v>
      </c>
      <c r="P36" s="92">
        <f>SUMIFS($J$2:J35,$B$2:B35,B36,$C$2:C35,C36)</f>
        <v>0</v>
      </c>
      <c r="Q36" s="92">
        <f t="shared" si="6"/>
        <v>15000</v>
      </c>
      <c r="R36" s="106">
        <f t="shared" si="7"/>
        <v>8326</v>
      </c>
      <c r="S36" s="104"/>
      <c r="T36" s="104"/>
      <c r="U36" s="104"/>
    </row>
    <row r="37" spans="1:21" x14ac:dyDescent="0.3">
      <c r="A37" s="87" t="s">
        <v>1</v>
      </c>
      <c r="B37" s="87" t="s">
        <v>59</v>
      </c>
      <c r="C37" s="101">
        <v>46370</v>
      </c>
      <c r="D37" s="89">
        <v>15000</v>
      </c>
      <c r="E37" s="89">
        <v>8325</v>
      </c>
      <c r="F37" s="89">
        <f t="shared" si="8"/>
        <v>0</v>
      </c>
      <c r="G37" s="89">
        <v>15000</v>
      </c>
      <c r="H37" s="90">
        <f>0</f>
        <v>0</v>
      </c>
      <c r="I37" s="90">
        <f t="shared" si="1"/>
        <v>8325</v>
      </c>
      <c r="J37" s="90">
        <f>IF(COUNTIFS(Scenario_Weekly_Plan!$A:$A,$A37,Scenario_Weekly_Plan!$B:$B,$C37)&gt;0,SUMIFS(Scenario_Weekly_Plan!$C:$C,Scenario_Weekly_Plan!$A:$A,$A37,Scenario_Weekly_Plan!$B:$B,$C37),MIN(Q37,I37,MAX(0,E37+G37-F37)))</f>
        <v>8325</v>
      </c>
      <c r="K37" s="90">
        <f t="shared" si="2"/>
        <v>0</v>
      </c>
      <c r="L37" s="90">
        <f t="shared" si="3"/>
        <v>0</v>
      </c>
      <c r="M37" s="90">
        <f t="shared" si="4"/>
        <v>0</v>
      </c>
      <c r="N37" s="91">
        <f t="shared" si="5"/>
        <v>0.97166666666666668</v>
      </c>
      <c r="O37" s="104">
        <f>IF(COUNTIFS(Scenario_Weekly_Plan!$A:$A,$A37,Scenario_Weekly_Plan!$B:$B,$C37)&gt;0,"Scenario PP imported",MPS!O37)</f>
        <v>0</v>
      </c>
      <c r="P37" s="92">
        <f>SUMIFS($J$2:J36,$B$2:B36,B37,$C$2:C36,C37)</f>
        <v>0</v>
      </c>
      <c r="Q37" s="92">
        <f t="shared" si="6"/>
        <v>15000</v>
      </c>
      <c r="R37" s="106">
        <f t="shared" si="7"/>
        <v>8325</v>
      </c>
      <c r="S37" s="104"/>
      <c r="T37" s="104"/>
      <c r="U37" s="104"/>
    </row>
    <row r="38" spans="1:21" x14ac:dyDescent="0.3">
      <c r="A38" s="87" t="s">
        <v>2</v>
      </c>
      <c r="B38" s="87" t="s">
        <v>59</v>
      </c>
      <c r="C38" s="101">
        <v>46125</v>
      </c>
      <c r="D38" s="89">
        <v>15000</v>
      </c>
      <c r="E38" s="89">
        <v>0</v>
      </c>
      <c r="F38" s="89">
        <f>0</f>
        <v>0</v>
      </c>
      <c r="G38" s="89">
        <v>15000</v>
      </c>
      <c r="H38" s="90">
        <f t="shared" ref="H38:H72" si="9">MAX(0,H39+E39-Q39)</f>
        <v>12077</v>
      </c>
      <c r="I38" s="90">
        <f t="shared" si="1"/>
        <v>12077</v>
      </c>
      <c r="J38" s="90">
        <f>IF(COUNTIFS(Scenario_Weekly_Plan!$A:$A,$A38,Scenario_Weekly_Plan!$B:$B,$C38)&gt;0,SUMIFS(Scenario_Weekly_Plan!$C:$C,Scenario_Weekly_Plan!$A:$A,$A38,Scenario_Weekly_Plan!$B:$B,$C38),MIN(Q38,I38,MAX(0,E38+G38-F38)))</f>
        <v>10000</v>
      </c>
      <c r="K38" s="90">
        <f t="shared" si="2"/>
        <v>10000</v>
      </c>
      <c r="L38" s="90">
        <f t="shared" si="3"/>
        <v>0</v>
      </c>
      <c r="M38" s="90">
        <f t="shared" si="4"/>
        <v>10000</v>
      </c>
      <c r="N38" s="91">
        <f t="shared" si="5"/>
        <v>0.66666666666666663</v>
      </c>
      <c r="O38" s="61" t="str">
        <f>IF(COUNTIFS(Scenario_Weekly_Plan!$A:$A,$A38,Scenario_Weekly_Plan!$B:$B,$C38)&gt;0,"Scenario PP imported",MPS!O38)</f>
        <v>Scenario PP imported</v>
      </c>
      <c r="P38" s="92">
        <f>SUMIFS($J$2:J37,$B$2:B37,B38,$C$2:C37,C38)</f>
        <v>0</v>
      </c>
      <c r="Q38" s="92">
        <f t="shared" si="6"/>
        <v>15000</v>
      </c>
      <c r="R38" s="106">
        <f t="shared" si="7"/>
        <v>0</v>
      </c>
      <c r="S38" s="104"/>
      <c r="T38" s="104"/>
      <c r="U38" s="104"/>
    </row>
    <row r="39" spans="1:21" x14ac:dyDescent="0.3">
      <c r="A39" s="87" t="s">
        <v>2</v>
      </c>
      <c r="B39" s="87" t="s">
        <v>59</v>
      </c>
      <c r="C39" s="101">
        <v>46132</v>
      </c>
      <c r="D39" s="89">
        <v>15000</v>
      </c>
      <c r="E39" s="89">
        <v>0</v>
      </c>
      <c r="F39" s="89">
        <f t="shared" ref="F39:F73" si="10">K38</f>
        <v>10000</v>
      </c>
      <c r="G39" s="89">
        <v>15000</v>
      </c>
      <c r="H39" s="90">
        <f t="shared" si="9"/>
        <v>21567</v>
      </c>
      <c r="I39" s="90">
        <f t="shared" si="1"/>
        <v>11567</v>
      </c>
      <c r="J39" s="90">
        <f>IF(COUNTIFS(Scenario_Weekly_Plan!$A:$A,$A39,Scenario_Weekly_Plan!$B:$B,$C39)&gt;0,SUMIFS(Scenario_Weekly_Plan!$C:$C,Scenario_Weekly_Plan!$A:$A,$A39,Scenario_Weekly_Plan!$B:$B,$C39),MIN(Q39,I39,MAX(0,E39+G39-F39)))</f>
        <v>9490</v>
      </c>
      <c r="K39" s="90">
        <f t="shared" si="2"/>
        <v>15000</v>
      </c>
      <c r="L39" s="90">
        <f t="shared" si="3"/>
        <v>0</v>
      </c>
      <c r="M39" s="90">
        <f t="shared" si="4"/>
        <v>19490</v>
      </c>
      <c r="N39" s="91">
        <f t="shared" si="5"/>
        <v>1</v>
      </c>
      <c r="O39" s="104" t="str">
        <f>IF(COUNTIFS(Scenario_Weekly_Plan!$A:$A,$A39,Scenario_Weekly_Plan!$B:$B,$C39)&gt;0,"Scenario PP imported",MPS!O39)</f>
        <v>Scenario PP imported</v>
      </c>
      <c r="P39" s="92">
        <f>SUMIFS($J$2:J38,$B$2:B38,B39,$C$2:C38,C39)</f>
        <v>5510</v>
      </c>
      <c r="Q39" s="92">
        <f t="shared" si="6"/>
        <v>9490</v>
      </c>
      <c r="R39" s="106">
        <f t="shared" si="7"/>
        <v>0</v>
      </c>
      <c r="S39" s="104"/>
      <c r="T39" s="104"/>
      <c r="U39" s="104"/>
    </row>
    <row r="40" spans="1:21" x14ac:dyDescent="0.3">
      <c r="A40" s="87" t="s">
        <v>2</v>
      </c>
      <c r="B40" s="87" t="s">
        <v>59</v>
      </c>
      <c r="C40" s="101">
        <v>46139</v>
      </c>
      <c r="D40" s="89">
        <v>15000</v>
      </c>
      <c r="E40" s="89">
        <v>0</v>
      </c>
      <c r="F40" s="89">
        <f t="shared" si="10"/>
        <v>15000</v>
      </c>
      <c r="G40" s="89">
        <v>15000</v>
      </c>
      <c r="H40" s="90">
        <f t="shared" si="9"/>
        <v>29567</v>
      </c>
      <c r="I40" s="90">
        <f t="shared" si="1"/>
        <v>14567</v>
      </c>
      <c r="J40" s="90">
        <f>IF(COUNTIFS(Scenario_Weekly_Plan!$A:$A,$A40,Scenario_Weekly_Plan!$B:$B,$C40)&gt;0,SUMIFS(Scenario_Weekly_Plan!$C:$C,Scenario_Weekly_Plan!$A:$A,$A40,Scenario_Weekly_Plan!$B:$B,$C40),MIN(Q40,I40,MAX(0,E40+G40-F40)))</f>
        <v>8000</v>
      </c>
      <c r="K40" s="90">
        <f t="shared" si="2"/>
        <v>15000</v>
      </c>
      <c r="L40" s="90">
        <f t="shared" si="3"/>
        <v>0</v>
      </c>
      <c r="M40" s="90">
        <f t="shared" si="4"/>
        <v>23000</v>
      </c>
      <c r="N40" s="91">
        <f t="shared" si="5"/>
        <v>1</v>
      </c>
      <c r="O40" s="104" t="str">
        <f>IF(COUNTIFS(Scenario_Weekly_Plan!$A:$A,$A40,Scenario_Weekly_Plan!$B:$B,$C40)&gt;0,"Scenario PP imported",MPS!O40)</f>
        <v>Scenario PP imported</v>
      </c>
      <c r="P40" s="92">
        <f>SUMIFS($J$2:J39,$B$2:B39,B40,$C$2:C39,C40)</f>
        <v>7000</v>
      </c>
      <c r="Q40" s="92">
        <f t="shared" si="6"/>
        <v>8000</v>
      </c>
      <c r="R40" s="106">
        <f t="shared" si="7"/>
        <v>0</v>
      </c>
      <c r="S40" s="104"/>
      <c r="T40" s="104"/>
      <c r="U40" s="104"/>
    </row>
    <row r="41" spans="1:21" x14ac:dyDescent="0.3">
      <c r="A41" s="87" t="s">
        <v>2</v>
      </c>
      <c r="B41" s="87" t="s">
        <v>59</v>
      </c>
      <c r="C41" s="101">
        <v>46146</v>
      </c>
      <c r="D41" s="89">
        <v>15000</v>
      </c>
      <c r="E41" s="89">
        <v>5502</v>
      </c>
      <c r="F41" s="89">
        <f t="shared" si="10"/>
        <v>15000</v>
      </c>
      <c r="G41" s="89">
        <v>15000</v>
      </c>
      <c r="H41" s="90">
        <f t="shared" si="9"/>
        <v>24065</v>
      </c>
      <c r="I41" s="90">
        <f t="shared" si="1"/>
        <v>14567</v>
      </c>
      <c r="J41" s="90">
        <f>IF(COUNTIFS(Scenario_Weekly_Plan!$A:$A,$A41,Scenario_Weekly_Plan!$B:$B,$C41)&gt;0,SUMIFS(Scenario_Weekly_Plan!$C:$C,Scenario_Weekly_Plan!$A:$A,$A41,Scenario_Weekly_Plan!$B:$B,$C41),MIN(Q41,I41,MAX(0,E41+G41-F41)))</f>
        <v>0</v>
      </c>
      <c r="K41" s="90">
        <f t="shared" si="2"/>
        <v>9498</v>
      </c>
      <c r="L41" s="90">
        <f t="shared" si="3"/>
        <v>0</v>
      </c>
      <c r="M41" s="90">
        <f t="shared" si="4"/>
        <v>9498</v>
      </c>
      <c r="N41" s="91">
        <f t="shared" si="5"/>
        <v>1</v>
      </c>
      <c r="O41" s="104" t="str">
        <f>IF(COUNTIFS(Scenario_Weekly_Plan!$A:$A,$A41,Scenario_Weekly_Plan!$B:$B,$C41)&gt;0,"Scenario PP imported",MPS!O41)</f>
        <v>Scenario PP imported</v>
      </c>
      <c r="P41" s="92">
        <f>SUMIFS($J$2:J40,$B$2:B40,B41,$C$2:C40,C41)</f>
        <v>15000</v>
      </c>
      <c r="Q41" s="92">
        <f t="shared" si="6"/>
        <v>0</v>
      </c>
      <c r="R41" s="106">
        <f t="shared" si="7"/>
        <v>5502</v>
      </c>
      <c r="S41" s="104"/>
      <c r="T41" s="104"/>
      <c r="U41" s="104"/>
    </row>
    <row r="42" spans="1:21" x14ac:dyDescent="0.3">
      <c r="A42" s="87" t="s">
        <v>2</v>
      </c>
      <c r="B42" s="87" t="s">
        <v>59</v>
      </c>
      <c r="C42" s="101">
        <v>46153</v>
      </c>
      <c r="D42" s="89">
        <v>15000</v>
      </c>
      <c r="E42" s="89">
        <v>15658</v>
      </c>
      <c r="F42" s="89">
        <f t="shared" si="10"/>
        <v>9498</v>
      </c>
      <c r="G42" s="89">
        <v>15000</v>
      </c>
      <c r="H42" s="90">
        <f t="shared" si="9"/>
        <v>10907</v>
      </c>
      <c r="I42" s="90">
        <f t="shared" si="1"/>
        <v>17067</v>
      </c>
      <c r="J42" s="90">
        <f>IF(COUNTIFS(Scenario_Weekly_Plan!$A:$A,$A42,Scenario_Weekly_Plan!$B:$B,$C42)&gt;0,SUMIFS(Scenario_Weekly_Plan!$C:$C,Scenario_Weekly_Plan!$A:$A,$A42,Scenario_Weekly_Plan!$B:$B,$C42),MIN(Q42,I42,MAX(0,E42+G42-F42)))</f>
        <v>0</v>
      </c>
      <c r="K42" s="90">
        <f t="shared" si="2"/>
        <v>0</v>
      </c>
      <c r="L42" s="90">
        <f t="shared" si="3"/>
        <v>6160</v>
      </c>
      <c r="M42" s="90">
        <f t="shared" si="4"/>
        <v>0</v>
      </c>
      <c r="N42" s="91">
        <f t="shared" si="5"/>
        <v>0.83333333333333337</v>
      </c>
      <c r="O42" s="104" t="str">
        <f>IF(COUNTIFS(Scenario_Weekly_Plan!$A:$A,$A42,Scenario_Weekly_Plan!$B:$B,$C42)&gt;0,"Scenario PP imported",MPS!O42)</f>
        <v>Scenario PP imported</v>
      </c>
      <c r="P42" s="92">
        <f>SUMIFS($J$2:J41,$B$2:B41,B42,$C$2:C41,C42)</f>
        <v>12500</v>
      </c>
      <c r="Q42" s="92">
        <f t="shared" si="6"/>
        <v>2500</v>
      </c>
      <c r="R42" s="106">
        <f t="shared" si="7"/>
        <v>9498</v>
      </c>
      <c r="S42" s="104"/>
      <c r="T42" s="104"/>
      <c r="U42" s="104"/>
    </row>
    <row r="43" spans="1:21" x14ac:dyDescent="0.3">
      <c r="A43" s="87" t="s">
        <v>2</v>
      </c>
      <c r="B43" s="87" t="s">
        <v>59</v>
      </c>
      <c r="C43" s="101">
        <v>46160</v>
      </c>
      <c r="D43" s="89">
        <v>15000</v>
      </c>
      <c r="E43" s="89">
        <v>8865</v>
      </c>
      <c r="F43" s="89">
        <f t="shared" si="10"/>
        <v>0</v>
      </c>
      <c r="G43" s="89">
        <v>15000</v>
      </c>
      <c r="H43" s="90">
        <f t="shared" si="9"/>
        <v>6042</v>
      </c>
      <c r="I43" s="90">
        <f t="shared" si="1"/>
        <v>14907</v>
      </c>
      <c r="J43" s="90">
        <f>IF(COUNTIFS(Scenario_Weekly_Plan!$A:$A,$A43,Scenario_Weekly_Plan!$B:$B,$C43)&gt;0,SUMIFS(Scenario_Weekly_Plan!$C:$C,Scenario_Weekly_Plan!$A:$A,$A43,Scenario_Weekly_Plan!$B:$B,$C43),MIN(Q43,I43,MAX(0,E43+G43-F43)))</f>
        <v>4000</v>
      </c>
      <c r="K43" s="90">
        <f t="shared" si="2"/>
        <v>0</v>
      </c>
      <c r="L43" s="90">
        <f t="shared" si="3"/>
        <v>4865</v>
      </c>
      <c r="M43" s="90">
        <f t="shared" si="4"/>
        <v>0</v>
      </c>
      <c r="N43" s="91">
        <f t="shared" si="5"/>
        <v>1</v>
      </c>
      <c r="O43" s="104">
        <f>IF(COUNTIFS(Scenario_Weekly_Plan!$A:$A,$A43,Scenario_Weekly_Plan!$B:$B,$C43)&gt;0,"Scenario PP imported",MPS!O43)</f>
        <v>0</v>
      </c>
      <c r="P43" s="92">
        <f>SUMIFS($J$2:J42,$B$2:B42,B43,$C$2:C42,C43)</f>
        <v>11000</v>
      </c>
      <c r="Q43" s="92">
        <f t="shared" si="6"/>
        <v>4000</v>
      </c>
      <c r="R43" s="106">
        <f t="shared" si="7"/>
        <v>4000</v>
      </c>
      <c r="S43" s="104"/>
      <c r="T43" s="104"/>
      <c r="U43" s="104"/>
    </row>
    <row r="44" spans="1:21" x14ac:dyDescent="0.3">
      <c r="A44" s="87" t="s">
        <v>2</v>
      </c>
      <c r="B44" s="87" t="s">
        <v>59</v>
      </c>
      <c r="C44" s="101">
        <v>46167</v>
      </c>
      <c r="D44" s="89">
        <v>15000</v>
      </c>
      <c r="E44" s="89">
        <v>2146</v>
      </c>
      <c r="F44" s="89">
        <f t="shared" si="10"/>
        <v>0</v>
      </c>
      <c r="G44" s="89">
        <v>15000</v>
      </c>
      <c r="H44" s="90">
        <f t="shared" si="9"/>
        <v>5896</v>
      </c>
      <c r="I44" s="90">
        <f t="shared" si="1"/>
        <v>8042</v>
      </c>
      <c r="J44" s="90">
        <f>IF(COUNTIFS(Scenario_Weekly_Plan!$A:$A,$A44,Scenario_Weekly_Plan!$B:$B,$C44)&gt;0,SUMIFS(Scenario_Weekly_Plan!$C:$C,Scenario_Weekly_Plan!$A:$A,$A44,Scenario_Weekly_Plan!$B:$B,$C44),MIN(Q44,I44,MAX(0,E44+G44-F44)))</f>
        <v>2000</v>
      </c>
      <c r="K44" s="90">
        <f t="shared" si="2"/>
        <v>0</v>
      </c>
      <c r="L44" s="90">
        <f t="shared" si="3"/>
        <v>146</v>
      </c>
      <c r="M44" s="90">
        <f t="shared" si="4"/>
        <v>0</v>
      </c>
      <c r="N44" s="91">
        <f t="shared" si="5"/>
        <v>1</v>
      </c>
      <c r="O44" s="104">
        <f>IF(COUNTIFS(Scenario_Weekly_Plan!$A:$A,$A44,Scenario_Weekly_Plan!$B:$B,$C44)&gt;0,"Scenario PP imported",MPS!O44)</f>
        <v>0</v>
      </c>
      <c r="P44" s="92">
        <f>SUMIFS($J$2:J43,$B$2:B43,B44,$C$2:C43,C44)</f>
        <v>13000</v>
      </c>
      <c r="Q44" s="92">
        <f t="shared" si="6"/>
        <v>2000</v>
      </c>
      <c r="R44" s="106">
        <f t="shared" si="7"/>
        <v>2000</v>
      </c>
      <c r="S44" s="104"/>
      <c r="T44" s="104"/>
      <c r="U44" s="104"/>
    </row>
    <row r="45" spans="1:21" x14ac:dyDescent="0.3">
      <c r="A45" s="87" t="s">
        <v>2</v>
      </c>
      <c r="B45" s="87" t="s">
        <v>59</v>
      </c>
      <c r="C45" s="101">
        <v>46174</v>
      </c>
      <c r="D45" s="89">
        <v>15000</v>
      </c>
      <c r="E45" s="89">
        <v>7123</v>
      </c>
      <c r="F45" s="89">
        <f t="shared" si="10"/>
        <v>0</v>
      </c>
      <c r="G45" s="89">
        <v>15000</v>
      </c>
      <c r="H45" s="90">
        <f t="shared" si="9"/>
        <v>0</v>
      </c>
      <c r="I45" s="90">
        <f t="shared" si="1"/>
        <v>7123</v>
      </c>
      <c r="J45" s="90">
        <f>IF(COUNTIFS(Scenario_Weekly_Plan!$A:$A,$A45,Scenario_Weekly_Plan!$B:$B,$C45)&gt;0,SUMIFS(Scenario_Weekly_Plan!$C:$C,Scenario_Weekly_Plan!$A:$A,$A45,Scenario_Weekly_Plan!$B:$B,$C45),MIN(Q45,I45,MAX(0,E45+G45-F45)))</f>
        <v>1227</v>
      </c>
      <c r="K45" s="90">
        <f t="shared" si="2"/>
        <v>0</v>
      </c>
      <c r="L45" s="90">
        <f t="shared" si="3"/>
        <v>5896</v>
      </c>
      <c r="M45" s="90">
        <f t="shared" si="4"/>
        <v>0</v>
      </c>
      <c r="N45" s="91">
        <f t="shared" si="5"/>
        <v>1</v>
      </c>
      <c r="O45" s="104">
        <f>IF(COUNTIFS(Scenario_Weekly_Plan!$A:$A,$A45,Scenario_Weekly_Plan!$B:$B,$C45)&gt;0,"Scenario PP imported",MPS!O45)</f>
        <v>0</v>
      </c>
      <c r="P45" s="92">
        <f>SUMIFS($J$2:J44,$B$2:B44,B45,$C$2:C44,C45)</f>
        <v>13773</v>
      </c>
      <c r="Q45" s="92">
        <f t="shared" si="6"/>
        <v>1227</v>
      </c>
      <c r="R45" s="106">
        <f t="shared" si="7"/>
        <v>1227</v>
      </c>
      <c r="S45" s="104"/>
      <c r="T45" s="104"/>
      <c r="U45" s="104"/>
    </row>
    <row r="46" spans="1:21" x14ac:dyDescent="0.3">
      <c r="A46" s="87" t="s">
        <v>2</v>
      </c>
      <c r="B46" s="87" t="s">
        <v>59</v>
      </c>
      <c r="C46" s="101">
        <v>46181</v>
      </c>
      <c r="D46" s="89">
        <v>15000</v>
      </c>
      <c r="E46" s="89">
        <v>5309</v>
      </c>
      <c r="F46" s="89">
        <f t="shared" si="10"/>
        <v>0</v>
      </c>
      <c r="G46" s="89">
        <v>15000</v>
      </c>
      <c r="H46" s="90">
        <f t="shared" si="9"/>
        <v>0</v>
      </c>
      <c r="I46" s="90">
        <f t="shared" si="1"/>
        <v>5309</v>
      </c>
      <c r="J46" s="90">
        <f>IF(COUNTIFS(Scenario_Weekly_Plan!$A:$A,$A46,Scenario_Weekly_Plan!$B:$B,$C46)&gt;0,SUMIFS(Scenario_Weekly_Plan!$C:$C,Scenario_Weekly_Plan!$A:$A,$A46,Scenario_Weekly_Plan!$B:$B,$C46),MIN(Q46,I46,MAX(0,E46+G46-F46)))</f>
        <v>5309</v>
      </c>
      <c r="K46" s="90">
        <f t="shared" si="2"/>
        <v>0</v>
      </c>
      <c r="L46" s="90">
        <f t="shared" si="3"/>
        <v>0</v>
      </c>
      <c r="M46" s="90">
        <f t="shared" si="4"/>
        <v>0</v>
      </c>
      <c r="N46" s="91">
        <f t="shared" si="5"/>
        <v>0.82446666666666668</v>
      </c>
      <c r="O46" s="104">
        <f>IF(COUNTIFS(Scenario_Weekly_Plan!$A:$A,$A46,Scenario_Weekly_Plan!$B:$B,$C46)&gt;0,"Scenario PP imported",MPS!O46)</f>
        <v>0</v>
      </c>
      <c r="P46" s="92">
        <f>SUMIFS($J$2:J45,$B$2:B45,B46,$C$2:C45,C46)</f>
        <v>7058</v>
      </c>
      <c r="Q46" s="92">
        <f t="shared" si="6"/>
        <v>7942</v>
      </c>
      <c r="R46" s="106">
        <f t="shared" si="7"/>
        <v>5309</v>
      </c>
      <c r="S46" s="104"/>
      <c r="T46" s="104"/>
      <c r="U46" s="104"/>
    </row>
    <row r="47" spans="1:21" x14ac:dyDescent="0.3">
      <c r="A47" s="87" t="s">
        <v>2</v>
      </c>
      <c r="B47" s="87" t="s">
        <v>59</v>
      </c>
      <c r="C47" s="101">
        <v>46188</v>
      </c>
      <c r="D47" s="89">
        <v>15000</v>
      </c>
      <c r="E47" s="89">
        <v>5309</v>
      </c>
      <c r="F47" s="89">
        <f t="shared" si="10"/>
        <v>0</v>
      </c>
      <c r="G47" s="89">
        <v>15000</v>
      </c>
      <c r="H47" s="90">
        <f t="shared" si="9"/>
        <v>0</v>
      </c>
      <c r="I47" s="90">
        <f t="shared" si="1"/>
        <v>5309</v>
      </c>
      <c r="J47" s="90">
        <f>IF(COUNTIFS(Scenario_Weekly_Plan!$A:$A,$A47,Scenario_Weekly_Plan!$B:$B,$C47)&gt;0,SUMIFS(Scenario_Weekly_Plan!$C:$C,Scenario_Weekly_Plan!$A:$A,$A47,Scenario_Weekly_Plan!$B:$B,$C47),MIN(Q47,I47,MAX(0,E47+G47-F47)))</f>
        <v>5309</v>
      </c>
      <c r="K47" s="90">
        <f t="shared" si="2"/>
        <v>0</v>
      </c>
      <c r="L47" s="90">
        <f t="shared" si="3"/>
        <v>0</v>
      </c>
      <c r="M47" s="90">
        <f t="shared" si="4"/>
        <v>0</v>
      </c>
      <c r="N47" s="91">
        <f t="shared" si="5"/>
        <v>0.48993333333333333</v>
      </c>
      <c r="O47" s="104">
        <f>IF(COUNTIFS(Scenario_Weekly_Plan!$A:$A,$A47,Scenario_Weekly_Plan!$B:$B,$C47)&gt;0,"Scenario PP imported",MPS!O47)</f>
        <v>0</v>
      </c>
      <c r="P47" s="92">
        <f>SUMIFS($J$2:J46,$B$2:B46,B47,$C$2:C46,C47)</f>
        <v>2040</v>
      </c>
      <c r="Q47" s="92">
        <f t="shared" si="6"/>
        <v>12960</v>
      </c>
      <c r="R47" s="106">
        <f t="shared" si="7"/>
        <v>5309</v>
      </c>
      <c r="S47" s="104"/>
      <c r="T47" s="104"/>
      <c r="U47" s="104"/>
    </row>
    <row r="48" spans="1:21" x14ac:dyDescent="0.3">
      <c r="A48" s="87" t="s">
        <v>2</v>
      </c>
      <c r="B48" s="87" t="s">
        <v>59</v>
      </c>
      <c r="C48" s="101">
        <v>46195</v>
      </c>
      <c r="D48" s="89">
        <v>15000</v>
      </c>
      <c r="E48" s="89">
        <v>3000</v>
      </c>
      <c r="F48" s="89">
        <f t="shared" si="10"/>
        <v>0</v>
      </c>
      <c r="G48" s="89">
        <v>15000</v>
      </c>
      <c r="H48" s="90">
        <f t="shared" si="9"/>
        <v>81</v>
      </c>
      <c r="I48" s="90">
        <f t="shared" si="1"/>
        <v>3081</v>
      </c>
      <c r="J48" s="90">
        <f>IF(COUNTIFS(Scenario_Weekly_Plan!$A:$A,$A48,Scenario_Weekly_Plan!$B:$B,$C48)&gt;0,SUMIFS(Scenario_Weekly_Plan!$C:$C,Scenario_Weekly_Plan!$A:$A,$A48,Scenario_Weekly_Plan!$B:$B,$C48),MIN(Q48,I48,MAX(0,E48+G48-F48)))</f>
        <v>3081</v>
      </c>
      <c r="K48" s="90">
        <f t="shared" si="2"/>
        <v>81</v>
      </c>
      <c r="L48" s="90">
        <f t="shared" si="3"/>
        <v>0</v>
      </c>
      <c r="M48" s="90">
        <f t="shared" si="4"/>
        <v>81</v>
      </c>
      <c r="N48" s="91">
        <f t="shared" si="5"/>
        <v>0.44146666666666667</v>
      </c>
      <c r="O48" s="104">
        <f>IF(COUNTIFS(Scenario_Weekly_Plan!$A:$A,$A48,Scenario_Weekly_Plan!$B:$B,$C48)&gt;0,"Scenario PP imported",MPS!O48)</f>
        <v>0</v>
      </c>
      <c r="P48" s="92">
        <f>SUMIFS($J$2:J47,$B$2:B47,B48,$C$2:C47,C48)</f>
        <v>3541</v>
      </c>
      <c r="Q48" s="92">
        <f t="shared" si="6"/>
        <v>11459</v>
      </c>
      <c r="R48" s="106">
        <f t="shared" si="7"/>
        <v>3000</v>
      </c>
      <c r="S48" s="104"/>
      <c r="T48" s="104"/>
      <c r="U48" s="104"/>
    </row>
    <row r="49" spans="1:21" x14ac:dyDescent="0.3">
      <c r="A49" s="87" t="s">
        <v>2</v>
      </c>
      <c r="B49" s="87" t="s">
        <v>59</v>
      </c>
      <c r="C49" s="101">
        <v>46202</v>
      </c>
      <c r="D49" s="89">
        <v>15000</v>
      </c>
      <c r="E49" s="89">
        <v>3000</v>
      </c>
      <c r="F49" s="89">
        <f t="shared" si="10"/>
        <v>81</v>
      </c>
      <c r="G49" s="89">
        <v>15000</v>
      </c>
      <c r="H49" s="90">
        <f t="shared" si="9"/>
        <v>40</v>
      </c>
      <c r="I49" s="90">
        <f t="shared" si="1"/>
        <v>2959</v>
      </c>
      <c r="J49" s="90">
        <f>IF(COUNTIFS(Scenario_Weekly_Plan!$A:$A,$A49,Scenario_Weekly_Plan!$B:$B,$C49)&gt;0,SUMIFS(Scenario_Weekly_Plan!$C:$C,Scenario_Weekly_Plan!$A:$A,$A49,Scenario_Weekly_Plan!$B:$B,$C49),MIN(Q49,I49,MAX(0,E49+G49-F49)))</f>
        <v>2959</v>
      </c>
      <c r="K49" s="90">
        <f t="shared" si="2"/>
        <v>40</v>
      </c>
      <c r="L49" s="90">
        <f t="shared" si="3"/>
        <v>0</v>
      </c>
      <c r="M49" s="90">
        <f t="shared" si="4"/>
        <v>40</v>
      </c>
      <c r="N49" s="91">
        <f t="shared" si="5"/>
        <v>1</v>
      </c>
      <c r="O49" s="104">
        <f>IF(COUNTIFS(Scenario_Weekly_Plan!$A:$A,$A49,Scenario_Weekly_Plan!$B:$B,$C49)&gt;0,"Scenario PP imported",MPS!O49)</f>
        <v>0</v>
      </c>
      <c r="P49" s="92">
        <f>SUMIFS($J$2:J48,$B$2:B48,B49,$C$2:C48,C49)</f>
        <v>12041</v>
      </c>
      <c r="Q49" s="92">
        <f t="shared" si="6"/>
        <v>2959</v>
      </c>
      <c r="R49" s="106">
        <f t="shared" si="7"/>
        <v>3000</v>
      </c>
      <c r="S49" s="104"/>
      <c r="T49" s="104"/>
      <c r="U49" s="104"/>
    </row>
    <row r="50" spans="1:21" x14ac:dyDescent="0.3">
      <c r="A50" s="87" t="s">
        <v>2</v>
      </c>
      <c r="B50" s="87" t="s">
        <v>59</v>
      </c>
      <c r="C50" s="101">
        <v>46209</v>
      </c>
      <c r="D50" s="89">
        <v>15000</v>
      </c>
      <c r="E50" s="89">
        <v>3000</v>
      </c>
      <c r="F50" s="89">
        <f t="shared" si="10"/>
        <v>40</v>
      </c>
      <c r="G50" s="89">
        <v>15000</v>
      </c>
      <c r="H50" s="90">
        <f t="shared" si="9"/>
        <v>0</v>
      </c>
      <c r="I50" s="90">
        <f t="shared" si="1"/>
        <v>2960</v>
      </c>
      <c r="J50" s="90">
        <f>IF(COUNTIFS(Scenario_Weekly_Plan!$A:$A,$A50,Scenario_Weekly_Plan!$B:$B,$C50)&gt;0,SUMIFS(Scenario_Weekly_Plan!$C:$C,Scenario_Weekly_Plan!$A:$A,$A50,Scenario_Weekly_Plan!$B:$B,$C50),MIN(Q50,I50,MAX(0,E50+G50-F50)))</f>
        <v>2960</v>
      </c>
      <c r="K50" s="90">
        <f t="shared" si="2"/>
        <v>0</v>
      </c>
      <c r="L50" s="90">
        <f t="shared" si="3"/>
        <v>0</v>
      </c>
      <c r="M50" s="90">
        <f t="shared" si="4"/>
        <v>0</v>
      </c>
      <c r="N50" s="91">
        <f t="shared" si="5"/>
        <v>1</v>
      </c>
      <c r="O50" s="104">
        <f>IF(COUNTIFS(Scenario_Weekly_Plan!$A:$A,$A50,Scenario_Weekly_Plan!$B:$B,$C50)&gt;0,"Scenario PP imported",MPS!O50)</f>
        <v>0</v>
      </c>
      <c r="P50" s="92">
        <f>SUMIFS($J$2:J49,$B$2:B49,B50,$C$2:C49,C50)</f>
        <v>12040</v>
      </c>
      <c r="Q50" s="92">
        <f t="shared" si="6"/>
        <v>2960</v>
      </c>
      <c r="R50" s="106">
        <f t="shared" si="7"/>
        <v>3000</v>
      </c>
      <c r="S50" s="104"/>
      <c r="T50" s="104"/>
      <c r="U50" s="104"/>
    </row>
    <row r="51" spans="1:21" x14ac:dyDescent="0.3">
      <c r="A51" s="87" t="s">
        <v>2</v>
      </c>
      <c r="B51" s="87" t="s">
        <v>59</v>
      </c>
      <c r="C51" s="101">
        <v>46216</v>
      </c>
      <c r="D51" s="89">
        <v>15000</v>
      </c>
      <c r="E51" s="89">
        <v>3000</v>
      </c>
      <c r="F51" s="89">
        <f t="shared" si="10"/>
        <v>0</v>
      </c>
      <c r="G51" s="89">
        <v>15000</v>
      </c>
      <c r="H51" s="90">
        <f t="shared" si="9"/>
        <v>0</v>
      </c>
      <c r="I51" s="90">
        <f t="shared" si="1"/>
        <v>3000</v>
      </c>
      <c r="J51" s="90">
        <f>IF(COUNTIFS(Scenario_Weekly_Plan!$A:$A,$A51,Scenario_Weekly_Plan!$B:$B,$C51)&gt;0,SUMIFS(Scenario_Weekly_Plan!$C:$C,Scenario_Weekly_Plan!$A:$A,$A51,Scenario_Weekly_Plan!$B:$B,$C51),MIN(Q51,I51,MAX(0,E51+G51-F51)))</f>
        <v>3000</v>
      </c>
      <c r="K51" s="90">
        <f t="shared" si="2"/>
        <v>0</v>
      </c>
      <c r="L51" s="90">
        <f t="shared" si="3"/>
        <v>0</v>
      </c>
      <c r="M51" s="90">
        <f t="shared" si="4"/>
        <v>0</v>
      </c>
      <c r="N51" s="91">
        <f t="shared" si="5"/>
        <v>0.81640000000000001</v>
      </c>
      <c r="O51" s="104">
        <f>IF(COUNTIFS(Scenario_Weekly_Plan!$A:$A,$A51,Scenario_Weekly_Plan!$B:$B,$C51)&gt;0,"Scenario PP imported",MPS!O51)</f>
        <v>0</v>
      </c>
      <c r="P51" s="92">
        <f>SUMIFS($J$2:J50,$B$2:B50,B51,$C$2:C50,C51)</f>
        <v>9246</v>
      </c>
      <c r="Q51" s="92">
        <f t="shared" si="6"/>
        <v>5754</v>
      </c>
      <c r="R51" s="106">
        <f t="shared" si="7"/>
        <v>3000</v>
      </c>
      <c r="S51" s="104"/>
      <c r="T51" s="104"/>
      <c r="U51" s="104"/>
    </row>
    <row r="52" spans="1:21" x14ac:dyDescent="0.3">
      <c r="A52" s="87" t="s">
        <v>2</v>
      </c>
      <c r="B52" s="87" t="s">
        <v>59</v>
      </c>
      <c r="C52" s="101">
        <v>46223</v>
      </c>
      <c r="D52" s="89">
        <v>15000</v>
      </c>
      <c r="E52" s="89">
        <v>2400</v>
      </c>
      <c r="F52" s="89">
        <f t="shared" si="10"/>
        <v>0</v>
      </c>
      <c r="G52" s="89">
        <v>15000</v>
      </c>
      <c r="H52" s="90">
        <f t="shared" si="9"/>
        <v>2400</v>
      </c>
      <c r="I52" s="90">
        <f t="shared" si="1"/>
        <v>4800</v>
      </c>
      <c r="J52" s="90">
        <f>IF(COUNTIFS(Scenario_Weekly_Plan!$A:$A,$A52,Scenario_Weekly_Plan!$B:$B,$C52)&gt;0,SUMIFS(Scenario_Weekly_Plan!$C:$C,Scenario_Weekly_Plan!$A:$A,$A52,Scenario_Weekly_Plan!$B:$B,$C52),MIN(Q52,I52,MAX(0,E52+G52-F52)))</f>
        <v>4800</v>
      </c>
      <c r="K52" s="90">
        <f t="shared" si="2"/>
        <v>2400</v>
      </c>
      <c r="L52" s="90">
        <f t="shared" si="3"/>
        <v>0</v>
      </c>
      <c r="M52" s="90">
        <f t="shared" si="4"/>
        <v>2400</v>
      </c>
      <c r="N52" s="91">
        <f t="shared" si="5"/>
        <v>0.7036</v>
      </c>
      <c r="O52" s="104">
        <f>IF(COUNTIFS(Scenario_Weekly_Plan!$A:$A,$A52,Scenario_Weekly_Plan!$B:$B,$C52)&gt;0,"Scenario PP imported",MPS!O52)</f>
        <v>0</v>
      </c>
      <c r="P52" s="92">
        <f>SUMIFS($J$2:J51,$B$2:B51,B52,$C$2:C51,C52)</f>
        <v>5754</v>
      </c>
      <c r="Q52" s="92">
        <f t="shared" si="6"/>
        <v>9246</v>
      </c>
      <c r="R52" s="106">
        <f t="shared" si="7"/>
        <v>2400</v>
      </c>
      <c r="S52" s="104"/>
      <c r="T52" s="104"/>
      <c r="U52" s="104"/>
    </row>
    <row r="53" spans="1:21" x14ac:dyDescent="0.3">
      <c r="A53" s="87" t="s">
        <v>2</v>
      </c>
      <c r="B53" s="87" t="s">
        <v>59</v>
      </c>
      <c r="C53" s="101">
        <v>46230</v>
      </c>
      <c r="D53" s="89">
        <v>15000</v>
      </c>
      <c r="E53" s="89">
        <v>2400</v>
      </c>
      <c r="F53" s="89">
        <f t="shared" si="10"/>
        <v>2400</v>
      </c>
      <c r="G53" s="89">
        <v>15000</v>
      </c>
      <c r="H53" s="90">
        <f t="shared" si="9"/>
        <v>0</v>
      </c>
      <c r="I53" s="90">
        <f t="shared" si="1"/>
        <v>0</v>
      </c>
      <c r="J53" s="90">
        <f>IF(COUNTIFS(Scenario_Weekly_Plan!$A:$A,$A53,Scenario_Weekly_Plan!$B:$B,$C53)&gt;0,SUMIFS(Scenario_Weekly_Plan!$C:$C,Scenario_Weekly_Plan!$A:$A,$A53,Scenario_Weekly_Plan!$B:$B,$C53),MIN(Q53,I53,MAX(0,E53+G53-F53)))</f>
        <v>0</v>
      </c>
      <c r="K53" s="90">
        <f t="shared" si="2"/>
        <v>0</v>
      </c>
      <c r="L53" s="90">
        <f t="shared" si="3"/>
        <v>0</v>
      </c>
      <c r="M53" s="90">
        <f t="shared" si="4"/>
        <v>0</v>
      </c>
      <c r="N53" s="91">
        <f t="shared" si="5"/>
        <v>1</v>
      </c>
      <c r="O53" s="104">
        <f>IF(COUNTIFS(Scenario_Weekly_Plan!$A:$A,$A53,Scenario_Weekly_Plan!$B:$B,$C53)&gt;0,"Scenario PP imported",MPS!O53)</f>
        <v>0</v>
      </c>
      <c r="P53" s="92">
        <f>SUMIFS($J$2:J52,$B$2:B52,B53,$C$2:C52,C53)</f>
        <v>15000</v>
      </c>
      <c r="Q53" s="92">
        <f t="shared" si="6"/>
        <v>0</v>
      </c>
      <c r="R53" s="106">
        <f t="shared" si="7"/>
        <v>2400</v>
      </c>
      <c r="S53" s="104"/>
      <c r="T53" s="104"/>
      <c r="U53" s="104"/>
    </row>
    <row r="54" spans="1:21" x14ac:dyDescent="0.3">
      <c r="A54" s="87" t="s">
        <v>2</v>
      </c>
      <c r="B54" s="87" t="s">
        <v>59</v>
      </c>
      <c r="C54" s="101">
        <v>46237</v>
      </c>
      <c r="D54" s="89">
        <v>15000</v>
      </c>
      <c r="E54" s="89">
        <v>0</v>
      </c>
      <c r="F54" s="89">
        <f t="shared" si="10"/>
        <v>0</v>
      </c>
      <c r="G54" s="89">
        <v>15000</v>
      </c>
      <c r="H54" s="90">
        <f t="shared" si="9"/>
        <v>0</v>
      </c>
      <c r="I54" s="90">
        <f t="shared" si="1"/>
        <v>0</v>
      </c>
      <c r="J54" s="90">
        <f>IF(COUNTIFS(Scenario_Weekly_Plan!$A:$A,$A54,Scenario_Weekly_Plan!$B:$B,$C54)&gt;0,SUMIFS(Scenario_Weekly_Plan!$C:$C,Scenario_Weekly_Plan!$A:$A,$A54,Scenario_Weekly_Plan!$B:$B,$C54),MIN(Q54,I54,MAX(0,E54+G54-F54)))</f>
        <v>0</v>
      </c>
      <c r="K54" s="90">
        <f t="shared" si="2"/>
        <v>0</v>
      </c>
      <c r="L54" s="90">
        <f t="shared" si="3"/>
        <v>0</v>
      </c>
      <c r="M54" s="90">
        <f t="shared" si="4"/>
        <v>0</v>
      </c>
      <c r="N54" s="91">
        <f t="shared" si="5"/>
        <v>1</v>
      </c>
      <c r="O54" s="104">
        <f>IF(COUNTIFS(Scenario_Weekly_Plan!$A:$A,$A54,Scenario_Weekly_Plan!$B:$B,$C54)&gt;0,"Scenario PP imported",MPS!O54)</f>
        <v>0</v>
      </c>
      <c r="P54" s="92">
        <f>SUMIFS($J$2:J53,$B$2:B53,B54,$C$2:C53,C54)</f>
        <v>15000</v>
      </c>
      <c r="Q54" s="92">
        <f t="shared" si="6"/>
        <v>0</v>
      </c>
      <c r="R54" s="106">
        <f t="shared" si="7"/>
        <v>0</v>
      </c>
      <c r="S54" s="104"/>
      <c r="T54" s="104"/>
      <c r="U54" s="104"/>
    </row>
    <row r="55" spans="1:21" x14ac:dyDescent="0.3">
      <c r="A55" s="87" t="s">
        <v>2</v>
      </c>
      <c r="B55" s="87" t="s">
        <v>59</v>
      </c>
      <c r="C55" s="101">
        <v>46244</v>
      </c>
      <c r="D55" s="89">
        <v>15000</v>
      </c>
      <c r="E55" s="89">
        <v>2400</v>
      </c>
      <c r="F55" s="89">
        <f t="shared" si="10"/>
        <v>0</v>
      </c>
      <c r="G55" s="89">
        <v>15000</v>
      </c>
      <c r="H55" s="90">
        <f t="shared" si="9"/>
        <v>0</v>
      </c>
      <c r="I55" s="90">
        <f t="shared" si="1"/>
        <v>2400</v>
      </c>
      <c r="J55" s="90">
        <f>IF(COUNTIFS(Scenario_Weekly_Plan!$A:$A,$A55,Scenario_Weekly_Plan!$B:$B,$C55)&gt;0,SUMIFS(Scenario_Weekly_Plan!$C:$C,Scenario_Weekly_Plan!$A:$A,$A55,Scenario_Weekly_Plan!$B:$B,$C55),MIN(Q55,I55,MAX(0,E55+G55-F55)))</f>
        <v>2400</v>
      </c>
      <c r="K55" s="90">
        <f t="shared" si="2"/>
        <v>0</v>
      </c>
      <c r="L55" s="90">
        <f t="shared" si="3"/>
        <v>0</v>
      </c>
      <c r="M55" s="90">
        <f t="shared" si="4"/>
        <v>0</v>
      </c>
      <c r="N55" s="91">
        <f t="shared" si="5"/>
        <v>0.44319999999999998</v>
      </c>
      <c r="O55" s="104">
        <f>IF(COUNTIFS(Scenario_Weekly_Plan!$A:$A,$A55,Scenario_Weekly_Plan!$B:$B,$C55)&gt;0,"Scenario PP imported",MPS!O55)</f>
        <v>0</v>
      </c>
      <c r="P55" s="92">
        <f>SUMIFS($J$2:J54,$B$2:B54,B55,$C$2:C54,C55)</f>
        <v>4248</v>
      </c>
      <c r="Q55" s="92">
        <f t="shared" si="6"/>
        <v>10752</v>
      </c>
      <c r="R55" s="106">
        <f t="shared" si="7"/>
        <v>2400</v>
      </c>
      <c r="S55" s="104"/>
      <c r="T55" s="104"/>
      <c r="U55" s="104"/>
    </row>
    <row r="56" spans="1:21" x14ac:dyDescent="0.3">
      <c r="A56" s="87" t="s">
        <v>2</v>
      </c>
      <c r="B56" s="87" t="s">
        <v>59</v>
      </c>
      <c r="C56" s="101">
        <v>46251</v>
      </c>
      <c r="D56" s="89">
        <v>15000</v>
      </c>
      <c r="E56" s="89">
        <v>2400</v>
      </c>
      <c r="F56" s="89">
        <f t="shared" si="10"/>
        <v>0</v>
      </c>
      <c r="G56" s="89">
        <v>15000</v>
      </c>
      <c r="H56" s="90">
        <f t="shared" si="9"/>
        <v>0</v>
      </c>
      <c r="I56" s="90">
        <f t="shared" si="1"/>
        <v>2400</v>
      </c>
      <c r="J56" s="90">
        <f>IF(COUNTIFS(Scenario_Weekly_Plan!$A:$A,$A56,Scenario_Weekly_Plan!$B:$B,$C56)&gt;0,SUMIFS(Scenario_Weekly_Plan!$C:$C,Scenario_Weekly_Plan!$A:$A,$A56,Scenario_Weekly_Plan!$B:$B,$C56),MIN(Q56,I56,MAX(0,E56+G56-F56)))</f>
        <v>2400</v>
      </c>
      <c r="K56" s="90">
        <f t="shared" si="2"/>
        <v>0</v>
      </c>
      <c r="L56" s="90">
        <f t="shared" si="3"/>
        <v>0</v>
      </c>
      <c r="M56" s="90">
        <f t="shared" si="4"/>
        <v>0</v>
      </c>
      <c r="N56" s="91">
        <f t="shared" si="5"/>
        <v>0.44319999999999998</v>
      </c>
      <c r="O56" s="104">
        <f>IF(COUNTIFS(Scenario_Weekly_Plan!$A:$A,$A56,Scenario_Weekly_Plan!$B:$B,$C56)&gt;0,"Scenario PP imported",MPS!O56)</f>
        <v>0</v>
      </c>
      <c r="P56" s="92">
        <f>SUMIFS($J$2:J55,$B$2:B55,B56,$C$2:C55,C56)</f>
        <v>4248</v>
      </c>
      <c r="Q56" s="92">
        <f t="shared" si="6"/>
        <v>10752</v>
      </c>
      <c r="R56" s="106">
        <f t="shared" si="7"/>
        <v>2400</v>
      </c>
      <c r="S56" s="104"/>
      <c r="T56" s="104"/>
      <c r="U56" s="104"/>
    </row>
    <row r="57" spans="1:21" x14ac:dyDescent="0.3">
      <c r="A57" s="87" t="s">
        <v>2</v>
      </c>
      <c r="B57" s="87" t="s">
        <v>59</v>
      </c>
      <c r="C57" s="101">
        <v>46258</v>
      </c>
      <c r="D57" s="89">
        <v>15000</v>
      </c>
      <c r="E57" s="89">
        <v>3750</v>
      </c>
      <c r="F57" s="89">
        <f t="shared" si="10"/>
        <v>0</v>
      </c>
      <c r="G57" s="89">
        <v>15000</v>
      </c>
      <c r="H57" s="90">
        <f t="shared" si="9"/>
        <v>0</v>
      </c>
      <c r="I57" s="90">
        <f t="shared" si="1"/>
        <v>3750</v>
      </c>
      <c r="J57" s="90">
        <f>IF(COUNTIFS(Scenario_Weekly_Plan!$A:$A,$A57,Scenario_Weekly_Plan!$B:$B,$C57)&gt;0,SUMIFS(Scenario_Weekly_Plan!$C:$C,Scenario_Weekly_Plan!$A:$A,$A57,Scenario_Weekly_Plan!$B:$B,$C57),MIN(Q57,I57,MAX(0,E57+G57-F57)))</f>
        <v>3750</v>
      </c>
      <c r="K57" s="90">
        <f t="shared" si="2"/>
        <v>0</v>
      </c>
      <c r="L57" s="90">
        <f t="shared" si="3"/>
        <v>0</v>
      </c>
      <c r="M57" s="90">
        <f t="shared" si="4"/>
        <v>0</v>
      </c>
      <c r="N57" s="91">
        <f t="shared" si="5"/>
        <v>0.53326666666666667</v>
      </c>
      <c r="O57" s="104">
        <f>IF(COUNTIFS(Scenario_Weekly_Plan!$A:$A,$A57,Scenario_Weekly_Plan!$B:$B,$C57)&gt;0,"Scenario PP imported",MPS!O57)</f>
        <v>0</v>
      </c>
      <c r="P57" s="92">
        <f>SUMIFS($J$2:J56,$B$2:B56,B57,$C$2:C56,C57)</f>
        <v>4249</v>
      </c>
      <c r="Q57" s="92">
        <f t="shared" si="6"/>
        <v>10751</v>
      </c>
      <c r="R57" s="106">
        <f t="shared" si="7"/>
        <v>3750</v>
      </c>
      <c r="S57" s="104"/>
      <c r="T57" s="104"/>
      <c r="U57" s="104"/>
    </row>
    <row r="58" spans="1:21" x14ac:dyDescent="0.3">
      <c r="A58" s="87" t="s">
        <v>2</v>
      </c>
      <c r="B58" s="87" t="s">
        <v>59</v>
      </c>
      <c r="C58" s="101">
        <v>46265</v>
      </c>
      <c r="D58" s="89">
        <v>15000</v>
      </c>
      <c r="E58" s="89">
        <v>3750</v>
      </c>
      <c r="F58" s="89">
        <f t="shared" si="10"/>
        <v>0</v>
      </c>
      <c r="G58" s="89">
        <v>15000</v>
      </c>
      <c r="H58" s="90">
        <f t="shared" si="9"/>
        <v>0</v>
      </c>
      <c r="I58" s="90">
        <f t="shared" si="1"/>
        <v>3750</v>
      </c>
      <c r="J58" s="90">
        <f>IF(COUNTIFS(Scenario_Weekly_Plan!$A:$A,$A58,Scenario_Weekly_Plan!$B:$B,$C58)&gt;0,SUMIFS(Scenario_Weekly_Plan!$C:$C,Scenario_Weekly_Plan!$A:$A,$A58,Scenario_Weekly_Plan!$B:$B,$C58),MIN(Q58,I58,MAX(0,E58+G58-F58)))</f>
        <v>3750</v>
      </c>
      <c r="K58" s="90">
        <f t="shared" si="2"/>
        <v>0</v>
      </c>
      <c r="L58" s="90">
        <f t="shared" si="3"/>
        <v>0</v>
      </c>
      <c r="M58" s="90">
        <f t="shared" si="4"/>
        <v>0</v>
      </c>
      <c r="N58" s="91">
        <f t="shared" si="5"/>
        <v>0.53320000000000001</v>
      </c>
      <c r="O58" s="104">
        <f>IF(COUNTIFS(Scenario_Weekly_Plan!$A:$A,$A58,Scenario_Weekly_Plan!$B:$B,$C58)&gt;0,"Scenario PP imported",MPS!O58)</f>
        <v>0</v>
      </c>
      <c r="P58" s="92">
        <f>SUMIFS($J$2:J57,$B$2:B57,B58,$C$2:C57,C58)</f>
        <v>4248</v>
      </c>
      <c r="Q58" s="92">
        <f t="shared" si="6"/>
        <v>10752</v>
      </c>
      <c r="R58" s="106">
        <f t="shared" si="7"/>
        <v>3750</v>
      </c>
      <c r="S58" s="104"/>
      <c r="T58" s="104"/>
      <c r="U58" s="104"/>
    </row>
    <row r="59" spans="1:21" x14ac:dyDescent="0.3">
      <c r="A59" s="87" t="s">
        <v>2</v>
      </c>
      <c r="B59" s="87" t="s">
        <v>59</v>
      </c>
      <c r="C59" s="101">
        <v>46272</v>
      </c>
      <c r="D59" s="89">
        <v>15000</v>
      </c>
      <c r="E59" s="89">
        <v>3750</v>
      </c>
      <c r="F59" s="89">
        <f t="shared" si="10"/>
        <v>0</v>
      </c>
      <c r="G59" s="89">
        <v>15000</v>
      </c>
      <c r="H59" s="90">
        <f t="shared" si="9"/>
        <v>0</v>
      </c>
      <c r="I59" s="90">
        <f t="shared" si="1"/>
        <v>3750</v>
      </c>
      <c r="J59" s="90">
        <f>IF(COUNTIFS(Scenario_Weekly_Plan!$A:$A,$A59,Scenario_Weekly_Plan!$B:$B,$C59)&gt;0,SUMIFS(Scenario_Weekly_Plan!$C:$C,Scenario_Weekly_Plan!$A:$A,$A59,Scenario_Weekly_Plan!$B:$B,$C59),MIN(Q59,I59,MAX(0,E59+G59-F59)))</f>
        <v>3750</v>
      </c>
      <c r="K59" s="90">
        <f t="shared" si="2"/>
        <v>0</v>
      </c>
      <c r="L59" s="90">
        <f t="shared" si="3"/>
        <v>0</v>
      </c>
      <c r="M59" s="90">
        <f t="shared" si="4"/>
        <v>0</v>
      </c>
      <c r="N59" s="91">
        <f t="shared" si="5"/>
        <v>0.40939999999999999</v>
      </c>
      <c r="O59" s="104">
        <f>IF(COUNTIFS(Scenario_Weekly_Plan!$A:$A,$A59,Scenario_Weekly_Plan!$B:$B,$C59)&gt;0,"Scenario PP imported",MPS!O59)</f>
        <v>0</v>
      </c>
      <c r="P59" s="92">
        <f>SUMIFS($J$2:J58,$B$2:B58,B59,$C$2:C58,C59)</f>
        <v>2391</v>
      </c>
      <c r="Q59" s="92">
        <f t="shared" si="6"/>
        <v>12609</v>
      </c>
      <c r="R59" s="106">
        <f t="shared" si="7"/>
        <v>3750</v>
      </c>
      <c r="S59" s="104"/>
      <c r="T59" s="104"/>
      <c r="U59" s="104"/>
    </row>
    <row r="60" spans="1:21" x14ac:dyDescent="0.3">
      <c r="A60" s="87" t="s">
        <v>2</v>
      </c>
      <c r="B60" s="87" t="s">
        <v>59</v>
      </c>
      <c r="C60" s="101">
        <v>46279</v>
      </c>
      <c r="D60" s="89">
        <v>15000</v>
      </c>
      <c r="E60" s="89">
        <v>3750</v>
      </c>
      <c r="F60" s="89">
        <f t="shared" si="10"/>
        <v>0</v>
      </c>
      <c r="G60" s="89">
        <v>15000</v>
      </c>
      <c r="H60" s="90">
        <f t="shared" si="9"/>
        <v>100</v>
      </c>
      <c r="I60" s="90">
        <f t="shared" si="1"/>
        <v>3850</v>
      </c>
      <c r="J60" s="90">
        <f>IF(COUNTIFS(Scenario_Weekly_Plan!$A:$A,$A60,Scenario_Weekly_Plan!$B:$B,$C60)&gt;0,SUMIFS(Scenario_Weekly_Plan!$C:$C,Scenario_Weekly_Plan!$A:$A,$A60,Scenario_Weekly_Plan!$B:$B,$C60),MIN(Q60,I60,MAX(0,E60+G60-F60)))</f>
        <v>3850</v>
      </c>
      <c r="K60" s="90">
        <f t="shared" si="2"/>
        <v>100</v>
      </c>
      <c r="L60" s="90">
        <f t="shared" si="3"/>
        <v>0</v>
      </c>
      <c r="M60" s="90">
        <f t="shared" si="4"/>
        <v>100</v>
      </c>
      <c r="N60" s="91">
        <f t="shared" si="5"/>
        <v>0.41613333333333336</v>
      </c>
      <c r="O60" s="104">
        <f>IF(COUNTIFS(Scenario_Weekly_Plan!$A:$A,$A60,Scenario_Weekly_Plan!$B:$B,$C60)&gt;0,"Scenario PP imported",MPS!O60)</f>
        <v>0</v>
      </c>
      <c r="P60" s="92">
        <f>SUMIFS($J$2:J59,$B$2:B59,B60,$C$2:C59,C60)</f>
        <v>2392</v>
      </c>
      <c r="Q60" s="92">
        <f t="shared" si="6"/>
        <v>12608</v>
      </c>
      <c r="R60" s="106">
        <f t="shared" si="7"/>
        <v>3750</v>
      </c>
      <c r="S60" s="104"/>
      <c r="T60" s="104"/>
      <c r="U60" s="104"/>
    </row>
    <row r="61" spans="1:21" x14ac:dyDescent="0.3">
      <c r="A61" s="87" t="s">
        <v>2</v>
      </c>
      <c r="B61" s="87" t="s">
        <v>59</v>
      </c>
      <c r="C61" s="101">
        <v>46286</v>
      </c>
      <c r="D61" s="89">
        <v>15000</v>
      </c>
      <c r="E61" s="89">
        <v>3000</v>
      </c>
      <c r="F61" s="89">
        <f t="shared" si="10"/>
        <v>100</v>
      </c>
      <c r="G61" s="89">
        <v>15000</v>
      </c>
      <c r="H61" s="90">
        <f t="shared" si="9"/>
        <v>9709</v>
      </c>
      <c r="I61" s="90">
        <f t="shared" si="1"/>
        <v>12609</v>
      </c>
      <c r="J61" s="90">
        <f>IF(COUNTIFS(Scenario_Weekly_Plan!$A:$A,$A61,Scenario_Weekly_Plan!$B:$B,$C61)&gt;0,SUMIFS(Scenario_Weekly_Plan!$C:$C,Scenario_Weekly_Plan!$A:$A,$A61,Scenario_Weekly_Plan!$B:$B,$C61),MIN(Q61,I61,MAX(0,E61+G61-F61)))</f>
        <v>12609</v>
      </c>
      <c r="K61" s="90">
        <f t="shared" si="2"/>
        <v>9709</v>
      </c>
      <c r="L61" s="90">
        <f t="shared" si="3"/>
        <v>0</v>
      </c>
      <c r="M61" s="90">
        <f t="shared" si="4"/>
        <v>9709</v>
      </c>
      <c r="N61" s="91">
        <f t="shared" si="5"/>
        <v>1</v>
      </c>
      <c r="O61" s="104">
        <f>IF(COUNTIFS(Scenario_Weekly_Plan!$A:$A,$A61,Scenario_Weekly_Plan!$B:$B,$C61)&gt;0,"Scenario PP imported",MPS!O61)</f>
        <v>0</v>
      </c>
      <c r="P61" s="92">
        <f>SUMIFS($J$2:J60,$B$2:B60,B61,$C$2:C60,C61)</f>
        <v>2391</v>
      </c>
      <c r="Q61" s="92">
        <f t="shared" si="6"/>
        <v>12609</v>
      </c>
      <c r="R61" s="106">
        <f t="shared" si="7"/>
        <v>3000</v>
      </c>
      <c r="S61" s="104"/>
      <c r="T61" s="104"/>
      <c r="U61" s="104"/>
    </row>
    <row r="62" spans="1:21" x14ac:dyDescent="0.3">
      <c r="A62" s="87" t="s">
        <v>2</v>
      </c>
      <c r="B62" s="87" t="s">
        <v>59</v>
      </c>
      <c r="C62" s="101">
        <v>46293</v>
      </c>
      <c r="D62" s="89">
        <v>15000</v>
      </c>
      <c r="E62" s="89">
        <v>3000</v>
      </c>
      <c r="F62" s="89">
        <f t="shared" si="10"/>
        <v>9709</v>
      </c>
      <c r="G62" s="89">
        <v>15000</v>
      </c>
      <c r="H62" s="90">
        <f t="shared" si="9"/>
        <v>15250</v>
      </c>
      <c r="I62" s="90">
        <f t="shared" si="1"/>
        <v>8541</v>
      </c>
      <c r="J62" s="90">
        <f>IF(COUNTIFS(Scenario_Weekly_Plan!$A:$A,$A62,Scenario_Weekly_Plan!$B:$B,$C62)&gt;0,SUMIFS(Scenario_Weekly_Plan!$C:$C,Scenario_Weekly_Plan!$A:$A,$A62,Scenario_Weekly_Plan!$B:$B,$C62),MIN(Q62,I62,MAX(0,E62+G62-F62)))</f>
        <v>8291</v>
      </c>
      <c r="K62" s="90">
        <f t="shared" si="2"/>
        <v>15000</v>
      </c>
      <c r="L62" s="90">
        <f t="shared" si="3"/>
        <v>0</v>
      </c>
      <c r="M62" s="90">
        <f t="shared" si="4"/>
        <v>15000</v>
      </c>
      <c r="N62" s="91">
        <f t="shared" si="5"/>
        <v>0.98333333333333328</v>
      </c>
      <c r="O62" s="104">
        <f>IF(COUNTIFS(Scenario_Weekly_Plan!$A:$A,$A62,Scenario_Weekly_Plan!$B:$B,$C62)&gt;0,"Scenario PP imported",MPS!O62)</f>
        <v>0</v>
      </c>
      <c r="P62" s="92">
        <f>SUMIFS($J$2:J61,$B$2:B61,B62,$C$2:C61,C62)</f>
        <v>6459</v>
      </c>
      <c r="Q62" s="92">
        <f t="shared" si="6"/>
        <v>8541</v>
      </c>
      <c r="R62" s="106">
        <f t="shared" si="7"/>
        <v>3000</v>
      </c>
      <c r="S62" s="104"/>
      <c r="T62" s="104"/>
      <c r="U62" s="104"/>
    </row>
    <row r="63" spans="1:21" x14ac:dyDescent="0.3">
      <c r="A63" s="87" t="s">
        <v>2</v>
      </c>
      <c r="B63" s="87" t="s">
        <v>59</v>
      </c>
      <c r="C63" s="101">
        <v>46300</v>
      </c>
      <c r="D63" s="89">
        <v>15000</v>
      </c>
      <c r="E63" s="89">
        <v>3000</v>
      </c>
      <c r="F63" s="89">
        <f t="shared" si="10"/>
        <v>15000</v>
      </c>
      <c r="G63" s="89">
        <v>15000</v>
      </c>
      <c r="H63" s="90">
        <f t="shared" si="9"/>
        <v>12250</v>
      </c>
      <c r="I63" s="90">
        <f t="shared" si="1"/>
        <v>250</v>
      </c>
      <c r="J63" s="90">
        <f>IF(COUNTIFS(Scenario_Weekly_Plan!$A:$A,$A63,Scenario_Weekly_Plan!$B:$B,$C63)&gt;0,SUMIFS(Scenario_Weekly_Plan!$C:$C,Scenario_Weekly_Plan!$A:$A,$A63,Scenario_Weekly_Plan!$B:$B,$C63),MIN(Q63,I63,MAX(0,E63+G63-F63)))</f>
        <v>0</v>
      </c>
      <c r="K63" s="90">
        <f t="shared" si="2"/>
        <v>12000</v>
      </c>
      <c r="L63" s="90">
        <f t="shared" si="3"/>
        <v>0</v>
      </c>
      <c r="M63" s="90">
        <f t="shared" si="4"/>
        <v>12000</v>
      </c>
      <c r="N63" s="91">
        <f t="shared" si="5"/>
        <v>1</v>
      </c>
      <c r="O63" s="104">
        <f>IF(COUNTIFS(Scenario_Weekly_Plan!$A:$A,$A63,Scenario_Weekly_Plan!$B:$B,$C63)&gt;0,"Scenario PP imported",MPS!O63)</f>
        <v>0</v>
      </c>
      <c r="P63" s="92">
        <f>SUMIFS($J$2:J62,$B$2:B62,B63,$C$2:C62,C63)</f>
        <v>15000</v>
      </c>
      <c r="Q63" s="92">
        <f t="shared" si="6"/>
        <v>0</v>
      </c>
      <c r="R63" s="106">
        <f t="shared" si="7"/>
        <v>3000</v>
      </c>
      <c r="S63" s="104"/>
      <c r="T63" s="104"/>
      <c r="U63" s="104"/>
    </row>
    <row r="64" spans="1:21" x14ac:dyDescent="0.3">
      <c r="A64" s="87" t="s">
        <v>2</v>
      </c>
      <c r="B64" s="87" t="s">
        <v>59</v>
      </c>
      <c r="C64" s="101">
        <v>46307</v>
      </c>
      <c r="D64" s="89">
        <v>15000</v>
      </c>
      <c r="E64" s="89">
        <v>3000</v>
      </c>
      <c r="F64" s="89">
        <f t="shared" si="10"/>
        <v>12000</v>
      </c>
      <c r="G64" s="89">
        <v>15000</v>
      </c>
      <c r="H64" s="90">
        <f t="shared" si="9"/>
        <v>9250</v>
      </c>
      <c r="I64" s="90">
        <f t="shared" si="1"/>
        <v>250</v>
      </c>
      <c r="J64" s="90">
        <f>IF(COUNTIFS(Scenario_Weekly_Plan!$A:$A,$A64,Scenario_Weekly_Plan!$B:$B,$C64)&gt;0,SUMIFS(Scenario_Weekly_Plan!$C:$C,Scenario_Weekly_Plan!$A:$A,$A64,Scenario_Weekly_Plan!$B:$B,$C64),MIN(Q64,I64,MAX(0,E64+G64-F64)))</f>
        <v>0</v>
      </c>
      <c r="K64" s="90">
        <f t="shared" si="2"/>
        <v>9000</v>
      </c>
      <c r="L64" s="90">
        <f t="shared" si="3"/>
        <v>0</v>
      </c>
      <c r="M64" s="90">
        <f t="shared" si="4"/>
        <v>9000</v>
      </c>
      <c r="N64" s="91">
        <f t="shared" si="5"/>
        <v>1</v>
      </c>
      <c r="O64" s="104">
        <f>IF(COUNTIFS(Scenario_Weekly_Plan!$A:$A,$A64,Scenario_Weekly_Plan!$B:$B,$C64)&gt;0,"Scenario PP imported",MPS!O64)</f>
        <v>0</v>
      </c>
      <c r="P64" s="92">
        <f>SUMIFS($J$2:J63,$B$2:B63,B64,$C$2:C63,C64)</f>
        <v>15000</v>
      </c>
      <c r="Q64" s="92">
        <f t="shared" si="6"/>
        <v>0</v>
      </c>
      <c r="R64" s="106">
        <f t="shared" si="7"/>
        <v>3000</v>
      </c>
      <c r="S64" s="104"/>
      <c r="T64" s="104"/>
      <c r="U64" s="104"/>
    </row>
    <row r="65" spans="1:21" x14ac:dyDescent="0.3">
      <c r="A65" s="87" t="s">
        <v>2</v>
      </c>
      <c r="B65" s="87" t="s">
        <v>59</v>
      </c>
      <c r="C65" s="101">
        <v>46314</v>
      </c>
      <c r="D65" s="89">
        <v>15000</v>
      </c>
      <c r="E65" s="89">
        <v>3000</v>
      </c>
      <c r="F65" s="89">
        <f t="shared" si="10"/>
        <v>9000</v>
      </c>
      <c r="G65" s="89">
        <v>15000</v>
      </c>
      <c r="H65" s="90">
        <f t="shared" si="9"/>
        <v>6250</v>
      </c>
      <c r="I65" s="90">
        <f t="shared" si="1"/>
        <v>250</v>
      </c>
      <c r="J65" s="90">
        <f>IF(COUNTIFS(Scenario_Weekly_Plan!$A:$A,$A65,Scenario_Weekly_Plan!$B:$B,$C65)&gt;0,SUMIFS(Scenario_Weekly_Plan!$C:$C,Scenario_Weekly_Plan!$A:$A,$A65,Scenario_Weekly_Plan!$B:$B,$C65),MIN(Q65,I65,MAX(0,E65+G65-F65)))</f>
        <v>0</v>
      </c>
      <c r="K65" s="90">
        <f t="shared" si="2"/>
        <v>6000</v>
      </c>
      <c r="L65" s="90">
        <f t="shared" si="3"/>
        <v>0</v>
      </c>
      <c r="M65" s="90">
        <f t="shared" si="4"/>
        <v>6000</v>
      </c>
      <c r="N65" s="91">
        <f t="shared" si="5"/>
        <v>1</v>
      </c>
      <c r="O65" s="104">
        <f>IF(COUNTIFS(Scenario_Weekly_Plan!$A:$A,$A65,Scenario_Weekly_Plan!$B:$B,$C65)&gt;0,"Scenario PP imported",MPS!O65)</f>
        <v>0</v>
      </c>
      <c r="P65" s="92">
        <f>SUMIFS($J$2:J64,$B$2:B64,B65,$C$2:C64,C65)</f>
        <v>15000</v>
      </c>
      <c r="Q65" s="92">
        <f t="shared" si="6"/>
        <v>0</v>
      </c>
      <c r="R65" s="106">
        <f t="shared" si="7"/>
        <v>3000</v>
      </c>
      <c r="S65" s="104"/>
      <c r="T65" s="104"/>
      <c r="U65" s="104"/>
    </row>
    <row r="66" spans="1:21" x14ac:dyDescent="0.3">
      <c r="A66" s="87" t="s">
        <v>2</v>
      </c>
      <c r="B66" s="87" t="s">
        <v>59</v>
      </c>
      <c r="C66" s="101">
        <v>46321</v>
      </c>
      <c r="D66" s="89">
        <v>15000</v>
      </c>
      <c r="E66" s="89">
        <v>6250</v>
      </c>
      <c r="F66" s="89">
        <f t="shared" si="10"/>
        <v>6000</v>
      </c>
      <c r="G66" s="89">
        <v>15000</v>
      </c>
      <c r="H66" s="90">
        <f t="shared" si="9"/>
        <v>0</v>
      </c>
      <c r="I66" s="90">
        <f t="shared" ref="I66:I129" si="11">MAX(0,E66+H66-F66)</f>
        <v>250</v>
      </c>
      <c r="J66" s="90">
        <f>IF(COUNTIFS(Scenario_Weekly_Plan!$A:$A,$A66,Scenario_Weekly_Plan!$B:$B,$C66)&gt;0,SUMIFS(Scenario_Weekly_Plan!$C:$C,Scenario_Weekly_Plan!$A:$A,$A66,Scenario_Weekly_Plan!$B:$B,$C66),MIN(Q66,I66,MAX(0,E66+G66-F66)))</f>
        <v>0</v>
      </c>
      <c r="K66" s="90">
        <f t="shared" ref="K66:K129" si="12">MIN(G66,MAX(0,F66+J66-E66))</f>
        <v>0</v>
      </c>
      <c r="L66" s="90">
        <f t="shared" ref="L66:L129" si="13">MAX(0,E66-F66-J66)</f>
        <v>250</v>
      </c>
      <c r="M66" s="90">
        <f t="shared" ref="M66:M129" si="14">MAX(0,F66+J66-E66)</f>
        <v>0</v>
      </c>
      <c r="N66" s="91">
        <f t="shared" ref="N66:N129" si="15">IFERROR(SUMIFS($J$2:$J$217,$B$2:$B$217,B66,$C$2:$C$217,C66)/D66,0)</f>
        <v>1</v>
      </c>
      <c r="O66" s="104">
        <f>IF(COUNTIFS(Scenario_Weekly_Plan!$A:$A,$A66,Scenario_Weekly_Plan!$B:$B,$C66)&gt;0,"Scenario PP imported",MPS!O66)</f>
        <v>0</v>
      </c>
      <c r="P66" s="92">
        <f>SUMIFS($J$2:J65,$B$2:B65,B66,$C$2:C65,C66)</f>
        <v>15000</v>
      </c>
      <c r="Q66" s="92">
        <f t="shared" ref="Q66:Q129" si="16">MAX(0,D66-P66)</f>
        <v>0</v>
      </c>
      <c r="R66" s="106">
        <f t="shared" ref="R66:R129" si="17">MAX(0,MIN(E66,F66+J66))</f>
        <v>6000</v>
      </c>
      <c r="S66" s="104"/>
      <c r="T66" s="104"/>
      <c r="U66" s="104"/>
    </row>
    <row r="67" spans="1:21" x14ac:dyDescent="0.3">
      <c r="A67" s="87" t="s">
        <v>2</v>
      </c>
      <c r="B67" s="87" t="s">
        <v>59</v>
      </c>
      <c r="C67" s="101">
        <v>46328</v>
      </c>
      <c r="D67" s="89">
        <v>15000</v>
      </c>
      <c r="E67" s="89">
        <v>6250</v>
      </c>
      <c r="F67" s="89">
        <f t="shared" si="10"/>
        <v>0</v>
      </c>
      <c r="G67" s="89">
        <v>15000</v>
      </c>
      <c r="H67" s="90">
        <f t="shared" si="9"/>
        <v>0</v>
      </c>
      <c r="I67" s="90">
        <f t="shared" si="11"/>
        <v>6250</v>
      </c>
      <c r="J67" s="90">
        <f>IF(COUNTIFS(Scenario_Weekly_Plan!$A:$A,$A67,Scenario_Weekly_Plan!$B:$B,$C67)&gt;0,SUMIFS(Scenario_Weekly_Plan!$C:$C,Scenario_Weekly_Plan!$A:$A,$A67,Scenario_Weekly_Plan!$B:$B,$C67),MIN(Q67,I67,MAX(0,E67+G67-F67)))</f>
        <v>6250</v>
      </c>
      <c r="K67" s="90">
        <f t="shared" si="12"/>
        <v>0</v>
      </c>
      <c r="L67" s="90">
        <f t="shared" si="13"/>
        <v>0</v>
      </c>
      <c r="M67" s="90">
        <f t="shared" si="14"/>
        <v>0</v>
      </c>
      <c r="N67" s="91">
        <f t="shared" si="15"/>
        <v>0.70206666666666662</v>
      </c>
      <c r="O67" s="104">
        <f>IF(COUNTIFS(Scenario_Weekly_Plan!$A:$A,$A67,Scenario_Weekly_Plan!$B:$B,$C67)&gt;0,"Scenario PP imported",MPS!O67)</f>
        <v>0</v>
      </c>
      <c r="P67" s="92">
        <f>SUMIFS($J$2:J66,$B$2:B66,B67,$C$2:C66,C67)</f>
        <v>4281</v>
      </c>
      <c r="Q67" s="92">
        <f t="shared" si="16"/>
        <v>10719</v>
      </c>
      <c r="R67" s="106">
        <f t="shared" si="17"/>
        <v>6250</v>
      </c>
      <c r="S67" s="104"/>
      <c r="T67" s="104"/>
      <c r="U67" s="104"/>
    </row>
    <row r="68" spans="1:21" x14ac:dyDescent="0.3">
      <c r="A68" s="87" t="s">
        <v>2</v>
      </c>
      <c r="B68" s="87" t="s">
        <v>59</v>
      </c>
      <c r="C68" s="101">
        <v>46335</v>
      </c>
      <c r="D68" s="89">
        <v>15000</v>
      </c>
      <c r="E68" s="89">
        <v>6250</v>
      </c>
      <c r="F68" s="89">
        <f t="shared" si="10"/>
        <v>0</v>
      </c>
      <c r="G68" s="89">
        <v>15000</v>
      </c>
      <c r="H68" s="90">
        <f t="shared" si="9"/>
        <v>0</v>
      </c>
      <c r="I68" s="90">
        <f t="shared" si="11"/>
        <v>6250</v>
      </c>
      <c r="J68" s="90">
        <f>IF(COUNTIFS(Scenario_Weekly_Plan!$A:$A,$A68,Scenario_Weekly_Plan!$B:$B,$C68)&gt;0,SUMIFS(Scenario_Weekly_Plan!$C:$C,Scenario_Weekly_Plan!$A:$A,$A68,Scenario_Weekly_Plan!$B:$B,$C68),MIN(Q68,I68,MAX(0,E68+G68-F68)))</f>
        <v>6250</v>
      </c>
      <c r="K68" s="90">
        <f t="shared" si="12"/>
        <v>0</v>
      </c>
      <c r="L68" s="90">
        <f t="shared" si="13"/>
        <v>0</v>
      </c>
      <c r="M68" s="90">
        <f t="shared" si="14"/>
        <v>0</v>
      </c>
      <c r="N68" s="91">
        <f t="shared" si="15"/>
        <v>0.70213333333333339</v>
      </c>
      <c r="O68" s="104">
        <f>IF(COUNTIFS(Scenario_Weekly_Plan!$A:$A,$A68,Scenario_Weekly_Plan!$B:$B,$C68)&gt;0,"Scenario PP imported",MPS!O68)</f>
        <v>0</v>
      </c>
      <c r="P68" s="92">
        <f>SUMIFS($J$2:J67,$B$2:B67,B68,$C$2:C67,C68)</f>
        <v>4282</v>
      </c>
      <c r="Q68" s="92">
        <f t="shared" si="16"/>
        <v>10718</v>
      </c>
      <c r="R68" s="106">
        <f t="shared" si="17"/>
        <v>6250</v>
      </c>
      <c r="S68" s="104"/>
      <c r="T68" s="104"/>
      <c r="U68" s="104"/>
    </row>
    <row r="69" spans="1:21" x14ac:dyDescent="0.3">
      <c r="A69" s="87" t="s">
        <v>2</v>
      </c>
      <c r="B69" s="87" t="s">
        <v>59</v>
      </c>
      <c r="C69" s="101">
        <v>46342</v>
      </c>
      <c r="D69" s="89">
        <v>15000</v>
      </c>
      <c r="E69" s="89">
        <v>6250</v>
      </c>
      <c r="F69" s="89">
        <f t="shared" si="10"/>
        <v>0</v>
      </c>
      <c r="G69" s="89">
        <v>15000</v>
      </c>
      <c r="H69" s="90">
        <f t="shared" si="9"/>
        <v>0</v>
      </c>
      <c r="I69" s="90">
        <f t="shared" si="11"/>
        <v>6250</v>
      </c>
      <c r="J69" s="90">
        <f>IF(COUNTIFS(Scenario_Weekly_Plan!$A:$A,$A69,Scenario_Weekly_Plan!$B:$B,$C69)&gt;0,SUMIFS(Scenario_Weekly_Plan!$C:$C,Scenario_Weekly_Plan!$A:$A,$A69,Scenario_Weekly_Plan!$B:$B,$C69),MIN(Q69,I69,MAX(0,E69+G69-F69)))</f>
        <v>6250</v>
      </c>
      <c r="K69" s="90">
        <f t="shared" si="12"/>
        <v>0</v>
      </c>
      <c r="L69" s="90">
        <f t="shared" si="13"/>
        <v>0</v>
      </c>
      <c r="M69" s="90">
        <f t="shared" si="14"/>
        <v>0</v>
      </c>
      <c r="N69" s="91">
        <f t="shared" si="15"/>
        <v>0.70206666666666662</v>
      </c>
      <c r="O69" s="104">
        <f>IF(COUNTIFS(Scenario_Weekly_Plan!$A:$A,$A69,Scenario_Weekly_Plan!$B:$B,$C69)&gt;0,"Scenario PP imported",MPS!O69)</f>
        <v>0</v>
      </c>
      <c r="P69" s="92">
        <f>SUMIFS($J$2:J68,$B$2:B68,B69,$C$2:C68,C69)</f>
        <v>4281</v>
      </c>
      <c r="Q69" s="92">
        <f t="shared" si="16"/>
        <v>10719</v>
      </c>
      <c r="R69" s="106">
        <f t="shared" si="17"/>
        <v>6250</v>
      </c>
      <c r="S69" s="104"/>
      <c r="T69" s="104"/>
      <c r="U69" s="104"/>
    </row>
    <row r="70" spans="1:21" x14ac:dyDescent="0.3">
      <c r="A70" s="87" t="s">
        <v>2</v>
      </c>
      <c r="B70" s="87" t="s">
        <v>59</v>
      </c>
      <c r="C70" s="101">
        <v>46349</v>
      </c>
      <c r="D70" s="89">
        <v>15000</v>
      </c>
      <c r="E70" s="89">
        <v>6250</v>
      </c>
      <c r="F70" s="89">
        <f t="shared" si="10"/>
        <v>0</v>
      </c>
      <c r="G70" s="89">
        <v>15000</v>
      </c>
      <c r="H70" s="90">
        <f t="shared" si="9"/>
        <v>0</v>
      </c>
      <c r="I70" s="90">
        <f t="shared" si="11"/>
        <v>6250</v>
      </c>
      <c r="J70" s="90">
        <f>IF(COUNTIFS(Scenario_Weekly_Plan!$A:$A,$A70,Scenario_Weekly_Plan!$B:$B,$C70)&gt;0,SUMIFS(Scenario_Weekly_Plan!$C:$C,Scenario_Weekly_Plan!$A:$A,$A70,Scenario_Weekly_Plan!$B:$B,$C70),MIN(Q70,I70,MAX(0,E70+G70-F70)))</f>
        <v>6250</v>
      </c>
      <c r="K70" s="90">
        <f t="shared" si="12"/>
        <v>0</v>
      </c>
      <c r="L70" s="90">
        <f t="shared" si="13"/>
        <v>0</v>
      </c>
      <c r="M70" s="90">
        <f t="shared" si="14"/>
        <v>0</v>
      </c>
      <c r="N70" s="91">
        <f t="shared" si="15"/>
        <v>0.70213333333333339</v>
      </c>
      <c r="O70" s="104">
        <f>IF(COUNTIFS(Scenario_Weekly_Plan!$A:$A,$A70,Scenario_Weekly_Plan!$B:$B,$C70)&gt;0,"Scenario PP imported",MPS!O70)</f>
        <v>0</v>
      </c>
      <c r="P70" s="92">
        <f>SUMIFS($J$2:J69,$B$2:B69,B70,$C$2:C69,C70)</f>
        <v>4282</v>
      </c>
      <c r="Q70" s="92">
        <f t="shared" si="16"/>
        <v>10718</v>
      </c>
      <c r="R70" s="106">
        <f t="shared" si="17"/>
        <v>6250</v>
      </c>
      <c r="S70" s="104"/>
      <c r="T70" s="104"/>
      <c r="U70" s="104"/>
    </row>
    <row r="71" spans="1:21" x14ac:dyDescent="0.3">
      <c r="A71" s="87" t="s">
        <v>2</v>
      </c>
      <c r="B71" s="87" t="s">
        <v>59</v>
      </c>
      <c r="C71" s="101">
        <v>46356</v>
      </c>
      <c r="D71" s="89">
        <v>15000</v>
      </c>
      <c r="E71" s="89">
        <v>6250</v>
      </c>
      <c r="F71" s="89">
        <f t="shared" si="10"/>
        <v>0</v>
      </c>
      <c r="G71" s="89">
        <v>15000</v>
      </c>
      <c r="H71" s="90">
        <f t="shared" si="9"/>
        <v>0</v>
      </c>
      <c r="I71" s="90">
        <f t="shared" si="11"/>
        <v>6250</v>
      </c>
      <c r="J71" s="90">
        <f>IF(COUNTIFS(Scenario_Weekly_Plan!$A:$A,$A71,Scenario_Weekly_Plan!$B:$B,$C71)&gt;0,SUMIFS(Scenario_Weekly_Plan!$C:$C,Scenario_Weekly_Plan!$A:$A,$A71,Scenario_Weekly_Plan!$B:$B,$C71),MIN(Q71,I71,MAX(0,E71+G71-F71)))</f>
        <v>6250</v>
      </c>
      <c r="K71" s="90">
        <f t="shared" si="12"/>
        <v>0</v>
      </c>
      <c r="L71" s="90">
        <f t="shared" si="13"/>
        <v>0</v>
      </c>
      <c r="M71" s="90">
        <f t="shared" si="14"/>
        <v>0</v>
      </c>
      <c r="N71" s="91">
        <f t="shared" si="15"/>
        <v>0.70206666666666662</v>
      </c>
      <c r="O71" s="104">
        <f>IF(COUNTIFS(Scenario_Weekly_Plan!$A:$A,$A71,Scenario_Weekly_Plan!$B:$B,$C71)&gt;0,"Scenario PP imported",MPS!O71)</f>
        <v>0</v>
      </c>
      <c r="P71" s="92">
        <f>SUMIFS($J$2:J70,$B$2:B70,B71,$C$2:C70,C71)</f>
        <v>4281</v>
      </c>
      <c r="Q71" s="92">
        <f t="shared" si="16"/>
        <v>10719</v>
      </c>
      <c r="R71" s="106">
        <f t="shared" si="17"/>
        <v>6250</v>
      </c>
      <c r="S71" s="104"/>
      <c r="T71" s="104"/>
      <c r="U71" s="104"/>
    </row>
    <row r="72" spans="1:21" x14ac:dyDescent="0.3">
      <c r="A72" s="87" t="s">
        <v>2</v>
      </c>
      <c r="B72" s="87" t="s">
        <v>59</v>
      </c>
      <c r="C72" s="101">
        <v>46363</v>
      </c>
      <c r="D72" s="89">
        <v>15000</v>
      </c>
      <c r="E72" s="89">
        <v>6250</v>
      </c>
      <c r="F72" s="89">
        <f t="shared" si="10"/>
        <v>0</v>
      </c>
      <c r="G72" s="89">
        <v>15000</v>
      </c>
      <c r="H72" s="90">
        <f t="shared" si="9"/>
        <v>0</v>
      </c>
      <c r="I72" s="90">
        <f t="shared" si="11"/>
        <v>6250</v>
      </c>
      <c r="J72" s="90">
        <f>IF(COUNTIFS(Scenario_Weekly_Plan!$A:$A,$A72,Scenario_Weekly_Plan!$B:$B,$C72)&gt;0,SUMIFS(Scenario_Weekly_Plan!$C:$C,Scenario_Weekly_Plan!$A:$A,$A72,Scenario_Weekly_Plan!$B:$B,$C72),MIN(Q72,I72,MAX(0,E72+G72-F72)))</f>
        <v>6250</v>
      </c>
      <c r="K72" s="90">
        <f t="shared" si="12"/>
        <v>0</v>
      </c>
      <c r="L72" s="90">
        <f t="shared" si="13"/>
        <v>0</v>
      </c>
      <c r="M72" s="90">
        <f t="shared" si="14"/>
        <v>0</v>
      </c>
      <c r="N72" s="91">
        <f t="shared" si="15"/>
        <v>0.97173333333333334</v>
      </c>
      <c r="O72" s="104">
        <f>IF(COUNTIFS(Scenario_Weekly_Plan!$A:$A,$A72,Scenario_Weekly_Plan!$B:$B,$C72)&gt;0,"Scenario PP imported",MPS!O72)</f>
        <v>0</v>
      </c>
      <c r="P72" s="92">
        <f>SUMIFS($J$2:J71,$B$2:B71,B72,$C$2:C71,C72)</f>
        <v>8326</v>
      </c>
      <c r="Q72" s="92">
        <f t="shared" si="16"/>
        <v>6674</v>
      </c>
      <c r="R72" s="106">
        <f t="shared" si="17"/>
        <v>6250</v>
      </c>
      <c r="S72" s="104"/>
      <c r="T72" s="104"/>
      <c r="U72" s="104"/>
    </row>
    <row r="73" spans="1:21" x14ac:dyDescent="0.3">
      <c r="A73" s="87" t="s">
        <v>2</v>
      </c>
      <c r="B73" s="87" t="s">
        <v>59</v>
      </c>
      <c r="C73" s="101">
        <v>46370</v>
      </c>
      <c r="D73" s="89">
        <v>15000</v>
      </c>
      <c r="E73" s="89">
        <v>6250</v>
      </c>
      <c r="F73" s="89">
        <f t="shared" si="10"/>
        <v>0</v>
      </c>
      <c r="G73" s="89">
        <v>15000</v>
      </c>
      <c r="H73" s="90">
        <f>0</f>
        <v>0</v>
      </c>
      <c r="I73" s="90">
        <f t="shared" si="11"/>
        <v>6250</v>
      </c>
      <c r="J73" s="90">
        <f>IF(COUNTIFS(Scenario_Weekly_Plan!$A:$A,$A73,Scenario_Weekly_Plan!$B:$B,$C73)&gt;0,SUMIFS(Scenario_Weekly_Plan!$C:$C,Scenario_Weekly_Plan!$A:$A,$A73,Scenario_Weekly_Plan!$B:$B,$C73),MIN(Q73,I73,MAX(0,E73+G73-F73)))</f>
        <v>6250</v>
      </c>
      <c r="K73" s="90">
        <f t="shared" si="12"/>
        <v>0</v>
      </c>
      <c r="L73" s="90">
        <f t="shared" si="13"/>
        <v>0</v>
      </c>
      <c r="M73" s="90">
        <f t="shared" si="14"/>
        <v>0</v>
      </c>
      <c r="N73" s="91">
        <f t="shared" si="15"/>
        <v>0.97166666666666668</v>
      </c>
      <c r="O73" s="104">
        <f>IF(COUNTIFS(Scenario_Weekly_Plan!$A:$A,$A73,Scenario_Weekly_Plan!$B:$B,$C73)&gt;0,"Scenario PP imported",MPS!O73)</f>
        <v>0</v>
      </c>
      <c r="P73" s="92">
        <f>SUMIFS($J$2:J72,$B$2:B72,B73,$C$2:C72,C73)</f>
        <v>8325</v>
      </c>
      <c r="Q73" s="92">
        <f t="shared" si="16"/>
        <v>6675</v>
      </c>
      <c r="R73" s="106">
        <f t="shared" si="17"/>
        <v>6250</v>
      </c>
      <c r="S73" s="104"/>
      <c r="T73" s="104"/>
      <c r="U73" s="104"/>
    </row>
    <row r="74" spans="1:21" x14ac:dyDescent="0.3">
      <c r="A74" s="87" t="s">
        <v>3</v>
      </c>
      <c r="B74" s="87" t="s">
        <v>68</v>
      </c>
      <c r="C74" s="101">
        <v>46125</v>
      </c>
      <c r="D74" s="89">
        <v>5000</v>
      </c>
      <c r="E74" s="89">
        <v>0</v>
      </c>
      <c r="F74" s="89">
        <f>0</f>
        <v>0</v>
      </c>
      <c r="G74" s="89">
        <v>5000</v>
      </c>
      <c r="H74" s="90">
        <f t="shared" ref="H74:H108" si="18">MAX(0,H75+E75-Q75)</f>
        <v>11175</v>
      </c>
      <c r="I74" s="90">
        <f t="shared" si="11"/>
        <v>11175</v>
      </c>
      <c r="J74" s="90">
        <f>IF(COUNTIFS(Scenario_Weekly_Plan!$A:$A,$A74,Scenario_Weekly_Plan!$B:$B,$C74)&gt;0,SUMIFS(Scenario_Weekly_Plan!$C:$C,Scenario_Weekly_Plan!$A:$A,$A74,Scenario_Weekly_Plan!$B:$B,$C74),MIN(Q74,I74,MAX(0,E74+G74-F74)))</f>
        <v>3332</v>
      </c>
      <c r="K74" s="90">
        <f t="shared" si="12"/>
        <v>3332</v>
      </c>
      <c r="L74" s="90">
        <f t="shared" si="13"/>
        <v>0</v>
      </c>
      <c r="M74" s="90">
        <f t="shared" si="14"/>
        <v>3332</v>
      </c>
      <c r="N74" s="91">
        <f t="shared" si="15"/>
        <v>0.66639999999999999</v>
      </c>
      <c r="O74" s="61" t="str">
        <f>IF(COUNTIFS(Scenario_Weekly_Plan!$A:$A,$A74,Scenario_Weekly_Plan!$B:$B,$C74)&gt;0,"Scenario PP imported",MPS!O74)</f>
        <v>Scenario PP imported</v>
      </c>
      <c r="P74" s="92">
        <f>SUMIFS($J$2:J73,$B$2:B73,B74,$C$2:C73,C74)</f>
        <v>0</v>
      </c>
      <c r="Q74" s="90">
        <f t="shared" si="16"/>
        <v>5000</v>
      </c>
      <c r="R74" s="106">
        <f t="shared" si="17"/>
        <v>0</v>
      </c>
      <c r="S74" s="104"/>
      <c r="T74" s="104"/>
      <c r="U74" s="104"/>
    </row>
    <row r="75" spans="1:21" x14ac:dyDescent="0.3">
      <c r="A75" s="87" t="s">
        <v>3</v>
      </c>
      <c r="B75" s="87" t="s">
        <v>68</v>
      </c>
      <c r="C75" s="101">
        <v>46132</v>
      </c>
      <c r="D75" s="89">
        <v>5000</v>
      </c>
      <c r="E75" s="89">
        <v>0</v>
      </c>
      <c r="F75" s="89">
        <f t="shared" ref="F75:F109" si="19">K74</f>
        <v>3332</v>
      </c>
      <c r="G75" s="89">
        <v>5000</v>
      </c>
      <c r="H75" s="90">
        <f t="shared" si="18"/>
        <v>16175</v>
      </c>
      <c r="I75" s="90">
        <f t="shared" si="11"/>
        <v>12843</v>
      </c>
      <c r="J75" s="90">
        <f>IF(COUNTIFS(Scenario_Weekly_Plan!$A:$A,$A75,Scenario_Weekly_Plan!$B:$B,$C75)&gt;0,SUMIFS(Scenario_Weekly_Plan!$C:$C,Scenario_Weekly_Plan!$A:$A,$A75,Scenario_Weekly_Plan!$B:$B,$C75),MIN(Q75,I75,MAX(0,E75+G75-F75)))</f>
        <v>4998</v>
      </c>
      <c r="K75" s="90">
        <f t="shared" si="12"/>
        <v>5000</v>
      </c>
      <c r="L75" s="90">
        <f t="shared" si="13"/>
        <v>0</v>
      </c>
      <c r="M75" s="90">
        <f t="shared" si="14"/>
        <v>8330</v>
      </c>
      <c r="N75" s="91">
        <f t="shared" si="15"/>
        <v>0.99960000000000004</v>
      </c>
      <c r="O75" s="104" t="str">
        <f>IF(COUNTIFS(Scenario_Weekly_Plan!$A:$A,$A75,Scenario_Weekly_Plan!$B:$B,$C75)&gt;0,"Scenario PP imported",MPS!O75)</f>
        <v>Scenario PP imported</v>
      </c>
      <c r="P75" s="92">
        <f>SUMIFS($J$2:J74,$B$2:B74,B75,$C$2:C74,C75)</f>
        <v>0</v>
      </c>
      <c r="Q75" s="92">
        <f t="shared" si="16"/>
        <v>5000</v>
      </c>
      <c r="R75" s="106">
        <f t="shared" si="17"/>
        <v>0</v>
      </c>
      <c r="S75" s="104"/>
      <c r="T75" s="104"/>
      <c r="U75" s="104"/>
    </row>
    <row r="76" spans="1:21" x14ac:dyDescent="0.3">
      <c r="A76" s="87" t="s">
        <v>3</v>
      </c>
      <c r="B76" s="87" t="s">
        <v>68</v>
      </c>
      <c r="C76" s="101">
        <v>46139</v>
      </c>
      <c r="D76" s="89">
        <v>5000</v>
      </c>
      <c r="E76" s="89">
        <v>0</v>
      </c>
      <c r="F76" s="89">
        <f t="shared" si="19"/>
        <v>5000</v>
      </c>
      <c r="G76" s="89">
        <v>5000</v>
      </c>
      <c r="H76" s="90">
        <f t="shared" si="18"/>
        <v>21175</v>
      </c>
      <c r="I76" s="90">
        <f t="shared" si="11"/>
        <v>16175</v>
      </c>
      <c r="J76" s="90">
        <f>IF(COUNTIFS(Scenario_Weekly_Plan!$A:$A,$A76,Scenario_Weekly_Plan!$B:$B,$C76)&gt;0,SUMIFS(Scenario_Weekly_Plan!$C:$C,Scenario_Weekly_Plan!$A:$A,$A76,Scenario_Weekly_Plan!$B:$B,$C76),MIN(Q76,I76,MAX(0,E76+G76-F76)))</f>
        <v>4998</v>
      </c>
      <c r="K76" s="90">
        <f t="shared" si="12"/>
        <v>5000</v>
      </c>
      <c r="L76" s="90">
        <f t="shared" si="13"/>
        <v>0</v>
      </c>
      <c r="M76" s="90">
        <f t="shared" si="14"/>
        <v>9998</v>
      </c>
      <c r="N76" s="91">
        <f t="shared" si="15"/>
        <v>0.99960000000000004</v>
      </c>
      <c r="O76" s="104" t="str">
        <f>IF(COUNTIFS(Scenario_Weekly_Plan!$A:$A,$A76,Scenario_Weekly_Plan!$B:$B,$C76)&gt;0,"Scenario PP imported",MPS!O76)</f>
        <v>Scenario PP imported</v>
      </c>
      <c r="P76" s="92">
        <f>SUMIFS($J$2:J75,$B$2:B75,B76,$C$2:C75,C76)</f>
        <v>0</v>
      </c>
      <c r="Q76" s="92">
        <f t="shared" si="16"/>
        <v>5000</v>
      </c>
      <c r="R76" s="106">
        <f t="shared" si="17"/>
        <v>0</v>
      </c>
      <c r="S76" s="104"/>
      <c r="T76" s="104"/>
      <c r="U76" s="104"/>
    </row>
    <row r="77" spans="1:21" x14ac:dyDescent="0.3">
      <c r="A77" s="87" t="s">
        <v>3</v>
      </c>
      <c r="B77" s="87" t="s">
        <v>68</v>
      </c>
      <c r="C77" s="101">
        <v>46146</v>
      </c>
      <c r="D77" s="89">
        <v>5000</v>
      </c>
      <c r="E77" s="89">
        <v>4320</v>
      </c>
      <c r="F77" s="89">
        <f t="shared" si="19"/>
        <v>5000</v>
      </c>
      <c r="G77" s="89">
        <v>5000</v>
      </c>
      <c r="H77" s="90">
        <f t="shared" si="18"/>
        <v>21855</v>
      </c>
      <c r="I77" s="90">
        <f t="shared" si="11"/>
        <v>21175</v>
      </c>
      <c r="J77" s="90">
        <f>IF(COUNTIFS(Scenario_Weekly_Plan!$A:$A,$A77,Scenario_Weekly_Plan!$B:$B,$C77)&gt;0,SUMIFS(Scenario_Weekly_Plan!$C:$C,Scenario_Weekly_Plan!$A:$A,$A77,Scenario_Weekly_Plan!$B:$B,$C77),MIN(Q77,I77,MAX(0,E77+G77-F77)))</f>
        <v>4998</v>
      </c>
      <c r="K77" s="90">
        <f t="shared" si="12"/>
        <v>5000</v>
      </c>
      <c r="L77" s="90">
        <f t="shared" si="13"/>
        <v>0</v>
      </c>
      <c r="M77" s="90">
        <f t="shared" si="14"/>
        <v>5678</v>
      </c>
      <c r="N77" s="91">
        <f t="shared" si="15"/>
        <v>0.99960000000000004</v>
      </c>
      <c r="O77" s="104" t="str">
        <f>IF(COUNTIFS(Scenario_Weekly_Plan!$A:$A,$A77,Scenario_Weekly_Plan!$B:$B,$C77)&gt;0,"Scenario PP imported",MPS!O77)</f>
        <v>Scenario PP imported</v>
      </c>
      <c r="P77" s="92">
        <f>SUMIFS($J$2:J76,$B$2:B76,B77,$C$2:C76,C77)</f>
        <v>0</v>
      </c>
      <c r="Q77" s="92">
        <f t="shared" si="16"/>
        <v>5000</v>
      </c>
      <c r="R77" s="106">
        <f t="shared" si="17"/>
        <v>4320</v>
      </c>
      <c r="S77" s="104"/>
      <c r="T77" s="104"/>
      <c r="U77" s="104"/>
    </row>
    <row r="78" spans="1:21" x14ac:dyDescent="0.3">
      <c r="A78" s="87" t="s">
        <v>3</v>
      </c>
      <c r="B78" s="87" t="s">
        <v>68</v>
      </c>
      <c r="C78" s="101">
        <v>46153</v>
      </c>
      <c r="D78" s="89">
        <v>5000</v>
      </c>
      <c r="E78" s="89">
        <v>8370</v>
      </c>
      <c r="F78" s="89">
        <f t="shared" si="19"/>
        <v>5000</v>
      </c>
      <c r="G78" s="89">
        <v>5000</v>
      </c>
      <c r="H78" s="90">
        <f t="shared" si="18"/>
        <v>18485</v>
      </c>
      <c r="I78" s="90">
        <f t="shared" si="11"/>
        <v>21855</v>
      </c>
      <c r="J78" s="90">
        <f>IF(COUNTIFS(Scenario_Weekly_Plan!$A:$A,$A78,Scenario_Weekly_Plan!$B:$B,$C78)&gt;0,SUMIFS(Scenario_Weekly_Plan!$C:$C,Scenario_Weekly_Plan!$A:$A,$A78,Scenario_Weekly_Plan!$B:$B,$C78),MIN(Q78,I78,MAX(0,E78+G78-F78)))</f>
        <v>4165</v>
      </c>
      <c r="K78" s="90">
        <f t="shared" si="12"/>
        <v>795</v>
      </c>
      <c r="L78" s="90">
        <f t="shared" si="13"/>
        <v>0</v>
      </c>
      <c r="M78" s="90">
        <f t="shared" si="14"/>
        <v>795</v>
      </c>
      <c r="N78" s="91">
        <f t="shared" si="15"/>
        <v>0.83299999999999996</v>
      </c>
      <c r="O78" s="104" t="str">
        <f>IF(COUNTIFS(Scenario_Weekly_Plan!$A:$A,$A78,Scenario_Weekly_Plan!$B:$B,$C78)&gt;0,"Scenario PP imported",MPS!O78)</f>
        <v>Scenario PP imported</v>
      </c>
      <c r="P78" s="92">
        <f>SUMIFS($J$2:J77,$B$2:B77,B78,$C$2:C77,C78)</f>
        <v>0</v>
      </c>
      <c r="Q78" s="92">
        <f t="shared" si="16"/>
        <v>5000</v>
      </c>
      <c r="R78" s="106">
        <f t="shared" si="17"/>
        <v>8370</v>
      </c>
      <c r="S78" s="104"/>
      <c r="T78" s="104"/>
      <c r="U78" s="104"/>
    </row>
    <row r="79" spans="1:21" x14ac:dyDescent="0.3">
      <c r="A79" s="87" t="s">
        <v>3</v>
      </c>
      <c r="B79" s="87" t="s">
        <v>68</v>
      </c>
      <c r="C79" s="101">
        <v>46160</v>
      </c>
      <c r="D79" s="89">
        <v>5000</v>
      </c>
      <c r="E79" s="89">
        <v>11782</v>
      </c>
      <c r="F79" s="89">
        <f t="shared" si="19"/>
        <v>795</v>
      </c>
      <c r="G79" s="89">
        <v>5000</v>
      </c>
      <c r="H79" s="90">
        <f t="shared" si="18"/>
        <v>11703</v>
      </c>
      <c r="I79" s="90">
        <f t="shared" si="11"/>
        <v>22690</v>
      </c>
      <c r="J79" s="90">
        <f>IF(COUNTIFS(Scenario_Weekly_Plan!$A:$A,$A79,Scenario_Weekly_Plan!$B:$B,$C79)&gt;0,SUMIFS(Scenario_Weekly_Plan!$C:$C,Scenario_Weekly_Plan!$A:$A,$A79,Scenario_Weekly_Plan!$B:$B,$C79),MIN(Q79,I79,MAX(0,E79+G79-F79)))</f>
        <v>5000</v>
      </c>
      <c r="K79" s="90">
        <f t="shared" si="12"/>
        <v>0</v>
      </c>
      <c r="L79" s="90">
        <f t="shared" si="13"/>
        <v>5987</v>
      </c>
      <c r="M79" s="90">
        <f t="shared" si="14"/>
        <v>0</v>
      </c>
      <c r="N79" s="91">
        <f t="shared" si="15"/>
        <v>1</v>
      </c>
      <c r="O79" s="104">
        <f>IF(COUNTIFS(Scenario_Weekly_Plan!$A:$A,$A79,Scenario_Weekly_Plan!$B:$B,$C79)&gt;0,"Scenario PP imported",MPS!O79)</f>
        <v>0</v>
      </c>
      <c r="P79" s="92">
        <f>SUMIFS($J$2:J78,$B$2:B78,B79,$C$2:C78,C79)</f>
        <v>0</v>
      </c>
      <c r="Q79" s="92">
        <f t="shared" si="16"/>
        <v>5000</v>
      </c>
      <c r="R79" s="106">
        <f t="shared" si="17"/>
        <v>5795</v>
      </c>
      <c r="S79" s="104"/>
      <c r="T79" s="104"/>
      <c r="U79" s="104"/>
    </row>
    <row r="80" spans="1:21" x14ac:dyDescent="0.3">
      <c r="A80" s="87" t="s">
        <v>3</v>
      </c>
      <c r="B80" s="87" t="s">
        <v>68</v>
      </c>
      <c r="C80" s="101">
        <v>46167</v>
      </c>
      <c r="D80" s="89">
        <v>5000</v>
      </c>
      <c r="E80" s="89">
        <v>10524</v>
      </c>
      <c r="F80" s="89">
        <f t="shared" si="19"/>
        <v>0</v>
      </c>
      <c r="G80" s="89">
        <v>5000</v>
      </c>
      <c r="H80" s="90">
        <f t="shared" si="18"/>
        <v>6179</v>
      </c>
      <c r="I80" s="90">
        <f t="shared" si="11"/>
        <v>16703</v>
      </c>
      <c r="J80" s="90">
        <f>IF(COUNTIFS(Scenario_Weekly_Plan!$A:$A,$A80,Scenario_Weekly_Plan!$B:$B,$C80)&gt;0,SUMIFS(Scenario_Weekly_Plan!$C:$C,Scenario_Weekly_Plan!$A:$A,$A80,Scenario_Weekly_Plan!$B:$B,$C80),MIN(Q80,I80,MAX(0,E80+G80-F80)))</f>
        <v>5000</v>
      </c>
      <c r="K80" s="90">
        <f t="shared" si="12"/>
        <v>0</v>
      </c>
      <c r="L80" s="90">
        <f t="shared" si="13"/>
        <v>5524</v>
      </c>
      <c r="M80" s="90">
        <f t="shared" si="14"/>
        <v>0</v>
      </c>
      <c r="N80" s="91">
        <f t="shared" si="15"/>
        <v>1</v>
      </c>
      <c r="O80" s="104">
        <f>IF(COUNTIFS(Scenario_Weekly_Plan!$A:$A,$A80,Scenario_Weekly_Plan!$B:$B,$C80)&gt;0,"Scenario PP imported",MPS!O80)</f>
        <v>0</v>
      </c>
      <c r="P80" s="92">
        <f>SUMIFS($J$2:J79,$B$2:B79,B80,$C$2:C79,C80)</f>
        <v>0</v>
      </c>
      <c r="Q80" s="92">
        <f t="shared" si="16"/>
        <v>5000</v>
      </c>
      <c r="R80" s="106">
        <f t="shared" si="17"/>
        <v>5000</v>
      </c>
      <c r="S80" s="104"/>
      <c r="T80" s="104"/>
      <c r="U80" s="104"/>
    </row>
    <row r="81" spans="1:21" x14ac:dyDescent="0.3">
      <c r="A81" s="87" t="s">
        <v>3</v>
      </c>
      <c r="B81" s="87" t="s">
        <v>68</v>
      </c>
      <c r="C81" s="101">
        <v>46174</v>
      </c>
      <c r="D81" s="89">
        <v>5000</v>
      </c>
      <c r="E81" s="89">
        <v>3240</v>
      </c>
      <c r="F81" s="89">
        <f t="shared" si="19"/>
        <v>0</v>
      </c>
      <c r="G81" s="89">
        <v>5000</v>
      </c>
      <c r="H81" s="90">
        <f t="shared" si="18"/>
        <v>7939</v>
      </c>
      <c r="I81" s="90">
        <f t="shared" si="11"/>
        <v>11179</v>
      </c>
      <c r="J81" s="90">
        <f>IF(COUNTIFS(Scenario_Weekly_Plan!$A:$A,$A81,Scenario_Weekly_Plan!$B:$B,$C81)&gt;0,SUMIFS(Scenario_Weekly_Plan!$C:$C,Scenario_Weekly_Plan!$A:$A,$A81,Scenario_Weekly_Plan!$B:$B,$C81),MIN(Q81,I81,MAX(0,E81+G81-F81)))</f>
        <v>5000</v>
      </c>
      <c r="K81" s="90">
        <f t="shared" si="12"/>
        <v>1760</v>
      </c>
      <c r="L81" s="90">
        <f t="shared" si="13"/>
        <v>0</v>
      </c>
      <c r="M81" s="90">
        <f t="shared" si="14"/>
        <v>1760</v>
      </c>
      <c r="N81" s="91">
        <f t="shared" si="15"/>
        <v>1</v>
      </c>
      <c r="O81" s="104">
        <f>IF(COUNTIFS(Scenario_Weekly_Plan!$A:$A,$A81,Scenario_Weekly_Plan!$B:$B,$C81)&gt;0,"Scenario PP imported",MPS!O81)</f>
        <v>0</v>
      </c>
      <c r="P81" s="92">
        <f>SUMIFS($J$2:J80,$B$2:B80,B81,$C$2:C80,C81)</f>
        <v>0</v>
      </c>
      <c r="Q81" s="92">
        <f t="shared" si="16"/>
        <v>5000</v>
      </c>
      <c r="R81" s="106">
        <f t="shared" si="17"/>
        <v>3240</v>
      </c>
      <c r="S81" s="104"/>
      <c r="T81" s="104"/>
      <c r="U81" s="104"/>
    </row>
    <row r="82" spans="1:21" x14ac:dyDescent="0.3">
      <c r="A82" s="87" t="s">
        <v>3</v>
      </c>
      <c r="B82" s="87" t="s">
        <v>68</v>
      </c>
      <c r="C82" s="101">
        <v>46181</v>
      </c>
      <c r="D82" s="89">
        <v>5000</v>
      </c>
      <c r="E82" s="89">
        <v>6442</v>
      </c>
      <c r="F82" s="89">
        <f t="shared" si="19"/>
        <v>1760</v>
      </c>
      <c r="G82" s="89">
        <v>5000</v>
      </c>
      <c r="H82" s="90">
        <f t="shared" si="18"/>
        <v>6497</v>
      </c>
      <c r="I82" s="90">
        <f t="shared" si="11"/>
        <v>11179</v>
      </c>
      <c r="J82" s="90">
        <f>IF(COUNTIFS(Scenario_Weekly_Plan!$A:$A,$A82,Scenario_Weekly_Plan!$B:$B,$C82)&gt;0,SUMIFS(Scenario_Weekly_Plan!$C:$C,Scenario_Weekly_Plan!$A:$A,$A82,Scenario_Weekly_Plan!$B:$B,$C82),MIN(Q82,I82,MAX(0,E82+G82-F82)))</f>
        <v>5000</v>
      </c>
      <c r="K82" s="90">
        <f t="shared" si="12"/>
        <v>318</v>
      </c>
      <c r="L82" s="90">
        <f t="shared" si="13"/>
        <v>0</v>
      </c>
      <c r="M82" s="90">
        <f t="shared" si="14"/>
        <v>318</v>
      </c>
      <c r="N82" s="91">
        <f t="shared" si="15"/>
        <v>1</v>
      </c>
      <c r="O82" s="104">
        <f>IF(COUNTIFS(Scenario_Weekly_Plan!$A:$A,$A82,Scenario_Weekly_Plan!$B:$B,$C82)&gt;0,"Scenario PP imported",MPS!O82)</f>
        <v>0</v>
      </c>
      <c r="P82" s="92">
        <f>SUMIFS($J$2:J81,$B$2:B81,B82,$C$2:C81,C82)</f>
        <v>0</v>
      </c>
      <c r="Q82" s="92">
        <f t="shared" si="16"/>
        <v>5000</v>
      </c>
      <c r="R82" s="106">
        <f t="shared" si="17"/>
        <v>6442</v>
      </c>
      <c r="S82" s="104"/>
      <c r="T82" s="104"/>
      <c r="U82" s="104"/>
    </row>
    <row r="83" spans="1:21" x14ac:dyDescent="0.3">
      <c r="A83" s="87" t="s">
        <v>3</v>
      </c>
      <c r="B83" s="87" t="s">
        <v>68</v>
      </c>
      <c r="C83" s="101">
        <v>46188</v>
      </c>
      <c r="D83" s="89">
        <v>5000</v>
      </c>
      <c r="E83" s="89">
        <v>8802</v>
      </c>
      <c r="F83" s="89">
        <f t="shared" si="19"/>
        <v>318</v>
      </c>
      <c r="G83" s="89">
        <v>5000</v>
      </c>
      <c r="H83" s="90">
        <f t="shared" si="18"/>
        <v>2695</v>
      </c>
      <c r="I83" s="90">
        <f t="shared" si="11"/>
        <v>11179</v>
      </c>
      <c r="J83" s="90">
        <f>IF(COUNTIFS(Scenario_Weekly_Plan!$A:$A,$A83,Scenario_Weekly_Plan!$B:$B,$C83)&gt;0,SUMIFS(Scenario_Weekly_Plan!$C:$C,Scenario_Weekly_Plan!$A:$A,$A83,Scenario_Weekly_Plan!$B:$B,$C83),MIN(Q83,I83,MAX(0,E83+G83-F83)))</f>
        <v>5000</v>
      </c>
      <c r="K83" s="90">
        <f t="shared" si="12"/>
        <v>0</v>
      </c>
      <c r="L83" s="90">
        <f t="shared" si="13"/>
        <v>3484</v>
      </c>
      <c r="M83" s="90">
        <f t="shared" si="14"/>
        <v>0</v>
      </c>
      <c r="N83" s="91">
        <f t="shared" si="15"/>
        <v>1</v>
      </c>
      <c r="O83" s="104">
        <f>IF(COUNTIFS(Scenario_Weekly_Plan!$A:$A,$A83,Scenario_Weekly_Plan!$B:$B,$C83)&gt;0,"Scenario PP imported",MPS!O83)</f>
        <v>0</v>
      </c>
      <c r="P83" s="92">
        <f>SUMIFS($J$2:J82,$B$2:B82,B83,$C$2:C82,C83)</f>
        <v>0</v>
      </c>
      <c r="Q83" s="92">
        <f t="shared" si="16"/>
        <v>5000</v>
      </c>
      <c r="R83" s="106">
        <f t="shared" si="17"/>
        <v>5318</v>
      </c>
      <c r="S83" s="104"/>
      <c r="T83" s="104"/>
      <c r="U83" s="104"/>
    </row>
    <row r="84" spans="1:21" x14ac:dyDescent="0.3">
      <c r="A84" s="87" t="s">
        <v>3</v>
      </c>
      <c r="B84" s="87" t="s">
        <v>68</v>
      </c>
      <c r="C84" s="101">
        <v>46195</v>
      </c>
      <c r="D84" s="89">
        <v>5000</v>
      </c>
      <c r="E84" s="89">
        <v>7695</v>
      </c>
      <c r="F84" s="89">
        <f t="shared" si="19"/>
        <v>0</v>
      </c>
      <c r="G84" s="89">
        <v>5000</v>
      </c>
      <c r="H84" s="90">
        <f t="shared" si="18"/>
        <v>0</v>
      </c>
      <c r="I84" s="90">
        <f t="shared" si="11"/>
        <v>7695</v>
      </c>
      <c r="J84" s="90">
        <f>IF(COUNTIFS(Scenario_Weekly_Plan!$A:$A,$A84,Scenario_Weekly_Plan!$B:$B,$C84)&gt;0,SUMIFS(Scenario_Weekly_Plan!$C:$C,Scenario_Weekly_Plan!$A:$A,$A84,Scenario_Weekly_Plan!$B:$B,$C84),MIN(Q84,I84,MAX(0,E84+G84-F84)))</f>
        <v>5000</v>
      </c>
      <c r="K84" s="90">
        <f t="shared" si="12"/>
        <v>0</v>
      </c>
      <c r="L84" s="90">
        <f t="shared" si="13"/>
        <v>2695</v>
      </c>
      <c r="M84" s="90">
        <f t="shared" si="14"/>
        <v>0</v>
      </c>
      <c r="N84" s="91">
        <f t="shared" si="15"/>
        <v>1</v>
      </c>
      <c r="O84" s="104">
        <f>IF(COUNTIFS(Scenario_Weekly_Plan!$A:$A,$A84,Scenario_Weekly_Plan!$B:$B,$C84)&gt;0,"Scenario PP imported",MPS!O84)</f>
        <v>0</v>
      </c>
      <c r="P84" s="92">
        <f>SUMIFS($J$2:J83,$B$2:B83,B84,$C$2:C83,C84)</f>
        <v>0</v>
      </c>
      <c r="Q84" s="92">
        <f t="shared" si="16"/>
        <v>5000</v>
      </c>
      <c r="R84" s="106">
        <f t="shared" si="17"/>
        <v>5000</v>
      </c>
      <c r="S84" s="104"/>
      <c r="T84" s="104"/>
      <c r="U84" s="104"/>
    </row>
    <row r="85" spans="1:21" x14ac:dyDescent="0.3">
      <c r="A85" s="87" t="s">
        <v>3</v>
      </c>
      <c r="B85" s="87" t="s">
        <v>68</v>
      </c>
      <c r="C85" s="101">
        <v>46202</v>
      </c>
      <c r="D85" s="89">
        <v>5000</v>
      </c>
      <c r="E85" s="89">
        <v>2500</v>
      </c>
      <c r="F85" s="89">
        <f t="shared" si="19"/>
        <v>0</v>
      </c>
      <c r="G85" s="89">
        <v>5000</v>
      </c>
      <c r="H85" s="90">
        <f t="shared" si="18"/>
        <v>0</v>
      </c>
      <c r="I85" s="90">
        <f t="shared" si="11"/>
        <v>2500</v>
      </c>
      <c r="J85" s="90">
        <f>IF(COUNTIFS(Scenario_Weekly_Plan!$A:$A,$A85,Scenario_Weekly_Plan!$B:$B,$C85)&gt;0,SUMIFS(Scenario_Weekly_Plan!$C:$C,Scenario_Weekly_Plan!$A:$A,$A85,Scenario_Weekly_Plan!$B:$B,$C85),MIN(Q85,I85,MAX(0,E85+G85-F85)))</f>
        <v>2500</v>
      </c>
      <c r="K85" s="90">
        <f t="shared" si="12"/>
        <v>0</v>
      </c>
      <c r="L85" s="90">
        <f t="shared" si="13"/>
        <v>0</v>
      </c>
      <c r="M85" s="90">
        <f t="shared" si="14"/>
        <v>0</v>
      </c>
      <c r="N85" s="91">
        <f t="shared" si="15"/>
        <v>0.6</v>
      </c>
      <c r="O85" s="104">
        <f>IF(COUNTIFS(Scenario_Weekly_Plan!$A:$A,$A85,Scenario_Weekly_Plan!$B:$B,$C85)&gt;0,"Scenario PP imported",MPS!O85)</f>
        <v>0</v>
      </c>
      <c r="P85" s="92">
        <f>SUMIFS($J$2:J84,$B$2:B84,B85,$C$2:C84,C85)</f>
        <v>0</v>
      </c>
      <c r="Q85" s="92">
        <f t="shared" si="16"/>
        <v>5000</v>
      </c>
      <c r="R85" s="106">
        <f t="shared" si="17"/>
        <v>2500</v>
      </c>
      <c r="S85" s="104"/>
      <c r="T85" s="104"/>
      <c r="U85" s="104"/>
    </row>
    <row r="86" spans="1:21" x14ac:dyDescent="0.3">
      <c r="A86" s="87" t="s">
        <v>3</v>
      </c>
      <c r="B86" s="87" t="s">
        <v>68</v>
      </c>
      <c r="C86" s="101">
        <v>46209</v>
      </c>
      <c r="D86" s="89">
        <v>5000</v>
      </c>
      <c r="E86" s="89">
        <v>2500</v>
      </c>
      <c r="F86" s="89">
        <f t="shared" si="19"/>
        <v>0</v>
      </c>
      <c r="G86" s="89">
        <v>5000</v>
      </c>
      <c r="H86" s="90">
        <f t="shared" si="18"/>
        <v>0</v>
      </c>
      <c r="I86" s="90">
        <f t="shared" si="11"/>
        <v>2500</v>
      </c>
      <c r="J86" s="90">
        <f>IF(COUNTIFS(Scenario_Weekly_Plan!$A:$A,$A86,Scenario_Weekly_Plan!$B:$B,$C86)&gt;0,SUMIFS(Scenario_Weekly_Plan!$C:$C,Scenario_Weekly_Plan!$A:$A,$A86,Scenario_Weekly_Plan!$B:$B,$C86),MIN(Q86,I86,MAX(0,E86+G86-F86)))</f>
        <v>2500</v>
      </c>
      <c r="K86" s="90">
        <f t="shared" si="12"/>
        <v>0</v>
      </c>
      <c r="L86" s="90">
        <f t="shared" si="13"/>
        <v>0</v>
      </c>
      <c r="M86" s="90">
        <f t="shared" si="14"/>
        <v>0</v>
      </c>
      <c r="N86" s="91">
        <f t="shared" si="15"/>
        <v>0.6</v>
      </c>
      <c r="O86" s="104">
        <f>IF(COUNTIFS(Scenario_Weekly_Plan!$A:$A,$A86,Scenario_Weekly_Plan!$B:$B,$C86)&gt;0,"Scenario PP imported",MPS!O86)</f>
        <v>0</v>
      </c>
      <c r="P86" s="92">
        <f>SUMIFS($J$2:J85,$B$2:B85,B86,$C$2:C85,C86)</f>
        <v>0</v>
      </c>
      <c r="Q86" s="92">
        <f t="shared" si="16"/>
        <v>5000</v>
      </c>
      <c r="R86" s="106">
        <f t="shared" si="17"/>
        <v>2500</v>
      </c>
      <c r="S86" s="104"/>
      <c r="T86" s="104"/>
      <c r="U86" s="104"/>
    </row>
    <row r="87" spans="1:21" x14ac:dyDescent="0.3">
      <c r="A87" s="87" t="s">
        <v>3</v>
      </c>
      <c r="B87" s="87" t="s">
        <v>68</v>
      </c>
      <c r="C87" s="101">
        <v>46216</v>
      </c>
      <c r="D87" s="89">
        <v>5000</v>
      </c>
      <c r="E87" s="89">
        <v>2500</v>
      </c>
      <c r="F87" s="89">
        <f t="shared" si="19"/>
        <v>0</v>
      </c>
      <c r="G87" s="89">
        <v>5000</v>
      </c>
      <c r="H87" s="90">
        <f t="shared" si="18"/>
        <v>0</v>
      </c>
      <c r="I87" s="90">
        <f t="shared" si="11"/>
        <v>2500</v>
      </c>
      <c r="J87" s="90">
        <f>IF(COUNTIFS(Scenario_Weekly_Plan!$A:$A,$A87,Scenario_Weekly_Plan!$B:$B,$C87)&gt;0,SUMIFS(Scenario_Weekly_Plan!$C:$C,Scenario_Weekly_Plan!$A:$A,$A87,Scenario_Weekly_Plan!$B:$B,$C87),MIN(Q87,I87,MAX(0,E87+G87-F87)))</f>
        <v>2500</v>
      </c>
      <c r="K87" s="90">
        <f t="shared" si="12"/>
        <v>0</v>
      </c>
      <c r="L87" s="90">
        <f t="shared" si="13"/>
        <v>0</v>
      </c>
      <c r="M87" s="90">
        <f t="shared" si="14"/>
        <v>0</v>
      </c>
      <c r="N87" s="91">
        <f t="shared" si="15"/>
        <v>0.6</v>
      </c>
      <c r="O87" s="104">
        <f>IF(COUNTIFS(Scenario_Weekly_Plan!$A:$A,$A87,Scenario_Weekly_Plan!$B:$B,$C87)&gt;0,"Scenario PP imported",MPS!O87)</f>
        <v>0</v>
      </c>
      <c r="P87" s="92">
        <f>SUMIFS($J$2:J86,$B$2:B86,B87,$C$2:C86,C87)</f>
        <v>0</v>
      </c>
      <c r="Q87" s="92">
        <f t="shared" si="16"/>
        <v>5000</v>
      </c>
      <c r="R87" s="106">
        <f t="shared" si="17"/>
        <v>2500</v>
      </c>
      <c r="S87" s="104"/>
      <c r="T87" s="104"/>
      <c r="U87" s="104"/>
    </row>
    <row r="88" spans="1:21" x14ac:dyDescent="0.3">
      <c r="A88" s="87" t="s">
        <v>3</v>
      </c>
      <c r="B88" s="87" t="s">
        <v>68</v>
      </c>
      <c r="C88" s="101">
        <v>46223</v>
      </c>
      <c r="D88" s="89">
        <v>5000</v>
      </c>
      <c r="E88" s="89">
        <v>1000</v>
      </c>
      <c r="F88" s="89">
        <f t="shared" si="19"/>
        <v>0</v>
      </c>
      <c r="G88" s="89">
        <v>5000</v>
      </c>
      <c r="H88" s="90">
        <f t="shared" si="18"/>
        <v>0</v>
      </c>
      <c r="I88" s="90">
        <f t="shared" si="11"/>
        <v>1000</v>
      </c>
      <c r="J88" s="90">
        <f>IF(COUNTIFS(Scenario_Weekly_Plan!$A:$A,$A88,Scenario_Weekly_Plan!$B:$B,$C88)&gt;0,SUMIFS(Scenario_Weekly_Plan!$C:$C,Scenario_Weekly_Plan!$A:$A,$A88,Scenario_Weekly_Plan!$B:$B,$C88),MIN(Q88,I88,MAX(0,E88+G88-F88)))</f>
        <v>1000</v>
      </c>
      <c r="K88" s="90">
        <f t="shared" si="12"/>
        <v>0</v>
      </c>
      <c r="L88" s="90">
        <f t="shared" si="13"/>
        <v>0</v>
      </c>
      <c r="M88" s="90">
        <f t="shared" si="14"/>
        <v>0</v>
      </c>
      <c r="N88" s="91">
        <f t="shared" si="15"/>
        <v>0.2</v>
      </c>
      <c r="O88" s="104">
        <f>IF(COUNTIFS(Scenario_Weekly_Plan!$A:$A,$A88,Scenario_Weekly_Plan!$B:$B,$C88)&gt;0,"Scenario PP imported",MPS!O88)</f>
        <v>0</v>
      </c>
      <c r="P88" s="92">
        <f>SUMIFS($J$2:J87,$B$2:B87,B88,$C$2:C87,C88)</f>
        <v>0</v>
      </c>
      <c r="Q88" s="92">
        <f t="shared" si="16"/>
        <v>5000</v>
      </c>
      <c r="R88" s="106">
        <f t="shared" si="17"/>
        <v>1000</v>
      </c>
      <c r="S88" s="104"/>
      <c r="T88" s="104"/>
      <c r="U88" s="104"/>
    </row>
    <row r="89" spans="1:21" x14ac:dyDescent="0.3">
      <c r="A89" s="87" t="s">
        <v>3</v>
      </c>
      <c r="B89" s="87" t="s">
        <v>68</v>
      </c>
      <c r="C89" s="101">
        <v>46230</v>
      </c>
      <c r="D89" s="89">
        <v>5000</v>
      </c>
      <c r="E89" s="89">
        <v>1000</v>
      </c>
      <c r="F89" s="89">
        <f t="shared" si="19"/>
        <v>0</v>
      </c>
      <c r="G89" s="89">
        <v>5000</v>
      </c>
      <c r="H89" s="90">
        <f t="shared" si="18"/>
        <v>0</v>
      </c>
      <c r="I89" s="90">
        <f t="shared" si="11"/>
        <v>1000</v>
      </c>
      <c r="J89" s="90">
        <f>IF(COUNTIFS(Scenario_Weekly_Plan!$A:$A,$A89,Scenario_Weekly_Plan!$B:$B,$C89)&gt;0,SUMIFS(Scenario_Weekly_Plan!$C:$C,Scenario_Weekly_Plan!$A:$A,$A89,Scenario_Weekly_Plan!$B:$B,$C89),MIN(Q89,I89,MAX(0,E89+G89-F89)))</f>
        <v>1000</v>
      </c>
      <c r="K89" s="90">
        <f t="shared" si="12"/>
        <v>0</v>
      </c>
      <c r="L89" s="90">
        <f t="shared" si="13"/>
        <v>0</v>
      </c>
      <c r="M89" s="90">
        <f t="shared" si="14"/>
        <v>0</v>
      </c>
      <c r="N89" s="91">
        <f t="shared" si="15"/>
        <v>0.2</v>
      </c>
      <c r="O89" s="104">
        <f>IF(COUNTIFS(Scenario_Weekly_Plan!$A:$A,$A89,Scenario_Weekly_Plan!$B:$B,$C89)&gt;0,"Scenario PP imported",MPS!O89)</f>
        <v>0</v>
      </c>
      <c r="P89" s="92">
        <f>SUMIFS($J$2:J88,$B$2:B88,B89,$C$2:C88,C89)</f>
        <v>0</v>
      </c>
      <c r="Q89" s="92">
        <f t="shared" si="16"/>
        <v>5000</v>
      </c>
      <c r="R89" s="106">
        <f t="shared" si="17"/>
        <v>1000</v>
      </c>
      <c r="S89" s="104"/>
      <c r="T89" s="104"/>
      <c r="U89" s="104"/>
    </row>
    <row r="90" spans="1:21" x14ac:dyDescent="0.3">
      <c r="A90" s="87" t="s">
        <v>3</v>
      </c>
      <c r="B90" s="87" t="s">
        <v>68</v>
      </c>
      <c r="C90" s="101">
        <v>46237</v>
      </c>
      <c r="D90" s="89">
        <v>5000</v>
      </c>
      <c r="E90" s="89">
        <v>1000</v>
      </c>
      <c r="F90" s="89">
        <f t="shared" si="19"/>
        <v>0</v>
      </c>
      <c r="G90" s="89">
        <v>5000</v>
      </c>
      <c r="H90" s="90">
        <f t="shared" si="18"/>
        <v>0</v>
      </c>
      <c r="I90" s="90">
        <f t="shared" si="11"/>
        <v>1000</v>
      </c>
      <c r="J90" s="90">
        <f>IF(COUNTIFS(Scenario_Weekly_Plan!$A:$A,$A90,Scenario_Weekly_Plan!$B:$B,$C90)&gt;0,SUMIFS(Scenario_Weekly_Plan!$C:$C,Scenario_Weekly_Plan!$A:$A,$A90,Scenario_Weekly_Plan!$B:$B,$C90),MIN(Q90,I90,MAX(0,E90+G90-F90)))</f>
        <v>1000</v>
      </c>
      <c r="K90" s="90">
        <f t="shared" si="12"/>
        <v>0</v>
      </c>
      <c r="L90" s="90">
        <f t="shared" si="13"/>
        <v>0</v>
      </c>
      <c r="M90" s="90">
        <f t="shared" si="14"/>
        <v>0</v>
      </c>
      <c r="N90" s="91">
        <f t="shared" si="15"/>
        <v>0.28000000000000003</v>
      </c>
      <c r="O90" s="104">
        <f>IF(COUNTIFS(Scenario_Weekly_Plan!$A:$A,$A90,Scenario_Weekly_Plan!$B:$B,$C90)&gt;0,"Scenario PP imported",MPS!O90)</f>
        <v>0</v>
      </c>
      <c r="P90" s="92">
        <f>SUMIFS($J$2:J89,$B$2:B89,B90,$C$2:C89,C90)</f>
        <v>0</v>
      </c>
      <c r="Q90" s="92">
        <f t="shared" si="16"/>
        <v>5000</v>
      </c>
      <c r="R90" s="106">
        <f t="shared" si="17"/>
        <v>1000</v>
      </c>
      <c r="S90" s="104"/>
      <c r="T90" s="104"/>
      <c r="U90" s="104"/>
    </row>
    <row r="91" spans="1:21" x14ac:dyDescent="0.3">
      <c r="A91" s="87" t="s">
        <v>3</v>
      </c>
      <c r="B91" s="87" t="s">
        <v>68</v>
      </c>
      <c r="C91" s="101">
        <v>46244</v>
      </c>
      <c r="D91" s="89">
        <v>5000</v>
      </c>
      <c r="E91" s="89">
        <v>1000</v>
      </c>
      <c r="F91" s="89">
        <f t="shared" si="19"/>
        <v>0</v>
      </c>
      <c r="G91" s="89">
        <v>5000</v>
      </c>
      <c r="H91" s="90">
        <f t="shared" si="18"/>
        <v>0</v>
      </c>
      <c r="I91" s="90">
        <f t="shared" si="11"/>
        <v>1000</v>
      </c>
      <c r="J91" s="90">
        <f>IF(COUNTIFS(Scenario_Weekly_Plan!$A:$A,$A91,Scenario_Weekly_Plan!$B:$B,$C91)&gt;0,SUMIFS(Scenario_Weekly_Plan!$C:$C,Scenario_Weekly_Plan!$A:$A,$A91,Scenario_Weekly_Plan!$B:$B,$C91),MIN(Q91,I91,MAX(0,E91+G91-F91)))</f>
        <v>1000</v>
      </c>
      <c r="K91" s="90">
        <f t="shared" si="12"/>
        <v>0</v>
      </c>
      <c r="L91" s="90">
        <f t="shared" si="13"/>
        <v>0</v>
      </c>
      <c r="M91" s="90">
        <f t="shared" si="14"/>
        <v>0</v>
      </c>
      <c r="N91" s="91">
        <f t="shared" si="15"/>
        <v>0.2</v>
      </c>
      <c r="O91" s="104">
        <f>IF(COUNTIFS(Scenario_Weekly_Plan!$A:$A,$A91,Scenario_Weekly_Plan!$B:$B,$C91)&gt;0,"Scenario PP imported",MPS!O91)</f>
        <v>0</v>
      </c>
      <c r="P91" s="92">
        <f>SUMIFS($J$2:J90,$B$2:B90,B91,$C$2:C90,C91)</f>
        <v>0</v>
      </c>
      <c r="Q91" s="92">
        <f t="shared" si="16"/>
        <v>5000</v>
      </c>
      <c r="R91" s="106">
        <f t="shared" si="17"/>
        <v>1000</v>
      </c>
      <c r="S91" s="104"/>
      <c r="T91" s="104"/>
      <c r="U91" s="104"/>
    </row>
    <row r="92" spans="1:21" x14ac:dyDescent="0.3">
      <c r="A92" s="87" t="s">
        <v>3</v>
      </c>
      <c r="B92" s="87" t="s">
        <v>68</v>
      </c>
      <c r="C92" s="101">
        <v>46251</v>
      </c>
      <c r="D92" s="89">
        <v>5000</v>
      </c>
      <c r="E92" s="89">
        <v>1000</v>
      </c>
      <c r="F92" s="89">
        <f t="shared" si="19"/>
        <v>0</v>
      </c>
      <c r="G92" s="89">
        <v>5000</v>
      </c>
      <c r="H92" s="90">
        <f t="shared" si="18"/>
        <v>0</v>
      </c>
      <c r="I92" s="90">
        <f t="shared" si="11"/>
        <v>1000</v>
      </c>
      <c r="J92" s="90">
        <f>IF(COUNTIFS(Scenario_Weekly_Plan!$A:$A,$A92,Scenario_Weekly_Plan!$B:$B,$C92)&gt;0,SUMIFS(Scenario_Weekly_Plan!$C:$C,Scenario_Weekly_Plan!$A:$A,$A92,Scenario_Weekly_Plan!$B:$B,$C92),MIN(Q92,I92,MAX(0,E92+G92-F92)))</f>
        <v>1000</v>
      </c>
      <c r="K92" s="90">
        <f t="shared" si="12"/>
        <v>0</v>
      </c>
      <c r="L92" s="90">
        <f t="shared" si="13"/>
        <v>0</v>
      </c>
      <c r="M92" s="90">
        <f t="shared" si="14"/>
        <v>0</v>
      </c>
      <c r="N92" s="91">
        <f t="shared" si="15"/>
        <v>0.2</v>
      </c>
      <c r="O92" s="104">
        <f>IF(COUNTIFS(Scenario_Weekly_Plan!$A:$A,$A92,Scenario_Weekly_Plan!$B:$B,$C92)&gt;0,"Scenario PP imported",MPS!O92)</f>
        <v>0</v>
      </c>
      <c r="P92" s="92">
        <f>SUMIFS($J$2:J91,$B$2:B91,B92,$C$2:C91,C92)</f>
        <v>0</v>
      </c>
      <c r="Q92" s="92">
        <f t="shared" si="16"/>
        <v>5000</v>
      </c>
      <c r="R92" s="106">
        <f t="shared" si="17"/>
        <v>1000</v>
      </c>
      <c r="S92" s="104"/>
      <c r="T92" s="104"/>
      <c r="U92" s="104"/>
    </row>
    <row r="93" spans="1:21" x14ac:dyDescent="0.3">
      <c r="A93" s="87" t="s">
        <v>3</v>
      </c>
      <c r="B93" s="87" t="s">
        <v>68</v>
      </c>
      <c r="C93" s="101">
        <v>46258</v>
      </c>
      <c r="D93" s="89">
        <v>5000</v>
      </c>
      <c r="E93" s="89">
        <v>750</v>
      </c>
      <c r="F93" s="89">
        <f t="shared" si="19"/>
        <v>0</v>
      </c>
      <c r="G93" s="89">
        <v>5000</v>
      </c>
      <c r="H93" s="90">
        <f t="shared" si="18"/>
        <v>0</v>
      </c>
      <c r="I93" s="90">
        <f t="shared" si="11"/>
        <v>750</v>
      </c>
      <c r="J93" s="90">
        <f>IF(COUNTIFS(Scenario_Weekly_Plan!$A:$A,$A93,Scenario_Weekly_Plan!$B:$B,$C93)&gt;0,SUMIFS(Scenario_Weekly_Plan!$C:$C,Scenario_Weekly_Plan!$A:$A,$A93,Scenario_Weekly_Plan!$B:$B,$C93),MIN(Q93,I93,MAX(0,E93+G93-F93)))</f>
        <v>750</v>
      </c>
      <c r="K93" s="90">
        <f t="shared" si="12"/>
        <v>0</v>
      </c>
      <c r="L93" s="90">
        <f t="shared" si="13"/>
        <v>0</v>
      </c>
      <c r="M93" s="90">
        <f t="shared" si="14"/>
        <v>0</v>
      </c>
      <c r="N93" s="91">
        <f t="shared" si="15"/>
        <v>0.23</v>
      </c>
      <c r="O93" s="104">
        <f>IF(COUNTIFS(Scenario_Weekly_Plan!$A:$A,$A93,Scenario_Weekly_Plan!$B:$B,$C93)&gt;0,"Scenario PP imported",MPS!O93)</f>
        <v>0</v>
      </c>
      <c r="P93" s="92">
        <f>SUMIFS($J$2:J92,$B$2:B92,B93,$C$2:C92,C93)</f>
        <v>0</v>
      </c>
      <c r="Q93" s="92">
        <f t="shared" si="16"/>
        <v>5000</v>
      </c>
      <c r="R93" s="106">
        <f t="shared" si="17"/>
        <v>750</v>
      </c>
      <c r="S93" s="104"/>
      <c r="T93" s="104"/>
      <c r="U93" s="104"/>
    </row>
    <row r="94" spans="1:21" x14ac:dyDescent="0.3">
      <c r="A94" s="87" t="s">
        <v>3</v>
      </c>
      <c r="B94" s="87" t="s">
        <v>68</v>
      </c>
      <c r="C94" s="101">
        <v>46265</v>
      </c>
      <c r="D94" s="89">
        <v>5000</v>
      </c>
      <c r="E94" s="89">
        <v>750</v>
      </c>
      <c r="F94" s="89">
        <f t="shared" si="19"/>
        <v>0</v>
      </c>
      <c r="G94" s="89">
        <v>5000</v>
      </c>
      <c r="H94" s="90">
        <f t="shared" si="18"/>
        <v>0</v>
      </c>
      <c r="I94" s="90">
        <f t="shared" si="11"/>
        <v>750</v>
      </c>
      <c r="J94" s="90">
        <f>IF(COUNTIFS(Scenario_Weekly_Plan!$A:$A,$A94,Scenario_Weekly_Plan!$B:$B,$C94)&gt;0,SUMIFS(Scenario_Weekly_Plan!$C:$C,Scenario_Weekly_Plan!$A:$A,$A94,Scenario_Weekly_Plan!$B:$B,$C94),MIN(Q94,I94,MAX(0,E94+G94-F94)))</f>
        <v>750</v>
      </c>
      <c r="K94" s="90">
        <f t="shared" si="12"/>
        <v>0</v>
      </c>
      <c r="L94" s="90">
        <f t="shared" si="13"/>
        <v>0</v>
      </c>
      <c r="M94" s="90">
        <f t="shared" si="14"/>
        <v>0</v>
      </c>
      <c r="N94" s="91">
        <f t="shared" si="15"/>
        <v>0.15</v>
      </c>
      <c r="O94" s="104">
        <f>IF(COUNTIFS(Scenario_Weekly_Plan!$A:$A,$A94,Scenario_Weekly_Plan!$B:$B,$C94)&gt;0,"Scenario PP imported",MPS!O94)</f>
        <v>0</v>
      </c>
      <c r="P94" s="92">
        <f>SUMIFS($J$2:J93,$B$2:B93,B94,$C$2:C93,C94)</f>
        <v>0</v>
      </c>
      <c r="Q94" s="92">
        <f t="shared" si="16"/>
        <v>5000</v>
      </c>
      <c r="R94" s="106">
        <f t="shared" si="17"/>
        <v>750</v>
      </c>
      <c r="S94" s="104"/>
      <c r="T94" s="104"/>
      <c r="U94" s="104"/>
    </row>
    <row r="95" spans="1:21" x14ac:dyDescent="0.3">
      <c r="A95" s="87" t="s">
        <v>3</v>
      </c>
      <c r="B95" s="87" t="s">
        <v>68</v>
      </c>
      <c r="C95" s="101">
        <v>46272</v>
      </c>
      <c r="D95" s="89">
        <v>5000</v>
      </c>
      <c r="E95" s="89">
        <v>750</v>
      </c>
      <c r="F95" s="89">
        <f t="shared" si="19"/>
        <v>0</v>
      </c>
      <c r="G95" s="89">
        <v>5000</v>
      </c>
      <c r="H95" s="90">
        <f t="shared" si="18"/>
        <v>0</v>
      </c>
      <c r="I95" s="90">
        <f t="shared" si="11"/>
        <v>750</v>
      </c>
      <c r="J95" s="90">
        <f>IF(COUNTIFS(Scenario_Weekly_Plan!$A:$A,$A95,Scenario_Weekly_Plan!$B:$B,$C95)&gt;0,SUMIFS(Scenario_Weekly_Plan!$C:$C,Scenario_Weekly_Plan!$A:$A,$A95,Scenario_Weekly_Plan!$B:$B,$C95),MIN(Q95,I95,MAX(0,E95+G95-F95)))</f>
        <v>750</v>
      </c>
      <c r="K95" s="90">
        <f t="shared" si="12"/>
        <v>0</v>
      </c>
      <c r="L95" s="90">
        <f t="shared" si="13"/>
        <v>0</v>
      </c>
      <c r="M95" s="90">
        <f t="shared" si="14"/>
        <v>0</v>
      </c>
      <c r="N95" s="91">
        <f t="shared" si="15"/>
        <v>0.23</v>
      </c>
      <c r="O95" s="104">
        <f>IF(COUNTIFS(Scenario_Weekly_Plan!$A:$A,$A95,Scenario_Weekly_Plan!$B:$B,$C95)&gt;0,"Scenario PP imported",MPS!O95)</f>
        <v>0</v>
      </c>
      <c r="P95" s="92">
        <f>SUMIFS($J$2:J94,$B$2:B94,B95,$C$2:C94,C95)</f>
        <v>0</v>
      </c>
      <c r="Q95" s="92">
        <f t="shared" si="16"/>
        <v>5000</v>
      </c>
      <c r="R95" s="106">
        <f t="shared" si="17"/>
        <v>750</v>
      </c>
      <c r="S95" s="104"/>
      <c r="T95" s="104"/>
      <c r="U95" s="104"/>
    </row>
    <row r="96" spans="1:21" x14ac:dyDescent="0.3">
      <c r="A96" s="87" t="s">
        <v>3</v>
      </c>
      <c r="B96" s="87" t="s">
        <v>68</v>
      </c>
      <c r="C96" s="101">
        <v>46279</v>
      </c>
      <c r="D96" s="89">
        <v>5000</v>
      </c>
      <c r="E96" s="89">
        <v>750</v>
      </c>
      <c r="F96" s="89">
        <f t="shared" si="19"/>
        <v>0</v>
      </c>
      <c r="G96" s="89">
        <v>5000</v>
      </c>
      <c r="H96" s="90">
        <f t="shared" si="18"/>
        <v>0</v>
      </c>
      <c r="I96" s="90">
        <f t="shared" si="11"/>
        <v>750</v>
      </c>
      <c r="J96" s="90">
        <f>IF(COUNTIFS(Scenario_Weekly_Plan!$A:$A,$A96,Scenario_Weekly_Plan!$B:$B,$C96)&gt;0,SUMIFS(Scenario_Weekly_Plan!$C:$C,Scenario_Weekly_Plan!$A:$A,$A96,Scenario_Weekly_Plan!$B:$B,$C96),MIN(Q96,I96,MAX(0,E96+G96-F96)))</f>
        <v>750</v>
      </c>
      <c r="K96" s="90">
        <f t="shared" si="12"/>
        <v>0</v>
      </c>
      <c r="L96" s="90">
        <f t="shared" si="13"/>
        <v>0</v>
      </c>
      <c r="M96" s="90">
        <f t="shared" si="14"/>
        <v>0</v>
      </c>
      <c r="N96" s="91">
        <f t="shared" si="15"/>
        <v>0.15</v>
      </c>
      <c r="O96" s="104">
        <f>IF(COUNTIFS(Scenario_Weekly_Plan!$A:$A,$A96,Scenario_Weekly_Plan!$B:$B,$C96)&gt;0,"Scenario PP imported",MPS!O96)</f>
        <v>0</v>
      </c>
      <c r="P96" s="92">
        <f>SUMIFS($J$2:J95,$B$2:B95,B96,$C$2:C95,C96)</f>
        <v>0</v>
      </c>
      <c r="Q96" s="92">
        <f t="shared" si="16"/>
        <v>5000</v>
      </c>
      <c r="R96" s="106">
        <f t="shared" si="17"/>
        <v>750</v>
      </c>
      <c r="S96" s="104"/>
      <c r="T96" s="104"/>
      <c r="U96" s="104"/>
    </row>
    <row r="97" spans="1:21" x14ac:dyDescent="0.3">
      <c r="A97" s="87" t="s">
        <v>3</v>
      </c>
      <c r="B97" s="87" t="s">
        <v>68</v>
      </c>
      <c r="C97" s="101">
        <v>46286</v>
      </c>
      <c r="D97" s="89">
        <v>5000</v>
      </c>
      <c r="E97" s="89">
        <v>600</v>
      </c>
      <c r="F97" s="89">
        <f t="shared" si="19"/>
        <v>0</v>
      </c>
      <c r="G97" s="89">
        <v>5000</v>
      </c>
      <c r="H97" s="90">
        <f t="shared" si="18"/>
        <v>0</v>
      </c>
      <c r="I97" s="90">
        <f t="shared" si="11"/>
        <v>600</v>
      </c>
      <c r="J97" s="90">
        <f>IF(COUNTIFS(Scenario_Weekly_Plan!$A:$A,$A97,Scenario_Weekly_Plan!$B:$B,$C97)&gt;0,SUMIFS(Scenario_Weekly_Plan!$C:$C,Scenario_Weekly_Plan!$A:$A,$A97,Scenario_Weekly_Plan!$B:$B,$C97),MIN(Q97,I97,MAX(0,E97+G97-F97)))</f>
        <v>600</v>
      </c>
      <c r="K97" s="90">
        <f t="shared" si="12"/>
        <v>0</v>
      </c>
      <c r="L97" s="90">
        <f t="shared" si="13"/>
        <v>0</v>
      </c>
      <c r="M97" s="90">
        <f t="shared" si="14"/>
        <v>0</v>
      </c>
      <c r="N97" s="91">
        <f t="shared" si="15"/>
        <v>0.192</v>
      </c>
      <c r="O97" s="104">
        <f>IF(COUNTIFS(Scenario_Weekly_Plan!$A:$A,$A97,Scenario_Weekly_Plan!$B:$B,$C97)&gt;0,"Scenario PP imported",MPS!O97)</f>
        <v>0</v>
      </c>
      <c r="P97" s="92">
        <f>SUMIFS($J$2:J96,$B$2:B96,B97,$C$2:C96,C97)</f>
        <v>0</v>
      </c>
      <c r="Q97" s="92">
        <f t="shared" si="16"/>
        <v>5000</v>
      </c>
      <c r="R97" s="106">
        <f t="shared" si="17"/>
        <v>600</v>
      </c>
      <c r="S97" s="104"/>
      <c r="T97" s="104"/>
      <c r="U97" s="104"/>
    </row>
    <row r="98" spans="1:21" x14ac:dyDescent="0.3">
      <c r="A98" s="87" t="s">
        <v>3</v>
      </c>
      <c r="B98" s="87" t="s">
        <v>68</v>
      </c>
      <c r="C98" s="101">
        <v>46293</v>
      </c>
      <c r="D98" s="89">
        <v>5000</v>
      </c>
      <c r="E98" s="89">
        <v>600</v>
      </c>
      <c r="F98" s="89">
        <f t="shared" si="19"/>
        <v>0</v>
      </c>
      <c r="G98" s="89">
        <v>5000</v>
      </c>
      <c r="H98" s="90">
        <f t="shared" si="18"/>
        <v>0</v>
      </c>
      <c r="I98" s="90">
        <f t="shared" si="11"/>
        <v>600</v>
      </c>
      <c r="J98" s="90">
        <f>IF(COUNTIFS(Scenario_Weekly_Plan!$A:$A,$A98,Scenario_Weekly_Plan!$B:$B,$C98)&gt;0,SUMIFS(Scenario_Weekly_Plan!$C:$C,Scenario_Weekly_Plan!$A:$A,$A98,Scenario_Weekly_Plan!$B:$B,$C98),MIN(Q98,I98,MAX(0,E98+G98-F98)))</f>
        <v>600</v>
      </c>
      <c r="K98" s="90">
        <f t="shared" si="12"/>
        <v>0</v>
      </c>
      <c r="L98" s="90">
        <f t="shared" si="13"/>
        <v>0</v>
      </c>
      <c r="M98" s="90">
        <f t="shared" si="14"/>
        <v>0</v>
      </c>
      <c r="N98" s="91">
        <f t="shared" si="15"/>
        <v>0.192</v>
      </c>
      <c r="O98" s="104">
        <f>IF(COUNTIFS(Scenario_Weekly_Plan!$A:$A,$A98,Scenario_Weekly_Plan!$B:$B,$C98)&gt;0,"Scenario PP imported",MPS!O98)</f>
        <v>0</v>
      </c>
      <c r="P98" s="92">
        <f>SUMIFS($J$2:J97,$B$2:B97,B98,$C$2:C97,C98)</f>
        <v>0</v>
      </c>
      <c r="Q98" s="92">
        <f t="shared" si="16"/>
        <v>5000</v>
      </c>
      <c r="R98" s="106">
        <f t="shared" si="17"/>
        <v>600</v>
      </c>
      <c r="S98" s="104"/>
      <c r="T98" s="104"/>
      <c r="U98" s="104"/>
    </row>
    <row r="99" spans="1:21" x14ac:dyDescent="0.3">
      <c r="A99" s="87" t="s">
        <v>3</v>
      </c>
      <c r="B99" s="87" t="s">
        <v>68</v>
      </c>
      <c r="C99" s="101">
        <v>46300</v>
      </c>
      <c r="D99" s="89">
        <v>5000</v>
      </c>
      <c r="E99" s="89">
        <v>600</v>
      </c>
      <c r="F99" s="89">
        <f t="shared" si="19"/>
        <v>0</v>
      </c>
      <c r="G99" s="89">
        <v>5000</v>
      </c>
      <c r="H99" s="90">
        <f t="shared" si="18"/>
        <v>0</v>
      </c>
      <c r="I99" s="90">
        <f t="shared" si="11"/>
        <v>600</v>
      </c>
      <c r="J99" s="90">
        <f>IF(COUNTIFS(Scenario_Weekly_Plan!$A:$A,$A99,Scenario_Weekly_Plan!$B:$B,$C99)&gt;0,SUMIFS(Scenario_Weekly_Plan!$C:$C,Scenario_Weekly_Plan!$A:$A,$A99,Scenario_Weekly_Plan!$B:$B,$C99),MIN(Q99,I99,MAX(0,E99+G99-F99)))</f>
        <v>600</v>
      </c>
      <c r="K99" s="90">
        <f t="shared" si="12"/>
        <v>0</v>
      </c>
      <c r="L99" s="90">
        <f t="shared" si="13"/>
        <v>0</v>
      </c>
      <c r="M99" s="90">
        <f t="shared" si="14"/>
        <v>0</v>
      </c>
      <c r="N99" s="91">
        <f t="shared" si="15"/>
        <v>0.192</v>
      </c>
      <c r="O99" s="104">
        <f>IF(COUNTIFS(Scenario_Weekly_Plan!$A:$A,$A99,Scenario_Weekly_Plan!$B:$B,$C99)&gt;0,"Scenario PP imported",MPS!O99)</f>
        <v>0</v>
      </c>
      <c r="P99" s="92">
        <f>SUMIFS($J$2:J98,$B$2:B98,B99,$C$2:C98,C99)</f>
        <v>0</v>
      </c>
      <c r="Q99" s="92">
        <f t="shared" si="16"/>
        <v>5000</v>
      </c>
      <c r="R99" s="106">
        <f t="shared" si="17"/>
        <v>600</v>
      </c>
      <c r="S99" s="104"/>
      <c r="T99" s="104"/>
      <c r="U99" s="104"/>
    </row>
    <row r="100" spans="1:21" x14ac:dyDescent="0.3">
      <c r="A100" s="87" t="s">
        <v>3</v>
      </c>
      <c r="B100" s="87" t="s">
        <v>68</v>
      </c>
      <c r="C100" s="101">
        <v>46307</v>
      </c>
      <c r="D100" s="89">
        <v>5000</v>
      </c>
      <c r="E100" s="89">
        <v>600</v>
      </c>
      <c r="F100" s="89">
        <f t="shared" si="19"/>
        <v>0</v>
      </c>
      <c r="G100" s="89">
        <v>5000</v>
      </c>
      <c r="H100" s="90">
        <f t="shared" si="18"/>
        <v>0</v>
      </c>
      <c r="I100" s="90">
        <f t="shared" si="11"/>
        <v>600</v>
      </c>
      <c r="J100" s="90">
        <f>IF(COUNTIFS(Scenario_Weekly_Plan!$A:$A,$A100,Scenario_Weekly_Plan!$B:$B,$C100)&gt;0,SUMIFS(Scenario_Weekly_Plan!$C:$C,Scenario_Weekly_Plan!$A:$A,$A100,Scenario_Weekly_Plan!$B:$B,$C100),MIN(Q100,I100,MAX(0,E100+G100-F100)))</f>
        <v>600</v>
      </c>
      <c r="K100" s="90">
        <f t="shared" si="12"/>
        <v>0</v>
      </c>
      <c r="L100" s="90">
        <f t="shared" si="13"/>
        <v>0</v>
      </c>
      <c r="M100" s="90">
        <f t="shared" si="14"/>
        <v>0</v>
      </c>
      <c r="N100" s="91">
        <f t="shared" si="15"/>
        <v>0.192</v>
      </c>
      <c r="O100" s="104">
        <f>IF(COUNTIFS(Scenario_Weekly_Plan!$A:$A,$A100,Scenario_Weekly_Plan!$B:$B,$C100)&gt;0,"Scenario PP imported",MPS!O100)</f>
        <v>0</v>
      </c>
      <c r="P100" s="92">
        <f>SUMIFS($J$2:J99,$B$2:B99,B100,$C$2:C99,C100)</f>
        <v>0</v>
      </c>
      <c r="Q100" s="92">
        <f t="shared" si="16"/>
        <v>5000</v>
      </c>
      <c r="R100" s="106">
        <f t="shared" si="17"/>
        <v>600</v>
      </c>
      <c r="S100" s="104"/>
      <c r="T100" s="104"/>
      <c r="U100" s="104"/>
    </row>
    <row r="101" spans="1:21" x14ac:dyDescent="0.3">
      <c r="A101" s="87" t="s">
        <v>3</v>
      </c>
      <c r="B101" s="87" t="s">
        <v>68</v>
      </c>
      <c r="C101" s="101">
        <v>46314</v>
      </c>
      <c r="D101" s="89">
        <v>5000</v>
      </c>
      <c r="E101" s="89">
        <v>600</v>
      </c>
      <c r="F101" s="89">
        <f t="shared" si="19"/>
        <v>0</v>
      </c>
      <c r="G101" s="89">
        <v>5000</v>
      </c>
      <c r="H101" s="90">
        <f t="shared" si="18"/>
        <v>0</v>
      </c>
      <c r="I101" s="90">
        <f t="shared" si="11"/>
        <v>600</v>
      </c>
      <c r="J101" s="90">
        <f>IF(COUNTIFS(Scenario_Weekly_Plan!$A:$A,$A101,Scenario_Weekly_Plan!$B:$B,$C101)&gt;0,SUMIFS(Scenario_Weekly_Plan!$C:$C,Scenario_Weekly_Plan!$A:$A,$A101,Scenario_Weekly_Plan!$B:$B,$C101),MIN(Q101,I101,MAX(0,E101+G101-F101)))</f>
        <v>600</v>
      </c>
      <c r="K101" s="90">
        <f t="shared" si="12"/>
        <v>0</v>
      </c>
      <c r="L101" s="90">
        <f t="shared" si="13"/>
        <v>0</v>
      </c>
      <c r="M101" s="90">
        <f t="shared" si="14"/>
        <v>0</v>
      </c>
      <c r="N101" s="91">
        <f t="shared" si="15"/>
        <v>0.192</v>
      </c>
      <c r="O101" s="104">
        <f>IF(COUNTIFS(Scenario_Weekly_Plan!$A:$A,$A101,Scenario_Weekly_Plan!$B:$B,$C101)&gt;0,"Scenario PP imported",MPS!O101)</f>
        <v>0</v>
      </c>
      <c r="P101" s="92">
        <f>SUMIFS($J$2:J100,$B$2:B100,B101,$C$2:C100,C101)</f>
        <v>0</v>
      </c>
      <c r="Q101" s="92">
        <f t="shared" si="16"/>
        <v>5000</v>
      </c>
      <c r="R101" s="106">
        <f t="shared" si="17"/>
        <v>600</v>
      </c>
      <c r="S101" s="104"/>
      <c r="T101" s="104"/>
      <c r="U101" s="104"/>
    </row>
    <row r="102" spans="1:21" x14ac:dyDescent="0.3">
      <c r="A102" s="87" t="s">
        <v>3</v>
      </c>
      <c r="B102" s="87" t="s">
        <v>68</v>
      </c>
      <c r="C102" s="101">
        <v>46321</v>
      </c>
      <c r="D102" s="89">
        <v>5000</v>
      </c>
      <c r="E102" s="89">
        <v>500</v>
      </c>
      <c r="F102" s="89">
        <f t="shared" si="19"/>
        <v>0</v>
      </c>
      <c r="G102" s="89">
        <v>5000</v>
      </c>
      <c r="H102" s="90">
        <f t="shared" si="18"/>
        <v>0</v>
      </c>
      <c r="I102" s="90">
        <f t="shared" si="11"/>
        <v>500</v>
      </c>
      <c r="J102" s="90">
        <f>IF(COUNTIFS(Scenario_Weekly_Plan!$A:$A,$A102,Scenario_Weekly_Plan!$B:$B,$C102)&gt;0,SUMIFS(Scenario_Weekly_Plan!$C:$C,Scenario_Weekly_Plan!$A:$A,$A102,Scenario_Weekly_Plan!$B:$B,$C102),MIN(Q102,I102,MAX(0,E102+G102-F102)))</f>
        <v>500</v>
      </c>
      <c r="K102" s="90">
        <f t="shared" si="12"/>
        <v>0</v>
      </c>
      <c r="L102" s="90">
        <f t="shared" si="13"/>
        <v>0</v>
      </c>
      <c r="M102" s="90">
        <f t="shared" si="14"/>
        <v>0</v>
      </c>
      <c r="N102" s="91">
        <f t="shared" si="15"/>
        <v>0.3</v>
      </c>
      <c r="O102" s="104">
        <f>IF(COUNTIFS(Scenario_Weekly_Plan!$A:$A,$A102,Scenario_Weekly_Plan!$B:$B,$C102)&gt;0,"Scenario PP imported",MPS!O102)</f>
        <v>0</v>
      </c>
      <c r="P102" s="92">
        <f>SUMIFS($J$2:J101,$B$2:B101,B102,$C$2:C101,C102)</f>
        <v>0</v>
      </c>
      <c r="Q102" s="92">
        <f t="shared" si="16"/>
        <v>5000</v>
      </c>
      <c r="R102" s="106">
        <f t="shared" si="17"/>
        <v>500</v>
      </c>
      <c r="S102" s="104"/>
      <c r="T102" s="104"/>
      <c r="U102" s="104"/>
    </row>
    <row r="103" spans="1:21" x14ac:dyDescent="0.3">
      <c r="A103" s="87" t="s">
        <v>3</v>
      </c>
      <c r="B103" s="87" t="s">
        <v>68</v>
      </c>
      <c r="C103" s="101">
        <v>46328</v>
      </c>
      <c r="D103" s="89">
        <v>5000</v>
      </c>
      <c r="E103" s="89">
        <v>500</v>
      </c>
      <c r="F103" s="89">
        <f t="shared" si="19"/>
        <v>0</v>
      </c>
      <c r="G103" s="89">
        <v>5000</v>
      </c>
      <c r="H103" s="90">
        <f t="shared" si="18"/>
        <v>0</v>
      </c>
      <c r="I103" s="90">
        <f t="shared" si="11"/>
        <v>500</v>
      </c>
      <c r="J103" s="90">
        <f>IF(COUNTIFS(Scenario_Weekly_Plan!$A:$A,$A103,Scenario_Weekly_Plan!$B:$B,$C103)&gt;0,SUMIFS(Scenario_Weekly_Plan!$C:$C,Scenario_Weekly_Plan!$A:$A,$A103,Scenario_Weekly_Plan!$B:$B,$C103),MIN(Q103,I103,MAX(0,E103+G103-F103)))</f>
        <v>500</v>
      </c>
      <c r="K103" s="90">
        <f t="shared" si="12"/>
        <v>0</v>
      </c>
      <c r="L103" s="90">
        <f t="shared" si="13"/>
        <v>0</v>
      </c>
      <c r="M103" s="90">
        <f t="shared" si="14"/>
        <v>0</v>
      </c>
      <c r="N103" s="91">
        <f t="shared" si="15"/>
        <v>0.3</v>
      </c>
      <c r="O103" s="104">
        <f>IF(COUNTIFS(Scenario_Weekly_Plan!$A:$A,$A103,Scenario_Weekly_Plan!$B:$B,$C103)&gt;0,"Scenario PP imported",MPS!O103)</f>
        <v>0</v>
      </c>
      <c r="P103" s="92">
        <f>SUMIFS($J$2:J102,$B$2:B102,B103,$C$2:C102,C103)</f>
        <v>0</v>
      </c>
      <c r="Q103" s="92">
        <f t="shared" si="16"/>
        <v>5000</v>
      </c>
      <c r="R103" s="106">
        <f t="shared" si="17"/>
        <v>500</v>
      </c>
      <c r="S103" s="104"/>
      <c r="T103" s="104"/>
      <c r="U103" s="104"/>
    </row>
    <row r="104" spans="1:21" x14ac:dyDescent="0.3">
      <c r="A104" s="87" t="s">
        <v>3</v>
      </c>
      <c r="B104" s="87" t="s">
        <v>68</v>
      </c>
      <c r="C104" s="101">
        <v>46335</v>
      </c>
      <c r="D104" s="89">
        <v>5000</v>
      </c>
      <c r="E104" s="89">
        <v>500</v>
      </c>
      <c r="F104" s="89">
        <f t="shared" si="19"/>
        <v>0</v>
      </c>
      <c r="G104" s="89">
        <v>5000</v>
      </c>
      <c r="H104" s="90">
        <f t="shared" si="18"/>
        <v>0</v>
      </c>
      <c r="I104" s="90">
        <f t="shared" si="11"/>
        <v>500</v>
      </c>
      <c r="J104" s="90">
        <f>IF(COUNTIFS(Scenario_Weekly_Plan!$A:$A,$A104,Scenario_Weekly_Plan!$B:$B,$C104)&gt;0,SUMIFS(Scenario_Weekly_Plan!$C:$C,Scenario_Weekly_Plan!$A:$A,$A104,Scenario_Weekly_Plan!$B:$B,$C104),MIN(Q104,I104,MAX(0,E104+G104-F104)))</f>
        <v>500</v>
      </c>
      <c r="K104" s="90">
        <f t="shared" si="12"/>
        <v>0</v>
      </c>
      <c r="L104" s="90">
        <f t="shared" si="13"/>
        <v>0</v>
      </c>
      <c r="M104" s="90">
        <f t="shared" si="14"/>
        <v>0</v>
      </c>
      <c r="N104" s="91">
        <f t="shared" si="15"/>
        <v>0.3</v>
      </c>
      <c r="O104" s="104">
        <f>IF(COUNTIFS(Scenario_Weekly_Plan!$A:$A,$A104,Scenario_Weekly_Plan!$B:$B,$C104)&gt;0,"Scenario PP imported",MPS!O104)</f>
        <v>0</v>
      </c>
      <c r="P104" s="92">
        <f>SUMIFS($J$2:J103,$B$2:B103,B104,$C$2:C103,C104)</f>
        <v>0</v>
      </c>
      <c r="Q104" s="92">
        <f t="shared" si="16"/>
        <v>5000</v>
      </c>
      <c r="R104" s="106">
        <f t="shared" si="17"/>
        <v>500</v>
      </c>
      <c r="S104" s="104"/>
      <c r="T104" s="104"/>
      <c r="U104" s="104"/>
    </row>
    <row r="105" spans="1:21" x14ac:dyDescent="0.3">
      <c r="A105" s="87" t="s">
        <v>3</v>
      </c>
      <c r="B105" s="87" t="s">
        <v>68</v>
      </c>
      <c r="C105" s="101">
        <v>46342</v>
      </c>
      <c r="D105" s="89">
        <v>5000</v>
      </c>
      <c r="E105" s="89">
        <v>500</v>
      </c>
      <c r="F105" s="89">
        <f t="shared" si="19"/>
        <v>0</v>
      </c>
      <c r="G105" s="89">
        <v>5000</v>
      </c>
      <c r="H105" s="90">
        <f t="shared" si="18"/>
        <v>0</v>
      </c>
      <c r="I105" s="90">
        <f t="shared" si="11"/>
        <v>500</v>
      </c>
      <c r="J105" s="90">
        <f>IF(COUNTIFS(Scenario_Weekly_Plan!$A:$A,$A105,Scenario_Weekly_Plan!$B:$B,$C105)&gt;0,SUMIFS(Scenario_Weekly_Plan!$C:$C,Scenario_Weekly_Plan!$A:$A,$A105,Scenario_Weekly_Plan!$B:$B,$C105),MIN(Q105,I105,MAX(0,E105+G105-F105)))</f>
        <v>500</v>
      </c>
      <c r="K105" s="90">
        <f t="shared" si="12"/>
        <v>0</v>
      </c>
      <c r="L105" s="90">
        <f t="shared" si="13"/>
        <v>0</v>
      </c>
      <c r="M105" s="90">
        <f t="shared" si="14"/>
        <v>0</v>
      </c>
      <c r="N105" s="91">
        <f t="shared" si="15"/>
        <v>0.3</v>
      </c>
      <c r="O105" s="104">
        <f>IF(COUNTIFS(Scenario_Weekly_Plan!$A:$A,$A105,Scenario_Weekly_Plan!$B:$B,$C105)&gt;0,"Scenario PP imported",MPS!O105)</f>
        <v>0</v>
      </c>
      <c r="P105" s="92">
        <f>SUMIFS($J$2:J104,$B$2:B104,B105,$C$2:C104,C105)</f>
        <v>0</v>
      </c>
      <c r="Q105" s="92">
        <f t="shared" si="16"/>
        <v>5000</v>
      </c>
      <c r="R105" s="106">
        <f t="shared" si="17"/>
        <v>500</v>
      </c>
      <c r="S105" s="104"/>
      <c r="T105" s="104"/>
      <c r="U105" s="104"/>
    </row>
    <row r="106" spans="1:21" x14ac:dyDescent="0.3">
      <c r="A106" s="87" t="s">
        <v>3</v>
      </c>
      <c r="B106" s="87" t="s">
        <v>68</v>
      </c>
      <c r="C106" s="101">
        <v>46349</v>
      </c>
      <c r="D106" s="89">
        <v>5000</v>
      </c>
      <c r="E106" s="89">
        <v>3000</v>
      </c>
      <c r="F106" s="89">
        <f t="shared" si="19"/>
        <v>0</v>
      </c>
      <c r="G106" s="89">
        <v>5000</v>
      </c>
      <c r="H106" s="90">
        <f t="shared" si="18"/>
        <v>0</v>
      </c>
      <c r="I106" s="90">
        <f t="shared" si="11"/>
        <v>3000</v>
      </c>
      <c r="J106" s="90">
        <f>IF(COUNTIFS(Scenario_Weekly_Plan!$A:$A,$A106,Scenario_Weekly_Plan!$B:$B,$C106)&gt;0,SUMIFS(Scenario_Weekly_Plan!$C:$C,Scenario_Weekly_Plan!$A:$A,$A106,Scenario_Weekly_Plan!$B:$B,$C106),MIN(Q106,I106,MAX(0,E106+G106-F106)))</f>
        <v>3000</v>
      </c>
      <c r="K106" s="90">
        <f t="shared" si="12"/>
        <v>0</v>
      </c>
      <c r="L106" s="90">
        <f t="shared" si="13"/>
        <v>0</v>
      </c>
      <c r="M106" s="90">
        <f t="shared" si="14"/>
        <v>0</v>
      </c>
      <c r="N106" s="91">
        <f t="shared" si="15"/>
        <v>0.85</v>
      </c>
      <c r="O106" s="104">
        <f>IF(COUNTIFS(Scenario_Weekly_Plan!$A:$A,$A106,Scenario_Weekly_Plan!$B:$B,$C106)&gt;0,"Scenario PP imported",MPS!O106)</f>
        <v>0</v>
      </c>
      <c r="P106" s="92">
        <f>SUMIFS($J$2:J105,$B$2:B105,B106,$C$2:C105,C106)</f>
        <v>0</v>
      </c>
      <c r="Q106" s="92">
        <f t="shared" si="16"/>
        <v>5000</v>
      </c>
      <c r="R106" s="106">
        <f t="shared" si="17"/>
        <v>3000</v>
      </c>
      <c r="S106" s="104"/>
      <c r="T106" s="104"/>
      <c r="U106" s="104"/>
    </row>
    <row r="107" spans="1:21" x14ac:dyDescent="0.3">
      <c r="A107" s="87" t="s">
        <v>3</v>
      </c>
      <c r="B107" s="87" t="s">
        <v>68</v>
      </c>
      <c r="C107" s="101">
        <v>46356</v>
      </c>
      <c r="D107" s="89">
        <v>5000</v>
      </c>
      <c r="E107" s="89">
        <v>3000</v>
      </c>
      <c r="F107" s="89">
        <f t="shared" si="19"/>
        <v>0</v>
      </c>
      <c r="G107" s="89">
        <v>5000</v>
      </c>
      <c r="H107" s="90">
        <f t="shared" si="18"/>
        <v>0</v>
      </c>
      <c r="I107" s="90">
        <f t="shared" si="11"/>
        <v>3000</v>
      </c>
      <c r="J107" s="90">
        <f>IF(COUNTIFS(Scenario_Weekly_Plan!$A:$A,$A107,Scenario_Weekly_Plan!$B:$B,$C107)&gt;0,SUMIFS(Scenario_Weekly_Plan!$C:$C,Scenario_Weekly_Plan!$A:$A,$A107,Scenario_Weekly_Plan!$B:$B,$C107),MIN(Q107,I107,MAX(0,E107+G107-F107)))</f>
        <v>3000</v>
      </c>
      <c r="K107" s="90">
        <f t="shared" si="12"/>
        <v>0</v>
      </c>
      <c r="L107" s="90">
        <f t="shared" si="13"/>
        <v>0</v>
      </c>
      <c r="M107" s="90">
        <f t="shared" si="14"/>
        <v>0</v>
      </c>
      <c r="N107" s="91">
        <f t="shared" si="15"/>
        <v>0.85</v>
      </c>
      <c r="O107" s="104">
        <f>IF(COUNTIFS(Scenario_Weekly_Plan!$A:$A,$A107,Scenario_Weekly_Plan!$B:$B,$C107)&gt;0,"Scenario PP imported",MPS!O107)</f>
        <v>0</v>
      </c>
      <c r="P107" s="92">
        <f>SUMIFS($J$2:J106,$B$2:B106,B107,$C$2:C106,C107)</f>
        <v>0</v>
      </c>
      <c r="Q107" s="92">
        <f t="shared" si="16"/>
        <v>5000</v>
      </c>
      <c r="R107" s="106">
        <f t="shared" si="17"/>
        <v>3000</v>
      </c>
      <c r="S107" s="104"/>
      <c r="T107" s="104"/>
      <c r="U107" s="104"/>
    </row>
    <row r="108" spans="1:21" x14ac:dyDescent="0.3">
      <c r="A108" s="87" t="s">
        <v>3</v>
      </c>
      <c r="B108" s="87" t="s">
        <v>68</v>
      </c>
      <c r="C108" s="101">
        <v>46363</v>
      </c>
      <c r="D108" s="89">
        <v>5000</v>
      </c>
      <c r="E108" s="89">
        <v>3000</v>
      </c>
      <c r="F108" s="89">
        <f t="shared" si="19"/>
        <v>0</v>
      </c>
      <c r="G108" s="89">
        <v>5000</v>
      </c>
      <c r="H108" s="90">
        <f t="shared" si="18"/>
        <v>0</v>
      </c>
      <c r="I108" s="90">
        <f t="shared" si="11"/>
        <v>3000</v>
      </c>
      <c r="J108" s="90">
        <f>IF(COUNTIFS(Scenario_Weekly_Plan!$A:$A,$A108,Scenario_Weekly_Plan!$B:$B,$C108)&gt;0,SUMIFS(Scenario_Weekly_Plan!$C:$C,Scenario_Weekly_Plan!$A:$A,$A108,Scenario_Weekly_Plan!$B:$B,$C108),MIN(Q108,I108,MAX(0,E108+G108-F108)))</f>
        <v>3000</v>
      </c>
      <c r="K108" s="90">
        <f t="shared" si="12"/>
        <v>0</v>
      </c>
      <c r="L108" s="90">
        <f t="shared" si="13"/>
        <v>0</v>
      </c>
      <c r="M108" s="90">
        <f t="shared" si="14"/>
        <v>0</v>
      </c>
      <c r="N108" s="91">
        <f t="shared" si="15"/>
        <v>0.85</v>
      </c>
      <c r="O108" s="104">
        <f>IF(COUNTIFS(Scenario_Weekly_Plan!$A:$A,$A108,Scenario_Weekly_Plan!$B:$B,$C108)&gt;0,"Scenario PP imported",MPS!O108)</f>
        <v>0</v>
      </c>
      <c r="P108" s="92">
        <f>SUMIFS($J$2:J107,$B$2:B107,B108,$C$2:C107,C108)</f>
        <v>0</v>
      </c>
      <c r="Q108" s="92">
        <f t="shared" si="16"/>
        <v>5000</v>
      </c>
      <c r="R108" s="106">
        <f t="shared" si="17"/>
        <v>3000</v>
      </c>
      <c r="S108" s="104"/>
      <c r="T108" s="104"/>
      <c r="U108" s="104"/>
    </row>
    <row r="109" spans="1:21" x14ac:dyDescent="0.3">
      <c r="A109" s="87" t="s">
        <v>3</v>
      </c>
      <c r="B109" s="87" t="s">
        <v>68</v>
      </c>
      <c r="C109" s="101">
        <v>46370</v>
      </c>
      <c r="D109" s="89">
        <v>5000</v>
      </c>
      <c r="E109" s="89">
        <v>3000</v>
      </c>
      <c r="F109" s="89">
        <f t="shared" si="19"/>
        <v>0</v>
      </c>
      <c r="G109" s="89">
        <v>5000</v>
      </c>
      <c r="H109" s="90">
        <f>0</f>
        <v>0</v>
      </c>
      <c r="I109" s="90">
        <f t="shared" si="11"/>
        <v>3000</v>
      </c>
      <c r="J109" s="90">
        <f>IF(COUNTIFS(Scenario_Weekly_Plan!$A:$A,$A109,Scenario_Weekly_Plan!$B:$B,$C109)&gt;0,SUMIFS(Scenario_Weekly_Plan!$C:$C,Scenario_Weekly_Plan!$A:$A,$A109,Scenario_Weekly_Plan!$B:$B,$C109),MIN(Q109,I109,MAX(0,E109+G109-F109)))</f>
        <v>3000</v>
      </c>
      <c r="K109" s="90">
        <f t="shared" si="12"/>
        <v>0</v>
      </c>
      <c r="L109" s="90">
        <f t="shared" si="13"/>
        <v>0</v>
      </c>
      <c r="M109" s="90">
        <f t="shared" si="14"/>
        <v>0</v>
      </c>
      <c r="N109" s="91">
        <f t="shared" si="15"/>
        <v>0.85</v>
      </c>
      <c r="O109" s="104">
        <f>IF(COUNTIFS(Scenario_Weekly_Plan!$A:$A,$A109,Scenario_Weekly_Plan!$B:$B,$C109)&gt;0,"Scenario PP imported",MPS!O109)</f>
        <v>0</v>
      </c>
      <c r="P109" s="92">
        <f>SUMIFS($J$2:J108,$B$2:B108,B109,$C$2:C108,C109)</f>
        <v>0</v>
      </c>
      <c r="Q109" s="92">
        <f t="shared" si="16"/>
        <v>5000</v>
      </c>
      <c r="R109" s="106">
        <f t="shared" si="17"/>
        <v>3000</v>
      </c>
      <c r="S109" s="104"/>
      <c r="T109" s="104"/>
      <c r="U109" s="104"/>
    </row>
    <row r="110" spans="1:21" x14ac:dyDescent="0.3">
      <c r="A110" s="87" t="s">
        <v>4</v>
      </c>
      <c r="B110" s="87" t="s">
        <v>68</v>
      </c>
      <c r="C110" s="101">
        <v>46125</v>
      </c>
      <c r="D110" s="89">
        <v>5000</v>
      </c>
      <c r="E110" s="89">
        <v>0</v>
      </c>
      <c r="F110" s="89">
        <f>0</f>
        <v>0</v>
      </c>
      <c r="G110" s="89">
        <v>5000</v>
      </c>
      <c r="H110" s="90">
        <f t="shared" ref="H110:H144" si="20">MAX(0,H111+E111-Q111)</f>
        <v>32949</v>
      </c>
      <c r="I110" s="90">
        <f t="shared" si="11"/>
        <v>32949</v>
      </c>
      <c r="J110" s="90">
        <f>IF(COUNTIFS(Scenario_Weekly_Plan!$A:$A,$A110,Scenario_Weekly_Plan!$B:$B,$C110)&gt;0,SUMIFS(Scenario_Weekly_Plan!$C:$C,Scenario_Weekly_Plan!$A:$A,$A110,Scenario_Weekly_Plan!$B:$B,$C110),MIN(Q110,I110,MAX(0,E110+G110-F110)))</f>
        <v>0</v>
      </c>
      <c r="K110" s="90">
        <f t="shared" si="12"/>
        <v>0</v>
      </c>
      <c r="L110" s="90">
        <f t="shared" si="13"/>
        <v>0</v>
      </c>
      <c r="M110" s="90">
        <f t="shared" si="14"/>
        <v>0</v>
      </c>
      <c r="N110" s="91">
        <f t="shared" si="15"/>
        <v>0.66639999999999999</v>
      </c>
      <c r="O110" s="61" t="str">
        <f>IF(COUNTIFS(Scenario_Weekly_Plan!$A:$A,$A110,Scenario_Weekly_Plan!$B:$B,$C110)&gt;0,"Scenario PP imported",MPS!O110)</f>
        <v>Scenario PP imported</v>
      </c>
      <c r="P110" s="92">
        <f>SUMIFS($J$2:J109,$B$2:B109,B110,$C$2:C109,C110)</f>
        <v>3332</v>
      </c>
      <c r="Q110" s="92">
        <f t="shared" si="16"/>
        <v>1668</v>
      </c>
      <c r="R110" s="106">
        <f t="shared" si="17"/>
        <v>0</v>
      </c>
      <c r="S110" s="104"/>
      <c r="T110" s="104"/>
      <c r="U110" s="104"/>
    </row>
    <row r="111" spans="1:21" x14ac:dyDescent="0.3">
      <c r="A111" s="87" t="s">
        <v>4</v>
      </c>
      <c r="B111" s="87" t="s">
        <v>68</v>
      </c>
      <c r="C111" s="101">
        <v>46132</v>
      </c>
      <c r="D111" s="89">
        <v>5000</v>
      </c>
      <c r="E111" s="89">
        <v>0</v>
      </c>
      <c r="F111" s="89">
        <f t="shared" ref="F111:F145" si="21">K110</f>
        <v>0</v>
      </c>
      <c r="G111" s="89">
        <v>5000</v>
      </c>
      <c r="H111" s="90">
        <f t="shared" si="20"/>
        <v>32951</v>
      </c>
      <c r="I111" s="90">
        <f t="shared" si="11"/>
        <v>32951</v>
      </c>
      <c r="J111" s="90">
        <f>IF(COUNTIFS(Scenario_Weekly_Plan!$A:$A,$A111,Scenario_Weekly_Plan!$B:$B,$C111)&gt;0,SUMIFS(Scenario_Weekly_Plan!$C:$C,Scenario_Weekly_Plan!$A:$A,$A111,Scenario_Weekly_Plan!$B:$B,$C111),MIN(Q111,I111,MAX(0,E111+G111-F111)))</f>
        <v>0</v>
      </c>
      <c r="K111" s="90">
        <f t="shared" si="12"/>
        <v>0</v>
      </c>
      <c r="L111" s="90">
        <f t="shared" si="13"/>
        <v>0</v>
      </c>
      <c r="M111" s="90">
        <f t="shared" si="14"/>
        <v>0</v>
      </c>
      <c r="N111" s="91">
        <f t="shared" si="15"/>
        <v>0.99960000000000004</v>
      </c>
      <c r="O111" s="104" t="str">
        <f>IF(COUNTIFS(Scenario_Weekly_Plan!$A:$A,$A111,Scenario_Weekly_Plan!$B:$B,$C111)&gt;0,"Scenario PP imported",MPS!O111)</f>
        <v>Scenario PP imported</v>
      </c>
      <c r="P111" s="92">
        <f>SUMIFS($J$2:J110,$B$2:B110,B111,$C$2:C110,C111)</f>
        <v>4998</v>
      </c>
      <c r="Q111" s="92">
        <f t="shared" si="16"/>
        <v>2</v>
      </c>
      <c r="R111" s="106">
        <f t="shared" si="17"/>
        <v>0</v>
      </c>
      <c r="S111" s="104"/>
      <c r="T111" s="104"/>
      <c r="U111" s="104"/>
    </row>
    <row r="112" spans="1:21" x14ac:dyDescent="0.3">
      <c r="A112" s="87" t="s">
        <v>4</v>
      </c>
      <c r="B112" s="87" t="s">
        <v>68</v>
      </c>
      <c r="C112" s="101">
        <v>46139</v>
      </c>
      <c r="D112" s="89">
        <v>5000</v>
      </c>
      <c r="E112" s="89">
        <v>0</v>
      </c>
      <c r="F112" s="89">
        <f t="shared" si="21"/>
        <v>0</v>
      </c>
      <c r="G112" s="89">
        <v>5000</v>
      </c>
      <c r="H112" s="90">
        <f t="shared" si="20"/>
        <v>32953</v>
      </c>
      <c r="I112" s="90">
        <f t="shared" si="11"/>
        <v>32953</v>
      </c>
      <c r="J112" s="90">
        <f>IF(COUNTIFS(Scenario_Weekly_Plan!$A:$A,$A112,Scenario_Weekly_Plan!$B:$B,$C112)&gt;0,SUMIFS(Scenario_Weekly_Plan!$C:$C,Scenario_Weekly_Plan!$A:$A,$A112,Scenario_Weekly_Plan!$B:$B,$C112),MIN(Q112,I112,MAX(0,E112+G112-F112)))</f>
        <v>0</v>
      </c>
      <c r="K112" s="90">
        <f t="shared" si="12"/>
        <v>0</v>
      </c>
      <c r="L112" s="90">
        <f t="shared" si="13"/>
        <v>0</v>
      </c>
      <c r="M112" s="90">
        <f t="shared" si="14"/>
        <v>0</v>
      </c>
      <c r="N112" s="91">
        <f t="shared" si="15"/>
        <v>0.99960000000000004</v>
      </c>
      <c r="O112" s="104" t="str">
        <f>IF(COUNTIFS(Scenario_Weekly_Plan!$A:$A,$A112,Scenario_Weekly_Plan!$B:$B,$C112)&gt;0,"Scenario PP imported",MPS!O112)</f>
        <v>Scenario PP imported</v>
      </c>
      <c r="P112" s="92">
        <f>SUMIFS($J$2:J111,$B$2:B111,B112,$C$2:C111,C112)</f>
        <v>4998</v>
      </c>
      <c r="Q112" s="92">
        <f t="shared" si="16"/>
        <v>2</v>
      </c>
      <c r="R112" s="106">
        <f t="shared" si="17"/>
        <v>0</v>
      </c>
      <c r="S112" s="104"/>
      <c r="T112" s="104"/>
      <c r="U112" s="104"/>
    </row>
    <row r="113" spans="1:21" x14ac:dyDescent="0.3">
      <c r="A113" s="87" t="s">
        <v>4</v>
      </c>
      <c r="B113" s="87" t="s">
        <v>68</v>
      </c>
      <c r="C113" s="101">
        <v>46146</v>
      </c>
      <c r="D113" s="89">
        <v>5000</v>
      </c>
      <c r="E113" s="89">
        <v>2430</v>
      </c>
      <c r="F113" s="89">
        <f t="shared" si="21"/>
        <v>0</v>
      </c>
      <c r="G113" s="89">
        <v>5000</v>
      </c>
      <c r="H113" s="90">
        <f t="shared" si="20"/>
        <v>30525</v>
      </c>
      <c r="I113" s="90">
        <f t="shared" si="11"/>
        <v>32955</v>
      </c>
      <c r="J113" s="90">
        <f>IF(COUNTIFS(Scenario_Weekly_Plan!$A:$A,$A113,Scenario_Weekly_Plan!$B:$B,$C113)&gt;0,SUMIFS(Scenario_Weekly_Plan!$C:$C,Scenario_Weekly_Plan!$A:$A,$A113,Scenario_Weekly_Plan!$B:$B,$C113),MIN(Q113,I113,MAX(0,E113+G113-F113)))</f>
        <v>0</v>
      </c>
      <c r="K113" s="90">
        <f t="shared" si="12"/>
        <v>0</v>
      </c>
      <c r="L113" s="90">
        <f t="shared" si="13"/>
        <v>2430</v>
      </c>
      <c r="M113" s="90">
        <f t="shared" si="14"/>
        <v>0</v>
      </c>
      <c r="N113" s="91">
        <f t="shared" si="15"/>
        <v>0.99960000000000004</v>
      </c>
      <c r="O113" s="104" t="str">
        <f>IF(COUNTIFS(Scenario_Weekly_Plan!$A:$A,$A113,Scenario_Weekly_Plan!$B:$B,$C113)&gt;0,"Scenario PP imported",MPS!O113)</f>
        <v>Scenario PP imported</v>
      </c>
      <c r="P113" s="92">
        <f>SUMIFS($J$2:J112,$B$2:B112,B113,$C$2:C112,C113)</f>
        <v>4998</v>
      </c>
      <c r="Q113" s="92">
        <f t="shared" si="16"/>
        <v>2</v>
      </c>
      <c r="R113" s="106">
        <f t="shared" si="17"/>
        <v>0</v>
      </c>
      <c r="S113" s="104"/>
      <c r="T113" s="104"/>
      <c r="U113" s="104"/>
    </row>
    <row r="114" spans="1:21" x14ac:dyDescent="0.3">
      <c r="A114" s="87" t="s">
        <v>4</v>
      </c>
      <c r="B114" s="87" t="s">
        <v>68</v>
      </c>
      <c r="C114" s="101">
        <v>46153</v>
      </c>
      <c r="D114" s="89">
        <v>5000</v>
      </c>
      <c r="E114" s="89">
        <v>9990</v>
      </c>
      <c r="F114" s="89">
        <f t="shared" si="21"/>
        <v>0</v>
      </c>
      <c r="G114" s="89">
        <v>5000</v>
      </c>
      <c r="H114" s="90">
        <f t="shared" si="20"/>
        <v>21370</v>
      </c>
      <c r="I114" s="90">
        <f t="shared" si="11"/>
        <v>31360</v>
      </c>
      <c r="J114" s="90">
        <f>IF(COUNTIFS(Scenario_Weekly_Plan!$A:$A,$A114,Scenario_Weekly_Plan!$B:$B,$C114)&gt;0,SUMIFS(Scenario_Weekly_Plan!$C:$C,Scenario_Weekly_Plan!$A:$A,$A114,Scenario_Weekly_Plan!$B:$B,$C114),MIN(Q114,I114,MAX(0,E114+G114-F114)))</f>
        <v>0</v>
      </c>
      <c r="K114" s="90">
        <f t="shared" si="12"/>
        <v>0</v>
      </c>
      <c r="L114" s="90">
        <f t="shared" si="13"/>
        <v>9990</v>
      </c>
      <c r="M114" s="90">
        <f t="shared" si="14"/>
        <v>0</v>
      </c>
      <c r="N114" s="91">
        <f t="shared" si="15"/>
        <v>0.83299999999999996</v>
      </c>
      <c r="O114" s="104" t="str">
        <f>IF(COUNTIFS(Scenario_Weekly_Plan!$A:$A,$A114,Scenario_Weekly_Plan!$B:$B,$C114)&gt;0,"Scenario PP imported",MPS!O114)</f>
        <v>Scenario PP imported</v>
      </c>
      <c r="P114" s="92">
        <f>SUMIFS($J$2:J113,$B$2:B113,B114,$C$2:C113,C114)</f>
        <v>4165</v>
      </c>
      <c r="Q114" s="92">
        <f t="shared" si="16"/>
        <v>835</v>
      </c>
      <c r="R114" s="106">
        <f t="shared" si="17"/>
        <v>0</v>
      </c>
      <c r="S114" s="104"/>
      <c r="T114" s="104"/>
      <c r="U114" s="104"/>
    </row>
    <row r="115" spans="1:21" x14ac:dyDescent="0.3">
      <c r="A115" s="87" t="s">
        <v>4</v>
      </c>
      <c r="B115" s="87" t="s">
        <v>68</v>
      </c>
      <c r="C115" s="101">
        <v>46160</v>
      </c>
      <c r="D115" s="89">
        <v>5000</v>
      </c>
      <c r="E115" s="89">
        <v>5840</v>
      </c>
      <c r="F115" s="89">
        <f t="shared" si="21"/>
        <v>0</v>
      </c>
      <c r="G115" s="89">
        <v>5000</v>
      </c>
      <c r="H115" s="90">
        <f t="shared" si="20"/>
        <v>15530</v>
      </c>
      <c r="I115" s="90">
        <f t="shared" si="11"/>
        <v>21370</v>
      </c>
      <c r="J115" s="90">
        <f>IF(COUNTIFS(Scenario_Weekly_Plan!$A:$A,$A115,Scenario_Weekly_Plan!$B:$B,$C115)&gt;0,SUMIFS(Scenario_Weekly_Plan!$C:$C,Scenario_Weekly_Plan!$A:$A,$A115,Scenario_Weekly_Plan!$B:$B,$C115),MIN(Q115,I115,MAX(0,E115+G115-F115)))</f>
        <v>0</v>
      </c>
      <c r="K115" s="90">
        <f t="shared" si="12"/>
        <v>0</v>
      </c>
      <c r="L115" s="90">
        <f t="shared" si="13"/>
        <v>5840</v>
      </c>
      <c r="M115" s="90">
        <f t="shared" si="14"/>
        <v>0</v>
      </c>
      <c r="N115" s="91">
        <f t="shared" si="15"/>
        <v>1</v>
      </c>
      <c r="O115" s="104">
        <f>IF(COUNTIFS(Scenario_Weekly_Plan!$A:$A,$A115,Scenario_Weekly_Plan!$B:$B,$C115)&gt;0,"Scenario PP imported",MPS!O115)</f>
        <v>0</v>
      </c>
      <c r="P115" s="92">
        <f>SUMIFS($J$2:J114,$B$2:B114,B115,$C$2:C114,C115)</f>
        <v>5000</v>
      </c>
      <c r="Q115" s="92">
        <f t="shared" si="16"/>
        <v>0</v>
      </c>
      <c r="R115" s="106">
        <f t="shared" si="17"/>
        <v>0</v>
      </c>
      <c r="S115" s="104"/>
      <c r="T115" s="104"/>
      <c r="U115" s="104"/>
    </row>
    <row r="116" spans="1:21" x14ac:dyDescent="0.3">
      <c r="A116" s="87" t="s">
        <v>4</v>
      </c>
      <c r="B116" s="87" t="s">
        <v>68</v>
      </c>
      <c r="C116" s="101">
        <v>46167</v>
      </c>
      <c r="D116" s="89">
        <v>5000</v>
      </c>
      <c r="E116" s="89">
        <v>8100</v>
      </c>
      <c r="F116" s="89">
        <f t="shared" si="21"/>
        <v>0</v>
      </c>
      <c r="G116" s="89">
        <v>5000</v>
      </c>
      <c r="H116" s="90">
        <f t="shared" si="20"/>
        <v>7430</v>
      </c>
      <c r="I116" s="90">
        <f t="shared" si="11"/>
        <v>15530</v>
      </c>
      <c r="J116" s="90">
        <f>IF(COUNTIFS(Scenario_Weekly_Plan!$A:$A,$A116,Scenario_Weekly_Plan!$B:$B,$C116)&gt;0,SUMIFS(Scenario_Weekly_Plan!$C:$C,Scenario_Weekly_Plan!$A:$A,$A116,Scenario_Weekly_Plan!$B:$B,$C116),MIN(Q116,I116,MAX(0,E116+G116-F116)))</f>
        <v>0</v>
      </c>
      <c r="K116" s="90">
        <f t="shared" si="12"/>
        <v>0</v>
      </c>
      <c r="L116" s="90">
        <f t="shared" si="13"/>
        <v>8100</v>
      </c>
      <c r="M116" s="90">
        <f t="shared" si="14"/>
        <v>0</v>
      </c>
      <c r="N116" s="91">
        <f t="shared" si="15"/>
        <v>1</v>
      </c>
      <c r="O116" s="104">
        <f>IF(COUNTIFS(Scenario_Weekly_Plan!$A:$A,$A116,Scenario_Weekly_Plan!$B:$B,$C116)&gt;0,"Scenario PP imported",MPS!O116)</f>
        <v>0</v>
      </c>
      <c r="P116" s="92">
        <f>SUMIFS($J$2:J115,$B$2:B115,B116,$C$2:C115,C116)</f>
        <v>5000</v>
      </c>
      <c r="Q116" s="92">
        <f t="shared" si="16"/>
        <v>0</v>
      </c>
      <c r="R116" s="106">
        <f t="shared" si="17"/>
        <v>0</v>
      </c>
      <c r="S116" s="104"/>
      <c r="T116" s="104"/>
      <c r="U116" s="104"/>
    </row>
    <row r="117" spans="1:21" x14ac:dyDescent="0.3">
      <c r="A117" s="87" t="s">
        <v>4</v>
      </c>
      <c r="B117" s="87" t="s">
        <v>68</v>
      </c>
      <c r="C117" s="101">
        <v>46174</v>
      </c>
      <c r="D117" s="89">
        <v>5000</v>
      </c>
      <c r="E117" s="89">
        <v>1001</v>
      </c>
      <c r="F117" s="89">
        <f t="shared" si="21"/>
        <v>0</v>
      </c>
      <c r="G117" s="89">
        <v>5000</v>
      </c>
      <c r="H117" s="90">
        <f t="shared" si="20"/>
        <v>6429</v>
      </c>
      <c r="I117" s="90">
        <f t="shared" si="11"/>
        <v>7430</v>
      </c>
      <c r="J117" s="90">
        <f>IF(COUNTIFS(Scenario_Weekly_Plan!$A:$A,$A117,Scenario_Weekly_Plan!$B:$B,$C117)&gt;0,SUMIFS(Scenario_Weekly_Plan!$C:$C,Scenario_Weekly_Plan!$A:$A,$A117,Scenario_Weekly_Plan!$B:$B,$C117),MIN(Q117,I117,MAX(0,E117+G117-F117)))</f>
        <v>0</v>
      </c>
      <c r="K117" s="90">
        <f t="shared" si="12"/>
        <v>0</v>
      </c>
      <c r="L117" s="90">
        <f t="shared" si="13"/>
        <v>1001</v>
      </c>
      <c r="M117" s="90">
        <f t="shared" si="14"/>
        <v>0</v>
      </c>
      <c r="N117" s="91">
        <f t="shared" si="15"/>
        <v>1</v>
      </c>
      <c r="O117" s="104">
        <f>IF(COUNTIFS(Scenario_Weekly_Plan!$A:$A,$A117,Scenario_Weekly_Plan!$B:$B,$C117)&gt;0,"Scenario PP imported",MPS!O117)</f>
        <v>0</v>
      </c>
      <c r="P117" s="92">
        <f>SUMIFS($J$2:J116,$B$2:B116,B117,$C$2:C116,C117)</f>
        <v>5000</v>
      </c>
      <c r="Q117" s="92">
        <f t="shared" si="16"/>
        <v>0</v>
      </c>
      <c r="R117" s="106">
        <f t="shared" si="17"/>
        <v>0</v>
      </c>
      <c r="S117" s="104"/>
      <c r="T117" s="104"/>
      <c r="U117" s="104"/>
    </row>
    <row r="118" spans="1:21" x14ac:dyDescent="0.3">
      <c r="A118" s="87" t="s">
        <v>4</v>
      </c>
      <c r="B118" s="87" t="s">
        <v>68</v>
      </c>
      <c r="C118" s="101">
        <v>46181</v>
      </c>
      <c r="D118" s="89">
        <v>5000</v>
      </c>
      <c r="E118" s="89">
        <v>2471</v>
      </c>
      <c r="F118" s="89">
        <f t="shared" si="21"/>
        <v>0</v>
      </c>
      <c r="G118" s="89">
        <v>5000</v>
      </c>
      <c r="H118" s="90">
        <f t="shared" si="20"/>
        <v>3958</v>
      </c>
      <c r="I118" s="90">
        <f t="shared" si="11"/>
        <v>6429</v>
      </c>
      <c r="J118" s="90">
        <f>IF(COUNTIFS(Scenario_Weekly_Plan!$A:$A,$A118,Scenario_Weekly_Plan!$B:$B,$C118)&gt;0,SUMIFS(Scenario_Weekly_Plan!$C:$C,Scenario_Weekly_Plan!$A:$A,$A118,Scenario_Weekly_Plan!$B:$B,$C118),MIN(Q118,I118,MAX(0,E118+G118-F118)))</f>
        <v>0</v>
      </c>
      <c r="K118" s="90">
        <f t="shared" si="12"/>
        <v>0</v>
      </c>
      <c r="L118" s="90">
        <f t="shared" si="13"/>
        <v>2471</v>
      </c>
      <c r="M118" s="90">
        <f t="shared" si="14"/>
        <v>0</v>
      </c>
      <c r="N118" s="91">
        <f t="shared" si="15"/>
        <v>1</v>
      </c>
      <c r="O118" s="104">
        <f>IF(COUNTIFS(Scenario_Weekly_Plan!$A:$A,$A118,Scenario_Weekly_Plan!$B:$B,$C118)&gt;0,"Scenario PP imported",MPS!O118)</f>
        <v>0</v>
      </c>
      <c r="P118" s="92">
        <f>SUMIFS($J$2:J117,$B$2:B117,B118,$C$2:C117,C118)</f>
        <v>5000</v>
      </c>
      <c r="Q118" s="92">
        <f t="shared" si="16"/>
        <v>0</v>
      </c>
      <c r="R118" s="106">
        <f t="shared" si="17"/>
        <v>0</v>
      </c>
      <c r="S118" s="104"/>
      <c r="T118" s="104"/>
      <c r="U118" s="104"/>
    </row>
    <row r="119" spans="1:21" x14ac:dyDescent="0.3">
      <c r="A119" s="87" t="s">
        <v>4</v>
      </c>
      <c r="B119" s="87" t="s">
        <v>68</v>
      </c>
      <c r="C119" s="101">
        <v>46188</v>
      </c>
      <c r="D119" s="89">
        <v>5000</v>
      </c>
      <c r="E119" s="89">
        <v>3458</v>
      </c>
      <c r="F119" s="89">
        <f t="shared" si="21"/>
        <v>0</v>
      </c>
      <c r="G119" s="89">
        <v>5000</v>
      </c>
      <c r="H119" s="90">
        <f t="shared" si="20"/>
        <v>500</v>
      </c>
      <c r="I119" s="90">
        <f t="shared" si="11"/>
        <v>3958</v>
      </c>
      <c r="J119" s="90">
        <f>IF(COUNTIFS(Scenario_Weekly_Plan!$A:$A,$A119,Scenario_Weekly_Plan!$B:$B,$C119)&gt;0,SUMIFS(Scenario_Weekly_Plan!$C:$C,Scenario_Weekly_Plan!$A:$A,$A119,Scenario_Weekly_Plan!$B:$B,$C119),MIN(Q119,I119,MAX(0,E119+G119-F119)))</f>
        <v>0</v>
      </c>
      <c r="K119" s="90">
        <f t="shared" si="12"/>
        <v>0</v>
      </c>
      <c r="L119" s="90">
        <f t="shared" si="13"/>
        <v>3458</v>
      </c>
      <c r="M119" s="90">
        <f t="shared" si="14"/>
        <v>0</v>
      </c>
      <c r="N119" s="91">
        <f t="shared" si="15"/>
        <v>1</v>
      </c>
      <c r="O119" s="104">
        <f>IF(COUNTIFS(Scenario_Weekly_Plan!$A:$A,$A119,Scenario_Weekly_Plan!$B:$B,$C119)&gt;0,"Scenario PP imported",MPS!O119)</f>
        <v>0</v>
      </c>
      <c r="P119" s="92">
        <f>SUMIFS($J$2:J118,$B$2:B118,B119,$C$2:C118,C119)</f>
        <v>5000</v>
      </c>
      <c r="Q119" s="92">
        <f t="shared" si="16"/>
        <v>0</v>
      </c>
      <c r="R119" s="106">
        <f t="shared" si="17"/>
        <v>0</v>
      </c>
      <c r="S119" s="104"/>
      <c r="T119" s="104"/>
      <c r="U119" s="104"/>
    </row>
    <row r="120" spans="1:21" x14ac:dyDescent="0.3">
      <c r="A120" s="87" t="s">
        <v>4</v>
      </c>
      <c r="B120" s="87" t="s">
        <v>68</v>
      </c>
      <c r="C120" s="101">
        <v>46195</v>
      </c>
      <c r="D120" s="89">
        <v>5000</v>
      </c>
      <c r="E120" s="89">
        <v>500</v>
      </c>
      <c r="F120" s="89">
        <f t="shared" si="21"/>
        <v>0</v>
      </c>
      <c r="G120" s="89">
        <v>5000</v>
      </c>
      <c r="H120" s="90">
        <f t="shared" si="20"/>
        <v>0</v>
      </c>
      <c r="I120" s="90">
        <f t="shared" si="11"/>
        <v>500</v>
      </c>
      <c r="J120" s="90">
        <f>IF(COUNTIFS(Scenario_Weekly_Plan!$A:$A,$A120,Scenario_Weekly_Plan!$B:$B,$C120)&gt;0,SUMIFS(Scenario_Weekly_Plan!$C:$C,Scenario_Weekly_Plan!$A:$A,$A120,Scenario_Weekly_Plan!$B:$B,$C120),MIN(Q120,I120,MAX(0,E120+G120-F120)))</f>
        <v>0</v>
      </c>
      <c r="K120" s="90">
        <f t="shared" si="12"/>
        <v>0</v>
      </c>
      <c r="L120" s="90">
        <f t="shared" si="13"/>
        <v>500</v>
      </c>
      <c r="M120" s="90">
        <f t="shared" si="14"/>
        <v>0</v>
      </c>
      <c r="N120" s="91">
        <f t="shared" si="15"/>
        <v>1</v>
      </c>
      <c r="O120" s="104">
        <f>IF(COUNTIFS(Scenario_Weekly_Plan!$A:$A,$A120,Scenario_Weekly_Plan!$B:$B,$C120)&gt;0,"Scenario PP imported",MPS!O120)</f>
        <v>0</v>
      </c>
      <c r="P120" s="92">
        <f>SUMIFS($J$2:J119,$B$2:B119,B120,$C$2:C119,C120)</f>
        <v>5000</v>
      </c>
      <c r="Q120" s="92">
        <f t="shared" si="16"/>
        <v>0</v>
      </c>
      <c r="R120" s="106">
        <f t="shared" si="17"/>
        <v>0</v>
      </c>
      <c r="S120" s="104"/>
      <c r="T120" s="104"/>
      <c r="U120" s="104"/>
    </row>
    <row r="121" spans="1:21" x14ac:dyDescent="0.3">
      <c r="A121" s="87" t="s">
        <v>4</v>
      </c>
      <c r="B121" s="87" t="s">
        <v>68</v>
      </c>
      <c r="C121" s="101">
        <v>46202</v>
      </c>
      <c r="D121" s="89">
        <v>5000</v>
      </c>
      <c r="E121" s="89">
        <v>500</v>
      </c>
      <c r="F121" s="89">
        <f t="shared" si="21"/>
        <v>0</v>
      </c>
      <c r="G121" s="89">
        <v>5000</v>
      </c>
      <c r="H121" s="90">
        <f t="shared" si="20"/>
        <v>0</v>
      </c>
      <c r="I121" s="90">
        <f t="shared" si="11"/>
        <v>500</v>
      </c>
      <c r="J121" s="90">
        <f>IF(COUNTIFS(Scenario_Weekly_Plan!$A:$A,$A121,Scenario_Weekly_Plan!$B:$B,$C121)&gt;0,SUMIFS(Scenario_Weekly_Plan!$C:$C,Scenario_Weekly_Plan!$A:$A,$A121,Scenario_Weekly_Plan!$B:$B,$C121),MIN(Q121,I121,MAX(0,E121+G121-F121)))</f>
        <v>500</v>
      </c>
      <c r="K121" s="90">
        <f t="shared" si="12"/>
        <v>0</v>
      </c>
      <c r="L121" s="90">
        <f t="shared" si="13"/>
        <v>0</v>
      </c>
      <c r="M121" s="90">
        <f t="shared" si="14"/>
        <v>0</v>
      </c>
      <c r="N121" s="91">
        <f t="shared" si="15"/>
        <v>0.6</v>
      </c>
      <c r="O121" s="104">
        <f>IF(COUNTIFS(Scenario_Weekly_Plan!$A:$A,$A121,Scenario_Weekly_Plan!$B:$B,$C121)&gt;0,"Scenario PP imported",MPS!O121)</f>
        <v>0</v>
      </c>
      <c r="P121" s="92">
        <f>SUMIFS($J$2:J120,$B$2:B120,B121,$C$2:C120,C121)</f>
        <v>2500</v>
      </c>
      <c r="Q121" s="92">
        <f t="shared" si="16"/>
        <v>2500</v>
      </c>
      <c r="R121" s="106">
        <f t="shared" si="17"/>
        <v>500</v>
      </c>
      <c r="S121" s="104"/>
      <c r="T121" s="104"/>
      <c r="U121" s="104"/>
    </row>
    <row r="122" spans="1:21" x14ac:dyDescent="0.3">
      <c r="A122" s="87" t="s">
        <v>4</v>
      </c>
      <c r="B122" s="87" t="s">
        <v>68</v>
      </c>
      <c r="C122" s="101">
        <v>46209</v>
      </c>
      <c r="D122" s="89">
        <v>5000</v>
      </c>
      <c r="E122" s="89">
        <v>500</v>
      </c>
      <c r="F122" s="89">
        <f t="shared" si="21"/>
        <v>0</v>
      </c>
      <c r="G122" s="89">
        <v>5000</v>
      </c>
      <c r="H122" s="90">
        <f t="shared" si="20"/>
        <v>0</v>
      </c>
      <c r="I122" s="90">
        <f t="shared" si="11"/>
        <v>500</v>
      </c>
      <c r="J122" s="90">
        <f>IF(COUNTIFS(Scenario_Weekly_Plan!$A:$A,$A122,Scenario_Weekly_Plan!$B:$B,$C122)&gt;0,SUMIFS(Scenario_Weekly_Plan!$C:$C,Scenario_Weekly_Plan!$A:$A,$A122,Scenario_Weekly_Plan!$B:$B,$C122),MIN(Q122,I122,MAX(0,E122+G122-F122)))</f>
        <v>500</v>
      </c>
      <c r="K122" s="90">
        <f t="shared" si="12"/>
        <v>0</v>
      </c>
      <c r="L122" s="90">
        <f t="shared" si="13"/>
        <v>0</v>
      </c>
      <c r="M122" s="90">
        <f t="shared" si="14"/>
        <v>0</v>
      </c>
      <c r="N122" s="91">
        <f t="shared" si="15"/>
        <v>0.6</v>
      </c>
      <c r="O122" s="104">
        <f>IF(COUNTIFS(Scenario_Weekly_Plan!$A:$A,$A122,Scenario_Weekly_Plan!$B:$B,$C122)&gt;0,"Scenario PP imported",MPS!O122)</f>
        <v>0</v>
      </c>
      <c r="P122" s="92">
        <f>SUMIFS($J$2:J121,$B$2:B121,B122,$C$2:C121,C122)</f>
        <v>2500</v>
      </c>
      <c r="Q122" s="92">
        <f t="shared" si="16"/>
        <v>2500</v>
      </c>
      <c r="R122" s="106">
        <f t="shared" si="17"/>
        <v>500</v>
      </c>
      <c r="S122" s="104"/>
      <c r="T122" s="104"/>
      <c r="U122" s="104"/>
    </row>
    <row r="123" spans="1:21" x14ac:dyDescent="0.3">
      <c r="A123" s="87" t="s">
        <v>4</v>
      </c>
      <c r="B123" s="87" t="s">
        <v>68</v>
      </c>
      <c r="C123" s="101">
        <v>46216</v>
      </c>
      <c r="D123" s="89">
        <v>5000</v>
      </c>
      <c r="E123" s="89">
        <v>500</v>
      </c>
      <c r="F123" s="89">
        <f t="shared" si="21"/>
        <v>0</v>
      </c>
      <c r="G123" s="89">
        <v>5000</v>
      </c>
      <c r="H123" s="90">
        <f t="shared" si="20"/>
        <v>0</v>
      </c>
      <c r="I123" s="90">
        <f t="shared" si="11"/>
        <v>500</v>
      </c>
      <c r="J123" s="90">
        <f>IF(COUNTIFS(Scenario_Weekly_Plan!$A:$A,$A123,Scenario_Weekly_Plan!$B:$B,$C123)&gt;0,SUMIFS(Scenario_Weekly_Plan!$C:$C,Scenario_Weekly_Plan!$A:$A,$A123,Scenario_Weekly_Plan!$B:$B,$C123),MIN(Q123,I123,MAX(0,E123+G123-F123)))</f>
        <v>500</v>
      </c>
      <c r="K123" s="90">
        <f t="shared" si="12"/>
        <v>0</v>
      </c>
      <c r="L123" s="90">
        <f t="shared" si="13"/>
        <v>0</v>
      </c>
      <c r="M123" s="90">
        <f t="shared" si="14"/>
        <v>0</v>
      </c>
      <c r="N123" s="91">
        <f t="shared" si="15"/>
        <v>0.6</v>
      </c>
      <c r="O123" s="104">
        <f>IF(COUNTIFS(Scenario_Weekly_Plan!$A:$A,$A123,Scenario_Weekly_Plan!$B:$B,$C123)&gt;0,"Scenario PP imported",MPS!O123)</f>
        <v>0</v>
      </c>
      <c r="P123" s="92">
        <f>SUMIFS($J$2:J122,$B$2:B122,B123,$C$2:C122,C123)</f>
        <v>2500</v>
      </c>
      <c r="Q123" s="92">
        <f t="shared" si="16"/>
        <v>2500</v>
      </c>
      <c r="R123" s="106">
        <f t="shared" si="17"/>
        <v>500</v>
      </c>
      <c r="S123" s="104"/>
      <c r="T123" s="104"/>
      <c r="U123" s="104"/>
    </row>
    <row r="124" spans="1:21" x14ac:dyDescent="0.3">
      <c r="A124" s="87" t="s">
        <v>4</v>
      </c>
      <c r="B124" s="87" t="s">
        <v>68</v>
      </c>
      <c r="C124" s="101">
        <v>46223</v>
      </c>
      <c r="D124" s="89">
        <v>5000</v>
      </c>
      <c r="E124" s="89">
        <v>0</v>
      </c>
      <c r="F124" s="89">
        <f t="shared" si="21"/>
        <v>0</v>
      </c>
      <c r="G124" s="89">
        <v>5000</v>
      </c>
      <c r="H124" s="90">
        <f t="shared" si="20"/>
        <v>0</v>
      </c>
      <c r="I124" s="90">
        <f t="shared" si="11"/>
        <v>0</v>
      </c>
      <c r="J124" s="90">
        <f>IF(COUNTIFS(Scenario_Weekly_Plan!$A:$A,$A124,Scenario_Weekly_Plan!$B:$B,$C124)&gt;0,SUMIFS(Scenario_Weekly_Plan!$C:$C,Scenario_Weekly_Plan!$A:$A,$A124,Scenario_Weekly_Plan!$B:$B,$C124),MIN(Q124,I124,MAX(0,E124+G124-F124)))</f>
        <v>0</v>
      </c>
      <c r="K124" s="90">
        <f t="shared" si="12"/>
        <v>0</v>
      </c>
      <c r="L124" s="90">
        <f t="shared" si="13"/>
        <v>0</v>
      </c>
      <c r="M124" s="90">
        <f t="shared" si="14"/>
        <v>0</v>
      </c>
      <c r="N124" s="91">
        <f t="shared" si="15"/>
        <v>0.2</v>
      </c>
      <c r="O124" s="104">
        <f>IF(COUNTIFS(Scenario_Weekly_Plan!$A:$A,$A124,Scenario_Weekly_Plan!$B:$B,$C124)&gt;0,"Scenario PP imported",MPS!O124)</f>
        <v>0</v>
      </c>
      <c r="P124" s="92">
        <f>SUMIFS($J$2:J123,$B$2:B123,B124,$C$2:C123,C124)</f>
        <v>1000</v>
      </c>
      <c r="Q124" s="92">
        <f t="shared" si="16"/>
        <v>4000</v>
      </c>
      <c r="R124" s="106">
        <f t="shared" si="17"/>
        <v>0</v>
      </c>
      <c r="S124" s="104"/>
      <c r="T124" s="104"/>
      <c r="U124" s="104"/>
    </row>
    <row r="125" spans="1:21" x14ac:dyDescent="0.3">
      <c r="A125" s="87" t="s">
        <v>4</v>
      </c>
      <c r="B125" s="87" t="s">
        <v>68</v>
      </c>
      <c r="C125" s="101">
        <v>46230</v>
      </c>
      <c r="D125" s="89">
        <v>5000</v>
      </c>
      <c r="E125" s="89">
        <v>0</v>
      </c>
      <c r="F125" s="89">
        <f t="shared" si="21"/>
        <v>0</v>
      </c>
      <c r="G125" s="89">
        <v>5000</v>
      </c>
      <c r="H125" s="90">
        <f t="shared" si="20"/>
        <v>0</v>
      </c>
      <c r="I125" s="90">
        <f t="shared" si="11"/>
        <v>0</v>
      </c>
      <c r="J125" s="90">
        <f>IF(COUNTIFS(Scenario_Weekly_Plan!$A:$A,$A125,Scenario_Weekly_Plan!$B:$B,$C125)&gt;0,SUMIFS(Scenario_Weekly_Plan!$C:$C,Scenario_Weekly_Plan!$A:$A,$A125,Scenario_Weekly_Plan!$B:$B,$C125),MIN(Q125,I125,MAX(0,E125+G125-F125)))</f>
        <v>0</v>
      </c>
      <c r="K125" s="90">
        <f t="shared" si="12"/>
        <v>0</v>
      </c>
      <c r="L125" s="90">
        <f t="shared" si="13"/>
        <v>0</v>
      </c>
      <c r="M125" s="90">
        <f t="shared" si="14"/>
        <v>0</v>
      </c>
      <c r="N125" s="91">
        <f t="shared" si="15"/>
        <v>0.2</v>
      </c>
      <c r="O125" s="104">
        <f>IF(COUNTIFS(Scenario_Weekly_Plan!$A:$A,$A125,Scenario_Weekly_Plan!$B:$B,$C125)&gt;0,"Scenario PP imported",MPS!O125)</f>
        <v>0</v>
      </c>
      <c r="P125" s="92">
        <f>SUMIFS($J$2:J124,$B$2:B124,B125,$C$2:C124,C125)</f>
        <v>1000</v>
      </c>
      <c r="Q125" s="92">
        <f t="shared" si="16"/>
        <v>4000</v>
      </c>
      <c r="R125" s="106">
        <f t="shared" si="17"/>
        <v>0</v>
      </c>
      <c r="S125" s="104"/>
      <c r="T125" s="104"/>
      <c r="U125" s="104"/>
    </row>
    <row r="126" spans="1:21" x14ac:dyDescent="0.3">
      <c r="A126" s="87" t="s">
        <v>4</v>
      </c>
      <c r="B126" s="87" t="s">
        <v>68</v>
      </c>
      <c r="C126" s="101">
        <v>46237</v>
      </c>
      <c r="D126" s="89">
        <v>5000</v>
      </c>
      <c r="E126" s="89">
        <v>400</v>
      </c>
      <c r="F126" s="89">
        <f t="shared" si="21"/>
        <v>0</v>
      </c>
      <c r="G126" s="89">
        <v>5000</v>
      </c>
      <c r="H126" s="90">
        <f t="shared" si="20"/>
        <v>0</v>
      </c>
      <c r="I126" s="90">
        <f t="shared" si="11"/>
        <v>400</v>
      </c>
      <c r="J126" s="90">
        <f>IF(COUNTIFS(Scenario_Weekly_Plan!$A:$A,$A126,Scenario_Weekly_Plan!$B:$B,$C126)&gt;0,SUMIFS(Scenario_Weekly_Plan!$C:$C,Scenario_Weekly_Plan!$A:$A,$A126,Scenario_Weekly_Plan!$B:$B,$C126),MIN(Q126,I126,MAX(0,E126+G126-F126)))</f>
        <v>400</v>
      </c>
      <c r="K126" s="90">
        <f t="shared" si="12"/>
        <v>0</v>
      </c>
      <c r="L126" s="90">
        <f t="shared" si="13"/>
        <v>0</v>
      </c>
      <c r="M126" s="90">
        <f t="shared" si="14"/>
        <v>0</v>
      </c>
      <c r="N126" s="91">
        <f t="shared" si="15"/>
        <v>0.28000000000000003</v>
      </c>
      <c r="O126" s="104">
        <f>IF(COUNTIFS(Scenario_Weekly_Plan!$A:$A,$A126,Scenario_Weekly_Plan!$B:$B,$C126)&gt;0,"Scenario PP imported",MPS!O126)</f>
        <v>0</v>
      </c>
      <c r="P126" s="92">
        <f>SUMIFS($J$2:J125,$B$2:B125,B126,$C$2:C125,C126)</f>
        <v>1000</v>
      </c>
      <c r="Q126" s="92">
        <f t="shared" si="16"/>
        <v>4000</v>
      </c>
      <c r="R126" s="106">
        <f t="shared" si="17"/>
        <v>400</v>
      </c>
      <c r="S126" s="104"/>
      <c r="T126" s="104"/>
      <c r="U126" s="104"/>
    </row>
    <row r="127" spans="1:21" x14ac:dyDescent="0.3">
      <c r="A127" s="87" t="s">
        <v>4</v>
      </c>
      <c r="B127" s="87" t="s">
        <v>68</v>
      </c>
      <c r="C127" s="101">
        <v>46244</v>
      </c>
      <c r="D127" s="89">
        <v>5000</v>
      </c>
      <c r="E127" s="89">
        <v>0</v>
      </c>
      <c r="F127" s="89">
        <f t="shared" si="21"/>
        <v>0</v>
      </c>
      <c r="G127" s="89">
        <v>5000</v>
      </c>
      <c r="H127" s="90">
        <f t="shared" si="20"/>
        <v>0</v>
      </c>
      <c r="I127" s="90">
        <f t="shared" si="11"/>
        <v>0</v>
      </c>
      <c r="J127" s="90">
        <f>IF(COUNTIFS(Scenario_Weekly_Plan!$A:$A,$A127,Scenario_Weekly_Plan!$B:$B,$C127)&gt;0,SUMIFS(Scenario_Weekly_Plan!$C:$C,Scenario_Weekly_Plan!$A:$A,$A127,Scenario_Weekly_Plan!$B:$B,$C127),MIN(Q127,I127,MAX(0,E127+G127-F127)))</f>
        <v>0</v>
      </c>
      <c r="K127" s="90">
        <f t="shared" si="12"/>
        <v>0</v>
      </c>
      <c r="L127" s="90">
        <f t="shared" si="13"/>
        <v>0</v>
      </c>
      <c r="M127" s="90">
        <f t="shared" si="14"/>
        <v>0</v>
      </c>
      <c r="N127" s="91">
        <f t="shared" si="15"/>
        <v>0.2</v>
      </c>
      <c r="O127" s="104">
        <f>IF(COUNTIFS(Scenario_Weekly_Plan!$A:$A,$A127,Scenario_Weekly_Plan!$B:$B,$C127)&gt;0,"Scenario PP imported",MPS!O127)</f>
        <v>0</v>
      </c>
      <c r="P127" s="92">
        <f>SUMIFS($J$2:J126,$B$2:B126,B127,$C$2:C126,C127)</f>
        <v>1000</v>
      </c>
      <c r="Q127" s="92">
        <f t="shared" si="16"/>
        <v>4000</v>
      </c>
      <c r="R127" s="106">
        <f t="shared" si="17"/>
        <v>0</v>
      </c>
      <c r="S127" s="104"/>
      <c r="T127" s="104"/>
      <c r="U127" s="104"/>
    </row>
    <row r="128" spans="1:21" x14ac:dyDescent="0.3">
      <c r="A128" s="87" t="s">
        <v>4</v>
      </c>
      <c r="B128" s="87" t="s">
        <v>68</v>
      </c>
      <c r="C128" s="101">
        <v>46251</v>
      </c>
      <c r="D128" s="89">
        <v>5000</v>
      </c>
      <c r="E128" s="89">
        <v>0</v>
      </c>
      <c r="F128" s="89">
        <f t="shared" si="21"/>
        <v>0</v>
      </c>
      <c r="G128" s="89">
        <v>5000</v>
      </c>
      <c r="H128" s="90">
        <f t="shared" si="20"/>
        <v>0</v>
      </c>
      <c r="I128" s="90">
        <f t="shared" si="11"/>
        <v>0</v>
      </c>
      <c r="J128" s="90">
        <f>IF(COUNTIFS(Scenario_Weekly_Plan!$A:$A,$A128,Scenario_Weekly_Plan!$B:$B,$C128)&gt;0,SUMIFS(Scenario_Weekly_Plan!$C:$C,Scenario_Weekly_Plan!$A:$A,$A128,Scenario_Weekly_Plan!$B:$B,$C128),MIN(Q128,I128,MAX(0,E128+G128-F128)))</f>
        <v>0</v>
      </c>
      <c r="K128" s="90">
        <f t="shared" si="12"/>
        <v>0</v>
      </c>
      <c r="L128" s="90">
        <f t="shared" si="13"/>
        <v>0</v>
      </c>
      <c r="M128" s="90">
        <f t="shared" si="14"/>
        <v>0</v>
      </c>
      <c r="N128" s="91">
        <f t="shared" si="15"/>
        <v>0.2</v>
      </c>
      <c r="O128" s="104">
        <f>IF(COUNTIFS(Scenario_Weekly_Plan!$A:$A,$A128,Scenario_Weekly_Plan!$B:$B,$C128)&gt;0,"Scenario PP imported",MPS!O128)</f>
        <v>0</v>
      </c>
      <c r="P128" s="92">
        <f>SUMIFS($J$2:J127,$B$2:B127,B128,$C$2:C127,C128)</f>
        <v>1000</v>
      </c>
      <c r="Q128" s="92">
        <f t="shared" si="16"/>
        <v>4000</v>
      </c>
      <c r="R128" s="106">
        <f t="shared" si="17"/>
        <v>0</v>
      </c>
      <c r="S128" s="104"/>
      <c r="T128" s="104"/>
      <c r="U128" s="104"/>
    </row>
    <row r="129" spans="1:21" x14ac:dyDescent="0.3">
      <c r="A129" s="87" t="s">
        <v>4</v>
      </c>
      <c r="B129" s="87" t="s">
        <v>68</v>
      </c>
      <c r="C129" s="101">
        <v>46258</v>
      </c>
      <c r="D129" s="89">
        <v>5000</v>
      </c>
      <c r="E129" s="89">
        <v>400</v>
      </c>
      <c r="F129" s="89">
        <f t="shared" si="21"/>
        <v>0</v>
      </c>
      <c r="G129" s="89">
        <v>5000</v>
      </c>
      <c r="H129" s="90">
        <f t="shared" si="20"/>
        <v>0</v>
      </c>
      <c r="I129" s="90">
        <f t="shared" si="11"/>
        <v>400</v>
      </c>
      <c r="J129" s="90">
        <f>IF(COUNTIFS(Scenario_Weekly_Plan!$A:$A,$A129,Scenario_Weekly_Plan!$B:$B,$C129)&gt;0,SUMIFS(Scenario_Weekly_Plan!$C:$C,Scenario_Weekly_Plan!$A:$A,$A129,Scenario_Weekly_Plan!$B:$B,$C129),MIN(Q129,I129,MAX(0,E129+G129-F129)))</f>
        <v>400</v>
      </c>
      <c r="K129" s="90">
        <f t="shared" si="12"/>
        <v>0</v>
      </c>
      <c r="L129" s="90">
        <f t="shared" si="13"/>
        <v>0</v>
      </c>
      <c r="M129" s="90">
        <f t="shared" si="14"/>
        <v>0</v>
      </c>
      <c r="N129" s="91">
        <f t="shared" si="15"/>
        <v>0.23</v>
      </c>
      <c r="O129" s="104">
        <f>IF(COUNTIFS(Scenario_Weekly_Plan!$A:$A,$A129,Scenario_Weekly_Plan!$B:$B,$C129)&gt;0,"Scenario PP imported",MPS!O129)</f>
        <v>0</v>
      </c>
      <c r="P129" s="92">
        <f>SUMIFS($J$2:J128,$B$2:B128,B129,$C$2:C128,C129)</f>
        <v>750</v>
      </c>
      <c r="Q129" s="92">
        <f t="shared" si="16"/>
        <v>4250</v>
      </c>
      <c r="R129" s="106">
        <f t="shared" si="17"/>
        <v>400</v>
      </c>
      <c r="S129" s="104"/>
      <c r="T129" s="104"/>
      <c r="U129" s="104"/>
    </row>
    <row r="130" spans="1:21" x14ac:dyDescent="0.3">
      <c r="A130" s="87" t="s">
        <v>4</v>
      </c>
      <c r="B130" s="87" t="s">
        <v>68</v>
      </c>
      <c r="C130" s="101">
        <v>46265</v>
      </c>
      <c r="D130" s="89">
        <v>5000</v>
      </c>
      <c r="E130" s="89">
        <v>0</v>
      </c>
      <c r="F130" s="89">
        <f t="shared" si="21"/>
        <v>0</v>
      </c>
      <c r="G130" s="89">
        <v>5000</v>
      </c>
      <c r="H130" s="90">
        <f t="shared" si="20"/>
        <v>0</v>
      </c>
      <c r="I130" s="90">
        <f t="shared" ref="I130:I193" si="22">MAX(0,E130+H130-F130)</f>
        <v>0</v>
      </c>
      <c r="J130" s="90">
        <f>IF(COUNTIFS(Scenario_Weekly_Plan!$A:$A,$A130,Scenario_Weekly_Plan!$B:$B,$C130)&gt;0,SUMIFS(Scenario_Weekly_Plan!$C:$C,Scenario_Weekly_Plan!$A:$A,$A130,Scenario_Weekly_Plan!$B:$B,$C130),MIN(Q130,I130,MAX(0,E130+G130-F130)))</f>
        <v>0</v>
      </c>
      <c r="K130" s="90">
        <f t="shared" ref="K130:K193" si="23">MIN(G130,MAX(0,F130+J130-E130))</f>
        <v>0</v>
      </c>
      <c r="L130" s="90">
        <f t="shared" ref="L130:L193" si="24">MAX(0,E130-F130-J130)</f>
        <v>0</v>
      </c>
      <c r="M130" s="90">
        <f t="shared" ref="M130:M193" si="25">MAX(0,F130+J130-E130)</f>
        <v>0</v>
      </c>
      <c r="N130" s="91">
        <f t="shared" ref="N130:N193" si="26">IFERROR(SUMIFS($J$2:$J$217,$B$2:$B$217,B130,$C$2:$C$217,C130)/D130,0)</f>
        <v>0.15</v>
      </c>
      <c r="O130" s="104">
        <f>IF(COUNTIFS(Scenario_Weekly_Plan!$A:$A,$A130,Scenario_Weekly_Plan!$B:$B,$C130)&gt;0,"Scenario PP imported",MPS!O130)</f>
        <v>0</v>
      </c>
      <c r="P130" s="92">
        <f>SUMIFS($J$2:J129,$B$2:B129,B130,$C$2:C129,C130)</f>
        <v>750</v>
      </c>
      <c r="Q130" s="92">
        <f t="shared" ref="Q130:Q193" si="27">MAX(0,D130-P130)</f>
        <v>4250</v>
      </c>
      <c r="R130" s="106">
        <f t="shared" ref="R130:R193" si="28">MAX(0,MIN(E130,F130+J130))</f>
        <v>0</v>
      </c>
      <c r="S130" s="104"/>
      <c r="T130" s="104"/>
      <c r="U130" s="104"/>
    </row>
    <row r="131" spans="1:21" x14ac:dyDescent="0.3">
      <c r="A131" s="87" t="s">
        <v>4</v>
      </c>
      <c r="B131" s="87" t="s">
        <v>68</v>
      </c>
      <c r="C131" s="101">
        <v>46272</v>
      </c>
      <c r="D131" s="89">
        <v>5000</v>
      </c>
      <c r="E131" s="89">
        <v>400</v>
      </c>
      <c r="F131" s="89">
        <f t="shared" si="21"/>
        <v>0</v>
      </c>
      <c r="G131" s="89">
        <v>5000</v>
      </c>
      <c r="H131" s="90">
        <f t="shared" si="20"/>
        <v>0</v>
      </c>
      <c r="I131" s="90">
        <f t="shared" si="22"/>
        <v>400</v>
      </c>
      <c r="J131" s="90">
        <f>IF(COUNTIFS(Scenario_Weekly_Plan!$A:$A,$A131,Scenario_Weekly_Plan!$B:$B,$C131)&gt;0,SUMIFS(Scenario_Weekly_Plan!$C:$C,Scenario_Weekly_Plan!$A:$A,$A131,Scenario_Weekly_Plan!$B:$B,$C131),MIN(Q131,I131,MAX(0,E131+G131-F131)))</f>
        <v>400</v>
      </c>
      <c r="K131" s="90">
        <f t="shared" si="23"/>
        <v>0</v>
      </c>
      <c r="L131" s="90">
        <f t="shared" si="24"/>
        <v>0</v>
      </c>
      <c r="M131" s="90">
        <f t="shared" si="25"/>
        <v>0</v>
      </c>
      <c r="N131" s="91">
        <f t="shared" si="26"/>
        <v>0.23</v>
      </c>
      <c r="O131" s="104">
        <f>IF(COUNTIFS(Scenario_Weekly_Plan!$A:$A,$A131,Scenario_Weekly_Plan!$B:$B,$C131)&gt;0,"Scenario PP imported",MPS!O131)</f>
        <v>0</v>
      </c>
      <c r="P131" s="92">
        <f>SUMIFS($J$2:J130,$B$2:B130,B131,$C$2:C130,C131)</f>
        <v>750</v>
      </c>
      <c r="Q131" s="92">
        <f t="shared" si="27"/>
        <v>4250</v>
      </c>
      <c r="R131" s="106">
        <f t="shared" si="28"/>
        <v>400</v>
      </c>
      <c r="S131" s="104"/>
      <c r="T131" s="104"/>
      <c r="U131" s="104"/>
    </row>
    <row r="132" spans="1:21" x14ac:dyDescent="0.3">
      <c r="A132" s="87" t="s">
        <v>4</v>
      </c>
      <c r="B132" s="87" t="s">
        <v>68</v>
      </c>
      <c r="C132" s="101">
        <v>46279</v>
      </c>
      <c r="D132" s="89">
        <v>5000</v>
      </c>
      <c r="E132" s="89">
        <v>0</v>
      </c>
      <c r="F132" s="89">
        <f t="shared" si="21"/>
        <v>0</v>
      </c>
      <c r="G132" s="89">
        <v>5000</v>
      </c>
      <c r="H132" s="90">
        <f t="shared" si="20"/>
        <v>0</v>
      </c>
      <c r="I132" s="90">
        <f t="shared" si="22"/>
        <v>0</v>
      </c>
      <c r="J132" s="90">
        <f>IF(COUNTIFS(Scenario_Weekly_Plan!$A:$A,$A132,Scenario_Weekly_Plan!$B:$B,$C132)&gt;0,SUMIFS(Scenario_Weekly_Plan!$C:$C,Scenario_Weekly_Plan!$A:$A,$A132,Scenario_Weekly_Plan!$B:$B,$C132),MIN(Q132,I132,MAX(0,E132+G132-F132)))</f>
        <v>0</v>
      </c>
      <c r="K132" s="90">
        <f t="shared" si="23"/>
        <v>0</v>
      </c>
      <c r="L132" s="90">
        <f t="shared" si="24"/>
        <v>0</v>
      </c>
      <c r="M132" s="90">
        <f t="shared" si="25"/>
        <v>0</v>
      </c>
      <c r="N132" s="91">
        <f t="shared" si="26"/>
        <v>0.15</v>
      </c>
      <c r="O132" s="104">
        <f>IF(COUNTIFS(Scenario_Weekly_Plan!$A:$A,$A132,Scenario_Weekly_Plan!$B:$B,$C132)&gt;0,"Scenario PP imported",MPS!O132)</f>
        <v>0</v>
      </c>
      <c r="P132" s="92">
        <f>SUMIFS($J$2:J131,$B$2:B131,B132,$C$2:C131,C132)</f>
        <v>750</v>
      </c>
      <c r="Q132" s="92">
        <f t="shared" si="27"/>
        <v>4250</v>
      </c>
      <c r="R132" s="106">
        <f t="shared" si="28"/>
        <v>0</v>
      </c>
      <c r="S132" s="104"/>
      <c r="T132" s="104"/>
      <c r="U132" s="104"/>
    </row>
    <row r="133" spans="1:21" x14ac:dyDescent="0.3">
      <c r="A133" s="87" t="s">
        <v>4</v>
      </c>
      <c r="B133" s="87" t="s">
        <v>68</v>
      </c>
      <c r="C133" s="101">
        <v>46286</v>
      </c>
      <c r="D133" s="89">
        <v>5000</v>
      </c>
      <c r="E133" s="89">
        <v>360</v>
      </c>
      <c r="F133" s="89">
        <f t="shared" si="21"/>
        <v>0</v>
      </c>
      <c r="G133" s="89">
        <v>5000</v>
      </c>
      <c r="H133" s="90">
        <f t="shared" si="20"/>
        <v>0</v>
      </c>
      <c r="I133" s="90">
        <f t="shared" si="22"/>
        <v>360</v>
      </c>
      <c r="J133" s="90">
        <f>IF(COUNTIFS(Scenario_Weekly_Plan!$A:$A,$A133,Scenario_Weekly_Plan!$B:$B,$C133)&gt;0,SUMIFS(Scenario_Weekly_Plan!$C:$C,Scenario_Weekly_Plan!$A:$A,$A133,Scenario_Weekly_Plan!$B:$B,$C133),MIN(Q133,I133,MAX(0,E133+G133-F133)))</f>
        <v>360</v>
      </c>
      <c r="K133" s="90">
        <f t="shared" si="23"/>
        <v>0</v>
      </c>
      <c r="L133" s="90">
        <f t="shared" si="24"/>
        <v>0</v>
      </c>
      <c r="M133" s="90">
        <f t="shared" si="25"/>
        <v>0</v>
      </c>
      <c r="N133" s="91">
        <f t="shared" si="26"/>
        <v>0.192</v>
      </c>
      <c r="O133" s="104">
        <f>IF(COUNTIFS(Scenario_Weekly_Plan!$A:$A,$A133,Scenario_Weekly_Plan!$B:$B,$C133)&gt;0,"Scenario PP imported",MPS!O133)</f>
        <v>0</v>
      </c>
      <c r="P133" s="92">
        <f>SUMIFS($J$2:J132,$B$2:B132,B133,$C$2:C132,C133)</f>
        <v>600</v>
      </c>
      <c r="Q133" s="92">
        <f t="shared" si="27"/>
        <v>4400</v>
      </c>
      <c r="R133" s="106">
        <f t="shared" si="28"/>
        <v>360</v>
      </c>
      <c r="S133" s="104"/>
      <c r="T133" s="104"/>
      <c r="U133" s="104"/>
    </row>
    <row r="134" spans="1:21" x14ac:dyDescent="0.3">
      <c r="A134" s="87" t="s">
        <v>4</v>
      </c>
      <c r="B134" s="87" t="s">
        <v>68</v>
      </c>
      <c r="C134" s="101">
        <v>46293</v>
      </c>
      <c r="D134" s="89">
        <v>5000</v>
      </c>
      <c r="E134" s="89">
        <v>360</v>
      </c>
      <c r="F134" s="89">
        <f t="shared" si="21"/>
        <v>0</v>
      </c>
      <c r="G134" s="89">
        <v>5000</v>
      </c>
      <c r="H134" s="90">
        <f t="shared" si="20"/>
        <v>0</v>
      </c>
      <c r="I134" s="90">
        <f t="shared" si="22"/>
        <v>360</v>
      </c>
      <c r="J134" s="90">
        <f>IF(COUNTIFS(Scenario_Weekly_Plan!$A:$A,$A134,Scenario_Weekly_Plan!$B:$B,$C134)&gt;0,SUMIFS(Scenario_Weekly_Plan!$C:$C,Scenario_Weekly_Plan!$A:$A,$A134,Scenario_Weekly_Plan!$B:$B,$C134),MIN(Q134,I134,MAX(0,E134+G134-F134)))</f>
        <v>360</v>
      </c>
      <c r="K134" s="90">
        <f t="shared" si="23"/>
        <v>0</v>
      </c>
      <c r="L134" s="90">
        <f t="shared" si="24"/>
        <v>0</v>
      </c>
      <c r="M134" s="90">
        <f t="shared" si="25"/>
        <v>0</v>
      </c>
      <c r="N134" s="91">
        <f t="shared" si="26"/>
        <v>0.192</v>
      </c>
      <c r="O134" s="104">
        <f>IF(COUNTIFS(Scenario_Weekly_Plan!$A:$A,$A134,Scenario_Weekly_Plan!$B:$B,$C134)&gt;0,"Scenario PP imported",MPS!O134)</f>
        <v>0</v>
      </c>
      <c r="P134" s="92">
        <f>SUMIFS($J$2:J133,$B$2:B133,B134,$C$2:C133,C134)</f>
        <v>600</v>
      </c>
      <c r="Q134" s="92">
        <f t="shared" si="27"/>
        <v>4400</v>
      </c>
      <c r="R134" s="106">
        <f t="shared" si="28"/>
        <v>360</v>
      </c>
      <c r="S134" s="104"/>
      <c r="T134" s="104"/>
      <c r="U134" s="104"/>
    </row>
    <row r="135" spans="1:21" x14ac:dyDescent="0.3">
      <c r="A135" s="87" t="s">
        <v>4</v>
      </c>
      <c r="B135" s="87" t="s">
        <v>68</v>
      </c>
      <c r="C135" s="101">
        <v>46300</v>
      </c>
      <c r="D135" s="89">
        <v>5000</v>
      </c>
      <c r="E135" s="89">
        <v>360</v>
      </c>
      <c r="F135" s="89">
        <f t="shared" si="21"/>
        <v>0</v>
      </c>
      <c r="G135" s="89">
        <v>5000</v>
      </c>
      <c r="H135" s="90">
        <f t="shared" si="20"/>
        <v>0</v>
      </c>
      <c r="I135" s="90">
        <f t="shared" si="22"/>
        <v>360</v>
      </c>
      <c r="J135" s="90">
        <f>IF(COUNTIFS(Scenario_Weekly_Plan!$A:$A,$A135,Scenario_Weekly_Plan!$B:$B,$C135)&gt;0,SUMIFS(Scenario_Weekly_Plan!$C:$C,Scenario_Weekly_Plan!$A:$A,$A135,Scenario_Weekly_Plan!$B:$B,$C135),MIN(Q135,I135,MAX(0,E135+G135-F135)))</f>
        <v>360</v>
      </c>
      <c r="K135" s="90">
        <f t="shared" si="23"/>
        <v>0</v>
      </c>
      <c r="L135" s="90">
        <f t="shared" si="24"/>
        <v>0</v>
      </c>
      <c r="M135" s="90">
        <f t="shared" si="25"/>
        <v>0</v>
      </c>
      <c r="N135" s="91">
        <f t="shared" si="26"/>
        <v>0.192</v>
      </c>
      <c r="O135" s="104">
        <f>IF(COUNTIFS(Scenario_Weekly_Plan!$A:$A,$A135,Scenario_Weekly_Plan!$B:$B,$C135)&gt;0,"Scenario PP imported",MPS!O135)</f>
        <v>0</v>
      </c>
      <c r="P135" s="92">
        <f>SUMIFS($J$2:J134,$B$2:B134,B135,$C$2:C134,C135)</f>
        <v>600</v>
      </c>
      <c r="Q135" s="92">
        <f t="shared" si="27"/>
        <v>4400</v>
      </c>
      <c r="R135" s="106">
        <f t="shared" si="28"/>
        <v>360</v>
      </c>
      <c r="S135" s="104"/>
      <c r="T135" s="104"/>
      <c r="U135" s="104"/>
    </row>
    <row r="136" spans="1:21" x14ac:dyDescent="0.3">
      <c r="A136" s="87" t="s">
        <v>4</v>
      </c>
      <c r="B136" s="87" t="s">
        <v>68</v>
      </c>
      <c r="C136" s="101">
        <v>46307</v>
      </c>
      <c r="D136" s="89">
        <v>5000</v>
      </c>
      <c r="E136" s="89">
        <v>360</v>
      </c>
      <c r="F136" s="89">
        <f t="shared" si="21"/>
        <v>0</v>
      </c>
      <c r="G136" s="89">
        <v>5000</v>
      </c>
      <c r="H136" s="90">
        <f t="shared" si="20"/>
        <v>0</v>
      </c>
      <c r="I136" s="90">
        <f t="shared" si="22"/>
        <v>360</v>
      </c>
      <c r="J136" s="90">
        <f>IF(COUNTIFS(Scenario_Weekly_Plan!$A:$A,$A136,Scenario_Weekly_Plan!$B:$B,$C136)&gt;0,SUMIFS(Scenario_Weekly_Plan!$C:$C,Scenario_Weekly_Plan!$A:$A,$A136,Scenario_Weekly_Plan!$B:$B,$C136),MIN(Q136,I136,MAX(0,E136+G136-F136)))</f>
        <v>360</v>
      </c>
      <c r="K136" s="90">
        <f t="shared" si="23"/>
        <v>0</v>
      </c>
      <c r="L136" s="90">
        <f t="shared" si="24"/>
        <v>0</v>
      </c>
      <c r="M136" s="90">
        <f t="shared" si="25"/>
        <v>0</v>
      </c>
      <c r="N136" s="91">
        <f t="shared" si="26"/>
        <v>0.192</v>
      </c>
      <c r="O136" s="104">
        <f>IF(COUNTIFS(Scenario_Weekly_Plan!$A:$A,$A136,Scenario_Weekly_Plan!$B:$B,$C136)&gt;0,"Scenario PP imported",MPS!O136)</f>
        <v>0</v>
      </c>
      <c r="P136" s="92">
        <f>SUMIFS($J$2:J135,$B$2:B135,B136,$C$2:C135,C136)</f>
        <v>600</v>
      </c>
      <c r="Q136" s="92">
        <f t="shared" si="27"/>
        <v>4400</v>
      </c>
      <c r="R136" s="106">
        <f t="shared" si="28"/>
        <v>360</v>
      </c>
      <c r="S136" s="104"/>
      <c r="T136" s="104"/>
      <c r="U136" s="104"/>
    </row>
    <row r="137" spans="1:21" x14ac:dyDescent="0.3">
      <c r="A137" s="87" t="s">
        <v>4</v>
      </c>
      <c r="B137" s="87" t="s">
        <v>68</v>
      </c>
      <c r="C137" s="101">
        <v>46314</v>
      </c>
      <c r="D137" s="89">
        <v>5000</v>
      </c>
      <c r="E137" s="89">
        <v>360</v>
      </c>
      <c r="F137" s="89">
        <f t="shared" si="21"/>
        <v>0</v>
      </c>
      <c r="G137" s="89">
        <v>5000</v>
      </c>
      <c r="H137" s="90">
        <f t="shared" si="20"/>
        <v>0</v>
      </c>
      <c r="I137" s="90">
        <f t="shared" si="22"/>
        <v>360</v>
      </c>
      <c r="J137" s="90">
        <f>IF(COUNTIFS(Scenario_Weekly_Plan!$A:$A,$A137,Scenario_Weekly_Plan!$B:$B,$C137)&gt;0,SUMIFS(Scenario_Weekly_Plan!$C:$C,Scenario_Weekly_Plan!$A:$A,$A137,Scenario_Weekly_Plan!$B:$B,$C137),MIN(Q137,I137,MAX(0,E137+G137-F137)))</f>
        <v>360</v>
      </c>
      <c r="K137" s="90">
        <f t="shared" si="23"/>
        <v>0</v>
      </c>
      <c r="L137" s="90">
        <f t="shared" si="24"/>
        <v>0</v>
      </c>
      <c r="M137" s="90">
        <f t="shared" si="25"/>
        <v>0</v>
      </c>
      <c r="N137" s="91">
        <f t="shared" si="26"/>
        <v>0.192</v>
      </c>
      <c r="O137" s="104">
        <f>IF(COUNTIFS(Scenario_Weekly_Plan!$A:$A,$A137,Scenario_Weekly_Plan!$B:$B,$C137)&gt;0,"Scenario PP imported",MPS!O137)</f>
        <v>0</v>
      </c>
      <c r="P137" s="92">
        <f>SUMIFS($J$2:J136,$B$2:B136,B137,$C$2:C136,C137)</f>
        <v>600</v>
      </c>
      <c r="Q137" s="92">
        <f t="shared" si="27"/>
        <v>4400</v>
      </c>
      <c r="R137" s="106">
        <f t="shared" si="28"/>
        <v>360</v>
      </c>
      <c r="S137" s="104"/>
      <c r="T137" s="104"/>
      <c r="U137" s="104"/>
    </row>
    <row r="138" spans="1:21" x14ac:dyDescent="0.3">
      <c r="A138" s="87" t="s">
        <v>4</v>
      </c>
      <c r="B138" s="87" t="s">
        <v>68</v>
      </c>
      <c r="C138" s="101">
        <v>46321</v>
      </c>
      <c r="D138" s="89">
        <v>5000</v>
      </c>
      <c r="E138" s="89">
        <v>1000</v>
      </c>
      <c r="F138" s="89">
        <f t="shared" si="21"/>
        <v>0</v>
      </c>
      <c r="G138" s="89">
        <v>5000</v>
      </c>
      <c r="H138" s="90">
        <f t="shared" si="20"/>
        <v>0</v>
      </c>
      <c r="I138" s="90">
        <f t="shared" si="22"/>
        <v>1000</v>
      </c>
      <c r="J138" s="90">
        <f>IF(COUNTIFS(Scenario_Weekly_Plan!$A:$A,$A138,Scenario_Weekly_Plan!$B:$B,$C138)&gt;0,SUMIFS(Scenario_Weekly_Plan!$C:$C,Scenario_Weekly_Plan!$A:$A,$A138,Scenario_Weekly_Plan!$B:$B,$C138),MIN(Q138,I138,MAX(0,E138+G138-F138)))</f>
        <v>1000</v>
      </c>
      <c r="K138" s="90">
        <f t="shared" si="23"/>
        <v>0</v>
      </c>
      <c r="L138" s="90">
        <f t="shared" si="24"/>
        <v>0</v>
      </c>
      <c r="M138" s="90">
        <f t="shared" si="25"/>
        <v>0</v>
      </c>
      <c r="N138" s="91">
        <f t="shared" si="26"/>
        <v>0.3</v>
      </c>
      <c r="O138" s="104">
        <f>IF(COUNTIFS(Scenario_Weekly_Plan!$A:$A,$A138,Scenario_Weekly_Plan!$B:$B,$C138)&gt;0,"Scenario PP imported",MPS!O138)</f>
        <v>0</v>
      </c>
      <c r="P138" s="92">
        <f>SUMIFS($J$2:J137,$B$2:B137,B138,$C$2:C137,C138)</f>
        <v>500</v>
      </c>
      <c r="Q138" s="92">
        <f t="shared" si="27"/>
        <v>4500</v>
      </c>
      <c r="R138" s="106">
        <f t="shared" si="28"/>
        <v>1000</v>
      </c>
      <c r="S138" s="104"/>
      <c r="T138" s="104"/>
      <c r="U138" s="104"/>
    </row>
    <row r="139" spans="1:21" x14ac:dyDescent="0.3">
      <c r="A139" s="87" t="s">
        <v>4</v>
      </c>
      <c r="B139" s="87" t="s">
        <v>68</v>
      </c>
      <c r="C139" s="101">
        <v>46328</v>
      </c>
      <c r="D139" s="89">
        <v>5000</v>
      </c>
      <c r="E139" s="89">
        <v>1000</v>
      </c>
      <c r="F139" s="89">
        <f t="shared" si="21"/>
        <v>0</v>
      </c>
      <c r="G139" s="89">
        <v>5000</v>
      </c>
      <c r="H139" s="90">
        <f t="shared" si="20"/>
        <v>0</v>
      </c>
      <c r="I139" s="90">
        <f t="shared" si="22"/>
        <v>1000</v>
      </c>
      <c r="J139" s="90">
        <f>IF(COUNTIFS(Scenario_Weekly_Plan!$A:$A,$A139,Scenario_Weekly_Plan!$B:$B,$C139)&gt;0,SUMIFS(Scenario_Weekly_Plan!$C:$C,Scenario_Weekly_Plan!$A:$A,$A139,Scenario_Weekly_Plan!$B:$B,$C139),MIN(Q139,I139,MAX(0,E139+G139-F139)))</f>
        <v>1000</v>
      </c>
      <c r="K139" s="90">
        <f t="shared" si="23"/>
        <v>0</v>
      </c>
      <c r="L139" s="90">
        <f t="shared" si="24"/>
        <v>0</v>
      </c>
      <c r="M139" s="90">
        <f t="shared" si="25"/>
        <v>0</v>
      </c>
      <c r="N139" s="91">
        <f t="shared" si="26"/>
        <v>0.3</v>
      </c>
      <c r="O139" s="104">
        <f>IF(COUNTIFS(Scenario_Weekly_Plan!$A:$A,$A139,Scenario_Weekly_Plan!$B:$B,$C139)&gt;0,"Scenario PP imported",MPS!O139)</f>
        <v>0</v>
      </c>
      <c r="P139" s="92">
        <f>SUMIFS($J$2:J138,$B$2:B138,B139,$C$2:C138,C139)</f>
        <v>500</v>
      </c>
      <c r="Q139" s="92">
        <f t="shared" si="27"/>
        <v>4500</v>
      </c>
      <c r="R139" s="106">
        <f t="shared" si="28"/>
        <v>1000</v>
      </c>
      <c r="S139" s="104"/>
      <c r="T139" s="104"/>
      <c r="U139" s="104"/>
    </row>
    <row r="140" spans="1:21" x14ac:dyDescent="0.3">
      <c r="A140" s="87" t="s">
        <v>4</v>
      </c>
      <c r="B140" s="87" t="s">
        <v>68</v>
      </c>
      <c r="C140" s="101">
        <v>46335</v>
      </c>
      <c r="D140" s="89">
        <v>5000</v>
      </c>
      <c r="E140" s="89">
        <v>1000</v>
      </c>
      <c r="F140" s="89">
        <f t="shared" si="21"/>
        <v>0</v>
      </c>
      <c r="G140" s="89">
        <v>5000</v>
      </c>
      <c r="H140" s="90">
        <f t="shared" si="20"/>
        <v>0</v>
      </c>
      <c r="I140" s="90">
        <f t="shared" si="22"/>
        <v>1000</v>
      </c>
      <c r="J140" s="90">
        <f>IF(COUNTIFS(Scenario_Weekly_Plan!$A:$A,$A140,Scenario_Weekly_Plan!$B:$B,$C140)&gt;0,SUMIFS(Scenario_Weekly_Plan!$C:$C,Scenario_Weekly_Plan!$A:$A,$A140,Scenario_Weekly_Plan!$B:$B,$C140),MIN(Q140,I140,MAX(0,E140+G140-F140)))</f>
        <v>1000</v>
      </c>
      <c r="K140" s="90">
        <f t="shared" si="23"/>
        <v>0</v>
      </c>
      <c r="L140" s="90">
        <f t="shared" si="24"/>
        <v>0</v>
      </c>
      <c r="M140" s="90">
        <f t="shared" si="25"/>
        <v>0</v>
      </c>
      <c r="N140" s="91">
        <f t="shared" si="26"/>
        <v>0.3</v>
      </c>
      <c r="O140" s="104">
        <f>IF(COUNTIFS(Scenario_Weekly_Plan!$A:$A,$A140,Scenario_Weekly_Plan!$B:$B,$C140)&gt;0,"Scenario PP imported",MPS!O140)</f>
        <v>0</v>
      </c>
      <c r="P140" s="92">
        <f>SUMIFS($J$2:J139,$B$2:B139,B140,$C$2:C139,C140)</f>
        <v>500</v>
      </c>
      <c r="Q140" s="92">
        <f t="shared" si="27"/>
        <v>4500</v>
      </c>
      <c r="R140" s="106">
        <f t="shared" si="28"/>
        <v>1000</v>
      </c>
      <c r="S140" s="104"/>
      <c r="T140" s="104"/>
      <c r="U140" s="104"/>
    </row>
    <row r="141" spans="1:21" x14ac:dyDescent="0.3">
      <c r="A141" s="87" t="s">
        <v>4</v>
      </c>
      <c r="B141" s="87" t="s">
        <v>68</v>
      </c>
      <c r="C141" s="101">
        <v>46342</v>
      </c>
      <c r="D141" s="89">
        <v>5000</v>
      </c>
      <c r="E141" s="89">
        <v>1000</v>
      </c>
      <c r="F141" s="89">
        <f t="shared" si="21"/>
        <v>0</v>
      </c>
      <c r="G141" s="89">
        <v>5000</v>
      </c>
      <c r="H141" s="90">
        <f t="shared" si="20"/>
        <v>0</v>
      </c>
      <c r="I141" s="90">
        <f t="shared" si="22"/>
        <v>1000</v>
      </c>
      <c r="J141" s="90">
        <f>IF(COUNTIFS(Scenario_Weekly_Plan!$A:$A,$A141,Scenario_Weekly_Plan!$B:$B,$C141)&gt;0,SUMIFS(Scenario_Weekly_Plan!$C:$C,Scenario_Weekly_Plan!$A:$A,$A141,Scenario_Weekly_Plan!$B:$B,$C141),MIN(Q141,I141,MAX(0,E141+G141-F141)))</f>
        <v>1000</v>
      </c>
      <c r="K141" s="90">
        <f t="shared" si="23"/>
        <v>0</v>
      </c>
      <c r="L141" s="90">
        <f t="shared" si="24"/>
        <v>0</v>
      </c>
      <c r="M141" s="90">
        <f t="shared" si="25"/>
        <v>0</v>
      </c>
      <c r="N141" s="91">
        <f t="shared" si="26"/>
        <v>0.3</v>
      </c>
      <c r="O141" s="104">
        <f>IF(COUNTIFS(Scenario_Weekly_Plan!$A:$A,$A141,Scenario_Weekly_Plan!$B:$B,$C141)&gt;0,"Scenario PP imported",MPS!O141)</f>
        <v>0</v>
      </c>
      <c r="P141" s="92">
        <f>SUMIFS($J$2:J140,$B$2:B140,B141,$C$2:C140,C141)</f>
        <v>500</v>
      </c>
      <c r="Q141" s="92">
        <f t="shared" si="27"/>
        <v>4500</v>
      </c>
      <c r="R141" s="106">
        <f t="shared" si="28"/>
        <v>1000</v>
      </c>
      <c r="S141" s="104"/>
      <c r="T141" s="104"/>
      <c r="U141" s="104"/>
    </row>
    <row r="142" spans="1:21" x14ac:dyDescent="0.3">
      <c r="A142" s="87" t="s">
        <v>4</v>
      </c>
      <c r="B142" s="87" t="s">
        <v>68</v>
      </c>
      <c r="C142" s="101">
        <v>46349</v>
      </c>
      <c r="D142" s="89">
        <v>5000</v>
      </c>
      <c r="E142" s="89">
        <v>1250</v>
      </c>
      <c r="F142" s="89">
        <f t="shared" si="21"/>
        <v>0</v>
      </c>
      <c r="G142" s="89">
        <v>5000</v>
      </c>
      <c r="H142" s="90">
        <f t="shared" si="20"/>
        <v>0</v>
      </c>
      <c r="I142" s="90">
        <f t="shared" si="22"/>
        <v>1250</v>
      </c>
      <c r="J142" s="90">
        <f>IF(COUNTIFS(Scenario_Weekly_Plan!$A:$A,$A142,Scenario_Weekly_Plan!$B:$B,$C142)&gt;0,SUMIFS(Scenario_Weekly_Plan!$C:$C,Scenario_Weekly_Plan!$A:$A,$A142,Scenario_Weekly_Plan!$B:$B,$C142),MIN(Q142,I142,MAX(0,E142+G142-F142)))</f>
        <v>1250</v>
      </c>
      <c r="K142" s="90">
        <f t="shared" si="23"/>
        <v>0</v>
      </c>
      <c r="L142" s="90">
        <f t="shared" si="24"/>
        <v>0</v>
      </c>
      <c r="M142" s="90">
        <f t="shared" si="25"/>
        <v>0</v>
      </c>
      <c r="N142" s="91">
        <f t="shared" si="26"/>
        <v>0.85</v>
      </c>
      <c r="O142" s="104">
        <f>IF(COUNTIFS(Scenario_Weekly_Plan!$A:$A,$A142,Scenario_Weekly_Plan!$B:$B,$C142)&gt;0,"Scenario PP imported",MPS!O142)</f>
        <v>0</v>
      </c>
      <c r="P142" s="92">
        <f>SUMIFS($J$2:J141,$B$2:B141,B142,$C$2:C141,C142)</f>
        <v>3000</v>
      </c>
      <c r="Q142" s="92">
        <f t="shared" si="27"/>
        <v>2000</v>
      </c>
      <c r="R142" s="106">
        <f t="shared" si="28"/>
        <v>1250</v>
      </c>
      <c r="S142" s="104"/>
      <c r="T142" s="104"/>
      <c r="U142" s="104"/>
    </row>
    <row r="143" spans="1:21" x14ac:dyDescent="0.3">
      <c r="A143" s="87" t="s">
        <v>4</v>
      </c>
      <c r="B143" s="87" t="s">
        <v>68</v>
      </c>
      <c r="C143" s="101">
        <v>46356</v>
      </c>
      <c r="D143" s="89">
        <v>5000</v>
      </c>
      <c r="E143" s="89">
        <v>1250</v>
      </c>
      <c r="F143" s="89">
        <f t="shared" si="21"/>
        <v>0</v>
      </c>
      <c r="G143" s="89">
        <v>5000</v>
      </c>
      <c r="H143" s="90">
        <f t="shared" si="20"/>
        <v>0</v>
      </c>
      <c r="I143" s="90">
        <f t="shared" si="22"/>
        <v>1250</v>
      </c>
      <c r="J143" s="90">
        <f>IF(COUNTIFS(Scenario_Weekly_Plan!$A:$A,$A143,Scenario_Weekly_Plan!$B:$B,$C143)&gt;0,SUMIFS(Scenario_Weekly_Plan!$C:$C,Scenario_Weekly_Plan!$A:$A,$A143,Scenario_Weekly_Plan!$B:$B,$C143),MIN(Q143,I143,MAX(0,E143+G143-F143)))</f>
        <v>1250</v>
      </c>
      <c r="K143" s="90">
        <f t="shared" si="23"/>
        <v>0</v>
      </c>
      <c r="L143" s="90">
        <f t="shared" si="24"/>
        <v>0</v>
      </c>
      <c r="M143" s="90">
        <f t="shared" si="25"/>
        <v>0</v>
      </c>
      <c r="N143" s="91">
        <f t="shared" si="26"/>
        <v>0.85</v>
      </c>
      <c r="O143" s="104">
        <f>IF(COUNTIFS(Scenario_Weekly_Plan!$A:$A,$A143,Scenario_Weekly_Plan!$B:$B,$C143)&gt;0,"Scenario PP imported",MPS!O143)</f>
        <v>0</v>
      </c>
      <c r="P143" s="92">
        <f>SUMIFS($J$2:J142,$B$2:B142,B143,$C$2:C142,C143)</f>
        <v>3000</v>
      </c>
      <c r="Q143" s="92">
        <f t="shared" si="27"/>
        <v>2000</v>
      </c>
      <c r="R143" s="106">
        <f t="shared" si="28"/>
        <v>1250</v>
      </c>
      <c r="S143" s="104"/>
      <c r="T143" s="104"/>
      <c r="U143" s="104"/>
    </row>
    <row r="144" spans="1:21" x14ac:dyDescent="0.3">
      <c r="A144" s="87" t="s">
        <v>4</v>
      </c>
      <c r="B144" s="87" t="s">
        <v>68</v>
      </c>
      <c r="C144" s="101">
        <v>46363</v>
      </c>
      <c r="D144" s="89">
        <v>5000</v>
      </c>
      <c r="E144" s="89">
        <v>1250</v>
      </c>
      <c r="F144" s="89">
        <f t="shared" si="21"/>
        <v>0</v>
      </c>
      <c r="G144" s="89">
        <v>5000</v>
      </c>
      <c r="H144" s="90">
        <f t="shared" si="20"/>
        <v>0</v>
      </c>
      <c r="I144" s="90">
        <f t="shared" si="22"/>
        <v>1250</v>
      </c>
      <c r="J144" s="90">
        <f>IF(COUNTIFS(Scenario_Weekly_Plan!$A:$A,$A144,Scenario_Weekly_Plan!$B:$B,$C144)&gt;0,SUMIFS(Scenario_Weekly_Plan!$C:$C,Scenario_Weekly_Plan!$A:$A,$A144,Scenario_Weekly_Plan!$B:$B,$C144),MIN(Q144,I144,MAX(0,E144+G144-F144)))</f>
        <v>1250</v>
      </c>
      <c r="K144" s="90">
        <f t="shared" si="23"/>
        <v>0</v>
      </c>
      <c r="L144" s="90">
        <f t="shared" si="24"/>
        <v>0</v>
      </c>
      <c r="M144" s="90">
        <f t="shared" si="25"/>
        <v>0</v>
      </c>
      <c r="N144" s="91">
        <f t="shared" si="26"/>
        <v>0.85</v>
      </c>
      <c r="O144" s="104">
        <f>IF(COUNTIFS(Scenario_Weekly_Plan!$A:$A,$A144,Scenario_Weekly_Plan!$B:$B,$C144)&gt;0,"Scenario PP imported",MPS!O144)</f>
        <v>0</v>
      </c>
      <c r="P144" s="92">
        <f>SUMIFS($J$2:J143,$B$2:B143,B144,$C$2:C143,C144)</f>
        <v>3000</v>
      </c>
      <c r="Q144" s="92">
        <f t="shared" si="27"/>
        <v>2000</v>
      </c>
      <c r="R144" s="106">
        <f t="shared" si="28"/>
        <v>1250</v>
      </c>
      <c r="S144" s="104"/>
      <c r="T144" s="104"/>
      <c r="U144" s="104"/>
    </row>
    <row r="145" spans="1:21" x14ac:dyDescent="0.3">
      <c r="A145" s="87" t="s">
        <v>4</v>
      </c>
      <c r="B145" s="87" t="s">
        <v>68</v>
      </c>
      <c r="C145" s="101">
        <v>46370</v>
      </c>
      <c r="D145" s="89">
        <v>5000</v>
      </c>
      <c r="E145" s="89">
        <v>1250</v>
      </c>
      <c r="F145" s="89">
        <f t="shared" si="21"/>
        <v>0</v>
      </c>
      <c r="G145" s="89">
        <v>5000</v>
      </c>
      <c r="H145" s="90">
        <f>0</f>
        <v>0</v>
      </c>
      <c r="I145" s="90">
        <f t="shared" si="22"/>
        <v>1250</v>
      </c>
      <c r="J145" s="90">
        <f>IF(COUNTIFS(Scenario_Weekly_Plan!$A:$A,$A145,Scenario_Weekly_Plan!$B:$B,$C145)&gt;0,SUMIFS(Scenario_Weekly_Plan!$C:$C,Scenario_Weekly_Plan!$A:$A,$A145,Scenario_Weekly_Plan!$B:$B,$C145),MIN(Q145,I145,MAX(0,E145+G145-F145)))</f>
        <v>1250</v>
      </c>
      <c r="K145" s="90">
        <f t="shared" si="23"/>
        <v>0</v>
      </c>
      <c r="L145" s="90">
        <f t="shared" si="24"/>
        <v>0</v>
      </c>
      <c r="M145" s="90">
        <f t="shared" si="25"/>
        <v>0</v>
      </c>
      <c r="N145" s="91">
        <f t="shared" si="26"/>
        <v>0.85</v>
      </c>
      <c r="O145" s="104">
        <f>IF(COUNTIFS(Scenario_Weekly_Plan!$A:$A,$A145,Scenario_Weekly_Plan!$B:$B,$C145)&gt;0,"Scenario PP imported",MPS!O145)</f>
        <v>0</v>
      </c>
      <c r="P145" s="92">
        <f>SUMIFS($J$2:J144,$B$2:B144,B145,$C$2:C144,C145)</f>
        <v>3000</v>
      </c>
      <c r="Q145" s="92">
        <f t="shared" si="27"/>
        <v>2000</v>
      </c>
      <c r="R145" s="106">
        <f t="shared" si="28"/>
        <v>1250</v>
      </c>
      <c r="S145" s="104"/>
      <c r="T145" s="104"/>
      <c r="U145" s="104"/>
    </row>
    <row r="146" spans="1:21" x14ac:dyDescent="0.3">
      <c r="A146" s="87" t="s">
        <v>5</v>
      </c>
      <c r="B146" s="87" t="s">
        <v>56</v>
      </c>
      <c r="C146" s="101">
        <v>46125</v>
      </c>
      <c r="D146" s="89">
        <v>3000</v>
      </c>
      <c r="E146" s="89">
        <v>0</v>
      </c>
      <c r="F146" s="89">
        <f>0</f>
        <v>0</v>
      </c>
      <c r="G146" s="89">
        <v>3000</v>
      </c>
      <c r="H146" s="90">
        <f t="shared" ref="H146:H180" si="29">MAX(0,H147+E147-Q147)</f>
        <v>0</v>
      </c>
      <c r="I146" s="90">
        <f t="shared" si="22"/>
        <v>0</v>
      </c>
      <c r="J146" s="90">
        <f>IF(COUNTIFS(Scenario_Weekly_Plan!$A:$A,$A146,Scenario_Weekly_Plan!$B:$B,$C146)&gt;0,SUMIFS(Scenario_Weekly_Plan!$C:$C,Scenario_Weekly_Plan!$A:$A,$A146,Scenario_Weekly_Plan!$B:$B,$C146),MIN(Q146,I146,MAX(0,E146+G146-F146)))</f>
        <v>0</v>
      </c>
      <c r="K146" s="90">
        <f t="shared" si="23"/>
        <v>0</v>
      </c>
      <c r="L146" s="90">
        <f t="shared" si="24"/>
        <v>0</v>
      </c>
      <c r="M146" s="90">
        <f t="shared" si="25"/>
        <v>0</v>
      </c>
      <c r="N146" s="91">
        <f t="shared" si="26"/>
        <v>0.66666666666666663</v>
      </c>
      <c r="O146" s="61" t="str">
        <f>IF(COUNTIFS(Scenario_Weekly_Plan!$A:$A,$A146,Scenario_Weekly_Plan!$B:$B,$C146)&gt;0,"Scenario PP imported",MPS!O146)</f>
        <v>Scenario PP imported</v>
      </c>
      <c r="P146" s="92">
        <f>SUMIFS($J$2:J145,$B$2:B145,B146,$C$2:C145,C146)</f>
        <v>0</v>
      </c>
      <c r="Q146" s="92">
        <f t="shared" si="27"/>
        <v>3000</v>
      </c>
      <c r="R146" s="106">
        <f t="shared" si="28"/>
        <v>0</v>
      </c>
      <c r="S146" s="104"/>
      <c r="T146" s="104"/>
      <c r="U146" s="104"/>
    </row>
    <row r="147" spans="1:21" x14ac:dyDescent="0.3">
      <c r="A147" s="87" t="s">
        <v>5</v>
      </c>
      <c r="B147" s="87" t="s">
        <v>56</v>
      </c>
      <c r="C147" s="101">
        <v>46132</v>
      </c>
      <c r="D147" s="89">
        <v>3000</v>
      </c>
      <c r="E147" s="89">
        <v>0</v>
      </c>
      <c r="F147" s="89">
        <f t="shared" ref="F147:F181" si="30">K146</f>
        <v>0</v>
      </c>
      <c r="G147" s="89">
        <v>3000</v>
      </c>
      <c r="H147" s="90">
        <f t="shared" si="29"/>
        <v>0</v>
      </c>
      <c r="I147" s="90">
        <f t="shared" si="22"/>
        <v>0</v>
      </c>
      <c r="J147" s="90">
        <f>IF(COUNTIFS(Scenario_Weekly_Plan!$A:$A,$A147,Scenario_Weekly_Plan!$B:$B,$C147)&gt;0,SUMIFS(Scenario_Weekly_Plan!$C:$C,Scenario_Weekly_Plan!$A:$A,$A147,Scenario_Weekly_Plan!$B:$B,$C147),MIN(Q147,I147,MAX(0,E147+G147-F147)))</f>
        <v>500</v>
      </c>
      <c r="K147" s="90">
        <f t="shared" si="23"/>
        <v>500</v>
      </c>
      <c r="L147" s="90">
        <f t="shared" si="24"/>
        <v>0</v>
      </c>
      <c r="M147" s="90">
        <f t="shared" si="25"/>
        <v>500</v>
      </c>
      <c r="N147" s="91">
        <f t="shared" si="26"/>
        <v>1</v>
      </c>
      <c r="O147" s="104" t="str">
        <f>IF(COUNTIFS(Scenario_Weekly_Plan!$A:$A,$A147,Scenario_Weekly_Plan!$B:$B,$C147)&gt;0,"Scenario PP imported",MPS!O147)</f>
        <v>Scenario PP imported</v>
      </c>
      <c r="P147" s="92">
        <f>SUMIFS($J$2:J146,$B$2:B146,B147,$C$2:C146,C147)</f>
        <v>0</v>
      </c>
      <c r="Q147" s="92">
        <f t="shared" si="27"/>
        <v>3000</v>
      </c>
      <c r="R147" s="106">
        <f t="shared" si="28"/>
        <v>0</v>
      </c>
      <c r="S147" s="104"/>
      <c r="T147" s="104"/>
      <c r="U147" s="104"/>
    </row>
    <row r="148" spans="1:21" x14ac:dyDescent="0.3">
      <c r="A148" s="87" t="s">
        <v>5</v>
      </c>
      <c r="B148" s="87" t="s">
        <v>56</v>
      </c>
      <c r="C148" s="101">
        <v>46139</v>
      </c>
      <c r="D148" s="89">
        <v>3000</v>
      </c>
      <c r="E148" s="89">
        <v>472</v>
      </c>
      <c r="F148" s="89">
        <f t="shared" si="30"/>
        <v>500</v>
      </c>
      <c r="G148" s="89">
        <v>3000</v>
      </c>
      <c r="H148" s="90">
        <f t="shared" si="29"/>
        <v>0</v>
      </c>
      <c r="I148" s="90">
        <f t="shared" si="22"/>
        <v>0</v>
      </c>
      <c r="J148" s="90">
        <f>IF(COUNTIFS(Scenario_Weekly_Plan!$A:$A,$A148,Scenario_Weekly_Plan!$B:$B,$C148)&gt;0,SUMIFS(Scenario_Weekly_Plan!$C:$C,Scenario_Weekly_Plan!$A:$A,$A148,Scenario_Weekly_Plan!$B:$B,$C148),MIN(Q148,I148,MAX(0,E148+G148-F148)))</f>
        <v>970</v>
      </c>
      <c r="K148" s="90">
        <f t="shared" si="23"/>
        <v>998</v>
      </c>
      <c r="L148" s="90">
        <f t="shared" si="24"/>
        <v>0</v>
      </c>
      <c r="M148" s="90">
        <f t="shared" si="25"/>
        <v>998</v>
      </c>
      <c r="N148" s="91">
        <f t="shared" si="26"/>
        <v>1</v>
      </c>
      <c r="O148" s="104" t="str">
        <f>IF(COUNTIFS(Scenario_Weekly_Plan!$A:$A,$A148,Scenario_Weekly_Plan!$B:$B,$C148)&gt;0,"Scenario PP imported",MPS!O148)</f>
        <v>Scenario PP imported</v>
      </c>
      <c r="P148" s="92">
        <f>SUMIFS($J$2:J147,$B$2:B147,B148,$C$2:C147,C148)</f>
        <v>0</v>
      </c>
      <c r="Q148" s="92">
        <f t="shared" si="27"/>
        <v>3000</v>
      </c>
      <c r="R148" s="106">
        <f t="shared" si="28"/>
        <v>472</v>
      </c>
      <c r="S148" s="104"/>
      <c r="T148" s="104"/>
      <c r="U148" s="104"/>
    </row>
    <row r="149" spans="1:21" x14ac:dyDescent="0.3">
      <c r="A149" s="87" t="s">
        <v>5</v>
      </c>
      <c r="B149" s="87" t="s">
        <v>56</v>
      </c>
      <c r="C149" s="101">
        <v>46146</v>
      </c>
      <c r="D149" s="89">
        <v>3000</v>
      </c>
      <c r="E149" s="89">
        <v>300</v>
      </c>
      <c r="F149" s="89">
        <f t="shared" si="30"/>
        <v>998</v>
      </c>
      <c r="G149" s="89">
        <v>3000</v>
      </c>
      <c r="H149" s="90">
        <f t="shared" si="29"/>
        <v>0</v>
      </c>
      <c r="I149" s="90">
        <f t="shared" si="22"/>
        <v>0</v>
      </c>
      <c r="J149" s="90">
        <f>IF(COUNTIFS(Scenario_Weekly_Plan!$A:$A,$A149,Scenario_Weekly_Plan!$B:$B,$C149)&gt;0,SUMIFS(Scenario_Weekly_Plan!$C:$C,Scenario_Weekly_Plan!$A:$A,$A149,Scenario_Weekly_Plan!$B:$B,$C149),MIN(Q149,I149,MAX(0,E149+G149-F149)))</f>
        <v>0</v>
      </c>
      <c r="K149" s="90">
        <f t="shared" si="23"/>
        <v>698</v>
      </c>
      <c r="L149" s="90">
        <f t="shared" si="24"/>
        <v>0</v>
      </c>
      <c r="M149" s="90">
        <f t="shared" si="25"/>
        <v>698</v>
      </c>
      <c r="N149" s="91">
        <f t="shared" si="26"/>
        <v>1</v>
      </c>
      <c r="O149" s="104" t="str">
        <f>IF(COUNTIFS(Scenario_Weekly_Plan!$A:$A,$A149,Scenario_Weekly_Plan!$B:$B,$C149)&gt;0,"Scenario PP imported",MPS!O149)</f>
        <v>Scenario PP imported</v>
      </c>
      <c r="P149" s="92">
        <f>SUMIFS($J$2:J148,$B$2:B148,B149,$C$2:C148,C149)</f>
        <v>0</v>
      </c>
      <c r="Q149" s="92">
        <f t="shared" si="27"/>
        <v>3000</v>
      </c>
      <c r="R149" s="106">
        <f t="shared" si="28"/>
        <v>300</v>
      </c>
      <c r="S149" s="104"/>
      <c r="T149" s="104"/>
      <c r="U149" s="104"/>
    </row>
    <row r="150" spans="1:21" x14ac:dyDescent="0.3">
      <c r="A150" s="87" t="s">
        <v>5</v>
      </c>
      <c r="B150" s="87" t="s">
        <v>56</v>
      </c>
      <c r="C150" s="101">
        <v>46153</v>
      </c>
      <c r="D150" s="89">
        <v>3000</v>
      </c>
      <c r="E150" s="89">
        <v>698</v>
      </c>
      <c r="F150" s="89">
        <f t="shared" si="30"/>
        <v>698</v>
      </c>
      <c r="G150" s="89">
        <v>3000</v>
      </c>
      <c r="H150" s="90">
        <f t="shared" si="29"/>
        <v>0</v>
      </c>
      <c r="I150" s="90">
        <f t="shared" si="22"/>
        <v>0</v>
      </c>
      <c r="J150" s="90">
        <f>IF(COUNTIFS(Scenario_Weekly_Plan!$A:$A,$A150,Scenario_Weekly_Plan!$B:$B,$C150)&gt;0,SUMIFS(Scenario_Weekly_Plan!$C:$C,Scenario_Weekly_Plan!$A:$A,$A150,Scenario_Weekly_Plan!$B:$B,$C150),MIN(Q150,I150,MAX(0,E150+G150-F150)))</f>
        <v>0</v>
      </c>
      <c r="K150" s="90">
        <f t="shared" si="23"/>
        <v>0</v>
      </c>
      <c r="L150" s="90">
        <f t="shared" si="24"/>
        <v>0</v>
      </c>
      <c r="M150" s="90">
        <f t="shared" si="25"/>
        <v>0</v>
      </c>
      <c r="N150" s="91">
        <f t="shared" si="26"/>
        <v>0.83333333333333337</v>
      </c>
      <c r="O150" s="104" t="str">
        <f>IF(COUNTIFS(Scenario_Weekly_Plan!$A:$A,$A150,Scenario_Weekly_Plan!$B:$B,$C150)&gt;0,"Scenario PP imported",MPS!O150)</f>
        <v>Scenario PP imported</v>
      </c>
      <c r="P150" s="92">
        <f>SUMIFS($J$2:J149,$B$2:B149,B150,$C$2:C149,C150)</f>
        <v>0</v>
      </c>
      <c r="Q150" s="92">
        <f t="shared" si="27"/>
        <v>3000</v>
      </c>
      <c r="R150" s="106">
        <f t="shared" si="28"/>
        <v>698</v>
      </c>
      <c r="S150" s="104"/>
      <c r="T150" s="104"/>
      <c r="U150" s="104"/>
    </row>
    <row r="151" spans="1:21" x14ac:dyDescent="0.3">
      <c r="A151" s="87" t="s">
        <v>5</v>
      </c>
      <c r="B151" s="87" t="s">
        <v>56</v>
      </c>
      <c r="C151" s="101">
        <v>46160</v>
      </c>
      <c r="D151" s="89">
        <v>3000</v>
      </c>
      <c r="E151" s="89">
        <v>0</v>
      </c>
      <c r="F151" s="89">
        <f t="shared" si="30"/>
        <v>0</v>
      </c>
      <c r="G151" s="89">
        <v>3000</v>
      </c>
      <c r="H151" s="90">
        <f t="shared" si="29"/>
        <v>0</v>
      </c>
      <c r="I151" s="90">
        <f t="shared" si="22"/>
        <v>0</v>
      </c>
      <c r="J151" s="90">
        <f>IF(COUNTIFS(Scenario_Weekly_Plan!$A:$A,$A151,Scenario_Weekly_Plan!$B:$B,$C151)&gt;0,SUMIFS(Scenario_Weekly_Plan!$C:$C,Scenario_Weekly_Plan!$A:$A,$A151,Scenario_Weekly_Plan!$B:$B,$C151),MIN(Q151,I151,MAX(0,E151+G151-F151)))</f>
        <v>0</v>
      </c>
      <c r="K151" s="90">
        <f t="shared" si="23"/>
        <v>0</v>
      </c>
      <c r="L151" s="90">
        <f t="shared" si="24"/>
        <v>0</v>
      </c>
      <c r="M151" s="90">
        <f t="shared" si="25"/>
        <v>0</v>
      </c>
      <c r="N151" s="91">
        <f t="shared" si="26"/>
        <v>1</v>
      </c>
      <c r="O151" s="104">
        <f>IF(COUNTIFS(Scenario_Weekly_Plan!$A:$A,$A151,Scenario_Weekly_Plan!$B:$B,$C151)&gt;0,"Scenario PP imported",MPS!O151)</f>
        <v>0</v>
      </c>
      <c r="P151" s="92">
        <f>SUMIFS($J$2:J150,$B$2:B150,B151,$C$2:C150,C151)</f>
        <v>0</v>
      </c>
      <c r="Q151" s="92">
        <f t="shared" si="27"/>
        <v>3000</v>
      </c>
      <c r="R151" s="106">
        <f t="shared" si="28"/>
        <v>0</v>
      </c>
      <c r="S151" s="104"/>
      <c r="T151" s="104"/>
      <c r="U151" s="104"/>
    </row>
    <row r="152" spans="1:21" x14ac:dyDescent="0.3">
      <c r="A152" s="87" t="s">
        <v>5</v>
      </c>
      <c r="B152" s="87" t="s">
        <v>56</v>
      </c>
      <c r="C152" s="101">
        <v>46167</v>
      </c>
      <c r="D152" s="89">
        <v>3000</v>
      </c>
      <c r="E152" s="89">
        <v>300</v>
      </c>
      <c r="F152" s="89">
        <f t="shared" si="30"/>
        <v>0</v>
      </c>
      <c r="G152" s="89">
        <v>3000</v>
      </c>
      <c r="H152" s="90">
        <f t="shared" si="29"/>
        <v>0</v>
      </c>
      <c r="I152" s="90">
        <f t="shared" si="22"/>
        <v>300</v>
      </c>
      <c r="J152" s="90">
        <f>IF(COUNTIFS(Scenario_Weekly_Plan!$A:$A,$A152,Scenario_Weekly_Plan!$B:$B,$C152)&gt;0,SUMIFS(Scenario_Weekly_Plan!$C:$C,Scenario_Weekly_Plan!$A:$A,$A152,Scenario_Weekly_Plan!$B:$B,$C152),MIN(Q152,I152,MAX(0,E152+G152-F152)))</f>
        <v>300</v>
      </c>
      <c r="K152" s="90">
        <f t="shared" si="23"/>
        <v>0</v>
      </c>
      <c r="L152" s="90">
        <f t="shared" si="24"/>
        <v>0</v>
      </c>
      <c r="M152" s="90">
        <f t="shared" si="25"/>
        <v>0</v>
      </c>
      <c r="N152" s="91">
        <f t="shared" si="26"/>
        <v>1</v>
      </c>
      <c r="O152" s="104">
        <f>IF(COUNTIFS(Scenario_Weekly_Plan!$A:$A,$A152,Scenario_Weekly_Plan!$B:$B,$C152)&gt;0,"Scenario PP imported",MPS!O152)</f>
        <v>0</v>
      </c>
      <c r="P152" s="92">
        <f>SUMIFS($J$2:J151,$B$2:B151,B152,$C$2:C151,C152)</f>
        <v>0</v>
      </c>
      <c r="Q152" s="92">
        <f t="shared" si="27"/>
        <v>3000</v>
      </c>
      <c r="R152" s="106">
        <f t="shared" si="28"/>
        <v>300</v>
      </c>
      <c r="S152" s="104"/>
      <c r="T152" s="104"/>
      <c r="U152" s="104"/>
    </row>
    <row r="153" spans="1:21" x14ac:dyDescent="0.3">
      <c r="A153" s="87" t="s">
        <v>5</v>
      </c>
      <c r="B153" s="87" t="s">
        <v>56</v>
      </c>
      <c r="C153" s="101">
        <v>46174</v>
      </c>
      <c r="D153" s="89">
        <v>3000</v>
      </c>
      <c r="E153" s="89">
        <v>0</v>
      </c>
      <c r="F153" s="89">
        <f t="shared" si="30"/>
        <v>0</v>
      </c>
      <c r="G153" s="89">
        <v>3000</v>
      </c>
      <c r="H153" s="90">
        <f t="shared" si="29"/>
        <v>0</v>
      </c>
      <c r="I153" s="90">
        <f t="shared" si="22"/>
        <v>0</v>
      </c>
      <c r="J153" s="90">
        <f>IF(COUNTIFS(Scenario_Weekly_Plan!$A:$A,$A153,Scenario_Weekly_Plan!$B:$B,$C153)&gt;0,SUMIFS(Scenario_Weekly_Plan!$C:$C,Scenario_Weekly_Plan!$A:$A,$A153,Scenario_Weekly_Plan!$B:$B,$C153),MIN(Q153,I153,MAX(0,E153+G153-F153)))</f>
        <v>0</v>
      </c>
      <c r="K153" s="90">
        <f t="shared" si="23"/>
        <v>0</v>
      </c>
      <c r="L153" s="90">
        <f t="shared" si="24"/>
        <v>0</v>
      </c>
      <c r="M153" s="90">
        <f t="shared" si="25"/>
        <v>0</v>
      </c>
      <c r="N153" s="91">
        <f t="shared" si="26"/>
        <v>1</v>
      </c>
      <c r="O153" s="104">
        <f>IF(COUNTIFS(Scenario_Weekly_Plan!$A:$A,$A153,Scenario_Weekly_Plan!$B:$B,$C153)&gt;0,"Scenario PP imported",MPS!O153)</f>
        <v>0</v>
      </c>
      <c r="P153" s="92">
        <f>SUMIFS($J$2:J152,$B$2:B152,B153,$C$2:C152,C153)</f>
        <v>0</v>
      </c>
      <c r="Q153" s="92">
        <f t="shared" si="27"/>
        <v>3000</v>
      </c>
      <c r="R153" s="106">
        <f t="shared" si="28"/>
        <v>0</v>
      </c>
      <c r="S153" s="104"/>
      <c r="T153" s="104"/>
      <c r="U153" s="104"/>
    </row>
    <row r="154" spans="1:21" x14ac:dyDescent="0.3">
      <c r="A154" s="87" t="s">
        <v>5</v>
      </c>
      <c r="B154" s="87" t="s">
        <v>56</v>
      </c>
      <c r="C154" s="101">
        <v>46181</v>
      </c>
      <c r="D154" s="89">
        <v>3000</v>
      </c>
      <c r="E154" s="89">
        <v>0</v>
      </c>
      <c r="F154" s="89">
        <f t="shared" si="30"/>
        <v>0</v>
      </c>
      <c r="G154" s="89">
        <v>3000</v>
      </c>
      <c r="H154" s="90">
        <f t="shared" si="29"/>
        <v>0</v>
      </c>
      <c r="I154" s="90">
        <f t="shared" si="22"/>
        <v>0</v>
      </c>
      <c r="J154" s="90">
        <f>IF(COUNTIFS(Scenario_Weekly_Plan!$A:$A,$A154,Scenario_Weekly_Plan!$B:$B,$C154)&gt;0,SUMIFS(Scenario_Weekly_Plan!$C:$C,Scenario_Weekly_Plan!$A:$A,$A154,Scenario_Weekly_Plan!$B:$B,$C154),MIN(Q154,I154,MAX(0,E154+G154-F154)))</f>
        <v>0</v>
      </c>
      <c r="K154" s="90">
        <f t="shared" si="23"/>
        <v>0</v>
      </c>
      <c r="L154" s="90">
        <f t="shared" si="24"/>
        <v>0</v>
      </c>
      <c r="M154" s="90">
        <f t="shared" si="25"/>
        <v>0</v>
      </c>
      <c r="N154" s="91">
        <f t="shared" si="26"/>
        <v>1</v>
      </c>
      <c r="O154" s="104">
        <f>IF(COUNTIFS(Scenario_Weekly_Plan!$A:$A,$A154,Scenario_Weekly_Plan!$B:$B,$C154)&gt;0,"Scenario PP imported",MPS!O154)</f>
        <v>0</v>
      </c>
      <c r="P154" s="92">
        <f>SUMIFS($J$2:J153,$B$2:B153,B154,$C$2:C153,C154)</f>
        <v>0</v>
      </c>
      <c r="Q154" s="92">
        <f t="shared" si="27"/>
        <v>3000</v>
      </c>
      <c r="R154" s="106">
        <f t="shared" si="28"/>
        <v>0</v>
      </c>
      <c r="S154" s="104"/>
      <c r="T154" s="104"/>
      <c r="U154" s="104"/>
    </row>
    <row r="155" spans="1:21" x14ac:dyDescent="0.3">
      <c r="A155" s="87" t="s">
        <v>5</v>
      </c>
      <c r="B155" s="87" t="s">
        <v>56</v>
      </c>
      <c r="C155" s="101">
        <v>46188</v>
      </c>
      <c r="D155" s="89">
        <v>3000</v>
      </c>
      <c r="E155" s="89">
        <v>300</v>
      </c>
      <c r="F155" s="89">
        <f t="shared" si="30"/>
        <v>0</v>
      </c>
      <c r="G155" s="89">
        <v>3000</v>
      </c>
      <c r="H155" s="90">
        <f t="shared" si="29"/>
        <v>0</v>
      </c>
      <c r="I155" s="90">
        <f t="shared" si="22"/>
        <v>300</v>
      </c>
      <c r="J155" s="90">
        <f>IF(COUNTIFS(Scenario_Weekly_Plan!$A:$A,$A155,Scenario_Weekly_Plan!$B:$B,$C155)&gt;0,SUMIFS(Scenario_Weekly_Plan!$C:$C,Scenario_Weekly_Plan!$A:$A,$A155,Scenario_Weekly_Plan!$B:$B,$C155),MIN(Q155,I155,MAX(0,E155+G155-F155)))</f>
        <v>300</v>
      </c>
      <c r="K155" s="90">
        <f t="shared" si="23"/>
        <v>0</v>
      </c>
      <c r="L155" s="90">
        <f t="shared" si="24"/>
        <v>0</v>
      </c>
      <c r="M155" s="90">
        <f t="shared" si="25"/>
        <v>0</v>
      </c>
      <c r="N155" s="91">
        <f t="shared" si="26"/>
        <v>1</v>
      </c>
      <c r="O155" s="104">
        <f>IF(COUNTIFS(Scenario_Weekly_Plan!$A:$A,$A155,Scenario_Weekly_Plan!$B:$B,$C155)&gt;0,"Scenario PP imported",MPS!O155)</f>
        <v>0</v>
      </c>
      <c r="P155" s="92">
        <f>SUMIFS($J$2:J154,$B$2:B154,B155,$C$2:C154,C155)</f>
        <v>0</v>
      </c>
      <c r="Q155" s="92">
        <f t="shared" si="27"/>
        <v>3000</v>
      </c>
      <c r="R155" s="106">
        <f t="shared" si="28"/>
        <v>300</v>
      </c>
      <c r="S155" s="104"/>
      <c r="T155" s="104"/>
      <c r="U155" s="104"/>
    </row>
    <row r="156" spans="1:21" x14ac:dyDescent="0.3">
      <c r="A156" s="87" t="s">
        <v>5</v>
      </c>
      <c r="B156" s="87" t="s">
        <v>56</v>
      </c>
      <c r="C156" s="101">
        <v>46195</v>
      </c>
      <c r="D156" s="89">
        <v>3000</v>
      </c>
      <c r="E156" s="89">
        <v>0</v>
      </c>
      <c r="F156" s="89">
        <f t="shared" si="30"/>
        <v>0</v>
      </c>
      <c r="G156" s="89">
        <v>3000</v>
      </c>
      <c r="H156" s="90">
        <f t="shared" si="29"/>
        <v>0</v>
      </c>
      <c r="I156" s="90">
        <f t="shared" si="22"/>
        <v>0</v>
      </c>
      <c r="J156" s="90">
        <f>IF(COUNTIFS(Scenario_Weekly_Plan!$A:$A,$A156,Scenario_Weekly_Plan!$B:$B,$C156)&gt;0,SUMIFS(Scenario_Weekly_Plan!$C:$C,Scenario_Weekly_Plan!$A:$A,$A156,Scenario_Weekly_Plan!$B:$B,$C156),MIN(Q156,I156,MAX(0,E156+G156-F156)))</f>
        <v>0</v>
      </c>
      <c r="K156" s="90">
        <f t="shared" si="23"/>
        <v>0</v>
      </c>
      <c r="L156" s="90">
        <f t="shared" si="24"/>
        <v>0</v>
      </c>
      <c r="M156" s="90">
        <f t="shared" si="25"/>
        <v>0</v>
      </c>
      <c r="N156" s="91">
        <f t="shared" si="26"/>
        <v>1</v>
      </c>
      <c r="O156" s="104">
        <f>IF(COUNTIFS(Scenario_Weekly_Plan!$A:$A,$A156,Scenario_Weekly_Plan!$B:$B,$C156)&gt;0,"Scenario PP imported",MPS!O156)</f>
        <v>0</v>
      </c>
      <c r="P156" s="92">
        <f>SUMIFS($J$2:J155,$B$2:B155,B156,$C$2:C155,C156)</f>
        <v>0</v>
      </c>
      <c r="Q156" s="92">
        <f t="shared" si="27"/>
        <v>3000</v>
      </c>
      <c r="R156" s="106">
        <f t="shared" si="28"/>
        <v>0</v>
      </c>
      <c r="S156" s="104"/>
      <c r="T156" s="104"/>
      <c r="U156" s="104"/>
    </row>
    <row r="157" spans="1:21" x14ac:dyDescent="0.3">
      <c r="A157" s="87" t="s">
        <v>5</v>
      </c>
      <c r="B157" s="87" t="s">
        <v>56</v>
      </c>
      <c r="C157" s="101">
        <v>46202</v>
      </c>
      <c r="D157" s="89">
        <v>3000</v>
      </c>
      <c r="E157" s="89">
        <v>700</v>
      </c>
      <c r="F157" s="89">
        <f t="shared" si="30"/>
        <v>0</v>
      </c>
      <c r="G157" s="89">
        <v>3000</v>
      </c>
      <c r="H157" s="90">
        <f t="shared" si="29"/>
        <v>0</v>
      </c>
      <c r="I157" s="90">
        <f t="shared" si="22"/>
        <v>700</v>
      </c>
      <c r="J157" s="90">
        <f>IF(COUNTIFS(Scenario_Weekly_Plan!$A:$A,$A157,Scenario_Weekly_Plan!$B:$B,$C157)&gt;0,SUMIFS(Scenario_Weekly_Plan!$C:$C,Scenario_Weekly_Plan!$A:$A,$A157,Scenario_Weekly_Plan!$B:$B,$C157),MIN(Q157,I157,MAX(0,E157+G157-F157)))</f>
        <v>700</v>
      </c>
      <c r="K157" s="90">
        <f t="shared" si="23"/>
        <v>0</v>
      </c>
      <c r="L157" s="90">
        <f t="shared" si="24"/>
        <v>0</v>
      </c>
      <c r="M157" s="90">
        <f t="shared" si="25"/>
        <v>0</v>
      </c>
      <c r="N157" s="91">
        <f t="shared" si="26"/>
        <v>1</v>
      </c>
      <c r="O157" s="104">
        <f>IF(COUNTIFS(Scenario_Weekly_Plan!$A:$A,$A157,Scenario_Weekly_Plan!$B:$B,$C157)&gt;0,"Scenario PP imported",MPS!O157)</f>
        <v>0</v>
      </c>
      <c r="P157" s="92">
        <f>SUMIFS($J$2:J156,$B$2:B156,B157,$C$2:C156,C157)</f>
        <v>0</v>
      </c>
      <c r="Q157" s="92">
        <f t="shared" si="27"/>
        <v>3000</v>
      </c>
      <c r="R157" s="106">
        <f t="shared" si="28"/>
        <v>700</v>
      </c>
      <c r="S157" s="104"/>
      <c r="T157" s="104"/>
      <c r="U157" s="104"/>
    </row>
    <row r="158" spans="1:21" x14ac:dyDescent="0.3">
      <c r="A158" s="87" t="s">
        <v>5</v>
      </c>
      <c r="B158" s="87" t="s">
        <v>56</v>
      </c>
      <c r="C158" s="101">
        <v>46209</v>
      </c>
      <c r="D158" s="89">
        <v>3000</v>
      </c>
      <c r="E158" s="89">
        <v>300</v>
      </c>
      <c r="F158" s="89">
        <f t="shared" si="30"/>
        <v>0</v>
      </c>
      <c r="G158" s="89">
        <v>3000</v>
      </c>
      <c r="H158" s="90">
        <f t="shared" si="29"/>
        <v>0</v>
      </c>
      <c r="I158" s="90">
        <f t="shared" si="22"/>
        <v>300</v>
      </c>
      <c r="J158" s="90">
        <f>IF(COUNTIFS(Scenario_Weekly_Plan!$A:$A,$A158,Scenario_Weekly_Plan!$B:$B,$C158)&gt;0,SUMIFS(Scenario_Weekly_Plan!$C:$C,Scenario_Weekly_Plan!$A:$A,$A158,Scenario_Weekly_Plan!$B:$B,$C158),MIN(Q158,I158,MAX(0,E158+G158-F158)))</f>
        <v>300</v>
      </c>
      <c r="K158" s="90">
        <f t="shared" si="23"/>
        <v>0</v>
      </c>
      <c r="L158" s="90">
        <f t="shared" si="24"/>
        <v>0</v>
      </c>
      <c r="M158" s="90">
        <f t="shared" si="25"/>
        <v>0</v>
      </c>
      <c r="N158" s="91">
        <f t="shared" si="26"/>
        <v>1</v>
      </c>
      <c r="O158" s="104">
        <f>IF(COUNTIFS(Scenario_Weekly_Plan!$A:$A,$A158,Scenario_Weekly_Plan!$B:$B,$C158)&gt;0,"Scenario PP imported",MPS!O158)</f>
        <v>0</v>
      </c>
      <c r="P158" s="92">
        <f>SUMIFS($J$2:J157,$B$2:B157,B158,$C$2:C157,C158)</f>
        <v>0</v>
      </c>
      <c r="Q158" s="92">
        <f t="shared" si="27"/>
        <v>3000</v>
      </c>
      <c r="R158" s="106">
        <f t="shared" si="28"/>
        <v>300</v>
      </c>
      <c r="S158" s="104"/>
      <c r="T158" s="104"/>
      <c r="U158" s="104"/>
    </row>
    <row r="159" spans="1:21" x14ac:dyDescent="0.3">
      <c r="A159" s="87" t="s">
        <v>5</v>
      </c>
      <c r="B159" s="87" t="s">
        <v>56</v>
      </c>
      <c r="C159" s="101">
        <v>46216</v>
      </c>
      <c r="D159" s="89">
        <v>3000</v>
      </c>
      <c r="E159" s="89">
        <v>300</v>
      </c>
      <c r="F159" s="89">
        <f t="shared" si="30"/>
        <v>0</v>
      </c>
      <c r="G159" s="89">
        <v>3000</v>
      </c>
      <c r="H159" s="90">
        <f t="shared" si="29"/>
        <v>0</v>
      </c>
      <c r="I159" s="90">
        <f t="shared" si="22"/>
        <v>300</v>
      </c>
      <c r="J159" s="90">
        <f>IF(COUNTIFS(Scenario_Weekly_Plan!$A:$A,$A159,Scenario_Weekly_Plan!$B:$B,$C159)&gt;0,SUMIFS(Scenario_Weekly_Plan!$C:$C,Scenario_Weekly_Plan!$A:$A,$A159,Scenario_Weekly_Plan!$B:$B,$C159),MIN(Q159,I159,MAX(0,E159+G159-F159)))</f>
        <v>300</v>
      </c>
      <c r="K159" s="90">
        <f t="shared" si="23"/>
        <v>0</v>
      </c>
      <c r="L159" s="90">
        <f t="shared" si="24"/>
        <v>0</v>
      </c>
      <c r="M159" s="90">
        <f t="shared" si="25"/>
        <v>0</v>
      </c>
      <c r="N159" s="91">
        <f t="shared" si="26"/>
        <v>1</v>
      </c>
      <c r="O159" s="104">
        <f>IF(COUNTIFS(Scenario_Weekly_Plan!$A:$A,$A159,Scenario_Weekly_Plan!$B:$B,$C159)&gt;0,"Scenario PP imported",MPS!O159)</f>
        <v>0</v>
      </c>
      <c r="P159" s="92">
        <f>SUMIFS($J$2:J158,$B$2:B158,B159,$C$2:C158,C159)</f>
        <v>0</v>
      </c>
      <c r="Q159" s="92">
        <f t="shared" si="27"/>
        <v>3000</v>
      </c>
      <c r="R159" s="106">
        <f t="shared" si="28"/>
        <v>300</v>
      </c>
      <c r="S159" s="104"/>
      <c r="T159" s="104"/>
      <c r="U159" s="104"/>
    </row>
    <row r="160" spans="1:21" x14ac:dyDescent="0.3">
      <c r="A160" s="87" t="s">
        <v>5</v>
      </c>
      <c r="B160" s="87" t="s">
        <v>56</v>
      </c>
      <c r="C160" s="101">
        <v>46223</v>
      </c>
      <c r="D160" s="89">
        <v>3000</v>
      </c>
      <c r="E160" s="89">
        <v>300</v>
      </c>
      <c r="F160" s="89">
        <f t="shared" si="30"/>
        <v>0</v>
      </c>
      <c r="G160" s="89">
        <v>3000</v>
      </c>
      <c r="H160" s="90">
        <f t="shared" si="29"/>
        <v>0</v>
      </c>
      <c r="I160" s="90">
        <f t="shared" si="22"/>
        <v>300</v>
      </c>
      <c r="J160" s="90">
        <f>IF(COUNTIFS(Scenario_Weekly_Plan!$A:$A,$A160,Scenario_Weekly_Plan!$B:$B,$C160)&gt;0,SUMIFS(Scenario_Weekly_Plan!$C:$C,Scenario_Weekly_Plan!$A:$A,$A160,Scenario_Weekly_Plan!$B:$B,$C160),MIN(Q160,I160,MAX(0,E160+G160-F160)))</f>
        <v>300</v>
      </c>
      <c r="K160" s="90">
        <f t="shared" si="23"/>
        <v>0</v>
      </c>
      <c r="L160" s="90">
        <f t="shared" si="24"/>
        <v>0</v>
      </c>
      <c r="M160" s="90">
        <f t="shared" si="25"/>
        <v>0</v>
      </c>
      <c r="N160" s="91">
        <f t="shared" si="26"/>
        <v>1</v>
      </c>
      <c r="O160" s="104">
        <f>IF(COUNTIFS(Scenario_Weekly_Plan!$A:$A,$A160,Scenario_Weekly_Plan!$B:$B,$C160)&gt;0,"Scenario PP imported",MPS!O160)</f>
        <v>0</v>
      </c>
      <c r="P160" s="92">
        <f>SUMIFS($J$2:J159,$B$2:B159,B160,$C$2:C159,C160)</f>
        <v>0</v>
      </c>
      <c r="Q160" s="92">
        <f t="shared" si="27"/>
        <v>3000</v>
      </c>
      <c r="R160" s="106">
        <f t="shared" si="28"/>
        <v>300</v>
      </c>
      <c r="S160" s="104"/>
      <c r="T160" s="104"/>
      <c r="U160" s="104"/>
    </row>
    <row r="161" spans="1:21" x14ac:dyDescent="0.3">
      <c r="A161" s="87" t="s">
        <v>5</v>
      </c>
      <c r="B161" s="87" t="s">
        <v>56</v>
      </c>
      <c r="C161" s="101">
        <v>46230</v>
      </c>
      <c r="D161" s="89">
        <v>3000</v>
      </c>
      <c r="E161" s="89">
        <v>0</v>
      </c>
      <c r="F161" s="89">
        <f t="shared" si="30"/>
        <v>0</v>
      </c>
      <c r="G161" s="89">
        <v>3000</v>
      </c>
      <c r="H161" s="90">
        <f t="shared" si="29"/>
        <v>0</v>
      </c>
      <c r="I161" s="90">
        <f t="shared" si="22"/>
        <v>0</v>
      </c>
      <c r="J161" s="90">
        <f>IF(COUNTIFS(Scenario_Weekly_Plan!$A:$A,$A161,Scenario_Weekly_Plan!$B:$B,$C161)&gt;0,SUMIFS(Scenario_Weekly_Plan!$C:$C,Scenario_Weekly_Plan!$A:$A,$A161,Scenario_Weekly_Plan!$B:$B,$C161),MIN(Q161,I161,MAX(0,E161+G161-F161)))</f>
        <v>0</v>
      </c>
      <c r="K161" s="90">
        <f t="shared" si="23"/>
        <v>0</v>
      </c>
      <c r="L161" s="90">
        <f t="shared" si="24"/>
        <v>0</v>
      </c>
      <c r="M161" s="90">
        <f t="shared" si="25"/>
        <v>0</v>
      </c>
      <c r="N161" s="91">
        <f t="shared" si="26"/>
        <v>0.15866666666666668</v>
      </c>
      <c r="O161" s="104">
        <f>IF(COUNTIFS(Scenario_Weekly_Plan!$A:$A,$A161,Scenario_Weekly_Plan!$B:$B,$C161)&gt;0,"Scenario PP imported",MPS!O161)</f>
        <v>0</v>
      </c>
      <c r="P161" s="92">
        <f>SUMIFS($J$2:J160,$B$2:B160,B161,$C$2:C160,C161)</f>
        <v>0</v>
      </c>
      <c r="Q161" s="92">
        <f t="shared" si="27"/>
        <v>3000</v>
      </c>
      <c r="R161" s="106">
        <f t="shared" si="28"/>
        <v>0</v>
      </c>
      <c r="S161" s="104"/>
      <c r="T161" s="104"/>
      <c r="U161" s="104"/>
    </row>
    <row r="162" spans="1:21" x14ac:dyDescent="0.3">
      <c r="A162" s="87" t="s">
        <v>5</v>
      </c>
      <c r="B162" s="87" t="s">
        <v>56</v>
      </c>
      <c r="C162" s="101">
        <v>46237</v>
      </c>
      <c r="D162" s="89">
        <v>3000</v>
      </c>
      <c r="E162" s="89">
        <v>0</v>
      </c>
      <c r="F162" s="89">
        <f t="shared" si="30"/>
        <v>0</v>
      </c>
      <c r="G162" s="89">
        <v>3000</v>
      </c>
      <c r="H162" s="90">
        <f t="shared" si="29"/>
        <v>0</v>
      </c>
      <c r="I162" s="90">
        <f t="shared" si="22"/>
        <v>0</v>
      </c>
      <c r="J162" s="90">
        <f>IF(COUNTIFS(Scenario_Weekly_Plan!$A:$A,$A162,Scenario_Weekly_Plan!$B:$B,$C162)&gt;0,SUMIFS(Scenario_Weekly_Plan!$C:$C,Scenario_Weekly_Plan!$A:$A,$A162,Scenario_Weekly_Plan!$B:$B,$C162),MIN(Q162,I162,MAX(0,E162+G162-F162)))</f>
        <v>0</v>
      </c>
      <c r="K162" s="90">
        <f t="shared" si="23"/>
        <v>0</v>
      </c>
      <c r="L162" s="90">
        <f t="shared" si="24"/>
        <v>0</v>
      </c>
      <c r="M162" s="90">
        <f t="shared" si="25"/>
        <v>0</v>
      </c>
      <c r="N162" s="91">
        <f t="shared" si="26"/>
        <v>0.43266666666666664</v>
      </c>
      <c r="O162" s="104">
        <f>IF(COUNTIFS(Scenario_Weekly_Plan!$A:$A,$A162,Scenario_Weekly_Plan!$B:$B,$C162)&gt;0,"Scenario PP imported",MPS!O162)</f>
        <v>0</v>
      </c>
      <c r="P162" s="92">
        <f>SUMIFS($J$2:J161,$B$2:B161,B162,$C$2:C161,C162)</f>
        <v>0</v>
      </c>
      <c r="Q162" s="92">
        <f t="shared" si="27"/>
        <v>3000</v>
      </c>
      <c r="R162" s="106">
        <f t="shared" si="28"/>
        <v>0</v>
      </c>
      <c r="S162" s="104"/>
      <c r="T162" s="104"/>
      <c r="U162" s="104"/>
    </row>
    <row r="163" spans="1:21" x14ac:dyDescent="0.3">
      <c r="A163" s="87" t="s">
        <v>5</v>
      </c>
      <c r="B163" s="87" t="s">
        <v>56</v>
      </c>
      <c r="C163" s="101">
        <v>46244</v>
      </c>
      <c r="D163" s="89">
        <v>3000</v>
      </c>
      <c r="E163" s="89">
        <v>300</v>
      </c>
      <c r="F163" s="89">
        <f t="shared" si="30"/>
        <v>0</v>
      </c>
      <c r="G163" s="89">
        <v>3000</v>
      </c>
      <c r="H163" s="90">
        <f t="shared" si="29"/>
        <v>0</v>
      </c>
      <c r="I163" s="90">
        <f t="shared" si="22"/>
        <v>300</v>
      </c>
      <c r="J163" s="90">
        <f>IF(COUNTIFS(Scenario_Weekly_Plan!$A:$A,$A163,Scenario_Weekly_Plan!$B:$B,$C163)&gt;0,SUMIFS(Scenario_Weekly_Plan!$C:$C,Scenario_Weekly_Plan!$A:$A,$A163,Scenario_Weekly_Plan!$B:$B,$C163),MIN(Q163,I163,MAX(0,E163+G163-F163)))</f>
        <v>300</v>
      </c>
      <c r="K163" s="90">
        <f t="shared" si="23"/>
        <v>0</v>
      </c>
      <c r="L163" s="90">
        <f t="shared" si="24"/>
        <v>0</v>
      </c>
      <c r="M163" s="90">
        <f t="shared" si="25"/>
        <v>0</v>
      </c>
      <c r="N163" s="91">
        <f t="shared" si="26"/>
        <v>0.53333333333333333</v>
      </c>
      <c r="O163" s="104">
        <f>IF(COUNTIFS(Scenario_Weekly_Plan!$A:$A,$A163,Scenario_Weekly_Plan!$B:$B,$C163)&gt;0,"Scenario PP imported",MPS!O163)</f>
        <v>0</v>
      </c>
      <c r="P163" s="92">
        <f>SUMIFS($J$2:J162,$B$2:B162,B163,$C$2:C162,C163)</f>
        <v>0</v>
      </c>
      <c r="Q163" s="92">
        <f t="shared" si="27"/>
        <v>3000</v>
      </c>
      <c r="R163" s="106">
        <f t="shared" si="28"/>
        <v>300</v>
      </c>
      <c r="S163" s="104"/>
      <c r="T163" s="104"/>
      <c r="U163" s="104"/>
    </row>
    <row r="164" spans="1:21" x14ac:dyDescent="0.3">
      <c r="A164" s="87" t="s">
        <v>5</v>
      </c>
      <c r="B164" s="87" t="s">
        <v>56</v>
      </c>
      <c r="C164" s="101">
        <v>46251</v>
      </c>
      <c r="D164" s="89">
        <v>3000</v>
      </c>
      <c r="E164" s="89">
        <v>0</v>
      </c>
      <c r="F164" s="89">
        <f t="shared" si="30"/>
        <v>0</v>
      </c>
      <c r="G164" s="89">
        <v>3000</v>
      </c>
      <c r="H164" s="90">
        <f t="shared" si="29"/>
        <v>0</v>
      </c>
      <c r="I164" s="90">
        <f t="shared" si="22"/>
        <v>0</v>
      </c>
      <c r="J164" s="90">
        <f>IF(COUNTIFS(Scenario_Weekly_Plan!$A:$A,$A164,Scenario_Weekly_Plan!$B:$B,$C164)&gt;0,SUMIFS(Scenario_Weekly_Plan!$C:$C,Scenario_Weekly_Plan!$A:$A,$A164,Scenario_Weekly_Plan!$B:$B,$C164),MIN(Q164,I164,MAX(0,E164+G164-F164)))</f>
        <v>0</v>
      </c>
      <c r="K164" s="90">
        <f t="shared" si="23"/>
        <v>0</v>
      </c>
      <c r="L164" s="90">
        <f t="shared" si="24"/>
        <v>0</v>
      </c>
      <c r="M164" s="90">
        <f t="shared" si="25"/>
        <v>0</v>
      </c>
      <c r="N164" s="91">
        <f t="shared" si="26"/>
        <v>0.43266666666666664</v>
      </c>
      <c r="O164" s="104">
        <f>IF(COUNTIFS(Scenario_Weekly_Plan!$A:$A,$A164,Scenario_Weekly_Plan!$B:$B,$C164)&gt;0,"Scenario PP imported",MPS!O164)</f>
        <v>0</v>
      </c>
      <c r="P164" s="92">
        <f>SUMIFS($J$2:J163,$B$2:B163,B164,$C$2:C163,C164)</f>
        <v>0</v>
      </c>
      <c r="Q164" s="92">
        <f t="shared" si="27"/>
        <v>3000</v>
      </c>
      <c r="R164" s="106">
        <f t="shared" si="28"/>
        <v>0</v>
      </c>
      <c r="S164" s="104"/>
      <c r="T164" s="104"/>
      <c r="U164" s="104"/>
    </row>
    <row r="165" spans="1:21" x14ac:dyDescent="0.3">
      <c r="A165" s="87" t="s">
        <v>5</v>
      </c>
      <c r="B165" s="87" t="s">
        <v>56</v>
      </c>
      <c r="C165" s="101">
        <v>46258</v>
      </c>
      <c r="D165" s="89">
        <v>3000</v>
      </c>
      <c r="E165" s="89">
        <v>0</v>
      </c>
      <c r="F165" s="89">
        <f t="shared" si="30"/>
        <v>0</v>
      </c>
      <c r="G165" s="89">
        <v>3000</v>
      </c>
      <c r="H165" s="90">
        <f t="shared" si="29"/>
        <v>0</v>
      </c>
      <c r="I165" s="90">
        <f t="shared" si="22"/>
        <v>0</v>
      </c>
      <c r="J165" s="90">
        <f>IF(COUNTIFS(Scenario_Weekly_Plan!$A:$A,$A165,Scenario_Weekly_Plan!$B:$B,$C165)&gt;0,SUMIFS(Scenario_Weekly_Plan!$C:$C,Scenario_Weekly_Plan!$A:$A,$A165,Scenario_Weekly_Plan!$B:$B,$C165),MIN(Q165,I165,MAX(0,E165+G165-F165)))</f>
        <v>0</v>
      </c>
      <c r="K165" s="90">
        <f t="shared" si="23"/>
        <v>0</v>
      </c>
      <c r="L165" s="90">
        <f t="shared" si="24"/>
        <v>0</v>
      </c>
      <c r="M165" s="90">
        <f t="shared" si="25"/>
        <v>0</v>
      </c>
      <c r="N165" s="91">
        <f t="shared" si="26"/>
        <v>0.502</v>
      </c>
      <c r="O165" s="104">
        <f>IF(COUNTIFS(Scenario_Weekly_Plan!$A:$A,$A165,Scenario_Weekly_Plan!$B:$B,$C165)&gt;0,"Scenario PP imported",MPS!O165)</f>
        <v>0</v>
      </c>
      <c r="P165" s="92">
        <f>SUMIFS($J$2:J164,$B$2:B164,B165,$C$2:C164,C165)</f>
        <v>0</v>
      </c>
      <c r="Q165" s="92">
        <f t="shared" si="27"/>
        <v>3000</v>
      </c>
      <c r="R165" s="106">
        <f t="shared" si="28"/>
        <v>0</v>
      </c>
      <c r="S165" s="104"/>
      <c r="T165" s="104"/>
      <c r="U165" s="104"/>
    </row>
    <row r="166" spans="1:21" x14ac:dyDescent="0.3">
      <c r="A166" s="87" t="s">
        <v>5</v>
      </c>
      <c r="B166" s="87" t="s">
        <v>56</v>
      </c>
      <c r="C166" s="101">
        <v>46265</v>
      </c>
      <c r="D166" s="89">
        <v>3000</v>
      </c>
      <c r="E166" s="89">
        <v>300</v>
      </c>
      <c r="F166" s="89">
        <f t="shared" si="30"/>
        <v>0</v>
      </c>
      <c r="G166" s="89">
        <v>3000</v>
      </c>
      <c r="H166" s="90">
        <f t="shared" si="29"/>
        <v>0</v>
      </c>
      <c r="I166" s="90">
        <f t="shared" si="22"/>
        <v>300</v>
      </c>
      <c r="J166" s="90">
        <f>IF(COUNTIFS(Scenario_Weekly_Plan!$A:$A,$A166,Scenario_Weekly_Plan!$B:$B,$C166)&gt;0,SUMIFS(Scenario_Weekly_Plan!$C:$C,Scenario_Weekly_Plan!$A:$A,$A166,Scenario_Weekly_Plan!$B:$B,$C166),MIN(Q166,I166,MAX(0,E166+G166-F166)))</f>
        <v>300</v>
      </c>
      <c r="K166" s="90">
        <f t="shared" si="23"/>
        <v>0</v>
      </c>
      <c r="L166" s="90">
        <f t="shared" si="24"/>
        <v>0</v>
      </c>
      <c r="M166" s="90">
        <f t="shared" si="25"/>
        <v>0</v>
      </c>
      <c r="N166" s="91">
        <f t="shared" si="26"/>
        <v>0.60199999999999998</v>
      </c>
      <c r="O166" s="104">
        <f>IF(COUNTIFS(Scenario_Weekly_Plan!$A:$A,$A166,Scenario_Weekly_Plan!$B:$B,$C166)&gt;0,"Scenario PP imported",MPS!O166)</f>
        <v>0</v>
      </c>
      <c r="P166" s="92">
        <f>SUMIFS($J$2:J165,$B$2:B165,B166,$C$2:C165,C166)</f>
        <v>0</v>
      </c>
      <c r="Q166" s="92">
        <f t="shared" si="27"/>
        <v>3000</v>
      </c>
      <c r="R166" s="106">
        <f t="shared" si="28"/>
        <v>300</v>
      </c>
      <c r="S166" s="104"/>
      <c r="T166" s="104"/>
      <c r="U166" s="104"/>
    </row>
    <row r="167" spans="1:21" x14ac:dyDescent="0.3">
      <c r="A167" s="87" t="s">
        <v>5</v>
      </c>
      <c r="B167" s="87" t="s">
        <v>56</v>
      </c>
      <c r="C167" s="101">
        <v>46272</v>
      </c>
      <c r="D167" s="89">
        <v>3000</v>
      </c>
      <c r="E167" s="89">
        <v>0</v>
      </c>
      <c r="F167" s="89">
        <f t="shared" si="30"/>
        <v>0</v>
      </c>
      <c r="G167" s="89">
        <v>3000</v>
      </c>
      <c r="H167" s="90">
        <f t="shared" si="29"/>
        <v>0</v>
      </c>
      <c r="I167" s="90">
        <f t="shared" si="22"/>
        <v>0</v>
      </c>
      <c r="J167" s="90">
        <f>IF(COUNTIFS(Scenario_Weekly_Plan!$A:$A,$A167,Scenario_Weekly_Plan!$B:$B,$C167)&gt;0,SUMIFS(Scenario_Weekly_Plan!$C:$C,Scenario_Weekly_Plan!$A:$A,$A167,Scenario_Weekly_Plan!$B:$B,$C167),MIN(Q167,I167,MAX(0,E167+G167-F167)))</f>
        <v>0</v>
      </c>
      <c r="K167" s="90">
        <f t="shared" si="23"/>
        <v>0</v>
      </c>
      <c r="L167" s="90">
        <f t="shared" si="24"/>
        <v>0</v>
      </c>
      <c r="M167" s="90">
        <f t="shared" si="25"/>
        <v>0</v>
      </c>
      <c r="N167" s="91">
        <f t="shared" si="26"/>
        <v>0.502</v>
      </c>
      <c r="O167" s="104">
        <f>IF(COUNTIFS(Scenario_Weekly_Plan!$A:$A,$A167,Scenario_Weekly_Plan!$B:$B,$C167)&gt;0,"Scenario PP imported",MPS!O167)</f>
        <v>0</v>
      </c>
      <c r="P167" s="92">
        <f>SUMIFS($J$2:J166,$B$2:B166,B167,$C$2:C166,C167)</f>
        <v>0</v>
      </c>
      <c r="Q167" s="92">
        <f t="shared" si="27"/>
        <v>3000</v>
      </c>
      <c r="R167" s="106">
        <f t="shared" si="28"/>
        <v>0</v>
      </c>
      <c r="S167" s="104"/>
      <c r="T167" s="104"/>
      <c r="U167" s="104"/>
    </row>
    <row r="168" spans="1:21" x14ac:dyDescent="0.3">
      <c r="A168" s="87" t="s">
        <v>5</v>
      </c>
      <c r="B168" s="87" t="s">
        <v>56</v>
      </c>
      <c r="C168" s="101">
        <v>46279</v>
      </c>
      <c r="D168" s="89">
        <v>3000</v>
      </c>
      <c r="E168" s="89">
        <v>0</v>
      </c>
      <c r="F168" s="89">
        <f t="shared" si="30"/>
        <v>0</v>
      </c>
      <c r="G168" s="89">
        <v>3000</v>
      </c>
      <c r="H168" s="90">
        <f t="shared" si="29"/>
        <v>0</v>
      </c>
      <c r="I168" s="90">
        <f t="shared" si="22"/>
        <v>0</v>
      </c>
      <c r="J168" s="90">
        <f>IF(COUNTIFS(Scenario_Weekly_Plan!$A:$A,$A168,Scenario_Weekly_Plan!$B:$B,$C168)&gt;0,SUMIFS(Scenario_Weekly_Plan!$C:$C,Scenario_Weekly_Plan!$A:$A,$A168,Scenario_Weekly_Plan!$B:$B,$C168),MIN(Q168,I168,MAX(0,E168+G168-F168)))</f>
        <v>0</v>
      </c>
      <c r="K168" s="90">
        <f t="shared" si="23"/>
        <v>0</v>
      </c>
      <c r="L168" s="90">
        <f t="shared" si="24"/>
        <v>0</v>
      </c>
      <c r="M168" s="90">
        <f t="shared" si="25"/>
        <v>0</v>
      </c>
      <c r="N168" s="91">
        <f t="shared" si="26"/>
        <v>0.502</v>
      </c>
      <c r="O168" s="104">
        <f>IF(COUNTIFS(Scenario_Weekly_Plan!$A:$A,$A168,Scenario_Weekly_Plan!$B:$B,$C168)&gt;0,"Scenario PP imported",MPS!O168)</f>
        <v>0</v>
      </c>
      <c r="P168" s="92">
        <f>SUMIFS($J$2:J167,$B$2:B167,B168,$C$2:C167,C168)</f>
        <v>0</v>
      </c>
      <c r="Q168" s="92">
        <f t="shared" si="27"/>
        <v>3000</v>
      </c>
      <c r="R168" s="106">
        <f t="shared" si="28"/>
        <v>0</v>
      </c>
      <c r="S168" s="104"/>
      <c r="T168" s="104"/>
      <c r="U168" s="104"/>
    </row>
    <row r="169" spans="1:21" x14ac:dyDescent="0.3">
      <c r="A169" s="87" t="s">
        <v>5</v>
      </c>
      <c r="B169" s="87" t="s">
        <v>56</v>
      </c>
      <c r="C169" s="101">
        <v>46286</v>
      </c>
      <c r="D169" s="89">
        <v>3000</v>
      </c>
      <c r="E169" s="89">
        <v>0</v>
      </c>
      <c r="F169" s="89">
        <f t="shared" si="30"/>
        <v>0</v>
      </c>
      <c r="G169" s="89">
        <v>3000</v>
      </c>
      <c r="H169" s="90">
        <f t="shared" si="29"/>
        <v>0</v>
      </c>
      <c r="I169" s="90">
        <f t="shared" si="22"/>
        <v>0</v>
      </c>
      <c r="J169" s="90">
        <f>IF(COUNTIFS(Scenario_Weekly_Plan!$A:$A,$A169,Scenario_Weekly_Plan!$B:$B,$C169)&gt;0,SUMIFS(Scenario_Weekly_Plan!$C:$C,Scenario_Weekly_Plan!$A:$A,$A169,Scenario_Weekly_Plan!$B:$B,$C169),MIN(Q169,I169,MAX(0,E169+G169-F169)))</f>
        <v>0</v>
      </c>
      <c r="K169" s="90">
        <f t="shared" si="23"/>
        <v>0</v>
      </c>
      <c r="L169" s="90">
        <f t="shared" si="24"/>
        <v>0</v>
      </c>
      <c r="M169" s="90">
        <f t="shared" si="25"/>
        <v>0</v>
      </c>
      <c r="N169" s="91">
        <f t="shared" si="26"/>
        <v>0.48199999999999998</v>
      </c>
      <c r="O169" s="104">
        <f>IF(COUNTIFS(Scenario_Weekly_Plan!$A:$A,$A169,Scenario_Weekly_Plan!$B:$B,$C169)&gt;0,"Scenario PP imported",MPS!O169)</f>
        <v>0</v>
      </c>
      <c r="P169" s="92">
        <f>SUMIFS($J$2:J168,$B$2:B168,B169,$C$2:C168,C169)</f>
        <v>0</v>
      </c>
      <c r="Q169" s="92">
        <f t="shared" si="27"/>
        <v>3000</v>
      </c>
      <c r="R169" s="106">
        <f t="shared" si="28"/>
        <v>0</v>
      </c>
      <c r="S169" s="104"/>
      <c r="T169" s="104"/>
      <c r="U169" s="104"/>
    </row>
    <row r="170" spans="1:21" x14ac:dyDescent="0.3">
      <c r="A170" s="87" t="s">
        <v>5</v>
      </c>
      <c r="B170" s="87" t="s">
        <v>56</v>
      </c>
      <c r="C170" s="101">
        <v>46293</v>
      </c>
      <c r="D170" s="89">
        <v>3000</v>
      </c>
      <c r="E170" s="89">
        <v>300</v>
      </c>
      <c r="F170" s="89">
        <f t="shared" si="30"/>
        <v>0</v>
      </c>
      <c r="G170" s="89">
        <v>3000</v>
      </c>
      <c r="H170" s="90">
        <f t="shared" si="29"/>
        <v>0</v>
      </c>
      <c r="I170" s="90">
        <f t="shared" si="22"/>
        <v>300</v>
      </c>
      <c r="J170" s="90">
        <f>IF(COUNTIFS(Scenario_Weekly_Plan!$A:$A,$A170,Scenario_Weekly_Plan!$B:$B,$C170)&gt;0,SUMIFS(Scenario_Weekly_Plan!$C:$C,Scenario_Weekly_Plan!$A:$A,$A170,Scenario_Weekly_Plan!$B:$B,$C170),MIN(Q170,I170,MAX(0,E170+G170-F170)))</f>
        <v>300</v>
      </c>
      <c r="K170" s="90">
        <f t="shared" si="23"/>
        <v>0</v>
      </c>
      <c r="L170" s="90">
        <f t="shared" si="24"/>
        <v>0</v>
      </c>
      <c r="M170" s="90">
        <f t="shared" si="25"/>
        <v>0</v>
      </c>
      <c r="N170" s="91">
        <f t="shared" si="26"/>
        <v>0.1</v>
      </c>
      <c r="O170" s="104">
        <f>IF(COUNTIFS(Scenario_Weekly_Plan!$A:$A,$A170,Scenario_Weekly_Plan!$B:$B,$C170)&gt;0,"Scenario PP imported",MPS!O170)</f>
        <v>0</v>
      </c>
      <c r="P170" s="92">
        <f>SUMIFS($J$2:J169,$B$2:B169,B170,$C$2:C169,C170)</f>
        <v>0</v>
      </c>
      <c r="Q170" s="92">
        <f t="shared" si="27"/>
        <v>3000</v>
      </c>
      <c r="R170" s="106">
        <f t="shared" si="28"/>
        <v>300</v>
      </c>
      <c r="S170" s="104"/>
      <c r="T170" s="104"/>
      <c r="U170" s="104"/>
    </row>
    <row r="171" spans="1:21" x14ac:dyDescent="0.3">
      <c r="A171" s="87" t="s">
        <v>5</v>
      </c>
      <c r="B171" s="87" t="s">
        <v>56</v>
      </c>
      <c r="C171" s="101">
        <v>46300</v>
      </c>
      <c r="D171" s="89">
        <v>3000</v>
      </c>
      <c r="E171" s="89">
        <v>0</v>
      </c>
      <c r="F171" s="89">
        <f t="shared" si="30"/>
        <v>0</v>
      </c>
      <c r="G171" s="89">
        <v>3000</v>
      </c>
      <c r="H171" s="90">
        <f t="shared" si="29"/>
        <v>0</v>
      </c>
      <c r="I171" s="90">
        <f t="shared" si="22"/>
        <v>0</v>
      </c>
      <c r="J171" s="90">
        <f>IF(COUNTIFS(Scenario_Weekly_Plan!$A:$A,$A171,Scenario_Weekly_Plan!$B:$B,$C171)&gt;0,SUMIFS(Scenario_Weekly_Plan!$C:$C,Scenario_Weekly_Plan!$A:$A,$A171,Scenario_Weekly_Plan!$B:$B,$C171),MIN(Q171,I171,MAX(0,E171+G171-F171)))</f>
        <v>0</v>
      </c>
      <c r="K171" s="90">
        <f t="shared" si="23"/>
        <v>0</v>
      </c>
      <c r="L171" s="90">
        <f t="shared" si="24"/>
        <v>0</v>
      </c>
      <c r="M171" s="90">
        <f t="shared" si="25"/>
        <v>0</v>
      </c>
      <c r="N171" s="91">
        <f t="shared" si="26"/>
        <v>0</v>
      </c>
      <c r="O171" s="104">
        <f>IF(COUNTIFS(Scenario_Weekly_Plan!$A:$A,$A171,Scenario_Weekly_Plan!$B:$B,$C171)&gt;0,"Scenario PP imported",MPS!O171)</f>
        <v>0</v>
      </c>
      <c r="P171" s="92">
        <f>SUMIFS($J$2:J170,$B$2:B170,B171,$C$2:C170,C171)</f>
        <v>0</v>
      </c>
      <c r="Q171" s="92">
        <f t="shared" si="27"/>
        <v>3000</v>
      </c>
      <c r="R171" s="106">
        <f t="shared" si="28"/>
        <v>0</v>
      </c>
      <c r="S171" s="104"/>
      <c r="T171" s="104"/>
      <c r="U171" s="104"/>
    </row>
    <row r="172" spans="1:21" x14ac:dyDescent="0.3">
      <c r="A172" s="87" t="s">
        <v>5</v>
      </c>
      <c r="B172" s="87" t="s">
        <v>56</v>
      </c>
      <c r="C172" s="101">
        <v>46307</v>
      </c>
      <c r="D172" s="89">
        <v>3000</v>
      </c>
      <c r="E172" s="89">
        <v>0</v>
      </c>
      <c r="F172" s="89">
        <f t="shared" si="30"/>
        <v>0</v>
      </c>
      <c r="G172" s="89">
        <v>3000</v>
      </c>
      <c r="H172" s="90">
        <f t="shared" si="29"/>
        <v>0</v>
      </c>
      <c r="I172" s="90">
        <f t="shared" si="22"/>
        <v>0</v>
      </c>
      <c r="J172" s="90">
        <f>IF(COUNTIFS(Scenario_Weekly_Plan!$A:$A,$A172,Scenario_Weekly_Plan!$B:$B,$C172)&gt;0,SUMIFS(Scenario_Weekly_Plan!$C:$C,Scenario_Weekly_Plan!$A:$A,$A172,Scenario_Weekly_Plan!$B:$B,$C172),MIN(Q172,I172,MAX(0,E172+G172-F172)))</f>
        <v>0</v>
      </c>
      <c r="K172" s="90">
        <f t="shared" si="23"/>
        <v>0</v>
      </c>
      <c r="L172" s="90">
        <f t="shared" si="24"/>
        <v>0</v>
      </c>
      <c r="M172" s="90">
        <f t="shared" si="25"/>
        <v>0</v>
      </c>
      <c r="N172" s="91">
        <f t="shared" si="26"/>
        <v>0.48266666666666669</v>
      </c>
      <c r="O172" s="104">
        <f>IF(COUNTIFS(Scenario_Weekly_Plan!$A:$A,$A172,Scenario_Weekly_Plan!$B:$B,$C172)&gt;0,"Scenario PP imported",MPS!O172)</f>
        <v>0</v>
      </c>
      <c r="P172" s="92">
        <f>SUMIFS($J$2:J171,$B$2:B171,B172,$C$2:C171,C172)</f>
        <v>0</v>
      </c>
      <c r="Q172" s="92">
        <f t="shared" si="27"/>
        <v>3000</v>
      </c>
      <c r="R172" s="106">
        <f t="shared" si="28"/>
        <v>0</v>
      </c>
      <c r="S172" s="104"/>
      <c r="T172" s="104"/>
      <c r="U172" s="104"/>
    </row>
    <row r="173" spans="1:21" x14ac:dyDescent="0.3">
      <c r="A173" s="87" t="s">
        <v>5</v>
      </c>
      <c r="B173" s="87" t="s">
        <v>56</v>
      </c>
      <c r="C173" s="101">
        <v>46314</v>
      </c>
      <c r="D173" s="89">
        <v>3000</v>
      </c>
      <c r="E173" s="89">
        <v>0</v>
      </c>
      <c r="F173" s="89">
        <f t="shared" si="30"/>
        <v>0</v>
      </c>
      <c r="G173" s="89">
        <v>3000</v>
      </c>
      <c r="H173" s="90">
        <f t="shared" si="29"/>
        <v>0</v>
      </c>
      <c r="I173" s="90">
        <f t="shared" si="22"/>
        <v>0</v>
      </c>
      <c r="J173" s="90">
        <f>IF(COUNTIFS(Scenario_Weekly_Plan!$A:$A,$A173,Scenario_Weekly_Plan!$B:$B,$C173)&gt;0,SUMIFS(Scenario_Weekly_Plan!$C:$C,Scenario_Weekly_Plan!$A:$A,$A173,Scenario_Weekly_Plan!$B:$B,$C173),MIN(Q173,I173,MAX(0,E173+G173-F173)))</f>
        <v>0</v>
      </c>
      <c r="K173" s="90">
        <f t="shared" si="23"/>
        <v>0</v>
      </c>
      <c r="L173" s="90">
        <f t="shared" si="24"/>
        <v>0</v>
      </c>
      <c r="M173" s="90">
        <f t="shared" si="25"/>
        <v>0</v>
      </c>
      <c r="N173" s="91">
        <f t="shared" si="26"/>
        <v>0.48266666666666669</v>
      </c>
      <c r="O173" s="104">
        <f>IF(COUNTIFS(Scenario_Weekly_Plan!$A:$A,$A173,Scenario_Weekly_Plan!$B:$B,$C173)&gt;0,"Scenario PP imported",MPS!O173)</f>
        <v>0</v>
      </c>
      <c r="P173" s="92">
        <f>SUMIFS($J$2:J172,$B$2:B172,B173,$C$2:C172,C173)</f>
        <v>0</v>
      </c>
      <c r="Q173" s="92">
        <f t="shared" si="27"/>
        <v>3000</v>
      </c>
      <c r="R173" s="106">
        <f t="shared" si="28"/>
        <v>0</v>
      </c>
      <c r="S173" s="104"/>
      <c r="T173" s="104"/>
      <c r="U173" s="104"/>
    </row>
    <row r="174" spans="1:21" x14ac:dyDescent="0.3">
      <c r="A174" s="87" t="s">
        <v>5</v>
      </c>
      <c r="B174" s="87" t="s">
        <v>56</v>
      </c>
      <c r="C174" s="101">
        <v>46321</v>
      </c>
      <c r="D174" s="89">
        <v>3000</v>
      </c>
      <c r="E174" s="89">
        <v>0</v>
      </c>
      <c r="F174" s="89">
        <f t="shared" si="30"/>
        <v>0</v>
      </c>
      <c r="G174" s="89">
        <v>3000</v>
      </c>
      <c r="H174" s="90">
        <f t="shared" si="29"/>
        <v>0</v>
      </c>
      <c r="I174" s="90">
        <f t="shared" si="22"/>
        <v>0</v>
      </c>
      <c r="J174" s="90">
        <f>IF(COUNTIFS(Scenario_Weekly_Plan!$A:$A,$A174,Scenario_Weekly_Plan!$B:$B,$C174)&gt;0,SUMIFS(Scenario_Weekly_Plan!$C:$C,Scenario_Weekly_Plan!$A:$A,$A174,Scenario_Weekly_Plan!$B:$B,$C174),MIN(Q174,I174,MAX(0,E174+G174-F174)))</f>
        <v>0</v>
      </c>
      <c r="K174" s="90">
        <f t="shared" si="23"/>
        <v>0</v>
      </c>
      <c r="L174" s="90">
        <f t="shared" si="24"/>
        <v>0</v>
      </c>
      <c r="M174" s="90">
        <f t="shared" si="25"/>
        <v>0</v>
      </c>
      <c r="N174" s="91">
        <f t="shared" si="26"/>
        <v>0.48266666666666669</v>
      </c>
      <c r="O174" s="104">
        <f>IF(COUNTIFS(Scenario_Weekly_Plan!$A:$A,$A174,Scenario_Weekly_Plan!$B:$B,$C174)&gt;0,"Scenario PP imported",MPS!O174)</f>
        <v>0</v>
      </c>
      <c r="P174" s="92">
        <f>SUMIFS($J$2:J173,$B$2:B173,B174,$C$2:C173,C174)</f>
        <v>0</v>
      </c>
      <c r="Q174" s="92">
        <f t="shared" si="27"/>
        <v>3000</v>
      </c>
      <c r="R174" s="106">
        <f t="shared" si="28"/>
        <v>0</v>
      </c>
      <c r="S174" s="104"/>
      <c r="T174" s="104"/>
      <c r="U174" s="104"/>
    </row>
    <row r="175" spans="1:21" x14ac:dyDescent="0.3">
      <c r="A175" s="87" t="s">
        <v>5</v>
      </c>
      <c r="B175" s="87" t="s">
        <v>56</v>
      </c>
      <c r="C175" s="101">
        <v>46328</v>
      </c>
      <c r="D175" s="89">
        <v>3000</v>
      </c>
      <c r="E175" s="89">
        <v>300</v>
      </c>
      <c r="F175" s="89">
        <f t="shared" si="30"/>
        <v>0</v>
      </c>
      <c r="G175" s="89">
        <v>3000</v>
      </c>
      <c r="H175" s="90">
        <f t="shared" si="29"/>
        <v>0</v>
      </c>
      <c r="I175" s="90">
        <f t="shared" si="22"/>
        <v>300</v>
      </c>
      <c r="J175" s="90">
        <f>IF(COUNTIFS(Scenario_Weekly_Plan!$A:$A,$A175,Scenario_Weekly_Plan!$B:$B,$C175)&gt;0,SUMIFS(Scenario_Weekly_Plan!$C:$C,Scenario_Weekly_Plan!$A:$A,$A175,Scenario_Weekly_Plan!$B:$B,$C175),MIN(Q175,I175,MAX(0,E175+G175-F175)))</f>
        <v>300</v>
      </c>
      <c r="K175" s="90">
        <f t="shared" si="23"/>
        <v>0</v>
      </c>
      <c r="L175" s="90">
        <f t="shared" si="24"/>
        <v>0</v>
      </c>
      <c r="M175" s="90">
        <f t="shared" si="25"/>
        <v>0</v>
      </c>
      <c r="N175" s="91">
        <f t="shared" si="26"/>
        <v>0.68466666666666665</v>
      </c>
      <c r="O175" s="104">
        <f>IF(COUNTIFS(Scenario_Weekly_Plan!$A:$A,$A175,Scenario_Weekly_Plan!$B:$B,$C175)&gt;0,"Scenario PP imported",MPS!O175)</f>
        <v>0</v>
      </c>
      <c r="P175" s="92">
        <f>SUMIFS($J$2:J174,$B$2:B174,B175,$C$2:C174,C175)</f>
        <v>0</v>
      </c>
      <c r="Q175" s="92">
        <f t="shared" si="27"/>
        <v>3000</v>
      </c>
      <c r="R175" s="106">
        <f t="shared" si="28"/>
        <v>300</v>
      </c>
      <c r="S175" s="104"/>
      <c r="T175" s="104"/>
      <c r="U175" s="104"/>
    </row>
    <row r="176" spans="1:21" x14ac:dyDescent="0.3">
      <c r="A176" s="87" t="s">
        <v>5</v>
      </c>
      <c r="B176" s="87" t="s">
        <v>56</v>
      </c>
      <c r="C176" s="101">
        <v>46335</v>
      </c>
      <c r="D176" s="89">
        <v>3000</v>
      </c>
      <c r="E176" s="89">
        <v>0</v>
      </c>
      <c r="F176" s="89">
        <f t="shared" si="30"/>
        <v>0</v>
      </c>
      <c r="G176" s="89">
        <v>3000</v>
      </c>
      <c r="H176" s="90">
        <f t="shared" si="29"/>
        <v>0</v>
      </c>
      <c r="I176" s="90">
        <f t="shared" si="22"/>
        <v>0</v>
      </c>
      <c r="J176" s="90">
        <f>IF(COUNTIFS(Scenario_Weekly_Plan!$A:$A,$A176,Scenario_Weekly_Plan!$B:$B,$C176)&gt;0,SUMIFS(Scenario_Weekly_Plan!$C:$C,Scenario_Weekly_Plan!$A:$A,$A176,Scenario_Weekly_Plan!$B:$B,$C176),MIN(Q176,I176,MAX(0,E176+G176-F176)))</f>
        <v>0</v>
      </c>
      <c r="K176" s="90">
        <f t="shared" si="23"/>
        <v>0</v>
      </c>
      <c r="L176" s="90">
        <f t="shared" si="24"/>
        <v>0</v>
      </c>
      <c r="M176" s="90">
        <f t="shared" si="25"/>
        <v>0</v>
      </c>
      <c r="N176" s="91">
        <f t="shared" si="26"/>
        <v>0.58533333333333337</v>
      </c>
      <c r="O176" s="104">
        <f>IF(COUNTIFS(Scenario_Weekly_Plan!$A:$A,$A176,Scenario_Weekly_Plan!$B:$B,$C176)&gt;0,"Scenario PP imported",MPS!O176)</f>
        <v>0</v>
      </c>
      <c r="P176" s="92">
        <f>SUMIFS($J$2:J175,$B$2:B175,B176,$C$2:C175,C176)</f>
        <v>0</v>
      </c>
      <c r="Q176" s="92">
        <f t="shared" si="27"/>
        <v>3000</v>
      </c>
      <c r="R176" s="106">
        <f t="shared" si="28"/>
        <v>0</v>
      </c>
      <c r="S176" s="104"/>
      <c r="T176" s="104"/>
      <c r="U176" s="104"/>
    </row>
    <row r="177" spans="1:21" x14ac:dyDescent="0.3">
      <c r="A177" s="87" t="s">
        <v>5</v>
      </c>
      <c r="B177" s="87" t="s">
        <v>56</v>
      </c>
      <c r="C177" s="101">
        <v>46342</v>
      </c>
      <c r="D177" s="89">
        <v>3000</v>
      </c>
      <c r="E177" s="89">
        <v>0</v>
      </c>
      <c r="F177" s="89">
        <f t="shared" si="30"/>
        <v>0</v>
      </c>
      <c r="G177" s="89">
        <v>3000</v>
      </c>
      <c r="H177" s="90">
        <f t="shared" si="29"/>
        <v>0</v>
      </c>
      <c r="I177" s="90">
        <f t="shared" si="22"/>
        <v>0</v>
      </c>
      <c r="J177" s="90">
        <f>IF(COUNTIFS(Scenario_Weekly_Plan!$A:$A,$A177,Scenario_Weekly_Plan!$B:$B,$C177)&gt;0,SUMIFS(Scenario_Weekly_Plan!$C:$C,Scenario_Weekly_Plan!$A:$A,$A177,Scenario_Weekly_Plan!$B:$B,$C177),MIN(Q177,I177,MAX(0,E177+G177-F177)))</f>
        <v>0</v>
      </c>
      <c r="K177" s="90">
        <f t="shared" si="23"/>
        <v>0</v>
      </c>
      <c r="L177" s="90">
        <f t="shared" si="24"/>
        <v>0</v>
      </c>
      <c r="M177" s="90">
        <f t="shared" si="25"/>
        <v>0</v>
      </c>
      <c r="N177" s="91">
        <f t="shared" si="26"/>
        <v>0.58533333333333337</v>
      </c>
      <c r="O177" s="104">
        <f>IF(COUNTIFS(Scenario_Weekly_Plan!$A:$A,$A177,Scenario_Weekly_Plan!$B:$B,$C177)&gt;0,"Scenario PP imported",MPS!O177)</f>
        <v>0</v>
      </c>
      <c r="P177" s="92">
        <f>SUMIFS($J$2:J176,$B$2:B176,B177,$C$2:C176,C177)</f>
        <v>0</v>
      </c>
      <c r="Q177" s="92">
        <f t="shared" si="27"/>
        <v>3000</v>
      </c>
      <c r="R177" s="106">
        <f t="shared" si="28"/>
        <v>0</v>
      </c>
      <c r="S177" s="104"/>
      <c r="T177" s="104"/>
      <c r="U177" s="104"/>
    </row>
    <row r="178" spans="1:21" x14ac:dyDescent="0.3">
      <c r="A178" s="87" t="s">
        <v>5</v>
      </c>
      <c r="B178" s="87" t="s">
        <v>56</v>
      </c>
      <c r="C178" s="101">
        <v>46349</v>
      </c>
      <c r="D178" s="89">
        <v>3000</v>
      </c>
      <c r="E178" s="89">
        <v>0</v>
      </c>
      <c r="F178" s="89">
        <f t="shared" si="30"/>
        <v>0</v>
      </c>
      <c r="G178" s="89">
        <v>3000</v>
      </c>
      <c r="H178" s="90">
        <f t="shared" si="29"/>
        <v>0</v>
      </c>
      <c r="I178" s="90">
        <f t="shared" si="22"/>
        <v>0</v>
      </c>
      <c r="J178" s="90">
        <f>IF(COUNTIFS(Scenario_Weekly_Plan!$A:$A,$A178,Scenario_Weekly_Plan!$B:$B,$C178)&gt;0,SUMIFS(Scenario_Weekly_Plan!$C:$C,Scenario_Weekly_Plan!$A:$A,$A178,Scenario_Weekly_Plan!$B:$B,$C178),MIN(Q178,I178,MAX(0,E178+G178-F178)))</f>
        <v>0</v>
      </c>
      <c r="K178" s="90">
        <f t="shared" si="23"/>
        <v>0</v>
      </c>
      <c r="L178" s="90">
        <f t="shared" si="24"/>
        <v>0</v>
      </c>
      <c r="M178" s="90">
        <f t="shared" si="25"/>
        <v>0</v>
      </c>
      <c r="N178" s="91">
        <f t="shared" si="26"/>
        <v>0.58533333333333337</v>
      </c>
      <c r="O178" s="104">
        <f>IF(COUNTIFS(Scenario_Weekly_Plan!$A:$A,$A178,Scenario_Weekly_Plan!$B:$B,$C178)&gt;0,"Scenario PP imported",MPS!O178)</f>
        <v>0</v>
      </c>
      <c r="P178" s="92">
        <f>SUMIFS($J$2:J177,$B$2:B177,B178,$C$2:C177,C178)</f>
        <v>0</v>
      </c>
      <c r="Q178" s="92">
        <f t="shared" si="27"/>
        <v>3000</v>
      </c>
      <c r="R178" s="106">
        <f t="shared" si="28"/>
        <v>0</v>
      </c>
      <c r="S178" s="104"/>
      <c r="T178" s="104"/>
      <c r="U178" s="104"/>
    </row>
    <row r="179" spans="1:21" x14ac:dyDescent="0.3">
      <c r="A179" s="87" t="s">
        <v>5</v>
      </c>
      <c r="B179" s="87" t="s">
        <v>56</v>
      </c>
      <c r="C179" s="101">
        <v>46356</v>
      </c>
      <c r="D179" s="89">
        <v>3000</v>
      </c>
      <c r="E179" s="89">
        <v>300</v>
      </c>
      <c r="F179" s="89">
        <f t="shared" si="30"/>
        <v>0</v>
      </c>
      <c r="G179" s="89">
        <v>3000</v>
      </c>
      <c r="H179" s="90">
        <f t="shared" si="29"/>
        <v>0</v>
      </c>
      <c r="I179" s="90">
        <f t="shared" si="22"/>
        <v>300</v>
      </c>
      <c r="J179" s="90">
        <f>IF(COUNTIFS(Scenario_Weekly_Plan!$A:$A,$A179,Scenario_Weekly_Plan!$B:$B,$C179)&gt;0,SUMIFS(Scenario_Weekly_Plan!$C:$C,Scenario_Weekly_Plan!$A:$A,$A179,Scenario_Weekly_Plan!$B:$B,$C179),MIN(Q179,I179,MAX(0,E179+G179-F179)))</f>
        <v>300</v>
      </c>
      <c r="K179" s="90">
        <f t="shared" si="23"/>
        <v>0</v>
      </c>
      <c r="L179" s="90">
        <f t="shared" si="24"/>
        <v>0</v>
      </c>
      <c r="M179" s="90">
        <f t="shared" si="25"/>
        <v>0</v>
      </c>
      <c r="N179" s="91">
        <f t="shared" si="26"/>
        <v>0.7426666666666667</v>
      </c>
      <c r="O179" s="104">
        <f>IF(COUNTIFS(Scenario_Weekly_Plan!$A:$A,$A179,Scenario_Weekly_Plan!$B:$B,$C179)&gt;0,"Scenario PP imported",MPS!O179)</f>
        <v>0</v>
      </c>
      <c r="P179" s="92">
        <f>SUMIFS($J$2:J178,$B$2:B178,B179,$C$2:C178,C179)</f>
        <v>0</v>
      </c>
      <c r="Q179" s="92">
        <f t="shared" si="27"/>
        <v>3000</v>
      </c>
      <c r="R179" s="106">
        <f t="shared" si="28"/>
        <v>300</v>
      </c>
      <c r="S179" s="104"/>
      <c r="T179" s="104"/>
      <c r="U179" s="104"/>
    </row>
    <row r="180" spans="1:21" x14ac:dyDescent="0.3">
      <c r="A180" s="87" t="s">
        <v>5</v>
      </c>
      <c r="B180" s="87" t="s">
        <v>56</v>
      </c>
      <c r="C180" s="101">
        <v>46363</v>
      </c>
      <c r="D180" s="89">
        <v>3000</v>
      </c>
      <c r="E180" s="89">
        <v>0</v>
      </c>
      <c r="F180" s="89">
        <f t="shared" si="30"/>
        <v>0</v>
      </c>
      <c r="G180" s="89">
        <v>3000</v>
      </c>
      <c r="H180" s="90">
        <f t="shared" si="29"/>
        <v>0</v>
      </c>
      <c r="I180" s="90">
        <f t="shared" si="22"/>
        <v>0</v>
      </c>
      <c r="J180" s="90">
        <f>IF(COUNTIFS(Scenario_Weekly_Plan!$A:$A,$A180,Scenario_Weekly_Plan!$B:$B,$C180)&gt;0,SUMIFS(Scenario_Weekly_Plan!$C:$C,Scenario_Weekly_Plan!$A:$A,$A180,Scenario_Weekly_Plan!$B:$B,$C180),MIN(Q180,I180,MAX(0,E180+G180-F180)))</f>
        <v>0</v>
      </c>
      <c r="K180" s="90">
        <f t="shared" si="23"/>
        <v>0</v>
      </c>
      <c r="L180" s="90">
        <f t="shared" si="24"/>
        <v>0</v>
      </c>
      <c r="M180" s="90">
        <f t="shared" si="25"/>
        <v>0</v>
      </c>
      <c r="N180" s="91">
        <f t="shared" si="26"/>
        <v>0.64333333333333331</v>
      </c>
      <c r="O180" s="104">
        <f>IF(COUNTIFS(Scenario_Weekly_Plan!$A:$A,$A180,Scenario_Weekly_Plan!$B:$B,$C180)&gt;0,"Scenario PP imported",MPS!O180)</f>
        <v>0</v>
      </c>
      <c r="P180" s="92">
        <f>SUMIFS($J$2:J179,$B$2:B179,B180,$C$2:C179,C180)</f>
        <v>0</v>
      </c>
      <c r="Q180" s="92">
        <f t="shared" si="27"/>
        <v>3000</v>
      </c>
      <c r="R180" s="106">
        <f t="shared" si="28"/>
        <v>0</v>
      </c>
      <c r="S180" s="104"/>
      <c r="T180" s="104"/>
      <c r="U180" s="104"/>
    </row>
    <row r="181" spans="1:21" x14ac:dyDescent="0.3">
      <c r="A181" s="87" t="s">
        <v>5</v>
      </c>
      <c r="B181" s="87" t="s">
        <v>56</v>
      </c>
      <c r="C181" s="101">
        <v>46370</v>
      </c>
      <c r="D181" s="89">
        <v>3000</v>
      </c>
      <c r="E181" s="89">
        <v>0</v>
      </c>
      <c r="F181" s="89">
        <f t="shared" si="30"/>
        <v>0</v>
      </c>
      <c r="G181" s="89">
        <v>3000</v>
      </c>
      <c r="H181" s="90">
        <f>0</f>
        <v>0</v>
      </c>
      <c r="I181" s="90">
        <f t="shared" si="22"/>
        <v>0</v>
      </c>
      <c r="J181" s="90">
        <f>IF(COUNTIFS(Scenario_Weekly_Plan!$A:$A,$A181,Scenario_Weekly_Plan!$B:$B,$C181)&gt;0,SUMIFS(Scenario_Weekly_Plan!$C:$C,Scenario_Weekly_Plan!$A:$A,$A181,Scenario_Weekly_Plan!$B:$B,$C181),MIN(Q181,I181,MAX(0,E181+G181-F181)))</f>
        <v>0</v>
      </c>
      <c r="K181" s="90">
        <f t="shared" si="23"/>
        <v>0</v>
      </c>
      <c r="L181" s="90">
        <f t="shared" si="24"/>
        <v>0</v>
      </c>
      <c r="M181" s="90">
        <f t="shared" si="25"/>
        <v>0</v>
      </c>
      <c r="N181" s="91">
        <f t="shared" si="26"/>
        <v>0.64266666666666672</v>
      </c>
      <c r="O181" s="104">
        <f>IF(COUNTIFS(Scenario_Weekly_Plan!$A:$A,$A181,Scenario_Weekly_Plan!$B:$B,$C181)&gt;0,"Scenario PP imported",MPS!O181)</f>
        <v>0</v>
      </c>
      <c r="P181" s="92">
        <f>SUMIFS($J$2:J180,$B$2:B180,B181,$C$2:C180,C181)</f>
        <v>0</v>
      </c>
      <c r="Q181" s="92">
        <f t="shared" si="27"/>
        <v>3000</v>
      </c>
      <c r="R181" s="106">
        <f t="shared" si="28"/>
        <v>0</v>
      </c>
      <c r="S181" s="104"/>
      <c r="T181" s="104"/>
      <c r="U181" s="104"/>
    </row>
    <row r="182" spans="1:21" x14ac:dyDescent="0.3">
      <c r="A182" s="87" t="s">
        <v>6</v>
      </c>
      <c r="B182" s="87" t="s">
        <v>56</v>
      </c>
      <c r="C182" s="101">
        <v>46125</v>
      </c>
      <c r="D182" s="89">
        <v>3000</v>
      </c>
      <c r="E182" s="89">
        <v>0</v>
      </c>
      <c r="F182" s="89">
        <f>0</f>
        <v>0</v>
      </c>
      <c r="G182" s="89">
        <v>3000</v>
      </c>
      <c r="H182" s="90">
        <f t="shared" ref="H182:H216" si="31">MAX(0,H183+E183-Q183)</f>
        <v>17234</v>
      </c>
      <c r="I182" s="90">
        <f t="shared" si="22"/>
        <v>17234</v>
      </c>
      <c r="J182" s="90">
        <f>IF(COUNTIFS(Scenario_Weekly_Plan!$A:$A,$A182,Scenario_Weekly_Plan!$B:$B,$C182)&gt;0,SUMIFS(Scenario_Weekly_Plan!$C:$C,Scenario_Weekly_Plan!$A:$A,$A182,Scenario_Weekly_Plan!$B:$B,$C182),MIN(Q182,I182,MAX(0,E182+G182-F182)))</f>
        <v>2000</v>
      </c>
      <c r="K182" s="90">
        <f t="shared" si="23"/>
        <v>2000</v>
      </c>
      <c r="L182" s="90">
        <f t="shared" si="24"/>
        <v>0</v>
      </c>
      <c r="M182" s="90">
        <f t="shared" si="25"/>
        <v>2000</v>
      </c>
      <c r="N182" s="91">
        <f t="shared" si="26"/>
        <v>0.66666666666666663</v>
      </c>
      <c r="O182" s="61" t="str">
        <f>IF(COUNTIFS(Scenario_Weekly_Plan!$A:$A,$A182,Scenario_Weekly_Plan!$B:$B,$C182)&gt;0,"Scenario PP imported",MPS!O182)</f>
        <v>Scenario PP imported</v>
      </c>
      <c r="P182" s="92">
        <f>SUMIFS($J$2:J181,$B$2:B181,B182,$C$2:C181,C182)</f>
        <v>0</v>
      </c>
      <c r="Q182" s="92">
        <f t="shared" si="27"/>
        <v>3000</v>
      </c>
      <c r="R182" s="106">
        <f t="shared" si="28"/>
        <v>0</v>
      </c>
      <c r="S182" s="104"/>
      <c r="T182" s="104"/>
      <c r="U182" s="104"/>
    </row>
    <row r="183" spans="1:21" x14ac:dyDescent="0.3">
      <c r="A183" s="87" t="s">
        <v>6</v>
      </c>
      <c r="B183" s="87" t="s">
        <v>56</v>
      </c>
      <c r="C183" s="101">
        <v>46132</v>
      </c>
      <c r="D183" s="89">
        <v>3000</v>
      </c>
      <c r="E183" s="89">
        <v>588</v>
      </c>
      <c r="F183" s="89">
        <f t="shared" ref="F183:F217" si="32">K182</f>
        <v>2000</v>
      </c>
      <c r="G183" s="89">
        <v>3000</v>
      </c>
      <c r="H183" s="90">
        <f t="shared" si="31"/>
        <v>19146</v>
      </c>
      <c r="I183" s="90">
        <f t="shared" si="22"/>
        <v>17734</v>
      </c>
      <c r="J183" s="90">
        <f>IF(COUNTIFS(Scenario_Weekly_Plan!$A:$A,$A183,Scenario_Weekly_Plan!$B:$B,$C183)&gt;0,SUMIFS(Scenario_Weekly_Plan!$C:$C,Scenario_Weekly_Plan!$A:$A,$A183,Scenario_Weekly_Plan!$B:$B,$C183),MIN(Q183,I183,MAX(0,E183+G183-F183)))</f>
        <v>2500</v>
      </c>
      <c r="K183" s="90">
        <f t="shared" si="23"/>
        <v>3000</v>
      </c>
      <c r="L183" s="90">
        <f t="shared" si="24"/>
        <v>0</v>
      </c>
      <c r="M183" s="90">
        <f t="shared" si="25"/>
        <v>3912</v>
      </c>
      <c r="N183" s="91">
        <f t="shared" si="26"/>
        <v>1</v>
      </c>
      <c r="O183" s="104" t="str">
        <f>IF(COUNTIFS(Scenario_Weekly_Plan!$A:$A,$A183,Scenario_Weekly_Plan!$B:$B,$C183)&gt;0,"Scenario PP imported",MPS!O183)</f>
        <v>Scenario PP imported</v>
      </c>
      <c r="P183" s="92">
        <f>SUMIFS($J$2:J182,$B$2:B182,B183,$C$2:C182,C183)</f>
        <v>500</v>
      </c>
      <c r="Q183" s="92">
        <f t="shared" si="27"/>
        <v>2500</v>
      </c>
      <c r="R183" s="106">
        <f t="shared" si="28"/>
        <v>588</v>
      </c>
      <c r="S183" s="104"/>
      <c r="T183" s="104"/>
      <c r="U183" s="104"/>
    </row>
    <row r="184" spans="1:21" x14ac:dyDescent="0.3">
      <c r="A184" s="87" t="s">
        <v>6</v>
      </c>
      <c r="B184" s="87" t="s">
        <v>56</v>
      </c>
      <c r="C184" s="101">
        <v>46139</v>
      </c>
      <c r="D184" s="89">
        <v>3000</v>
      </c>
      <c r="E184" s="89">
        <v>4028</v>
      </c>
      <c r="F184" s="89">
        <f t="shared" si="32"/>
        <v>3000</v>
      </c>
      <c r="G184" s="89">
        <v>3000</v>
      </c>
      <c r="H184" s="90">
        <f t="shared" si="31"/>
        <v>17148</v>
      </c>
      <c r="I184" s="90">
        <f t="shared" si="22"/>
        <v>18176</v>
      </c>
      <c r="J184" s="90">
        <f>IF(COUNTIFS(Scenario_Weekly_Plan!$A:$A,$A184,Scenario_Weekly_Plan!$B:$B,$C184)&gt;0,SUMIFS(Scenario_Weekly_Plan!$C:$C,Scenario_Weekly_Plan!$A:$A,$A184,Scenario_Weekly_Plan!$B:$B,$C184),MIN(Q184,I184,MAX(0,E184+G184-F184)))</f>
        <v>2030</v>
      </c>
      <c r="K184" s="90">
        <f t="shared" si="23"/>
        <v>1002</v>
      </c>
      <c r="L184" s="90">
        <f t="shared" si="24"/>
        <v>0</v>
      </c>
      <c r="M184" s="90">
        <f t="shared" si="25"/>
        <v>1002</v>
      </c>
      <c r="N184" s="91">
        <f t="shared" si="26"/>
        <v>1</v>
      </c>
      <c r="O184" s="104" t="str">
        <f>IF(COUNTIFS(Scenario_Weekly_Plan!$A:$A,$A184,Scenario_Weekly_Plan!$B:$B,$C184)&gt;0,"Scenario PP imported",MPS!O184)</f>
        <v>Scenario PP imported</v>
      </c>
      <c r="P184" s="92">
        <f>SUMIFS($J$2:J183,$B$2:B183,B184,$C$2:C183,C184)</f>
        <v>970</v>
      </c>
      <c r="Q184" s="92">
        <f t="shared" si="27"/>
        <v>2030</v>
      </c>
      <c r="R184" s="106">
        <f t="shared" si="28"/>
        <v>4028</v>
      </c>
      <c r="S184" s="104"/>
      <c r="T184" s="104"/>
      <c r="U184" s="104"/>
    </row>
    <row r="185" spans="1:21" x14ac:dyDescent="0.3">
      <c r="A185" s="87" t="s">
        <v>6</v>
      </c>
      <c r="B185" s="87" t="s">
        <v>56</v>
      </c>
      <c r="C185" s="101">
        <v>46146</v>
      </c>
      <c r="D185" s="89">
        <v>3000</v>
      </c>
      <c r="E185" s="89">
        <v>4200</v>
      </c>
      <c r="F185" s="89">
        <f t="shared" si="32"/>
        <v>1002</v>
      </c>
      <c r="G185" s="89">
        <v>3000</v>
      </c>
      <c r="H185" s="90">
        <f t="shared" si="31"/>
        <v>15948</v>
      </c>
      <c r="I185" s="90">
        <f t="shared" si="22"/>
        <v>19146</v>
      </c>
      <c r="J185" s="90">
        <f>IF(COUNTIFS(Scenario_Weekly_Plan!$A:$A,$A185,Scenario_Weekly_Plan!$B:$B,$C185)&gt;0,SUMIFS(Scenario_Weekly_Plan!$C:$C,Scenario_Weekly_Plan!$A:$A,$A185,Scenario_Weekly_Plan!$B:$B,$C185),MIN(Q185,I185,MAX(0,E185+G185-F185)))</f>
        <v>3000</v>
      </c>
      <c r="K185" s="90">
        <f t="shared" si="23"/>
        <v>0</v>
      </c>
      <c r="L185" s="90">
        <f t="shared" si="24"/>
        <v>198</v>
      </c>
      <c r="M185" s="90">
        <f t="shared" si="25"/>
        <v>0</v>
      </c>
      <c r="N185" s="91">
        <f t="shared" si="26"/>
        <v>1</v>
      </c>
      <c r="O185" s="104" t="str">
        <f>IF(COUNTIFS(Scenario_Weekly_Plan!$A:$A,$A185,Scenario_Weekly_Plan!$B:$B,$C185)&gt;0,"Scenario PP imported",MPS!O185)</f>
        <v>Scenario PP imported</v>
      </c>
      <c r="P185" s="92">
        <f>SUMIFS($J$2:J184,$B$2:B184,B185,$C$2:C184,C185)</f>
        <v>0</v>
      </c>
      <c r="Q185" s="92">
        <f t="shared" si="27"/>
        <v>3000</v>
      </c>
      <c r="R185" s="106">
        <f t="shared" si="28"/>
        <v>4002</v>
      </c>
      <c r="S185" s="104"/>
      <c r="T185" s="104"/>
      <c r="U185" s="104"/>
    </row>
    <row r="186" spans="1:21" x14ac:dyDescent="0.3">
      <c r="A186" s="87" t="s">
        <v>6</v>
      </c>
      <c r="B186" s="87" t="s">
        <v>56</v>
      </c>
      <c r="C186" s="101">
        <v>46153</v>
      </c>
      <c r="D186" s="89">
        <v>3000</v>
      </c>
      <c r="E186" s="89">
        <v>3802</v>
      </c>
      <c r="F186" s="89">
        <f t="shared" si="32"/>
        <v>0</v>
      </c>
      <c r="G186" s="89">
        <v>3000</v>
      </c>
      <c r="H186" s="90">
        <f t="shared" si="31"/>
        <v>15146</v>
      </c>
      <c r="I186" s="90">
        <f t="shared" si="22"/>
        <v>18948</v>
      </c>
      <c r="J186" s="90">
        <f>IF(COUNTIFS(Scenario_Weekly_Plan!$A:$A,$A186,Scenario_Weekly_Plan!$B:$B,$C186)&gt;0,SUMIFS(Scenario_Weekly_Plan!$C:$C,Scenario_Weekly_Plan!$A:$A,$A186,Scenario_Weekly_Plan!$B:$B,$C186),MIN(Q186,I186,MAX(0,E186+G186-F186)))</f>
        <v>2500</v>
      </c>
      <c r="K186" s="90">
        <f t="shared" si="23"/>
        <v>0</v>
      </c>
      <c r="L186" s="90">
        <f t="shared" si="24"/>
        <v>1302</v>
      </c>
      <c r="M186" s="90">
        <f t="shared" si="25"/>
        <v>0</v>
      </c>
      <c r="N186" s="91">
        <f t="shared" si="26"/>
        <v>0.83333333333333337</v>
      </c>
      <c r="O186" s="104" t="str">
        <f>IF(COUNTIFS(Scenario_Weekly_Plan!$A:$A,$A186,Scenario_Weekly_Plan!$B:$B,$C186)&gt;0,"Scenario PP imported",MPS!O186)</f>
        <v>Scenario PP imported</v>
      </c>
      <c r="P186" s="92">
        <f>SUMIFS($J$2:J185,$B$2:B185,B186,$C$2:C185,C186)</f>
        <v>0</v>
      </c>
      <c r="Q186" s="92">
        <f t="shared" si="27"/>
        <v>3000</v>
      </c>
      <c r="R186" s="106">
        <f t="shared" si="28"/>
        <v>2500</v>
      </c>
      <c r="S186" s="104"/>
      <c r="T186" s="104"/>
      <c r="U186" s="104"/>
    </row>
    <row r="187" spans="1:21" x14ac:dyDescent="0.3">
      <c r="A187" s="87" t="s">
        <v>6</v>
      </c>
      <c r="B187" s="87" t="s">
        <v>56</v>
      </c>
      <c r="C187" s="101">
        <v>46160</v>
      </c>
      <c r="D187" s="89">
        <v>3000</v>
      </c>
      <c r="E187" s="89">
        <v>4500</v>
      </c>
      <c r="F187" s="89">
        <f t="shared" si="32"/>
        <v>0</v>
      </c>
      <c r="G187" s="89">
        <v>3000</v>
      </c>
      <c r="H187" s="90">
        <f t="shared" si="31"/>
        <v>13646</v>
      </c>
      <c r="I187" s="90">
        <f t="shared" si="22"/>
        <v>18146</v>
      </c>
      <c r="J187" s="90">
        <f>IF(COUNTIFS(Scenario_Weekly_Plan!$A:$A,$A187,Scenario_Weekly_Plan!$B:$B,$C187)&gt;0,SUMIFS(Scenario_Weekly_Plan!$C:$C,Scenario_Weekly_Plan!$A:$A,$A187,Scenario_Weekly_Plan!$B:$B,$C187),MIN(Q187,I187,MAX(0,E187+G187-F187)))</f>
        <v>3000</v>
      </c>
      <c r="K187" s="90">
        <f t="shared" si="23"/>
        <v>0</v>
      </c>
      <c r="L187" s="90">
        <f t="shared" si="24"/>
        <v>1500</v>
      </c>
      <c r="M187" s="90">
        <f t="shared" si="25"/>
        <v>0</v>
      </c>
      <c r="N187" s="91">
        <f t="shared" si="26"/>
        <v>1</v>
      </c>
      <c r="O187" s="104">
        <f>IF(COUNTIFS(Scenario_Weekly_Plan!$A:$A,$A187,Scenario_Weekly_Plan!$B:$B,$C187)&gt;0,"Scenario PP imported",MPS!O187)</f>
        <v>0</v>
      </c>
      <c r="P187" s="92">
        <f>SUMIFS($J$2:J186,$B$2:B186,B187,$C$2:C186,C187)</f>
        <v>0</v>
      </c>
      <c r="Q187" s="92">
        <f t="shared" si="27"/>
        <v>3000</v>
      </c>
      <c r="R187" s="106">
        <f t="shared" si="28"/>
        <v>3000</v>
      </c>
      <c r="S187" s="104"/>
      <c r="T187" s="104"/>
      <c r="U187" s="104"/>
    </row>
    <row r="188" spans="1:21" x14ac:dyDescent="0.3">
      <c r="A188" s="87" t="s">
        <v>6</v>
      </c>
      <c r="B188" s="87" t="s">
        <v>56</v>
      </c>
      <c r="C188" s="101">
        <v>46167</v>
      </c>
      <c r="D188" s="89">
        <v>3000</v>
      </c>
      <c r="E188" s="89">
        <v>4200</v>
      </c>
      <c r="F188" s="89">
        <f t="shared" si="32"/>
        <v>0</v>
      </c>
      <c r="G188" s="89">
        <v>3000</v>
      </c>
      <c r="H188" s="90">
        <f t="shared" si="31"/>
        <v>12146</v>
      </c>
      <c r="I188" s="90">
        <f t="shared" si="22"/>
        <v>16346</v>
      </c>
      <c r="J188" s="90">
        <f>IF(COUNTIFS(Scenario_Weekly_Plan!$A:$A,$A188,Scenario_Weekly_Plan!$B:$B,$C188)&gt;0,SUMIFS(Scenario_Weekly_Plan!$C:$C,Scenario_Weekly_Plan!$A:$A,$A188,Scenario_Weekly_Plan!$B:$B,$C188),MIN(Q188,I188,MAX(0,E188+G188-F188)))</f>
        <v>2700</v>
      </c>
      <c r="K188" s="90">
        <f t="shared" si="23"/>
        <v>0</v>
      </c>
      <c r="L188" s="90">
        <f t="shared" si="24"/>
        <v>1500</v>
      </c>
      <c r="M188" s="90">
        <f t="shared" si="25"/>
        <v>0</v>
      </c>
      <c r="N188" s="91">
        <f t="shared" si="26"/>
        <v>1</v>
      </c>
      <c r="O188" s="104">
        <f>IF(COUNTIFS(Scenario_Weekly_Plan!$A:$A,$A188,Scenario_Weekly_Plan!$B:$B,$C188)&gt;0,"Scenario PP imported",MPS!O188)</f>
        <v>0</v>
      </c>
      <c r="P188" s="92">
        <f>SUMIFS($J$2:J187,$B$2:B187,B188,$C$2:C187,C188)</f>
        <v>300</v>
      </c>
      <c r="Q188" s="92">
        <f t="shared" si="27"/>
        <v>2700</v>
      </c>
      <c r="R188" s="106">
        <f t="shared" si="28"/>
        <v>2700</v>
      </c>
      <c r="S188" s="104"/>
      <c r="T188" s="104"/>
      <c r="U188" s="104"/>
    </row>
    <row r="189" spans="1:21" x14ac:dyDescent="0.3">
      <c r="A189" s="87" t="s">
        <v>6</v>
      </c>
      <c r="B189" s="87" t="s">
        <v>56</v>
      </c>
      <c r="C189" s="101">
        <v>46174</v>
      </c>
      <c r="D189" s="89">
        <v>3000</v>
      </c>
      <c r="E189" s="89">
        <v>4500</v>
      </c>
      <c r="F189" s="89">
        <f t="shared" si="32"/>
        <v>0</v>
      </c>
      <c r="G189" s="89">
        <v>3000</v>
      </c>
      <c r="H189" s="90">
        <f t="shared" si="31"/>
        <v>10646</v>
      </c>
      <c r="I189" s="90">
        <f t="shared" si="22"/>
        <v>15146</v>
      </c>
      <c r="J189" s="90">
        <f>IF(COUNTIFS(Scenario_Weekly_Plan!$A:$A,$A189,Scenario_Weekly_Plan!$B:$B,$C189)&gt;0,SUMIFS(Scenario_Weekly_Plan!$C:$C,Scenario_Weekly_Plan!$A:$A,$A189,Scenario_Weekly_Plan!$B:$B,$C189),MIN(Q189,I189,MAX(0,E189+G189-F189)))</f>
        <v>3000</v>
      </c>
      <c r="K189" s="90">
        <f t="shared" si="23"/>
        <v>0</v>
      </c>
      <c r="L189" s="90">
        <f t="shared" si="24"/>
        <v>1500</v>
      </c>
      <c r="M189" s="90">
        <f t="shared" si="25"/>
        <v>0</v>
      </c>
      <c r="N189" s="91">
        <f t="shared" si="26"/>
        <v>1</v>
      </c>
      <c r="O189" s="104">
        <f>IF(COUNTIFS(Scenario_Weekly_Plan!$A:$A,$A189,Scenario_Weekly_Plan!$B:$B,$C189)&gt;0,"Scenario PP imported",MPS!O189)</f>
        <v>0</v>
      </c>
      <c r="P189" s="92">
        <f>SUMIFS($J$2:J188,$B$2:B188,B189,$C$2:C188,C189)</f>
        <v>0</v>
      </c>
      <c r="Q189" s="92">
        <f t="shared" si="27"/>
        <v>3000</v>
      </c>
      <c r="R189" s="106">
        <f t="shared" si="28"/>
        <v>3000</v>
      </c>
      <c r="S189" s="104"/>
      <c r="T189" s="104"/>
      <c r="U189" s="104"/>
    </row>
    <row r="190" spans="1:21" x14ac:dyDescent="0.3">
      <c r="A190" s="87" t="s">
        <v>6</v>
      </c>
      <c r="B190" s="87" t="s">
        <v>56</v>
      </c>
      <c r="C190" s="101">
        <v>46181</v>
      </c>
      <c r="D190" s="89">
        <v>3000</v>
      </c>
      <c r="E190" s="89">
        <v>4500</v>
      </c>
      <c r="F190" s="89">
        <f t="shared" si="32"/>
        <v>0</v>
      </c>
      <c r="G190" s="89">
        <v>3000</v>
      </c>
      <c r="H190" s="90">
        <f t="shared" si="31"/>
        <v>9146</v>
      </c>
      <c r="I190" s="90">
        <f t="shared" si="22"/>
        <v>13646</v>
      </c>
      <c r="J190" s="90">
        <f>IF(COUNTIFS(Scenario_Weekly_Plan!$A:$A,$A190,Scenario_Weekly_Plan!$B:$B,$C190)&gt;0,SUMIFS(Scenario_Weekly_Plan!$C:$C,Scenario_Weekly_Plan!$A:$A,$A190,Scenario_Weekly_Plan!$B:$B,$C190),MIN(Q190,I190,MAX(0,E190+G190-F190)))</f>
        <v>3000</v>
      </c>
      <c r="K190" s="90">
        <f t="shared" si="23"/>
        <v>0</v>
      </c>
      <c r="L190" s="90">
        <f t="shared" si="24"/>
        <v>1500</v>
      </c>
      <c r="M190" s="90">
        <f t="shared" si="25"/>
        <v>0</v>
      </c>
      <c r="N190" s="91">
        <f t="shared" si="26"/>
        <v>1</v>
      </c>
      <c r="O190" s="104">
        <f>IF(COUNTIFS(Scenario_Weekly_Plan!$A:$A,$A190,Scenario_Weekly_Plan!$B:$B,$C190)&gt;0,"Scenario PP imported",MPS!O190)</f>
        <v>0</v>
      </c>
      <c r="P190" s="92">
        <f>SUMIFS($J$2:J189,$B$2:B189,B190,$C$2:C189,C190)</f>
        <v>0</v>
      </c>
      <c r="Q190" s="92">
        <f t="shared" si="27"/>
        <v>3000</v>
      </c>
      <c r="R190" s="106">
        <f t="shared" si="28"/>
        <v>3000</v>
      </c>
      <c r="S190" s="104"/>
      <c r="T190" s="104"/>
      <c r="U190" s="104"/>
    </row>
    <row r="191" spans="1:21" x14ac:dyDescent="0.3">
      <c r="A191" s="87" t="s">
        <v>6</v>
      </c>
      <c r="B191" s="87" t="s">
        <v>56</v>
      </c>
      <c r="C191" s="101">
        <v>46188</v>
      </c>
      <c r="D191" s="89">
        <v>3000</v>
      </c>
      <c r="E191" s="89">
        <v>2200</v>
      </c>
      <c r="F191" s="89">
        <f t="shared" si="32"/>
        <v>0</v>
      </c>
      <c r="G191" s="89">
        <v>3000</v>
      </c>
      <c r="H191" s="90">
        <f t="shared" si="31"/>
        <v>9646</v>
      </c>
      <c r="I191" s="90">
        <f t="shared" si="22"/>
        <v>11846</v>
      </c>
      <c r="J191" s="90">
        <f>IF(COUNTIFS(Scenario_Weekly_Plan!$A:$A,$A191,Scenario_Weekly_Plan!$B:$B,$C191)&gt;0,SUMIFS(Scenario_Weekly_Plan!$C:$C,Scenario_Weekly_Plan!$A:$A,$A191,Scenario_Weekly_Plan!$B:$B,$C191),MIN(Q191,I191,MAX(0,E191+G191-F191)))</f>
        <v>2700</v>
      </c>
      <c r="K191" s="90">
        <f t="shared" si="23"/>
        <v>500</v>
      </c>
      <c r="L191" s="90">
        <f t="shared" si="24"/>
        <v>0</v>
      </c>
      <c r="M191" s="90">
        <f t="shared" si="25"/>
        <v>500</v>
      </c>
      <c r="N191" s="91">
        <f t="shared" si="26"/>
        <v>1</v>
      </c>
      <c r="O191" s="104">
        <f>IF(COUNTIFS(Scenario_Weekly_Plan!$A:$A,$A191,Scenario_Weekly_Plan!$B:$B,$C191)&gt;0,"Scenario PP imported",MPS!O191)</f>
        <v>0</v>
      </c>
      <c r="P191" s="92">
        <f>SUMIFS($J$2:J190,$B$2:B190,B191,$C$2:C190,C191)</f>
        <v>300</v>
      </c>
      <c r="Q191" s="92">
        <f t="shared" si="27"/>
        <v>2700</v>
      </c>
      <c r="R191" s="106">
        <f t="shared" si="28"/>
        <v>2200</v>
      </c>
      <c r="S191" s="104"/>
      <c r="T191" s="104"/>
      <c r="U191" s="104"/>
    </row>
    <row r="192" spans="1:21" x14ac:dyDescent="0.3">
      <c r="A192" s="87" t="s">
        <v>6</v>
      </c>
      <c r="B192" s="87" t="s">
        <v>56</v>
      </c>
      <c r="C192" s="101">
        <v>46195</v>
      </c>
      <c r="D192" s="89">
        <v>3000</v>
      </c>
      <c r="E192" s="89">
        <v>5000</v>
      </c>
      <c r="F192" s="89">
        <f t="shared" si="32"/>
        <v>500</v>
      </c>
      <c r="G192" s="89">
        <v>3000</v>
      </c>
      <c r="H192" s="90">
        <f t="shared" si="31"/>
        <v>7646</v>
      </c>
      <c r="I192" s="90">
        <f t="shared" si="22"/>
        <v>12146</v>
      </c>
      <c r="J192" s="90">
        <f>IF(COUNTIFS(Scenario_Weekly_Plan!$A:$A,$A192,Scenario_Weekly_Plan!$B:$B,$C192)&gt;0,SUMIFS(Scenario_Weekly_Plan!$C:$C,Scenario_Weekly_Plan!$A:$A,$A192,Scenario_Weekly_Plan!$B:$B,$C192),MIN(Q192,I192,MAX(0,E192+G192-F192)))</f>
        <v>3000</v>
      </c>
      <c r="K192" s="90">
        <f t="shared" si="23"/>
        <v>0</v>
      </c>
      <c r="L192" s="90">
        <f t="shared" si="24"/>
        <v>1500</v>
      </c>
      <c r="M192" s="90">
        <f t="shared" si="25"/>
        <v>0</v>
      </c>
      <c r="N192" s="91">
        <f t="shared" si="26"/>
        <v>1</v>
      </c>
      <c r="O192" s="104">
        <f>IF(COUNTIFS(Scenario_Weekly_Plan!$A:$A,$A192,Scenario_Weekly_Plan!$B:$B,$C192)&gt;0,"Scenario PP imported",MPS!O192)</f>
        <v>0</v>
      </c>
      <c r="P192" s="92">
        <f>SUMIFS($J$2:J191,$B$2:B191,B192,$C$2:C191,C192)</f>
        <v>0</v>
      </c>
      <c r="Q192" s="92">
        <f t="shared" si="27"/>
        <v>3000</v>
      </c>
      <c r="R192" s="106">
        <f t="shared" si="28"/>
        <v>3500</v>
      </c>
      <c r="S192" s="104"/>
      <c r="T192" s="104"/>
      <c r="U192" s="104"/>
    </row>
    <row r="193" spans="1:21" x14ac:dyDescent="0.3">
      <c r="A193" s="87" t="s">
        <v>6</v>
      </c>
      <c r="B193" s="87" t="s">
        <v>56</v>
      </c>
      <c r="C193" s="101">
        <v>46202</v>
      </c>
      <c r="D193" s="89">
        <v>3000</v>
      </c>
      <c r="E193" s="89">
        <v>4300</v>
      </c>
      <c r="F193" s="89">
        <f t="shared" si="32"/>
        <v>0</v>
      </c>
      <c r="G193" s="89">
        <v>3000</v>
      </c>
      <c r="H193" s="90">
        <f t="shared" si="31"/>
        <v>5646</v>
      </c>
      <c r="I193" s="90">
        <f t="shared" si="22"/>
        <v>9946</v>
      </c>
      <c r="J193" s="90">
        <f>IF(COUNTIFS(Scenario_Weekly_Plan!$A:$A,$A193,Scenario_Weekly_Plan!$B:$B,$C193)&gt;0,SUMIFS(Scenario_Weekly_Plan!$C:$C,Scenario_Weekly_Plan!$A:$A,$A193,Scenario_Weekly_Plan!$B:$B,$C193),MIN(Q193,I193,MAX(0,E193+G193-F193)))</f>
        <v>2300</v>
      </c>
      <c r="K193" s="90">
        <f t="shared" si="23"/>
        <v>0</v>
      </c>
      <c r="L193" s="90">
        <f t="shared" si="24"/>
        <v>2000</v>
      </c>
      <c r="M193" s="90">
        <f t="shared" si="25"/>
        <v>0</v>
      </c>
      <c r="N193" s="91">
        <f t="shared" si="26"/>
        <v>1</v>
      </c>
      <c r="O193" s="104">
        <f>IF(COUNTIFS(Scenario_Weekly_Plan!$A:$A,$A193,Scenario_Weekly_Plan!$B:$B,$C193)&gt;0,"Scenario PP imported",MPS!O193)</f>
        <v>0</v>
      </c>
      <c r="P193" s="92">
        <f>SUMIFS($J$2:J192,$B$2:B192,B193,$C$2:C192,C193)</f>
        <v>700</v>
      </c>
      <c r="Q193" s="92">
        <f t="shared" si="27"/>
        <v>2300</v>
      </c>
      <c r="R193" s="106">
        <f t="shared" si="28"/>
        <v>2300</v>
      </c>
      <c r="S193" s="104"/>
      <c r="T193" s="104"/>
      <c r="U193" s="104"/>
    </row>
    <row r="194" spans="1:21" x14ac:dyDescent="0.3">
      <c r="A194" s="87" t="s">
        <v>6</v>
      </c>
      <c r="B194" s="87" t="s">
        <v>56</v>
      </c>
      <c r="C194" s="101">
        <v>46209</v>
      </c>
      <c r="D194" s="89">
        <v>3000</v>
      </c>
      <c r="E194" s="89">
        <v>4700</v>
      </c>
      <c r="F194" s="89">
        <f t="shared" si="32"/>
        <v>0</v>
      </c>
      <c r="G194" s="89">
        <v>3000</v>
      </c>
      <c r="H194" s="90">
        <f t="shared" si="31"/>
        <v>3646</v>
      </c>
      <c r="I194" s="90">
        <f t="shared" ref="I194:I257" si="33">MAX(0,E194+H194-F194)</f>
        <v>8346</v>
      </c>
      <c r="J194" s="90">
        <f>IF(COUNTIFS(Scenario_Weekly_Plan!$A:$A,$A194,Scenario_Weekly_Plan!$B:$B,$C194)&gt;0,SUMIFS(Scenario_Weekly_Plan!$C:$C,Scenario_Weekly_Plan!$A:$A,$A194,Scenario_Weekly_Plan!$B:$B,$C194),MIN(Q194,I194,MAX(0,E194+G194-F194)))</f>
        <v>2700</v>
      </c>
      <c r="K194" s="90">
        <f t="shared" ref="K194:K257" si="34">MIN(G194,MAX(0,F194+J194-E194))</f>
        <v>0</v>
      </c>
      <c r="L194" s="90">
        <f t="shared" ref="L194:L217" si="35">MAX(0,E194-F194-J194)</f>
        <v>2000</v>
      </c>
      <c r="M194" s="90">
        <f t="shared" ref="M194:M217" si="36">MAX(0,F194+J194-E194)</f>
        <v>0</v>
      </c>
      <c r="N194" s="91">
        <f t="shared" ref="N194:N217" si="37">IFERROR(SUMIFS($J$2:$J$217,$B$2:$B$217,B194,$C$2:$C$217,C194)/D194,0)</f>
        <v>1</v>
      </c>
      <c r="O194" s="104">
        <f>IF(COUNTIFS(Scenario_Weekly_Plan!$A:$A,$A194,Scenario_Weekly_Plan!$B:$B,$C194)&gt;0,"Scenario PP imported",MPS!O194)</f>
        <v>0</v>
      </c>
      <c r="P194" s="92">
        <f>SUMIFS($J$2:J193,$B$2:B193,B194,$C$2:C193,C194)</f>
        <v>300</v>
      </c>
      <c r="Q194" s="92">
        <f t="shared" ref="Q194:Q257" si="38">MAX(0,D194-P194)</f>
        <v>2700</v>
      </c>
      <c r="R194" s="106">
        <f t="shared" ref="R194:R217" si="39">MAX(0,MIN(E194,F194+J194))</f>
        <v>2700</v>
      </c>
      <c r="S194" s="104"/>
      <c r="T194" s="104"/>
      <c r="U194" s="104"/>
    </row>
    <row r="195" spans="1:21" x14ac:dyDescent="0.3">
      <c r="A195" s="87" t="s">
        <v>6</v>
      </c>
      <c r="B195" s="87" t="s">
        <v>56</v>
      </c>
      <c r="C195" s="101">
        <v>46216</v>
      </c>
      <c r="D195" s="89">
        <v>3000</v>
      </c>
      <c r="E195" s="89">
        <v>4746</v>
      </c>
      <c r="F195" s="89">
        <f t="shared" si="32"/>
        <v>0</v>
      </c>
      <c r="G195" s="89">
        <v>3000</v>
      </c>
      <c r="H195" s="90">
        <f t="shared" si="31"/>
        <v>1600</v>
      </c>
      <c r="I195" s="90">
        <f t="shared" si="33"/>
        <v>6346</v>
      </c>
      <c r="J195" s="90">
        <f>IF(COUNTIFS(Scenario_Weekly_Plan!$A:$A,$A195,Scenario_Weekly_Plan!$B:$B,$C195)&gt;0,SUMIFS(Scenario_Weekly_Plan!$C:$C,Scenario_Weekly_Plan!$A:$A,$A195,Scenario_Weekly_Plan!$B:$B,$C195),MIN(Q195,I195,MAX(0,E195+G195-F195)))</f>
        <v>2700</v>
      </c>
      <c r="K195" s="90">
        <f t="shared" si="34"/>
        <v>0</v>
      </c>
      <c r="L195" s="90">
        <f t="shared" si="35"/>
        <v>2046</v>
      </c>
      <c r="M195" s="90">
        <f t="shared" si="36"/>
        <v>0</v>
      </c>
      <c r="N195" s="91">
        <f t="shared" si="37"/>
        <v>1</v>
      </c>
      <c r="O195" s="104">
        <f>IF(COUNTIFS(Scenario_Weekly_Plan!$A:$A,$A195,Scenario_Weekly_Plan!$B:$B,$C195)&gt;0,"Scenario PP imported",MPS!O195)</f>
        <v>0</v>
      </c>
      <c r="P195" s="92">
        <f>SUMIFS($J$2:J194,$B$2:B194,B195,$C$2:C194,C195)</f>
        <v>300</v>
      </c>
      <c r="Q195" s="92">
        <f t="shared" si="38"/>
        <v>2700</v>
      </c>
      <c r="R195" s="106">
        <f t="shared" si="39"/>
        <v>2700</v>
      </c>
      <c r="S195" s="104"/>
      <c r="T195" s="104"/>
      <c r="U195" s="104"/>
    </row>
    <row r="196" spans="1:21" x14ac:dyDescent="0.3">
      <c r="A196" s="87" t="s">
        <v>6</v>
      </c>
      <c r="B196" s="87" t="s">
        <v>56</v>
      </c>
      <c r="C196" s="101">
        <v>46223</v>
      </c>
      <c r="D196" s="89">
        <v>3000</v>
      </c>
      <c r="E196" s="89">
        <v>4300</v>
      </c>
      <c r="F196" s="89">
        <f t="shared" si="32"/>
        <v>0</v>
      </c>
      <c r="G196" s="89">
        <v>3000</v>
      </c>
      <c r="H196" s="90">
        <f t="shared" si="31"/>
        <v>0</v>
      </c>
      <c r="I196" s="90">
        <f t="shared" si="33"/>
        <v>4300</v>
      </c>
      <c r="J196" s="90">
        <f>IF(COUNTIFS(Scenario_Weekly_Plan!$A:$A,$A196,Scenario_Weekly_Plan!$B:$B,$C196)&gt;0,SUMIFS(Scenario_Weekly_Plan!$C:$C,Scenario_Weekly_Plan!$A:$A,$A196,Scenario_Weekly_Plan!$B:$B,$C196),MIN(Q196,I196,MAX(0,E196+G196-F196)))</f>
        <v>2700</v>
      </c>
      <c r="K196" s="90">
        <f t="shared" si="34"/>
        <v>0</v>
      </c>
      <c r="L196" s="90">
        <f t="shared" si="35"/>
        <v>1600</v>
      </c>
      <c r="M196" s="90">
        <f t="shared" si="36"/>
        <v>0</v>
      </c>
      <c r="N196" s="91">
        <f t="shared" si="37"/>
        <v>1</v>
      </c>
      <c r="O196" s="104">
        <f>IF(COUNTIFS(Scenario_Weekly_Plan!$A:$A,$A196,Scenario_Weekly_Plan!$B:$B,$C196)&gt;0,"Scenario PP imported",MPS!O196)</f>
        <v>0</v>
      </c>
      <c r="P196" s="92">
        <f>SUMIFS($J$2:J195,$B$2:B195,B196,$C$2:C195,C196)</f>
        <v>300</v>
      </c>
      <c r="Q196" s="92">
        <f t="shared" si="38"/>
        <v>2700</v>
      </c>
      <c r="R196" s="106">
        <f t="shared" si="39"/>
        <v>2700</v>
      </c>
      <c r="S196" s="104"/>
      <c r="T196" s="104"/>
      <c r="U196" s="104"/>
    </row>
    <row r="197" spans="1:21" x14ac:dyDescent="0.3">
      <c r="A197" s="87" t="s">
        <v>6</v>
      </c>
      <c r="B197" s="87" t="s">
        <v>56</v>
      </c>
      <c r="C197" s="101">
        <v>46230</v>
      </c>
      <c r="D197" s="89">
        <v>3000</v>
      </c>
      <c r="E197" s="89">
        <v>476</v>
      </c>
      <c r="F197" s="89">
        <f t="shared" si="32"/>
        <v>0</v>
      </c>
      <c r="G197" s="89">
        <v>3000</v>
      </c>
      <c r="H197" s="90">
        <f t="shared" si="31"/>
        <v>0</v>
      </c>
      <c r="I197" s="90">
        <f t="shared" si="33"/>
        <v>476</v>
      </c>
      <c r="J197" s="90">
        <f>IF(COUNTIFS(Scenario_Weekly_Plan!$A:$A,$A197,Scenario_Weekly_Plan!$B:$B,$C197)&gt;0,SUMIFS(Scenario_Weekly_Plan!$C:$C,Scenario_Weekly_Plan!$A:$A,$A197,Scenario_Weekly_Plan!$B:$B,$C197),MIN(Q197,I197,MAX(0,E197+G197-F197)))</f>
        <v>476</v>
      </c>
      <c r="K197" s="90">
        <f t="shared" si="34"/>
        <v>0</v>
      </c>
      <c r="L197" s="90">
        <f t="shared" si="35"/>
        <v>0</v>
      </c>
      <c r="M197" s="90">
        <f t="shared" si="36"/>
        <v>0</v>
      </c>
      <c r="N197" s="91">
        <f t="shared" si="37"/>
        <v>0.15866666666666668</v>
      </c>
      <c r="O197" s="104">
        <f>IF(COUNTIFS(Scenario_Weekly_Plan!$A:$A,$A197,Scenario_Weekly_Plan!$B:$B,$C197)&gt;0,"Scenario PP imported",MPS!O197)</f>
        <v>0</v>
      </c>
      <c r="P197" s="92">
        <f>SUMIFS($J$2:J196,$B$2:B196,B197,$C$2:C196,C197)</f>
        <v>0</v>
      </c>
      <c r="Q197" s="92">
        <f t="shared" si="38"/>
        <v>3000</v>
      </c>
      <c r="R197" s="106">
        <f t="shared" si="39"/>
        <v>476</v>
      </c>
      <c r="S197" s="104"/>
      <c r="T197" s="104"/>
      <c r="U197" s="104"/>
    </row>
    <row r="198" spans="1:21" x14ac:dyDescent="0.3">
      <c r="A198" s="87" t="s">
        <v>6</v>
      </c>
      <c r="B198" s="87" t="s">
        <v>56</v>
      </c>
      <c r="C198" s="101">
        <v>46237</v>
      </c>
      <c r="D198" s="89">
        <v>3000</v>
      </c>
      <c r="E198" s="89">
        <v>1298</v>
      </c>
      <c r="F198" s="89">
        <f t="shared" si="32"/>
        <v>0</v>
      </c>
      <c r="G198" s="89">
        <v>3000</v>
      </c>
      <c r="H198" s="90">
        <f t="shared" si="31"/>
        <v>0</v>
      </c>
      <c r="I198" s="90">
        <f t="shared" si="33"/>
        <v>1298</v>
      </c>
      <c r="J198" s="90">
        <f>IF(COUNTIFS(Scenario_Weekly_Plan!$A:$A,$A198,Scenario_Weekly_Plan!$B:$B,$C198)&gt;0,SUMIFS(Scenario_Weekly_Plan!$C:$C,Scenario_Weekly_Plan!$A:$A,$A198,Scenario_Weekly_Plan!$B:$B,$C198),MIN(Q198,I198,MAX(0,E198+G198-F198)))</f>
        <v>1298</v>
      </c>
      <c r="K198" s="90">
        <f t="shared" si="34"/>
        <v>0</v>
      </c>
      <c r="L198" s="90">
        <f t="shared" si="35"/>
        <v>0</v>
      </c>
      <c r="M198" s="90">
        <f t="shared" si="36"/>
        <v>0</v>
      </c>
      <c r="N198" s="91">
        <f t="shared" si="37"/>
        <v>0.43266666666666664</v>
      </c>
      <c r="O198" s="104">
        <f>IF(COUNTIFS(Scenario_Weekly_Plan!$A:$A,$A198,Scenario_Weekly_Plan!$B:$B,$C198)&gt;0,"Scenario PP imported",MPS!O198)</f>
        <v>0</v>
      </c>
      <c r="P198" s="92">
        <f>SUMIFS($J$2:J197,$B$2:B197,B198,$C$2:C197,C198)</f>
        <v>0</v>
      </c>
      <c r="Q198" s="92">
        <f t="shared" si="38"/>
        <v>3000</v>
      </c>
      <c r="R198" s="106">
        <f t="shared" si="39"/>
        <v>1298</v>
      </c>
      <c r="S198" s="104"/>
      <c r="T198" s="104"/>
      <c r="U198" s="104"/>
    </row>
    <row r="199" spans="1:21" x14ac:dyDescent="0.3">
      <c r="A199" s="87" t="s">
        <v>6</v>
      </c>
      <c r="B199" s="87" t="s">
        <v>56</v>
      </c>
      <c r="C199" s="101">
        <v>46244</v>
      </c>
      <c r="D199" s="89">
        <v>3000</v>
      </c>
      <c r="E199" s="89">
        <v>1300</v>
      </c>
      <c r="F199" s="89">
        <f t="shared" si="32"/>
        <v>0</v>
      </c>
      <c r="G199" s="89">
        <v>3000</v>
      </c>
      <c r="H199" s="90">
        <f t="shared" si="31"/>
        <v>0</v>
      </c>
      <c r="I199" s="90">
        <f t="shared" si="33"/>
        <v>1300</v>
      </c>
      <c r="J199" s="90">
        <f>IF(COUNTIFS(Scenario_Weekly_Plan!$A:$A,$A199,Scenario_Weekly_Plan!$B:$B,$C199)&gt;0,SUMIFS(Scenario_Weekly_Plan!$C:$C,Scenario_Weekly_Plan!$A:$A,$A199,Scenario_Weekly_Plan!$B:$B,$C199),MIN(Q199,I199,MAX(0,E199+G199-F199)))</f>
        <v>1300</v>
      </c>
      <c r="K199" s="90">
        <f t="shared" si="34"/>
        <v>0</v>
      </c>
      <c r="L199" s="90">
        <f t="shared" si="35"/>
        <v>0</v>
      </c>
      <c r="M199" s="90">
        <f t="shared" si="36"/>
        <v>0</v>
      </c>
      <c r="N199" s="91">
        <f t="shared" si="37"/>
        <v>0.53333333333333333</v>
      </c>
      <c r="O199" s="104">
        <f>IF(COUNTIFS(Scenario_Weekly_Plan!$A:$A,$A199,Scenario_Weekly_Plan!$B:$B,$C199)&gt;0,"Scenario PP imported",MPS!O199)</f>
        <v>0</v>
      </c>
      <c r="P199" s="92">
        <f>SUMIFS($J$2:J198,$B$2:B198,B199,$C$2:C198,C199)</f>
        <v>300</v>
      </c>
      <c r="Q199" s="92">
        <f t="shared" si="38"/>
        <v>2700</v>
      </c>
      <c r="R199" s="106">
        <f t="shared" si="39"/>
        <v>1300</v>
      </c>
      <c r="S199" s="104"/>
      <c r="T199" s="104"/>
      <c r="U199" s="104"/>
    </row>
    <row r="200" spans="1:21" x14ac:dyDescent="0.3">
      <c r="A200" s="87" t="s">
        <v>6</v>
      </c>
      <c r="B200" s="87" t="s">
        <v>56</v>
      </c>
      <c r="C200" s="101">
        <v>46251</v>
      </c>
      <c r="D200" s="89">
        <v>3000</v>
      </c>
      <c r="E200" s="89">
        <v>1298</v>
      </c>
      <c r="F200" s="89">
        <f t="shared" si="32"/>
        <v>0</v>
      </c>
      <c r="G200" s="89">
        <v>3000</v>
      </c>
      <c r="H200" s="90">
        <f t="shared" si="31"/>
        <v>0</v>
      </c>
      <c r="I200" s="90">
        <f t="shared" si="33"/>
        <v>1298</v>
      </c>
      <c r="J200" s="90">
        <f>IF(COUNTIFS(Scenario_Weekly_Plan!$A:$A,$A200,Scenario_Weekly_Plan!$B:$B,$C200)&gt;0,SUMIFS(Scenario_Weekly_Plan!$C:$C,Scenario_Weekly_Plan!$A:$A,$A200,Scenario_Weekly_Plan!$B:$B,$C200),MIN(Q200,I200,MAX(0,E200+G200-F200)))</f>
        <v>1298</v>
      </c>
      <c r="K200" s="90">
        <f t="shared" si="34"/>
        <v>0</v>
      </c>
      <c r="L200" s="90">
        <f t="shared" si="35"/>
        <v>0</v>
      </c>
      <c r="M200" s="90">
        <f t="shared" si="36"/>
        <v>0</v>
      </c>
      <c r="N200" s="91">
        <f t="shared" si="37"/>
        <v>0.43266666666666664</v>
      </c>
      <c r="O200" s="104">
        <f>IF(COUNTIFS(Scenario_Weekly_Plan!$A:$A,$A200,Scenario_Weekly_Plan!$B:$B,$C200)&gt;0,"Scenario PP imported",MPS!O200)</f>
        <v>0</v>
      </c>
      <c r="P200" s="92">
        <f>SUMIFS($J$2:J199,$B$2:B199,B200,$C$2:C199,C200)</f>
        <v>0</v>
      </c>
      <c r="Q200" s="92">
        <f t="shared" si="38"/>
        <v>3000</v>
      </c>
      <c r="R200" s="106">
        <f t="shared" si="39"/>
        <v>1298</v>
      </c>
      <c r="S200" s="104"/>
      <c r="T200" s="104"/>
      <c r="U200" s="104"/>
    </row>
    <row r="201" spans="1:21" x14ac:dyDescent="0.3">
      <c r="A201" s="87" t="s">
        <v>6</v>
      </c>
      <c r="B201" s="87" t="s">
        <v>56</v>
      </c>
      <c r="C201" s="101">
        <v>46258</v>
      </c>
      <c r="D201" s="89">
        <v>3000</v>
      </c>
      <c r="E201" s="89">
        <v>1506</v>
      </c>
      <c r="F201" s="89">
        <f t="shared" si="32"/>
        <v>0</v>
      </c>
      <c r="G201" s="89">
        <v>3000</v>
      </c>
      <c r="H201" s="90">
        <f t="shared" si="31"/>
        <v>0</v>
      </c>
      <c r="I201" s="90">
        <f t="shared" si="33"/>
        <v>1506</v>
      </c>
      <c r="J201" s="90">
        <f>IF(COUNTIFS(Scenario_Weekly_Plan!$A:$A,$A201,Scenario_Weekly_Plan!$B:$B,$C201)&gt;0,SUMIFS(Scenario_Weekly_Plan!$C:$C,Scenario_Weekly_Plan!$A:$A,$A201,Scenario_Weekly_Plan!$B:$B,$C201),MIN(Q201,I201,MAX(0,E201+G201-F201)))</f>
        <v>1506</v>
      </c>
      <c r="K201" s="90">
        <f t="shared" si="34"/>
        <v>0</v>
      </c>
      <c r="L201" s="90">
        <f t="shared" si="35"/>
        <v>0</v>
      </c>
      <c r="M201" s="90">
        <f t="shared" si="36"/>
        <v>0</v>
      </c>
      <c r="N201" s="91">
        <f t="shared" si="37"/>
        <v>0.502</v>
      </c>
      <c r="O201" s="104">
        <f>IF(COUNTIFS(Scenario_Weekly_Plan!$A:$A,$A201,Scenario_Weekly_Plan!$B:$B,$C201)&gt;0,"Scenario PP imported",MPS!O201)</f>
        <v>0</v>
      </c>
      <c r="P201" s="92">
        <f>SUMIFS($J$2:J200,$B$2:B200,B201,$C$2:C200,C201)</f>
        <v>0</v>
      </c>
      <c r="Q201" s="92">
        <f t="shared" si="38"/>
        <v>3000</v>
      </c>
      <c r="R201" s="106">
        <f t="shared" si="39"/>
        <v>1506</v>
      </c>
      <c r="S201" s="104"/>
      <c r="T201" s="104"/>
      <c r="U201" s="104"/>
    </row>
    <row r="202" spans="1:21" x14ac:dyDescent="0.3">
      <c r="A202" s="87" t="s">
        <v>6</v>
      </c>
      <c r="B202" s="87" t="s">
        <v>56</v>
      </c>
      <c r="C202" s="101">
        <v>46265</v>
      </c>
      <c r="D202" s="89">
        <v>3000</v>
      </c>
      <c r="E202" s="89">
        <v>1506</v>
      </c>
      <c r="F202" s="89">
        <f t="shared" si="32"/>
        <v>0</v>
      </c>
      <c r="G202" s="89">
        <v>3000</v>
      </c>
      <c r="H202" s="90">
        <f t="shared" si="31"/>
        <v>0</v>
      </c>
      <c r="I202" s="90">
        <f t="shared" si="33"/>
        <v>1506</v>
      </c>
      <c r="J202" s="90">
        <f>IF(COUNTIFS(Scenario_Weekly_Plan!$A:$A,$A202,Scenario_Weekly_Plan!$B:$B,$C202)&gt;0,SUMIFS(Scenario_Weekly_Plan!$C:$C,Scenario_Weekly_Plan!$A:$A,$A202,Scenario_Weekly_Plan!$B:$B,$C202),MIN(Q202,I202,MAX(0,E202+G202-F202)))</f>
        <v>1506</v>
      </c>
      <c r="K202" s="90">
        <f t="shared" si="34"/>
        <v>0</v>
      </c>
      <c r="L202" s="90">
        <f t="shared" si="35"/>
        <v>0</v>
      </c>
      <c r="M202" s="90">
        <f t="shared" si="36"/>
        <v>0</v>
      </c>
      <c r="N202" s="91">
        <f t="shared" si="37"/>
        <v>0.60199999999999998</v>
      </c>
      <c r="O202" s="104">
        <f>IF(COUNTIFS(Scenario_Weekly_Plan!$A:$A,$A202,Scenario_Weekly_Plan!$B:$B,$C202)&gt;0,"Scenario PP imported",MPS!O202)</f>
        <v>0</v>
      </c>
      <c r="P202" s="92">
        <f>SUMIFS($J$2:J201,$B$2:B201,B202,$C$2:C201,C202)</f>
        <v>300</v>
      </c>
      <c r="Q202" s="92">
        <f t="shared" si="38"/>
        <v>2700</v>
      </c>
      <c r="R202" s="106">
        <f t="shared" si="39"/>
        <v>1506</v>
      </c>
      <c r="S202" s="104"/>
      <c r="T202" s="104"/>
      <c r="U202" s="104"/>
    </row>
    <row r="203" spans="1:21" x14ac:dyDescent="0.3">
      <c r="A203" s="87" t="s">
        <v>6</v>
      </c>
      <c r="B203" s="87" t="s">
        <v>56</v>
      </c>
      <c r="C203" s="101">
        <v>46272</v>
      </c>
      <c r="D203" s="89">
        <v>3000</v>
      </c>
      <c r="E203" s="89">
        <v>1506</v>
      </c>
      <c r="F203" s="89">
        <f t="shared" si="32"/>
        <v>0</v>
      </c>
      <c r="G203" s="89">
        <v>3000</v>
      </c>
      <c r="H203" s="90">
        <f t="shared" si="31"/>
        <v>0</v>
      </c>
      <c r="I203" s="90">
        <f t="shared" si="33"/>
        <v>1506</v>
      </c>
      <c r="J203" s="90">
        <f>IF(COUNTIFS(Scenario_Weekly_Plan!$A:$A,$A203,Scenario_Weekly_Plan!$B:$B,$C203)&gt;0,SUMIFS(Scenario_Weekly_Plan!$C:$C,Scenario_Weekly_Plan!$A:$A,$A203,Scenario_Weekly_Plan!$B:$B,$C203),MIN(Q203,I203,MAX(0,E203+G203-F203)))</f>
        <v>1506</v>
      </c>
      <c r="K203" s="90">
        <f t="shared" si="34"/>
        <v>0</v>
      </c>
      <c r="L203" s="90">
        <f t="shared" si="35"/>
        <v>0</v>
      </c>
      <c r="M203" s="90">
        <f t="shared" si="36"/>
        <v>0</v>
      </c>
      <c r="N203" s="91">
        <f t="shared" si="37"/>
        <v>0.502</v>
      </c>
      <c r="O203" s="104">
        <f>IF(COUNTIFS(Scenario_Weekly_Plan!$A:$A,$A203,Scenario_Weekly_Plan!$B:$B,$C203)&gt;0,"Scenario PP imported",MPS!O203)</f>
        <v>0</v>
      </c>
      <c r="P203" s="92">
        <f>SUMIFS($J$2:J202,$B$2:B202,B203,$C$2:C202,C203)</f>
        <v>0</v>
      </c>
      <c r="Q203" s="92">
        <f t="shared" si="38"/>
        <v>3000</v>
      </c>
      <c r="R203" s="106">
        <f t="shared" si="39"/>
        <v>1506</v>
      </c>
      <c r="S203" s="104"/>
      <c r="T203" s="104"/>
      <c r="U203" s="104"/>
    </row>
    <row r="204" spans="1:21" x14ac:dyDescent="0.3">
      <c r="A204" s="87" t="s">
        <v>6</v>
      </c>
      <c r="B204" s="87" t="s">
        <v>56</v>
      </c>
      <c r="C204" s="101">
        <v>46279</v>
      </c>
      <c r="D204" s="89">
        <v>3000</v>
      </c>
      <c r="E204" s="89">
        <v>1506</v>
      </c>
      <c r="F204" s="89">
        <f t="shared" si="32"/>
        <v>0</v>
      </c>
      <c r="G204" s="89">
        <v>3000</v>
      </c>
      <c r="H204" s="90">
        <f t="shared" si="31"/>
        <v>0</v>
      </c>
      <c r="I204" s="90">
        <f t="shared" si="33"/>
        <v>1506</v>
      </c>
      <c r="J204" s="90">
        <f>IF(COUNTIFS(Scenario_Weekly_Plan!$A:$A,$A204,Scenario_Weekly_Plan!$B:$B,$C204)&gt;0,SUMIFS(Scenario_Weekly_Plan!$C:$C,Scenario_Weekly_Plan!$A:$A,$A204,Scenario_Weekly_Plan!$B:$B,$C204),MIN(Q204,I204,MAX(0,E204+G204-F204)))</f>
        <v>1506</v>
      </c>
      <c r="K204" s="90">
        <f t="shared" si="34"/>
        <v>0</v>
      </c>
      <c r="L204" s="90">
        <f t="shared" si="35"/>
        <v>0</v>
      </c>
      <c r="M204" s="90">
        <f t="shared" si="36"/>
        <v>0</v>
      </c>
      <c r="N204" s="91">
        <f t="shared" si="37"/>
        <v>0.502</v>
      </c>
      <c r="O204" s="104">
        <f>IF(COUNTIFS(Scenario_Weekly_Plan!$A:$A,$A204,Scenario_Weekly_Plan!$B:$B,$C204)&gt;0,"Scenario PP imported",MPS!O204)</f>
        <v>0</v>
      </c>
      <c r="P204" s="92">
        <f>SUMIFS($J$2:J203,$B$2:B203,B204,$C$2:C203,C204)</f>
        <v>0</v>
      </c>
      <c r="Q204" s="92">
        <f t="shared" si="38"/>
        <v>3000</v>
      </c>
      <c r="R204" s="106">
        <f t="shared" si="39"/>
        <v>1506</v>
      </c>
      <c r="S204" s="104"/>
      <c r="T204" s="104"/>
      <c r="U204" s="104"/>
    </row>
    <row r="205" spans="1:21" x14ac:dyDescent="0.3">
      <c r="A205" s="87" t="s">
        <v>6</v>
      </c>
      <c r="B205" s="87" t="s">
        <v>56</v>
      </c>
      <c r="C205" s="101">
        <v>46286</v>
      </c>
      <c r="D205" s="89">
        <v>3000</v>
      </c>
      <c r="E205" s="89">
        <v>1446</v>
      </c>
      <c r="F205" s="89">
        <f t="shared" si="32"/>
        <v>0</v>
      </c>
      <c r="G205" s="89">
        <v>3000</v>
      </c>
      <c r="H205" s="90">
        <f t="shared" si="31"/>
        <v>0</v>
      </c>
      <c r="I205" s="90">
        <f t="shared" si="33"/>
        <v>1446</v>
      </c>
      <c r="J205" s="90">
        <f>IF(COUNTIFS(Scenario_Weekly_Plan!$A:$A,$A205,Scenario_Weekly_Plan!$B:$B,$C205)&gt;0,SUMIFS(Scenario_Weekly_Plan!$C:$C,Scenario_Weekly_Plan!$A:$A,$A205,Scenario_Weekly_Plan!$B:$B,$C205),MIN(Q205,I205,MAX(0,E205+G205-F205)))</f>
        <v>1446</v>
      </c>
      <c r="K205" s="90">
        <f t="shared" si="34"/>
        <v>0</v>
      </c>
      <c r="L205" s="90">
        <f t="shared" si="35"/>
        <v>0</v>
      </c>
      <c r="M205" s="90">
        <f t="shared" si="36"/>
        <v>0</v>
      </c>
      <c r="N205" s="91">
        <f t="shared" si="37"/>
        <v>0.48199999999999998</v>
      </c>
      <c r="O205" s="104">
        <f>IF(COUNTIFS(Scenario_Weekly_Plan!$A:$A,$A205,Scenario_Weekly_Plan!$B:$B,$C205)&gt;0,"Scenario PP imported",MPS!O205)</f>
        <v>0</v>
      </c>
      <c r="P205" s="92">
        <f>SUMIFS($J$2:J204,$B$2:B204,B205,$C$2:C204,C205)</f>
        <v>0</v>
      </c>
      <c r="Q205" s="92">
        <f t="shared" si="38"/>
        <v>3000</v>
      </c>
      <c r="R205" s="106">
        <f t="shared" si="39"/>
        <v>1446</v>
      </c>
      <c r="S205" s="104"/>
      <c r="T205" s="104"/>
      <c r="U205" s="104"/>
    </row>
    <row r="206" spans="1:21" x14ac:dyDescent="0.3">
      <c r="A206" s="87" t="s">
        <v>6</v>
      </c>
      <c r="B206" s="87" t="s">
        <v>56</v>
      </c>
      <c r="C206" s="101">
        <v>46293</v>
      </c>
      <c r="D206" s="89">
        <v>3000</v>
      </c>
      <c r="E206" s="89">
        <v>0</v>
      </c>
      <c r="F206" s="89">
        <f t="shared" si="32"/>
        <v>0</v>
      </c>
      <c r="G206" s="89">
        <v>3000</v>
      </c>
      <c r="H206" s="90">
        <f t="shared" si="31"/>
        <v>0</v>
      </c>
      <c r="I206" s="90">
        <f t="shared" si="33"/>
        <v>0</v>
      </c>
      <c r="J206" s="90">
        <f>IF(COUNTIFS(Scenario_Weekly_Plan!$A:$A,$A206,Scenario_Weekly_Plan!$B:$B,$C206)&gt;0,SUMIFS(Scenario_Weekly_Plan!$C:$C,Scenario_Weekly_Plan!$A:$A,$A206,Scenario_Weekly_Plan!$B:$B,$C206),MIN(Q206,I206,MAX(0,E206+G206-F206)))</f>
        <v>0</v>
      </c>
      <c r="K206" s="90">
        <f t="shared" si="34"/>
        <v>0</v>
      </c>
      <c r="L206" s="90">
        <f t="shared" si="35"/>
        <v>0</v>
      </c>
      <c r="M206" s="90">
        <f t="shared" si="36"/>
        <v>0</v>
      </c>
      <c r="N206" s="91">
        <f t="shared" si="37"/>
        <v>0.1</v>
      </c>
      <c r="O206" s="104">
        <f>IF(COUNTIFS(Scenario_Weekly_Plan!$A:$A,$A206,Scenario_Weekly_Plan!$B:$B,$C206)&gt;0,"Scenario PP imported",MPS!O206)</f>
        <v>0</v>
      </c>
      <c r="P206" s="92">
        <f>SUMIFS($J$2:J205,$B$2:B205,B206,$C$2:C205,C206)</f>
        <v>300</v>
      </c>
      <c r="Q206" s="92">
        <f t="shared" si="38"/>
        <v>2700</v>
      </c>
      <c r="R206" s="106">
        <f t="shared" si="39"/>
        <v>0</v>
      </c>
      <c r="S206" s="104"/>
      <c r="T206" s="104"/>
      <c r="U206" s="104"/>
    </row>
    <row r="207" spans="1:21" x14ac:dyDescent="0.3">
      <c r="A207" s="87" t="s">
        <v>6</v>
      </c>
      <c r="B207" s="87" t="s">
        <v>56</v>
      </c>
      <c r="C207" s="101">
        <v>46300</v>
      </c>
      <c r="D207" s="89">
        <v>3000</v>
      </c>
      <c r="E207" s="89">
        <v>0</v>
      </c>
      <c r="F207" s="89">
        <f t="shared" si="32"/>
        <v>0</v>
      </c>
      <c r="G207" s="89">
        <v>3000</v>
      </c>
      <c r="H207" s="90">
        <f t="shared" si="31"/>
        <v>0</v>
      </c>
      <c r="I207" s="90">
        <f t="shared" si="33"/>
        <v>0</v>
      </c>
      <c r="J207" s="90">
        <f>IF(COUNTIFS(Scenario_Weekly_Plan!$A:$A,$A207,Scenario_Weekly_Plan!$B:$B,$C207)&gt;0,SUMIFS(Scenario_Weekly_Plan!$C:$C,Scenario_Weekly_Plan!$A:$A,$A207,Scenario_Weekly_Plan!$B:$B,$C207),MIN(Q207,I207,MAX(0,E207+G207-F207)))</f>
        <v>0</v>
      </c>
      <c r="K207" s="90">
        <f t="shared" si="34"/>
        <v>0</v>
      </c>
      <c r="L207" s="90">
        <f t="shared" si="35"/>
        <v>0</v>
      </c>
      <c r="M207" s="90">
        <f t="shared" si="36"/>
        <v>0</v>
      </c>
      <c r="N207" s="91">
        <f t="shared" si="37"/>
        <v>0</v>
      </c>
      <c r="O207" s="104">
        <f>IF(COUNTIFS(Scenario_Weekly_Plan!$A:$A,$A207,Scenario_Weekly_Plan!$B:$B,$C207)&gt;0,"Scenario PP imported",MPS!O207)</f>
        <v>0</v>
      </c>
      <c r="P207" s="92">
        <f>SUMIFS($J$2:J206,$B$2:B206,B207,$C$2:C206,C207)</f>
        <v>0</v>
      </c>
      <c r="Q207" s="92">
        <f t="shared" si="38"/>
        <v>3000</v>
      </c>
      <c r="R207" s="106">
        <f t="shared" si="39"/>
        <v>0</v>
      </c>
      <c r="S207" s="104"/>
      <c r="T207" s="104"/>
      <c r="U207" s="104"/>
    </row>
    <row r="208" spans="1:21" x14ac:dyDescent="0.3">
      <c r="A208" s="87" t="s">
        <v>6</v>
      </c>
      <c r="B208" s="87" t="s">
        <v>56</v>
      </c>
      <c r="C208" s="101">
        <v>46307</v>
      </c>
      <c r="D208" s="89">
        <v>3000</v>
      </c>
      <c r="E208" s="89">
        <v>1448</v>
      </c>
      <c r="F208" s="89">
        <f t="shared" si="32"/>
        <v>0</v>
      </c>
      <c r="G208" s="89">
        <v>3000</v>
      </c>
      <c r="H208" s="90">
        <f t="shared" si="31"/>
        <v>0</v>
      </c>
      <c r="I208" s="90">
        <f t="shared" si="33"/>
        <v>1448</v>
      </c>
      <c r="J208" s="90">
        <f>IF(COUNTIFS(Scenario_Weekly_Plan!$A:$A,$A208,Scenario_Weekly_Plan!$B:$B,$C208)&gt;0,SUMIFS(Scenario_Weekly_Plan!$C:$C,Scenario_Weekly_Plan!$A:$A,$A208,Scenario_Weekly_Plan!$B:$B,$C208),MIN(Q208,I208,MAX(0,E208+G208-F208)))</f>
        <v>1448</v>
      </c>
      <c r="K208" s="90">
        <f t="shared" si="34"/>
        <v>0</v>
      </c>
      <c r="L208" s="90">
        <f t="shared" si="35"/>
        <v>0</v>
      </c>
      <c r="M208" s="90">
        <f t="shared" si="36"/>
        <v>0</v>
      </c>
      <c r="N208" s="91">
        <f t="shared" si="37"/>
        <v>0.48266666666666669</v>
      </c>
      <c r="O208" s="104">
        <f>IF(COUNTIFS(Scenario_Weekly_Plan!$A:$A,$A208,Scenario_Weekly_Plan!$B:$B,$C208)&gt;0,"Scenario PP imported",MPS!O208)</f>
        <v>0</v>
      </c>
      <c r="P208" s="92">
        <f>SUMIFS($J$2:J207,$B$2:B207,B208,$C$2:C207,C208)</f>
        <v>0</v>
      </c>
      <c r="Q208" s="92">
        <f t="shared" si="38"/>
        <v>3000</v>
      </c>
      <c r="R208" s="106">
        <f t="shared" si="39"/>
        <v>1448</v>
      </c>
      <c r="S208" s="104"/>
      <c r="T208" s="104"/>
      <c r="U208" s="104"/>
    </row>
    <row r="209" spans="1:21" x14ac:dyDescent="0.3">
      <c r="A209" s="87" t="s">
        <v>6</v>
      </c>
      <c r="B209" s="87" t="s">
        <v>56</v>
      </c>
      <c r="C209" s="101">
        <v>46314</v>
      </c>
      <c r="D209" s="89">
        <v>3000</v>
      </c>
      <c r="E209" s="89">
        <v>1448</v>
      </c>
      <c r="F209" s="89">
        <f t="shared" si="32"/>
        <v>0</v>
      </c>
      <c r="G209" s="89">
        <v>3000</v>
      </c>
      <c r="H209" s="90">
        <f t="shared" si="31"/>
        <v>0</v>
      </c>
      <c r="I209" s="90">
        <f t="shared" si="33"/>
        <v>1448</v>
      </c>
      <c r="J209" s="90">
        <f>IF(COUNTIFS(Scenario_Weekly_Plan!$A:$A,$A209,Scenario_Weekly_Plan!$B:$B,$C209)&gt;0,SUMIFS(Scenario_Weekly_Plan!$C:$C,Scenario_Weekly_Plan!$A:$A,$A209,Scenario_Weekly_Plan!$B:$B,$C209),MIN(Q209,I209,MAX(0,E209+G209-F209)))</f>
        <v>1448</v>
      </c>
      <c r="K209" s="90">
        <f t="shared" si="34"/>
        <v>0</v>
      </c>
      <c r="L209" s="90">
        <f t="shared" si="35"/>
        <v>0</v>
      </c>
      <c r="M209" s="90">
        <f t="shared" si="36"/>
        <v>0</v>
      </c>
      <c r="N209" s="91">
        <f t="shared" si="37"/>
        <v>0.48266666666666669</v>
      </c>
      <c r="O209" s="104">
        <f>IF(COUNTIFS(Scenario_Weekly_Plan!$A:$A,$A209,Scenario_Weekly_Plan!$B:$B,$C209)&gt;0,"Scenario PP imported",MPS!O209)</f>
        <v>0</v>
      </c>
      <c r="P209" s="92">
        <f>SUMIFS($J$2:J208,$B$2:B208,B209,$C$2:C208,C209)</f>
        <v>0</v>
      </c>
      <c r="Q209" s="92">
        <f t="shared" si="38"/>
        <v>3000</v>
      </c>
      <c r="R209" s="106">
        <f t="shared" si="39"/>
        <v>1448</v>
      </c>
      <c r="S209" s="104"/>
      <c r="T209" s="104"/>
      <c r="U209" s="104"/>
    </row>
    <row r="210" spans="1:21" x14ac:dyDescent="0.3">
      <c r="A210" s="87" t="s">
        <v>6</v>
      </c>
      <c r="B210" s="87" t="s">
        <v>56</v>
      </c>
      <c r="C210" s="101">
        <v>46321</v>
      </c>
      <c r="D210" s="89">
        <v>3000</v>
      </c>
      <c r="E210" s="89">
        <v>1448</v>
      </c>
      <c r="F210" s="89">
        <f t="shared" si="32"/>
        <v>0</v>
      </c>
      <c r="G210" s="89">
        <v>3000</v>
      </c>
      <c r="H210" s="90">
        <f t="shared" si="31"/>
        <v>0</v>
      </c>
      <c r="I210" s="90">
        <f t="shared" si="33"/>
        <v>1448</v>
      </c>
      <c r="J210" s="90">
        <f>IF(COUNTIFS(Scenario_Weekly_Plan!$A:$A,$A210,Scenario_Weekly_Plan!$B:$B,$C210)&gt;0,SUMIFS(Scenario_Weekly_Plan!$C:$C,Scenario_Weekly_Plan!$A:$A,$A210,Scenario_Weekly_Plan!$B:$B,$C210),MIN(Q210,I210,MAX(0,E210+G210-F210)))</f>
        <v>1448</v>
      </c>
      <c r="K210" s="90">
        <f t="shared" si="34"/>
        <v>0</v>
      </c>
      <c r="L210" s="90">
        <f t="shared" si="35"/>
        <v>0</v>
      </c>
      <c r="M210" s="90">
        <f t="shared" si="36"/>
        <v>0</v>
      </c>
      <c r="N210" s="91">
        <f t="shared" si="37"/>
        <v>0.48266666666666669</v>
      </c>
      <c r="O210" s="104">
        <f>IF(COUNTIFS(Scenario_Weekly_Plan!$A:$A,$A210,Scenario_Weekly_Plan!$B:$B,$C210)&gt;0,"Scenario PP imported",MPS!O210)</f>
        <v>0</v>
      </c>
      <c r="P210" s="92">
        <f>SUMIFS($J$2:J209,$B$2:B209,B210,$C$2:C209,C210)</f>
        <v>0</v>
      </c>
      <c r="Q210" s="92">
        <f t="shared" si="38"/>
        <v>3000</v>
      </c>
      <c r="R210" s="106">
        <f t="shared" si="39"/>
        <v>1448</v>
      </c>
      <c r="S210" s="104"/>
      <c r="T210" s="104"/>
      <c r="U210" s="104"/>
    </row>
    <row r="211" spans="1:21" x14ac:dyDescent="0.3">
      <c r="A211" s="87" t="s">
        <v>6</v>
      </c>
      <c r="B211" s="87" t="s">
        <v>56</v>
      </c>
      <c r="C211" s="101">
        <v>46328</v>
      </c>
      <c r="D211" s="89">
        <v>3000</v>
      </c>
      <c r="E211" s="89">
        <v>1754</v>
      </c>
      <c r="F211" s="89">
        <f t="shared" si="32"/>
        <v>0</v>
      </c>
      <c r="G211" s="89">
        <v>3000</v>
      </c>
      <c r="H211" s="90">
        <f t="shared" si="31"/>
        <v>0</v>
      </c>
      <c r="I211" s="90">
        <f t="shared" si="33"/>
        <v>1754</v>
      </c>
      <c r="J211" s="90">
        <f>IF(COUNTIFS(Scenario_Weekly_Plan!$A:$A,$A211,Scenario_Weekly_Plan!$B:$B,$C211)&gt;0,SUMIFS(Scenario_Weekly_Plan!$C:$C,Scenario_Weekly_Plan!$A:$A,$A211,Scenario_Weekly_Plan!$B:$B,$C211),MIN(Q211,I211,MAX(0,E211+G211-F211)))</f>
        <v>1754</v>
      </c>
      <c r="K211" s="90">
        <f t="shared" si="34"/>
        <v>0</v>
      </c>
      <c r="L211" s="90">
        <f t="shared" si="35"/>
        <v>0</v>
      </c>
      <c r="M211" s="90">
        <f t="shared" si="36"/>
        <v>0</v>
      </c>
      <c r="N211" s="91">
        <f t="shared" si="37"/>
        <v>0.68466666666666665</v>
      </c>
      <c r="O211" s="104">
        <f>IF(COUNTIFS(Scenario_Weekly_Plan!$A:$A,$A211,Scenario_Weekly_Plan!$B:$B,$C211)&gt;0,"Scenario PP imported",MPS!O211)</f>
        <v>0</v>
      </c>
      <c r="P211" s="92">
        <f>SUMIFS($J$2:J210,$B$2:B210,B211,$C$2:C210,C211)</f>
        <v>300</v>
      </c>
      <c r="Q211" s="92">
        <f t="shared" si="38"/>
        <v>2700</v>
      </c>
      <c r="R211" s="106">
        <f t="shared" si="39"/>
        <v>1754</v>
      </c>
      <c r="S211" s="104"/>
      <c r="T211" s="104"/>
      <c r="U211" s="104"/>
    </row>
    <row r="212" spans="1:21" x14ac:dyDescent="0.3">
      <c r="A212" s="87" t="s">
        <v>6</v>
      </c>
      <c r="B212" s="87" t="s">
        <v>56</v>
      </c>
      <c r="C212" s="101">
        <v>46335</v>
      </c>
      <c r="D212" s="89">
        <v>3000</v>
      </c>
      <c r="E212" s="89">
        <v>1756</v>
      </c>
      <c r="F212" s="89">
        <f t="shared" si="32"/>
        <v>0</v>
      </c>
      <c r="G212" s="89">
        <v>3000</v>
      </c>
      <c r="H212" s="90">
        <f t="shared" si="31"/>
        <v>0</v>
      </c>
      <c r="I212" s="90">
        <f t="shared" si="33"/>
        <v>1756</v>
      </c>
      <c r="J212" s="90">
        <f>IF(COUNTIFS(Scenario_Weekly_Plan!$A:$A,$A212,Scenario_Weekly_Plan!$B:$B,$C212)&gt;0,SUMIFS(Scenario_Weekly_Plan!$C:$C,Scenario_Weekly_Plan!$A:$A,$A212,Scenario_Weekly_Plan!$B:$B,$C212),MIN(Q212,I212,MAX(0,E212+G212-F212)))</f>
        <v>1756</v>
      </c>
      <c r="K212" s="90">
        <f t="shared" si="34"/>
        <v>0</v>
      </c>
      <c r="L212" s="90">
        <f t="shared" si="35"/>
        <v>0</v>
      </c>
      <c r="M212" s="90">
        <f t="shared" si="36"/>
        <v>0</v>
      </c>
      <c r="N212" s="91">
        <f t="shared" si="37"/>
        <v>0.58533333333333337</v>
      </c>
      <c r="O212" s="104">
        <f>IF(COUNTIFS(Scenario_Weekly_Plan!$A:$A,$A212,Scenario_Weekly_Plan!$B:$B,$C212)&gt;0,"Scenario PP imported",MPS!O212)</f>
        <v>0</v>
      </c>
      <c r="P212" s="92">
        <f>SUMIFS($J$2:J211,$B$2:B211,B212,$C$2:C211,C212)</f>
        <v>0</v>
      </c>
      <c r="Q212" s="92">
        <f t="shared" si="38"/>
        <v>3000</v>
      </c>
      <c r="R212" s="106">
        <f t="shared" si="39"/>
        <v>1756</v>
      </c>
      <c r="S212" s="104"/>
      <c r="T212" s="104"/>
      <c r="U212" s="104"/>
    </row>
    <row r="213" spans="1:21" x14ac:dyDescent="0.3">
      <c r="A213" s="87" t="s">
        <v>6</v>
      </c>
      <c r="B213" s="87" t="s">
        <v>56</v>
      </c>
      <c r="C213" s="101">
        <v>46342</v>
      </c>
      <c r="D213" s="89">
        <v>3000</v>
      </c>
      <c r="E213" s="89">
        <v>1756</v>
      </c>
      <c r="F213" s="89">
        <f t="shared" si="32"/>
        <v>0</v>
      </c>
      <c r="G213" s="89">
        <v>3000</v>
      </c>
      <c r="H213" s="90">
        <f t="shared" si="31"/>
        <v>0</v>
      </c>
      <c r="I213" s="90">
        <f t="shared" si="33"/>
        <v>1756</v>
      </c>
      <c r="J213" s="90">
        <f>IF(COUNTIFS(Scenario_Weekly_Plan!$A:$A,$A213,Scenario_Weekly_Plan!$B:$B,$C213)&gt;0,SUMIFS(Scenario_Weekly_Plan!$C:$C,Scenario_Weekly_Plan!$A:$A,$A213,Scenario_Weekly_Plan!$B:$B,$C213),MIN(Q213,I213,MAX(0,E213+G213-F213)))</f>
        <v>1756</v>
      </c>
      <c r="K213" s="90">
        <f t="shared" si="34"/>
        <v>0</v>
      </c>
      <c r="L213" s="90">
        <f t="shared" si="35"/>
        <v>0</v>
      </c>
      <c r="M213" s="90">
        <f t="shared" si="36"/>
        <v>0</v>
      </c>
      <c r="N213" s="91">
        <f t="shared" si="37"/>
        <v>0.58533333333333337</v>
      </c>
      <c r="O213" s="104">
        <f>IF(COUNTIFS(Scenario_Weekly_Plan!$A:$A,$A213,Scenario_Weekly_Plan!$B:$B,$C213)&gt;0,"Scenario PP imported",MPS!O213)</f>
        <v>0</v>
      </c>
      <c r="P213" s="92">
        <f>SUMIFS($J$2:J212,$B$2:B212,B213,$C$2:C212,C213)</f>
        <v>0</v>
      </c>
      <c r="Q213" s="92">
        <f t="shared" si="38"/>
        <v>3000</v>
      </c>
      <c r="R213" s="106">
        <f t="shared" si="39"/>
        <v>1756</v>
      </c>
      <c r="S213" s="104"/>
      <c r="T213" s="104"/>
      <c r="U213" s="104"/>
    </row>
    <row r="214" spans="1:21" x14ac:dyDescent="0.3">
      <c r="A214" s="87" t="s">
        <v>6</v>
      </c>
      <c r="B214" s="87" t="s">
        <v>56</v>
      </c>
      <c r="C214" s="101">
        <v>46349</v>
      </c>
      <c r="D214" s="89">
        <v>3000</v>
      </c>
      <c r="E214" s="89">
        <v>1756</v>
      </c>
      <c r="F214" s="89">
        <f t="shared" si="32"/>
        <v>0</v>
      </c>
      <c r="G214" s="89">
        <v>3000</v>
      </c>
      <c r="H214" s="90">
        <f t="shared" si="31"/>
        <v>0</v>
      </c>
      <c r="I214" s="90">
        <f t="shared" si="33"/>
        <v>1756</v>
      </c>
      <c r="J214" s="90">
        <f>IF(COUNTIFS(Scenario_Weekly_Plan!$A:$A,$A214,Scenario_Weekly_Plan!$B:$B,$C214)&gt;0,SUMIFS(Scenario_Weekly_Plan!$C:$C,Scenario_Weekly_Plan!$A:$A,$A214,Scenario_Weekly_Plan!$B:$B,$C214),MIN(Q214,I214,MAX(0,E214+G214-F214)))</f>
        <v>1756</v>
      </c>
      <c r="K214" s="90">
        <f t="shared" si="34"/>
        <v>0</v>
      </c>
      <c r="L214" s="90">
        <f t="shared" si="35"/>
        <v>0</v>
      </c>
      <c r="M214" s="90">
        <f t="shared" si="36"/>
        <v>0</v>
      </c>
      <c r="N214" s="91">
        <f t="shared" si="37"/>
        <v>0.58533333333333337</v>
      </c>
      <c r="O214" s="104">
        <f>IF(COUNTIFS(Scenario_Weekly_Plan!$A:$A,$A214,Scenario_Weekly_Plan!$B:$B,$C214)&gt;0,"Scenario PP imported",MPS!O214)</f>
        <v>0</v>
      </c>
      <c r="P214" s="92">
        <f>SUMIFS($J$2:J213,$B$2:B213,B214,$C$2:C213,C214)</f>
        <v>0</v>
      </c>
      <c r="Q214" s="92">
        <f t="shared" si="38"/>
        <v>3000</v>
      </c>
      <c r="R214" s="106">
        <f t="shared" si="39"/>
        <v>1756</v>
      </c>
      <c r="S214" s="104"/>
      <c r="T214" s="104"/>
      <c r="U214" s="104"/>
    </row>
    <row r="215" spans="1:21" x14ac:dyDescent="0.3">
      <c r="A215" s="87" t="s">
        <v>6</v>
      </c>
      <c r="B215" s="87" t="s">
        <v>56</v>
      </c>
      <c r="C215" s="101">
        <v>46356</v>
      </c>
      <c r="D215" s="89">
        <v>3000</v>
      </c>
      <c r="E215" s="89">
        <v>1928</v>
      </c>
      <c r="F215" s="89">
        <f t="shared" si="32"/>
        <v>0</v>
      </c>
      <c r="G215" s="89">
        <v>3000</v>
      </c>
      <c r="H215" s="90">
        <f t="shared" si="31"/>
        <v>0</v>
      </c>
      <c r="I215" s="90">
        <f t="shared" si="33"/>
        <v>1928</v>
      </c>
      <c r="J215" s="90">
        <f>IF(COUNTIFS(Scenario_Weekly_Plan!$A:$A,$A215,Scenario_Weekly_Plan!$B:$B,$C215)&gt;0,SUMIFS(Scenario_Weekly_Plan!$C:$C,Scenario_Weekly_Plan!$A:$A,$A215,Scenario_Weekly_Plan!$B:$B,$C215),MIN(Q215,I215,MAX(0,E215+G215-F215)))</f>
        <v>1928</v>
      </c>
      <c r="K215" s="90">
        <f t="shared" si="34"/>
        <v>0</v>
      </c>
      <c r="L215" s="90">
        <f t="shared" si="35"/>
        <v>0</v>
      </c>
      <c r="M215" s="90">
        <f t="shared" si="36"/>
        <v>0</v>
      </c>
      <c r="N215" s="91">
        <f t="shared" si="37"/>
        <v>0.7426666666666667</v>
      </c>
      <c r="O215" s="104">
        <f>IF(COUNTIFS(Scenario_Weekly_Plan!$A:$A,$A215,Scenario_Weekly_Plan!$B:$B,$C215)&gt;0,"Scenario PP imported",MPS!O215)</f>
        <v>0</v>
      </c>
      <c r="P215" s="92">
        <f>SUMIFS($J$2:J214,$B$2:B214,B215,$C$2:C214,C215)</f>
        <v>300</v>
      </c>
      <c r="Q215" s="92">
        <f t="shared" si="38"/>
        <v>2700</v>
      </c>
      <c r="R215" s="106">
        <f t="shared" si="39"/>
        <v>1928</v>
      </c>
      <c r="S215" s="104"/>
      <c r="T215" s="104"/>
      <c r="U215" s="104"/>
    </row>
    <row r="216" spans="1:21" x14ac:dyDescent="0.3">
      <c r="A216" s="87" t="s">
        <v>6</v>
      </c>
      <c r="B216" s="87" t="s">
        <v>56</v>
      </c>
      <c r="C216" s="101">
        <v>46363</v>
      </c>
      <c r="D216" s="89">
        <v>3000</v>
      </c>
      <c r="E216" s="89">
        <v>1930</v>
      </c>
      <c r="F216" s="89">
        <f t="shared" si="32"/>
        <v>0</v>
      </c>
      <c r="G216" s="89">
        <v>3000</v>
      </c>
      <c r="H216" s="90">
        <f t="shared" si="31"/>
        <v>0</v>
      </c>
      <c r="I216" s="90">
        <f t="shared" si="33"/>
        <v>1930</v>
      </c>
      <c r="J216" s="90">
        <f>IF(COUNTIFS(Scenario_Weekly_Plan!$A:$A,$A216,Scenario_Weekly_Plan!$B:$B,$C216)&gt;0,SUMIFS(Scenario_Weekly_Plan!$C:$C,Scenario_Weekly_Plan!$A:$A,$A216,Scenario_Weekly_Plan!$B:$B,$C216),MIN(Q216,I216,MAX(0,E216+G216-F216)))</f>
        <v>1930</v>
      </c>
      <c r="K216" s="90">
        <f t="shared" si="34"/>
        <v>0</v>
      </c>
      <c r="L216" s="90">
        <f t="shared" si="35"/>
        <v>0</v>
      </c>
      <c r="M216" s="90">
        <f t="shared" si="36"/>
        <v>0</v>
      </c>
      <c r="N216" s="91">
        <f t="shared" si="37"/>
        <v>0.64333333333333331</v>
      </c>
      <c r="O216" s="104">
        <f>IF(COUNTIFS(Scenario_Weekly_Plan!$A:$A,$A216,Scenario_Weekly_Plan!$B:$B,$C216)&gt;0,"Scenario PP imported",MPS!O216)</f>
        <v>0</v>
      </c>
      <c r="P216" s="92">
        <f>SUMIFS($J$2:J215,$B$2:B215,B216,$C$2:C215,C216)</f>
        <v>0</v>
      </c>
      <c r="Q216" s="92">
        <f t="shared" si="38"/>
        <v>3000</v>
      </c>
      <c r="R216" s="106">
        <f t="shared" si="39"/>
        <v>1930</v>
      </c>
      <c r="S216" s="104"/>
      <c r="T216" s="104"/>
      <c r="U216" s="104"/>
    </row>
    <row r="217" spans="1:21" x14ac:dyDescent="0.3">
      <c r="A217" s="87" t="s">
        <v>6</v>
      </c>
      <c r="B217" s="87" t="s">
        <v>56</v>
      </c>
      <c r="C217" s="101">
        <v>46370</v>
      </c>
      <c r="D217" s="89">
        <v>3000</v>
      </c>
      <c r="E217" s="89">
        <v>1928</v>
      </c>
      <c r="F217" s="89">
        <f t="shared" si="32"/>
        <v>0</v>
      </c>
      <c r="G217" s="89">
        <v>3000</v>
      </c>
      <c r="H217" s="90">
        <f>0</f>
        <v>0</v>
      </c>
      <c r="I217" s="90">
        <f t="shared" si="33"/>
        <v>1928</v>
      </c>
      <c r="J217" s="90">
        <f>IF(COUNTIFS(Scenario_Weekly_Plan!$A:$A,$A217,Scenario_Weekly_Plan!$B:$B,$C217)&gt;0,SUMIFS(Scenario_Weekly_Plan!$C:$C,Scenario_Weekly_Plan!$A:$A,$A217,Scenario_Weekly_Plan!$B:$B,$C217),MIN(Q217,I217,MAX(0,E217+G217-F217)))</f>
        <v>1928</v>
      </c>
      <c r="K217" s="90">
        <f t="shared" si="34"/>
        <v>0</v>
      </c>
      <c r="L217" s="90">
        <f t="shared" si="35"/>
        <v>0</v>
      </c>
      <c r="M217" s="90">
        <f t="shared" si="36"/>
        <v>0</v>
      </c>
      <c r="N217" s="91">
        <f t="shared" si="37"/>
        <v>0.64266666666666672</v>
      </c>
      <c r="O217" s="104">
        <f>IF(COUNTIFS(Scenario_Weekly_Plan!$A:$A,$A217,Scenario_Weekly_Plan!$B:$B,$C217)&gt;0,"Scenario PP imported",MPS!O217)</f>
        <v>0</v>
      </c>
      <c r="P217" s="92">
        <f>SUMIFS($J$2:J216,$B$2:B216,B217,$C$2:C216,C217)</f>
        <v>0</v>
      </c>
      <c r="Q217" s="92">
        <f t="shared" si="38"/>
        <v>3000</v>
      </c>
      <c r="R217" s="106">
        <f t="shared" si="39"/>
        <v>1928</v>
      </c>
      <c r="S217" s="104"/>
      <c r="T217" s="104"/>
      <c r="U217" s="10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01"/>
  <sheetViews>
    <sheetView zoomScale="48" zoomScaleNormal="74" workbookViewId="0">
      <selection activeCell="B38" sqref="B38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X1" s="36" t="s">
        <v>22</v>
      </c>
      <c r="Y1" s="37" t="s">
        <v>1</v>
      </c>
      <c r="Z1" s="37" t="s">
        <v>2</v>
      </c>
      <c r="AA1" s="37" t="s">
        <v>3</v>
      </c>
      <c r="AB1" s="37" t="s">
        <v>4</v>
      </c>
      <c r="AC1" s="37" t="s">
        <v>5</v>
      </c>
      <c r="AD1" s="37" t="s">
        <v>6</v>
      </c>
    </row>
    <row r="2" spans="1:30" x14ac:dyDescent="0.3">
      <c r="A2" s="103">
        <v>46125</v>
      </c>
      <c r="B2" s="56">
        <f>IF($A2="","",SUMIFS(MPS!$J:$J,MPS!$A:$A,B$1,MPS!$C:$C,$A2))</f>
        <v>0</v>
      </c>
      <c r="C2" s="56">
        <f>IF($A2="","",SUMIFS(MPS!$J:$J,MPS!$A:$A,C$1,MPS!$C:$C,$A2))</f>
        <v>12751</v>
      </c>
      <c r="D2" s="56">
        <f>IF($A2="","",SUMIFS(MPS!$J:$J,MPS!$A:$A,D$1,MPS!$C:$C,$A2))</f>
        <v>5000</v>
      </c>
      <c r="E2" s="56">
        <f>IF($A2="","",SUMIFS(MPS!$J:$J,MPS!$A:$A,E$1,MPS!$C:$C,$A2))</f>
        <v>0</v>
      </c>
      <c r="F2" s="56">
        <f>IF($A2="","",SUMIFS(MPS!$J:$J,MPS!$A:$A,F$1,MPS!$C:$C,$A2))</f>
        <v>0</v>
      </c>
      <c r="G2" s="56">
        <f>IF($A2="","",SUMIFS(MPS!$J:$J,MPS!$A:$A,G$1,MPS!$C:$C,$A2))</f>
        <v>3000</v>
      </c>
      <c r="H2" s="56">
        <f t="shared" ref="H2:V11" si="0">IF($A2="","",SUMPRODUCT($B2:$G2,INDEX($Y$2:$AD$16,MATCH(H$1,$X$2:$X$16,0),0)))</f>
        <v>20751</v>
      </c>
      <c r="I2" s="56">
        <f t="shared" si="0"/>
        <v>6062.75</v>
      </c>
      <c r="J2" s="56">
        <f t="shared" si="0"/>
        <v>20751</v>
      </c>
      <c r="K2" s="56">
        <f t="shared" si="0"/>
        <v>0</v>
      </c>
      <c r="L2" s="56">
        <f t="shared" si="0"/>
        <v>0</v>
      </c>
      <c r="M2" s="56">
        <f t="shared" si="0"/>
        <v>31877.5</v>
      </c>
      <c r="N2" s="56">
        <f t="shared" si="0"/>
        <v>19126.5</v>
      </c>
      <c r="O2" s="56">
        <f t="shared" si="0"/>
        <v>15000</v>
      </c>
      <c r="P2" s="56">
        <f t="shared" si="0"/>
        <v>2500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15000</v>
      </c>
      <c r="V2" s="56">
        <f t="shared" si="0"/>
        <v>6000</v>
      </c>
      <c r="X2" s="40" t="s">
        <v>7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1">
        <v>1</v>
      </c>
    </row>
    <row r="3" spans="1:30" x14ac:dyDescent="0.3">
      <c r="A3" s="38">
        <v>46132</v>
      </c>
      <c r="B3" s="56">
        <f>IF($A3="","",SUMIFS(MPS!$J:$J,MPS!$A:$A,B$1,MPS!$C:$C,$A3))</f>
        <v>0</v>
      </c>
      <c r="C3" s="56">
        <f>IF($A3="","",SUMIFS(MPS!$J:$J,MPS!$A:$A,C$1,MPS!$C:$C,$A3))</f>
        <v>2249</v>
      </c>
      <c r="D3" s="56">
        <f>IF($A3="","",SUMIFS(MPS!$J:$J,MPS!$A:$A,D$1,MPS!$C:$C,$A3))</f>
        <v>0</v>
      </c>
      <c r="E3" s="56">
        <f>IF($A3="","",SUMIFS(MPS!$J:$J,MPS!$A:$A,E$1,MPS!$C:$C,$A3))</f>
        <v>5000</v>
      </c>
      <c r="F3" s="56">
        <f>IF($A3="","",SUMIFS(MPS!$J:$J,MPS!$A:$A,F$1,MPS!$C:$C,$A3))</f>
        <v>0</v>
      </c>
      <c r="G3" s="56">
        <f>IF($A3="","",SUMIFS(MPS!$J:$J,MPS!$A:$A,G$1,MPS!$C:$C,$A3))</f>
        <v>588</v>
      </c>
      <c r="H3" s="56">
        <f t="shared" si="0"/>
        <v>7837</v>
      </c>
      <c r="I3" s="56">
        <f t="shared" si="0"/>
        <v>1885.75</v>
      </c>
      <c r="J3" s="56">
        <f t="shared" si="0"/>
        <v>7837</v>
      </c>
      <c r="K3" s="56">
        <f t="shared" si="0"/>
        <v>0</v>
      </c>
      <c r="L3" s="56">
        <f t="shared" si="0"/>
        <v>0</v>
      </c>
      <c r="M3" s="56">
        <f t="shared" si="0"/>
        <v>5622.5</v>
      </c>
      <c r="N3" s="56">
        <f t="shared" si="0"/>
        <v>3373.5</v>
      </c>
      <c r="O3" s="56">
        <f t="shared" si="0"/>
        <v>0</v>
      </c>
      <c r="P3" s="56">
        <f t="shared" si="0"/>
        <v>0</v>
      </c>
      <c r="Q3" s="56">
        <f t="shared" si="0"/>
        <v>10000</v>
      </c>
      <c r="R3" s="56">
        <f t="shared" si="0"/>
        <v>7500</v>
      </c>
      <c r="S3" s="56">
        <f t="shared" si="0"/>
        <v>0</v>
      </c>
      <c r="T3" s="56">
        <f t="shared" si="0"/>
        <v>0</v>
      </c>
      <c r="U3" s="56">
        <f t="shared" si="0"/>
        <v>2940</v>
      </c>
      <c r="V3" s="56">
        <f t="shared" si="0"/>
        <v>1176</v>
      </c>
      <c r="X3" s="40" t="s">
        <v>8</v>
      </c>
      <c r="Y3" s="41">
        <v>0.25</v>
      </c>
      <c r="Z3" s="41">
        <v>0.25</v>
      </c>
      <c r="AA3" s="41">
        <v>0.5</v>
      </c>
      <c r="AB3" s="41">
        <v>0.25</v>
      </c>
      <c r="AC3" s="41">
        <v>0.5</v>
      </c>
      <c r="AD3" s="41">
        <v>0.125</v>
      </c>
    </row>
    <row r="4" spans="1:30" x14ac:dyDescent="0.3">
      <c r="A4" s="38">
        <v>46139</v>
      </c>
      <c r="B4" s="56">
        <f>IF($A4="","",SUMIFS(MPS!$J:$J,MPS!$A:$A,B$1,MPS!$C:$C,$A4))</f>
        <v>10684</v>
      </c>
      <c r="C4" s="56">
        <f>IF($A4="","",SUMIFS(MPS!$J:$J,MPS!$A:$A,C$1,MPS!$C:$C,$A4))</f>
        <v>0</v>
      </c>
      <c r="D4" s="56">
        <f>IF($A4="","",SUMIFS(MPS!$J:$J,MPS!$A:$A,D$1,MPS!$C:$C,$A4))</f>
        <v>0</v>
      </c>
      <c r="E4" s="56">
        <f>IF($A4="","",SUMIFS(MPS!$J:$J,MPS!$A:$A,E$1,MPS!$C:$C,$A4))</f>
        <v>0</v>
      </c>
      <c r="F4" s="56">
        <f>IF($A4="","",SUMIFS(MPS!$J:$J,MPS!$A:$A,F$1,MPS!$C:$C,$A4))</f>
        <v>472</v>
      </c>
      <c r="G4" s="56">
        <f>IF($A4="","",SUMIFS(MPS!$J:$J,MPS!$A:$A,G$1,MPS!$C:$C,$A4))</f>
        <v>2528</v>
      </c>
      <c r="H4" s="39">
        <f t="shared" si="0"/>
        <v>13684</v>
      </c>
      <c r="I4" s="39">
        <f t="shared" si="0"/>
        <v>3223</v>
      </c>
      <c r="J4" s="39">
        <f t="shared" si="0"/>
        <v>13684</v>
      </c>
      <c r="K4" s="39">
        <f t="shared" si="0"/>
        <v>21368</v>
      </c>
      <c r="L4" s="39">
        <f t="shared" si="0"/>
        <v>10684</v>
      </c>
      <c r="M4" s="39">
        <f t="shared" si="0"/>
        <v>0</v>
      </c>
      <c r="N4" s="39">
        <f t="shared" si="0"/>
        <v>0</v>
      </c>
      <c r="O4" s="39">
        <f t="shared" si="0"/>
        <v>0</v>
      </c>
      <c r="P4" s="39">
        <f t="shared" si="0"/>
        <v>0</v>
      </c>
      <c r="Q4" s="39">
        <f t="shared" si="0"/>
        <v>0</v>
      </c>
      <c r="R4" s="39">
        <f t="shared" si="0"/>
        <v>0</v>
      </c>
      <c r="S4" s="39">
        <f t="shared" si="0"/>
        <v>1416</v>
      </c>
      <c r="T4" s="39">
        <f t="shared" si="0"/>
        <v>1888</v>
      </c>
      <c r="U4" s="39">
        <f t="shared" si="0"/>
        <v>12640</v>
      </c>
      <c r="V4" s="39">
        <f t="shared" si="0"/>
        <v>5056</v>
      </c>
      <c r="X4" s="40" t="s">
        <v>9</v>
      </c>
      <c r="Y4" s="41">
        <v>1</v>
      </c>
      <c r="Z4" s="41">
        <v>1</v>
      </c>
      <c r="AA4" s="41">
        <v>1</v>
      </c>
      <c r="AB4" s="41">
        <v>1</v>
      </c>
      <c r="AC4" s="41">
        <v>1</v>
      </c>
      <c r="AD4" s="41">
        <v>1</v>
      </c>
    </row>
    <row r="5" spans="1:30" x14ac:dyDescent="0.3">
      <c r="A5" s="38">
        <v>46146</v>
      </c>
      <c r="B5" s="56">
        <f>IF($A5="","",SUMIFS(MPS!$J:$J,MPS!$A:$A,B$1,MPS!$C:$C,$A5))</f>
        <v>15000</v>
      </c>
      <c r="C5" s="56">
        <f>IF($A5="","",SUMIFS(MPS!$J:$J,MPS!$A:$A,C$1,MPS!$C:$C,$A5))</f>
        <v>0</v>
      </c>
      <c r="D5" s="56">
        <f>IF($A5="","",SUMIFS(MPS!$J:$J,MPS!$A:$A,D$1,MPS!$C:$C,$A5))</f>
        <v>4320</v>
      </c>
      <c r="E5" s="56">
        <f>IF($A5="","",SUMIFS(MPS!$J:$J,MPS!$A:$A,E$1,MPS!$C:$C,$A5))</f>
        <v>680</v>
      </c>
      <c r="F5" s="56">
        <f>IF($A5="","",SUMIFS(MPS!$J:$J,MPS!$A:$A,F$1,MPS!$C:$C,$A5))</f>
        <v>300</v>
      </c>
      <c r="G5" s="56">
        <f>IF($A5="","",SUMIFS(MPS!$J:$J,MPS!$A:$A,G$1,MPS!$C:$C,$A5))</f>
        <v>2700</v>
      </c>
      <c r="H5" s="39">
        <f t="shared" si="0"/>
        <v>23000</v>
      </c>
      <c r="I5" s="39">
        <f t="shared" si="0"/>
        <v>6567.5</v>
      </c>
      <c r="J5" s="39">
        <f t="shared" si="0"/>
        <v>23000</v>
      </c>
      <c r="K5" s="39">
        <f t="shared" si="0"/>
        <v>30000</v>
      </c>
      <c r="L5" s="39">
        <f t="shared" si="0"/>
        <v>15000</v>
      </c>
      <c r="M5" s="39">
        <f t="shared" si="0"/>
        <v>0</v>
      </c>
      <c r="N5" s="39">
        <f t="shared" si="0"/>
        <v>0</v>
      </c>
      <c r="O5" s="39">
        <f t="shared" si="0"/>
        <v>12960</v>
      </c>
      <c r="P5" s="39">
        <f t="shared" si="0"/>
        <v>2160</v>
      </c>
      <c r="Q5" s="39">
        <f t="shared" si="0"/>
        <v>1360</v>
      </c>
      <c r="R5" s="39">
        <f t="shared" si="0"/>
        <v>1020</v>
      </c>
      <c r="S5" s="39">
        <f t="shared" si="0"/>
        <v>900</v>
      </c>
      <c r="T5" s="39">
        <f t="shared" si="0"/>
        <v>1200</v>
      </c>
      <c r="U5" s="39">
        <f t="shared" si="0"/>
        <v>13500</v>
      </c>
      <c r="V5" s="39">
        <f t="shared" si="0"/>
        <v>5400</v>
      </c>
      <c r="X5" s="40" t="s">
        <v>10</v>
      </c>
      <c r="Y5" s="41">
        <v>2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</row>
    <row r="6" spans="1:30" x14ac:dyDescent="0.3">
      <c r="A6" s="38">
        <v>46153</v>
      </c>
      <c r="B6" s="56">
        <f>IF($A6="","",SUMIFS(MPS!$J:$J,MPS!$A:$A,B$1,MPS!$C:$C,$A6))</f>
        <v>15000</v>
      </c>
      <c r="C6" s="56">
        <f>IF($A6="","",SUMIFS(MPS!$J:$J,MPS!$A:$A,C$1,MPS!$C:$C,$A6))</f>
        <v>0</v>
      </c>
      <c r="D6" s="56">
        <f>IF($A6="","",SUMIFS(MPS!$J:$J,MPS!$A:$A,D$1,MPS!$C:$C,$A6))</f>
        <v>5000</v>
      </c>
      <c r="E6" s="56">
        <f>IF($A6="","",SUMIFS(MPS!$J:$J,MPS!$A:$A,E$1,MPS!$C:$C,$A6))</f>
        <v>0</v>
      </c>
      <c r="F6" s="56">
        <f>IF($A6="","",SUMIFS(MPS!$J:$J,MPS!$A:$A,F$1,MPS!$C:$C,$A6))</f>
        <v>698</v>
      </c>
      <c r="G6" s="56">
        <f>IF($A6="","",SUMIFS(MPS!$J:$J,MPS!$A:$A,G$1,MPS!$C:$C,$A6))</f>
        <v>2302</v>
      </c>
      <c r="H6" s="39">
        <f t="shared" si="0"/>
        <v>23000</v>
      </c>
      <c r="I6" s="39">
        <f t="shared" si="0"/>
        <v>6886.75</v>
      </c>
      <c r="J6" s="39">
        <f t="shared" si="0"/>
        <v>23000</v>
      </c>
      <c r="K6" s="39">
        <f t="shared" si="0"/>
        <v>30000</v>
      </c>
      <c r="L6" s="39">
        <f t="shared" si="0"/>
        <v>15000</v>
      </c>
      <c r="M6" s="39">
        <f t="shared" si="0"/>
        <v>0</v>
      </c>
      <c r="N6" s="39">
        <f t="shared" si="0"/>
        <v>0</v>
      </c>
      <c r="O6" s="39">
        <f t="shared" si="0"/>
        <v>15000</v>
      </c>
      <c r="P6" s="39">
        <f t="shared" si="0"/>
        <v>2500</v>
      </c>
      <c r="Q6" s="39">
        <f t="shared" si="0"/>
        <v>0</v>
      </c>
      <c r="R6" s="39">
        <f t="shared" si="0"/>
        <v>0</v>
      </c>
      <c r="S6" s="39">
        <f t="shared" si="0"/>
        <v>2094</v>
      </c>
      <c r="T6" s="39">
        <f t="shared" si="0"/>
        <v>2792</v>
      </c>
      <c r="U6" s="39">
        <f t="shared" si="0"/>
        <v>11510</v>
      </c>
      <c r="V6" s="39">
        <f t="shared" si="0"/>
        <v>4604</v>
      </c>
      <c r="X6" s="40" t="s">
        <v>11</v>
      </c>
      <c r="Y6" s="41">
        <v>1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</row>
    <row r="7" spans="1:30" x14ac:dyDescent="0.3">
      <c r="A7" s="38">
        <v>46160</v>
      </c>
      <c r="B7" s="56">
        <f>IF($A7="","",SUMIFS(MPS!$J:$J,MPS!$A:$A,B$1,MPS!$C:$C,$A7))</f>
        <v>11000</v>
      </c>
      <c r="C7" s="56">
        <f>IF($A7="","",SUMIFS(MPS!$J:$J,MPS!$A:$A,C$1,MPS!$C:$C,$A7))</f>
        <v>4000</v>
      </c>
      <c r="D7" s="56">
        <f>IF($A7="","",SUMIFS(MPS!$J:$J,MPS!$A:$A,D$1,MPS!$C:$C,$A7))</f>
        <v>5000</v>
      </c>
      <c r="E7" s="56">
        <f>IF($A7="","",SUMIFS(MPS!$J:$J,MPS!$A:$A,E$1,MPS!$C:$C,$A7))</f>
        <v>0</v>
      </c>
      <c r="F7" s="56">
        <f>IF($A7="","",SUMIFS(MPS!$J:$J,MPS!$A:$A,F$1,MPS!$C:$C,$A7))</f>
        <v>0</v>
      </c>
      <c r="G7" s="56">
        <f>IF($A7="","",SUMIFS(MPS!$J:$J,MPS!$A:$A,G$1,MPS!$C:$C,$A7))</f>
        <v>3000</v>
      </c>
      <c r="H7" s="39">
        <f t="shared" si="0"/>
        <v>23000</v>
      </c>
      <c r="I7" s="39">
        <f t="shared" si="0"/>
        <v>6625</v>
      </c>
      <c r="J7" s="39">
        <f t="shared" si="0"/>
        <v>23000</v>
      </c>
      <c r="K7" s="39">
        <f t="shared" si="0"/>
        <v>22000</v>
      </c>
      <c r="L7" s="39">
        <f t="shared" si="0"/>
        <v>11000</v>
      </c>
      <c r="M7" s="39">
        <f t="shared" si="0"/>
        <v>10000</v>
      </c>
      <c r="N7" s="39">
        <f t="shared" si="0"/>
        <v>6000</v>
      </c>
      <c r="O7" s="39">
        <f t="shared" si="0"/>
        <v>15000</v>
      </c>
      <c r="P7" s="39">
        <f t="shared" si="0"/>
        <v>2500</v>
      </c>
      <c r="Q7" s="39">
        <f t="shared" si="0"/>
        <v>0</v>
      </c>
      <c r="R7" s="39">
        <f t="shared" si="0"/>
        <v>0</v>
      </c>
      <c r="S7" s="39">
        <f t="shared" si="0"/>
        <v>0</v>
      </c>
      <c r="T7" s="39">
        <f t="shared" si="0"/>
        <v>0</v>
      </c>
      <c r="U7" s="39">
        <f t="shared" si="0"/>
        <v>15000</v>
      </c>
      <c r="V7" s="39">
        <f t="shared" si="0"/>
        <v>6000</v>
      </c>
      <c r="X7" s="40" t="s">
        <v>12</v>
      </c>
      <c r="Y7" s="41">
        <v>0</v>
      </c>
      <c r="Z7" s="41">
        <v>2.5</v>
      </c>
      <c r="AA7" s="41">
        <v>0</v>
      </c>
      <c r="AB7" s="41">
        <v>0</v>
      </c>
      <c r="AC7" s="41">
        <v>0</v>
      </c>
      <c r="AD7" s="41">
        <v>0</v>
      </c>
    </row>
    <row r="8" spans="1:30" x14ac:dyDescent="0.3">
      <c r="A8" s="38">
        <v>46167</v>
      </c>
      <c r="B8" s="56">
        <f>IF($A8="","",SUMIFS(MPS!$J:$J,MPS!$A:$A,B$1,MPS!$C:$C,$A8))</f>
        <v>13000</v>
      </c>
      <c r="C8" s="56">
        <f>IF($A8="","",SUMIFS(MPS!$J:$J,MPS!$A:$A,C$1,MPS!$C:$C,$A8))</f>
        <v>2000</v>
      </c>
      <c r="D8" s="56">
        <f>IF($A8="","",SUMIFS(MPS!$J:$J,MPS!$A:$A,D$1,MPS!$C:$C,$A8))</f>
        <v>5000</v>
      </c>
      <c r="E8" s="56">
        <f>IF($A8="","",SUMIFS(MPS!$J:$J,MPS!$A:$A,E$1,MPS!$C:$C,$A8))</f>
        <v>0</v>
      </c>
      <c r="F8" s="56">
        <f>IF($A8="","",SUMIFS(MPS!$J:$J,MPS!$A:$A,F$1,MPS!$C:$C,$A8))</f>
        <v>300</v>
      </c>
      <c r="G8" s="56">
        <f>IF($A8="","",SUMIFS(MPS!$J:$J,MPS!$A:$A,G$1,MPS!$C:$C,$A8))</f>
        <v>2700</v>
      </c>
      <c r="H8" s="39">
        <f t="shared" si="0"/>
        <v>23000</v>
      </c>
      <c r="I8" s="39">
        <f t="shared" si="0"/>
        <v>6737.5</v>
      </c>
      <c r="J8" s="39">
        <f t="shared" si="0"/>
        <v>23000</v>
      </c>
      <c r="K8" s="39">
        <f t="shared" si="0"/>
        <v>26000</v>
      </c>
      <c r="L8" s="39">
        <f t="shared" si="0"/>
        <v>13000</v>
      </c>
      <c r="M8" s="39">
        <f t="shared" si="0"/>
        <v>5000</v>
      </c>
      <c r="N8" s="39">
        <f t="shared" si="0"/>
        <v>3000</v>
      </c>
      <c r="O8" s="39">
        <f t="shared" si="0"/>
        <v>15000</v>
      </c>
      <c r="P8" s="39">
        <f t="shared" si="0"/>
        <v>2500</v>
      </c>
      <c r="Q8" s="39">
        <f t="shared" si="0"/>
        <v>0</v>
      </c>
      <c r="R8" s="39">
        <f t="shared" si="0"/>
        <v>0</v>
      </c>
      <c r="S8" s="39">
        <f t="shared" si="0"/>
        <v>900</v>
      </c>
      <c r="T8" s="39">
        <f t="shared" si="0"/>
        <v>1200</v>
      </c>
      <c r="U8" s="39">
        <f t="shared" si="0"/>
        <v>13500</v>
      </c>
      <c r="V8" s="39">
        <f t="shared" si="0"/>
        <v>5400</v>
      </c>
      <c r="X8" s="40" t="s">
        <v>13</v>
      </c>
      <c r="Y8" s="41">
        <v>0</v>
      </c>
      <c r="Z8" s="41">
        <v>1.5</v>
      </c>
      <c r="AA8" s="41">
        <v>0</v>
      </c>
      <c r="AB8" s="41">
        <v>0</v>
      </c>
      <c r="AC8" s="41">
        <v>0</v>
      </c>
      <c r="AD8" s="41">
        <v>0</v>
      </c>
    </row>
    <row r="9" spans="1:30" x14ac:dyDescent="0.3">
      <c r="A9" s="38">
        <v>46174</v>
      </c>
      <c r="B9" s="56">
        <f>IF($A9="","",SUMIFS(MPS!$J:$J,MPS!$A:$A,B$1,MPS!$C:$C,$A9))</f>
        <v>13773</v>
      </c>
      <c r="C9" s="56">
        <f>IF($A9="","",SUMIFS(MPS!$J:$J,MPS!$A:$A,C$1,MPS!$C:$C,$A9))</f>
        <v>1227</v>
      </c>
      <c r="D9" s="56">
        <f>IF($A9="","",SUMIFS(MPS!$J:$J,MPS!$A:$A,D$1,MPS!$C:$C,$A9))</f>
        <v>5000</v>
      </c>
      <c r="E9" s="56">
        <f>IF($A9="","",SUMIFS(MPS!$J:$J,MPS!$A:$A,E$1,MPS!$C:$C,$A9))</f>
        <v>0</v>
      </c>
      <c r="F9" s="56">
        <f>IF($A9="","",SUMIFS(MPS!$J:$J,MPS!$A:$A,F$1,MPS!$C:$C,$A9))</f>
        <v>0</v>
      </c>
      <c r="G9" s="56">
        <f>IF($A9="","",SUMIFS(MPS!$J:$J,MPS!$A:$A,G$1,MPS!$C:$C,$A9))</f>
        <v>3000</v>
      </c>
      <c r="H9" s="39">
        <f t="shared" si="0"/>
        <v>23000</v>
      </c>
      <c r="I9" s="39">
        <f t="shared" si="0"/>
        <v>6625</v>
      </c>
      <c r="J9" s="39">
        <f t="shared" si="0"/>
        <v>23000</v>
      </c>
      <c r="K9" s="39">
        <f t="shared" si="0"/>
        <v>27546</v>
      </c>
      <c r="L9" s="39">
        <f t="shared" si="0"/>
        <v>13773</v>
      </c>
      <c r="M9" s="39">
        <f t="shared" si="0"/>
        <v>3067.5</v>
      </c>
      <c r="N9" s="39">
        <f t="shared" si="0"/>
        <v>1840.5</v>
      </c>
      <c r="O9" s="39">
        <f t="shared" si="0"/>
        <v>15000</v>
      </c>
      <c r="P9" s="39">
        <f t="shared" si="0"/>
        <v>2500</v>
      </c>
      <c r="Q9" s="39">
        <f t="shared" si="0"/>
        <v>0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15000</v>
      </c>
      <c r="V9" s="39">
        <f t="shared" si="0"/>
        <v>6000</v>
      </c>
      <c r="X9" s="40" t="s">
        <v>14</v>
      </c>
      <c r="Y9" s="41">
        <v>0</v>
      </c>
      <c r="Z9" s="41">
        <v>0</v>
      </c>
      <c r="AA9" s="41">
        <v>3</v>
      </c>
      <c r="AB9" s="41">
        <v>0</v>
      </c>
      <c r="AC9" s="41">
        <v>0</v>
      </c>
      <c r="AD9" s="41">
        <v>0</v>
      </c>
    </row>
    <row r="10" spans="1:30" x14ac:dyDescent="0.3">
      <c r="A10" s="38">
        <v>46181</v>
      </c>
      <c r="B10" s="56">
        <f>IF($A10="","",SUMIFS(MPS!$J:$J,MPS!$A:$A,B$1,MPS!$C:$C,$A10))</f>
        <v>7058</v>
      </c>
      <c r="C10" s="56">
        <f>IF($A10="","",SUMIFS(MPS!$J:$J,MPS!$A:$A,C$1,MPS!$C:$C,$A10))</f>
        <v>5309</v>
      </c>
      <c r="D10" s="56">
        <f>IF($A10="","",SUMIFS(MPS!$J:$J,MPS!$A:$A,D$1,MPS!$C:$C,$A10))</f>
        <v>5000</v>
      </c>
      <c r="E10" s="56">
        <f>IF($A10="","",SUMIFS(MPS!$J:$J,MPS!$A:$A,E$1,MPS!$C:$C,$A10))</f>
        <v>0</v>
      </c>
      <c r="F10" s="56">
        <f>IF($A10="","",SUMIFS(MPS!$J:$J,MPS!$A:$A,F$1,MPS!$C:$C,$A10))</f>
        <v>0</v>
      </c>
      <c r="G10" s="56">
        <f>IF($A10="","",SUMIFS(MPS!$J:$J,MPS!$A:$A,G$1,MPS!$C:$C,$A10))</f>
        <v>3000</v>
      </c>
      <c r="H10" s="39">
        <f t="shared" si="0"/>
        <v>20367</v>
      </c>
      <c r="I10" s="39">
        <f t="shared" si="0"/>
        <v>5966.75</v>
      </c>
      <c r="J10" s="39">
        <f t="shared" si="0"/>
        <v>20367</v>
      </c>
      <c r="K10" s="39">
        <f t="shared" si="0"/>
        <v>14116</v>
      </c>
      <c r="L10" s="39">
        <f t="shared" si="0"/>
        <v>7058</v>
      </c>
      <c r="M10" s="39">
        <f t="shared" si="0"/>
        <v>13272.5</v>
      </c>
      <c r="N10" s="39">
        <f t="shared" si="0"/>
        <v>7963.5</v>
      </c>
      <c r="O10" s="39">
        <f t="shared" si="0"/>
        <v>15000</v>
      </c>
      <c r="P10" s="39">
        <f t="shared" si="0"/>
        <v>2500</v>
      </c>
      <c r="Q10" s="39">
        <f t="shared" si="0"/>
        <v>0</v>
      </c>
      <c r="R10" s="39">
        <f t="shared" si="0"/>
        <v>0</v>
      </c>
      <c r="S10" s="39">
        <f t="shared" si="0"/>
        <v>0</v>
      </c>
      <c r="T10" s="39">
        <f t="shared" si="0"/>
        <v>0</v>
      </c>
      <c r="U10" s="39">
        <f t="shared" si="0"/>
        <v>15000</v>
      </c>
      <c r="V10" s="39">
        <f t="shared" si="0"/>
        <v>6000</v>
      </c>
      <c r="X10" s="40" t="s">
        <v>15</v>
      </c>
      <c r="Y10" s="41">
        <v>0</v>
      </c>
      <c r="Z10" s="41">
        <v>0</v>
      </c>
      <c r="AA10" s="41">
        <v>0.5</v>
      </c>
      <c r="AB10" s="41">
        <v>0</v>
      </c>
      <c r="AC10" s="41">
        <v>0</v>
      </c>
      <c r="AD10" s="41">
        <v>0</v>
      </c>
    </row>
    <row r="11" spans="1:30" x14ac:dyDescent="0.3">
      <c r="A11" s="38">
        <v>46188</v>
      </c>
      <c r="B11" s="56">
        <f>IF($A11="","",SUMIFS(MPS!$J:$J,MPS!$A:$A,B$1,MPS!$C:$C,$A11))</f>
        <v>2040</v>
      </c>
      <c r="C11" s="56">
        <f>IF($A11="","",SUMIFS(MPS!$J:$J,MPS!$A:$A,C$1,MPS!$C:$C,$A11))</f>
        <v>5309</v>
      </c>
      <c r="D11" s="56">
        <f>IF($A11="","",SUMIFS(MPS!$J:$J,MPS!$A:$A,D$1,MPS!$C:$C,$A11))</f>
        <v>5000</v>
      </c>
      <c r="E11" s="56">
        <f>IF($A11="","",SUMIFS(MPS!$J:$J,MPS!$A:$A,E$1,MPS!$C:$C,$A11))</f>
        <v>0</v>
      </c>
      <c r="F11" s="56">
        <f>IF($A11="","",SUMIFS(MPS!$J:$J,MPS!$A:$A,F$1,MPS!$C:$C,$A11))</f>
        <v>300</v>
      </c>
      <c r="G11" s="56">
        <f>IF($A11="","",SUMIFS(MPS!$J:$J,MPS!$A:$A,G$1,MPS!$C:$C,$A11))</f>
        <v>2700</v>
      </c>
      <c r="H11" s="39">
        <f t="shared" si="0"/>
        <v>15349</v>
      </c>
      <c r="I11" s="39">
        <f t="shared" si="0"/>
        <v>4824.75</v>
      </c>
      <c r="J11" s="39">
        <f t="shared" si="0"/>
        <v>15349</v>
      </c>
      <c r="K11" s="39">
        <f t="shared" si="0"/>
        <v>4080</v>
      </c>
      <c r="L11" s="39">
        <f t="shared" si="0"/>
        <v>2040</v>
      </c>
      <c r="M11" s="39">
        <f t="shared" si="0"/>
        <v>13272.5</v>
      </c>
      <c r="N11" s="39">
        <f t="shared" si="0"/>
        <v>7963.5</v>
      </c>
      <c r="O11" s="39">
        <f t="shared" si="0"/>
        <v>15000</v>
      </c>
      <c r="P11" s="39">
        <f t="shared" si="0"/>
        <v>2500</v>
      </c>
      <c r="Q11" s="39">
        <f t="shared" si="0"/>
        <v>0</v>
      </c>
      <c r="R11" s="39">
        <f t="shared" si="0"/>
        <v>0</v>
      </c>
      <c r="S11" s="39">
        <f t="shared" si="0"/>
        <v>900</v>
      </c>
      <c r="T11" s="39">
        <f t="shared" si="0"/>
        <v>1200</v>
      </c>
      <c r="U11" s="39">
        <f t="shared" si="0"/>
        <v>13500</v>
      </c>
      <c r="V11" s="39">
        <f t="shared" si="0"/>
        <v>5400</v>
      </c>
      <c r="X11" s="40" t="s">
        <v>16</v>
      </c>
      <c r="Y11" s="41">
        <v>0</v>
      </c>
      <c r="Z11" s="41">
        <v>0</v>
      </c>
      <c r="AA11" s="41">
        <v>0</v>
      </c>
      <c r="AB11" s="41">
        <v>2</v>
      </c>
      <c r="AC11" s="41">
        <v>0</v>
      </c>
      <c r="AD11" s="41">
        <v>0</v>
      </c>
    </row>
    <row r="12" spans="1:30" x14ac:dyDescent="0.3">
      <c r="A12" s="38">
        <v>46195</v>
      </c>
      <c r="B12" s="56">
        <f>IF($A12="","",SUMIFS(MPS!$J:$J,MPS!$A:$A,B$1,MPS!$C:$C,$A12))</f>
        <v>3541</v>
      </c>
      <c r="C12" s="56">
        <f>IF($A12="","",SUMIFS(MPS!$J:$J,MPS!$A:$A,C$1,MPS!$C:$C,$A12))</f>
        <v>3081</v>
      </c>
      <c r="D12" s="56">
        <f>IF($A12="","",SUMIFS(MPS!$J:$J,MPS!$A:$A,D$1,MPS!$C:$C,$A12))</f>
        <v>5000</v>
      </c>
      <c r="E12" s="56">
        <f>IF($A12="","",SUMIFS(MPS!$J:$J,MPS!$A:$A,E$1,MPS!$C:$C,$A12))</f>
        <v>0</v>
      </c>
      <c r="F12" s="56">
        <f>IF($A12="","",SUMIFS(MPS!$J:$J,MPS!$A:$A,F$1,MPS!$C:$C,$A12))</f>
        <v>0</v>
      </c>
      <c r="G12" s="56">
        <f>IF($A12="","",SUMIFS(MPS!$J:$J,MPS!$A:$A,G$1,MPS!$C:$C,$A12))</f>
        <v>3000</v>
      </c>
      <c r="H12" s="39">
        <f t="shared" ref="H12:V21" si="1">IF($A12="","",SUMPRODUCT($B12:$G12,INDEX($Y$2:$AD$16,MATCH(H$1,$X$2:$X$16,0),0)))</f>
        <v>14622</v>
      </c>
      <c r="I12" s="39">
        <f t="shared" si="1"/>
        <v>4530.5</v>
      </c>
      <c r="J12" s="39">
        <f t="shared" si="1"/>
        <v>14622</v>
      </c>
      <c r="K12" s="39">
        <f t="shared" si="1"/>
        <v>7082</v>
      </c>
      <c r="L12" s="39">
        <f t="shared" si="1"/>
        <v>3541</v>
      </c>
      <c r="M12" s="39">
        <f t="shared" si="1"/>
        <v>7702.5</v>
      </c>
      <c r="N12" s="39">
        <f t="shared" si="1"/>
        <v>4621.5</v>
      </c>
      <c r="O12" s="39">
        <f t="shared" si="1"/>
        <v>15000</v>
      </c>
      <c r="P12" s="39">
        <f t="shared" si="1"/>
        <v>2500</v>
      </c>
      <c r="Q12" s="39">
        <f t="shared" si="1"/>
        <v>0</v>
      </c>
      <c r="R12" s="39">
        <f t="shared" si="1"/>
        <v>0</v>
      </c>
      <c r="S12" s="39">
        <f t="shared" si="1"/>
        <v>0</v>
      </c>
      <c r="T12" s="39">
        <f t="shared" si="1"/>
        <v>0</v>
      </c>
      <c r="U12" s="39">
        <f t="shared" si="1"/>
        <v>15000</v>
      </c>
      <c r="V12" s="39">
        <f t="shared" si="1"/>
        <v>6000</v>
      </c>
      <c r="X12" s="40" t="s">
        <v>17</v>
      </c>
      <c r="Y12" s="41">
        <v>0</v>
      </c>
      <c r="Z12" s="41">
        <v>0</v>
      </c>
      <c r="AA12" s="41">
        <v>0</v>
      </c>
      <c r="AB12" s="41">
        <v>1.5</v>
      </c>
      <c r="AC12" s="41">
        <v>0</v>
      </c>
      <c r="AD12" s="41">
        <v>0</v>
      </c>
    </row>
    <row r="13" spans="1:30" x14ac:dyDescent="0.3">
      <c r="A13" s="38">
        <v>46202</v>
      </c>
      <c r="B13" s="56">
        <f>IF($A13="","",SUMIFS(MPS!$J:$J,MPS!$A:$A,B$1,MPS!$C:$C,$A13))</f>
        <v>12041</v>
      </c>
      <c r="C13" s="56">
        <f>IF($A13="","",SUMIFS(MPS!$J:$J,MPS!$A:$A,C$1,MPS!$C:$C,$A13))</f>
        <v>2959</v>
      </c>
      <c r="D13" s="56">
        <f>IF($A13="","",SUMIFS(MPS!$J:$J,MPS!$A:$A,D$1,MPS!$C:$C,$A13))</f>
        <v>2500</v>
      </c>
      <c r="E13" s="56">
        <f>IF($A13="","",SUMIFS(MPS!$J:$J,MPS!$A:$A,E$1,MPS!$C:$C,$A13))</f>
        <v>500</v>
      </c>
      <c r="F13" s="56">
        <f>IF($A13="","",SUMIFS(MPS!$J:$J,MPS!$A:$A,F$1,MPS!$C:$C,$A13))</f>
        <v>700</v>
      </c>
      <c r="G13" s="56">
        <f>IF($A13="","",SUMIFS(MPS!$J:$J,MPS!$A:$A,G$1,MPS!$C:$C,$A13))</f>
        <v>2300</v>
      </c>
      <c r="H13" s="39">
        <f t="shared" si="1"/>
        <v>21000</v>
      </c>
      <c r="I13" s="39">
        <f t="shared" si="1"/>
        <v>5762.5</v>
      </c>
      <c r="J13" s="39">
        <f t="shared" si="1"/>
        <v>21000</v>
      </c>
      <c r="K13" s="39">
        <f t="shared" si="1"/>
        <v>24082</v>
      </c>
      <c r="L13" s="39">
        <f t="shared" si="1"/>
        <v>12041</v>
      </c>
      <c r="M13" s="39">
        <f t="shared" si="1"/>
        <v>7397.5</v>
      </c>
      <c r="N13" s="39">
        <f t="shared" si="1"/>
        <v>4438.5</v>
      </c>
      <c r="O13" s="39">
        <f t="shared" si="1"/>
        <v>7500</v>
      </c>
      <c r="P13" s="39">
        <f t="shared" si="1"/>
        <v>1250</v>
      </c>
      <c r="Q13" s="39">
        <f t="shared" si="1"/>
        <v>1000</v>
      </c>
      <c r="R13" s="39">
        <f t="shared" si="1"/>
        <v>750</v>
      </c>
      <c r="S13" s="39">
        <f t="shared" si="1"/>
        <v>2100</v>
      </c>
      <c r="T13" s="39">
        <f t="shared" si="1"/>
        <v>2800</v>
      </c>
      <c r="U13" s="39">
        <f t="shared" si="1"/>
        <v>11500</v>
      </c>
      <c r="V13" s="39">
        <f t="shared" si="1"/>
        <v>4600</v>
      </c>
      <c r="X13" s="40" t="s">
        <v>18</v>
      </c>
      <c r="Y13" s="41">
        <v>0</v>
      </c>
      <c r="Z13" s="41">
        <v>0</v>
      </c>
      <c r="AA13" s="41">
        <v>0</v>
      </c>
      <c r="AB13" s="41">
        <v>0</v>
      </c>
      <c r="AC13" s="41">
        <v>3</v>
      </c>
      <c r="AD13" s="41">
        <v>0</v>
      </c>
    </row>
    <row r="14" spans="1:30" x14ac:dyDescent="0.3">
      <c r="A14" s="38">
        <v>46209</v>
      </c>
      <c r="B14" s="56">
        <f>IF($A14="","",SUMIFS(MPS!$J:$J,MPS!$A:$A,B$1,MPS!$C:$C,$A14))</f>
        <v>12040</v>
      </c>
      <c r="C14" s="56">
        <f>IF($A14="","",SUMIFS(MPS!$J:$J,MPS!$A:$A,C$1,MPS!$C:$C,$A14))</f>
        <v>2960</v>
      </c>
      <c r="D14" s="56">
        <f>IF($A14="","",SUMIFS(MPS!$J:$J,MPS!$A:$A,D$1,MPS!$C:$C,$A14))</f>
        <v>2500</v>
      </c>
      <c r="E14" s="56">
        <f>IF($A14="","",SUMIFS(MPS!$J:$J,MPS!$A:$A,E$1,MPS!$C:$C,$A14))</f>
        <v>500</v>
      </c>
      <c r="F14" s="56">
        <f>IF($A14="","",SUMIFS(MPS!$J:$J,MPS!$A:$A,F$1,MPS!$C:$C,$A14))</f>
        <v>300</v>
      </c>
      <c r="G14" s="56">
        <f>IF($A14="","",SUMIFS(MPS!$J:$J,MPS!$A:$A,G$1,MPS!$C:$C,$A14))</f>
        <v>2700</v>
      </c>
      <c r="H14" s="39">
        <f t="shared" si="1"/>
        <v>21000</v>
      </c>
      <c r="I14" s="39">
        <f t="shared" si="1"/>
        <v>5612.5</v>
      </c>
      <c r="J14" s="39">
        <f t="shared" si="1"/>
        <v>21000</v>
      </c>
      <c r="K14" s="39">
        <f t="shared" si="1"/>
        <v>24080</v>
      </c>
      <c r="L14" s="39">
        <f t="shared" si="1"/>
        <v>12040</v>
      </c>
      <c r="M14" s="39">
        <f t="shared" si="1"/>
        <v>7400</v>
      </c>
      <c r="N14" s="39">
        <f t="shared" si="1"/>
        <v>4440</v>
      </c>
      <c r="O14" s="39">
        <f t="shared" si="1"/>
        <v>7500</v>
      </c>
      <c r="P14" s="39">
        <f t="shared" si="1"/>
        <v>1250</v>
      </c>
      <c r="Q14" s="39">
        <f t="shared" si="1"/>
        <v>1000</v>
      </c>
      <c r="R14" s="39">
        <f t="shared" si="1"/>
        <v>750</v>
      </c>
      <c r="S14" s="39">
        <f t="shared" si="1"/>
        <v>900</v>
      </c>
      <c r="T14" s="39">
        <f t="shared" si="1"/>
        <v>1200</v>
      </c>
      <c r="U14" s="39">
        <f t="shared" si="1"/>
        <v>13500</v>
      </c>
      <c r="V14" s="39">
        <f t="shared" si="1"/>
        <v>5400</v>
      </c>
      <c r="X14" s="40" t="s">
        <v>19</v>
      </c>
      <c r="Y14" s="41">
        <v>0</v>
      </c>
      <c r="Z14" s="41">
        <v>0</v>
      </c>
      <c r="AA14" s="41">
        <v>0</v>
      </c>
      <c r="AB14" s="41">
        <v>0</v>
      </c>
      <c r="AC14" s="41">
        <v>4</v>
      </c>
      <c r="AD14" s="41">
        <v>0</v>
      </c>
    </row>
    <row r="15" spans="1:30" x14ac:dyDescent="0.3">
      <c r="A15" s="38">
        <v>46216</v>
      </c>
      <c r="B15" s="56">
        <f>IF($A15="","",SUMIFS(MPS!$J:$J,MPS!$A:$A,B$1,MPS!$C:$C,$A15))</f>
        <v>9246</v>
      </c>
      <c r="C15" s="56">
        <f>IF($A15="","",SUMIFS(MPS!$J:$J,MPS!$A:$A,C$1,MPS!$C:$C,$A15))</f>
        <v>3000</v>
      </c>
      <c r="D15" s="56">
        <f>IF($A15="","",SUMIFS(MPS!$J:$J,MPS!$A:$A,D$1,MPS!$C:$C,$A15))</f>
        <v>2500</v>
      </c>
      <c r="E15" s="56">
        <f>IF($A15="","",SUMIFS(MPS!$J:$J,MPS!$A:$A,E$1,MPS!$C:$C,$A15))</f>
        <v>500</v>
      </c>
      <c r="F15" s="56">
        <f>IF($A15="","",SUMIFS(MPS!$J:$J,MPS!$A:$A,F$1,MPS!$C:$C,$A15))</f>
        <v>300</v>
      </c>
      <c r="G15" s="56">
        <f>IF($A15="","",SUMIFS(MPS!$J:$J,MPS!$A:$A,G$1,MPS!$C:$C,$A15))</f>
        <v>2700</v>
      </c>
      <c r="H15" s="39">
        <f t="shared" si="1"/>
        <v>18246</v>
      </c>
      <c r="I15" s="39">
        <f t="shared" si="1"/>
        <v>4924</v>
      </c>
      <c r="J15" s="39">
        <f t="shared" si="1"/>
        <v>18246</v>
      </c>
      <c r="K15" s="39">
        <f t="shared" si="1"/>
        <v>18492</v>
      </c>
      <c r="L15" s="39">
        <f t="shared" si="1"/>
        <v>9246</v>
      </c>
      <c r="M15" s="39">
        <f t="shared" si="1"/>
        <v>7500</v>
      </c>
      <c r="N15" s="39">
        <f t="shared" si="1"/>
        <v>4500</v>
      </c>
      <c r="O15" s="39">
        <f t="shared" si="1"/>
        <v>7500</v>
      </c>
      <c r="P15" s="39">
        <f t="shared" si="1"/>
        <v>1250</v>
      </c>
      <c r="Q15" s="39">
        <f t="shared" si="1"/>
        <v>1000</v>
      </c>
      <c r="R15" s="39">
        <f t="shared" si="1"/>
        <v>750</v>
      </c>
      <c r="S15" s="39">
        <f t="shared" si="1"/>
        <v>900</v>
      </c>
      <c r="T15" s="39">
        <f t="shared" si="1"/>
        <v>1200</v>
      </c>
      <c r="U15" s="39">
        <f t="shared" si="1"/>
        <v>13500</v>
      </c>
      <c r="V15" s="39">
        <f t="shared" si="1"/>
        <v>5400</v>
      </c>
      <c r="X15" s="40" t="s">
        <v>20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5</v>
      </c>
    </row>
    <row r="16" spans="1:30" x14ac:dyDescent="0.3">
      <c r="A16" s="38">
        <v>46223</v>
      </c>
      <c r="B16" s="56">
        <f>IF($A16="","",SUMIFS(MPS!$J:$J,MPS!$A:$A,B$1,MPS!$C:$C,$A16))</f>
        <v>5754</v>
      </c>
      <c r="C16" s="56">
        <f>IF($A16="","",SUMIFS(MPS!$J:$J,MPS!$A:$A,C$1,MPS!$C:$C,$A16))</f>
        <v>4800</v>
      </c>
      <c r="D16" s="56">
        <f>IF($A16="","",SUMIFS(MPS!$J:$J,MPS!$A:$A,D$1,MPS!$C:$C,$A16))</f>
        <v>1000</v>
      </c>
      <c r="E16" s="56">
        <f>IF($A16="","",SUMIFS(MPS!$J:$J,MPS!$A:$A,E$1,MPS!$C:$C,$A16))</f>
        <v>0</v>
      </c>
      <c r="F16" s="56">
        <f>IF($A16="","",SUMIFS(MPS!$J:$J,MPS!$A:$A,F$1,MPS!$C:$C,$A16))</f>
        <v>300</v>
      </c>
      <c r="G16" s="56">
        <f>IF($A16="","",SUMIFS(MPS!$J:$J,MPS!$A:$A,G$1,MPS!$C:$C,$A16))</f>
        <v>2700</v>
      </c>
      <c r="H16" s="39">
        <f t="shared" si="1"/>
        <v>14554</v>
      </c>
      <c r="I16" s="39">
        <f t="shared" si="1"/>
        <v>3626</v>
      </c>
      <c r="J16" s="39">
        <f t="shared" si="1"/>
        <v>14554</v>
      </c>
      <c r="K16" s="39">
        <f t="shared" si="1"/>
        <v>11508</v>
      </c>
      <c r="L16" s="39">
        <f t="shared" si="1"/>
        <v>5754</v>
      </c>
      <c r="M16" s="39">
        <f t="shared" si="1"/>
        <v>12000</v>
      </c>
      <c r="N16" s="39">
        <f t="shared" si="1"/>
        <v>7200</v>
      </c>
      <c r="O16" s="39">
        <f t="shared" si="1"/>
        <v>3000</v>
      </c>
      <c r="P16" s="39">
        <f t="shared" si="1"/>
        <v>500</v>
      </c>
      <c r="Q16" s="39">
        <f t="shared" si="1"/>
        <v>0</v>
      </c>
      <c r="R16" s="39">
        <f t="shared" si="1"/>
        <v>0</v>
      </c>
      <c r="S16" s="39">
        <f t="shared" si="1"/>
        <v>900</v>
      </c>
      <c r="T16" s="39">
        <f t="shared" si="1"/>
        <v>1200</v>
      </c>
      <c r="U16" s="39">
        <f t="shared" si="1"/>
        <v>13500</v>
      </c>
      <c r="V16" s="39">
        <f t="shared" si="1"/>
        <v>5400</v>
      </c>
      <c r="X16" s="40" t="s">
        <v>21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2</v>
      </c>
    </row>
    <row r="17" spans="1:22" x14ac:dyDescent="0.3">
      <c r="A17" s="38">
        <v>46230</v>
      </c>
      <c r="B17" s="56">
        <f>IF($A17="","",SUMIFS(MPS!$J:$J,MPS!$A:$A,B$1,MPS!$C:$C,$A17))</f>
        <v>15000</v>
      </c>
      <c r="C17" s="56">
        <f>IF($A17="","",SUMIFS(MPS!$J:$J,MPS!$A:$A,C$1,MPS!$C:$C,$A17))</f>
        <v>0</v>
      </c>
      <c r="D17" s="56">
        <f>IF($A17="","",SUMIFS(MPS!$J:$J,MPS!$A:$A,D$1,MPS!$C:$C,$A17))</f>
        <v>1000</v>
      </c>
      <c r="E17" s="56">
        <f>IF($A17="","",SUMIFS(MPS!$J:$J,MPS!$A:$A,E$1,MPS!$C:$C,$A17))</f>
        <v>0</v>
      </c>
      <c r="F17" s="56">
        <f>IF($A17="","",SUMIFS(MPS!$J:$J,MPS!$A:$A,F$1,MPS!$C:$C,$A17))</f>
        <v>0</v>
      </c>
      <c r="G17" s="56">
        <f>IF($A17="","",SUMIFS(MPS!$J:$J,MPS!$A:$A,G$1,MPS!$C:$C,$A17))</f>
        <v>476</v>
      </c>
      <c r="H17" s="39">
        <f t="shared" si="1"/>
        <v>16476</v>
      </c>
      <c r="I17" s="39">
        <f t="shared" si="1"/>
        <v>4309.5</v>
      </c>
      <c r="J17" s="39">
        <f t="shared" si="1"/>
        <v>16476</v>
      </c>
      <c r="K17" s="39">
        <f t="shared" si="1"/>
        <v>30000</v>
      </c>
      <c r="L17" s="39">
        <f t="shared" si="1"/>
        <v>15000</v>
      </c>
      <c r="M17" s="39">
        <f t="shared" si="1"/>
        <v>0</v>
      </c>
      <c r="N17" s="39">
        <f t="shared" si="1"/>
        <v>0</v>
      </c>
      <c r="O17" s="39">
        <f t="shared" si="1"/>
        <v>3000</v>
      </c>
      <c r="P17" s="39">
        <f t="shared" si="1"/>
        <v>500</v>
      </c>
      <c r="Q17" s="39">
        <f t="shared" si="1"/>
        <v>0</v>
      </c>
      <c r="R17" s="39">
        <f t="shared" si="1"/>
        <v>0</v>
      </c>
      <c r="S17" s="39">
        <f t="shared" si="1"/>
        <v>0</v>
      </c>
      <c r="T17" s="39">
        <f t="shared" si="1"/>
        <v>0</v>
      </c>
      <c r="U17" s="39">
        <f t="shared" si="1"/>
        <v>2380</v>
      </c>
      <c r="V17" s="39">
        <f t="shared" si="1"/>
        <v>952</v>
      </c>
    </row>
    <row r="18" spans="1:22" x14ac:dyDescent="0.3">
      <c r="A18" s="38">
        <v>46237</v>
      </c>
      <c r="B18" s="56">
        <f>IF($A18="","",SUMIFS(MPS!$J:$J,MPS!$A:$A,B$1,MPS!$C:$C,$A18))</f>
        <v>15000</v>
      </c>
      <c r="C18" s="56">
        <f>IF($A18="","",SUMIFS(MPS!$J:$J,MPS!$A:$A,C$1,MPS!$C:$C,$A18))</f>
        <v>0</v>
      </c>
      <c r="D18" s="56">
        <f>IF($A18="","",SUMIFS(MPS!$J:$J,MPS!$A:$A,D$1,MPS!$C:$C,$A18))</f>
        <v>1000</v>
      </c>
      <c r="E18" s="56">
        <f>IF($A18="","",SUMIFS(MPS!$J:$J,MPS!$A:$A,E$1,MPS!$C:$C,$A18))</f>
        <v>400</v>
      </c>
      <c r="F18" s="56">
        <f>IF($A18="","",SUMIFS(MPS!$J:$J,MPS!$A:$A,F$1,MPS!$C:$C,$A18))</f>
        <v>0</v>
      </c>
      <c r="G18" s="56">
        <f>IF($A18="","",SUMIFS(MPS!$J:$J,MPS!$A:$A,G$1,MPS!$C:$C,$A18))</f>
        <v>1298</v>
      </c>
      <c r="H18" s="39">
        <f t="shared" si="1"/>
        <v>17698</v>
      </c>
      <c r="I18" s="39">
        <f t="shared" si="1"/>
        <v>4512.25</v>
      </c>
      <c r="J18" s="39">
        <f t="shared" si="1"/>
        <v>17698</v>
      </c>
      <c r="K18" s="39">
        <f t="shared" si="1"/>
        <v>30000</v>
      </c>
      <c r="L18" s="39">
        <f t="shared" si="1"/>
        <v>15000</v>
      </c>
      <c r="M18" s="39">
        <f t="shared" si="1"/>
        <v>0</v>
      </c>
      <c r="N18" s="39">
        <f t="shared" si="1"/>
        <v>0</v>
      </c>
      <c r="O18" s="39">
        <f t="shared" si="1"/>
        <v>3000</v>
      </c>
      <c r="P18" s="39">
        <f t="shared" si="1"/>
        <v>500</v>
      </c>
      <c r="Q18" s="39">
        <f t="shared" si="1"/>
        <v>800</v>
      </c>
      <c r="R18" s="39">
        <f t="shared" si="1"/>
        <v>600</v>
      </c>
      <c r="S18" s="39">
        <f t="shared" si="1"/>
        <v>0</v>
      </c>
      <c r="T18" s="39">
        <f t="shared" si="1"/>
        <v>0</v>
      </c>
      <c r="U18" s="39">
        <f t="shared" si="1"/>
        <v>6490</v>
      </c>
      <c r="V18" s="39">
        <f t="shared" si="1"/>
        <v>2596</v>
      </c>
    </row>
    <row r="19" spans="1:22" x14ac:dyDescent="0.3">
      <c r="A19" s="38">
        <v>46244</v>
      </c>
      <c r="B19" s="56">
        <f>IF($A19="","",SUMIFS(MPS!$J:$J,MPS!$A:$A,B$1,MPS!$C:$C,$A19))</f>
        <v>4248</v>
      </c>
      <c r="C19" s="56">
        <f>IF($A19="","",SUMIFS(MPS!$J:$J,MPS!$A:$A,C$1,MPS!$C:$C,$A19))</f>
        <v>2400</v>
      </c>
      <c r="D19" s="56">
        <f>IF($A19="","",SUMIFS(MPS!$J:$J,MPS!$A:$A,D$1,MPS!$C:$C,$A19))</f>
        <v>1000</v>
      </c>
      <c r="E19" s="56">
        <f>IF($A19="","",SUMIFS(MPS!$J:$J,MPS!$A:$A,E$1,MPS!$C:$C,$A19))</f>
        <v>0</v>
      </c>
      <c r="F19" s="56">
        <f>IF($A19="","",SUMIFS(MPS!$J:$J,MPS!$A:$A,F$1,MPS!$C:$C,$A19))</f>
        <v>300</v>
      </c>
      <c r="G19" s="56">
        <f>IF($A19="","",SUMIFS(MPS!$J:$J,MPS!$A:$A,G$1,MPS!$C:$C,$A19))</f>
        <v>1300</v>
      </c>
      <c r="H19" s="39">
        <f t="shared" si="1"/>
        <v>9248</v>
      </c>
      <c r="I19" s="39">
        <f t="shared" si="1"/>
        <v>2474.5</v>
      </c>
      <c r="J19" s="39">
        <f t="shared" si="1"/>
        <v>9248</v>
      </c>
      <c r="K19" s="39">
        <f t="shared" si="1"/>
        <v>8496</v>
      </c>
      <c r="L19" s="39">
        <f t="shared" si="1"/>
        <v>4248</v>
      </c>
      <c r="M19" s="39">
        <f t="shared" si="1"/>
        <v>6000</v>
      </c>
      <c r="N19" s="39">
        <f t="shared" si="1"/>
        <v>3600</v>
      </c>
      <c r="O19" s="39">
        <f t="shared" si="1"/>
        <v>3000</v>
      </c>
      <c r="P19" s="39">
        <f t="shared" si="1"/>
        <v>500</v>
      </c>
      <c r="Q19" s="39">
        <f t="shared" si="1"/>
        <v>0</v>
      </c>
      <c r="R19" s="39">
        <f t="shared" si="1"/>
        <v>0</v>
      </c>
      <c r="S19" s="39">
        <f t="shared" si="1"/>
        <v>900</v>
      </c>
      <c r="T19" s="39">
        <f t="shared" si="1"/>
        <v>1200</v>
      </c>
      <c r="U19" s="39">
        <f t="shared" si="1"/>
        <v>6500</v>
      </c>
      <c r="V19" s="39">
        <f t="shared" si="1"/>
        <v>2600</v>
      </c>
    </row>
    <row r="20" spans="1:22" x14ac:dyDescent="0.3">
      <c r="A20" s="38">
        <v>46251</v>
      </c>
      <c r="B20" s="56">
        <f>IF($A20="","",SUMIFS(MPS!$J:$J,MPS!$A:$A,B$1,MPS!$C:$C,$A20))</f>
        <v>4248</v>
      </c>
      <c r="C20" s="56">
        <f>IF($A20="","",SUMIFS(MPS!$J:$J,MPS!$A:$A,C$1,MPS!$C:$C,$A20))</f>
        <v>2400</v>
      </c>
      <c r="D20" s="56">
        <f>IF($A20="","",SUMIFS(MPS!$J:$J,MPS!$A:$A,D$1,MPS!$C:$C,$A20))</f>
        <v>1000</v>
      </c>
      <c r="E20" s="56">
        <f>IF($A20="","",SUMIFS(MPS!$J:$J,MPS!$A:$A,E$1,MPS!$C:$C,$A20))</f>
        <v>0</v>
      </c>
      <c r="F20" s="56">
        <f>IF($A20="","",SUMIFS(MPS!$J:$J,MPS!$A:$A,F$1,MPS!$C:$C,$A20))</f>
        <v>0</v>
      </c>
      <c r="G20" s="56">
        <f>IF($A20="","",SUMIFS(MPS!$J:$J,MPS!$A:$A,G$1,MPS!$C:$C,$A20))</f>
        <v>1298</v>
      </c>
      <c r="H20" s="39">
        <f t="shared" si="1"/>
        <v>8946</v>
      </c>
      <c r="I20" s="39">
        <f t="shared" si="1"/>
        <v>2324.25</v>
      </c>
      <c r="J20" s="39">
        <f t="shared" si="1"/>
        <v>8946</v>
      </c>
      <c r="K20" s="39">
        <f t="shared" si="1"/>
        <v>8496</v>
      </c>
      <c r="L20" s="39">
        <f t="shared" si="1"/>
        <v>4248</v>
      </c>
      <c r="M20" s="39">
        <f t="shared" si="1"/>
        <v>6000</v>
      </c>
      <c r="N20" s="39">
        <f t="shared" si="1"/>
        <v>3600</v>
      </c>
      <c r="O20" s="39">
        <f t="shared" si="1"/>
        <v>3000</v>
      </c>
      <c r="P20" s="39">
        <f t="shared" si="1"/>
        <v>500</v>
      </c>
      <c r="Q20" s="39">
        <f t="shared" si="1"/>
        <v>0</v>
      </c>
      <c r="R20" s="39">
        <f t="shared" si="1"/>
        <v>0</v>
      </c>
      <c r="S20" s="39">
        <f t="shared" si="1"/>
        <v>0</v>
      </c>
      <c r="T20" s="39">
        <f t="shared" si="1"/>
        <v>0</v>
      </c>
      <c r="U20" s="39">
        <f t="shared" si="1"/>
        <v>6490</v>
      </c>
      <c r="V20" s="39">
        <f t="shared" si="1"/>
        <v>2596</v>
      </c>
    </row>
    <row r="21" spans="1:22" x14ac:dyDescent="0.3">
      <c r="A21" s="38">
        <v>46258</v>
      </c>
      <c r="B21" s="56">
        <f>IF($A21="","",SUMIFS(MPS!$J:$J,MPS!$A:$A,B$1,MPS!$C:$C,$A21))</f>
        <v>4249</v>
      </c>
      <c r="C21" s="56">
        <f>IF($A21="","",SUMIFS(MPS!$J:$J,MPS!$A:$A,C$1,MPS!$C:$C,$A21))</f>
        <v>3750</v>
      </c>
      <c r="D21" s="56">
        <f>IF($A21="","",SUMIFS(MPS!$J:$J,MPS!$A:$A,D$1,MPS!$C:$C,$A21))</f>
        <v>750</v>
      </c>
      <c r="E21" s="56">
        <f>IF($A21="","",SUMIFS(MPS!$J:$J,MPS!$A:$A,E$1,MPS!$C:$C,$A21))</f>
        <v>400</v>
      </c>
      <c r="F21" s="56">
        <f>IF($A21="","",SUMIFS(MPS!$J:$J,MPS!$A:$A,F$1,MPS!$C:$C,$A21))</f>
        <v>0</v>
      </c>
      <c r="G21" s="56">
        <f>IF($A21="","",SUMIFS(MPS!$J:$J,MPS!$A:$A,G$1,MPS!$C:$C,$A21))</f>
        <v>1506</v>
      </c>
      <c r="H21" s="39">
        <f t="shared" si="1"/>
        <v>10655</v>
      </c>
      <c r="I21" s="39">
        <f t="shared" si="1"/>
        <v>2663</v>
      </c>
      <c r="J21" s="39">
        <f t="shared" si="1"/>
        <v>10655</v>
      </c>
      <c r="K21" s="39">
        <f t="shared" si="1"/>
        <v>8498</v>
      </c>
      <c r="L21" s="39">
        <f t="shared" si="1"/>
        <v>4249</v>
      </c>
      <c r="M21" s="39">
        <f t="shared" si="1"/>
        <v>9375</v>
      </c>
      <c r="N21" s="39">
        <f t="shared" si="1"/>
        <v>5625</v>
      </c>
      <c r="O21" s="39">
        <f t="shared" si="1"/>
        <v>2250</v>
      </c>
      <c r="P21" s="39">
        <f t="shared" si="1"/>
        <v>375</v>
      </c>
      <c r="Q21" s="39">
        <f t="shared" si="1"/>
        <v>800</v>
      </c>
      <c r="R21" s="39">
        <f t="shared" si="1"/>
        <v>600</v>
      </c>
      <c r="S21" s="39">
        <f t="shared" si="1"/>
        <v>0</v>
      </c>
      <c r="T21" s="39">
        <f t="shared" si="1"/>
        <v>0</v>
      </c>
      <c r="U21" s="39">
        <f t="shared" si="1"/>
        <v>7530</v>
      </c>
      <c r="V21" s="39">
        <f t="shared" si="1"/>
        <v>3012</v>
      </c>
    </row>
    <row r="22" spans="1:22" x14ac:dyDescent="0.3">
      <c r="A22" s="38">
        <v>46265</v>
      </c>
      <c r="B22" s="56">
        <f>IF($A22="","",SUMIFS(MPS!$J:$J,MPS!$A:$A,B$1,MPS!$C:$C,$A22))</f>
        <v>4248</v>
      </c>
      <c r="C22" s="56">
        <f>IF($A22="","",SUMIFS(MPS!$J:$J,MPS!$A:$A,C$1,MPS!$C:$C,$A22))</f>
        <v>3750</v>
      </c>
      <c r="D22" s="56">
        <f>IF($A22="","",SUMIFS(MPS!$J:$J,MPS!$A:$A,D$1,MPS!$C:$C,$A22))</f>
        <v>750</v>
      </c>
      <c r="E22" s="56">
        <f>IF($A22="","",SUMIFS(MPS!$J:$J,MPS!$A:$A,E$1,MPS!$C:$C,$A22))</f>
        <v>0</v>
      </c>
      <c r="F22" s="56">
        <f>IF($A22="","",SUMIFS(MPS!$J:$J,MPS!$A:$A,F$1,MPS!$C:$C,$A22))</f>
        <v>300</v>
      </c>
      <c r="G22" s="56">
        <f>IF($A22="","",SUMIFS(MPS!$J:$J,MPS!$A:$A,G$1,MPS!$C:$C,$A22))</f>
        <v>1506</v>
      </c>
      <c r="H22" s="39">
        <f t="shared" ref="H22:V31" si="2">IF($A22="","",SUMPRODUCT($B22:$G22,INDEX($Y$2:$AD$16,MATCH(H$1,$X$2:$X$16,0),0)))</f>
        <v>10554</v>
      </c>
      <c r="I22" s="39">
        <f t="shared" si="2"/>
        <v>2712.75</v>
      </c>
      <c r="J22" s="39">
        <f t="shared" si="2"/>
        <v>10554</v>
      </c>
      <c r="K22" s="39">
        <f t="shared" si="2"/>
        <v>8496</v>
      </c>
      <c r="L22" s="39">
        <f t="shared" si="2"/>
        <v>4248</v>
      </c>
      <c r="M22" s="39">
        <f t="shared" si="2"/>
        <v>9375</v>
      </c>
      <c r="N22" s="39">
        <f t="shared" si="2"/>
        <v>5625</v>
      </c>
      <c r="O22" s="39">
        <f t="shared" si="2"/>
        <v>2250</v>
      </c>
      <c r="P22" s="39">
        <f t="shared" si="2"/>
        <v>375</v>
      </c>
      <c r="Q22" s="39">
        <f t="shared" si="2"/>
        <v>0</v>
      </c>
      <c r="R22" s="39">
        <f t="shared" si="2"/>
        <v>0</v>
      </c>
      <c r="S22" s="39">
        <f t="shared" si="2"/>
        <v>900</v>
      </c>
      <c r="T22" s="39">
        <f t="shared" si="2"/>
        <v>1200</v>
      </c>
      <c r="U22" s="39">
        <f t="shared" si="2"/>
        <v>7530</v>
      </c>
      <c r="V22" s="39">
        <f t="shared" si="2"/>
        <v>3012</v>
      </c>
    </row>
    <row r="23" spans="1:22" x14ac:dyDescent="0.3">
      <c r="A23" s="38">
        <v>46272</v>
      </c>
      <c r="B23" s="56">
        <f>IF($A23="","",SUMIFS(MPS!$J:$J,MPS!$A:$A,B$1,MPS!$C:$C,$A23))</f>
        <v>2391</v>
      </c>
      <c r="C23" s="56">
        <f>IF($A23="","",SUMIFS(MPS!$J:$J,MPS!$A:$A,C$1,MPS!$C:$C,$A23))</f>
        <v>3750</v>
      </c>
      <c r="D23" s="56">
        <f>IF($A23="","",SUMIFS(MPS!$J:$J,MPS!$A:$A,D$1,MPS!$C:$C,$A23))</f>
        <v>750</v>
      </c>
      <c r="E23" s="56">
        <f>IF($A23="","",SUMIFS(MPS!$J:$J,MPS!$A:$A,E$1,MPS!$C:$C,$A23))</f>
        <v>400</v>
      </c>
      <c r="F23" s="56">
        <f>IF($A23="","",SUMIFS(MPS!$J:$J,MPS!$A:$A,F$1,MPS!$C:$C,$A23))</f>
        <v>0</v>
      </c>
      <c r="G23" s="56">
        <f>IF($A23="","",SUMIFS(MPS!$J:$J,MPS!$A:$A,G$1,MPS!$C:$C,$A23))</f>
        <v>1506</v>
      </c>
      <c r="H23" s="39">
        <f t="shared" si="2"/>
        <v>8797</v>
      </c>
      <c r="I23" s="39">
        <f t="shared" si="2"/>
        <v>2198.5</v>
      </c>
      <c r="J23" s="39">
        <f t="shared" si="2"/>
        <v>8797</v>
      </c>
      <c r="K23" s="39">
        <f t="shared" si="2"/>
        <v>4782</v>
      </c>
      <c r="L23" s="39">
        <f t="shared" si="2"/>
        <v>2391</v>
      </c>
      <c r="M23" s="39">
        <f t="shared" si="2"/>
        <v>9375</v>
      </c>
      <c r="N23" s="39">
        <f t="shared" si="2"/>
        <v>5625</v>
      </c>
      <c r="O23" s="39">
        <f t="shared" si="2"/>
        <v>2250</v>
      </c>
      <c r="P23" s="39">
        <f t="shared" si="2"/>
        <v>375</v>
      </c>
      <c r="Q23" s="39">
        <f t="shared" si="2"/>
        <v>800</v>
      </c>
      <c r="R23" s="39">
        <f t="shared" si="2"/>
        <v>600</v>
      </c>
      <c r="S23" s="39">
        <f t="shared" si="2"/>
        <v>0</v>
      </c>
      <c r="T23" s="39">
        <f t="shared" si="2"/>
        <v>0</v>
      </c>
      <c r="U23" s="39">
        <f t="shared" si="2"/>
        <v>7530</v>
      </c>
      <c r="V23" s="39">
        <f t="shared" si="2"/>
        <v>3012</v>
      </c>
    </row>
    <row r="24" spans="1:22" x14ac:dyDescent="0.3">
      <c r="A24" s="38">
        <v>46279</v>
      </c>
      <c r="B24" s="56">
        <f>IF($A24="","",SUMIFS(MPS!$J:$J,MPS!$A:$A,B$1,MPS!$C:$C,$A24))</f>
        <v>2392</v>
      </c>
      <c r="C24" s="56">
        <f>IF($A24="","",SUMIFS(MPS!$J:$J,MPS!$A:$A,C$1,MPS!$C:$C,$A24))</f>
        <v>3850</v>
      </c>
      <c r="D24" s="56">
        <f>IF($A24="","",SUMIFS(MPS!$J:$J,MPS!$A:$A,D$1,MPS!$C:$C,$A24))</f>
        <v>750</v>
      </c>
      <c r="E24" s="56">
        <f>IF($A24="","",SUMIFS(MPS!$J:$J,MPS!$A:$A,E$1,MPS!$C:$C,$A24))</f>
        <v>0</v>
      </c>
      <c r="F24" s="56">
        <f>IF($A24="","",SUMIFS(MPS!$J:$J,MPS!$A:$A,F$1,MPS!$C:$C,$A24))</f>
        <v>0</v>
      </c>
      <c r="G24" s="56">
        <f>IF($A24="","",SUMIFS(MPS!$J:$J,MPS!$A:$A,G$1,MPS!$C:$C,$A24))</f>
        <v>1506</v>
      </c>
      <c r="H24" s="39">
        <f t="shared" si="2"/>
        <v>8498</v>
      </c>
      <c r="I24" s="39">
        <f t="shared" si="2"/>
        <v>2123.75</v>
      </c>
      <c r="J24" s="39">
        <f t="shared" si="2"/>
        <v>8498</v>
      </c>
      <c r="K24" s="39">
        <f t="shared" si="2"/>
        <v>4784</v>
      </c>
      <c r="L24" s="39">
        <f t="shared" si="2"/>
        <v>2392</v>
      </c>
      <c r="M24" s="39">
        <f t="shared" si="2"/>
        <v>9625</v>
      </c>
      <c r="N24" s="39">
        <f t="shared" si="2"/>
        <v>5775</v>
      </c>
      <c r="O24" s="39">
        <f t="shared" si="2"/>
        <v>2250</v>
      </c>
      <c r="P24" s="39">
        <f t="shared" si="2"/>
        <v>375</v>
      </c>
      <c r="Q24" s="39">
        <f t="shared" si="2"/>
        <v>0</v>
      </c>
      <c r="R24" s="39">
        <f t="shared" si="2"/>
        <v>0</v>
      </c>
      <c r="S24" s="39">
        <f t="shared" si="2"/>
        <v>0</v>
      </c>
      <c r="T24" s="39">
        <f t="shared" si="2"/>
        <v>0</v>
      </c>
      <c r="U24" s="39">
        <f t="shared" si="2"/>
        <v>7530</v>
      </c>
      <c r="V24" s="39">
        <f t="shared" si="2"/>
        <v>3012</v>
      </c>
    </row>
    <row r="25" spans="1:22" x14ac:dyDescent="0.3">
      <c r="A25" s="38">
        <v>46286</v>
      </c>
      <c r="B25" s="56">
        <f>IF($A25="","",SUMIFS(MPS!$J:$J,MPS!$A:$A,B$1,MPS!$C:$C,$A25))</f>
        <v>2391</v>
      </c>
      <c r="C25" s="56">
        <f>IF($A25="","",SUMIFS(MPS!$J:$J,MPS!$A:$A,C$1,MPS!$C:$C,$A25))</f>
        <v>12609</v>
      </c>
      <c r="D25" s="56">
        <f>IF($A25="","",SUMIFS(MPS!$J:$J,MPS!$A:$A,D$1,MPS!$C:$C,$A25))</f>
        <v>600</v>
      </c>
      <c r="E25" s="56">
        <f>IF($A25="","",SUMIFS(MPS!$J:$J,MPS!$A:$A,E$1,MPS!$C:$C,$A25))</f>
        <v>360</v>
      </c>
      <c r="F25" s="56">
        <f>IF($A25="","",SUMIFS(MPS!$J:$J,MPS!$A:$A,F$1,MPS!$C:$C,$A25))</f>
        <v>0</v>
      </c>
      <c r="G25" s="56">
        <f>IF($A25="","",SUMIFS(MPS!$J:$J,MPS!$A:$A,G$1,MPS!$C:$C,$A25))</f>
        <v>1446</v>
      </c>
      <c r="H25" s="39">
        <f t="shared" si="2"/>
        <v>17406</v>
      </c>
      <c r="I25" s="39">
        <f t="shared" si="2"/>
        <v>4320.75</v>
      </c>
      <c r="J25" s="39">
        <f t="shared" si="2"/>
        <v>17406</v>
      </c>
      <c r="K25" s="39">
        <f t="shared" si="2"/>
        <v>4782</v>
      </c>
      <c r="L25" s="39">
        <f t="shared" si="2"/>
        <v>2391</v>
      </c>
      <c r="M25" s="39">
        <f t="shared" si="2"/>
        <v>31522.5</v>
      </c>
      <c r="N25" s="39">
        <f t="shared" si="2"/>
        <v>18913.5</v>
      </c>
      <c r="O25" s="39">
        <f t="shared" si="2"/>
        <v>1800</v>
      </c>
      <c r="P25" s="39">
        <f t="shared" si="2"/>
        <v>300</v>
      </c>
      <c r="Q25" s="39">
        <f t="shared" si="2"/>
        <v>720</v>
      </c>
      <c r="R25" s="39">
        <f t="shared" si="2"/>
        <v>540</v>
      </c>
      <c r="S25" s="39">
        <f t="shared" si="2"/>
        <v>0</v>
      </c>
      <c r="T25" s="39">
        <f t="shared" si="2"/>
        <v>0</v>
      </c>
      <c r="U25" s="39">
        <f t="shared" si="2"/>
        <v>7230</v>
      </c>
      <c r="V25" s="39">
        <f t="shared" si="2"/>
        <v>2892</v>
      </c>
    </row>
    <row r="26" spans="1:22" x14ac:dyDescent="0.3">
      <c r="A26" s="38">
        <v>46293</v>
      </c>
      <c r="B26" s="56">
        <f>IF($A26="","",SUMIFS(MPS!$J:$J,MPS!$A:$A,B$1,MPS!$C:$C,$A26))</f>
        <v>6459</v>
      </c>
      <c r="C26" s="56">
        <f>IF($A26="","",SUMIFS(MPS!$J:$J,MPS!$A:$A,C$1,MPS!$C:$C,$A26))</f>
        <v>8291</v>
      </c>
      <c r="D26" s="56">
        <f>IF($A26="","",SUMIFS(MPS!$J:$J,MPS!$A:$A,D$1,MPS!$C:$C,$A26))</f>
        <v>600</v>
      </c>
      <c r="E26" s="56">
        <f>IF($A26="","",SUMIFS(MPS!$J:$J,MPS!$A:$A,E$1,MPS!$C:$C,$A26))</f>
        <v>360</v>
      </c>
      <c r="F26" s="56">
        <f>IF($A26="","",SUMIFS(MPS!$J:$J,MPS!$A:$A,F$1,MPS!$C:$C,$A26))</f>
        <v>300</v>
      </c>
      <c r="G26" s="56">
        <f>IF($A26="","",SUMIFS(MPS!$J:$J,MPS!$A:$A,G$1,MPS!$C:$C,$A26))</f>
        <v>0</v>
      </c>
      <c r="H26" s="39">
        <f t="shared" si="2"/>
        <v>16010</v>
      </c>
      <c r="I26" s="39">
        <f t="shared" si="2"/>
        <v>4227.5</v>
      </c>
      <c r="J26" s="39">
        <f t="shared" si="2"/>
        <v>16010</v>
      </c>
      <c r="K26" s="39">
        <f t="shared" si="2"/>
        <v>12918</v>
      </c>
      <c r="L26" s="39">
        <f t="shared" si="2"/>
        <v>6459</v>
      </c>
      <c r="M26" s="39">
        <f t="shared" si="2"/>
        <v>20727.5</v>
      </c>
      <c r="N26" s="39">
        <f t="shared" si="2"/>
        <v>12436.5</v>
      </c>
      <c r="O26" s="39">
        <f t="shared" si="2"/>
        <v>1800</v>
      </c>
      <c r="P26" s="39">
        <f t="shared" si="2"/>
        <v>300</v>
      </c>
      <c r="Q26" s="39">
        <f t="shared" si="2"/>
        <v>720</v>
      </c>
      <c r="R26" s="39">
        <f t="shared" si="2"/>
        <v>540</v>
      </c>
      <c r="S26" s="39">
        <f t="shared" si="2"/>
        <v>900</v>
      </c>
      <c r="T26" s="39">
        <f t="shared" si="2"/>
        <v>1200</v>
      </c>
      <c r="U26" s="39">
        <f t="shared" si="2"/>
        <v>0</v>
      </c>
      <c r="V26" s="39">
        <f t="shared" si="2"/>
        <v>0</v>
      </c>
    </row>
    <row r="27" spans="1:22" x14ac:dyDescent="0.3">
      <c r="A27" s="38">
        <v>46300</v>
      </c>
      <c r="B27" s="56">
        <f>IF($A27="","",SUMIFS(MPS!$J:$J,MPS!$A:$A,B$1,MPS!$C:$C,$A27))</f>
        <v>15000</v>
      </c>
      <c r="C27" s="56">
        <f>IF($A27="","",SUMIFS(MPS!$J:$J,MPS!$A:$A,C$1,MPS!$C:$C,$A27))</f>
        <v>0</v>
      </c>
      <c r="D27" s="56">
        <f>IF($A27="","",SUMIFS(MPS!$J:$J,MPS!$A:$A,D$1,MPS!$C:$C,$A27))</f>
        <v>600</v>
      </c>
      <c r="E27" s="56">
        <f>IF($A27="","",SUMIFS(MPS!$J:$J,MPS!$A:$A,E$1,MPS!$C:$C,$A27))</f>
        <v>360</v>
      </c>
      <c r="F27" s="56">
        <f>IF($A27="","",SUMIFS(MPS!$J:$J,MPS!$A:$A,F$1,MPS!$C:$C,$A27))</f>
        <v>0</v>
      </c>
      <c r="G27" s="56">
        <f>IF($A27="","",SUMIFS(MPS!$J:$J,MPS!$A:$A,G$1,MPS!$C:$C,$A27))</f>
        <v>0</v>
      </c>
      <c r="H27" s="39">
        <f t="shared" si="2"/>
        <v>15960</v>
      </c>
      <c r="I27" s="39">
        <f t="shared" si="2"/>
        <v>4140</v>
      </c>
      <c r="J27" s="39">
        <f t="shared" si="2"/>
        <v>15960</v>
      </c>
      <c r="K27" s="39">
        <f t="shared" si="2"/>
        <v>30000</v>
      </c>
      <c r="L27" s="39">
        <f t="shared" si="2"/>
        <v>15000</v>
      </c>
      <c r="M27" s="39">
        <f t="shared" si="2"/>
        <v>0</v>
      </c>
      <c r="N27" s="39">
        <f t="shared" si="2"/>
        <v>0</v>
      </c>
      <c r="O27" s="39">
        <f t="shared" si="2"/>
        <v>1800</v>
      </c>
      <c r="P27" s="39">
        <f t="shared" si="2"/>
        <v>300</v>
      </c>
      <c r="Q27" s="39">
        <f t="shared" si="2"/>
        <v>720</v>
      </c>
      <c r="R27" s="39">
        <f t="shared" si="2"/>
        <v>540</v>
      </c>
      <c r="S27" s="39">
        <f t="shared" si="2"/>
        <v>0</v>
      </c>
      <c r="T27" s="39">
        <f t="shared" si="2"/>
        <v>0</v>
      </c>
      <c r="U27" s="39">
        <f t="shared" si="2"/>
        <v>0</v>
      </c>
      <c r="V27" s="39">
        <f t="shared" si="2"/>
        <v>0</v>
      </c>
    </row>
    <row r="28" spans="1:22" x14ac:dyDescent="0.3">
      <c r="A28" s="38">
        <v>46307</v>
      </c>
      <c r="B28" s="56">
        <f>IF($A28="","",SUMIFS(MPS!$J:$J,MPS!$A:$A,B$1,MPS!$C:$C,$A28))</f>
        <v>15000</v>
      </c>
      <c r="C28" s="56">
        <f>IF($A28="","",SUMIFS(MPS!$J:$J,MPS!$A:$A,C$1,MPS!$C:$C,$A28))</f>
        <v>0</v>
      </c>
      <c r="D28" s="56">
        <f>IF($A28="","",SUMIFS(MPS!$J:$J,MPS!$A:$A,D$1,MPS!$C:$C,$A28))</f>
        <v>600</v>
      </c>
      <c r="E28" s="56">
        <f>IF($A28="","",SUMIFS(MPS!$J:$J,MPS!$A:$A,E$1,MPS!$C:$C,$A28))</f>
        <v>360</v>
      </c>
      <c r="F28" s="56">
        <f>IF($A28="","",SUMIFS(MPS!$J:$J,MPS!$A:$A,F$1,MPS!$C:$C,$A28))</f>
        <v>0</v>
      </c>
      <c r="G28" s="56">
        <f>IF($A28="","",SUMIFS(MPS!$J:$J,MPS!$A:$A,G$1,MPS!$C:$C,$A28))</f>
        <v>1448</v>
      </c>
      <c r="H28" s="39">
        <f t="shared" si="2"/>
        <v>17408</v>
      </c>
      <c r="I28" s="39">
        <f t="shared" si="2"/>
        <v>4321</v>
      </c>
      <c r="J28" s="39">
        <f t="shared" si="2"/>
        <v>17408</v>
      </c>
      <c r="K28" s="39">
        <f t="shared" si="2"/>
        <v>30000</v>
      </c>
      <c r="L28" s="39">
        <f t="shared" si="2"/>
        <v>15000</v>
      </c>
      <c r="M28" s="39">
        <f t="shared" si="2"/>
        <v>0</v>
      </c>
      <c r="N28" s="39">
        <f t="shared" si="2"/>
        <v>0</v>
      </c>
      <c r="O28" s="39">
        <f t="shared" si="2"/>
        <v>1800</v>
      </c>
      <c r="P28" s="39">
        <f t="shared" si="2"/>
        <v>300</v>
      </c>
      <c r="Q28" s="39">
        <f t="shared" si="2"/>
        <v>720</v>
      </c>
      <c r="R28" s="39">
        <f t="shared" si="2"/>
        <v>540</v>
      </c>
      <c r="S28" s="39">
        <f t="shared" si="2"/>
        <v>0</v>
      </c>
      <c r="T28" s="39">
        <f t="shared" si="2"/>
        <v>0</v>
      </c>
      <c r="U28" s="39">
        <f t="shared" si="2"/>
        <v>7240</v>
      </c>
      <c r="V28" s="39">
        <f t="shared" si="2"/>
        <v>2896</v>
      </c>
    </row>
    <row r="29" spans="1:22" x14ac:dyDescent="0.3">
      <c r="A29" s="38">
        <v>46314</v>
      </c>
      <c r="B29" s="56">
        <f>IF($A29="","",SUMIFS(MPS!$J:$J,MPS!$A:$A,B$1,MPS!$C:$C,$A29))</f>
        <v>15000</v>
      </c>
      <c r="C29" s="56">
        <f>IF($A29="","",SUMIFS(MPS!$J:$J,MPS!$A:$A,C$1,MPS!$C:$C,$A29))</f>
        <v>0</v>
      </c>
      <c r="D29" s="56">
        <f>IF($A29="","",SUMIFS(MPS!$J:$J,MPS!$A:$A,D$1,MPS!$C:$C,$A29))</f>
        <v>600</v>
      </c>
      <c r="E29" s="56">
        <f>IF($A29="","",SUMIFS(MPS!$J:$J,MPS!$A:$A,E$1,MPS!$C:$C,$A29))</f>
        <v>360</v>
      </c>
      <c r="F29" s="56">
        <f>IF($A29="","",SUMIFS(MPS!$J:$J,MPS!$A:$A,F$1,MPS!$C:$C,$A29))</f>
        <v>0</v>
      </c>
      <c r="G29" s="56">
        <f>IF($A29="","",SUMIFS(MPS!$J:$J,MPS!$A:$A,G$1,MPS!$C:$C,$A29))</f>
        <v>1448</v>
      </c>
      <c r="H29" s="39">
        <f t="shared" si="2"/>
        <v>17408</v>
      </c>
      <c r="I29" s="39">
        <f t="shared" si="2"/>
        <v>4321</v>
      </c>
      <c r="J29" s="39">
        <f t="shared" si="2"/>
        <v>17408</v>
      </c>
      <c r="K29" s="39">
        <f t="shared" si="2"/>
        <v>30000</v>
      </c>
      <c r="L29" s="39">
        <f t="shared" si="2"/>
        <v>15000</v>
      </c>
      <c r="M29" s="39">
        <f t="shared" si="2"/>
        <v>0</v>
      </c>
      <c r="N29" s="39">
        <f t="shared" si="2"/>
        <v>0</v>
      </c>
      <c r="O29" s="39">
        <f t="shared" si="2"/>
        <v>1800</v>
      </c>
      <c r="P29" s="39">
        <f t="shared" si="2"/>
        <v>300</v>
      </c>
      <c r="Q29" s="39">
        <f t="shared" si="2"/>
        <v>720</v>
      </c>
      <c r="R29" s="39">
        <f t="shared" si="2"/>
        <v>540</v>
      </c>
      <c r="S29" s="39">
        <f t="shared" si="2"/>
        <v>0</v>
      </c>
      <c r="T29" s="39">
        <f t="shared" si="2"/>
        <v>0</v>
      </c>
      <c r="U29" s="39">
        <f t="shared" si="2"/>
        <v>7240</v>
      </c>
      <c r="V29" s="39">
        <f t="shared" si="2"/>
        <v>2896</v>
      </c>
    </row>
    <row r="30" spans="1:22" x14ac:dyDescent="0.3">
      <c r="A30" s="38">
        <v>46321</v>
      </c>
      <c r="B30" s="56">
        <f>IF($A30="","",SUMIFS(MPS!$J:$J,MPS!$A:$A,B$1,MPS!$C:$C,$A30))</f>
        <v>15000</v>
      </c>
      <c r="C30" s="56">
        <f>IF($A30="","",SUMIFS(MPS!$J:$J,MPS!$A:$A,C$1,MPS!$C:$C,$A30))</f>
        <v>0</v>
      </c>
      <c r="D30" s="56">
        <f>IF($A30="","",SUMIFS(MPS!$J:$J,MPS!$A:$A,D$1,MPS!$C:$C,$A30))</f>
        <v>500</v>
      </c>
      <c r="E30" s="56">
        <f>IF($A30="","",SUMIFS(MPS!$J:$J,MPS!$A:$A,E$1,MPS!$C:$C,$A30))</f>
        <v>1000</v>
      </c>
      <c r="F30" s="56">
        <f>IF($A30="","",SUMIFS(MPS!$J:$J,MPS!$A:$A,F$1,MPS!$C:$C,$A30))</f>
        <v>0</v>
      </c>
      <c r="G30" s="56">
        <f>IF($A30="","",SUMIFS(MPS!$J:$J,MPS!$A:$A,G$1,MPS!$C:$C,$A30))</f>
        <v>1448</v>
      </c>
      <c r="H30" s="39">
        <f t="shared" si="2"/>
        <v>17948</v>
      </c>
      <c r="I30" s="39">
        <f t="shared" si="2"/>
        <v>4431</v>
      </c>
      <c r="J30" s="39">
        <f t="shared" si="2"/>
        <v>17948</v>
      </c>
      <c r="K30" s="39">
        <f t="shared" si="2"/>
        <v>30000</v>
      </c>
      <c r="L30" s="39">
        <f t="shared" si="2"/>
        <v>15000</v>
      </c>
      <c r="M30" s="39">
        <f t="shared" si="2"/>
        <v>0</v>
      </c>
      <c r="N30" s="39">
        <f t="shared" si="2"/>
        <v>0</v>
      </c>
      <c r="O30" s="39">
        <f t="shared" si="2"/>
        <v>1500</v>
      </c>
      <c r="P30" s="39">
        <f t="shared" si="2"/>
        <v>250</v>
      </c>
      <c r="Q30" s="39">
        <f t="shared" si="2"/>
        <v>2000</v>
      </c>
      <c r="R30" s="39">
        <f t="shared" si="2"/>
        <v>1500</v>
      </c>
      <c r="S30" s="39">
        <f t="shared" si="2"/>
        <v>0</v>
      </c>
      <c r="T30" s="39">
        <f t="shared" si="2"/>
        <v>0</v>
      </c>
      <c r="U30" s="39">
        <f t="shared" si="2"/>
        <v>7240</v>
      </c>
      <c r="V30" s="39">
        <f t="shared" si="2"/>
        <v>2896</v>
      </c>
    </row>
    <row r="31" spans="1:22" x14ac:dyDescent="0.3">
      <c r="A31" s="38">
        <v>46328</v>
      </c>
      <c r="B31" s="56">
        <f>IF($A31="","",SUMIFS(MPS!$J:$J,MPS!$A:$A,B$1,MPS!$C:$C,$A31))</f>
        <v>4281</v>
      </c>
      <c r="C31" s="56">
        <f>IF($A31="","",SUMIFS(MPS!$J:$J,MPS!$A:$A,C$1,MPS!$C:$C,$A31))</f>
        <v>6250</v>
      </c>
      <c r="D31" s="56">
        <f>IF($A31="","",SUMIFS(MPS!$J:$J,MPS!$A:$A,D$1,MPS!$C:$C,$A31))</f>
        <v>500</v>
      </c>
      <c r="E31" s="56">
        <f>IF($A31="","",SUMIFS(MPS!$J:$J,MPS!$A:$A,E$1,MPS!$C:$C,$A31))</f>
        <v>1000</v>
      </c>
      <c r="F31" s="56">
        <f>IF($A31="","",SUMIFS(MPS!$J:$J,MPS!$A:$A,F$1,MPS!$C:$C,$A31))</f>
        <v>300</v>
      </c>
      <c r="G31" s="56">
        <f>IF($A31="","",SUMIFS(MPS!$J:$J,MPS!$A:$A,G$1,MPS!$C:$C,$A31))</f>
        <v>1754</v>
      </c>
      <c r="H31" s="39">
        <f t="shared" si="2"/>
        <v>14085</v>
      </c>
      <c r="I31" s="39">
        <f t="shared" si="2"/>
        <v>3502</v>
      </c>
      <c r="J31" s="39">
        <f t="shared" si="2"/>
        <v>14085</v>
      </c>
      <c r="K31" s="39">
        <f t="shared" si="2"/>
        <v>8562</v>
      </c>
      <c r="L31" s="39">
        <f t="shared" si="2"/>
        <v>4281</v>
      </c>
      <c r="M31" s="39">
        <f t="shared" si="2"/>
        <v>15625</v>
      </c>
      <c r="N31" s="39">
        <f t="shared" si="2"/>
        <v>9375</v>
      </c>
      <c r="O31" s="39">
        <f t="shared" si="2"/>
        <v>1500</v>
      </c>
      <c r="P31" s="39">
        <f t="shared" si="2"/>
        <v>250</v>
      </c>
      <c r="Q31" s="39">
        <f t="shared" si="2"/>
        <v>2000</v>
      </c>
      <c r="R31" s="39">
        <f t="shared" si="2"/>
        <v>1500</v>
      </c>
      <c r="S31" s="39">
        <f t="shared" si="2"/>
        <v>900</v>
      </c>
      <c r="T31" s="39">
        <f t="shared" si="2"/>
        <v>1200</v>
      </c>
      <c r="U31" s="39">
        <f t="shared" si="2"/>
        <v>8770</v>
      </c>
      <c r="V31" s="39">
        <f t="shared" si="2"/>
        <v>3508</v>
      </c>
    </row>
    <row r="32" spans="1:22" x14ac:dyDescent="0.3">
      <c r="A32" s="38">
        <v>46335</v>
      </c>
      <c r="B32" s="56">
        <f>IF($A32="","",SUMIFS(MPS!$J:$J,MPS!$A:$A,B$1,MPS!$C:$C,$A32))</f>
        <v>4282</v>
      </c>
      <c r="C32" s="56">
        <f>IF($A32="","",SUMIFS(MPS!$J:$J,MPS!$A:$A,C$1,MPS!$C:$C,$A32))</f>
        <v>6250</v>
      </c>
      <c r="D32" s="56">
        <f>IF($A32="","",SUMIFS(MPS!$J:$J,MPS!$A:$A,D$1,MPS!$C:$C,$A32))</f>
        <v>500</v>
      </c>
      <c r="E32" s="56">
        <f>IF($A32="","",SUMIFS(MPS!$J:$J,MPS!$A:$A,E$1,MPS!$C:$C,$A32))</f>
        <v>1000</v>
      </c>
      <c r="F32" s="56">
        <f>IF($A32="","",SUMIFS(MPS!$J:$J,MPS!$A:$A,F$1,MPS!$C:$C,$A32))</f>
        <v>0</v>
      </c>
      <c r="G32" s="56">
        <f>IF($A32="","",SUMIFS(MPS!$J:$J,MPS!$A:$A,G$1,MPS!$C:$C,$A32))</f>
        <v>1756</v>
      </c>
      <c r="H32" s="39">
        <f t="shared" ref="H32:V41" si="3">IF($A32="","",SUMPRODUCT($B32:$G32,INDEX($Y$2:$AD$16,MATCH(H$1,$X$2:$X$16,0),0)))</f>
        <v>13788</v>
      </c>
      <c r="I32" s="39">
        <f t="shared" si="3"/>
        <v>3352.5</v>
      </c>
      <c r="J32" s="39">
        <f t="shared" si="3"/>
        <v>13788</v>
      </c>
      <c r="K32" s="39">
        <f t="shared" si="3"/>
        <v>8564</v>
      </c>
      <c r="L32" s="39">
        <f t="shared" si="3"/>
        <v>4282</v>
      </c>
      <c r="M32" s="39">
        <f t="shared" si="3"/>
        <v>15625</v>
      </c>
      <c r="N32" s="39">
        <f t="shared" si="3"/>
        <v>9375</v>
      </c>
      <c r="O32" s="39">
        <f t="shared" si="3"/>
        <v>1500</v>
      </c>
      <c r="P32" s="39">
        <f t="shared" si="3"/>
        <v>250</v>
      </c>
      <c r="Q32" s="39">
        <f t="shared" si="3"/>
        <v>2000</v>
      </c>
      <c r="R32" s="39">
        <f t="shared" si="3"/>
        <v>1500</v>
      </c>
      <c r="S32" s="39">
        <f t="shared" si="3"/>
        <v>0</v>
      </c>
      <c r="T32" s="39">
        <f t="shared" si="3"/>
        <v>0</v>
      </c>
      <c r="U32" s="39">
        <f t="shared" si="3"/>
        <v>8780</v>
      </c>
      <c r="V32" s="39">
        <f t="shared" si="3"/>
        <v>3512</v>
      </c>
    </row>
    <row r="33" spans="1:22" x14ac:dyDescent="0.3">
      <c r="A33" s="38">
        <v>46342</v>
      </c>
      <c r="B33" s="56">
        <f>IF($A33="","",SUMIFS(MPS!$J:$J,MPS!$A:$A,B$1,MPS!$C:$C,$A33))</f>
        <v>4281</v>
      </c>
      <c r="C33" s="56">
        <f>IF($A33="","",SUMIFS(MPS!$J:$J,MPS!$A:$A,C$1,MPS!$C:$C,$A33))</f>
        <v>6250</v>
      </c>
      <c r="D33" s="56">
        <f>IF($A33="","",SUMIFS(MPS!$J:$J,MPS!$A:$A,D$1,MPS!$C:$C,$A33))</f>
        <v>500</v>
      </c>
      <c r="E33" s="56">
        <f>IF($A33="","",SUMIFS(MPS!$J:$J,MPS!$A:$A,E$1,MPS!$C:$C,$A33))</f>
        <v>1000</v>
      </c>
      <c r="F33" s="56">
        <f>IF($A33="","",SUMIFS(MPS!$J:$J,MPS!$A:$A,F$1,MPS!$C:$C,$A33))</f>
        <v>0</v>
      </c>
      <c r="G33" s="56">
        <f>IF($A33="","",SUMIFS(MPS!$J:$J,MPS!$A:$A,G$1,MPS!$C:$C,$A33))</f>
        <v>1756</v>
      </c>
      <c r="H33" s="39">
        <f t="shared" si="3"/>
        <v>13787</v>
      </c>
      <c r="I33" s="39">
        <f t="shared" si="3"/>
        <v>3352.25</v>
      </c>
      <c r="J33" s="39">
        <f t="shared" si="3"/>
        <v>13787</v>
      </c>
      <c r="K33" s="39">
        <f t="shared" si="3"/>
        <v>8562</v>
      </c>
      <c r="L33" s="39">
        <f t="shared" si="3"/>
        <v>4281</v>
      </c>
      <c r="M33" s="39">
        <f t="shared" si="3"/>
        <v>15625</v>
      </c>
      <c r="N33" s="39">
        <f t="shared" si="3"/>
        <v>9375</v>
      </c>
      <c r="O33" s="39">
        <f t="shared" si="3"/>
        <v>1500</v>
      </c>
      <c r="P33" s="39">
        <f t="shared" si="3"/>
        <v>250</v>
      </c>
      <c r="Q33" s="39">
        <f t="shared" si="3"/>
        <v>2000</v>
      </c>
      <c r="R33" s="39">
        <f t="shared" si="3"/>
        <v>1500</v>
      </c>
      <c r="S33" s="39">
        <f t="shared" si="3"/>
        <v>0</v>
      </c>
      <c r="T33" s="39">
        <f t="shared" si="3"/>
        <v>0</v>
      </c>
      <c r="U33" s="39">
        <f t="shared" si="3"/>
        <v>8780</v>
      </c>
      <c r="V33" s="39">
        <f t="shared" si="3"/>
        <v>3512</v>
      </c>
    </row>
    <row r="34" spans="1:22" x14ac:dyDescent="0.3">
      <c r="A34" s="38">
        <v>46349</v>
      </c>
      <c r="B34" s="56">
        <f>IF($A34="","",SUMIFS(MPS!$J:$J,MPS!$A:$A,B$1,MPS!$C:$C,$A34))</f>
        <v>4282</v>
      </c>
      <c r="C34" s="56">
        <f>IF($A34="","",SUMIFS(MPS!$J:$J,MPS!$A:$A,C$1,MPS!$C:$C,$A34))</f>
        <v>6250</v>
      </c>
      <c r="D34" s="56">
        <f>IF($A34="","",SUMIFS(MPS!$J:$J,MPS!$A:$A,D$1,MPS!$C:$C,$A34))</f>
        <v>3000</v>
      </c>
      <c r="E34" s="56">
        <f>IF($A34="","",SUMIFS(MPS!$J:$J,MPS!$A:$A,E$1,MPS!$C:$C,$A34))</f>
        <v>1250</v>
      </c>
      <c r="F34" s="56">
        <f>IF($A34="","",SUMIFS(MPS!$J:$J,MPS!$A:$A,F$1,MPS!$C:$C,$A34))</f>
        <v>0</v>
      </c>
      <c r="G34" s="56">
        <f>IF($A34="","",SUMIFS(MPS!$J:$J,MPS!$A:$A,G$1,MPS!$C:$C,$A34))</f>
        <v>1756</v>
      </c>
      <c r="H34" s="39">
        <f t="shared" si="3"/>
        <v>16538</v>
      </c>
      <c r="I34" s="39">
        <f t="shared" si="3"/>
        <v>4665</v>
      </c>
      <c r="J34" s="39">
        <f t="shared" si="3"/>
        <v>16538</v>
      </c>
      <c r="K34" s="39">
        <f t="shared" si="3"/>
        <v>8564</v>
      </c>
      <c r="L34" s="39">
        <f t="shared" si="3"/>
        <v>4282</v>
      </c>
      <c r="M34" s="39">
        <f t="shared" si="3"/>
        <v>15625</v>
      </c>
      <c r="N34" s="39">
        <f t="shared" si="3"/>
        <v>9375</v>
      </c>
      <c r="O34" s="39">
        <f t="shared" si="3"/>
        <v>9000</v>
      </c>
      <c r="P34" s="39">
        <f t="shared" si="3"/>
        <v>1500</v>
      </c>
      <c r="Q34" s="39">
        <f t="shared" si="3"/>
        <v>2500</v>
      </c>
      <c r="R34" s="39">
        <f t="shared" si="3"/>
        <v>1875</v>
      </c>
      <c r="S34" s="39">
        <f t="shared" si="3"/>
        <v>0</v>
      </c>
      <c r="T34" s="39">
        <f t="shared" si="3"/>
        <v>0</v>
      </c>
      <c r="U34" s="39">
        <f t="shared" si="3"/>
        <v>8780</v>
      </c>
      <c r="V34" s="39">
        <f t="shared" si="3"/>
        <v>3512</v>
      </c>
    </row>
    <row r="35" spans="1:22" x14ac:dyDescent="0.3">
      <c r="A35" s="38">
        <v>46356</v>
      </c>
      <c r="B35" s="56">
        <f>IF($A35="","",SUMIFS(MPS!$J:$J,MPS!$A:$A,B$1,MPS!$C:$C,$A35))</f>
        <v>4281</v>
      </c>
      <c r="C35" s="56">
        <f>IF($A35="","",SUMIFS(MPS!$J:$J,MPS!$A:$A,C$1,MPS!$C:$C,$A35))</f>
        <v>6250</v>
      </c>
      <c r="D35" s="56">
        <f>IF($A35="","",SUMIFS(MPS!$J:$J,MPS!$A:$A,D$1,MPS!$C:$C,$A35))</f>
        <v>3000</v>
      </c>
      <c r="E35" s="56">
        <f>IF($A35="","",SUMIFS(MPS!$J:$J,MPS!$A:$A,E$1,MPS!$C:$C,$A35))</f>
        <v>1250</v>
      </c>
      <c r="F35" s="56">
        <f>IF($A35="","",SUMIFS(MPS!$J:$J,MPS!$A:$A,F$1,MPS!$C:$C,$A35))</f>
        <v>300</v>
      </c>
      <c r="G35" s="56">
        <f>IF($A35="","",SUMIFS(MPS!$J:$J,MPS!$A:$A,G$1,MPS!$C:$C,$A35))</f>
        <v>1928</v>
      </c>
      <c r="H35" s="39">
        <f t="shared" si="3"/>
        <v>17009</v>
      </c>
      <c r="I35" s="39">
        <f t="shared" si="3"/>
        <v>4836.25</v>
      </c>
      <c r="J35" s="39">
        <f t="shared" si="3"/>
        <v>17009</v>
      </c>
      <c r="K35" s="39">
        <f t="shared" si="3"/>
        <v>8562</v>
      </c>
      <c r="L35" s="39">
        <f t="shared" si="3"/>
        <v>4281</v>
      </c>
      <c r="M35" s="39">
        <f t="shared" si="3"/>
        <v>15625</v>
      </c>
      <c r="N35" s="39">
        <f t="shared" si="3"/>
        <v>9375</v>
      </c>
      <c r="O35" s="39">
        <f t="shared" si="3"/>
        <v>9000</v>
      </c>
      <c r="P35" s="39">
        <f t="shared" si="3"/>
        <v>1500</v>
      </c>
      <c r="Q35" s="39">
        <f t="shared" si="3"/>
        <v>2500</v>
      </c>
      <c r="R35" s="39">
        <f t="shared" si="3"/>
        <v>1875</v>
      </c>
      <c r="S35" s="39">
        <f t="shared" si="3"/>
        <v>900</v>
      </c>
      <c r="T35" s="39">
        <f t="shared" si="3"/>
        <v>1200</v>
      </c>
      <c r="U35" s="39">
        <f t="shared" si="3"/>
        <v>9640</v>
      </c>
      <c r="V35" s="39">
        <f t="shared" si="3"/>
        <v>3856</v>
      </c>
    </row>
    <row r="36" spans="1:22" x14ac:dyDescent="0.3">
      <c r="A36" s="38">
        <v>46363</v>
      </c>
      <c r="B36" s="56">
        <f>IF($A36="","",SUMIFS(MPS!$J:$J,MPS!$A:$A,B$1,MPS!$C:$C,$A36))</f>
        <v>8326</v>
      </c>
      <c r="C36" s="56">
        <f>IF($A36="","",SUMIFS(MPS!$J:$J,MPS!$A:$A,C$1,MPS!$C:$C,$A36))</f>
        <v>6250</v>
      </c>
      <c r="D36" s="56">
        <f>IF($A36="","",SUMIFS(MPS!$J:$J,MPS!$A:$A,D$1,MPS!$C:$C,$A36))</f>
        <v>3000</v>
      </c>
      <c r="E36" s="56">
        <f>IF($A36="","",SUMIFS(MPS!$J:$J,MPS!$A:$A,E$1,MPS!$C:$C,$A36))</f>
        <v>1250</v>
      </c>
      <c r="F36" s="56">
        <f>IF($A36="","",SUMIFS(MPS!$J:$J,MPS!$A:$A,F$1,MPS!$C:$C,$A36))</f>
        <v>0</v>
      </c>
      <c r="G36" s="56">
        <f>IF($A36="","",SUMIFS(MPS!$J:$J,MPS!$A:$A,G$1,MPS!$C:$C,$A36))</f>
        <v>1930</v>
      </c>
      <c r="H36" s="39">
        <f t="shared" si="3"/>
        <v>20756</v>
      </c>
      <c r="I36" s="39">
        <f t="shared" si="3"/>
        <v>5697.75</v>
      </c>
      <c r="J36" s="39">
        <f t="shared" si="3"/>
        <v>20756</v>
      </c>
      <c r="K36" s="39">
        <f t="shared" si="3"/>
        <v>16652</v>
      </c>
      <c r="L36" s="39">
        <f t="shared" si="3"/>
        <v>8326</v>
      </c>
      <c r="M36" s="39">
        <f t="shared" si="3"/>
        <v>15625</v>
      </c>
      <c r="N36" s="39">
        <f t="shared" si="3"/>
        <v>9375</v>
      </c>
      <c r="O36" s="39">
        <f t="shared" si="3"/>
        <v>9000</v>
      </c>
      <c r="P36" s="39">
        <f t="shared" si="3"/>
        <v>1500</v>
      </c>
      <c r="Q36" s="39">
        <f t="shared" si="3"/>
        <v>2500</v>
      </c>
      <c r="R36" s="39">
        <f t="shared" si="3"/>
        <v>1875</v>
      </c>
      <c r="S36" s="39">
        <f t="shared" si="3"/>
        <v>0</v>
      </c>
      <c r="T36" s="39">
        <f t="shared" si="3"/>
        <v>0</v>
      </c>
      <c r="U36" s="39">
        <f t="shared" si="3"/>
        <v>9650</v>
      </c>
      <c r="V36" s="39">
        <f t="shared" si="3"/>
        <v>3860</v>
      </c>
    </row>
    <row r="37" spans="1:22" x14ac:dyDescent="0.3">
      <c r="A37" s="38">
        <v>46370</v>
      </c>
      <c r="B37" s="56">
        <f>IF($A37="","",SUMIFS(MPS!$J:$J,MPS!$A:$A,B$1,MPS!$C:$C,$A37))</f>
        <v>8325</v>
      </c>
      <c r="C37" s="56">
        <f>IF($A37="","",SUMIFS(MPS!$J:$J,MPS!$A:$A,C$1,MPS!$C:$C,$A37))</f>
        <v>6250</v>
      </c>
      <c r="D37" s="56">
        <f>IF($A37="","",SUMIFS(MPS!$J:$J,MPS!$A:$A,D$1,MPS!$C:$C,$A37))</f>
        <v>3000</v>
      </c>
      <c r="E37" s="56">
        <f>IF($A37="","",SUMIFS(MPS!$J:$J,MPS!$A:$A,E$1,MPS!$C:$C,$A37))</f>
        <v>1250</v>
      </c>
      <c r="F37" s="56">
        <f>IF($A37="","",SUMIFS(MPS!$J:$J,MPS!$A:$A,F$1,MPS!$C:$C,$A37))</f>
        <v>0</v>
      </c>
      <c r="G37" s="56">
        <f>IF($A37="","",SUMIFS(MPS!$J:$J,MPS!$A:$A,G$1,MPS!$C:$C,$A37))</f>
        <v>1928</v>
      </c>
      <c r="H37" s="39">
        <f t="shared" si="3"/>
        <v>20753</v>
      </c>
      <c r="I37" s="39">
        <f t="shared" si="3"/>
        <v>5697.25</v>
      </c>
      <c r="J37" s="39">
        <f t="shared" si="3"/>
        <v>20753</v>
      </c>
      <c r="K37" s="39">
        <f t="shared" si="3"/>
        <v>16650</v>
      </c>
      <c r="L37" s="39">
        <f t="shared" si="3"/>
        <v>8325</v>
      </c>
      <c r="M37" s="39">
        <f t="shared" si="3"/>
        <v>15625</v>
      </c>
      <c r="N37" s="39">
        <f t="shared" si="3"/>
        <v>9375</v>
      </c>
      <c r="O37" s="39">
        <f t="shared" si="3"/>
        <v>9000</v>
      </c>
      <c r="P37" s="39">
        <f t="shared" si="3"/>
        <v>1500</v>
      </c>
      <c r="Q37" s="39">
        <f t="shared" si="3"/>
        <v>2500</v>
      </c>
      <c r="R37" s="39">
        <f t="shared" si="3"/>
        <v>1875</v>
      </c>
      <c r="S37" s="39">
        <f t="shared" si="3"/>
        <v>0</v>
      </c>
      <c r="T37" s="39">
        <f t="shared" si="3"/>
        <v>0</v>
      </c>
      <c r="U37" s="39">
        <f t="shared" si="3"/>
        <v>9640</v>
      </c>
      <c r="V37" s="39">
        <f t="shared" si="3"/>
        <v>3856</v>
      </c>
    </row>
    <row r="38" spans="1:22" x14ac:dyDescent="0.3">
      <c r="A38" s="38"/>
      <c r="B38" s="39" t="str">
        <f>IF($A38="","",SUMIFS(weekly_demand!$D:$D,weekly_demand!$A:$A,B$1,weekly_demand!$C:$C,$A38))</f>
        <v/>
      </c>
      <c r="C38" s="39" t="str">
        <f>IF($A38="","",SUMIFS(weekly_demand!$D:$D,weekly_demand!$A:$A,C$1,weekly_demand!$C:$C,$A38))</f>
        <v/>
      </c>
      <c r="D38" s="39" t="str">
        <f>IF($A38="","",SUMIFS(weekly_demand!$D:$D,weekly_demand!$A:$A,D$1,weekly_demand!$C:$C,$A38))</f>
        <v/>
      </c>
      <c r="E38" s="39" t="str">
        <f>IF($A38="","",SUMIFS(weekly_demand!$D:$D,weekly_demand!$A:$A,E$1,weekly_demand!$C:$C,$A38))</f>
        <v/>
      </c>
      <c r="F38" s="39" t="str">
        <f>IF($A38="","",SUMIFS(weekly_demand!$D:$D,weekly_demand!$A:$A,F$1,weekly_demand!$C:$C,$A38))</f>
        <v/>
      </c>
      <c r="G38" s="39" t="str">
        <f>IF($A38="","",SUMIFS(weekly_demand!$D:$D,weekly_demand!$A:$A,G$1,weekly_demand!$C:$C,$A38))</f>
        <v/>
      </c>
      <c r="H38" s="39" t="str">
        <f t="shared" si="3"/>
        <v/>
      </c>
      <c r="I38" s="39" t="str">
        <f t="shared" si="3"/>
        <v/>
      </c>
      <c r="J38" s="39" t="str">
        <f t="shared" si="3"/>
        <v/>
      </c>
      <c r="K38" s="39" t="str">
        <f t="shared" si="3"/>
        <v/>
      </c>
      <c r="L38" s="39" t="str">
        <f t="shared" si="3"/>
        <v/>
      </c>
      <c r="M38" s="39" t="str">
        <f t="shared" si="3"/>
        <v/>
      </c>
      <c r="N38" s="39" t="str">
        <f t="shared" si="3"/>
        <v/>
      </c>
      <c r="O38" s="39" t="str">
        <f t="shared" si="3"/>
        <v/>
      </c>
      <c r="P38" s="39" t="str">
        <f t="shared" si="3"/>
        <v/>
      </c>
      <c r="Q38" s="39" t="str">
        <f t="shared" si="3"/>
        <v/>
      </c>
      <c r="R38" s="39" t="str">
        <f t="shared" si="3"/>
        <v/>
      </c>
      <c r="S38" s="39" t="str">
        <f t="shared" si="3"/>
        <v/>
      </c>
      <c r="T38" s="39" t="str">
        <f t="shared" si="3"/>
        <v/>
      </c>
      <c r="U38" s="39" t="str">
        <f t="shared" si="3"/>
        <v/>
      </c>
      <c r="V38" s="39" t="str">
        <f t="shared" si="3"/>
        <v/>
      </c>
    </row>
    <row r="39" spans="1:22" x14ac:dyDescent="0.3">
      <c r="A39" s="38"/>
      <c r="B39" s="39" t="str">
        <f>IF($A39="","",SUMIFS(weekly_demand!$D:$D,weekly_demand!$A:$A,B$1,weekly_demand!$C:$C,$A39))</f>
        <v/>
      </c>
      <c r="C39" s="39" t="str">
        <f>IF($A39="","",SUMIFS(weekly_demand!$D:$D,weekly_demand!$A:$A,C$1,weekly_demand!$C:$C,$A39))</f>
        <v/>
      </c>
      <c r="D39" s="39" t="str">
        <f>IF($A39="","",SUMIFS(weekly_demand!$D:$D,weekly_demand!$A:$A,D$1,weekly_demand!$C:$C,$A39))</f>
        <v/>
      </c>
      <c r="E39" s="39" t="str">
        <f>IF($A39="","",SUMIFS(weekly_demand!$D:$D,weekly_demand!$A:$A,E$1,weekly_demand!$C:$C,$A39))</f>
        <v/>
      </c>
      <c r="F39" s="39" t="str">
        <f>IF($A39="","",SUMIFS(weekly_demand!$D:$D,weekly_demand!$A:$A,F$1,weekly_demand!$C:$C,$A39))</f>
        <v/>
      </c>
      <c r="G39" s="39" t="str">
        <f>IF($A39="","",SUMIFS(weekly_demand!$D:$D,weekly_demand!$A:$A,G$1,weekly_demand!$C:$C,$A39))</f>
        <v/>
      </c>
      <c r="H39" s="39" t="str">
        <f t="shared" si="3"/>
        <v/>
      </c>
      <c r="I39" s="39" t="str">
        <f t="shared" si="3"/>
        <v/>
      </c>
      <c r="J39" s="39" t="str">
        <f t="shared" si="3"/>
        <v/>
      </c>
      <c r="K39" s="39" t="str">
        <f t="shared" si="3"/>
        <v/>
      </c>
      <c r="L39" s="39" t="str">
        <f t="shared" si="3"/>
        <v/>
      </c>
      <c r="M39" s="39" t="str">
        <f t="shared" si="3"/>
        <v/>
      </c>
      <c r="N39" s="39" t="str">
        <f t="shared" si="3"/>
        <v/>
      </c>
      <c r="O39" s="39" t="str">
        <f t="shared" si="3"/>
        <v/>
      </c>
      <c r="P39" s="39" t="str">
        <f t="shared" si="3"/>
        <v/>
      </c>
      <c r="Q39" s="39" t="str">
        <f t="shared" si="3"/>
        <v/>
      </c>
      <c r="R39" s="39" t="str">
        <f t="shared" si="3"/>
        <v/>
      </c>
      <c r="S39" s="39" t="str">
        <f t="shared" si="3"/>
        <v/>
      </c>
      <c r="T39" s="39" t="str">
        <f t="shared" si="3"/>
        <v/>
      </c>
      <c r="U39" s="39" t="str">
        <f t="shared" si="3"/>
        <v/>
      </c>
      <c r="V39" s="39" t="str">
        <f t="shared" si="3"/>
        <v/>
      </c>
    </row>
    <row r="40" spans="1:22" x14ac:dyDescent="0.3">
      <c r="A40" s="38"/>
      <c r="B40" s="39" t="str">
        <f>IF($A40="","",SUMIFS(weekly_demand!$D:$D,weekly_demand!$A:$A,B$1,weekly_demand!$C:$C,$A40))</f>
        <v/>
      </c>
      <c r="C40" s="39" t="str">
        <f>IF($A40="","",SUMIFS(weekly_demand!$D:$D,weekly_demand!$A:$A,C$1,weekly_demand!$C:$C,$A40))</f>
        <v/>
      </c>
      <c r="D40" s="39" t="str">
        <f>IF($A40="","",SUMIFS(weekly_demand!$D:$D,weekly_demand!$A:$A,D$1,weekly_demand!$C:$C,$A40))</f>
        <v/>
      </c>
      <c r="E40" s="39" t="str">
        <f>IF($A40="","",SUMIFS(weekly_demand!$D:$D,weekly_demand!$A:$A,E$1,weekly_demand!$C:$C,$A40))</f>
        <v/>
      </c>
      <c r="F40" s="39" t="str">
        <f>IF($A40="","",SUMIFS(weekly_demand!$D:$D,weekly_demand!$A:$A,F$1,weekly_demand!$C:$C,$A40))</f>
        <v/>
      </c>
      <c r="G40" s="39" t="str">
        <f>IF($A40="","",SUMIFS(weekly_demand!$D:$D,weekly_demand!$A:$A,G$1,weekly_demand!$C:$C,$A40))</f>
        <v/>
      </c>
      <c r="H40" s="39" t="str">
        <f t="shared" si="3"/>
        <v/>
      </c>
      <c r="I40" s="39" t="str">
        <f t="shared" si="3"/>
        <v/>
      </c>
      <c r="J40" s="39" t="str">
        <f t="shared" si="3"/>
        <v/>
      </c>
      <c r="K40" s="39" t="str">
        <f t="shared" si="3"/>
        <v/>
      </c>
      <c r="L40" s="39" t="str">
        <f t="shared" si="3"/>
        <v/>
      </c>
      <c r="M40" s="39" t="str">
        <f t="shared" si="3"/>
        <v/>
      </c>
      <c r="N40" s="39" t="str">
        <f t="shared" si="3"/>
        <v/>
      </c>
      <c r="O40" s="39" t="str">
        <f t="shared" si="3"/>
        <v/>
      </c>
      <c r="P40" s="39" t="str">
        <f t="shared" si="3"/>
        <v/>
      </c>
      <c r="Q40" s="39" t="str">
        <f t="shared" si="3"/>
        <v/>
      </c>
      <c r="R40" s="39" t="str">
        <f t="shared" si="3"/>
        <v/>
      </c>
      <c r="S40" s="39" t="str">
        <f t="shared" si="3"/>
        <v/>
      </c>
      <c r="T40" s="39" t="str">
        <f t="shared" si="3"/>
        <v/>
      </c>
      <c r="U40" s="39" t="str">
        <f t="shared" si="3"/>
        <v/>
      </c>
      <c r="V40" s="39" t="str">
        <f t="shared" si="3"/>
        <v/>
      </c>
    </row>
    <row r="41" spans="1:22" x14ac:dyDescent="0.3">
      <c r="A41" s="38"/>
      <c r="B41" s="39" t="str">
        <f>IF($A41="","",SUMIFS(weekly_demand!$D:$D,weekly_demand!$A:$A,B$1,weekly_demand!$C:$C,$A41))</f>
        <v/>
      </c>
      <c r="C41" s="39" t="str">
        <f>IF($A41="","",SUMIFS(weekly_demand!$D:$D,weekly_demand!$A:$A,C$1,weekly_demand!$C:$C,$A41))</f>
        <v/>
      </c>
      <c r="D41" s="39" t="str">
        <f>IF($A41="","",SUMIFS(weekly_demand!$D:$D,weekly_demand!$A:$A,D$1,weekly_demand!$C:$C,$A41))</f>
        <v/>
      </c>
      <c r="E41" s="39" t="str">
        <f>IF($A41="","",SUMIFS(weekly_demand!$D:$D,weekly_demand!$A:$A,E$1,weekly_demand!$C:$C,$A41))</f>
        <v/>
      </c>
      <c r="F41" s="39" t="str">
        <f>IF($A41="","",SUMIFS(weekly_demand!$D:$D,weekly_demand!$A:$A,F$1,weekly_demand!$C:$C,$A41))</f>
        <v/>
      </c>
      <c r="G41" s="39" t="str">
        <f>IF($A41="","",SUMIFS(weekly_demand!$D:$D,weekly_demand!$A:$A,G$1,weekly_demand!$C:$C,$A41))</f>
        <v/>
      </c>
      <c r="H41" s="39" t="str">
        <f t="shared" si="3"/>
        <v/>
      </c>
      <c r="I41" s="39" t="str">
        <f t="shared" si="3"/>
        <v/>
      </c>
      <c r="J41" s="39" t="str">
        <f t="shared" si="3"/>
        <v/>
      </c>
      <c r="K41" s="39" t="str">
        <f t="shared" si="3"/>
        <v/>
      </c>
      <c r="L41" s="39" t="str">
        <f t="shared" si="3"/>
        <v/>
      </c>
      <c r="M41" s="39" t="str">
        <f t="shared" si="3"/>
        <v/>
      </c>
      <c r="N41" s="39" t="str">
        <f t="shared" si="3"/>
        <v/>
      </c>
      <c r="O41" s="39" t="str">
        <f t="shared" si="3"/>
        <v/>
      </c>
      <c r="P41" s="39" t="str">
        <f t="shared" si="3"/>
        <v/>
      </c>
      <c r="Q41" s="39" t="str">
        <f t="shared" si="3"/>
        <v/>
      </c>
      <c r="R41" s="39" t="str">
        <f t="shared" si="3"/>
        <v/>
      </c>
      <c r="S41" s="39" t="str">
        <f t="shared" si="3"/>
        <v/>
      </c>
      <c r="T41" s="39" t="str">
        <f t="shared" si="3"/>
        <v/>
      </c>
      <c r="U41" s="39" t="str">
        <f t="shared" si="3"/>
        <v/>
      </c>
      <c r="V41" s="39" t="str">
        <f t="shared" si="3"/>
        <v/>
      </c>
    </row>
    <row r="42" spans="1:22" x14ac:dyDescent="0.3">
      <c r="A42" s="38"/>
      <c r="B42" s="39" t="str">
        <f>IF($A42="","",SUMIFS(weekly_demand!$D:$D,weekly_demand!$A:$A,B$1,weekly_demand!$C:$C,$A42))</f>
        <v/>
      </c>
      <c r="C42" s="39" t="str">
        <f>IF($A42="","",SUMIFS(weekly_demand!$D:$D,weekly_demand!$A:$A,C$1,weekly_demand!$C:$C,$A42))</f>
        <v/>
      </c>
      <c r="D42" s="39" t="str">
        <f>IF($A42="","",SUMIFS(weekly_demand!$D:$D,weekly_demand!$A:$A,D$1,weekly_demand!$C:$C,$A42))</f>
        <v/>
      </c>
      <c r="E42" s="39" t="str">
        <f>IF($A42="","",SUMIFS(weekly_demand!$D:$D,weekly_demand!$A:$A,E$1,weekly_demand!$C:$C,$A42))</f>
        <v/>
      </c>
      <c r="F42" s="39" t="str">
        <f>IF($A42="","",SUMIFS(weekly_demand!$D:$D,weekly_demand!$A:$A,F$1,weekly_demand!$C:$C,$A42))</f>
        <v/>
      </c>
      <c r="G42" s="39" t="str">
        <f>IF($A42="","",SUMIFS(weekly_demand!$D:$D,weekly_demand!$A:$A,G$1,weekly_demand!$C:$C,$A42))</f>
        <v/>
      </c>
      <c r="H42" s="39" t="str">
        <f t="shared" ref="H42:V51" si="4">IF($A42="","",SUMPRODUCT($B42:$G42,INDEX($Y$2:$AD$16,MATCH(H$1,$X$2:$X$16,0),0)))</f>
        <v/>
      </c>
      <c r="I42" s="39" t="str">
        <f t="shared" si="4"/>
        <v/>
      </c>
      <c r="J42" s="39" t="str">
        <f t="shared" si="4"/>
        <v/>
      </c>
      <c r="K42" s="39" t="str">
        <f t="shared" si="4"/>
        <v/>
      </c>
      <c r="L42" s="39" t="str">
        <f t="shared" si="4"/>
        <v/>
      </c>
      <c r="M42" s="39" t="str">
        <f t="shared" si="4"/>
        <v/>
      </c>
      <c r="N42" s="39" t="str">
        <f t="shared" si="4"/>
        <v/>
      </c>
      <c r="O42" s="39" t="str">
        <f t="shared" si="4"/>
        <v/>
      </c>
      <c r="P42" s="39" t="str">
        <f t="shared" si="4"/>
        <v/>
      </c>
      <c r="Q42" s="39" t="str">
        <f t="shared" si="4"/>
        <v/>
      </c>
      <c r="R42" s="39" t="str">
        <f t="shared" si="4"/>
        <v/>
      </c>
      <c r="S42" s="39" t="str">
        <f t="shared" si="4"/>
        <v/>
      </c>
      <c r="T42" s="39" t="str">
        <f t="shared" si="4"/>
        <v/>
      </c>
      <c r="U42" s="39" t="str">
        <f t="shared" si="4"/>
        <v/>
      </c>
      <c r="V42" s="39" t="str">
        <f t="shared" si="4"/>
        <v/>
      </c>
    </row>
    <row r="43" spans="1:22" x14ac:dyDescent="0.3">
      <c r="A43" s="38"/>
      <c r="B43" s="39" t="str">
        <f>IF($A43="","",SUMIFS(weekly_demand!$D:$D,weekly_demand!$A:$A,B$1,weekly_demand!$C:$C,$A43))</f>
        <v/>
      </c>
      <c r="C43" s="39" t="str">
        <f>IF($A43="","",SUMIFS(weekly_demand!$D:$D,weekly_demand!$A:$A,C$1,weekly_demand!$C:$C,$A43))</f>
        <v/>
      </c>
      <c r="D43" s="39" t="str">
        <f>IF($A43="","",SUMIFS(weekly_demand!$D:$D,weekly_demand!$A:$A,D$1,weekly_demand!$C:$C,$A43))</f>
        <v/>
      </c>
      <c r="E43" s="39" t="str">
        <f>IF($A43="","",SUMIFS(weekly_demand!$D:$D,weekly_demand!$A:$A,E$1,weekly_demand!$C:$C,$A43))</f>
        <v/>
      </c>
      <c r="F43" s="39" t="str">
        <f>IF($A43="","",SUMIFS(weekly_demand!$D:$D,weekly_demand!$A:$A,F$1,weekly_demand!$C:$C,$A43))</f>
        <v/>
      </c>
      <c r="G43" s="39" t="str">
        <f>IF($A43="","",SUMIFS(weekly_demand!$D:$D,weekly_demand!$A:$A,G$1,weekly_demand!$C:$C,$A43))</f>
        <v/>
      </c>
      <c r="H43" s="39" t="str">
        <f t="shared" si="4"/>
        <v/>
      </c>
      <c r="I43" s="39" t="str">
        <f t="shared" si="4"/>
        <v/>
      </c>
      <c r="J43" s="39" t="str">
        <f t="shared" si="4"/>
        <v/>
      </c>
      <c r="K43" s="39" t="str">
        <f t="shared" si="4"/>
        <v/>
      </c>
      <c r="L43" s="39" t="str">
        <f t="shared" si="4"/>
        <v/>
      </c>
      <c r="M43" s="39" t="str">
        <f t="shared" si="4"/>
        <v/>
      </c>
      <c r="N43" s="39" t="str">
        <f t="shared" si="4"/>
        <v/>
      </c>
      <c r="O43" s="39" t="str">
        <f t="shared" si="4"/>
        <v/>
      </c>
      <c r="P43" s="39" t="str">
        <f t="shared" si="4"/>
        <v/>
      </c>
      <c r="Q43" s="39" t="str">
        <f t="shared" si="4"/>
        <v/>
      </c>
      <c r="R43" s="39" t="str">
        <f t="shared" si="4"/>
        <v/>
      </c>
      <c r="S43" s="39" t="str">
        <f t="shared" si="4"/>
        <v/>
      </c>
      <c r="T43" s="39" t="str">
        <f t="shared" si="4"/>
        <v/>
      </c>
      <c r="U43" s="39" t="str">
        <f t="shared" si="4"/>
        <v/>
      </c>
      <c r="V43" s="39" t="str">
        <f t="shared" si="4"/>
        <v/>
      </c>
    </row>
    <row r="44" spans="1:22" x14ac:dyDescent="0.3">
      <c r="A44" s="38"/>
      <c r="B44" s="39" t="str">
        <f>IF($A44="","",SUMIFS(weekly_demand!$D:$D,weekly_demand!$A:$A,B$1,weekly_demand!$C:$C,$A44))</f>
        <v/>
      </c>
      <c r="C44" s="39" t="str">
        <f>IF($A44="","",SUMIFS(weekly_demand!$D:$D,weekly_demand!$A:$A,C$1,weekly_demand!$C:$C,$A44))</f>
        <v/>
      </c>
      <c r="D44" s="39" t="str">
        <f>IF($A44="","",SUMIFS(weekly_demand!$D:$D,weekly_demand!$A:$A,D$1,weekly_demand!$C:$C,$A44))</f>
        <v/>
      </c>
      <c r="E44" s="39" t="str">
        <f>IF($A44="","",SUMIFS(weekly_demand!$D:$D,weekly_demand!$A:$A,E$1,weekly_demand!$C:$C,$A44))</f>
        <v/>
      </c>
      <c r="F44" s="39" t="str">
        <f>IF($A44="","",SUMIFS(weekly_demand!$D:$D,weekly_demand!$A:$A,F$1,weekly_demand!$C:$C,$A44))</f>
        <v/>
      </c>
      <c r="G44" s="39" t="str">
        <f>IF($A44="","",SUMIFS(weekly_demand!$D:$D,weekly_demand!$A:$A,G$1,weekly_demand!$C:$C,$A44))</f>
        <v/>
      </c>
      <c r="H44" s="39" t="str">
        <f t="shared" si="4"/>
        <v/>
      </c>
      <c r="I44" s="39" t="str">
        <f t="shared" si="4"/>
        <v/>
      </c>
      <c r="J44" s="39" t="str">
        <f t="shared" si="4"/>
        <v/>
      </c>
      <c r="K44" s="39" t="str">
        <f t="shared" si="4"/>
        <v/>
      </c>
      <c r="L44" s="39" t="str">
        <f t="shared" si="4"/>
        <v/>
      </c>
      <c r="M44" s="39" t="str">
        <f t="shared" si="4"/>
        <v/>
      </c>
      <c r="N44" s="39" t="str">
        <f t="shared" si="4"/>
        <v/>
      </c>
      <c r="O44" s="39" t="str">
        <f t="shared" si="4"/>
        <v/>
      </c>
      <c r="P44" s="39" t="str">
        <f t="shared" si="4"/>
        <v/>
      </c>
      <c r="Q44" s="39" t="str">
        <f t="shared" si="4"/>
        <v/>
      </c>
      <c r="R44" s="39" t="str">
        <f t="shared" si="4"/>
        <v/>
      </c>
      <c r="S44" s="39" t="str">
        <f t="shared" si="4"/>
        <v/>
      </c>
      <c r="T44" s="39" t="str">
        <f t="shared" si="4"/>
        <v/>
      </c>
      <c r="U44" s="39" t="str">
        <f t="shared" si="4"/>
        <v/>
      </c>
      <c r="V44" s="39" t="str">
        <f t="shared" si="4"/>
        <v/>
      </c>
    </row>
    <row r="45" spans="1:22" x14ac:dyDescent="0.3">
      <c r="A45" s="38"/>
      <c r="B45" s="39" t="str">
        <f>IF($A45="","",SUMIFS(weekly_demand!$D:$D,weekly_demand!$A:$A,B$1,weekly_demand!$C:$C,$A45))</f>
        <v/>
      </c>
      <c r="C45" s="39" t="str">
        <f>IF($A45="","",SUMIFS(weekly_demand!$D:$D,weekly_demand!$A:$A,C$1,weekly_demand!$C:$C,$A45))</f>
        <v/>
      </c>
      <c r="D45" s="39" t="str">
        <f>IF($A45="","",SUMIFS(weekly_demand!$D:$D,weekly_demand!$A:$A,D$1,weekly_demand!$C:$C,$A45))</f>
        <v/>
      </c>
      <c r="E45" s="39" t="str">
        <f>IF($A45="","",SUMIFS(weekly_demand!$D:$D,weekly_demand!$A:$A,E$1,weekly_demand!$C:$C,$A45))</f>
        <v/>
      </c>
      <c r="F45" s="39" t="str">
        <f>IF($A45="","",SUMIFS(weekly_demand!$D:$D,weekly_demand!$A:$A,F$1,weekly_demand!$C:$C,$A45))</f>
        <v/>
      </c>
      <c r="G45" s="39" t="str">
        <f>IF($A45="","",SUMIFS(weekly_demand!$D:$D,weekly_demand!$A:$A,G$1,weekly_demand!$C:$C,$A45))</f>
        <v/>
      </c>
      <c r="H45" s="39" t="str">
        <f t="shared" si="4"/>
        <v/>
      </c>
      <c r="I45" s="39" t="str">
        <f t="shared" si="4"/>
        <v/>
      </c>
      <c r="J45" s="39" t="str">
        <f t="shared" si="4"/>
        <v/>
      </c>
      <c r="K45" s="39" t="str">
        <f t="shared" si="4"/>
        <v/>
      </c>
      <c r="L45" s="39" t="str">
        <f t="shared" si="4"/>
        <v/>
      </c>
      <c r="M45" s="39" t="str">
        <f t="shared" si="4"/>
        <v/>
      </c>
      <c r="N45" s="39" t="str">
        <f t="shared" si="4"/>
        <v/>
      </c>
      <c r="O45" s="39" t="str">
        <f t="shared" si="4"/>
        <v/>
      </c>
      <c r="P45" s="39" t="str">
        <f t="shared" si="4"/>
        <v/>
      </c>
      <c r="Q45" s="39" t="str">
        <f t="shared" si="4"/>
        <v/>
      </c>
      <c r="R45" s="39" t="str">
        <f t="shared" si="4"/>
        <v/>
      </c>
      <c r="S45" s="39" t="str">
        <f t="shared" si="4"/>
        <v/>
      </c>
      <c r="T45" s="39" t="str">
        <f t="shared" si="4"/>
        <v/>
      </c>
      <c r="U45" s="39" t="str">
        <f t="shared" si="4"/>
        <v/>
      </c>
      <c r="V45" s="39" t="str">
        <f t="shared" si="4"/>
        <v/>
      </c>
    </row>
    <row r="46" spans="1:22" x14ac:dyDescent="0.3">
      <c r="A46" s="38"/>
      <c r="B46" s="39" t="str">
        <f>IF($A46="","",SUMIFS(weekly_demand!$D:$D,weekly_demand!$A:$A,B$1,weekly_demand!$C:$C,$A46))</f>
        <v/>
      </c>
      <c r="C46" s="39" t="str">
        <f>IF($A46="","",SUMIFS(weekly_demand!$D:$D,weekly_demand!$A:$A,C$1,weekly_demand!$C:$C,$A46))</f>
        <v/>
      </c>
      <c r="D46" s="39" t="str">
        <f>IF($A46="","",SUMIFS(weekly_demand!$D:$D,weekly_demand!$A:$A,D$1,weekly_demand!$C:$C,$A46))</f>
        <v/>
      </c>
      <c r="E46" s="39" t="str">
        <f>IF($A46="","",SUMIFS(weekly_demand!$D:$D,weekly_demand!$A:$A,E$1,weekly_demand!$C:$C,$A46))</f>
        <v/>
      </c>
      <c r="F46" s="39" t="str">
        <f>IF($A46="","",SUMIFS(weekly_demand!$D:$D,weekly_demand!$A:$A,F$1,weekly_demand!$C:$C,$A46))</f>
        <v/>
      </c>
      <c r="G46" s="39" t="str">
        <f>IF($A46="","",SUMIFS(weekly_demand!$D:$D,weekly_demand!$A:$A,G$1,weekly_demand!$C:$C,$A46))</f>
        <v/>
      </c>
      <c r="H46" s="39" t="str">
        <f t="shared" si="4"/>
        <v/>
      </c>
      <c r="I46" s="39" t="str">
        <f t="shared" si="4"/>
        <v/>
      </c>
      <c r="J46" s="39" t="str">
        <f t="shared" si="4"/>
        <v/>
      </c>
      <c r="K46" s="39" t="str">
        <f t="shared" si="4"/>
        <v/>
      </c>
      <c r="L46" s="39" t="str">
        <f t="shared" si="4"/>
        <v/>
      </c>
      <c r="M46" s="39" t="str">
        <f t="shared" si="4"/>
        <v/>
      </c>
      <c r="N46" s="39" t="str">
        <f t="shared" si="4"/>
        <v/>
      </c>
      <c r="O46" s="39" t="str">
        <f t="shared" si="4"/>
        <v/>
      </c>
      <c r="P46" s="39" t="str">
        <f t="shared" si="4"/>
        <v/>
      </c>
      <c r="Q46" s="39" t="str">
        <f t="shared" si="4"/>
        <v/>
      </c>
      <c r="R46" s="39" t="str">
        <f t="shared" si="4"/>
        <v/>
      </c>
      <c r="S46" s="39" t="str">
        <f t="shared" si="4"/>
        <v/>
      </c>
      <c r="T46" s="39" t="str">
        <f t="shared" si="4"/>
        <v/>
      </c>
      <c r="U46" s="39" t="str">
        <f t="shared" si="4"/>
        <v/>
      </c>
      <c r="V46" s="39" t="str">
        <f t="shared" si="4"/>
        <v/>
      </c>
    </row>
    <row r="47" spans="1:22" x14ac:dyDescent="0.3">
      <c r="A47" s="38"/>
      <c r="B47" s="39" t="str">
        <f>IF($A47="","",SUMIFS(weekly_demand!$D:$D,weekly_demand!$A:$A,B$1,weekly_demand!$C:$C,$A47))</f>
        <v/>
      </c>
      <c r="C47" s="39" t="str">
        <f>IF($A47="","",SUMIFS(weekly_demand!$D:$D,weekly_demand!$A:$A,C$1,weekly_demand!$C:$C,$A47))</f>
        <v/>
      </c>
      <c r="D47" s="39" t="str">
        <f>IF($A47="","",SUMIFS(weekly_demand!$D:$D,weekly_demand!$A:$A,D$1,weekly_demand!$C:$C,$A47))</f>
        <v/>
      </c>
      <c r="E47" s="39" t="str">
        <f>IF($A47="","",SUMIFS(weekly_demand!$D:$D,weekly_demand!$A:$A,E$1,weekly_demand!$C:$C,$A47))</f>
        <v/>
      </c>
      <c r="F47" s="39" t="str">
        <f>IF($A47="","",SUMIFS(weekly_demand!$D:$D,weekly_demand!$A:$A,F$1,weekly_demand!$C:$C,$A47))</f>
        <v/>
      </c>
      <c r="G47" s="39" t="str">
        <f>IF($A47="","",SUMIFS(weekly_demand!$D:$D,weekly_demand!$A:$A,G$1,weekly_demand!$C:$C,$A47))</f>
        <v/>
      </c>
      <c r="H47" s="39" t="str">
        <f t="shared" si="4"/>
        <v/>
      </c>
      <c r="I47" s="39" t="str">
        <f t="shared" si="4"/>
        <v/>
      </c>
      <c r="J47" s="39" t="str">
        <f t="shared" si="4"/>
        <v/>
      </c>
      <c r="K47" s="39" t="str">
        <f t="shared" si="4"/>
        <v/>
      </c>
      <c r="L47" s="39" t="str">
        <f t="shared" si="4"/>
        <v/>
      </c>
      <c r="M47" s="39" t="str">
        <f t="shared" si="4"/>
        <v/>
      </c>
      <c r="N47" s="39" t="str">
        <f t="shared" si="4"/>
        <v/>
      </c>
      <c r="O47" s="39" t="str">
        <f t="shared" si="4"/>
        <v/>
      </c>
      <c r="P47" s="39" t="str">
        <f t="shared" si="4"/>
        <v/>
      </c>
      <c r="Q47" s="39" t="str">
        <f t="shared" si="4"/>
        <v/>
      </c>
      <c r="R47" s="39" t="str">
        <f t="shared" si="4"/>
        <v/>
      </c>
      <c r="S47" s="39" t="str">
        <f t="shared" si="4"/>
        <v/>
      </c>
      <c r="T47" s="39" t="str">
        <f t="shared" si="4"/>
        <v/>
      </c>
      <c r="U47" s="39" t="str">
        <f t="shared" si="4"/>
        <v/>
      </c>
      <c r="V47" s="39" t="str">
        <f t="shared" si="4"/>
        <v/>
      </c>
    </row>
    <row r="48" spans="1:22" x14ac:dyDescent="0.3">
      <c r="A48" s="38"/>
      <c r="B48" s="39" t="str">
        <f>IF($A48="","",SUMIFS(weekly_demand!$D:$D,weekly_demand!$A:$A,B$1,weekly_demand!$C:$C,$A48))</f>
        <v/>
      </c>
      <c r="C48" s="39" t="str">
        <f>IF($A48="","",SUMIFS(weekly_demand!$D:$D,weekly_demand!$A:$A,C$1,weekly_demand!$C:$C,$A48))</f>
        <v/>
      </c>
      <c r="D48" s="39" t="str">
        <f>IF($A48="","",SUMIFS(weekly_demand!$D:$D,weekly_demand!$A:$A,D$1,weekly_demand!$C:$C,$A48))</f>
        <v/>
      </c>
      <c r="E48" s="39" t="str">
        <f>IF($A48="","",SUMIFS(weekly_demand!$D:$D,weekly_demand!$A:$A,E$1,weekly_demand!$C:$C,$A48))</f>
        <v/>
      </c>
      <c r="F48" s="39" t="str">
        <f>IF($A48="","",SUMIFS(weekly_demand!$D:$D,weekly_demand!$A:$A,F$1,weekly_demand!$C:$C,$A48))</f>
        <v/>
      </c>
      <c r="G48" s="39" t="str">
        <f>IF($A48="","",SUMIFS(weekly_demand!$D:$D,weekly_demand!$A:$A,G$1,weekly_demand!$C:$C,$A48))</f>
        <v/>
      </c>
      <c r="H48" s="39" t="str">
        <f t="shared" si="4"/>
        <v/>
      </c>
      <c r="I48" s="39" t="str">
        <f t="shared" si="4"/>
        <v/>
      </c>
      <c r="J48" s="39" t="str">
        <f t="shared" si="4"/>
        <v/>
      </c>
      <c r="K48" s="39" t="str">
        <f t="shared" si="4"/>
        <v/>
      </c>
      <c r="L48" s="39" t="str">
        <f t="shared" si="4"/>
        <v/>
      </c>
      <c r="M48" s="39" t="str">
        <f t="shared" si="4"/>
        <v/>
      </c>
      <c r="N48" s="39" t="str">
        <f t="shared" si="4"/>
        <v/>
      </c>
      <c r="O48" s="39" t="str">
        <f t="shared" si="4"/>
        <v/>
      </c>
      <c r="P48" s="39" t="str">
        <f t="shared" si="4"/>
        <v/>
      </c>
      <c r="Q48" s="39" t="str">
        <f t="shared" si="4"/>
        <v/>
      </c>
      <c r="R48" s="39" t="str">
        <f t="shared" si="4"/>
        <v/>
      </c>
      <c r="S48" s="39" t="str">
        <f t="shared" si="4"/>
        <v/>
      </c>
      <c r="T48" s="39" t="str">
        <f t="shared" si="4"/>
        <v/>
      </c>
      <c r="U48" s="39" t="str">
        <f t="shared" si="4"/>
        <v/>
      </c>
      <c r="V48" s="39" t="str">
        <f t="shared" si="4"/>
        <v/>
      </c>
    </row>
    <row r="49" spans="1:22" x14ac:dyDescent="0.3">
      <c r="A49" s="38"/>
      <c r="B49" s="39" t="str">
        <f>IF($A49="","",SUMIFS(weekly_demand!$D:$D,weekly_demand!$A:$A,B$1,weekly_demand!$C:$C,$A49))</f>
        <v/>
      </c>
      <c r="C49" s="39" t="str">
        <f>IF($A49="","",SUMIFS(weekly_demand!$D:$D,weekly_demand!$A:$A,C$1,weekly_demand!$C:$C,$A49))</f>
        <v/>
      </c>
      <c r="D49" s="39" t="str">
        <f>IF($A49="","",SUMIFS(weekly_demand!$D:$D,weekly_demand!$A:$A,D$1,weekly_demand!$C:$C,$A49))</f>
        <v/>
      </c>
      <c r="E49" s="39" t="str">
        <f>IF($A49="","",SUMIFS(weekly_demand!$D:$D,weekly_demand!$A:$A,E$1,weekly_demand!$C:$C,$A49))</f>
        <v/>
      </c>
      <c r="F49" s="39" t="str">
        <f>IF($A49="","",SUMIFS(weekly_demand!$D:$D,weekly_demand!$A:$A,F$1,weekly_demand!$C:$C,$A49))</f>
        <v/>
      </c>
      <c r="G49" s="39" t="str">
        <f>IF($A49="","",SUMIFS(weekly_demand!$D:$D,weekly_demand!$A:$A,G$1,weekly_demand!$C:$C,$A49))</f>
        <v/>
      </c>
      <c r="H49" s="39" t="str">
        <f t="shared" si="4"/>
        <v/>
      </c>
      <c r="I49" s="39" t="str">
        <f t="shared" si="4"/>
        <v/>
      </c>
      <c r="J49" s="39" t="str">
        <f t="shared" si="4"/>
        <v/>
      </c>
      <c r="K49" s="39" t="str">
        <f t="shared" si="4"/>
        <v/>
      </c>
      <c r="L49" s="39" t="str">
        <f t="shared" si="4"/>
        <v/>
      </c>
      <c r="M49" s="39" t="str">
        <f t="shared" si="4"/>
        <v/>
      </c>
      <c r="N49" s="39" t="str">
        <f t="shared" si="4"/>
        <v/>
      </c>
      <c r="O49" s="39" t="str">
        <f t="shared" si="4"/>
        <v/>
      </c>
      <c r="P49" s="39" t="str">
        <f t="shared" si="4"/>
        <v/>
      </c>
      <c r="Q49" s="39" t="str">
        <f t="shared" si="4"/>
        <v/>
      </c>
      <c r="R49" s="39" t="str">
        <f t="shared" si="4"/>
        <v/>
      </c>
      <c r="S49" s="39" t="str">
        <f t="shared" si="4"/>
        <v/>
      </c>
      <c r="T49" s="39" t="str">
        <f t="shared" si="4"/>
        <v/>
      </c>
      <c r="U49" s="39" t="str">
        <f t="shared" si="4"/>
        <v/>
      </c>
      <c r="V49" s="39" t="str">
        <f t="shared" si="4"/>
        <v/>
      </c>
    </row>
    <row r="50" spans="1:22" x14ac:dyDescent="0.3">
      <c r="A50" s="38"/>
      <c r="B50" s="39" t="str">
        <f>IF($A50="","",SUMIFS(weekly_demand!$D:$D,weekly_demand!$A:$A,B$1,weekly_demand!$C:$C,$A50))</f>
        <v/>
      </c>
      <c r="C50" s="39" t="str">
        <f>IF($A50="","",SUMIFS(weekly_demand!$D:$D,weekly_demand!$A:$A,C$1,weekly_demand!$C:$C,$A50))</f>
        <v/>
      </c>
      <c r="D50" s="39" t="str">
        <f>IF($A50="","",SUMIFS(weekly_demand!$D:$D,weekly_demand!$A:$A,D$1,weekly_demand!$C:$C,$A50))</f>
        <v/>
      </c>
      <c r="E50" s="39" t="str">
        <f>IF($A50="","",SUMIFS(weekly_demand!$D:$D,weekly_demand!$A:$A,E$1,weekly_demand!$C:$C,$A50))</f>
        <v/>
      </c>
      <c r="F50" s="39" t="str">
        <f>IF($A50="","",SUMIFS(weekly_demand!$D:$D,weekly_demand!$A:$A,F$1,weekly_demand!$C:$C,$A50))</f>
        <v/>
      </c>
      <c r="G50" s="39" t="str">
        <f>IF($A50="","",SUMIFS(weekly_demand!$D:$D,weekly_demand!$A:$A,G$1,weekly_demand!$C:$C,$A50))</f>
        <v/>
      </c>
      <c r="H50" s="39" t="str">
        <f t="shared" si="4"/>
        <v/>
      </c>
      <c r="I50" s="39" t="str">
        <f t="shared" si="4"/>
        <v/>
      </c>
      <c r="J50" s="39" t="str">
        <f t="shared" si="4"/>
        <v/>
      </c>
      <c r="K50" s="39" t="str">
        <f t="shared" si="4"/>
        <v/>
      </c>
      <c r="L50" s="39" t="str">
        <f t="shared" si="4"/>
        <v/>
      </c>
      <c r="M50" s="39" t="str">
        <f t="shared" si="4"/>
        <v/>
      </c>
      <c r="N50" s="39" t="str">
        <f t="shared" si="4"/>
        <v/>
      </c>
      <c r="O50" s="39" t="str">
        <f t="shared" si="4"/>
        <v/>
      </c>
      <c r="P50" s="39" t="str">
        <f t="shared" si="4"/>
        <v/>
      </c>
      <c r="Q50" s="39" t="str">
        <f t="shared" si="4"/>
        <v/>
      </c>
      <c r="R50" s="39" t="str">
        <f t="shared" si="4"/>
        <v/>
      </c>
      <c r="S50" s="39" t="str">
        <f t="shared" si="4"/>
        <v/>
      </c>
      <c r="T50" s="39" t="str">
        <f t="shared" si="4"/>
        <v/>
      </c>
      <c r="U50" s="39" t="str">
        <f t="shared" si="4"/>
        <v/>
      </c>
      <c r="V50" s="39" t="str">
        <f t="shared" si="4"/>
        <v/>
      </c>
    </row>
    <row r="51" spans="1:22" x14ac:dyDescent="0.3">
      <c r="A51" s="38"/>
      <c r="B51" s="39" t="str">
        <f>IF($A51="","",SUMIFS(weekly_demand!$D:$D,weekly_demand!$A:$A,B$1,weekly_demand!$C:$C,$A51))</f>
        <v/>
      </c>
      <c r="C51" s="39" t="str">
        <f>IF($A51="","",SUMIFS(weekly_demand!$D:$D,weekly_demand!$A:$A,C$1,weekly_demand!$C:$C,$A51))</f>
        <v/>
      </c>
      <c r="D51" s="39" t="str">
        <f>IF($A51="","",SUMIFS(weekly_demand!$D:$D,weekly_demand!$A:$A,D$1,weekly_demand!$C:$C,$A51))</f>
        <v/>
      </c>
      <c r="E51" s="39" t="str">
        <f>IF($A51="","",SUMIFS(weekly_demand!$D:$D,weekly_demand!$A:$A,E$1,weekly_demand!$C:$C,$A51))</f>
        <v/>
      </c>
      <c r="F51" s="39" t="str">
        <f>IF($A51="","",SUMIFS(weekly_demand!$D:$D,weekly_demand!$A:$A,F$1,weekly_demand!$C:$C,$A51))</f>
        <v/>
      </c>
      <c r="G51" s="39" t="str">
        <f>IF($A51="","",SUMIFS(weekly_demand!$D:$D,weekly_demand!$A:$A,G$1,weekly_demand!$C:$C,$A51))</f>
        <v/>
      </c>
      <c r="H51" s="39" t="str">
        <f t="shared" si="4"/>
        <v/>
      </c>
      <c r="I51" s="39" t="str">
        <f t="shared" si="4"/>
        <v/>
      </c>
      <c r="J51" s="39" t="str">
        <f t="shared" si="4"/>
        <v/>
      </c>
      <c r="K51" s="39" t="str">
        <f t="shared" si="4"/>
        <v/>
      </c>
      <c r="L51" s="39" t="str">
        <f t="shared" si="4"/>
        <v/>
      </c>
      <c r="M51" s="39" t="str">
        <f t="shared" si="4"/>
        <v/>
      </c>
      <c r="N51" s="39" t="str">
        <f t="shared" si="4"/>
        <v/>
      </c>
      <c r="O51" s="39" t="str">
        <f t="shared" si="4"/>
        <v/>
      </c>
      <c r="P51" s="39" t="str">
        <f t="shared" si="4"/>
        <v/>
      </c>
      <c r="Q51" s="39" t="str">
        <f t="shared" si="4"/>
        <v/>
      </c>
      <c r="R51" s="39" t="str">
        <f t="shared" si="4"/>
        <v/>
      </c>
      <c r="S51" s="39" t="str">
        <f t="shared" si="4"/>
        <v/>
      </c>
      <c r="T51" s="39" t="str">
        <f t="shared" si="4"/>
        <v/>
      </c>
      <c r="U51" s="39" t="str">
        <f t="shared" si="4"/>
        <v/>
      </c>
      <c r="V51" s="39" t="str">
        <f t="shared" si="4"/>
        <v/>
      </c>
    </row>
    <row r="52" spans="1:22" x14ac:dyDescent="0.3">
      <c r="A52" s="38"/>
      <c r="B52" s="39" t="str">
        <f>IF($A52="","",SUMIFS(weekly_demand!$D:$D,weekly_demand!$A:$A,B$1,weekly_demand!$C:$C,$A52))</f>
        <v/>
      </c>
      <c r="C52" s="39" t="str">
        <f>IF($A52="","",SUMIFS(weekly_demand!$D:$D,weekly_demand!$A:$A,C$1,weekly_demand!$C:$C,$A52))</f>
        <v/>
      </c>
      <c r="D52" s="39" t="str">
        <f>IF($A52="","",SUMIFS(weekly_demand!$D:$D,weekly_demand!$A:$A,D$1,weekly_demand!$C:$C,$A52))</f>
        <v/>
      </c>
      <c r="E52" s="39" t="str">
        <f>IF($A52="","",SUMIFS(weekly_demand!$D:$D,weekly_demand!$A:$A,E$1,weekly_demand!$C:$C,$A52))</f>
        <v/>
      </c>
      <c r="F52" s="39" t="str">
        <f>IF($A52="","",SUMIFS(weekly_demand!$D:$D,weekly_demand!$A:$A,F$1,weekly_demand!$C:$C,$A52))</f>
        <v/>
      </c>
      <c r="G52" s="39" t="str">
        <f>IF($A52="","",SUMIFS(weekly_demand!$D:$D,weekly_demand!$A:$A,G$1,weekly_demand!$C:$C,$A52))</f>
        <v/>
      </c>
      <c r="H52" s="39" t="str">
        <f t="shared" ref="H52:V61" si="5">IF($A52="","",SUMPRODUCT($B52:$G52,INDEX($Y$2:$AD$16,MATCH(H$1,$X$2:$X$16,0),0)))</f>
        <v/>
      </c>
      <c r="I52" s="39" t="str">
        <f t="shared" si="5"/>
        <v/>
      </c>
      <c r="J52" s="39" t="str">
        <f t="shared" si="5"/>
        <v/>
      </c>
      <c r="K52" s="39" t="str">
        <f t="shared" si="5"/>
        <v/>
      </c>
      <c r="L52" s="39" t="str">
        <f t="shared" si="5"/>
        <v/>
      </c>
      <c r="M52" s="39" t="str">
        <f t="shared" si="5"/>
        <v/>
      </c>
      <c r="N52" s="39" t="str">
        <f t="shared" si="5"/>
        <v/>
      </c>
      <c r="O52" s="39" t="str">
        <f t="shared" si="5"/>
        <v/>
      </c>
      <c r="P52" s="39" t="str">
        <f t="shared" si="5"/>
        <v/>
      </c>
      <c r="Q52" s="39" t="str">
        <f t="shared" si="5"/>
        <v/>
      </c>
      <c r="R52" s="39" t="str">
        <f t="shared" si="5"/>
        <v/>
      </c>
      <c r="S52" s="39" t="str">
        <f t="shared" si="5"/>
        <v/>
      </c>
      <c r="T52" s="39" t="str">
        <f t="shared" si="5"/>
        <v/>
      </c>
      <c r="U52" s="39" t="str">
        <f t="shared" si="5"/>
        <v/>
      </c>
      <c r="V52" s="39" t="str">
        <f t="shared" si="5"/>
        <v/>
      </c>
    </row>
    <row r="53" spans="1:22" x14ac:dyDescent="0.3">
      <c r="A53" s="38"/>
      <c r="B53" s="39" t="str">
        <f>IF($A53="","",SUMIFS(weekly_demand!$D:$D,weekly_demand!$A:$A,B$1,weekly_demand!$C:$C,$A53))</f>
        <v/>
      </c>
      <c r="C53" s="39" t="str">
        <f>IF($A53="","",SUMIFS(weekly_demand!$D:$D,weekly_demand!$A:$A,C$1,weekly_demand!$C:$C,$A53))</f>
        <v/>
      </c>
      <c r="D53" s="39" t="str">
        <f>IF($A53="","",SUMIFS(weekly_demand!$D:$D,weekly_demand!$A:$A,D$1,weekly_demand!$C:$C,$A53))</f>
        <v/>
      </c>
      <c r="E53" s="39" t="str">
        <f>IF($A53="","",SUMIFS(weekly_demand!$D:$D,weekly_demand!$A:$A,E$1,weekly_demand!$C:$C,$A53))</f>
        <v/>
      </c>
      <c r="F53" s="39" t="str">
        <f>IF($A53="","",SUMIFS(weekly_demand!$D:$D,weekly_demand!$A:$A,F$1,weekly_demand!$C:$C,$A53))</f>
        <v/>
      </c>
      <c r="G53" s="39" t="str">
        <f>IF($A53="","",SUMIFS(weekly_demand!$D:$D,weekly_demand!$A:$A,G$1,weekly_demand!$C:$C,$A53))</f>
        <v/>
      </c>
      <c r="H53" s="39" t="str">
        <f t="shared" si="5"/>
        <v/>
      </c>
      <c r="I53" s="39" t="str">
        <f t="shared" si="5"/>
        <v/>
      </c>
      <c r="J53" s="39" t="str">
        <f t="shared" si="5"/>
        <v/>
      </c>
      <c r="K53" s="39" t="str">
        <f t="shared" si="5"/>
        <v/>
      </c>
      <c r="L53" s="39" t="str">
        <f t="shared" si="5"/>
        <v/>
      </c>
      <c r="M53" s="39" t="str">
        <f t="shared" si="5"/>
        <v/>
      </c>
      <c r="N53" s="39" t="str">
        <f t="shared" si="5"/>
        <v/>
      </c>
      <c r="O53" s="39" t="str">
        <f t="shared" si="5"/>
        <v/>
      </c>
      <c r="P53" s="39" t="str">
        <f t="shared" si="5"/>
        <v/>
      </c>
      <c r="Q53" s="39" t="str">
        <f t="shared" si="5"/>
        <v/>
      </c>
      <c r="R53" s="39" t="str">
        <f t="shared" si="5"/>
        <v/>
      </c>
      <c r="S53" s="39" t="str">
        <f t="shared" si="5"/>
        <v/>
      </c>
      <c r="T53" s="39" t="str">
        <f t="shared" si="5"/>
        <v/>
      </c>
      <c r="U53" s="39" t="str">
        <f t="shared" si="5"/>
        <v/>
      </c>
      <c r="V53" s="39" t="str">
        <f t="shared" si="5"/>
        <v/>
      </c>
    </row>
    <row r="54" spans="1:22" x14ac:dyDescent="0.3">
      <c r="A54" s="38"/>
      <c r="B54" s="39" t="str">
        <f>IF($A54="","",SUMIFS(weekly_demand!$D:$D,weekly_demand!$A:$A,B$1,weekly_demand!$C:$C,$A54))</f>
        <v/>
      </c>
      <c r="C54" s="39" t="str">
        <f>IF($A54="","",SUMIFS(weekly_demand!$D:$D,weekly_demand!$A:$A,C$1,weekly_demand!$C:$C,$A54))</f>
        <v/>
      </c>
      <c r="D54" s="39" t="str">
        <f>IF($A54="","",SUMIFS(weekly_demand!$D:$D,weekly_demand!$A:$A,D$1,weekly_demand!$C:$C,$A54))</f>
        <v/>
      </c>
      <c r="E54" s="39" t="str">
        <f>IF($A54="","",SUMIFS(weekly_demand!$D:$D,weekly_demand!$A:$A,E$1,weekly_demand!$C:$C,$A54))</f>
        <v/>
      </c>
      <c r="F54" s="39" t="str">
        <f>IF($A54="","",SUMIFS(weekly_demand!$D:$D,weekly_demand!$A:$A,F$1,weekly_demand!$C:$C,$A54))</f>
        <v/>
      </c>
      <c r="G54" s="39" t="str">
        <f>IF($A54="","",SUMIFS(weekly_demand!$D:$D,weekly_demand!$A:$A,G$1,weekly_demand!$C:$C,$A54))</f>
        <v/>
      </c>
      <c r="H54" s="39" t="str">
        <f t="shared" si="5"/>
        <v/>
      </c>
      <c r="I54" s="39" t="str">
        <f t="shared" si="5"/>
        <v/>
      </c>
      <c r="J54" s="39" t="str">
        <f t="shared" si="5"/>
        <v/>
      </c>
      <c r="K54" s="39" t="str">
        <f t="shared" si="5"/>
        <v/>
      </c>
      <c r="L54" s="39" t="str">
        <f t="shared" si="5"/>
        <v/>
      </c>
      <c r="M54" s="39" t="str">
        <f t="shared" si="5"/>
        <v/>
      </c>
      <c r="N54" s="39" t="str">
        <f t="shared" si="5"/>
        <v/>
      </c>
      <c r="O54" s="39" t="str">
        <f t="shared" si="5"/>
        <v/>
      </c>
      <c r="P54" s="39" t="str">
        <f t="shared" si="5"/>
        <v/>
      </c>
      <c r="Q54" s="39" t="str">
        <f t="shared" si="5"/>
        <v/>
      </c>
      <c r="R54" s="39" t="str">
        <f t="shared" si="5"/>
        <v/>
      </c>
      <c r="S54" s="39" t="str">
        <f t="shared" si="5"/>
        <v/>
      </c>
      <c r="T54" s="39" t="str">
        <f t="shared" si="5"/>
        <v/>
      </c>
      <c r="U54" s="39" t="str">
        <f t="shared" si="5"/>
        <v/>
      </c>
      <c r="V54" s="39" t="str">
        <f t="shared" si="5"/>
        <v/>
      </c>
    </row>
    <row r="55" spans="1:22" x14ac:dyDescent="0.3">
      <c r="A55" s="38"/>
      <c r="B55" s="39" t="str">
        <f>IF($A55="","",SUMIFS(weekly_demand!$D:$D,weekly_demand!$A:$A,B$1,weekly_demand!$C:$C,$A55))</f>
        <v/>
      </c>
      <c r="C55" s="39" t="str">
        <f>IF($A55="","",SUMIFS(weekly_demand!$D:$D,weekly_demand!$A:$A,C$1,weekly_demand!$C:$C,$A55))</f>
        <v/>
      </c>
      <c r="D55" s="39" t="str">
        <f>IF($A55="","",SUMIFS(weekly_demand!$D:$D,weekly_demand!$A:$A,D$1,weekly_demand!$C:$C,$A55))</f>
        <v/>
      </c>
      <c r="E55" s="39" t="str">
        <f>IF($A55="","",SUMIFS(weekly_demand!$D:$D,weekly_demand!$A:$A,E$1,weekly_demand!$C:$C,$A55))</f>
        <v/>
      </c>
      <c r="F55" s="39" t="str">
        <f>IF($A55="","",SUMIFS(weekly_demand!$D:$D,weekly_demand!$A:$A,F$1,weekly_demand!$C:$C,$A55))</f>
        <v/>
      </c>
      <c r="G55" s="39" t="str">
        <f>IF($A55="","",SUMIFS(weekly_demand!$D:$D,weekly_demand!$A:$A,G$1,weekly_demand!$C:$C,$A55))</f>
        <v/>
      </c>
      <c r="H55" s="39" t="str">
        <f t="shared" si="5"/>
        <v/>
      </c>
      <c r="I55" s="39" t="str">
        <f t="shared" si="5"/>
        <v/>
      </c>
      <c r="J55" s="39" t="str">
        <f t="shared" si="5"/>
        <v/>
      </c>
      <c r="K55" s="39" t="str">
        <f t="shared" si="5"/>
        <v/>
      </c>
      <c r="L55" s="39" t="str">
        <f t="shared" si="5"/>
        <v/>
      </c>
      <c r="M55" s="39" t="str">
        <f t="shared" si="5"/>
        <v/>
      </c>
      <c r="N55" s="39" t="str">
        <f t="shared" si="5"/>
        <v/>
      </c>
      <c r="O55" s="39" t="str">
        <f t="shared" si="5"/>
        <v/>
      </c>
      <c r="P55" s="39" t="str">
        <f t="shared" si="5"/>
        <v/>
      </c>
      <c r="Q55" s="39" t="str">
        <f t="shared" si="5"/>
        <v/>
      </c>
      <c r="R55" s="39" t="str">
        <f t="shared" si="5"/>
        <v/>
      </c>
      <c r="S55" s="39" t="str">
        <f t="shared" si="5"/>
        <v/>
      </c>
      <c r="T55" s="39" t="str">
        <f t="shared" si="5"/>
        <v/>
      </c>
      <c r="U55" s="39" t="str">
        <f t="shared" si="5"/>
        <v/>
      </c>
      <c r="V55" s="39" t="str">
        <f t="shared" si="5"/>
        <v/>
      </c>
    </row>
    <row r="56" spans="1:22" x14ac:dyDescent="0.3">
      <c r="A56" s="38"/>
      <c r="B56" s="39" t="str">
        <f>IF($A56="","",SUMIFS(weekly_demand!$D:$D,weekly_demand!$A:$A,B$1,weekly_demand!$C:$C,$A56))</f>
        <v/>
      </c>
      <c r="C56" s="39" t="str">
        <f>IF($A56="","",SUMIFS(weekly_demand!$D:$D,weekly_demand!$A:$A,C$1,weekly_demand!$C:$C,$A56))</f>
        <v/>
      </c>
      <c r="D56" s="39" t="str">
        <f>IF($A56="","",SUMIFS(weekly_demand!$D:$D,weekly_demand!$A:$A,D$1,weekly_demand!$C:$C,$A56))</f>
        <v/>
      </c>
      <c r="E56" s="39" t="str">
        <f>IF($A56="","",SUMIFS(weekly_demand!$D:$D,weekly_demand!$A:$A,E$1,weekly_demand!$C:$C,$A56))</f>
        <v/>
      </c>
      <c r="F56" s="39" t="str">
        <f>IF($A56="","",SUMIFS(weekly_demand!$D:$D,weekly_demand!$A:$A,F$1,weekly_demand!$C:$C,$A56))</f>
        <v/>
      </c>
      <c r="G56" s="39" t="str">
        <f>IF($A56="","",SUMIFS(weekly_demand!$D:$D,weekly_demand!$A:$A,G$1,weekly_demand!$C:$C,$A56))</f>
        <v/>
      </c>
      <c r="H56" s="39" t="str">
        <f t="shared" si="5"/>
        <v/>
      </c>
      <c r="I56" s="39" t="str">
        <f t="shared" si="5"/>
        <v/>
      </c>
      <c r="J56" s="39" t="str">
        <f t="shared" si="5"/>
        <v/>
      </c>
      <c r="K56" s="39" t="str">
        <f t="shared" si="5"/>
        <v/>
      </c>
      <c r="L56" s="39" t="str">
        <f t="shared" si="5"/>
        <v/>
      </c>
      <c r="M56" s="39" t="str">
        <f t="shared" si="5"/>
        <v/>
      </c>
      <c r="N56" s="39" t="str">
        <f t="shared" si="5"/>
        <v/>
      </c>
      <c r="O56" s="39" t="str">
        <f t="shared" si="5"/>
        <v/>
      </c>
      <c r="P56" s="39" t="str">
        <f t="shared" si="5"/>
        <v/>
      </c>
      <c r="Q56" s="39" t="str">
        <f t="shared" si="5"/>
        <v/>
      </c>
      <c r="R56" s="39" t="str">
        <f t="shared" si="5"/>
        <v/>
      </c>
      <c r="S56" s="39" t="str">
        <f t="shared" si="5"/>
        <v/>
      </c>
      <c r="T56" s="39" t="str">
        <f t="shared" si="5"/>
        <v/>
      </c>
      <c r="U56" s="39" t="str">
        <f t="shared" si="5"/>
        <v/>
      </c>
      <c r="V56" s="39" t="str">
        <f t="shared" si="5"/>
        <v/>
      </c>
    </row>
    <row r="57" spans="1:22" x14ac:dyDescent="0.3">
      <c r="A57" s="38"/>
      <c r="B57" s="39" t="str">
        <f>IF($A57="","",SUMIFS(weekly_demand!$D:$D,weekly_demand!$A:$A,B$1,weekly_demand!$C:$C,$A57))</f>
        <v/>
      </c>
      <c r="C57" s="39" t="str">
        <f>IF($A57="","",SUMIFS(weekly_demand!$D:$D,weekly_demand!$A:$A,C$1,weekly_demand!$C:$C,$A57))</f>
        <v/>
      </c>
      <c r="D57" s="39" t="str">
        <f>IF($A57="","",SUMIFS(weekly_demand!$D:$D,weekly_demand!$A:$A,D$1,weekly_demand!$C:$C,$A57))</f>
        <v/>
      </c>
      <c r="E57" s="39" t="str">
        <f>IF($A57="","",SUMIFS(weekly_demand!$D:$D,weekly_demand!$A:$A,E$1,weekly_demand!$C:$C,$A57))</f>
        <v/>
      </c>
      <c r="F57" s="39" t="str">
        <f>IF($A57="","",SUMIFS(weekly_demand!$D:$D,weekly_demand!$A:$A,F$1,weekly_demand!$C:$C,$A57))</f>
        <v/>
      </c>
      <c r="G57" s="39" t="str">
        <f>IF($A57="","",SUMIFS(weekly_demand!$D:$D,weekly_demand!$A:$A,G$1,weekly_demand!$C:$C,$A57))</f>
        <v/>
      </c>
      <c r="H57" s="39" t="str">
        <f t="shared" si="5"/>
        <v/>
      </c>
      <c r="I57" s="39" t="str">
        <f t="shared" si="5"/>
        <v/>
      </c>
      <c r="J57" s="39" t="str">
        <f t="shared" si="5"/>
        <v/>
      </c>
      <c r="K57" s="39" t="str">
        <f t="shared" si="5"/>
        <v/>
      </c>
      <c r="L57" s="39" t="str">
        <f t="shared" si="5"/>
        <v/>
      </c>
      <c r="M57" s="39" t="str">
        <f t="shared" si="5"/>
        <v/>
      </c>
      <c r="N57" s="39" t="str">
        <f t="shared" si="5"/>
        <v/>
      </c>
      <c r="O57" s="39" t="str">
        <f t="shared" si="5"/>
        <v/>
      </c>
      <c r="P57" s="39" t="str">
        <f t="shared" si="5"/>
        <v/>
      </c>
      <c r="Q57" s="39" t="str">
        <f t="shared" si="5"/>
        <v/>
      </c>
      <c r="R57" s="39" t="str">
        <f t="shared" si="5"/>
        <v/>
      </c>
      <c r="S57" s="39" t="str">
        <f t="shared" si="5"/>
        <v/>
      </c>
      <c r="T57" s="39" t="str">
        <f t="shared" si="5"/>
        <v/>
      </c>
      <c r="U57" s="39" t="str">
        <f t="shared" si="5"/>
        <v/>
      </c>
      <c r="V57" s="39" t="str">
        <f t="shared" si="5"/>
        <v/>
      </c>
    </row>
    <row r="58" spans="1:22" x14ac:dyDescent="0.3">
      <c r="A58" s="38"/>
      <c r="B58" s="39" t="str">
        <f>IF($A58="","",SUMIFS(weekly_demand!$D:$D,weekly_demand!$A:$A,B$1,weekly_demand!$C:$C,$A58))</f>
        <v/>
      </c>
      <c r="C58" s="39" t="str">
        <f>IF($A58="","",SUMIFS(weekly_demand!$D:$D,weekly_demand!$A:$A,C$1,weekly_demand!$C:$C,$A58))</f>
        <v/>
      </c>
      <c r="D58" s="39" t="str">
        <f>IF($A58="","",SUMIFS(weekly_demand!$D:$D,weekly_demand!$A:$A,D$1,weekly_demand!$C:$C,$A58))</f>
        <v/>
      </c>
      <c r="E58" s="39" t="str">
        <f>IF($A58="","",SUMIFS(weekly_demand!$D:$D,weekly_demand!$A:$A,E$1,weekly_demand!$C:$C,$A58))</f>
        <v/>
      </c>
      <c r="F58" s="39" t="str">
        <f>IF($A58="","",SUMIFS(weekly_demand!$D:$D,weekly_demand!$A:$A,F$1,weekly_demand!$C:$C,$A58))</f>
        <v/>
      </c>
      <c r="G58" s="39" t="str">
        <f>IF($A58="","",SUMIFS(weekly_demand!$D:$D,weekly_demand!$A:$A,G$1,weekly_demand!$C:$C,$A58))</f>
        <v/>
      </c>
      <c r="H58" s="39" t="str">
        <f t="shared" si="5"/>
        <v/>
      </c>
      <c r="I58" s="39" t="str">
        <f t="shared" si="5"/>
        <v/>
      </c>
      <c r="J58" s="39" t="str">
        <f t="shared" si="5"/>
        <v/>
      </c>
      <c r="K58" s="39" t="str">
        <f t="shared" si="5"/>
        <v/>
      </c>
      <c r="L58" s="39" t="str">
        <f t="shared" si="5"/>
        <v/>
      </c>
      <c r="M58" s="39" t="str">
        <f t="shared" si="5"/>
        <v/>
      </c>
      <c r="N58" s="39" t="str">
        <f t="shared" si="5"/>
        <v/>
      </c>
      <c r="O58" s="39" t="str">
        <f t="shared" si="5"/>
        <v/>
      </c>
      <c r="P58" s="39" t="str">
        <f t="shared" si="5"/>
        <v/>
      </c>
      <c r="Q58" s="39" t="str">
        <f t="shared" si="5"/>
        <v/>
      </c>
      <c r="R58" s="39" t="str">
        <f t="shared" si="5"/>
        <v/>
      </c>
      <c r="S58" s="39" t="str">
        <f t="shared" si="5"/>
        <v/>
      </c>
      <c r="T58" s="39" t="str">
        <f t="shared" si="5"/>
        <v/>
      </c>
      <c r="U58" s="39" t="str">
        <f t="shared" si="5"/>
        <v/>
      </c>
      <c r="V58" s="39" t="str">
        <f t="shared" si="5"/>
        <v/>
      </c>
    </row>
    <row r="59" spans="1:22" x14ac:dyDescent="0.3">
      <c r="A59" s="38"/>
      <c r="B59" s="39" t="str">
        <f>IF($A59="","",SUMIFS(weekly_demand!$D:$D,weekly_demand!$A:$A,B$1,weekly_demand!$C:$C,$A59))</f>
        <v/>
      </c>
      <c r="C59" s="39" t="str">
        <f>IF($A59="","",SUMIFS(weekly_demand!$D:$D,weekly_demand!$A:$A,C$1,weekly_demand!$C:$C,$A59))</f>
        <v/>
      </c>
      <c r="D59" s="39" t="str">
        <f>IF($A59="","",SUMIFS(weekly_demand!$D:$D,weekly_demand!$A:$A,D$1,weekly_demand!$C:$C,$A59))</f>
        <v/>
      </c>
      <c r="E59" s="39" t="str">
        <f>IF($A59="","",SUMIFS(weekly_demand!$D:$D,weekly_demand!$A:$A,E$1,weekly_demand!$C:$C,$A59))</f>
        <v/>
      </c>
      <c r="F59" s="39" t="str">
        <f>IF($A59="","",SUMIFS(weekly_demand!$D:$D,weekly_demand!$A:$A,F$1,weekly_demand!$C:$C,$A59))</f>
        <v/>
      </c>
      <c r="G59" s="39" t="str">
        <f>IF($A59="","",SUMIFS(weekly_demand!$D:$D,weekly_demand!$A:$A,G$1,weekly_demand!$C:$C,$A59))</f>
        <v/>
      </c>
      <c r="H59" s="39" t="str">
        <f t="shared" si="5"/>
        <v/>
      </c>
      <c r="I59" s="39" t="str">
        <f t="shared" si="5"/>
        <v/>
      </c>
      <c r="J59" s="39" t="str">
        <f t="shared" si="5"/>
        <v/>
      </c>
      <c r="K59" s="39" t="str">
        <f t="shared" si="5"/>
        <v/>
      </c>
      <c r="L59" s="39" t="str">
        <f t="shared" si="5"/>
        <v/>
      </c>
      <c r="M59" s="39" t="str">
        <f t="shared" si="5"/>
        <v/>
      </c>
      <c r="N59" s="39" t="str">
        <f t="shared" si="5"/>
        <v/>
      </c>
      <c r="O59" s="39" t="str">
        <f t="shared" si="5"/>
        <v/>
      </c>
      <c r="P59" s="39" t="str">
        <f t="shared" si="5"/>
        <v/>
      </c>
      <c r="Q59" s="39" t="str">
        <f t="shared" si="5"/>
        <v/>
      </c>
      <c r="R59" s="39" t="str">
        <f t="shared" si="5"/>
        <v/>
      </c>
      <c r="S59" s="39" t="str">
        <f t="shared" si="5"/>
        <v/>
      </c>
      <c r="T59" s="39" t="str">
        <f t="shared" si="5"/>
        <v/>
      </c>
      <c r="U59" s="39" t="str">
        <f t="shared" si="5"/>
        <v/>
      </c>
      <c r="V59" s="39" t="str">
        <f t="shared" si="5"/>
        <v/>
      </c>
    </row>
    <row r="60" spans="1:22" x14ac:dyDescent="0.3">
      <c r="A60" s="38"/>
      <c r="B60" s="39" t="str">
        <f>IF($A60="","",SUMIFS(weekly_demand!$D:$D,weekly_demand!$A:$A,B$1,weekly_demand!$C:$C,$A60))</f>
        <v/>
      </c>
      <c r="C60" s="39" t="str">
        <f>IF($A60="","",SUMIFS(weekly_demand!$D:$D,weekly_demand!$A:$A,C$1,weekly_demand!$C:$C,$A60))</f>
        <v/>
      </c>
      <c r="D60" s="39" t="str">
        <f>IF($A60="","",SUMIFS(weekly_demand!$D:$D,weekly_demand!$A:$A,D$1,weekly_demand!$C:$C,$A60))</f>
        <v/>
      </c>
      <c r="E60" s="39" t="str">
        <f>IF($A60="","",SUMIFS(weekly_demand!$D:$D,weekly_demand!$A:$A,E$1,weekly_demand!$C:$C,$A60))</f>
        <v/>
      </c>
      <c r="F60" s="39" t="str">
        <f>IF($A60="","",SUMIFS(weekly_demand!$D:$D,weekly_demand!$A:$A,F$1,weekly_demand!$C:$C,$A60))</f>
        <v/>
      </c>
      <c r="G60" s="39" t="str">
        <f>IF($A60="","",SUMIFS(weekly_demand!$D:$D,weekly_demand!$A:$A,G$1,weekly_demand!$C:$C,$A60))</f>
        <v/>
      </c>
      <c r="H60" s="39" t="str">
        <f t="shared" si="5"/>
        <v/>
      </c>
      <c r="I60" s="39" t="str">
        <f t="shared" si="5"/>
        <v/>
      </c>
      <c r="J60" s="39" t="str">
        <f t="shared" si="5"/>
        <v/>
      </c>
      <c r="K60" s="39" t="str">
        <f t="shared" si="5"/>
        <v/>
      </c>
      <c r="L60" s="39" t="str">
        <f t="shared" si="5"/>
        <v/>
      </c>
      <c r="M60" s="39" t="str">
        <f t="shared" si="5"/>
        <v/>
      </c>
      <c r="N60" s="39" t="str">
        <f t="shared" si="5"/>
        <v/>
      </c>
      <c r="O60" s="39" t="str">
        <f t="shared" si="5"/>
        <v/>
      </c>
      <c r="P60" s="39" t="str">
        <f t="shared" si="5"/>
        <v/>
      </c>
      <c r="Q60" s="39" t="str">
        <f t="shared" si="5"/>
        <v/>
      </c>
      <c r="R60" s="39" t="str">
        <f t="shared" si="5"/>
        <v/>
      </c>
      <c r="S60" s="39" t="str">
        <f t="shared" si="5"/>
        <v/>
      </c>
      <c r="T60" s="39" t="str">
        <f t="shared" si="5"/>
        <v/>
      </c>
      <c r="U60" s="39" t="str">
        <f t="shared" si="5"/>
        <v/>
      </c>
      <c r="V60" s="39" t="str">
        <f t="shared" si="5"/>
        <v/>
      </c>
    </row>
    <row r="61" spans="1:22" x14ac:dyDescent="0.3">
      <c r="A61" s="38"/>
      <c r="B61" s="39" t="str">
        <f>IF($A61="","",SUMIFS(weekly_demand!$D:$D,weekly_demand!$A:$A,B$1,weekly_demand!$C:$C,$A61))</f>
        <v/>
      </c>
      <c r="C61" s="39" t="str">
        <f>IF($A61="","",SUMIFS(weekly_demand!$D:$D,weekly_demand!$A:$A,C$1,weekly_demand!$C:$C,$A61))</f>
        <v/>
      </c>
      <c r="D61" s="39" t="str">
        <f>IF($A61="","",SUMIFS(weekly_demand!$D:$D,weekly_demand!$A:$A,D$1,weekly_demand!$C:$C,$A61))</f>
        <v/>
      </c>
      <c r="E61" s="39" t="str">
        <f>IF($A61="","",SUMIFS(weekly_demand!$D:$D,weekly_demand!$A:$A,E$1,weekly_demand!$C:$C,$A61))</f>
        <v/>
      </c>
      <c r="F61" s="39" t="str">
        <f>IF($A61="","",SUMIFS(weekly_demand!$D:$D,weekly_demand!$A:$A,F$1,weekly_demand!$C:$C,$A61))</f>
        <v/>
      </c>
      <c r="G61" s="39" t="str">
        <f>IF($A61="","",SUMIFS(weekly_demand!$D:$D,weekly_demand!$A:$A,G$1,weekly_demand!$C:$C,$A61))</f>
        <v/>
      </c>
      <c r="H61" s="39" t="str">
        <f t="shared" si="5"/>
        <v/>
      </c>
      <c r="I61" s="39" t="str">
        <f t="shared" si="5"/>
        <v/>
      </c>
      <c r="J61" s="39" t="str">
        <f t="shared" si="5"/>
        <v/>
      </c>
      <c r="K61" s="39" t="str">
        <f t="shared" si="5"/>
        <v/>
      </c>
      <c r="L61" s="39" t="str">
        <f t="shared" si="5"/>
        <v/>
      </c>
      <c r="M61" s="39" t="str">
        <f t="shared" si="5"/>
        <v/>
      </c>
      <c r="N61" s="39" t="str">
        <f t="shared" si="5"/>
        <v/>
      </c>
      <c r="O61" s="39" t="str">
        <f t="shared" si="5"/>
        <v/>
      </c>
      <c r="P61" s="39" t="str">
        <f t="shared" si="5"/>
        <v/>
      </c>
      <c r="Q61" s="39" t="str">
        <f t="shared" si="5"/>
        <v/>
      </c>
      <c r="R61" s="39" t="str">
        <f t="shared" si="5"/>
        <v/>
      </c>
      <c r="S61" s="39" t="str">
        <f t="shared" si="5"/>
        <v/>
      </c>
      <c r="T61" s="39" t="str">
        <f t="shared" si="5"/>
        <v/>
      </c>
      <c r="U61" s="39" t="str">
        <f t="shared" si="5"/>
        <v/>
      </c>
      <c r="V61" s="39" t="str">
        <f t="shared" si="5"/>
        <v/>
      </c>
    </row>
    <row r="62" spans="1:22" x14ac:dyDescent="0.3">
      <c r="A62" s="38"/>
      <c r="B62" s="39" t="str">
        <f>IF($A62="","",SUMIFS(weekly_demand!$D:$D,weekly_demand!$A:$A,B$1,weekly_demand!$C:$C,$A62))</f>
        <v/>
      </c>
      <c r="C62" s="39" t="str">
        <f>IF($A62="","",SUMIFS(weekly_demand!$D:$D,weekly_demand!$A:$A,C$1,weekly_demand!$C:$C,$A62))</f>
        <v/>
      </c>
      <c r="D62" s="39" t="str">
        <f>IF($A62="","",SUMIFS(weekly_demand!$D:$D,weekly_demand!$A:$A,D$1,weekly_demand!$C:$C,$A62))</f>
        <v/>
      </c>
      <c r="E62" s="39" t="str">
        <f>IF($A62="","",SUMIFS(weekly_demand!$D:$D,weekly_demand!$A:$A,E$1,weekly_demand!$C:$C,$A62))</f>
        <v/>
      </c>
      <c r="F62" s="39" t="str">
        <f>IF($A62="","",SUMIFS(weekly_demand!$D:$D,weekly_demand!$A:$A,F$1,weekly_demand!$C:$C,$A62))</f>
        <v/>
      </c>
      <c r="G62" s="39" t="str">
        <f>IF($A62="","",SUMIFS(weekly_demand!$D:$D,weekly_demand!$A:$A,G$1,weekly_demand!$C:$C,$A62))</f>
        <v/>
      </c>
      <c r="H62" s="39" t="str">
        <f t="shared" ref="H62:V71" si="6">IF($A62="","",SUMPRODUCT($B62:$G62,INDEX($Y$2:$AD$16,MATCH(H$1,$X$2:$X$16,0),0)))</f>
        <v/>
      </c>
      <c r="I62" s="39" t="str">
        <f t="shared" si="6"/>
        <v/>
      </c>
      <c r="J62" s="39" t="str">
        <f t="shared" si="6"/>
        <v/>
      </c>
      <c r="K62" s="39" t="str">
        <f t="shared" si="6"/>
        <v/>
      </c>
      <c r="L62" s="39" t="str">
        <f t="shared" si="6"/>
        <v/>
      </c>
      <c r="M62" s="39" t="str">
        <f t="shared" si="6"/>
        <v/>
      </c>
      <c r="N62" s="39" t="str">
        <f t="shared" si="6"/>
        <v/>
      </c>
      <c r="O62" s="39" t="str">
        <f t="shared" si="6"/>
        <v/>
      </c>
      <c r="P62" s="39" t="str">
        <f t="shared" si="6"/>
        <v/>
      </c>
      <c r="Q62" s="39" t="str">
        <f t="shared" si="6"/>
        <v/>
      </c>
      <c r="R62" s="39" t="str">
        <f t="shared" si="6"/>
        <v/>
      </c>
      <c r="S62" s="39" t="str">
        <f t="shared" si="6"/>
        <v/>
      </c>
      <c r="T62" s="39" t="str">
        <f t="shared" si="6"/>
        <v/>
      </c>
      <c r="U62" s="39" t="str">
        <f t="shared" si="6"/>
        <v/>
      </c>
      <c r="V62" s="39" t="str">
        <f t="shared" si="6"/>
        <v/>
      </c>
    </row>
    <row r="63" spans="1:22" x14ac:dyDescent="0.3">
      <c r="A63" s="38"/>
      <c r="B63" s="39" t="str">
        <f>IF($A63="","",SUMIFS(weekly_demand!$D:$D,weekly_demand!$A:$A,B$1,weekly_demand!$C:$C,$A63))</f>
        <v/>
      </c>
      <c r="C63" s="39" t="str">
        <f>IF($A63="","",SUMIFS(weekly_demand!$D:$D,weekly_demand!$A:$A,C$1,weekly_demand!$C:$C,$A63))</f>
        <v/>
      </c>
      <c r="D63" s="39" t="str">
        <f>IF($A63="","",SUMIFS(weekly_demand!$D:$D,weekly_demand!$A:$A,D$1,weekly_demand!$C:$C,$A63))</f>
        <v/>
      </c>
      <c r="E63" s="39" t="str">
        <f>IF($A63="","",SUMIFS(weekly_demand!$D:$D,weekly_demand!$A:$A,E$1,weekly_demand!$C:$C,$A63))</f>
        <v/>
      </c>
      <c r="F63" s="39" t="str">
        <f>IF($A63="","",SUMIFS(weekly_demand!$D:$D,weekly_demand!$A:$A,F$1,weekly_demand!$C:$C,$A63))</f>
        <v/>
      </c>
      <c r="G63" s="39" t="str">
        <f>IF($A63="","",SUMIFS(weekly_demand!$D:$D,weekly_demand!$A:$A,G$1,weekly_demand!$C:$C,$A63))</f>
        <v/>
      </c>
      <c r="H63" s="39" t="str">
        <f t="shared" si="6"/>
        <v/>
      </c>
      <c r="I63" s="39" t="str">
        <f t="shared" si="6"/>
        <v/>
      </c>
      <c r="J63" s="39" t="str">
        <f t="shared" si="6"/>
        <v/>
      </c>
      <c r="K63" s="39" t="str">
        <f t="shared" si="6"/>
        <v/>
      </c>
      <c r="L63" s="39" t="str">
        <f t="shared" si="6"/>
        <v/>
      </c>
      <c r="M63" s="39" t="str">
        <f t="shared" si="6"/>
        <v/>
      </c>
      <c r="N63" s="39" t="str">
        <f t="shared" si="6"/>
        <v/>
      </c>
      <c r="O63" s="39" t="str">
        <f t="shared" si="6"/>
        <v/>
      </c>
      <c r="P63" s="39" t="str">
        <f t="shared" si="6"/>
        <v/>
      </c>
      <c r="Q63" s="39" t="str">
        <f t="shared" si="6"/>
        <v/>
      </c>
      <c r="R63" s="39" t="str">
        <f t="shared" si="6"/>
        <v/>
      </c>
      <c r="S63" s="39" t="str">
        <f t="shared" si="6"/>
        <v/>
      </c>
      <c r="T63" s="39" t="str">
        <f t="shared" si="6"/>
        <v/>
      </c>
      <c r="U63" s="39" t="str">
        <f t="shared" si="6"/>
        <v/>
      </c>
      <c r="V63" s="39" t="str">
        <f t="shared" si="6"/>
        <v/>
      </c>
    </row>
    <row r="64" spans="1:22" x14ac:dyDescent="0.3">
      <c r="A64" s="38"/>
      <c r="B64" s="39" t="str">
        <f>IF($A64="","",SUMIFS(weekly_demand!$D:$D,weekly_demand!$A:$A,B$1,weekly_demand!$C:$C,$A64))</f>
        <v/>
      </c>
      <c r="C64" s="39" t="str">
        <f>IF($A64="","",SUMIFS(weekly_demand!$D:$D,weekly_demand!$A:$A,C$1,weekly_demand!$C:$C,$A64))</f>
        <v/>
      </c>
      <c r="D64" s="39" t="str">
        <f>IF($A64="","",SUMIFS(weekly_demand!$D:$D,weekly_demand!$A:$A,D$1,weekly_demand!$C:$C,$A64))</f>
        <v/>
      </c>
      <c r="E64" s="39" t="str">
        <f>IF($A64="","",SUMIFS(weekly_demand!$D:$D,weekly_demand!$A:$A,E$1,weekly_demand!$C:$C,$A64))</f>
        <v/>
      </c>
      <c r="F64" s="39" t="str">
        <f>IF($A64="","",SUMIFS(weekly_demand!$D:$D,weekly_demand!$A:$A,F$1,weekly_demand!$C:$C,$A64))</f>
        <v/>
      </c>
      <c r="G64" s="39" t="str">
        <f>IF($A64="","",SUMIFS(weekly_demand!$D:$D,weekly_demand!$A:$A,G$1,weekly_demand!$C:$C,$A64))</f>
        <v/>
      </c>
      <c r="H64" s="39" t="str">
        <f t="shared" si="6"/>
        <v/>
      </c>
      <c r="I64" s="39" t="str">
        <f t="shared" si="6"/>
        <v/>
      </c>
      <c r="J64" s="39" t="str">
        <f t="shared" si="6"/>
        <v/>
      </c>
      <c r="K64" s="39" t="str">
        <f t="shared" si="6"/>
        <v/>
      </c>
      <c r="L64" s="39" t="str">
        <f t="shared" si="6"/>
        <v/>
      </c>
      <c r="M64" s="39" t="str">
        <f t="shared" si="6"/>
        <v/>
      </c>
      <c r="N64" s="39" t="str">
        <f t="shared" si="6"/>
        <v/>
      </c>
      <c r="O64" s="39" t="str">
        <f t="shared" si="6"/>
        <v/>
      </c>
      <c r="P64" s="39" t="str">
        <f t="shared" si="6"/>
        <v/>
      </c>
      <c r="Q64" s="39" t="str">
        <f t="shared" si="6"/>
        <v/>
      </c>
      <c r="R64" s="39" t="str">
        <f t="shared" si="6"/>
        <v/>
      </c>
      <c r="S64" s="39" t="str">
        <f t="shared" si="6"/>
        <v/>
      </c>
      <c r="T64" s="39" t="str">
        <f t="shared" si="6"/>
        <v/>
      </c>
      <c r="U64" s="39" t="str">
        <f t="shared" si="6"/>
        <v/>
      </c>
      <c r="V64" s="39" t="str">
        <f t="shared" si="6"/>
        <v/>
      </c>
    </row>
    <row r="65" spans="1:22" x14ac:dyDescent="0.3">
      <c r="A65" s="38"/>
      <c r="B65" s="39" t="str">
        <f>IF($A65="","",SUMIFS(weekly_demand!$D:$D,weekly_demand!$A:$A,B$1,weekly_demand!$C:$C,$A65))</f>
        <v/>
      </c>
      <c r="C65" s="39" t="str">
        <f>IF($A65="","",SUMIFS(weekly_demand!$D:$D,weekly_demand!$A:$A,C$1,weekly_demand!$C:$C,$A65))</f>
        <v/>
      </c>
      <c r="D65" s="39" t="str">
        <f>IF($A65="","",SUMIFS(weekly_demand!$D:$D,weekly_demand!$A:$A,D$1,weekly_demand!$C:$C,$A65))</f>
        <v/>
      </c>
      <c r="E65" s="39" t="str">
        <f>IF($A65="","",SUMIFS(weekly_demand!$D:$D,weekly_demand!$A:$A,E$1,weekly_demand!$C:$C,$A65))</f>
        <v/>
      </c>
      <c r="F65" s="39" t="str">
        <f>IF($A65="","",SUMIFS(weekly_demand!$D:$D,weekly_demand!$A:$A,F$1,weekly_demand!$C:$C,$A65))</f>
        <v/>
      </c>
      <c r="G65" s="39" t="str">
        <f>IF($A65="","",SUMIFS(weekly_demand!$D:$D,weekly_demand!$A:$A,G$1,weekly_demand!$C:$C,$A65))</f>
        <v/>
      </c>
      <c r="H65" s="39" t="str">
        <f t="shared" si="6"/>
        <v/>
      </c>
      <c r="I65" s="39" t="str">
        <f t="shared" si="6"/>
        <v/>
      </c>
      <c r="J65" s="39" t="str">
        <f t="shared" si="6"/>
        <v/>
      </c>
      <c r="K65" s="39" t="str">
        <f t="shared" si="6"/>
        <v/>
      </c>
      <c r="L65" s="39" t="str">
        <f t="shared" si="6"/>
        <v/>
      </c>
      <c r="M65" s="39" t="str">
        <f t="shared" si="6"/>
        <v/>
      </c>
      <c r="N65" s="39" t="str">
        <f t="shared" si="6"/>
        <v/>
      </c>
      <c r="O65" s="39" t="str">
        <f t="shared" si="6"/>
        <v/>
      </c>
      <c r="P65" s="39" t="str">
        <f t="shared" si="6"/>
        <v/>
      </c>
      <c r="Q65" s="39" t="str">
        <f t="shared" si="6"/>
        <v/>
      </c>
      <c r="R65" s="39" t="str">
        <f t="shared" si="6"/>
        <v/>
      </c>
      <c r="S65" s="39" t="str">
        <f t="shared" si="6"/>
        <v/>
      </c>
      <c r="T65" s="39" t="str">
        <f t="shared" si="6"/>
        <v/>
      </c>
      <c r="U65" s="39" t="str">
        <f t="shared" si="6"/>
        <v/>
      </c>
      <c r="V65" s="39" t="str">
        <f t="shared" si="6"/>
        <v/>
      </c>
    </row>
    <row r="66" spans="1:22" x14ac:dyDescent="0.3">
      <c r="A66" s="38"/>
      <c r="B66" s="39" t="str">
        <f>IF($A66="","",SUMIFS(weekly_demand!$D:$D,weekly_demand!$A:$A,B$1,weekly_demand!$C:$C,$A66))</f>
        <v/>
      </c>
      <c r="C66" s="39" t="str">
        <f>IF($A66="","",SUMIFS(weekly_demand!$D:$D,weekly_demand!$A:$A,C$1,weekly_demand!$C:$C,$A66))</f>
        <v/>
      </c>
      <c r="D66" s="39" t="str">
        <f>IF($A66="","",SUMIFS(weekly_demand!$D:$D,weekly_demand!$A:$A,D$1,weekly_demand!$C:$C,$A66))</f>
        <v/>
      </c>
      <c r="E66" s="39" t="str">
        <f>IF($A66="","",SUMIFS(weekly_demand!$D:$D,weekly_demand!$A:$A,E$1,weekly_demand!$C:$C,$A66))</f>
        <v/>
      </c>
      <c r="F66" s="39" t="str">
        <f>IF($A66="","",SUMIFS(weekly_demand!$D:$D,weekly_demand!$A:$A,F$1,weekly_demand!$C:$C,$A66))</f>
        <v/>
      </c>
      <c r="G66" s="39" t="str">
        <f>IF($A66="","",SUMIFS(weekly_demand!$D:$D,weekly_demand!$A:$A,G$1,weekly_demand!$C:$C,$A66))</f>
        <v/>
      </c>
      <c r="H66" s="39" t="str">
        <f t="shared" si="6"/>
        <v/>
      </c>
      <c r="I66" s="39" t="str">
        <f t="shared" si="6"/>
        <v/>
      </c>
      <c r="J66" s="39" t="str">
        <f t="shared" si="6"/>
        <v/>
      </c>
      <c r="K66" s="39" t="str">
        <f t="shared" si="6"/>
        <v/>
      </c>
      <c r="L66" s="39" t="str">
        <f t="shared" si="6"/>
        <v/>
      </c>
      <c r="M66" s="39" t="str">
        <f t="shared" si="6"/>
        <v/>
      </c>
      <c r="N66" s="39" t="str">
        <f t="shared" si="6"/>
        <v/>
      </c>
      <c r="O66" s="39" t="str">
        <f t="shared" si="6"/>
        <v/>
      </c>
      <c r="P66" s="39" t="str">
        <f t="shared" si="6"/>
        <v/>
      </c>
      <c r="Q66" s="39" t="str">
        <f t="shared" si="6"/>
        <v/>
      </c>
      <c r="R66" s="39" t="str">
        <f t="shared" si="6"/>
        <v/>
      </c>
      <c r="S66" s="39" t="str">
        <f t="shared" si="6"/>
        <v/>
      </c>
      <c r="T66" s="39" t="str">
        <f t="shared" si="6"/>
        <v/>
      </c>
      <c r="U66" s="39" t="str">
        <f t="shared" si="6"/>
        <v/>
      </c>
      <c r="V66" s="39" t="str">
        <f t="shared" si="6"/>
        <v/>
      </c>
    </row>
    <row r="67" spans="1:22" x14ac:dyDescent="0.3">
      <c r="A67" s="38"/>
      <c r="B67" s="39" t="str">
        <f>IF($A67="","",SUMIFS(weekly_demand!$D:$D,weekly_demand!$A:$A,B$1,weekly_demand!$C:$C,$A67))</f>
        <v/>
      </c>
      <c r="C67" s="39" t="str">
        <f>IF($A67="","",SUMIFS(weekly_demand!$D:$D,weekly_demand!$A:$A,C$1,weekly_demand!$C:$C,$A67))</f>
        <v/>
      </c>
      <c r="D67" s="39" t="str">
        <f>IF($A67="","",SUMIFS(weekly_demand!$D:$D,weekly_demand!$A:$A,D$1,weekly_demand!$C:$C,$A67))</f>
        <v/>
      </c>
      <c r="E67" s="39" t="str">
        <f>IF($A67="","",SUMIFS(weekly_demand!$D:$D,weekly_demand!$A:$A,E$1,weekly_demand!$C:$C,$A67))</f>
        <v/>
      </c>
      <c r="F67" s="39" t="str">
        <f>IF($A67="","",SUMIFS(weekly_demand!$D:$D,weekly_demand!$A:$A,F$1,weekly_demand!$C:$C,$A67))</f>
        <v/>
      </c>
      <c r="G67" s="39" t="str">
        <f>IF($A67="","",SUMIFS(weekly_demand!$D:$D,weekly_demand!$A:$A,G$1,weekly_demand!$C:$C,$A67))</f>
        <v/>
      </c>
      <c r="H67" s="39" t="str">
        <f t="shared" si="6"/>
        <v/>
      </c>
      <c r="I67" s="39" t="str">
        <f t="shared" si="6"/>
        <v/>
      </c>
      <c r="J67" s="39" t="str">
        <f t="shared" si="6"/>
        <v/>
      </c>
      <c r="K67" s="39" t="str">
        <f t="shared" si="6"/>
        <v/>
      </c>
      <c r="L67" s="39" t="str">
        <f t="shared" si="6"/>
        <v/>
      </c>
      <c r="M67" s="39" t="str">
        <f t="shared" si="6"/>
        <v/>
      </c>
      <c r="N67" s="39" t="str">
        <f t="shared" si="6"/>
        <v/>
      </c>
      <c r="O67" s="39" t="str">
        <f t="shared" si="6"/>
        <v/>
      </c>
      <c r="P67" s="39" t="str">
        <f t="shared" si="6"/>
        <v/>
      </c>
      <c r="Q67" s="39" t="str">
        <f t="shared" si="6"/>
        <v/>
      </c>
      <c r="R67" s="39" t="str">
        <f t="shared" si="6"/>
        <v/>
      </c>
      <c r="S67" s="39" t="str">
        <f t="shared" si="6"/>
        <v/>
      </c>
      <c r="T67" s="39" t="str">
        <f t="shared" si="6"/>
        <v/>
      </c>
      <c r="U67" s="39" t="str">
        <f t="shared" si="6"/>
        <v/>
      </c>
      <c r="V67" s="39" t="str">
        <f t="shared" si="6"/>
        <v/>
      </c>
    </row>
    <row r="68" spans="1:22" x14ac:dyDescent="0.3">
      <c r="A68" s="38"/>
      <c r="B68" s="39" t="str">
        <f>IF($A68="","",SUMIFS(weekly_demand!$D:$D,weekly_demand!$A:$A,B$1,weekly_demand!$C:$C,$A68))</f>
        <v/>
      </c>
      <c r="C68" s="39" t="str">
        <f>IF($A68="","",SUMIFS(weekly_demand!$D:$D,weekly_demand!$A:$A,C$1,weekly_demand!$C:$C,$A68))</f>
        <v/>
      </c>
      <c r="D68" s="39" t="str">
        <f>IF($A68="","",SUMIFS(weekly_demand!$D:$D,weekly_demand!$A:$A,D$1,weekly_demand!$C:$C,$A68))</f>
        <v/>
      </c>
      <c r="E68" s="39" t="str">
        <f>IF($A68="","",SUMIFS(weekly_demand!$D:$D,weekly_demand!$A:$A,E$1,weekly_demand!$C:$C,$A68))</f>
        <v/>
      </c>
      <c r="F68" s="39" t="str">
        <f>IF($A68="","",SUMIFS(weekly_demand!$D:$D,weekly_demand!$A:$A,F$1,weekly_demand!$C:$C,$A68))</f>
        <v/>
      </c>
      <c r="G68" s="39" t="str">
        <f>IF($A68="","",SUMIFS(weekly_demand!$D:$D,weekly_demand!$A:$A,G$1,weekly_demand!$C:$C,$A68))</f>
        <v/>
      </c>
      <c r="H68" s="39" t="str">
        <f t="shared" si="6"/>
        <v/>
      </c>
      <c r="I68" s="39" t="str">
        <f t="shared" si="6"/>
        <v/>
      </c>
      <c r="J68" s="39" t="str">
        <f t="shared" si="6"/>
        <v/>
      </c>
      <c r="K68" s="39" t="str">
        <f t="shared" si="6"/>
        <v/>
      </c>
      <c r="L68" s="39" t="str">
        <f t="shared" si="6"/>
        <v/>
      </c>
      <c r="M68" s="39" t="str">
        <f t="shared" si="6"/>
        <v/>
      </c>
      <c r="N68" s="39" t="str">
        <f t="shared" si="6"/>
        <v/>
      </c>
      <c r="O68" s="39" t="str">
        <f t="shared" si="6"/>
        <v/>
      </c>
      <c r="P68" s="39" t="str">
        <f t="shared" si="6"/>
        <v/>
      </c>
      <c r="Q68" s="39" t="str">
        <f t="shared" si="6"/>
        <v/>
      </c>
      <c r="R68" s="39" t="str">
        <f t="shared" si="6"/>
        <v/>
      </c>
      <c r="S68" s="39" t="str">
        <f t="shared" si="6"/>
        <v/>
      </c>
      <c r="T68" s="39" t="str">
        <f t="shared" si="6"/>
        <v/>
      </c>
      <c r="U68" s="39" t="str">
        <f t="shared" si="6"/>
        <v/>
      </c>
      <c r="V68" s="39" t="str">
        <f t="shared" si="6"/>
        <v/>
      </c>
    </row>
    <row r="69" spans="1:22" x14ac:dyDescent="0.3">
      <c r="A69" s="38"/>
      <c r="B69" s="39" t="str">
        <f>IF($A69="","",SUMIFS(weekly_demand!$D:$D,weekly_demand!$A:$A,B$1,weekly_demand!$C:$C,$A69))</f>
        <v/>
      </c>
      <c r="C69" s="39" t="str">
        <f>IF($A69="","",SUMIFS(weekly_demand!$D:$D,weekly_demand!$A:$A,C$1,weekly_demand!$C:$C,$A69))</f>
        <v/>
      </c>
      <c r="D69" s="39" t="str">
        <f>IF($A69="","",SUMIFS(weekly_demand!$D:$D,weekly_demand!$A:$A,D$1,weekly_demand!$C:$C,$A69))</f>
        <v/>
      </c>
      <c r="E69" s="39" t="str">
        <f>IF($A69="","",SUMIFS(weekly_demand!$D:$D,weekly_demand!$A:$A,E$1,weekly_demand!$C:$C,$A69))</f>
        <v/>
      </c>
      <c r="F69" s="39" t="str">
        <f>IF($A69="","",SUMIFS(weekly_demand!$D:$D,weekly_demand!$A:$A,F$1,weekly_demand!$C:$C,$A69))</f>
        <v/>
      </c>
      <c r="G69" s="39" t="str">
        <f>IF($A69="","",SUMIFS(weekly_demand!$D:$D,weekly_demand!$A:$A,G$1,weekly_demand!$C:$C,$A69))</f>
        <v/>
      </c>
      <c r="H69" s="39" t="str">
        <f t="shared" si="6"/>
        <v/>
      </c>
      <c r="I69" s="39" t="str">
        <f t="shared" si="6"/>
        <v/>
      </c>
      <c r="J69" s="39" t="str">
        <f t="shared" si="6"/>
        <v/>
      </c>
      <c r="K69" s="39" t="str">
        <f t="shared" si="6"/>
        <v/>
      </c>
      <c r="L69" s="39" t="str">
        <f t="shared" si="6"/>
        <v/>
      </c>
      <c r="M69" s="39" t="str">
        <f t="shared" si="6"/>
        <v/>
      </c>
      <c r="N69" s="39" t="str">
        <f t="shared" si="6"/>
        <v/>
      </c>
      <c r="O69" s="39" t="str">
        <f t="shared" si="6"/>
        <v/>
      </c>
      <c r="P69" s="39" t="str">
        <f t="shared" si="6"/>
        <v/>
      </c>
      <c r="Q69" s="39" t="str">
        <f t="shared" si="6"/>
        <v/>
      </c>
      <c r="R69" s="39" t="str">
        <f t="shared" si="6"/>
        <v/>
      </c>
      <c r="S69" s="39" t="str">
        <f t="shared" si="6"/>
        <v/>
      </c>
      <c r="T69" s="39" t="str">
        <f t="shared" si="6"/>
        <v/>
      </c>
      <c r="U69" s="39" t="str">
        <f t="shared" si="6"/>
        <v/>
      </c>
      <c r="V69" s="39" t="str">
        <f t="shared" si="6"/>
        <v/>
      </c>
    </row>
    <row r="70" spans="1:22" x14ac:dyDescent="0.3">
      <c r="A70" s="38"/>
      <c r="B70" s="39" t="str">
        <f>IF($A70="","",SUMIFS(weekly_demand!$D:$D,weekly_demand!$A:$A,B$1,weekly_demand!$C:$C,$A70))</f>
        <v/>
      </c>
      <c r="C70" s="39" t="str">
        <f>IF($A70="","",SUMIFS(weekly_demand!$D:$D,weekly_demand!$A:$A,C$1,weekly_demand!$C:$C,$A70))</f>
        <v/>
      </c>
      <c r="D70" s="39" t="str">
        <f>IF($A70="","",SUMIFS(weekly_demand!$D:$D,weekly_demand!$A:$A,D$1,weekly_demand!$C:$C,$A70))</f>
        <v/>
      </c>
      <c r="E70" s="39" t="str">
        <f>IF($A70="","",SUMIFS(weekly_demand!$D:$D,weekly_demand!$A:$A,E$1,weekly_demand!$C:$C,$A70))</f>
        <v/>
      </c>
      <c r="F70" s="39" t="str">
        <f>IF($A70="","",SUMIFS(weekly_demand!$D:$D,weekly_demand!$A:$A,F$1,weekly_demand!$C:$C,$A70))</f>
        <v/>
      </c>
      <c r="G70" s="39" t="str">
        <f>IF($A70="","",SUMIFS(weekly_demand!$D:$D,weekly_demand!$A:$A,G$1,weekly_demand!$C:$C,$A70))</f>
        <v/>
      </c>
      <c r="H70" s="39" t="str">
        <f t="shared" si="6"/>
        <v/>
      </c>
      <c r="I70" s="39" t="str">
        <f t="shared" si="6"/>
        <v/>
      </c>
      <c r="J70" s="39" t="str">
        <f t="shared" si="6"/>
        <v/>
      </c>
      <c r="K70" s="39" t="str">
        <f t="shared" si="6"/>
        <v/>
      </c>
      <c r="L70" s="39" t="str">
        <f t="shared" si="6"/>
        <v/>
      </c>
      <c r="M70" s="39" t="str">
        <f t="shared" si="6"/>
        <v/>
      </c>
      <c r="N70" s="39" t="str">
        <f t="shared" si="6"/>
        <v/>
      </c>
      <c r="O70" s="39" t="str">
        <f t="shared" si="6"/>
        <v/>
      </c>
      <c r="P70" s="39" t="str">
        <f t="shared" si="6"/>
        <v/>
      </c>
      <c r="Q70" s="39" t="str">
        <f t="shared" si="6"/>
        <v/>
      </c>
      <c r="R70" s="39" t="str">
        <f t="shared" si="6"/>
        <v/>
      </c>
      <c r="S70" s="39" t="str">
        <f t="shared" si="6"/>
        <v/>
      </c>
      <c r="T70" s="39" t="str">
        <f t="shared" si="6"/>
        <v/>
      </c>
      <c r="U70" s="39" t="str">
        <f t="shared" si="6"/>
        <v/>
      </c>
      <c r="V70" s="39" t="str">
        <f t="shared" si="6"/>
        <v/>
      </c>
    </row>
    <row r="71" spans="1:22" x14ac:dyDescent="0.3">
      <c r="A71" s="38"/>
      <c r="B71" s="39" t="str">
        <f>IF($A71="","",SUMIFS(weekly_demand!$D:$D,weekly_demand!$A:$A,B$1,weekly_demand!$C:$C,$A71))</f>
        <v/>
      </c>
      <c r="C71" s="39" t="str">
        <f>IF($A71="","",SUMIFS(weekly_demand!$D:$D,weekly_demand!$A:$A,C$1,weekly_demand!$C:$C,$A71))</f>
        <v/>
      </c>
      <c r="D71" s="39" t="str">
        <f>IF($A71="","",SUMIFS(weekly_demand!$D:$D,weekly_demand!$A:$A,D$1,weekly_demand!$C:$C,$A71))</f>
        <v/>
      </c>
      <c r="E71" s="39" t="str">
        <f>IF($A71="","",SUMIFS(weekly_demand!$D:$D,weekly_demand!$A:$A,E$1,weekly_demand!$C:$C,$A71))</f>
        <v/>
      </c>
      <c r="F71" s="39" t="str">
        <f>IF($A71="","",SUMIFS(weekly_demand!$D:$D,weekly_demand!$A:$A,F$1,weekly_demand!$C:$C,$A71))</f>
        <v/>
      </c>
      <c r="G71" s="39" t="str">
        <f>IF($A71="","",SUMIFS(weekly_demand!$D:$D,weekly_demand!$A:$A,G$1,weekly_demand!$C:$C,$A71))</f>
        <v/>
      </c>
      <c r="H71" s="39" t="str">
        <f t="shared" si="6"/>
        <v/>
      </c>
      <c r="I71" s="39" t="str">
        <f t="shared" si="6"/>
        <v/>
      </c>
      <c r="J71" s="39" t="str">
        <f t="shared" si="6"/>
        <v/>
      </c>
      <c r="K71" s="39" t="str">
        <f t="shared" si="6"/>
        <v/>
      </c>
      <c r="L71" s="39" t="str">
        <f t="shared" si="6"/>
        <v/>
      </c>
      <c r="M71" s="39" t="str">
        <f t="shared" si="6"/>
        <v/>
      </c>
      <c r="N71" s="39" t="str">
        <f t="shared" si="6"/>
        <v/>
      </c>
      <c r="O71" s="39" t="str">
        <f t="shared" si="6"/>
        <v/>
      </c>
      <c r="P71" s="39" t="str">
        <f t="shared" si="6"/>
        <v/>
      </c>
      <c r="Q71" s="39" t="str">
        <f t="shared" si="6"/>
        <v/>
      </c>
      <c r="R71" s="39" t="str">
        <f t="shared" si="6"/>
        <v/>
      </c>
      <c r="S71" s="39" t="str">
        <f t="shared" si="6"/>
        <v/>
      </c>
      <c r="T71" s="39" t="str">
        <f t="shared" si="6"/>
        <v/>
      </c>
      <c r="U71" s="39" t="str">
        <f t="shared" si="6"/>
        <v/>
      </c>
      <c r="V71" s="39" t="str">
        <f t="shared" si="6"/>
        <v/>
      </c>
    </row>
    <row r="72" spans="1:22" x14ac:dyDescent="0.3">
      <c r="A72" s="38"/>
      <c r="B72" s="39" t="str">
        <f>IF($A72="","",SUMIFS(weekly_demand!$D:$D,weekly_demand!$A:$A,B$1,weekly_demand!$C:$C,$A72))</f>
        <v/>
      </c>
      <c r="C72" s="39" t="str">
        <f>IF($A72="","",SUMIFS(weekly_demand!$D:$D,weekly_demand!$A:$A,C$1,weekly_demand!$C:$C,$A72))</f>
        <v/>
      </c>
      <c r="D72" s="39" t="str">
        <f>IF($A72="","",SUMIFS(weekly_demand!$D:$D,weekly_demand!$A:$A,D$1,weekly_demand!$C:$C,$A72))</f>
        <v/>
      </c>
      <c r="E72" s="39" t="str">
        <f>IF($A72="","",SUMIFS(weekly_demand!$D:$D,weekly_demand!$A:$A,E$1,weekly_demand!$C:$C,$A72))</f>
        <v/>
      </c>
      <c r="F72" s="39" t="str">
        <f>IF($A72="","",SUMIFS(weekly_demand!$D:$D,weekly_demand!$A:$A,F$1,weekly_demand!$C:$C,$A72))</f>
        <v/>
      </c>
      <c r="G72" s="39" t="str">
        <f>IF($A72="","",SUMIFS(weekly_demand!$D:$D,weekly_demand!$A:$A,G$1,weekly_demand!$C:$C,$A72))</f>
        <v/>
      </c>
      <c r="H72" s="39" t="str">
        <f t="shared" ref="H72:V81" si="7">IF($A72="","",SUMPRODUCT($B72:$G72,INDEX($Y$2:$AD$16,MATCH(H$1,$X$2:$X$16,0),0)))</f>
        <v/>
      </c>
      <c r="I72" s="39" t="str">
        <f t="shared" si="7"/>
        <v/>
      </c>
      <c r="J72" s="39" t="str">
        <f t="shared" si="7"/>
        <v/>
      </c>
      <c r="K72" s="39" t="str">
        <f t="shared" si="7"/>
        <v/>
      </c>
      <c r="L72" s="39" t="str">
        <f t="shared" si="7"/>
        <v/>
      </c>
      <c r="M72" s="39" t="str">
        <f t="shared" si="7"/>
        <v/>
      </c>
      <c r="N72" s="39" t="str">
        <f t="shared" si="7"/>
        <v/>
      </c>
      <c r="O72" s="39" t="str">
        <f t="shared" si="7"/>
        <v/>
      </c>
      <c r="P72" s="39" t="str">
        <f t="shared" si="7"/>
        <v/>
      </c>
      <c r="Q72" s="39" t="str">
        <f t="shared" si="7"/>
        <v/>
      </c>
      <c r="R72" s="39" t="str">
        <f t="shared" si="7"/>
        <v/>
      </c>
      <c r="S72" s="39" t="str">
        <f t="shared" si="7"/>
        <v/>
      </c>
      <c r="T72" s="39" t="str">
        <f t="shared" si="7"/>
        <v/>
      </c>
      <c r="U72" s="39" t="str">
        <f t="shared" si="7"/>
        <v/>
      </c>
      <c r="V72" s="39" t="str">
        <f t="shared" si="7"/>
        <v/>
      </c>
    </row>
    <row r="73" spans="1:22" x14ac:dyDescent="0.3">
      <c r="A73" s="38"/>
      <c r="B73" s="39" t="str">
        <f>IF($A73="","",SUMIFS(weekly_demand!$D:$D,weekly_demand!$A:$A,B$1,weekly_demand!$C:$C,$A73))</f>
        <v/>
      </c>
      <c r="C73" s="39" t="str">
        <f>IF($A73="","",SUMIFS(weekly_demand!$D:$D,weekly_demand!$A:$A,C$1,weekly_demand!$C:$C,$A73))</f>
        <v/>
      </c>
      <c r="D73" s="39" t="str">
        <f>IF($A73="","",SUMIFS(weekly_demand!$D:$D,weekly_demand!$A:$A,D$1,weekly_demand!$C:$C,$A73))</f>
        <v/>
      </c>
      <c r="E73" s="39" t="str">
        <f>IF($A73="","",SUMIFS(weekly_demand!$D:$D,weekly_demand!$A:$A,E$1,weekly_demand!$C:$C,$A73))</f>
        <v/>
      </c>
      <c r="F73" s="39" t="str">
        <f>IF($A73="","",SUMIFS(weekly_demand!$D:$D,weekly_demand!$A:$A,F$1,weekly_demand!$C:$C,$A73))</f>
        <v/>
      </c>
      <c r="G73" s="39" t="str">
        <f>IF($A73="","",SUMIFS(weekly_demand!$D:$D,weekly_demand!$A:$A,G$1,weekly_demand!$C:$C,$A73))</f>
        <v/>
      </c>
      <c r="H73" s="39" t="str">
        <f t="shared" si="7"/>
        <v/>
      </c>
      <c r="I73" s="39" t="str">
        <f t="shared" si="7"/>
        <v/>
      </c>
      <c r="J73" s="39" t="str">
        <f t="shared" si="7"/>
        <v/>
      </c>
      <c r="K73" s="39" t="str">
        <f t="shared" si="7"/>
        <v/>
      </c>
      <c r="L73" s="39" t="str">
        <f t="shared" si="7"/>
        <v/>
      </c>
      <c r="M73" s="39" t="str">
        <f t="shared" si="7"/>
        <v/>
      </c>
      <c r="N73" s="39" t="str">
        <f t="shared" si="7"/>
        <v/>
      </c>
      <c r="O73" s="39" t="str">
        <f t="shared" si="7"/>
        <v/>
      </c>
      <c r="P73" s="39" t="str">
        <f t="shared" si="7"/>
        <v/>
      </c>
      <c r="Q73" s="39" t="str">
        <f t="shared" si="7"/>
        <v/>
      </c>
      <c r="R73" s="39" t="str">
        <f t="shared" si="7"/>
        <v/>
      </c>
      <c r="S73" s="39" t="str">
        <f t="shared" si="7"/>
        <v/>
      </c>
      <c r="T73" s="39" t="str">
        <f t="shared" si="7"/>
        <v/>
      </c>
      <c r="U73" s="39" t="str">
        <f t="shared" si="7"/>
        <v/>
      </c>
      <c r="V73" s="39" t="str">
        <f t="shared" si="7"/>
        <v/>
      </c>
    </row>
    <row r="74" spans="1:22" x14ac:dyDescent="0.3">
      <c r="A74" s="38"/>
      <c r="B74" s="39" t="str">
        <f>IF($A74="","",SUMIFS(weekly_demand!$D:$D,weekly_demand!$A:$A,B$1,weekly_demand!$C:$C,$A74))</f>
        <v/>
      </c>
      <c r="C74" s="39" t="str">
        <f>IF($A74="","",SUMIFS(weekly_demand!$D:$D,weekly_demand!$A:$A,C$1,weekly_demand!$C:$C,$A74))</f>
        <v/>
      </c>
      <c r="D74" s="39" t="str">
        <f>IF($A74="","",SUMIFS(weekly_demand!$D:$D,weekly_demand!$A:$A,D$1,weekly_demand!$C:$C,$A74))</f>
        <v/>
      </c>
      <c r="E74" s="39" t="str">
        <f>IF($A74="","",SUMIFS(weekly_demand!$D:$D,weekly_demand!$A:$A,E$1,weekly_demand!$C:$C,$A74))</f>
        <v/>
      </c>
      <c r="F74" s="39" t="str">
        <f>IF($A74="","",SUMIFS(weekly_demand!$D:$D,weekly_demand!$A:$A,F$1,weekly_demand!$C:$C,$A74))</f>
        <v/>
      </c>
      <c r="G74" s="39" t="str">
        <f>IF($A74="","",SUMIFS(weekly_demand!$D:$D,weekly_demand!$A:$A,G$1,weekly_demand!$C:$C,$A74))</f>
        <v/>
      </c>
      <c r="H74" s="39" t="str">
        <f t="shared" si="7"/>
        <v/>
      </c>
      <c r="I74" s="39" t="str">
        <f t="shared" si="7"/>
        <v/>
      </c>
      <c r="J74" s="39" t="str">
        <f t="shared" si="7"/>
        <v/>
      </c>
      <c r="K74" s="39" t="str">
        <f t="shared" si="7"/>
        <v/>
      </c>
      <c r="L74" s="39" t="str">
        <f t="shared" si="7"/>
        <v/>
      </c>
      <c r="M74" s="39" t="str">
        <f t="shared" si="7"/>
        <v/>
      </c>
      <c r="N74" s="39" t="str">
        <f t="shared" si="7"/>
        <v/>
      </c>
      <c r="O74" s="39" t="str">
        <f t="shared" si="7"/>
        <v/>
      </c>
      <c r="P74" s="39" t="str">
        <f t="shared" si="7"/>
        <v/>
      </c>
      <c r="Q74" s="39" t="str">
        <f t="shared" si="7"/>
        <v/>
      </c>
      <c r="R74" s="39" t="str">
        <f t="shared" si="7"/>
        <v/>
      </c>
      <c r="S74" s="39" t="str">
        <f t="shared" si="7"/>
        <v/>
      </c>
      <c r="T74" s="39" t="str">
        <f t="shared" si="7"/>
        <v/>
      </c>
      <c r="U74" s="39" t="str">
        <f t="shared" si="7"/>
        <v/>
      </c>
      <c r="V74" s="39" t="str">
        <f t="shared" si="7"/>
        <v/>
      </c>
    </row>
    <row r="75" spans="1:22" x14ac:dyDescent="0.3">
      <c r="A75" s="38"/>
      <c r="B75" s="39" t="str">
        <f>IF($A75="","",SUMIFS(weekly_demand!$D:$D,weekly_demand!$A:$A,B$1,weekly_demand!$C:$C,$A75))</f>
        <v/>
      </c>
      <c r="C75" s="39" t="str">
        <f>IF($A75="","",SUMIFS(weekly_demand!$D:$D,weekly_demand!$A:$A,C$1,weekly_demand!$C:$C,$A75))</f>
        <v/>
      </c>
      <c r="D75" s="39" t="str">
        <f>IF($A75="","",SUMIFS(weekly_demand!$D:$D,weekly_demand!$A:$A,D$1,weekly_demand!$C:$C,$A75))</f>
        <v/>
      </c>
      <c r="E75" s="39" t="str">
        <f>IF($A75="","",SUMIFS(weekly_demand!$D:$D,weekly_demand!$A:$A,E$1,weekly_demand!$C:$C,$A75))</f>
        <v/>
      </c>
      <c r="F75" s="39" t="str">
        <f>IF($A75="","",SUMIFS(weekly_demand!$D:$D,weekly_demand!$A:$A,F$1,weekly_demand!$C:$C,$A75))</f>
        <v/>
      </c>
      <c r="G75" s="39" t="str">
        <f>IF($A75="","",SUMIFS(weekly_demand!$D:$D,weekly_demand!$A:$A,G$1,weekly_demand!$C:$C,$A75))</f>
        <v/>
      </c>
      <c r="H75" s="39" t="str">
        <f t="shared" si="7"/>
        <v/>
      </c>
      <c r="I75" s="39" t="str">
        <f t="shared" si="7"/>
        <v/>
      </c>
      <c r="J75" s="39" t="str">
        <f t="shared" si="7"/>
        <v/>
      </c>
      <c r="K75" s="39" t="str">
        <f t="shared" si="7"/>
        <v/>
      </c>
      <c r="L75" s="39" t="str">
        <f t="shared" si="7"/>
        <v/>
      </c>
      <c r="M75" s="39" t="str">
        <f t="shared" si="7"/>
        <v/>
      </c>
      <c r="N75" s="39" t="str">
        <f t="shared" si="7"/>
        <v/>
      </c>
      <c r="O75" s="39" t="str">
        <f t="shared" si="7"/>
        <v/>
      </c>
      <c r="P75" s="39" t="str">
        <f t="shared" si="7"/>
        <v/>
      </c>
      <c r="Q75" s="39" t="str">
        <f t="shared" si="7"/>
        <v/>
      </c>
      <c r="R75" s="39" t="str">
        <f t="shared" si="7"/>
        <v/>
      </c>
      <c r="S75" s="39" t="str">
        <f t="shared" si="7"/>
        <v/>
      </c>
      <c r="T75" s="39" t="str">
        <f t="shared" si="7"/>
        <v/>
      </c>
      <c r="U75" s="39" t="str">
        <f t="shared" si="7"/>
        <v/>
      </c>
      <c r="V75" s="39" t="str">
        <f t="shared" si="7"/>
        <v/>
      </c>
    </row>
    <row r="76" spans="1:22" x14ac:dyDescent="0.3">
      <c r="A76" s="38"/>
      <c r="B76" s="39" t="str">
        <f>IF($A76="","",SUMIFS(weekly_demand!$D:$D,weekly_demand!$A:$A,B$1,weekly_demand!$C:$C,$A76))</f>
        <v/>
      </c>
      <c r="C76" s="39" t="str">
        <f>IF($A76="","",SUMIFS(weekly_demand!$D:$D,weekly_demand!$A:$A,C$1,weekly_demand!$C:$C,$A76))</f>
        <v/>
      </c>
      <c r="D76" s="39" t="str">
        <f>IF($A76="","",SUMIFS(weekly_demand!$D:$D,weekly_demand!$A:$A,D$1,weekly_demand!$C:$C,$A76))</f>
        <v/>
      </c>
      <c r="E76" s="39" t="str">
        <f>IF($A76="","",SUMIFS(weekly_demand!$D:$D,weekly_demand!$A:$A,E$1,weekly_demand!$C:$C,$A76))</f>
        <v/>
      </c>
      <c r="F76" s="39" t="str">
        <f>IF($A76="","",SUMIFS(weekly_demand!$D:$D,weekly_demand!$A:$A,F$1,weekly_demand!$C:$C,$A76))</f>
        <v/>
      </c>
      <c r="G76" s="39" t="str">
        <f>IF($A76="","",SUMIFS(weekly_demand!$D:$D,weekly_demand!$A:$A,G$1,weekly_demand!$C:$C,$A76))</f>
        <v/>
      </c>
      <c r="H76" s="39" t="str">
        <f t="shared" si="7"/>
        <v/>
      </c>
      <c r="I76" s="39" t="str">
        <f t="shared" si="7"/>
        <v/>
      </c>
      <c r="J76" s="39" t="str">
        <f t="shared" si="7"/>
        <v/>
      </c>
      <c r="K76" s="39" t="str">
        <f t="shared" si="7"/>
        <v/>
      </c>
      <c r="L76" s="39" t="str">
        <f t="shared" si="7"/>
        <v/>
      </c>
      <c r="M76" s="39" t="str">
        <f t="shared" si="7"/>
        <v/>
      </c>
      <c r="N76" s="39" t="str">
        <f t="shared" si="7"/>
        <v/>
      </c>
      <c r="O76" s="39" t="str">
        <f t="shared" si="7"/>
        <v/>
      </c>
      <c r="P76" s="39" t="str">
        <f t="shared" si="7"/>
        <v/>
      </c>
      <c r="Q76" s="39" t="str">
        <f t="shared" si="7"/>
        <v/>
      </c>
      <c r="R76" s="39" t="str">
        <f t="shared" si="7"/>
        <v/>
      </c>
      <c r="S76" s="39" t="str">
        <f t="shared" si="7"/>
        <v/>
      </c>
      <c r="T76" s="39" t="str">
        <f t="shared" si="7"/>
        <v/>
      </c>
      <c r="U76" s="39" t="str">
        <f t="shared" si="7"/>
        <v/>
      </c>
      <c r="V76" s="39" t="str">
        <f t="shared" si="7"/>
        <v/>
      </c>
    </row>
    <row r="77" spans="1:22" x14ac:dyDescent="0.3">
      <c r="A77" s="38"/>
      <c r="B77" s="39" t="str">
        <f>IF($A77="","",SUMIFS(weekly_demand!$D:$D,weekly_demand!$A:$A,B$1,weekly_demand!$C:$C,$A77))</f>
        <v/>
      </c>
      <c r="C77" s="39" t="str">
        <f>IF($A77="","",SUMIFS(weekly_demand!$D:$D,weekly_demand!$A:$A,C$1,weekly_demand!$C:$C,$A77))</f>
        <v/>
      </c>
      <c r="D77" s="39" t="str">
        <f>IF($A77="","",SUMIFS(weekly_demand!$D:$D,weekly_demand!$A:$A,D$1,weekly_demand!$C:$C,$A77))</f>
        <v/>
      </c>
      <c r="E77" s="39" t="str">
        <f>IF($A77="","",SUMIFS(weekly_demand!$D:$D,weekly_demand!$A:$A,E$1,weekly_demand!$C:$C,$A77))</f>
        <v/>
      </c>
      <c r="F77" s="39" t="str">
        <f>IF($A77="","",SUMIFS(weekly_demand!$D:$D,weekly_demand!$A:$A,F$1,weekly_demand!$C:$C,$A77))</f>
        <v/>
      </c>
      <c r="G77" s="39" t="str">
        <f>IF($A77="","",SUMIFS(weekly_demand!$D:$D,weekly_demand!$A:$A,G$1,weekly_demand!$C:$C,$A77))</f>
        <v/>
      </c>
      <c r="H77" s="39" t="str">
        <f t="shared" si="7"/>
        <v/>
      </c>
      <c r="I77" s="39" t="str">
        <f t="shared" si="7"/>
        <v/>
      </c>
      <c r="J77" s="39" t="str">
        <f t="shared" si="7"/>
        <v/>
      </c>
      <c r="K77" s="39" t="str">
        <f t="shared" si="7"/>
        <v/>
      </c>
      <c r="L77" s="39" t="str">
        <f t="shared" si="7"/>
        <v/>
      </c>
      <c r="M77" s="39" t="str">
        <f t="shared" si="7"/>
        <v/>
      </c>
      <c r="N77" s="39" t="str">
        <f t="shared" si="7"/>
        <v/>
      </c>
      <c r="O77" s="39" t="str">
        <f t="shared" si="7"/>
        <v/>
      </c>
      <c r="P77" s="39" t="str">
        <f t="shared" si="7"/>
        <v/>
      </c>
      <c r="Q77" s="39" t="str">
        <f t="shared" si="7"/>
        <v/>
      </c>
      <c r="R77" s="39" t="str">
        <f t="shared" si="7"/>
        <v/>
      </c>
      <c r="S77" s="39" t="str">
        <f t="shared" si="7"/>
        <v/>
      </c>
      <c r="T77" s="39" t="str">
        <f t="shared" si="7"/>
        <v/>
      </c>
      <c r="U77" s="39" t="str">
        <f t="shared" si="7"/>
        <v/>
      </c>
      <c r="V77" s="39" t="str">
        <f t="shared" si="7"/>
        <v/>
      </c>
    </row>
    <row r="78" spans="1:22" x14ac:dyDescent="0.3">
      <c r="A78" s="38"/>
      <c r="B78" s="39" t="str">
        <f>IF($A78="","",SUMIFS(weekly_demand!$D:$D,weekly_demand!$A:$A,B$1,weekly_demand!$C:$C,$A78))</f>
        <v/>
      </c>
      <c r="C78" s="39" t="str">
        <f>IF($A78="","",SUMIFS(weekly_demand!$D:$D,weekly_demand!$A:$A,C$1,weekly_demand!$C:$C,$A78))</f>
        <v/>
      </c>
      <c r="D78" s="39" t="str">
        <f>IF($A78="","",SUMIFS(weekly_demand!$D:$D,weekly_demand!$A:$A,D$1,weekly_demand!$C:$C,$A78))</f>
        <v/>
      </c>
      <c r="E78" s="39" t="str">
        <f>IF($A78="","",SUMIFS(weekly_demand!$D:$D,weekly_demand!$A:$A,E$1,weekly_demand!$C:$C,$A78))</f>
        <v/>
      </c>
      <c r="F78" s="39" t="str">
        <f>IF($A78="","",SUMIFS(weekly_demand!$D:$D,weekly_demand!$A:$A,F$1,weekly_demand!$C:$C,$A78))</f>
        <v/>
      </c>
      <c r="G78" s="39" t="str">
        <f>IF($A78="","",SUMIFS(weekly_demand!$D:$D,weekly_demand!$A:$A,G$1,weekly_demand!$C:$C,$A78))</f>
        <v/>
      </c>
      <c r="H78" s="39" t="str">
        <f t="shared" si="7"/>
        <v/>
      </c>
      <c r="I78" s="39" t="str">
        <f t="shared" si="7"/>
        <v/>
      </c>
      <c r="J78" s="39" t="str">
        <f t="shared" si="7"/>
        <v/>
      </c>
      <c r="K78" s="39" t="str">
        <f t="shared" si="7"/>
        <v/>
      </c>
      <c r="L78" s="39" t="str">
        <f t="shared" si="7"/>
        <v/>
      </c>
      <c r="M78" s="39" t="str">
        <f t="shared" si="7"/>
        <v/>
      </c>
      <c r="N78" s="39" t="str">
        <f t="shared" si="7"/>
        <v/>
      </c>
      <c r="O78" s="39" t="str">
        <f t="shared" si="7"/>
        <v/>
      </c>
      <c r="P78" s="39" t="str">
        <f t="shared" si="7"/>
        <v/>
      </c>
      <c r="Q78" s="39" t="str">
        <f t="shared" si="7"/>
        <v/>
      </c>
      <c r="R78" s="39" t="str">
        <f t="shared" si="7"/>
        <v/>
      </c>
      <c r="S78" s="39" t="str">
        <f t="shared" si="7"/>
        <v/>
      </c>
      <c r="T78" s="39" t="str">
        <f t="shared" si="7"/>
        <v/>
      </c>
      <c r="U78" s="39" t="str">
        <f t="shared" si="7"/>
        <v/>
      </c>
      <c r="V78" s="39" t="str">
        <f t="shared" si="7"/>
        <v/>
      </c>
    </row>
    <row r="79" spans="1:22" x14ac:dyDescent="0.3">
      <c r="A79" s="38"/>
      <c r="B79" s="39" t="str">
        <f>IF($A79="","",SUMIFS(weekly_demand!$D:$D,weekly_demand!$A:$A,B$1,weekly_demand!$C:$C,$A79))</f>
        <v/>
      </c>
      <c r="C79" s="39" t="str">
        <f>IF($A79="","",SUMIFS(weekly_demand!$D:$D,weekly_demand!$A:$A,C$1,weekly_demand!$C:$C,$A79))</f>
        <v/>
      </c>
      <c r="D79" s="39" t="str">
        <f>IF($A79="","",SUMIFS(weekly_demand!$D:$D,weekly_demand!$A:$A,D$1,weekly_demand!$C:$C,$A79))</f>
        <v/>
      </c>
      <c r="E79" s="39" t="str">
        <f>IF($A79="","",SUMIFS(weekly_demand!$D:$D,weekly_demand!$A:$A,E$1,weekly_demand!$C:$C,$A79))</f>
        <v/>
      </c>
      <c r="F79" s="39" t="str">
        <f>IF($A79="","",SUMIFS(weekly_demand!$D:$D,weekly_demand!$A:$A,F$1,weekly_demand!$C:$C,$A79))</f>
        <v/>
      </c>
      <c r="G79" s="39" t="str">
        <f>IF($A79="","",SUMIFS(weekly_demand!$D:$D,weekly_demand!$A:$A,G$1,weekly_demand!$C:$C,$A79))</f>
        <v/>
      </c>
      <c r="H79" s="39" t="str">
        <f t="shared" si="7"/>
        <v/>
      </c>
      <c r="I79" s="39" t="str">
        <f t="shared" si="7"/>
        <v/>
      </c>
      <c r="J79" s="39" t="str">
        <f t="shared" si="7"/>
        <v/>
      </c>
      <c r="K79" s="39" t="str">
        <f t="shared" si="7"/>
        <v/>
      </c>
      <c r="L79" s="39" t="str">
        <f t="shared" si="7"/>
        <v/>
      </c>
      <c r="M79" s="39" t="str">
        <f t="shared" si="7"/>
        <v/>
      </c>
      <c r="N79" s="39" t="str">
        <f t="shared" si="7"/>
        <v/>
      </c>
      <c r="O79" s="39" t="str">
        <f t="shared" si="7"/>
        <v/>
      </c>
      <c r="P79" s="39" t="str">
        <f t="shared" si="7"/>
        <v/>
      </c>
      <c r="Q79" s="39" t="str">
        <f t="shared" si="7"/>
        <v/>
      </c>
      <c r="R79" s="39" t="str">
        <f t="shared" si="7"/>
        <v/>
      </c>
      <c r="S79" s="39" t="str">
        <f t="shared" si="7"/>
        <v/>
      </c>
      <c r="T79" s="39" t="str">
        <f t="shared" si="7"/>
        <v/>
      </c>
      <c r="U79" s="39" t="str">
        <f t="shared" si="7"/>
        <v/>
      </c>
      <c r="V79" s="39" t="str">
        <f t="shared" si="7"/>
        <v/>
      </c>
    </row>
    <row r="80" spans="1:22" x14ac:dyDescent="0.3">
      <c r="A80" s="38"/>
      <c r="B80" s="39" t="str">
        <f>IF($A80="","",SUMIFS(weekly_demand!$D:$D,weekly_demand!$A:$A,B$1,weekly_demand!$C:$C,$A80))</f>
        <v/>
      </c>
      <c r="C80" s="39" t="str">
        <f>IF($A80="","",SUMIFS(weekly_demand!$D:$D,weekly_demand!$A:$A,C$1,weekly_demand!$C:$C,$A80))</f>
        <v/>
      </c>
      <c r="D80" s="39" t="str">
        <f>IF($A80="","",SUMIFS(weekly_demand!$D:$D,weekly_demand!$A:$A,D$1,weekly_demand!$C:$C,$A80))</f>
        <v/>
      </c>
      <c r="E80" s="39" t="str">
        <f>IF($A80="","",SUMIFS(weekly_demand!$D:$D,weekly_demand!$A:$A,E$1,weekly_demand!$C:$C,$A80))</f>
        <v/>
      </c>
      <c r="F80" s="39" t="str">
        <f>IF($A80="","",SUMIFS(weekly_demand!$D:$D,weekly_demand!$A:$A,F$1,weekly_demand!$C:$C,$A80))</f>
        <v/>
      </c>
      <c r="G80" s="39" t="str">
        <f>IF($A80="","",SUMIFS(weekly_demand!$D:$D,weekly_demand!$A:$A,G$1,weekly_demand!$C:$C,$A80))</f>
        <v/>
      </c>
      <c r="H80" s="39" t="str">
        <f t="shared" si="7"/>
        <v/>
      </c>
      <c r="I80" s="39" t="str">
        <f t="shared" si="7"/>
        <v/>
      </c>
      <c r="J80" s="39" t="str">
        <f t="shared" si="7"/>
        <v/>
      </c>
      <c r="K80" s="39" t="str">
        <f t="shared" si="7"/>
        <v/>
      </c>
      <c r="L80" s="39" t="str">
        <f t="shared" si="7"/>
        <v/>
      </c>
      <c r="M80" s="39" t="str">
        <f t="shared" si="7"/>
        <v/>
      </c>
      <c r="N80" s="39" t="str">
        <f t="shared" si="7"/>
        <v/>
      </c>
      <c r="O80" s="39" t="str">
        <f t="shared" si="7"/>
        <v/>
      </c>
      <c r="P80" s="39" t="str">
        <f t="shared" si="7"/>
        <v/>
      </c>
      <c r="Q80" s="39" t="str">
        <f t="shared" si="7"/>
        <v/>
      </c>
      <c r="R80" s="39" t="str">
        <f t="shared" si="7"/>
        <v/>
      </c>
      <c r="S80" s="39" t="str">
        <f t="shared" si="7"/>
        <v/>
      </c>
      <c r="T80" s="39" t="str">
        <f t="shared" si="7"/>
        <v/>
      </c>
      <c r="U80" s="39" t="str">
        <f t="shared" si="7"/>
        <v/>
      </c>
      <c r="V80" s="39" t="str">
        <f t="shared" si="7"/>
        <v/>
      </c>
    </row>
    <row r="81" spans="1:22" x14ac:dyDescent="0.3">
      <c r="A81" s="38"/>
      <c r="B81" s="39" t="str">
        <f>IF($A81="","",SUMIFS(weekly_demand!$D:$D,weekly_demand!$A:$A,B$1,weekly_demand!$C:$C,$A81))</f>
        <v/>
      </c>
      <c r="C81" s="39" t="str">
        <f>IF($A81="","",SUMIFS(weekly_demand!$D:$D,weekly_demand!$A:$A,C$1,weekly_demand!$C:$C,$A81))</f>
        <v/>
      </c>
      <c r="D81" s="39" t="str">
        <f>IF($A81="","",SUMIFS(weekly_demand!$D:$D,weekly_demand!$A:$A,D$1,weekly_demand!$C:$C,$A81))</f>
        <v/>
      </c>
      <c r="E81" s="39" t="str">
        <f>IF($A81="","",SUMIFS(weekly_demand!$D:$D,weekly_demand!$A:$A,E$1,weekly_demand!$C:$C,$A81))</f>
        <v/>
      </c>
      <c r="F81" s="39" t="str">
        <f>IF($A81="","",SUMIFS(weekly_demand!$D:$D,weekly_demand!$A:$A,F$1,weekly_demand!$C:$C,$A81))</f>
        <v/>
      </c>
      <c r="G81" s="39" t="str">
        <f>IF($A81="","",SUMIFS(weekly_demand!$D:$D,weekly_demand!$A:$A,G$1,weekly_demand!$C:$C,$A81))</f>
        <v/>
      </c>
      <c r="H81" s="39" t="str">
        <f t="shared" si="7"/>
        <v/>
      </c>
      <c r="I81" s="39" t="str">
        <f t="shared" si="7"/>
        <v/>
      </c>
      <c r="J81" s="39" t="str">
        <f t="shared" si="7"/>
        <v/>
      </c>
      <c r="K81" s="39" t="str">
        <f t="shared" si="7"/>
        <v/>
      </c>
      <c r="L81" s="39" t="str">
        <f t="shared" si="7"/>
        <v/>
      </c>
      <c r="M81" s="39" t="str">
        <f t="shared" si="7"/>
        <v/>
      </c>
      <c r="N81" s="39" t="str">
        <f t="shared" si="7"/>
        <v/>
      </c>
      <c r="O81" s="39" t="str">
        <f t="shared" si="7"/>
        <v/>
      </c>
      <c r="P81" s="39" t="str">
        <f t="shared" si="7"/>
        <v/>
      </c>
      <c r="Q81" s="39" t="str">
        <f t="shared" si="7"/>
        <v/>
      </c>
      <c r="R81" s="39" t="str">
        <f t="shared" si="7"/>
        <v/>
      </c>
      <c r="S81" s="39" t="str">
        <f t="shared" si="7"/>
        <v/>
      </c>
      <c r="T81" s="39" t="str">
        <f t="shared" si="7"/>
        <v/>
      </c>
      <c r="U81" s="39" t="str">
        <f t="shared" si="7"/>
        <v/>
      </c>
      <c r="V81" s="39" t="str">
        <f t="shared" si="7"/>
        <v/>
      </c>
    </row>
    <row r="82" spans="1:22" x14ac:dyDescent="0.3">
      <c r="A82" s="38"/>
      <c r="B82" s="39" t="str">
        <f>IF($A82="","",SUMIFS(weekly_demand!$D:$D,weekly_demand!$A:$A,B$1,weekly_demand!$C:$C,$A82))</f>
        <v/>
      </c>
      <c r="C82" s="39" t="str">
        <f>IF($A82="","",SUMIFS(weekly_demand!$D:$D,weekly_demand!$A:$A,C$1,weekly_demand!$C:$C,$A82))</f>
        <v/>
      </c>
      <c r="D82" s="39" t="str">
        <f>IF($A82="","",SUMIFS(weekly_demand!$D:$D,weekly_demand!$A:$A,D$1,weekly_demand!$C:$C,$A82))</f>
        <v/>
      </c>
      <c r="E82" s="39" t="str">
        <f>IF($A82="","",SUMIFS(weekly_demand!$D:$D,weekly_demand!$A:$A,E$1,weekly_demand!$C:$C,$A82))</f>
        <v/>
      </c>
      <c r="F82" s="39" t="str">
        <f>IF($A82="","",SUMIFS(weekly_demand!$D:$D,weekly_demand!$A:$A,F$1,weekly_demand!$C:$C,$A82))</f>
        <v/>
      </c>
      <c r="G82" s="39" t="str">
        <f>IF($A82="","",SUMIFS(weekly_demand!$D:$D,weekly_demand!$A:$A,G$1,weekly_demand!$C:$C,$A82))</f>
        <v/>
      </c>
      <c r="H82" s="39" t="str">
        <f t="shared" ref="H82:V91" si="8">IF($A82="","",SUMPRODUCT($B82:$G82,INDEX($Y$2:$AD$16,MATCH(H$1,$X$2:$X$16,0),0)))</f>
        <v/>
      </c>
      <c r="I82" s="39" t="str">
        <f t="shared" si="8"/>
        <v/>
      </c>
      <c r="J82" s="39" t="str">
        <f t="shared" si="8"/>
        <v/>
      </c>
      <c r="K82" s="39" t="str">
        <f t="shared" si="8"/>
        <v/>
      </c>
      <c r="L82" s="39" t="str">
        <f t="shared" si="8"/>
        <v/>
      </c>
      <c r="M82" s="39" t="str">
        <f t="shared" si="8"/>
        <v/>
      </c>
      <c r="N82" s="39" t="str">
        <f t="shared" si="8"/>
        <v/>
      </c>
      <c r="O82" s="39" t="str">
        <f t="shared" si="8"/>
        <v/>
      </c>
      <c r="P82" s="39" t="str">
        <f t="shared" si="8"/>
        <v/>
      </c>
      <c r="Q82" s="39" t="str">
        <f t="shared" si="8"/>
        <v/>
      </c>
      <c r="R82" s="39" t="str">
        <f t="shared" si="8"/>
        <v/>
      </c>
      <c r="S82" s="39" t="str">
        <f t="shared" si="8"/>
        <v/>
      </c>
      <c r="T82" s="39" t="str">
        <f t="shared" si="8"/>
        <v/>
      </c>
      <c r="U82" s="39" t="str">
        <f t="shared" si="8"/>
        <v/>
      </c>
      <c r="V82" s="39" t="str">
        <f t="shared" si="8"/>
        <v/>
      </c>
    </row>
    <row r="83" spans="1:22" x14ac:dyDescent="0.3">
      <c r="A83" s="38"/>
      <c r="B83" s="39" t="str">
        <f>IF($A83="","",SUMIFS(weekly_demand!$D:$D,weekly_demand!$A:$A,B$1,weekly_demand!$C:$C,$A83))</f>
        <v/>
      </c>
      <c r="C83" s="39" t="str">
        <f>IF($A83="","",SUMIFS(weekly_demand!$D:$D,weekly_demand!$A:$A,C$1,weekly_demand!$C:$C,$A83))</f>
        <v/>
      </c>
      <c r="D83" s="39" t="str">
        <f>IF($A83="","",SUMIFS(weekly_demand!$D:$D,weekly_demand!$A:$A,D$1,weekly_demand!$C:$C,$A83))</f>
        <v/>
      </c>
      <c r="E83" s="39" t="str">
        <f>IF($A83="","",SUMIFS(weekly_demand!$D:$D,weekly_demand!$A:$A,E$1,weekly_demand!$C:$C,$A83))</f>
        <v/>
      </c>
      <c r="F83" s="39" t="str">
        <f>IF($A83="","",SUMIFS(weekly_demand!$D:$D,weekly_demand!$A:$A,F$1,weekly_demand!$C:$C,$A83))</f>
        <v/>
      </c>
      <c r="G83" s="39" t="str">
        <f>IF($A83="","",SUMIFS(weekly_demand!$D:$D,weekly_demand!$A:$A,G$1,weekly_demand!$C:$C,$A83))</f>
        <v/>
      </c>
      <c r="H83" s="39" t="str">
        <f t="shared" si="8"/>
        <v/>
      </c>
      <c r="I83" s="39" t="str">
        <f t="shared" si="8"/>
        <v/>
      </c>
      <c r="J83" s="39" t="str">
        <f t="shared" si="8"/>
        <v/>
      </c>
      <c r="K83" s="39" t="str">
        <f t="shared" si="8"/>
        <v/>
      </c>
      <c r="L83" s="39" t="str">
        <f t="shared" si="8"/>
        <v/>
      </c>
      <c r="M83" s="39" t="str">
        <f t="shared" si="8"/>
        <v/>
      </c>
      <c r="N83" s="39" t="str">
        <f t="shared" si="8"/>
        <v/>
      </c>
      <c r="O83" s="39" t="str">
        <f t="shared" si="8"/>
        <v/>
      </c>
      <c r="P83" s="39" t="str">
        <f t="shared" si="8"/>
        <v/>
      </c>
      <c r="Q83" s="39" t="str">
        <f t="shared" si="8"/>
        <v/>
      </c>
      <c r="R83" s="39" t="str">
        <f t="shared" si="8"/>
        <v/>
      </c>
      <c r="S83" s="39" t="str">
        <f t="shared" si="8"/>
        <v/>
      </c>
      <c r="T83" s="39" t="str">
        <f t="shared" si="8"/>
        <v/>
      </c>
      <c r="U83" s="39" t="str">
        <f t="shared" si="8"/>
        <v/>
      </c>
      <c r="V83" s="39" t="str">
        <f t="shared" si="8"/>
        <v/>
      </c>
    </row>
    <row r="84" spans="1:22" x14ac:dyDescent="0.3">
      <c r="A84" s="38"/>
      <c r="B84" s="39" t="str">
        <f>IF($A84="","",SUMIFS(weekly_demand!$D:$D,weekly_demand!$A:$A,B$1,weekly_demand!$C:$C,$A84))</f>
        <v/>
      </c>
      <c r="C84" s="39" t="str">
        <f>IF($A84="","",SUMIFS(weekly_demand!$D:$D,weekly_demand!$A:$A,C$1,weekly_demand!$C:$C,$A84))</f>
        <v/>
      </c>
      <c r="D84" s="39" t="str">
        <f>IF($A84="","",SUMIFS(weekly_demand!$D:$D,weekly_demand!$A:$A,D$1,weekly_demand!$C:$C,$A84))</f>
        <v/>
      </c>
      <c r="E84" s="39" t="str">
        <f>IF($A84="","",SUMIFS(weekly_demand!$D:$D,weekly_demand!$A:$A,E$1,weekly_demand!$C:$C,$A84))</f>
        <v/>
      </c>
      <c r="F84" s="39" t="str">
        <f>IF($A84="","",SUMIFS(weekly_demand!$D:$D,weekly_demand!$A:$A,F$1,weekly_demand!$C:$C,$A84))</f>
        <v/>
      </c>
      <c r="G84" s="39" t="str">
        <f>IF($A84="","",SUMIFS(weekly_demand!$D:$D,weekly_demand!$A:$A,G$1,weekly_demand!$C:$C,$A84))</f>
        <v/>
      </c>
      <c r="H84" s="39" t="str">
        <f t="shared" si="8"/>
        <v/>
      </c>
      <c r="I84" s="39" t="str">
        <f t="shared" si="8"/>
        <v/>
      </c>
      <c r="J84" s="39" t="str">
        <f t="shared" si="8"/>
        <v/>
      </c>
      <c r="K84" s="39" t="str">
        <f t="shared" si="8"/>
        <v/>
      </c>
      <c r="L84" s="39" t="str">
        <f t="shared" si="8"/>
        <v/>
      </c>
      <c r="M84" s="39" t="str">
        <f t="shared" si="8"/>
        <v/>
      </c>
      <c r="N84" s="39" t="str">
        <f t="shared" si="8"/>
        <v/>
      </c>
      <c r="O84" s="39" t="str">
        <f t="shared" si="8"/>
        <v/>
      </c>
      <c r="P84" s="39" t="str">
        <f t="shared" si="8"/>
        <v/>
      </c>
      <c r="Q84" s="39" t="str">
        <f t="shared" si="8"/>
        <v/>
      </c>
      <c r="R84" s="39" t="str">
        <f t="shared" si="8"/>
        <v/>
      </c>
      <c r="S84" s="39" t="str">
        <f t="shared" si="8"/>
        <v/>
      </c>
      <c r="T84" s="39" t="str">
        <f t="shared" si="8"/>
        <v/>
      </c>
      <c r="U84" s="39" t="str">
        <f t="shared" si="8"/>
        <v/>
      </c>
      <c r="V84" s="39" t="str">
        <f t="shared" si="8"/>
        <v/>
      </c>
    </row>
    <row r="85" spans="1:22" x14ac:dyDescent="0.3">
      <c r="A85" s="38"/>
      <c r="B85" s="39" t="str">
        <f>IF($A85="","",SUMIFS(weekly_demand!$D:$D,weekly_demand!$A:$A,B$1,weekly_demand!$C:$C,$A85))</f>
        <v/>
      </c>
      <c r="C85" s="39" t="str">
        <f>IF($A85="","",SUMIFS(weekly_demand!$D:$D,weekly_demand!$A:$A,C$1,weekly_demand!$C:$C,$A85))</f>
        <v/>
      </c>
      <c r="D85" s="39" t="str">
        <f>IF($A85="","",SUMIFS(weekly_demand!$D:$D,weekly_demand!$A:$A,D$1,weekly_demand!$C:$C,$A85))</f>
        <v/>
      </c>
      <c r="E85" s="39" t="str">
        <f>IF($A85="","",SUMIFS(weekly_demand!$D:$D,weekly_demand!$A:$A,E$1,weekly_demand!$C:$C,$A85))</f>
        <v/>
      </c>
      <c r="F85" s="39" t="str">
        <f>IF($A85="","",SUMIFS(weekly_demand!$D:$D,weekly_demand!$A:$A,F$1,weekly_demand!$C:$C,$A85))</f>
        <v/>
      </c>
      <c r="G85" s="39" t="str">
        <f>IF($A85="","",SUMIFS(weekly_demand!$D:$D,weekly_demand!$A:$A,G$1,weekly_demand!$C:$C,$A85))</f>
        <v/>
      </c>
      <c r="H85" s="39" t="str">
        <f t="shared" si="8"/>
        <v/>
      </c>
      <c r="I85" s="39" t="str">
        <f t="shared" si="8"/>
        <v/>
      </c>
      <c r="J85" s="39" t="str">
        <f t="shared" si="8"/>
        <v/>
      </c>
      <c r="K85" s="39" t="str">
        <f t="shared" si="8"/>
        <v/>
      </c>
      <c r="L85" s="39" t="str">
        <f t="shared" si="8"/>
        <v/>
      </c>
      <c r="M85" s="39" t="str">
        <f t="shared" si="8"/>
        <v/>
      </c>
      <c r="N85" s="39" t="str">
        <f t="shared" si="8"/>
        <v/>
      </c>
      <c r="O85" s="39" t="str">
        <f t="shared" si="8"/>
        <v/>
      </c>
      <c r="P85" s="39" t="str">
        <f t="shared" si="8"/>
        <v/>
      </c>
      <c r="Q85" s="39" t="str">
        <f t="shared" si="8"/>
        <v/>
      </c>
      <c r="R85" s="39" t="str">
        <f t="shared" si="8"/>
        <v/>
      </c>
      <c r="S85" s="39" t="str">
        <f t="shared" si="8"/>
        <v/>
      </c>
      <c r="T85" s="39" t="str">
        <f t="shared" si="8"/>
        <v/>
      </c>
      <c r="U85" s="39" t="str">
        <f t="shared" si="8"/>
        <v/>
      </c>
      <c r="V85" s="39" t="str">
        <f t="shared" si="8"/>
        <v/>
      </c>
    </row>
    <row r="86" spans="1:22" x14ac:dyDescent="0.3">
      <c r="A86" s="38"/>
      <c r="B86" s="39" t="str">
        <f>IF($A86="","",SUMIFS(weekly_demand!$D:$D,weekly_demand!$A:$A,B$1,weekly_demand!$C:$C,$A86))</f>
        <v/>
      </c>
      <c r="C86" s="39" t="str">
        <f>IF($A86="","",SUMIFS(weekly_demand!$D:$D,weekly_demand!$A:$A,C$1,weekly_demand!$C:$C,$A86))</f>
        <v/>
      </c>
      <c r="D86" s="39" t="str">
        <f>IF($A86="","",SUMIFS(weekly_demand!$D:$D,weekly_demand!$A:$A,D$1,weekly_demand!$C:$C,$A86))</f>
        <v/>
      </c>
      <c r="E86" s="39" t="str">
        <f>IF($A86="","",SUMIFS(weekly_demand!$D:$D,weekly_demand!$A:$A,E$1,weekly_demand!$C:$C,$A86))</f>
        <v/>
      </c>
      <c r="F86" s="39" t="str">
        <f>IF($A86="","",SUMIFS(weekly_demand!$D:$D,weekly_demand!$A:$A,F$1,weekly_demand!$C:$C,$A86))</f>
        <v/>
      </c>
      <c r="G86" s="39" t="str">
        <f>IF($A86="","",SUMIFS(weekly_demand!$D:$D,weekly_demand!$A:$A,G$1,weekly_demand!$C:$C,$A86))</f>
        <v/>
      </c>
      <c r="H86" s="39" t="str">
        <f t="shared" si="8"/>
        <v/>
      </c>
      <c r="I86" s="39" t="str">
        <f t="shared" si="8"/>
        <v/>
      </c>
      <c r="J86" s="39" t="str">
        <f t="shared" si="8"/>
        <v/>
      </c>
      <c r="K86" s="39" t="str">
        <f t="shared" si="8"/>
        <v/>
      </c>
      <c r="L86" s="39" t="str">
        <f t="shared" si="8"/>
        <v/>
      </c>
      <c r="M86" s="39" t="str">
        <f t="shared" si="8"/>
        <v/>
      </c>
      <c r="N86" s="39" t="str">
        <f t="shared" si="8"/>
        <v/>
      </c>
      <c r="O86" s="39" t="str">
        <f t="shared" si="8"/>
        <v/>
      </c>
      <c r="P86" s="39" t="str">
        <f t="shared" si="8"/>
        <v/>
      </c>
      <c r="Q86" s="39" t="str">
        <f t="shared" si="8"/>
        <v/>
      </c>
      <c r="R86" s="39" t="str">
        <f t="shared" si="8"/>
        <v/>
      </c>
      <c r="S86" s="39" t="str">
        <f t="shared" si="8"/>
        <v/>
      </c>
      <c r="T86" s="39" t="str">
        <f t="shared" si="8"/>
        <v/>
      </c>
      <c r="U86" s="39" t="str">
        <f t="shared" si="8"/>
        <v/>
      </c>
      <c r="V86" s="39" t="str">
        <f t="shared" si="8"/>
        <v/>
      </c>
    </row>
    <row r="87" spans="1:22" x14ac:dyDescent="0.3">
      <c r="A87" s="38"/>
      <c r="B87" s="39" t="str">
        <f>IF($A87="","",SUMIFS(weekly_demand!$D:$D,weekly_demand!$A:$A,B$1,weekly_demand!$C:$C,$A87))</f>
        <v/>
      </c>
      <c r="C87" s="39" t="str">
        <f>IF($A87="","",SUMIFS(weekly_demand!$D:$D,weekly_demand!$A:$A,C$1,weekly_demand!$C:$C,$A87))</f>
        <v/>
      </c>
      <c r="D87" s="39" t="str">
        <f>IF($A87="","",SUMIFS(weekly_demand!$D:$D,weekly_demand!$A:$A,D$1,weekly_demand!$C:$C,$A87))</f>
        <v/>
      </c>
      <c r="E87" s="39" t="str">
        <f>IF($A87="","",SUMIFS(weekly_demand!$D:$D,weekly_demand!$A:$A,E$1,weekly_demand!$C:$C,$A87))</f>
        <v/>
      </c>
      <c r="F87" s="39" t="str">
        <f>IF($A87="","",SUMIFS(weekly_demand!$D:$D,weekly_demand!$A:$A,F$1,weekly_demand!$C:$C,$A87))</f>
        <v/>
      </c>
      <c r="G87" s="39" t="str">
        <f>IF($A87="","",SUMIFS(weekly_demand!$D:$D,weekly_demand!$A:$A,G$1,weekly_demand!$C:$C,$A87))</f>
        <v/>
      </c>
      <c r="H87" s="39" t="str">
        <f t="shared" si="8"/>
        <v/>
      </c>
      <c r="I87" s="39" t="str">
        <f t="shared" si="8"/>
        <v/>
      </c>
      <c r="J87" s="39" t="str">
        <f t="shared" si="8"/>
        <v/>
      </c>
      <c r="K87" s="39" t="str">
        <f t="shared" si="8"/>
        <v/>
      </c>
      <c r="L87" s="39" t="str">
        <f t="shared" si="8"/>
        <v/>
      </c>
      <c r="M87" s="39" t="str">
        <f t="shared" si="8"/>
        <v/>
      </c>
      <c r="N87" s="39" t="str">
        <f t="shared" si="8"/>
        <v/>
      </c>
      <c r="O87" s="39" t="str">
        <f t="shared" si="8"/>
        <v/>
      </c>
      <c r="P87" s="39" t="str">
        <f t="shared" si="8"/>
        <v/>
      </c>
      <c r="Q87" s="39" t="str">
        <f t="shared" si="8"/>
        <v/>
      </c>
      <c r="R87" s="39" t="str">
        <f t="shared" si="8"/>
        <v/>
      </c>
      <c r="S87" s="39" t="str">
        <f t="shared" si="8"/>
        <v/>
      </c>
      <c r="T87" s="39" t="str">
        <f t="shared" si="8"/>
        <v/>
      </c>
      <c r="U87" s="39" t="str">
        <f t="shared" si="8"/>
        <v/>
      </c>
      <c r="V87" s="39" t="str">
        <f t="shared" si="8"/>
        <v/>
      </c>
    </row>
    <row r="88" spans="1:22" x14ac:dyDescent="0.3">
      <c r="A88" s="38"/>
      <c r="B88" s="39" t="str">
        <f>IF($A88="","",SUMIFS(weekly_demand!$D:$D,weekly_demand!$A:$A,B$1,weekly_demand!$C:$C,$A88))</f>
        <v/>
      </c>
      <c r="C88" s="39" t="str">
        <f>IF($A88="","",SUMIFS(weekly_demand!$D:$D,weekly_demand!$A:$A,C$1,weekly_demand!$C:$C,$A88))</f>
        <v/>
      </c>
      <c r="D88" s="39" t="str">
        <f>IF($A88="","",SUMIFS(weekly_demand!$D:$D,weekly_demand!$A:$A,D$1,weekly_demand!$C:$C,$A88))</f>
        <v/>
      </c>
      <c r="E88" s="39" t="str">
        <f>IF($A88="","",SUMIFS(weekly_demand!$D:$D,weekly_demand!$A:$A,E$1,weekly_demand!$C:$C,$A88))</f>
        <v/>
      </c>
      <c r="F88" s="39" t="str">
        <f>IF($A88="","",SUMIFS(weekly_demand!$D:$D,weekly_demand!$A:$A,F$1,weekly_demand!$C:$C,$A88))</f>
        <v/>
      </c>
      <c r="G88" s="39" t="str">
        <f>IF($A88="","",SUMIFS(weekly_demand!$D:$D,weekly_demand!$A:$A,G$1,weekly_demand!$C:$C,$A88))</f>
        <v/>
      </c>
      <c r="H88" s="39" t="str">
        <f t="shared" si="8"/>
        <v/>
      </c>
      <c r="I88" s="39" t="str">
        <f t="shared" si="8"/>
        <v/>
      </c>
      <c r="J88" s="39" t="str">
        <f t="shared" si="8"/>
        <v/>
      </c>
      <c r="K88" s="39" t="str">
        <f t="shared" si="8"/>
        <v/>
      </c>
      <c r="L88" s="39" t="str">
        <f t="shared" si="8"/>
        <v/>
      </c>
      <c r="M88" s="39" t="str">
        <f t="shared" si="8"/>
        <v/>
      </c>
      <c r="N88" s="39" t="str">
        <f t="shared" si="8"/>
        <v/>
      </c>
      <c r="O88" s="39" t="str">
        <f t="shared" si="8"/>
        <v/>
      </c>
      <c r="P88" s="39" t="str">
        <f t="shared" si="8"/>
        <v/>
      </c>
      <c r="Q88" s="39" t="str">
        <f t="shared" si="8"/>
        <v/>
      </c>
      <c r="R88" s="39" t="str">
        <f t="shared" si="8"/>
        <v/>
      </c>
      <c r="S88" s="39" t="str">
        <f t="shared" si="8"/>
        <v/>
      </c>
      <c r="T88" s="39" t="str">
        <f t="shared" si="8"/>
        <v/>
      </c>
      <c r="U88" s="39" t="str">
        <f t="shared" si="8"/>
        <v/>
      </c>
      <c r="V88" s="39" t="str">
        <f t="shared" si="8"/>
        <v/>
      </c>
    </row>
    <row r="89" spans="1:22" x14ac:dyDescent="0.3">
      <c r="A89" s="38"/>
      <c r="B89" s="39" t="str">
        <f>IF($A89="","",SUMIFS(weekly_demand!$D:$D,weekly_demand!$A:$A,B$1,weekly_demand!$C:$C,$A89))</f>
        <v/>
      </c>
      <c r="C89" s="39" t="str">
        <f>IF($A89="","",SUMIFS(weekly_demand!$D:$D,weekly_demand!$A:$A,C$1,weekly_demand!$C:$C,$A89))</f>
        <v/>
      </c>
      <c r="D89" s="39" t="str">
        <f>IF($A89="","",SUMIFS(weekly_demand!$D:$D,weekly_demand!$A:$A,D$1,weekly_demand!$C:$C,$A89))</f>
        <v/>
      </c>
      <c r="E89" s="39" t="str">
        <f>IF($A89="","",SUMIFS(weekly_demand!$D:$D,weekly_demand!$A:$A,E$1,weekly_demand!$C:$C,$A89))</f>
        <v/>
      </c>
      <c r="F89" s="39" t="str">
        <f>IF($A89="","",SUMIFS(weekly_demand!$D:$D,weekly_demand!$A:$A,F$1,weekly_demand!$C:$C,$A89))</f>
        <v/>
      </c>
      <c r="G89" s="39" t="str">
        <f>IF($A89="","",SUMIFS(weekly_demand!$D:$D,weekly_demand!$A:$A,G$1,weekly_demand!$C:$C,$A89))</f>
        <v/>
      </c>
      <c r="H89" s="39" t="str">
        <f t="shared" si="8"/>
        <v/>
      </c>
      <c r="I89" s="39" t="str">
        <f t="shared" si="8"/>
        <v/>
      </c>
      <c r="J89" s="39" t="str">
        <f t="shared" si="8"/>
        <v/>
      </c>
      <c r="K89" s="39" t="str">
        <f t="shared" si="8"/>
        <v/>
      </c>
      <c r="L89" s="39" t="str">
        <f t="shared" si="8"/>
        <v/>
      </c>
      <c r="M89" s="39" t="str">
        <f t="shared" si="8"/>
        <v/>
      </c>
      <c r="N89" s="39" t="str">
        <f t="shared" si="8"/>
        <v/>
      </c>
      <c r="O89" s="39" t="str">
        <f t="shared" si="8"/>
        <v/>
      </c>
      <c r="P89" s="39" t="str">
        <f t="shared" si="8"/>
        <v/>
      </c>
      <c r="Q89" s="39" t="str">
        <f t="shared" si="8"/>
        <v/>
      </c>
      <c r="R89" s="39" t="str">
        <f t="shared" si="8"/>
        <v/>
      </c>
      <c r="S89" s="39" t="str">
        <f t="shared" si="8"/>
        <v/>
      </c>
      <c r="T89" s="39" t="str">
        <f t="shared" si="8"/>
        <v/>
      </c>
      <c r="U89" s="39" t="str">
        <f t="shared" si="8"/>
        <v/>
      </c>
      <c r="V89" s="39" t="str">
        <f t="shared" si="8"/>
        <v/>
      </c>
    </row>
    <row r="90" spans="1:22" x14ac:dyDescent="0.3">
      <c r="A90" s="38"/>
      <c r="B90" s="39" t="str">
        <f>IF($A90="","",SUMIFS(weekly_demand!$D:$D,weekly_demand!$A:$A,B$1,weekly_demand!$C:$C,$A90))</f>
        <v/>
      </c>
      <c r="C90" s="39" t="str">
        <f>IF($A90="","",SUMIFS(weekly_demand!$D:$D,weekly_demand!$A:$A,C$1,weekly_demand!$C:$C,$A90))</f>
        <v/>
      </c>
      <c r="D90" s="39" t="str">
        <f>IF($A90="","",SUMIFS(weekly_demand!$D:$D,weekly_demand!$A:$A,D$1,weekly_demand!$C:$C,$A90))</f>
        <v/>
      </c>
      <c r="E90" s="39" t="str">
        <f>IF($A90="","",SUMIFS(weekly_demand!$D:$D,weekly_demand!$A:$A,E$1,weekly_demand!$C:$C,$A90))</f>
        <v/>
      </c>
      <c r="F90" s="39" t="str">
        <f>IF($A90="","",SUMIFS(weekly_demand!$D:$D,weekly_demand!$A:$A,F$1,weekly_demand!$C:$C,$A90))</f>
        <v/>
      </c>
      <c r="G90" s="39" t="str">
        <f>IF($A90="","",SUMIFS(weekly_demand!$D:$D,weekly_demand!$A:$A,G$1,weekly_demand!$C:$C,$A90))</f>
        <v/>
      </c>
      <c r="H90" s="39" t="str">
        <f t="shared" si="8"/>
        <v/>
      </c>
      <c r="I90" s="39" t="str">
        <f t="shared" si="8"/>
        <v/>
      </c>
      <c r="J90" s="39" t="str">
        <f t="shared" si="8"/>
        <v/>
      </c>
      <c r="K90" s="39" t="str">
        <f t="shared" si="8"/>
        <v/>
      </c>
      <c r="L90" s="39" t="str">
        <f t="shared" si="8"/>
        <v/>
      </c>
      <c r="M90" s="39" t="str">
        <f t="shared" si="8"/>
        <v/>
      </c>
      <c r="N90" s="39" t="str">
        <f t="shared" si="8"/>
        <v/>
      </c>
      <c r="O90" s="39" t="str">
        <f t="shared" si="8"/>
        <v/>
      </c>
      <c r="P90" s="39" t="str">
        <f t="shared" si="8"/>
        <v/>
      </c>
      <c r="Q90" s="39" t="str">
        <f t="shared" si="8"/>
        <v/>
      </c>
      <c r="R90" s="39" t="str">
        <f t="shared" si="8"/>
        <v/>
      </c>
      <c r="S90" s="39" t="str">
        <f t="shared" si="8"/>
        <v/>
      </c>
      <c r="T90" s="39" t="str">
        <f t="shared" si="8"/>
        <v/>
      </c>
      <c r="U90" s="39" t="str">
        <f t="shared" si="8"/>
        <v/>
      </c>
      <c r="V90" s="39" t="str">
        <f t="shared" si="8"/>
        <v/>
      </c>
    </row>
    <row r="91" spans="1:22" x14ac:dyDescent="0.3">
      <c r="A91" s="38"/>
      <c r="B91" s="39" t="str">
        <f>IF($A91="","",SUMIFS(weekly_demand!$D:$D,weekly_demand!$A:$A,B$1,weekly_demand!$C:$C,$A91))</f>
        <v/>
      </c>
      <c r="C91" s="39" t="str">
        <f>IF($A91="","",SUMIFS(weekly_demand!$D:$D,weekly_demand!$A:$A,C$1,weekly_demand!$C:$C,$A91))</f>
        <v/>
      </c>
      <c r="D91" s="39" t="str">
        <f>IF($A91="","",SUMIFS(weekly_demand!$D:$D,weekly_demand!$A:$A,D$1,weekly_demand!$C:$C,$A91))</f>
        <v/>
      </c>
      <c r="E91" s="39" t="str">
        <f>IF($A91="","",SUMIFS(weekly_demand!$D:$D,weekly_demand!$A:$A,E$1,weekly_demand!$C:$C,$A91))</f>
        <v/>
      </c>
      <c r="F91" s="39" t="str">
        <f>IF($A91="","",SUMIFS(weekly_demand!$D:$D,weekly_demand!$A:$A,F$1,weekly_demand!$C:$C,$A91))</f>
        <v/>
      </c>
      <c r="G91" s="39" t="str">
        <f>IF($A91="","",SUMIFS(weekly_demand!$D:$D,weekly_demand!$A:$A,G$1,weekly_demand!$C:$C,$A91))</f>
        <v/>
      </c>
      <c r="H91" s="39" t="str">
        <f t="shared" si="8"/>
        <v/>
      </c>
      <c r="I91" s="39" t="str">
        <f t="shared" si="8"/>
        <v/>
      </c>
      <c r="J91" s="39" t="str">
        <f t="shared" si="8"/>
        <v/>
      </c>
      <c r="K91" s="39" t="str">
        <f t="shared" si="8"/>
        <v/>
      </c>
      <c r="L91" s="39" t="str">
        <f t="shared" si="8"/>
        <v/>
      </c>
      <c r="M91" s="39" t="str">
        <f t="shared" si="8"/>
        <v/>
      </c>
      <c r="N91" s="39" t="str">
        <f t="shared" si="8"/>
        <v/>
      </c>
      <c r="O91" s="39" t="str">
        <f t="shared" si="8"/>
        <v/>
      </c>
      <c r="P91" s="39" t="str">
        <f t="shared" si="8"/>
        <v/>
      </c>
      <c r="Q91" s="39" t="str">
        <f t="shared" si="8"/>
        <v/>
      </c>
      <c r="R91" s="39" t="str">
        <f t="shared" si="8"/>
        <v/>
      </c>
      <c r="S91" s="39" t="str">
        <f t="shared" si="8"/>
        <v/>
      </c>
      <c r="T91" s="39" t="str">
        <f t="shared" si="8"/>
        <v/>
      </c>
      <c r="U91" s="39" t="str">
        <f t="shared" si="8"/>
        <v/>
      </c>
      <c r="V91" s="39" t="str">
        <f t="shared" si="8"/>
        <v/>
      </c>
    </row>
    <row r="92" spans="1:22" x14ac:dyDescent="0.3">
      <c r="A92" s="38"/>
      <c r="B92" s="39" t="str">
        <f>IF($A92="","",SUMIFS(weekly_demand!$D:$D,weekly_demand!$A:$A,B$1,weekly_demand!$C:$C,$A92))</f>
        <v/>
      </c>
      <c r="C92" s="39" t="str">
        <f>IF($A92="","",SUMIFS(weekly_demand!$D:$D,weekly_demand!$A:$A,C$1,weekly_demand!$C:$C,$A92))</f>
        <v/>
      </c>
      <c r="D92" s="39" t="str">
        <f>IF($A92="","",SUMIFS(weekly_demand!$D:$D,weekly_demand!$A:$A,D$1,weekly_demand!$C:$C,$A92))</f>
        <v/>
      </c>
      <c r="E92" s="39" t="str">
        <f>IF($A92="","",SUMIFS(weekly_demand!$D:$D,weekly_demand!$A:$A,E$1,weekly_demand!$C:$C,$A92))</f>
        <v/>
      </c>
      <c r="F92" s="39" t="str">
        <f>IF($A92="","",SUMIFS(weekly_demand!$D:$D,weekly_demand!$A:$A,F$1,weekly_demand!$C:$C,$A92))</f>
        <v/>
      </c>
      <c r="G92" s="39" t="str">
        <f>IF($A92="","",SUMIFS(weekly_demand!$D:$D,weekly_demand!$A:$A,G$1,weekly_demand!$C:$C,$A92))</f>
        <v/>
      </c>
      <c r="H92" s="39" t="str">
        <f t="shared" ref="H92:V101" si="9">IF($A92="","",SUMPRODUCT($B92:$G92,INDEX($Y$2:$AD$16,MATCH(H$1,$X$2:$X$16,0),0)))</f>
        <v/>
      </c>
      <c r="I92" s="39" t="str">
        <f t="shared" si="9"/>
        <v/>
      </c>
      <c r="J92" s="39" t="str">
        <f t="shared" si="9"/>
        <v/>
      </c>
      <c r="K92" s="39" t="str">
        <f t="shared" si="9"/>
        <v/>
      </c>
      <c r="L92" s="39" t="str">
        <f t="shared" si="9"/>
        <v/>
      </c>
      <c r="M92" s="39" t="str">
        <f t="shared" si="9"/>
        <v/>
      </c>
      <c r="N92" s="39" t="str">
        <f t="shared" si="9"/>
        <v/>
      </c>
      <c r="O92" s="39" t="str">
        <f t="shared" si="9"/>
        <v/>
      </c>
      <c r="P92" s="39" t="str">
        <f t="shared" si="9"/>
        <v/>
      </c>
      <c r="Q92" s="39" t="str">
        <f t="shared" si="9"/>
        <v/>
      </c>
      <c r="R92" s="39" t="str">
        <f t="shared" si="9"/>
        <v/>
      </c>
      <c r="S92" s="39" t="str">
        <f t="shared" si="9"/>
        <v/>
      </c>
      <c r="T92" s="39" t="str">
        <f t="shared" si="9"/>
        <v/>
      </c>
      <c r="U92" s="39" t="str">
        <f t="shared" si="9"/>
        <v/>
      </c>
      <c r="V92" s="39" t="str">
        <f t="shared" si="9"/>
        <v/>
      </c>
    </row>
    <row r="93" spans="1:22" x14ac:dyDescent="0.3">
      <c r="A93" s="38"/>
      <c r="B93" s="39" t="str">
        <f>IF($A93="","",SUMIFS(weekly_demand!$D:$D,weekly_demand!$A:$A,B$1,weekly_demand!$C:$C,$A93))</f>
        <v/>
      </c>
      <c r="C93" s="39" t="str">
        <f>IF($A93="","",SUMIFS(weekly_demand!$D:$D,weekly_demand!$A:$A,C$1,weekly_demand!$C:$C,$A93))</f>
        <v/>
      </c>
      <c r="D93" s="39" t="str">
        <f>IF($A93="","",SUMIFS(weekly_demand!$D:$D,weekly_demand!$A:$A,D$1,weekly_demand!$C:$C,$A93))</f>
        <v/>
      </c>
      <c r="E93" s="39" t="str">
        <f>IF($A93="","",SUMIFS(weekly_demand!$D:$D,weekly_demand!$A:$A,E$1,weekly_demand!$C:$C,$A93))</f>
        <v/>
      </c>
      <c r="F93" s="39" t="str">
        <f>IF($A93="","",SUMIFS(weekly_demand!$D:$D,weekly_demand!$A:$A,F$1,weekly_demand!$C:$C,$A93))</f>
        <v/>
      </c>
      <c r="G93" s="39" t="str">
        <f>IF($A93="","",SUMIFS(weekly_demand!$D:$D,weekly_demand!$A:$A,G$1,weekly_demand!$C:$C,$A93))</f>
        <v/>
      </c>
      <c r="H93" s="39" t="str">
        <f t="shared" si="9"/>
        <v/>
      </c>
      <c r="I93" s="39" t="str">
        <f t="shared" si="9"/>
        <v/>
      </c>
      <c r="J93" s="39" t="str">
        <f t="shared" si="9"/>
        <v/>
      </c>
      <c r="K93" s="39" t="str">
        <f t="shared" si="9"/>
        <v/>
      </c>
      <c r="L93" s="39" t="str">
        <f t="shared" si="9"/>
        <v/>
      </c>
      <c r="M93" s="39" t="str">
        <f t="shared" si="9"/>
        <v/>
      </c>
      <c r="N93" s="39" t="str">
        <f t="shared" si="9"/>
        <v/>
      </c>
      <c r="O93" s="39" t="str">
        <f t="shared" si="9"/>
        <v/>
      </c>
      <c r="P93" s="39" t="str">
        <f t="shared" si="9"/>
        <v/>
      </c>
      <c r="Q93" s="39" t="str">
        <f t="shared" si="9"/>
        <v/>
      </c>
      <c r="R93" s="39" t="str">
        <f t="shared" si="9"/>
        <v/>
      </c>
      <c r="S93" s="39" t="str">
        <f t="shared" si="9"/>
        <v/>
      </c>
      <c r="T93" s="39" t="str">
        <f t="shared" si="9"/>
        <v/>
      </c>
      <c r="U93" s="39" t="str">
        <f t="shared" si="9"/>
        <v/>
      </c>
      <c r="V93" s="39" t="str">
        <f t="shared" si="9"/>
        <v/>
      </c>
    </row>
    <row r="94" spans="1:22" x14ac:dyDescent="0.3">
      <c r="A94" s="38"/>
      <c r="B94" s="39" t="str">
        <f>IF($A94="","",SUMIFS(weekly_demand!$D:$D,weekly_demand!$A:$A,B$1,weekly_demand!$C:$C,$A94))</f>
        <v/>
      </c>
      <c r="C94" s="39" t="str">
        <f>IF($A94="","",SUMIFS(weekly_demand!$D:$D,weekly_demand!$A:$A,C$1,weekly_demand!$C:$C,$A94))</f>
        <v/>
      </c>
      <c r="D94" s="39" t="str">
        <f>IF($A94="","",SUMIFS(weekly_demand!$D:$D,weekly_demand!$A:$A,D$1,weekly_demand!$C:$C,$A94))</f>
        <v/>
      </c>
      <c r="E94" s="39" t="str">
        <f>IF($A94="","",SUMIFS(weekly_demand!$D:$D,weekly_demand!$A:$A,E$1,weekly_demand!$C:$C,$A94))</f>
        <v/>
      </c>
      <c r="F94" s="39" t="str">
        <f>IF($A94="","",SUMIFS(weekly_demand!$D:$D,weekly_demand!$A:$A,F$1,weekly_demand!$C:$C,$A94))</f>
        <v/>
      </c>
      <c r="G94" s="39" t="str">
        <f>IF($A94="","",SUMIFS(weekly_demand!$D:$D,weekly_demand!$A:$A,G$1,weekly_demand!$C:$C,$A94))</f>
        <v/>
      </c>
      <c r="H94" s="39" t="str">
        <f t="shared" si="9"/>
        <v/>
      </c>
      <c r="I94" s="39" t="str">
        <f t="shared" si="9"/>
        <v/>
      </c>
      <c r="J94" s="39" t="str">
        <f t="shared" si="9"/>
        <v/>
      </c>
      <c r="K94" s="39" t="str">
        <f t="shared" si="9"/>
        <v/>
      </c>
      <c r="L94" s="39" t="str">
        <f t="shared" si="9"/>
        <v/>
      </c>
      <c r="M94" s="39" t="str">
        <f t="shared" si="9"/>
        <v/>
      </c>
      <c r="N94" s="39" t="str">
        <f t="shared" si="9"/>
        <v/>
      </c>
      <c r="O94" s="39" t="str">
        <f t="shared" si="9"/>
        <v/>
      </c>
      <c r="P94" s="39" t="str">
        <f t="shared" si="9"/>
        <v/>
      </c>
      <c r="Q94" s="39" t="str">
        <f t="shared" si="9"/>
        <v/>
      </c>
      <c r="R94" s="39" t="str">
        <f t="shared" si="9"/>
        <v/>
      </c>
      <c r="S94" s="39" t="str">
        <f t="shared" si="9"/>
        <v/>
      </c>
      <c r="T94" s="39" t="str">
        <f t="shared" si="9"/>
        <v/>
      </c>
      <c r="U94" s="39" t="str">
        <f t="shared" si="9"/>
        <v/>
      </c>
      <c r="V94" s="39" t="str">
        <f t="shared" si="9"/>
        <v/>
      </c>
    </row>
    <row r="95" spans="1:22" x14ac:dyDescent="0.3">
      <c r="A95" s="38"/>
      <c r="B95" s="39" t="str">
        <f>IF($A95="","",SUMIFS(weekly_demand!$D:$D,weekly_demand!$A:$A,B$1,weekly_demand!$C:$C,$A95))</f>
        <v/>
      </c>
      <c r="C95" s="39" t="str">
        <f>IF($A95="","",SUMIFS(weekly_demand!$D:$D,weekly_demand!$A:$A,C$1,weekly_demand!$C:$C,$A95))</f>
        <v/>
      </c>
      <c r="D95" s="39" t="str">
        <f>IF($A95="","",SUMIFS(weekly_demand!$D:$D,weekly_demand!$A:$A,D$1,weekly_demand!$C:$C,$A95))</f>
        <v/>
      </c>
      <c r="E95" s="39" t="str">
        <f>IF($A95="","",SUMIFS(weekly_demand!$D:$D,weekly_demand!$A:$A,E$1,weekly_demand!$C:$C,$A95))</f>
        <v/>
      </c>
      <c r="F95" s="39" t="str">
        <f>IF($A95="","",SUMIFS(weekly_demand!$D:$D,weekly_demand!$A:$A,F$1,weekly_demand!$C:$C,$A95))</f>
        <v/>
      </c>
      <c r="G95" s="39" t="str">
        <f>IF($A95="","",SUMIFS(weekly_demand!$D:$D,weekly_demand!$A:$A,G$1,weekly_demand!$C:$C,$A95))</f>
        <v/>
      </c>
      <c r="H95" s="39" t="str">
        <f t="shared" si="9"/>
        <v/>
      </c>
      <c r="I95" s="39" t="str">
        <f t="shared" si="9"/>
        <v/>
      </c>
      <c r="J95" s="39" t="str">
        <f t="shared" si="9"/>
        <v/>
      </c>
      <c r="K95" s="39" t="str">
        <f t="shared" si="9"/>
        <v/>
      </c>
      <c r="L95" s="39" t="str">
        <f t="shared" si="9"/>
        <v/>
      </c>
      <c r="M95" s="39" t="str">
        <f t="shared" si="9"/>
        <v/>
      </c>
      <c r="N95" s="39" t="str">
        <f t="shared" si="9"/>
        <v/>
      </c>
      <c r="O95" s="39" t="str">
        <f t="shared" si="9"/>
        <v/>
      </c>
      <c r="P95" s="39" t="str">
        <f t="shared" si="9"/>
        <v/>
      </c>
      <c r="Q95" s="39" t="str">
        <f t="shared" si="9"/>
        <v/>
      </c>
      <c r="R95" s="39" t="str">
        <f t="shared" si="9"/>
        <v/>
      </c>
      <c r="S95" s="39" t="str">
        <f t="shared" si="9"/>
        <v/>
      </c>
      <c r="T95" s="39" t="str">
        <f t="shared" si="9"/>
        <v/>
      </c>
      <c r="U95" s="39" t="str">
        <f t="shared" si="9"/>
        <v/>
      </c>
      <c r="V95" s="39" t="str">
        <f t="shared" si="9"/>
        <v/>
      </c>
    </row>
    <row r="96" spans="1:22" x14ac:dyDescent="0.3">
      <c r="A96" s="38"/>
      <c r="B96" s="39" t="str">
        <f>IF($A96="","",SUMIFS(weekly_demand!$D:$D,weekly_demand!$A:$A,B$1,weekly_demand!$C:$C,$A96))</f>
        <v/>
      </c>
      <c r="C96" s="39" t="str">
        <f>IF($A96="","",SUMIFS(weekly_demand!$D:$D,weekly_demand!$A:$A,C$1,weekly_demand!$C:$C,$A96))</f>
        <v/>
      </c>
      <c r="D96" s="39" t="str">
        <f>IF($A96="","",SUMIFS(weekly_demand!$D:$D,weekly_demand!$A:$A,D$1,weekly_demand!$C:$C,$A96))</f>
        <v/>
      </c>
      <c r="E96" s="39" t="str">
        <f>IF($A96="","",SUMIFS(weekly_demand!$D:$D,weekly_demand!$A:$A,E$1,weekly_demand!$C:$C,$A96))</f>
        <v/>
      </c>
      <c r="F96" s="39" t="str">
        <f>IF($A96="","",SUMIFS(weekly_demand!$D:$D,weekly_demand!$A:$A,F$1,weekly_demand!$C:$C,$A96))</f>
        <v/>
      </c>
      <c r="G96" s="39" t="str">
        <f>IF($A96="","",SUMIFS(weekly_demand!$D:$D,weekly_demand!$A:$A,G$1,weekly_demand!$C:$C,$A96))</f>
        <v/>
      </c>
      <c r="H96" s="39" t="str">
        <f t="shared" si="9"/>
        <v/>
      </c>
      <c r="I96" s="39" t="str">
        <f t="shared" si="9"/>
        <v/>
      </c>
      <c r="J96" s="39" t="str">
        <f t="shared" si="9"/>
        <v/>
      </c>
      <c r="K96" s="39" t="str">
        <f t="shared" si="9"/>
        <v/>
      </c>
      <c r="L96" s="39" t="str">
        <f t="shared" si="9"/>
        <v/>
      </c>
      <c r="M96" s="39" t="str">
        <f t="shared" si="9"/>
        <v/>
      </c>
      <c r="N96" s="39" t="str">
        <f t="shared" si="9"/>
        <v/>
      </c>
      <c r="O96" s="39" t="str">
        <f t="shared" si="9"/>
        <v/>
      </c>
      <c r="P96" s="39" t="str">
        <f t="shared" si="9"/>
        <v/>
      </c>
      <c r="Q96" s="39" t="str">
        <f t="shared" si="9"/>
        <v/>
      </c>
      <c r="R96" s="39" t="str">
        <f t="shared" si="9"/>
        <v/>
      </c>
      <c r="S96" s="39" t="str">
        <f t="shared" si="9"/>
        <v/>
      </c>
      <c r="T96" s="39" t="str">
        <f t="shared" si="9"/>
        <v/>
      </c>
      <c r="U96" s="39" t="str">
        <f t="shared" si="9"/>
        <v/>
      </c>
      <c r="V96" s="39" t="str">
        <f t="shared" si="9"/>
        <v/>
      </c>
    </row>
    <row r="97" spans="1:22" x14ac:dyDescent="0.3">
      <c r="A97" s="38"/>
      <c r="B97" s="39" t="str">
        <f>IF($A97="","",SUMIFS(weekly_demand!$D:$D,weekly_demand!$A:$A,B$1,weekly_demand!$C:$C,$A97))</f>
        <v/>
      </c>
      <c r="C97" s="39" t="str">
        <f>IF($A97="","",SUMIFS(weekly_demand!$D:$D,weekly_demand!$A:$A,C$1,weekly_demand!$C:$C,$A97))</f>
        <v/>
      </c>
      <c r="D97" s="39" t="str">
        <f>IF($A97="","",SUMIFS(weekly_demand!$D:$D,weekly_demand!$A:$A,D$1,weekly_demand!$C:$C,$A97))</f>
        <v/>
      </c>
      <c r="E97" s="39" t="str">
        <f>IF($A97="","",SUMIFS(weekly_demand!$D:$D,weekly_demand!$A:$A,E$1,weekly_demand!$C:$C,$A97))</f>
        <v/>
      </c>
      <c r="F97" s="39" t="str">
        <f>IF($A97="","",SUMIFS(weekly_demand!$D:$D,weekly_demand!$A:$A,F$1,weekly_demand!$C:$C,$A97))</f>
        <v/>
      </c>
      <c r="G97" s="39" t="str">
        <f>IF($A97="","",SUMIFS(weekly_demand!$D:$D,weekly_demand!$A:$A,G$1,weekly_demand!$C:$C,$A97))</f>
        <v/>
      </c>
      <c r="H97" s="39" t="str">
        <f t="shared" si="9"/>
        <v/>
      </c>
      <c r="I97" s="39" t="str">
        <f t="shared" si="9"/>
        <v/>
      </c>
      <c r="J97" s="39" t="str">
        <f t="shared" si="9"/>
        <v/>
      </c>
      <c r="K97" s="39" t="str">
        <f t="shared" si="9"/>
        <v/>
      </c>
      <c r="L97" s="39" t="str">
        <f t="shared" si="9"/>
        <v/>
      </c>
      <c r="M97" s="39" t="str">
        <f t="shared" si="9"/>
        <v/>
      </c>
      <c r="N97" s="39" t="str">
        <f t="shared" si="9"/>
        <v/>
      </c>
      <c r="O97" s="39" t="str">
        <f t="shared" si="9"/>
        <v/>
      </c>
      <c r="P97" s="39" t="str">
        <f t="shared" si="9"/>
        <v/>
      </c>
      <c r="Q97" s="39" t="str">
        <f t="shared" si="9"/>
        <v/>
      </c>
      <c r="R97" s="39" t="str">
        <f t="shared" si="9"/>
        <v/>
      </c>
      <c r="S97" s="39" t="str">
        <f t="shared" si="9"/>
        <v/>
      </c>
      <c r="T97" s="39" t="str">
        <f t="shared" si="9"/>
        <v/>
      </c>
      <c r="U97" s="39" t="str">
        <f t="shared" si="9"/>
        <v/>
      </c>
      <c r="V97" s="39" t="str">
        <f t="shared" si="9"/>
        <v/>
      </c>
    </row>
    <row r="98" spans="1:22" x14ac:dyDescent="0.3">
      <c r="A98" s="38"/>
      <c r="B98" s="39" t="str">
        <f>IF($A98="","",SUMIFS(weekly_demand!$D:$D,weekly_demand!$A:$A,B$1,weekly_demand!$C:$C,$A98))</f>
        <v/>
      </c>
      <c r="C98" s="39" t="str">
        <f>IF($A98="","",SUMIFS(weekly_demand!$D:$D,weekly_demand!$A:$A,C$1,weekly_demand!$C:$C,$A98))</f>
        <v/>
      </c>
      <c r="D98" s="39" t="str">
        <f>IF($A98="","",SUMIFS(weekly_demand!$D:$D,weekly_demand!$A:$A,D$1,weekly_demand!$C:$C,$A98))</f>
        <v/>
      </c>
      <c r="E98" s="39" t="str">
        <f>IF($A98="","",SUMIFS(weekly_demand!$D:$D,weekly_demand!$A:$A,E$1,weekly_demand!$C:$C,$A98))</f>
        <v/>
      </c>
      <c r="F98" s="39" t="str">
        <f>IF($A98="","",SUMIFS(weekly_demand!$D:$D,weekly_demand!$A:$A,F$1,weekly_demand!$C:$C,$A98))</f>
        <v/>
      </c>
      <c r="G98" s="39" t="str">
        <f>IF($A98="","",SUMIFS(weekly_demand!$D:$D,weekly_demand!$A:$A,G$1,weekly_demand!$C:$C,$A98))</f>
        <v/>
      </c>
      <c r="H98" s="39" t="str">
        <f t="shared" si="9"/>
        <v/>
      </c>
      <c r="I98" s="39" t="str">
        <f t="shared" si="9"/>
        <v/>
      </c>
      <c r="J98" s="39" t="str">
        <f t="shared" si="9"/>
        <v/>
      </c>
      <c r="K98" s="39" t="str">
        <f t="shared" si="9"/>
        <v/>
      </c>
      <c r="L98" s="39" t="str">
        <f t="shared" si="9"/>
        <v/>
      </c>
      <c r="M98" s="39" t="str">
        <f t="shared" si="9"/>
        <v/>
      </c>
      <c r="N98" s="39" t="str">
        <f t="shared" si="9"/>
        <v/>
      </c>
      <c r="O98" s="39" t="str">
        <f t="shared" si="9"/>
        <v/>
      </c>
      <c r="P98" s="39" t="str">
        <f t="shared" si="9"/>
        <v/>
      </c>
      <c r="Q98" s="39" t="str">
        <f t="shared" si="9"/>
        <v/>
      </c>
      <c r="R98" s="39" t="str">
        <f t="shared" si="9"/>
        <v/>
      </c>
      <c r="S98" s="39" t="str">
        <f t="shared" si="9"/>
        <v/>
      </c>
      <c r="T98" s="39" t="str">
        <f t="shared" si="9"/>
        <v/>
      </c>
      <c r="U98" s="39" t="str">
        <f t="shared" si="9"/>
        <v/>
      </c>
      <c r="V98" s="39" t="str">
        <f t="shared" si="9"/>
        <v/>
      </c>
    </row>
    <row r="99" spans="1:22" x14ac:dyDescent="0.3">
      <c r="A99" s="38"/>
      <c r="B99" s="39" t="str">
        <f>IF($A99="","",SUMIFS(weekly_demand!$D:$D,weekly_demand!$A:$A,B$1,weekly_demand!$C:$C,$A99))</f>
        <v/>
      </c>
      <c r="C99" s="39" t="str">
        <f>IF($A99="","",SUMIFS(weekly_demand!$D:$D,weekly_demand!$A:$A,C$1,weekly_demand!$C:$C,$A99))</f>
        <v/>
      </c>
      <c r="D99" s="39" t="str">
        <f>IF($A99="","",SUMIFS(weekly_demand!$D:$D,weekly_demand!$A:$A,D$1,weekly_demand!$C:$C,$A99))</f>
        <v/>
      </c>
      <c r="E99" s="39" t="str">
        <f>IF($A99="","",SUMIFS(weekly_demand!$D:$D,weekly_demand!$A:$A,E$1,weekly_demand!$C:$C,$A99))</f>
        <v/>
      </c>
      <c r="F99" s="39" t="str">
        <f>IF($A99="","",SUMIFS(weekly_demand!$D:$D,weekly_demand!$A:$A,F$1,weekly_demand!$C:$C,$A99))</f>
        <v/>
      </c>
      <c r="G99" s="39" t="str">
        <f>IF($A99="","",SUMIFS(weekly_demand!$D:$D,weekly_demand!$A:$A,G$1,weekly_demand!$C:$C,$A99))</f>
        <v/>
      </c>
      <c r="H99" s="39" t="str">
        <f t="shared" si="9"/>
        <v/>
      </c>
      <c r="I99" s="39" t="str">
        <f t="shared" si="9"/>
        <v/>
      </c>
      <c r="J99" s="39" t="str">
        <f t="shared" si="9"/>
        <v/>
      </c>
      <c r="K99" s="39" t="str">
        <f t="shared" si="9"/>
        <v/>
      </c>
      <c r="L99" s="39" t="str">
        <f t="shared" si="9"/>
        <v/>
      </c>
      <c r="M99" s="39" t="str">
        <f t="shared" si="9"/>
        <v/>
      </c>
      <c r="N99" s="39" t="str">
        <f t="shared" si="9"/>
        <v/>
      </c>
      <c r="O99" s="39" t="str">
        <f t="shared" si="9"/>
        <v/>
      </c>
      <c r="P99" s="39" t="str">
        <f t="shared" si="9"/>
        <v/>
      </c>
      <c r="Q99" s="39" t="str">
        <f t="shared" si="9"/>
        <v/>
      </c>
      <c r="R99" s="39" t="str">
        <f t="shared" si="9"/>
        <v/>
      </c>
      <c r="S99" s="39" t="str">
        <f t="shared" si="9"/>
        <v/>
      </c>
      <c r="T99" s="39" t="str">
        <f t="shared" si="9"/>
        <v/>
      </c>
      <c r="U99" s="39" t="str">
        <f t="shared" si="9"/>
        <v/>
      </c>
      <c r="V99" s="39" t="str">
        <f t="shared" si="9"/>
        <v/>
      </c>
    </row>
    <row r="100" spans="1:22" x14ac:dyDescent="0.3">
      <c r="A100" s="38"/>
      <c r="B100" s="39" t="str">
        <f>IF($A100="","",SUMIFS(weekly_demand!$D:$D,weekly_demand!$A:$A,B$1,weekly_demand!$C:$C,$A100))</f>
        <v/>
      </c>
      <c r="C100" s="39" t="str">
        <f>IF($A100="","",SUMIFS(weekly_demand!$D:$D,weekly_demand!$A:$A,C$1,weekly_demand!$C:$C,$A100))</f>
        <v/>
      </c>
      <c r="D100" s="39" t="str">
        <f>IF($A100="","",SUMIFS(weekly_demand!$D:$D,weekly_demand!$A:$A,D$1,weekly_demand!$C:$C,$A100))</f>
        <v/>
      </c>
      <c r="E100" s="39" t="str">
        <f>IF($A100="","",SUMIFS(weekly_demand!$D:$D,weekly_demand!$A:$A,E$1,weekly_demand!$C:$C,$A100))</f>
        <v/>
      </c>
      <c r="F100" s="39" t="str">
        <f>IF($A100="","",SUMIFS(weekly_demand!$D:$D,weekly_demand!$A:$A,F$1,weekly_demand!$C:$C,$A100))</f>
        <v/>
      </c>
      <c r="G100" s="39" t="str">
        <f>IF($A100="","",SUMIFS(weekly_demand!$D:$D,weekly_demand!$A:$A,G$1,weekly_demand!$C:$C,$A100))</f>
        <v/>
      </c>
      <c r="H100" s="39" t="str">
        <f t="shared" si="9"/>
        <v/>
      </c>
      <c r="I100" s="39" t="str">
        <f t="shared" si="9"/>
        <v/>
      </c>
      <c r="J100" s="39" t="str">
        <f t="shared" si="9"/>
        <v/>
      </c>
      <c r="K100" s="39" t="str">
        <f t="shared" si="9"/>
        <v/>
      </c>
      <c r="L100" s="39" t="str">
        <f t="shared" si="9"/>
        <v/>
      </c>
      <c r="M100" s="39" t="str">
        <f t="shared" si="9"/>
        <v/>
      </c>
      <c r="N100" s="39" t="str">
        <f t="shared" si="9"/>
        <v/>
      </c>
      <c r="O100" s="39" t="str">
        <f t="shared" si="9"/>
        <v/>
      </c>
      <c r="P100" s="39" t="str">
        <f t="shared" si="9"/>
        <v/>
      </c>
      <c r="Q100" s="39" t="str">
        <f t="shared" si="9"/>
        <v/>
      </c>
      <c r="R100" s="39" t="str">
        <f t="shared" si="9"/>
        <v/>
      </c>
      <c r="S100" s="39" t="str">
        <f t="shared" si="9"/>
        <v/>
      </c>
      <c r="T100" s="39" t="str">
        <f t="shared" si="9"/>
        <v/>
      </c>
      <c r="U100" s="39" t="str">
        <f t="shared" si="9"/>
        <v/>
      </c>
      <c r="V100" s="39" t="str">
        <f t="shared" si="9"/>
        <v/>
      </c>
    </row>
    <row r="101" spans="1:22" x14ac:dyDescent="0.3">
      <c r="A101" s="38"/>
      <c r="B101" s="39" t="str">
        <f>IF($A101="","",SUMIFS(weekly_demand!$D:$D,weekly_demand!$A:$A,B$1,weekly_demand!$C:$C,$A101))</f>
        <v/>
      </c>
      <c r="C101" s="39" t="str">
        <f>IF($A101="","",SUMIFS(weekly_demand!$D:$D,weekly_demand!$A:$A,C$1,weekly_demand!$C:$C,$A101))</f>
        <v/>
      </c>
      <c r="D101" s="39" t="str">
        <f>IF($A101="","",SUMIFS(weekly_demand!$D:$D,weekly_demand!$A:$A,D$1,weekly_demand!$C:$C,$A101))</f>
        <v/>
      </c>
      <c r="E101" s="39" t="str">
        <f>IF($A101="","",SUMIFS(weekly_demand!$D:$D,weekly_demand!$A:$A,E$1,weekly_demand!$C:$C,$A101))</f>
        <v/>
      </c>
      <c r="F101" s="39" t="str">
        <f>IF($A101="","",SUMIFS(weekly_demand!$D:$D,weekly_demand!$A:$A,F$1,weekly_demand!$C:$C,$A101))</f>
        <v/>
      </c>
      <c r="G101" s="39" t="str">
        <f>IF($A101="","",SUMIFS(weekly_demand!$D:$D,weekly_demand!$A:$A,G$1,weekly_demand!$C:$C,$A101))</f>
        <v/>
      </c>
      <c r="H101" s="39" t="str">
        <f t="shared" si="9"/>
        <v/>
      </c>
      <c r="I101" s="39" t="str">
        <f t="shared" si="9"/>
        <v/>
      </c>
      <c r="J101" s="39" t="str">
        <f t="shared" si="9"/>
        <v/>
      </c>
      <c r="K101" s="39" t="str">
        <f t="shared" si="9"/>
        <v/>
      </c>
      <c r="L101" s="39" t="str">
        <f t="shared" si="9"/>
        <v/>
      </c>
      <c r="M101" s="39" t="str">
        <f t="shared" si="9"/>
        <v/>
      </c>
      <c r="N101" s="39" t="str">
        <f t="shared" si="9"/>
        <v/>
      </c>
      <c r="O101" s="39" t="str">
        <f t="shared" si="9"/>
        <v/>
      </c>
      <c r="P101" s="39" t="str">
        <f t="shared" si="9"/>
        <v/>
      </c>
      <c r="Q101" s="39" t="str">
        <f t="shared" si="9"/>
        <v/>
      </c>
      <c r="R101" s="39" t="str">
        <f t="shared" si="9"/>
        <v/>
      </c>
      <c r="S101" s="39" t="str">
        <f t="shared" si="9"/>
        <v/>
      </c>
      <c r="T101" s="39" t="str">
        <f t="shared" si="9"/>
        <v/>
      </c>
      <c r="U101" s="39" t="str">
        <f t="shared" si="9"/>
        <v/>
      </c>
      <c r="V101" s="39" t="str">
        <f t="shared" si="9"/>
        <v/>
      </c>
    </row>
    <row r="102" spans="1:22" x14ac:dyDescent="0.3">
      <c r="A102" s="38"/>
      <c r="B102" s="39" t="str">
        <f>IF($A102="","",SUMIFS(weekly_demand!$D:$D,weekly_demand!$A:$A,B$1,weekly_demand!$C:$C,$A102))</f>
        <v/>
      </c>
      <c r="C102" s="39" t="str">
        <f>IF($A102="","",SUMIFS(weekly_demand!$D:$D,weekly_demand!$A:$A,C$1,weekly_demand!$C:$C,$A102))</f>
        <v/>
      </c>
      <c r="D102" s="39" t="str">
        <f>IF($A102="","",SUMIFS(weekly_demand!$D:$D,weekly_demand!$A:$A,D$1,weekly_demand!$C:$C,$A102))</f>
        <v/>
      </c>
      <c r="E102" s="39" t="str">
        <f>IF($A102="","",SUMIFS(weekly_demand!$D:$D,weekly_demand!$A:$A,E$1,weekly_demand!$C:$C,$A102))</f>
        <v/>
      </c>
      <c r="F102" s="39" t="str">
        <f>IF($A102="","",SUMIFS(weekly_demand!$D:$D,weekly_demand!$A:$A,F$1,weekly_demand!$C:$C,$A102))</f>
        <v/>
      </c>
      <c r="G102" s="39" t="str">
        <f>IF($A102="","",SUMIFS(weekly_demand!$D:$D,weekly_demand!$A:$A,G$1,weekly_demand!$C:$C,$A102))</f>
        <v/>
      </c>
      <c r="H102" s="39" t="str">
        <f t="shared" ref="H102:V111" si="10">IF($A102="","",SUMPRODUCT($B102:$G102,INDEX($Y$2:$AD$16,MATCH(H$1,$X$2:$X$16,0),0)))</f>
        <v/>
      </c>
      <c r="I102" s="39" t="str">
        <f t="shared" si="10"/>
        <v/>
      </c>
      <c r="J102" s="39" t="str">
        <f t="shared" si="10"/>
        <v/>
      </c>
      <c r="K102" s="39" t="str">
        <f t="shared" si="10"/>
        <v/>
      </c>
      <c r="L102" s="39" t="str">
        <f t="shared" si="10"/>
        <v/>
      </c>
      <c r="M102" s="39" t="str">
        <f t="shared" si="10"/>
        <v/>
      </c>
      <c r="N102" s="39" t="str">
        <f t="shared" si="10"/>
        <v/>
      </c>
      <c r="O102" s="39" t="str">
        <f t="shared" si="10"/>
        <v/>
      </c>
      <c r="P102" s="39" t="str">
        <f t="shared" si="10"/>
        <v/>
      </c>
      <c r="Q102" s="39" t="str">
        <f t="shared" si="10"/>
        <v/>
      </c>
      <c r="R102" s="39" t="str">
        <f t="shared" si="10"/>
        <v/>
      </c>
      <c r="S102" s="39" t="str">
        <f t="shared" si="10"/>
        <v/>
      </c>
      <c r="T102" s="39" t="str">
        <f t="shared" si="10"/>
        <v/>
      </c>
      <c r="U102" s="39" t="str">
        <f t="shared" si="10"/>
        <v/>
      </c>
      <c r="V102" s="39" t="str">
        <f t="shared" si="10"/>
        <v/>
      </c>
    </row>
    <row r="103" spans="1:22" x14ac:dyDescent="0.3">
      <c r="A103" s="38"/>
      <c r="B103" s="39" t="str">
        <f>IF($A103="","",SUMIFS(weekly_demand!$D:$D,weekly_demand!$A:$A,B$1,weekly_demand!$C:$C,$A103))</f>
        <v/>
      </c>
      <c r="C103" s="39" t="str">
        <f>IF($A103="","",SUMIFS(weekly_demand!$D:$D,weekly_demand!$A:$A,C$1,weekly_demand!$C:$C,$A103))</f>
        <v/>
      </c>
      <c r="D103" s="39" t="str">
        <f>IF($A103="","",SUMIFS(weekly_demand!$D:$D,weekly_demand!$A:$A,D$1,weekly_demand!$C:$C,$A103))</f>
        <v/>
      </c>
      <c r="E103" s="39" t="str">
        <f>IF($A103="","",SUMIFS(weekly_demand!$D:$D,weekly_demand!$A:$A,E$1,weekly_demand!$C:$C,$A103))</f>
        <v/>
      </c>
      <c r="F103" s="39" t="str">
        <f>IF($A103="","",SUMIFS(weekly_demand!$D:$D,weekly_demand!$A:$A,F$1,weekly_demand!$C:$C,$A103))</f>
        <v/>
      </c>
      <c r="G103" s="39" t="str">
        <f>IF($A103="","",SUMIFS(weekly_demand!$D:$D,weekly_demand!$A:$A,G$1,weekly_demand!$C:$C,$A103))</f>
        <v/>
      </c>
      <c r="H103" s="39" t="str">
        <f t="shared" si="10"/>
        <v/>
      </c>
      <c r="I103" s="39" t="str">
        <f t="shared" si="10"/>
        <v/>
      </c>
      <c r="J103" s="39" t="str">
        <f t="shared" si="10"/>
        <v/>
      </c>
      <c r="K103" s="39" t="str">
        <f t="shared" si="10"/>
        <v/>
      </c>
      <c r="L103" s="39" t="str">
        <f t="shared" si="10"/>
        <v/>
      </c>
      <c r="M103" s="39" t="str">
        <f t="shared" si="10"/>
        <v/>
      </c>
      <c r="N103" s="39" t="str">
        <f t="shared" si="10"/>
        <v/>
      </c>
      <c r="O103" s="39" t="str">
        <f t="shared" si="10"/>
        <v/>
      </c>
      <c r="P103" s="39" t="str">
        <f t="shared" si="10"/>
        <v/>
      </c>
      <c r="Q103" s="39" t="str">
        <f t="shared" si="10"/>
        <v/>
      </c>
      <c r="R103" s="39" t="str">
        <f t="shared" si="10"/>
        <v/>
      </c>
      <c r="S103" s="39" t="str">
        <f t="shared" si="10"/>
        <v/>
      </c>
      <c r="T103" s="39" t="str">
        <f t="shared" si="10"/>
        <v/>
      </c>
      <c r="U103" s="39" t="str">
        <f t="shared" si="10"/>
        <v/>
      </c>
      <c r="V103" s="39" t="str">
        <f t="shared" si="10"/>
        <v/>
      </c>
    </row>
    <row r="104" spans="1:22" x14ac:dyDescent="0.3">
      <c r="A104" s="38"/>
      <c r="B104" s="39" t="str">
        <f>IF($A104="","",SUMIFS(weekly_demand!$D:$D,weekly_demand!$A:$A,B$1,weekly_demand!$C:$C,$A104))</f>
        <v/>
      </c>
      <c r="C104" s="39" t="str">
        <f>IF($A104="","",SUMIFS(weekly_demand!$D:$D,weekly_demand!$A:$A,C$1,weekly_demand!$C:$C,$A104))</f>
        <v/>
      </c>
      <c r="D104" s="39" t="str">
        <f>IF($A104="","",SUMIFS(weekly_demand!$D:$D,weekly_demand!$A:$A,D$1,weekly_demand!$C:$C,$A104))</f>
        <v/>
      </c>
      <c r="E104" s="39" t="str">
        <f>IF($A104="","",SUMIFS(weekly_demand!$D:$D,weekly_demand!$A:$A,E$1,weekly_demand!$C:$C,$A104))</f>
        <v/>
      </c>
      <c r="F104" s="39" t="str">
        <f>IF($A104="","",SUMIFS(weekly_demand!$D:$D,weekly_demand!$A:$A,F$1,weekly_demand!$C:$C,$A104))</f>
        <v/>
      </c>
      <c r="G104" s="39" t="str">
        <f>IF($A104="","",SUMIFS(weekly_demand!$D:$D,weekly_demand!$A:$A,G$1,weekly_demand!$C:$C,$A104))</f>
        <v/>
      </c>
      <c r="H104" s="39" t="str">
        <f t="shared" si="10"/>
        <v/>
      </c>
      <c r="I104" s="39" t="str">
        <f t="shared" si="10"/>
        <v/>
      </c>
      <c r="J104" s="39" t="str">
        <f t="shared" si="10"/>
        <v/>
      </c>
      <c r="K104" s="39" t="str">
        <f t="shared" si="10"/>
        <v/>
      </c>
      <c r="L104" s="39" t="str">
        <f t="shared" si="10"/>
        <v/>
      </c>
      <c r="M104" s="39" t="str">
        <f t="shared" si="10"/>
        <v/>
      </c>
      <c r="N104" s="39" t="str">
        <f t="shared" si="10"/>
        <v/>
      </c>
      <c r="O104" s="39" t="str">
        <f t="shared" si="10"/>
        <v/>
      </c>
      <c r="P104" s="39" t="str">
        <f t="shared" si="10"/>
        <v/>
      </c>
      <c r="Q104" s="39" t="str">
        <f t="shared" si="10"/>
        <v/>
      </c>
      <c r="R104" s="39" t="str">
        <f t="shared" si="10"/>
        <v/>
      </c>
      <c r="S104" s="39" t="str">
        <f t="shared" si="10"/>
        <v/>
      </c>
      <c r="T104" s="39" t="str">
        <f t="shared" si="10"/>
        <v/>
      </c>
      <c r="U104" s="39" t="str">
        <f t="shared" si="10"/>
        <v/>
      </c>
      <c r="V104" s="39" t="str">
        <f t="shared" si="10"/>
        <v/>
      </c>
    </row>
    <row r="105" spans="1:22" x14ac:dyDescent="0.3">
      <c r="A105" s="38"/>
      <c r="B105" s="39" t="str">
        <f>IF($A105="","",SUMIFS(weekly_demand!$D:$D,weekly_demand!$A:$A,B$1,weekly_demand!$C:$C,$A105))</f>
        <v/>
      </c>
      <c r="C105" s="39" t="str">
        <f>IF($A105="","",SUMIFS(weekly_demand!$D:$D,weekly_demand!$A:$A,C$1,weekly_demand!$C:$C,$A105))</f>
        <v/>
      </c>
      <c r="D105" s="39" t="str">
        <f>IF($A105="","",SUMIFS(weekly_demand!$D:$D,weekly_demand!$A:$A,D$1,weekly_demand!$C:$C,$A105))</f>
        <v/>
      </c>
      <c r="E105" s="39" t="str">
        <f>IF($A105="","",SUMIFS(weekly_demand!$D:$D,weekly_demand!$A:$A,E$1,weekly_demand!$C:$C,$A105))</f>
        <v/>
      </c>
      <c r="F105" s="39" t="str">
        <f>IF($A105="","",SUMIFS(weekly_demand!$D:$D,weekly_demand!$A:$A,F$1,weekly_demand!$C:$C,$A105))</f>
        <v/>
      </c>
      <c r="G105" s="39" t="str">
        <f>IF($A105="","",SUMIFS(weekly_demand!$D:$D,weekly_demand!$A:$A,G$1,weekly_demand!$C:$C,$A105))</f>
        <v/>
      </c>
      <c r="H105" s="39" t="str">
        <f t="shared" si="10"/>
        <v/>
      </c>
      <c r="I105" s="39" t="str">
        <f t="shared" si="10"/>
        <v/>
      </c>
      <c r="J105" s="39" t="str">
        <f t="shared" si="10"/>
        <v/>
      </c>
      <c r="K105" s="39" t="str">
        <f t="shared" si="10"/>
        <v/>
      </c>
      <c r="L105" s="39" t="str">
        <f t="shared" si="10"/>
        <v/>
      </c>
      <c r="M105" s="39" t="str">
        <f t="shared" si="10"/>
        <v/>
      </c>
      <c r="N105" s="39" t="str">
        <f t="shared" si="10"/>
        <v/>
      </c>
      <c r="O105" s="39" t="str">
        <f t="shared" si="10"/>
        <v/>
      </c>
      <c r="P105" s="39" t="str">
        <f t="shared" si="10"/>
        <v/>
      </c>
      <c r="Q105" s="39" t="str">
        <f t="shared" si="10"/>
        <v/>
      </c>
      <c r="R105" s="39" t="str">
        <f t="shared" si="10"/>
        <v/>
      </c>
      <c r="S105" s="39" t="str">
        <f t="shared" si="10"/>
        <v/>
      </c>
      <c r="T105" s="39" t="str">
        <f t="shared" si="10"/>
        <v/>
      </c>
      <c r="U105" s="39" t="str">
        <f t="shared" si="10"/>
        <v/>
      </c>
      <c r="V105" s="39" t="str">
        <f t="shared" si="10"/>
        <v/>
      </c>
    </row>
    <row r="106" spans="1:22" x14ac:dyDescent="0.3">
      <c r="A106" s="38"/>
      <c r="B106" s="39" t="str">
        <f>IF($A106="","",SUMIFS(weekly_demand!$D:$D,weekly_demand!$A:$A,B$1,weekly_demand!$C:$C,$A106))</f>
        <v/>
      </c>
      <c r="C106" s="39" t="str">
        <f>IF($A106="","",SUMIFS(weekly_demand!$D:$D,weekly_demand!$A:$A,C$1,weekly_demand!$C:$C,$A106))</f>
        <v/>
      </c>
      <c r="D106" s="39" t="str">
        <f>IF($A106="","",SUMIFS(weekly_demand!$D:$D,weekly_demand!$A:$A,D$1,weekly_demand!$C:$C,$A106))</f>
        <v/>
      </c>
      <c r="E106" s="39" t="str">
        <f>IF($A106="","",SUMIFS(weekly_demand!$D:$D,weekly_demand!$A:$A,E$1,weekly_demand!$C:$C,$A106))</f>
        <v/>
      </c>
      <c r="F106" s="39" t="str">
        <f>IF($A106="","",SUMIFS(weekly_demand!$D:$D,weekly_demand!$A:$A,F$1,weekly_demand!$C:$C,$A106))</f>
        <v/>
      </c>
      <c r="G106" s="39" t="str">
        <f>IF($A106="","",SUMIFS(weekly_demand!$D:$D,weekly_demand!$A:$A,G$1,weekly_demand!$C:$C,$A106))</f>
        <v/>
      </c>
      <c r="H106" s="39" t="str">
        <f t="shared" si="10"/>
        <v/>
      </c>
      <c r="I106" s="39" t="str">
        <f t="shared" si="10"/>
        <v/>
      </c>
      <c r="J106" s="39" t="str">
        <f t="shared" si="10"/>
        <v/>
      </c>
      <c r="K106" s="39" t="str">
        <f t="shared" si="10"/>
        <v/>
      </c>
      <c r="L106" s="39" t="str">
        <f t="shared" si="10"/>
        <v/>
      </c>
      <c r="M106" s="39" t="str">
        <f t="shared" si="10"/>
        <v/>
      </c>
      <c r="N106" s="39" t="str">
        <f t="shared" si="10"/>
        <v/>
      </c>
      <c r="O106" s="39" t="str">
        <f t="shared" si="10"/>
        <v/>
      </c>
      <c r="P106" s="39" t="str">
        <f t="shared" si="10"/>
        <v/>
      </c>
      <c r="Q106" s="39" t="str">
        <f t="shared" si="10"/>
        <v/>
      </c>
      <c r="R106" s="39" t="str">
        <f t="shared" si="10"/>
        <v/>
      </c>
      <c r="S106" s="39" t="str">
        <f t="shared" si="10"/>
        <v/>
      </c>
      <c r="T106" s="39" t="str">
        <f t="shared" si="10"/>
        <v/>
      </c>
      <c r="U106" s="39" t="str">
        <f t="shared" si="10"/>
        <v/>
      </c>
      <c r="V106" s="39" t="str">
        <f t="shared" si="10"/>
        <v/>
      </c>
    </row>
    <row r="107" spans="1:22" x14ac:dyDescent="0.3">
      <c r="A107" s="38"/>
      <c r="B107" s="39" t="str">
        <f>IF($A107="","",SUMIFS(weekly_demand!$D:$D,weekly_demand!$A:$A,B$1,weekly_demand!$C:$C,$A107))</f>
        <v/>
      </c>
      <c r="C107" s="39" t="str">
        <f>IF($A107="","",SUMIFS(weekly_demand!$D:$D,weekly_demand!$A:$A,C$1,weekly_demand!$C:$C,$A107))</f>
        <v/>
      </c>
      <c r="D107" s="39" t="str">
        <f>IF($A107="","",SUMIFS(weekly_demand!$D:$D,weekly_demand!$A:$A,D$1,weekly_demand!$C:$C,$A107))</f>
        <v/>
      </c>
      <c r="E107" s="39" t="str">
        <f>IF($A107="","",SUMIFS(weekly_demand!$D:$D,weekly_demand!$A:$A,E$1,weekly_demand!$C:$C,$A107))</f>
        <v/>
      </c>
      <c r="F107" s="39" t="str">
        <f>IF($A107="","",SUMIFS(weekly_demand!$D:$D,weekly_demand!$A:$A,F$1,weekly_demand!$C:$C,$A107))</f>
        <v/>
      </c>
      <c r="G107" s="39" t="str">
        <f>IF($A107="","",SUMIFS(weekly_demand!$D:$D,weekly_demand!$A:$A,G$1,weekly_demand!$C:$C,$A107))</f>
        <v/>
      </c>
      <c r="H107" s="39" t="str">
        <f t="shared" si="10"/>
        <v/>
      </c>
      <c r="I107" s="39" t="str">
        <f t="shared" si="10"/>
        <v/>
      </c>
      <c r="J107" s="39" t="str">
        <f t="shared" si="10"/>
        <v/>
      </c>
      <c r="K107" s="39" t="str">
        <f t="shared" si="10"/>
        <v/>
      </c>
      <c r="L107" s="39" t="str">
        <f t="shared" si="10"/>
        <v/>
      </c>
      <c r="M107" s="39" t="str">
        <f t="shared" si="10"/>
        <v/>
      </c>
      <c r="N107" s="39" t="str">
        <f t="shared" si="10"/>
        <v/>
      </c>
      <c r="O107" s="39" t="str">
        <f t="shared" si="10"/>
        <v/>
      </c>
      <c r="P107" s="39" t="str">
        <f t="shared" si="10"/>
        <v/>
      </c>
      <c r="Q107" s="39" t="str">
        <f t="shared" si="10"/>
        <v/>
      </c>
      <c r="R107" s="39" t="str">
        <f t="shared" si="10"/>
        <v/>
      </c>
      <c r="S107" s="39" t="str">
        <f t="shared" si="10"/>
        <v/>
      </c>
      <c r="T107" s="39" t="str">
        <f t="shared" si="10"/>
        <v/>
      </c>
      <c r="U107" s="39" t="str">
        <f t="shared" si="10"/>
        <v/>
      </c>
      <c r="V107" s="39" t="str">
        <f t="shared" si="10"/>
        <v/>
      </c>
    </row>
    <row r="108" spans="1:22" x14ac:dyDescent="0.3">
      <c r="A108" s="38"/>
      <c r="B108" s="39" t="str">
        <f>IF($A108="","",SUMIFS(weekly_demand!$D:$D,weekly_demand!$A:$A,B$1,weekly_demand!$C:$C,$A108))</f>
        <v/>
      </c>
      <c r="C108" s="39" t="str">
        <f>IF($A108="","",SUMIFS(weekly_demand!$D:$D,weekly_demand!$A:$A,C$1,weekly_demand!$C:$C,$A108))</f>
        <v/>
      </c>
      <c r="D108" s="39" t="str">
        <f>IF($A108="","",SUMIFS(weekly_demand!$D:$D,weekly_demand!$A:$A,D$1,weekly_demand!$C:$C,$A108))</f>
        <v/>
      </c>
      <c r="E108" s="39" t="str">
        <f>IF($A108="","",SUMIFS(weekly_demand!$D:$D,weekly_demand!$A:$A,E$1,weekly_demand!$C:$C,$A108))</f>
        <v/>
      </c>
      <c r="F108" s="39" t="str">
        <f>IF($A108="","",SUMIFS(weekly_demand!$D:$D,weekly_demand!$A:$A,F$1,weekly_demand!$C:$C,$A108))</f>
        <v/>
      </c>
      <c r="G108" s="39" t="str">
        <f>IF($A108="","",SUMIFS(weekly_demand!$D:$D,weekly_demand!$A:$A,G$1,weekly_demand!$C:$C,$A108))</f>
        <v/>
      </c>
      <c r="H108" s="39" t="str">
        <f t="shared" si="10"/>
        <v/>
      </c>
      <c r="I108" s="39" t="str">
        <f t="shared" si="10"/>
        <v/>
      </c>
      <c r="J108" s="39" t="str">
        <f t="shared" si="10"/>
        <v/>
      </c>
      <c r="K108" s="39" t="str">
        <f t="shared" si="10"/>
        <v/>
      </c>
      <c r="L108" s="39" t="str">
        <f t="shared" si="10"/>
        <v/>
      </c>
      <c r="M108" s="39" t="str">
        <f t="shared" si="10"/>
        <v/>
      </c>
      <c r="N108" s="39" t="str">
        <f t="shared" si="10"/>
        <v/>
      </c>
      <c r="O108" s="39" t="str">
        <f t="shared" si="10"/>
        <v/>
      </c>
      <c r="P108" s="39" t="str">
        <f t="shared" si="10"/>
        <v/>
      </c>
      <c r="Q108" s="39" t="str">
        <f t="shared" si="10"/>
        <v/>
      </c>
      <c r="R108" s="39" t="str">
        <f t="shared" si="10"/>
        <v/>
      </c>
      <c r="S108" s="39" t="str">
        <f t="shared" si="10"/>
        <v/>
      </c>
      <c r="T108" s="39" t="str">
        <f t="shared" si="10"/>
        <v/>
      </c>
      <c r="U108" s="39" t="str">
        <f t="shared" si="10"/>
        <v/>
      </c>
      <c r="V108" s="39" t="str">
        <f t="shared" si="10"/>
        <v/>
      </c>
    </row>
    <row r="109" spans="1:22" x14ac:dyDescent="0.3">
      <c r="A109" s="38"/>
      <c r="B109" s="39" t="str">
        <f>IF($A109="","",SUMIFS(weekly_demand!$D:$D,weekly_demand!$A:$A,B$1,weekly_demand!$C:$C,$A109))</f>
        <v/>
      </c>
      <c r="C109" s="39" t="str">
        <f>IF($A109="","",SUMIFS(weekly_demand!$D:$D,weekly_demand!$A:$A,C$1,weekly_demand!$C:$C,$A109))</f>
        <v/>
      </c>
      <c r="D109" s="39" t="str">
        <f>IF($A109="","",SUMIFS(weekly_demand!$D:$D,weekly_demand!$A:$A,D$1,weekly_demand!$C:$C,$A109))</f>
        <v/>
      </c>
      <c r="E109" s="39" t="str">
        <f>IF($A109="","",SUMIFS(weekly_demand!$D:$D,weekly_demand!$A:$A,E$1,weekly_demand!$C:$C,$A109))</f>
        <v/>
      </c>
      <c r="F109" s="39" t="str">
        <f>IF($A109="","",SUMIFS(weekly_demand!$D:$D,weekly_demand!$A:$A,F$1,weekly_demand!$C:$C,$A109))</f>
        <v/>
      </c>
      <c r="G109" s="39" t="str">
        <f>IF($A109="","",SUMIFS(weekly_demand!$D:$D,weekly_demand!$A:$A,G$1,weekly_demand!$C:$C,$A109))</f>
        <v/>
      </c>
      <c r="H109" s="39" t="str">
        <f t="shared" si="10"/>
        <v/>
      </c>
      <c r="I109" s="39" t="str">
        <f t="shared" si="10"/>
        <v/>
      </c>
      <c r="J109" s="39" t="str">
        <f t="shared" si="10"/>
        <v/>
      </c>
      <c r="K109" s="39" t="str">
        <f t="shared" si="10"/>
        <v/>
      </c>
      <c r="L109" s="39" t="str">
        <f t="shared" si="10"/>
        <v/>
      </c>
      <c r="M109" s="39" t="str">
        <f t="shared" si="10"/>
        <v/>
      </c>
      <c r="N109" s="39" t="str">
        <f t="shared" si="10"/>
        <v/>
      </c>
      <c r="O109" s="39" t="str">
        <f t="shared" si="10"/>
        <v/>
      </c>
      <c r="P109" s="39" t="str">
        <f t="shared" si="10"/>
        <v/>
      </c>
      <c r="Q109" s="39" t="str">
        <f t="shared" si="10"/>
        <v/>
      </c>
      <c r="R109" s="39" t="str">
        <f t="shared" si="10"/>
        <v/>
      </c>
      <c r="S109" s="39" t="str">
        <f t="shared" si="10"/>
        <v/>
      </c>
      <c r="T109" s="39" t="str">
        <f t="shared" si="10"/>
        <v/>
      </c>
      <c r="U109" s="39" t="str">
        <f t="shared" si="10"/>
        <v/>
      </c>
      <c r="V109" s="39" t="str">
        <f t="shared" si="10"/>
        <v/>
      </c>
    </row>
    <row r="110" spans="1:22" x14ac:dyDescent="0.3">
      <c r="A110" s="38"/>
      <c r="B110" s="39" t="str">
        <f>IF($A110="","",SUMIFS(weekly_demand!$D:$D,weekly_demand!$A:$A,B$1,weekly_demand!$C:$C,$A110))</f>
        <v/>
      </c>
      <c r="C110" s="39" t="str">
        <f>IF($A110="","",SUMIFS(weekly_demand!$D:$D,weekly_demand!$A:$A,C$1,weekly_demand!$C:$C,$A110))</f>
        <v/>
      </c>
      <c r="D110" s="39" t="str">
        <f>IF($A110="","",SUMIFS(weekly_demand!$D:$D,weekly_demand!$A:$A,D$1,weekly_demand!$C:$C,$A110))</f>
        <v/>
      </c>
      <c r="E110" s="39" t="str">
        <f>IF($A110="","",SUMIFS(weekly_demand!$D:$D,weekly_demand!$A:$A,E$1,weekly_demand!$C:$C,$A110))</f>
        <v/>
      </c>
      <c r="F110" s="39" t="str">
        <f>IF($A110="","",SUMIFS(weekly_demand!$D:$D,weekly_demand!$A:$A,F$1,weekly_demand!$C:$C,$A110))</f>
        <v/>
      </c>
      <c r="G110" s="39" t="str">
        <f>IF($A110="","",SUMIFS(weekly_demand!$D:$D,weekly_demand!$A:$A,G$1,weekly_demand!$C:$C,$A110))</f>
        <v/>
      </c>
      <c r="H110" s="39" t="str">
        <f t="shared" si="10"/>
        <v/>
      </c>
      <c r="I110" s="39" t="str">
        <f t="shared" si="10"/>
        <v/>
      </c>
      <c r="J110" s="39" t="str">
        <f t="shared" si="10"/>
        <v/>
      </c>
      <c r="K110" s="39" t="str">
        <f t="shared" si="10"/>
        <v/>
      </c>
      <c r="L110" s="39" t="str">
        <f t="shared" si="10"/>
        <v/>
      </c>
      <c r="M110" s="39" t="str">
        <f t="shared" si="10"/>
        <v/>
      </c>
      <c r="N110" s="39" t="str">
        <f t="shared" si="10"/>
        <v/>
      </c>
      <c r="O110" s="39" t="str">
        <f t="shared" si="10"/>
        <v/>
      </c>
      <c r="P110" s="39" t="str">
        <f t="shared" si="10"/>
        <v/>
      </c>
      <c r="Q110" s="39" t="str">
        <f t="shared" si="10"/>
        <v/>
      </c>
      <c r="R110" s="39" t="str">
        <f t="shared" si="10"/>
        <v/>
      </c>
      <c r="S110" s="39" t="str">
        <f t="shared" si="10"/>
        <v/>
      </c>
      <c r="T110" s="39" t="str">
        <f t="shared" si="10"/>
        <v/>
      </c>
      <c r="U110" s="39" t="str">
        <f t="shared" si="10"/>
        <v/>
      </c>
      <c r="V110" s="39" t="str">
        <f t="shared" si="10"/>
        <v/>
      </c>
    </row>
    <row r="111" spans="1:22" x14ac:dyDescent="0.3">
      <c r="A111" s="38"/>
      <c r="B111" s="39" t="str">
        <f>IF($A111="","",SUMIFS(weekly_demand!$D:$D,weekly_demand!$A:$A,B$1,weekly_demand!$C:$C,$A111))</f>
        <v/>
      </c>
      <c r="C111" s="39" t="str">
        <f>IF($A111="","",SUMIFS(weekly_demand!$D:$D,weekly_demand!$A:$A,C$1,weekly_demand!$C:$C,$A111))</f>
        <v/>
      </c>
      <c r="D111" s="39" t="str">
        <f>IF($A111="","",SUMIFS(weekly_demand!$D:$D,weekly_demand!$A:$A,D$1,weekly_demand!$C:$C,$A111))</f>
        <v/>
      </c>
      <c r="E111" s="39" t="str">
        <f>IF($A111="","",SUMIFS(weekly_demand!$D:$D,weekly_demand!$A:$A,E$1,weekly_demand!$C:$C,$A111))</f>
        <v/>
      </c>
      <c r="F111" s="39" t="str">
        <f>IF($A111="","",SUMIFS(weekly_demand!$D:$D,weekly_demand!$A:$A,F$1,weekly_demand!$C:$C,$A111))</f>
        <v/>
      </c>
      <c r="G111" s="39" t="str">
        <f>IF($A111="","",SUMIFS(weekly_demand!$D:$D,weekly_demand!$A:$A,G$1,weekly_demand!$C:$C,$A111))</f>
        <v/>
      </c>
      <c r="H111" s="39" t="str">
        <f t="shared" si="10"/>
        <v/>
      </c>
      <c r="I111" s="39" t="str">
        <f t="shared" si="10"/>
        <v/>
      </c>
      <c r="J111" s="39" t="str">
        <f t="shared" si="10"/>
        <v/>
      </c>
      <c r="K111" s="39" t="str">
        <f t="shared" si="10"/>
        <v/>
      </c>
      <c r="L111" s="39" t="str">
        <f t="shared" si="10"/>
        <v/>
      </c>
      <c r="M111" s="39" t="str">
        <f t="shared" si="10"/>
        <v/>
      </c>
      <c r="N111" s="39" t="str">
        <f t="shared" si="10"/>
        <v/>
      </c>
      <c r="O111" s="39" t="str">
        <f t="shared" si="10"/>
        <v/>
      </c>
      <c r="P111" s="39" t="str">
        <f t="shared" si="10"/>
        <v/>
      </c>
      <c r="Q111" s="39" t="str">
        <f t="shared" si="10"/>
        <v/>
      </c>
      <c r="R111" s="39" t="str">
        <f t="shared" si="10"/>
        <v/>
      </c>
      <c r="S111" s="39" t="str">
        <f t="shared" si="10"/>
        <v/>
      </c>
      <c r="T111" s="39" t="str">
        <f t="shared" si="10"/>
        <v/>
      </c>
      <c r="U111" s="39" t="str">
        <f t="shared" si="10"/>
        <v/>
      </c>
      <c r="V111" s="39" t="str">
        <f t="shared" si="10"/>
        <v/>
      </c>
    </row>
    <row r="112" spans="1:22" x14ac:dyDescent="0.3">
      <c r="A112" s="38"/>
      <c r="B112" s="39" t="str">
        <f>IF($A112="","",SUMIFS(weekly_demand!$D:$D,weekly_demand!$A:$A,B$1,weekly_demand!$C:$C,$A112))</f>
        <v/>
      </c>
      <c r="C112" s="39" t="str">
        <f>IF($A112="","",SUMIFS(weekly_demand!$D:$D,weekly_demand!$A:$A,C$1,weekly_demand!$C:$C,$A112))</f>
        <v/>
      </c>
      <c r="D112" s="39" t="str">
        <f>IF($A112="","",SUMIFS(weekly_demand!$D:$D,weekly_demand!$A:$A,D$1,weekly_demand!$C:$C,$A112))</f>
        <v/>
      </c>
      <c r="E112" s="39" t="str">
        <f>IF($A112="","",SUMIFS(weekly_demand!$D:$D,weekly_demand!$A:$A,E$1,weekly_demand!$C:$C,$A112))</f>
        <v/>
      </c>
      <c r="F112" s="39" t="str">
        <f>IF($A112="","",SUMIFS(weekly_demand!$D:$D,weekly_demand!$A:$A,F$1,weekly_demand!$C:$C,$A112))</f>
        <v/>
      </c>
      <c r="G112" s="39" t="str">
        <f>IF($A112="","",SUMIFS(weekly_demand!$D:$D,weekly_demand!$A:$A,G$1,weekly_demand!$C:$C,$A112))</f>
        <v/>
      </c>
      <c r="H112" s="39" t="str">
        <f t="shared" ref="H112:V121" si="11">IF($A112="","",SUMPRODUCT($B112:$G112,INDEX($Y$2:$AD$16,MATCH(H$1,$X$2:$X$16,0),0)))</f>
        <v/>
      </c>
      <c r="I112" s="39" t="str">
        <f t="shared" si="11"/>
        <v/>
      </c>
      <c r="J112" s="39" t="str">
        <f t="shared" si="11"/>
        <v/>
      </c>
      <c r="K112" s="39" t="str">
        <f t="shared" si="11"/>
        <v/>
      </c>
      <c r="L112" s="39" t="str">
        <f t="shared" si="11"/>
        <v/>
      </c>
      <c r="M112" s="39" t="str">
        <f t="shared" si="11"/>
        <v/>
      </c>
      <c r="N112" s="39" t="str">
        <f t="shared" si="11"/>
        <v/>
      </c>
      <c r="O112" s="39" t="str">
        <f t="shared" si="11"/>
        <v/>
      </c>
      <c r="P112" s="39" t="str">
        <f t="shared" si="11"/>
        <v/>
      </c>
      <c r="Q112" s="39" t="str">
        <f t="shared" si="11"/>
        <v/>
      </c>
      <c r="R112" s="39" t="str">
        <f t="shared" si="11"/>
        <v/>
      </c>
      <c r="S112" s="39" t="str">
        <f t="shared" si="11"/>
        <v/>
      </c>
      <c r="T112" s="39" t="str">
        <f t="shared" si="11"/>
        <v/>
      </c>
      <c r="U112" s="39" t="str">
        <f t="shared" si="11"/>
        <v/>
      </c>
      <c r="V112" s="39" t="str">
        <f t="shared" si="11"/>
        <v/>
      </c>
    </row>
    <row r="113" spans="1:22" x14ac:dyDescent="0.3">
      <c r="A113" s="38"/>
      <c r="B113" s="39" t="str">
        <f>IF($A113="","",SUMIFS(weekly_demand!$D:$D,weekly_demand!$A:$A,B$1,weekly_demand!$C:$C,$A113))</f>
        <v/>
      </c>
      <c r="C113" s="39" t="str">
        <f>IF($A113="","",SUMIFS(weekly_demand!$D:$D,weekly_demand!$A:$A,C$1,weekly_demand!$C:$C,$A113))</f>
        <v/>
      </c>
      <c r="D113" s="39" t="str">
        <f>IF($A113="","",SUMIFS(weekly_demand!$D:$D,weekly_demand!$A:$A,D$1,weekly_demand!$C:$C,$A113))</f>
        <v/>
      </c>
      <c r="E113" s="39" t="str">
        <f>IF($A113="","",SUMIFS(weekly_demand!$D:$D,weekly_demand!$A:$A,E$1,weekly_demand!$C:$C,$A113))</f>
        <v/>
      </c>
      <c r="F113" s="39" t="str">
        <f>IF($A113="","",SUMIFS(weekly_demand!$D:$D,weekly_demand!$A:$A,F$1,weekly_demand!$C:$C,$A113))</f>
        <v/>
      </c>
      <c r="G113" s="39" t="str">
        <f>IF($A113="","",SUMIFS(weekly_demand!$D:$D,weekly_demand!$A:$A,G$1,weekly_demand!$C:$C,$A113))</f>
        <v/>
      </c>
      <c r="H113" s="39" t="str">
        <f t="shared" si="11"/>
        <v/>
      </c>
      <c r="I113" s="39" t="str">
        <f t="shared" si="11"/>
        <v/>
      </c>
      <c r="J113" s="39" t="str">
        <f t="shared" si="11"/>
        <v/>
      </c>
      <c r="K113" s="39" t="str">
        <f t="shared" si="11"/>
        <v/>
      </c>
      <c r="L113" s="39" t="str">
        <f t="shared" si="11"/>
        <v/>
      </c>
      <c r="M113" s="39" t="str">
        <f t="shared" si="11"/>
        <v/>
      </c>
      <c r="N113" s="39" t="str">
        <f t="shared" si="11"/>
        <v/>
      </c>
      <c r="O113" s="39" t="str">
        <f t="shared" si="11"/>
        <v/>
      </c>
      <c r="P113" s="39" t="str">
        <f t="shared" si="11"/>
        <v/>
      </c>
      <c r="Q113" s="39" t="str">
        <f t="shared" si="11"/>
        <v/>
      </c>
      <c r="R113" s="39" t="str">
        <f t="shared" si="11"/>
        <v/>
      </c>
      <c r="S113" s="39" t="str">
        <f t="shared" si="11"/>
        <v/>
      </c>
      <c r="T113" s="39" t="str">
        <f t="shared" si="11"/>
        <v/>
      </c>
      <c r="U113" s="39" t="str">
        <f t="shared" si="11"/>
        <v/>
      </c>
      <c r="V113" s="39" t="str">
        <f t="shared" si="11"/>
        <v/>
      </c>
    </row>
    <row r="114" spans="1:22" x14ac:dyDescent="0.3">
      <c r="A114" s="38"/>
      <c r="B114" s="39" t="str">
        <f>IF($A114="","",SUMIFS(weekly_demand!$D:$D,weekly_demand!$A:$A,B$1,weekly_demand!$C:$C,$A114))</f>
        <v/>
      </c>
      <c r="C114" s="39" t="str">
        <f>IF($A114="","",SUMIFS(weekly_demand!$D:$D,weekly_demand!$A:$A,C$1,weekly_demand!$C:$C,$A114))</f>
        <v/>
      </c>
      <c r="D114" s="39" t="str">
        <f>IF($A114="","",SUMIFS(weekly_demand!$D:$D,weekly_demand!$A:$A,D$1,weekly_demand!$C:$C,$A114))</f>
        <v/>
      </c>
      <c r="E114" s="39" t="str">
        <f>IF($A114="","",SUMIFS(weekly_demand!$D:$D,weekly_demand!$A:$A,E$1,weekly_demand!$C:$C,$A114))</f>
        <v/>
      </c>
      <c r="F114" s="39" t="str">
        <f>IF($A114="","",SUMIFS(weekly_demand!$D:$D,weekly_demand!$A:$A,F$1,weekly_demand!$C:$C,$A114))</f>
        <v/>
      </c>
      <c r="G114" s="39" t="str">
        <f>IF($A114="","",SUMIFS(weekly_demand!$D:$D,weekly_demand!$A:$A,G$1,weekly_demand!$C:$C,$A114))</f>
        <v/>
      </c>
      <c r="H114" s="39" t="str">
        <f t="shared" si="11"/>
        <v/>
      </c>
      <c r="I114" s="39" t="str">
        <f t="shared" si="11"/>
        <v/>
      </c>
      <c r="J114" s="39" t="str">
        <f t="shared" si="11"/>
        <v/>
      </c>
      <c r="K114" s="39" t="str">
        <f t="shared" si="11"/>
        <v/>
      </c>
      <c r="L114" s="39" t="str">
        <f t="shared" si="11"/>
        <v/>
      </c>
      <c r="M114" s="39" t="str">
        <f t="shared" si="11"/>
        <v/>
      </c>
      <c r="N114" s="39" t="str">
        <f t="shared" si="11"/>
        <v/>
      </c>
      <c r="O114" s="39" t="str">
        <f t="shared" si="11"/>
        <v/>
      </c>
      <c r="P114" s="39" t="str">
        <f t="shared" si="11"/>
        <v/>
      </c>
      <c r="Q114" s="39" t="str">
        <f t="shared" si="11"/>
        <v/>
      </c>
      <c r="R114" s="39" t="str">
        <f t="shared" si="11"/>
        <v/>
      </c>
      <c r="S114" s="39" t="str">
        <f t="shared" si="11"/>
        <v/>
      </c>
      <c r="T114" s="39" t="str">
        <f t="shared" si="11"/>
        <v/>
      </c>
      <c r="U114" s="39" t="str">
        <f t="shared" si="11"/>
        <v/>
      </c>
      <c r="V114" s="39" t="str">
        <f t="shared" si="11"/>
        <v/>
      </c>
    </row>
    <row r="115" spans="1:22" x14ac:dyDescent="0.3">
      <c r="A115" s="38"/>
      <c r="B115" s="39" t="str">
        <f>IF($A115="","",SUMIFS(weekly_demand!$D:$D,weekly_demand!$A:$A,B$1,weekly_demand!$C:$C,$A115))</f>
        <v/>
      </c>
      <c r="C115" s="39" t="str">
        <f>IF($A115="","",SUMIFS(weekly_demand!$D:$D,weekly_demand!$A:$A,C$1,weekly_demand!$C:$C,$A115))</f>
        <v/>
      </c>
      <c r="D115" s="39" t="str">
        <f>IF($A115="","",SUMIFS(weekly_demand!$D:$D,weekly_demand!$A:$A,D$1,weekly_demand!$C:$C,$A115))</f>
        <v/>
      </c>
      <c r="E115" s="39" t="str">
        <f>IF($A115="","",SUMIFS(weekly_demand!$D:$D,weekly_demand!$A:$A,E$1,weekly_demand!$C:$C,$A115))</f>
        <v/>
      </c>
      <c r="F115" s="39" t="str">
        <f>IF($A115="","",SUMIFS(weekly_demand!$D:$D,weekly_demand!$A:$A,F$1,weekly_demand!$C:$C,$A115))</f>
        <v/>
      </c>
      <c r="G115" s="39" t="str">
        <f>IF($A115="","",SUMIFS(weekly_demand!$D:$D,weekly_demand!$A:$A,G$1,weekly_demand!$C:$C,$A115))</f>
        <v/>
      </c>
      <c r="H115" s="39" t="str">
        <f t="shared" si="11"/>
        <v/>
      </c>
      <c r="I115" s="39" t="str">
        <f t="shared" si="11"/>
        <v/>
      </c>
      <c r="J115" s="39" t="str">
        <f t="shared" si="11"/>
        <v/>
      </c>
      <c r="K115" s="39" t="str">
        <f t="shared" si="11"/>
        <v/>
      </c>
      <c r="L115" s="39" t="str">
        <f t="shared" si="11"/>
        <v/>
      </c>
      <c r="M115" s="39" t="str">
        <f t="shared" si="11"/>
        <v/>
      </c>
      <c r="N115" s="39" t="str">
        <f t="shared" si="11"/>
        <v/>
      </c>
      <c r="O115" s="39" t="str">
        <f t="shared" si="11"/>
        <v/>
      </c>
      <c r="P115" s="39" t="str">
        <f t="shared" si="11"/>
        <v/>
      </c>
      <c r="Q115" s="39" t="str">
        <f t="shared" si="11"/>
        <v/>
      </c>
      <c r="R115" s="39" t="str">
        <f t="shared" si="11"/>
        <v/>
      </c>
      <c r="S115" s="39" t="str">
        <f t="shared" si="11"/>
        <v/>
      </c>
      <c r="T115" s="39" t="str">
        <f t="shared" si="11"/>
        <v/>
      </c>
      <c r="U115" s="39" t="str">
        <f t="shared" si="11"/>
        <v/>
      </c>
      <c r="V115" s="39" t="str">
        <f t="shared" si="11"/>
        <v/>
      </c>
    </row>
    <row r="116" spans="1:22" x14ac:dyDescent="0.3">
      <c r="A116" s="38"/>
      <c r="B116" s="39" t="str">
        <f>IF($A116="","",SUMIFS(weekly_demand!$D:$D,weekly_demand!$A:$A,B$1,weekly_demand!$C:$C,$A116))</f>
        <v/>
      </c>
      <c r="C116" s="39" t="str">
        <f>IF($A116="","",SUMIFS(weekly_demand!$D:$D,weekly_demand!$A:$A,C$1,weekly_demand!$C:$C,$A116))</f>
        <v/>
      </c>
      <c r="D116" s="39" t="str">
        <f>IF($A116="","",SUMIFS(weekly_demand!$D:$D,weekly_demand!$A:$A,D$1,weekly_demand!$C:$C,$A116))</f>
        <v/>
      </c>
      <c r="E116" s="39" t="str">
        <f>IF($A116="","",SUMIFS(weekly_demand!$D:$D,weekly_demand!$A:$A,E$1,weekly_demand!$C:$C,$A116))</f>
        <v/>
      </c>
      <c r="F116" s="39" t="str">
        <f>IF($A116="","",SUMIFS(weekly_demand!$D:$D,weekly_demand!$A:$A,F$1,weekly_demand!$C:$C,$A116))</f>
        <v/>
      </c>
      <c r="G116" s="39" t="str">
        <f>IF($A116="","",SUMIFS(weekly_demand!$D:$D,weekly_demand!$A:$A,G$1,weekly_demand!$C:$C,$A116))</f>
        <v/>
      </c>
      <c r="H116" s="39" t="str">
        <f t="shared" si="11"/>
        <v/>
      </c>
      <c r="I116" s="39" t="str">
        <f t="shared" si="11"/>
        <v/>
      </c>
      <c r="J116" s="39" t="str">
        <f t="shared" si="11"/>
        <v/>
      </c>
      <c r="K116" s="39" t="str">
        <f t="shared" si="11"/>
        <v/>
      </c>
      <c r="L116" s="39" t="str">
        <f t="shared" si="11"/>
        <v/>
      </c>
      <c r="M116" s="39" t="str">
        <f t="shared" si="11"/>
        <v/>
      </c>
      <c r="N116" s="39" t="str">
        <f t="shared" si="11"/>
        <v/>
      </c>
      <c r="O116" s="39" t="str">
        <f t="shared" si="11"/>
        <v/>
      </c>
      <c r="P116" s="39" t="str">
        <f t="shared" si="11"/>
        <v/>
      </c>
      <c r="Q116" s="39" t="str">
        <f t="shared" si="11"/>
        <v/>
      </c>
      <c r="R116" s="39" t="str">
        <f t="shared" si="11"/>
        <v/>
      </c>
      <c r="S116" s="39" t="str">
        <f t="shared" si="11"/>
        <v/>
      </c>
      <c r="T116" s="39" t="str">
        <f t="shared" si="11"/>
        <v/>
      </c>
      <c r="U116" s="39" t="str">
        <f t="shared" si="11"/>
        <v/>
      </c>
      <c r="V116" s="39" t="str">
        <f t="shared" si="11"/>
        <v/>
      </c>
    </row>
    <row r="117" spans="1:22" x14ac:dyDescent="0.3">
      <c r="A117" s="38"/>
      <c r="B117" s="39" t="str">
        <f>IF($A117="","",SUMIFS(weekly_demand!$D:$D,weekly_demand!$A:$A,B$1,weekly_demand!$C:$C,$A117))</f>
        <v/>
      </c>
      <c r="C117" s="39" t="str">
        <f>IF($A117="","",SUMIFS(weekly_demand!$D:$D,weekly_demand!$A:$A,C$1,weekly_demand!$C:$C,$A117))</f>
        <v/>
      </c>
      <c r="D117" s="39" t="str">
        <f>IF($A117="","",SUMIFS(weekly_demand!$D:$D,weekly_demand!$A:$A,D$1,weekly_demand!$C:$C,$A117))</f>
        <v/>
      </c>
      <c r="E117" s="39" t="str">
        <f>IF($A117="","",SUMIFS(weekly_demand!$D:$D,weekly_demand!$A:$A,E$1,weekly_demand!$C:$C,$A117))</f>
        <v/>
      </c>
      <c r="F117" s="39" t="str">
        <f>IF($A117="","",SUMIFS(weekly_demand!$D:$D,weekly_demand!$A:$A,F$1,weekly_demand!$C:$C,$A117))</f>
        <v/>
      </c>
      <c r="G117" s="39" t="str">
        <f>IF($A117="","",SUMIFS(weekly_demand!$D:$D,weekly_demand!$A:$A,G$1,weekly_demand!$C:$C,$A117))</f>
        <v/>
      </c>
      <c r="H117" s="39" t="str">
        <f t="shared" si="11"/>
        <v/>
      </c>
      <c r="I117" s="39" t="str">
        <f t="shared" si="11"/>
        <v/>
      </c>
      <c r="J117" s="39" t="str">
        <f t="shared" si="11"/>
        <v/>
      </c>
      <c r="K117" s="39" t="str">
        <f t="shared" si="11"/>
        <v/>
      </c>
      <c r="L117" s="39" t="str">
        <f t="shared" si="11"/>
        <v/>
      </c>
      <c r="M117" s="39" t="str">
        <f t="shared" si="11"/>
        <v/>
      </c>
      <c r="N117" s="39" t="str">
        <f t="shared" si="11"/>
        <v/>
      </c>
      <c r="O117" s="39" t="str">
        <f t="shared" si="11"/>
        <v/>
      </c>
      <c r="P117" s="39" t="str">
        <f t="shared" si="11"/>
        <v/>
      </c>
      <c r="Q117" s="39" t="str">
        <f t="shared" si="11"/>
        <v/>
      </c>
      <c r="R117" s="39" t="str">
        <f t="shared" si="11"/>
        <v/>
      </c>
      <c r="S117" s="39" t="str">
        <f t="shared" si="11"/>
        <v/>
      </c>
      <c r="T117" s="39" t="str">
        <f t="shared" si="11"/>
        <v/>
      </c>
      <c r="U117" s="39" t="str">
        <f t="shared" si="11"/>
        <v/>
      </c>
      <c r="V117" s="39" t="str">
        <f t="shared" si="11"/>
        <v/>
      </c>
    </row>
    <row r="118" spans="1:22" x14ac:dyDescent="0.3">
      <c r="A118" s="38"/>
      <c r="B118" s="39" t="str">
        <f>IF($A118="","",SUMIFS(weekly_demand!$D:$D,weekly_demand!$A:$A,B$1,weekly_demand!$C:$C,$A118))</f>
        <v/>
      </c>
      <c r="C118" s="39" t="str">
        <f>IF($A118="","",SUMIFS(weekly_demand!$D:$D,weekly_demand!$A:$A,C$1,weekly_demand!$C:$C,$A118))</f>
        <v/>
      </c>
      <c r="D118" s="39" t="str">
        <f>IF($A118="","",SUMIFS(weekly_demand!$D:$D,weekly_demand!$A:$A,D$1,weekly_demand!$C:$C,$A118))</f>
        <v/>
      </c>
      <c r="E118" s="39" t="str">
        <f>IF($A118="","",SUMIFS(weekly_demand!$D:$D,weekly_demand!$A:$A,E$1,weekly_demand!$C:$C,$A118))</f>
        <v/>
      </c>
      <c r="F118" s="39" t="str">
        <f>IF($A118="","",SUMIFS(weekly_demand!$D:$D,weekly_demand!$A:$A,F$1,weekly_demand!$C:$C,$A118))</f>
        <v/>
      </c>
      <c r="G118" s="39" t="str">
        <f>IF($A118="","",SUMIFS(weekly_demand!$D:$D,weekly_demand!$A:$A,G$1,weekly_demand!$C:$C,$A118))</f>
        <v/>
      </c>
      <c r="H118" s="39" t="str">
        <f t="shared" si="11"/>
        <v/>
      </c>
      <c r="I118" s="39" t="str">
        <f t="shared" si="11"/>
        <v/>
      </c>
      <c r="J118" s="39" t="str">
        <f t="shared" si="11"/>
        <v/>
      </c>
      <c r="K118" s="39" t="str">
        <f t="shared" si="11"/>
        <v/>
      </c>
      <c r="L118" s="39" t="str">
        <f t="shared" si="11"/>
        <v/>
      </c>
      <c r="M118" s="39" t="str">
        <f t="shared" si="11"/>
        <v/>
      </c>
      <c r="N118" s="39" t="str">
        <f t="shared" si="11"/>
        <v/>
      </c>
      <c r="O118" s="39" t="str">
        <f t="shared" si="11"/>
        <v/>
      </c>
      <c r="P118" s="39" t="str">
        <f t="shared" si="11"/>
        <v/>
      </c>
      <c r="Q118" s="39" t="str">
        <f t="shared" si="11"/>
        <v/>
      </c>
      <c r="R118" s="39" t="str">
        <f t="shared" si="11"/>
        <v/>
      </c>
      <c r="S118" s="39" t="str">
        <f t="shared" si="11"/>
        <v/>
      </c>
      <c r="T118" s="39" t="str">
        <f t="shared" si="11"/>
        <v/>
      </c>
      <c r="U118" s="39" t="str">
        <f t="shared" si="11"/>
        <v/>
      </c>
      <c r="V118" s="39" t="str">
        <f t="shared" si="11"/>
        <v/>
      </c>
    </row>
    <row r="119" spans="1:22" x14ac:dyDescent="0.3">
      <c r="A119" s="38"/>
      <c r="B119" s="39" t="str">
        <f>IF($A119="","",SUMIFS(weekly_demand!$D:$D,weekly_demand!$A:$A,B$1,weekly_demand!$C:$C,$A119))</f>
        <v/>
      </c>
      <c r="C119" s="39" t="str">
        <f>IF($A119="","",SUMIFS(weekly_demand!$D:$D,weekly_demand!$A:$A,C$1,weekly_demand!$C:$C,$A119))</f>
        <v/>
      </c>
      <c r="D119" s="39" t="str">
        <f>IF($A119="","",SUMIFS(weekly_demand!$D:$D,weekly_demand!$A:$A,D$1,weekly_demand!$C:$C,$A119))</f>
        <v/>
      </c>
      <c r="E119" s="39" t="str">
        <f>IF($A119="","",SUMIFS(weekly_demand!$D:$D,weekly_demand!$A:$A,E$1,weekly_demand!$C:$C,$A119))</f>
        <v/>
      </c>
      <c r="F119" s="39" t="str">
        <f>IF($A119="","",SUMIFS(weekly_demand!$D:$D,weekly_demand!$A:$A,F$1,weekly_demand!$C:$C,$A119))</f>
        <v/>
      </c>
      <c r="G119" s="39" t="str">
        <f>IF($A119="","",SUMIFS(weekly_demand!$D:$D,weekly_demand!$A:$A,G$1,weekly_demand!$C:$C,$A119))</f>
        <v/>
      </c>
      <c r="H119" s="39" t="str">
        <f t="shared" si="11"/>
        <v/>
      </c>
      <c r="I119" s="39" t="str">
        <f t="shared" si="11"/>
        <v/>
      </c>
      <c r="J119" s="39" t="str">
        <f t="shared" si="11"/>
        <v/>
      </c>
      <c r="K119" s="39" t="str">
        <f t="shared" si="11"/>
        <v/>
      </c>
      <c r="L119" s="39" t="str">
        <f t="shared" si="11"/>
        <v/>
      </c>
      <c r="M119" s="39" t="str">
        <f t="shared" si="11"/>
        <v/>
      </c>
      <c r="N119" s="39" t="str">
        <f t="shared" si="11"/>
        <v/>
      </c>
      <c r="O119" s="39" t="str">
        <f t="shared" si="11"/>
        <v/>
      </c>
      <c r="P119" s="39" t="str">
        <f t="shared" si="11"/>
        <v/>
      </c>
      <c r="Q119" s="39" t="str">
        <f t="shared" si="11"/>
        <v/>
      </c>
      <c r="R119" s="39" t="str">
        <f t="shared" si="11"/>
        <v/>
      </c>
      <c r="S119" s="39" t="str">
        <f t="shared" si="11"/>
        <v/>
      </c>
      <c r="T119" s="39" t="str">
        <f t="shared" si="11"/>
        <v/>
      </c>
      <c r="U119" s="39" t="str">
        <f t="shared" si="11"/>
        <v/>
      </c>
      <c r="V119" s="39" t="str">
        <f t="shared" si="11"/>
        <v/>
      </c>
    </row>
    <row r="120" spans="1:22" x14ac:dyDescent="0.3">
      <c r="A120" s="38"/>
      <c r="B120" s="39" t="str">
        <f>IF($A120="","",SUMIFS(weekly_demand!$D:$D,weekly_demand!$A:$A,B$1,weekly_demand!$C:$C,$A120))</f>
        <v/>
      </c>
      <c r="C120" s="39" t="str">
        <f>IF($A120="","",SUMIFS(weekly_demand!$D:$D,weekly_demand!$A:$A,C$1,weekly_demand!$C:$C,$A120))</f>
        <v/>
      </c>
      <c r="D120" s="39" t="str">
        <f>IF($A120="","",SUMIFS(weekly_demand!$D:$D,weekly_demand!$A:$A,D$1,weekly_demand!$C:$C,$A120))</f>
        <v/>
      </c>
      <c r="E120" s="39" t="str">
        <f>IF($A120="","",SUMIFS(weekly_demand!$D:$D,weekly_demand!$A:$A,E$1,weekly_demand!$C:$C,$A120))</f>
        <v/>
      </c>
      <c r="F120" s="39" t="str">
        <f>IF($A120="","",SUMIFS(weekly_demand!$D:$D,weekly_demand!$A:$A,F$1,weekly_demand!$C:$C,$A120))</f>
        <v/>
      </c>
      <c r="G120" s="39" t="str">
        <f>IF($A120="","",SUMIFS(weekly_demand!$D:$D,weekly_demand!$A:$A,G$1,weekly_demand!$C:$C,$A120))</f>
        <v/>
      </c>
      <c r="H120" s="39" t="str">
        <f t="shared" si="11"/>
        <v/>
      </c>
      <c r="I120" s="39" t="str">
        <f t="shared" si="11"/>
        <v/>
      </c>
      <c r="J120" s="39" t="str">
        <f t="shared" si="11"/>
        <v/>
      </c>
      <c r="K120" s="39" t="str">
        <f t="shared" si="11"/>
        <v/>
      </c>
      <c r="L120" s="39" t="str">
        <f t="shared" si="11"/>
        <v/>
      </c>
      <c r="M120" s="39" t="str">
        <f t="shared" si="11"/>
        <v/>
      </c>
      <c r="N120" s="39" t="str">
        <f t="shared" si="11"/>
        <v/>
      </c>
      <c r="O120" s="39" t="str">
        <f t="shared" si="11"/>
        <v/>
      </c>
      <c r="P120" s="39" t="str">
        <f t="shared" si="11"/>
        <v/>
      </c>
      <c r="Q120" s="39" t="str">
        <f t="shared" si="11"/>
        <v/>
      </c>
      <c r="R120" s="39" t="str">
        <f t="shared" si="11"/>
        <v/>
      </c>
      <c r="S120" s="39" t="str">
        <f t="shared" si="11"/>
        <v/>
      </c>
      <c r="T120" s="39" t="str">
        <f t="shared" si="11"/>
        <v/>
      </c>
      <c r="U120" s="39" t="str">
        <f t="shared" si="11"/>
        <v/>
      </c>
      <c r="V120" s="39" t="str">
        <f t="shared" si="11"/>
        <v/>
      </c>
    </row>
    <row r="121" spans="1:22" x14ac:dyDescent="0.3">
      <c r="A121" s="38"/>
      <c r="B121" s="39" t="str">
        <f>IF($A121="","",SUMIFS(weekly_demand!$D:$D,weekly_demand!$A:$A,B$1,weekly_demand!$C:$C,$A121))</f>
        <v/>
      </c>
      <c r="C121" s="39" t="str">
        <f>IF($A121="","",SUMIFS(weekly_demand!$D:$D,weekly_demand!$A:$A,C$1,weekly_demand!$C:$C,$A121))</f>
        <v/>
      </c>
      <c r="D121" s="39" t="str">
        <f>IF($A121="","",SUMIFS(weekly_demand!$D:$D,weekly_demand!$A:$A,D$1,weekly_demand!$C:$C,$A121))</f>
        <v/>
      </c>
      <c r="E121" s="39" t="str">
        <f>IF($A121="","",SUMIFS(weekly_demand!$D:$D,weekly_demand!$A:$A,E$1,weekly_demand!$C:$C,$A121))</f>
        <v/>
      </c>
      <c r="F121" s="39" t="str">
        <f>IF($A121="","",SUMIFS(weekly_demand!$D:$D,weekly_demand!$A:$A,F$1,weekly_demand!$C:$C,$A121))</f>
        <v/>
      </c>
      <c r="G121" s="39" t="str">
        <f>IF($A121="","",SUMIFS(weekly_demand!$D:$D,weekly_demand!$A:$A,G$1,weekly_demand!$C:$C,$A121))</f>
        <v/>
      </c>
      <c r="H121" s="39" t="str">
        <f t="shared" si="11"/>
        <v/>
      </c>
      <c r="I121" s="39" t="str">
        <f t="shared" si="11"/>
        <v/>
      </c>
      <c r="J121" s="39" t="str">
        <f t="shared" si="11"/>
        <v/>
      </c>
      <c r="K121" s="39" t="str">
        <f t="shared" si="11"/>
        <v/>
      </c>
      <c r="L121" s="39" t="str">
        <f t="shared" si="11"/>
        <v/>
      </c>
      <c r="M121" s="39" t="str">
        <f t="shared" si="11"/>
        <v/>
      </c>
      <c r="N121" s="39" t="str">
        <f t="shared" si="11"/>
        <v/>
      </c>
      <c r="O121" s="39" t="str">
        <f t="shared" si="11"/>
        <v/>
      </c>
      <c r="P121" s="39" t="str">
        <f t="shared" si="11"/>
        <v/>
      </c>
      <c r="Q121" s="39" t="str">
        <f t="shared" si="11"/>
        <v/>
      </c>
      <c r="R121" s="39" t="str">
        <f t="shared" si="11"/>
        <v/>
      </c>
      <c r="S121" s="39" t="str">
        <f t="shared" si="11"/>
        <v/>
      </c>
      <c r="T121" s="39" t="str">
        <f t="shared" si="11"/>
        <v/>
      </c>
      <c r="U121" s="39" t="str">
        <f t="shared" si="11"/>
        <v/>
      </c>
      <c r="V121" s="39" t="str">
        <f t="shared" si="11"/>
        <v/>
      </c>
    </row>
    <row r="122" spans="1:22" x14ac:dyDescent="0.3">
      <c r="A122" s="38"/>
      <c r="B122" s="39" t="str">
        <f>IF($A122="","",SUMIFS(weekly_demand!$D:$D,weekly_demand!$A:$A,B$1,weekly_demand!$C:$C,$A122))</f>
        <v/>
      </c>
      <c r="C122" s="39" t="str">
        <f>IF($A122="","",SUMIFS(weekly_demand!$D:$D,weekly_demand!$A:$A,C$1,weekly_demand!$C:$C,$A122))</f>
        <v/>
      </c>
      <c r="D122" s="39" t="str">
        <f>IF($A122="","",SUMIFS(weekly_demand!$D:$D,weekly_demand!$A:$A,D$1,weekly_demand!$C:$C,$A122))</f>
        <v/>
      </c>
      <c r="E122" s="39" t="str">
        <f>IF($A122="","",SUMIFS(weekly_demand!$D:$D,weekly_demand!$A:$A,E$1,weekly_demand!$C:$C,$A122))</f>
        <v/>
      </c>
      <c r="F122" s="39" t="str">
        <f>IF($A122="","",SUMIFS(weekly_demand!$D:$D,weekly_demand!$A:$A,F$1,weekly_demand!$C:$C,$A122))</f>
        <v/>
      </c>
      <c r="G122" s="39" t="str">
        <f>IF($A122="","",SUMIFS(weekly_demand!$D:$D,weekly_demand!$A:$A,G$1,weekly_demand!$C:$C,$A122))</f>
        <v/>
      </c>
      <c r="H122" s="39" t="str">
        <f t="shared" ref="H122:V131" si="12">IF($A122="","",SUMPRODUCT($B122:$G122,INDEX($Y$2:$AD$16,MATCH(H$1,$X$2:$X$16,0),0)))</f>
        <v/>
      </c>
      <c r="I122" s="39" t="str">
        <f t="shared" si="12"/>
        <v/>
      </c>
      <c r="J122" s="39" t="str">
        <f t="shared" si="12"/>
        <v/>
      </c>
      <c r="K122" s="39" t="str">
        <f t="shared" si="12"/>
        <v/>
      </c>
      <c r="L122" s="39" t="str">
        <f t="shared" si="12"/>
        <v/>
      </c>
      <c r="M122" s="39" t="str">
        <f t="shared" si="12"/>
        <v/>
      </c>
      <c r="N122" s="39" t="str">
        <f t="shared" si="12"/>
        <v/>
      </c>
      <c r="O122" s="39" t="str">
        <f t="shared" si="12"/>
        <v/>
      </c>
      <c r="P122" s="39" t="str">
        <f t="shared" si="12"/>
        <v/>
      </c>
      <c r="Q122" s="39" t="str">
        <f t="shared" si="12"/>
        <v/>
      </c>
      <c r="R122" s="39" t="str">
        <f t="shared" si="12"/>
        <v/>
      </c>
      <c r="S122" s="39" t="str">
        <f t="shared" si="12"/>
        <v/>
      </c>
      <c r="T122" s="39" t="str">
        <f t="shared" si="12"/>
        <v/>
      </c>
      <c r="U122" s="39" t="str">
        <f t="shared" si="12"/>
        <v/>
      </c>
      <c r="V122" s="39" t="str">
        <f t="shared" si="12"/>
        <v/>
      </c>
    </row>
    <row r="123" spans="1:22" x14ac:dyDescent="0.3">
      <c r="A123" s="38"/>
      <c r="B123" s="39" t="str">
        <f>IF($A123="","",SUMIFS(weekly_demand!$D:$D,weekly_demand!$A:$A,B$1,weekly_demand!$C:$C,$A123))</f>
        <v/>
      </c>
      <c r="C123" s="39" t="str">
        <f>IF($A123="","",SUMIFS(weekly_demand!$D:$D,weekly_demand!$A:$A,C$1,weekly_demand!$C:$C,$A123))</f>
        <v/>
      </c>
      <c r="D123" s="39" t="str">
        <f>IF($A123="","",SUMIFS(weekly_demand!$D:$D,weekly_demand!$A:$A,D$1,weekly_demand!$C:$C,$A123))</f>
        <v/>
      </c>
      <c r="E123" s="39" t="str">
        <f>IF($A123="","",SUMIFS(weekly_demand!$D:$D,weekly_demand!$A:$A,E$1,weekly_demand!$C:$C,$A123))</f>
        <v/>
      </c>
      <c r="F123" s="39" t="str">
        <f>IF($A123="","",SUMIFS(weekly_demand!$D:$D,weekly_demand!$A:$A,F$1,weekly_demand!$C:$C,$A123))</f>
        <v/>
      </c>
      <c r="G123" s="39" t="str">
        <f>IF($A123="","",SUMIFS(weekly_demand!$D:$D,weekly_demand!$A:$A,G$1,weekly_demand!$C:$C,$A123))</f>
        <v/>
      </c>
      <c r="H123" s="39" t="str">
        <f t="shared" si="12"/>
        <v/>
      </c>
      <c r="I123" s="39" t="str">
        <f t="shared" si="12"/>
        <v/>
      </c>
      <c r="J123" s="39" t="str">
        <f t="shared" si="12"/>
        <v/>
      </c>
      <c r="K123" s="39" t="str">
        <f t="shared" si="12"/>
        <v/>
      </c>
      <c r="L123" s="39" t="str">
        <f t="shared" si="12"/>
        <v/>
      </c>
      <c r="M123" s="39" t="str">
        <f t="shared" si="12"/>
        <v/>
      </c>
      <c r="N123" s="39" t="str">
        <f t="shared" si="12"/>
        <v/>
      </c>
      <c r="O123" s="39" t="str">
        <f t="shared" si="12"/>
        <v/>
      </c>
      <c r="P123" s="39" t="str">
        <f t="shared" si="12"/>
        <v/>
      </c>
      <c r="Q123" s="39" t="str">
        <f t="shared" si="12"/>
        <v/>
      </c>
      <c r="R123" s="39" t="str">
        <f t="shared" si="12"/>
        <v/>
      </c>
      <c r="S123" s="39" t="str">
        <f t="shared" si="12"/>
        <v/>
      </c>
      <c r="T123" s="39" t="str">
        <f t="shared" si="12"/>
        <v/>
      </c>
      <c r="U123" s="39" t="str">
        <f t="shared" si="12"/>
        <v/>
      </c>
      <c r="V123" s="39" t="str">
        <f t="shared" si="12"/>
        <v/>
      </c>
    </row>
    <row r="124" spans="1:22" x14ac:dyDescent="0.3">
      <c r="A124" s="38"/>
      <c r="B124" s="39" t="str">
        <f>IF($A124="","",SUMIFS(weekly_demand!$D:$D,weekly_demand!$A:$A,B$1,weekly_demand!$C:$C,$A124))</f>
        <v/>
      </c>
      <c r="C124" s="39" t="str">
        <f>IF($A124="","",SUMIFS(weekly_demand!$D:$D,weekly_demand!$A:$A,C$1,weekly_demand!$C:$C,$A124))</f>
        <v/>
      </c>
      <c r="D124" s="39" t="str">
        <f>IF($A124="","",SUMIFS(weekly_demand!$D:$D,weekly_demand!$A:$A,D$1,weekly_demand!$C:$C,$A124))</f>
        <v/>
      </c>
      <c r="E124" s="39" t="str">
        <f>IF($A124="","",SUMIFS(weekly_demand!$D:$D,weekly_demand!$A:$A,E$1,weekly_demand!$C:$C,$A124))</f>
        <v/>
      </c>
      <c r="F124" s="39" t="str">
        <f>IF($A124="","",SUMIFS(weekly_demand!$D:$D,weekly_demand!$A:$A,F$1,weekly_demand!$C:$C,$A124))</f>
        <v/>
      </c>
      <c r="G124" s="39" t="str">
        <f>IF($A124="","",SUMIFS(weekly_demand!$D:$D,weekly_demand!$A:$A,G$1,weekly_demand!$C:$C,$A124))</f>
        <v/>
      </c>
      <c r="H124" s="39" t="str">
        <f t="shared" si="12"/>
        <v/>
      </c>
      <c r="I124" s="39" t="str">
        <f t="shared" si="12"/>
        <v/>
      </c>
      <c r="J124" s="39" t="str">
        <f t="shared" si="12"/>
        <v/>
      </c>
      <c r="K124" s="39" t="str">
        <f t="shared" si="12"/>
        <v/>
      </c>
      <c r="L124" s="39" t="str">
        <f t="shared" si="12"/>
        <v/>
      </c>
      <c r="M124" s="39" t="str">
        <f t="shared" si="12"/>
        <v/>
      </c>
      <c r="N124" s="39" t="str">
        <f t="shared" si="12"/>
        <v/>
      </c>
      <c r="O124" s="39" t="str">
        <f t="shared" si="12"/>
        <v/>
      </c>
      <c r="P124" s="39" t="str">
        <f t="shared" si="12"/>
        <v/>
      </c>
      <c r="Q124" s="39" t="str">
        <f t="shared" si="12"/>
        <v/>
      </c>
      <c r="R124" s="39" t="str">
        <f t="shared" si="12"/>
        <v/>
      </c>
      <c r="S124" s="39" t="str">
        <f t="shared" si="12"/>
        <v/>
      </c>
      <c r="T124" s="39" t="str">
        <f t="shared" si="12"/>
        <v/>
      </c>
      <c r="U124" s="39" t="str">
        <f t="shared" si="12"/>
        <v/>
      </c>
      <c r="V124" s="39" t="str">
        <f t="shared" si="12"/>
        <v/>
      </c>
    </row>
    <row r="125" spans="1:22" x14ac:dyDescent="0.3">
      <c r="A125" s="38"/>
      <c r="B125" s="39" t="str">
        <f>IF($A125="","",SUMIFS(weekly_demand!$D:$D,weekly_demand!$A:$A,B$1,weekly_demand!$C:$C,$A125))</f>
        <v/>
      </c>
      <c r="C125" s="39" t="str">
        <f>IF($A125="","",SUMIFS(weekly_demand!$D:$D,weekly_demand!$A:$A,C$1,weekly_demand!$C:$C,$A125))</f>
        <v/>
      </c>
      <c r="D125" s="39" t="str">
        <f>IF($A125="","",SUMIFS(weekly_demand!$D:$D,weekly_demand!$A:$A,D$1,weekly_demand!$C:$C,$A125))</f>
        <v/>
      </c>
      <c r="E125" s="39" t="str">
        <f>IF($A125="","",SUMIFS(weekly_demand!$D:$D,weekly_demand!$A:$A,E$1,weekly_demand!$C:$C,$A125))</f>
        <v/>
      </c>
      <c r="F125" s="39" t="str">
        <f>IF($A125="","",SUMIFS(weekly_demand!$D:$D,weekly_demand!$A:$A,F$1,weekly_demand!$C:$C,$A125))</f>
        <v/>
      </c>
      <c r="G125" s="39" t="str">
        <f>IF($A125="","",SUMIFS(weekly_demand!$D:$D,weekly_demand!$A:$A,G$1,weekly_demand!$C:$C,$A125))</f>
        <v/>
      </c>
      <c r="H125" s="39" t="str">
        <f t="shared" si="12"/>
        <v/>
      </c>
      <c r="I125" s="39" t="str">
        <f t="shared" si="12"/>
        <v/>
      </c>
      <c r="J125" s="39" t="str">
        <f t="shared" si="12"/>
        <v/>
      </c>
      <c r="K125" s="39" t="str">
        <f t="shared" si="12"/>
        <v/>
      </c>
      <c r="L125" s="39" t="str">
        <f t="shared" si="12"/>
        <v/>
      </c>
      <c r="M125" s="39" t="str">
        <f t="shared" si="12"/>
        <v/>
      </c>
      <c r="N125" s="39" t="str">
        <f t="shared" si="12"/>
        <v/>
      </c>
      <c r="O125" s="39" t="str">
        <f t="shared" si="12"/>
        <v/>
      </c>
      <c r="P125" s="39" t="str">
        <f t="shared" si="12"/>
        <v/>
      </c>
      <c r="Q125" s="39" t="str">
        <f t="shared" si="12"/>
        <v/>
      </c>
      <c r="R125" s="39" t="str">
        <f t="shared" si="12"/>
        <v/>
      </c>
      <c r="S125" s="39" t="str">
        <f t="shared" si="12"/>
        <v/>
      </c>
      <c r="T125" s="39" t="str">
        <f t="shared" si="12"/>
        <v/>
      </c>
      <c r="U125" s="39" t="str">
        <f t="shared" si="12"/>
        <v/>
      </c>
      <c r="V125" s="39" t="str">
        <f t="shared" si="12"/>
        <v/>
      </c>
    </row>
    <row r="126" spans="1:22" x14ac:dyDescent="0.3">
      <c r="A126" s="38"/>
      <c r="B126" s="39" t="str">
        <f>IF($A126="","",SUMIFS(weekly_demand!$D:$D,weekly_demand!$A:$A,B$1,weekly_demand!$C:$C,$A126))</f>
        <v/>
      </c>
      <c r="C126" s="39" t="str">
        <f>IF($A126="","",SUMIFS(weekly_demand!$D:$D,weekly_demand!$A:$A,C$1,weekly_demand!$C:$C,$A126))</f>
        <v/>
      </c>
      <c r="D126" s="39" t="str">
        <f>IF($A126="","",SUMIFS(weekly_demand!$D:$D,weekly_demand!$A:$A,D$1,weekly_demand!$C:$C,$A126))</f>
        <v/>
      </c>
      <c r="E126" s="39" t="str">
        <f>IF($A126="","",SUMIFS(weekly_demand!$D:$D,weekly_demand!$A:$A,E$1,weekly_demand!$C:$C,$A126))</f>
        <v/>
      </c>
      <c r="F126" s="39" t="str">
        <f>IF($A126="","",SUMIFS(weekly_demand!$D:$D,weekly_demand!$A:$A,F$1,weekly_demand!$C:$C,$A126))</f>
        <v/>
      </c>
      <c r="G126" s="39" t="str">
        <f>IF($A126="","",SUMIFS(weekly_demand!$D:$D,weekly_demand!$A:$A,G$1,weekly_demand!$C:$C,$A126))</f>
        <v/>
      </c>
      <c r="H126" s="39" t="str">
        <f t="shared" si="12"/>
        <v/>
      </c>
      <c r="I126" s="39" t="str">
        <f t="shared" si="12"/>
        <v/>
      </c>
      <c r="J126" s="39" t="str">
        <f t="shared" si="12"/>
        <v/>
      </c>
      <c r="K126" s="39" t="str">
        <f t="shared" si="12"/>
        <v/>
      </c>
      <c r="L126" s="39" t="str">
        <f t="shared" si="12"/>
        <v/>
      </c>
      <c r="M126" s="39" t="str">
        <f t="shared" si="12"/>
        <v/>
      </c>
      <c r="N126" s="39" t="str">
        <f t="shared" si="12"/>
        <v/>
      </c>
      <c r="O126" s="39" t="str">
        <f t="shared" si="12"/>
        <v/>
      </c>
      <c r="P126" s="39" t="str">
        <f t="shared" si="12"/>
        <v/>
      </c>
      <c r="Q126" s="39" t="str">
        <f t="shared" si="12"/>
        <v/>
      </c>
      <c r="R126" s="39" t="str">
        <f t="shared" si="12"/>
        <v/>
      </c>
      <c r="S126" s="39" t="str">
        <f t="shared" si="12"/>
        <v/>
      </c>
      <c r="T126" s="39" t="str">
        <f t="shared" si="12"/>
        <v/>
      </c>
      <c r="U126" s="39" t="str">
        <f t="shared" si="12"/>
        <v/>
      </c>
      <c r="V126" s="39" t="str">
        <f t="shared" si="12"/>
        <v/>
      </c>
    </row>
    <row r="127" spans="1:22" x14ac:dyDescent="0.3">
      <c r="A127" s="38"/>
      <c r="B127" s="39" t="str">
        <f>IF($A127="","",SUMIFS(weekly_demand!$D:$D,weekly_demand!$A:$A,B$1,weekly_demand!$C:$C,$A127))</f>
        <v/>
      </c>
      <c r="C127" s="39" t="str">
        <f>IF($A127="","",SUMIFS(weekly_demand!$D:$D,weekly_demand!$A:$A,C$1,weekly_demand!$C:$C,$A127))</f>
        <v/>
      </c>
      <c r="D127" s="39" t="str">
        <f>IF($A127="","",SUMIFS(weekly_demand!$D:$D,weekly_demand!$A:$A,D$1,weekly_demand!$C:$C,$A127))</f>
        <v/>
      </c>
      <c r="E127" s="39" t="str">
        <f>IF($A127="","",SUMIFS(weekly_demand!$D:$D,weekly_demand!$A:$A,E$1,weekly_demand!$C:$C,$A127))</f>
        <v/>
      </c>
      <c r="F127" s="39" t="str">
        <f>IF($A127="","",SUMIFS(weekly_demand!$D:$D,weekly_demand!$A:$A,F$1,weekly_demand!$C:$C,$A127))</f>
        <v/>
      </c>
      <c r="G127" s="39" t="str">
        <f>IF($A127="","",SUMIFS(weekly_demand!$D:$D,weekly_demand!$A:$A,G$1,weekly_demand!$C:$C,$A127))</f>
        <v/>
      </c>
      <c r="H127" s="39" t="str">
        <f t="shared" si="12"/>
        <v/>
      </c>
      <c r="I127" s="39" t="str">
        <f t="shared" si="12"/>
        <v/>
      </c>
      <c r="J127" s="39" t="str">
        <f t="shared" si="12"/>
        <v/>
      </c>
      <c r="K127" s="39" t="str">
        <f t="shared" si="12"/>
        <v/>
      </c>
      <c r="L127" s="39" t="str">
        <f t="shared" si="12"/>
        <v/>
      </c>
      <c r="M127" s="39" t="str">
        <f t="shared" si="12"/>
        <v/>
      </c>
      <c r="N127" s="39" t="str">
        <f t="shared" si="12"/>
        <v/>
      </c>
      <c r="O127" s="39" t="str">
        <f t="shared" si="12"/>
        <v/>
      </c>
      <c r="P127" s="39" t="str">
        <f t="shared" si="12"/>
        <v/>
      </c>
      <c r="Q127" s="39" t="str">
        <f t="shared" si="12"/>
        <v/>
      </c>
      <c r="R127" s="39" t="str">
        <f t="shared" si="12"/>
        <v/>
      </c>
      <c r="S127" s="39" t="str">
        <f t="shared" si="12"/>
        <v/>
      </c>
      <c r="T127" s="39" t="str">
        <f t="shared" si="12"/>
        <v/>
      </c>
      <c r="U127" s="39" t="str">
        <f t="shared" si="12"/>
        <v/>
      </c>
      <c r="V127" s="39" t="str">
        <f t="shared" si="12"/>
        <v/>
      </c>
    </row>
    <row r="128" spans="1:22" x14ac:dyDescent="0.3">
      <c r="A128" s="38"/>
      <c r="B128" s="39" t="str">
        <f>IF($A128="","",SUMIFS(weekly_demand!$D:$D,weekly_demand!$A:$A,B$1,weekly_demand!$C:$C,$A128))</f>
        <v/>
      </c>
      <c r="C128" s="39" t="str">
        <f>IF($A128="","",SUMIFS(weekly_demand!$D:$D,weekly_demand!$A:$A,C$1,weekly_demand!$C:$C,$A128))</f>
        <v/>
      </c>
      <c r="D128" s="39" t="str">
        <f>IF($A128="","",SUMIFS(weekly_demand!$D:$D,weekly_demand!$A:$A,D$1,weekly_demand!$C:$C,$A128))</f>
        <v/>
      </c>
      <c r="E128" s="39" t="str">
        <f>IF($A128="","",SUMIFS(weekly_demand!$D:$D,weekly_demand!$A:$A,E$1,weekly_demand!$C:$C,$A128))</f>
        <v/>
      </c>
      <c r="F128" s="39" t="str">
        <f>IF($A128="","",SUMIFS(weekly_demand!$D:$D,weekly_demand!$A:$A,F$1,weekly_demand!$C:$C,$A128))</f>
        <v/>
      </c>
      <c r="G128" s="39" t="str">
        <f>IF($A128="","",SUMIFS(weekly_demand!$D:$D,weekly_demand!$A:$A,G$1,weekly_demand!$C:$C,$A128))</f>
        <v/>
      </c>
      <c r="H128" s="39" t="str">
        <f t="shared" si="12"/>
        <v/>
      </c>
      <c r="I128" s="39" t="str">
        <f t="shared" si="12"/>
        <v/>
      </c>
      <c r="J128" s="39" t="str">
        <f t="shared" si="12"/>
        <v/>
      </c>
      <c r="K128" s="39" t="str">
        <f t="shared" si="12"/>
        <v/>
      </c>
      <c r="L128" s="39" t="str">
        <f t="shared" si="12"/>
        <v/>
      </c>
      <c r="M128" s="39" t="str">
        <f t="shared" si="12"/>
        <v/>
      </c>
      <c r="N128" s="39" t="str">
        <f t="shared" si="12"/>
        <v/>
      </c>
      <c r="O128" s="39" t="str">
        <f t="shared" si="12"/>
        <v/>
      </c>
      <c r="P128" s="39" t="str">
        <f t="shared" si="12"/>
        <v/>
      </c>
      <c r="Q128" s="39" t="str">
        <f t="shared" si="12"/>
        <v/>
      </c>
      <c r="R128" s="39" t="str">
        <f t="shared" si="12"/>
        <v/>
      </c>
      <c r="S128" s="39" t="str">
        <f t="shared" si="12"/>
        <v/>
      </c>
      <c r="T128" s="39" t="str">
        <f t="shared" si="12"/>
        <v/>
      </c>
      <c r="U128" s="39" t="str">
        <f t="shared" si="12"/>
        <v/>
      </c>
      <c r="V128" s="39" t="str">
        <f t="shared" si="12"/>
        <v/>
      </c>
    </row>
    <row r="129" spans="1:22" x14ac:dyDescent="0.3">
      <c r="A129" s="38"/>
      <c r="B129" s="39" t="str">
        <f>IF($A129="","",SUMIFS(weekly_demand!$D:$D,weekly_demand!$A:$A,B$1,weekly_demand!$C:$C,$A129))</f>
        <v/>
      </c>
      <c r="C129" s="39" t="str">
        <f>IF($A129="","",SUMIFS(weekly_demand!$D:$D,weekly_demand!$A:$A,C$1,weekly_demand!$C:$C,$A129))</f>
        <v/>
      </c>
      <c r="D129" s="39" t="str">
        <f>IF($A129="","",SUMIFS(weekly_demand!$D:$D,weekly_demand!$A:$A,D$1,weekly_demand!$C:$C,$A129))</f>
        <v/>
      </c>
      <c r="E129" s="39" t="str">
        <f>IF($A129="","",SUMIFS(weekly_demand!$D:$D,weekly_demand!$A:$A,E$1,weekly_demand!$C:$C,$A129))</f>
        <v/>
      </c>
      <c r="F129" s="39" t="str">
        <f>IF($A129="","",SUMIFS(weekly_demand!$D:$D,weekly_demand!$A:$A,F$1,weekly_demand!$C:$C,$A129))</f>
        <v/>
      </c>
      <c r="G129" s="39" t="str">
        <f>IF($A129="","",SUMIFS(weekly_demand!$D:$D,weekly_demand!$A:$A,G$1,weekly_demand!$C:$C,$A129))</f>
        <v/>
      </c>
      <c r="H129" s="39" t="str">
        <f t="shared" si="12"/>
        <v/>
      </c>
      <c r="I129" s="39" t="str">
        <f t="shared" si="12"/>
        <v/>
      </c>
      <c r="J129" s="39" t="str">
        <f t="shared" si="12"/>
        <v/>
      </c>
      <c r="K129" s="39" t="str">
        <f t="shared" si="12"/>
        <v/>
      </c>
      <c r="L129" s="39" t="str">
        <f t="shared" si="12"/>
        <v/>
      </c>
      <c r="M129" s="39" t="str">
        <f t="shared" si="12"/>
        <v/>
      </c>
      <c r="N129" s="39" t="str">
        <f t="shared" si="12"/>
        <v/>
      </c>
      <c r="O129" s="39" t="str">
        <f t="shared" si="12"/>
        <v/>
      </c>
      <c r="P129" s="39" t="str">
        <f t="shared" si="12"/>
        <v/>
      </c>
      <c r="Q129" s="39" t="str">
        <f t="shared" si="12"/>
        <v/>
      </c>
      <c r="R129" s="39" t="str">
        <f t="shared" si="12"/>
        <v/>
      </c>
      <c r="S129" s="39" t="str">
        <f t="shared" si="12"/>
        <v/>
      </c>
      <c r="T129" s="39" t="str">
        <f t="shared" si="12"/>
        <v/>
      </c>
      <c r="U129" s="39" t="str">
        <f t="shared" si="12"/>
        <v/>
      </c>
      <c r="V129" s="39" t="str">
        <f t="shared" si="12"/>
        <v/>
      </c>
    </row>
    <row r="130" spans="1:22" x14ac:dyDescent="0.3">
      <c r="A130" s="38"/>
      <c r="B130" s="39" t="str">
        <f>IF($A130="","",SUMIFS(weekly_demand!$D:$D,weekly_demand!$A:$A,B$1,weekly_demand!$C:$C,$A130))</f>
        <v/>
      </c>
      <c r="C130" s="39" t="str">
        <f>IF($A130="","",SUMIFS(weekly_demand!$D:$D,weekly_demand!$A:$A,C$1,weekly_demand!$C:$C,$A130))</f>
        <v/>
      </c>
      <c r="D130" s="39" t="str">
        <f>IF($A130="","",SUMIFS(weekly_demand!$D:$D,weekly_demand!$A:$A,D$1,weekly_demand!$C:$C,$A130))</f>
        <v/>
      </c>
      <c r="E130" s="39" t="str">
        <f>IF($A130="","",SUMIFS(weekly_demand!$D:$D,weekly_demand!$A:$A,E$1,weekly_demand!$C:$C,$A130))</f>
        <v/>
      </c>
      <c r="F130" s="39" t="str">
        <f>IF($A130="","",SUMIFS(weekly_demand!$D:$D,weekly_demand!$A:$A,F$1,weekly_demand!$C:$C,$A130))</f>
        <v/>
      </c>
      <c r="G130" s="39" t="str">
        <f>IF($A130="","",SUMIFS(weekly_demand!$D:$D,weekly_demand!$A:$A,G$1,weekly_demand!$C:$C,$A130))</f>
        <v/>
      </c>
      <c r="H130" s="39" t="str">
        <f t="shared" si="12"/>
        <v/>
      </c>
      <c r="I130" s="39" t="str">
        <f t="shared" si="12"/>
        <v/>
      </c>
      <c r="J130" s="39" t="str">
        <f t="shared" si="12"/>
        <v/>
      </c>
      <c r="K130" s="39" t="str">
        <f t="shared" si="12"/>
        <v/>
      </c>
      <c r="L130" s="39" t="str">
        <f t="shared" si="12"/>
        <v/>
      </c>
      <c r="M130" s="39" t="str">
        <f t="shared" si="12"/>
        <v/>
      </c>
      <c r="N130" s="39" t="str">
        <f t="shared" si="12"/>
        <v/>
      </c>
      <c r="O130" s="39" t="str">
        <f t="shared" si="12"/>
        <v/>
      </c>
      <c r="P130" s="39" t="str">
        <f t="shared" si="12"/>
        <v/>
      </c>
      <c r="Q130" s="39" t="str">
        <f t="shared" si="12"/>
        <v/>
      </c>
      <c r="R130" s="39" t="str">
        <f t="shared" si="12"/>
        <v/>
      </c>
      <c r="S130" s="39" t="str">
        <f t="shared" si="12"/>
        <v/>
      </c>
      <c r="T130" s="39" t="str">
        <f t="shared" si="12"/>
        <v/>
      </c>
      <c r="U130" s="39" t="str">
        <f t="shared" si="12"/>
        <v/>
      </c>
      <c r="V130" s="39" t="str">
        <f t="shared" si="12"/>
        <v/>
      </c>
    </row>
    <row r="131" spans="1:22" x14ac:dyDescent="0.3">
      <c r="A131" s="38"/>
      <c r="B131" s="39" t="str">
        <f>IF($A131="","",SUMIFS(weekly_demand!$D:$D,weekly_demand!$A:$A,B$1,weekly_demand!$C:$C,$A131))</f>
        <v/>
      </c>
      <c r="C131" s="39" t="str">
        <f>IF($A131="","",SUMIFS(weekly_demand!$D:$D,weekly_demand!$A:$A,C$1,weekly_demand!$C:$C,$A131))</f>
        <v/>
      </c>
      <c r="D131" s="39" t="str">
        <f>IF($A131="","",SUMIFS(weekly_demand!$D:$D,weekly_demand!$A:$A,D$1,weekly_demand!$C:$C,$A131))</f>
        <v/>
      </c>
      <c r="E131" s="39" t="str">
        <f>IF($A131="","",SUMIFS(weekly_demand!$D:$D,weekly_demand!$A:$A,E$1,weekly_demand!$C:$C,$A131))</f>
        <v/>
      </c>
      <c r="F131" s="39" t="str">
        <f>IF($A131="","",SUMIFS(weekly_demand!$D:$D,weekly_demand!$A:$A,F$1,weekly_demand!$C:$C,$A131))</f>
        <v/>
      </c>
      <c r="G131" s="39" t="str">
        <f>IF($A131="","",SUMIFS(weekly_demand!$D:$D,weekly_demand!$A:$A,G$1,weekly_demand!$C:$C,$A131))</f>
        <v/>
      </c>
      <c r="H131" s="39" t="str">
        <f t="shared" si="12"/>
        <v/>
      </c>
      <c r="I131" s="39" t="str">
        <f t="shared" si="12"/>
        <v/>
      </c>
      <c r="J131" s="39" t="str">
        <f t="shared" si="12"/>
        <v/>
      </c>
      <c r="K131" s="39" t="str">
        <f t="shared" si="12"/>
        <v/>
      </c>
      <c r="L131" s="39" t="str">
        <f t="shared" si="12"/>
        <v/>
      </c>
      <c r="M131" s="39" t="str">
        <f t="shared" si="12"/>
        <v/>
      </c>
      <c r="N131" s="39" t="str">
        <f t="shared" si="12"/>
        <v/>
      </c>
      <c r="O131" s="39" t="str">
        <f t="shared" si="12"/>
        <v/>
      </c>
      <c r="P131" s="39" t="str">
        <f t="shared" si="12"/>
        <v/>
      </c>
      <c r="Q131" s="39" t="str">
        <f t="shared" si="12"/>
        <v/>
      </c>
      <c r="R131" s="39" t="str">
        <f t="shared" si="12"/>
        <v/>
      </c>
      <c r="S131" s="39" t="str">
        <f t="shared" si="12"/>
        <v/>
      </c>
      <c r="T131" s="39" t="str">
        <f t="shared" si="12"/>
        <v/>
      </c>
      <c r="U131" s="39" t="str">
        <f t="shared" si="12"/>
        <v/>
      </c>
      <c r="V131" s="39" t="str">
        <f t="shared" si="12"/>
        <v/>
      </c>
    </row>
    <row r="132" spans="1:22" x14ac:dyDescent="0.3">
      <c r="A132" s="38"/>
      <c r="B132" s="39" t="str">
        <f>IF($A132="","",SUMIFS(weekly_demand!$D:$D,weekly_demand!$A:$A,B$1,weekly_demand!$C:$C,$A132))</f>
        <v/>
      </c>
      <c r="C132" s="39" t="str">
        <f>IF($A132="","",SUMIFS(weekly_demand!$D:$D,weekly_demand!$A:$A,C$1,weekly_demand!$C:$C,$A132))</f>
        <v/>
      </c>
      <c r="D132" s="39" t="str">
        <f>IF($A132="","",SUMIFS(weekly_demand!$D:$D,weekly_demand!$A:$A,D$1,weekly_demand!$C:$C,$A132))</f>
        <v/>
      </c>
      <c r="E132" s="39" t="str">
        <f>IF($A132="","",SUMIFS(weekly_demand!$D:$D,weekly_demand!$A:$A,E$1,weekly_demand!$C:$C,$A132))</f>
        <v/>
      </c>
      <c r="F132" s="39" t="str">
        <f>IF($A132="","",SUMIFS(weekly_demand!$D:$D,weekly_demand!$A:$A,F$1,weekly_demand!$C:$C,$A132))</f>
        <v/>
      </c>
      <c r="G132" s="39" t="str">
        <f>IF($A132="","",SUMIFS(weekly_demand!$D:$D,weekly_demand!$A:$A,G$1,weekly_demand!$C:$C,$A132))</f>
        <v/>
      </c>
      <c r="H132" s="39" t="str">
        <f t="shared" ref="H132:V141" si="13">IF($A132="","",SUMPRODUCT($B132:$G132,INDEX($Y$2:$AD$16,MATCH(H$1,$X$2:$X$16,0),0)))</f>
        <v/>
      </c>
      <c r="I132" s="39" t="str">
        <f t="shared" si="13"/>
        <v/>
      </c>
      <c r="J132" s="39" t="str">
        <f t="shared" si="13"/>
        <v/>
      </c>
      <c r="K132" s="39" t="str">
        <f t="shared" si="13"/>
        <v/>
      </c>
      <c r="L132" s="39" t="str">
        <f t="shared" si="13"/>
        <v/>
      </c>
      <c r="M132" s="39" t="str">
        <f t="shared" si="13"/>
        <v/>
      </c>
      <c r="N132" s="39" t="str">
        <f t="shared" si="13"/>
        <v/>
      </c>
      <c r="O132" s="39" t="str">
        <f t="shared" si="13"/>
        <v/>
      </c>
      <c r="P132" s="39" t="str">
        <f t="shared" si="13"/>
        <v/>
      </c>
      <c r="Q132" s="39" t="str">
        <f t="shared" si="13"/>
        <v/>
      </c>
      <c r="R132" s="39" t="str">
        <f t="shared" si="13"/>
        <v/>
      </c>
      <c r="S132" s="39" t="str">
        <f t="shared" si="13"/>
        <v/>
      </c>
      <c r="T132" s="39" t="str">
        <f t="shared" si="13"/>
        <v/>
      </c>
      <c r="U132" s="39" t="str">
        <f t="shared" si="13"/>
        <v/>
      </c>
      <c r="V132" s="39" t="str">
        <f t="shared" si="13"/>
        <v/>
      </c>
    </row>
    <row r="133" spans="1:22" x14ac:dyDescent="0.3">
      <c r="A133" s="38"/>
      <c r="B133" s="39" t="str">
        <f>IF($A133="","",SUMIFS(weekly_demand!$D:$D,weekly_demand!$A:$A,B$1,weekly_demand!$C:$C,$A133))</f>
        <v/>
      </c>
      <c r="C133" s="39" t="str">
        <f>IF($A133="","",SUMIFS(weekly_demand!$D:$D,weekly_demand!$A:$A,C$1,weekly_demand!$C:$C,$A133))</f>
        <v/>
      </c>
      <c r="D133" s="39" t="str">
        <f>IF($A133="","",SUMIFS(weekly_demand!$D:$D,weekly_demand!$A:$A,D$1,weekly_demand!$C:$C,$A133))</f>
        <v/>
      </c>
      <c r="E133" s="39" t="str">
        <f>IF($A133="","",SUMIFS(weekly_demand!$D:$D,weekly_demand!$A:$A,E$1,weekly_demand!$C:$C,$A133))</f>
        <v/>
      </c>
      <c r="F133" s="39" t="str">
        <f>IF($A133="","",SUMIFS(weekly_demand!$D:$D,weekly_demand!$A:$A,F$1,weekly_demand!$C:$C,$A133))</f>
        <v/>
      </c>
      <c r="G133" s="39" t="str">
        <f>IF($A133="","",SUMIFS(weekly_demand!$D:$D,weekly_demand!$A:$A,G$1,weekly_demand!$C:$C,$A133))</f>
        <v/>
      </c>
      <c r="H133" s="39" t="str">
        <f t="shared" si="13"/>
        <v/>
      </c>
      <c r="I133" s="39" t="str">
        <f t="shared" si="13"/>
        <v/>
      </c>
      <c r="J133" s="39" t="str">
        <f t="shared" si="13"/>
        <v/>
      </c>
      <c r="K133" s="39" t="str">
        <f t="shared" si="13"/>
        <v/>
      </c>
      <c r="L133" s="39" t="str">
        <f t="shared" si="13"/>
        <v/>
      </c>
      <c r="M133" s="39" t="str">
        <f t="shared" si="13"/>
        <v/>
      </c>
      <c r="N133" s="39" t="str">
        <f t="shared" si="13"/>
        <v/>
      </c>
      <c r="O133" s="39" t="str">
        <f t="shared" si="13"/>
        <v/>
      </c>
      <c r="P133" s="39" t="str">
        <f t="shared" si="13"/>
        <v/>
      </c>
      <c r="Q133" s="39" t="str">
        <f t="shared" si="13"/>
        <v/>
      </c>
      <c r="R133" s="39" t="str">
        <f t="shared" si="13"/>
        <v/>
      </c>
      <c r="S133" s="39" t="str">
        <f t="shared" si="13"/>
        <v/>
      </c>
      <c r="T133" s="39" t="str">
        <f t="shared" si="13"/>
        <v/>
      </c>
      <c r="U133" s="39" t="str">
        <f t="shared" si="13"/>
        <v/>
      </c>
      <c r="V133" s="39" t="str">
        <f t="shared" si="13"/>
        <v/>
      </c>
    </row>
    <row r="134" spans="1:22" x14ac:dyDescent="0.3">
      <c r="A134" s="38"/>
      <c r="B134" s="39" t="str">
        <f>IF($A134="","",SUMIFS(weekly_demand!$D:$D,weekly_demand!$A:$A,B$1,weekly_demand!$C:$C,$A134))</f>
        <v/>
      </c>
      <c r="C134" s="39" t="str">
        <f>IF($A134="","",SUMIFS(weekly_demand!$D:$D,weekly_demand!$A:$A,C$1,weekly_demand!$C:$C,$A134))</f>
        <v/>
      </c>
      <c r="D134" s="39" t="str">
        <f>IF($A134="","",SUMIFS(weekly_demand!$D:$D,weekly_demand!$A:$A,D$1,weekly_demand!$C:$C,$A134))</f>
        <v/>
      </c>
      <c r="E134" s="39" t="str">
        <f>IF($A134="","",SUMIFS(weekly_demand!$D:$D,weekly_demand!$A:$A,E$1,weekly_demand!$C:$C,$A134))</f>
        <v/>
      </c>
      <c r="F134" s="39" t="str">
        <f>IF($A134="","",SUMIFS(weekly_demand!$D:$D,weekly_demand!$A:$A,F$1,weekly_demand!$C:$C,$A134))</f>
        <v/>
      </c>
      <c r="G134" s="39" t="str">
        <f>IF($A134="","",SUMIFS(weekly_demand!$D:$D,weekly_demand!$A:$A,G$1,weekly_demand!$C:$C,$A134))</f>
        <v/>
      </c>
      <c r="H134" s="39" t="str">
        <f t="shared" si="13"/>
        <v/>
      </c>
      <c r="I134" s="39" t="str">
        <f t="shared" si="13"/>
        <v/>
      </c>
      <c r="J134" s="39" t="str">
        <f t="shared" si="13"/>
        <v/>
      </c>
      <c r="K134" s="39" t="str">
        <f t="shared" si="13"/>
        <v/>
      </c>
      <c r="L134" s="39" t="str">
        <f t="shared" si="13"/>
        <v/>
      </c>
      <c r="M134" s="39" t="str">
        <f t="shared" si="13"/>
        <v/>
      </c>
      <c r="N134" s="39" t="str">
        <f t="shared" si="13"/>
        <v/>
      </c>
      <c r="O134" s="39" t="str">
        <f t="shared" si="13"/>
        <v/>
      </c>
      <c r="P134" s="39" t="str">
        <f t="shared" si="13"/>
        <v/>
      </c>
      <c r="Q134" s="39" t="str">
        <f t="shared" si="13"/>
        <v/>
      </c>
      <c r="R134" s="39" t="str">
        <f t="shared" si="13"/>
        <v/>
      </c>
      <c r="S134" s="39" t="str">
        <f t="shared" si="13"/>
        <v/>
      </c>
      <c r="T134" s="39" t="str">
        <f t="shared" si="13"/>
        <v/>
      </c>
      <c r="U134" s="39" t="str">
        <f t="shared" si="13"/>
        <v/>
      </c>
      <c r="V134" s="39" t="str">
        <f t="shared" si="13"/>
        <v/>
      </c>
    </row>
    <row r="135" spans="1:22" x14ac:dyDescent="0.3">
      <c r="A135" s="38"/>
      <c r="B135" s="39" t="str">
        <f>IF($A135="","",SUMIFS(weekly_demand!$D:$D,weekly_demand!$A:$A,B$1,weekly_demand!$C:$C,$A135))</f>
        <v/>
      </c>
      <c r="C135" s="39" t="str">
        <f>IF($A135="","",SUMIFS(weekly_demand!$D:$D,weekly_demand!$A:$A,C$1,weekly_demand!$C:$C,$A135))</f>
        <v/>
      </c>
      <c r="D135" s="39" t="str">
        <f>IF($A135="","",SUMIFS(weekly_demand!$D:$D,weekly_demand!$A:$A,D$1,weekly_demand!$C:$C,$A135))</f>
        <v/>
      </c>
      <c r="E135" s="39" t="str">
        <f>IF($A135="","",SUMIFS(weekly_demand!$D:$D,weekly_demand!$A:$A,E$1,weekly_demand!$C:$C,$A135))</f>
        <v/>
      </c>
      <c r="F135" s="39" t="str">
        <f>IF($A135="","",SUMIFS(weekly_demand!$D:$D,weekly_demand!$A:$A,F$1,weekly_demand!$C:$C,$A135))</f>
        <v/>
      </c>
      <c r="G135" s="39" t="str">
        <f>IF($A135="","",SUMIFS(weekly_demand!$D:$D,weekly_demand!$A:$A,G$1,weekly_demand!$C:$C,$A135))</f>
        <v/>
      </c>
      <c r="H135" s="39" t="str">
        <f t="shared" si="13"/>
        <v/>
      </c>
      <c r="I135" s="39" t="str">
        <f t="shared" si="13"/>
        <v/>
      </c>
      <c r="J135" s="39" t="str">
        <f t="shared" si="13"/>
        <v/>
      </c>
      <c r="K135" s="39" t="str">
        <f t="shared" si="13"/>
        <v/>
      </c>
      <c r="L135" s="39" t="str">
        <f t="shared" si="13"/>
        <v/>
      </c>
      <c r="M135" s="39" t="str">
        <f t="shared" si="13"/>
        <v/>
      </c>
      <c r="N135" s="39" t="str">
        <f t="shared" si="13"/>
        <v/>
      </c>
      <c r="O135" s="39" t="str">
        <f t="shared" si="13"/>
        <v/>
      </c>
      <c r="P135" s="39" t="str">
        <f t="shared" si="13"/>
        <v/>
      </c>
      <c r="Q135" s="39" t="str">
        <f t="shared" si="13"/>
        <v/>
      </c>
      <c r="R135" s="39" t="str">
        <f t="shared" si="13"/>
        <v/>
      </c>
      <c r="S135" s="39" t="str">
        <f t="shared" si="13"/>
        <v/>
      </c>
      <c r="T135" s="39" t="str">
        <f t="shared" si="13"/>
        <v/>
      </c>
      <c r="U135" s="39" t="str">
        <f t="shared" si="13"/>
        <v/>
      </c>
      <c r="V135" s="39" t="str">
        <f t="shared" si="13"/>
        <v/>
      </c>
    </row>
    <row r="136" spans="1:22" x14ac:dyDescent="0.3">
      <c r="A136" s="38"/>
      <c r="B136" s="39" t="str">
        <f>IF($A136="","",SUMIFS(weekly_demand!$D:$D,weekly_demand!$A:$A,B$1,weekly_demand!$C:$C,$A136))</f>
        <v/>
      </c>
      <c r="C136" s="39" t="str">
        <f>IF($A136="","",SUMIFS(weekly_demand!$D:$D,weekly_demand!$A:$A,C$1,weekly_demand!$C:$C,$A136))</f>
        <v/>
      </c>
      <c r="D136" s="39" t="str">
        <f>IF($A136="","",SUMIFS(weekly_demand!$D:$D,weekly_demand!$A:$A,D$1,weekly_demand!$C:$C,$A136))</f>
        <v/>
      </c>
      <c r="E136" s="39" t="str">
        <f>IF($A136="","",SUMIFS(weekly_demand!$D:$D,weekly_demand!$A:$A,E$1,weekly_demand!$C:$C,$A136))</f>
        <v/>
      </c>
      <c r="F136" s="39" t="str">
        <f>IF($A136="","",SUMIFS(weekly_demand!$D:$D,weekly_demand!$A:$A,F$1,weekly_demand!$C:$C,$A136))</f>
        <v/>
      </c>
      <c r="G136" s="39" t="str">
        <f>IF($A136="","",SUMIFS(weekly_demand!$D:$D,weekly_demand!$A:$A,G$1,weekly_demand!$C:$C,$A136))</f>
        <v/>
      </c>
      <c r="H136" s="39" t="str">
        <f t="shared" si="13"/>
        <v/>
      </c>
      <c r="I136" s="39" t="str">
        <f t="shared" si="13"/>
        <v/>
      </c>
      <c r="J136" s="39" t="str">
        <f t="shared" si="13"/>
        <v/>
      </c>
      <c r="K136" s="39" t="str">
        <f t="shared" si="13"/>
        <v/>
      </c>
      <c r="L136" s="39" t="str">
        <f t="shared" si="13"/>
        <v/>
      </c>
      <c r="M136" s="39" t="str">
        <f t="shared" si="13"/>
        <v/>
      </c>
      <c r="N136" s="39" t="str">
        <f t="shared" si="13"/>
        <v/>
      </c>
      <c r="O136" s="39" t="str">
        <f t="shared" si="13"/>
        <v/>
      </c>
      <c r="P136" s="39" t="str">
        <f t="shared" si="13"/>
        <v/>
      </c>
      <c r="Q136" s="39" t="str">
        <f t="shared" si="13"/>
        <v/>
      </c>
      <c r="R136" s="39" t="str">
        <f t="shared" si="13"/>
        <v/>
      </c>
      <c r="S136" s="39" t="str">
        <f t="shared" si="13"/>
        <v/>
      </c>
      <c r="T136" s="39" t="str">
        <f t="shared" si="13"/>
        <v/>
      </c>
      <c r="U136" s="39" t="str">
        <f t="shared" si="13"/>
        <v/>
      </c>
      <c r="V136" s="39" t="str">
        <f t="shared" si="13"/>
        <v/>
      </c>
    </row>
    <row r="137" spans="1:22" x14ac:dyDescent="0.3">
      <c r="A137" s="38"/>
      <c r="B137" s="39" t="str">
        <f>IF($A137="","",SUMIFS(weekly_demand!$D:$D,weekly_demand!$A:$A,B$1,weekly_demand!$C:$C,$A137))</f>
        <v/>
      </c>
      <c r="C137" s="39" t="str">
        <f>IF($A137="","",SUMIFS(weekly_demand!$D:$D,weekly_demand!$A:$A,C$1,weekly_demand!$C:$C,$A137))</f>
        <v/>
      </c>
      <c r="D137" s="39" t="str">
        <f>IF($A137="","",SUMIFS(weekly_demand!$D:$D,weekly_demand!$A:$A,D$1,weekly_demand!$C:$C,$A137))</f>
        <v/>
      </c>
      <c r="E137" s="39" t="str">
        <f>IF($A137="","",SUMIFS(weekly_demand!$D:$D,weekly_demand!$A:$A,E$1,weekly_demand!$C:$C,$A137))</f>
        <v/>
      </c>
      <c r="F137" s="39" t="str">
        <f>IF($A137="","",SUMIFS(weekly_demand!$D:$D,weekly_demand!$A:$A,F$1,weekly_demand!$C:$C,$A137))</f>
        <v/>
      </c>
      <c r="G137" s="39" t="str">
        <f>IF($A137="","",SUMIFS(weekly_demand!$D:$D,weekly_demand!$A:$A,G$1,weekly_demand!$C:$C,$A137))</f>
        <v/>
      </c>
      <c r="H137" s="39" t="str">
        <f t="shared" si="13"/>
        <v/>
      </c>
      <c r="I137" s="39" t="str">
        <f t="shared" si="13"/>
        <v/>
      </c>
      <c r="J137" s="39" t="str">
        <f t="shared" si="13"/>
        <v/>
      </c>
      <c r="K137" s="39" t="str">
        <f t="shared" si="13"/>
        <v/>
      </c>
      <c r="L137" s="39" t="str">
        <f t="shared" si="13"/>
        <v/>
      </c>
      <c r="M137" s="39" t="str">
        <f t="shared" si="13"/>
        <v/>
      </c>
      <c r="N137" s="39" t="str">
        <f t="shared" si="13"/>
        <v/>
      </c>
      <c r="O137" s="39" t="str">
        <f t="shared" si="13"/>
        <v/>
      </c>
      <c r="P137" s="39" t="str">
        <f t="shared" si="13"/>
        <v/>
      </c>
      <c r="Q137" s="39" t="str">
        <f t="shared" si="13"/>
        <v/>
      </c>
      <c r="R137" s="39" t="str">
        <f t="shared" si="13"/>
        <v/>
      </c>
      <c r="S137" s="39" t="str">
        <f t="shared" si="13"/>
        <v/>
      </c>
      <c r="T137" s="39" t="str">
        <f t="shared" si="13"/>
        <v/>
      </c>
      <c r="U137" s="39" t="str">
        <f t="shared" si="13"/>
        <v/>
      </c>
      <c r="V137" s="39" t="str">
        <f t="shared" si="13"/>
        <v/>
      </c>
    </row>
    <row r="138" spans="1:22" x14ac:dyDescent="0.3">
      <c r="A138" s="38"/>
      <c r="B138" s="39" t="str">
        <f>IF($A138="","",SUMIFS(weekly_demand!$D:$D,weekly_demand!$A:$A,B$1,weekly_demand!$C:$C,$A138))</f>
        <v/>
      </c>
      <c r="C138" s="39" t="str">
        <f>IF($A138="","",SUMIFS(weekly_demand!$D:$D,weekly_demand!$A:$A,C$1,weekly_demand!$C:$C,$A138))</f>
        <v/>
      </c>
      <c r="D138" s="39" t="str">
        <f>IF($A138="","",SUMIFS(weekly_demand!$D:$D,weekly_demand!$A:$A,D$1,weekly_demand!$C:$C,$A138))</f>
        <v/>
      </c>
      <c r="E138" s="39" t="str">
        <f>IF($A138="","",SUMIFS(weekly_demand!$D:$D,weekly_demand!$A:$A,E$1,weekly_demand!$C:$C,$A138))</f>
        <v/>
      </c>
      <c r="F138" s="39" t="str">
        <f>IF($A138="","",SUMIFS(weekly_demand!$D:$D,weekly_demand!$A:$A,F$1,weekly_demand!$C:$C,$A138))</f>
        <v/>
      </c>
      <c r="G138" s="39" t="str">
        <f>IF($A138="","",SUMIFS(weekly_demand!$D:$D,weekly_demand!$A:$A,G$1,weekly_demand!$C:$C,$A138))</f>
        <v/>
      </c>
      <c r="H138" s="39" t="str">
        <f t="shared" si="13"/>
        <v/>
      </c>
      <c r="I138" s="39" t="str">
        <f t="shared" si="13"/>
        <v/>
      </c>
      <c r="J138" s="39" t="str">
        <f t="shared" si="13"/>
        <v/>
      </c>
      <c r="K138" s="39" t="str">
        <f t="shared" si="13"/>
        <v/>
      </c>
      <c r="L138" s="39" t="str">
        <f t="shared" si="13"/>
        <v/>
      </c>
      <c r="M138" s="39" t="str">
        <f t="shared" si="13"/>
        <v/>
      </c>
      <c r="N138" s="39" t="str">
        <f t="shared" si="13"/>
        <v/>
      </c>
      <c r="O138" s="39" t="str">
        <f t="shared" si="13"/>
        <v/>
      </c>
      <c r="P138" s="39" t="str">
        <f t="shared" si="13"/>
        <v/>
      </c>
      <c r="Q138" s="39" t="str">
        <f t="shared" si="13"/>
        <v/>
      </c>
      <c r="R138" s="39" t="str">
        <f t="shared" si="13"/>
        <v/>
      </c>
      <c r="S138" s="39" t="str">
        <f t="shared" si="13"/>
        <v/>
      </c>
      <c r="T138" s="39" t="str">
        <f t="shared" si="13"/>
        <v/>
      </c>
      <c r="U138" s="39" t="str">
        <f t="shared" si="13"/>
        <v/>
      </c>
      <c r="V138" s="39" t="str">
        <f t="shared" si="13"/>
        <v/>
      </c>
    </row>
    <row r="139" spans="1:22" x14ac:dyDescent="0.3">
      <c r="A139" s="38"/>
      <c r="B139" s="39" t="str">
        <f>IF($A139="","",SUMIFS(weekly_demand!$D:$D,weekly_demand!$A:$A,B$1,weekly_demand!$C:$C,$A139))</f>
        <v/>
      </c>
      <c r="C139" s="39" t="str">
        <f>IF($A139="","",SUMIFS(weekly_demand!$D:$D,weekly_demand!$A:$A,C$1,weekly_demand!$C:$C,$A139))</f>
        <v/>
      </c>
      <c r="D139" s="39" t="str">
        <f>IF($A139="","",SUMIFS(weekly_demand!$D:$D,weekly_demand!$A:$A,D$1,weekly_demand!$C:$C,$A139))</f>
        <v/>
      </c>
      <c r="E139" s="39" t="str">
        <f>IF($A139="","",SUMIFS(weekly_demand!$D:$D,weekly_demand!$A:$A,E$1,weekly_demand!$C:$C,$A139))</f>
        <v/>
      </c>
      <c r="F139" s="39" t="str">
        <f>IF($A139="","",SUMIFS(weekly_demand!$D:$D,weekly_demand!$A:$A,F$1,weekly_demand!$C:$C,$A139))</f>
        <v/>
      </c>
      <c r="G139" s="39" t="str">
        <f>IF($A139="","",SUMIFS(weekly_demand!$D:$D,weekly_demand!$A:$A,G$1,weekly_demand!$C:$C,$A139))</f>
        <v/>
      </c>
      <c r="H139" s="39" t="str">
        <f t="shared" si="13"/>
        <v/>
      </c>
      <c r="I139" s="39" t="str">
        <f t="shared" si="13"/>
        <v/>
      </c>
      <c r="J139" s="39" t="str">
        <f t="shared" si="13"/>
        <v/>
      </c>
      <c r="K139" s="39" t="str">
        <f t="shared" si="13"/>
        <v/>
      </c>
      <c r="L139" s="39" t="str">
        <f t="shared" si="13"/>
        <v/>
      </c>
      <c r="M139" s="39" t="str">
        <f t="shared" si="13"/>
        <v/>
      </c>
      <c r="N139" s="39" t="str">
        <f t="shared" si="13"/>
        <v/>
      </c>
      <c r="O139" s="39" t="str">
        <f t="shared" si="13"/>
        <v/>
      </c>
      <c r="P139" s="39" t="str">
        <f t="shared" si="13"/>
        <v/>
      </c>
      <c r="Q139" s="39" t="str">
        <f t="shared" si="13"/>
        <v/>
      </c>
      <c r="R139" s="39" t="str">
        <f t="shared" si="13"/>
        <v/>
      </c>
      <c r="S139" s="39" t="str">
        <f t="shared" si="13"/>
        <v/>
      </c>
      <c r="T139" s="39" t="str">
        <f t="shared" si="13"/>
        <v/>
      </c>
      <c r="U139" s="39" t="str">
        <f t="shared" si="13"/>
        <v/>
      </c>
      <c r="V139" s="39" t="str">
        <f t="shared" si="13"/>
        <v/>
      </c>
    </row>
    <row r="140" spans="1:22" x14ac:dyDescent="0.3">
      <c r="A140" s="38"/>
      <c r="B140" s="39" t="str">
        <f>IF($A140="","",SUMIFS(weekly_demand!$D:$D,weekly_demand!$A:$A,B$1,weekly_demand!$C:$C,$A140))</f>
        <v/>
      </c>
      <c r="C140" s="39" t="str">
        <f>IF($A140="","",SUMIFS(weekly_demand!$D:$D,weekly_demand!$A:$A,C$1,weekly_demand!$C:$C,$A140))</f>
        <v/>
      </c>
      <c r="D140" s="39" t="str">
        <f>IF($A140="","",SUMIFS(weekly_demand!$D:$D,weekly_demand!$A:$A,D$1,weekly_demand!$C:$C,$A140))</f>
        <v/>
      </c>
      <c r="E140" s="39" t="str">
        <f>IF($A140="","",SUMIFS(weekly_demand!$D:$D,weekly_demand!$A:$A,E$1,weekly_demand!$C:$C,$A140))</f>
        <v/>
      </c>
      <c r="F140" s="39" t="str">
        <f>IF($A140="","",SUMIFS(weekly_demand!$D:$D,weekly_demand!$A:$A,F$1,weekly_demand!$C:$C,$A140))</f>
        <v/>
      </c>
      <c r="G140" s="39" t="str">
        <f>IF($A140="","",SUMIFS(weekly_demand!$D:$D,weekly_demand!$A:$A,G$1,weekly_demand!$C:$C,$A140))</f>
        <v/>
      </c>
      <c r="H140" s="39" t="str">
        <f t="shared" si="13"/>
        <v/>
      </c>
      <c r="I140" s="39" t="str">
        <f t="shared" si="13"/>
        <v/>
      </c>
      <c r="J140" s="39" t="str">
        <f t="shared" si="13"/>
        <v/>
      </c>
      <c r="K140" s="39" t="str">
        <f t="shared" si="13"/>
        <v/>
      </c>
      <c r="L140" s="39" t="str">
        <f t="shared" si="13"/>
        <v/>
      </c>
      <c r="M140" s="39" t="str">
        <f t="shared" si="13"/>
        <v/>
      </c>
      <c r="N140" s="39" t="str">
        <f t="shared" si="13"/>
        <v/>
      </c>
      <c r="O140" s="39" t="str">
        <f t="shared" si="13"/>
        <v/>
      </c>
      <c r="P140" s="39" t="str">
        <f t="shared" si="13"/>
        <v/>
      </c>
      <c r="Q140" s="39" t="str">
        <f t="shared" si="13"/>
        <v/>
      </c>
      <c r="R140" s="39" t="str">
        <f t="shared" si="13"/>
        <v/>
      </c>
      <c r="S140" s="39" t="str">
        <f t="shared" si="13"/>
        <v/>
      </c>
      <c r="T140" s="39" t="str">
        <f t="shared" si="13"/>
        <v/>
      </c>
      <c r="U140" s="39" t="str">
        <f t="shared" si="13"/>
        <v/>
      </c>
      <c r="V140" s="39" t="str">
        <f t="shared" si="13"/>
        <v/>
      </c>
    </row>
    <row r="141" spans="1:22" x14ac:dyDescent="0.3">
      <c r="A141" s="38"/>
      <c r="B141" s="39" t="str">
        <f>IF($A141="","",SUMIFS(weekly_demand!$D:$D,weekly_demand!$A:$A,B$1,weekly_demand!$C:$C,$A141))</f>
        <v/>
      </c>
      <c r="C141" s="39" t="str">
        <f>IF($A141="","",SUMIFS(weekly_demand!$D:$D,weekly_demand!$A:$A,C$1,weekly_demand!$C:$C,$A141))</f>
        <v/>
      </c>
      <c r="D141" s="39" t="str">
        <f>IF($A141="","",SUMIFS(weekly_demand!$D:$D,weekly_demand!$A:$A,D$1,weekly_demand!$C:$C,$A141))</f>
        <v/>
      </c>
      <c r="E141" s="39" t="str">
        <f>IF($A141="","",SUMIFS(weekly_demand!$D:$D,weekly_demand!$A:$A,E$1,weekly_demand!$C:$C,$A141))</f>
        <v/>
      </c>
      <c r="F141" s="39" t="str">
        <f>IF($A141="","",SUMIFS(weekly_demand!$D:$D,weekly_demand!$A:$A,F$1,weekly_demand!$C:$C,$A141))</f>
        <v/>
      </c>
      <c r="G141" s="39" t="str">
        <f>IF($A141="","",SUMIFS(weekly_demand!$D:$D,weekly_demand!$A:$A,G$1,weekly_demand!$C:$C,$A141))</f>
        <v/>
      </c>
      <c r="H141" s="39" t="str">
        <f t="shared" si="13"/>
        <v/>
      </c>
      <c r="I141" s="39" t="str">
        <f t="shared" si="13"/>
        <v/>
      </c>
      <c r="J141" s="39" t="str">
        <f t="shared" si="13"/>
        <v/>
      </c>
      <c r="K141" s="39" t="str">
        <f t="shared" si="13"/>
        <v/>
      </c>
      <c r="L141" s="39" t="str">
        <f t="shared" si="13"/>
        <v/>
      </c>
      <c r="M141" s="39" t="str">
        <f t="shared" si="13"/>
        <v/>
      </c>
      <c r="N141" s="39" t="str">
        <f t="shared" si="13"/>
        <v/>
      </c>
      <c r="O141" s="39" t="str">
        <f t="shared" si="13"/>
        <v/>
      </c>
      <c r="P141" s="39" t="str">
        <f t="shared" si="13"/>
        <v/>
      </c>
      <c r="Q141" s="39" t="str">
        <f t="shared" si="13"/>
        <v/>
      </c>
      <c r="R141" s="39" t="str">
        <f t="shared" si="13"/>
        <v/>
      </c>
      <c r="S141" s="39" t="str">
        <f t="shared" si="13"/>
        <v/>
      </c>
      <c r="T141" s="39" t="str">
        <f t="shared" si="13"/>
        <v/>
      </c>
      <c r="U141" s="39" t="str">
        <f t="shared" si="13"/>
        <v/>
      </c>
      <c r="V141" s="39" t="str">
        <f t="shared" si="13"/>
        <v/>
      </c>
    </row>
    <row r="142" spans="1:22" x14ac:dyDescent="0.3">
      <c r="A142" s="38"/>
      <c r="B142" s="39" t="str">
        <f>IF($A142="","",SUMIFS(weekly_demand!$D:$D,weekly_demand!$A:$A,B$1,weekly_demand!$C:$C,$A142))</f>
        <v/>
      </c>
      <c r="C142" s="39" t="str">
        <f>IF($A142="","",SUMIFS(weekly_demand!$D:$D,weekly_demand!$A:$A,C$1,weekly_demand!$C:$C,$A142))</f>
        <v/>
      </c>
      <c r="D142" s="39" t="str">
        <f>IF($A142="","",SUMIFS(weekly_demand!$D:$D,weekly_demand!$A:$A,D$1,weekly_demand!$C:$C,$A142))</f>
        <v/>
      </c>
      <c r="E142" s="39" t="str">
        <f>IF($A142="","",SUMIFS(weekly_demand!$D:$D,weekly_demand!$A:$A,E$1,weekly_demand!$C:$C,$A142))</f>
        <v/>
      </c>
      <c r="F142" s="39" t="str">
        <f>IF($A142="","",SUMIFS(weekly_demand!$D:$D,weekly_demand!$A:$A,F$1,weekly_demand!$C:$C,$A142))</f>
        <v/>
      </c>
      <c r="G142" s="39" t="str">
        <f>IF($A142="","",SUMIFS(weekly_demand!$D:$D,weekly_demand!$A:$A,G$1,weekly_demand!$C:$C,$A142))</f>
        <v/>
      </c>
      <c r="H142" s="39" t="str">
        <f t="shared" ref="H142:V151" si="14">IF($A142="","",SUMPRODUCT($B142:$G142,INDEX($Y$2:$AD$16,MATCH(H$1,$X$2:$X$16,0),0)))</f>
        <v/>
      </c>
      <c r="I142" s="39" t="str">
        <f t="shared" si="14"/>
        <v/>
      </c>
      <c r="J142" s="39" t="str">
        <f t="shared" si="14"/>
        <v/>
      </c>
      <c r="K142" s="39" t="str">
        <f t="shared" si="14"/>
        <v/>
      </c>
      <c r="L142" s="39" t="str">
        <f t="shared" si="14"/>
        <v/>
      </c>
      <c r="M142" s="39" t="str">
        <f t="shared" si="14"/>
        <v/>
      </c>
      <c r="N142" s="39" t="str">
        <f t="shared" si="14"/>
        <v/>
      </c>
      <c r="O142" s="39" t="str">
        <f t="shared" si="14"/>
        <v/>
      </c>
      <c r="P142" s="39" t="str">
        <f t="shared" si="14"/>
        <v/>
      </c>
      <c r="Q142" s="39" t="str">
        <f t="shared" si="14"/>
        <v/>
      </c>
      <c r="R142" s="39" t="str">
        <f t="shared" si="14"/>
        <v/>
      </c>
      <c r="S142" s="39" t="str">
        <f t="shared" si="14"/>
        <v/>
      </c>
      <c r="T142" s="39" t="str">
        <f t="shared" si="14"/>
        <v/>
      </c>
      <c r="U142" s="39" t="str">
        <f t="shared" si="14"/>
        <v/>
      </c>
      <c r="V142" s="39" t="str">
        <f t="shared" si="14"/>
        <v/>
      </c>
    </row>
    <row r="143" spans="1:22" x14ac:dyDescent="0.3">
      <c r="A143" s="38"/>
      <c r="B143" s="39" t="str">
        <f>IF($A143="","",SUMIFS(weekly_demand!$D:$D,weekly_demand!$A:$A,B$1,weekly_demand!$C:$C,$A143))</f>
        <v/>
      </c>
      <c r="C143" s="39" t="str">
        <f>IF($A143="","",SUMIFS(weekly_demand!$D:$D,weekly_demand!$A:$A,C$1,weekly_demand!$C:$C,$A143))</f>
        <v/>
      </c>
      <c r="D143" s="39" t="str">
        <f>IF($A143="","",SUMIFS(weekly_demand!$D:$D,weekly_demand!$A:$A,D$1,weekly_demand!$C:$C,$A143))</f>
        <v/>
      </c>
      <c r="E143" s="39" t="str">
        <f>IF($A143="","",SUMIFS(weekly_demand!$D:$D,weekly_demand!$A:$A,E$1,weekly_demand!$C:$C,$A143))</f>
        <v/>
      </c>
      <c r="F143" s="39" t="str">
        <f>IF($A143="","",SUMIFS(weekly_demand!$D:$D,weekly_demand!$A:$A,F$1,weekly_demand!$C:$C,$A143))</f>
        <v/>
      </c>
      <c r="G143" s="39" t="str">
        <f>IF($A143="","",SUMIFS(weekly_demand!$D:$D,weekly_demand!$A:$A,G$1,weekly_demand!$C:$C,$A143))</f>
        <v/>
      </c>
      <c r="H143" s="39" t="str">
        <f t="shared" si="14"/>
        <v/>
      </c>
      <c r="I143" s="39" t="str">
        <f t="shared" si="14"/>
        <v/>
      </c>
      <c r="J143" s="39" t="str">
        <f t="shared" si="14"/>
        <v/>
      </c>
      <c r="K143" s="39" t="str">
        <f t="shared" si="14"/>
        <v/>
      </c>
      <c r="L143" s="39" t="str">
        <f t="shared" si="14"/>
        <v/>
      </c>
      <c r="M143" s="39" t="str">
        <f t="shared" si="14"/>
        <v/>
      </c>
      <c r="N143" s="39" t="str">
        <f t="shared" si="14"/>
        <v/>
      </c>
      <c r="O143" s="39" t="str">
        <f t="shared" si="14"/>
        <v/>
      </c>
      <c r="P143" s="39" t="str">
        <f t="shared" si="14"/>
        <v/>
      </c>
      <c r="Q143" s="39" t="str">
        <f t="shared" si="14"/>
        <v/>
      </c>
      <c r="R143" s="39" t="str">
        <f t="shared" si="14"/>
        <v/>
      </c>
      <c r="S143" s="39" t="str">
        <f t="shared" si="14"/>
        <v/>
      </c>
      <c r="T143" s="39" t="str">
        <f t="shared" si="14"/>
        <v/>
      </c>
      <c r="U143" s="39" t="str">
        <f t="shared" si="14"/>
        <v/>
      </c>
      <c r="V143" s="39" t="str">
        <f t="shared" si="14"/>
        <v/>
      </c>
    </row>
    <row r="144" spans="1:22" x14ac:dyDescent="0.3">
      <c r="A144" s="38"/>
      <c r="B144" s="39" t="str">
        <f>IF($A144="","",SUMIFS(weekly_demand!$D:$D,weekly_demand!$A:$A,B$1,weekly_demand!$C:$C,$A144))</f>
        <v/>
      </c>
      <c r="C144" s="39" t="str">
        <f>IF($A144="","",SUMIFS(weekly_demand!$D:$D,weekly_demand!$A:$A,C$1,weekly_demand!$C:$C,$A144))</f>
        <v/>
      </c>
      <c r="D144" s="39" t="str">
        <f>IF($A144="","",SUMIFS(weekly_demand!$D:$D,weekly_demand!$A:$A,D$1,weekly_demand!$C:$C,$A144))</f>
        <v/>
      </c>
      <c r="E144" s="39" t="str">
        <f>IF($A144="","",SUMIFS(weekly_demand!$D:$D,weekly_demand!$A:$A,E$1,weekly_demand!$C:$C,$A144))</f>
        <v/>
      </c>
      <c r="F144" s="39" t="str">
        <f>IF($A144="","",SUMIFS(weekly_demand!$D:$D,weekly_demand!$A:$A,F$1,weekly_demand!$C:$C,$A144))</f>
        <v/>
      </c>
      <c r="G144" s="39" t="str">
        <f>IF($A144="","",SUMIFS(weekly_demand!$D:$D,weekly_demand!$A:$A,G$1,weekly_demand!$C:$C,$A144))</f>
        <v/>
      </c>
      <c r="H144" s="39" t="str">
        <f t="shared" si="14"/>
        <v/>
      </c>
      <c r="I144" s="39" t="str">
        <f t="shared" si="14"/>
        <v/>
      </c>
      <c r="J144" s="39" t="str">
        <f t="shared" si="14"/>
        <v/>
      </c>
      <c r="K144" s="39" t="str">
        <f t="shared" si="14"/>
        <v/>
      </c>
      <c r="L144" s="39" t="str">
        <f t="shared" si="14"/>
        <v/>
      </c>
      <c r="M144" s="39" t="str">
        <f t="shared" si="14"/>
        <v/>
      </c>
      <c r="N144" s="39" t="str">
        <f t="shared" si="14"/>
        <v/>
      </c>
      <c r="O144" s="39" t="str">
        <f t="shared" si="14"/>
        <v/>
      </c>
      <c r="P144" s="39" t="str">
        <f t="shared" si="14"/>
        <v/>
      </c>
      <c r="Q144" s="39" t="str">
        <f t="shared" si="14"/>
        <v/>
      </c>
      <c r="R144" s="39" t="str">
        <f t="shared" si="14"/>
        <v/>
      </c>
      <c r="S144" s="39" t="str">
        <f t="shared" si="14"/>
        <v/>
      </c>
      <c r="T144" s="39" t="str">
        <f t="shared" si="14"/>
        <v/>
      </c>
      <c r="U144" s="39" t="str">
        <f t="shared" si="14"/>
        <v/>
      </c>
      <c r="V144" s="39" t="str">
        <f t="shared" si="14"/>
        <v/>
      </c>
    </row>
    <row r="145" spans="1:22" x14ac:dyDescent="0.3">
      <c r="A145" s="38"/>
      <c r="B145" s="39" t="str">
        <f>IF($A145="","",SUMIFS(weekly_demand!$D:$D,weekly_demand!$A:$A,B$1,weekly_demand!$C:$C,$A145))</f>
        <v/>
      </c>
      <c r="C145" s="39" t="str">
        <f>IF($A145="","",SUMIFS(weekly_demand!$D:$D,weekly_demand!$A:$A,C$1,weekly_demand!$C:$C,$A145))</f>
        <v/>
      </c>
      <c r="D145" s="39" t="str">
        <f>IF($A145="","",SUMIFS(weekly_demand!$D:$D,weekly_demand!$A:$A,D$1,weekly_demand!$C:$C,$A145))</f>
        <v/>
      </c>
      <c r="E145" s="39" t="str">
        <f>IF($A145="","",SUMIFS(weekly_demand!$D:$D,weekly_demand!$A:$A,E$1,weekly_demand!$C:$C,$A145))</f>
        <v/>
      </c>
      <c r="F145" s="39" t="str">
        <f>IF($A145="","",SUMIFS(weekly_demand!$D:$D,weekly_demand!$A:$A,F$1,weekly_demand!$C:$C,$A145))</f>
        <v/>
      </c>
      <c r="G145" s="39" t="str">
        <f>IF($A145="","",SUMIFS(weekly_demand!$D:$D,weekly_demand!$A:$A,G$1,weekly_demand!$C:$C,$A145))</f>
        <v/>
      </c>
      <c r="H145" s="39" t="str">
        <f t="shared" si="14"/>
        <v/>
      </c>
      <c r="I145" s="39" t="str">
        <f t="shared" si="14"/>
        <v/>
      </c>
      <c r="J145" s="39" t="str">
        <f t="shared" si="14"/>
        <v/>
      </c>
      <c r="K145" s="39" t="str">
        <f t="shared" si="14"/>
        <v/>
      </c>
      <c r="L145" s="39" t="str">
        <f t="shared" si="14"/>
        <v/>
      </c>
      <c r="M145" s="39" t="str">
        <f t="shared" si="14"/>
        <v/>
      </c>
      <c r="N145" s="39" t="str">
        <f t="shared" si="14"/>
        <v/>
      </c>
      <c r="O145" s="39" t="str">
        <f t="shared" si="14"/>
        <v/>
      </c>
      <c r="P145" s="39" t="str">
        <f t="shared" si="14"/>
        <v/>
      </c>
      <c r="Q145" s="39" t="str">
        <f t="shared" si="14"/>
        <v/>
      </c>
      <c r="R145" s="39" t="str">
        <f t="shared" si="14"/>
        <v/>
      </c>
      <c r="S145" s="39" t="str">
        <f t="shared" si="14"/>
        <v/>
      </c>
      <c r="T145" s="39" t="str">
        <f t="shared" si="14"/>
        <v/>
      </c>
      <c r="U145" s="39" t="str">
        <f t="shared" si="14"/>
        <v/>
      </c>
      <c r="V145" s="39" t="str">
        <f t="shared" si="14"/>
        <v/>
      </c>
    </row>
    <row r="146" spans="1:22" x14ac:dyDescent="0.3">
      <c r="A146" s="38"/>
      <c r="B146" s="39" t="str">
        <f>IF($A146="","",SUMIFS(weekly_demand!$D:$D,weekly_demand!$A:$A,B$1,weekly_demand!$C:$C,$A146))</f>
        <v/>
      </c>
      <c r="C146" s="39" t="str">
        <f>IF($A146="","",SUMIFS(weekly_demand!$D:$D,weekly_demand!$A:$A,C$1,weekly_demand!$C:$C,$A146))</f>
        <v/>
      </c>
      <c r="D146" s="39" t="str">
        <f>IF($A146="","",SUMIFS(weekly_demand!$D:$D,weekly_demand!$A:$A,D$1,weekly_demand!$C:$C,$A146))</f>
        <v/>
      </c>
      <c r="E146" s="39" t="str">
        <f>IF($A146="","",SUMIFS(weekly_demand!$D:$D,weekly_demand!$A:$A,E$1,weekly_demand!$C:$C,$A146))</f>
        <v/>
      </c>
      <c r="F146" s="39" t="str">
        <f>IF($A146="","",SUMIFS(weekly_demand!$D:$D,weekly_demand!$A:$A,F$1,weekly_demand!$C:$C,$A146))</f>
        <v/>
      </c>
      <c r="G146" s="39" t="str">
        <f>IF($A146="","",SUMIFS(weekly_demand!$D:$D,weekly_demand!$A:$A,G$1,weekly_demand!$C:$C,$A146))</f>
        <v/>
      </c>
      <c r="H146" s="39" t="str">
        <f t="shared" si="14"/>
        <v/>
      </c>
      <c r="I146" s="39" t="str">
        <f t="shared" si="14"/>
        <v/>
      </c>
      <c r="J146" s="39" t="str">
        <f t="shared" si="14"/>
        <v/>
      </c>
      <c r="K146" s="39" t="str">
        <f t="shared" si="14"/>
        <v/>
      </c>
      <c r="L146" s="39" t="str">
        <f t="shared" si="14"/>
        <v/>
      </c>
      <c r="M146" s="39" t="str">
        <f t="shared" si="14"/>
        <v/>
      </c>
      <c r="N146" s="39" t="str">
        <f t="shared" si="14"/>
        <v/>
      </c>
      <c r="O146" s="39" t="str">
        <f t="shared" si="14"/>
        <v/>
      </c>
      <c r="P146" s="39" t="str">
        <f t="shared" si="14"/>
        <v/>
      </c>
      <c r="Q146" s="39" t="str">
        <f t="shared" si="14"/>
        <v/>
      </c>
      <c r="R146" s="39" t="str">
        <f t="shared" si="14"/>
        <v/>
      </c>
      <c r="S146" s="39" t="str">
        <f t="shared" si="14"/>
        <v/>
      </c>
      <c r="T146" s="39" t="str">
        <f t="shared" si="14"/>
        <v/>
      </c>
      <c r="U146" s="39" t="str">
        <f t="shared" si="14"/>
        <v/>
      </c>
      <c r="V146" s="39" t="str">
        <f t="shared" si="14"/>
        <v/>
      </c>
    </row>
    <row r="147" spans="1:22" x14ac:dyDescent="0.3">
      <c r="A147" s="38"/>
      <c r="B147" s="39" t="str">
        <f>IF($A147="","",SUMIFS(weekly_demand!$D:$D,weekly_demand!$A:$A,B$1,weekly_demand!$C:$C,$A147))</f>
        <v/>
      </c>
      <c r="C147" s="39" t="str">
        <f>IF($A147="","",SUMIFS(weekly_demand!$D:$D,weekly_demand!$A:$A,C$1,weekly_demand!$C:$C,$A147))</f>
        <v/>
      </c>
      <c r="D147" s="39" t="str">
        <f>IF($A147="","",SUMIFS(weekly_demand!$D:$D,weekly_demand!$A:$A,D$1,weekly_demand!$C:$C,$A147))</f>
        <v/>
      </c>
      <c r="E147" s="39" t="str">
        <f>IF($A147="","",SUMIFS(weekly_demand!$D:$D,weekly_demand!$A:$A,E$1,weekly_demand!$C:$C,$A147))</f>
        <v/>
      </c>
      <c r="F147" s="39" t="str">
        <f>IF($A147="","",SUMIFS(weekly_demand!$D:$D,weekly_demand!$A:$A,F$1,weekly_demand!$C:$C,$A147))</f>
        <v/>
      </c>
      <c r="G147" s="39" t="str">
        <f>IF($A147="","",SUMIFS(weekly_demand!$D:$D,weekly_demand!$A:$A,G$1,weekly_demand!$C:$C,$A147))</f>
        <v/>
      </c>
      <c r="H147" s="39" t="str">
        <f t="shared" si="14"/>
        <v/>
      </c>
      <c r="I147" s="39" t="str">
        <f t="shared" si="14"/>
        <v/>
      </c>
      <c r="J147" s="39" t="str">
        <f t="shared" si="14"/>
        <v/>
      </c>
      <c r="K147" s="39" t="str">
        <f t="shared" si="14"/>
        <v/>
      </c>
      <c r="L147" s="39" t="str">
        <f t="shared" si="14"/>
        <v/>
      </c>
      <c r="M147" s="39" t="str">
        <f t="shared" si="14"/>
        <v/>
      </c>
      <c r="N147" s="39" t="str">
        <f t="shared" si="14"/>
        <v/>
      </c>
      <c r="O147" s="39" t="str">
        <f t="shared" si="14"/>
        <v/>
      </c>
      <c r="P147" s="39" t="str">
        <f t="shared" si="14"/>
        <v/>
      </c>
      <c r="Q147" s="39" t="str">
        <f t="shared" si="14"/>
        <v/>
      </c>
      <c r="R147" s="39" t="str">
        <f t="shared" si="14"/>
        <v/>
      </c>
      <c r="S147" s="39" t="str">
        <f t="shared" si="14"/>
        <v/>
      </c>
      <c r="T147" s="39" t="str">
        <f t="shared" si="14"/>
        <v/>
      </c>
      <c r="U147" s="39" t="str">
        <f t="shared" si="14"/>
        <v/>
      </c>
      <c r="V147" s="39" t="str">
        <f t="shared" si="14"/>
        <v/>
      </c>
    </row>
    <row r="148" spans="1:22" x14ac:dyDescent="0.3">
      <c r="A148" s="38"/>
      <c r="B148" s="39" t="str">
        <f>IF($A148="","",SUMIFS(weekly_demand!$D:$D,weekly_demand!$A:$A,B$1,weekly_demand!$C:$C,$A148))</f>
        <v/>
      </c>
      <c r="C148" s="39" t="str">
        <f>IF($A148="","",SUMIFS(weekly_demand!$D:$D,weekly_demand!$A:$A,C$1,weekly_demand!$C:$C,$A148))</f>
        <v/>
      </c>
      <c r="D148" s="39" t="str">
        <f>IF($A148="","",SUMIFS(weekly_demand!$D:$D,weekly_demand!$A:$A,D$1,weekly_demand!$C:$C,$A148))</f>
        <v/>
      </c>
      <c r="E148" s="39" t="str">
        <f>IF($A148="","",SUMIFS(weekly_demand!$D:$D,weekly_demand!$A:$A,E$1,weekly_demand!$C:$C,$A148))</f>
        <v/>
      </c>
      <c r="F148" s="39" t="str">
        <f>IF($A148="","",SUMIFS(weekly_demand!$D:$D,weekly_demand!$A:$A,F$1,weekly_demand!$C:$C,$A148))</f>
        <v/>
      </c>
      <c r="G148" s="39" t="str">
        <f>IF($A148="","",SUMIFS(weekly_demand!$D:$D,weekly_demand!$A:$A,G$1,weekly_demand!$C:$C,$A148))</f>
        <v/>
      </c>
      <c r="H148" s="39" t="str">
        <f t="shared" si="14"/>
        <v/>
      </c>
      <c r="I148" s="39" t="str">
        <f t="shared" si="14"/>
        <v/>
      </c>
      <c r="J148" s="39" t="str">
        <f t="shared" si="14"/>
        <v/>
      </c>
      <c r="K148" s="39" t="str">
        <f t="shared" si="14"/>
        <v/>
      </c>
      <c r="L148" s="39" t="str">
        <f t="shared" si="14"/>
        <v/>
      </c>
      <c r="M148" s="39" t="str">
        <f t="shared" si="14"/>
        <v/>
      </c>
      <c r="N148" s="39" t="str">
        <f t="shared" si="14"/>
        <v/>
      </c>
      <c r="O148" s="39" t="str">
        <f t="shared" si="14"/>
        <v/>
      </c>
      <c r="P148" s="39" t="str">
        <f t="shared" si="14"/>
        <v/>
      </c>
      <c r="Q148" s="39" t="str">
        <f t="shared" si="14"/>
        <v/>
      </c>
      <c r="R148" s="39" t="str">
        <f t="shared" si="14"/>
        <v/>
      </c>
      <c r="S148" s="39" t="str">
        <f t="shared" si="14"/>
        <v/>
      </c>
      <c r="T148" s="39" t="str">
        <f t="shared" si="14"/>
        <v/>
      </c>
      <c r="U148" s="39" t="str">
        <f t="shared" si="14"/>
        <v/>
      </c>
      <c r="V148" s="39" t="str">
        <f t="shared" si="14"/>
        <v/>
      </c>
    </row>
    <row r="149" spans="1:22" x14ac:dyDescent="0.3">
      <c r="A149" s="38"/>
      <c r="B149" s="39" t="str">
        <f>IF($A149="","",SUMIFS(weekly_demand!$D:$D,weekly_demand!$A:$A,B$1,weekly_demand!$C:$C,$A149))</f>
        <v/>
      </c>
      <c r="C149" s="39" t="str">
        <f>IF($A149="","",SUMIFS(weekly_demand!$D:$D,weekly_demand!$A:$A,C$1,weekly_demand!$C:$C,$A149))</f>
        <v/>
      </c>
      <c r="D149" s="39" t="str">
        <f>IF($A149="","",SUMIFS(weekly_demand!$D:$D,weekly_demand!$A:$A,D$1,weekly_demand!$C:$C,$A149))</f>
        <v/>
      </c>
      <c r="E149" s="39" t="str">
        <f>IF($A149="","",SUMIFS(weekly_demand!$D:$D,weekly_demand!$A:$A,E$1,weekly_demand!$C:$C,$A149))</f>
        <v/>
      </c>
      <c r="F149" s="39" t="str">
        <f>IF($A149="","",SUMIFS(weekly_demand!$D:$D,weekly_demand!$A:$A,F$1,weekly_demand!$C:$C,$A149))</f>
        <v/>
      </c>
      <c r="G149" s="39" t="str">
        <f>IF($A149="","",SUMIFS(weekly_demand!$D:$D,weekly_demand!$A:$A,G$1,weekly_demand!$C:$C,$A149))</f>
        <v/>
      </c>
      <c r="H149" s="39" t="str">
        <f t="shared" si="14"/>
        <v/>
      </c>
      <c r="I149" s="39" t="str">
        <f t="shared" si="14"/>
        <v/>
      </c>
      <c r="J149" s="39" t="str">
        <f t="shared" si="14"/>
        <v/>
      </c>
      <c r="K149" s="39" t="str">
        <f t="shared" si="14"/>
        <v/>
      </c>
      <c r="L149" s="39" t="str">
        <f t="shared" si="14"/>
        <v/>
      </c>
      <c r="M149" s="39" t="str">
        <f t="shared" si="14"/>
        <v/>
      </c>
      <c r="N149" s="39" t="str">
        <f t="shared" si="14"/>
        <v/>
      </c>
      <c r="O149" s="39" t="str">
        <f t="shared" si="14"/>
        <v/>
      </c>
      <c r="P149" s="39" t="str">
        <f t="shared" si="14"/>
        <v/>
      </c>
      <c r="Q149" s="39" t="str">
        <f t="shared" si="14"/>
        <v/>
      </c>
      <c r="R149" s="39" t="str">
        <f t="shared" si="14"/>
        <v/>
      </c>
      <c r="S149" s="39" t="str">
        <f t="shared" si="14"/>
        <v/>
      </c>
      <c r="T149" s="39" t="str">
        <f t="shared" si="14"/>
        <v/>
      </c>
      <c r="U149" s="39" t="str">
        <f t="shared" si="14"/>
        <v/>
      </c>
      <c r="V149" s="39" t="str">
        <f t="shared" si="14"/>
        <v/>
      </c>
    </row>
    <row r="150" spans="1:22" x14ac:dyDescent="0.3">
      <c r="A150" s="38"/>
      <c r="B150" s="39" t="str">
        <f>IF($A150="","",SUMIFS(weekly_demand!$D:$D,weekly_demand!$A:$A,B$1,weekly_demand!$C:$C,$A150))</f>
        <v/>
      </c>
      <c r="C150" s="39" t="str">
        <f>IF($A150="","",SUMIFS(weekly_demand!$D:$D,weekly_demand!$A:$A,C$1,weekly_demand!$C:$C,$A150))</f>
        <v/>
      </c>
      <c r="D150" s="39" t="str">
        <f>IF($A150="","",SUMIFS(weekly_demand!$D:$D,weekly_demand!$A:$A,D$1,weekly_demand!$C:$C,$A150))</f>
        <v/>
      </c>
      <c r="E150" s="39" t="str">
        <f>IF($A150="","",SUMIFS(weekly_demand!$D:$D,weekly_demand!$A:$A,E$1,weekly_demand!$C:$C,$A150))</f>
        <v/>
      </c>
      <c r="F150" s="39" t="str">
        <f>IF($A150="","",SUMIFS(weekly_demand!$D:$D,weekly_demand!$A:$A,F$1,weekly_demand!$C:$C,$A150))</f>
        <v/>
      </c>
      <c r="G150" s="39" t="str">
        <f>IF($A150="","",SUMIFS(weekly_demand!$D:$D,weekly_demand!$A:$A,G$1,weekly_demand!$C:$C,$A150))</f>
        <v/>
      </c>
      <c r="H150" s="39" t="str">
        <f t="shared" si="14"/>
        <v/>
      </c>
      <c r="I150" s="39" t="str">
        <f t="shared" si="14"/>
        <v/>
      </c>
      <c r="J150" s="39" t="str">
        <f t="shared" si="14"/>
        <v/>
      </c>
      <c r="K150" s="39" t="str">
        <f t="shared" si="14"/>
        <v/>
      </c>
      <c r="L150" s="39" t="str">
        <f t="shared" si="14"/>
        <v/>
      </c>
      <c r="M150" s="39" t="str">
        <f t="shared" si="14"/>
        <v/>
      </c>
      <c r="N150" s="39" t="str">
        <f t="shared" si="14"/>
        <v/>
      </c>
      <c r="O150" s="39" t="str">
        <f t="shared" si="14"/>
        <v/>
      </c>
      <c r="P150" s="39" t="str">
        <f t="shared" si="14"/>
        <v/>
      </c>
      <c r="Q150" s="39" t="str">
        <f t="shared" si="14"/>
        <v/>
      </c>
      <c r="R150" s="39" t="str">
        <f t="shared" si="14"/>
        <v/>
      </c>
      <c r="S150" s="39" t="str">
        <f t="shared" si="14"/>
        <v/>
      </c>
      <c r="T150" s="39" t="str">
        <f t="shared" si="14"/>
        <v/>
      </c>
      <c r="U150" s="39" t="str">
        <f t="shared" si="14"/>
        <v/>
      </c>
      <c r="V150" s="39" t="str">
        <f t="shared" si="14"/>
        <v/>
      </c>
    </row>
    <row r="151" spans="1:22" x14ac:dyDescent="0.3">
      <c r="A151" s="38"/>
      <c r="B151" s="39" t="str">
        <f>IF($A151="","",SUMIFS(weekly_demand!$D:$D,weekly_demand!$A:$A,B$1,weekly_demand!$C:$C,$A151))</f>
        <v/>
      </c>
      <c r="C151" s="39" t="str">
        <f>IF($A151="","",SUMIFS(weekly_demand!$D:$D,weekly_demand!$A:$A,C$1,weekly_demand!$C:$C,$A151))</f>
        <v/>
      </c>
      <c r="D151" s="39" t="str">
        <f>IF($A151="","",SUMIFS(weekly_demand!$D:$D,weekly_demand!$A:$A,D$1,weekly_demand!$C:$C,$A151))</f>
        <v/>
      </c>
      <c r="E151" s="39" t="str">
        <f>IF($A151="","",SUMIFS(weekly_demand!$D:$D,weekly_demand!$A:$A,E$1,weekly_demand!$C:$C,$A151))</f>
        <v/>
      </c>
      <c r="F151" s="39" t="str">
        <f>IF($A151="","",SUMIFS(weekly_demand!$D:$D,weekly_demand!$A:$A,F$1,weekly_demand!$C:$C,$A151))</f>
        <v/>
      </c>
      <c r="G151" s="39" t="str">
        <f>IF($A151="","",SUMIFS(weekly_demand!$D:$D,weekly_demand!$A:$A,G$1,weekly_demand!$C:$C,$A151))</f>
        <v/>
      </c>
      <c r="H151" s="39" t="str">
        <f t="shared" si="14"/>
        <v/>
      </c>
      <c r="I151" s="39" t="str">
        <f t="shared" si="14"/>
        <v/>
      </c>
      <c r="J151" s="39" t="str">
        <f t="shared" si="14"/>
        <v/>
      </c>
      <c r="K151" s="39" t="str">
        <f t="shared" si="14"/>
        <v/>
      </c>
      <c r="L151" s="39" t="str">
        <f t="shared" si="14"/>
        <v/>
      </c>
      <c r="M151" s="39" t="str">
        <f t="shared" si="14"/>
        <v/>
      </c>
      <c r="N151" s="39" t="str">
        <f t="shared" si="14"/>
        <v/>
      </c>
      <c r="O151" s="39" t="str">
        <f t="shared" si="14"/>
        <v/>
      </c>
      <c r="P151" s="39" t="str">
        <f t="shared" si="14"/>
        <v/>
      </c>
      <c r="Q151" s="39" t="str">
        <f t="shared" si="14"/>
        <v/>
      </c>
      <c r="R151" s="39" t="str">
        <f t="shared" si="14"/>
        <v/>
      </c>
      <c r="S151" s="39" t="str">
        <f t="shared" si="14"/>
        <v/>
      </c>
      <c r="T151" s="39" t="str">
        <f t="shared" si="14"/>
        <v/>
      </c>
      <c r="U151" s="39" t="str">
        <f t="shared" si="14"/>
        <v/>
      </c>
      <c r="V151" s="39" t="str">
        <f t="shared" si="14"/>
        <v/>
      </c>
    </row>
    <row r="152" spans="1:22" x14ac:dyDescent="0.3">
      <c r="A152" s="38"/>
      <c r="B152" s="39" t="str">
        <f>IF($A152="","",SUMIFS(weekly_demand!$D:$D,weekly_demand!$A:$A,B$1,weekly_demand!$C:$C,$A152))</f>
        <v/>
      </c>
      <c r="C152" s="39" t="str">
        <f>IF($A152="","",SUMIFS(weekly_demand!$D:$D,weekly_demand!$A:$A,C$1,weekly_demand!$C:$C,$A152))</f>
        <v/>
      </c>
      <c r="D152" s="39" t="str">
        <f>IF($A152="","",SUMIFS(weekly_demand!$D:$D,weekly_demand!$A:$A,D$1,weekly_demand!$C:$C,$A152))</f>
        <v/>
      </c>
      <c r="E152" s="39" t="str">
        <f>IF($A152="","",SUMIFS(weekly_demand!$D:$D,weekly_demand!$A:$A,E$1,weekly_demand!$C:$C,$A152))</f>
        <v/>
      </c>
      <c r="F152" s="39" t="str">
        <f>IF($A152="","",SUMIFS(weekly_demand!$D:$D,weekly_demand!$A:$A,F$1,weekly_demand!$C:$C,$A152))</f>
        <v/>
      </c>
      <c r="G152" s="39" t="str">
        <f>IF($A152="","",SUMIFS(weekly_demand!$D:$D,weekly_demand!$A:$A,G$1,weekly_demand!$C:$C,$A152))</f>
        <v/>
      </c>
      <c r="H152" s="39" t="str">
        <f t="shared" ref="H152:V161" si="15">IF($A152="","",SUMPRODUCT($B152:$G152,INDEX($Y$2:$AD$16,MATCH(H$1,$X$2:$X$16,0),0)))</f>
        <v/>
      </c>
      <c r="I152" s="39" t="str">
        <f t="shared" si="15"/>
        <v/>
      </c>
      <c r="J152" s="39" t="str">
        <f t="shared" si="15"/>
        <v/>
      </c>
      <c r="K152" s="39" t="str">
        <f t="shared" si="15"/>
        <v/>
      </c>
      <c r="L152" s="39" t="str">
        <f t="shared" si="15"/>
        <v/>
      </c>
      <c r="M152" s="39" t="str">
        <f t="shared" si="15"/>
        <v/>
      </c>
      <c r="N152" s="39" t="str">
        <f t="shared" si="15"/>
        <v/>
      </c>
      <c r="O152" s="39" t="str">
        <f t="shared" si="15"/>
        <v/>
      </c>
      <c r="P152" s="39" t="str">
        <f t="shared" si="15"/>
        <v/>
      </c>
      <c r="Q152" s="39" t="str">
        <f t="shared" si="15"/>
        <v/>
      </c>
      <c r="R152" s="39" t="str">
        <f t="shared" si="15"/>
        <v/>
      </c>
      <c r="S152" s="39" t="str">
        <f t="shared" si="15"/>
        <v/>
      </c>
      <c r="T152" s="39" t="str">
        <f t="shared" si="15"/>
        <v/>
      </c>
      <c r="U152" s="39" t="str">
        <f t="shared" si="15"/>
        <v/>
      </c>
      <c r="V152" s="39" t="str">
        <f t="shared" si="15"/>
        <v/>
      </c>
    </row>
    <row r="153" spans="1:22" x14ac:dyDescent="0.3">
      <c r="A153" s="38"/>
      <c r="B153" s="39" t="str">
        <f>IF($A153="","",SUMIFS(weekly_demand!$D:$D,weekly_demand!$A:$A,B$1,weekly_demand!$C:$C,$A153))</f>
        <v/>
      </c>
      <c r="C153" s="39" t="str">
        <f>IF($A153="","",SUMIFS(weekly_demand!$D:$D,weekly_demand!$A:$A,C$1,weekly_demand!$C:$C,$A153))</f>
        <v/>
      </c>
      <c r="D153" s="39" t="str">
        <f>IF($A153="","",SUMIFS(weekly_demand!$D:$D,weekly_demand!$A:$A,D$1,weekly_demand!$C:$C,$A153))</f>
        <v/>
      </c>
      <c r="E153" s="39" t="str">
        <f>IF($A153="","",SUMIFS(weekly_demand!$D:$D,weekly_demand!$A:$A,E$1,weekly_demand!$C:$C,$A153))</f>
        <v/>
      </c>
      <c r="F153" s="39" t="str">
        <f>IF($A153="","",SUMIFS(weekly_demand!$D:$D,weekly_demand!$A:$A,F$1,weekly_demand!$C:$C,$A153))</f>
        <v/>
      </c>
      <c r="G153" s="39" t="str">
        <f>IF($A153="","",SUMIFS(weekly_demand!$D:$D,weekly_demand!$A:$A,G$1,weekly_demand!$C:$C,$A153))</f>
        <v/>
      </c>
      <c r="H153" s="39" t="str">
        <f t="shared" si="15"/>
        <v/>
      </c>
      <c r="I153" s="39" t="str">
        <f t="shared" si="15"/>
        <v/>
      </c>
      <c r="J153" s="39" t="str">
        <f t="shared" si="15"/>
        <v/>
      </c>
      <c r="K153" s="39" t="str">
        <f t="shared" si="15"/>
        <v/>
      </c>
      <c r="L153" s="39" t="str">
        <f t="shared" si="15"/>
        <v/>
      </c>
      <c r="M153" s="39" t="str">
        <f t="shared" si="15"/>
        <v/>
      </c>
      <c r="N153" s="39" t="str">
        <f t="shared" si="15"/>
        <v/>
      </c>
      <c r="O153" s="39" t="str">
        <f t="shared" si="15"/>
        <v/>
      </c>
      <c r="P153" s="39" t="str">
        <f t="shared" si="15"/>
        <v/>
      </c>
      <c r="Q153" s="39" t="str">
        <f t="shared" si="15"/>
        <v/>
      </c>
      <c r="R153" s="39" t="str">
        <f t="shared" si="15"/>
        <v/>
      </c>
      <c r="S153" s="39" t="str">
        <f t="shared" si="15"/>
        <v/>
      </c>
      <c r="T153" s="39" t="str">
        <f t="shared" si="15"/>
        <v/>
      </c>
      <c r="U153" s="39" t="str">
        <f t="shared" si="15"/>
        <v/>
      </c>
      <c r="V153" s="39" t="str">
        <f t="shared" si="15"/>
        <v/>
      </c>
    </row>
    <row r="154" spans="1:22" x14ac:dyDescent="0.3">
      <c r="A154" s="38"/>
      <c r="B154" s="39" t="str">
        <f>IF($A154="","",SUMIFS(weekly_demand!$D:$D,weekly_demand!$A:$A,B$1,weekly_demand!$C:$C,$A154))</f>
        <v/>
      </c>
      <c r="C154" s="39" t="str">
        <f>IF($A154="","",SUMIFS(weekly_demand!$D:$D,weekly_demand!$A:$A,C$1,weekly_demand!$C:$C,$A154))</f>
        <v/>
      </c>
      <c r="D154" s="39" t="str">
        <f>IF($A154="","",SUMIFS(weekly_demand!$D:$D,weekly_demand!$A:$A,D$1,weekly_demand!$C:$C,$A154))</f>
        <v/>
      </c>
      <c r="E154" s="39" t="str">
        <f>IF($A154="","",SUMIFS(weekly_demand!$D:$D,weekly_demand!$A:$A,E$1,weekly_demand!$C:$C,$A154))</f>
        <v/>
      </c>
      <c r="F154" s="39" t="str">
        <f>IF($A154="","",SUMIFS(weekly_demand!$D:$D,weekly_demand!$A:$A,F$1,weekly_demand!$C:$C,$A154))</f>
        <v/>
      </c>
      <c r="G154" s="39" t="str">
        <f>IF($A154="","",SUMIFS(weekly_demand!$D:$D,weekly_demand!$A:$A,G$1,weekly_demand!$C:$C,$A154))</f>
        <v/>
      </c>
      <c r="H154" s="39" t="str">
        <f t="shared" si="15"/>
        <v/>
      </c>
      <c r="I154" s="39" t="str">
        <f t="shared" si="15"/>
        <v/>
      </c>
      <c r="J154" s="39" t="str">
        <f t="shared" si="15"/>
        <v/>
      </c>
      <c r="K154" s="39" t="str">
        <f t="shared" si="15"/>
        <v/>
      </c>
      <c r="L154" s="39" t="str">
        <f t="shared" si="15"/>
        <v/>
      </c>
      <c r="M154" s="39" t="str">
        <f t="shared" si="15"/>
        <v/>
      </c>
      <c r="N154" s="39" t="str">
        <f t="shared" si="15"/>
        <v/>
      </c>
      <c r="O154" s="39" t="str">
        <f t="shared" si="15"/>
        <v/>
      </c>
      <c r="P154" s="39" t="str">
        <f t="shared" si="15"/>
        <v/>
      </c>
      <c r="Q154" s="39" t="str">
        <f t="shared" si="15"/>
        <v/>
      </c>
      <c r="R154" s="39" t="str">
        <f t="shared" si="15"/>
        <v/>
      </c>
      <c r="S154" s="39" t="str">
        <f t="shared" si="15"/>
        <v/>
      </c>
      <c r="T154" s="39" t="str">
        <f t="shared" si="15"/>
        <v/>
      </c>
      <c r="U154" s="39" t="str">
        <f t="shared" si="15"/>
        <v/>
      </c>
      <c r="V154" s="39" t="str">
        <f t="shared" si="15"/>
        <v/>
      </c>
    </row>
    <row r="155" spans="1:22" x14ac:dyDescent="0.3">
      <c r="A155" s="38"/>
      <c r="B155" s="39" t="str">
        <f>IF($A155="","",SUMIFS(weekly_demand!$D:$D,weekly_demand!$A:$A,B$1,weekly_demand!$C:$C,$A155))</f>
        <v/>
      </c>
      <c r="C155" s="39" t="str">
        <f>IF($A155="","",SUMIFS(weekly_demand!$D:$D,weekly_demand!$A:$A,C$1,weekly_demand!$C:$C,$A155))</f>
        <v/>
      </c>
      <c r="D155" s="39" t="str">
        <f>IF($A155="","",SUMIFS(weekly_demand!$D:$D,weekly_demand!$A:$A,D$1,weekly_demand!$C:$C,$A155))</f>
        <v/>
      </c>
      <c r="E155" s="39" t="str">
        <f>IF($A155="","",SUMIFS(weekly_demand!$D:$D,weekly_demand!$A:$A,E$1,weekly_demand!$C:$C,$A155))</f>
        <v/>
      </c>
      <c r="F155" s="39" t="str">
        <f>IF($A155="","",SUMIFS(weekly_demand!$D:$D,weekly_demand!$A:$A,F$1,weekly_demand!$C:$C,$A155))</f>
        <v/>
      </c>
      <c r="G155" s="39" t="str">
        <f>IF($A155="","",SUMIFS(weekly_demand!$D:$D,weekly_demand!$A:$A,G$1,weekly_demand!$C:$C,$A155))</f>
        <v/>
      </c>
      <c r="H155" s="39" t="str">
        <f t="shared" si="15"/>
        <v/>
      </c>
      <c r="I155" s="39" t="str">
        <f t="shared" si="15"/>
        <v/>
      </c>
      <c r="J155" s="39" t="str">
        <f t="shared" si="15"/>
        <v/>
      </c>
      <c r="K155" s="39" t="str">
        <f t="shared" si="15"/>
        <v/>
      </c>
      <c r="L155" s="39" t="str">
        <f t="shared" si="15"/>
        <v/>
      </c>
      <c r="M155" s="39" t="str">
        <f t="shared" si="15"/>
        <v/>
      </c>
      <c r="N155" s="39" t="str">
        <f t="shared" si="15"/>
        <v/>
      </c>
      <c r="O155" s="39" t="str">
        <f t="shared" si="15"/>
        <v/>
      </c>
      <c r="P155" s="39" t="str">
        <f t="shared" si="15"/>
        <v/>
      </c>
      <c r="Q155" s="39" t="str">
        <f t="shared" si="15"/>
        <v/>
      </c>
      <c r="R155" s="39" t="str">
        <f t="shared" si="15"/>
        <v/>
      </c>
      <c r="S155" s="39" t="str">
        <f t="shared" si="15"/>
        <v/>
      </c>
      <c r="T155" s="39" t="str">
        <f t="shared" si="15"/>
        <v/>
      </c>
      <c r="U155" s="39" t="str">
        <f t="shared" si="15"/>
        <v/>
      </c>
      <c r="V155" s="39" t="str">
        <f t="shared" si="15"/>
        <v/>
      </c>
    </row>
    <row r="156" spans="1:22" x14ac:dyDescent="0.3">
      <c r="A156" s="38"/>
      <c r="B156" s="39" t="str">
        <f>IF($A156="","",SUMIFS(weekly_demand!$D:$D,weekly_demand!$A:$A,B$1,weekly_demand!$C:$C,$A156))</f>
        <v/>
      </c>
      <c r="C156" s="39" t="str">
        <f>IF($A156="","",SUMIFS(weekly_demand!$D:$D,weekly_demand!$A:$A,C$1,weekly_demand!$C:$C,$A156))</f>
        <v/>
      </c>
      <c r="D156" s="39" t="str">
        <f>IF($A156="","",SUMIFS(weekly_demand!$D:$D,weekly_demand!$A:$A,D$1,weekly_demand!$C:$C,$A156))</f>
        <v/>
      </c>
      <c r="E156" s="39" t="str">
        <f>IF($A156="","",SUMIFS(weekly_demand!$D:$D,weekly_demand!$A:$A,E$1,weekly_demand!$C:$C,$A156))</f>
        <v/>
      </c>
      <c r="F156" s="39" t="str">
        <f>IF($A156="","",SUMIFS(weekly_demand!$D:$D,weekly_demand!$A:$A,F$1,weekly_demand!$C:$C,$A156))</f>
        <v/>
      </c>
      <c r="G156" s="39" t="str">
        <f>IF($A156="","",SUMIFS(weekly_demand!$D:$D,weekly_demand!$A:$A,G$1,weekly_demand!$C:$C,$A156))</f>
        <v/>
      </c>
      <c r="H156" s="39" t="str">
        <f t="shared" si="15"/>
        <v/>
      </c>
      <c r="I156" s="39" t="str">
        <f t="shared" si="15"/>
        <v/>
      </c>
      <c r="J156" s="39" t="str">
        <f t="shared" si="15"/>
        <v/>
      </c>
      <c r="K156" s="39" t="str">
        <f t="shared" si="15"/>
        <v/>
      </c>
      <c r="L156" s="39" t="str">
        <f t="shared" si="15"/>
        <v/>
      </c>
      <c r="M156" s="39" t="str">
        <f t="shared" si="15"/>
        <v/>
      </c>
      <c r="N156" s="39" t="str">
        <f t="shared" si="15"/>
        <v/>
      </c>
      <c r="O156" s="39" t="str">
        <f t="shared" si="15"/>
        <v/>
      </c>
      <c r="P156" s="39" t="str">
        <f t="shared" si="15"/>
        <v/>
      </c>
      <c r="Q156" s="39" t="str">
        <f t="shared" si="15"/>
        <v/>
      </c>
      <c r="R156" s="39" t="str">
        <f t="shared" si="15"/>
        <v/>
      </c>
      <c r="S156" s="39" t="str">
        <f t="shared" si="15"/>
        <v/>
      </c>
      <c r="T156" s="39" t="str">
        <f t="shared" si="15"/>
        <v/>
      </c>
      <c r="U156" s="39" t="str">
        <f t="shared" si="15"/>
        <v/>
      </c>
      <c r="V156" s="39" t="str">
        <f t="shared" si="15"/>
        <v/>
      </c>
    </row>
    <row r="157" spans="1:22" x14ac:dyDescent="0.3">
      <c r="A157" s="38"/>
      <c r="B157" s="39" t="str">
        <f>IF($A157="","",SUMIFS(weekly_demand!$D:$D,weekly_demand!$A:$A,B$1,weekly_demand!$C:$C,$A157))</f>
        <v/>
      </c>
      <c r="C157" s="39" t="str">
        <f>IF($A157="","",SUMIFS(weekly_demand!$D:$D,weekly_demand!$A:$A,C$1,weekly_demand!$C:$C,$A157))</f>
        <v/>
      </c>
      <c r="D157" s="39" t="str">
        <f>IF($A157="","",SUMIFS(weekly_demand!$D:$D,weekly_demand!$A:$A,D$1,weekly_demand!$C:$C,$A157))</f>
        <v/>
      </c>
      <c r="E157" s="39" t="str">
        <f>IF($A157="","",SUMIFS(weekly_demand!$D:$D,weekly_demand!$A:$A,E$1,weekly_demand!$C:$C,$A157))</f>
        <v/>
      </c>
      <c r="F157" s="39" t="str">
        <f>IF($A157="","",SUMIFS(weekly_demand!$D:$D,weekly_demand!$A:$A,F$1,weekly_demand!$C:$C,$A157))</f>
        <v/>
      </c>
      <c r="G157" s="39" t="str">
        <f>IF($A157="","",SUMIFS(weekly_demand!$D:$D,weekly_demand!$A:$A,G$1,weekly_demand!$C:$C,$A157))</f>
        <v/>
      </c>
      <c r="H157" s="39" t="str">
        <f t="shared" si="15"/>
        <v/>
      </c>
      <c r="I157" s="39" t="str">
        <f t="shared" si="15"/>
        <v/>
      </c>
      <c r="J157" s="39" t="str">
        <f t="shared" si="15"/>
        <v/>
      </c>
      <c r="K157" s="39" t="str">
        <f t="shared" si="15"/>
        <v/>
      </c>
      <c r="L157" s="39" t="str">
        <f t="shared" si="15"/>
        <v/>
      </c>
      <c r="M157" s="39" t="str">
        <f t="shared" si="15"/>
        <v/>
      </c>
      <c r="N157" s="39" t="str">
        <f t="shared" si="15"/>
        <v/>
      </c>
      <c r="O157" s="39" t="str">
        <f t="shared" si="15"/>
        <v/>
      </c>
      <c r="P157" s="39" t="str">
        <f t="shared" si="15"/>
        <v/>
      </c>
      <c r="Q157" s="39" t="str">
        <f t="shared" si="15"/>
        <v/>
      </c>
      <c r="R157" s="39" t="str">
        <f t="shared" si="15"/>
        <v/>
      </c>
      <c r="S157" s="39" t="str">
        <f t="shared" si="15"/>
        <v/>
      </c>
      <c r="T157" s="39" t="str">
        <f t="shared" si="15"/>
        <v/>
      </c>
      <c r="U157" s="39" t="str">
        <f t="shared" si="15"/>
        <v/>
      </c>
      <c r="V157" s="39" t="str">
        <f t="shared" si="15"/>
        <v/>
      </c>
    </row>
    <row r="158" spans="1:22" x14ac:dyDescent="0.3">
      <c r="A158" s="38"/>
      <c r="B158" s="39" t="str">
        <f>IF($A158="","",SUMIFS(weekly_demand!$D:$D,weekly_demand!$A:$A,B$1,weekly_demand!$C:$C,$A158))</f>
        <v/>
      </c>
      <c r="C158" s="39" t="str">
        <f>IF($A158="","",SUMIFS(weekly_demand!$D:$D,weekly_demand!$A:$A,C$1,weekly_demand!$C:$C,$A158))</f>
        <v/>
      </c>
      <c r="D158" s="39" t="str">
        <f>IF($A158="","",SUMIFS(weekly_demand!$D:$D,weekly_demand!$A:$A,D$1,weekly_demand!$C:$C,$A158))</f>
        <v/>
      </c>
      <c r="E158" s="39" t="str">
        <f>IF($A158="","",SUMIFS(weekly_demand!$D:$D,weekly_demand!$A:$A,E$1,weekly_demand!$C:$C,$A158))</f>
        <v/>
      </c>
      <c r="F158" s="39" t="str">
        <f>IF($A158="","",SUMIFS(weekly_demand!$D:$D,weekly_demand!$A:$A,F$1,weekly_demand!$C:$C,$A158))</f>
        <v/>
      </c>
      <c r="G158" s="39" t="str">
        <f>IF($A158="","",SUMIFS(weekly_demand!$D:$D,weekly_demand!$A:$A,G$1,weekly_demand!$C:$C,$A158))</f>
        <v/>
      </c>
      <c r="H158" s="39" t="str">
        <f t="shared" si="15"/>
        <v/>
      </c>
      <c r="I158" s="39" t="str">
        <f t="shared" si="15"/>
        <v/>
      </c>
      <c r="J158" s="39" t="str">
        <f t="shared" si="15"/>
        <v/>
      </c>
      <c r="K158" s="39" t="str">
        <f t="shared" si="15"/>
        <v/>
      </c>
      <c r="L158" s="39" t="str">
        <f t="shared" si="15"/>
        <v/>
      </c>
      <c r="M158" s="39" t="str">
        <f t="shared" si="15"/>
        <v/>
      </c>
      <c r="N158" s="39" t="str">
        <f t="shared" si="15"/>
        <v/>
      </c>
      <c r="O158" s="39" t="str">
        <f t="shared" si="15"/>
        <v/>
      </c>
      <c r="P158" s="39" t="str">
        <f t="shared" si="15"/>
        <v/>
      </c>
      <c r="Q158" s="39" t="str">
        <f t="shared" si="15"/>
        <v/>
      </c>
      <c r="R158" s="39" t="str">
        <f t="shared" si="15"/>
        <v/>
      </c>
      <c r="S158" s="39" t="str">
        <f t="shared" si="15"/>
        <v/>
      </c>
      <c r="T158" s="39" t="str">
        <f t="shared" si="15"/>
        <v/>
      </c>
      <c r="U158" s="39" t="str">
        <f t="shared" si="15"/>
        <v/>
      </c>
      <c r="V158" s="39" t="str">
        <f t="shared" si="15"/>
        <v/>
      </c>
    </row>
    <row r="159" spans="1:22" x14ac:dyDescent="0.3">
      <c r="A159" s="38"/>
      <c r="B159" s="39" t="str">
        <f>IF($A159="","",SUMIFS(weekly_demand!$D:$D,weekly_demand!$A:$A,B$1,weekly_demand!$C:$C,$A159))</f>
        <v/>
      </c>
      <c r="C159" s="39" t="str">
        <f>IF($A159="","",SUMIFS(weekly_demand!$D:$D,weekly_demand!$A:$A,C$1,weekly_demand!$C:$C,$A159))</f>
        <v/>
      </c>
      <c r="D159" s="39" t="str">
        <f>IF($A159="","",SUMIFS(weekly_demand!$D:$D,weekly_demand!$A:$A,D$1,weekly_demand!$C:$C,$A159))</f>
        <v/>
      </c>
      <c r="E159" s="39" t="str">
        <f>IF($A159="","",SUMIFS(weekly_demand!$D:$D,weekly_demand!$A:$A,E$1,weekly_demand!$C:$C,$A159))</f>
        <v/>
      </c>
      <c r="F159" s="39" t="str">
        <f>IF($A159="","",SUMIFS(weekly_demand!$D:$D,weekly_demand!$A:$A,F$1,weekly_demand!$C:$C,$A159))</f>
        <v/>
      </c>
      <c r="G159" s="39" t="str">
        <f>IF($A159="","",SUMIFS(weekly_demand!$D:$D,weekly_demand!$A:$A,G$1,weekly_demand!$C:$C,$A159))</f>
        <v/>
      </c>
      <c r="H159" s="39" t="str">
        <f t="shared" si="15"/>
        <v/>
      </c>
      <c r="I159" s="39" t="str">
        <f t="shared" si="15"/>
        <v/>
      </c>
      <c r="J159" s="39" t="str">
        <f t="shared" si="15"/>
        <v/>
      </c>
      <c r="K159" s="39" t="str">
        <f t="shared" si="15"/>
        <v/>
      </c>
      <c r="L159" s="39" t="str">
        <f t="shared" si="15"/>
        <v/>
      </c>
      <c r="M159" s="39" t="str">
        <f t="shared" si="15"/>
        <v/>
      </c>
      <c r="N159" s="39" t="str">
        <f t="shared" si="15"/>
        <v/>
      </c>
      <c r="O159" s="39" t="str">
        <f t="shared" si="15"/>
        <v/>
      </c>
      <c r="P159" s="39" t="str">
        <f t="shared" si="15"/>
        <v/>
      </c>
      <c r="Q159" s="39" t="str">
        <f t="shared" si="15"/>
        <v/>
      </c>
      <c r="R159" s="39" t="str">
        <f t="shared" si="15"/>
        <v/>
      </c>
      <c r="S159" s="39" t="str">
        <f t="shared" si="15"/>
        <v/>
      </c>
      <c r="T159" s="39" t="str">
        <f t="shared" si="15"/>
        <v/>
      </c>
      <c r="U159" s="39" t="str">
        <f t="shared" si="15"/>
        <v/>
      </c>
      <c r="V159" s="39" t="str">
        <f t="shared" si="15"/>
        <v/>
      </c>
    </row>
    <row r="160" spans="1:22" x14ac:dyDescent="0.3">
      <c r="A160" s="38"/>
      <c r="B160" s="39" t="str">
        <f>IF($A160="","",SUMIFS(weekly_demand!$D:$D,weekly_demand!$A:$A,B$1,weekly_demand!$C:$C,$A160))</f>
        <v/>
      </c>
      <c r="C160" s="39" t="str">
        <f>IF($A160="","",SUMIFS(weekly_demand!$D:$D,weekly_demand!$A:$A,C$1,weekly_demand!$C:$C,$A160))</f>
        <v/>
      </c>
      <c r="D160" s="39" t="str">
        <f>IF($A160="","",SUMIFS(weekly_demand!$D:$D,weekly_demand!$A:$A,D$1,weekly_demand!$C:$C,$A160))</f>
        <v/>
      </c>
      <c r="E160" s="39" t="str">
        <f>IF($A160="","",SUMIFS(weekly_demand!$D:$D,weekly_demand!$A:$A,E$1,weekly_demand!$C:$C,$A160))</f>
        <v/>
      </c>
      <c r="F160" s="39" t="str">
        <f>IF($A160="","",SUMIFS(weekly_demand!$D:$D,weekly_demand!$A:$A,F$1,weekly_demand!$C:$C,$A160))</f>
        <v/>
      </c>
      <c r="G160" s="39" t="str">
        <f>IF($A160="","",SUMIFS(weekly_demand!$D:$D,weekly_demand!$A:$A,G$1,weekly_demand!$C:$C,$A160))</f>
        <v/>
      </c>
      <c r="H160" s="39" t="str">
        <f t="shared" si="15"/>
        <v/>
      </c>
      <c r="I160" s="39" t="str">
        <f t="shared" si="15"/>
        <v/>
      </c>
      <c r="J160" s="39" t="str">
        <f t="shared" si="15"/>
        <v/>
      </c>
      <c r="K160" s="39" t="str">
        <f t="shared" si="15"/>
        <v/>
      </c>
      <c r="L160" s="39" t="str">
        <f t="shared" si="15"/>
        <v/>
      </c>
      <c r="M160" s="39" t="str">
        <f t="shared" si="15"/>
        <v/>
      </c>
      <c r="N160" s="39" t="str">
        <f t="shared" si="15"/>
        <v/>
      </c>
      <c r="O160" s="39" t="str">
        <f t="shared" si="15"/>
        <v/>
      </c>
      <c r="P160" s="39" t="str">
        <f t="shared" si="15"/>
        <v/>
      </c>
      <c r="Q160" s="39" t="str">
        <f t="shared" si="15"/>
        <v/>
      </c>
      <c r="R160" s="39" t="str">
        <f t="shared" si="15"/>
        <v/>
      </c>
      <c r="S160" s="39" t="str">
        <f t="shared" si="15"/>
        <v/>
      </c>
      <c r="T160" s="39" t="str">
        <f t="shared" si="15"/>
        <v/>
      </c>
      <c r="U160" s="39" t="str">
        <f t="shared" si="15"/>
        <v/>
      </c>
      <c r="V160" s="39" t="str">
        <f t="shared" si="15"/>
        <v/>
      </c>
    </row>
    <row r="161" spans="1:22" x14ac:dyDescent="0.3">
      <c r="A161" s="38"/>
      <c r="B161" s="39" t="str">
        <f>IF($A161="","",SUMIFS(weekly_demand!$D:$D,weekly_demand!$A:$A,B$1,weekly_demand!$C:$C,$A161))</f>
        <v/>
      </c>
      <c r="C161" s="39" t="str">
        <f>IF($A161="","",SUMIFS(weekly_demand!$D:$D,weekly_demand!$A:$A,C$1,weekly_demand!$C:$C,$A161))</f>
        <v/>
      </c>
      <c r="D161" s="39" t="str">
        <f>IF($A161="","",SUMIFS(weekly_demand!$D:$D,weekly_demand!$A:$A,D$1,weekly_demand!$C:$C,$A161))</f>
        <v/>
      </c>
      <c r="E161" s="39" t="str">
        <f>IF($A161="","",SUMIFS(weekly_demand!$D:$D,weekly_demand!$A:$A,E$1,weekly_demand!$C:$C,$A161))</f>
        <v/>
      </c>
      <c r="F161" s="39" t="str">
        <f>IF($A161="","",SUMIFS(weekly_demand!$D:$D,weekly_demand!$A:$A,F$1,weekly_demand!$C:$C,$A161))</f>
        <v/>
      </c>
      <c r="G161" s="39" t="str">
        <f>IF($A161="","",SUMIFS(weekly_demand!$D:$D,weekly_demand!$A:$A,G$1,weekly_demand!$C:$C,$A161))</f>
        <v/>
      </c>
      <c r="H161" s="39" t="str">
        <f t="shared" si="15"/>
        <v/>
      </c>
      <c r="I161" s="39" t="str">
        <f t="shared" si="15"/>
        <v/>
      </c>
      <c r="J161" s="39" t="str">
        <f t="shared" si="15"/>
        <v/>
      </c>
      <c r="K161" s="39" t="str">
        <f t="shared" si="15"/>
        <v/>
      </c>
      <c r="L161" s="39" t="str">
        <f t="shared" si="15"/>
        <v/>
      </c>
      <c r="M161" s="39" t="str">
        <f t="shared" si="15"/>
        <v/>
      </c>
      <c r="N161" s="39" t="str">
        <f t="shared" si="15"/>
        <v/>
      </c>
      <c r="O161" s="39" t="str">
        <f t="shared" si="15"/>
        <v/>
      </c>
      <c r="P161" s="39" t="str">
        <f t="shared" si="15"/>
        <v/>
      </c>
      <c r="Q161" s="39" t="str">
        <f t="shared" si="15"/>
        <v/>
      </c>
      <c r="R161" s="39" t="str">
        <f t="shared" si="15"/>
        <v/>
      </c>
      <c r="S161" s="39" t="str">
        <f t="shared" si="15"/>
        <v/>
      </c>
      <c r="T161" s="39" t="str">
        <f t="shared" si="15"/>
        <v/>
      </c>
      <c r="U161" s="39" t="str">
        <f t="shared" si="15"/>
        <v/>
      </c>
      <c r="V161" s="39" t="str">
        <f t="shared" si="15"/>
        <v/>
      </c>
    </row>
    <row r="162" spans="1:22" x14ac:dyDescent="0.3">
      <c r="A162" s="38"/>
      <c r="B162" s="39" t="str">
        <f>IF($A162="","",SUMIFS(weekly_demand!$D:$D,weekly_demand!$A:$A,B$1,weekly_demand!$C:$C,$A162))</f>
        <v/>
      </c>
      <c r="C162" s="39" t="str">
        <f>IF($A162="","",SUMIFS(weekly_demand!$D:$D,weekly_demand!$A:$A,C$1,weekly_demand!$C:$C,$A162))</f>
        <v/>
      </c>
      <c r="D162" s="39" t="str">
        <f>IF($A162="","",SUMIFS(weekly_demand!$D:$D,weekly_demand!$A:$A,D$1,weekly_demand!$C:$C,$A162))</f>
        <v/>
      </c>
      <c r="E162" s="39" t="str">
        <f>IF($A162="","",SUMIFS(weekly_demand!$D:$D,weekly_demand!$A:$A,E$1,weekly_demand!$C:$C,$A162))</f>
        <v/>
      </c>
      <c r="F162" s="39" t="str">
        <f>IF($A162="","",SUMIFS(weekly_demand!$D:$D,weekly_demand!$A:$A,F$1,weekly_demand!$C:$C,$A162))</f>
        <v/>
      </c>
      <c r="G162" s="39" t="str">
        <f>IF($A162="","",SUMIFS(weekly_demand!$D:$D,weekly_demand!$A:$A,G$1,weekly_demand!$C:$C,$A162))</f>
        <v/>
      </c>
      <c r="H162" s="39" t="str">
        <f t="shared" ref="H162:V171" si="16">IF($A162="","",SUMPRODUCT($B162:$G162,INDEX($Y$2:$AD$16,MATCH(H$1,$X$2:$X$16,0),0)))</f>
        <v/>
      </c>
      <c r="I162" s="39" t="str">
        <f t="shared" si="16"/>
        <v/>
      </c>
      <c r="J162" s="39" t="str">
        <f t="shared" si="16"/>
        <v/>
      </c>
      <c r="K162" s="39" t="str">
        <f t="shared" si="16"/>
        <v/>
      </c>
      <c r="L162" s="39" t="str">
        <f t="shared" si="16"/>
        <v/>
      </c>
      <c r="M162" s="39" t="str">
        <f t="shared" si="16"/>
        <v/>
      </c>
      <c r="N162" s="39" t="str">
        <f t="shared" si="16"/>
        <v/>
      </c>
      <c r="O162" s="39" t="str">
        <f t="shared" si="16"/>
        <v/>
      </c>
      <c r="P162" s="39" t="str">
        <f t="shared" si="16"/>
        <v/>
      </c>
      <c r="Q162" s="39" t="str">
        <f t="shared" si="16"/>
        <v/>
      </c>
      <c r="R162" s="39" t="str">
        <f t="shared" si="16"/>
        <v/>
      </c>
      <c r="S162" s="39" t="str">
        <f t="shared" si="16"/>
        <v/>
      </c>
      <c r="T162" s="39" t="str">
        <f t="shared" si="16"/>
        <v/>
      </c>
      <c r="U162" s="39" t="str">
        <f t="shared" si="16"/>
        <v/>
      </c>
      <c r="V162" s="39" t="str">
        <f t="shared" si="16"/>
        <v/>
      </c>
    </row>
    <row r="163" spans="1:22" x14ac:dyDescent="0.3">
      <c r="A163" s="38"/>
      <c r="B163" s="39" t="str">
        <f>IF($A163="","",SUMIFS(weekly_demand!$D:$D,weekly_demand!$A:$A,B$1,weekly_demand!$C:$C,$A163))</f>
        <v/>
      </c>
      <c r="C163" s="39" t="str">
        <f>IF($A163="","",SUMIFS(weekly_demand!$D:$D,weekly_demand!$A:$A,C$1,weekly_demand!$C:$C,$A163))</f>
        <v/>
      </c>
      <c r="D163" s="39" t="str">
        <f>IF($A163="","",SUMIFS(weekly_demand!$D:$D,weekly_demand!$A:$A,D$1,weekly_demand!$C:$C,$A163))</f>
        <v/>
      </c>
      <c r="E163" s="39" t="str">
        <f>IF($A163="","",SUMIFS(weekly_demand!$D:$D,weekly_demand!$A:$A,E$1,weekly_demand!$C:$C,$A163))</f>
        <v/>
      </c>
      <c r="F163" s="39" t="str">
        <f>IF($A163="","",SUMIFS(weekly_demand!$D:$D,weekly_demand!$A:$A,F$1,weekly_demand!$C:$C,$A163))</f>
        <v/>
      </c>
      <c r="G163" s="39" t="str">
        <f>IF($A163="","",SUMIFS(weekly_demand!$D:$D,weekly_demand!$A:$A,G$1,weekly_demand!$C:$C,$A163))</f>
        <v/>
      </c>
      <c r="H163" s="39" t="str">
        <f t="shared" si="16"/>
        <v/>
      </c>
      <c r="I163" s="39" t="str">
        <f t="shared" si="16"/>
        <v/>
      </c>
      <c r="J163" s="39" t="str">
        <f t="shared" si="16"/>
        <v/>
      </c>
      <c r="K163" s="39" t="str">
        <f t="shared" si="16"/>
        <v/>
      </c>
      <c r="L163" s="39" t="str">
        <f t="shared" si="16"/>
        <v/>
      </c>
      <c r="M163" s="39" t="str">
        <f t="shared" si="16"/>
        <v/>
      </c>
      <c r="N163" s="39" t="str">
        <f t="shared" si="16"/>
        <v/>
      </c>
      <c r="O163" s="39" t="str">
        <f t="shared" si="16"/>
        <v/>
      </c>
      <c r="P163" s="39" t="str">
        <f t="shared" si="16"/>
        <v/>
      </c>
      <c r="Q163" s="39" t="str">
        <f t="shared" si="16"/>
        <v/>
      </c>
      <c r="R163" s="39" t="str">
        <f t="shared" si="16"/>
        <v/>
      </c>
      <c r="S163" s="39" t="str">
        <f t="shared" si="16"/>
        <v/>
      </c>
      <c r="T163" s="39" t="str">
        <f t="shared" si="16"/>
        <v/>
      </c>
      <c r="U163" s="39" t="str">
        <f t="shared" si="16"/>
        <v/>
      </c>
      <c r="V163" s="39" t="str">
        <f t="shared" si="16"/>
        <v/>
      </c>
    </row>
    <row r="164" spans="1:22" x14ac:dyDescent="0.3">
      <c r="A164" s="38"/>
      <c r="B164" s="39" t="str">
        <f>IF($A164="","",SUMIFS(weekly_demand!$D:$D,weekly_demand!$A:$A,B$1,weekly_demand!$C:$C,$A164))</f>
        <v/>
      </c>
      <c r="C164" s="39" t="str">
        <f>IF($A164="","",SUMIFS(weekly_demand!$D:$D,weekly_demand!$A:$A,C$1,weekly_demand!$C:$C,$A164))</f>
        <v/>
      </c>
      <c r="D164" s="39" t="str">
        <f>IF($A164="","",SUMIFS(weekly_demand!$D:$D,weekly_demand!$A:$A,D$1,weekly_demand!$C:$C,$A164))</f>
        <v/>
      </c>
      <c r="E164" s="39" t="str">
        <f>IF($A164="","",SUMIFS(weekly_demand!$D:$D,weekly_demand!$A:$A,E$1,weekly_demand!$C:$C,$A164))</f>
        <v/>
      </c>
      <c r="F164" s="39" t="str">
        <f>IF($A164="","",SUMIFS(weekly_demand!$D:$D,weekly_demand!$A:$A,F$1,weekly_demand!$C:$C,$A164))</f>
        <v/>
      </c>
      <c r="G164" s="39" t="str">
        <f>IF($A164="","",SUMIFS(weekly_demand!$D:$D,weekly_demand!$A:$A,G$1,weekly_demand!$C:$C,$A164))</f>
        <v/>
      </c>
      <c r="H164" s="39" t="str">
        <f t="shared" si="16"/>
        <v/>
      </c>
      <c r="I164" s="39" t="str">
        <f t="shared" si="16"/>
        <v/>
      </c>
      <c r="J164" s="39" t="str">
        <f t="shared" si="16"/>
        <v/>
      </c>
      <c r="K164" s="39" t="str">
        <f t="shared" si="16"/>
        <v/>
      </c>
      <c r="L164" s="39" t="str">
        <f t="shared" si="16"/>
        <v/>
      </c>
      <c r="M164" s="39" t="str">
        <f t="shared" si="16"/>
        <v/>
      </c>
      <c r="N164" s="39" t="str">
        <f t="shared" si="16"/>
        <v/>
      </c>
      <c r="O164" s="39" t="str">
        <f t="shared" si="16"/>
        <v/>
      </c>
      <c r="P164" s="39" t="str">
        <f t="shared" si="16"/>
        <v/>
      </c>
      <c r="Q164" s="39" t="str">
        <f t="shared" si="16"/>
        <v/>
      </c>
      <c r="R164" s="39" t="str">
        <f t="shared" si="16"/>
        <v/>
      </c>
      <c r="S164" s="39" t="str">
        <f t="shared" si="16"/>
        <v/>
      </c>
      <c r="T164" s="39" t="str">
        <f t="shared" si="16"/>
        <v/>
      </c>
      <c r="U164" s="39" t="str">
        <f t="shared" si="16"/>
        <v/>
      </c>
      <c r="V164" s="39" t="str">
        <f t="shared" si="16"/>
        <v/>
      </c>
    </row>
    <row r="165" spans="1:22" x14ac:dyDescent="0.3">
      <c r="A165" s="38"/>
      <c r="B165" s="39" t="str">
        <f>IF($A165="","",SUMIFS(weekly_demand!$D:$D,weekly_demand!$A:$A,B$1,weekly_demand!$C:$C,$A165))</f>
        <v/>
      </c>
      <c r="C165" s="39" t="str">
        <f>IF($A165="","",SUMIFS(weekly_demand!$D:$D,weekly_demand!$A:$A,C$1,weekly_demand!$C:$C,$A165))</f>
        <v/>
      </c>
      <c r="D165" s="39" t="str">
        <f>IF($A165="","",SUMIFS(weekly_demand!$D:$D,weekly_demand!$A:$A,D$1,weekly_demand!$C:$C,$A165))</f>
        <v/>
      </c>
      <c r="E165" s="39" t="str">
        <f>IF($A165="","",SUMIFS(weekly_demand!$D:$D,weekly_demand!$A:$A,E$1,weekly_demand!$C:$C,$A165))</f>
        <v/>
      </c>
      <c r="F165" s="39" t="str">
        <f>IF($A165="","",SUMIFS(weekly_demand!$D:$D,weekly_demand!$A:$A,F$1,weekly_demand!$C:$C,$A165))</f>
        <v/>
      </c>
      <c r="G165" s="39" t="str">
        <f>IF($A165="","",SUMIFS(weekly_demand!$D:$D,weekly_demand!$A:$A,G$1,weekly_demand!$C:$C,$A165))</f>
        <v/>
      </c>
      <c r="H165" s="39" t="str">
        <f t="shared" si="16"/>
        <v/>
      </c>
      <c r="I165" s="39" t="str">
        <f t="shared" si="16"/>
        <v/>
      </c>
      <c r="J165" s="39" t="str">
        <f t="shared" si="16"/>
        <v/>
      </c>
      <c r="K165" s="39" t="str">
        <f t="shared" si="16"/>
        <v/>
      </c>
      <c r="L165" s="39" t="str">
        <f t="shared" si="16"/>
        <v/>
      </c>
      <c r="M165" s="39" t="str">
        <f t="shared" si="16"/>
        <v/>
      </c>
      <c r="N165" s="39" t="str">
        <f t="shared" si="16"/>
        <v/>
      </c>
      <c r="O165" s="39" t="str">
        <f t="shared" si="16"/>
        <v/>
      </c>
      <c r="P165" s="39" t="str">
        <f t="shared" si="16"/>
        <v/>
      </c>
      <c r="Q165" s="39" t="str">
        <f t="shared" si="16"/>
        <v/>
      </c>
      <c r="R165" s="39" t="str">
        <f t="shared" si="16"/>
        <v/>
      </c>
      <c r="S165" s="39" t="str">
        <f t="shared" si="16"/>
        <v/>
      </c>
      <c r="T165" s="39" t="str">
        <f t="shared" si="16"/>
        <v/>
      </c>
      <c r="U165" s="39" t="str">
        <f t="shared" si="16"/>
        <v/>
      </c>
      <c r="V165" s="39" t="str">
        <f t="shared" si="16"/>
        <v/>
      </c>
    </row>
    <row r="166" spans="1:22" x14ac:dyDescent="0.3">
      <c r="A166" s="38"/>
      <c r="B166" s="39" t="str">
        <f>IF($A166="","",SUMIFS(weekly_demand!$D:$D,weekly_demand!$A:$A,B$1,weekly_demand!$C:$C,$A166))</f>
        <v/>
      </c>
      <c r="C166" s="39" t="str">
        <f>IF($A166="","",SUMIFS(weekly_demand!$D:$D,weekly_demand!$A:$A,C$1,weekly_demand!$C:$C,$A166))</f>
        <v/>
      </c>
      <c r="D166" s="39" t="str">
        <f>IF($A166="","",SUMIFS(weekly_demand!$D:$D,weekly_demand!$A:$A,D$1,weekly_demand!$C:$C,$A166))</f>
        <v/>
      </c>
      <c r="E166" s="39" t="str">
        <f>IF($A166="","",SUMIFS(weekly_demand!$D:$D,weekly_demand!$A:$A,E$1,weekly_demand!$C:$C,$A166))</f>
        <v/>
      </c>
      <c r="F166" s="39" t="str">
        <f>IF($A166="","",SUMIFS(weekly_demand!$D:$D,weekly_demand!$A:$A,F$1,weekly_demand!$C:$C,$A166))</f>
        <v/>
      </c>
      <c r="G166" s="39" t="str">
        <f>IF($A166="","",SUMIFS(weekly_demand!$D:$D,weekly_demand!$A:$A,G$1,weekly_demand!$C:$C,$A166))</f>
        <v/>
      </c>
      <c r="H166" s="39" t="str">
        <f t="shared" si="16"/>
        <v/>
      </c>
      <c r="I166" s="39" t="str">
        <f t="shared" si="16"/>
        <v/>
      </c>
      <c r="J166" s="39" t="str">
        <f t="shared" si="16"/>
        <v/>
      </c>
      <c r="K166" s="39" t="str">
        <f t="shared" si="16"/>
        <v/>
      </c>
      <c r="L166" s="39" t="str">
        <f t="shared" si="16"/>
        <v/>
      </c>
      <c r="M166" s="39" t="str">
        <f t="shared" si="16"/>
        <v/>
      </c>
      <c r="N166" s="39" t="str">
        <f t="shared" si="16"/>
        <v/>
      </c>
      <c r="O166" s="39" t="str">
        <f t="shared" si="16"/>
        <v/>
      </c>
      <c r="P166" s="39" t="str">
        <f t="shared" si="16"/>
        <v/>
      </c>
      <c r="Q166" s="39" t="str">
        <f t="shared" si="16"/>
        <v/>
      </c>
      <c r="R166" s="39" t="str">
        <f t="shared" si="16"/>
        <v/>
      </c>
      <c r="S166" s="39" t="str">
        <f t="shared" si="16"/>
        <v/>
      </c>
      <c r="T166" s="39" t="str">
        <f t="shared" si="16"/>
        <v/>
      </c>
      <c r="U166" s="39" t="str">
        <f t="shared" si="16"/>
        <v/>
      </c>
      <c r="V166" s="39" t="str">
        <f t="shared" si="16"/>
        <v/>
      </c>
    </row>
    <row r="167" spans="1:22" x14ac:dyDescent="0.3">
      <c r="A167" s="38"/>
      <c r="B167" s="39" t="str">
        <f>IF($A167="","",SUMIFS(weekly_demand!$D:$D,weekly_demand!$A:$A,B$1,weekly_demand!$C:$C,$A167))</f>
        <v/>
      </c>
      <c r="C167" s="39" t="str">
        <f>IF($A167="","",SUMIFS(weekly_demand!$D:$D,weekly_demand!$A:$A,C$1,weekly_demand!$C:$C,$A167))</f>
        <v/>
      </c>
      <c r="D167" s="39" t="str">
        <f>IF($A167="","",SUMIFS(weekly_demand!$D:$D,weekly_demand!$A:$A,D$1,weekly_demand!$C:$C,$A167))</f>
        <v/>
      </c>
      <c r="E167" s="39" t="str">
        <f>IF($A167="","",SUMIFS(weekly_demand!$D:$D,weekly_demand!$A:$A,E$1,weekly_demand!$C:$C,$A167))</f>
        <v/>
      </c>
      <c r="F167" s="39" t="str">
        <f>IF($A167="","",SUMIFS(weekly_demand!$D:$D,weekly_demand!$A:$A,F$1,weekly_demand!$C:$C,$A167))</f>
        <v/>
      </c>
      <c r="G167" s="39" t="str">
        <f>IF($A167="","",SUMIFS(weekly_demand!$D:$D,weekly_demand!$A:$A,G$1,weekly_demand!$C:$C,$A167))</f>
        <v/>
      </c>
      <c r="H167" s="39" t="str">
        <f t="shared" si="16"/>
        <v/>
      </c>
      <c r="I167" s="39" t="str">
        <f t="shared" si="16"/>
        <v/>
      </c>
      <c r="J167" s="39" t="str">
        <f t="shared" si="16"/>
        <v/>
      </c>
      <c r="K167" s="39" t="str">
        <f t="shared" si="16"/>
        <v/>
      </c>
      <c r="L167" s="39" t="str">
        <f t="shared" si="16"/>
        <v/>
      </c>
      <c r="M167" s="39" t="str">
        <f t="shared" si="16"/>
        <v/>
      </c>
      <c r="N167" s="39" t="str">
        <f t="shared" si="16"/>
        <v/>
      </c>
      <c r="O167" s="39" t="str">
        <f t="shared" si="16"/>
        <v/>
      </c>
      <c r="P167" s="39" t="str">
        <f t="shared" si="16"/>
        <v/>
      </c>
      <c r="Q167" s="39" t="str">
        <f t="shared" si="16"/>
        <v/>
      </c>
      <c r="R167" s="39" t="str">
        <f t="shared" si="16"/>
        <v/>
      </c>
      <c r="S167" s="39" t="str">
        <f t="shared" si="16"/>
        <v/>
      </c>
      <c r="T167" s="39" t="str">
        <f t="shared" si="16"/>
        <v/>
      </c>
      <c r="U167" s="39" t="str">
        <f t="shared" si="16"/>
        <v/>
      </c>
      <c r="V167" s="39" t="str">
        <f t="shared" si="16"/>
        <v/>
      </c>
    </row>
    <row r="168" spans="1:22" x14ac:dyDescent="0.3">
      <c r="A168" s="38"/>
      <c r="B168" s="39" t="str">
        <f>IF($A168="","",SUMIFS(weekly_demand!$D:$D,weekly_demand!$A:$A,B$1,weekly_demand!$C:$C,$A168))</f>
        <v/>
      </c>
      <c r="C168" s="39" t="str">
        <f>IF($A168="","",SUMIFS(weekly_demand!$D:$D,weekly_demand!$A:$A,C$1,weekly_demand!$C:$C,$A168))</f>
        <v/>
      </c>
      <c r="D168" s="39" t="str">
        <f>IF($A168="","",SUMIFS(weekly_demand!$D:$D,weekly_demand!$A:$A,D$1,weekly_demand!$C:$C,$A168))</f>
        <v/>
      </c>
      <c r="E168" s="39" t="str">
        <f>IF($A168="","",SUMIFS(weekly_demand!$D:$D,weekly_demand!$A:$A,E$1,weekly_demand!$C:$C,$A168))</f>
        <v/>
      </c>
      <c r="F168" s="39" t="str">
        <f>IF($A168="","",SUMIFS(weekly_demand!$D:$D,weekly_demand!$A:$A,F$1,weekly_demand!$C:$C,$A168))</f>
        <v/>
      </c>
      <c r="G168" s="39" t="str">
        <f>IF($A168="","",SUMIFS(weekly_demand!$D:$D,weekly_demand!$A:$A,G$1,weekly_demand!$C:$C,$A168))</f>
        <v/>
      </c>
      <c r="H168" s="39" t="str">
        <f t="shared" si="16"/>
        <v/>
      </c>
      <c r="I168" s="39" t="str">
        <f t="shared" si="16"/>
        <v/>
      </c>
      <c r="J168" s="39" t="str">
        <f t="shared" si="16"/>
        <v/>
      </c>
      <c r="K168" s="39" t="str">
        <f t="shared" si="16"/>
        <v/>
      </c>
      <c r="L168" s="39" t="str">
        <f t="shared" si="16"/>
        <v/>
      </c>
      <c r="M168" s="39" t="str">
        <f t="shared" si="16"/>
        <v/>
      </c>
      <c r="N168" s="39" t="str">
        <f t="shared" si="16"/>
        <v/>
      </c>
      <c r="O168" s="39" t="str">
        <f t="shared" si="16"/>
        <v/>
      </c>
      <c r="P168" s="39" t="str">
        <f t="shared" si="16"/>
        <v/>
      </c>
      <c r="Q168" s="39" t="str">
        <f t="shared" si="16"/>
        <v/>
      </c>
      <c r="R168" s="39" t="str">
        <f t="shared" si="16"/>
        <v/>
      </c>
      <c r="S168" s="39" t="str">
        <f t="shared" si="16"/>
        <v/>
      </c>
      <c r="T168" s="39" t="str">
        <f t="shared" si="16"/>
        <v/>
      </c>
      <c r="U168" s="39" t="str">
        <f t="shared" si="16"/>
        <v/>
      </c>
      <c r="V168" s="39" t="str">
        <f t="shared" si="16"/>
        <v/>
      </c>
    </row>
    <row r="169" spans="1:22" x14ac:dyDescent="0.3">
      <c r="A169" s="38"/>
      <c r="B169" s="39" t="str">
        <f>IF($A169="","",SUMIFS(weekly_demand!$D:$D,weekly_demand!$A:$A,B$1,weekly_demand!$C:$C,$A169))</f>
        <v/>
      </c>
      <c r="C169" s="39" t="str">
        <f>IF($A169="","",SUMIFS(weekly_demand!$D:$D,weekly_demand!$A:$A,C$1,weekly_demand!$C:$C,$A169))</f>
        <v/>
      </c>
      <c r="D169" s="39" t="str">
        <f>IF($A169="","",SUMIFS(weekly_demand!$D:$D,weekly_demand!$A:$A,D$1,weekly_demand!$C:$C,$A169))</f>
        <v/>
      </c>
      <c r="E169" s="39" t="str">
        <f>IF($A169="","",SUMIFS(weekly_demand!$D:$D,weekly_demand!$A:$A,E$1,weekly_demand!$C:$C,$A169))</f>
        <v/>
      </c>
      <c r="F169" s="39" t="str">
        <f>IF($A169="","",SUMIFS(weekly_demand!$D:$D,weekly_demand!$A:$A,F$1,weekly_demand!$C:$C,$A169))</f>
        <v/>
      </c>
      <c r="G169" s="39" t="str">
        <f>IF($A169="","",SUMIFS(weekly_demand!$D:$D,weekly_demand!$A:$A,G$1,weekly_demand!$C:$C,$A169))</f>
        <v/>
      </c>
      <c r="H169" s="39" t="str">
        <f t="shared" si="16"/>
        <v/>
      </c>
      <c r="I169" s="39" t="str">
        <f t="shared" si="16"/>
        <v/>
      </c>
      <c r="J169" s="39" t="str">
        <f t="shared" si="16"/>
        <v/>
      </c>
      <c r="K169" s="39" t="str">
        <f t="shared" si="16"/>
        <v/>
      </c>
      <c r="L169" s="39" t="str">
        <f t="shared" si="16"/>
        <v/>
      </c>
      <c r="M169" s="39" t="str">
        <f t="shared" si="16"/>
        <v/>
      </c>
      <c r="N169" s="39" t="str">
        <f t="shared" si="16"/>
        <v/>
      </c>
      <c r="O169" s="39" t="str">
        <f t="shared" si="16"/>
        <v/>
      </c>
      <c r="P169" s="39" t="str">
        <f t="shared" si="16"/>
        <v/>
      </c>
      <c r="Q169" s="39" t="str">
        <f t="shared" si="16"/>
        <v/>
      </c>
      <c r="R169" s="39" t="str">
        <f t="shared" si="16"/>
        <v/>
      </c>
      <c r="S169" s="39" t="str">
        <f t="shared" si="16"/>
        <v/>
      </c>
      <c r="T169" s="39" t="str">
        <f t="shared" si="16"/>
        <v/>
      </c>
      <c r="U169" s="39" t="str">
        <f t="shared" si="16"/>
        <v/>
      </c>
      <c r="V169" s="39" t="str">
        <f t="shared" si="16"/>
        <v/>
      </c>
    </row>
    <row r="170" spans="1:22" x14ac:dyDescent="0.3">
      <c r="A170" s="38"/>
      <c r="B170" s="39" t="str">
        <f>IF($A170="","",SUMIFS(weekly_demand!$D:$D,weekly_demand!$A:$A,B$1,weekly_demand!$C:$C,$A170))</f>
        <v/>
      </c>
      <c r="C170" s="39" t="str">
        <f>IF($A170="","",SUMIFS(weekly_demand!$D:$D,weekly_demand!$A:$A,C$1,weekly_demand!$C:$C,$A170))</f>
        <v/>
      </c>
      <c r="D170" s="39" t="str">
        <f>IF($A170="","",SUMIFS(weekly_demand!$D:$D,weekly_demand!$A:$A,D$1,weekly_demand!$C:$C,$A170))</f>
        <v/>
      </c>
      <c r="E170" s="39" t="str">
        <f>IF($A170="","",SUMIFS(weekly_demand!$D:$D,weekly_demand!$A:$A,E$1,weekly_demand!$C:$C,$A170))</f>
        <v/>
      </c>
      <c r="F170" s="39" t="str">
        <f>IF($A170="","",SUMIFS(weekly_demand!$D:$D,weekly_demand!$A:$A,F$1,weekly_demand!$C:$C,$A170))</f>
        <v/>
      </c>
      <c r="G170" s="39" t="str">
        <f>IF($A170="","",SUMIFS(weekly_demand!$D:$D,weekly_demand!$A:$A,G$1,weekly_demand!$C:$C,$A170))</f>
        <v/>
      </c>
      <c r="H170" s="39" t="str">
        <f t="shared" si="16"/>
        <v/>
      </c>
      <c r="I170" s="39" t="str">
        <f t="shared" si="16"/>
        <v/>
      </c>
      <c r="J170" s="39" t="str">
        <f t="shared" si="16"/>
        <v/>
      </c>
      <c r="K170" s="39" t="str">
        <f t="shared" si="16"/>
        <v/>
      </c>
      <c r="L170" s="39" t="str">
        <f t="shared" si="16"/>
        <v/>
      </c>
      <c r="M170" s="39" t="str">
        <f t="shared" si="16"/>
        <v/>
      </c>
      <c r="N170" s="39" t="str">
        <f t="shared" si="16"/>
        <v/>
      </c>
      <c r="O170" s="39" t="str">
        <f t="shared" si="16"/>
        <v/>
      </c>
      <c r="P170" s="39" t="str">
        <f t="shared" si="16"/>
        <v/>
      </c>
      <c r="Q170" s="39" t="str">
        <f t="shared" si="16"/>
        <v/>
      </c>
      <c r="R170" s="39" t="str">
        <f t="shared" si="16"/>
        <v/>
      </c>
      <c r="S170" s="39" t="str">
        <f t="shared" si="16"/>
        <v/>
      </c>
      <c r="T170" s="39" t="str">
        <f t="shared" si="16"/>
        <v/>
      </c>
      <c r="U170" s="39" t="str">
        <f t="shared" si="16"/>
        <v/>
      </c>
      <c r="V170" s="39" t="str">
        <f t="shared" si="16"/>
        <v/>
      </c>
    </row>
    <row r="171" spans="1:22" x14ac:dyDescent="0.3">
      <c r="A171" s="38"/>
      <c r="B171" s="39" t="str">
        <f>IF($A171="","",SUMIFS(weekly_demand!$D:$D,weekly_demand!$A:$A,B$1,weekly_demand!$C:$C,$A171))</f>
        <v/>
      </c>
      <c r="C171" s="39" t="str">
        <f>IF($A171="","",SUMIFS(weekly_demand!$D:$D,weekly_demand!$A:$A,C$1,weekly_demand!$C:$C,$A171))</f>
        <v/>
      </c>
      <c r="D171" s="39" t="str">
        <f>IF($A171="","",SUMIFS(weekly_demand!$D:$D,weekly_demand!$A:$A,D$1,weekly_demand!$C:$C,$A171))</f>
        <v/>
      </c>
      <c r="E171" s="39" t="str">
        <f>IF($A171="","",SUMIFS(weekly_demand!$D:$D,weekly_demand!$A:$A,E$1,weekly_demand!$C:$C,$A171))</f>
        <v/>
      </c>
      <c r="F171" s="39" t="str">
        <f>IF($A171="","",SUMIFS(weekly_demand!$D:$D,weekly_demand!$A:$A,F$1,weekly_demand!$C:$C,$A171))</f>
        <v/>
      </c>
      <c r="G171" s="39" t="str">
        <f>IF($A171="","",SUMIFS(weekly_demand!$D:$D,weekly_demand!$A:$A,G$1,weekly_demand!$C:$C,$A171))</f>
        <v/>
      </c>
      <c r="H171" s="39" t="str">
        <f t="shared" si="16"/>
        <v/>
      </c>
      <c r="I171" s="39" t="str">
        <f t="shared" si="16"/>
        <v/>
      </c>
      <c r="J171" s="39" t="str">
        <f t="shared" si="16"/>
        <v/>
      </c>
      <c r="K171" s="39" t="str">
        <f t="shared" si="16"/>
        <v/>
      </c>
      <c r="L171" s="39" t="str">
        <f t="shared" si="16"/>
        <v/>
      </c>
      <c r="M171" s="39" t="str">
        <f t="shared" si="16"/>
        <v/>
      </c>
      <c r="N171" s="39" t="str">
        <f t="shared" si="16"/>
        <v/>
      </c>
      <c r="O171" s="39" t="str">
        <f t="shared" si="16"/>
        <v/>
      </c>
      <c r="P171" s="39" t="str">
        <f t="shared" si="16"/>
        <v/>
      </c>
      <c r="Q171" s="39" t="str">
        <f t="shared" si="16"/>
        <v/>
      </c>
      <c r="R171" s="39" t="str">
        <f t="shared" si="16"/>
        <v/>
      </c>
      <c r="S171" s="39" t="str">
        <f t="shared" si="16"/>
        <v/>
      </c>
      <c r="T171" s="39" t="str">
        <f t="shared" si="16"/>
        <v/>
      </c>
      <c r="U171" s="39" t="str">
        <f t="shared" si="16"/>
        <v/>
      </c>
      <c r="V171" s="39" t="str">
        <f t="shared" si="16"/>
        <v/>
      </c>
    </row>
    <row r="172" spans="1:22" x14ac:dyDescent="0.3">
      <c r="A172" s="38"/>
      <c r="B172" s="39" t="str">
        <f>IF($A172="","",SUMIFS(weekly_demand!$D:$D,weekly_demand!$A:$A,B$1,weekly_demand!$C:$C,$A172))</f>
        <v/>
      </c>
      <c r="C172" s="39" t="str">
        <f>IF($A172="","",SUMIFS(weekly_demand!$D:$D,weekly_demand!$A:$A,C$1,weekly_demand!$C:$C,$A172))</f>
        <v/>
      </c>
      <c r="D172" s="39" t="str">
        <f>IF($A172="","",SUMIFS(weekly_demand!$D:$D,weekly_demand!$A:$A,D$1,weekly_demand!$C:$C,$A172))</f>
        <v/>
      </c>
      <c r="E172" s="39" t="str">
        <f>IF($A172="","",SUMIFS(weekly_demand!$D:$D,weekly_demand!$A:$A,E$1,weekly_demand!$C:$C,$A172))</f>
        <v/>
      </c>
      <c r="F172" s="39" t="str">
        <f>IF($A172="","",SUMIFS(weekly_demand!$D:$D,weekly_demand!$A:$A,F$1,weekly_demand!$C:$C,$A172))</f>
        <v/>
      </c>
      <c r="G172" s="39" t="str">
        <f>IF($A172="","",SUMIFS(weekly_demand!$D:$D,weekly_demand!$A:$A,G$1,weekly_demand!$C:$C,$A172))</f>
        <v/>
      </c>
      <c r="H172" s="39" t="str">
        <f t="shared" ref="H172:V181" si="17">IF($A172="","",SUMPRODUCT($B172:$G172,INDEX($Y$2:$AD$16,MATCH(H$1,$X$2:$X$16,0),0)))</f>
        <v/>
      </c>
      <c r="I172" s="39" t="str">
        <f t="shared" si="17"/>
        <v/>
      </c>
      <c r="J172" s="39" t="str">
        <f t="shared" si="17"/>
        <v/>
      </c>
      <c r="K172" s="39" t="str">
        <f t="shared" si="17"/>
        <v/>
      </c>
      <c r="L172" s="39" t="str">
        <f t="shared" si="17"/>
        <v/>
      </c>
      <c r="M172" s="39" t="str">
        <f t="shared" si="17"/>
        <v/>
      </c>
      <c r="N172" s="39" t="str">
        <f t="shared" si="17"/>
        <v/>
      </c>
      <c r="O172" s="39" t="str">
        <f t="shared" si="17"/>
        <v/>
      </c>
      <c r="P172" s="39" t="str">
        <f t="shared" si="17"/>
        <v/>
      </c>
      <c r="Q172" s="39" t="str">
        <f t="shared" si="17"/>
        <v/>
      </c>
      <c r="R172" s="39" t="str">
        <f t="shared" si="17"/>
        <v/>
      </c>
      <c r="S172" s="39" t="str">
        <f t="shared" si="17"/>
        <v/>
      </c>
      <c r="T172" s="39" t="str">
        <f t="shared" si="17"/>
        <v/>
      </c>
      <c r="U172" s="39" t="str">
        <f t="shared" si="17"/>
        <v/>
      </c>
      <c r="V172" s="39" t="str">
        <f t="shared" si="17"/>
        <v/>
      </c>
    </row>
    <row r="173" spans="1:22" x14ac:dyDescent="0.3">
      <c r="A173" s="38"/>
      <c r="B173" s="39" t="str">
        <f>IF($A173="","",SUMIFS(weekly_demand!$D:$D,weekly_demand!$A:$A,B$1,weekly_demand!$C:$C,$A173))</f>
        <v/>
      </c>
      <c r="C173" s="39" t="str">
        <f>IF($A173="","",SUMIFS(weekly_demand!$D:$D,weekly_demand!$A:$A,C$1,weekly_demand!$C:$C,$A173))</f>
        <v/>
      </c>
      <c r="D173" s="39" t="str">
        <f>IF($A173="","",SUMIFS(weekly_demand!$D:$D,weekly_demand!$A:$A,D$1,weekly_demand!$C:$C,$A173))</f>
        <v/>
      </c>
      <c r="E173" s="39" t="str">
        <f>IF($A173="","",SUMIFS(weekly_demand!$D:$D,weekly_demand!$A:$A,E$1,weekly_demand!$C:$C,$A173))</f>
        <v/>
      </c>
      <c r="F173" s="39" t="str">
        <f>IF($A173="","",SUMIFS(weekly_demand!$D:$D,weekly_demand!$A:$A,F$1,weekly_demand!$C:$C,$A173))</f>
        <v/>
      </c>
      <c r="G173" s="39" t="str">
        <f>IF($A173="","",SUMIFS(weekly_demand!$D:$D,weekly_demand!$A:$A,G$1,weekly_demand!$C:$C,$A173))</f>
        <v/>
      </c>
      <c r="H173" s="39" t="str">
        <f t="shared" si="17"/>
        <v/>
      </c>
      <c r="I173" s="39" t="str">
        <f t="shared" si="17"/>
        <v/>
      </c>
      <c r="J173" s="39" t="str">
        <f t="shared" si="17"/>
        <v/>
      </c>
      <c r="K173" s="39" t="str">
        <f t="shared" si="17"/>
        <v/>
      </c>
      <c r="L173" s="39" t="str">
        <f t="shared" si="17"/>
        <v/>
      </c>
      <c r="M173" s="39" t="str">
        <f t="shared" si="17"/>
        <v/>
      </c>
      <c r="N173" s="39" t="str">
        <f t="shared" si="17"/>
        <v/>
      </c>
      <c r="O173" s="39" t="str">
        <f t="shared" si="17"/>
        <v/>
      </c>
      <c r="P173" s="39" t="str">
        <f t="shared" si="17"/>
        <v/>
      </c>
      <c r="Q173" s="39" t="str">
        <f t="shared" si="17"/>
        <v/>
      </c>
      <c r="R173" s="39" t="str">
        <f t="shared" si="17"/>
        <v/>
      </c>
      <c r="S173" s="39" t="str">
        <f t="shared" si="17"/>
        <v/>
      </c>
      <c r="T173" s="39" t="str">
        <f t="shared" si="17"/>
        <v/>
      </c>
      <c r="U173" s="39" t="str">
        <f t="shared" si="17"/>
        <v/>
      </c>
      <c r="V173" s="39" t="str">
        <f t="shared" si="17"/>
        <v/>
      </c>
    </row>
    <row r="174" spans="1:22" x14ac:dyDescent="0.3">
      <c r="A174" s="38"/>
      <c r="B174" s="39" t="str">
        <f>IF($A174="","",SUMIFS(weekly_demand!$D:$D,weekly_demand!$A:$A,B$1,weekly_demand!$C:$C,$A174))</f>
        <v/>
      </c>
      <c r="C174" s="39" t="str">
        <f>IF($A174="","",SUMIFS(weekly_demand!$D:$D,weekly_demand!$A:$A,C$1,weekly_demand!$C:$C,$A174))</f>
        <v/>
      </c>
      <c r="D174" s="39" t="str">
        <f>IF($A174="","",SUMIFS(weekly_demand!$D:$D,weekly_demand!$A:$A,D$1,weekly_demand!$C:$C,$A174))</f>
        <v/>
      </c>
      <c r="E174" s="39" t="str">
        <f>IF($A174="","",SUMIFS(weekly_demand!$D:$D,weekly_demand!$A:$A,E$1,weekly_demand!$C:$C,$A174))</f>
        <v/>
      </c>
      <c r="F174" s="39" t="str">
        <f>IF($A174="","",SUMIFS(weekly_demand!$D:$D,weekly_demand!$A:$A,F$1,weekly_demand!$C:$C,$A174))</f>
        <v/>
      </c>
      <c r="G174" s="39" t="str">
        <f>IF($A174="","",SUMIFS(weekly_demand!$D:$D,weekly_demand!$A:$A,G$1,weekly_demand!$C:$C,$A174))</f>
        <v/>
      </c>
      <c r="H174" s="39" t="str">
        <f t="shared" si="17"/>
        <v/>
      </c>
      <c r="I174" s="39" t="str">
        <f t="shared" si="17"/>
        <v/>
      </c>
      <c r="J174" s="39" t="str">
        <f t="shared" si="17"/>
        <v/>
      </c>
      <c r="K174" s="39" t="str">
        <f t="shared" si="17"/>
        <v/>
      </c>
      <c r="L174" s="39" t="str">
        <f t="shared" si="17"/>
        <v/>
      </c>
      <c r="M174" s="39" t="str">
        <f t="shared" si="17"/>
        <v/>
      </c>
      <c r="N174" s="39" t="str">
        <f t="shared" si="17"/>
        <v/>
      </c>
      <c r="O174" s="39" t="str">
        <f t="shared" si="17"/>
        <v/>
      </c>
      <c r="P174" s="39" t="str">
        <f t="shared" si="17"/>
        <v/>
      </c>
      <c r="Q174" s="39" t="str">
        <f t="shared" si="17"/>
        <v/>
      </c>
      <c r="R174" s="39" t="str">
        <f t="shared" si="17"/>
        <v/>
      </c>
      <c r="S174" s="39" t="str">
        <f t="shared" si="17"/>
        <v/>
      </c>
      <c r="T174" s="39" t="str">
        <f t="shared" si="17"/>
        <v/>
      </c>
      <c r="U174" s="39" t="str">
        <f t="shared" si="17"/>
        <v/>
      </c>
      <c r="V174" s="39" t="str">
        <f t="shared" si="17"/>
        <v/>
      </c>
    </row>
    <row r="175" spans="1:22" x14ac:dyDescent="0.3">
      <c r="A175" s="38"/>
      <c r="B175" s="39" t="str">
        <f>IF($A175="","",SUMIFS(weekly_demand!$D:$D,weekly_demand!$A:$A,B$1,weekly_demand!$C:$C,$A175))</f>
        <v/>
      </c>
      <c r="C175" s="39" t="str">
        <f>IF($A175="","",SUMIFS(weekly_demand!$D:$D,weekly_demand!$A:$A,C$1,weekly_demand!$C:$C,$A175))</f>
        <v/>
      </c>
      <c r="D175" s="39" t="str">
        <f>IF($A175="","",SUMIFS(weekly_demand!$D:$D,weekly_demand!$A:$A,D$1,weekly_demand!$C:$C,$A175))</f>
        <v/>
      </c>
      <c r="E175" s="39" t="str">
        <f>IF($A175="","",SUMIFS(weekly_demand!$D:$D,weekly_demand!$A:$A,E$1,weekly_demand!$C:$C,$A175))</f>
        <v/>
      </c>
      <c r="F175" s="39" t="str">
        <f>IF($A175="","",SUMIFS(weekly_demand!$D:$D,weekly_demand!$A:$A,F$1,weekly_demand!$C:$C,$A175))</f>
        <v/>
      </c>
      <c r="G175" s="39" t="str">
        <f>IF($A175="","",SUMIFS(weekly_demand!$D:$D,weekly_demand!$A:$A,G$1,weekly_demand!$C:$C,$A175))</f>
        <v/>
      </c>
      <c r="H175" s="39" t="str">
        <f t="shared" si="17"/>
        <v/>
      </c>
      <c r="I175" s="39" t="str">
        <f t="shared" si="17"/>
        <v/>
      </c>
      <c r="J175" s="39" t="str">
        <f t="shared" si="17"/>
        <v/>
      </c>
      <c r="K175" s="39" t="str">
        <f t="shared" si="17"/>
        <v/>
      </c>
      <c r="L175" s="39" t="str">
        <f t="shared" si="17"/>
        <v/>
      </c>
      <c r="M175" s="39" t="str">
        <f t="shared" si="17"/>
        <v/>
      </c>
      <c r="N175" s="39" t="str">
        <f t="shared" si="17"/>
        <v/>
      </c>
      <c r="O175" s="39" t="str">
        <f t="shared" si="17"/>
        <v/>
      </c>
      <c r="P175" s="39" t="str">
        <f t="shared" si="17"/>
        <v/>
      </c>
      <c r="Q175" s="39" t="str">
        <f t="shared" si="17"/>
        <v/>
      </c>
      <c r="R175" s="39" t="str">
        <f t="shared" si="17"/>
        <v/>
      </c>
      <c r="S175" s="39" t="str">
        <f t="shared" si="17"/>
        <v/>
      </c>
      <c r="T175" s="39" t="str">
        <f t="shared" si="17"/>
        <v/>
      </c>
      <c r="U175" s="39" t="str">
        <f t="shared" si="17"/>
        <v/>
      </c>
      <c r="V175" s="39" t="str">
        <f t="shared" si="17"/>
        <v/>
      </c>
    </row>
    <row r="176" spans="1:22" x14ac:dyDescent="0.3">
      <c r="A176" s="38"/>
      <c r="B176" s="39" t="str">
        <f>IF($A176="","",SUMIFS(weekly_demand!$D:$D,weekly_demand!$A:$A,B$1,weekly_demand!$C:$C,$A176))</f>
        <v/>
      </c>
      <c r="C176" s="39" t="str">
        <f>IF($A176="","",SUMIFS(weekly_demand!$D:$D,weekly_demand!$A:$A,C$1,weekly_demand!$C:$C,$A176))</f>
        <v/>
      </c>
      <c r="D176" s="39" t="str">
        <f>IF($A176="","",SUMIFS(weekly_demand!$D:$D,weekly_demand!$A:$A,D$1,weekly_demand!$C:$C,$A176))</f>
        <v/>
      </c>
      <c r="E176" s="39" t="str">
        <f>IF($A176="","",SUMIFS(weekly_demand!$D:$D,weekly_demand!$A:$A,E$1,weekly_demand!$C:$C,$A176))</f>
        <v/>
      </c>
      <c r="F176" s="39" t="str">
        <f>IF($A176="","",SUMIFS(weekly_demand!$D:$D,weekly_demand!$A:$A,F$1,weekly_demand!$C:$C,$A176))</f>
        <v/>
      </c>
      <c r="G176" s="39" t="str">
        <f>IF($A176="","",SUMIFS(weekly_demand!$D:$D,weekly_demand!$A:$A,G$1,weekly_demand!$C:$C,$A176))</f>
        <v/>
      </c>
      <c r="H176" s="39" t="str">
        <f t="shared" si="17"/>
        <v/>
      </c>
      <c r="I176" s="39" t="str">
        <f t="shared" si="17"/>
        <v/>
      </c>
      <c r="J176" s="39" t="str">
        <f t="shared" si="17"/>
        <v/>
      </c>
      <c r="K176" s="39" t="str">
        <f t="shared" si="17"/>
        <v/>
      </c>
      <c r="L176" s="39" t="str">
        <f t="shared" si="17"/>
        <v/>
      </c>
      <c r="M176" s="39" t="str">
        <f t="shared" si="17"/>
        <v/>
      </c>
      <c r="N176" s="39" t="str">
        <f t="shared" si="17"/>
        <v/>
      </c>
      <c r="O176" s="39" t="str">
        <f t="shared" si="17"/>
        <v/>
      </c>
      <c r="P176" s="39" t="str">
        <f t="shared" si="17"/>
        <v/>
      </c>
      <c r="Q176" s="39" t="str">
        <f t="shared" si="17"/>
        <v/>
      </c>
      <c r="R176" s="39" t="str">
        <f t="shared" si="17"/>
        <v/>
      </c>
      <c r="S176" s="39" t="str">
        <f t="shared" si="17"/>
        <v/>
      </c>
      <c r="T176" s="39" t="str">
        <f t="shared" si="17"/>
        <v/>
      </c>
      <c r="U176" s="39" t="str">
        <f t="shared" si="17"/>
        <v/>
      </c>
      <c r="V176" s="39" t="str">
        <f t="shared" si="17"/>
        <v/>
      </c>
    </row>
    <row r="177" spans="1:22" x14ac:dyDescent="0.3">
      <c r="A177" s="38"/>
      <c r="B177" s="39" t="str">
        <f>IF($A177="","",SUMIFS(weekly_demand!$D:$D,weekly_demand!$A:$A,B$1,weekly_demand!$C:$C,$A177))</f>
        <v/>
      </c>
      <c r="C177" s="39" t="str">
        <f>IF($A177="","",SUMIFS(weekly_demand!$D:$D,weekly_demand!$A:$A,C$1,weekly_demand!$C:$C,$A177))</f>
        <v/>
      </c>
      <c r="D177" s="39" t="str">
        <f>IF($A177="","",SUMIFS(weekly_demand!$D:$D,weekly_demand!$A:$A,D$1,weekly_demand!$C:$C,$A177))</f>
        <v/>
      </c>
      <c r="E177" s="39" t="str">
        <f>IF($A177="","",SUMIFS(weekly_demand!$D:$D,weekly_demand!$A:$A,E$1,weekly_demand!$C:$C,$A177))</f>
        <v/>
      </c>
      <c r="F177" s="39" t="str">
        <f>IF($A177="","",SUMIFS(weekly_demand!$D:$D,weekly_demand!$A:$A,F$1,weekly_demand!$C:$C,$A177))</f>
        <v/>
      </c>
      <c r="G177" s="39" t="str">
        <f>IF($A177="","",SUMIFS(weekly_demand!$D:$D,weekly_demand!$A:$A,G$1,weekly_demand!$C:$C,$A177))</f>
        <v/>
      </c>
      <c r="H177" s="39" t="str">
        <f t="shared" si="17"/>
        <v/>
      </c>
      <c r="I177" s="39" t="str">
        <f t="shared" si="17"/>
        <v/>
      </c>
      <c r="J177" s="39" t="str">
        <f t="shared" si="17"/>
        <v/>
      </c>
      <c r="K177" s="39" t="str">
        <f t="shared" si="17"/>
        <v/>
      </c>
      <c r="L177" s="39" t="str">
        <f t="shared" si="17"/>
        <v/>
      </c>
      <c r="M177" s="39" t="str">
        <f t="shared" si="17"/>
        <v/>
      </c>
      <c r="N177" s="39" t="str">
        <f t="shared" si="17"/>
        <v/>
      </c>
      <c r="O177" s="39" t="str">
        <f t="shared" si="17"/>
        <v/>
      </c>
      <c r="P177" s="39" t="str">
        <f t="shared" si="17"/>
        <v/>
      </c>
      <c r="Q177" s="39" t="str">
        <f t="shared" si="17"/>
        <v/>
      </c>
      <c r="R177" s="39" t="str">
        <f t="shared" si="17"/>
        <v/>
      </c>
      <c r="S177" s="39" t="str">
        <f t="shared" si="17"/>
        <v/>
      </c>
      <c r="T177" s="39" t="str">
        <f t="shared" si="17"/>
        <v/>
      </c>
      <c r="U177" s="39" t="str">
        <f t="shared" si="17"/>
        <v/>
      </c>
      <c r="V177" s="39" t="str">
        <f t="shared" si="17"/>
        <v/>
      </c>
    </row>
    <row r="178" spans="1:22" x14ac:dyDescent="0.3">
      <c r="A178" s="38"/>
      <c r="B178" s="39" t="str">
        <f>IF($A178="","",SUMIFS(weekly_demand!$D:$D,weekly_demand!$A:$A,B$1,weekly_demand!$C:$C,$A178))</f>
        <v/>
      </c>
      <c r="C178" s="39" t="str">
        <f>IF($A178="","",SUMIFS(weekly_demand!$D:$D,weekly_demand!$A:$A,C$1,weekly_demand!$C:$C,$A178))</f>
        <v/>
      </c>
      <c r="D178" s="39" t="str">
        <f>IF($A178="","",SUMIFS(weekly_demand!$D:$D,weekly_demand!$A:$A,D$1,weekly_demand!$C:$C,$A178))</f>
        <v/>
      </c>
      <c r="E178" s="39" t="str">
        <f>IF($A178="","",SUMIFS(weekly_demand!$D:$D,weekly_demand!$A:$A,E$1,weekly_demand!$C:$C,$A178))</f>
        <v/>
      </c>
      <c r="F178" s="39" t="str">
        <f>IF($A178="","",SUMIFS(weekly_demand!$D:$D,weekly_demand!$A:$A,F$1,weekly_demand!$C:$C,$A178))</f>
        <v/>
      </c>
      <c r="G178" s="39" t="str">
        <f>IF($A178="","",SUMIFS(weekly_demand!$D:$D,weekly_demand!$A:$A,G$1,weekly_demand!$C:$C,$A178))</f>
        <v/>
      </c>
      <c r="H178" s="39" t="str">
        <f t="shared" si="17"/>
        <v/>
      </c>
      <c r="I178" s="39" t="str">
        <f t="shared" si="17"/>
        <v/>
      </c>
      <c r="J178" s="39" t="str">
        <f t="shared" si="17"/>
        <v/>
      </c>
      <c r="K178" s="39" t="str">
        <f t="shared" si="17"/>
        <v/>
      </c>
      <c r="L178" s="39" t="str">
        <f t="shared" si="17"/>
        <v/>
      </c>
      <c r="M178" s="39" t="str">
        <f t="shared" si="17"/>
        <v/>
      </c>
      <c r="N178" s="39" t="str">
        <f t="shared" si="17"/>
        <v/>
      </c>
      <c r="O178" s="39" t="str">
        <f t="shared" si="17"/>
        <v/>
      </c>
      <c r="P178" s="39" t="str">
        <f t="shared" si="17"/>
        <v/>
      </c>
      <c r="Q178" s="39" t="str">
        <f t="shared" si="17"/>
        <v/>
      </c>
      <c r="R178" s="39" t="str">
        <f t="shared" si="17"/>
        <v/>
      </c>
      <c r="S178" s="39" t="str">
        <f t="shared" si="17"/>
        <v/>
      </c>
      <c r="T178" s="39" t="str">
        <f t="shared" si="17"/>
        <v/>
      </c>
      <c r="U178" s="39" t="str">
        <f t="shared" si="17"/>
        <v/>
      </c>
      <c r="V178" s="39" t="str">
        <f t="shared" si="17"/>
        <v/>
      </c>
    </row>
    <row r="179" spans="1:22" x14ac:dyDescent="0.3">
      <c r="A179" s="38"/>
      <c r="B179" s="39" t="str">
        <f>IF($A179="","",SUMIFS(weekly_demand!$D:$D,weekly_demand!$A:$A,B$1,weekly_demand!$C:$C,$A179))</f>
        <v/>
      </c>
      <c r="C179" s="39" t="str">
        <f>IF($A179="","",SUMIFS(weekly_demand!$D:$D,weekly_demand!$A:$A,C$1,weekly_demand!$C:$C,$A179))</f>
        <v/>
      </c>
      <c r="D179" s="39" t="str">
        <f>IF($A179="","",SUMIFS(weekly_demand!$D:$D,weekly_demand!$A:$A,D$1,weekly_demand!$C:$C,$A179))</f>
        <v/>
      </c>
      <c r="E179" s="39" t="str">
        <f>IF($A179="","",SUMIFS(weekly_demand!$D:$D,weekly_demand!$A:$A,E$1,weekly_demand!$C:$C,$A179))</f>
        <v/>
      </c>
      <c r="F179" s="39" t="str">
        <f>IF($A179="","",SUMIFS(weekly_demand!$D:$D,weekly_demand!$A:$A,F$1,weekly_demand!$C:$C,$A179))</f>
        <v/>
      </c>
      <c r="G179" s="39" t="str">
        <f>IF($A179="","",SUMIFS(weekly_demand!$D:$D,weekly_demand!$A:$A,G$1,weekly_demand!$C:$C,$A179))</f>
        <v/>
      </c>
      <c r="H179" s="39" t="str">
        <f t="shared" si="17"/>
        <v/>
      </c>
      <c r="I179" s="39" t="str">
        <f t="shared" si="17"/>
        <v/>
      </c>
      <c r="J179" s="39" t="str">
        <f t="shared" si="17"/>
        <v/>
      </c>
      <c r="K179" s="39" t="str">
        <f t="shared" si="17"/>
        <v/>
      </c>
      <c r="L179" s="39" t="str">
        <f t="shared" si="17"/>
        <v/>
      </c>
      <c r="M179" s="39" t="str">
        <f t="shared" si="17"/>
        <v/>
      </c>
      <c r="N179" s="39" t="str">
        <f t="shared" si="17"/>
        <v/>
      </c>
      <c r="O179" s="39" t="str">
        <f t="shared" si="17"/>
        <v/>
      </c>
      <c r="P179" s="39" t="str">
        <f t="shared" si="17"/>
        <v/>
      </c>
      <c r="Q179" s="39" t="str">
        <f t="shared" si="17"/>
        <v/>
      </c>
      <c r="R179" s="39" t="str">
        <f t="shared" si="17"/>
        <v/>
      </c>
      <c r="S179" s="39" t="str">
        <f t="shared" si="17"/>
        <v/>
      </c>
      <c r="T179" s="39" t="str">
        <f t="shared" si="17"/>
        <v/>
      </c>
      <c r="U179" s="39" t="str">
        <f t="shared" si="17"/>
        <v/>
      </c>
      <c r="V179" s="39" t="str">
        <f t="shared" si="17"/>
        <v/>
      </c>
    </row>
    <row r="180" spans="1:22" x14ac:dyDescent="0.3">
      <c r="A180" s="38"/>
      <c r="B180" s="39" t="str">
        <f>IF($A180="","",SUMIFS(weekly_demand!$D:$D,weekly_demand!$A:$A,B$1,weekly_demand!$C:$C,$A180))</f>
        <v/>
      </c>
      <c r="C180" s="39" t="str">
        <f>IF($A180="","",SUMIFS(weekly_demand!$D:$D,weekly_demand!$A:$A,C$1,weekly_demand!$C:$C,$A180))</f>
        <v/>
      </c>
      <c r="D180" s="39" t="str">
        <f>IF($A180="","",SUMIFS(weekly_demand!$D:$D,weekly_demand!$A:$A,D$1,weekly_demand!$C:$C,$A180))</f>
        <v/>
      </c>
      <c r="E180" s="39" t="str">
        <f>IF($A180="","",SUMIFS(weekly_demand!$D:$D,weekly_demand!$A:$A,E$1,weekly_demand!$C:$C,$A180))</f>
        <v/>
      </c>
      <c r="F180" s="39" t="str">
        <f>IF($A180="","",SUMIFS(weekly_demand!$D:$D,weekly_demand!$A:$A,F$1,weekly_demand!$C:$C,$A180))</f>
        <v/>
      </c>
      <c r="G180" s="39" t="str">
        <f>IF($A180="","",SUMIFS(weekly_demand!$D:$D,weekly_demand!$A:$A,G$1,weekly_demand!$C:$C,$A180))</f>
        <v/>
      </c>
      <c r="H180" s="39" t="str">
        <f t="shared" si="17"/>
        <v/>
      </c>
      <c r="I180" s="39" t="str">
        <f t="shared" si="17"/>
        <v/>
      </c>
      <c r="J180" s="39" t="str">
        <f t="shared" si="17"/>
        <v/>
      </c>
      <c r="K180" s="39" t="str">
        <f t="shared" si="17"/>
        <v/>
      </c>
      <c r="L180" s="39" t="str">
        <f t="shared" si="17"/>
        <v/>
      </c>
      <c r="M180" s="39" t="str">
        <f t="shared" si="17"/>
        <v/>
      </c>
      <c r="N180" s="39" t="str">
        <f t="shared" si="17"/>
        <v/>
      </c>
      <c r="O180" s="39" t="str">
        <f t="shared" si="17"/>
        <v/>
      </c>
      <c r="P180" s="39" t="str">
        <f t="shared" si="17"/>
        <v/>
      </c>
      <c r="Q180" s="39" t="str">
        <f t="shared" si="17"/>
        <v/>
      </c>
      <c r="R180" s="39" t="str">
        <f t="shared" si="17"/>
        <v/>
      </c>
      <c r="S180" s="39" t="str">
        <f t="shared" si="17"/>
        <v/>
      </c>
      <c r="T180" s="39" t="str">
        <f t="shared" si="17"/>
        <v/>
      </c>
      <c r="U180" s="39" t="str">
        <f t="shared" si="17"/>
        <v/>
      </c>
      <c r="V180" s="39" t="str">
        <f t="shared" si="17"/>
        <v/>
      </c>
    </row>
    <row r="181" spans="1:22" x14ac:dyDescent="0.3">
      <c r="A181" s="38"/>
      <c r="B181" s="39" t="str">
        <f>IF($A181="","",SUMIFS(weekly_demand!$D:$D,weekly_demand!$A:$A,B$1,weekly_demand!$C:$C,$A181))</f>
        <v/>
      </c>
      <c r="C181" s="39" t="str">
        <f>IF($A181="","",SUMIFS(weekly_demand!$D:$D,weekly_demand!$A:$A,C$1,weekly_demand!$C:$C,$A181))</f>
        <v/>
      </c>
      <c r="D181" s="39" t="str">
        <f>IF($A181="","",SUMIFS(weekly_demand!$D:$D,weekly_demand!$A:$A,D$1,weekly_demand!$C:$C,$A181))</f>
        <v/>
      </c>
      <c r="E181" s="39" t="str">
        <f>IF($A181="","",SUMIFS(weekly_demand!$D:$D,weekly_demand!$A:$A,E$1,weekly_demand!$C:$C,$A181))</f>
        <v/>
      </c>
      <c r="F181" s="39" t="str">
        <f>IF($A181="","",SUMIFS(weekly_demand!$D:$D,weekly_demand!$A:$A,F$1,weekly_demand!$C:$C,$A181))</f>
        <v/>
      </c>
      <c r="G181" s="39" t="str">
        <f>IF($A181="","",SUMIFS(weekly_demand!$D:$D,weekly_demand!$A:$A,G$1,weekly_demand!$C:$C,$A181))</f>
        <v/>
      </c>
      <c r="H181" s="39" t="str">
        <f t="shared" si="17"/>
        <v/>
      </c>
      <c r="I181" s="39" t="str">
        <f t="shared" si="17"/>
        <v/>
      </c>
      <c r="J181" s="39" t="str">
        <f t="shared" si="17"/>
        <v/>
      </c>
      <c r="K181" s="39" t="str">
        <f t="shared" si="17"/>
        <v/>
      </c>
      <c r="L181" s="39" t="str">
        <f t="shared" si="17"/>
        <v/>
      </c>
      <c r="M181" s="39" t="str">
        <f t="shared" si="17"/>
        <v/>
      </c>
      <c r="N181" s="39" t="str">
        <f t="shared" si="17"/>
        <v/>
      </c>
      <c r="O181" s="39" t="str">
        <f t="shared" si="17"/>
        <v/>
      </c>
      <c r="P181" s="39" t="str">
        <f t="shared" si="17"/>
        <v/>
      </c>
      <c r="Q181" s="39" t="str">
        <f t="shared" si="17"/>
        <v/>
      </c>
      <c r="R181" s="39" t="str">
        <f t="shared" si="17"/>
        <v/>
      </c>
      <c r="S181" s="39" t="str">
        <f t="shared" si="17"/>
        <v/>
      </c>
      <c r="T181" s="39" t="str">
        <f t="shared" si="17"/>
        <v/>
      </c>
      <c r="U181" s="39" t="str">
        <f t="shared" si="17"/>
        <v/>
      </c>
      <c r="V181" s="39" t="str">
        <f t="shared" si="17"/>
        <v/>
      </c>
    </row>
    <row r="182" spans="1:22" x14ac:dyDescent="0.3">
      <c r="A182" s="38"/>
      <c r="B182" s="39" t="str">
        <f>IF($A182="","",SUMIFS(weekly_demand!$D:$D,weekly_demand!$A:$A,B$1,weekly_demand!$C:$C,$A182))</f>
        <v/>
      </c>
      <c r="C182" s="39" t="str">
        <f>IF($A182="","",SUMIFS(weekly_demand!$D:$D,weekly_demand!$A:$A,C$1,weekly_demand!$C:$C,$A182))</f>
        <v/>
      </c>
      <c r="D182" s="39" t="str">
        <f>IF($A182="","",SUMIFS(weekly_demand!$D:$D,weekly_demand!$A:$A,D$1,weekly_demand!$C:$C,$A182))</f>
        <v/>
      </c>
      <c r="E182" s="39" t="str">
        <f>IF($A182="","",SUMIFS(weekly_demand!$D:$D,weekly_demand!$A:$A,E$1,weekly_demand!$C:$C,$A182))</f>
        <v/>
      </c>
      <c r="F182" s="39" t="str">
        <f>IF($A182="","",SUMIFS(weekly_demand!$D:$D,weekly_demand!$A:$A,F$1,weekly_demand!$C:$C,$A182))</f>
        <v/>
      </c>
      <c r="G182" s="39" t="str">
        <f>IF($A182="","",SUMIFS(weekly_demand!$D:$D,weekly_demand!$A:$A,G$1,weekly_demand!$C:$C,$A182))</f>
        <v/>
      </c>
      <c r="H182" s="39" t="str">
        <f t="shared" ref="H182:V191" si="18">IF($A182="","",SUMPRODUCT($B182:$G182,INDEX($Y$2:$AD$16,MATCH(H$1,$X$2:$X$16,0),0)))</f>
        <v/>
      </c>
      <c r="I182" s="39" t="str">
        <f t="shared" si="18"/>
        <v/>
      </c>
      <c r="J182" s="39" t="str">
        <f t="shared" si="18"/>
        <v/>
      </c>
      <c r="K182" s="39" t="str">
        <f t="shared" si="18"/>
        <v/>
      </c>
      <c r="L182" s="39" t="str">
        <f t="shared" si="18"/>
        <v/>
      </c>
      <c r="M182" s="39" t="str">
        <f t="shared" si="18"/>
        <v/>
      </c>
      <c r="N182" s="39" t="str">
        <f t="shared" si="18"/>
        <v/>
      </c>
      <c r="O182" s="39" t="str">
        <f t="shared" si="18"/>
        <v/>
      </c>
      <c r="P182" s="39" t="str">
        <f t="shared" si="18"/>
        <v/>
      </c>
      <c r="Q182" s="39" t="str">
        <f t="shared" si="18"/>
        <v/>
      </c>
      <c r="R182" s="39" t="str">
        <f t="shared" si="18"/>
        <v/>
      </c>
      <c r="S182" s="39" t="str">
        <f t="shared" si="18"/>
        <v/>
      </c>
      <c r="T182" s="39" t="str">
        <f t="shared" si="18"/>
        <v/>
      </c>
      <c r="U182" s="39" t="str">
        <f t="shared" si="18"/>
        <v/>
      </c>
      <c r="V182" s="39" t="str">
        <f t="shared" si="18"/>
        <v/>
      </c>
    </row>
    <row r="183" spans="1:22" x14ac:dyDescent="0.3">
      <c r="A183" s="38"/>
      <c r="B183" s="39" t="str">
        <f>IF($A183="","",SUMIFS(weekly_demand!$D:$D,weekly_demand!$A:$A,B$1,weekly_demand!$C:$C,$A183))</f>
        <v/>
      </c>
      <c r="C183" s="39" t="str">
        <f>IF($A183="","",SUMIFS(weekly_demand!$D:$D,weekly_demand!$A:$A,C$1,weekly_demand!$C:$C,$A183))</f>
        <v/>
      </c>
      <c r="D183" s="39" t="str">
        <f>IF($A183="","",SUMIFS(weekly_demand!$D:$D,weekly_demand!$A:$A,D$1,weekly_demand!$C:$C,$A183))</f>
        <v/>
      </c>
      <c r="E183" s="39" t="str">
        <f>IF($A183="","",SUMIFS(weekly_demand!$D:$D,weekly_demand!$A:$A,E$1,weekly_demand!$C:$C,$A183))</f>
        <v/>
      </c>
      <c r="F183" s="39" t="str">
        <f>IF($A183="","",SUMIFS(weekly_demand!$D:$D,weekly_demand!$A:$A,F$1,weekly_demand!$C:$C,$A183))</f>
        <v/>
      </c>
      <c r="G183" s="39" t="str">
        <f>IF($A183="","",SUMIFS(weekly_demand!$D:$D,weekly_demand!$A:$A,G$1,weekly_demand!$C:$C,$A183))</f>
        <v/>
      </c>
      <c r="H183" s="39" t="str">
        <f t="shared" si="18"/>
        <v/>
      </c>
      <c r="I183" s="39" t="str">
        <f t="shared" si="18"/>
        <v/>
      </c>
      <c r="J183" s="39" t="str">
        <f t="shared" si="18"/>
        <v/>
      </c>
      <c r="K183" s="39" t="str">
        <f t="shared" si="18"/>
        <v/>
      </c>
      <c r="L183" s="39" t="str">
        <f t="shared" si="18"/>
        <v/>
      </c>
      <c r="M183" s="39" t="str">
        <f t="shared" si="18"/>
        <v/>
      </c>
      <c r="N183" s="39" t="str">
        <f t="shared" si="18"/>
        <v/>
      </c>
      <c r="O183" s="39" t="str">
        <f t="shared" si="18"/>
        <v/>
      </c>
      <c r="P183" s="39" t="str">
        <f t="shared" si="18"/>
        <v/>
      </c>
      <c r="Q183" s="39" t="str">
        <f t="shared" si="18"/>
        <v/>
      </c>
      <c r="R183" s="39" t="str">
        <f t="shared" si="18"/>
        <v/>
      </c>
      <c r="S183" s="39" t="str">
        <f t="shared" si="18"/>
        <v/>
      </c>
      <c r="T183" s="39" t="str">
        <f t="shared" si="18"/>
        <v/>
      </c>
      <c r="U183" s="39" t="str">
        <f t="shared" si="18"/>
        <v/>
      </c>
      <c r="V183" s="39" t="str">
        <f t="shared" si="18"/>
        <v/>
      </c>
    </row>
    <row r="184" spans="1:22" x14ac:dyDescent="0.3">
      <c r="A184" s="38"/>
      <c r="B184" s="39" t="str">
        <f>IF($A184="","",SUMIFS(weekly_demand!$D:$D,weekly_demand!$A:$A,B$1,weekly_demand!$C:$C,$A184))</f>
        <v/>
      </c>
      <c r="C184" s="39" t="str">
        <f>IF($A184="","",SUMIFS(weekly_demand!$D:$D,weekly_demand!$A:$A,C$1,weekly_demand!$C:$C,$A184))</f>
        <v/>
      </c>
      <c r="D184" s="39" t="str">
        <f>IF($A184="","",SUMIFS(weekly_demand!$D:$D,weekly_demand!$A:$A,D$1,weekly_demand!$C:$C,$A184))</f>
        <v/>
      </c>
      <c r="E184" s="39" t="str">
        <f>IF($A184="","",SUMIFS(weekly_demand!$D:$D,weekly_demand!$A:$A,E$1,weekly_demand!$C:$C,$A184))</f>
        <v/>
      </c>
      <c r="F184" s="39" t="str">
        <f>IF($A184="","",SUMIFS(weekly_demand!$D:$D,weekly_demand!$A:$A,F$1,weekly_demand!$C:$C,$A184))</f>
        <v/>
      </c>
      <c r="G184" s="39" t="str">
        <f>IF($A184="","",SUMIFS(weekly_demand!$D:$D,weekly_demand!$A:$A,G$1,weekly_demand!$C:$C,$A184))</f>
        <v/>
      </c>
      <c r="H184" s="39" t="str">
        <f t="shared" si="18"/>
        <v/>
      </c>
      <c r="I184" s="39" t="str">
        <f t="shared" si="18"/>
        <v/>
      </c>
      <c r="J184" s="39" t="str">
        <f t="shared" si="18"/>
        <v/>
      </c>
      <c r="K184" s="39" t="str">
        <f t="shared" si="18"/>
        <v/>
      </c>
      <c r="L184" s="39" t="str">
        <f t="shared" si="18"/>
        <v/>
      </c>
      <c r="M184" s="39" t="str">
        <f t="shared" si="18"/>
        <v/>
      </c>
      <c r="N184" s="39" t="str">
        <f t="shared" si="18"/>
        <v/>
      </c>
      <c r="O184" s="39" t="str">
        <f t="shared" si="18"/>
        <v/>
      </c>
      <c r="P184" s="39" t="str">
        <f t="shared" si="18"/>
        <v/>
      </c>
      <c r="Q184" s="39" t="str">
        <f t="shared" si="18"/>
        <v/>
      </c>
      <c r="R184" s="39" t="str">
        <f t="shared" si="18"/>
        <v/>
      </c>
      <c r="S184" s="39" t="str">
        <f t="shared" si="18"/>
        <v/>
      </c>
      <c r="T184" s="39" t="str">
        <f t="shared" si="18"/>
        <v/>
      </c>
      <c r="U184" s="39" t="str">
        <f t="shared" si="18"/>
        <v/>
      </c>
      <c r="V184" s="39" t="str">
        <f t="shared" si="18"/>
        <v/>
      </c>
    </row>
    <row r="185" spans="1:22" x14ac:dyDescent="0.3">
      <c r="A185" s="38"/>
      <c r="B185" s="39" t="str">
        <f>IF($A185="","",SUMIFS(weekly_demand!$D:$D,weekly_demand!$A:$A,B$1,weekly_demand!$C:$C,$A185))</f>
        <v/>
      </c>
      <c r="C185" s="39" t="str">
        <f>IF($A185="","",SUMIFS(weekly_demand!$D:$D,weekly_demand!$A:$A,C$1,weekly_demand!$C:$C,$A185))</f>
        <v/>
      </c>
      <c r="D185" s="39" t="str">
        <f>IF($A185="","",SUMIFS(weekly_demand!$D:$D,weekly_demand!$A:$A,D$1,weekly_demand!$C:$C,$A185))</f>
        <v/>
      </c>
      <c r="E185" s="39" t="str">
        <f>IF($A185="","",SUMIFS(weekly_demand!$D:$D,weekly_demand!$A:$A,E$1,weekly_demand!$C:$C,$A185))</f>
        <v/>
      </c>
      <c r="F185" s="39" t="str">
        <f>IF($A185="","",SUMIFS(weekly_demand!$D:$D,weekly_demand!$A:$A,F$1,weekly_demand!$C:$C,$A185))</f>
        <v/>
      </c>
      <c r="G185" s="39" t="str">
        <f>IF($A185="","",SUMIFS(weekly_demand!$D:$D,weekly_demand!$A:$A,G$1,weekly_demand!$C:$C,$A185))</f>
        <v/>
      </c>
      <c r="H185" s="39" t="str">
        <f t="shared" si="18"/>
        <v/>
      </c>
      <c r="I185" s="39" t="str">
        <f t="shared" si="18"/>
        <v/>
      </c>
      <c r="J185" s="39" t="str">
        <f t="shared" si="18"/>
        <v/>
      </c>
      <c r="K185" s="39" t="str">
        <f t="shared" si="18"/>
        <v/>
      </c>
      <c r="L185" s="39" t="str">
        <f t="shared" si="18"/>
        <v/>
      </c>
      <c r="M185" s="39" t="str">
        <f t="shared" si="18"/>
        <v/>
      </c>
      <c r="N185" s="39" t="str">
        <f t="shared" si="18"/>
        <v/>
      </c>
      <c r="O185" s="39" t="str">
        <f t="shared" si="18"/>
        <v/>
      </c>
      <c r="P185" s="39" t="str">
        <f t="shared" si="18"/>
        <v/>
      </c>
      <c r="Q185" s="39" t="str">
        <f t="shared" si="18"/>
        <v/>
      </c>
      <c r="R185" s="39" t="str">
        <f t="shared" si="18"/>
        <v/>
      </c>
      <c r="S185" s="39" t="str">
        <f t="shared" si="18"/>
        <v/>
      </c>
      <c r="T185" s="39" t="str">
        <f t="shared" si="18"/>
        <v/>
      </c>
      <c r="U185" s="39" t="str">
        <f t="shared" si="18"/>
        <v/>
      </c>
      <c r="V185" s="39" t="str">
        <f t="shared" si="18"/>
        <v/>
      </c>
    </row>
    <row r="186" spans="1:22" x14ac:dyDescent="0.3">
      <c r="A186" s="38"/>
      <c r="B186" s="39" t="str">
        <f>IF($A186="","",SUMIFS(weekly_demand!$D:$D,weekly_demand!$A:$A,B$1,weekly_demand!$C:$C,$A186))</f>
        <v/>
      </c>
      <c r="C186" s="39" t="str">
        <f>IF($A186="","",SUMIFS(weekly_demand!$D:$D,weekly_demand!$A:$A,C$1,weekly_demand!$C:$C,$A186))</f>
        <v/>
      </c>
      <c r="D186" s="39" t="str">
        <f>IF($A186="","",SUMIFS(weekly_demand!$D:$D,weekly_demand!$A:$A,D$1,weekly_demand!$C:$C,$A186))</f>
        <v/>
      </c>
      <c r="E186" s="39" t="str">
        <f>IF($A186="","",SUMIFS(weekly_demand!$D:$D,weekly_demand!$A:$A,E$1,weekly_demand!$C:$C,$A186))</f>
        <v/>
      </c>
      <c r="F186" s="39" t="str">
        <f>IF($A186="","",SUMIFS(weekly_demand!$D:$D,weekly_demand!$A:$A,F$1,weekly_demand!$C:$C,$A186))</f>
        <v/>
      </c>
      <c r="G186" s="39" t="str">
        <f>IF($A186="","",SUMIFS(weekly_demand!$D:$D,weekly_demand!$A:$A,G$1,weekly_demand!$C:$C,$A186))</f>
        <v/>
      </c>
      <c r="H186" s="39" t="str">
        <f t="shared" si="18"/>
        <v/>
      </c>
      <c r="I186" s="39" t="str">
        <f t="shared" si="18"/>
        <v/>
      </c>
      <c r="J186" s="39" t="str">
        <f t="shared" si="18"/>
        <v/>
      </c>
      <c r="K186" s="39" t="str">
        <f t="shared" si="18"/>
        <v/>
      </c>
      <c r="L186" s="39" t="str">
        <f t="shared" si="18"/>
        <v/>
      </c>
      <c r="M186" s="39" t="str">
        <f t="shared" si="18"/>
        <v/>
      </c>
      <c r="N186" s="39" t="str">
        <f t="shared" si="18"/>
        <v/>
      </c>
      <c r="O186" s="39" t="str">
        <f t="shared" si="18"/>
        <v/>
      </c>
      <c r="P186" s="39" t="str">
        <f t="shared" si="18"/>
        <v/>
      </c>
      <c r="Q186" s="39" t="str">
        <f t="shared" si="18"/>
        <v/>
      </c>
      <c r="R186" s="39" t="str">
        <f t="shared" si="18"/>
        <v/>
      </c>
      <c r="S186" s="39" t="str">
        <f t="shared" si="18"/>
        <v/>
      </c>
      <c r="T186" s="39" t="str">
        <f t="shared" si="18"/>
        <v/>
      </c>
      <c r="U186" s="39" t="str">
        <f t="shared" si="18"/>
        <v/>
      </c>
      <c r="V186" s="39" t="str">
        <f t="shared" si="18"/>
        <v/>
      </c>
    </row>
    <row r="187" spans="1:22" x14ac:dyDescent="0.3">
      <c r="A187" s="38"/>
      <c r="B187" s="39" t="str">
        <f>IF($A187="","",SUMIFS(weekly_demand!$D:$D,weekly_demand!$A:$A,B$1,weekly_demand!$C:$C,$A187))</f>
        <v/>
      </c>
      <c r="C187" s="39" t="str">
        <f>IF($A187="","",SUMIFS(weekly_demand!$D:$D,weekly_demand!$A:$A,C$1,weekly_demand!$C:$C,$A187))</f>
        <v/>
      </c>
      <c r="D187" s="39" t="str">
        <f>IF($A187="","",SUMIFS(weekly_demand!$D:$D,weekly_demand!$A:$A,D$1,weekly_demand!$C:$C,$A187))</f>
        <v/>
      </c>
      <c r="E187" s="39" t="str">
        <f>IF($A187="","",SUMIFS(weekly_demand!$D:$D,weekly_demand!$A:$A,E$1,weekly_demand!$C:$C,$A187))</f>
        <v/>
      </c>
      <c r="F187" s="39" t="str">
        <f>IF($A187="","",SUMIFS(weekly_demand!$D:$D,weekly_demand!$A:$A,F$1,weekly_demand!$C:$C,$A187))</f>
        <v/>
      </c>
      <c r="G187" s="39" t="str">
        <f>IF($A187="","",SUMIFS(weekly_demand!$D:$D,weekly_demand!$A:$A,G$1,weekly_demand!$C:$C,$A187))</f>
        <v/>
      </c>
      <c r="H187" s="39" t="str">
        <f t="shared" si="18"/>
        <v/>
      </c>
      <c r="I187" s="39" t="str">
        <f t="shared" si="18"/>
        <v/>
      </c>
      <c r="J187" s="39" t="str">
        <f t="shared" si="18"/>
        <v/>
      </c>
      <c r="K187" s="39" t="str">
        <f t="shared" si="18"/>
        <v/>
      </c>
      <c r="L187" s="39" t="str">
        <f t="shared" si="18"/>
        <v/>
      </c>
      <c r="M187" s="39" t="str">
        <f t="shared" si="18"/>
        <v/>
      </c>
      <c r="N187" s="39" t="str">
        <f t="shared" si="18"/>
        <v/>
      </c>
      <c r="O187" s="39" t="str">
        <f t="shared" si="18"/>
        <v/>
      </c>
      <c r="P187" s="39" t="str">
        <f t="shared" si="18"/>
        <v/>
      </c>
      <c r="Q187" s="39" t="str">
        <f t="shared" si="18"/>
        <v/>
      </c>
      <c r="R187" s="39" t="str">
        <f t="shared" si="18"/>
        <v/>
      </c>
      <c r="S187" s="39" t="str">
        <f t="shared" si="18"/>
        <v/>
      </c>
      <c r="T187" s="39" t="str">
        <f t="shared" si="18"/>
        <v/>
      </c>
      <c r="U187" s="39" t="str">
        <f t="shared" si="18"/>
        <v/>
      </c>
      <c r="V187" s="39" t="str">
        <f t="shared" si="18"/>
        <v/>
      </c>
    </row>
    <row r="188" spans="1:22" x14ac:dyDescent="0.3">
      <c r="A188" s="38"/>
      <c r="B188" s="39" t="str">
        <f>IF($A188="","",SUMIFS(weekly_demand!$D:$D,weekly_demand!$A:$A,B$1,weekly_demand!$C:$C,$A188))</f>
        <v/>
      </c>
      <c r="C188" s="39" t="str">
        <f>IF($A188="","",SUMIFS(weekly_demand!$D:$D,weekly_demand!$A:$A,C$1,weekly_demand!$C:$C,$A188))</f>
        <v/>
      </c>
      <c r="D188" s="39" t="str">
        <f>IF($A188="","",SUMIFS(weekly_demand!$D:$D,weekly_demand!$A:$A,D$1,weekly_demand!$C:$C,$A188))</f>
        <v/>
      </c>
      <c r="E188" s="39" t="str">
        <f>IF($A188="","",SUMIFS(weekly_demand!$D:$D,weekly_demand!$A:$A,E$1,weekly_demand!$C:$C,$A188))</f>
        <v/>
      </c>
      <c r="F188" s="39" t="str">
        <f>IF($A188="","",SUMIFS(weekly_demand!$D:$D,weekly_demand!$A:$A,F$1,weekly_demand!$C:$C,$A188))</f>
        <v/>
      </c>
      <c r="G188" s="39" t="str">
        <f>IF($A188="","",SUMIFS(weekly_demand!$D:$D,weekly_demand!$A:$A,G$1,weekly_demand!$C:$C,$A188))</f>
        <v/>
      </c>
      <c r="H188" s="39" t="str">
        <f t="shared" si="18"/>
        <v/>
      </c>
      <c r="I188" s="39" t="str">
        <f t="shared" si="18"/>
        <v/>
      </c>
      <c r="J188" s="39" t="str">
        <f t="shared" si="18"/>
        <v/>
      </c>
      <c r="K188" s="39" t="str">
        <f t="shared" si="18"/>
        <v/>
      </c>
      <c r="L188" s="39" t="str">
        <f t="shared" si="18"/>
        <v/>
      </c>
      <c r="M188" s="39" t="str">
        <f t="shared" si="18"/>
        <v/>
      </c>
      <c r="N188" s="39" t="str">
        <f t="shared" si="18"/>
        <v/>
      </c>
      <c r="O188" s="39" t="str">
        <f t="shared" si="18"/>
        <v/>
      </c>
      <c r="P188" s="39" t="str">
        <f t="shared" si="18"/>
        <v/>
      </c>
      <c r="Q188" s="39" t="str">
        <f t="shared" si="18"/>
        <v/>
      </c>
      <c r="R188" s="39" t="str">
        <f t="shared" si="18"/>
        <v/>
      </c>
      <c r="S188" s="39" t="str">
        <f t="shared" si="18"/>
        <v/>
      </c>
      <c r="T188" s="39" t="str">
        <f t="shared" si="18"/>
        <v/>
      </c>
      <c r="U188" s="39" t="str">
        <f t="shared" si="18"/>
        <v/>
      </c>
      <c r="V188" s="39" t="str">
        <f t="shared" si="18"/>
        <v/>
      </c>
    </row>
    <row r="189" spans="1:22" x14ac:dyDescent="0.3">
      <c r="A189" s="38"/>
      <c r="B189" s="39" t="str">
        <f>IF($A189="","",SUMIFS(weekly_demand!$D:$D,weekly_demand!$A:$A,B$1,weekly_demand!$C:$C,$A189))</f>
        <v/>
      </c>
      <c r="C189" s="39" t="str">
        <f>IF($A189="","",SUMIFS(weekly_demand!$D:$D,weekly_demand!$A:$A,C$1,weekly_demand!$C:$C,$A189))</f>
        <v/>
      </c>
      <c r="D189" s="39" t="str">
        <f>IF($A189="","",SUMIFS(weekly_demand!$D:$D,weekly_demand!$A:$A,D$1,weekly_demand!$C:$C,$A189))</f>
        <v/>
      </c>
      <c r="E189" s="39" t="str">
        <f>IF($A189="","",SUMIFS(weekly_demand!$D:$D,weekly_demand!$A:$A,E$1,weekly_demand!$C:$C,$A189))</f>
        <v/>
      </c>
      <c r="F189" s="39" t="str">
        <f>IF($A189="","",SUMIFS(weekly_demand!$D:$D,weekly_demand!$A:$A,F$1,weekly_demand!$C:$C,$A189))</f>
        <v/>
      </c>
      <c r="G189" s="39" t="str">
        <f>IF($A189="","",SUMIFS(weekly_demand!$D:$D,weekly_demand!$A:$A,G$1,weekly_demand!$C:$C,$A189))</f>
        <v/>
      </c>
      <c r="H189" s="39" t="str">
        <f t="shared" si="18"/>
        <v/>
      </c>
      <c r="I189" s="39" t="str">
        <f t="shared" si="18"/>
        <v/>
      </c>
      <c r="J189" s="39" t="str">
        <f t="shared" si="18"/>
        <v/>
      </c>
      <c r="K189" s="39" t="str">
        <f t="shared" si="18"/>
        <v/>
      </c>
      <c r="L189" s="39" t="str">
        <f t="shared" si="18"/>
        <v/>
      </c>
      <c r="M189" s="39" t="str">
        <f t="shared" si="18"/>
        <v/>
      </c>
      <c r="N189" s="39" t="str">
        <f t="shared" si="18"/>
        <v/>
      </c>
      <c r="O189" s="39" t="str">
        <f t="shared" si="18"/>
        <v/>
      </c>
      <c r="P189" s="39" t="str">
        <f t="shared" si="18"/>
        <v/>
      </c>
      <c r="Q189" s="39" t="str">
        <f t="shared" si="18"/>
        <v/>
      </c>
      <c r="R189" s="39" t="str">
        <f t="shared" si="18"/>
        <v/>
      </c>
      <c r="S189" s="39" t="str">
        <f t="shared" si="18"/>
        <v/>
      </c>
      <c r="T189" s="39" t="str">
        <f t="shared" si="18"/>
        <v/>
      </c>
      <c r="U189" s="39" t="str">
        <f t="shared" si="18"/>
        <v/>
      </c>
      <c r="V189" s="39" t="str">
        <f t="shared" si="18"/>
        <v/>
      </c>
    </row>
    <row r="190" spans="1:22" x14ac:dyDescent="0.3">
      <c r="A190" s="38"/>
      <c r="B190" s="39" t="str">
        <f>IF($A190="","",SUMIFS(weekly_demand!$D:$D,weekly_demand!$A:$A,B$1,weekly_demand!$C:$C,$A190))</f>
        <v/>
      </c>
      <c r="C190" s="39" t="str">
        <f>IF($A190="","",SUMIFS(weekly_demand!$D:$D,weekly_demand!$A:$A,C$1,weekly_demand!$C:$C,$A190))</f>
        <v/>
      </c>
      <c r="D190" s="39" t="str">
        <f>IF($A190="","",SUMIFS(weekly_demand!$D:$D,weekly_demand!$A:$A,D$1,weekly_demand!$C:$C,$A190))</f>
        <v/>
      </c>
      <c r="E190" s="39" t="str">
        <f>IF($A190="","",SUMIFS(weekly_demand!$D:$D,weekly_demand!$A:$A,E$1,weekly_demand!$C:$C,$A190))</f>
        <v/>
      </c>
      <c r="F190" s="39" t="str">
        <f>IF($A190="","",SUMIFS(weekly_demand!$D:$D,weekly_demand!$A:$A,F$1,weekly_demand!$C:$C,$A190))</f>
        <v/>
      </c>
      <c r="G190" s="39" t="str">
        <f>IF($A190="","",SUMIFS(weekly_demand!$D:$D,weekly_demand!$A:$A,G$1,weekly_demand!$C:$C,$A190))</f>
        <v/>
      </c>
      <c r="H190" s="39" t="str">
        <f t="shared" si="18"/>
        <v/>
      </c>
      <c r="I190" s="39" t="str">
        <f t="shared" si="18"/>
        <v/>
      </c>
      <c r="J190" s="39" t="str">
        <f t="shared" si="18"/>
        <v/>
      </c>
      <c r="K190" s="39" t="str">
        <f t="shared" si="18"/>
        <v/>
      </c>
      <c r="L190" s="39" t="str">
        <f t="shared" si="18"/>
        <v/>
      </c>
      <c r="M190" s="39" t="str">
        <f t="shared" si="18"/>
        <v/>
      </c>
      <c r="N190" s="39" t="str">
        <f t="shared" si="18"/>
        <v/>
      </c>
      <c r="O190" s="39" t="str">
        <f t="shared" si="18"/>
        <v/>
      </c>
      <c r="P190" s="39" t="str">
        <f t="shared" si="18"/>
        <v/>
      </c>
      <c r="Q190" s="39" t="str">
        <f t="shared" si="18"/>
        <v/>
      </c>
      <c r="R190" s="39" t="str">
        <f t="shared" si="18"/>
        <v/>
      </c>
      <c r="S190" s="39" t="str">
        <f t="shared" si="18"/>
        <v/>
      </c>
      <c r="T190" s="39" t="str">
        <f t="shared" si="18"/>
        <v/>
      </c>
      <c r="U190" s="39" t="str">
        <f t="shared" si="18"/>
        <v/>
      </c>
      <c r="V190" s="39" t="str">
        <f t="shared" si="18"/>
        <v/>
      </c>
    </row>
    <row r="191" spans="1:22" x14ac:dyDescent="0.3">
      <c r="A191" s="38"/>
      <c r="B191" s="39" t="str">
        <f>IF($A191="","",SUMIFS(weekly_demand!$D:$D,weekly_demand!$A:$A,B$1,weekly_demand!$C:$C,$A191))</f>
        <v/>
      </c>
      <c r="C191" s="39" t="str">
        <f>IF($A191="","",SUMIFS(weekly_demand!$D:$D,weekly_demand!$A:$A,C$1,weekly_demand!$C:$C,$A191))</f>
        <v/>
      </c>
      <c r="D191" s="39" t="str">
        <f>IF($A191="","",SUMIFS(weekly_demand!$D:$D,weekly_demand!$A:$A,D$1,weekly_demand!$C:$C,$A191))</f>
        <v/>
      </c>
      <c r="E191" s="39" t="str">
        <f>IF($A191="","",SUMIFS(weekly_demand!$D:$D,weekly_demand!$A:$A,E$1,weekly_demand!$C:$C,$A191))</f>
        <v/>
      </c>
      <c r="F191" s="39" t="str">
        <f>IF($A191="","",SUMIFS(weekly_demand!$D:$D,weekly_demand!$A:$A,F$1,weekly_demand!$C:$C,$A191))</f>
        <v/>
      </c>
      <c r="G191" s="39" t="str">
        <f>IF($A191="","",SUMIFS(weekly_demand!$D:$D,weekly_demand!$A:$A,G$1,weekly_demand!$C:$C,$A191))</f>
        <v/>
      </c>
      <c r="H191" s="39" t="str">
        <f t="shared" si="18"/>
        <v/>
      </c>
      <c r="I191" s="39" t="str">
        <f t="shared" si="18"/>
        <v/>
      </c>
      <c r="J191" s="39" t="str">
        <f t="shared" si="18"/>
        <v/>
      </c>
      <c r="K191" s="39" t="str">
        <f t="shared" si="18"/>
        <v/>
      </c>
      <c r="L191" s="39" t="str">
        <f t="shared" si="18"/>
        <v/>
      </c>
      <c r="M191" s="39" t="str">
        <f t="shared" si="18"/>
        <v/>
      </c>
      <c r="N191" s="39" t="str">
        <f t="shared" si="18"/>
        <v/>
      </c>
      <c r="O191" s="39" t="str">
        <f t="shared" si="18"/>
        <v/>
      </c>
      <c r="P191" s="39" t="str">
        <f t="shared" si="18"/>
        <v/>
      </c>
      <c r="Q191" s="39" t="str">
        <f t="shared" si="18"/>
        <v/>
      </c>
      <c r="R191" s="39" t="str">
        <f t="shared" si="18"/>
        <v/>
      </c>
      <c r="S191" s="39" t="str">
        <f t="shared" si="18"/>
        <v/>
      </c>
      <c r="T191" s="39" t="str">
        <f t="shared" si="18"/>
        <v/>
      </c>
      <c r="U191" s="39" t="str">
        <f t="shared" si="18"/>
        <v/>
      </c>
      <c r="V191" s="39" t="str">
        <f t="shared" si="18"/>
        <v/>
      </c>
    </row>
    <row r="192" spans="1:22" x14ac:dyDescent="0.3">
      <c r="A192" s="38"/>
      <c r="B192" s="39" t="str">
        <f>IF($A192="","",SUMIFS(weekly_demand!$D:$D,weekly_demand!$A:$A,B$1,weekly_demand!$C:$C,$A192))</f>
        <v/>
      </c>
      <c r="C192" s="39" t="str">
        <f>IF($A192="","",SUMIFS(weekly_demand!$D:$D,weekly_demand!$A:$A,C$1,weekly_demand!$C:$C,$A192))</f>
        <v/>
      </c>
      <c r="D192" s="39" t="str">
        <f>IF($A192="","",SUMIFS(weekly_demand!$D:$D,weekly_demand!$A:$A,D$1,weekly_demand!$C:$C,$A192))</f>
        <v/>
      </c>
      <c r="E192" s="39" t="str">
        <f>IF($A192="","",SUMIFS(weekly_demand!$D:$D,weekly_demand!$A:$A,E$1,weekly_demand!$C:$C,$A192))</f>
        <v/>
      </c>
      <c r="F192" s="39" t="str">
        <f>IF($A192="","",SUMIFS(weekly_demand!$D:$D,weekly_demand!$A:$A,F$1,weekly_demand!$C:$C,$A192))</f>
        <v/>
      </c>
      <c r="G192" s="39" t="str">
        <f>IF($A192="","",SUMIFS(weekly_demand!$D:$D,weekly_demand!$A:$A,G$1,weekly_demand!$C:$C,$A192))</f>
        <v/>
      </c>
      <c r="H192" s="39" t="str">
        <f t="shared" ref="H192:V201" si="19">IF($A192="","",SUMPRODUCT($B192:$G192,INDEX($Y$2:$AD$16,MATCH(H$1,$X$2:$X$16,0),0)))</f>
        <v/>
      </c>
      <c r="I192" s="39" t="str">
        <f t="shared" si="19"/>
        <v/>
      </c>
      <c r="J192" s="39" t="str">
        <f t="shared" si="19"/>
        <v/>
      </c>
      <c r="K192" s="39" t="str">
        <f t="shared" si="19"/>
        <v/>
      </c>
      <c r="L192" s="39" t="str">
        <f t="shared" si="19"/>
        <v/>
      </c>
      <c r="M192" s="39" t="str">
        <f t="shared" si="19"/>
        <v/>
      </c>
      <c r="N192" s="39" t="str">
        <f t="shared" si="19"/>
        <v/>
      </c>
      <c r="O192" s="39" t="str">
        <f t="shared" si="19"/>
        <v/>
      </c>
      <c r="P192" s="39" t="str">
        <f t="shared" si="19"/>
        <v/>
      </c>
      <c r="Q192" s="39" t="str">
        <f t="shared" si="19"/>
        <v/>
      </c>
      <c r="R192" s="39" t="str">
        <f t="shared" si="19"/>
        <v/>
      </c>
      <c r="S192" s="39" t="str">
        <f t="shared" si="19"/>
        <v/>
      </c>
      <c r="T192" s="39" t="str">
        <f t="shared" si="19"/>
        <v/>
      </c>
      <c r="U192" s="39" t="str">
        <f t="shared" si="19"/>
        <v/>
      </c>
      <c r="V192" s="39" t="str">
        <f t="shared" si="19"/>
        <v/>
      </c>
    </row>
    <row r="193" spans="1:22" x14ac:dyDescent="0.3">
      <c r="A193" s="38"/>
      <c r="B193" s="39" t="str">
        <f>IF($A193="","",SUMIFS(weekly_demand!$D:$D,weekly_demand!$A:$A,B$1,weekly_demand!$C:$C,$A193))</f>
        <v/>
      </c>
      <c r="C193" s="39" t="str">
        <f>IF($A193="","",SUMIFS(weekly_demand!$D:$D,weekly_demand!$A:$A,C$1,weekly_demand!$C:$C,$A193))</f>
        <v/>
      </c>
      <c r="D193" s="39" t="str">
        <f>IF($A193="","",SUMIFS(weekly_demand!$D:$D,weekly_demand!$A:$A,D$1,weekly_demand!$C:$C,$A193))</f>
        <v/>
      </c>
      <c r="E193" s="39" t="str">
        <f>IF($A193="","",SUMIFS(weekly_demand!$D:$D,weekly_demand!$A:$A,E$1,weekly_demand!$C:$C,$A193))</f>
        <v/>
      </c>
      <c r="F193" s="39" t="str">
        <f>IF($A193="","",SUMIFS(weekly_demand!$D:$D,weekly_demand!$A:$A,F$1,weekly_demand!$C:$C,$A193))</f>
        <v/>
      </c>
      <c r="G193" s="39" t="str">
        <f>IF($A193="","",SUMIFS(weekly_demand!$D:$D,weekly_demand!$A:$A,G$1,weekly_demand!$C:$C,$A193))</f>
        <v/>
      </c>
      <c r="H193" s="39" t="str">
        <f t="shared" si="19"/>
        <v/>
      </c>
      <c r="I193" s="39" t="str">
        <f t="shared" si="19"/>
        <v/>
      </c>
      <c r="J193" s="39" t="str">
        <f t="shared" si="19"/>
        <v/>
      </c>
      <c r="K193" s="39" t="str">
        <f t="shared" si="19"/>
        <v/>
      </c>
      <c r="L193" s="39" t="str">
        <f t="shared" si="19"/>
        <v/>
      </c>
      <c r="M193" s="39" t="str">
        <f t="shared" si="19"/>
        <v/>
      </c>
      <c r="N193" s="39" t="str">
        <f t="shared" si="19"/>
        <v/>
      </c>
      <c r="O193" s="39" t="str">
        <f t="shared" si="19"/>
        <v/>
      </c>
      <c r="P193" s="39" t="str">
        <f t="shared" si="19"/>
        <v/>
      </c>
      <c r="Q193" s="39" t="str">
        <f t="shared" si="19"/>
        <v/>
      </c>
      <c r="R193" s="39" t="str">
        <f t="shared" si="19"/>
        <v/>
      </c>
      <c r="S193" s="39" t="str">
        <f t="shared" si="19"/>
        <v/>
      </c>
      <c r="T193" s="39" t="str">
        <f t="shared" si="19"/>
        <v/>
      </c>
      <c r="U193" s="39" t="str">
        <f t="shared" si="19"/>
        <v/>
      </c>
      <c r="V193" s="39" t="str">
        <f t="shared" si="19"/>
        <v/>
      </c>
    </row>
    <row r="194" spans="1:22" x14ac:dyDescent="0.3">
      <c r="A194" s="38"/>
      <c r="B194" s="39" t="str">
        <f>IF($A194="","",SUMIFS(weekly_demand!$D:$D,weekly_demand!$A:$A,B$1,weekly_demand!$C:$C,$A194))</f>
        <v/>
      </c>
      <c r="C194" s="39" t="str">
        <f>IF($A194="","",SUMIFS(weekly_demand!$D:$D,weekly_demand!$A:$A,C$1,weekly_demand!$C:$C,$A194))</f>
        <v/>
      </c>
      <c r="D194" s="39" t="str">
        <f>IF($A194="","",SUMIFS(weekly_demand!$D:$D,weekly_demand!$A:$A,D$1,weekly_demand!$C:$C,$A194))</f>
        <v/>
      </c>
      <c r="E194" s="39" t="str">
        <f>IF($A194="","",SUMIFS(weekly_demand!$D:$D,weekly_demand!$A:$A,E$1,weekly_demand!$C:$C,$A194))</f>
        <v/>
      </c>
      <c r="F194" s="39" t="str">
        <f>IF($A194="","",SUMIFS(weekly_demand!$D:$D,weekly_demand!$A:$A,F$1,weekly_demand!$C:$C,$A194))</f>
        <v/>
      </c>
      <c r="G194" s="39" t="str">
        <f>IF($A194="","",SUMIFS(weekly_demand!$D:$D,weekly_demand!$A:$A,G$1,weekly_demand!$C:$C,$A194))</f>
        <v/>
      </c>
      <c r="H194" s="39" t="str">
        <f t="shared" si="19"/>
        <v/>
      </c>
      <c r="I194" s="39" t="str">
        <f t="shared" si="19"/>
        <v/>
      </c>
      <c r="J194" s="39" t="str">
        <f t="shared" si="19"/>
        <v/>
      </c>
      <c r="K194" s="39" t="str">
        <f t="shared" si="19"/>
        <v/>
      </c>
      <c r="L194" s="39" t="str">
        <f t="shared" si="19"/>
        <v/>
      </c>
      <c r="M194" s="39" t="str">
        <f t="shared" si="19"/>
        <v/>
      </c>
      <c r="N194" s="39" t="str">
        <f t="shared" si="19"/>
        <v/>
      </c>
      <c r="O194" s="39" t="str">
        <f t="shared" si="19"/>
        <v/>
      </c>
      <c r="P194" s="39" t="str">
        <f t="shared" si="19"/>
        <v/>
      </c>
      <c r="Q194" s="39" t="str">
        <f t="shared" si="19"/>
        <v/>
      </c>
      <c r="R194" s="39" t="str">
        <f t="shared" si="19"/>
        <v/>
      </c>
      <c r="S194" s="39" t="str">
        <f t="shared" si="19"/>
        <v/>
      </c>
      <c r="T194" s="39" t="str">
        <f t="shared" si="19"/>
        <v/>
      </c>
      <c r="U194" s="39" t="str">
        <f t="shared" si="19"/>
        <v/>
      </c>
      <c r="V194" s="39" t="str">
        <f t="shared" si="19"/>
        <v/>
      </c>
    </row>
    <row r="195" spans="1:22" x14ac:dyDescent="0.3">
      <c r="A195" s="38"/>
      <c r="B195" s="39" t="str">
        <f>IF($A195="","",SUMIFS(weekly_demand!$D:$D,weekly_demand!$A:$A,B$1,weekly_demand!$C:$C,$A195))</f>
        <v/>
      </c>
      <c r="C195" s="39" t="str">
        <f>IF($A195="","",SUMIFS(weekly_demand!$D:$D,weekly_demand!$A:$A,C$1,weekly_demand!$C:$C,$A195))</f>
        <v/>
      </c>
      <c r="D195" s="39" t="str">
        <f>IF($A195="","",SUMIFS(weekly_demand!$D:$D,weekly_demand!$A:$A,D$1,weekly_demand!$C:$C,$A195))</f>
        <v/>
      </c>
      <c r="E195" s="39" t="str">
        <f>IF($A195="","",SUMIFS(weekly_demand!$D:$D,weekly_demand!$A:$A,E$1,weekly_demand!$C:$C,$A195))</f>
        <v/>
      </c>
      <c r="F195" s="39" t="str">
        <f>IF($A195="","",SUMIFS(weekly_demand!$D:$D,weekly_demand!$A:$A,F$1,weekly_demand!$C:$C,$A195))</f>
        <v/>
      </c>
      <c r="G195" s="39" t="str">
        <f>IF($A195="","",SUMIFS(weekly_demand!$D:$D,weekly_demand!$A:$A,G$1,weekly_demand!$C:$C,$A195))</f>
        <v/>
      </c>
      <c r="H195" s="39" t="str">
        <f t="shared" si="19"/>
        <v/>
      </c>
      <c r="I195" s="39" t="str">
        <f t="shared" si="19"/>
        <v/>
      </c>
      <c r="J195" s="39" t="str">
        <f t="shared" si="19"/>
        <v/>
      </c>
      <c r="K195" s="39" t="str">
        <f t="shared" si="19"/>
        <v/>
      </c>
      <c r="L195" s="39" t="str">
        <f t="shared" si="19"/>
        <v/>
      </c>
      <c r="M195" s="39" t="str">
        <f t="shared" si="19"/>
        <v/>
      </c>
      <c r="N195" s="39" t="str">
        <f t="shared" si="19"/>
        <v/>
      </c>
      <c r="O195" s="39" t="str">
        <f t="shared" si="19"/>
        <v/>
      </c>
      <c r="P195" s="39" t="str">
        <f t="shared" si="19"/>
        <v/>
      </c>
      <c r="Q195" s="39" t="str">
        <f t="shared" si="19"/>
        <v/>
      </c>
      <c r="R195" s="39" t="str">
        <f t="shared" si="19"/>
        <v/>
      </c>
      <c r="S195" s="39" t="str">
        <f t="shared" si="19"/>
        <v/>
      </c>
      <c r="T195" s="39" t="str">
        <f t="shared" si="19"/>
        <v/>
      </c>
      <c r="U195" s="39" t="str">
        <f t="shared" si="19"/>
        <v/>
      </c>
      <c r="V195" s="39" t="str">
        <f t="shared" si="19"/>
        <v/>
      </c>
    </row>
    <row r="196" spans="1:22" x14ac:dyDescent="0.3">
      <c r="A196" s="38"/>
      <c r="B196" s="39" t="str">
        <f>IF($A196="","",SUMIFS(weekly_demand!$D:$D,weekly_demand!$A:$A,B$1,weekly_demand!$C:$C,$A196))</f>
        <v/>
      </c>
      <c r="C196" s="39" t="str">
        <f>IF($A196="","",SUMIFS(weekly_demand!$D:$D,weekly_demand!$A:$A,C$1,weekly_demand!$C:$C,$A196))</f>
        <v/>
      </c>
      <c r="D196" s="39" t="str">
        <f>IF($A196="","",SUMIFS(weekly_demand!$D:$D,weekly_demand!$A:$A,D$1,weekly_demand!$C:$C,$A196))</f>
        <v/>
      </c>
      <c r="E196" s="39" t="str">
        <f>IF($A196="","",SUMIFS(weekly_demand!$D:$D,weekly_demand!$A:$A,E$1,weekly_demand!$C:$C,$A196))</f>
        <v/>
      </c>
      <c r="F196" s="39" t="str">
        <f>IF($A196="","",SUMIFS(weekly_demand!$D:$D,weekly_demand!$A:$A,F$1,weekly_demand!$C:$C,$A196))</f>
        <v/>
      </c>
      <c r="G196" s="39" t="str">
        <f>IF($A196="","",SUMIFS(weekly_demand!$D:$D,weekly_demand!$A:$A,G$1,weekly_demand!$C:$C,$A196))</f>
        <v/>
      </c>
      <c r="H196" s="39" t="str">
        <f t="shared" si="19"/>
        <v/>
      </c>
      <c r="I196" s="39" t="str">
        <f t="shared" si="19"/>
        <v/>
      </c>
      <c r="J196" s="39" t="str">
        <f t="shared" si="19"/>
        <v/>
      </c>
      <c r="K196" s="39" t="str">
        <f t="shared" si="19"/>
        <v/>
      </c>
      <c r="L196" s="39" t="str">
        <f t="shared" si="19"/>
        <v/>
      </c>
      <c r="M196" s="39" t="str">
        <f t="shared" si="19"/>
        <v/>
      </c>
      <c r="N196" s="39" t="str">
        <f t="shared" si="19"/>
        <v/>
      </c>
      <c r="O196" s="39" t="str">
        <f t="shared" si="19"/>
        <v/>
      </c>
      <c r="P196" s="39" t="str">
        <f t="shared" si="19"/>
        <v/>
      </c>
      <c r="Q196" s="39" t="str">
        <f t="shared" si="19"/>
        <v/>
      </c>
      <c r="R196" s="39" t="str">
        <f t="shared" si="19"/>
        <v/>
      </c>
      <c r="S196" s="39" t="str">
        <f t="shared" si="19"/>
        <v/>
      </c>
      <c r="T196" s="39" t="str">
        <f t="shared" si="19"/>
        <v/>
      </c>
      <c r="U196" s="39" t="str">
        <f t="shared" si="19"/>
        <v/>
      </c>
      <c r="V196" s="39" t="str">
        <f t="shared" si="19"/>
        <v/>
      </c>
    </row>
    <row r="197" spans="1:22" x14ac:dyDescent="0.3">
      <c r="A197" s="38"/>
      <c r="B197" s="39" t="str">
        <f>IF($A197="","",SUMIFS(weekly_demand!$D:$D,weekly_demand!$A:$A,B$1,weekly_demand!$C:$C,$A197))</f>
        <v/>
      </c>
      <c r="C197" s="39" t="str">
        <f>IF($A197="","",SUMIFS(weekly_demand!$D:$D,weekly_demand!$A:$A,C$1,weekly_demand!$C:$C,$A197))</f>
        <v/>
      </c>
      <c r="D197" s="39" t="str">
        <f>IF($A197="","",SUMIFS(weekly_demand!$D:$D,weekly_demand!$A:$A,D$1,weekly_demand!$C:$C,$A197))</f>
        <v/>
      </c>
      <c r="E197" s="39" t="str">
        <f>IF($A197="","",SUMIFS(weekly_demand!$D:$D,weekly_demand!$A:$A,E$1,weekly_demand!$C:$C,$A197))</f>
        <v/>
      </c>
      <c r="F197" s="39" t="str">
        <f>IF($A197="","",SUMIFS(weekly_demand!$D:$D,weekly_demand!$A:$A,F$1,weekly_demand!$C:$C,$A197))</f>
        <v/>
      </c>
      <c r="G197" s="39" t="str">
        <f>IF($A197="","",SUMIFS(weekly_demand!$D:$D,weekly_demand!$A:$A,G$1,weekly_demand!$C:$C,$A197))</f>
        <v/>
      </c>
      <c r="H197" s="39" t="str">
        <f t="shared" si="19"/>
        <v/>
      </c>
      <c r="I197" s="39" t="str">
        <f t="shared" si="19"/>
        <v/>
      </c>
      <c r="J197" s="39" t="str">
        <f t="shared" si="19"/>
        <v/>
      </c>
      <c r="K197" s="39" t="str">
        <f t="shared" si="19"/>
        <v/>
      </c>
      <c r="L197" s="39" t="str">
        <f t="shared" si="19"/>
        <v/>
      </c>
      <c r="M197" s="39" t="str">
        <f t="shared" si="19"/>
        <v/>
      </c>
      <c r="N197" s="39" t="str">
        <f t="shared" si="19"/>
        <v/>
      </c>
      <c r="O197" s="39" t="str">
        <f t="shared" si="19"/>
        <v/>
      </c>
      <c r="P197" s="39" t="str">
        <f t="shared" si="19"/>
        <v/>
      </c>
      <c r="Q197" s="39" t="str">
        <f t="shared" si="19"/>
        <v/>
      </c>
      <c r="R197" s="39" t="str">
        <f t="shared" si="19"/>
        <v/>
      </c>
      <c r="S197" s="39" t="str">
        <f t="shared" si="19"/>
        <v/>
      </c>
      <c r="T197" s="39" t="str">
        <f t="shared" si="19"/>
        <v/>
      </c>
      <c r="U197" s="39" t="str">
        <f t="shared" si="19"/>
        <v/>
      </c>
      <c r="V197" s="39" t="str">
        <f t="shared" si="19"/>
        <v/>
      </c>
    </row>
    <row r="198" spans="1:22" x14ac:dyDescent="0.3">
      <c r="A198" s="38"/>
      <c r="B198" s="39" t="str">
        <f>IF($A198="","",SUMIFS(weekly_demand!$D:$D,weekly_demand!$A:$A,B$1,weekly_demand!$C:$C,$A198))</f>
        <v/>
      </c>
      <c r="C198" s="39" t="str">
        <f>IF($A198="","",SUMIFS(weekly_demand!$D:$D,weekly_demand!$A:$A,C$1,weekly_demand!$C:$C,$A198))</f>
        <v/>
      </c>
      <c r="D198" s="39" t="str">
        <f>IF($A198="","",SUMIFS(weekly_demand!$D:$D,weekly_demand!$A:$A,D$1,weekly_demand!$C:$C,$A198))</f>
        <v/>
      </c>
      <c r="E198" s="39" t="str">
        <f>IF($A198="","",SUMIFS(weekly_demand!$D:$D,weekly_demand!$A:$A,E$1,weekly_demand!$C:$C,$A198))</f>
        <v/>
      </c>
      <c r="F198" s="39" t="str">
        <f>IF($A198="","",SUMIFS(weekly_demand!$D:$D,weekly_demand!$A:$A,F$1,weekly_demand!$C:$C,$A198))</f>
        <v/>
      </c>
      <c r="G198" s="39" t="str">
        <f>IF($A198="","",SUMIFS(weekly_demand!$D:$D,weekly_demand!$A:$A,G$1,weekly_demand!$C:$C,$A198))</f>
        <v/>
      </c>
      <c r="H198" s="39" t="str">
        <f t="shared" si="19"/>
        <v/>
      </c>
      <c r="I198" s="39" t="str">
        <f t="shared" si="19"/>
        <v/>
      </c>
      <c r="J198" s="39" t="str">
        <f t="shared" si="19"/>
        <v/>
      </c>
      <c r="K198" s="39" t="str">
        <f t="shared" si="19"/>
        <v/>
      </c>
      <c r="L198" s="39" t="str">
        <f t="shared" si="19"/>
        <v/>
      </c>
      <c r="M198" s="39" t="str">
        <f t="shared" si="19"/>
        <v/>
      </c>
      <c r="N198" s="39" t="str">
        <f t="shared" si="19"/>
        <v/>
      </c>
      <c r="O198" s="39" t="str">
        <f t="shared" si="19"/>
        <v/>
      </c>
      <c r="P198" s="39" t="str">
        <f t="shared" si="19"/>
        <v/>
      </c>
      <c r="Q198" s="39" t="str">
        <f t="shared" si="19"/>
        <v/>
      </c>
      <c r="R198" s="39" t="str">
        <f t="shared" si="19"/>
        <v/>
      </c>
      <c r="S198" s="39" t="str">
        <f t="shared" si="19"/>
        <v/>
      </c>
      <c r="T198" s="39" t="str">
        <f t="shared" si="19"/>
        <v/>
      </c>
      <c r="U198" s="39" t="str">
        <f t="shared" si="19"/>
        <v/>
      </c>
      <c r="V198" s="39" t="str">
        <f t="shared" si="19"/>
        <v/>
      </c>
    </row>
    <row r="199" spans="1:22" x14ac:dyDescent="0.3">
      <c r="A199" s="38"/>
      <c r="B199" s="39" t="str">
        <f>IF($A199="","",SUMIFS(weekly_demand!$D:$D,weekly_demand!$A:$A,B$1,weekly_demand!$C:$C,$A199))</f>
        <v/>
      </c>
      <c r="C199" s="39" t="str">
        <f>IF($A199="","",SUMIFS(weekly_demand!$D:$D,weekly_demand!$A:$A,C$1,weekly_demand!$C:$C,$A199))</f>
        <v/>
      </c>
      <c r="D199" s="39" t="str">
        <f>IF($A199="","",SUMIFS(weekly_demand!$D:$D,weekly_demand!$A:$A,D$1,weekly_demand!$C:$C,$A199))</f>
        <v/>
      </c>
      <c r="E199" s="39" t="str">
        <f>IF($A199="","",SUMIFS(weekly_demand!$D:$D,weekly_demand!$A:$A,E$1,weekly_demand!$C:$C,$A199))</f>
        <v/>
      </c>
      <c r="F199" s="39" t="str">
        <f>IF($A199="","",SUMIFS(weekly_demand!$D:$D,weekly_demand!$A:$A,F$1,weekly_demand!$C:$C,$A199))</f>
        <v/>
      </c>
      <c r="G199" s="39" t="str">
        <f>IF($A199="","",SUMIFS(weekly_demand!$D:$D,weekly_demand!$A:$A,G$1,weekly_demand!$C:$C,$A199))</f>
        <v/>
      </c>
      <c r="H199" s="39" t="str">
        <f t="shared" si="19"/>
        <v/>
      </c>
      <c r="I199" s="39" t="str">
        <f t="shared" si="19"/>
        <v/>
      </c>
      <c r="J199" s="39" t="str">
        <f t="shared" si="19"/>
        <v/>
      </c>
      <c r="K199" s="39" t="str">
        <f t="shared" si="19"/>
        <v/>
      </c>
      <c r="L199" s="39" t="str">
        <f t="shared" si="19"/>
        <v/>
      </c>
      <c r="M199" s="39" t="str">
        <f t="shared" si="19"/>
        <v/>
      </c>
      <c r="N199" s="39" t="str">
        <f t="shared" si="19"/>
        <v/>
      </c>
      <c r="O199" s="39" t="str">
        <f t="shared" si="19"/>
        <v/>
      </c>
      <c r="P199" s="39" t="str">
        <f t="shared" si="19"/>
        <v/>
      </c>
      <c r="Q199" s="39" t="str">
        <f t="shared" si="19"/>
        <v/>
      </c>
      <c r="R199" s="39" t="str">
        <f t="shared" si="19"/>
        <v/>
      </c>
      <c r="S199" s="39" t="str">
        <f t="shared" si="19"/>
        <v/>
      </c>
      <c r="T199" s="39" t="str">
        <f t="shared" si="19"/>
        <v/>
      </c>
      <c r="U199" s="39" t="str">
        <f t="shared" si="19"/>
        <v/>
      </c>
      <c r="V199" s="39" t="str">
        <f t="shared" si="19"/>
        <v/>
      </c>
    </row>
    <row r="200" spans="1:22" x14ac:dyDescent="0.3">
      <c r="A200" s="38"/>
      <c r="B200" s="39" t="str">
        <f>IF($A200="","",SUMIFS(weekly_demand!$D:$D,weekly_demand!$A:$A,B$1,weekly_demand!$C:$C,$A200))</f>
        <v/>
      </c>
      <c r="C200" s="39" t="str">
        <f>IF($A200="","",SUMIFS(weekly_demand!$D:$D,weekly_demand!$A:$A,C$1,weekly_demand!$C:$C,$A200))</f>
        <v/>
      </c>
      <c r="D200" s="39" t="str">
        <f>IF($A200="","",SUMIFS(weekly_demand!$D:$D,weekly_demand!$A:$A,D$1,weekly_demand!$C:$C,$A200))</f>
        <v/>
      </c>
      <c r="E200" s="39" t="str">
        <f>IF($A200="","",SUMIFS(weekly_demand!$D:$D,weekly_demand!$A:$A,E$1,weekly_demand!$C:$C,$A200))</f>
        <v/>
      </c>
      <c r="F200" s="39" t="str">
        <f>IF($A200="","",SUMIFS(weekly_demand!$D:$D,weekly_demand!$A:$A,F$1,weekly_demand!$C:$C,$A200))</f>
        <v/>
      </c>
      <c r="G200" s="39" t="str">
        <f>IF($A200="","",SUMIFS(weekly_demand!$D:$D,weekly_demand!$A:$A,G$1,weekly_demand!$C:$C,$A200))</f>
        <v/>
      </c>
      <c r="H200" s="39" t="str">
        <f t="shared" si="19"/>
        <v/>
      </c>
      <c r="I200" s="39" t="str">
        <f t="shared" si="19"/>
        <v/>
      </c>
      <c r="J200" s="39" t="str">
        <f t="shared" si="19"/>
        <v/>
      </c>
      <c r="K200" s="39" t="str">
        <f t="shared" si="19"/>
        <v/>
      </c>
      <c r="L200" s="39" t="str">
        <f t="shared" si="19"/>
        <v/>
      </c>
      <c r="M200" s="39" t="str">
        <f t="shared" si="19"/>
        <v/>
      </c>
      <c r="N200" s="39" t="str">
        <f t="shared" si="19"/>
        <v/>
      </c>
      <c r="O200" s="39" t="str">
        <f t="shared" si="19"/>
        <v/>
      </c>
      <c r="P200" s="39" t="str">
        <f t="shared" si="19"/>
        <v/>
      </c>
      <c r="Q200" s="39" t="str">
        <f t="shared" si="19"/>
        <v/>
      </c>
      <c r="R200" s="39" t="str">
        <f t="shared" si="19"/>
        <v/>
      </c>
      <c r="S200" s="39" t="str">
        <f t="shared" si="19"/>
        <v/>
      </c>
      <c r="T200" s="39" t="str">
        <f t="shared" si="19"/>
        <v/>
      </c>
      <c r="U200" s="39" t="str">
        <f t="shared" si="19"/>
        <v/>
      </c>
      <c r="V200" s="39" t="str">
        <f t="shared" si="19"/>
        <v/>
      </c>
    </row>
    <row r="201" spans="1:22" x14ac:dyDescent="0.3">
      <c r="A201" s="38"/>
      <c r="B201" s="39" t="str">
        <f>IF($A201="","",SUMIFS(weekly_demand!$D:$D,weekly_demand!$A:$A,B$1,weekly_demand!$C:$C,$A201))</f>
        <v/>
      </c>
      <c r="C201" s="39" t="str">
        <f>IF($A201="","",SUMIFS(weekly_demand!$D:$D,weekly_demand!$A:$A,C$1,weekly_demand!$C:$C,$A201))</f>
        <v/>
      </c>
      <c r="D201" s="39" t="str">
        <f>IF($A201="","",SUMIFS(weekly_demand!$D:$D,weekly_demand!$A:$A,D$1,weekly_demand!$C:$C,$A201))</f>
        <v/>
      </c>
      <c r="E201" s="39" t="str">
        <f>IF($A201="","",SUMIFS(weekly_demand!$D:$D,weekly_demand!$A:$A,E$1,weekly_demand!$C:$C,$A201))</f>
        <v/>
      </c>
      <c r="F201" s="39" t="str">
        <f>IF($A201="","",SUMIFS(weekly_demand!$D:$D,weekly_demand!$A:$A,F$1,weekly_demand!$C:$C,$A201))</f>
        <v/>
      </c>
      <c r="G201" s="39" t="str">
        <f>IF($A201="","",SUMIFS(weekly_demand!$D:$D,weekly_demand!$A:$A,G$1,weekly_demand!$C:$C,$A201))</f>
        <v/>
      </c>
      <c r="H201" s="39" t="str">
        <f t="shared" si="19"/>
        <v/>
      </c>
      <c r="I201" s="39" t="str">
        <f t="shared" si="19"/>
        <v/>
      </c>
      <c r="J201" s="39" t="str">
        <f t="shared" si="19"/>
        <v/>
      </c>
      <c r="K201" s="39" t="str">
        <f t="shared" si="19"/>
        <v/>
      </c>
      <c r="L201" s="39" t="str">
        <f t="shared" si="19"/>
        <v/>
      </c>
      <c r="M201" s="39" t="str">
        <f t="shared" si="19"/>
        <v/>
      </c>
      <c r="N201" s="39" t="str">
        <f t="shared" si="19"/>
        <v/>
      </c>
      <c r="O201" s="39" t="str">
        <f t="shared" si="19"/>
        <v/>
      </c>
      <c r="P201" s="39" t="str">
        <f t="shared" si="19"/>
        <v/>
      </c>
      <c r="Q201" s="39" t="str">
        <f t="shared" si="19"/>
        <v/>
      </c>
      <c r="R201" s="39" t="str">
        <f t="shared" si="19"/>
        <v/>
      </c>
      <c r="S201" s="39" t="str">
        <f t="shared" si="19"/>
        <v/>
      </c>
      <c r="T201" s="39" t="str">
        <f t="shared" si="19"/>
        <v/>
      </c>
      <c r="U201" s="39" t="str">
        <f t="shared" si="19"/>
        <v/>
      </c>
      <c r="V201" s="39" t="str">
        <f t="shared" si="19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01"/>
  <sheetViews>
    <sheetView zoomScale="69" workbookViewId="0">
      <selection activeCell="B38" sqref="B38"/>
    </sheetView>
  </sheetViews>
  <sheetFormatPr defaultRowHeight="14.4" x14ac:dyDescent="0.3"/>
  <cols>
    <col min="1" max="1" width="13" customWidth="1"/>
    <col min="2" max="2" width="10" customWidth="1"/>
    <col min="8" max="8" width="12" customWidth="1"/>
    <col min="24" max="24" width="18" customWidth="1"/>
    <col min="25" max="25" width="10" customWidth="1"/>
  </cols>
  <sheetData>
    <row r="1" spans="1:30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104"/>
      <c r="X1" s="36" t="s">
        <v>22</v>
      </c>
      <c r="Y1" s="37" t="s">
        <v>1</v>
      </c>
      <c r="Z1" s="37" t="s">
        <v>2</v>
      </c>
      <c r="AA1" s="37" t="s">
        <v>3</v>
      </c>
      <c r="AB1" s="37" t="s">
        <v>4</v>
      </c>
      <c r="AC1" s="37" t="s">
        <v>5</v>
      </c>
      <c r="AD1" s="37" t="s">
        <v>6</v>
      </c>
    </row>
    <row r="2" spans="1:30" x14ac:dyDescent="0.3">
      <c r="A2" s="103">
        <v>46125</v>
      </c>
      <c r="B2" s="56">
        <f>IF($A2="","",SUMIFS(MPS_Scenario!$J:$J,MPS_Scenario!$A:$A,B$1,MPS_Scenario!$C:$C,$A2))</f>
        <v>0</v>
      </c>
      <c r="C2" s="56">
        <f>IF($A2="","",SUMIFS(MPS_Scenario!$J:$J,MPS_Scenario!$A:$A,C$1,MPS_Scenario!$C:$C,$A2))</f>
        <v>10000</v>
      </c>
      <c r="D2" s="56">
        <f>IF($A2="","",SUMIFS(MPS_Scenario!$J:$J,MPS_Scenario!$A:$A,D$1,MPS_Scenario!$C:$C,$A2))</f>
        <v>3332</v>
      </c>
      <c r="E2" s="56">
        <f>IF($A2="","",SUMIFS(MPS_Scenario!$J:$J,MPS_Scenario!$A:$A,E$1,MPS_Scenario!$C:$C,$A2))</f>
        <v>0</v>
      </c>
      <c r="F2" s="56">
        <f>IF($A2="","",SUMIFS(MPS_Scenario!$J:$J,MPS_Scenario!$A:$A,F$1,MPS_Scenario!$C:$C,$A2))</f>
        <v>0</v>
      </c>
      <c r="G2" s="56">
        <f>IF($A2="","",SUMIFS(MPS_Scenario!$J:$J,MPS_Scenario!$A:$A,G$1,MPS_Scenario!$C:$C,$A2))</f>
        <v>2000</v>
      </c>
      <c r="H2" s="56">
        <f t="shared" ref="H2:V11" si="0">IF($A2="","",SUMPRODUCT($B2:$G2,INDEX($Y$2:$AD$16,MATCH(H$1,$X$2:$X$16,0),0)))</f>
        <v>15332</v>
      </c>
      <c r="I2" s="56">
        <f t="shared" si="0"/>
        <v>4416</v>
      </c>
      <c r="J2" s="56">
        <f t="shared" si="0"/>
        <v>15332</v>
      </c>
      <c r="K2" s="56">
        <f t="shared" si="0"/>
        <v>0</v>
      </c>
      <c r="L2" s="56">
        <f t="shared" si="0"/>
        <v>0</v>
      </c>
      <c r="M2" s="56">
        <f t="shared" si="0"/>
        <v>25000</v>
      </c>
      <c r="N2" s="56">
        <f t="shared" si="0"/>
        <v>15000</v>
      </c>
      <c r="O2" s="56">
        <f t="shared" si="0"/>
        <v>9996</v>
      </c>
      <c r="P2" s="56">
        <f t="shared" si="0"/>
        <v>1666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10000</v>
      </c>
      <c r="V2" s="56">
        <f t="shared" si="0"/>
        <v>4000</v>
      </c>
      <c r="W2" s="104"/>
      <c r="X2" s="40" t="s">
        <v>7</v>
      </c>
      <c r="Y2" s="109">
        <v>1</v>
      </c>
      <c r="Z2" s="109">
        <v>1</v>
      </c>
      <c r="AA2" s="109">
        <v>1</v>
      </c>
      <c r="AB2" s="109">
        <v>1</v>
      </c>
      <c r="AC2" s="109">
        <v>1</v>
      </c>
      <c r="AD2" s="109">
        <v>1</v>
      </c>
    </row>
    <row r="3" spans="1:30" x14ac:dyDescent="0.3">
      <c r="A3" s="110">
        <v>46132</v>
      </c>
      <c r="B3" s="56">
        <f>IF($A3="","",SUMIFS(MPS_Scenario!$J:$J,MPS_Scenario!$A:$A,B$1,MPS_Scenario!$C:$C,$A3))</f>
        <v>5510</v>
      </c>
      <c r="C3" s="56">
        <f>IF($A3="","",SUMIFS(MPS_Scenario!$J:$J,MPS_Scenario!$A:$A,C$1,MPS_Scenario!$C:$C,$A3))</f>
        <v>9490</v>
      </c>
      <c r="D3" s="56">
        <f>IF($A3="","",SUMIFS(MPS_Scenario!$J:$J,MPS_Scenario!$A:$A,D$1,MPS_Scenario!$C:$C,$A3))</f>
        <v>4998</v>
      </c>
      <c r="E3" s="56">
        <f>IF($A3="","",SUMIFS(MPS_Scenario!$J:$J,MPS_Scenario!$A:$A,E$1,MPS_Scenario!$C:$C,$A3))</f>
        <v>0</v>
      </c>
      <c r="F3" s="56">
        <f>IF($A3="","",SUMIFS(MPS_Scenario!$J:$J,MPS_Scenario!$A:$A,F$1,MPS_Scenario!$C:$C,$A3))</f>
        <v>500</v>
      </c>
      <c r="G3" s="56">
        <f>IF($A3="","",SUMIFS(MPS_Scenario!$J:$J,MPS_Scenario!$A:$A,G$1,MPS_Scenario!$C:$C,$A3))</f>
        <v>2500</v>
      </c>
      <c r="H3" s="56">
        <f t="shared" si="0"/>
        <v>22998</v>
      </c>
      <c r="I3" s="56">
        <f t="shared" si="0"/>
        <v>6811.5</v>
      </c>
      <c r="J3" s="56">
        <f t="shared" si="0"/>
        <v>22998</v>
      </c>
      <c r="K3" s="56">
        <f t="shared" si="0"/>
        <v>11020</v>
      </c>
      <c r="L3" s="56">
        <f t="shared" si="0"/>
        <v>5510</v>
      </c>
      <c r="M3" s="56">
        <f t="shared" si="0"/>
        <v>23725</v>
      </c>
      <c r="N3" s="56">
        <f t="shared" si="0"/>
        <v>14235</v>
      </c>
      <c r="O3" s="56">
        <f t="shared" si="0"/>
        <v>14994</v>
      </c>
      <c r="P3" s="56">
        <f t="shared" si="0"/>
        <v>2499</v>
      </c>
      <c r="Q3" s="56">
        <f t="shared" si="0"/>
        <v>0</v>
      </c>
      <c r="R3" s="56">
        <f t="shared" si="0"/>
        <v>0</v>
      </c>
      <c r="S3" s="56">
        <f t="shared" si="0"/>
        <v>1500</v>
      </c>
      <c r="T3" s="56">
        <f t="shared" si="0"/>
        <v>2000</v>
      </c>
      <c r="U3" s="56">
        <f t="shared" si="0"/>
        <v>12500</v>
      </c>
      <c r="V3" s="56">
        <f t="shared" si="0"/>
        <v>5000</v>
      </c>
      <c r="W3" s="104"/>
      <c r="X3" s="40" t="s">
        <v>8</v>
      </c>
      <c r="Y3" s="109">
        <v>0.25</v>
      </c>
      <c r="Z3" s="109">
        <v>0.25</v>
      </c>
      <c r="AA3" s="109">
        <v>0.5</v>
      </c>
      <c r="AB3" s="109">
        <v>0.25</v>
      </c>
      <c r="AC3" s="109">
        <v>0.5</v>
      </c>
      <c r="AD3" s="109">
        <v>0.125</v>
      </c>
    </row>
    <row r="4" spans="1:30" x14ac:dyDescent="0.3">
      <c r="A4" s="110">
        <v>46139</v>
      </c>
      <c r="B4" s="56">
        <f>IF($A4="","",SUMIFS(MPS_Scenario!$J:$J,MPS_Scenario!$A:$A,B$1,MPS_Scenario!$C:$C,$A4))</f>
        <v>7000</v>
      </c>
      <c r="C4" s="56">
        <f>IF($A4="","",SUMIFS(MPS_Scenario!$J:$J,MPS_Scenario!$A:$A,C$1,MPS_Scenario!$C:$C,$A4))</f>
        <v>8000</v>
      </c>
      <c r="D4" s="56">
        <f>IF($A4="","",SUMIFS(MPS_Scenario!$J:$J,MPS_Scenario!$A:$A,D$1,MPS_Scenario!$C:$C,$A4))</f>
        <v>4998</v>
      </c>
      <c r="E4" s="56">
        <f>IF($A4="","",SUMIFS(MPS_Scenario!$J:$J,MPS_Scenario!$A:$A,E$1,MPS_Scenario!$C:$C,$A4))</f>
        <v>0</v>
      </c>
      <c r="F4" s="56">
        <f>IF($A4="","",SUMIFS(MPS_Scenario!$J:$J,MPS_Scenario!$A:$A,F$1,MPS_Scenario!$C:$C,$A4))</f>
        <v>970</v>
      </c>
      <c r="G4" s="56">
        <f>IF($A4="","",SUMIFS(MPS_Scenario!$J:$J,MPS_Scenario!$A:$A,G$1,MPS_Scenario!$C:$C,$A4))</f>
        <v>2030</v>
      </c>
      <c r="H4" s="111">
        <f t="shared" si="0"/>
        <v>22998</v>
      </c>
      <c r="I4" s="111">
        <f t="shared" si="0"/>
        <v>6987.75</v>
      </c>
      <c r="J4" s="111">
        <f t="shared" si="0"/>
        <v>22998</v>
      </c>
      <c r="K4" s="111">
        <f t="shared" si="0"/>
        <v>14000</v>
      </c>
      <c r="L4" s="111">
        <f t="shared" si="0"/>
        <v>7000</v>
      </c>
      <c r="M4" s="111">
        <f t="shared" si="0"/>
        <v>20000</v>
      </c>
      <c r="N4" s="111">
        <f t="shared" si="0"/>
        <v>12000</v>
      </c>
      <c r="O4" s="111">
        <f t="shared" si="0"/>
        <v>14994</v>
      </c>
      <c r="P4" s="111">
        <f t="shared" si="0"/>
        <v>2499</v>
      </c>
      <c r="Q4" s="111">
        <f t="shared" si="0"/>
        <v>0</v>
      </c>
      <c r="R4" s="111">
        <f t="shared" si="0"/>
        <v>0</v>
      </c>
      <c r="S4" s="111">
        <f t="shared" si="0"/>
        <v>2910</v>
      </c>
      <c r="T4" s="111">
        <f t="shared" si="0"/>
        <v>3880</v>
      </c>
      <c r="U4" s="111">
        <f t="shared" si="0"/>
        <v>10150</v>
      </c>
      <c r="V4" s="111">
        <f t="shared" si="0"/>
        <v>4060</v>
      </c>
      <c r="W4" s="104"/>
      <c r="X4" s="40" t="s">
        <v>9</v>
      </c>
      <c r="Y4" s="109">
        <v>1</v>
      </c>
      <c r="Z4" s="109">
        <v>1</v>
      </c>
      <c r="AA4" s="109">
        <v>1</v>
      </c>
      <c r="AB4" s="109">
        <v>1</v>
      </c>
      <c r="AC4" s="109">
        <v>1</v>
      </c>
      <c r="AD4" s="109">
        <v>1</v>
      </c>
    </row>
    <row r="5" spans="1:30" x14ac:dyDescent="0.3">
      <c r="A5" s="110">
        <v>46146</v>
      </c>
      <c r="B5" s="56">
        <f>IF($A5="","",SUMIFS(MPS_Scenario!$J:$J,MPS_Scenario!$A:$A,B$1,MPS_Scenario!$C:$C,$A5))</f>
        <v>15000</v>
      </c>
      <c r="C5" s="56">
        <f>IF($A5="","",SUMIFS(MPS_Scenario!$J:$J,MPS_Scenario!$A:$A,C$1,MPS_Scenario!$C:$C,$A5))</f>
        <v>0</v>
      </c>
      <c r="D5" s="56">
        <f>IF($A5="","",SUMIFS(MPS_Scenario!$J:$J,MPS_Scenario!$A:$A,D$1,MPS_Scenario!$C:$C,$A5))</f>
        <v>4998</v>
      </c>
      <c r="E5" s="56">
        <f>IF($A5="","",SUMIFS(MPS_Scenario!$J:$J,MPS_Scenario!$A:$A,E$1,MPS_Scenario!$C:$C,$A5))</f>
        <v>0</v>
      </c>
      <c r="F5" s="56">
        <f>IF($A5="","",SUMIFS(MPS_Scenario!$J:$J,MPS_Scenario!$A:$A,F$1,MPS_Scenario!$C:$C,$A5))</f>
        <v>0</v>
      </c>
      <c r="G5" s="56">
        <f>IF($A5="","",SUMIFS(MPS_Scenario!$J:$J,MPS_Scenario!$A:$A,G$1,MPS_Scenario!$C:$C,$A5))</f>
        <v>3000</v>
      </c>
      <c r="H5" s="111">
        <f t="shared" si="0"/>
        <v>22998</v>
      </c>
      <c r="I5" s="111">
        <f t="shared" si="0"/>
        <v>6624</v>
      </c>
      <c r="J5" s="111">
        <f t="shared" si="0"/>
        <v>22998</v>
      </c>
      <c r="K5" s="111">
        <f t="shared" si="0"/>
        <v>30000</v>
      </c>
      <c r="L5" s="111">
        <f t="shared" si="0"/>
        <v>15000</v>
      </c>
      <c r="M5" s="111">
        <f t="shared" si="0"/>
        <v>0</v>
      </c>
      <c r="N5" s="111">
        <f t="shared" si="0"/>
        <v>0</v>
      </c>
      <c r="O5" s="111">
        <f t="shared" si="0"/>
        <v>14994</v>
      </c>
      <c r="P5" s="111">
        <f t="shared" si="0"/>
        <v>2499</v>
      </c>
      <c r="Q5" s="111">
        <f t="shared" si="0"/>
        <v>0</v>
      </c>
      <c r="R5" s="111">
        <f t="shared" si="0"/>
        <v>0</v>
      </c>
      <c r="S5" s="111">
        <f t="shared" si="0"/>
        <v>0</v>
      </c>
      <c r="T5" s="111">
        <f t="shared" si="0"/>
        <v>0</v>
      </c>
      <c r="U5" s="111">
        <f t="shared" si="0"/>
        <v>15000</v>
      </c>
      <c r="V5" s="111">
        <f t="shared" si="0"/>
        <v>6000</v>
      </c>
      <c r="W5" s="104"/>
      <c r="X5" s="40" t="s">
        <v>10</v>
      </c>
      <c r="Y5" s="109">
        <v>2</v>
      </c>
      <c r="Z5" s="109">
        <v>0</v>
      </c>
      <c r="AA5" s="109">
        <v>0</v>
      </c>
      <c r="AB5" s="109">
        <v>0</v>
      </c>
      <c r="AC5" s="109">
        <v>0</v>
      </c>
      <c r="AD5" s="109">
        <v>0</v>
      </c>
    </row>
    <row r="6" spans="1:30" x14ac:dyDescent="0.3">
      <c r="A6" s="110">
        <v>46153</v>
      </c>
      <c r="B6" s="56">
        <f>IF($A6="","",SUMIFS(MPS_Scenario!$J:$J,MPS_Scenario!$A:$A,B$1,MPS_Scenario!$C:$C,$A6))</f>
        <v>12500</v>
      </c>
      <c r="C6" s="56">
        <f>IF($A6="","",SUMIFS(MPS_Scenario!$J:$J,MPS_Scenario!$A:$A,C$1,MPS_Scenario!$C:$C,$A6))</f>
        <v>0</v>
      </c>
      <c r="D6" s="56">
        <f>IF($A6="","",SUMIFS(MPS_Scenario!$J:$J,MPS_Scenario!$A:$A,D$1,MPS_Scenario!$C:$C,$A6))</f>
        <v>4165</v>
      </c>
      <c r="E6" s="56">
        <f>IF($A6="","",SUMIFS(MPS_Scenario!$J:$J,MPS_Scenario!$A:$A,E$1,MPS_Scenario!$C:$C,$A6))</f>
        <v>0</v>
      </c>
      <c r="F6" s="56">
        <f>IF($A6="","",SUMIFS(MPS_Scenario!$J:$J,MPS_Scenario!$A:$A,F$1,MPS_Scenario!$C:$C,$A6))</f>
        <v>0</v>
      </c>
      <c r="G6" s="56">
        <f>IF($A6="","",SUMIFS(MPS_Scenario!$J:$J,MPS_Scenario!$A:$A,G$1,MPS_Scenario!$C:$C,$A6))</f>
        <v>2500</v>
      </c>
      <c r="H6" s="111">
        <f t="shared" si="0"/>
        <v>19165</v>
      </c>
      <c r="I6" s="111">
        <f t="shared" si="0"/>
        <v>5520</v>
      </c>
      <c r="J6" s="111">
        <f t="shared" si="0"/>
        <v>19165</v>
      </c>
      <c r="K6" s="111">
        <f t="shared" si="0"/>
        <v>25000</v>
      </c>
      <c r="L6" s="111">
        <f t="shared" si="0"/>
        <v>12500</v>
      </c>
      <c r="M6" s="111">
        <f t="shared" si="0"/>
        <v>0</v>
      </c>
      <c r="N6" s="111">
        <f t="shared" si="0"/>
        <v>0</v>
      </c>
      <c r="O6" s="111">
        <f t="shared" si="0"/>
        <v>12495</v>
      </c>
      <c r="P6" s="111">
        <f t="shared" si="0"/>
        <v>2082.5</v>
      </c>
      <c r="Q6" s="111">
        <f t="shared" si="0"/>
        <v>0</v>
      </c>
      <c r="R6" s="111">
        <f t="shared" si="0"/>
        <v>0</v>
      </c>
      <c r="S6" s="111">
        <f t="shared" si="0"/>
        <v>0</v>
      </c>
      <c r="T6" s="111">
        <f t="shared" si="0"/>
        <v>0</v>
      </c>
      <c r="U6" s="111">
        <f t="shared" si="0"/>
        <v>12500</v>
      </c>
      <c r="V6" s="111">
        <f t="shared" si="0"/>
        <v>5000</v>
      </c>
      <c r="W6" s="104"/>
      <c r="X6" s="40" t="s">
        <v>11</v>
      </c>
      <c r="Y6" s="109">
        <v>1</v>
      </c>
      <c r="Z6" s="109">
        <v>0</v>
      </c>
      <c r="AA6" s="109">
        <v>0</v>
      </c>
      <c r="AB6" s="109">
        <v>0</v>
      </c>
      <c r="AC6" s="109">
        <v>0</v>
      </c>
      <c r="AD6" s="109">
        <v>0</v>
      </c>
    </row>
    <row r="7" spans="1:30" x14ac:dyDescent="0.3">
      <c r="A7" s="110">
        <v>46160</v>
      </c>
      <c r="B7" s="56">
        <f>IF($A7="","",SUMIFS(MPS_Scenario!$J:$J,MPS_Scenario!$A:$A,B$1,MPS_Scenario!$C:$C,$A7))</f>
        <v>11000</v>
      </c>
      <c r="C7" s="56">
        <f>IF($A7="","",SUMIFS(MPS_Scenario!$J:$J,MPS_Scenario!$A:$A,C$1,MPS_Scenario!$C:$C,$A7))</f>
        <v>4000</v>
      </c>
      <c r="D7" s="56">
        <f>IF($A7="","",SUMIFS(MPS_Scenario!$J:$J,MPS_Scenario!$A:$A,D$1,MPS_Scenario!$C:$C,$A7))</f>
        <v>5000</v>
      </c>
      <c r="E7" s="56">
        <f>IF($A7="","",SUMIFS(MPS_Scenario!$J:$J,MPS_Scenario!$A:$A,E$1,MPS_Scenario!$C:$C,$A7))</f>
        <v>0</v>
      </c>
      <c r="F7" s="56">
        <f>IF($A7="","",SUMIFS(MPS_Scenario!$J:$J,MPS_Scenario!$A:$A,F$1,MPS_Scenario!$C:$C,$A7))</f>
        <v>0</v>
      </c>
      <c r="G7" s="56">
        <f>IF($A7="","",SUMIFS(MPS_Scenario!$J:$J,MPS_Scenario!$A:$A,G$1,MPS_Scenario!$C:$C,$A7))</f>
        <v>3000</v>
      </c>
      <c r="H7" s="111">
        <f t="shared" si="0"/>
        <v>23000</v>
      </c>
      <c r="I7" s="111">
        <f t="shared" si="0"/>
        <v>6625</v>
      </c>
      <c r="J7" s="111">
        <f t="shared" si="0"/>
        <v>23000</v>
      </c>
      <c r="K7" s="111">
        <f t="shared" si="0"/>
        <v>22000</v>
      </c>
      <c r="L7" s="111">
        <f t="shared" si="0"/>
        <v>11000</v>
      </c>
      <c r="M7" s="111">
        <f t="shared" si="0"/>
        <v>10000</v>
      </c>
      <c r="N7" s="111">
        <f t="shared" si="0"/>
        <v>6000</v>
      </c>
      <c r="O7" s="111">
        <f t="shared" si="0"/>
        <v>15000</v>
      </c>
      <c r="P7" s="111">
        <f t="shared" si="0"/>
        <v>2500</v>
      </c>
      <c r="Q7" s="111">
        <f t="shared" si="0"/>
        <v>0</v>
      </c>
      <c r="R7" s="111">
        <f t="shared" si="0"/>
        <v>0</v>
      </c>
      <c r="S7" s="111">
        <f t="shared" si="0"/>
        <v>0</v>
      </c>
      <c r="T7" s="111">
        <f t="shared" si="0"/>
        <v>0</v>
      </c>
      <c r="U7" s="111">
        <f t="shared" si="0"/>
        <v>15000</v>
      </c>
      <c r="V7" s="111">
        <f t="shared" si="0"/>
        <v>6000</v>
      </c>
      <c r="W7" s="104"/>
      <c r="X7" s="40" t="s">
        <v>12</v>
      </c>
      <c r="Y7" s="109">
        <v>0</v>
      </c>
      <c r="Z7" s="109">
        <v>2.5</v>
      </c>
      <c r="AA7" s="109">
        <v>0</v>
      </c>
      <c r="AB7" s="109">
        <v>0</v>
      </c>
      <c r="AC7" s="109">
        <v>0</v>
      </c>
      <c r="AD7" s="109">
        <v>0</v>
      </c>
    </row>
    <row r="8" spans="1:30" x14ac:dyDescent="0.3">
      <c r="A8" s="110">
        <v>46167</v>
      </c>
      <c r="B8" s="56">
        <f>IF($A8="","",SUMIFS(MPS_Scenario!$J:$J,MPS_Scenario!$A:$A,B$1,MPS_Scenario!$C:$C,$A8))</f>
        <v>13000</v>
      </c>
      <c r="C8" s="56">
        <f>IF($A8="","",SUMIFS(MPS_Scenario!$J:$J,MPS_Scenario!$A:$A,C$1,MPS_Scenario!$C:$C,$A8))</f>
        <v>2000</v>
      </c>
      <c r="D8" s="56">
        <f>IF($A8="","",SUMIFS(MPS_Scenario!$J:$J,MPS_Scenario!$A:$A,D$1,MPS_Scenario!$C:$C,$A8))</f>
        <v>5000</v>
      </c>
      <c r="E8" s="56">
        <f>IF($A8="","",SUMIFS(MPS_Scenario!$J:$J,MPS_Scenario!$A:$A,E$1,MPS_Scenario!$C:$C,$A8))</f>
        <v>0</v>
      </c>
      <c r="F8" s="56">
        <f>IF($A8="","",SUMIFS(MPS_Scenario!$J:$J,MPS_Scenario!$A:$A,F$1,MPS_Scenario!$C:$C,$A8))</f>
        <v>300</v>
      </c>
      <c r="G8" s="56">
        <f>IF($A8="","",SUMIFS(MPS_Scenario!$J:$J,MPS_Scenario!$A:$A,G$1,MPS_Scenario!$C:$C,$A8))</f>
        <v>2700</v>
      </c>
      <c r="H8" s="111">
        <f t="shared" si="0"/>
        <v>23000</v>
      </c>
      <c r="I8" s="111">
        <f t="shared" si="0"/>
        <v>6737.5</v>
      </c>
      <c r="J8" s="111">
        <f t="shared" si="0"/>
        <v>23000</v>
      </c>
      <c r="K8" s="111">
        <f t="shared" si="0"/>
        <v>26000</v>
      </c>
      <c r="L8" s="111">
        <f t="shared" si="0"/>
        <v>13000</v>
      </c>
      <c r="M8" s="111">
        <f t="shared" si="0"/>
        <v>5000</v>
      </c>
      <c r="N8" s="111">
        <f t="shared" si="0"/>
        <v>3000</v>
      </c>
      <c r="O8" s="111">
        <f t="shared" si="0"/>
        <v>15000</v>
      </c>
      <c r="P8" s="111">
        <f t="shared" si="0"/>
        <v>2500</v>
      </c>
      <c r="Q8" s="111">
        <f t="shared" si="0"/>
        <v>0</v>
      </c>
      <c r="R8" s="111">
        <f t="shared" si="0"/>
        <v>0</v>
      </c>
      <c r="S8" s="111">
        <f t="shared" si="0"/>
        <v>900</v>
      </c>
      <c r="T8" s="111">
        <f t="shared" si="0"/>
        <v>1200</v>
      </c>
      <c r="U8" s="111">
        <f t="shared" si="0"/>
        <v>13500</v>
      </c>
      <c r="V8" s="111">
        <f t="shared" si="0"/>
        <v>5400</v>
      </c>
      <c r="W8" s="104"/>
      <c r="X8" s="40" t="s">
        <v>13</v>
      </c>
      <c r="Y8" s="109">
        <v>0</v>
      </c>
      <c r="Z8" s="109">
        <v>1.5</v>
      </c>
      <c r="AA8" s="109">
        <v>0</v>
      </c>
      <c r="AB8" s="109">
        <v>0</v>
      </c>
      <c r="AC8" s="109">
        <v>0</v>
      </c>
      <c r="AD8" s="109">
        <v>0</v>
      </c>
    </row>
    <row r="9" spans="1:30" x14ac:dyDescent="0.3">
      <c r="A9" s="110">
        <v>46174</v>
      </c>
      <c r="B9" s="56">
        <f>IF($A9="","",SUMIFS(MPS_Scenario!$J:$J,MPS_Scenario!$A:$A,B$1,MPS_Scenario!$C:$C,$A9))</f>
        <v>13773</v>
      </c>
      <c r="C9" s="56">
        <f>IF($A9="","",SUMIFS(MPS_Scenario!$J:$J,MPS_Scenario!$A:$A,C$1,MPS_Scenario!$C:$C,$A9))</f>
        <v>1227</v>
      </c>
      <c r="D9" s="56">
        <f>IF($A9="","",SUMIFS(MPS_Scenario!$J:$J,MPS_Scenario!$A:$A,D$1,MPS_Scenario!$C:$C,$A9))</f>
        <v>5000</v>
      </c>
      <c r="E9" s="56">
        <f>IF($A9="","",SUMIFS(MPS_Scenario!$J:$J,MPS_Scenario!$A:$A,E$1,MPS_Scenario!$C:$C,$A9))</f>
        <v>0</v>
      </c>
      <c r="F9" s="56">
        <f>IF($A9="","",SUMIFS(MPS_Scenario!$J:$J,MPS_Scenario!$A:$A,F$1,MPS_Scenario!$C:$C,$A9))</f>
        <v>0</v>
      </c>
      <c r="G9" s="56">
        <f>IF($A9="","",SUMIFS(MPS_Scenario!$J:$J,MPS_Scenario!$A:$A,G$1,MPS_Scenario!$C:$C,$A9))</f>
        <v>3000</v>
      </c>
      <c r="H9" s="111">
        <f t="shared" si="0"/>
        <v>23000</v>
      </c>
      <c r="I9" s="111">
        <f t="shared" si="0"/>
        <v>6625</v>
      </c>
      <c r="J9" s="111">
        <f t="shared" si="0"/>
        <v>23000</v>
      </c>
      <c r="K9" s="111">
        <f t="shared" si="0"/>
        <v>27546</v>
      </c>
      <c r="L9" s="111">
        <f t="shared" si="0"/>
        <v>13773</v>
      </c>
      <c r="M9" s="111">
        <f t="shared" si="0"/>
        <v>3067.5</v>
      </c>
      <c r="N9" s="111">
        <f t="shared" si="0"/>
        <v>1840.5</v>
      </c>
      <c r="O9" s="111">
        <f t="shared" si="0"/>
        <v>15000</v>
      </c>
      <c r="P9" s="111">
        <f t="shared" si="0"/>
        <v>2500</v>
      </c>
      <c r="Q9" s="111">
        <f t="shared" si="0"/>
        <v>0</v>
      </c>
      <c r="R9" s="111">
        <f t="shared" si="0"/>
        <v>0</v>
      </c>
      <c r="S9" s="111">
        <f t="shared" si="0"/>
        <v>0</v>
      </c>
      <c r="T9" s="111">
        <f t="shared" si="0"/>
        <v>0</v>
      </c>
      <c r="U9" s="111">
        <f t="shared" si="0"/>
        <v>15000</v>
      </c>
      <c r="V9" s="111">
        <f t="shared" si="0"/>
        <v>6000</v>
      </c>
      <c r="W9" s="104"/>
      <c r="X9" s="40" t="s">
        <v>14</v>
      </c>
      <c r="Y9" s="109">
        <v>0</v>
      </c>
      <c r="Z9" s="109">
        <v>0</v>
      </c>
      <c r="AA9" s="109">
        <v>3</v>
      </c>
      <c r="AB9" s="109">
        <v>0</v>
      </c>
      <c r="AC9" s="109">
        <v>0</v>
      </c>
      <c r="AD9" s="109">
        <v>0</v>
      </c>
    </row>
    <row r="10" spans="1:30" x14ac:dyDescent="0.3">
      <c r="A10" s="110">
        <v>46181</v>
      </c>
      <c r="B10" s="56">
        <f>IF($A10="","",SUMIFS(MPS_Scenario!$J:$J,MPS_Scenario!$A:$A,B$1,MPS_Scenario!$C:$C,$A10))</f>
        <v>7058</v>
      </c>
      <c r="C10" s="56">
        <f>IF($A10="","",SUMIFS(MPS_Scenario!$J:$J,MPS_Scenario!$A:$A,C$1,MPS_Scenario!$C:$C,$A10))</f>
        <v>5309</v>
      </c>
      <c r="D10" s="56">
        <f>IF($A10="","",SUMIFS(MPS_Scenario!$J:$J,MPS_Scenario!$A:$A,D$1,MPS_Scenario!$C:$C,$A10))</f>
        <v>5000</v>
      </c>
      <c r="E10" s="56">
        <f>IF($A10="","",SUMIFS(MPS_Scenario!$J:$J,MPS_Scenario!$A:$A,E$1,MPS_Scenario!$C:$C,$A10))</f>
        <v>0</v>
      </c>
      <c r="F10" s="56">
        <f>IF($A10="","",SUMIFS(MPS_Scenario!$J:$J,MPS_Scenario!$A:$A,F$1,MPS_Scenario!$C:$C,$A10))</f>
        <v>0</v>
      </c>
      <c r="G10" s="56">
        <f>IF($A10="","",SUMIFS(MPS_Scenario!$J:$J,MPS_Scenario!$A:$A,G$1,MPS_Scenario!$C:$C,$A10))</f>
        <v>3000</v>
      </c>
      <c r="H10" s="111">
        <f t="shared" si="0"/>
        <v>20367</v>
      </c>
      <c r="I10" s="111">
        <f t="shared" si="0"/>
        <v>5966.75</v>
      </c>
      <c r="J10" s="111">
        <f t="shared" si="0"/>
        <v>20367</v>
      </c>
      <c r="K10" s="111">
        <f t="shared" si="0"/>
        <v>14116</v>
      </c>
      <c r="L10" s="111">
        <f t="shared" si="0"/>
        <v>7058</v>
      </c>
      <c r="M10" s="111">
        <f t="shared" si="0"/>
        <v>13272.5</v>
      </c>
      <c r="N10" s="111">
        <f t="shared" si="0"/>
        <v>7963.5</v>
      </c>
      <c r="O10" s="111">
        <f t="shared" si="0"/>
        <v>15000</v>
      </c>
      <c r="P10" s="111">
        <f t="shared" si="0"/>
        <v>2500</v>
      </c>
      <c r="Q10" s="111">
        <f t="shared" si="0"/>
        <v>0</v>
      </c>
      <c r="R10" s="111">
        <f t="shared" si="0"/>
        <v>0</v>
      </c>
      <c r="S10" s="111">
        <f t="shared" si="0"/>
        <v>0</v>
      </c>
      <c r="T10" s="111">
        <f t="shared" si="0"/>
        <v>0</v>
      </c>
      <c r="U10" s="111">
        <f t="shared" si="0"/>
        <v>15000</v>
      </c>
      <c r="V10" s="111">
        <f t="shared" si="0"/>
        <v>6000</v>
      </c>
      <c r="W10" s="104"/>
      <c r="X10" s="40" t="s">
        <v>15</v>
      </c>
      <c r="Y10" s="109">
        <v>0</v>
      </c>
      <c r="Z10" s="109">
        <v>0</v>
      </c>
      <c r="AA10" s="109">
        <v>0.5</v>
      </c>
      <c r="AB10" s="109">
        <v>0</v>
      </c>
      <c r="AC10" s="109">
        <v>0</v>
      </c>
      <c r="AD10" s="109">
        <v>0</v>
      </c>
    </row>
    <row r="11" spans="1:30" x14ac:dyDescent="0.3">
      <c r="A11" s="110">
        <v>46188</v>
      </c>
      <c r="B11" s="56">
        <f>IF($A11="","",SUMIFS(MPS_Scenario!$J:$J,MPS_Scenario!$A:$A,B$1,MPS_Scenario!$C:$C,$A11))</f>
        <v>2040</v>
      </c>
      <c r="C11" s="56">
        <f>IF($A11="","",SUMIFS(MPS_Scenario!$J:$J,MPS_Scenario!$A:$A,C$1,MPS_Scenario!$C:$C,$A11))</f>
        <v>5309</v>
      </c>
      <c r="D11" s="56">
        <f>IF($A11="","",SUMIFS(MPS_Scenario!$J:$J,MPS_Scenario!$A:$A,D$1,MPS_Scenario!$C:$C,$A11))</f>
        <v>5000</v>
      </c>
      <c r="E11" s="56">
        <f>IF($A11="","",SUMIFS(MPS_Scenario!$J:$J,MPS_Scenario!$A:$A,E$1,MPS_Scenario!$C:$C,$A11))</f>
        <v>0</v>
      </c>
      <c r="F11" s="56">
        <f>IF($A11="","",SUMIFS(MPS_Scenario!$J:$J,MPS_Scenario!$A:$A,F$1,MPS_Scenario!$C:$C,$A11))</f>
        <v>300</v>
      </c>
      <c r="G11" s="56">
        <f>IF($A11="","",SUMIFS(MPS_Scenario!$J:$J,MPS_Scenario!$A:$A,G$1,MPS_Scenario!$C:$C,$A11))</f>
        <v>2700</v>
      </c>
      <c r="H11" s="111">
        <f t="shared" si="0"/>
        <v>15349</v>
      </c>
      <c r="I11" s="111">
        <f t="shared" si="0"/>
        <v>4824.75</v>
      </c>
      <c r="J11" s="111">
        <f t="shared" si="0"/>
        <v>15349</v>
      </c>
      <c r="K11" s="111">
        <f t="shared" si="0"/>
        <v>4080</v>
      </c>
      <c r="L11" s="111">
        <f t="shared" si="0"/>
        <v>2040</v>
      </c>
      <c r="M11" s="111">
        <f t="shared" si="0"/>
        <v>13272.5</v>
      </c>
      <c r="N11" s="111">
        <f t="shared" si="0"/>
        <v>7963.5</v>
      </c>
      <c r="O11" s="111">
        <f t="shared" si="0"/>
        <v>15000</v>
      </c>
      <c r="P11" s="111">
        <f t="shared" si="0"/>
        <v>2500</v>
      </c>
      <c r="Q11" s="111">
        <f t="shared" si="0"/>
        <v>0</v>
      </c>
      <c r="R11" s="111">
        <f t="shared" si="0"/>
        <v>0</v>
      </c>
      <c r="S11" s="111">
        <f t="shared" si="0"/>
        <v>900</v>
      </c>
      <c r="T11" s="111">
        <f t="shared" si="0"/>
        <v>1200</v>
      </c>
      <c r="U11" s="111">
        <f t="shared" si="0"/>
        <v>13500</v>
      </c>
      <c r="V11" s="111">
        <f t="shared" si="0"/>
        <v>5400</v>
      </c>
      <c r="W11" s="104"/>
      <c r="X11" s="40" t="s">
        <v>16</v>
      </c>
      <c r="Y11" s="109">
        <v>0</v>
      </c>
      <c r="Z11" s="109">
        <v>0</v>
      </c>
      <c r="AA11" s="109">
        <v>0</v>
      </c>
      <c r="AB11" s="109">
        <v>2</v>
      </c>
      <c r="AC11" s="109">
        <v>0</v>
      </c>
      <c r="AD11" s="109">
        <v>0</v>
      </c>
    </row>
    <row r="12" spans="1:30" x14ac:dyDescent="0.3">
      <c r="A12" s="110">
        <v>46195</v>
      </c>
      <c r="B12" s="56">
        <f>IF($A12="","",SUMIFS(MPS_Scenario!$J:$J,MPS_Scenario!$A:$A,B$1,MPS_Scenario!$C:$C,$A12))</f>
        <v>3541</v>
      </c>
      <c r="C12" s="56">
        <f>IF($A12="","",SUMIFS(MPS_Scenario!$J:$J,MPS_Scenario!$A:$A,C$1,MPS_Scenario!$C:$C,$A12))</f>
        <v>3081</v>
      </c>
      <c r="D12" s="56">
        <f>IF($A12="","",SUMIFS(MPS_Scenario!$J:$J,MPS_Scenario!$A:$A,D$1,MPS_Scenario!$C:$C,$A12))</f>
        <v>5000</v>
      </c>
      <c r="E12" s="56">
        <f>IF($A12="","",SUMIFS(MPS_Scenario!$J:$J,MPS_Scenario!$A:$A,E$1,MPS_Scenario!$C:$C,$A12))</f>
        <v>0</v>
      </c>
      <c r="F12" s="56">
        <f>IF($A12="","",SUMIFS(MPS_Scenario!$J:$J,MPS_Scenario!$A:$A,F$1,MPS_Scenario!$C:$C,$A12))</f>
        <v>0</v>
      </c>
      <c r="G12" s="56">
        <f>IF($A12="","",SUMIFS(MPS_Scenario!$J:$J,MPS_Scenario!$A:$A,G$1,MPS_Scenario!$C:$C,$A12))</f>
        <v>3000</v>
      </c>
      <c r="H12" s="111">
        <f t="shared" ref="H12:V21" si="1">IF($A12="","",SUMPRODUCT($B12:$G12,INDEX($Y$2:$AD$16,MATCH(H$1,$X$2:$X$16,0),0)))</f>
        <v>14622</v>
      </c>
      <c r="I12" s="111">
        <f t="shared" si="1"/>
        <v>4530.5</v>
      </c>
      <c r="J12" s="111">
        <f t="shared" si="1"/>
        <v>14622</v>
      </c>
      <c r="K12" s="111">
        <f t="shared" si="1"/>
        <v>7082</v>
      </c>
      <c r="L12" s="111">
        <f t="shared" si="1"/>
        <v>3541</v>
      </c>
      <c r="M12" s="111">
        <f t="shared" si="1"/>
        <v>7702.5</v>
      </c>
      <c r="N12" s="111">
        <f t="shared" si="1"/>
        <v>4621.5</v>
      </c>
      <c r="O12" s="111">
        <f t="shared" si="1"/>
        <v>15000</v>
      </c>
      <c r="P12" s="111">
        <f t="shared" si="1"/>
        <v>2500</v>
      </c>
      <c r="Q12" s="111">
        <f t="shared" si="1"/>
        <v>0</v>
      </c>
      <c r="R12" s="111">
        <f t="shared" si="1"/>
        <v>0</v>
      </c>
      <c r="S12" s="111">
        <f t="shared" si="1"/>
        <v>0</v>
      </c>
      <c r="T12" s="111">
        <f t="shared" si="1"/>
        <v>0</v>
      </c>
      <c r="U12" s="111">
        <f t="shared" si="1"/>
        <v>15000</v>
      </c>
      <c r="V12" s="111">
        <f t="shared" si="1"/>
        <v>6000</v>
      </c>
      <c r="W12" s="104"/>
      <c r="X12" s="40" t="s">
        <v>17</v>
      </c>
      <c r="Y12" s="109">
        <v>0</v>
      </c>
      <c r="Z12" s="109">
        <v>0</v>
      </c>
      <c r="AA12" s="109">
        <v>0</v>
      </c>
      <c r="AB12" s="109">
        <v>1.5</v>
      </c>
      <c r="AC12" s="109">
        <v>0</v>
      </c>
      <c r="AD12" s="109">
        <v>0</v>
      </c>
    </row>
    <row r="13" spans="1:30" x14ac:dyDescent="0.3">
      <c r="A13" s="110">
        <v>46202</v>
      </c>
      <c r="B13" s="56">
        <f>IF($A13="","",SUMIFS(MPS_Scenario!$J:$J,MPS_Scenario!$A:$A,B$1,MPS_Scenario!$C:$C,$A13))</f>
        <v>12041</v>
      </c>
      <c r="C13" s="56">
        <f>IF($A13="","",SUMIFS(MPS_Scenario!$J:$J,MPS_Scenario!$A:$A,C$1,MPS_Scenario!$C:$C,$A13))</f>
        <v>2959</v>
      </c>
      <c r="D13" s="56">
        <f>IF($A13="","",SUMIFS(MPS_Scenario!$J:$J,MPS_Scenario!$A:$A,D$1,MPS_Scenario!$C:$C,$A13))</f>
        <v>2500</v>
      </c>
      <c r="E13" s="56">
        <f>IF($A13="","",SUMIFS(MPS_Scenario!$J:$J,MPS_Scenario!$A:$A,E$1,MPS_Scenario!$C:$C,$A13))</f>
        <v>500</v>
      </c>
      <c r="F13" s="56">
        <f>IF($A13="","",SUMIFS(MPS_Scenario!$J:$J,MPS_Scenario!$A:$A,F$1,MPS_Scenario!$C:$C,$A13))</f>
        <v>700</v>
      </c>
      <c r="G13" s="56">
        <f>IF($A13="","",SUMIFS(MPS_Scenario!$J:$J,MPS_Scenario!$A:$A,G$1,MPS_Scenario!$C:$C,$A13))</f>
        <v>2300</v>
      </c>
      <c r="H13" s="111">
        <f t="shared" si="1"/>
        <v>21000</v>
      </c>
      <c r="I13" s="111">
        <f t="shared" si="1"/>
        <v>5762.5</v>
      </c>
      <c r="J13" s="111">
        <f t="shared" si="1"/>
        <v>21000</v>
      </c>
      <c r="K13" s="111">
        <f t="shared" si="1"/>
        <v>24082</v>
      </c>
      <c r="L13" s="111">
        <f t="shared" si="1"/>
        <v>12041</v>
      </c>
      <c r="M13" s="111">
        <f t="shared" si="1"/>
        <v>7397.5</v>
      </c>
      <c r="N13" s="111">
        <f t="shared" si="1"/>
        <v>4438.5</v>
      </c>
      <c r="O13" s="111">
        <f t="shared" si="1"/>
        <v>7500</v>
      </c>
      <c r="P13" s="111">
        <f t="shared" si="1"/>
        <v>1250</v>
      </c>
      <c r="Q13" s="111">
        <f t="shared" si="1"/>
        <v>1000</v>
      </c>
      <c r="R13" s="111">
        <f t="shared" si="1"/>
        <v>750</v>
      </c>
      <c r="S13" s="111">
        <f t="shared" si="1"/>
        <v>2100</v>
      </c>
      <c r="T13" s="111">
        <f t="shared" si="1"/>
        <v>2800</v>
      </c>
      <c r="U13" s="111">
        <f t="shared" si="1"/>
        <v>11500</v>
      </c>
      <c r="V13" s="111">
        <f t="shared" si="1"/>
        <v>4600</v>
      </c>
      <c r="W13" s="104"/>
      <c r="X13" s="40" t="s">
        <v>18</v>
      </c>
      <c r="Y13" s="109">
        <v>0</v>
      </c>
      <c r="Z13" s="109">
        <v>0</v>
      </c>
      <c r="AA13" s="109">
        <v>0</v>
      </c>
      <c r="AB13" s="109">
        <v>0</v>
      </c>
      <c r="AC13" s="109">
        <v>3</v>
      </c>
      <c r="AD13" s="109">
        <v>0</v>
      </c>
    </row>
    <row r="14" spans="1:30" x14ac:dyDescent="0.3">
      <c r="A14" s="110">
        <v>46209</v>
      </c>
      <c r="B14" s="56">
        <f>IF($A14="","",SUMIFS(MPS_Scenario!$J:$J,MPS_Scenario!$A:$A,B$1,MPS_Scenario!$C:$C,$A14))</f>
        <v>12040</v>
      </c>
      <c r="C14" s="56">
        <f>IF($A14="","",SUMIFS(MPS_Scenario!$J:$J,MPS_Scenario!$A:$A,C$1,MPS_Scenario!$C:$C,$A14))</f>
        <v>2960</v>
      </c>
      <c r="D14" s="56">
        <f>IF($A14="","",SUMIFS(MPS_Scenario!$J:$J,MPS_Scenario!$A:$A,D$1,MPS_Scenario!$C:$C,$A14))</f>
        <v>2500</v>
      </c>
      <c r="E14" s="56">
        <f>IF($A14="","",SUMIFS(MPS_Scenario!$J:$J,MPS_Scenario!$A:$A,E$1,MPS_Scenario!$C:$C,$A14))</f>
        <v>500</v>
      </c>
      <c r="F14" s="56">
        <f>IF($A14="","",SUMIFS(MPS_Scenario!$J:$J,MPS_Scenario!$A:$A,F$1,MPS_Scenario!$C:$C,$A14))</f>
        <v>300</v>
      </c>
      <c r="G14" s="56">
        <f>IF($A14="","",SUMIFS(MPS_Scenario!$J:$J,MPS_Scenario!$A:$A,G$1,MPS_Scenario!$C:$C,$A14))</f>
        <v>2700</v>
      </c>
      <c r="H14" s="111">
        <f t="shared" si="1"/>
        <v>21000</v>
      </c>
      <c r="I14" s="111">
        <f t="shared" si="1"/>
        <v>5612.5</v>
      </c>
      <c r="J14" s="111">
        <f t="shared" si="1"/>
        <v>21000</v>
      </c>
      <c r="K14" s="111">
        <f t="shared" si="1"/>
        <v>24080</v>
      </c>
      <c r="L14" s="111">
        <f t="shared" si="1"/>
        <v>12040</v>
      </c>
      <c r="M14" s="111">
        <f t="shared" si="1"/>
        <v>7400</v>
      </c>
      <c r="N14" s="111">
        <f t="shared" si="1"/>
        <v>4440</v>
      </c>
      <c r="O14" s="111">
        <f t="shared" si="1"/>
        <v>7500</v>
      </c>
      <c r="P14" s="111">
        <f t="shared" si="1"/>
        <v>1250</v>
      </c>
      <c r="Q14" s="111">
        <f t="shared" si="1"/>
        <v>1000</v>
      </c>
      <c r="R14" s="111">
        <f t="shared" si="1"/>
        <v>750</v>
      </c>
      <c r="S14" s="111">
        <f t="shared" si="1"/>
        <v>900</v>
      </c>
      <c r="T14" s="111">
        <f t="shared" si="1"/>
        <v>1200</v>
      </c>
      <c r="U14" s="111">
        <f t="shared" si="1"/>
        <v>13500</v>
      </c>
      <c r="V14" s="111">
        <f t="shared" si="1"/>
        <v>5400</v>
      </c>
      <c r="W14" s="104"/>
      <c r="X14" s="40" t="s">
        <v>19</v>
      </c>
      <c r="Y14" s="109">
        <v>0</v>
      </c>
      <c r="Z14" s="109">
        <v>0</v>
      </c>
      <c r="AA14" s="109">
        <v>0</v>
      </c>
      <c r="AB14" s="109">
        <v>0</v>
      </c>
      <c r="AC14" s="109">
        <v>4</v>
      </c>
      <c r="AD14" s="109">
        <v>0</v>
      </c>
    </row>
    <row r="15" spans="1:30" x14ac:dyDescent="0.3">
      <c r="A15" s="110">
        <v>46216</v>
      </c>
      <c r="B15" s="56">
        <f>IF($A15="","",SUMIFS(MPS_Scenario!$J:$J,MPS_Scenario!$A:$A,B$1,MPS_Scenario!$C:$C,$A15))</f>
        <v>9246</v>
      </c>
      <c r="C15" s="56">
        <f>IF($A15="","",SUMIFS(MPS_Scenario!$J:$J,MPS_Scenario!$A:$A,C$1,MPS_Scenario!$C:$C,$A15))</f>
        <v>3000</v>
      </c>
      <c r="D15" s="56">
        <f>IF($A15="","",SUMIFS(MPS_Scenario!$J:$J,MPS_Scenario!$A:$A,D$1,MPS_Scenario!$C:$C,$A15))</f>
        <v>2500</v>
      </c>
      <c r="E15" s="56">
        <f>IF($A15="","",SUMIFS(MPS_Scenario!$J:$J,MPS_Scenario!$A:$A,E$1,MPS_Scenario!$C:$C,$A15))</f>
        <v>500</v>
      </c>
      <c r="F15" s="56">
        <f>IF($A15="","",SUMIFS(MPS_Scenario!$J:$J,MPS_Scenario!$A:$A,F$1,MPS_Scenario!$C:$C,$A15))</f>
        <v>300</v>
      </c>
      <c r="G15" s="56">
        <f>IF($A15="","",SUMIFS(MPS_Scenario!$J:$J,MPS_Scenario!$A:$A,G$1,MPS_Scenario!$C:$C,$A15))</f>
        <v>2700</v>
      </c>
      <c r="H15" s="111">
        <f t="shared" si="1"/>
        <v>18246</v>
      </c>
      <c r="I15" s="111">
        <f t="shared" si="1"/>
        <v>4924</v>
      </c>
      <c r="J15" s="111">
        <f t="shared" si="1"/>
        <v>18246</v>
      </c>
      <c r="K15" s="111">
        <f t="shared" si="1"/>
        <v>18492</v>
      </c>
      <c r="L15" s="111">
        <f t="shared" si="1"/>
        <v>9246</v>
      </c>
      <c r="M15" s="111">
        <f t="shared" si="1"/>
        <v>7500</v>
      </c>
      <c r="N15" s="111">
        <f t="shared" si="1"/>
        <v>4500</v>
      </c>
      <c r="O15" s="111">
        <f t="shared" si="1"/>
        <v>7500</v>
      </c>
      <c r="P15" s="111">
        <f t="shared" si="1"/>
        <v>1250</v>
      </c>
      <c r="Q15" s="111">
        <f t="shared" si="1"/>
        <v>1000</v>
      </c>
      <c r="R15" s="111">
        <f t="shared" si="1"/>
        <v>750</v>
      </c>
      <c r="S15" s="111">
        <f t="shared" si="1"/>
        <v>900</v>
      </c>
      <c r="T15" s="111">
        <f t="shared" si="1"/>
        <v>1200</v>
      </c>
      <c r="U15" s="111">
        <f t="shared" si="1"/>
        <v>13500</v>
      </c>
      <c r="V15" s="111">
        <f t="shared" si="1"/>
        <v>5400</v>
      </c>
      <c r="W15" s="104"/>
      <c r="X15" s="40" t="s">
        <v>20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5</v>
      </c>
    </row>
    <row r="16" spans="1:30" x14ac:dyDescent="0.3">
      <c r="A16" s="110">
        <v>46223</v>
      </c>
      <c r="B16" s="56">
        <f>IF($A16="","",SUMIFS(MPS_Scenario!$J:$J,MPS_Scenario!$A:$A,B$1,MPS_Scenario!$C:$C,$A16))</f>
        <v>5754</v>
      </c>
      <c r="C16" s="56">
        <f>IF($A16="","",SUMIFS(MPS_Scenario!$J:$J,MPS_Scenario!$A:$A,C$1,MPS_Scenario!$C:$C,$A16))</f>
        <v>4800</v>
      </c>
      <c r="D16" s="56">
        <f>IF($A16="","",SUMIFS(MPS_Scenario!$J:$J,MPS_Scenario!$A:$A,D$1,MPS_Scenario!$C:$C,$A16))</f>
        <v>1000</v>
      </c>
      <c r="E16" s="56">
        <f>IF($A16="","",SUMIFS(MPS_Scenario!$J:$J,MPS_Scenario!$A:$A,E$1,MPS_Scenario!$C:$C,$A16))</f>
        <v>0</v>
      </c>
      <c r="F16" s="56">
        <f>IF($A16="","",SUMIFS(MPS_Scenario!$J:$J,MPS_Scenario!$A:$A,F$1,MPS_Scenario!$C:$C,$A16))</f>
        <v>300</v>
      </c>
      <c r="G16" s="56">
        <f>IF($A16="","",SUMIFS(MPS_Scenario!$J:$J,MPS_Scenario!$A:$A,G$1,MPS_Scenario!$C:$C,$A16))</f>
        <v>2700</v>
      </c>
      <c r="H16" s="111">
        <f t="shared" si="1"/>
        <v>14554</v>
      </c>
      <c r="I16" s="111">
        <f t="shared" si="1"/>
        <v>3626</v>
      </c>
      <c r="J16" s="111">
        <f t="shared" si="1"/>
        <v>14554</v>
      </c>
      <c r="K16" s="111">
        <f t="shared" si="1"/>
        <v>11508</v>
      </c>
      <c r="L16" s="111">
        <f t="shared" si="1"/>
        <v>5754</v>
      </c>
      <c r="M16" s="111">
        <f t="shared" si="1"/>
        <v>12000</v>
      </c>
      <c r="N16" s="111">
        <f t="shared" si="1"/>
        <v>7200</v>
      </c>
      <c r="O16" s="111">
        <f t="shared" si="1"/>
        <v>3000</v>
      </c>
      <c r="P16" s="111">
        <f t="shared" si="1"/>
        <v>500</v>
      </c>
      <c r="Q16" s="111">
        <f t="shared" si="1"/>
        <v>0</v>
      </c>
      <c r="R16" s="111">
        <f t="shared" si="1"/>
        <v>0</v>
      </c>
      <c r="S16" s="111">
        <f t="shared" si="1"/>
        <v>900</v>
      </c>
      <c r="T16" s="111">
        <f t="shared" si="1"/>
        <v>1200</v>
      </c>
      <c r="U16" s="111">
        <f t="shared" si="1"/>
        <v>13500</v>
      </c>
      <c r="V16" s="111">
        <f t="shared" si="1"/>
        <v>5400</v>
      </c>
      <c r="W16" s="104"/>
      <c r="X16" s="40" t="s">
        <v>21</v>
      </c>
      <c r="Y16" s="109">
        <v>0</v>
      </c>
      <c r="Z16" s="109">
        <v>0</v>
      </c>
      <c r="AA16" s="109">
        <v>0</v>
      </c>
      <c r="AB16" s="109">
        <v>0</v>
      </c>
      <c r="AC16" s="109">
        <v>0</v>
      </c>
      <c r="AD16" s="109">
        <v>2</v>
      </c>
    </row>
    <row r="17" spans="1:30" x14ac:dyDescent="0.3">
      <c r="A17" s="110">
        <v>46230</v>
      </c>
      <c r="B17" s="56">
        <f>IF($A17="","",SUMIFS(MPS_Scenario!$J:$J,MPS_Scenario!$A:$A,B$1,MPS_Scenario!$C:$C,$A17))</f>
        <v>15000</v>
      </c>
      <c r="C17" s="56">
        <f>IF($A17="","",SUMIFS(MPS_Scenario!$J:$J,MPS_Scenario!$A:$A,C$1,MPS_Scenario!$C:$C,$A17))</f>
        <v>0</v>
      </c>
      <c r="D17" s="56">
        <f>IF($A17="","",SUMIFS(MPS_Scenario!$J:$J,MPS_Scenario!$A:$A,D$1,MPS_Scenario!$C:$C,$A17))</f>
        <v>1000</v>
      </c>
      <c r="E17" s="56">
        <f>IF($A17="","",SUMIFS(MPS_Scenario!$J:$J,MPS_Scenario!$A:$A,E$1,MPS_Scenario!$C:$C,$A17))</f>
        <v>0</v>
      </c>
      <c r="F17" s="56">
        <f>IF($A17="","",SUMIFS(MPS_Scenario!$J:$J,MPS_Scenario!$A:$A,F$1,MPS_Scenario!$C:$C,$A17))</f>
        <v>0</v>
      </c>
      <c r="G17" s="56">
        <f>IF($A17="","",SUMIFS(MPS_Scenario!$J:$J,MPS_Scenario!$A:$A,G$1,MPS_Scenario!$C:$C,$A17))</f>
        <v>476</v>
      </c>
      <c r="H17" s="111">
        <f t="shared" si="1"/>
        <v>16476</v>
      </c>
      <c r="I17" s="111">
        <f t="shared" si="1"/>
        <v>4309.5</v>
      </c>
      <c r="J17" s="111">
        <f t="shared" si="1"/>
        <v>16476</v>
      </c>
      <c r="K17" s="111">
        <f t="shared" si="1"/>
        <v>30000</v>
      </c>
      <c r="L17" s="111">
        <f t="shared" si="1"/>
        <v>15000</v>
      </c>
      <c r="M17" s="111">
        <f t="shared" si="1"/>
        <v>0</v>
      </c>
      <c r="N17" s="111">
        <f t="shared" si="1"/>
        <v>0</v>
      </c>
      <c r="O17" s="111">
        <f t="shared" si="1"/>
        <v>3000</v>
      </c>
      <c r="P17" s="111">
        <f t="shared" si="1"/>
        <v>500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2380</v>
      </c>
      <c r="V17" s="111">
        <f t="shared" si="1"/>
        <v>952</v>
      </c>
      <c r="W17" s="104"/>
      <c r="X17" s="104"/>
      <c r="Y17" s="104"/>
      <c r="Z17" s="104"/>
      <c r="AA17" s="104"/>
      <c r="AB17" s="104"/>
      <c r="AC17" s="104"/>
      <c r="AD17" s="104"/>
    </row>
    <row r="18" spans="1:30" x14ac:dyDescent="0.3">
      <c r="A18" s="110">
        <v>46237</v>
      </c>
      <c r="B18" s="56">
        <f>IF($A18="","",SUMIFS(MPS_Scenario!$J:$J,MPS_Scenario!$A:$A,B$1,MPS_Scenario!$C:$C,$A18))</f>
        <v>15000</v>
      </c>
      <c r="C18" s="56">
        <f>IF($A18="","",SUMIFS(MPS_Scenario!$J:$J,MPS_Scenario!$A:$A,C$1,MPS_Scenario!$C:$C,$A18))</f>
        <v>0</v>
      </c>
      <c r="D18" s="56">
        <f>IF($A18="","",SUMIFS(MPS_Scenario!$J:$J,MPS_Scenario!$A:$A,D$1,MPS_Scenario!$C:$C,$A18))</f>
        <v>1000</v>
      </c>
      <c r="E18" s="56">
        <f>IF($A18="","",SUMIFS(MPS_Scenario!$J:$J,MPS_Scenario!$A:$A,E$1,MPS_Scenario!$C:$C,$A18))</f>
        <v>400</v>
      </c>
      <c r="F18" s="56">
        <f>IF($A18="","",SUMIFS(MPS_Scenario!$J:$J,MPS_Scenario!$A:$A,F$1,MPS_Scenario!$C:$C,$A18))</f>
        <v>0</v>
      </c>
      <c r="G18" s="56">
        <f>IF($A18="","",SUMIFS(MPS_Scenario!$J:$J,MPS_Scenario!$A:$A,G$1,MPS_Scenario!$C:$C,$A18))</f>
        <v>1298</v>
      </c>
      <c r="H18" s="111">
        <f t="shared" si="1"/>
        <v>17698</v>
      </c>
      <c r="I18" s="111">
        <f t="shared" si="1"/>
        <v>4512.25</v>
      </c>
      <c r="J18" s="111">
        <f t="shared" si="1"/>
        <v>17698</v>
      </c>
      <c r="K18" s="111">
        <f t="shared" si="1"/>
        <v>30000</v>
      </c>
      <c r="L18" s="111">
        <f t="shared" si="1"/>
        <v>15000</v>
      </c>
      <c r="M18" s="111">
        <f t="shared" si="1"/>
        <v>0</v>
      </c>
      <c r="N18" s="111">
        <f t="shared" si="1"/>
        <v>0</v>
      </c>
      <c r="O18" s="111">
        <f t="shared" si="1"/>
        <v>3000</v>
      </c>
      <c r="P18" s="111">
        <f t="shared" si="1"/>
        <v>500</v>
      </c>
      <c r="Q18" s="111">
        <f t="shared" si="1"/>
        <v>800</v>
      </c>
      <c r="R18" s="111">
        <f t="shared" si="1"/>
        <v>600</v>
      </c>
      <c r="S18" s="111">
        <f t="shared" si="1"/>
        <v>0</v>
      </c>
      <c r="T18" s="111">
        <f t="shared" si="1"/>
        <v>0</v>
      </c>
      <c r="U18" s="111">
        <f t="shared" si="1"/>
        <v>6490</v>
      </c>
      <c r="V18" s="111">
        <f t="shared" si="1"/>
        <v>2596</v>
      </c>
      <c r="W18" s="104"/>
      <c r="X18" s="104"/>
      <c r="Y18" s="104"/>
      <c r="Z18" s="104"/>
      <c r="AA18" s="104"/>
      <c r="AB18" s="104"/>
      <c r="AC18" s="104"/>
      <c r="AD18" s="104"/>
    </row>
    <row r="19" spans="1:30" x14ac:dyDescent="0.3">
      <c r="A19" s="110">
        <v>46244</v>
      </c>
      <c r="B19" s="56">
        <f>IF($A19="","",SUMIFS(MPS_Scenario!$J:$J,MPS_Scenario!$A:$A,B$1,MPS_Scenario!$C:$C,$A19))</f>
        <v>4248</v>
      </c>
      <c r="C19" s="56">
        <f>IF($A19="","",SUMIFS(MPS_Scenario!$J:$J,MPS_Scenario!$A:$A,C$1,MPS_Scenario!$C:$C,$A19))</f>
        <v>2400</v>
      </c>
      <c r="D19" s="56">
        <f>IF($A19="","",SUMIFS(MPS_Scenario!$J:$J,MPS_Scenario!$A:$A,D$1,MPS_Scenario!$C:$C,$A19))</f>
        <v>1000</v>
      </c>
      <c r="E19" s="56">
        <f>IF($A19="","",SUMIFS(MPS_Scenario!$J:$J,MPS_Scenario!$A:$A,E$1,MPS_Scenario!$C:$C,$A19))</f>
        <v>0</v>
      </c>
      <c r="F19" s="56">
        <f>IF($A19="","",SUMIFS(MPS_Scenario!$J:$J,MPS_Scenario!$A:$A,F$1,MPS_Scenario!$C:$C,$A19))</f>
        <v>300</v>
      </c>
      <c r="G19" s="56">
        <f>IF($A19="","",SUMIFS(MPS_Scenario!$J:$J,MPS_Scenario!$A:$A,G$1,MPS_Scenario!$C:$C,$A19))</f>
        <v>1300</v>
      </c>
      <c r="H19" s="111">
        <f t="shared" si="1"/>
        <v>9248</v>
      </c>
      <c r="I19" s="111">
        <f t="shared" si="1"/>
        <v>2474.5</v>
      </c>
      <c r="J19" s="111">
        <f t="shared" si="1"/>
        <v>9248</v>
      </c>
      <c r="K19" s="111">
        <f t="shared" si="1"/>
        <v>8496</v>
      </c>
      <c r="L19" s="111">
        <f t="shared" si="1"/>
        <v>4248</v>
      </c>
      <c r="M19" s="111">
        <f t="shared" si="1"/>
        <v>6000</v>
      </c>
      <c r="N19" s="111">
        <f t="shared" si="1"/>
        <v>3600</v>
      </c>
      <c r="O19" s="111">
        <f t="shared" si="1"/>
        <v>3000</v>
      </c>
      <c r="P19" s="111">
        <f t="shared" si="1"/>
        <v>500</v>
      </c>
      <c r="Q19" s="111">
        <f t="shared" si="1"/>
        <v>0</v>
      </c>
      <c r="R19" s="111">
        <f t="shared" si="1"/>
        <v>0</v>
      </c>
      <c r="S19" s="111">
        <f t="shared" si="1"/>
        <v>900</v>
      </c>
      <c r="T19" s="111">
        <f t="shared" si="1"/>
        <v>1200</v>
      </c>
      <c r="U19" s="111">
        <f t="shared" si="1"/>
        <v>6500</v>
      </c>
      <c r="V19" s="111">
        <f t="shared" si="1"/>
        <v>2600</v>
      </c>
      <c r="W19" s="104"/>
      <c r="X19" s="104"/>
      <c r="Y19" s="104"/>
      <c r="Z19" s="104"/>
      <c r="AA19" s="104"/>
      <c r="AB19" s="104"/>
      <c r="AC19" s="104"/>
      <c r="AD19" s="104"/>
    </row>
    <row r="20" spans="1:30" x14ac:dyDescent="0.3">
      <c r="A20" s="110">
        <v>46251</v>
      </c>
      <c r="B20" s="56">
        <f>IF($A20="","",SUMIFS(MPS_Scenario!$J:$J,MPS_Scenario!$A:$A,B$1,MPS_Scenario!$C:$C,$A20))</f>
        <v>4248</v>
      </c>
      <c r="C20" s="56">
        <f>IF($A20="","",SUMIFS(MPS_Scenario!$J:$J,MPS_Scenario!$A:$A,C$1,MPS_Scenario!$C:$C,$A20))</f>
        <v>2400</v>
      </c>
      <c r="D20" s="56">
        <f>IF($A20="","",SUMIFS(MPS_Scenario!$J:$J,MPS_Scenario!$A:$A,D$1,MPS_Scenario!$C:$C,$A20))</f>
        <v>1000</v>
      </c>
      <c r="E20" s="56">
        <f>IF($A20="","",SUMIFS(MPS_Scenario!$J:$J,MPS_Scenario!$A:$A,E$1,MPS_Scenario!$C:$C,$A20))</f>
        <v>0</v>
      </c>
      <c r="F20" s="56">
        <f>IF($A20="","",SUMIFS(MPS_Scenario!$J:$J,MPS_Scenario!$A:$A,F$1,MPS_Scenario!$C:$C,$A20))</f>
        <v>0</v>
      </c>
      <c r="G20" s="56">
        <f>IF($A20="","",SUMIFS(MPS_Scenario!$J:$J,MPS_Scenario!$A:$A,G$1,MPS_Scenario!$C:$C,$A20))</f>
        <v>1298</v>
      </c>
      <c r="H20" s="111">
        <f t="shared" si="1"/>
        <v>8946</v>
      </c>
      <c r="I20" s="111">
        <f t="shared" si="1"/>
        <v>2324.25</v>
      </c>
      <c r="J20" s="111">
        <f t="shared" si="1"/>
        <v>8946</v>
      </c>
      <c r="K20" s="111">
        <f t="shared" si="1"/>
        <v>8496</v>
      </c>
      <c r="L20" s="111">
        <f t="shared" si="1"/>
        <v>4248</v>
      </c>
      <c r="M20" s="111">
        <f t="shared" si="1"/>
        <v>6000</v>
      </c>
      <c r="N20" s="111">
        <f t="shared" si="1"/>
        <v>3600</v>
      </c>
      <c r="O20" s="111">
        <f t="shared" si="1"/>
        <v>3000</v>
      </c>
      <c r="P20" s="111">
        <f t="shared" si="1"/>
        <v>500</v>
      </c>
      <c r="Q20" s="111">
        <f t="shared" si="1"/>
        <v>0</v>
      </c>
      <c r="R20" s="111">
        <f t="shared" si="1"/>
        <v>0</v>
      </c>
      <c r="S20" s="111">
        <f t="shared" si="1"/>
        <v>0</v>
      </c>
      <c r="T20" s="111">
        <f t="shared" si="1"/>
        <v>0</v>
      </c>
      <c r="U20" s="111">
        <f t="shared" si="1"/>
        <v>6490</v>
      </c>
      <c r="V20" s="111">
        <f t="shared" si="1"/>
        <v>2596</v>
      </c>
      <c r="W20" s="104"/>
      <c r="X20" s="104"/>
      <c r="Y20" s="104"/>
      <c r="Z20" s="104"/>
      <c r="AA20" s="104"/>
      <c r="AB20" s="104"/>
      <c r="AC20" s="104"/>
      <c r="AD20" s="104"/>
    </row>
    <row r="21" spans="1:30" x14ac:dyDescent="0.3">
      <c r="A21" s="110">
        <v>46258</v>
      </c>
      <c r="B21" s="56">
        <f>IF($A21="","",SUMIFS(MPS_Scenario!$J:$J,MPS_Scenario!$A:$A,B$1,MPS_Scenario!$C:$C,$A21))</f>
        <v>4249</v>
      </c>
      <c r="C21" s="56">
        <f>IF($A21="","",SUMIFS(MPS_Scenario!$J:$J,MPS_Scenario!$A:$A,C$1,MPS_Scenario!$C:$C,$A21))</f>
        <v>3750</v>
      </c>
      <c r="D21" s="56">
        <f>IF($A21="","",SUMIFS(MPS_Scenario!$J:$J,MPS_Scenario!$A:$A,D$1,MPS_Scenario!$C:$C,$A21))</f>
        <v>750</v>
      </c>
      <c r="E21" s="56">
        <f>IF($A21="","",SUMIFS(MPS_Scenario!$J:$J,MPS_Scenario!$A:$A,E$1,MPS_Scenario!$C:$C,$A21))</f>
        <v>400</v>
      </c>
      <c r="F21" s="56">
        <f>IF($A21="","",SUMIFS(MPS_Scenario!$J:$J,MPS_Scenario!$A:$A,F$1,MPS_Scenario!$C:$C,$A21))</f>
        <v>0</v>
      </c>
      <c r="G21" s="56">
        <f>IF($A21="","",SUMIFS(MPS_Scenario!$J:$J,MPS_Scenario!$A:$A,G$1,MPS_Scenario!$C:$C,$A21))</f>
        <v>1506</v>
      </c>
      <c r="H21" s="111">
        <f t="shared" si="1"/>
        <v>10655</v>
      </c>
      <c r="I21" s="111">
        <f t="shared" si="1"/>
        <v>2663</v>
      </c>
      <c r="J21" s="111">
        <f t="shared" si="1"/>
        <v>10655</v>
      </c>
      <c r="K21" s="111">
        <f t="shared" si="1"/>
        <v>8498</v>
      </c>
      <c r="L21" s="111">
        <f t="shared" si="1"/>
        <v>4249</v>
      </c>
      <c r="M21" s="111">
        <f t="shared" si="1"/>
        <v>9375</v>
      </c>
      <c r="N21" s="111">
        <f t="shared" si="1"/>
        <v>5625</v>
      </c>
      <c r="O21" s="111">
        <f t="shared" si="1"/>
        <v>2250</v>
      </c>
      <c r="P21" s="111">
        <f t="shared" si="1"/>
        <v>375</v>
      </c>
      <c r="Q21" s="111">
        <f t="shared" si="1"/>
        <v>800</v>
      </c>
      <c r="R21" s="111">
        <f t="shared" si="1"/>
        <v>600</v>
      </c>
      <c r="S21" s="111">
        <f t="shared" si="1"/>
        <v>0</v>
      </c>
      <c r="T21" s="111">
        <f t="shared" si="1"/>
        <v>0</v>
      </c>
      <c r="U21" s="111">
        <f t="shared" si="1"/>
        <v>7530</v>
      </c>
      <c r="V21" s="111">
        <f t="shared" si="1"/>
        <v>3012</v>
      </c>
      <c r="W21" s="104"/>
      <c r="X21" s="104"/>
      <c r="Y21" s="104"/>
      <c r="Z21" s="104"/>
      <c r="AA21" s="104"/>
      <c r="AB21" s="104"/>
      <c r="AC21" s="104"/>
      <c r="AD21" s="104"/>
    </row>
    <row r="22" spans="1:30" x14ac:dyDescent="0.3">
      <c r="A22" s="110">
        <v>46265</v>
      </c>
      <c r="B22" s="56">
        <f>IF($A22="","",SUMIFS(MPS_Scenario!$J:$J,MPS_Scenario!$A:$A,B$1,MPS_Scenario!$C:$C,$A22))</f>
        <v>4248</v>
      </c>
      <c r="C22" s="56">
        <f>IF($A22="","",SUMIFS(MPS_Scenario!$J:$J,MPS_Scenario!$A:$A,C$1,MPS_Scenario!$C:$C,$A22))</f>
        <v>3750</v>
      </c>
      <c r="D22" s="56">
        <f>IF($A22="","",SUMIFS(MPS_Scenario!$J:$J,MPS_Scenario!$A:$A,D$1,MPS_Scenario!$C:$C,$A22))</f>
        <v>750</v>
      </c>
      <c r="E22" s="56">
        <f>IF($A22="","",SUMIFS(MPS_Scenario!$J:$J,MPS_Scenario!$A:$A,E$1,MPS_Scenario!$C:$C,$A22))</f>
        <v>0</v>
      </c>
      <c r="F22" s="56">
        <f>IF($A22="","",SUMIFS(MPS_Scenario!$J:$J,MPS_Scenario!$A:$A,F$1,MPS_Scenario!$C:$C,$A22))</f>
        <v>300</v>
      </c>
      <c r="G22" s="56">
        <f>IF($A22="","",SUMIFS(MPS_Scenario!$J:$J,MPS_Scenario!$A:$A,G$1,MPS_Scenario!$C:$C,$A22))</f>
        <v>1506</v>
      </c>
      <c r="H22" s="111">
        <f t="shared" ref="H22:V31" si="2">IF($A22="","",SUMPRODUCT($B22:$G22,INDEX($Y$2:$AD$16,MATCH(H$1,$X$2:$X$16,0),0)))</f>
        <v>10554</v>
      </c>
      <c r="I22" s="111">
        <f t="shared" si="2"/>
        <v>2712.75</v>
      </c>
      <c r="J22" s="111">
        <f t="shared" si="2"/>
        <v>10554</v>
      </c>
      <c r="K22" s="111">
        <f t="shared" si="2"/>
        <v>8496</v>
      </c>
      <c r="L22" s="111">
        <f t="shared" si="2"/>
        <v>4248</v>
      </c>
      <c r="M22" s="111">
        <f t="shared" si="2"/>
        <v>9375</v>
      </c>
      <c r="N22" s="111">
        <f t="shared" si="2"/>
        <v>5625</v>
      </c>
      <c r="O22" s="111">
        <f t="shared" si="2"/>
        <v>2250</v>
      </c>
      <c r="P22" s="111">
        <f t="shared" si="2"/>
        <v>375</v>
      </c>
      <c r="Q22" s="111">
        <f t="shared" si="2"/>
        <v>0</v>
      </c>
      <c r="R22" s="111">
        <f t="shared" si="2"/>
        <v>0</v>
      </c>
      <c r="S22" s="111">
        <f t="shared" si="2"/>
        <v>900</v>
      </c>
      <c r="T22" s="111">
        <f t="shared" si="2"/>
        <v>1200</v>
      </c>
      <c r="U22" s="111">
        <f t="shared" si="2"/>
        <v>7530</v>
      </c>
      <c r="V22" s="111">
        <f t="shared" si="2"/>
        <v>3012</v>
      </c>
      <c r="W22" s="104"/>
      <c r="X22" s="104"/>
      <c r="Y22" s="104"/>
      <c r="Z22" s="104"/>
      <c r="AA22" s="104"/>
      <c r="AB22" s="104"/>
      <c r="AC22" s="104"/>
      <c r="AD22" s="104"/>
    </row>
    <row r="23" spans="1:30" x14ac:dyDescent="0.3">
      <c r="A23" s="110">
        <v>46272</v>
      </c>
      <c r="B23" s="56">
        <f>IF($A23="","",SUMIFS(MPS_Scenario!$J:$J,MPS_Scenario!$A:$A,B$1,MPS_Scenario!$C:$C,$A23))</f>
        <v>2391</v>
      </c>
      <c r="C23" s="56">
        <f>IF($A23="","",SUMIFS(MPS_Scenario!$J:$J,MPS_Scenario!$A:$A,C$1,MPS_Scenario!$C:$C,$A23))</f>
        <v>3750</v>
      </c>
      <c r="D23" s="56">
        <f>IF($A23="","",SUMIFS(MPS_Scenario!$J:$J,MPS_Scenario!$A:$A,D$1,MPS_Scenario!$C:$C,$A23))</f>
        <v>750</v>
      </c>
      <c r="E23" s="56">
        <f>IF($A23="","",SUMIFS(MPS_Scenario!$J:$J,MPS_Scenario!$A:$A,E$1,MPS_Scenario!$C:$C,$A23))</f>
        <v>400</v>
      </c>
      <c r="F23" s="56">
        <f>IF($A23="","",SUMIFS(MPS_Scenario!$J:$J,MPS_Scenario!$A:$A,F$1,MPS_Scenario!$C:$C,$A23))</f>
        <v>0</v>
      </c>
      <c r="G23" s="56">
        <f>IF($A23="","",SUMIFS(MPS_Scenario!$J:$J,MPS_Scenario!$A:$A,G$1,MPS_Scenario!$C:$C,$A23))</f>
        <v>1506</v>
      </c>
      <c r="H23" s="111">
        <f t="shared" si="2"/>
        <v>8797</v>
      </c>
      <c r="I23" s="111">
        <f t="shared" si="2"/>
        <v>2198.5</v>
      </c>
      <c r="J23" s="111">
        <f t="shared" si="2"/>
        <v>8797</v>
      </c>
      <c r="K23" s="111">
        <f t="shared" si="2"/>
        <v>4782</v>
      </c>
      <c r="L23" s="111">
        <f t="shared" si="2"/>
        <v>2391</v>
      </c>
      <c r="M23" s="111">
        <f t="shared" si="2"/>
        <v>9375</v>
      </c>
      <c r="N23" s="111">
        <f t="shared" si="2"/>
        <v>5625</v>
      </c>
      <c r="O23" s="111">
        <f t="shared" si="2"/>
        <v>2250</v>
      </c>
      <c r="P23" s="111">
        <f t="shared" si="2"/>
        <v>375</v>
      </c>
      <c r="Q23" s="111">
        <f t="shared" si="2"/>
        <v>800</v>
      </c>
      <c r="R23" s="111">
        <f t="shared" si="2"/>
        <v>600</v>
      </c>
      <c r="S23" s="111">
        <f t="shared" si="2"/>
        <v>0</v>
      </c>
      <c r="T23" s="111">
        <f t="shared" si="2"/>
        <v>0</v>
      </c>
      <c r="U23" s="111">
        <f t="shared" si="2"/>
        <v>7530</v>
      </c>
      <c r="V23" s="111">
        <f t="shared" si="2"/>
        <v>3012</v>
      </c>
      <c r="W23" s="104"/>
      <c r="X23" s="104"/>
      <c r="Y23" s="104"/>
      <c r="Z23" s="104"/>
      <c r="AA23" s="104"/>
      <c r="AB23" s="104"/>
      <c r="AC23" s="104"/>
      <c r="AD23" s="104"/>
    </row>
    <row r="24" spans="1:30" x14ac:dyDescent="0.3">
      <c r="A24" s="110">
        <v>46279</v>
      </c>
      <c r="B24" s="56">
        <f>IF($A24="","",SUMIFS(MPS_Scenario!$J:$J,MPS_Scenario!$A:$A,B$1,MPS_Scenario!$C:$C,$A24))</f>
        <v>2392</v>
      </c>
      <c r="C24" s="56">
        <f>IF($A24="","",SUMIFS(MPS_Scenario!$J:$J,MPS_Scenario!$A:$A,C$1,MPS_Scenario!$C:$C,$A24))</f>
        <v>3850</v>
      </c>
      <c r="D24" s="56">
        <f>IF($A24="","",SUMIFS(MPS_Scenario!$J:$J,MPS_Scenario!$A:$A,D$1,MPS_Scenario!$C:$C,$A24))</f>
        <v>750</v>
      </c>
      <c r="E24" s="56">
        <f>IF($A24="","",SUMIFS(MPS_Scenario!$J:$J,MPS_Scenario!$A:$A,E$1,MPS_Scenario!$C:$C,$A24))</f>
        <v>0</v>
      </c>
      <c r="F24" s="56">
        <f>IF($A24="","",SUMIFS(MPS_Scenario!$J:$J,MPS_Scenario!$A:$A,F$1,MPS_Scenario!$C:$C,$A24))</f>
        <v>0</v>
      </c>
      <c r="G24" s="56">
        <f>IF($A24="","",SUMIFS(MPS_Scenario!$J:$J,MPS_Scenario!$A:$A,G$1,MPS_Scenario!$C:$C,$A24))</f>
        <v>1506</v>
      </c>
      <c r="H24" s="111">
        <f t="shared" si="2"/>
        <v>8498</v>
      </c>
      <c r="I24" s="111">
        <f t="shared" si="2"/>
        <v>2123.75</v>
      </c>
      <c r="J24" s="111">
        <f t="shared" si="2"/>
        <v>8498</v>
      </c>
      <c r="K24" s="111">
        <f t="shared" si="2"/>
        <v>4784</v>
      </c>
      <c r="L24" s="111">
        <f t="shared" si="2"/>
        <v>2392</v>
      </c>
      <c r="M24" s="111">
        <f t="shared" si="2"/>
        <v>9625</v>
      </c>
      <c r="N24" s="111">
        <f t="shared" si="2"/>
        <v>5775</v>
      </c>
      <c r="O24" s="111">
        <f t="shared" si="2"/>
        <v>2250</v>
      </c>
      <c r="P24" s="111">
        <f t="shared" si="2"/>
        <v>375</v>
      </c>
      <c r="Q24" s="111">
        <f t="shared" si="2"/>
        <v>0</v>
      </c>
      <c r="R24" s="111">
        <f t="shared" si="2"/>
        <v>0</v>
      </c>
      <c r="S24" s="111">
        <f t="shared" si="2"/>
        <v>0</v>
      </c>
      <c r="T24" s="111">
        <f t="shared" si="2"/>
        <v>0</v>
      </c>
      <c r="U24" s="111">
        <f t="shared" si="2"/>
        <v>7530</v>
      </c>
      <c r="V24" s="111">
        <f t="shared" si="2"/>
        <v>3012</v>
      </c>
      <c r="W24" s="104"/>
      <c r="X24" s="104"/>
      <c r="Y24" s="104"/>
      <c r="Z24" s="104"/>
      <c r="AA24" s="104"/>
      <c r="AB24" s="104"/>
      <c r="AC24" s="104"/>
      <c r="AD24" s="104"/>
    </row>
    <row r="25" spans="1:30" x14ac:dyDescent="0.3">
      <c r="A25" s="110">
        <v>46286</v>
      </c>
      <c r="B25" s="56">
        <f>IF($A25="","",SUMIFS(MPS_Scenario!$J:$J,MPS_Scenario!$A:$A,B$1,MPS_Scenario!$C:$C,$A25))</f>
        <v>2391</v>
      </c>
      <c r="C25" s="56">
        <f>IF($A25="","",SUMIFS(MPS_Scenario!$J:$J,MPS_Scenario!$A:$A,C$1,MPS_Scenario!$C:$C,$A25))</f>
        <v>12609</v>
      </c>
      <c r="D25" s="56">
        <f>IF($A25="","",SUMIFS(MPS_Scenario!$J:$J,MPS_Scenario!$A:$A,D$1,MPS_Scenario!$C:$C,$A25))</f>
        <v>600</v>
      </c>
      <c r="E25" s="56">
        <f>IF($A25="","",SUMIFS(MPS_Scenario!$J:$J,MPS_Scenario!$A:$A,E$1,MPS_Scenario!$C:$C,$A25))</f>
        <v>360</v>
      </c>
      <c r="F25" s="56">
        <f>IF($A25="","",SUMIFS(MPS_Scenario!$J:$J,MPS_Scenario!$A:$A,F$1,MPS_Scenario!$C:$C,$A25))</f>
        <v>0</v>
      </c>
      <c r="G25" s="56">
        <f>IF($A25="","",SUMIFS(MPS_Scenario!$J:$J,MPS_Scenario!$A:$A,G$1,MPS_Scenario!$C:$C,$A25))</f>
        <v>1446</v>
      </c>
      <c r="H25" s="111">
        <f t="shared" si="2"/>
        <v>17406</v>
      </c>
      <c r="I25" s="111">
        <f t="shared" si="2"/>
        <v>4320.75</v>
      </c>
      <c r="J25" s="111">
        <f t="shared" si="2"/>
        <v>17406</v>
      </c>
      <c r="K25" s="111">
        <f t="shared" si="2"/>
        <v>4782</v>
      </c>
      <c r="L25" s="111">
        <f t="shared" si="2"/>
        <v>2391</v>
      </c>
      <c r="M25" s="111">
        <f t="shared" si="2"/>
        <v>31522.5</v>
      </c>
      <c r="N25" s="111">
        <f t="shared" si="2"/>
        <v>18913.5</v>
      </c>
      <c r="O25" s="111">
        <f t="shared" si="2"/>
        <v>1800</v>
      </c>
      <c r="P25" s="111">
        <f t="shared" si="2"/>
        <v>300</v>
      </c>
      <c r="Q25" s="111">
        <f t="shared" si="2"/>
        <v>720</v>
      </c>
      <c r="R25" s="111">
        <f t="shared" si="2"/>
        <v>540</v>
      </c>
      <c r="S25" s="111">
        <f t="shared" si="2"/>
        <v>0</v>
      </c>
      <c r="T25" s="111">
        <f t="shared" si="2"/>
        <v>0</v>
      </c>
      <c r="U25" s="111">
        <f t="shared" si="2"/>
        <v>7230</v>
      </c>
      <c r="V25" s="111">
        <f t="shared" si="2"/>
        <v>2892</v>
      </c>
      <c r="W25" s="104"/>
      <c r="X25" s="104"/>
      <c r="Y25" s="104"/>
      <c r="Z25" s="104"/>
      <c r="AA25" s="104"/>
      <c r="AB25" s="104"/>
      <c r="AC25" s="104"/>
      <c r="AD25" s="104"/>
    </row>
    <row r="26" spans="1:30" x14ac:dyDescent="0.3">
      <c r="A26" s="110">
        <v>46293</v>
      </c>
      <c r="B26" s="56">
        <f>IF($A26="","",SUMIFS(MPS_Scenario!$J:$J,MPS_Scenario!$A:$A,B$1,MPS_Scenario!$C:$C,$A26))</f>
        <v>6459</v>
      </c>
      <c r="C26" s="56">
        <f>IF($A26="","",SUMIFS(MPS_Scenario!$J:$J,MPS_Scenario!$A:$A,C$1,MPS_Scenario!$C:$C,$A26))</f>
        <v>8291</v>
      </c>
      <c r="D26" s="56">
        <f>IF($A26="","",SUMIFS(MPS_Scenario!$J:$J,MPS_Scenario!$A:$A,D$1,MPS_Scenario!$C:$C,$A26))</f>
        <v>600</v>
      </c>
      <c r="E26" s="56">
        <f>IF($A26="","",SUMIFS(MPS_Scenario!$J:$J,MPS_Scenario!$A:$A,E$1,MPS_Scenario!$C:$C,$A26))</f>
        <v>360</v>
      </c>
      <c r="F26" s="56">
        <f>IF($A26="","",SUMIFS(MPS_Scenario!$J:$J,MPS_Scenario!$A:$A,F$1,MPS_Scenario!$C:$C,$A26))</f>
        <v>300</v>
      </c>
      <c r="G26" s="56">
        <f>IF($A26="","",SUMIFS(MPS_Scenario!$J:$J,MPS_Scenario!$A:$A,G$1,MPS_Scenario!$C:$C,$A26))</f>
        <v>0</v>
      </c>
      <c r="H26" s="111">
        <f t="shared" si="2"/>
        <v>16010</v>
      </c>
      <c r="I26" s="111">
        <f t="shared" si="2"/>
        <v>4227.5</v>
      </c>
      <c r="J26" s="111">
        <f t="shared" si="2"/>
        <v>16010</v>
      </c>
      <c r="K26" s="111">
        <f t="shared" si="2"/>
        <v>12918</v>
      </c>
      <c r="L26" s="111">
        <f t="shared" si="2"/>
        <v>6459</v>
      </c>
      <c r="M26" s="111">
        <f t="shared" si="2"/>
        <v>20727.5</v>
      </c>
      <c r="N26" s="111">
        <f t="shared" si="2"/>
        <v>12436.5</v>
      </c>
      <c r="O26" s="111">
        <f t="shared" si="2"/>
        <v>1800</v>
      </c>
      <c r="P26" s="111">
        <f t="shared" si="2"/>
        <v>300</v>
      </c>
      <c r="Q26" s="111">
        <f t="shared" si="2"/>
        <v>720</v>
      </c>
      <c r="R26" s="111">
        <f t="shared" si="2"/>
        <v>540</v>
      </c>
      <c r="S26" s="111">
        <f t="shared" si="2"/>
        <v>900</v>
      </c>
      <c r="T26" s="111">
        <f t="shared" si="2"/>
        <v>1200</v>
      </c>
      <c r="U26" s="111">
        <f t="shared" si="2"/>
        <v>0</v>
      </c>
      <c r="V26" s="111">
        <f t="shared" si="2"/>
        <v>0</v>
      </c>
      <c r="W26" s="104"/>
      <c r="X26" s="104"/>
      <c r="Y26" s="104"/>
      <c r="Z26" s="104"/>
      <c r="AA26" s="104"/>
      <c r="AB26" s="104"/>
      <c r="AC26" s="104"/>
      <c r="AD26" s="104"/>
    </row>
    <row r="27" spans="1:30" x14ac:dyDescent="0.3">
      <c r="A27" s="110">
        <v>46300</v>
      </c>
      <c r="B27" s="56">
        <f>IF($A27="","",SUMIFS(MPS_Scenario!$J:$J,MPS_Scenario!$A:$A,B$1,MPS_Scenario!$C:$C,$A27))</f>
        <v>15000</v>
      </c>
      <c r="C27" s="56">
        <f>IF($A27="","",SUMIFS(MPS_Scenario!$J:$J,MPS_Scenario!$A:$A,C$1,MPS_Scenario!$C:$C,$A27))</f>
        <v>0</v>
      </c>
      <c r="D27" s="56">
        <f>IF($A27="","",SUMIFS(MPS_Scenario!$J:$J,MPS_Scenario!$A:$A,D$1,MPS_Scenario!$C:$C,$A27))</f>
        <v>600</v>
      </c>
      <c r="E27" s="56">
        <f>IF($A27="","",SUMIFS(MPS_Scenario!$J:$J,MPS_Scenario!$A:$A,E$1,MPS_Scenario!$C:$C,$A27))</f>
        <v>360</v>
      </c>
      <c r="F27" s="56">
        <f>IF($A27="","",SUMIFS(MPS_Scenario!$J:$J,MPS_Scenario!$A:$A,F$1,MPS_Scenario!$C:$C,$A27))</f>
        <v>0</v>
      </c>
      <c r="G27" s="56">
        <f>IF($A27="","",SUMIFS(MPS_Scenario!$J:$J,MPS_Scenario!$A:$A,G$1,MPS_Scenario!$C:$C,$A27))</f>
        <v>0</v>
      </c>
      <c r="H27" s="111">
        <f t="shared" si="2"/>
        <v>15960</v>
      </c>
      <c r="I27" s="111">
        <f t="shared" si="2"/>
        <v>4140</v>
      </c>
      <c r="J27" s="111">
        <f t="shared" si="2"/>
        <v>15960</v>
      </c>
      <c r="K27" s="111">
        <f t="shared" si="2"/>
        <v>30000</v>
      </c>
      <c r="L27" s="111">
        <f t="shared" si="2"/>
        <v>15000</v>
      </c>
      <c r="M27" s="111">
        <f t="shared" si="2"/>
        <v>0</v>
      </c>
      <c r="N27" s="111">
        <f t="shared" si="2"/>
        <v>0</v>
      </c>
      <c r="O27" s="111">
        <f t="shared" si="2"/>
        <v>1800</v>
      </c>
      <c r="P27" s="111">
        <f t="shared" si="2"/>
        <v>300</v>
      </c>
      <c r="Q27" s="111">
        <f t="shared" si="2"/>
        <v>720</v>
      </c>
      <c r="R27" s="111">
        <f t="shared" si="2"/>
        <v>540</v>
      </c>
      <c r="S27" s="111">
        <f t="shared" si="2"/>
        <v>0</v>
      </c>
      <c r="T27" s="111">
        <f t="shared" si="2"/>
        <v>0</v>
      </c>
      <c r="U27" s="111">
        <f t="shared" si="2"/>
        <v>0</v>
      </c>
      <c r="V27" s="111">
        <f t="shared" si="2"/>
        <v>0</v>
      </c>
      <c r="W27" s="104"/>
      <c r="X27" s="104"/>
      <c r="Y27" s="104"/>
      <c r="Z27" s="104"/>
      <c r="AA27" s="104"/>
      <c r="AB27" s="104"/>
      <c r="AC27" s="104"/>
      <c r="AD27" s="104"/>
    </row>
    <row r="28" spans="1:30" x14ac:dyDescent="0.3">
      <c r="A28" s="110">
        <v>46307</v>
      </c>
      <c r="B28" s="56">
        <f>IF($A28="","",SUMIFS(MPS_Scenario!$J:$J,MPS_Scenario!$A:$A,B$1,MPS_Scenario!$C:$C,$A28))</f>
        <v>15000</v>
      </c>
      <c r="C28" s="56">
        <f>IF($A28="","",SUMIFS(MPS_Scenario!$J:$J,MPS_Scenario!$A:$A,C$1,MPS_Scenario!$C:$C,$A28))</f>
        <v>0</v>
      </c>
      <c r="D28" s="56">
        <f>IF($A28="","",SUMIFS(MPS_Scenario!$J:$J,MPS_Scenario!$A:$A,D$1,MPS_Scenario!$C:$C,$A28))</f>
        <v>600</v>
      </c>
      <c r="E28" s="56">
        <f>IF($A28="","",SUMIFS(MPS_Scenario!$J:$J,MPS_Scenario!$A:$A,E$1,MPS_Scenario!$C:$C,$A28))</f>
        <v>360</v>
      </c>
      <c r="F28" s="56">
        <f>IF($A28="","",SUMIFS(MPS_Scenario!$J:$J,MPS_Scenario!$A:$A,F$1,MPS_Scenario!$C:$C,$A28))</f>
        <v>0</v>
      </c>
      <c r="G28" s="56">
        <f>IF($A28="","",SUMIFS(MPS_Scenario!$J:$J,MPS_Scenario!$A:$A,G$1,MPS_Scenario!$C:$C,$A28))</f>
        <v>1448</v>
      </c>
      <c r="H28" s="111">
        <f t="shared" si="2"/>
        <v>17408</v>
      </c>
      <c r="I28" s="111">
        <f t="shared" si="2"/>
        <v>4321</v>
      </c>
      <c r="J28" s="111">
        <f t="shared" si="2"/>
        <v>17408</v>
      </c>
      <c r="K28" s="111">
        <f t="shared" si="2"/>
        <v>30000</v>
      </c>
      <c r="L28" s="111">
        <f t="shared" si="2"/>
        <v>15000</v>
      </c>
      <c r="M28" s="111">
        <f t="shared" si="2"/>
        <v>0</v>
      </c>
      <c r="N28" s="111">
        <f t="shared" si="2"/>
        <v>0</v>
      </c>
      <c r="O28" s="111">
        <f t="shared" si="2"/>
        <v>1800</v>
      </c>
      <c r="P28" s="111">
        <f t="shared" si="2"/>
        <v>300</v>
      </c>
      <c r="Q28" s="111">
        <f t="shared" si="2"/>
        <v>720</v>
      </c>
      <c r="R28" s="111">
        <f t="shared" si="2"/>
        <v>540</v>
      </c>
      <c r="S28" s="111">
        <f t="shared" si="2"/>
        <v>0</v>
      </c>
      <c r="T28" s="111">
        <f t="shared" si="2"/>
        <v>0</v>
      </c>
      <c r="U28" s="111">
        <f t="shared" si="2"/>
        <v>7240</v>
      </c>
      <c r="V28" s="111">
        <f t="shared" si="2"/>
        <v>2896</v>
      </c>
      <c r="W28" s="104"/>
      <c r="X28" s="104"/>
      <c r="Y28" s="104"/>
      <c r="Z28" s="104"/>
      <c r="AA28" s="104"/>
      <c r="AB28" s="104"/>
      <c r="AC28" s="104"/>
      <c r="AD28" s="104"/>
    </row>
    <row r="29" spans="1:30" x14ac:dyDescent="0.3">
      <c r="A29" s="110">
        <v>46314</v>
      </c>
      <c r="B29" s="56">
        <f>IF($A29="","",SUMIFS(MPS_Scenario!$J:$J,MPS_Scenario!$A:$A,B$1,MPS_Scenario!$C:$C,$A29))</f>
        <v>15000</v>
      </c>
      <c r="C29" s="56">
        <f>IF($A29="","",SUMIFS(MPS_Scenario!$J:$J,MPS_Scenario!$A:$A,C$1,MPS_Scenario!$C:$C,$A29))</f>
        <v>0</v>
      </c>
      <c r="D29" s="56">
        <f>IF($A29="","",SUMIFS(MPS_Scenario!$J:$J,MPS_Scenario!$A:$A,D$1,MPS_Scenario!$C:$C,$A29))</f>
        <v>600</v>
      </c>
      <c r="E29" s="56">
        <f>IF($A29="","",SUMIFS(MPS_Scenario!$J:$J,MPS_Scenario!$A:$A,E$1,MPS_Scenario!$C:$C,$A29))</f>
        <v>360</v>
      </c>
      <c r="F29" s="56">
        <f>IF($A29="","",SUMIFS(MPS_Scenario!$J:$J,MPS_Scenario!$A:$A,F$1,MPS_Scenario!$C:$C,$A29))</f>
        <v>0</v>
      </c>
      <c r="G29" s="56">
        <f>IF($A29="","",SUMIFS(MPS_Scenario!$J:$J,MPS_Scenario!$A:$A,G$1,MPS_Scenario!$C:$C,$A29))</f>
        <v>1448</v>
      </c>
      <c r="H29" s="111">
        <f t="shared" si="2"/>
        <v>17408</v>
      </c>
      <c r="I29" s="111">
        <f t="shared" si="2"/>
        <v>4321</v>
      </c>
      <c r="J29" s="111">
        <f t="shared" si="2"/>
        <v>17408</v>
      </c>
      <c r="K29" s="111">
        <f t="shared" si="2"/>
        <v>30000</v>
      </c>
      <c r="L29" s="111">
        <f t="shared" si="2"/>
        <v>15000</v>
      </c>
      <c r="M29" s="111">
        <f t="shared" si="2"/>
        <v>0</v>
      </c>
      <c r="N29" s="111">
        <f t="shared" si="2"/>
        <v>0</v>
      </c>
      <c r="O29" s="111">
        <f t="shared" si="2"/>
        <v>1800</v>
      </c>
      <c r="P29" s="111">
        <f t="shared" si="2"/>
        <v>300</v>
      </c>
      <c r="Q29" s="111">
        <f t="shared" si="2"/>
        <v>720</v>
      </c>
      <c r="R29" s="111">
        <f t="shared" si="2"/>
        <v>540</v>
      </c>
      <c r="S29" s="111">
        <f t="shared" si="2"/>
        <v>0</v>
      </c>
      <c r="T29" s="111">
        <f t="shared" si="2"/>
        <v>0</v>
      </c>
      <c r="U29" s="111">
        <f t="shared" si="2"/>
        <v>7240</v>
      </c>
      <c r="V29" s="111">
        <f t="shared" si="2"/>
        <v>2896</v>
      </c>
      <c r="W29" s="104"/>
      <c r="X29" s="104"/>
      <c r="Y29" s="104"/>
      <c r="Z29" s="104"/>
      <c r="AA29" s="104"/>
      <c r="AB29" s="104"/>
      <c r="AC29" s="104"/>
      <c r="AD29" s="104"/>
    </row>
    <row r="30" spans="1:30" x14ac:dyDescent="0.3">
      <c r="A30" s="110">
        <v>46321</v>
      </c>
      <c r="B30" s="56">
        <f>IF($A30="","",SUMIFS(MPS_Scenario!$J:$J,MPS_Scenario!$A:$A,B$1,MPS_Scenario!$C:$C,$A30))</f>
        <v>15000</v>
      </c>
      <c r="C30" s="56">
        <f>IF($A30="","",SUMIFS(MPS_Scenario!$J:$J,MPS_Scenario!$A:$A,C$1,MPS_Scenario!$C:$C,$A30))</f>
        <v>0</v>
      </c>
      <c r="D30" s="56">
        <f>IF($A30="","",SUMIFS(MPS_Scenario!$J:$J,MPS_Scenario!$A:$A,D$1,MPS_Scenario!$C:$C,$A30))</f>
        <v>500</v>
      </c>
      <c r="E30" s="56">
        <f>IF($A30="","",SUMIFS(MPS_Scenario!$J:$J,MPS_Scenario!$A:$A,E$1,MPS_Scenario!$C:$C,$A30))</f>
        <v>1000</v>
      </c>
      <c r="F30" s="56">
        <f>IF($A30="","",SUMIFS(MPS_Scenario!$J:$J,MPS_Scenario!$A:$A,F$1,MPS_Scenario!$C:$C,$A30))</f>
        <v>0</v>
      </c>
      <c r="G30" s="56">
        <f>IF($A30="","",SUMIFS(MPS_Scenario!$J:$J,MPS_Scenario!$A:$A,G$1,MPS_Scenario!$C:$C,$A30))</f>
        <v>1448</v>
      </c>
      <c r="H30" s="111">
        <f t="shared" si="2"/>
        <v>17948</v>
      </c>
      <c r="I30" s="111">
        <f t="shared" si="2"/>
        <v>4431</v>
      </c>
      <c r="J30" s="111">
        <f t="shared" si="2"/>
        <v>17948</v>
      </c>
      <c r="K30" s="111">
        <f t="shared" si="2"/>
        <v>30000</v>
      </c>
      <c r="L30" s="111">
        <f t="shared" si="2"/>
        <v>15000</v>
      </c>
      <c r="M30" s="111">
        <f t="shared" si="2"/>
        <v>0</v>
      </c>
      <c r="N30" s="111">
        <f t="shared" si="2"/>
        <v>0</v>
      </c>
      <c r="O30" s="111">
        <f t="shared" si="2"/>
        <v>1500</v>
      </c>
      <c r="P30" s="111">
        <f t="shared" si="2"/>
        <v>250</v>
      </c>
      <c r="Q30" s="111">
        <f t="shared" si="2"/>
        <v>2000</v>
      </c>
      <c r="R30" s="111">
        <f t="shared" si="2"/>
        <v>1500</v>
      </c>
      <c r="S30" s="111">
        <f t="shared" si="2"/>
        <v>0</v>
      </c>
      <c r="T30" s="111">
        <f t="shared" si="2"/>
        <v>0</v>
      </c>
      <c r="U30" s="111">
        <f t="shared" si="2"/>
        <v>7240</v>
      </c>
      <c r="V30" s="111">
        <f t="shared" si="2"/>
        <v>2896</v>
      </c>
      <c r="W30" s="104"/>
      <c r="X30" s="104"/>
      <c r="Y30" s="104"/>
      <c r="Z30" s="104"/>
      <c r="AA30" s="104"/>
      <c r="AB30" s="104"/>
      <c r="AC30" s="104"/>
      <c r="AD30" s="104"/>
    </row>
    <row r="31" spans="1:30" x14ac:dyDescent="0.3">
      <c r="A31" s="110">
        <v>46328</v>
      </c>
      <c r="B31" s="56">
        <f>IF($A31="","",SUMIFS(MPS_Scenario!$J:$J,MPS_Scenario!$A:$A,B$1,MPS_Scenario!$C:$C,$A31))</f>
        <v>4281</v>
      </c>
      <c r="C31" s="56">
        <f>IF($A31="","",SUMIFS(MPS_Scenario!$J:$J,MPS_Scenario!$A:$A,C$1,MPS_Scenario!$C:$C,$A31))</f>
        <v>6250</v>
      </c>
      <c r="D31" s="56">
        <f>IF($A31="","",SUMIFS(MPS_Scenario!$J:$J,MPS_Scenario!$A:$A,D$1,MPS_Scenario!$C:$C,$A31))</f>
        <v>500</v>
      </c>
      <c r="E31" s="56">
        <f>IF($A31="","",SUMIFS(MPS_Scenario!$J:$J,MPS_Scenario!$A:$A,E$1,MPS_Scenario!$C:$C,$A31))</f>
        <v>1000</v>
      </c>
      <c r="F31" s="56">
        <f>IF($A31="","",SUMIFS(MPS_Scenario!$J:$J,MPS_Scenario!$A:$A,F$1,MPS_Scenario!$C:$C,$A31))</f>
        <v>300</v>
      </c>
      <c r="G31" s="56">
        <f>IF($A31="","",SUMIFS(MPS_Scenario!$J:$J,MPS_Scenario!$A:$A,G$1,MPS_Scenario!$C:$C,$A31))</f>
        <v>1754</v>
      </c>
      <c r="H31" s="111">
        <f t="shared" si="2"/>
        <v>14085</v>
      </c>
      <c r="I31" s="111">
        <f t="shared" si="2"/>
        <v>3502</v>
      </c>
      <c r="J31" s="111">
        <f t="shared" si="2"/>
        <v>14085</v>
      </c>
      <c r="K31" s="111">
        <f t="shared" si="2"/>
        <v>8562</v>
      </c>
      <c r="L31" s="111">
        <f t="shared" si="2"/>
        <v>4281</v>
      </c>
      <c r="M31" s="111">
        <f t="shared" si="2"/>
        <v>15625</v>
      </c>
      <c r="N31" s="111">
        <f t="shared" si="2"/>
        <v>9375</v>
      </c>
      <c r="O31" s="111">
        <f t="shared" si="2"/>
        <v>1500</v>
      </c>
      <c r="P31" s="111">
        <f t="shared" si="2"/>
        <v>250</v>
      </c>
      <c r="Q31" s="111">
        <f t="shared" si="2"/>
        <v>2000</v>
      </c>
      <c r="R31" s="111">
        <f t="shared" si="2"/>
        <v>1500</v>
      </c>
      <c r="S31" s="111">
        <f t="shared" si="2"/>
        <v>900</v>
      </c>
      <c r="T31" s="111">
        <f t="shared" si="2"/>
        <v>1200</v>
      </c>
      <c r="U31" s="111">
        <f t="shared" si="2"/>
        <v>8770</v>
      </c>
      <c r="V31" s="111">
        <f t="shared" si="2"/>
        <v>3508</v>
      </c>
      <c r="W31" s="104"/>
      <c r="X31" s="104"/>
      <c r="Y31" s="104"/>
      <c r="Z31" s="104"/>
      <c r="AA31" s="104"/>
      <c r="AB31" s="104"/>
      <c r="AC31" s="104"/>
      <c r="AD31" s="104"/>
    </row>
    <row r="32" spans="1:30" x14ac:dyDescent="0.3">
      <c r="A32" s="110">
        <v>46335</v>
      </c>
      <c r="B32" s="56">
        <f>IF($A32="","",SUMIFS(MPS_Scenario!$J:$J,MPS_Scenario!$A:$A,B$1,MPS_Scenario!$C:$C,$A32))</f>
        <v>4282</v>
      </c>
      <c r="C32" s="56">
        <f>IF($A32="","",SUMIFS(MPS_Scenario!$J:$J,MPS_Scenario!$A:$A,C$1,MPS_Scenario!$C:$C,$A32))</f>
        <v>6250</v>
      </c>
      <c r="D32" s="56">
        <f>IF($A32="","",SUMIFS(MPS_Scenario!$J:$J,MPS_Scenario!$A:$A,D$1,MPS_Scenario!$C:$C,$A32))</f>
        <v>500</v>
      </c>
      <c r="E32" s="56">
        <f>IF($A32="","",SUMIFS(MPS_Scenario!$J:$J,MPS_Scenario!$A:$A,E$1,MPS_Scenario!$C:$C,$A32))</f>
        <v>1000</v>
      </c>
      <c r="F32" s="56">
        <f>IF($A32="","",SUMIFS(MPS_Scenario!$J:$J,MPS_Scenario!$A:$A,F$1,MPS_Scenario!$C:$C,$A32))</f>
        <v>0</v>
      </c>
      <c r="G32" s="56">
        <f>IF($A32="","",SUMIFS(MPS_Scenario!$J:$J,MPS_Scenario!$A:$A,G$1,MPS_Scenario!$C:$C,$A32))</f>
        <v>1756</v>
      </c>
      <c r="H32" s="111">
        <f t="shared" ref="H32:V41" si="3">IF($A32="","",SUMPRODUCT($B32:$G32,INDEX($Y$2:$AD$16,MATCH(H$1,$X$2:$X$16,0),0)))</f>
        <v>13788</v>
      </c>
      <c r="I32" s="111">
        <f t="shared" si="3"/>
        <v>3352.5</v>
      </c>
      <c r="J32" s="111">
        <f t="shared" si="3"/>
        <v>13788</v>
      </c>
      <c r="K32" s="111">
        <f t="shared" si="3"/>
        <v>8564</v>
      </c>
      <c r="L32" s="111">
        <f t="shared" si="3"/>
        <v>4282</v>
      </c>
      <c r="M32" s="111">
        <f t="shared" si="3"/>
        <v>15625</v>
      </c>
      <c r="N32" s="111">
        <f t="shared" si="3"/>
        <v>9375</v>
      </c>
      <c r="O32" s="111">
        <f t="shared" si="3"/>
        <v>1500</v>
      </c>
      <c r="P32" s="111">
        <f t="shared" si="3"/>
        <v>250</v>
      </c>
      <c r="Q32" s="111">
        <f t="shared" si="3"/>
        <v>2000</v>
      </c>
      <c r="R32" s="111">
        <f t="shared" si="3"/>
        <v>1500</v>
      </c>
      <c r="S32" s="111">
        <f t="shared" si="3"/>
        <v>0</v>
      </c>
      <c r="T32" s="111">
        <f t="shared" si="3"/>
        <v>0</v>
      </c>
      <c r="U32" s="111">
        <f t="shared" si="3"/>
        <v>8780</v>
      </c>
      <c r="V32" s="111">
        <f t="shared" si="3"/>
        <v>3512</v>
      </c>
      <c r="W32" s="104"/>
      <c r="X32" s="104"/>
      <c r="Y32" s="104"/>
      <c r="Z32" s="104"/>
      <c r="AA32" s="104"/>
      <c r="AB32" s="104"/>
      <c r="AC32" s="104"/>
      <c r="AD32" s="104"/>
    </row>
    <row r="33" spans="1:30" x14ac:dyDescent="0.3">
      <c r="A33" s="110">
        <v>46342</v>
      </c>
      <c r="B33" s="56">
        <f>IF($A33="","",SUMIFS(MPS_Scenario!$J:$J,MPS_Scenario!$A:$A,B$1,MPS_Scenario!$C:$C,$A33))</f>
        <v>4281</v>
      </c>
      <c r="C33" s="56">
        <f>IF($A33="","",SUMIFS(MPS_Scenario!$J:$J,MPS_Scenario!$A:$A,C$1,MPS_Scenario!$C:$C,$A33))</f>
        <v>6250</v>
      </c>
      <c r="D33" s="56">
        <f>IF($A33="","",SUMIFS(MPS_Scenario!$J:$J,MPS_Scenario!$A:$A,D$1,MPS_Scenario!$C:$C,$A33))</f>
        <v>500</v>
      </c>
      <c r="E33" s="56">
        <f>IF($A33="","",SUMIFS(MPS_Scenario!$J:$J,MPS_Scenario!$A:$A,E$1,MPS_Scenario!$C:$C,$A33))</f>
        <v>1000</v>
      </c>
      <c r="F33" s="56">
        <f>IF($A33="","",SUMIFS(MPS_Scenario!$J:$J,MPS_Scenario!$A:$A,F$1,MPS_Scenario!$C:$C,$A33))</f>
        <v>0</v>
      </c>
      <c r="G33" s="56">
        <f>IF($A33="","",SUMIFS(MPS_Scenario!$J:$J,MPS_Scenario!$A:$A,G$1,MPS_Scenario!$C:$C,$A33))</f>
        <v>1756</v>
      </c>
      <c r="H33" s="111">
        <f t="shared" si="3"/>
        <v>13787</v>
      </c>
      <c r="I33" s="111">
        <f t="shared" si="3"/>
        <v>3352.25</v>
      </c>
      <c r="J33" s="111">
        <f t="shared" si="3"/>
        <v>13787</v>
      </c>
      <c r="K33" s="111">
        <f t="shared" si="3"/>
        <v>8562</v>
      </c>
      <c r="L33" s="111">
        <f t="shared" si="3"/>
        <v>4281</v>
      </c>
      <c r="M33" s="111">
        <f t="shared" si="3"/>
        <v>15625</v>
      </c>
      <c r="N33" s="111">
        <f t="shared" si="3"/>
        <v>9375</v>
      </c>
      <c r="O33" s="111">
        <f t="shared" si="3"/>
        <v>1500</v>
      </c>
      <c r="P33" s="111">
        <f t="shared" si="3"/>
        <v>250</v>
      </c>
      <c r="Q33" s="111">
        <f t="shared" si="3"/>
        <v>2000</v>
      </c>
      <c r="R33" s="111">
        <f t="shared" si="3"/>
        <v>1500</v>
      </c>
      <c r="S33" s="111">
        <f t="shared" si="3"/>
        <v>0</v>
      </c>
      <c r="T33" s="111">
        <f t="shared" si="3"/>
        <v>0</v>
      </c>
      <c r="U33" s="111">
        <f t="shared" si="3"/>
        <v>8780</v>
      </c>
      <c r="V33" s="111">
        <f t="shared" si="3"/>
        <v>3512</v>
      </c>
      <c r="W33" s="104"/>
      <c r="X33" s="104"/>
      <c r="Y33" s="104"/>
      <c r="Z33" s="104"/>
      <c r="AA33" s="104"/>
      <c r="AB33" s="104"/>
      <c r="AC33" s="104"/>
      <c r="AD33" s="104"/>
    </row>
    <row r="34" spans="1:30" x14ac:dyDescent="0.3">
      <c r="A34" s="110">
        <v>46349</v>
      </c>
      <c r="B34" s="56">
        <f>IF($A34="","",SUMIFS(MPS_Scenario!$J:$J,MPS_Scenario!$A:$A,B$1,MPS_Scenario!$C:$C,$A34))</f>
        <v>4282</v>
      </c>
      <c r="C34" s="56">
        <f>IF($A34="","",SUMIFS(MPS_Scenario!$J:$J,MPS_Scenario!$A:$A,C$1,MPS_Scenario!$C:$C,$A34))</f>
        <v>6250</v>
      </c>
      <c r="D34" s="56">
        <f>IF($A34="","",SUMIFS(MPS_Scenario!$J:$J,MPS_Scenario!$A:$A,D$1,MPS_Scenario!$C:$C,$A34))</f>
        <v>3000</v>
      </c>
      <c r="E34" s="56">
        <f>IF($A34="","",SUMIFS(MPS_Scenario!$J:$J,MPS_Scenario!$A:$A,E$1,MPS_Scenario!$C:$C,$A34))</f>
        <v>1250</v>
      </c>
      <c r="F34" s="56">
        <f>IF($A34="","",SUMIFS(MPS_Scenario!$J:$J,MPS_Scenario!$A:$A,F$1,MPS_Scenario!$C:$C,$A34))</f>
        <v>0</v>
      </c>
      <c r="G34" s="56">
        <f>IF($A34="","",SUMIFS(MPS_Scenario!$J:$J,MPS_Scenario!$A:$A,G$1,MPS_Scenario!$C:$C,$A34))</f>
        <v>1756</v>
      </c>
      <c r="H34" s="111">
        <f t="shared" si="3"/>
        <v>16538</v>
      </c>
      <c r="I34" s="111">
        <f t="shared" si="3"/>
        <v>4665</v>
      </c>
      <c r="J34" s="111">
        <f t="shared" si="3"/>
        <v>16538</v>
      </c>
      <c r="K34" s="111">
        <f t="shared" si="3"/>
        <v>8564</v>
      </c>
      <c r="L34" s="111">
        <f t="shared" si="3"/>
        <v>4282</v>
      </c>
      <c r="M34" s="111">
        <f t="shared" si="3"/>
        <v>15625</v>
      </c>
      <c r="N34" s="111">
        <f t="shared" si="3"/>
        <v>9375</v>
      </c>
      <c r="O34" s="111">
        <f t="shared" si="3"/>
        <v>9000</v>
      </c>
      <c r="P34" s="111">
        <f t="shared" si="3"/>
        <v>1500</v>
      </c>
      <c r="Q34" s="111">
        <f t="shared" si="3"/>
        <v>2500</v>
      </c>
      <c r="R34" s="111">
        <f t="shared" si="3"/>
        <v>1875</v>
      </c>
      <c r="S34" s="111">
        <f t="shared" si="3"/>
        <v>0</v>
      </c>
      <c r="T34" s="111">
        <f t="shared" si="3"/>
        <v>0</v>
      </c>
      <c r="U34" s="111">
        <f t="shared" si="3"/>
        <v>8780</v>
      </c>
      <c r="V34" s="111">
        <f t="shared" si="3"/>
        <v>3512</v>
      </c>
      <c r="W34" s="104"/>
      <c r="X34" s="104"/>
      <c r="Y34" s="104"/>
      <c r="Z34" s="104"/>
      <c r="AA34" s="104"/>
      <c r="AB34" s="104"/>
      <c r="AC34" s="104"/>
      <c r="AD34" s="104"/>
    </row>
    <row r="35" spans="1:30" x14ac:dyDescent="0.3">
      <c r="A35" s="110">
        <v>46356</v>
      </c>
      <c r="B35" s="56">
        <f>IF($A35="","",SUMIFS(MPS_Scenario!$J:$J,MPS_Scenario!$A:$A,B$1,MPS_Scenario!$C:$C,$A35))</f>
        <v>4281</v>
      </c>
      <c r="C35" s="56">
        <f>IF($A35="","",SUMIFS(MPS_Scenario!$J:$J,MPS_Scenario!$A:$A,C$1,MPS_Scenario!$C:$C,$A35))</f>
        <v>6250</v>
      </c>
      <c r="D35" s="56">
        <f>IF($A35="","",SUMIFS(MPS_Scenario!$J:$J,MPS_Scenario!$A:$A,D$1,MPS_Scenario!$C:$C,$A35))</f>
        <v>3000</v>
      </c>
      <c r="E35" s="56">
        <f>IF($A35="","",SUMIFS(MPS_Scenario!$J:$J,MPS_Scenario!$A:$A,E$1,MPS_Scenario!$C:$C,$A35))</f>
        <v>1250</v>
      </c>
      <c r="F35" s="56">
        <f>IF($A35="","",SUMIFS(MPS_Scenario!$J:$J,MPS_Scenario!$A:$A,F$1,MPS_Scenario!$C:$C,$A35))</f>
        <v>300</v>
      </c>
      <c r="G35" s="56">
        <f>IF($A35="","",SUMIFS(MPS_Scenario!$J:$J,MPS_Scenario!$A:$A,G$1,MPS_Scenario!$C:$C,$A35))</f>
        <v>1928</v>
      </c>
      <c r="H35" s="111">
        <f t="shared" si="3"/>
        <v>17009</v>
      </c>
      <c r="I35" s="111">
        <f t="shared" si="3"/>
        <v>4836.25</v>
      </c>
      <c r="J35" s="111">
        <f t="shared" si="3"/>
        <v>17009</v>
      </c>
      <c r="K35" s="111">
        <f t="shared" si="3"/>
        <v>8562</v>
      </c>
      <c r="L35" s="111">
        <f t="shared" si="3"/>
        <v>4281</v>
      </c>
      <c r="M35" s="111">
        <f t="shared" si="3"/>
        <v>15625</v>
      </c>
      <c r="N35" s="111">
        <f t="shared" si="3"/>
        <v>9375</v>
      </c>
      <c r="O35" s="111">
        <f t="shared" si="3"/>
        <v>9000</v>
      </c>
      <c r="P35" s="111">
        <f t="shared" si="3"/>
        <v>1500</v>
      </c>
      <c r="Q35" s="111">
        <f t="shared" si="3"/>
        <v>2500</v>
      </c>
      <c r="R35" s="111">
        <f t="shared" si="3"/>
        <v>1875</v>
      </c>
      <c r="S35" s="111">
        <f t="shared" si="3"/>
        <v>900</v>
      </c>
      <c r="T35" s="111">
        <f t="shared" si="3"/>
        <v>1200</v>
      </c>
      <c r="U35" s="111">
        <f t="shared" si="3"/>
        <v>9640</v>
      </c>
      <c r="V35" s="111">
        <f t="shared" si="3"/>
        <v>3856</v>
      </c>
      <c r="W35" s="104"/>
      <c r="X35" s="104"/>
      <c r="Y35" s="104"/>
      <c r="Z35" s="104"/>
      <c r="AA35" s="104"/>
      <c r="AB35" s="104"/>
      <c r="AC35" s="104"/>
      <c r="AD35" s="104"/>
    </row>
    <row r="36" spans="1:30" x14ac:dyDescent="0.3">
      <c r="A36" s="110">
        <v>46363</v>
      </c>
      <c r="B36" s="56">
        <f>IF($A36="","",SUMIFS(MPS_Scenario!$J:$J,MPS_Scenario!$A:$A,B$1,MPS_Scenario!$C:$C,$A36))</f>
        <v>8326</v>
      </c>
      <c r="C36" s="56">
        <f>IF($A36="","",SUMIFS(MPS_Scenario!$J:$J,MPS_Scenario!$A:$A,C$1,MPS_Scenario!$C:$C,$A36))</f>
        <v>6250</v>
      </c>
      <c r="D36" s="56">
        <f>IF($A36="","",SUMIFS(MPS_Scenario!$J:$J,MPS_Scenario!$A:$A,D$1,MPS_Scenario!$C:$C,$A36))</f>
        <v>3000</v>
      </c>
      <c r="E36" s="56">
        <f>IF($A36="","",SUMIFS(MPS_Scenario!$J:$J,MPS_Scenario!$A:$A,E$1,MPS_Scenario!$C:$C,$A36))</f>
        <v>1250</v>
      </c>
      <c r="F36" s="56">
        <f>IF($A36="","",SUMIFS(MPS_Scenario!$J:$J,MPS_Scenario!$A:$A,F$1,MPS_Scenario!$C:$C,$A36))</f>
        <v>0</v>
      </c>
      <c r="G36" s="56">
        <f>IF($A36="","",SUMIFS(MPS_Scenario!$J:$J,MPS_Scenario!$A:$A,G$1,MPS_Scenario!$C:$C,$A36))</f>
        <v>1930</v>
      </c>
      <c r="H36" s="111">
        <f t="shared" si="3"/>
        <v>20756</v>
      </c>
      <c r="I36" s="111">
        <f t="shared" si="3"/>
        <v>5697.75</v>
      </c>
      <c r="J36" s="111">
        <f t="shared" si="3"/>
        <v>20756</v>
      </c>
      <c r="K36" s="111">
        <f t="shared" si="3"/>
        <v>16652</v>
      </c>
      <c r="L36" s="111">
        <f t="shared" si="3"/>
        <v>8326</v>
      </c>
      <c r="M36" s="111">
        <f t="shared" si="3"/>
        <v>15625</v>
      </c>
      <c r="N36" s="111">
        <f t="shared" si="3"/>
        <v>9375</v>
      </c>
      <c r="O36" s="111">
        <f t="shared" si="3"/>
        <v>9000</v>
      </c>
      <c r="P36" s="111">
        <f t="shared" si="3"/>
        <v>1500</v>
      </c>
      <c r="Q36" s="111">
        <f t="shared" si="3"/>
        <v>2500</v>
      </c>
      <c r="R36" s="111">
        <f t="shared" si="3"/>
        <v>1875</v>
      </c>
      <c r="S36" s="111">
        <f t="shared" si="3"/>
        <v>0</v>
      </c>
      <c r="T36" s="111">
        <f t="shared" si="3"/>
        <v>0</v>
      </c>
      <c r="U36" s="111">
        <f t="shared" si="3"/>
        <v>9650</v>
      </c>
      <c r="V36" s="111">
        <f t="shared" si="3"/>
        <v>3860</v>
      </c>
      <c r="W36" s="104"/>
      <c r="X36" s="104"/>
      <c r="Y36" s="104"/>
      <c r="Z36" s="104"/>
      <c r="AA36" s="104"/>
      <c r="AB36" s="104"/>
      <c r="AC36" s="104"/>
      <c r="AD36" s="104"/>
    </row>
    <row r="37" spans="1:30" x14ac:dyDescent="0.3">
      <c r="A37" s="110">
        <v>46370</v>
      </c>
      <c r="B37" s="56">
        <f>IF($A37="","",SUMIFS(MPS_Scenario!$J:$J,MPS_Scenario!$A:$A,B$1,MPS_Scenario!$C:$C,$A37))</f>
        <v>8325</v>
      </c>
      <c r="C37" s="56">
        <f>IF($A37="","",SUMIFS(MPS_Scenario!$J:$J,MPS_Scenario!$A:$A,C$1,MPS_Scenario!$C:$C,$A37))</f>
        <v>6250</v>
      </c>
      <c r="D37" s="56">
        <f>IF($A37="","",SUMIFS(MPS_Scenario!$J:$J,MPS_Scenario!$A:$A,D$1,MPS_Scenario!$C:$C,$A37))</f>
        <v>3000</v>
      </c>
      <c r="E37" s="56">
        <f>IF($A37="","",SUMIFS(MPS_Scenario!$J:$J,MPS_Scenario!$A:$A,E$1,MPS_Scenario!$C:$C,$A37))</f>
        <v>1250</v>
      </c>
      <c r="F37" s="56">
        <f>IF($A37="","",SUMIFS(MPS_Scenario!$J:$J,MPS_Scenario!$A:$A,F$1,MPS_Scenario!$C:$C,$A37))</f>
        <v>0</v>
      </c>
      <c r="G37" s="56">
        <f>IF($A37="","",SUMIFS(MPS_Scenario!$J:$J,MPS_Scenario!$A:$A,G$1,MPS_Scenario!$C:$C,$A37))</f>
        <v>1928</v>
      </c>
      <c r="H37" s="111">
        <f t="shared" si="3"/>
        <v>20753</v>
      </c>
      <c r="I37" s="111">
        <f t="shared" si="3"/>
        <v>5697.25</v>
      </c>
      <c r="J37" s="111">
        <f t="shared" si="3"/>
        <v>20753</v>
      </c>
      <c r="K37" s="111">
        <f t="shared" si="3"/>
        <v>16650</v>
      </c>
      <c r="L37" s="111">
        <f t="shared" si="3"/>
        <v>8325</v>
      </c>
      <c r="M37" s="111">
        <f t="shared" si="3"/>
        <v>15625</v>
      </c>
      <c r="N37" s="111">
        <f t="shared" si="3"/>
        <v>9375</v>
      </c>
      <c r="O37" s="111">
        <f t="shared" si="3"/>
        <v>9000</v>
      </c>
      <c r="P37" s="111">
        <f t="shared" si="3"/>
        <v>1500</v>
      </c>
      <c r="Q37" s="111">
        <f t="shared" si="3"/>
        <v>2500</v>
      </c>
      <c r="R37" s="111">
        <f t="shared" si="3"/>
        <v>1875</v>
      </c>
      <c r="S37" s="111">
        <f t="shared" si="3"/>
        <v>0</v>
      </c>
      <c r="T37" s="111">
        <f t="shared" si="3"/>
        <v>0</v>
      </c>
      <c r="U37" s="111">
        <f t="shared" si="3"/>
        <v>9640</v>
      </c>
      <c r="V37" s="111">
        <f t="shared" si="3"/>
        <v>3856</v>
      </c>
      <c r="W37" s="104"/>
      <c r="X37" s="104"/>
      <c r="Y37" s="104"/>
      <c r="Z37" s="104"/>
      <c r="AA37" s="104"/>
      <c r="AB37" s="104"/>
      <c r="AC37" s="104"/>
      <c r="AD37" s="104"/>
    </row>
    <row r="38" spans="1:30" x14ac:dyDescent="0.3">
      <c r="A38" s="110"/>
      <c r="B38" s="111" t="str">
        <f>IF($A38="","",SUMIFS(weekly_demand!$D:$D,weekly_demand!$A:$A,B$1,weekly_demand!$C:$C,$A38))</f>
        <v/>
      </c>
      <c r="C38" s="111" t="str">
        <f>IF($A38="","",SUMIFS(weekly_demand!$D:$D,weekly_demand!$A:$A,C$1,weekly_demand!$C:$C,$A38))</f>
        <v/>
      </c>
      <c r="D38" s="111" t="str">
        <f>IF($A38="","",SUMIFS(weekly_demand!$D:$D,weekly_demand!$A:$A,D$1,weekly_demand!$C:$C,$A38))</f>
        <v/>
      </c>
      <c r="E38" s="111" t="str">
        <f>IF($A38="","",SUMIFS(weekly_demand!$D:$D,weekly_demand!$A:$A,E$1,weekly_demand!$C:$C,$A38))</f>
        <v/>
      </c>
      <c r="F38" s="111" t="str">
        <f>IF($A38="","",SUMIFS(weekly_demand!$D:$D,weekly_demand!$A:$A,F$1,weekly_demand!$C:$C,$A38))</f>
        <v/>
      </c>
      <c r="G38" s="111" t="str">
        <f>IF($A38="","",SUMIFS(weekly_demand!$D:$D,weekly_demand!$A:$A,G$1,weekly_demand!$C:$C,$A38))</f>
        <v/>
      </c>
      <c r="H38" s="111" t="str">
        <f t="shared" si="3"/>
        <v/>
      </c>
      <c r="I38" s="111" t="str">
        <f t="shared" si="3"/>
        <v/>
      </c>
      <c r="J38" s="111" t="str">
        <f t="shared" si="3"/>
        <v/>
      </c>
      <c r="K38" s="111" t="str">
        <f t="shared" si="3"/>
        <v/>
      </c>
      <c r="L38" s="111" t="str">
        <f t="shared" si="3"/>
        <v/>
      </c>
      <c r="M38" s="111" t="str">
        <f t="shared" si="3"/>
        <v/>
      </c>
      <c r="N38" s="111" t="str">
        <f t="shared" si="3"/>
        <v/>
      </c>
      <c r="O38" s="111" t="str">
        <f t="shared" si="3"/>
        <v/>
      </c>
      <c r="P38" s="111" t="str">
        <f t="shared" si="3"/>
        <v/>
      </c>
      <c r="Q38" s="111" t="str">
        <f t="shared" si="3"/>
        <v/>
      </c>
      <c r="R38" s="111" t="str">
        <f t="shared" si="3"/>
        <v/>
      </c>
      <c r="S38" s="111" t="str">
        <f t="shared" si="3"/>
        <v/>
      </c>
      <c r="T38" s="111" t="str">
        <f t="shared" si="3"/>
        <v/>
      </c>
      <c r="U38" s="111" t="str">
        <f t="shared" si="3"/>
        <v/>
      </c>
      <c r="V38" s="111" t="str">
        <f t="shared" si="3"/>
        <v/>
      </c>
      <c r="W38" s="104"/>
      <c r="X38" s="104"/>
      <c r="Y38" s="104"/>
      <c r="Z38" s="104"/>
      <c r="AA38" s="104"/>
      <c r="AB38" s="104"/>
      <c r="AC38" s="104"/>
      <c r="AD38" s="104"/>
    </row>
    <row r="39" spans="1:30" x14ac:dyDescent="0.3">
      <c r="A39" s="110"/>
      <c r="B39" s="111" t="str">
        <f>IF($A39="","",SUMIFS(weekly_demand!$D:$D,weekly_demand!$A:$A,B$1,weekly_demand!$C:$C,$A39))</f>
        <v/>
      </c>
      <c r="C39" s="111" t="str">
        <f>IF($A39="","",SUMIFS(weekly_demand!$D:$D,weekly_demand!$A:$A,C$1,weekly_demand!$C:$C,$A39))</f>
        <v/>
      </c>
      <c r="D39" s="111" t="str">
        <f>IF($A39="","",SUMIFS(weekly_demand!$D:$D,weekly_demand!$A:$A,D$1,weekly_demand!$C:$C,$A39))</f>
        <v/>
      </c>
      <c r="E39" s="111" t="str">
        <f>IF($A39="","",SUMIFS(weekly_demand!$D:$D,weekly_demand!$A:$A,E$1,weekly_demand!$C:$C,$A39))</f>
        <v/>
      </c>
      <c r="F39" s="111" t="str">
        <f>IF($A39="","",SUMIFS(weekly_demand!$D:$D,weekly_demand!$A:$A,F$1,weekly_demand!$C:$C,$A39))</f>
        <v/>
      </c>
      <c r="G39" s="111" t="str">
        <f>IF($A39="","",SUMIFS(weekly_demand!$D:$D,weekly_demand!$A:$A,G$1,weekly_demand!$C:$C,$A39))</f>
        <v/>
      </c>
      <c r="H39" s="111" t="str">
        <f t="shared" si="3"/>
        <v/>
      </c>
      <c r="I39" s="111" t="str">
        <f t="shared" si="3"/>
        <v/>
      </c>
      <c r="J39" s="111" t="str">
        <f t="shared" si="3"/>
        <v/>
      </c>
      <c r="K39" s="111" t="str">
        <f t="shared" si="3"/>
        <v/>
      </c>
      <c r="L39" s="111" t="str">
        <f t="shared" si="3"/>
        <v/>
      </c>
      <c r="M39" s="111" t="str">
        <f t="shared" si="3"/>
        <v/>
      </c>
      <c r="N39" s="111" t="str">
        <f t="shared" si="3"/>
        <v/>
      </c>
      <c r="O39" s="111" t="str">
        <f t="shared" si="3"/>
        <v/>
      </c>
      <c r="P39" s="111" t="str">
        <f t="shared" si="3"/>
        <v/>
      </c>
      <c r="Q39" s="111" t="str">
        <f t="shared" si="3"/>
        <v/>
      </c>
      <c r="R39" s="111" t="str">
        <f t="shared" si="3"/>
        <v/>
      </c>
      <c r="S39" s="111" t="str">
        <f t="shared" si="3"/>
        <v/>
      </c>
      <c r="T39" s="111" t="str">
        <f t="shared" si="3"/>
        <v/>
      </c>
      <c r="U39" s="111" t="str">
        <f t="shared" si="3"/>
        <v/>
      </c>
      <c r="V39" s="111" t="str">
        <f t="shared" si="3"/>
        <v/>
      </c>
      <c r="W39" s="104"/>
      <c r="X39" s="104"/>
      <c r="Y39" s="104"/>
      <c r="Z39" s="104"/>
      <c r="AA39" s="104"/>
      <c r="AB39" s="104"/>
      <c r="AC39" s="104"/>
      <c r="AD39" s="104"/>
    </row>
    <row r="40" spans="1:30" x14ac:dyDescent="0.3">
      <c r="A40" s="110"/>
      <c r="B40" s="111" t="str">
        <f>IF($A40="","",SUMIFS(weekly_demand!$D:$D,weekly_demand!$A:$A,B$1,weekly_demand!$C:$C,$A40))</f>
        <v/>
      </c>
      <c r="C40" s="111" t="str">
        <f>IF($A40="","",SUMIFS(weekly_demand!$D:$D,weekly_demand!$A:$A,C$1,weekly_demand!$C:$C,$A40))</f>
        <v/>
      </c>
      <c r="D40" s="111" t="str">
        <f>IF($A40="","",SUMIFS(weekly_demand!$D:$D,weekly_demand!$A:$A,D$1,weekly_demand!$C:$C,$A40))</f>
        <v/>
      </c>
      <c r="E40" s="111" t="str">
        <f>IF($A40="","",SUMIFS(weekly_demand!$D:$D,weekly_demand!$A:$A,E$1,weekly_demand!$C:$C,$A40))</f>
        <v/>
      </c>
      <c r="F40" s="111" t="str">
        <f>IF($A40="","",SUMIFS(weekly_demand!$D:$D,weekly_demand!$A:$A,F$1,weekly_demand!$C:$C,$A40))</f>
        <v/>
      </c>
      <c r="G40" s="111" t="str">
        <f>IF($A40="","",SUMIFS(weekly_demand!$D:$D,weekly_demand!$A:$A,G$1,weekly_demand!$C:$C,$A40))</f>
        <v/>
      </c>
      <c r="H40" s="111" t="str">
        <f t="shared" si="3"/>
        <v/>
      </c>
      <c r="I40" s="111" t="str">
        <f t="shared" si="3"/>
        <v/>
      </c>
      <c r="J40" s="111" t="str">
        <f t="shared" si="3"/>
        <v/>
      </c>
      <c r="K40" s="111" t="str">
        <f t="shared" si="3"/>
        <v/>
      </c>
      <c r="L40" s="111" t="str">
        <f t="shared" si="3"/>
        <v/>
      </c>
      <c r="M40" s="111" t="str">
        <f t="shared" si="3"/>
        <v/>
      </c>
      <c r="N40" s="111" t="str">
        <f t="shared" si="3"/>
        <v/>
      </c>
      <c r="O40" s="111" t="str">
        <f t="shared" si="3"/>
        <v/>
      </c>
      <c r="P40" s="111" t="str">
        <f t="shared" si="3"/>
        <v/>
      </c>
      <c r="Q40" s="111" t="str">
        <f t="shared" si="3"/>
        <v/>
      </c>
      <c r="R40" s="111" t="str">
        <f t="shared" si="3"/>
        <v/>
      </c>
      <c r="S40" s="111" t="str">
        <f t="shared" si="3"/>
        <v/>
      </c>
      <c r="T40" s="111" t="str">
        <f t="shared" si="3"/>
        <v/>
      </c>
      <c r="U40" s="111" t="str">
        <f t="shared" si="3"/>
        <v/>
      </c>
      <c r="V40" s="111" t="str">
        <f t="shared" si="3"/>
        <v/>
      </c>
      <c r="W40" s="104"/>
      <c r="X40" s="104"/>
      <c r="Y40" s="104"/>
      <c r="Z40" s="104"/>
      <c r="AA40" s="104"/>
      <c r="AB40" s="104"/>
      <c r="AC40" s="104"/>
      <c r="AD40" s="104"/>
    </row>
    <row r="41" spans="1:30" x14ac:dyDescent="0.3">
      <c r="A41" s="110"/>
      <c r="B41" s="111" t="str">
        <f>IF($A41="","",SUMIFS(weekly_demand!$D:$D,weekly_demand!$A:$A,B$1,weekly_demand!$C:$C,$A41))</f>
        <v/>
      </c>
      <c r="C41" s="111" t="str">
        <f>IF($A41="","",SUMIFS(weekly_demand!$D:$D,weekly_demand!$A:$A,C$1,weekly_demand!$C:$C,$A41))</f>
        <v/>
      </c>
      <c r="D41" s="111" t="str">
        <f>IF($A41="","",SUMIFS(weekly_demand!$D:$D,weekly_demand!$A:$A,D$1,weekly_demand!$C:$C,$A41))</f>
        <v/>
      </c>
      <c r="E41" s="111" t="str">
        <f>IF($A41="","",SUMIFS(weekly_demand!$D:$D,weekly_demand!$A:$A,E$1,weekly_demand!$C:$C,$A41))</f>
        <v/>
      </c>
      <c r="F41" s="111" t="str">
        <f>IF($A41="","",SUMIFS(weekly_demand!$D:$D,weekly_demand!$A:$A,F$1,weekly_demand!$C:$C,$A41))</f>
        <v/>
      </c>
      <c r="G41" s="111" t="str">
        <f>IF($A41="","",SUMIFS(weekly_demand!$D:$D,weekly_demand!$A:$A,G$1,weekly_demand!$C:$C,$A41))</f>
        <v/>
      </c>
      <c r="H41" s="111" t="str">
        <f t="shared" si="3"/>
        <v/>
      </c>
      <c r="I41" s="111" t="str">
        <f t="shared" si="3"/>
        <v/>
      </c>
      <c r="J41" s="111" t="str">
        <f t="shared" si="3"/>
        <v/>
      </c>
      <c r="K41" s="111" t="str">
        <f t="shared" si="3"/>
        <v/>
      </c>
      <c r="L41" s="111" t="str">
        <f t="shared" si="3"/>
        <v/>
      </c>
      <c r="M41" s="111" t="str">
        <f t="shared" si="3"/>
        <v/>
      </c>
      <c r="N41" s="111" t="str">
        <f t="shared" si="3"/>
        <v/>
      </c>
      <c r="O41" s="111" t="str">
        <f t="shared" si="3"/>
        <v/>
      </c>
      <c r="P41" s="111" t="str">
        <f t="shared" si="3"/>
        <v/>
      </c>
      <c r="Q41" s="111" t="str">
        <f t="shared" si="3"/>
        <v/>
      </c>
      <c r="R41" s="111" t="str">
        <f t="shared" si="3"/>
        <v/>
      </c>
      <c r="S41" s="111" t="str">
        <f t="shared" si="3"/>
        <v/>
      </c>
      <c r="T41" s="111" t="str">
        <f t="shared" si="3"/>
        <v/>
      </c>
      <c r="U41" s="111" t="str">
        <f t="shared" si="3"/>
        <v/>
      </c>
      <c r="V41" s="111" t="str">
        <f t="shared" si="3"/>
        <v/>
      </c>
      <c r="W41" s="104"/>
      <c r="X41" s="104"/>
      <c r="Y41" s="104"/>
      <c r="Z41" s="104"/>
      <c r="AA41" s="104"/>
      <c r="AB41" s="104"/>
      <c r="AC41" s="104"/>
      <c r="AD41" s="104"/>
    </row>
    <row r="42" spans="1:30" x14ac:dyDescent="0.3">
      <c r="A42" s="110"/>
      <c r="B42" s="111" t="str">
        <f>IF($A42="","",SUMIFS(weekly_demand!$D:$D,weekly_demand!$A:$A,B$1,weekly_demand!$C:$C,$A42))</f>
        <v/>
      </c>
      <c r="C42" s="111" t="str">
        <f>IF($A42="","",SUMIFS(weekly_demand!$D:$D,weekly_demand!$A:$A,C$1,weekly_demand!$C:$C,$A42))</f>
        <v/>
      </c>
      <c r="D42" s="111" t="str">
        <f>IF($A42="","",SUMIFS(weekly_demand!$D:$D,weekly_demand!$A:$A,D$1,weekly_demand!$C:$C,$A42))</f>
        <v/>
      </c>
      <c r="E42" s="111" t="str">
        <f>IF($A42="","",SUMIFS(weekly_demand!$D:$D,weekly_demand!$A:$A,E$1,weekly_demand!$C:$C,$A42))</f>
        <v/>
      </c>
      <c r="F42" s="111" t="str">
        <f>IF($A42="","",SUMIFS(weekly_demand!$D:$D,weekly_demand!$A:$A,F$1,weekly_demand!$C:$C,$A42))</f>
        <v/>
      </c>
      <c r="G42" s="111" t="str">
        <f>IF($A42="","",SUMIFS(weekly_demand!$D:$D,weekly_demand!$A:$A,G$1,weekly_demand!$C:$C,$A42))</f>
        <v/>
      </c>
      <c r="H42" s="111" t="str">
        <f t="shared" ref="H42:V51" si="4">IF($A42="","",SUMPRODUCT($B42:$G42,INDEX($Y$2:$AD$16,MATCH(H$1,$X$2:$X$16,0),0)))</f>
        <v/>
      </c>
      <c r="I42" s="111" t="str">
        <f t="shared" si="4"/>
        <v/>
      </c>
      <c r="J42" s="111" t="str">
        <f t="shared" si="4"/>
        <v/>
      </c>
      <c r="K42" s="111" t="str">
        <f t="shared" si="4"/>
        <v/>
      </c>
      <c r="L42" s="111" t="str">
        <f t="shared" si="4"/>
        <v/>
      </c>
      <c r="M42" s="111" t="str">
        <f t="shared" si="4"/>
        <v/>
      </c>
      <c r="N42" s="111" t="str">
        <f t="shared" si="4"/>
        <v/>
      </c>
      <c r="O42" s="111" t="str">
        <f t="shared" si="4"/>
        <v/>
      </c>
      <c r="P42" s="111" t="str">
        <f t="shared" si="4"/>
        <v/>
      </c>
      <c r="Q42" s="111" t="str">
        <f t="shared" si="4"/>
        <v/>
      </c>
      <c r="R42" s="111" t="str">
        <f t="shared" si="4"/>
        <v/>
      </c>
      <c r="S42" s="111" t="str">
        <f t="shared" si="4"/>
        <v/>
      </c>
      <c r="T42" s="111" t="str">
        <f t="shared" si="4"/>
        <v/>
      </c>
      <c r="U42" s="111" t="str">
        <f t="shared" si="4"/>
        <v/>
      </c>
      <c r="V42" s="111" t="str">
        <f t="shared" si="4"/>
        <v/>
      </c>
      <c r="W42" s="104"/>
      <c r="X42" s="104"/>
      <c r="Y42" s="104"/>
      <c r="Z42" s="104"/>
      <c r="AA42" s="104"/>
      <c r="AB42" s="104"/>
      <c r="AC42" s="104"/>
      <c r="AD42" s="104"/>
    </row>
    <row r="43" spans="1:30" x14ac:dyDescent="0.3">
      <c r="A43" s="110"/>
      <c r="B43" s="111" t="str">
        <f>IF($A43="","",SUMIFS(weekly_demand!$D:$D,weekly_demand!$A:$A,B$1,weekly_demand!$C:$C,$A43))</f>
        <v/>
      </c>
      <c r="C43" s="111" t="str">
        <f>IF($A43="","",SUMIFS(weekly_demand!$D:$D,weekly_demand!$A:$A,C$1,weekly_demand!$C:$C,$A43))</f>
        <v/>
      </c>
      <c r="D43" s="111" t="str">
        <f>IF($A43="","",SUMIFS(weekly_demand!$D:$D,weekly_demand!$A:$A,D$1,weekly_demand!$C:$C,$A43))</f>
        <v/>
      </c>
      <c r="E43" s="111" t="str">
        <f>IF($A43="","",SUMIFS(weekly_demand!$D:$D,weekly_demand!$A:$A,E$1,weekly_demand!$C:$C,$A43))</f>
        <v/>
      </c>
      <c r="F43" s="111" t="str">
        <f>IF($A43="","",SUMIFS(weekly_demand!$D:$D,weekly_demand!$A:$A,F$1,weekly_demand!$C:$C,$A43))</f>
        <v/>
      </c>
      <c r="G43" s="111" t="str">
        <f>IF($A43="","",SUMIFS(weekly_demand!$D:$D,weekly_demand!$A:$A,G$1,weekly_demand!$C:$C,$A43))</f>
        <v/>
      </c>
      <c r="H43" s="111" t="str">
        <f t="shared" si="4"/>
        <v/>
      </c>
      <c r="I43" s="111" t="str">
        <f t="shared" si="4"/>
        <v/>
      </c>
      <c r="J43" s="111" t="str">
        <f t="shared" si="4"/>
        <v/>
      </c>
      <c r="K43" s="111" t="str">
        <f t="shared" si="4"/>
        <v/>
      </c>
      <c r="L43" s="111" t="str">
        <f t="shared" si="4"/>
        <v/>
      </c>
      <c r="M43" s="111" t="str">
        <f t="shared" si="4"/>
        <v/>
      </c>
      <c r="N43" s="111" t="str">
        <f t="shared" si="4"/>
        <v/>
      </c>
      <c r="O43" s="111" t="str">
        <f t="shared" si="4"/>
        <v/>
      </c>
      <c r="P43" s="111" t="str">
        <f t="shared" si="4"/>
        <v/>
      </c>
      <c r="Q43" s="111" t="str">
        <f t="shared" si="4"/>
        <v/>
      </c>
      <c r="R43" s="111" t="str">
        <f t="shared" si="4"/>
        <v/>
      </c>
      <c r="S43" s="111" t="str">
        <f t="shared" si="4"/>
        <v/>
      </c>
      <c r="T43" s="111" t="str">
        <f t="shared" si="4"/>
        <v/>
      </c>
      <c r="U43" s="111" t="str">
        <f t="shared" si="4"/>
        <v/>
      </c>
      <c r="V43" s="111" t="str">
        <f t="shared" si="4"/>
        <v/>
      </c>
      <c r="W43" s="104"/>
      <c r="X43" s="104"/>
      <c r="Y43" s="104"/>
      <c r="Z43" s="104"/>
      <c r="AA43" s="104"/>
      <c r="AB43" s="104"/>
      <c r="AC43" s="104"/>
      <c r="AD43" s="104"/>
    </row>
    <row r="44" spans="1:30" x14ac:dyDescent="0.3">
      <c r="A44" s="110"/>
      <c r="B44" s="111" t="str">
        <f>IF($A44="","",SUMIFS(weekly_demand!$D:$D,weekly_demand!$A:$A,B$1,weekly_demand!$C:$C,$A44))</f>
        <v/>
      </c>
      <c r="C44" s="111" t="str">
        <f>IF($A44="","",SUMIFS(weekly_demand!$D:$D,weekly_demand!$A:$A,C$1,weekly_demand!$C:$C,$A44))</f>
        <v/>
      </c>
      <c r="D44" s="111" t="str">
        <f>IF($A44="","",SUMIFS(weekly_demand!$D:$D,weekly_demand!$A:$A,D$1,weekly_demand!$C:$C,$A44))</f>
        <v/>
      </c>
      <c r="E44" s="111" t="str">
        <f>IF($A44="","",SUMIFS(weekly_demand!$D:$D,weekly_demand!$A:$A,E$1,weekly_demand!$C:$C,$A44))</f>
        <v/>
      </c>
      <c r="F44" s="111" t="str">
        <f>IF($A44="","",SUMIFS(weekly_demand!$D:$D,weekly_demand!$A:$A,F$1,weekly_demand!$C:$C,$A44))</f>
        <v/>
      </c>
      <c r="G44" s="111" t="str">
        <f>IF($A44="","",SUMIFS(weekly_demand!$D:$D,weekly_demand!$A:$A,G$1,weekly_demand!$C:$C,$A44))</f>
        <v/>
      </c>
      <c r="H44" s="111" t="str">
        <f t="shared" si="4"/>
        <v/>
      </c>
      <c r="I44" s="111" t="str">
        <f t="shared" si="4"/>
        <v/>
      </c>
      <c r="J44" s="111" t="str">
        <f t="shared" si="4"/>
        <v/>
      </c>
      <c r="K44" s="111" t="str">
        <f t="shared" si="4"/>
        <v/>
      </c>
      <c r="L44" s="111" t="str">
        <f t="shared" si="4"/>
        <v/>
      </c>
      <c r="M44" s="111" t="str">
        <f t="shared" si="4"/>
        <v/>
      </c>
      <c r="N44" s="111" t="str">
        <f t="shared" si="4"/>
        <v/>
      </c>
      <c r="O44" s="111" t="str">
        <f t="shared" si="4"/>
        <v/>
      </c>
      <c r="P44" s="111" t="str">
        <f t="shared" si="4"/>
        <v/>
      </c>
      <c r="Q44" s="111" t="str">
        <f t="shared" si="4"/>
        <v/>
      </c>
      <c r="R44" s="111" t="str">
        <f t="shared" si="4"/>
        <v/>
      </c>
      <c r="S44" s="111" t="str">
        <f t="shared" si="4"/>
        <v/>
      </c>
      <c r="T44" s="111" t="str">
        <f t="shared" si="4"/>
        <v/>
      </c>
      <c r="U44" s="111" t="str">
        <f t="shared" si="4"/>
        <v/>
      </c>
      <c r="V44" s="111" t="str">
        <f t="shared" si="4"/>
        <v/>
      </c>
      <c r="W44" s="104"/>
      <c r="X44" s="104"/>
      <c r="Y44" s="104"/>
      <c r="Z44" s="104"/>
      <c r="AA44" s="104"/>
      <c r="AB44" s="104"/>
      <c r="AC44" s="104"/>
      <c r="AD44" s="104"/>
    </row>
    <row r="45" spans="1:30" x14ac:dyDescent="0.3">
      <c r="A45" s="110"/>
      <c r="B45" s="111" t="str">
        <f>IF($A45="","",SUMIFS(weekly_demand!$D:$D,weekly_demand!$A:$A,B$1,weekly_demand!$C:$C,$A45))</f>
        <v/>
      </c>
      <c r="C45" s="111" t="str">
        <f>IF($A45="","",SUMIFS(weekly_demand!$D:$D,weekly_demand!$A:$A,C$1,weekly_demand!$C:$C,$A45))</f>
        <v/>
      </c>
      <c r="D45" s="111" t="str">
        <f>IF($A45="","",SUMIFS(weekly_demand!$D:$D,weekly_demand!$A:$A,D$1,weekly_demand!$C:$C,$A45))</f>
        <v/>
      </c>
      <c r="E45" s="111" t="str">
        <f>IF($A45="","",SUMIFS(weekly_demand!$D:$D,weekly_demand!$A:$A,E$1,weekly_demand!$C:$C,$A45))</f>
        <v/>
      </c>
      <c r="F45" s="111" t="str">
        <f>IF($A45="","",SUMIFS(weekly_demand!$D:$D,weekly_demand!$A:$A,F$1,weekly_demand!$C:$C,$A45))</f>
        <v/>
      </c>
      <c r="G45" s="111" t="str">
        <f>IF($A45="","",SUMIFS(weekly_demand!$D:$D,weekly_demand!$A:$A,G$1,weekly_demand!$C:$C,$A45))</f>
        <v/>
      </c>
      <c r="H45" s="111" t="str">
        <f t="shared" si="4"/>
        <v/>
      </c>
      <c r="I45" s="111" t="str">
        <f t="shared" si="4"/>
        <v/>
      </c>
      <c r="J45" s="111" t="str">
        <f t="shared" si="4"/>
        <v/>
      </c>
      <c r="K45" s="111" t="str">
        <f t="shared" si="4"/>
        <v/>
      </c>
      <c r="L45" s="111" t="str">
        <f t="shared" si="4"/>
        <v/>
      </c>
      <c r="M45" s="111" t="str">
        <f t="shared" si="4"/>
        <v/>
      </c>
      <c r="N45" s="111" t="str">
        <f t="shared" si="4"/>
        <v/>
      </c>
      <c r="O45" s="111" t="str">
        <f t="shared" si="4"/>
        <v/>
      </c>
      <c r="P45" s="111" t="str">
        <f t="shared" si="4"/>
        <v/>
      </c>
      <c r="Q45" s="111" t="str">
        <f t="shared" si="4"/>
        <v/>
      </c>
      <c r="R45" s="111" t="str">
        <f t="shared" si="4"/>
        <v/>
      </c>
      <c r="S45" s="111" t="str">
        <f t="shared" si="4"/>
        <v/>
      </c>
      <c r="T45" s="111" t="str">
        <f t="shared" si="4"/>
        <v/>
      </c>
      <c r="U45" s="111" t="str">
        <f t="shared" si="4"/>
        <v/>
      </c>
      <c r="V45" s="111" t="str">
        <f t="shared" si="4"/>
        <v/>
      </c>
      <c r="W45" s="104"/>
      <c r="X45" s="104"/>
      <c r="Y45" s="104"/>
      <c r="Z45" s="104"/>
      <c r="AA45" s="104"/>
      <c r="AB45" s="104"/>
      <c r="AC45" s="104"/>
      <c r="AD45" s="104"/>
    </row>
    <row r="46" spans="1:30" x14ac:dyDescent="0.3">
      <c r="A46" s="110"/>
      <c r="B46" s="111" t="str">
        <f>IF($A46="","",SUMIFS(weekly_demand!$D:$D,weekly_demand!$A:$A,B$1,weekly_demand!$C:$C,$A46))</f>
        <v/>
      </c>
      <c r="C46" s="111" t="str">
        <f>IF($A46="","",SUMIFS(weekly_demand!$D:$D,weekly_demand!$A:$A,C$1,weekly_demand!$C:$C,$A46))</f>
        <v/>
      </c>
      <c r="D46" s="111" t="str">
        <f>IF($A46="","",SUMIFS(weekly_demand!$D:$D,weekly_demand!$A:$A,D$1,weekly_demand!$C:$C,$A46))</f>
        <v/>
      </c>
      <c r="E46" s="111" t="str">
        <f>IF($A46="","",SUMIFS(weekly_demand!$D:$D,weekly_demand!$A:$A,E$1,weekly_demand!$C:$C,$A46))</f>
        <v/>
      </c>
      <c r="F46" s="111" t="str">
        <f>IF($A46="","",SUMIFS(weekly_demand!$D:$D,weekly_demand!$A:$A,F$1,weekly_demand!$C:$C,$A46))</f>
        <v/>
      </c>
      <c r="G46" s="111" t="str">
        <f>IF($A46="","",SUMIFS(weekly_demand!$D:$D,weekly_demand!$A:$A,G$1,weekly_demand!$C:$C,$A46))</f>
        <v/>
      </c>
      <c r="H46" s="111" t="str">
        <f t="shared" si="4"/>
        <v/>
      </c>
      <c r="I46" s="111" t="str">
        <f t="shared" si="4"/>
        <v/>
      </c>
      <c r="J46" s="111" t="str">
        <f t="shared" si="4"/>
        <v/>
      </c>
      <c r="K46" s="111" t="str">
        <f t="shared" si="4"/>
        <v/>
      </c>
      <c r="L46" s="111" t="str">
        <f t="shared" si="4"/>
        <v/>
      </c>
      <c r="M46" s="111" t="str">
        <f t="shared" si="4"/>
        <v/>
      </c>
      <c r="N46" s="111" t="str">
        <f t="shared" si="4"/>
        <v/>
      </c>
      <c r="O46" s="111" t="str">
        <f t="shared" si="4"/>
        <v/>
      </c>
      <c r="P46" s="111" t="str">
        <f t="shared" si="4"/>
        <v/>
      </c>
      <c r="Q46" s="111" t="str">
        <f t="shared" si="4"/>
        <v/>
      </c>
      <c r="R46" s="111" t="str">
        <f t="shared" si="4"/>
        <v/>
      </c>
      <c r="S46" s="111" t="str">
        <f t="shared" si="4"/>
        <v/>
      </c>
      <c r="T46" s="111" t="str">
        <f t="shared" si="4"/>
        <v/>
      </c>
      <c r="U46" s="111" t="str">
        <f t="shared" si="4"/>
        <v/>
      </c>
      <c r="V46" s="111" t="str">
        <f t="shared" si="4"/>
        <v/>
      </c>
      <c r="W46" s="104"/>
      <c r="X46" s="104"/>
      <c r="Y46" s="104"/>
      <c r="Z46" s="104"/>
      <c r="AA46" s="104"/>
      <c r="AB46" s="104"/>
      <c r="AC46" s="104"/>
      <c r="AD46" s="104"/>
    </row>
    <row r="47" spans="1:30" x14ac:dyDescent="0.3">
      <c r="A47" s="110"/>
      <c r="B47" s="111" t="str">
        <f>IF($A47="","",SUMIFS(weekly_demand!$D:$D,weekly_demand!$A:$A,B$1,weekly_demand!$C:$C,$A47))</f>
        <v/>
      </c>
      <c r="C47" s="111" t="str">
        <f>IF($A47="","",SUMIFS(weekly_demand!$D:$D,weekly_demand!$A:$A,C$1,weekly_demand!$C:$C,$A47))</f>
        <v/>
      </c>
      <c r="D47" s="111" t="str">
        <f>IF($A47="","",SUMIFS(weekly_demand!$D:$D,weekly_demand!$A:$A,D$1,weekly_demand!$C:$C,$A47))</f>
        <v/>
      </c>
      <c r="E47" s="111" t="str">
        <f>IF($A47="","",SUMIFS(weekly_demand!$D:$D,weekly_demand!$A:$A,E$1,weekly_demand!$C:$C,$A47))</f>
        <v/>
      </c>
      <c r="F47" s="111" t="str">
        <f>IF($A47="","",SUMIFS(weekly_demand!$D:$D,weekly_demand!$A:$A,F$1,weekly_demand!$C:$C,$A47))</f>
        <v/>
      </c>
      <c r="G47" s="111" t="str">
        <f>IF($A47="","",SUMIFS(weekly_demand!$D:$D,weekly_demand!$A:$A,G$1,weekly_demand!$C:$C,$A47))</f>
        <v/>
      </c>
      <c r="H47" s="111" t="str">
        <f t="shared" si="4"/>
        <v/>
      </c>
      <c r="I47" s="111" t="str">
        <f t="shared" si="4"/>
        <v/>
      </c>
      <c r="J47" s="111" t="str">
        <f t="shared" si="4"/>
        <v/>
      </c>
      <c r="K47" s="111" t="str">
        <f t="shared" si="4"/>
        <v/>
      </c>
      <c r="L47" s="111" t="str">
        <f t="shared" si="4"/>
        <v/>
      </c>
      <c r="M47" s="111" t="str">
        <f t="shared" si="4"/>
        <v/>
      </c>
      <c r="N47" s="111" t="str">
        <f t="shared" si="4"/>
        <v/>
      </c>
      <c r="O47" s="111" t="str">
        <f t="shared" si="4"/>
        <v/>
      </c>
      <c r="P47" s="111" t="str">
        <f t="shared" si="4"/>
        <v/>
      </c>
      <c r="Q47" s="111" t="str">
        <f t="shared" si="4"/>
        <v/>
      </c>
      <c r="R47" s="111" t="str">
        <f t="shared" si="4"/>
        <v/>
      </c>
      <c r="S47" s="111" t="str">
        <f t="shared" si="4"/>
        <v/>
      </c>
      <c r="T47" s="111" t="str">
        <f t="shared" si="4"/>
        <v/>
      </c>
      <c r="U47" s="111" t="str">
        <f t="shared" si="4"/>
        <v/>
      </c>
      <c r="V47" s="111" t="str">
        <f t="shared" si="4"/>
        <v/>
      </c>
      <c r="W47" s="104"/>
      <c r="X47" s="104"/>
      <c r="Y47" s="104"/>
      <c r="Z47" s="104"/>
      <c r="AA47" s="104"/>
      <c r="AB47" s="104"/>
      <c r="AC47" s="104"/>
      <c r="AD47" s="104"/>
    </row>
    <row r="48" spans="1:30" x14ac:dyDescent="0.3">
      <c r="A48" s="110"/>
      <c r="B48" s="111" t="str">
        <f>IF($A48="","",SUMIFS(weekly_demand!$D:$D,weekly_demand!$A:$A,B$1,weekly_demand!$C:$C,$A48))</f>
        <v/>
      </c>
      <c r="C48" s="111" t="str">
        <f>IF($A48="","",SUMIFS(weekly_demand!$D:$D,weekly_demand!$A:$A,C$1,weekly_demand!$C:$C,$A48))</f>
        <v/>
      </c>
      <c r="D48" s="111" t="str">
        <f>IF($A48="","",SUMIFS(weekly_demand!$D:$D,weekly_demand!$A:$A,D$1,weekly_demand!$C:$C,$A48))</f>
        <v/>
      </c>
      <c r="E48" s="111" t="str">
        <f>IF($A48="","",SUMIFS(weekly_demand!$D:$D,weekly_demand!$A:$A,E$1,weekly_demand!$C:$C,$A48))</f>
        <v/>
      </c>
      <c r="F48" s="111" t="str">
        <f>IF($A48="","",SUMIFS(weekly_demand!$D:$D,weekly_demand!$A:$A,F$1,weekly_demand!$C:$C,$A48))</f>
        <v/>
      </c>
      <c r="G48" s="111" t="str">
        <f>IF($A48="","",SUMIFS(weekly_demand!$D:$D,weekly_demand!$A:$A,G$1,weekly_demand!$C:$C,$A48))</f>
        <v/>
      </c>
      <c r="H48" s="111" t="str">
        <f t="shared" si="4"/>
        <v/>
      </c>
      <c r="I48" s="111" t="str">
        <f t="shared" si="4"/>
        <v/>
      </c>
      <c r="J48" s="111" t="str">
        <f t="shared" si="4"/>
        <v/>
      </c>
      <c r="K48" s="111" t="str">
        <f t="shared" si="4"/>
        <v/>
      </c>
      <c r="L48" s="111" t="str">
        <f t="shared" si="4"/>
        <v/>
      </c>
      <c r="M48" s="111" t="str">
        <f t="shared" si="4"/>
        <v/>
      </c>
      <c r="N48" s="111" t="str">
        <f t="shared" si="4"/>
        <v/>
      </c>
      <c r="O48" s="111" t="str">
        <f t="shared" si="4"/>
        <v/>
      </c>
      <c r="P48" s="111" t="str">
        <f t="shared" si="4"/>
        <v/>
      </c>
      <c r="Q48" s="111" t="str">
        <f t="shared" si="4"/>
        <v/>
      </c>
      <c r="R48" s="111" t="str">
        <f t="shared" si="4"/>
        <v/>
      </c>
      <c r="S48" s="111" t="str">
        <f t="shared" si="4"/>
        <v/>
      </c>
      <c r="T48" s="111" t="str">
        <f t="shared" si="4"/>
        <v/>
      </c>
      <c r="U48" s="111" t="str">
        <f t="shared" si="4"/>
        <v/>
      </c>
      <c r="V48" s="111" t="str">
        <f t="shared" si="4"/>
        <v/>
      </c>
      <c r="W48" s="104"/>
      <c r="X48" s="104"/>
      <c r="Y48" s="104"/>
      <c r="Z48" s="104"/>
      <c r="AA48" s="104"/>
      <c r="AB48" s="104"/>
      <c r="AC48" s="104"/>
      <c r="AD48" s="104"/>
    </row>
    <row r="49" spans="1:30" x14ac:dyDescent="0.3">
      <c r="A49" s="110"/>
      <c r="B49" s="111" t="str">
        <f>IF($A49="","",SUMIFS(weekly_demand!$D:$D,weekly_demand!$A:$A,B$1,weekly_demand!$C:$C,$A49))</f>
        <v/>
      </c>
      <c r="C49" s="111" t="str">
        <f>IF($A49="","",SUMIFS(weekly_demand!$D:$D,weekly_demand!$A:$A,C$1,weekly_demand!$C:$C,$A49))</f>
        <v/>
      </c>
      <c r="D49" s="111" t="str">
        <f>IF($A49="","",SUMIFS(weekly_demand!$D:$D,weekly_demand!$A:$A,D$1,weekly_demand!$C:$C,$A49))</f>
        <v/>
      </c>
      <c r="E49" s="111" t="str">
        <f>IF($A49="","",SUMIFS(weekly_demand!$D:$D,weekly_demand!$A:$A,E$1,weekly_demand!$C:$C,$A49))</f>
        <v/>
      </c>
      <c r="F49" s="111" t="str">
        <f>IF($A49="","",SUMIFS(weekly_demand!$D:$D,weekly_demand!$A:$A,F$1,weekly_demand!$C:$C,$A49))</f>
        <v/>
      </c>
      <c r="G49" s="111" t="str">
        <f>IF($A49="","",SUMIFS(weekly_demand!$D:$D,weekly_demand!$A:$A,G$1,weekly_demand!$C:$C,$A49))</f>
        <v/>
      </c>
      <c r="H49" s="111" t="str">
        <f t="shared" si="4"/>
        <v/>
      </c>
      <c r="I49" s="111" t="str">
        <f t="shared" si="4"/>
        <v/>
      </c>
      <c r="J49" s="111" t="str">
        <f t="shared" si="4"/>
        <v/>
      </c>
      <c r="K49" s="111" t="str">
        <f t="shared" si="4"/>
        <v/>
      </c>
      <c r="L49" s="111" t="str">
        <f t="shared" si="4"/>
        <v/>
      </c>
      <c r="M49" s="111" t="str">
        <f t="shared" si="4"/>
        <v/>
      </c>
      <c r="N49" s="111" t="str">
        <f t="shared" si="4"/>
        <v/>
      </c>
      <c r="O49" s="111" t="str">
        <f t="shared" si="4"/>
        <v/>
      </c>
      <c r="P49" s="111" t="str">
        <f t="shared" si="4"/>
        <v/>
      </c>
      <c r="Q49" s="111" t="str">
        <f t="shared" si="4"/>
        <v/>
      </c>
      <c r="R49" s="111" t="str">
        <f t="shared" si="4"/>
        <v/>
      </c>
      <c r="S49" s="111" t="str">
        <f t="shared" si="4"/>
        <v/>
      </c>
      <c r="T49" s="111" t="str">
        <f t="shared" si="4"/>
        <v/>
      </c>
      <c r="U49" s="111" t="str">
        <f t="shared" si="4"/>
        <v/>
      </c>
      <c r="V49" s="111" t="str">
        <f t="shared" si="4"/>
        <v/>
      </c>
      <c r="W49" s="104"/>
      <c r="X49" s="104"/>
      <c r="Y49" s="104"/>
      <c r="Z49" s="104"/>
      <c r="AA49" s="104"/>
      <c r="AB49" s="104"/>
      <c r="AC49" s="104"/>
      <c r="AD49" s="104"/>
    </row>
    <row r="50" spans="1:30" x14ac:dyDescent="0.3">
      <c r="A50" s="110"/>
      <c r="B50" s="111" t="str">
        <f>IF($A50="","",SUMIFS(weekly_demand!$D:$D,weekly_demand!$A:$A,B$1,weekly_demand!$C:$C,$A50))</f>
        <v/>
      </c>
      <c r="C50" s="111" t="str">
        <f>IF($A50="","",SUMIFS(weekly_demand!$D:$D,weekly_demand!$A:$A,C$1,weekly_demand!$C:$C,$A50))</f>
        <v/>
      </c>
      <c r="D50" s="111" t="str">
        <f>IF($A50="","",SUMIFS(weekly_demand!$D:$D,weekly_demand!$A:$A,D$1,weekly_demand!$C:$C,$A50))</f>
        <v/>
      </c>
      <c r="E50" s="111" t="str">
        <f>IF($A50="","",SUMIFS(weekly_demand!$D:$D,weekly_demand!$A:$A,E$1,weekly_demand!$C:$C,$A50))</f>
        <v/>
      </c>
      <c r="F50" s="111" t="str">
        <f>IF($A50="","",SUMIFS(weekly_demand!$D:$D,weekly_demand!$A:$A,F$1,weekly_demand!$C:$C,$A50))</f>
        <v/>
      </c>
      <c r="G50" s="111" t="str">
        <f>IF($A50="","",SUMIFS(weekly_demand!$D:$D,weekly_demand!$A:$A,G$1,weekly_demand!$C:$C,$A50))</f>
        <v/>
      </c>
      <c r="H50" s="111" t="str">
        <f t="shared" si="4"/>
        <v/>
      </c>
      <c r="I50" s="111" t="str">
        <f t="shared" si="4"/>
        <v/>
      </c>
      <c r="J50" s="111" t="str">
        <f t="shared" si="4"/>
        <v/>
      </c>
      <c r="K50" s="111" t="str">
        <f t="shared" si="4"/>
        <v/>
      </c>
      <c r="L50" s="111" t="str">
        <f t="shared" si="4"/>
        <v/>
      </c>
      <c r="M50" s="111" t="str">
        <f t="shared" si="4"/>
        <v/>
      </c>
      <c r="N50" s="111" t="str">
        <f t="shared" si="4"/>
        <v/>
      </c>
      <c r="O50" s="111" t="str">
        <f t="shared" si="4"/>
        <v/>
      </c>
      <c r="P50" s="111" t="str">
        <f t="shared" si="4"/>
        <v/>
      </c>
      <c r="Q50" s="111" t="str">
        <f t="shared" si="4"/>
        <v/>
      </c>
      <c r="R50" s="111" t="str">
        <f t="shared" si="4"/>
        <v/>
      </c>
      <c r="S50" s="111" t="str">
        <f t="shared" si="4"/>
        <v/>
      </c>
      <c r="T50" s="111" t="str">
        <f t="shared" si="4"/>
        <v/>
      </c>
      <c r="U50" s="111" t="str">
        <f t="shared" si="4"/>
        <v/>
      </c>
      <c r="V50" s="111" t="str">
        <f t="shared" si="4"/>
        <v/>
      </c>
      <c r="W50" s="104"/>
      <c r="X50" s="104"/>
      <c r="Y50" s="104"/>
      <c r="Z50" s="104"/>
      <c r="AA50" s="104"/>
      <c r="AB50" s="104"/>
      <c r="AC50" s="104"/>
      <c r="AD50" s="104"/>
    </row>
    <row r="51" spans="1:30" x14ac:dyDescent="0.3">
      <c r="A51" s="110"/>
      <c r="B51" s="111" t="str">
        <f>IF($A51="","",SUMIFS(weekly_demand!$D:$D,weekly_demand!$A:$A,B$1,weekly_demand!$C:$C,$A51))</f>
        <v/>
      </c>
      <c r="C51" s="111" t="str">
        <f>IF($A51="","",SUMIFS(weekly_demand!$D:$D,weekly_demand!$A:$A,C$1,weekly_demand!$C:$C,$A51))</f>
        <v/>
      </c>
      <c r="D51" s="111" t="str">
        <f>IF($A51="","",SUMIFS(weekly_demand!$D:$D,weekly_demand!$A:$A,D$1,weekly_demand!$C:$C,$A51))</f>
        <v/>
      </c>
      <c r="E51" s="111" t="str">
        <f>IF($A51="","",SUMIFS(weekly_demand!$D:$D,weekly_demand!$A:$A,E$1,weekly_demand!$C:$C,$A51))</f>
        <v/>
      </c>
      <c r="F51" s="111" t="str">
        <f>IF($A51="","",SUMIFS(weekly_demand!$D:$D,weekly_demand!$A:$A,F$1,weekly_demand!$C:$C,$A51))</f>
        <v/>
      </c>
      <c r="G51" s="111" t="str">
        <f>IF($A51="","",SUMIFS(weekly_demand!$D:$D,weekly_demand!$A:$A,G$1,weekly_demand!$C:$C,$A51))</f>
        <v/>
      </c>
      <c r="H51" s="111" t="str">
        <f t="shared" si="4"/>
        <v/>
      </c>
      <c r="I51" s="111" t="str">
        <f t="shared" si="4"/>
        <v/>
      </c>
      <c r="J51" s="111" t="str">
        <f t="shared" si="4"/>
        <v/>
      </c>
      <c r="K51" s="111" t="str">
        <f t="shared" si="4"/>
        <v/>
      </c>
      <c r="L51" s="111" t="str">
        <f t="shared" si="4"/>
        <v/>
      </c>
      <c r="M51" s="111" t="str">
        <f t="shared" si="4"/>
        <v/>
      </c>
      <c r="N51" s="111" t="str">
        <f t="shared" si="4"/>
        <v/>
      </c>
      <c r="O51" s="111" t="str">
        <f t="shared" si="4"/>
        <v/>
      </c>
      <c r="P51" s="111" t="str">
        <f t="shared" si="4"/>
        <v/>
      </c>
      <c r="Q51" s="111" t="str">
        <f t="shared" si="4"/>
        <v/>
      </c>
      <c r="R51" s="111" t="str">
        <f t="shared" si="4"/>
        <v/>
      </c>
      <c r="S51" s="111" t="str">
        <f t="shared" si="4"/>
        <v/>
      </c>
      <c r="T51" s="111" t="str">
        <f t="shared" si="4"/>
        <v/>
      </c>
      <c r="U51" s="111" t="str">
        <f t="shared" si="4"/>
        <v/>
      </c>
      <c r="V51" s="111" t="str">
        <f t="shared" si="4"/>
        <v/>
      </c>
      <c r="W51" s="104"/>
      <c r="X51" s="104"/>
      <c r="Y51" s="104"/>
      <c r="Z51" s="104"/>
      <c r="AA51" s="104"/>
      <c r="AB51" s="104"/>
      <c r="AC51" s="104"/>
      <c r="AD51" s="104"/>
    </row>
    <row r="52" spans="1:30" x14ac:dyDescent="0.3">
      <c r="A52" s="110"/>
      <c r="B52" s="111" t="str">
        <f>IF($A52="","",SUMIFS(weekly_demand!$D:$D,weekly_demand!$A:$A,B$1,weekly_demand!$C:$C,$A52))</f>
        <v/>
      </c>
      <c r="C52" s="111" t="str">
        <f>IF($A52="","",SUMIFS(weekly_demand!$D:$D,weekly_demand!$A:$A,C$1,weekly_demand!$C:$C,$A52))</f>
        <v/>
      </c>
      <c r="D52" s="111" t="str">
        <f>IF($A52="","",SUMIFS(weekly_demand!$D:$D,weekly_demand!$A:$A,D$1,weekly_demand!$C:$C,$A52))</f>
        <v/>
      </c>
      <c r="E52" s="111" t="str">
        <f>IF($A52="","",SUMIFS(weekly_demand!$D:$D,weekly_demand!$A:$A,E$1,weekly_demand!$C:$C,$A52))</f>
        <v/>
      </c>
      <c r="F52" s="111" t="str">
        <f>IF($A52="","",SUMIFS(weekly_demand!$D:$D,weekly_demand!$A:$A,F$1,weekly_demand!$C:$C,$A52))</f>
        <v/>
      </c>
      <c r="G52" s="111" t="str">
        <f>IF($A52="","",SUMIFS(weekly_demand!$D:$D,weekly_demand!$A:$A,G$1,weekly_demand!$C:$C,$A52))</f>
        <v/>
      </c>
      <c r="H52" s="111" t="str">
        <f t="shared" ref="H52:V61" si="5">IF($A52="","",SUMPRODUCT($B52:$G52,INDEX($Y$2:$AD$16,MATCH(H$1,$X$2:$X$16,0),0)))</f>
        <v/>
      </c>
      <c r="I52" s="111" t="str">
        <f t="shared" si="5"/>
        <v/>
      </c>
      <c r="J52" s="111" t="str">
        <f t="shared" si="5"/>
        <v/>
      </c>
      <c r="K52" s="111" t="str">
        <f t="shared" si="5"/>
        <v/>
      </c>
      <c r="L52" s="111" t="str">
        <f t="shared" si="5"/>
        <v/>
      </c>
      <c r="M52" s="111" t="str">
        <f t="shared" si="5"/>
        <v/>
      </c>
      <c r="N52" s="111" t="str">
        <f t="shared" si="5"/>
        <v/>
      </c>
      <c r="O52" s="111" t="str">
        <f t="shared" si="5"/>
        <v/>
      </c>
      <c r="P52" s="111" t="str">
        <f t="shared" si="5"/>
        <v/>
      </c>
      <c r="Q52" s="111" t="str">
        <f t="shared" si="5"/>
        <v/>
      </c>
      <c r="R52" s="111" t="str">
        <f t="shared" si="5"/>
        <v/>
      </c>
      <c r="S52" s="111" t="str">
        <f t="shared" si="5"/>
        <v/>
      </c>
      <c r="T52" s="111" t="str">
        <f t="shared" si="5"/>
        <v/>
      </c>
      <c r="U52" s="111" t="str">
        <f t="shared" si="5"/>
        <v/>
      </c>
      <c r="V52" s="111" t="str">
        <f t="shared" si="5"/>
        <v/>
      </c>
      <c r="W52" s="104"/>
      <c r="X52" s="104"/>
      <c r="Y52" s="104"/>
      <c r="Z52" s="104"/>
      <c r="AA52" s="104"/>
      <c r="AB52" s="104"/>
      <c r="AC52" s="104"/>
      <c r="AD52" s="104"/>
    </row>
    <row r="53" spans="1:30" x14ac:dyDescent="0.3">
      <c r="A53" s="110"/>
      <c r="B53" s="111" t="str">
        <f>IF($A53="","",SUMIFS(weekly_demand!$D:$D,weekly_demand!$A:$A,B$1,weekly_demand!$C:$C,$A53))</f>
        <v/>
      </c>
      <c r="C53" s="111" t="str">
        <f>IF($A53="","",SUMIFS(weekly_demand!$D:$D,weekly_demand!$A:$A,C$1,weekly_demand!$C:$C,$A53))</f>
        <v/>
      </c>
      <c r="D53" s="111" t="str">
        <f>IF($A53="","",SUMIFS(weekly_demand!$D:$D,weekly_demand!$A:$A,D$1,weekly_demand!$C:$C,$A53))</f>
        <v/>
      </c>
      <c r="E53" s="111" t="str">
        <f>IF($A53="","",SUMIFS(weekly_demand!$D:$D,weekly_demand!$A:$A,E$1,weekly_demand!$C:$C,$A53))</f>
        <v/>
      </c>
      <c r="F53" s="111" t="str">
        <f>IF($A53="","",SUMIFS(weekly_demand!$D:$D,weekly_demand!$A:$A,F$1,weekly_demand!$C:$C,$A53))</f>
        <v/>
      </c>
      <c r="G53" s="111" t="str">
        <f>IF($A53="","",SUMIFS(weekly_demand!$D:$D,weekly_demand!$A:$A,G$1,weekly_demand!$C:$C,$A53))</f>
        <v/>
      </c>
      <c r="H53" s="111" t="str">
        <f t="shared" si="5"/>
        <v/>
      </c>
      <c r="I53" s="111" t="str">
        <f t="shared" si="5"/>
        <v/>
      </c>
      <c r="J53" s="111" t="str">
        <f t="shared" si="5"/>
        <v/>
      </c>
      <c r="K53" s="111" t="str">
        <f t="shared" si="5"/>
        <v/>
      </c>
      <c r="L53" s="111" t="str">
        <f t="shared" si="5"/>
        <v/>
      </c>
      <c r="M53" s="111" t="str">
        <f t="shared" si="5"/>
        <v/>
      </c>
      <c r="N53" s="111" t="str">
        <f t="shared" si="5"/>
        <v/>
      </c>
      <c r="O53" s="111" t="str">
        <f t="shared" si="5"/>
        <v/>
      </c>
      <c r="P53" s="111" t="str">
        <f t="shared" si="5"/>
        <v/>
      </c>
      <c r="Q53" s="111" t="str">
        <f t="shared" si="5"/>
        <v/>
      </c>
      <c r="R53" s="111" t="str">
        <f t="shared" si="5"/>
        <v/>
      </c>
      <c r="S53" s="111" t="str">
        <f t="shared" si="5"/>
        <v/>
      </c>
      <c r="T53" s="111" t="str">
        <f t="shared" si="5"/>
        <v/>
      </c>
      <c r="U53" s="111" t="str">
        <f t="shared" si="5"/>
        <v/>
      </c>
      <c r="V53" s="111" t="str">
        <f t="shared" si="5"/>
        <v/>
      </c>
      <c r="W53" s="104"/>
      <c r="X53" s="104"/>
      <c r="Y53" s="104"/>
      <c r="Z53" s="104"/>
      <c r="AA53" s="104"/>
      <c r="AB53" s="104"/>
      <c r="AC53" s="104"/>
      <c r="AD53" s="104"/>
    </row>
    <row r="54" spans="1:30" x14ac:dyDescent="0.3">
      <c r="A54" s="110"/>
      <c r="B54" s="111" t="str">
        <f>IF($A54="","",SUMIFS(weekly_demand!$D:$D,weekly_demand!$A:$A,B$1,weekly_demand!$C:$C,$A54))</f>
        <v/>
      </c>
      <c r="C54" s="111" t="str">
        <f>IF($A54="","",SUMIFS(weekly_demand!$D:$D,weekly_demand!$A:$A,C$1,weekly_demand!$C:$C,$A54))</f>
        <v/>
      </c>
      <c r="D54" s="111" t="str">
        <f>IF($A54="","",SUMIFS(weekly_demand!$D:$D,weekly_demand!$A:$A,D$1,weekly_demand!$C:$C,$A54))</f>
        <v/>
      </c>
      <c r="E54" s="111" t="str">
        <f>IF($A54="","",SUMIFS(weekly_demand!$D:$D,weekly_demand!$A:$A,E$1,weekly_demand!$C:$C,$A54))</f>
        <v/>
      </c>
      <c r="F54" s="111" t="str">
        <f>IF($A54="","",SUMIFS(weekly_demand!$D:$D,weekly_demand!$A:$A,F$1,weekly_demand!$C:$C,$A54))</f>
        <v/>
      </c>
      <c r="G54" s="111" t="str">
        <f>IF($A54="","",SUMIFS(weekly_demand!$D:$D,weekly_demand!$A:$A,G$1,weekly_demand!$C:$C,$A54))</f>
        <v/>
      </c>
      <c r="H54" s="111" t="str">
        <f t="shared" si="5"/>
        <v/>
      </c>
      <c r="I54" s="111" t="str">
        <f t="shared" si="5"/>
        <v/>
      </c>
      <c r="J54" s="111" t="str">
        <f t="shared" si="5"/>
        <v/>
      </c>
      <c r="K54" s="111" t="str">
        <f t="shared" si="5"/>
        <v/>
      </c>
      <c r="L54" s="111" t="str">
        <f t="shared" si="5"/>
        <v/>
      </c>
      <c r="M54" s="111" t="str">
        <f t="shared" si="5"/>
        <v/>
      </c>
      <c r="N54" s="111" t="str">
        <f t="shared" si="5"/>
        <v/>
      </c>
      <c r="O54" s="111" t="str">
        <f t="shared" si="5"/>
        <v/>
      </c>
      <c r="P54" s="111" t="str">
        <f t="shared" si="5"/>
        <v/>
      </c>
      <c r="Q54" s="111" t="str">
        <f t="shared" si="5"/>
        <v/>
      </c>
      <c r="R54" s="111" t="str">
        <f t="shared" si="5"/>
        <v/>
      </c>
      <c r="S54" s="111" t="str">
        <f t="shared" si="5"/>
        <v/>
      </c>
      <c r="T54" s="111" t="str">
        <f t="shared" si="5"/>
        <v/>
      </c>
      <c r="U54" s="111" t="str">
        <f t="shared" si="5"/>
        <v/>
      </c>
      <c r="V54" s="111" t="str">
        <f t="shared" si="5"/>
        <v/>
      </c>
      <c r="W54" s="104"/>
      <c r="X54" s="104"/>
      <c r="Y54" s="104"/>
      <c r="Z54" s="104"/>
      <c r="AA54" s="104"/>
      <c r="AB54" s="104"/>
      <c r="AC54" s="104"/>
      <c r="AD54" s="104"/>
    </row>
    <row r="55" spans="1:30" x14ac:dyDescent="0.3">
      <c r="A55" s="110"/>
      <c r="B55" s="111" t="str">
        <f>IF($A55="","",SUMIFS(weekly_demand!$D:$D,weekly_demand!$A:$A,B$1,weekly_demand!$C:$C,$A55))</f>
        <v/>
      </c>
      <c r="C55" s="111" t="str">
        <f>IF($A55="","",SUMIFS(weekly_demand!$D:$D,weekly_demand!$A:$A,C$1,weekly_demand!$C:$C,$A55))</f>
        <v/>
      </c>
      <c r="D55" s="111" t="str">
        <f>IF($A55="","",SUMIFS(weekly_demand!$D:$D,weekly_demand!$A:$A,D$1,weekly_demand!$C:$C,$A55))</f>
        <v/>
      </c>
      <c r="E55" s="111" t="str">
        <f>IF($A55="","",SUMIFS(weekly_demand!$D:$D,weekly_demand!$A:$A,E$1,weekly_demand!$C:$C,$A55))</f>
        <v/>
      </c>
      <c r="F55" s="111" t="str">
        <f>IF($A55="","",SUMIFS(weekly_demand!$D:$D,weekly_demand!$A:$A,F$1,weekly_demand!$C:$C,$A55))</f>
        <v/>
      </c>
      <c r="G55" s="111" t="str">
        <f>IF($A55="","",SUMIFS(weekly_demand!$D:$D,weekly_demand!$A:$A,G$1,weekly_demand!$C:$C,$A55))</f>
        <v/>
      </c>
      <c r="H55" s="111" t="str">
        <f t="shared" si="5"/>
        <v/>
      </c>
      <c r="I55" s="111" t="str">
        <f t="shared" si="5"/>
        <v/>
      </c>
      <c r="J55" s="111" t="str">
        <f t="shared" si="5"/>
        <v/>
      </c>
      <c r="K55" s="111" t="str">
        <f t="shared" si="5"/>
        <v/>
      </c>
      <c r="L55" s="111" t="str">
        <f t="shared" si="5"/>
        <v/>
      </c>
      <c r="M55" s="111" t="str">
        <f t="shared" si="5"/>
        <v/>
      </c>
      <c r="N55" s="111" t="str">
        <f t="shared" si="5"/>
        <v/>
      </c>
      <c r="O55" s="111" t="str">
        <f t="shared" si="5"/>
        <v/>
      </c>
      <c r="P55" s="111" t="str">
        <f t="shared" si="5"/>
        <v/>
      </c>
      <c r="Q55" s="111" t="str">
        <f t="shared" si="5"/>
        <v/>
      </c>
      <c r="R55" s="111" t="str">
        <f t="shared" si="5"/>
        <v/>
      </c>
      <c r="S55" s="111" t="str">
        <f t="shared" si="5"/>
        <v/>
      </c>
      <c r="T55" s="111" t="str">
        <f t="shared" si="5"/>
        <v/>
      </c>
      <c r="U55" s="111" t="str">
        <f t="shared" si="5"/>
        <v/>
      </c>
      <c r="V55" s="111" t="str">
        <f t="shared" si="5"/>
        <v/>
      </c>
      <c r="W55" s="104"/>
      <c r="X55" s="104"/>
      <c r="Y55" s="104"/>
      <c r="Z55" s="104"/>
      <c r="AA55" s="104"/>
      <c r="AB55" s="104"/>
      <c r="AC55" s="104"/>
      <c r="AD55" s="104"/>
    </row>
    <row r="56" spans="1:30" x14ac:dyDescent="0.3">
      <c r="A56" s="110"/>
      <c r="B56" s="111" t="str">
        <f>IF($A56="","",SUMIFS(weekly_demand!$D:$D,weekly_demand!$A:$A,B$1,weekly_demand!$C:$C,$A56))</f>
        <v/>
      </c>
      <c r="C56" s="111" t="str">
        <f>IF($A56="","",SUMIFS(weekly_demand!$D:$D,weekly_demand!$A:$A,C$1,weekly_demand!$C:$C,$A56))</f>
        <v/>
      </c>
      <c r="D56" s="111" t="str">
        <f>IF($A56="","",SUMIFS(weekly_demand!$D:$D,weekly_demand!$A:$A,D$1,weekly_demand!$C:$C,$A56))</f>
        <v/>
      </c>
      <c r="E56" s="111" t="str">
        <f>IF($A56="","",SUMIFS(weekly_demand!$D:$D,weekly_demand!$A:$A,E$1,weekly_demand!$C:$C,$A56))</f>
        <v/>
      </c>
      <c r="F56" s="111" t="str">
        <f>IF($A56="","",SUMIFS(weekly_demand!$D:$D,weekly_demand!$A:$A,F$1,weekly_demand!$C:$C,$A56))</f>
        <v/>
      </c>
      <c r="G56" s="111" t="str">
        <f>IF($A56="","",SUMIFS(weekly_demand!$D:$D,weekly_demand!$A:$A,G$1,weekly_demand!$C:$C,$A56))</f>
        <v/>
      </c>
      <c r="H56" s="111" t="str">
        <f t="shared" si="5"/>
        <v/>
      </c>
      <c r="I56" s="111" t="str">
        <f t="shared" si="5"/>
        <v/>
      </c>
      <c r="J56" s="111" t="str">
        <f t="shared" si="5"/>
        <v/>
      </c>
      <c r="K56" s="111" t="str">
        <f t="shared" si="5"/>
        <v/>
      </c>
      <c r="L56" s="111" t="str">
        <f t="shared" si="5"/>
        <v/>
      </c>
      <c r="M56" s="111" t="str">
        <f t="shared" si="5"/>
        <v/>
      </c>
      <c r="N56" s="111" t="str">
        <f t="shared" si="5"/>
        <v/>
      </c>
      <c r="O56" s="111" t="str">
        <f t="shared" si="5"/>
        <v/>
      </c>
      <c r="P56" s="111" t="str">
        <f t="shared" si="5"/>
        <v/>
      </c>
      <c r="Q56" s="111" t="str">
        <f t="shared" si="5"/>
        <v/>
      </c>
      <c r="R56" s="111" t="str">
        <f t="shared" si="5"/>
        <v/>
      </c>
      <c r="S56" s="111" t="str">
        <f t="shared" si="5"/>
        <v/>
      </c>
      <c r="T56" s="111" t="str">
        <f t="shared" si="5"/>
        <v/>
      </c>
      <c r="U56" s="111" t="str">
        <f t="shared" si="5"/>
        <v/>
      </c>
      <c r="V56" s="111" t="str">
        <f t="shared" si="5"/>
        <v/>
      </c>
      <c r="W56" s="104"/>
      <c r="X56" s="104"/>
      <c r="Y56" s="104"/>
      <c r="Z56" s="104"/>
      <c r="AA56" s="104"/>
      <c r="AB56" s="104"/>
      <c r="AC56" s="104"/>
      <c r="AD56" s="104"/>
    </row>
    <row r="57" spans="1:30" x14ac:dyDescent="0.3">
      <c r="A57" s="110"/>
      <c r="B57" s="111" t="str">
        <f>IF($A57="","",SUMIFS(weekly_demand!$D:$D,weekly_demand!$A:$A,B$1,weekly_demand!$C:$C,$A57))</f>
        <v/>
      </c>
      <c r="C57" s="111" t="str">
        <f>IF($A57="","",SUMIFS(weekly_demand!$D:$D,weekly_demand!$A:$A,C$1,weekly_demand!$C:$C,$A57))</f>
        <v/>
      </c>
      <c r="D57" s="111" t="str">
        <f>IF($A57="","",SUMIFS(weekly_demand!$D:$D,weekly_demand!$A:$A,D$1,weekly_demand!$C:$C,$A57))</f>
        <v/>
      </c>
      <c r="E57" s="111" t="str">
        <f>IF($A57="","",SUMIFS(weekly_demand!$D:$D,weekly_demand!$A:$A,E$1,weekly_demand!$C:$C,$A57))</f>
        <v/>
      </c>
      <c r="F57" s="111" t="str">
        <f>IF($A57="","",SUMIFS(weekly_demand!$D:$D,weekly_demand!$A:$A,F$1,weekly_demand!$C:$C,$A57))</f>
        <v/>
      </c>
      <c r="G57" s="111" t="str">
        <f>IF($A57="","",SUMIFS(weekly_demand!$D:$D,weekly_demand!$A:$A,G$1,weekly_demand!$C:$C,$A57))</f>
        <v/>
      </c>
      <c r="H57" s="111" t="str">
        <f t="shared" si="5"/>
        <v/>
      </c>
      <c r="I57" s="111" t="str">
        <f t="shared" si="5"/>
        <v/>
      </c>
      <c r="J57" s="111" t="str">
        <f t="shared" si="5"/>
        <v/>
      </c>
      <c r="K57" s="111" t="str">
        <f t="shared" si="5"/>
        <v/>
      </c>
      <c r="L57" s="111" t="str">
        <f t="shared" si="5"/>
        <v/>
      </c>
      <c r="M57" s="111" t="str">
        <f t="shared" si="5"/>
        <v/>
      </c>
      <c r="N57" s="111" t="str">
        <f t="shared" si="5"/>
        <v/>
      </c>
      <c r="O57" s="111" t="str">
        <f t="shared" si="5"/>
        <v/>
      </c>
      <c r="P57" s="111" t="str">
        <f t="shared" si="5"/>
        <v/>
      </c>
      <c r="Q57" s="111" t="str">
        <f t="shared" si="5"/>
        <v/>
      </c>
      <c r="R57" s="111" t="str">
        <f t="shared" si="5"/>
        <v/>
      </c>
      <c r="S57" s="111" t="str">
        <f t="shared" si="5"/>
        <v/>
      </c>
      <c r="T57" s="111" t="str">
        <f t="shared" si="5"/>
        <v/>
      </c>
      <c r="U57" s="111" t="str">
        <f t="shared" si="5"/>
        <v/>
      </c>
      <c r="V57" s="111" t="str">
        <f t="shared" si="5"/>
        <v/>
      </c>
      <c r="W57" s="104"/>
      <c r="X57" s="104"/>
      <c r="Y57" s="104"/>
      <c r="Z57" s="104"/>
      <c r="AA57" s="104"/>
      <c r="AB57" s="104"/>
      <c r="AC57" s="104"/>
      <c r="AD57" s="104"/>
    </row>
    <row r="58" spans="1:30" x14ac:dyDescent="0.3">
      <c r="A58" s="110"/>
      <c r="B58" s="111" t="str">
        <f>IF($A58="","",SUMIFS(weekly_demand!$D:$D,weekly_demand!$A:$A,B$1,weekly_demand!$C:$C,$A58))</f>
        <v/>
      </c>
      <c r="C58" s="111" t="str">
        <f>IF($A58="","",SUMIFS(weekly_demand!$D:$D,weekly_demand!$A:$A,C$1,weekly_demand!$C:$C,$A58))</f>
        <v/>
      </c>
      <c r="D58" s="111" t="str">
        <f>IF($A58="","",SUMIFS(weekly_demand!$D:$D,weekly_demand!$A:$A,D$1,weekly_demand!$C:$C,$A58))</f>
        <v/>
      </c>
      <c r="E58" s="111" t="str">
        <f>IF($A58="","",SUMIFS(weekly_demand!$D:$D,weekly_demand!$A:$A,E$1,weekly_demand!$C:$C,$A58))</f>
        <v/>
      </c>
      <c r="F58" s="111" t="str">
        <f>IF($A58="","",SUMIFS(weekly_demand!$D:$D,weekly_demand!$A:$A,F$1,weekly_demand!$C:$C,$A58))</f>
        <v/>
      </c>
      <c r="G58" s="111" t="str">
        <f>IF($A58="","",SUMIFS(weekly_demand!$D:$D,weekly_demand!$A:$A,G$1,weekly_demand!$C:$C,$A58))</f>
        <v/>
      </c>
      <c r="H58" s="111" t="str">
        <f t="shared" si="5"/>
        <v/>
      </c>
      <c r="I58" s="111" t="str">
        <f t="shared" si="5"/>
        <v/>
      </c>
      <c r="J58" s="111" t="str">
        <f t="shared" si="5"/>
        <v/>
      </c>
      <c r="K58" s="111" t="str">
        <f t="shared" si="5"/>
        <v/>
      </c>
      <c r="L58" s="111" t="str">
        <f t="shared" si="5"/>
        <v/>
      </c>
      <c r="M58" s="111" t="str">
        <f t="shared" si="5"/>
        <v/>
      </c>
      <c r="N58" s="111" t="str">
        <f t="shared" si="5"/>
        <v/>
      </c>
      <c r="O58" s="111" t="str">
        <f t="shared" si="5"/>
        <v/>
      </c>
      <c r="P58" s="111" t="str">
        <f t="shared" si="5"/>
        <v/>
      </c>
      <c r="Q58" s="111" t="str">
        <f t="shared" si="5"/>
        <v/>
      </c>
      <c r="R58" s="111" t="str">
        <f t="shared" si="5"/>
        <v/>
      </c>
      <c r="S58" s="111" t="str">
        <f t="shared" si="5"/>
        <v/>
      </c>
      <c r="T58" s="111" t="str">
        <f t="shared" si="5"/>
        <v/>
      </c>
      <c r="U58" s="111" t="str">
        <f t="shared" si="5"/>
        <v/>
      </c>
      <c r="V58" s="111" t="str">
        <f t="shared" si="5"/>
        <v/>
      </c>
      <c r="W58" s="104"/>
      <c r="X58" s="104"/>
      <c r="Y58" s="104"/>
      <c r="Z58" s="104"/>
      <c r="AA58" s="104"/>
      <c r="AB58" s="104"/>
      <c r="AC58" s="104"/>
      <c r="AD58" s="104"/>
    </row>
    <row r="59" spans="1:30" x14ac:dyDescent="0.3">
      <c r="A59" s="110"/>
      <c r="B59" s="111" t="str">
        <f>IF($A59="","",SUMIFS(weekly_demand!$D:$D,weekly_demand!$A:$A,B$1,weekly_demand!$C:$C,$A59))</f>
        <v/>
      </c>
      <c r="C59" s="111" t="str">
        <f>IF($A59="","",SUMIFS(weekly_demand!$D:$D,weekly_demand!$A:$A,C$1,weekly_demand!$C:$C,$A59))</f>
        <v/>
      </c>
      <c r="D59" s="111" t="str">
        <f>IF($A59="","",SUMIFS(weekly_demand!$D:$D,weekly_demand!$A:$A,D$1,weekly_demand!$C:$C,$A59))</f>
        <v/>
      </c>
      <c r="E59" s="111" t="str">
        <f>IF($A59="","",SUMIFS(weekly_demand!$D:$D,weekly_demand!$A:$A,E$1,weekly_demand!$C:$C,$A59))</f>
        <v/>
      </c>
      <c r="F59" s="111" t="str">
        <f>IF($A59="","",SUMIFS(weekly_demand!$D:$D,weekly_demand!$A:$A,F$1,weekly_demand!$C:$C,$A59))</f>
        <v/>
      </c>
      <c r="G59" s="111" t="str">
        <f>IF($A59="","",SUMIFS(weekly_demand!$D:$D,weekly_demand!$A:$A,G$1,weekly_demand!$C:$C,$A59))</f>
        <v/>
      </c>
      <c r="H59" s="111" t="str">
        <f t="shared" si="5"/>
        <v/>
      </c>
      <c r="I59" s="111" t="str">
        <f t="shared" si="5"/>
        <v/>
      </c>
      <c r="J59" s="111" t="str">
        <f t="shared" si="5"/>
        <v/>
      </c>
      <c r="K59" s="111" t="str">
        <f t="shared" si="5"/>
        <v/>
      </c>
      <c r="L59" s="111" t="str">
        <f t="shared" si="5"/>
        <v/>
      </c>
      <c r="M59" s="111" t="str">
        <f t="shared" si="5"/>
        <v/>
      </c>
      <c r="N59" s="111" t="str">
        <f t="shared" si="5"/>
        <v/>
      </c>
      <c r="O59" s="111" t="str">
        <f t="shared" si="5"/>
        <v/>
      </c>
      <c r="P59" s="111" t="str">
        <f t="shared" si="5"/>
        <v/>
      </c>
      <c r="Q59" s="111" t="str">
        <f t="shared" si="5"/>
        <v/>
      </c>
      <c r="R59" s="111" t="str">
        <f t="shared" si="5"/>
        <v/>
      </c>
      <c r="S59" s="111" t="str">
        <f t="shared" si="5"/>
        <v/>
      </c>
      <c r="T59" s="111" t="str">
        <f t="shared" si="5"/>
        <v/>
      </c>
      <c r="U59" s="111" t="str">
        <f t="shared" si="5"/>
        <v/>
      </c>
      <c r="V59" s="111" t="str">
        <f t="shared" si="5"/>
        <v/>
      </c>
      <c r="W59" s="104"/>
      <c r="X59" s="104"/>
      <c r="Y59" s="104"/>
      <c r="Z59" s="104"/>
      <c r="AA59" s="104"/>
      <c r="AB59" s="104"/>
      <c r="AC59" s="104"/>
      <c r="AD59" s="104"/>
    </row>
    <row r="60" spans="1:30" x14ac:dyDescent="0.3">
      <c r="A60" s="110"/>
      <c r="B60" s="111" t="str">
        <f>IF($A60="","",SUMIFS(weekly_demand!$D:$D,weekly_demand!$A:$A,B$1,weekly_demand!$C:$C,$A60))</f>
        <v/>
      </c>
      <c r="C60" s="111" t="str">
        <f>IF($A60="","",SUMIFS(weekly_demand!$D:$D,weekly_demand!$A:$A,C$1,weekly_demand!$C:$C,$A60))</f>
        <v/>
      </c>
      <c r="D60" s="111" t="str">
        <f>IF($A60="","",SUMIFS(weekly_demand!$D:$D,weekly_demand!$A:$A,D$1,weekly_demand!$C:$C,$A60))</f>
        <v/>
      </c>
      <c r="E60" s="111" t="str">
        <f>IF($A60="","",SUMIFS(weekly_demand!$D:$D,weekly_demand!$A:$A,E$1,weekly_demand!$C:$C,$A60))</f>
        <v/>
      </c>
      <c r="F60" s="111" t="str">
        <f>IF($A60="","",SUMIFS(weekly_demand!$D:$D,weekly_demand!$A:$A,F$1,weekly_demand!$C:$C,$A60))</f>
        <v/>
      </c>
      <c r="G60" s="111" t="str">
        <f>IF($A60="","",SUMIFS(weekly_demand!$D:$D,weekly_demand!$A:$A,G$1,weekly_demand!$C:$C,$A60))</f>
        <v/>
      </c>
      <c r="H60" s="111" t="str">
        <f t="shared" si="5"/>
        <v/>
      </c>
      <c r="I60" s="111" t="str">
        <f t="shared" si="5"/>
        <v/>
      </c>
      <c r="J60" s="111" t="str">
        <f t="shared" si="5"/>
        <v/>
      </c>
      <c r="K60" s="111" t="str">
        <f t="shared" si="5"/>
        <v/>
      </c>
      <c r="L60" s="111" t="str">
        <f t="shared" si="5"/>
        <v/>
      </c>
      <c r="M60" s="111" t="str">
        <f t="shared" si="5"/>
        <v/>
      </c>
      <c r="N60" s="111" t="str">
        <f t="shared" si="5"/>
        <v/>
      </c>
      <c r="O60" s="111" t="str">
        <f t="shared" si="5"/>
        <v/>
      </c>
      <c r="P60" s="111" t="str">
        <f t="shared" si="5"/>
        <v/>
      </c>
      <c r="Q60" s="111" t="str">
        <f t="shared" si="5"/>
        <v/>
      </c>
      <c r="R60" s="111" t="str">
        <f t="shared" si="5"/>
        <v/>
      </c>
      <c r="S60" s="111" t="str">
        <f t="shared" si="5"/>
        <v/>
      </c>
      <c r="T60" s="111" t="str">
        <f t="shared" si="5"/>
        <v/>
      </c>
      <c r="U60" s="111" t="str">
        <f t="shared" si="5"/>
        <v/>
      </c>
      <c r="V60" s="111" t="str">
        <f t="shared" si="5"/>
        <v/>
      </c>
      <c r="W60" s="104"/>
      <c r="X60" s="104"/>
      <c r="Y60" s="104"/>
      <c r="Z60" s="104"/>
      <c r="AA60" s="104"/>
      <c r="AB60" s="104"/>
      <c r="AC60" s="104"/>
      <c r="AD60" s="104"/>
    </row>
    <row r="61" spans="1:30" x14ac:dyDescent="0.3">
      <c r="A61" s="110"/>
      <c r="B61" s="111" t="str">
        <f>IF($A61="","",SUMIFS(weekly_demand!$D:$D,weekly_demand!$A:$A,B$1,weekly_demand!$C:$C,$A61))</f>
        <v/>
      </c>
      <c r="C61" s="111" t="str">
        <f>IF($A61="","",SUMIFS(weekly_demand!$D:$D,weekly_demand!$A:$A,C$1,weekly_demand!$C:$C,$A61))</f>
        <v/>
      </c>
      <c r="D61" s="111" t="str">
        <f>IF($A61="","",SUMIFS(weekly_demand!$D:$D,weekly_demand!$A:$A,D$1,weekly_demand!$C:$C,$A61))</f>
        <v/>
      </c>
      <c r="E61" s="111" t="str">
        <f>IF($A61="","",SUMIFS(weekly_demand!$D:$D,weekly_demand!$A:$A,E$1,weekly_demand!$C:$C,$A61))</f>
        <v/>
      </c>
      <c r="F61" s="111" t="str">
        <f>IF($A61="","",SUMIFS(weekly_demand!$D:$D,weekly_demand!$A:$A,F$1,weekly_demand!$C:$C,$A61))</f>
        <v/>
      </c>
      <c r="G61" s="111" t="str">
        <f>IF($A61="","",SUMIFS(weekly_demand!$D:$D,weekly_demand!$A:$A,G$1,weekly_demand!$C:$C,$A61))</f>
        <v/>
      </c>
      <c r="H61" s="111" t="str">
        <f t="shared" si="5"/>
        <v/>
      </c>
      <c r="I61" s="111" t="str">
        <f t="shared" si="5"/>
        <v/>
      </c>
      <c r="J61" s="111" t="str">
        <f t="shared" si="5"/>
        <v/>
      </c>
      <c r="K61" s="111" t="str">
        <f t="shared" si="5"/>
        <v/>
      </c>
      <c r="L61" s="111" t="str">
        <f t="shared" si="5"/>
        <v/>
      </c>
      <c r="M61" s="111" t="str">
        <f t="shared" si="5"/>
        <v/>
      </c>
      <c r="N61" s="111" t="str">
        <f t="shared" si="5"/>
        <v/>
      </c>
      <c r="O61" s="111" t="str">
        <f t="shared" si="5"/>
        <v/>
      </c>
      <c r="P61" s="111" t="str">
        <f t="shared" si="5"/>
        <v/>
      </c>
      <c r="Q61" s="111" t="str">
        <f t="shared" si="5"/>
        <v/>
      </c>
      <c r="R61" s="111" t="str">
        <f t="shared" si="5"/>
        <v/>
      </c>
      <c r="S61" s="111" t="str">
        <f t="shared" si="5"/>
        <v/>
      </c>
      <c r="T61" s="111" t="str">
        <f t="shared" si="5"/>
        <v/>
      </c>
      <c r="U61" s="111" t="str">
        <f t="shared" si="5"/>
        <v/>
      </c>
      <c r="V61" s="111" t="str">
        <f t="shared" si="5"/>
        <v/>
      </c>
      <c r="W61" s="104"/>
      <c r="X61" s="104"/>
      <c r="Y61" s="104"/>
      <c r="Z61" s="104"/>
      <c r="AA61" s="104"/>
      <c r="AB61" s="104"/>
      <c r="AC61" s="104"/>
      <c r="AD61" s="104"/>
    </row>
    <row r="62" spans="1:30" x14ac:dyDescent="0.3">
      <c r="A62" s="110"/>
      <c r="B62" s="111" t="str">
        <f>IF($A62="","",SUMIFS(weekly_demand!$D:$D,weekly_demand!$A:$A,B$1,weekly_demand!$C:$C,$A62))</f>
        <v/>
      </c>
      <c r="C62" s="111" t="str">
        <f>IF($A62="","",SUMIFS(weekly_demand!$D:$D,weekly_demand!$A:$A,C$1,weekly_demand!$C:$C,$A62))</f>
        <v/>
      </c>
      <c r="D62" s="111" t="str">
        <f>IF($A62="","",SUMIFS(weekly_demand!$D:$D,weekly_demand!$A:$A,D$1,weekly_demand!$C:$C,$A62))</f>
        <v/>
      </c>
      <c r="E62" s="111" t="str">
        <f>IF($A62="","",SUMIFS(weekly_demand!$D:$D,weekly_demand!$A:$A,E$1,weekly_demand!$C:$C,$A62))</f>
        <v/>
      </c>
      <c r="F62" s="111" t="str">
        <f>IF($A62="","",SUMIFS(weekly_demand!$D:$D,weekly_demand!$A:$A,F$1,weekly_demand!$C:$C,$A62))</f>
        <v/>
      </c>
      <c r="G62" s="111" t="str">
        <f>IF($A62="","",SUMIFS(weekly_demand!$D:$D,weekly_demand!$A:$A,G$1,weekly_demand!$C:$C,$A62))</f>
        <v/>
      </c>
      <c r="H62" s="111" t="str">
        <f t="shared" ref="H62:V71" si="6">IF($A62="","",SUMPRODUCT($B62:$G62,INDEX($Y$2:$AD$16,MATCH(H$1,$X$2:$X$16,0),0)))</f>
        <v/>
      </c>
      <c r="I62" s="111" t="str">
        <f t="shared" si="6"/>
        <v/>
      </c>
      <c r="J62" s="111" t="str">
        <f t="shared" si="6"/>
        <v/>
      </c>
      <c r="K62" s="111" t="str">
        <f t="shared" si="6"/>
        <v/>
      </c>
      <c r="L62" s="111" t="str">
        <f t="shared" si="6"/>
        <v/>
      </c>
      <c r="M62" s="111" t="str">
        <f t="shared" si="6"/>
        <v/>
      </c>
      <c r="N62" s="111" t="str">
        <f t="shared" si="6"/>
        <v/>
      </c>
      <c r="O62" s="111" t="str">
        <f t="shared" si="6"/>
        <v/>
      </c>
      <c r="P62" s="111" t="str">
        <f t="shared" si="6"/>
        <v/>
      </c>
      <c r="Q62" s="111" t="str">
        <f t="shared" si="6"/>
        <v/>
      </c>
      <c r="R62" s="111" t="str">
        <f t="shared" si="6"/>
        <v/>
      </c>
      <c r="S62" s="111" t="str">
        <f t="shared" si="6"/>
        <v/>
      </c>
      <c r="T62" s="111" t="str">
        <f t="shared" si="6"/>
        <v/>
      </c>
      <c r="U62" s="111" t="str">
        <f t="shared" si="6"/>
        <v/>
      </c>
      <c r="V62" s="111" t="str">
        <f t="shared" si="6"/>
        <v/>
      </c>
      <c r="W62" s="104"/>
      <c r="X62" s="104"/>
      <c r="Y62" s="104"/>
      <c r="Z62" s="104"/>
      <c r="AA62" s="104"/>
      <c r="AB62" s="104"/>
      <c r="AC62" s="104"/>
      <c r="AD62" s="104"/>
    </row>
    <row r="63" spans="1:30" x14ac:dyDescent="0.3">
      <c r="A63" s="110"/>
      <c r="B63" s="111" t="str">
        <f>IF($A63="","",SUMIFS(weekly_demand!$D:$D,weekly_demand!$A:$A,B$1,weekly_demand!$C:$C,$A63))</f>
        <v/>
      </c>
      <c r="C63" s="111" t="str">
        <f>IF($A63="","",SUMIFS(weekly_demand!$D:$D,weekly_demand!$A:$A,C$1,weekly_demand!$C:$C,$A63))</f>
        <v/>
      </c>
      <c r="D63" s="111" t="str">
        <f>IF($A63="","",SUMIFS(weekly_demand!$D:$D,weekly_demand!$A:$A,D$1,weekly_demand!$C:$C,$A63))</f>
        <v/>
      </c>
      <c r="E63" s="111" t="str">
        <f>IF($A63="","",SUMIFS(weekly_demand!$D:$D,weekly_demand!$A:$A,E$1,weekly_demand!$C:$C,$A63))</f>
        <v/>
      </c>
      <c r="F63" s="111" t="str">
        <f>IF($A63="","",SUMIFS(weekly_demand!$D:$D,weekly_demand!$A:$A,F$1,weekly_demand!$C:$C,$A63))</f>
        <v/>
      </c>
      <c r="G63" s="111" t="str">
        <f>IF($A63="","",SUMIFS(weekly_demand!$D:$D,weekly_demand!$A:$A,G$1,weekly_demand!$C:$C,$A63))</f>
        <v/>
      </c>
      <c r="H63" s="111" t="str">
        <f t="shared" si="6"/>
        <v/>
      </c>
      <c r="I63" s="111" t="str">
        <f t="shared" si="6"/>
        <v/>
      </c>
      <c r="J63" s="111" t="str">
        <f t="shared" si="6"/>
        <v/>
      </c>
      <c r="K63" s="111" t="str">
        <f t="shared" si="6"/>
        <v/>
      </c>
      <c r="L63" s="111" t="str">
        <f t="shared" si="6"/>
        <v/>
      </c>
      <c r="M63" s="111" t="str">
        <f t="shared" si="6"/>
        <v/>
      </c>
      <c r="N63" s="111" t="str">
        <f t="shared" si="6"/>
        <v/>
      </c>
      <c r="O63" s="111" t="str">
        <f t="shared" si="6"/>
        <v/>
      </c>
      <c r="P63" s="111" t="str">
        <f t="shared" si="6"/>
        <v/>
      </c>
      <c r="Q63" s="111" t="str">
        <f t="shared" si="6"/>
        <v/>
      </c>
      <c r="R63" s="111" t="str">
        <f t="shared" si="6"/>
        <v/>
      </c>
      <c r="S63" s="111" t="str">
        <f t="shared" si="6"/>
        <v/>
      </c>
      <c r="T63" s="111" t="str">
        <f t="shared" si="6"/>
        <v/>
      </c>
      <c r="U63" s="111" t="str">
        <f t="shared" si="6"/>
        <v/>
      </c>
      <c r="V63" s="111" t="str">
        <f t="shared" si="6"/>
        <v/>
      </c>
      <c r="W63" s="104"/>
      <c r="X63" s="104"/>
      <c r="Y63" s="104"/>
      <c r="Z63" s="104"/>
      <c r="AA63" s="104"/>
      <c r="AB63" s="104"/>
      <c r="AC63" s="104"/>
      <c r="AD63" s="104"/>
    </row>
    <row r="64" spans="1:30" x14ac:dyDescent="0.3">
      <c r="A64" s="110"/>
      <c r="B64" s="111" t="str">
        <f>IF($A64="","",SUMIFS(weekly_demand!$D:$D,weekly_demand!$A:$A,B$1,weekly_demand!$C:$C,$A64))</f>
        <v/>
      </c>
      <c r="C64" s="111" t="str">
        <f>IF($A64="","",SUMIFS(weekly_demand!$D:$D,weekly_demand!$A:$A,C$1,weekly_demand!$C:$C,$A64))</f>
        <v/>
      </c>
      <c r="D64" s="111" t="str">
        <f>IF($A64="","",SUMIFS(weekly_demand!$D:$D,weekly_demand!$A:$A,D$1,weekly_demand!$C:$C,$A64))</f>
        <v/>
      </c>
      <c r="E64" s="111" t="str">
        <f>IF($A64="","",SUMIFS(weekly_demand!$D:$D,weekly_demand!$A:$A,E$1,weekly_demand!$C:$C,$A64))</f>
        <v/>
      </c>
      <c r="F64" s="111" t="str">
        <f>IF($A64="","",SUMIFS(weekly_demand!$D:$D,weekly_demand!$A:$A,F$1,weekly_demand!$C:$C,$A64))</f>
        <v/>
      </c>
      <c r="G64" s="111" t="str">
        <f>IF($A64="","",SUMIFS(weekly_demand!$D:$D,weekly_demand!$A:$A,G$1,weekly_demand!$C:$C,$A64))</f>
        <v/>
      </c>
      <c r="H64" s="111" t="str">
        <f t="shared" si="6"/>
        <v/>
      </c>
      <c r="I64" s="111" t="str">
        <f t="shared" si="6"/>
        <v/>
      </c>
      <c r="J64" s="111" t="str">
        <f t="shared" si="6"/>
        <v/>
      </c>
      <c r="K64" s="111" t="str">
        <f t="shared" si="6"/>
        <v/>
      </c>
      <c r="L64" s="111" t="str">
        <f t="shared" si="6"/>
        <v/>
      </c>
      <c r="M64" s="111" t="str">
        <f t="shared" si="6"/>
        <v/>
      </c>
      <c r="N64" s="111" t="str">
        <f t="shared" si="6"/>
        <v/>
      </c>
      <c r="O64" s="111" t="str">
        <f t="shared" si="6"/>
        <v/>
      </c>
      <c r="P64" s="111" t="str">
        <f t="shared" si="6"/>
        <v/>
      </c>
      <c r="Q64" s="111" t="str">
        <f t="shared" si="6"/>
        <v/>
      </c>
      <c r="R64" s="111" t="str">
        <f t="shared" si="6"/>
        <v/>
      </c>
      <c r="S64" s="111" t="str">
        <f t="shared" si="6"/>
        <v/>
      </c>
      <c r="T64" s="111" t="str">
        <f t="shared" si="6"/>
        <v/>
      </c>
      <c r="U64" s="111" t="str">
        <f t="shared" si="6"/>
        <v/>
      </c>
      <c r="V64" s="111" t="str">
        <f t="shared" si="6"/>
        <v/>
      </c>
      <c r="W64" s="104"/>
      <c r="X64" s="104"/>
      <c r="Y64" s="104"/>
      <c r="Z64" s="104"/>
      <c r="AA64" s="104"/>
      <c r="AB64" s="104"/>
      <c r="AC64" s="104"/>
      <c r="AD64" s="104"/>
    </row>
    <row r="65" spans="1:30" x14ac:dyDescent="0.3">
      <c r="A65" s="110"/>
      <c r="B65" s="111" t="str">
        <f>IF($A65="","",SUMIFS(weekly_demand!$D:$D,weekly_demand!$A:$A,B$1,weekly_demand!$C:$C,$A65))</f>
        <v/>
      </c>
      <c r="C65" s="111" t="str">
        <f>IF($A65="","",SUMIFS(weekly_demand!$D:$D,weekly_demand!$A:$A,C$1,weekly_demand!$C:$C,$A65))</f>
        <v/>
      </c>
      <c r="D65" s="111" t="str">
        <f>IF($A65="","",SUMIFS(weekly_demand!$D:$D,weekly_demand!$A:$A,D$1,weekly_demand!$C:$C,$A65))</f>
        <v/>
      </c>
      <c r="E65" s="111" t="str">
        <f>IF($A65="","",SUMIFS(weekly_demand!$D:$D,weekly_demand!$A:$A,E$1,weekly_demand!$C:$C,$A65))</f>
        <v/>
      </c>
      <c r="F65" s="111" t="str">
        <f>IF($A65="","",SUMIFS(weekly_demand!$D:$D,weekly_demand!$A:$A,F$1,weekly_demand!$C:$C,$A65))</f>
        <v/>
      </c>
      <c r="G65" s="111" t="str">
        <f>IF($A65="","",SUMIFS(weekly_demand!$D:$D,weekly_demand!$A:$A,G$1,weekly_demand!$C:$C,$A65))</f>
        <v/>
      </c>
      <c r="H65" s="111" t="str">
        <f t="shared" si="6"/>
        <v/>
      </c>
      <c r="I65" s="111" t="str">
        <f t="shared" si="6"/>
        <v/>
      </c>
      <c r="J65" s="111" t="str">
        <f t="shared" si="6"/>
        <v/>
      </c>
      <c r="K65" s="111" t="str">
        <f t="shared" si="6"/>
        <v/>
      </c>
      <c r="L65" s="111" t="str">
        <f t="shared" si="6"/>
        <v/>
      </c>
      <c r="M65" s="111" t="str">
        <f t="shared" si="6"/>
        <v/>
      </c>
      <c r="N65" s="111" t="str">
        <f t="shared" si="6"/>
        <v/>
      </c>
      <c r="O65" s="111" t="str">
        <f t="shared" si="6"/>
        <v/>
      </c>
      <c r="P65" s="111" t="str">
        <f t="shared" si="6"/>
        <v/>
      </c>
      <c r="Q65" s="111" t="str">
        <f t="shared" si="6"/>
        <v/>
      </c>
      <c r="R65" s="111" t="str">
        <f t="shared" si="6"/>
        <v/>
      </c>
      <c r="S65" s="111" t="str">
        <f t="shared" si="6"/>
        <v/>
      </c>
      <c r="T65" s="111" t="str">
        <f t="shared" si="6"/>
        <v/>
      </c>
      <c r="U65" s="111" t="str">
        <f t="shared" si="6"/>
        <v/>
      </c>
      <c r="V65" s="111" t="str">
        <f t="shared" si="6"/>
        <v/>
      </c>
      <c r="W65" s="104"/>
      <c r="X65" s="104"/>
      <c r="Y65" s="104"/>
      <c r="Z65" s="104"/>
      <c r="AA65" s="104"/>
      <c r="AB65" s="104"/>
      <c r="AC65" s="104"/>
      <c r="AD65" s="104"/>
    </row>
    <row r="66" spans="1:30" x14ac:dyDescent="0.3">
      <c r="A66" s="110"/>
      <c r="B66" s="111" t="str">
        <f>IF($A66="","",SUMIFS(weekly_demand!$D:$D,weekly_demand!$A:$A,B$1,weekly_demand!$C:$C,$A66))</f>
        <v/>
      </c>
      <c r="C66" s="111" t="str">
        <f>IF($A66="","",SUMIFS(weekly_demand!$D:$D,weekly_demand!$A:$A,C$1,weekly_demand!$C:$C,$A66))</f>
        <v/>
      </c>
      <c r="D66" s="111" t="str">
        <f>IF($A66="","",SUMIFS(weekly_demand!$D:$D,weekly_demand!$A:$A,D$1,weekly_demand!$C:$C,$A66))</f>
        <v/>
      </c>
      <c r="E66" s="111" t="str">
        <f>IF($A66="","",SUMIFS(weekly_demand!$D:$D,weekly_demand!$A:$A,E$1,weekly_demand!$C:$C,$A66))</f>
        <v/>
      </c>
      <c r="F66" s="111" t="str">
        <f>IF($A66="","",SUMIFS(weekly_demand!$D:$D,weekly_demand!$A:$A,F$1,weekly_demand!$C:$C,$A66))</f>
        <v/>
      </c>
      <c r="G66" s="111" t="str">
        <f>IF($A66="","",SUMIFS(weekly_demand!$D:$D,weekly_demand!$A:$A,G$1,weekly_demand!$C:$C,$A66))</f>
        <v/>
      </c>
      <c r="H66" s="111" t="str">
        <f t="shared" si="6"/>
        <v/>
      </c>
      <c r="I66" s="111" t="str">
        <f t="shared" si="6"/>
        <v/>
      </c>
      <c r="J66" s="111" t="str">
        <f t="shared" si="6"/>
        <v/>
      </c>
      <c r="K66" s="111" t="str">
        <f t="shared" si="6"/>
        <v/>
      </c>
      <c r="L66" s="111" t="str">
        <f t="shared" si="6"/>
        <v/>
      </c>
      <c r="M66" s="111" t="str">
        <f t="shared" si="6"/>
        <v/>
      </c>
      <c r="N66" s="111" t="str">
        <f t="shared" si="6"/>
        <v/>
      </c>
      <c r="O66" s="111" t="str">
        <f t="shared" si="6"/>
        <v/>
      </c>
      <c r="P66" s="111" t="str">
        <f t="shared" si="6"/>
        <v/>
      </c>
      <c r="Q66" s="111" t="str">
        <f t="shared" si="6"/>
        <v/>
      </c>
      <c r="R66" s="111" t="str">
        <f t="shared" si="6"/>
        <v/>
      </c>
      <c r="S66" s="111" t="str">
        <f t="shared" si="6"/>
        <v/>
      </c>
      <c r="T66" s="111" t="str">
        <f t="shared" si="6"/>
        <v/>
      </c>
      <c r="U66" s="111" t="str">
        <f t="shared" si="6"/>
        <v/>
      </c>
      <c r="V66" s="111" t="str">
        <f t="shared" si="6"/>
        <v/>
      </c>
      <c r="W66" s="104"/>
      <c r="X66" s="104"/>
      <c r="Y66" s="104"/>
      <c r="Z66" s="104"/>
      <c r="AA66" s="104"/>
      <c r="AB66" s="104"/>
      <c r="AC66" s="104"/>
      <c r="AD66" s="104"/>
    </row>
    <row r="67" spans="1:30" x14ac:dyDescent="0.3">
      <c r="A67" s="110"/>
      <c r="B67" s="111" t="str">
        <f>IF($A67="","",SUMIFS(weekly_demand!$D:$D,weekly_demand!$A:$A,B$1,weekly_demand!$C:$C,$A67))</f>
        <v/>
      </c>
      <c r="C67" s="111" t="str">
        <f>IF($A67="","",SUMIFS(weekly_demand!$D:$D,weekly_demand!$A:$A,C$1,weekly_demand!$C:$C,$A67))</f>
        <v/>
      </c>
      <c r="D67" s="111" t="str">
        <f>IF($A67="","",SUMIFS(weekly_demand!$D:$D,weekly_demand!$A:$A,D$1,weekly_demand!$C:$C,$A67))</f>
        <v/>
      </c>
      <c r="E67" s="111" t="str">
        <f>IF($A67="","",SUMIFS(weekly_demand!$D:$D,weekly_demand!$A:$A,E$1,weekly_demand!$C:$C,$A67))</f>
        <v/>
      </c>
      <c r="F67" s="111" t="str">
        <f>IF($A67="","",SUMIFS(weekly_demand!$D:$D,weekly_demand!$A:$A,F$1,weekly_demand!$C:$C,$A67))</f>
        <v/>
      </c>
      <c r="G67" s="111" t="str">
        <f>IF($A67="","",SUMIFS(weekly_demand!$D:$D,weekly_demand!$A:$A,G$1,weekly_demand!$C:$C,$A67))</f>
        <v/>
      </c>
      <c r="H67" s="111" t="str">
        <f t="shared" si="6"/>
        <v/>
      </c>
      <c r="I67" s="111" t="str">
        <f t="shared" si="6"/>
        <v/>
      </c>
      <c r="J67" s="111" t="str">
        <f t="shared" si="6"/>
        <v/>
      </c>
      <c r="K67" s="111" t="str">
        <f t="shared" si="6"/>
        <v/>
      </c>
      <c r="L67" s="111" t="str">
        <f t="shared" si="6"/>
        <v/>
      </c>
      <c r="M67" s="111" t="str">
        <f t="shared" si="6"/>
        <v/>
      </c>
      <c r="N67" s="111" t="str">
        <f t="shared" si="6"/>
        <v/>
      </c>
      <c r="O67" s="111" t="str">
        <f t="shared" si="6"/>
        <v/>
      </c>
      <c r="P67" s="111" t="str">
        <f t="shared" si="6"/>
        <v/>
      </c>
      <c r="Q67" s="111" t="str">
        <f t="shared" si="6"/>
        <v/>
      </c>
      <c r="R67" s="111" t="str">
        <f t="shared" si="6"/>
        <v/>
      </c>
      <c r="S67" s="111" t="str">
        <f t="shared" si="6"/>
        <v/>
      </c>
      <c r="T67" s="111" t="str">
        <f t="shared" si="6"/>
        <v/>
      </c>
      <c r="U67" s="111" t="str">
        <f t="shared" si="6"/>
        <v/>
      </c>
      <c r="V67" s="111" t="str">
        <f t="shared" si="6"/>
        <v/>
      </c>
      <c r="W67" s="104"/>
      <c r="X67" s="104"/>
      <c r="Y67" s="104"/>
      <c r="Z67" s="104"/>
      <c r="AA67" s="104"/>
      <c r="AB67" s="104"/>
      <c r="AC67" s="104"/>
      <c r="AD67" s="104"/>
    </row>
    <row r="68" spans="1:30" x14ac:dyDescent="0.3">
      <c r="A68" s="110"/>
      <c r="B68" s="111" t="str">
        <f>IF($A68="","",SUMIFS(weekly_demand!$D:$D,weekly_demand!$A:$A,B$1,weekly_demand!$C:$C,$A68))</f>
        <v/>
      </c>
      <c r="C68" s="111" t="str">
        <f>IF($A68="","",SUMIFS(weekly_demand!$D:$D,weekly_demand!$A:$A,C$1,weekly_demand!$C:$C,$A68))</f>
        <v/>
      </c>
      <c r="D68" s="111" t="str">
        <f>IF($A68="","",SUMIFS(weekly_demand!$D:$D,weekly_demand!$A:$A,D$1,weekly_demand!$C:$C,$A68))</f>
        <v/>
      </c>
      <c r="E68" s="111" t="str">
        <f>IF($A68="","",SUMIFS(weekly_demand!$D:$D,weekly_demand!$A:$A,E$1,weekly_demand!$C:$C,$A68))</f>
        <v/>
      </c>
      <c r="F68" s="111" t="str">
        <f>IF($A68="","",SUMIFS(weekly_demand!$D:$D,weekly_demand!$A:$A,F$1,weekly_demand!$C:$C,$A68))</f>
        <v/>
      </c>
      <c r="G68" s="111" t="str">
        <f>IF($A68="","",SUMIFS(weekly_demand!$D:$D,weekly_demand!$A:$A,G$1,weekly_demand!$C:$C,$A68))</f>
        <v/>
      </c>
      <c r="H68" s="111" t="str">
        <f t="shared" si="6"/>
        <v/>
      </c>
      <c r="I68" s="111" t="str">
        <f t="shared" si="6"/>
        <v/>
      </c>
      <c r="J68" s="111" t="str">
        <f t="shared" si="6"/>
        <v/>
      </c>
      <c r="K68" s="111" t="str">
        <f t="shared" si="6"/>
        <v/>
      </c>
      <c r="L68" s="111" t="str">
        <f t="shared" si="6"/>
        <v/>
      </c>
      <c r="M68" s="111" t="str">
        <f t="shared" si="6"/>
        <v/>
      </c>
      <c r="N68" s="111" t="str">
        <f t="shared" si="6"/>
        <v/>
      </c>
      <c r="O68" s="111" t="str">
        <f t="shared" si="6"/>
        <v/>
      </c>
      <c r="P68" s="111" t="str">
        <f t="shared" si="6"/>
        <v/>
      </c>
      <c r="Q68" s="111" t="str">
        <f t="shared" si="6"/>
        <v/>
      </c>
      <c r="R68" s="111" t="str">
        <f t="shared" si="6"/>
        <v/>
      </c>
      <c r="S68" s="111" t="str">
        <f t="shared" si="6"/>
        <v/>
      </c>
      <c r="T68" s="111" t="str">
        <f t="shared" si="6"/>
        <v/>
      </c>
      <c r="U68" s="111" t="str">
        <f t="shared" si="6"/>
        <v/>
      </c>
      <c r="V68" s="111" t="str">
        <f t="shared" si="6"/>
        <v/>
      </c>
      <c r="W68" s="104"/>
      <c r="X68" s="104"/>
      <c r="Y68" s="104"/>
      <c r="Z68" s="104"/>
      <c r="AA68" s="104"/>
      <c r="AB68" s="104"/>
      <c r="AC68" s="104"/>
      <c r="AD68" s="104"/>
    </row>
    <row r="69" spans="1:30" x14ac:dyDescent="0.3">
      <c r="A69" s="110"/>
      <c r="B69" s="111" t="str">
        <f>IF($A69="","",SUMIFS(weekly_demand!$D:$D,weekly_demand!$A:$A,B$1,weekly_demand!$C:$C,$A69))</f>
        <v/>
      </c>
      <c r="C69" s="111" t="str">
        <f>IF($A69="","",SUMIFS(weekly_demand!$D:$D,weekly_demand!$A:$A,C$1,weekly_demand!$C:$C,$A69))</f>
        <v/>
      </c>
      <c r="D69" s="111" t="str">
        <f>IF($A69="","",SUMIFS(weekly_demand!$D:$D,weekly_demand!$A:$A,D$1,weekly_demand!$C:$C,$A69))</f>
        <v/>
      </c>
      <c r="E69" s="111" t="str">
        <f>IF($A69="","",SUMIFS(weekly_demand!$D:$D,weekly_demand!$A:$A,E$1,weekly_demand!$C:$C,$A69))</f>
        <v/>
      </c>
      <c r="F69" s="111" t="str">
        <f>IF($A69="","",SUMIFS(weekly_demand!$D:$D,weekly_demand!$A:$A,F$1,weekly_demand!$C:$C,$A69))</f>
        <v/>
      </c>
      <c r="G69" s="111" t="str">
        <f>IF($A69="","",SUMIFS(weekly_demand!$D:$D,weekly_demand!$A:$A,G$1,weekly_demand!$C:$C,$A69))</f>
        <v/>
      </c>
      <c r="H69" s="111" t="str">
        <f t="shared" si="6"/>
        <v/>
      </c>
      <c r="I69" s="111" t="str">
        <f t="shared" si="6"/>
        <v/>
      </c>
      <c r="J69" s="111" t="str">
        <f t="shared" si="6"/>
        <v/>
      </c>
      <c r="K69" s="111" t="str">
        <f t="shared" si="6"/>
        <v/>
      </c>
      <c r="L69" s="111" t="str">
        <f t="shared" si="6"/>
        <v/>
      </c>
      <c r="M69" s="111" t="str">
        <f t="shared" si="6"/>
        <v/>
      </c>
      <c r="N69" s="111" t="str">
        <f t="shared" si="6"/>
        <v/>
      </c>
      <c r="O69" s="111" t="str">
        <f t="shared" si="6"/>
        <v/>
      </c>
      <c r="P69" s="111" t="str">
        <f t="shared" si="6"/>
        <v/>
      </c>
      <c r="Q69" s="111" t="str">
        <f t="shared" si="6"/>
        <v/>
      </c>
      <c r="R69" s="111" t="str">
        <f t="shared" si="6"/>
        <v/>
      </c>
      <c r="S69" s="111" t="str">
        <f t="shared" si="6"/>
        <v/>
      </c>
      <c r="T69" s="111" t="str">
        <f t="shared" si="6"/>
        <v/>
      </c>
      <c r="U69" s="111" t="str">
        <f t="shared" si="6"/>
        <v/>
      </c>
      <c r="V69" s="111" t="str">
        <f t="shared" si="6"/>
        <v/>
      </c>
      <c r="W69" s="104"/>
      <c r="X69" s="104"/>
      <c r="Y69" s="104"/>
      <c r="Z69" s="104"/>
      <c r="AA69" s="104"/>
      <c r="AB69" s="104"/>
      <c r="AC69" s="104"/>
      <c r="AD69" s="104"/>
    </row>
    <row r="70" spans="1:30" x14ac:dyDescent="0.3">
      <c r="A70" s="110"/>
      <c r="B70" s="111" t="str">
        <f>IF($A70="","",SUMIFS(weekly_demand!$D:$D,weekly_demand!$A:$A,B$1,weekly_demand!$C:$C,$A70))</f>
        <v/>
      </c>
      <c r="C70" s="111" t="str">
        <f>IF($A70="","",SUMIFS(weekly_demand!$D:$D,weekly_demand!$A:$A,C$1,weekly_demand!$C:$C,$A70))</f>
        <v/>
      </c>
      <c r="D70" s="111" t="str">
        <f>IF($A70="","",SUMIFS(weekly_demand!$D:$D,weekly_demand!$A:$A,D$1,weekly_demand!$C:$C,$A70))</f>
        <v/>
      </c>
      <c r="E70" s="111" t="str">
        <f>IF($A70="","",SUMIFS(weekly_demand!$D:$D,weekly_demand!$A:$A,E$1,weekly_demand!$C:$C,$A70))</f>
        <v/>
      </c>
      <c r="F70" s="111" t="str">
        <f>IF($A70="","",SUMIFS(weekly_demand!$D:$D,weekly_demand!$A:$A,F$1,weekly_demand!$C:$C,$A70))</f>
        <v/>
      </c>
      <c r="G70" s="111" t="str">
        <f>IF($A70="","",SUMIFS(weekly_demand!$D:$D,weekly_demand!$A:$A,G$1,weekly_demand!$C:$C,$A70))</f>
        <v/>
      </c>
      <c r="H70" s="111" t="str">
        <f t="shared" si="6"/>
        <v/>
      </c>
      <c r="I70" s="111" t="str">
        <f t="shared" si="6"/>
        <v/>
      </c>
      <c r="J70" s="111" t="str">
        <f t="shared" si="6"/>
        <v/>
      </c>
      <c r="K70" s="111" t="str">
        <f t="shared" si="6"/>
        <v/>
      </c>
      <c r="L70" s="111" t="str">
        <f t="shared" si="6"/>
        <v/>
      </c>
      <c r="M70" s="111" t="str">
        <f t="shared" si="6"/>
        <v/>
      </c>
      <c r="N70" s="111" t="str">
        <f t="shared" si="6"/>
        <v/>
      </c>
      <c r="O70" s="111" t="str">
        <f t="shared" si="6"/>
        <v/>
      </c>
      <c r="P70" s="111" t="str">
        <f t="shared" si="6"/>
        <v/>
      </c>
      <c r="Q70" s="111" t="str">
        <f t="shared" si="6"/>
        <v/>
      </c>
      <c r="R70" s="111" t="str">
        <f t="shared" si="6"/>
        <v/>
      </c>
      <c r="S70" s="111" t="str">
        <f t="shared" si="6"/>
        <v/>
      </c>
      <c r="T70" s="111" t="str">
        <f t="shared" si="6"/>
        <v/>
      </c>
      <c r="U70" s="111" t="str">
        <f t="shared" si="6"/>
        <v/>
      </c>
      <c r="V70" s="111" t="str">
        <f t="shared" si="6"/>
        <v/>
      </c>
      <c r="W70" s="104"/>
      <c r="X70" s="104"/>
      <c r="Y70" s="104"/>
      <c r="Z70" s="104"/>
      <c r="AA70" s="104"/>
      <c r="AB70" s="104"/>
      <c r="AC70" s="104"/>
      <c r="AD70" s="104"/>
    </row>
    <row r="71" spans="1:30" x14ac:dyDescent="0.3">
      <c r="A71" s="110"/>
      <c r="B71" s="111" t="str">
        <f>IF($A71="","",SUMIFS(weekly_demand!$D:$D,weekly_demand!$A:$A,B$1,weekly_demand!$C:$C,$A71))</f>
        <v/>
      </c>
      <c r="C71" s="111" t="str">
        <f>IF($A71="","",SUMIFS(weekly_demand!$D:$D,weekly_demand!$A:$A,C$1,weekly_demand!$C:$C,$A71))</f>
        <v/>
      </c>
      <c r="D71" s="111" t="str">
        <f>IF($A71="","",SUMIFS(weekly_demand!$D:$D,weekly_demand!$A:$A,D$1,weekly_demand!$C:$C,$A71))</f>
        <v/>
      </c>
      <c r="E71" s="111" t="str">
        <f>IF($A71="","",SUMIFS(weekly_demand!$D:$D,weekly_demand!$A:$A,E$1,weekly_demand!$C:$C,$A71))</f>
        <v/>
      </c>
      <c r="F71" s="111" t="str">
        <f>IF($A71="","",SUMIFS(weekly_demand!$D:$D,weekly_demand!$A:$A,F$1,weekly_demand!$C:$C,$A71))</f>
        <v/>
      </c>
      <c r="G71" s="111" t="str">
        <f>IF($A71="","",SUMIFS(weekly_demand!$D:$D,weekly_demand!$A:$A,G$1,weekly_demand!$C:$C,$A71))</f>
        <v/>
      </c>
      <c r="H71" s="111" t="str">
        <f t="shared" si="6"/>
        <v/>
      </c>
      <c r="I71" s="111" t="str">
        <f t="shared" si="6"/>
        <v/>
      </c>
      <c r="J71" s="111" t="str">
        <f t="shared" si="6"/>
        <v/>
      </c>
      <c r="K71" s="111" t="str">
        <f t="shared" si="6"/>
        <v/>
      </c>
      <c r="L71" s="111" t="str">
        <f t="shared" si="6"/>
        <v/>
      </c>
      <c r="M71" s="111" t="str">
        <f t="shared" si="6"/>
        <v/>
      </c>
      <c r="N71" s="111" t="str">
        <f t="shared" si="6"/>
        <v/>
      </c>
      <c r="O71" s="111" t="str">
        <f t="shared" si="6"/>
        <v/>
      </c>
      <c r="P71" s="111" t="str">
        <f t="shared" si="6"/>
        <v/>
      </c>
      <c r="Q71" s="111" t="str">
        <f t="shared" si="6"/>
        <v/>
      </c>
      <c r="R71" s="111" t="str">
        <f t="shared" si="6"/>
        <v/>
      </c>
      <c r="S71" s="111" t="str">
        <f t="shared" si="6"/>
        <v/>
      </c>
      <c r="T71" s="111" t="str">
        <f t="shared" si="6"/>
        <v/>
      </c>
      <c r="U71" s="111" t="str">
        <f t="shared" si="6"/>
        <v/>
      </c>
      <c r="V71" s="111" t="str">
        <f t="shared" si="6"/>
        <v/>
      </c>
      <c r="W71" s="104"/>
      <c r="X71" s="104"/>
      <c r="Y71" s="104"/>
      <c r="Z71" s="104"/>
      <c r="AA71" s="104"/>
      <c r="AB71" s="104"/>
      <c r="AC71" s="104"/>
      <c r="AD71" s="104"/>
    </row>
    <row r="72" spans="1:30" x14ac:dyDescent="0.3">
      <c r="A72" s="110"/>
      <c r="B72" s="111" t="str">
        <f>IF($A72="","",SUMIFS(weekly_demand!$D:$D,weekly_demand!$A:$A,B$1,weekly_demand!$C:$C,$A72))</f>
        <v/>
      </c>
      <c r="C72" s="111" t="str">
        <f>IF($A72="","",SUMIFS(weekly_demand!$D:$D,weekly_demand!$A:$A,C$1,weekly_demand!$C:$C,$A72))</f>
        <v/>
      </c>
      <c r="D72" s="111" t="str">
        <f>IF($A72="","",SUMIFS(weekly_demand!$D:$D,weekly_demand!$A:$A,D$1,weekly_demand!$C:$C,$A72))</f>
        <v/>
      </c>
      <c r="E72" s="111" t="str">
        <f>IF($A72="","",SUMIFS(weekly_demand!$D:$D,weekly_demand!$A:$A,E$1,weekly_demand!$C:$C,$A72))</f>
        <v/>
      </c>
      <c r="F72" s="111" t="str">
        <f>IF($A72="","",SUMIFS(weekly_demand!$D:$D,weekly_demand!$A:$A,F$1,weekly_demand!$C:$C,$A72))</f>
        <v/>
      </c>
      <c r="G72" s="111" t="str">
        <f>IF($A72="","",SUMIFS(weekly_demand!$D:$D,weekly_demand!$A:$A,G$1,weekly_demand!$C:$C,$A72))</f>
        <v/>
      </c>
      <c r="H72" s="111" t="str">
        <f t="shared" ref="H72:V81" si="7">IF($A72="","",SUMPRODUCT($B72:$G72,INDEX($Y$2:$AD$16,MATCH(H$1,$X$2:$X$16,0),0)))</f>
        <v/>
      </c>
      <c r="I72" s="111" t="str">
        <f t="shared" si="7"/>
        <v/>
      </c>
      <c r="J72" s="111" t="str">
        <f t="shared" si="7"/>
        <v/>
      </c>
      <c r="K72" s="111" t="str">
        <f t="shared" si="7"/>
        <v/>
      </c>
      <c r="L72" s="111" t="str">
        <f t="shared" si="7"/>
        <v/>
      </c>
      <c r="M72" s="111" t="str">
        <f t="shared" si="7"/>
        <v/>
      </c>
      <c r="N72" s="111" t="str">
        <f t="shared" si="7"/>
        <v/>
      </c>
      <c r="O72" s="111" t="str">
        <f t="shared" si="7"/>
        <v/>
      </c>
      <c r="P72" s="111" t="str">
        <f t="shared" si="7"/>
        <v/>
      </c>
      <c r="Q72" s="111" t="str">
        <f t="shared" si="7"/>
        <v/>
      </c>
      <c r="R72" s="111" t="str">
        <f t="shared" si="7"/>
        <v/>
      </c>
      <c r="S72" s="111" t="str">
        <f t="shared" si="7"/>
        <v/>
      </c>
      <c r="T72" s="111" t="str">
        <f t="shared" si="7"/>
        <v/>
      </c>
      <c r="U72" s="111" t="str">
        <f t="shared" si="7"/>
        <v/>
      </c>
      <c r="V72" s="111" t="str">
        <f t="shared" si="7"/>
        <v/>
      </c>
      <c r="W72" s="104"/>
      <c r="X72" s="104"/>
      <c r="Y72" s="104"/>
      <c r="Z72" s="104"/>
      <c r="AA72" s="104"/>
      <c r="AB72" s="104"/>
      <c r="AC72" s="104"/>
      <c r="AD72" s="104"/>
    </row>
    <row r="73" spans="1:30" x14ac:dyDescent="0.3">
      <c r="A73" s="110"/>
      <c r="B73" s="111" t="str">
        <f>IF($A73="","",SUMIFS(weekly_demand!$D:$D,weekly_demand!$A:$A,B$1,weekly_demand!$C:$C,$A73))</f>
        <v/>
      </c>
      <c r="C73" s="111" t="str">
        <f>IF($A73="","",SUMIFS(weekly_demand!$D:$D,weekly_demand!$A:$A,C$1,weekly_demand!$C:$C,$A73))</f>
        <v/>
      </c>
      <c r="D73" s="111" t="str">
        <f>IF($A73="","",SUMIFS(weekly_demand!$D:$D,weekly_demand!$A:$A,D$1,weekly_demand!$C:$C,$A73))</f>
        <v/>
      </c>
      <c r="E73" s="111" t="str">
        <f>IF($A73="","",SUMIFS(weekly_demand!$D:$D,weekly_demand!$A:$A,E$1,weekly_demand!$C:$C,$A73))</f>
        <v/>
      </c>
      <c r="F73" s="111" t="str">
        <f>IF($A73="","",SUMIFS(weekly_demand!$D:$D,weekly_demand!$A:$A,F$1,weekly_demand!$C:$C,$A73))</f>
        <v/>
      </c>
      <c r="G73" s="111" t="str">
        <f>IF($A73="","",SUMIFS(weekly_demand!$D:$D,weekly_demand!$A:$A,G$1,weekly_demand!$C:$C,$A73))</f>
        <v/>
      </c>
      <c r="H73" s="111" t="str">
        <f t="shared" si="7"/>
        <v/>
      </c>
      <c r="I73" s="111" t="str">
        <f t="shared" si="7"/>
        <v/>
      </c>
      <c r="J73" s="111" t="str">
        <f t="shared" si="7"/>
        <v/>
      </c>
      <c r="K73" s="111" t="str">
        <f t="shared" si="7"/>
        <v/>
      </c>
      <c r="L73" s="111" t="str">
        <f t="shared" si="7"/>
        <v/>
      </c>
      <c r="M73" s="111" t="str">
        <f t="shared" si="7"/>
        <v/>
      </c>
      <c r="N73" s="111" t="str">
        <f t="shared" si="7"/>
        <v/>
      </c>
      <c r="O73" s="111" t="str">
        <f t="shared" si="7"/>
        <v/>
      </c>
      <c r="P73" s="111" t="str">
        <f t="shared" si="7"/>
        <v/>
      </c>
      <c r="Q73" s="111" t="str">
        <f t="shared" si="7"/>
        <v/>
      </c>
      <c r="R73" s="111" t="str">
        <f t="shared" si="7"/>
        <v/>
      </c>
      <c r="S73" s="111" t="str">
        <f t="shared" si="7"/>
        <v/>
      </c>
      <c r="T73" s="111" t="str">
        <f t="shared" si="7"/>
        <v/>
      </c>
      <c r="U73" s="111" t="str">
        <f t="shared" si="7"/>
        <v/>
      </c>
      <c r="V73" s="111" t="str">
        <f t="shared" si="7"/>
        <v/>
      </c>
      <c r="W73" s="104"/>
      <c r="X73" s="104"/>
      <c r="Y73" s="104"/>
      <c r="Z73" s="104"/>
      <c r="AA73" s="104"/>
      <c r="AB73" s="104"/>
      <c r="AC73" s="104"/>
      <c r="AD73" s="104"/>
    </row>
    <row r="74" spans="1:30" x14ac:dyDescent="0.3">
      <c r="A74" s="110"/>
      <c r="B74" s="111" t="str">
        <f>IF($A74="","",SUMIFS(weekly_demand!$D:$D,weekly_demand!$A:$A,B$1,weekly_demand!$C:$C,$A74))</f>
        <v/>
      </c>
      <c r="C74" s="111" t="str">
        <f>IF($A74="","",SUMIFS(weekly_demand!$D:$D,weekly_demand!$A:$A,C$1,weekly_demand!$C:$C,$A74))</f>
        <v/>
      </c>
      <c r="D74" s="111" t="str">
        <f>IF($A74="","",SUMIFS(weekly_demand!$D:$D,weekly_demand!$A:$A,D$1,weekly_demand!$C:$C,$A74))</f>
        <v/>
      </c>
      <c r="E74" s="111" t="str">
        <f>IF($A74="","",SUMIFS(weekly_demand!$D:$D,weekly_demand!$A:$A,E$1,weekly_demand!$C:$C,$A74))</f>
        <v/>
      </c>
      <c r="F74" s="111" t="str">
        <f>IF($A74="","",SUMIFS(weekly_demand!$D:$D,weekly_demand!$A:$A,F$1,weekly_demand!$C:$C,$A74))</f>
        <v/>
      </c>
      <c r="G74" s="111" t="str">
        <f>IF($A74="","",SUMIFS(weekly_demand!$D:$D,weekly_demand!$A:$A,G$1,weekly_demand!$C:$C,$A74))</f>
        <v/>
      </c>
      <c r="H74" s="111" t="str">
        <f t="shared" si="7"/>
        <v/>
      </c>
      <c r="I74" s="111" t="str">
        <f t="shared" si="7"/>
        <v/>
      </c>
      <c r="J74" s="111" t="str">
        <f t="shared" si="7"/>
        <v/>
      </c>
      <c r="K74" s="111" t="str">
        <f t="shared" si="7"/>
        <v/>
      </c>
      <c r="L74" s="111" t="str">
        <f t="shared" si="7"/>
        <v/>
      </c>
      <c r="M74" s="111" t="str">
        <f t="shared" si="7"/>
        <v/>
      </c>
      <c r="N74" s="111" t="str">
        <f t="shared" si="7"/>
        <v/>
      </c>
      <c r="O74" s="111" t="str">
        <f t="shared" si="7"/>
        <v/>
      </c>
      <c r="P74" s="111" t="str">
        <f t="shared" si="7"/>
        <v/>
      </c>
      <c r="Q74" s="111" t="str">
        <f t="shared" si="7"/>
        <v/>
      </c>
      <c r="R74" s="111" t="str">
        <f t="shared" si="7"/>
        <v/>
      </c>
      <c r="S74" s="111" t="str">
        <f t="shared" si="7"/>
        <v/>
      </c>
      <c r="T74" s="111" t="str">
        <f t="shared" si="7"/>
        <v/>
      </c>
      <c r="U74" s="111" t="str">
        <f t="shared" si="7"/>
        <v/>
      </c>
      <c r="V74" s="111" t="str">
        <f t="shared" si="7"/>
        <v/>
      </c>
      <c r="W74" s="104"/>
      <c r="X74" s="104"/>
      <c r="Y74" s="104"/>
      <c r="Z74" s="104"/>
      <c r="AA74" s="104"/>
      <c r="AB74" s="104"/>
      <c r="AC74" s="104"/>
      <c r="AD74" s="104"/>
    </row>
    <row r="75" spans="1:30" x14ac:dyDescent="0.3">
      <c r="A75" s="110"/>
      <c r="B75" s="111" t="str">
        <f>IF($A75="","",SUMIFS(weekly_demand!$D:$D,weekly_demand!$A:$A,B$1,weekly_demand!$C:$C,$A75))</f>
        <v/>
      </c>
      <c r="C75" s="111" t="str">
        <f>IF($A75="","",SUMIFS(weekly_demand!$D:$D,weekly_demand!$A:$A,C$1,weekly_demand!$C:$C,$A75))</f>
        <v/>
      </c>
      <c r="D75" s="111" t="str">
        <f>IF($A75="","",SUMIFS(weekly_demand!$D:$D,weekly_demand!$A:$A,D$1,weekly_demand!$C:$C,$A75))</f>
        <v/>
      </c>
      <c r="E75" s="111" t="str">
        <f>IF($A75="","",SUMIFS(weekly_demand!$D:$D,weekly_demand!$A:$A,E$1,weekly_demand!$C:$C,$A75))</f>
        <v/>
      </c>
      <c r="F75" s="111" t="str">
        <f>IF($A75="","",SUMIFS(weekly_demand!$D:$D,weekly_demand!$A:$A,F$1,weekly_demand!$C:$C,$A75))</f>
        <v/>
      </c>
      <c r="G75" s="111" t="str">
        <f>IF($A75="","",SUMIFS(weekly_demand!$D:$D,weekly_demand!$A:$A,G$1,weekly_demand!$C:$C,$A75))</f>
        <v/>
      </c>
      <c r="H75" s="111" t="str">
        <f t="shared" si="7"/>
        <v/>
      </c>
      <c r="I75" s="111" t="str">
        <f t="shared" si="7"/>
        <v/>
      </c>
      <c r="J75" s="111" t="str">
        <f t="shared" si="7"/>
        <v/>
      </c>
      <c r="K75" s="111" t="str">
        <f t="shared" si="7"/>
        <v/>
      </c>
      <c r="L75" s="111" t="str">
        <f t="shared" si="7"/>
        <v/>
      </c>
      <c r="M75" s="111" t="str">
        <f t="shared" si="7"/>
        <v/>
      </c>
      <c r="N75" s="111" t="str">
        <f t="shared" si="7"/>
        <v/>
      </c>
      <c r="O75" s="111" t="str">
        <f t="shared" si="7"/>
        <v/>
      </c>
      <c r="P75" s="111" t="str">
        <f t="shared" si="7"/>
        <v/>
      </c>
      <c r="Q75" s="111" t="str">
        <f t="shared" si="7"/>
        <v/>
      </c>
      <c r="R75" s="111" t="str">
        <f t="shared" si="7"/>
        <v/>
      </c>
      <c r="S75" s="111" t="str">
        <f t="shared" si="7"/>
        <v/>
      </c>
      <c r="T75" s="111" t="str">
        <f t="shared" si="7"/>
        <v/>
      </c>
      <c r="U75" s="111" t="str">
        <f t="shared" si="7"/>
        <v/>
      </c>
      <c r="V75" s="111" t="str">
        <f t="shared" si="7"/>
        <v/>
      </c>
      <c r="W75" s="104"/>
      <c r="X75" s="104"/>
      <c r="Y75" s="104"/>
      <c r="Z75" s="104"/>
      <c r="AA75" s="104"/>
      <c r="AB75" s="104"/>
      <c r="AC75" s="104"/>
      <c r="AD75" s="104"/>
    </row>
    <row r="76" spans="1:30" x14ac:dyDescent="0.3">
      <c r="A76" s="110"/>
      <c r="B76" s="111" t="str">
        <f>IF($A76="","",SUMIFS(weekly_demand!$D:$D,weekly_demand!$A:$A,B$1,weekly_demand!$C:$C,$A76))</f>
        <v/>
      </c>
      <c r="C76" s="111" t="str">
        <f>IF($A76="","",SUMIFS(weekly_demand!$D:$D,weekly_demand!$A:$A,C$1,weekly_demand!$C:$C,$A76))</f>
        <v/>
      </c>
      <c r="D76" s="111" t="str">
        <f>IF($A76="","",SUMIFS(weekly_demand!$D:$D,weekly_demand!$A:$A,D$1,weekly_demand!$C:$C,$A76))</f>
        <v/>
      </c>
      <c r="E76" s="111" t="str">
        <f>IF($A76="","",SUMIFS(weekly_demand!$D:$D,weekly_demand!$A:$A,E$1,weekly_demand!$C:$C,$A76))</f>
        <v/>
      </c>
      <c r="F76" s="111" t="str">
        <f>IF($A76="","",SUMIFS(weekly_demand!$D:$D,weekly_demand!$A:$A,F$1,weekly_demand!$C:$C,$A76))</f>
        <v/>
      </c>
      <c r="G76" s="111" t="str">
        <f>IF($A76="","",SUMIFS(weekly_demand!$D:$D,weekly_demand!$A:$A,G$1,weekly_demand!$C:$C,$A76))</f>
        <v/>
      </c>
      <c r="H76" s="111" t="str">
        <f t="shared" si="7"/>
        <v/>
      </c>
      <c r="I76" s="111" t="str">
        <f t="shared" si="7"/>
        <v/>
      </c>
      <c r="J76" s="111" t="str">
        <f t="shared" si="7"/>
        <v/>
      </c>
      <c r="K76" s="111" t="str">
        <f t="shared" si="7"/>
        <v/>
      </c>
      <c r="L76" s="111" t="str">
        <f t="shared" si="7"/>
        <v/>
      </c>
      <c r="M76" s="111" t="str">
        <f t="shared" si="7"/>
        <v/>
      </c>
      <c r="N76" s="111" t="str">
        <f t="shared" si="7"/>
        <v/>
      </c>
      <c r="O76" s="111" t="str">
        <f t="shared" si="7"/>
        <v/>
      </c>
      <c r="P76" s="111" t="str">
        <f t="shared" si="7"/>
        <v/>
      </c>
      <c r="Q76" s="111" t="str">
        <f t="shared" si="7"/>
        <v/>
      </c>
      <c r="R76" s="111" t="str">
        <f t="shared" si="7"/>
        <v/>
      </c>
      <c r="S76" s="111" t="str">
        <f t="shared" si="7"/>
        <v/>
      </c>
      <c r="T76" s="111" t="str">
        <f t="shared" si="7"/>
        <v/>
      </c>
      <c r="U76" s="111" t="str">
        <f t="shared" si="7"/>
        <v/>
      </c>
      <c r="V76" s="111" t="str">
        <f t="shared" si="7"/>
        <v/>
      </c>
      <c r="W76" s="104"/>
      <c r="X76" s="104"/>
      <c r="Y76" s="104"/>
      <c r="Z76" s="104"/>
      <c r="AA76" s="104"/>
      <c r="AB76" s="104"/>
      <c r="AC76" s="104"/>
      <c r="AD76" s="104"/>
    </row>
    <row r="77" spans="1:30" x14ac:dyDescent="0.3">
      <c r="A77" s="110"/>
      <c r="B77" s="111" t="str">
        <f>IF($A77="","",SUMIFS(weekly_demand!$D:$D,weekly_demand!$A:$A,B$1,weekly_demand!$C:$C,$A77))</f>
        <v/>
      </c>
      <c r="C77" s="111" t="str">
        <f>IF($A77="","",SUMIFS(weekly_demand!$D:$D,weekly_demand!$A:$A,C$1,weekly_demand!$C:$C,$A77))</f>
        <v/>
      </c>
      <c r="D77" s="111" t="str">
        <f>IF($A77="","",SUMIFS(weekly_demand!$D:$D,weekly_demand!$A:$A,D$1,weekly_demand!$C:$C,$A77))</f>
        <v/>
      </c>
      <c r="E77" s="111" t="str">
        <f>IF($A77="","",SUMIFS(weekly_demand!$D:$D,weekly_demand!$A:$A,E$1,weekly_demand!$C:$C,$A77))</f>
        <v/>
      </c>
      <c r="F77" s="111" t="str">
        <f>IF($A77="","",SUMIFS(weekly_demand!$D:$D,weekly_demand!$A:$A,F$1,weekly_demand!$C:$C,$A77))</f>
        <v/>
      </c>
      <c r="G77" s="111" t="str">
        <f>IF($A77="","",SUMIFS(weekly_demand!$D:$D,weekly_demand!$A:$A,G$1,weekly_demand!$C:$C,$A77))</f>
        <v/>
      </c>
      <c r="H77" s="111" t="str">
        <f t="shared" si="7"/>
        <v/>
      </c>
      <c r="I77" s="111" t="str">
        <f t="shared" si="7"/>
        <v/>
      </c>
      <c r="J77" s="111" t="str">
        <f t="shared" si="7"/>
        <v/>
      </c>
      <c r="K77" s="111" t="str">
        <f t="shared" si="7"/>
        <v/>
      </c>
      <c r="L77" s="111" t="str">
        <f t="shared" si="7"/>
        <v/>
      </c>
      <c r="M77" s="111" t="str">
        <f t="shared" si="7"/>
        <v/>
      </c>
      <c r="N77" s="111" t="str">
        <f t="shared" si="7"/>
        <v/>
      </c>
      <c r="O77" s="111" t="str">
        <f t="shared" si="7"/>
        <v/>
      </c>
      <c r="P77" s="111" t="str">
        <f t="shared" si="7"/>
        <v/>
      </c>
      <c r="Q77" s="111" t="str">
        <f t="shared" si="7"/>
        <v/>
      </c>
      <c r="R77" s="111" t="str">
        <f t="shared" si="7"/>
        <v/>
      </c>
      <c r="S77" s="111" t="str">
        <f t="shared" si="7"/>
        <v/>
      </c>
      <c r="T77" s="111" t="str">
        <f t="shared" si="7"/>
        <v/>
      </c>
      <c r="U77" s="111" t="str">
        <f t="shared" si="7"/>
        <v/>
      </c>
      <c r="V77" s="111" t="str">
        <f t="shared" si="7"/>
        <v/>
      </c>
      <c r="W77" s="104"/>
      <c r="X77" s="104"/>
      <c r="Y77" s="104"/>
      <c r="Z77" s="104"/>
      <c r="AA77" s="104"/>
      <c r="AB77" s="104"/>
      <c r="AC77" s="104"/>
      <c r="AD77" s="104"/>
    </row>
    <row r="78" spans="1:30" x14ac:dyDescent="0.3">
      <c r="A78" s="110"/>
      <c r="B78" s="111" t="str">
        <f>IF($A78="","",SUMIFS(weekly_demand!$D:$D,weekly_demand!$A:$A,B$1,weekly_demand!$C:$C,$A78))</f>
        <v/>
      </c>
      <c r="C78" s="111" t="str">
        <f>IF($A78="","",SUMIFS(weekly_demand!$D:$D,weekly_demand!$A:$A,C$1,weekly_demand!$C:$C,$A78))</f>
        <v/>
      </c>
      <c r="D78" s="111" t="str">
        <f>IF($A78="","",SUMIFS(weekly_demand!$D:$D,weekly_demand!$A:$A,D$1,weekly_demand!$C:$C,$A78))</f>
        <v/>
      </c>
      <c r="E78" s="111" t="str">
        <f>IF($A78="","",SUMIFS(weekly_demand!$D:$D,weekly_demand!$A:$A,E$1,weekly_demand!$C:$C,$A78))</f>
        <v/>
      </c>
      <c r="F78" s="111" t="str">
        <f>IF($A78="","",SUMIFS(weekly_demand!$D:$D,weekly_demand!$A:$A,F$1,weekly_demand!$C:$C,$A78))</f>
        <v/>
      </c>
      <c r="G78" s="111" t="str">
        <f>IF($A78="","",SUMIFS(weekly_demand!$D:$D,weekly_demand!$A:$A,G$1,weekly_demand!$C:$C,$A78))</f>
        <v/>
      </c>
      <c r="H78" s="111" t="str">
        <f t="shared" si="7"/>
        <v/>
      </c>
      <c r="I78" s="111" t="str">
        <f t="shared" si="7"/>
        <v/>
      </c>
      <c r="J78" s="111" t="str">
        <f t="shared" si="7"/>
        <v/>
      </c>
      <c r="K78" s="111" t="str">
        <f t="shared" si="7"/>
        <v/>
      </c>
      <c r="L78" s="111" t="str">
        <f t="shared" si="7"/>
        <v/>
      </c>
      <c r="M78" s="111" t="str">
        <f t="shared" si="7"/>
        <v/>
      </c>
      <c r="N78" s="111" t="str">
        <f t="shared" si="7"/>
        <v/>
      </c>
      <c r="O78" s="111" t="str">
        <f t="shared" si="7"/>
        <v/>
      </c>
      <c r="P78" s="111" t="str">
        <f t="shared" si="7"/>
        <v/>
      </c>
      <c r="Q78" s="111" t="str">
        <f t="shared" si="7"/>
        <v/>
      </c>
      <c r="R78" s="111" t="str">
        <f t="shared" si="7"/>
        <v/>
      </c>
      <c r="S78" s="111" t="str">
        <f t="shared" si="7"/>
        <v/>
      </c>
      <c r="T78" s="111" t="str">
        <f t="shared" si="7"/>
        <v/>
      </c>
      <c r="U78" s="111" t="str">
        <f t="shared" si="7"/>
        <v/>
      </c>
      <c r="V78" s="111" t="str">
        <f t="shared" si="7"/>
        <v/>
      </c>
      <c r="W78" s="104"/>
      <c r="X78" s="104"/>
      <c r="Y78" s="104"/>
      <c r="Z78" s="104"/>
      <c r="AA78" s="104"/>
      <c r="AB78" s="104"/>
      <c r="AC78" s="104"/>
      <c r="AD78" s="104"/>
    </row>
    <row r="79" spans="1:30" x14ac:dyDescent="0.3">
      <c r="A79" s="110"/>
      <c r="B79" s="111" t="str">
        <f>IF($A79="","",SUMIFS(weekly_demand!$D:$D,weekly_demand!$A:$A,B$1,weekly_demand!$C:$C,$A79))</f>
        <v/>
      </c>
      <c r="C79" s="111" t="str">
        <f>IF($A79="","",SUMIFS(weekly_demand!$D:$D,weekly_demand!$A:$A,C$1,weekly_demand!$C:$C,$A79))</f>
        <v/>
      </c>
      <c r="D79" s="111" t="str">
        <f>IF($A79="","",SUMIFS(weekly_demand!$D:$D,weekly_demand!$A:$A,D$1,weekly_demand!$C:$C,$A79))</f>
        <v/>
      </c>
      <c r="E79" s="111" t="str">
        <f>IF($A79="","",SUMIFS(weekly_demand!$D:$D,weekly_demand!$A:$A,E$1,weekly_demand!$C:$C,$A79))</f>
        <v/>
      </c>
      <c r="F79" s="111" t="str">
        <f>IF($A79="","",SUMIFS(weekly_demand!$D:$D,weekly_demand!$A:$A,F$1,weekly_demand!$C:$C,$A79))</f>
        <v/>
      </c>
      <c r="G79" s="111" t="str">
        <f>IF($A79="","",SUMIFS(weekly_demand!$D:$D,weekly_demand!$A:$A,G$1,weekly_demand!$C:$C,$A79))</f>
        <v/>
      </c>
      <c r="H79" s="111" t="str">
        <f t="shared" si="7"/>
        <v/>
      </c>
      <c r="I79" s="111" t="str">
        <f t="shared" si="7"/>
        <v/>
      </c>
      <c r="J79" s="111" t="str">
        <f t="shared" si="7"/>
        <v/>
      </c>
      <c r="K79" s="111" t="str">
        <f t="shared" si="7"/>
        <v/>
      </c>
      <c r="L79" s="111" t="str">
        <f t="shared" si="7"/>
        <v/>
      </c>
      <c r="M79" s="111" t="str">
        <f t="shared" si="7"/>
        <v/>
      </c>
      <c r="N79" s="111" t="str">
        <f t="shared" si="7"/>
        <v/>
      </c>
      <c r="O79" s="111" t="str">
        <f t="shared" si="7"/>
        <v/>
      </c>
      <c r="P79" s="111" t="str">
        <f t="shared" si="7"/>
        <v/>
      </c>
      <c r="Q79" s="111" t="str">
        <f t="shared" si="7"/>
        <v/>
      </c>
      <c r="R79" s="111" t="str">
        <f t="shared" si="7"/>
        <v/>
      </c>
      <c r="S79" s="111" t="str">
        <f t="shared" si="7"/>
        <v/>
      </c>
      <c r="T79" s="111" t="str">
        <f t="shared" si="7"/>
        <v/>
      </c>
      <c r="U79" s="111" t="str">
        <f t="shared" si="7"/>
        <v/>
      </c>
      <c r="V79" s="111" t="str">
        <f t="shared" si="7"/>
        <v/>
      </c>
      <c r="W79" s="104"/>
      <c r="X79" s="104"/>
      <c r="Y79" s="104"/>
      <c r="Z79" s="104"/>
      <c r="AA79" s="104"/>
      <c r="AB79" s="104"/>
      <c r="AC79" s="104"/>
      <c r="AD79" s="104"/>
    </row>
    <row r="80" spans="1:30" x14ac:dyDescent="0.3">
      <c r="A80" s="110"/>
      <c r="B80" s="111" t="str">
        <f>IF($A80="","",SUMIFS(weekly_demand!$D:$D,weekly_demand!$A:$A,B$1,weekly_demand!$C:$C,$A80))</f>
        <v/>
      </c>
      <c r="C80" s="111" t="str">
        <f>IF($A80="","",SUMIFS(weekly_demand!$D:$D,weekly_demand!$A:$A,C$1,weekly_demand!$C:$C,$A80))</f>
        <v/>
      </c>
      <c r="D80" s="111" t="str">
        <f>IF($A80="","",SUMIFS(weekly_demand!$D:$D,weekly_demand!$A:$A,D$1,weekly_demand!$C:$C,$A80))</f>
        <v/>
      </c>
      <c r="E80" s="111" t="str">
        <f>IF($A80="","",SUMIFS(weekly_demand!$D:$D,weekly_demand!$A:$A,E$1,weekly_demand!$C:$C,$A80))</f>
        <v/>
      </c>
      <c r="F80" s="111" t="str">
        <f>IF($A80="","",SUMIFS(weekly_demand!$D:$D,weekly_demand!$A:$A,F$1,weekly_demand!$C:$C,$A80))</f>
        <v/>
      </c>
      <c r="G80" s="111" t="str">
        <f>IF($A80="","",SUMIFS(weekly_demand!$D:$D,weekly_demand!$A:$A,G$1,weekly_demand!$C:$C,$A80))</f>
        <v/>
      </c>
      <c r="H80" s="111" t="str">
        <f t="shared" si="7"/>
        <v/>
      </c>
      <c r="I80" s="111" t="str">
        <f t="shared" si="7"/>
        <v/>
      </c>
      <c r="J80" s="111" t="str">
        <f t="shared" si="7"/>
        <v/>
      </c>
      <c r="K80" s="111" t="str">
        <f t="shared" si="7"/>
        <v/>
      </c>
      <c r="L80" s="111" t="str">
        <f t="shared" si="7"/>
        <v/>
      </c>
      <c r="M80" s="111" t="str">
        <f t="shared" si="7"/>
        <v/>
      </c>
      <c r="N80" s="111" t="str">
        <f t="shared" si="7"/>
        <v/>
      </c>
      <c r="O80" s="111" t="str">
        <f t="shared" si="7"/>
        <v/>
      </c>
      <c r="P80" s="111" t="str">
        <f t="shared" si="7"/>
        <v/>
      </c>
      <c r="Q80" s="111" t="str">
        <f t="shared" si="7"/>
        <v/>
      </c>
      <c r="R80" s="111" t="str">
        <f t="shared" si="7"/>
        <v/>
      </c>
      <c r="S80" s="111" t="str">
        <f t="shared" si="7"/>
        <v/>
      </c>
      <c r="T80" s="111" t="str">
        <f t="shared" si="7"/>
        <v/>
      </c>
      <c r="U80" s="111" t="str">
        <f t="shared" si="7"/>
        <v/>
      </c>
      <c r="V80" s="111" t="str">
        <f t="shared" si="7"/>
        <v/>
      </c>
      <c r="W80" s="104"/>
      <c r="X80" s="104"/>
      <c r="Y80" s="104"/>
      <c r="Z80" s="104"/>
      <c r="AA80" s="104"/>
      <c r="AB80" s="104"/>
      <c r="AC80" s="104"/>
      <c r="AD80" s="104"/>
    </row>
    <row r="81" spans="1:30" x14ac:dyDescent="0.3">
      <c r="A81" s="110"/>
      <c r="B81" s="111" t="str">
        <f>IF($A81="","",SUMIFS(weekly_demand!$D:$D,weekly_demand!$A:$A,B$1,weekly_demand!$C:$C,$A81))</f>
        <v/>
      </c>
      <c r="C81" s="111" t="str">
        <f>IF($A81="","",SUMIFS(weekly_demand!$D:$D,weekly_demand!$A:$A,C$1,weekly_demand!$C:$C,$A81))</f>
        <v/>
      </c>
      <c r="D81" s="111" t="str">
        <f>IF($A81="","",SUMIFS(weekly_demand!$D:$D,weekly_demand!$A:$A,D$1,weekly_demand!$C:$C,$A81))</f>
        <v/>
      </c>
      <c r="E81" s="111" t="str">
        <f>IF($A81="","",SUMIFS(weekly_demand!$D:$D,weekly_demand!$A:$A,E$1,weekly_demand!$C:$C,$A81))</f>
        <v/>
      </c>
      <c r="F81" s="111" t="str">
        <f>IF($A81="","",SUMIFS(weekly_demand!$D:$D,weekly_demand!$A:$A,F$1,weekly_demand!$C:$C,$A81))</f>
        <v/>
      </c>
      <c r="G81" s="111" t="str">
        <f>IF($A81="","",SUMIFS(weekly_demand!$D:$D,weekly_demand!$A:$A,G$1,weekly_demand!$C:$C,$A81))</f>
        <v/>
      </c>
      <c r="H81" s="111" t="str">
        <f t="shared" si="7"/>
        <v/>
      </c>
      <c r="I81" s="111" t="str">
        <f t="shared" si="7"/>
        <v/>
      </c>
      <c r="J81" s="111" t="str">
        <f t="shared" si="7"/>
        <v/>
      </c>
      <c r="K81" s="111" t="str">
        <f t="shared" si="7"/>
        <v/>
      </c>
      <c r="L81" s="111" t="str">
        <f t="shared" si="7"/>
        <v/>
      </c>
      <c r="M81" s="111" t="str">
        <f t="shared" si="7"/>
        <v/>
      </c>
      <c r="N81" s="111" t="str">
        <f t="shared" si="7"/>
        <v/>
      </c>
      <c r="O81" s="111" t="str">
        <f t="shared" si="7"/>
        <v/>
      </c>
      <c r="P81" s="111" t="str">
        <f t="shared" si="7"/>
        <v/>
      </c>
      <c r="Q81" s="111" t="str">
        <f t="shared" si="7"/>
        <v/>
      </c>
      <c r="R81" s="111" t="str">
        <f t="shared" si="7"/>
        <v/>
      </c>
      <c r="S81" s="111" t="str">
        <f t="shared" si="7"/>
        <v/>
      </c>
      <c r="T81" s="111" t="str">
        <f t="shared" si="7"/>
        <v/>
      </c>
      <c r="U81" s="111" t="str">
        <f t="shared" si="7"/>
        <v/>
      </c>
      <c r="V81" s="111" t="str">
        <f t="shared" si="7"/>
        <v/>
      </c>
      <c r="W81" s="104"/>
      <c r="X81" s="104"/>
      <c r="Y81" s="104"/>
      <c r="Z81" s="104"/>
      <c r="AA81" s="104"/>
      <c r="AB81" s="104"/>
      <c r="AC81" s="104"/>
      <c r="AD81" s="104"/>
    </row>
    <row r="82" spans="1:30" x14ac:dyDescent="0.3">
      <c r="A82" s="110"/>
      <c r="B82" s="111" t="str">
        <f>IF($A82="","",SUMIFS(weekly_demand!$D:$D,weekly_demand!$A:$A,B$1,weekly_demand!$C:$C,$A82))</f>
        <v/>
      </c>
      <c r="C82" s="111" t="str">
        <f>IF($A82="","",SUMIFS(weekly_demand!$D:$D,weekly_demand!$A:$A,C$1,weekly_demand!$C:$C,$A82))</f>
        <v/>
      </c>
      <c r="D82" s="111" t="str">
        <f>IF($A82="","",SUMIFS(weekly_demand!$D:$D,weekly_demand!$A:$A,D$1,weekly_demand!$C:$C,$A82))</f>
        <v/>
      </c>
      <c r="E82" s="111" t="str">
        <f>IF($A82="","",SUMIFS(weekly_demand!$D:$D,weekly_demand!$A:$A,E$1,weekly_demand!$C:$C,$A82))</f>
        <v/>
      </c>
      <c r="F82" s="111" t="str">
        <f>IF($A82="","",SUMIFS(weekly_demand!$D:$D,weekly_demand!$A:$A,F$1,weekly_demand!$C:$C,$A82))</f>
        <v/>
      </c>
      <c r="G82" s="111" t="str">
        <f>IF($A82="","",SUMIFS(weekly_demand!$D:$D,weekly_demand!$A:$A,G$1,weekly_demand!$C:$C,$A82))</f>
        <v/>
      </c>
      <c r="H82" s="111" t="str">
        <f t="shared" ref="H82:V91" si="8">IF($A82="","",SUMPRODUCT($B82:$G82,INDEX($Y$2:$AD$16,MATCH(H$1,$X$2:$X$16,0),0)))</f>
        <v/>
      </c>
      <c r="I82" s="111" t="str">
        <f t="shared" si="8"/>
        <v/>
      </c>
      <c r="J82" s="111" t="str">
        <f t="shared" si="8"/>
        <v/>
      </c>
      <c r="K82" s="111" t="str">
        <f t="shared" si="8"/>
        <v/>
      </c>
      <c r="L82" s="111" t="str">
        <f t="shared" si="8"/>
        <v/>
      </c>
      <c r="M82" s="111" t="str">
        <f t="shared" si="8"/>
        <v/>
      </c>
      <c r="N82" s="111" t="str">
        <f t="shared" si="8"/>
        <v/>
      </c>
      <c r="O82" s="111" t="str">
        <f t="shared" si="8"/>
        <v/>
      </c>
      <c r="P82" s="111" t="str">
        <f t="shared" si="8"/>
        <v/>
      </c>
      <c r="Q82" s="111" t="str">
        <f t="shared" si="8"/>
        <v/>
      </c>
      <c r="R82" s="111" t="str">
        <f t="shared" si="8"/>
        <v/>
      </c>
      <c r="S82" s="111" t="str">
        <f t="shared" si="8"/>
        <v/>
      </c>
      <c r="T82" s="111" t="str">
        <f t="shared" si="8"/>
        <v/>
      </c>
      <c r="U82" s="111" t="str">
        <f t="shared" si="8"/>
        <v/>
      </c>
      <c r="V82" s="111" t="str">
        <f t="shared" si="8"/>
        <v/>
      </c>
      <c r="W82" s="104"/>
      <c r="X82" s="104"/>
      <c r="Y82" s="104"/>
      <c r="Z82" s="104"/>
      <c r="AA82" s="104"/>
      <c r="AB82" s="104"/>
      <c r="AC82" s="104"/>
      <c r="AD82" s="104"/>
    </row>
    <row r="83" spans="1:30" x14ac:dyDescent="0.3">
      <c r="A83" s="110"/>
      <c r="B83" s="111" t="str">
        <f>IF($A83="","",SUMIFS(weekly_demand!$D:$D,weekly_demand!$A:$A,B$1,weekly_demand!$C:$C,$A83))</f>
        <v/>
      </c>
      <c r="C83" s="111" t="str">
        <f>IF($A83="","",SUMIFS(weekly_demand!$D:$D,weekly_demand!$A:$A,C$1,weekly_demand!$C:$C,$A83))</f>
        <v/>
      </c>
      <c r="D83" s="111" t="str">
        <f>IF($A83="","",SUMIFS(weekly_demand!$D:$D,weekly_demand!$A:$A,D$1,weekly_demand!$C:$C,$A83))</f>
        <v/>
      </c>
      <c r="E83" s="111" t="str">
        <f>IF($A83="","",SUMIFS(weekly_demand!$D:$D,weekly_demand!$A:$A,E$1,weekly_demand!$C:$C,$A83))</f>
        <v/>
      </c>
      <c r="F83" s="111" t="str">
        <f>IF($A83="","",SUMIFS(weekly_demand!$D:$D,weekly_demand!$A:$A,F$1,weekly_demand!$C:$C,$A83))</f>
        <v/>
      </c>
      <c r="G83" s="111" t="str">
        <f>IF($A83="","",SUMIFS(weekly_demand!$D:$D,weekly_demand!$A:$A,G$1,weekly_demand!$C:$C,$A83))</f>
        <v/>
      </c>
      <c r="H83" s="111" t="str">
        <f t="shared" si="8"/>
        <v/>
      </c>
      <c r="I83" s="111" t="str">
        <f t="shared" si="8"/>
        <v/>
      </c>
      <c r="J83" s="111" t="str">
        <f t="shared" si="8"/>
        <v/>
      </c>
      <c r="K83" s="111" t="str">
        <f t="shared" si="8"/>
        <v/>
      </c>
      <c r="L83" s="111" t="str">
        <f t="shared" si="8"/>
        <v/>
      </c>
      <c r="M83" s="111" t="str">
        <f t="shared" si="8"/>
        <v/>
      </c>
      <c r="N83" s="111" t="str">
        <f t="shared" si="8"/>
        <v/>
      </c>
      <c r="O83" s="111" t="str">
        <f t="shared" si="8"/>
        <v/>
      </c>
      <c r="P83" s="111" t="str">
        <f t="shared" si="8"/>
        <v/>
      </c>
      <c r="Q83" s="111" t="str">
        <f t="shared" si="8"/>
        <v/>
      </c>
      <c r="R83" s="111" t="str">
        <f t="shared" si="8"/>
        <v/>
      </c>
      <c r="S83" s="111" t="str">
        <f t="shared" si="8"/>
        <v/>
      </c>
      <c r="T83" s="111" t="str">
        <f t="shared" si="8"/>
        <v/>
      </c>
      <c r="U83" s="111" t="str">
        <f t="shared" si="8"/>
        <v/>
      </c>
      <c r="V83" s="111" t="str">
        <f t="shared" si="8"/>
        <v/>
      </c>
      <c r="W83" s="104"/>
      <c r="X83" s="104"/>
      <c r="Y83" s="104"/>
      <c r="Z83" s="104"/>
      <c r="AA83" s="104"/>
      <c r="AB83" s="104"/>
      <c r="AC83" s="104"/>
      <c r="AD83" s="104"/>
    </row>
    <row r="84" spans="1:30" x14ac:dyDescent="0.3">
      <c r="A84" s="110"/>
      <c r="B84" s="111" t="str">
        <f>IF($A84="","",SUMIFS(weekly_demand!$D:$D,weekly_demand!$A:$A,B$1,weekly_demand!$C:$C,$A84))</f>
        <v/>
      </c>
      <c r="C84" s="111" t="str">
        <f>IF($A84="","",SUMIFS(weekly_demand!$D:$D,weekly_demand!$A:$A,C$1,weekly_demand!$C:$C,$A84))</f>
        <v/>
      </c>
      <c r="D84" s="111" t="str">
        <f>IF($A84="","",SUMIFS(weekly_demand!$D:$D,weekly_demand!$A:$A,D$1,weekly_demand!$C:$C,$A84))</f>
        <v/>
      </c>
      <c r="E84" s="111" t="str">
        <f>IF($A84="","",SUMIFS(weekly_demand!$D:$D,weekly_demand!$A:$A,E$1,weekly_demand!$C:$C,$A84))</f>
        <v/>
      </c>
      <c r="F84" s="111" t="str">
        <f>IF($A84="","",SUMIFS(weekly_demand!$D:$D,weekly_demand!$A:$A,F$1,weekly_demand!$C:$C,$A84))</f>
        <v/>
      </c>
      <c r="G84" s="111" t="str">
        <f>IF($A84="","",SUMIFS(weekly_demand!$D:$D,weekly_demand!$A:$A,G$1,weekly_demand!$C:$C,$A84))</f>
        <v/>
      </c>
      <c r="H84" s="111" t="str">
        <f t="shared" si="8"/>
        <v/>
      </c>
      <c r="I84" s="111" t="str">
        <f t="shared" si="8"/>
        <v/>
      </c>
      <c r="J84" s="111" t="str">
        <f t="shared" si="8"/>
        <v/>
      </c>
      <c r="K84" s="111" t="str">
        <f t="shared" si="8"/>
        <v/>
      </c>
      <c r="L84" s="111" t="str">
        <f t="shared" si="8"/>
        <v/>
      </c>
      <c r="M84" s="111" t="str">
        <f t="shared" si="8"/>
        <v/>
      </c>
      <c r="N84" s="111" t="str">
        <f t="shared" si="8"/>
        <v/>
      </c>
      <c r="O84" s="111" t="str">
        <f t="shared" si="8"/>
        <v/>
      </c>
      <c r="P84" s="111" t="str">
        <f t="shared" si="8"/>
        <v/>
      </c>
      <c r="Q84" s="111" t="str">
        <f t="shared" si="8"/>
        <v/>
      </c>
      <c r="R84" s="111" t="str">
        <f t="shared" si="8"/>
        <v/>
      </c>
      <c r="S84" s="111" t="str">
        <f t="shared" si="8"/>
        <v/>
      </c>
      <c r="T84" s="111" t="str">
        <f t="shared" si="8"/>
        <v/>
      </c>
      <c r="U84" s="111" t="str">
        <f t="shared" si="8"/>
        <v/>
      </c>
      <c r="V84" s="111" t="str">
        <f t="shared" si="8"/>
        <v/>
      </c>
      <c r="W84" s="104"/>
      <c r="X84" s="104"/>
      <c r="Y84" s="104"/>
      <c r="Z84" s="104"/>
      <c r="AA84" s="104"/>
      <c r="AB84" s="104"/>
      <c r="AC84" s="104"/>
      <c r="AD84" s="104"/>
    </row>
    <row r="85" spans="1:30" x14ac:dyDescent="0.3">
      <c r="A85" s="110"/>
      <c r="B85" s="111" t="str">
        <f>IF($A85="","",SUMIFS(weekly_demand!$D:$D,weekly_demand!$A:$A,B$1,weekly_demand!$C:$C,$A85))</f>
        <v/>
      </c>
      <c r="C85" s="111" t="str">
        <f>IF($A85="","",SUMIFS(weekly_demand!$D:$D,weekly_demand!$A:$A,C$1,weekly_demand!$C:$C,$A85))</f>
        <v/>
      </c>
      <c r="D85" s="111" t="str">
        <f>IF($A85="","",SUMIFS(weekly_demand!$D:$D,weekly_demand!$A:$A,D$1,weekly_demand!$C:$C,$A85))</f>
        <v/>
      </c>
      <c r="E85" s="111" t="str">
        <f>IF($A85="","",SUMIFS(weekly_demand!$D:$D,weekly_demand!$A:$A,E$1,weekly_demand!$C:$C,$A85))</f>
        <v/>
      </c>
      <c r="F85" s="111" t="str">
        <f>IF($A85="","",SUMIFS(weekly_demand!$D:$D,weekly_demand!$A:$A,F$1,weekly_demand!$C:$C,$A85))</f>
        <v/>
      </c>
      <c r="G85" s="111" t="str">
        <f>IF($A85="","",SUMIFS(weekly_demand!$D:$D,weekly_demand!$A:$A,G$1,weekly_demand!$C:$C,$A85))</f>
        <v/>
      </c>
      <c r="H85" s="111" t="str">
        <f t="shared" si="8"/>
        <v/>
      </c>
      <c r="I85" s="111" t="str">
        <f t="shared" si="8"/>
        <v/>
      </c>
      <c r="J85" s="111" t="str">
        <f t="shared" si="8"/>
        <v/>
      </c>
      <c r="K85" s="111" t="str">
        <f t="shared" si="8"/>
        <v/>
      </c>
      <c r="L85" s="111" t="str">
        <f t="shared" si="8"/>
        <v/>
      </c>
      <c r="M85" s="111" t="str">
        <f t="shared" si="8"/>
        <v/>
      </c>
      <c r="N85" s="111" t="str">
        <f t="shared" si="8"/>
        <v/>
      </c>
      <c r="O85" s="111" t="str">
        <f t="shared" si="8"/>
        <v/>
      </c>
      <c r="P85" s="111" t="str">
        <f t="shared" si="8"/>
        <v/>
      </c>
      <c r="Q85" s="111" t="str">
        <f t="shared" si="8"/>
        <v/>
      </c>
      <c r="R85" s="111" t="str">
        <f t="shared" si="8"/>
        <v/>
      </c>
      <c r="S85" s="111" t="str">
        <f t="shared" si="8"/>
        <v/>
      </c>
      <c r="T85" s="111" t="str">
        <f t="shared" si="8"/>
        <v/>
      </c>
      <c r="U85" s="111" t="str">
        <f t="shared" si="8"/>
        <v/>
      </c>
      <c r="V85" s="111" t="str">
        <f t="shared" si="8"/>
        <v/>
      </c>
      <c r="W85" s="104"/>
      <c r="X85" s="104"/>
      <c r="Y85" s="104"/>
      <c r="Z85" s="104"/>
      <c r="AA85" s="104"/>
      <c r="AB85" s="104"/>
      <c r="AC85" s="104"/>
      <c r="AD85" s="104"/>
    </row>
    <row r="86" spans="1:30" x14ac:dyDescent="0.3">
      <c r="A86" s="110"/>
      <c r="B86" s="111" t="str">
        <f>IF($A86="","",SUMIFS(weekly_demand!$D:$D,weekly_demand!$A:$A,B$1,weekly_demand!$C:$C,$A86))</f>
        <v/>
      </c>
      <c r="C86" s="111" t="str">
        <f>IF($A86="","",SUMIFS(weekly_demand!$D:$D,weekly_demand!$A:$A,C$1,weekly_demand!$C:$C,$A86))</f>
        <v/>
      </c>
      <c r="D86" s="111" t="str">
        <f>IF($A86="","",SUMIFS(weekly_demand!$D:$D,weekly_demand!$A:$A,D$1,weekly_demand!$C:$C,$A86))</f>
        <v/>
      </c>
      <c r="E86" s="111" t="str">
        <f>IF($A86="","",SUMIFS(weekly_demand!$D:$D,weekly_demand!$A:$A,E$1,weekly_demand!$C:$C,$A86))</f>
        <v/>
      </c>
      <c r="F86" s="111" t="str">
        <f>IF($A86="","",SUMIFS(weekly_demand!$D:$D,weekly_demand!$A:$A,F$1,weekly_demand!$C:$C,$A86))</f>
        <v/>
      </c>
      <c r="G86" s="111" t="str">
        <f>IF($A86="","",SUMIFS(weekly_demand!$D:$D,weekly_demand!$A:$A,G$1,weekly_demand!$C:$C,$A86))</f>
        <v/>
      </c>
      <c r="H86" s="111" t="str">
        <f t="shared" si="8"/>
        <v/>
      </c>
      <c r="I86" s="111" t="str">
        <f t="shared" si="8"/>
        <v/>
      </c>
      <c r="J86" s="111" t="str">
        <f t="shared" si="8"/>
        <v/>
      </c>
      <c r="K86" s="111" t="str">
        <f t="shared" si="8"/>
        <v/>
      </c>
      <c r="L86" s="111" t="str">
        <f t="shared" si="8"/>
        <v/>
      </c>
      <c r="M86" s="111" t="str">
        <f t="shared" si="8"/>
        <v/>
      </c>
      <c r="N86" s="111" t="str">
        <f t="shared" si="8"/>
        <v/>
      </c>
      <c r="O86" s="111" t="str">
        <f t="shared" si="8"/>
        <v/>
      </c>
      <c r="P86" s="111" t="str">
        <f t="shared" si="8"/>
        <v/>
      </c>
      <c r="Q86" s="111" t="str">
        <f t="shared" si="8"/>
        <v/>
      </c>
      <c r="R86" s="111" t="str">
        <f t="shared" si="8"/>
        <v/>
      </c>
      <c r="S86" s="111" t="str">
        <f t="shared" si="8"/>
        <v/>
      </c>
      <c r="T86" s="111" t="str">
        <f t="shared" si="8"/>
        <v/>
      </c>
      <c r="U86" s="111" t="str">
        <f t="shared" si="8"/>
        <v/>
      </c>
      <c r="V86" s="111" t="str">
        <f t="shared" si="8"/>
        <v/>
      </c>
      <c r="W86" s="104"/>
      <c r="X86" s="104"/>
      <c r="Y86" s="104"/>
      <c r="Z86" s="104"/>
      <c r="AA86" s="104"/>
      <c r="AB86" s="104"/>
      <c r="AC86" s="104"/>
      <c r="AD86" s="104"/>
    </row>
    <row r="87" spans="1:30" x14ac:dyDescent="0.3">
      <c r="A87" s="110"/>
      <c r="B87" s="111" t="str">
        <f>IF($A87="","",SUMIFS(weekly_demand!$D:$D,weekly_demand!$A:$A,B$1,weekly_demand!$C:$C,$A87))</f>
        <v/>
      </c>
      <c r="C87" s="111" t="str">
        <f>IF($A87="","",SUMIFS(weekly_demand!$D:$D,weekly_demand!$A:$A,C$1,weekly_demand!$C:$C,$A87))</f>
        <v/>
      </c>
      <c r="D87" s="111" t="str">
        <f>IF($A87="","",SUMIFS(weekly_demand!$D:$D,weekly_demand!$A:$A,D$1,weekly_demand!$C:$C,$A87))</f>
        <v/>
      </c>
      <c r="E87" s="111" t="str">
        <f>IF($A87="","",SUMIFS(weekly_demand!$D:$D,weekly_demand!$A:$A,E$1,weekly_demand!$C:$C,$A87))</f>
        <v/>
      </c>
      <c r="F87" s="111" t="str">
        <f>IF($A87="","",SUMIFS(weekly_demand!$D:$D,weekly_demand!$A:$A,F$1,weekly_demand!$C:$C,$A87))</f>
        <v/>
      </c>
      <c r="G87" s="111" t="str">
        <f>IF($A87="","",SUMIFS(weekly_demand!$D:$D,weekly_demand!$A:$A,G$1,weekly_demand!$C:$C,$A87))</f>
        <v/>
      </c>
      <c r="H87" s="111" t="str">
        <f t="shared" si="8"/>
        <v/>
      </c>
      <c r="I87" s="111" t="str">
        <f t="shared" si="8"/>
        <v/>
      </c>
      <c r="J87" s="111" t="str">
        <f t="shared" si="8"/>
        <v/>
      </c>
      <c r="K87" s="111" t="str">
        <f t="shared" si="8"/>
        <v/>
      </c>
      <c r="L87" s="111" t="str">
        <f t="shared" si="8"/>
        <v/>
      </c>
      <c r="M87" s="111" t="str">
        <f t="shared" si="8"/>
        <v/>
      </c>
      <c r="N87" s="111" t="str">
        <f t="shared" si="8"/>
        <v/>
      </c>
      <c r="O87" s="111" t="str">
        <f t="shared" si="8"/>
        <v/>
      </c>
      <c r="P87" s="111" t="str">
        <f t="shared" si="8"/>
        <v/>
      </c>
      <c r="Q87" s="111" t="str">
        <f t="shared" si="8"/>
        <v/>
      </c>
      <c r="R87" s="111" t="str">
        <f t="shared" si="8"/>
        <v/>
      </c>
      <c r="S87" s="111" t="str">
        <f t="shared" si="8"/>
        <v/>
      </c>
      <c r="T87" s="111" t="str">
        <f t="shared" si="8"/>
        <v/>
      </c>
      <c r="U87" s="111" t="str">
        <f t="shared" si="8"/>
        <v/>
      </c>
      <c r="V87" s="111" t="str">
        <f t="shared" si="8"/>
        <v/>
      </c>
      <c r="W87" s="104"/>
      <c r="X87" s="104"/>
      <c r="Y87" s="104"/>
      <c r="Z87" s="104"/>
      <c r="AA87" s="104"/>
      <c r="AB87" s="104"/>
      <c r="AC87" s="104"/>
      <c r="AD87" s="104"/>
    </row>
    <row r="88" spans="1:30" x14ac:dyDescent="0.3">
      <c r="A88" s="110"/>
      <c r="B88" s="111" t="str">
        <f>IF($A88="","",SUMIFS(weekly_demand!$D:$D,weekly_demand!$A:$A,B$1,weekly_demand!$C:$C,$A88))</f>
        <v/>
      </c>
      <c r="C88" s="111" t="str">
        <f>IF($A88="","",SUMIFS(weekly_demand!$D:$D,weekly_demand!$A:$A,C$1,weekly_demand!$C:$C,$A88))</f>
        <v/>
      </c>
      <c r="D88" s="111" t="str">
        <f>IF($A88="","",SUMIFS(weekly_demand!$D:$D,weekly_demand!$A:$A,D$1,weekly_demand!$C:$C,$A88))</f>
        <v/>
      </c>
      <c r="E88" s="111" t="str">
        <f>IF($A88="","",SUMIFS(weekly_demand!$D:$D,weekly_demand!$A:$A,E$1,weekly_demand!$C:$C,$A88))</f>
        <v/>
      </c>
      <c r="F88" s="111" t="str">
        <f>IF($A88="","",SUMIFS(weekly_demand!$D:$D,weekly_demand!$A:$A,F$1,weekly_demand!$C:$C,$A88))</f>
        <v/>
      </c>
      <c r="G88" s="111" t="str">
        <f>IF($A88="","",SUMIFS(weekly_demand!$D:$D,weekly_demand!$A:$A,G$1,weekly_demand!$C:$C,$A88))</f>
        <v/>
      </c>
      <c r="H88" s="111" t="str">
        <f t="shared" si="8"/>
        <v/>
      </c>
      <c r="I88" s="111" t="str">
        <f t="shared" si="8"/>
        <v/>
      </c>
      <c r="J88" s="111" t="str">
        <f t="shared" si="8"/>
        <v/>
      </c>
      <c r="K88" s="111" t="str">
        <f t="shared" si="8"/>
        <v/>
      </c>
      <c r="L88" s="111" t="str">
        <f t="shared" si="8"/>
        <v/>
      </c>
      <c r="M88" s="111" t="str">
        <f t="shared" si="8"/>
        <v/>
      </c>
      <c r="N88" s="111" t="str">
        <f t="shared" si="8"/>
        <v/>
      </c>
      <c r="O88" s="111" t="str">
        <f t="shared" si="8"/>
        <v/>
      </c>
      <c r="P88" s="111" t="str">
        <f t="shared" si="8"/>
        <v/>
      </c>
      <c r="Q88" s="111" t="str">
        <f t="shared" si="8"/>
        <v/>
      </c>
      <c r="R88" s="111" t="str">
        <f t="shared" si="8"/>
        <v/>
      </c>
      <c r="S88" s="111" t="str">
        <f t="shared" si="8"/>
        <v/>
      </c>
      <c r="T88" s="111" t="str">
        <f t="shared" si="8"/>
        <v/>
      </c>
      <c r="U88" s="111" t="str">
        <f t="shared" si="8"/>
        <v/>
      </c>
      <c r="V88" s="111" t="str">
        <f t="shared" si="8"/>
        <v/>
      </c>
      <c r="W88" s="104"/>
      <c r="X88" s="104"/>
      <c r="Y88" s="104"/>
      <c r="Z88" s="104"/>
      <c r="AA88" s="104"/>
      <c r="AB88" s="104"/>
      <c r="AC88" s="104"/>
      <c r="AD88" s="104"/>
    </row>
    <row r="89" spans="1:30" x14ac:dyDescent="0.3">
      <c r="A89" s="110"/>
      <c r="B89" s="111" t="str">
        <f>IF($A89="","",SUMIFS(weekly_demand!$D:$D,weekly_demand!$A:$A,B$1,weekly_demand!$C:$C,$A89))</f>
        <v/>
      </c>
      <c r="C89" s="111" t="str">
        <f>IF($A89="","",SUMIFS(weekly_demand!$D:$D,weekly_demand!$A:$A,C$1,weekly_demand!$C:$C,$A89))</f>
        <v/>
      </c>
      <c r="D89" s="111" t="str">
        <f>IF($A89="","",SUMIFS(weekly_demand!$D:$D,weekly_demand!$A:$A,D$1,weekly_demand!$C:$C,$A89))</f>
        <v/>
      </c>
      <c r="E89" s="111" t="str">
        <f>IF($A89="","",SUMIFS(weekly_demand!$D:$D,weekly_demand!$A:$A,E$1,weekly_demand!$C:$C,$A89))</f>
        <v/>
      </c>
      <c r="F89" s="111" t="str">
        <f>IF($A89="","",SUMIFS(weekly_demand!$D:$D,weekly_demand!$A:$A,F$1,weekly_demand!$C:$C,$A89))</f>
        <v/>
      </c>
      <c r="G89" s="111" t="str">
        <f>IF($A89="","",SUMIFS(weekly_demand!$D:$D,weekly_demand!$A:$A,G$1,weekly_demand!$C:$C,$A89))</f>
        <v/>
      </c>
      <c r="H89" s="111" t="str">
        <f t="shared" si="8"/>
        <v/>
      </c>
      <c r="I89" s="111" t="str">
        <f t="shared" si="8"/>
        <v/>
      </c>
      <c r="J89" s="111" t="str">
        <f t="shared" si="8"/>
        <v/>
      </c>
      <c r="K89" s="111" t="str">
        <f t="shared" si="8"/>
        <v/>
      </c>
      <c r="L89" s="111" t="str">
        <f t="shared" si="8"/>
        <v/>
      </c>
      <c r="M89" s="111" t="str">
        <f t="shared" si="8"/>
        <v/>
      </c>
      <c r="N89" s="111" t="str">
        <f t="shared" si="8"/>
        <v/>
      </c>
      <c r="O89" s="111" t="str">
        <f t="shared" si="8"/>
        <v/>
      </c>
      <c r="P89" s="111" t="str">
        <f t="shared" si="8"/>
        <v/>
      </c>
      <c r="Q89" s="111" t="str">
        <f t="shared" si="8"/>
        <v/>
      </c>
      <c r="R89" s="111" t="str">
        <f t="shared" si="8"/>
        <v/>
      </c>
      <c r="S89" s="111" t="str">
        <f t="shared" si="8"/>
        <v/>
      </c>
      <c r="T89" s="111" t="str">
        <f t="shared" si="8"/>
        <v/>
      </c>
      <c r="U89" s="111" t="str">
        <f t="shared" si="8"/>
        <v/>
      </c>
      <c r="V89" s="111" t="str">
        <f t="shared" si="8"/>
        <v/>
      </c>
      <c r="W89" s="104"/>
      <c r="X89" s="104"/>
      <c r="Y89" s="104"/>
      <c r="Z89" s="104"/>
      <c r="AA89" s="104"/>
      <c r="AB89" s="104"/>
      <c r="AC89" s="104"/>
      <c r="AD89" s="104"/>
    </row>
    <row r="90" spans="1:30" x14ac:dyDescent="0.3">
      <c r="A90" s="110"/>
      <c r="B90" s="111" t="str">
        <f>IF($A90="","",SUMIFS(weekly_demand!$D:$D,weekly_demand!$A:$A,B$1,weekly_demand!$C:$C,$A90))</f>
        <v/>
      </c>
      <c r="C90" s="111" t="str">
        <f>IF($A90="","",SUMIFS(weekly_demand!$D:$D,weekly_demand!$A:$A,C$1,weekly_demand!$C:$C,$A90))</f>
        <v/>
      </c>
      <c r="D90" s="111" t="str">
        <f>IF($A90="","",SUMIFS(weekly_demand!$D:$D,weekly_demand!$A:$A,D$1,weekly_demand!$C:$C,$A90))</f>
        <v/>
      </c>
      <c r="E90" s="111" t="str">
        <f>IF($A90="","",SUMIFS(weekly_demand!$D:$D,weekly_demand!$A:$A,E$1,weekly_demand!$C:$C,$A90))</f>
        <v/>
      </c>
      <c r="F90" s="111" t="str">
        <f>IF($A90="","",SUMIFS(weekly_demand!$D:$D,weekly_demand!$A:$A,F$1,weekly_demand!$C:$C,$A90))</f>
        <v/>
      </c>
      <c r="G90" s="111" t="str">
        <f>IF($A90="","",SUMIFS(weekly_demand!$D:$D,weekly_demand!$A:$A,G$1,weekly_demand!$C:$C,$A90))</f>
        <v/>
      </c>
      <c r="H90" s="111" t="str">
        <f t="shared" si="8"/>
        <v/>
      </c>
      <c r="I90" s="111" t="str">
        <f t="shared" si="8"/>
        <v/>
      </c>
      <c r="J90" s="111" t="str">
        <f t="shared" si="8"/>
        <v/>
      </c>
      <c r="K90" s="111" t="str">
        <f t="shared" si="8"/>
        <v/>
      </c>
      <c r="L90" s="111" t="str">
        <f t="shared" si="8"/>
        <v/>
      </c>
      <c r="M90" s="111" t="str">
        <f t="shared" si="8"/>
        <v/>
      </c>
      <c r="N90" s="111" t="str">
        <f t="shared" si="8"/>
        <v/>
      </c>
      <c r="O90" s="111" t="str">
        <f t="shared" si="8"/>
        <v/>
      </c>
      <c r="P90" s="111" t="str">
        <f t="shared" si="8"/>
        <v/>
      </c>
      <c r="Q90" s="111" t="str">
        <f t="shared" si="8"/>
        <v/>
      </c>
      <c r="R90" s="111" t="str">
        <f t="shared" si="8"/>
        <v/>
      </c>
      <c r="S90" s="111" t="str">
        <f t="shared" si="8"/>
        <v/>
      </c>
      <c r="T90" s="111" t="str">
        <f t="shared" si="8"/>
        <v/>
      </c>
      <c r="U90" s="111" t="str">
        <f t="shared" si="8"/>
        <v/>
      </c>
      <c r="V90" s="111" t="str">
        <f t="shared" si="8"/>
        <v/>
      </c>
      <c r="W90" s="104"/>
      <c r="X90" s="104"/>
      <c r="Y90" s="104"/>
      <c r="Z90" s="104"/>
      <c r="AA90" s="104"/>
      <c r="AB90" s="104"/>
      <c r="AC90" s="104"/>
      <c r="AD90" s="104"/>
    </row>
    <row r="91" spans="1:30" x14ac:dyDescent="0.3">
      <c r="A91" s="110"/>
      <c r="B91" s="111" t="str">
        <f>IF($A91="","",SUMIFS(weekly_demand!$D:$D,weekly_demand!$A:$A,B$1,weekly_demand!$C:$C,$A91))</f>
        <v/>
      </c>
      <c r="C91" s="111" t="str">
        <f>IF($A91="","",SUMIFS(weekly_demand!$D:$D,weekly_demand!$A:$A,C$1,weekly_demand!$C:$C,$A91))</f>
        <v/>
      </c>
      <c r="D91" s="111" t="str">
        <f>IF($A91="","",SUMIFS(weekly_demand!$D:$D,weekly_demand!$A:$A,D$1,weekly_demand!$C:$C,$A91))</f>
        <v/>
      </c>
      <c r="E91" s="111" t="str">
        <f>IF($A91="","",SUMIFS(weekly_demand!$D:$D,weekly_demand!$A:$A,E$1,weekly_demand!$C:$C,$A91))</f>
        <v/>
      </c>
      <c r="F91" s="111" t="str">
        <f>IF($A91="","",SUMIFS(weekly_demand!$D:$D,weekly_demand!$A:$A,F$1,weekly_demand!$C:$C,$A91))</f>
        <v/>
      </c>
      <c r="G91" s="111" t="str">
        <f>IF($A91="","",SUMIFS(weekly_demand!$D:$D,weekly_demand!$A:$A,G$1,weekly_demand!$C:$C,$A91))</f>
        <v/>
      </c>
      <c r="H91" s="111" t="str">
        <f t="shared" si="8"/>
        <v/>
      </c>
      <c r="I91" s="111" t="str">
        <f t="shared" si="8"/>
        <v/>
      </c>
      <c r="J91" s="111" t="str">
        <f t="shared" si="8"/>
        <v/>
      </c>
      <c r="K91" s="111" t="str">
        <f t="shared" si="8"/>
        <v/>
      </c>
      <c r="L91" s="111" t="str">
        <f t="shared" si="8"/>
        <v/>
      </c>
      <c r="M91" s="111" t="str">
        <f t="shared" si="8"/>
        <v/>
      </c>
      <c r="N91" s="111" t="str">
        <f t="shared" si="8"/>
        <v/>
      </c>
      <c r="O91" s="111" t="str">
        <f t="shared" si="8"/>
        <v/>
      </c>
      <c r="P91" s="111" t="str">
        <f t="shared" si="8"/>
        <v/>
      </c>
      <c r="Q91" s="111" t="str">
        <f t="shared" si="8"/>
        <v/>
      </c>
      <c r="R91" s="111" t="str">
        <f t="shared" si="8"/>
        <v/>
      </c>
      <c r="S91" s="111" t="str">
        <f t="shared" si="8"/>
        <v/>
      </c>
      <c r="T91" s="111" t="str">
        <f t="shared" si="8"/>
        <v/>
      </c>
      <c r="U91" s="111" t="str">
        <f t="shared" si="8"/>
        <v/>
      </c>
      <c r="V91" s="111" t="str">
        <f t="shared" si="8"/>
        <v/>
      </c>
      <c r="W91" s="104"/>
      <c r="X91" s="104"/>
      <c r="Y91" s="104"/>
      <c r="Z91" s="104"/>
      <c r="AA91" s="104"/>
      <c r="AB91" s="104"/>
      <c r="AC91" s="104"/>
      <c r="AD91" s="104"/>
    </row>
    <row r="92" spans="1:30" x14ac:dyDescent="0.3">
      <c r="A92" s="110"/>
      <c r="B92" s="111" t="str">
        <f>IF($A92="","",SUMIFS(weekly_demand!$D:$D,weekly_demand!$A:$A,B$1,weekly_demand!$C:$C,$A92))</f>
        <v/>
      </c>
      <c r="C92" s="111" t="str">
        <f>IF($A92="","",SUMIFS(weekly_demand!$D:$D,weekly_demand!$A:$A,C$1,weekly_demand!$C:$C,$A92))</f>
        <v/>
      </c>
      <c r="D92" s="111" t="str">
        <f>IF($A92="","",SUMIFS(weekly_demand!$D:$D,weekly_demand!$A:$A,D$1,weekly_demand!$C:$C,$A92))</f>
        <v/>
      </c>
      <c r="E92" s="111" t="str">
        <f>IF($A92="","",SUMIFS(weekly_demand!$D:$D,weekly_demand!$A:$A,E$1,weekly_demand!$C:$C,$A92))</f>
        <v/>
      </c>
      <c r="F92" s="111" t="str">
        <f>IF($A92="","",SUMIFS(weekly_demand!$D:$D,weekly_demand!$A:$A,F$1,weekly_demand!$C:$C,$A92))</f>
        <v/>
      </c>
      <c r="G92" s="111" t="str">
        <f>IF($A92="","",SUMIFS(weekly_demand!$D:$D,weekly_demand!$A:$A,G$1,weekly_demand!$C:$C,$A92))</f>
        <v/>
      </c>
      <c r="H92" s="111" t="str">
        <f t="shared" ref="H92:V101" si="9">IF($A92="","",SUMPRODUCT($B92:$G92,INDEX($Y$2:$AD$16,MATCH(H$1,$X$2:$X$16,0),0)))</f>
        <v/>
      </c>
      <c r="I92" s="111" t="str">
        <f t="shared" si="9"/>
        <v/>
      </c>
      <c r="J92" s="111" t="str">
        <f t="shared" si="9"/>
        <v/>
      </c>
      <c r="K92" s="111" t="str">
        <f t="shared" si="9"/>
        <v/>
      </c>
      <c r="L92" s="111" t="str">
        <f t="shared" si="9"/>
        <v/>
      </c>
      <c r="M92" s="111" t="str">
        <f t="shared" si="9"/>
        <v/>
      </c>
      <c r="N92" s="111" t="str">
        <f t="shared" si="9"/>
        <v/>
      </c>
      <c r="O92" s="111" t="str">
        <f t="shared" si="9"/>
        <v/>
      </c>
      <c r="P92" s="111" t="str">
        <f t="shared" si="9"/>
        <v/>
      </c>
      <c r="Q92" s="111" t="str">
        <f t="shared" si="9"/>
        <v/>
      </c>
      <c r="R92" s="111" t="str">
        <f t="shared" si="9"/>
        <v/>
      </c>
      <c r="S92" s="111" t="str">
        <f t="shared" si="9"/>
        <v/>
      </c>
      <c r="T92" s="111" t="str">
        <f t="shared" si="9"/>
        <v/>
      </c>
      <c r="U92" s="111" t="str">
        <f t="shared" si="9"/>
        <v/>
      </c>
      <c r="V92" s="111" t="str">
        <f t="shared" si="9"/>
        <v/>
      </c>
      <c r="W92" s="104"/>
      <c r="X92" s="104"/>
      <c r="Y92" s="104"/>
      <c r="Z92" s="104"/>
      <c r="AA92" s="104"/>
      <c r="AB92" s="104"/>
      <c r="AC92" s="104"/>
      <c r="AD92" s="104"/>
    </row>
    <row r="93" spans="1:30" x14ac:dyDescent="0.3">
      <c r="A93" s="110"/>
      <c r="B93" s="111" t="str">
        <f>IF($A93="","",SUMIFS(weekly_demand!$D:$D,weekly_demand!$A:$A,B$1,weekly_demand!$C:$C,$A93))</f>
        <v/>
      </c>
      <c r="C93" s="111" t="str">
        <f>IF($A93="","",SUMIFS(weekly_demand!$D:$D,weekly_demand!$A:$A,C$1,weekly_demand!$C:$C,$A93))</f>
        <v/>
      </c>
      <c r="D93" s="111" t="str">
        <f>IF($A93="","",SUMIFS(weekly_demand!$D:$D,weekly_demand!$A:$A,D$1,weekly_demand!$C:$C,$A93))</f>
        <v/>
      </c>
      <c r="E93" s="111" t="str">
        <f>IF($A93="","",SUMIFS(weekly_demand!$D:$D,weekly_demand!$A:$A,E$1,weekly_demand!$C:$C,$A93))</f>
        <v/>
      </c>
      <c r="F93" s="111" t="str">
        <f>IF($A93="","",SUMIFS(weekly_demand!$D:$D,weekly_demand!$A:$A,F$1,weekly_demand!$C:$C,$A93))</f>
        <v/>
      </c>
      <c r="G93" s="111" t="str">
        <f>IF($A93="","",SUMIFS(weekly_demand!$D:$D,weekly_demand!$A:$A,G$1,weekly_demand!$C:$C,$A93))</f>
        <v/>
      </c>
      <c r="H93" s="111" t="str">
        <f t="shared" si="9"/>
        <v/>
      </c>
      <c r="I93" s="111" t="str">
        <f t="shared" si="9"/>
        <v/>
      </c>
      <c r="J93" s="111" t="str">
        <f t="shared" si="9"/>
        <v/>
      </c>
      <c r="K93" s="111" t="str">
        <f t="shared" si="9"/>
        <v/>
      </c>
      <c r="L93" s="111" t="str">
        <f t="shared" si="9"/>
        <v/>
      </c>
      <c r="M93" s="111" t="str">
        <f t="shared" si="9"/>
        <v/>
      </c>
      <c r="N93" s="111" t="str">
        <f t="shared" si="9"/>
        <v/>
      </c>
      <c r="O93" s="111" t="str">
        <f t="shared" si="9"/>
        <v/>
      </c>
      <c r="P93" s="111" t="str">
        <f t="shared" si="9"/>
        <v/>
      </c>
      <c r="Q93" s="111" t="str">
        <f t="shared" si="9"/>
        <v/>
      </c>
      <c r="R93" s="111" t="str">
        <f t="shared" si="9"/>
        <v/>
      </c>
      <c r="S93" s="111" t="str">
        <f t="shared" si="9"/>
        <v/>
      </c>
      <c r="T93" s="111" t="str">
        <f t="shared" si="9"/>
        <v/>
      </c>
      <c r="U93" s="111" t="str">
        <f t="shared" si="9"/>
        <v/>
      </c>
      <c r="V93" s="111" t="str">
        <f t="shared" si="9"/>
        <v/>
      </c>
      <c r="W93" s="104"/>
      <c r="X93" s="104"/>
      <c r="Y93" s="104"/>
      <c r="Z93" s="104"/>
      <c r="AA93" s="104"/>
      <c r="AB93" s="104"/>
      <c r="AC93" s="104"/>
      <c r="AD93" s="104"/>
    </row>
    <row r="94" spans="1:30" x14ac:dyDescent="0.3">
      <c r="A94" s="110"/>
      <c r="B94" s="111" t="str">
        <f>IF($A94="","",SUMIFS(weekly_demand!$D:$D,weekly_demand!$A:$A,B$1,weekly_demand!$C:$C,$A94))</f>
        <v/>
      </c>
      <c r="C94" s="111" t="str">
        <f>IF($A94="","",SUMIFS(weekly_demand!$D:$D,weekly_demand!$A:$A,C$1,weekly_demand!$C:$C,$A94))</f>
        <v/>
      </c>
      <c r="D94" s="111" t="str">
        <f>IF($A94="","",SUMIFS(weekly_demand!$D:$D,weekly_demand!$A:$A,D$1,weekly_demand!$C:$C,$A94))</f>
        <v/>
      </c>
      <c r="E94" s="111" t="str">
        <f>IF($A94="","",SUMIFS(weekly_demand!$D:$D,weekly_demand!$A:$A,E$1,weekly_demand!$C:$C,$A94))</f>
        <v/>
      </c>
      <c r="F94" s="111" t="str">
        <f>IF($A94="","",SUMIFS(weekly_demand!$D:$D,weekly_demand!$A:$A,F$1,weekly_demand!$C:$C,$A94))</f>
        <v/>
      </c>
      <c r="G94" s="111" t="str">
        <f>IF($A94="","",SUMIFS(weekly_demand!$D:$D,weekly_demand!$A:$A,G$1,weekly_demand!$C:$C,$A94))</f>
        <v/>
      </c>
      <c r="H94" s="111" t="str">
        <f t="shared" si="9"/>
        <v/>
      </c>
      <c r="I94" s="111" t="str">
        <f t="shared" si="9"/>
        <v/>
      </c>
      <c r="J94" s="111" t="str">
        <f t="shared" si="9"/>
        <v/>
      </c>
      <c r="K94" s="111" t="str">
        <f t="shared" si="9"/>
        <v/>
      </c>
      <c r="L94" s="111" t="str">
        <f t="shared" si="9"/>
        <v/>
      </c>
      <c r="M94" s="111" t="str">
        <f t="shared" si="9"/>
        <v/>
      </c>
      <c r="N94" s="111" t="str">
        <f t="shared" si="9"/>
        <v/>
      </c>
      <c r="O94" s="111" t="str">
        <f t="shared" si="9"/>
        <v/>
      </c>
      <c r="P94" s="111" t="str">
        <f t="shared" si="9"/>
        <v/>
      </c>
      <c r="Q94" s="111" t="str">
        <f t="shared" si="9"/>
        <v/>
      </c>
      <c r="R94" s="111" t="str">
        <f t="shared" si="9"/>
        <v/>
      </c>
      <c r="S94" s="111" t="str">
        <f t="shared" si="9"/>
        <v/>
      </c>
      <c r="T94" s="111" t="str">
        <f t="shared" si="9"/>
        <v/>
      </c>
      <c r="U94" s="111" t="str">
        <f t="shared" si="9"/>
        <v/>
      </c>
      <c r="V94" s="111" t="str">
        <f t="shared" si="9"/>
        <v/>
      </c>
      <c r="W94" s="104"/>
      <c r="X94" s="104"/>
      <c r="Y94" s="104"/>
      <c r="Z94" s="104"/>
      <c r="AA94" s="104"/>
      <c r="AB94" s="104"/>
      <c r="AC94" s="104"/>
      <c r="AD94" s="104"/>
    </row>
    <row r="95" spans="1:30" x14ac:dyDescent="0.3">
      <c r="A95" s="110"/>
      <c r="B95" s="111" t="str">
        <f>IF($A95="","",SUMIFS(weekly_demand!$D:$D,weekly_demand!$A:$A,B$1,weekly_demand!$C:$C,$A95))</f>
        <v/>
      </c>
      <c r="C95" s="111" t="str">
        <f>IF($A95="","",SUMIFS(weekly_demand!$D:$D,weekly_demand!$A:$A,C$1,weekly_demand!$C:$C,$A95))</f>
        <v/>
      </c>
      <c r="D95" s="111" t="str">
        <f>IF($A95="","",SUMIFS(weekly_demand!$D:$D,weekly_demand!$A:$A,D$1,weekly_demand!$C:$C,$A95))</f>
        <v/>
      </c>
      <c r="E95" s="111" t="str">
        <f>IF($A95="","",SUMIFS(weekly_demand!$D:$D,weekly_demand!$A:$A,E$1,weekly_demand!$C:$C,$A95))</f>
        <v/>
      </c>
      <c r="F95" s="111" t="str">
        <f>IF($A95="","",SUMIFS(weekly_demand!$D:$D,weekly_demand!$A:$A,F$1,weekly_demand!$C:$C,$A95))</f>
        <v/>
      </c>
      <c r="G95" s="111" t="str">
        <f>IF($A95="","",SUMIFS(weekly_demand!$D:$D,weekly_demand!$A:$A,G$1,weekly_demand!$C:$C,$A95))</f>
        <v/>
      </c>
      <c r="H95" s="111" t="str">
        <f t="shared" si="9"/>
        <v/>
      </c>
      <c r="I95" s="111" t="str">
        <f t="shared" si="9"/>
        <v/>
      </c>
      <c r="J95" s="111" t="str">
        <f t="shared" si="9"/>
        <v/>
      </c>
      <c r="K95" s="111" t="str">
        <f t="shared" si="9"/>
        <v/>
      </c>
      <c r="L95" s="111" t="str">
        <f t="shared" si="9"/>
        <v/>
      </c>
      <c r="M95" s="111" t="str">
        <f t="shared" si="9"/>
        <v/>
      </c>
      <c r="N95" s="111" t="str">
        <f t="shared" si="9"/>
        <v/>
      </c>
      <c r="O95" s="111" t="str">
        <f t="shared" si="9"/>
        <v/>
      </c>
      <c r="P95" s="111" t="str">
        <f t="shared" si="9"/>
        <v/>
      </c>
      <c r="Q95" s="111" t="str">
        <f t="shared" si="9"/>
        <v/>
      </c>
      <c r="R95" s="111" t="str">
        <f t="shared" si="9"/>
        <v/>
      </c>
      <c r="S95" s="111" t="str">
        <f t="shared" si="9"/>
        <v/>
      </c>
      <c r="T95" s="111" t="str">
        <f t="shared" si="9"/>
        <v/>
      </c>
      <c r="U95" s="111" t="str">
        <f t="shared" si="9"/>
        <v/>
      </c>
      <c r="V95" s="111" t="str">
        <f t="shared" si="9"/>
        <v/>
      </c>
      <c r="W95" s="104"/>
      <c r="X95" s="104"/>
      <c r="Y95" s="104"/>
      <c r="Z95" s="104"/>
      <c r="AA95" s="104"/>
      <c r="AB95" s="104"/>
      <c r="AC95" s="104"/>
      <c r="AD95" s="104"/>
    </row>
    <row r="96" spans="1:30" x14ac:dyDescent="0.3">
      <c r="A96" s="110"/>
      <c r="B96" s="111" t="str">
        <f>IF($A96="","",SUMIFS(weekly_demand!$D:$D,weekly_demand!$A:$A,B$1,weekly_demand!$C:$C,$A96))</f>
        <v/>
      </c>
      <c r="C96" s="111" t="str">
        <f>IF($A96="","",SUMIFS(weekly_demand!$D:$D,weekly_demand!$A:$A,C$1,weekly_demand!$C:$C,$A96))</f>
        <v/>
      </c>
      <c r="D96" s="111" t="str">
        <f>IF($A96="","",SUMIFS(weekly_demand!$D:$D,weekly_demand!$A:$A,D$1,weekly_demand!$C:$C,$A96))</f>
        <v/>
      </c>
      <c r="E96" s="111" t="str">
        <f>IF($A96="","",SUMIFS(weekly_demand!$D:$D,weekly_demand!$A:$A,E$1,weekly_demand!$C:$C,$A96))</f>
        <v/>
      </c>
      <c r="F96" s="111" t="str">
        <f>IF($A96="","",SUMIFS(weekly_demand!$D:$D,weekly_demand!$A:$A,F$1,weekly_demand!$C:$C,$A96))</f>
        <v/>
      </c>
      <c r="G96" s="111" t="str">
        <f>IF($A96="","",SUMIFS(weekly_demand!$D:$D,weekly_demand!$A:$A,G$1,weekly_demand!$C:$C,$A96))</f>
        <v/>
      </c>
      <c r="H96" s="111" t="str">
        <f t="shared" si="9"/>
        <v/>
      </c>
      <c r="I96" s="111" t="str">
        <f t="shared" si="9"/>
        <v/>
      </c>
      <c r="J96" s="111" t="str">
        <f t="shared" si="9"/>
        <v/>
      </c>
      <c r="K96" s="111" t="str">
        <f t="shared" si="9"/>
        <v/>
      </c>
      <c r="L96" s="111" t="str">
        <f t="shared" si="9"/>
        <v/>
      </c>
      <c r="M96" s="111" t="str">
        <f t="shared" si="9"/>
        <v/>
      </c>
      <c r="N96" s="111" t="str">
        <f t="shared" si="9"/>
        <v/>
      </c>
      <c r="O96" s="111" t="str">
        <f t="shared" si="9"/>
        <v/>
      </c>
      <c r="P96" s="111" t="str">
        <f t="shared" si="9"/>
        <v/>
      </c>
      <c r="Q96" s="111" t="str">
        <f t="shared" si="9"/>
        <v/>
      </c>
      <c r="R96" s="111" t="str">
        <f t="shared" si="9"/>
        <v/>
      </c>
      <c r="S96" s="111" t="str">
        <f t="shared" si="9"/>
        <v/>
      </c>
      <c r="T96" s="111" t="str">
        <f t="shared" si="9"/>
        <v/>
      </c>
      <c r="U96" s="111" t="str">
        <f t="shared" si="9"/>
        <v/>
      </c>
      <c r="V96" s="111" t="str">
        <f t="shared" si="9"/>
        <v/>
      </c>
      <c r="W96" s="104"/>
      <c r="X96" s="104"/>
      <c r="Y96" s="104"/>
      <c r="Z96" s="104"/>
      <c r="AA96" s="104"/>
      <c r="AB96" s="104"/>
      <c r="AC96" s="104"/>
      <c r="AD96" s="104"/>
    </row>
    <row r="97" spans="1:30" x14ac:dyDescent="0.3">
      <c r="A97" s="110"/>
      <c r="B97" s="111" t="str">
        <f>IF($A97="","",SUMIFS(weekly_demand!$D:$D,weekly_demand!$A:$A,B$1,weekly_demand!$C:$C,$A97))</f>
        <v/>
      </c>
      <c r="C97" s="111" t="str">
        <f>IF($A97="","",SUMIFS(weekly_demand!$D:$D,weekly_demand!$A:$A,C$1,weekly_demand!$C:$C,$A97))</f>
        <v/>
      </c>
      <c r="D97" s="111" t="str">
        <f>IF($A97="","",SUMIFS(weekly_demand!$D:$D,weekly_demand!$A:$A,D$1,weekly_demand!$C:$C,$A97))</f>
        <v/>
      </c>
      <c r="E97" s="111" t="str">
        <f>IF($A97="","",SUMIFS(weekly_demand!$D:$D,weekly_demand!$A:$A,E$1,weekly_demand!$C:$C,$A97))</f>
        <v/>
      </c>
      <c r="F97" s="111" t="str">
        <f>IF($A97="","",SUMIFS(weekly_demand!$D:$D,weekly_demand!$A:$A,F$1,weekly_demand!$C:$C,$A97))</f>
        <v/>
      </c>
      <c r="G97" s="111" t="str">
        <f>IF($A97="","",SUMIFS(weekly_demand!$D:$D,weekly_demand!$A:$A,G$1,weekly_demand!$C:$C,$A97))</f>
        <v/>
      </c>
      <c r="H97" s="111" t="str">
        <f t="shared" si="9"/>
        <v/>
      </c>
      <c r="I97" s="111" t="str">
        <f t="shared" si="9"/>
        <v/>
      </c>
      <c r="J97" s="111" t="str">
        <f t="shared" si="9"/>
        <v/>
      </c>
      <c r="K97" s="111" t="str">
        <f t="shared" si="9"/>
        <v/>
      </c>
      <c r="L97" s="111" t="str">
        <f t="shared" si="9"/>
        <v/>
      </c>
      <c r="M97" s="111" t="str">
        <f t="shared" si="9"/>
        <v/>
      </c>
      <c r="N97" s="111" t="str">
        <f t="shared" si="9"/>
        <v/>
      </c>
      <c r="O97" s="111" t="str">
        <f t="shared" si="9"/>
        <v/>
      </c>
      <c r="P97" s="111" t="str">
        <f t="shared" si="9"/>
        <v/>
      </c>
      <c r="Q97" s="111" t="str">
        <f t="shared" si="9"/>
        <v/>
      </c>
      <c r="R97" s="111" t="str">
        <f t="shared" si="9"/>
        <v/>
      </c>
      <c r="S97" s="111" t="str">
        <f t="shared" si="9"/>
        <v/>
      </c>
      <c r="T97" s="111" t="str">
        <f t="shared" si="9"/>
        <v/>
      </c>
      <c r="U97" s="111" t="str">
        <f t="shared" si="9"/>
        <v/>
      </c>
      <c r="V97" s="111" t="str">
        <f t="shared" si="9"/>
        <v/>
      </c>
      <c r="W97" s="104"/>
      <c r="X97" s="104"/>
      <c r="Y97" s="104"/>
      <c r="Z97" s="104"/>
      <c r="AA97" s="104"/>
      <c r="AB97" s="104"/>
      <c r="AC97" s="104"/>
      <c r="AD97" s="104"/>
    </row>
    <row r="98" spans="1:30" x14ac:dyDescent="0.3">
      <c r="A98" s="110"/>
      <c r="B98" s="111" t="str">
        <f>IF($A98="","",SUMIFS(weekly_demand!$D:$D,weekly_demand!$A:$A,B$1,weekly_demand!$C:$C,$A98))</f>
        <v/>
      </c>
      <c r="C98" s="111" t="str">
        <f>IF($A98="","",SUMIFS(weekly_demand!$D:$D,weekly_demand!$A:$A,C$1,weekly_demand!$C:$C,$A98))</f>
        <v/>
      </c>
      <c r="D98" s="111" t="str">
        <f>IF($A98="","",SUMIFS(weekly_demand!$D:$D,weekly_demand!$A:$A,D$1,weekly_demand!$C:$C,$A98))</f>
        <v/>
      </c>
      <c r="E98" s="111" t="str">
        <f>IF($A98="","",SUMIFS(weekly_demand!$D:$D,weekly_demand!$A:$A,E$1,weekly_demand!$C:$C,$A98))</f>
        <v/>
      </c>
      <c r="F98" s="111" t="str">
        <f>IF($A98="","",SUMIFS(weekly_demand!$D:$D,weekly_demand!$A:$A,F$1,weekly_demand!$C:$C,$A98))</f>
        <v/>
      </c>
      <c r="G98" s="111" t="str">
        <f>IF($A98="","",SUMIFS(weekly_demand!$D:$D,weekly_demand!$A:$A,G$1,weekly_demand!$C:$C,$A98))</f>
        <v/>
      </c>
      <c r="H98" s="111" t="str">
        <f t="shared" si="9"/>
        <v/>
      </c>
      <c r="I98" s="111" t="str">
        <f t="shared" si="9"/>
        <v/>
      </c>
      <c r="J98" s="111" t="str">
        <f t="shared" si="9"/>
        <v/>
      </c>
      <c r="K98" s="111" t="str">
        <f t="shared" si="9"/>
        <v/>
      </c>
      <c r="L98" s="111" t="str">
        <f t="shared" si="9"/>
        <v/>
      </c>
      <c r="M98" s="111" t="str">
        <f t="shared" si="9"/>
        <v/>
      </c>
      <c r="N98" s="111" t="str">
        <f t="shared" si="9"/>
        <v/>
      </c>
      <c r="O98" s="111" t="str">
        <f t="shared" si="9"/>
        <v/>
      </c>
      <c r="P98" s="111" t="str">
        <f t="shared" si="9"/>
        <v/>
      </c>
      <c r="Q98" s="111" t="str">
        <f t="shared" si="9"/>
        <v/>
      </c>
      <c r="R98" s="111" t="str">
        <f t="shared" si="9"/>
        <v/>
      </c>
      <c r="S98" s="111" t="str">
        <f t="shared" si="9"/>
        <v/>
      </c>
      <c r="T98" s="111" t="str">
        <f t="shared" si="9"/>
        <v/>
      </c>
      <c r="U98" s="111" t="str">
        <f t="shared" si="9"/>
        <v/>
      </c>
      <c r="V98" s="111" t="str">
        <f t="shared" si="9"/>
        <v/>
      </c>
      <c r="W98" s="104"/>
      <c r="X98" s="104"/>
      <c r="Y98" s="104"/>
      <c r="Z98" s="104"/>
      <c r="AA98" s="104"/>
      <c r="AB98" s="104"/>
      <c r="AC98" s="104"/>
      <c r="AD98" s="104"/>
    </row>
    <row r="99" spans="1:30" x14ac:dyDescent="0.3">
      <c r="A99" s="110"/>
      <c r="B99" s="111" t="str">
        <f>IF($A99="","",SUMIFS(weekly_demand!$D:$D,weekly_demand!$A:$A,B$1,weekly_demand!$C:$C,$A99))</f>
        <v/>
      </c>
      <c r="C99" s="111" t="str">
        <f>IF($A99="","",SUMIFS(weekly_demand!$D:$D,weekly_demand!$A:$A,C$1,weekly_demand!$C:$C,$A99))</f>
        <v/>
      </c>
      <c r="D99" s="111" t="str">
        <f>IF($A99="","",SUMIFS(weekly_demand!$D:$D,weekly_demand!$A:$A,D$1,weekly_demand!$C:$C,$A99))</f>
        <v/>
      </c>
      <c r="E99" s="111" t="str">
        <f>IF($A99="","",SUMIFS(weekly_demand!$D:$D,weekly_demand!$A:$A,E$1,weekly_demand!$C:$C,$A99))</f>
        <v/>
      </c>
      <c r="F99" s="111" t="str">
        <f>IF($A99="","",SUMIFS(weekly_demand!$D:$D,weekly_demand!$A:$A,F$1,weekly_demand!$C:$C,$A99))</f>
        <v/>
      </c>
      <c r="G99" s="111" t="str">
        <f>IF($A99="","",SUMIFS(weekly_demand!$D:$D,weekly_demand!$A:$A,G$1,weekly_demand!$C:$C,$A99))</f>
        <v/>
      </c>
      <c r="H99" s="111" t="str">
        <f t="shared" si="9"/>
        <v/>
      </c>
      <c r="I99" s="111" t="str">
        <f t="shared" si="9"/>
        <v/>
      </c>
      <c r="J99" s="111" t="str">
        <f t="shared" si="9"/>
        <v/>
      </c>
      <c r="K99" s="111" t="str">
        <f t="shared" si="9"/>
        <v/>
      </c>
      <c r="L99" s="111" t="str">
        <f t="shared" si="9"/>
        <v/>
      </c>
      <c r="M99" s="111" t="str">
        <f t="shared" si="9"/>
        <v/>
      </c>
      <c r="N99" s="111" t="str">
        <f t="shared" si="9"/>
        <v/>
      </c>
      <c r="O99" s="111" t="str">
        <f t="shared" si="9"/>
        <v/>
      </c>
      <c r="P99" s="111" t="str">
        <f t="shared" si="9"/>
        <v/>
      </c>
      <c r="Q99" s="111" t="str">
        <f t="shared" si="9"/>
        <v/>
      </c>
      <c r="R99" s="111" t="str">
        <f t="shared" si="9"/>
        <v/>
      </c>
      <c r="S99" s="111" t="str">
        <f t="shared" si="9"/>
        <v/>
      </c>
      <c r="T99" s="111" t="str">
        <f t="shared" si="9"/>
        <v/>
      </c>
      <c r="U99" s="111" t="str">
        <f t="shared" si="9"/>
        <v/>
      </c>
      <c r="V99" s="111" t="str">
        <f t="shared" si="9"/>
        <v/>
      </c>
      <c r="W99" s="104"/>
      <c r="X99" s="104"/>
      <c r="Y99" s="104"/>
      <c r="Z99" s="104"/>
      <c r="AA99" s="104"/>
      <c r="AB99" s="104"/>
      <c r="AC99" s="104"/>
      <c r="AD99" s="104"/>
    </row>
    <row r="100" spans="1:30" x14ac:dyDescent="0.3">
      <c r="A100" s="110"/>
      <c r="B100" s="111" t="str">
        <f>IF($A100="","",SUMIFS(weekly_demand!$D:$D,weekly_demand!$A:$A,B$1,weekly_demand!$C:$C,$A100))</f>
        <v/>
      </c>
      <c r="C100" s="111" t="str">
        <f>IF($A100="","",SUMIFS(weekly_demand!$D:$D,weekly_demand!$A:$A,C$1,weekly_demand!$C:$C,$A100))</f>
        <v/>
      </c>
      <c r="D100" s="111" t="str">
        <f>IF($A100="","",SUMIFS(weekly_demand!$D:$D,weekly_demand!$A:$A,D$1,weekly_demand!$C:$C,$A100))</f>
        <v/>
      </c>
      <c r="E100" s="111" t="str">
        <f>IF($A100="","",SUMIFS(weekly_demand!$D:$D,weekly_demand!$A:$A,E$1,weekly_demand!$C:$C,$A100))</f>
        <v/>
      </c>
      <c r="F100" s="111" t="str">
        <f>IF($A100="","",SUMIFS(weekly_demand!$D:$D,weekly_demand!$A:$A,F$1,weekly_demand!$C:$C,$A100))</f>
        <v/>
      </c>
      <c r="G100" s="111" t="str">
        <f>IF($A100="","",SUMIFS(weekly_demand!$D:$D,weekly_demand!$A:$A,G$1,weekly_demand!$C:$C,$A100))</f>
        <v/>
      </c>
      <c r="H100" s="111" t="str">
        <f t="shared" si="9"/>
        <v/>
      </c>
      <c r="I100" s="111" t="str">
        <f t="shared" si="9"/>
        <v/>
      </c>
      <c r="J100" s="111" t="str">
        <f t="shared" si="9"/>
        <v/>
      </c>
      <c r="K100" s="111" t="str">
        <f t="shared" si="9"/>
        <v/>
      </c>
      <c r="L100" s="111" t="str">
        <f t="shared" si="9"/>
        <v/>
      </c>
      <c r="M100" s="111" t="str">
        <f t="shared" si="9"/>
        <v/>
      </c>
      <c r="N100" s="111" t="str">
        <f t="shared" si="9"/>
        <v/>
      </c>
      <c r="O100" s="111" t="str">
        <f t="shared" si="9"/>
        <v/>
      </c>
      <c r="P100" s="111" t="str">
        <f t="shared" si="9"/>
        <v/>
      </c>
      <c r="Q100" s="111" t="str">
        <f t="shared" si="9"/>
        <v/>
      </c>
      <c r="R100" s="111" t="str">
        <f t="shared" si="9"/>
        <v/>
      </c>
      <c r="S100" s="111" t="str">
        <f t="shared" si="9"/>
        <v/>
      </c>
      <c r="T100" s="111" t="str">
        <f t="shared" si="9"/>
        <v/>
      </c>
      <c r="U100" s="111" t="str">
        <f t="shared" si="9"/>
        <v/>
      </c>
      <c r="V100" s="111" t="str">
        <f t="shared" si="9"/>
        <v/>
      </c>
      <c r="W100" s="104"/>
      <c r="X100" s="104"/>
      <c r="Y100" s="104"/>
      <c r="Z100" s="104"/>
      <c r="AA100" s="104"/>
      <c r="AB100" s="104"/>
      <c r="AC100" s="104"/>
      <c r="AD100" s="104"/>
    </row>
    <row r="101" spans="1:30" x14ac:dyDescent="0.3">
      <c r="A101" s="110"/>
      <c r="B101" s="111" t="str">
        <f>IF($A101="","",SUMIFS(weekly_demand!$D:$D,weekly_demand!$A:$A,B$1,weekly_demand!$C:$C,$A101))</f>
        <v/>
      </c>
      <c r="C101" s="111" t="str">
        <f>IF($A101="","",SUMIFS(weekly_demand!$D:$D,weekly_demand!$A:$A,C$1,weekly_demand!$C:$C,$A101))</f>
        <v/>
      </c>
      <c r="D101" s="111" t="str">
        <f>IF($A101="","",SUMIFS(weekly_demand!$D:$D,weekly_demand!$A:$A,D$1,weekly_demand!$C:$C,$A101))</f>
        <v/>
      </c>
      <c r="E101" s="111" t="str">
        <f>IF($A101="","",SUMIFS(weekly_demand!$D:$D,weekly_demand!$A:$A,E$1,weekly_demand!$C:$C,$A101))</f>
        <v/>
      </c>
      <c r="F101" s="111" t="str">
        <f>IF($A101="","",SUMIFS(weekly_demand!$D:$D,weekly_demand!$A:$A,F$1,weekly_demand!$C:$C,$A101))</f>
        <v/>
      </c>
      <c r="G101" s="111" t="str">
        <f>IF($A101="","",SUMIFS(weekly_demand!$D:$D,weekly_demand!$A:$A,G$1,weekly_demand!$C:$C,$A101))</f>
        <v/>
      </c>
      <c r="H101" s="111" t="str">
        <f t="shared" si="9"/>
        <v/>
      </c>
      <c r="I101" s="111" t="str">
        <f t="shared" si="9"/>
        <v/>
      </c>
      <c r="J101" s="111" t="str">
        <f t="shared" si="9"/>
        <v/>
      </c>
      <c r="K101" s="111" t="str">
        <f t="shared" si="9"/>
        <v/>
      </c>
      <c r="L101" s="111" t="str">
        <f t="shared" si="9"/>
        <v/>
      </c>
      <c r="M101" s="111" t="str">
        <f t="shared" si="9"/>
        <v/>
      </c>
      <c r="N101" s="111" t="str">
        <f t="shared" si="9"/>
        <v/>
      </c>
      <c r="O101" s="111" t="str">
        <f t="shared" si="9"/>
        <v/>
      </c>
      <c r="P101" s="111" t="str">
        <f t="shared" si="9"/>
        <v/>
      </c>
      <c r="Q101" s="111" t="str">
        <f t="shared" si="9"/>
        <v/>
      </c>
      <c r="R101" s="111" t="str">
        <f t="shared" si="9"/>
        <v/>
      </c>
      <c r="S101" s="111" t="str">
        <f t="shared" si="9"/>
        <v/>
      </c>
      <c r="T101" s="111" t="str">
        <f t="shared" si="9"/>
        <v/>
      </c>
      <c r="U101" s="111" t="str">
        <f t="shared" si="9"/>
        <v/>
      </c>
      <c r="V101" s="111" t="str">
        <f t="shared" si="9"/>
        <v/>
      </c>
      <c r="W101" s="104"/>
      <c r="X101" s="104"/>
      <c r="Y101" s="104"/>
      <c r="Z101" s="104"/>
      <c r="AA101" s="104"/>
      <c r="AB101" s="104"/>
      <c r="AC101" s="104"/>
      <c r="AD101" s="104"/>
    </row>
    <row r="102" spans="1:30" x14ac:dyDescent="0.3">
      <c r="A102" s="110"/>
      <c r="B102" s="111" t="str">
        <f>IF($A102="","",SUMIFS(weekly_demand!$D:$D,weekly_demand!$A:$A,B$1,weekly_demand!$C:$C,$A102))</f>
        <v/>
      </c>
      <c r="C102" s="111" t="str">
        <f>IF($A102="","",SUMIFS(weekly_demand!$D:$D,weekly_demand!$A:$A,C$1,weekly_demand!$C:$C,$A102))</f>
        <v/>
      </c>
      <c r="D102" s="111" t="str">
        <f>IF($A102="","",SUMIFS(weekly_demand!$D:$D,weekly_demand!$A:$A,D$1,weekly_demand!$C:$C,$A102))</f>
        <v/>
      </c>
      <c r="E102" s="111" t="str">
        <f>IF($A102="","",SUMIFS(weekly_demand!$D:$D,weekly_demand!$A:$A,E$1,weekly_demand!$C:$C,$A102))</f>
        <v/>
      </c>
      <c r="F102" s="111" t="str">
        <f>IF($A102="","",SUMIFS(weekly_demand!$D:$D,weekly_demand!$A:$A,F$1,weekly_demand!$C:$C,$A102))</f>
        <v/>
      </c>
      <c r="G102" s="111" t="str">
        <f>IF($A102="","",SUMIFS(weekly_demand!$D:$D,weekly_demand!$A:$A,G$1,weekly_demand!$C:$C,$A102))</f>
        <v/>
      </c>
      <c r="H102" s="111" t="str">
        <f t="shared" ref="H102:V111" si="10">IF($A102="","",SUMPRODUCT($B102:$G102,INDEX($Y$2:$AD$16,MATCH(H$1,$X$2:$X$16,0),0)))</f>
        <v/>
      </c>
      <c r="I102" s="111" t="str">
        <f t="shared" si="10"/>
        <v/>
      </c>
      <c r="J102" s="111" t="str">
        <f t="shared" si="10"/>
        <v/>
      </c>
      <c r="K102" s="111" t="str">
        <f t="shared" si="10"/>
        <v/>
      </c>
      <c r="L102" s="111" t="str">
        <f t="shared" si="10"/>
        <v/>
      </c>
      <c r="M102" s="111" t="str">
        <f t="shared" si="10"/>
        <v/>
      </c>
      <c r="N102" s="111" t="str">
        <f t="shared" si="10"/>
        <v/>
      </c>
      <c r="O102" s="111" t="str">
        <f t="shared" si="10"/>
        <v/>
      </c>
      <c r="P102" s="111" t="str">
        <f t="shared" si="10"/>
        <v/>
      </c>
      <c r="Q102" s="111" t="str">
        <f t="shared" si="10"/>
        <v/>
      </c>
      <c r="R102" s="111" t="str">
        <f t="shared" si="10"/>
        <v/>
      </c>
      <c r="S102" s="111" t="str">
        <f t="shared" si="10"/>
        <v/>
      </c>
      <c r="T102" s="111" t="str">
        <f t="shared" si="10"/>
        <v/>
      </c>
      <c r="U102" s="111" t="str">
        <f t="shared" si="10"/>
        <v/>
      </c>
      <c r="V102" s="111" t="str">
        <f t="shared" si="10"/>
        <v/>
      </c>
      <c r="W102" s="104"/>
      <c r="X102" s="104"/>
      <c r="Y102" s="104"/>
      <c r="Z102" s="104"/>
      <c r="AA102" s="104"/>
      <c r="AB102" s="104"/>
      <c r="AC102" s="104"/>
      <c r="AD102" s="104"/>
    </row>
    <row r="103" spans="1:30" x14ac:dyDescent="0.3">
      <c r="A103" s="110"/>
      <c r="B103" s="111" t="str">
        <f>IF($A103="","",SUMIFS(weekly_demand!$D:$D,weekly_demand!$A:$A,B$1,weekly_demand!$C:$C,$A103))</f>
        <v/>
      </c>
      <c r="C103" s="111" t="str">
        <f>IF($A103="","",SUMIFS(weekly_demand!$D:$D,weekly_demand!$A:$A,C$1,weekly_demand!$C:$C,$A103))</f>
        <v/>
      </c>
      <c r="D103" s="111" t="str">
        <f>IF($A103="","",SUMIFS(weekly_demand!$D:$D,weekly_demand!$A:$A,D$1,weekly_demand!$C:$C,$A103))</f>
        <v/>
      </c>
      <c r="E103" s="111" t="str">
        <f>IF($A103="","",SUMIFS(weekly_demand!$D:$D,weekly_demand!$A:$A,E$1,weekly_demand!$C:$C,$A103))</f>
        <v/>
      </c>
      <c r="F103" s="111" t="str">
        <f>IF($A103="","",SUMIFS(weekly_demand!$D:$D,weekly_demand!$A:$A,F$1,weekly_demand!$C:$C,$A103))</f>
        <v/>
      </c>
      <c r="G103" s="111" t="str">
        <f>IF($A103="","",SUMIFS(weekly_demand!$D:$D,weekly_demand!$A:$A,G$1,weekly_demand!$C:$C,$A103))</f>
        <v/>
      </c>
      <c r="H103" s="111" t="str">
        <f t="shared" si="10"/>
        <v/>
      </c>
      <c r="I103" s="111" t="str">
        <f t="shared" si="10"/>
        <v/>
      </c>
      <c r="J103" s="111" t="str">
        <f t="shared" si="10"/>
        <v/>
      </c>
      <c r="K103" s="111" t="str">
        <f t="shared" si="10"/>
        <v/>
      </c>
      <c r="L103" s="111" t="str">
        <f t="shared" si="10"/>
        <v/>
      </c>
      <c r="M103" s="111" t="str">
        <f t="shared" si="10"/>
        <v/>
      </c>
      <c r="N103" s="111" t="str">
        <f t="shared" si="10"/>
        <v/>
      </c>
      <c r="O103" s="111" t="str">
        <f t="shared" si="10"/>
        <v/>
      </c>
      <c r="P103" s="111" t="str">
        <f t="shared" si="10"/>
        <v/>
      </c>
      <c r="Q103" s="111" t="str">
        <f t="shared" si="10"/>
        <v/>
      </c>
      <c r="R103" s="111" t="str">
        <f t="shared" si="10"/>
        <v/>
      </c>
      <c r="S103" s="111" t="str">
        <f t="shared" si="10"/>
        <v/>
      </c>
      <c r="T103" s="111" t="str">
        <f t="shared" si="10"/>
        <v/>
      </c>
      <c r="U103" s="111" t="str">
        <f t="shared" si="10"/>
        <v/>
      </c>
      <c r="V103" s="111" t="str">
        <f t="shared" si="10"/>
        <v/>
      </c>
      <c r="W103" s="104"/>
      <c r="X103" s="104"/>
      <c r="Y103" s="104"/>
      <c r="Z103" s="104"/>
      <c r="AA103" s="104"/>
      <c r="AB103" s="104"/>
      <c r="AC103" s="104"/>
      <c r="AD103" s="104"/>
    </row>
    <row r="104" spans="1:30" x14ac:dyDescent="0.3">
      <c r="A104" s="110"/>
      <c r="B104" s="111" t="str">
        <f>IF($A104="","",SUMIFS(weekly_demand!$D:$D,weekly_demand!$A:$A,B$1,weekly_demand!$C:$C,$A104))</f>
        <v/>
      </c>
      <c r="C104" s="111" t="str">
        <f>IF($A104="","",SUMIFS(weekly_demand!$D:$D,weekly_demand!$A:$A,C$1,weekly_demand!$C:$C,$A104))</f>
        <v/>
      </c>
      <c r="D104" s="111" t="str">
        <f>IF($A104="","",SUMIFS(weekly_demand!$D:$D,weekly_demand!$A:$A,D$1,weekly_demand!$C:$C,$A104))</f>
        <v/>
      </c>
      <c r="E104" s="111" t="str">
        <f>IF($A104="","",SUMIFS(weekly_demand!$D:$D,weekly_demand!$A:$A,E$1,weekly_demand!$C:$C,$A104))</f>
        <v/>
      </c>
      <c r="F104" s="111" t="str">
        <f>IF($A104="","",SUMIFS(weekly_demand!$D:$D,weekly_demand!$A:$A,F$1,weekly_demand!$C:$C,$A104))</f>
        <v/>
      </c>
      <c r="G104" s="111" t="str">
        <f>IF($A104="","",SUMIFS(weekly_demand!$D:$D,weekly_demand!$A:$A,G$1,weekly_demand!$C:$C,$A104))</f>
        <v/>
      </c>
      <c r="H104" s="111" t="str">
        <f t="shared" si="10"/>
        <v/>
      </c>
      <c r="I104" s="111" t="str">
        <f t="shared" si="10"/>
        <v/>
      </c>
      <c r="J104" s="111" t="str">
        <f t="shared" si="10"/>
        <v/>
      </c>
      <c r="K104" s="111" t="str">
        <f t="shared" si="10"/>
        <v/>
      </c>
      <c r="L104" s="111" t="str">
        <f t="shared" si="10"/>
        <v/>
      </c>
      <c r="M104" s="111" t="str">
        <f t="shared" si="10"/>
        <v/>
      </c>
      <c r="N104" s="111" t="str">
        <f t="shared" si="10"/>
        <v/>
      </c>
      <c r="O104" s="111" t="str">
        <f t="shared" si="10"/>
        <v/>
      </c>
      <c r="P104" s="111" t="str">
        <f t="shared" si="10"/>
        <v/>
      </c>
      <c r="Q104" s="111" t="str">
        <f t="shared" si="10"/>
        <v/>
      </c>
      <c r="R104" s="111" t="str">
        <f t="shared" si="10"/>
        <v/>
      </c>
      <c r="S104" s="111" t="str">
        <f t="shared" si="10"/>
        <v/>
      </c>
      <c r="T104" s="111" t="str">
        <f t="shared" si="10"/>
        <v/>
      </c>
      <c r="U104" s="111" t="str">
        <f t="shared" si="10"/>
        <v/>
      </c>
      <c r="V104" s="111" t="str">
        <f t="shared" si="10"/>
        <v/>
      </c>
      <c r="W104" s="104"/>
      <c r="X104" s="104"/>
      <c r="Y104" s="104"/>
      <c r="Z104" s="104"/>
      <c r="AA104" s="104"/>
      <c r="AB104" s="104"/>
      <c r="AC104" s="104"/>
      <c r="AD104" s="104"/>
    </row>
    <row r="105" spans="1:30" x14ac:dyDescent="0.3">
      <c r="A105" s="110"/>
      <c r="B105" s="111" t="str">
        <f>IF($A105="","",SUMIFS(weekly_demand!$D:$D,weekly_demand!$A:$A,B$1,weekly_demand!$C:$C,$A105))</f>
        <v/>
      </c>
      <c r="C105" s="111" t="str">
        <f>IF($A105="","",SUMIFS(weekly_demand!$D:$D,weekly_demand!$A:$A,C$1,weekly_demand!$C:$C,$A105))</f>
        <v/>
      </c>
      <c r="D105" s="111" t="str">
        <f>IF($A105="","",SUMIFS(weekly_demand!$D:$D,weekly_demand!$A:$A,D$1,weekly_demand!$C:$C,$A105))</f>
        <v/>
      </c>
      <c r="E105" s="111" t="str">
        <f>IF($A105="","",SUMIFS(weekly_demand!$D:$D,weekly_demand!$A:$A,E$1,weekly_demand!$C:$C,$A105))</f>
        <v/>
      </c>
      <c r="F105" s="111" t="str">
        <f>IF($A105="","",SUMIFS(weekly_demand!$D:$D,weekly_demand!$A:$A,F$1,weekly_demand!$C:$C,$A105))</f>
        <v/>
      </c>
      <c r="G105" s="111" t="str">
        <f>IF($A105="","",SUMIFS(weekly_demand!$D:$D,weekly_demand!$A:$A,G$1,weekly_demand!$C:$C,$A105))</f>
        <v/>
      </c>
      <c r="H105" s="111" t="str">
        <f t="shared" si="10"/>
        <v/>
      </c>
      <c r="I105" s="111" t="str">
        <f t="shared" si="10"/>
        <v/>
      </c>
      <c r="J105" s="111" t="str">
        <f t="shared" si="10"/>
        <v/>
      </c>
      <c r="K105" s="111" t="str">
        <f t="shared" si="10"/>
        <v/>
      </c>
      <c r="L105" s="111" t="str">
        <f t="shared" si="10"/>
        <v/>
      </c>
      <c r="M105" s="111" t="str">
        <f t="shared" si="10"/>
        <v/>
      </c>
      <c r="N105" s="111" t="str">
        <f t="shared" si="10"/>
        <v/>
      </c>
      <c r="O105" s="111" t="str">
        <f t="shared" si="10"/>
        <v/>
      </c>
      <c r="P105" s="111" t="str">
        <f t="shared" si="10"/>
        <v/>
      </c>
      <c r="Q105" s="111" t="str">
        <f t="shared" si="10"/>
        <v/>
      </c>
      <c r="R105" s="111" t="str">
        <f t="shared" si="10"/>
        <v/>
      </c>
      <c r="S105" s="111" t="str">
        <f t="shared" si="10"/>
        <v/>
      </c>
      <c r="T105" s="111" t="str">
        <f t="shared" si="10"/>
        <v/>
      </c>
      <c r="U105" s="111" t="str">
        <f t="shared" si="10"/>
        <v/>
      </c>
      <c r="V105" s="111" t="str">
        <f t="shared" si="10"/>
        <v/>
      </c>
      <c r="W105" s="104"/>
      <c r="X105" s="104"/>
      <c r="Y105" s="104"/>
      <c r="Z105" s="104"/>
      <c r="AA105" s="104"/>
      <c r="AB105" s="104"/>
      <c r="AC105" s="104"/>
      <c r="AD105" s="104"/>
    </row>
    <row r="106" spans="1:30" x14ac:dyDescent="0.3">
      <c r="A106" s="110"/>
      <c r="B106" s="111" t="str">
        <f>IF($A106="","",SUMIFS(weekly_demand!$D:$D,weekly_demand!$A:$A,B$1,weekly_demand!$C:$C,$A106))</f>
        <v/>
      </c>
      <c r="C106" s="111" t="str">
        <f>IF($A106="","",SUMIFS(weekly_demand!$D:$D,weekly_demand!$A:$A,C$1,weekly_demand!$C:$C,$A106))</f>
        <v/>
      </c>
      <c r="D106" s="111" t="str">
        <f>IF($A106="","",SUMIFS(weekly_demand!$D:$D,weekly_demand!$A:$A,D$1,weekly_demand!$C:$C,$A106))</f>
        <v/>
      </c>
      <c r="E106" s="111" t="str">
        <f>IF($A106="","",SUMIFS(weekly_demand!$D:$D,weekly_demand!$A:$A,E$1,weekly_demand!$C:$C,$A106))</f>
        <v/>
      </c>
      <c r="F106" s="111" t="str">
        <f>IF($A106="","",SUMIFS(weekly_demand!$D:$D,weekly_demand!$A:$A,F$1,weekly_demand!$C:$C,$A106))</f>
        <v/>
      </c>
      <c r="G106" s="111" t="str">
        <f>IF($A106="","",SUMIFS(weekly_demand!$D:$D,weekly_demand!$A:$A,G$1,weekly_demand!$C:$C,$A106))</f>
        <v/>
      </c>
      <c r="H106" s="111" t="str">
        <f t="shared" si="10"/>
        <v/>
      </c>
      <c r="I106" s="111" t="str">
        <f t="shared" si="10"/>
        <v/>
      </c>
      <c r="J106" s="111" t="str">
        <f t="shared" si="10"/>
        <v/>
      </c>
      <c r="K106" s="111" t="str">
        <f t="shared" si="10"/>
        <v/>
      </c>
      <c r="L106" s="111" t="str">
        <f t="shared" si="10"/>
        <v/>
      </c>
      <c r="M106" s="111" t="str">
        <f t="shared" si="10"/>
        <v/>
      </c>
      <c r="N106" s="111" t="str">
        <f t="shared" si="10"/>
        <v/>
      </c>
      <c r="O106" s="111" t="str">
        <f t="shared" si="10"/>
        <v/>
      </c>
      <c r="P106" s="111" t="str">
        <f t="shared" si="10"/>
        <v/>
      </c>
      <c r="Q106" s="111" t="str">
        <f t="shared" si="10"/>
        <v/>
      </c>
      <c r="R106" s="111" t="str">
        <f t="shared" si="10"/>
        <v/>
      </c>
      <c r="S106" s="111" t="str">
        <f t="shared" si="10"/>
        <v/>
      </c>
      <c r="T106" s="111" t="str">
        <f t="shared" si="10"/>
        <v/>
      </c>
      <c r="U106" s="111" t="str">
        <f t="shared" si="10"/>
        <v/>
      </c>
      <c r="V106" s="111" t="str">
        <f t="shared" si="10"/>
        <v/>
      </c>
      <c r="W106" s="104"/>
      <c r="X106" s="104"/>
      <c r="Y106" s="104"/>
      <c r="Z106" s="104"/>
      <c r="AA106" s="104"/>
      <c r="AB106" s="104"/>
      <c r="AC106" s="104"/>
      <c r="AD106" s="104"/>
    </row>
    <row r="107" spans="1:30" x14ac:dyDescent="0.3">
      <c r="A107" s="110"/>
      <c r="B107" s="111" t="str">
        <f>IF($A107="","",SUMIFS(weekly_demand!$D:$D,weekly_demand!$A:$A,B$1,weekly_demand!$C:$C,$A107))</f>
        <v/>
      </c>
      <c r="C107" s="111" t="str">
        <f>IF($A107="","",SUMIFS(weekly_demand!$D:$D,weekly_demand!$A:$A,C$1,weekly_demand!$C:$C,$A107))</f>
        <v/>
      </c>
      <c r="D107" s="111" t="str">
        <f>IF($A107="","",SUMIFS(weekly_demand!$D:$D,weekly_demand!$A:$A,D$1,weekly_demand!$C:$C,$A107))</f>
        <v/>
      </c>
      <c r="E107" s="111" t="str">
        <f>IF($A107="","",SUMIFS(weekly_demand!$D:$D,weekly_demand!$A:$A,E$1,weekly_demand!$C:$C,$A107))</f>
        <v/>
      </c>
      <c r="F107" s="111" t="str">
        <f>IF($A107="","",SUMIFS(weekly_demand!$D:$D,weekly_demand!$A:$A,F$1,weekly_demand!$C:$C,$A107))</f>
        <v/>
      </c>
      <c r="G107" s="111" t="str">
        <f>IF($A107="","",SUMIFS(weekly_demand!$D:$D,weekly_demand!$A:$A,G$1,weekly_demand!$C:$C,$A107))</f>
        <v/>
      </c>
      <c r="H107" s="111" t="str">
        <f t="shared" si="10"/>
        <v/>
      </c>
      <c r="I107" s="111" t="str">
        <f t="shared" si="10"/>
        <v/>
      </c>
      <c r="J107" s="111" t="str">
        <f t="shared" si="10"/>
        <v/>
      </c>
      <c r="K107" s="111" t="str">
        <f t="shared" si="10"/>
        <v/>
      </c>
      <c r="L107" s="111" t="str">
        <f t="shared" si="10"/>
        <v/>
      </c>
      <c r="M107" s="111" t="str">
        <f t="shared" si="10"/>
        <v/>
      </c>
      <c r="N107" s="111" t="str">
        <f t="shared" si="10"/>
        <v/>
      </c>
      <c r="O107" s="111" t="str">
        <f t="shared" si="10"/>
        <v/>
      </c>
      <c r="P107" s="111" t="str">
        <f t="shared" si="10"/>
        <v/>
      </c>
      <c r="Q107" s="111" t="str">
        <f t="shared" si="10"/>
        <v/>
      </c>
      <c r="R107" s="111" t="str">
        <f t="shared" si="10"/>
        <v/>
      </c>
      <c r="S107" s="111" t="str">
        <f t="shared" si="10"/>
        <v/>
      </c>
      <c r="T107" s="111" t="str">
        <f t="shared" si="10"/>
        <v/>
      </c>
      <c r="U107" s="111" t="str">
        <f t="shared" si="10"/>
        <v/>
      </c>
      <c r="V107" s="111" t="str">
        <f t="shared" si="10"/>
        <v/>
      </c>
      <c r="W107" s="104"/>
      <c r="X107" s="104"/>
      <c r="Y107" s="104"/>
      <c r="Z107" s="104"/>
      <c r="AA107" s="104"/>
      <c r="AB107" s="104"/>
      <c r="AC107" s="104"/>
      <c r="AD107" s="104"/>
    </row>
    <row r="108" spans="1:30" x14ac:dyDescent="0.3">
      <c r="A108" s="110"/>
      <c r="B108" s="111" t="str">
        <f>IF($A108="","",SUMIFS(weekly_demand!$D:$D,weekly_demand!$A:$A,B$1,weekly_demand!$C:$C,$A108))</f>
        <v/>
      </c>
      <c r="C108" s="111" t="str">
        <f>IF($A108="","",SUMIFS(weekly_demand!$D:$D,weekly_demand!$A:$A,C$1,weekly_demand!$C:$C,$A108))</f>
        <v/>
      </c>
      <c r="D108" s="111" t="str">
        <f>IF($A108="","",SUMIFS(weekly_demand!$D:$D,weekly_demand!$A:$A,D$1,weekly_demand!$C:$C,$A108))</f>
        <v/>
      </c>
      <c r="E108" s="111" t="str">
        <f>IF($A108="","",SUMIFS(weekly_demand!$D:$D,weekly_demand!$A:$A,E$1,weekly_demand!$C:$C,$A108))</f>
        <v/>
      </c>
      <c r="F108" s="111" t="str">
        <f>IF($A108="","",SUMIFS(weekly_demand!$D:$D,weekly_demand!$A:$A,F$1,weekly_demand!$C:$C,$A108))</f>
        <v/>
      </c>
      <c r="G108" s="111" t="str">
        <f>IF($A108="","",SUMIFS(weekly_demand!$D:$D,weekly_demand!$A:$A,G$1,weekly_demand!$C:$C,$A108))</f>
        <v/>
      </c>
      <c r="H108" s="111" t="str">
        <f t="shared" si="10"/>
        <v/>
      </c>
      <c r="I108" s="111" t="str">
        <f t="shared" si="10"/>
        <v/>
      </c>
      <c r="J108" s="111" t="str">
        <f t="shared" si="10"/>
        <v/>
      </c>
      <c r="K108" s="111" t="str">
        <f t="shared" si="10"/>
        <v/>
      </c>
      <c r="L108" s="111" t="str">
        <f t="shared" si="10"/>
        <v/>
      </c>
      <c r="M108" s="111" t="str">
        <f t="shared" si="10"/>
        <v/>
      </c>
      <c r="N108" s="111" t="str">
        <f t="shared" si="10"/>
        <v/>
      </c>
      <c r="O108" s="111" t="str">
        <f t="shared" si="10"/>
        <v/>
      </c>
      <c r="P108" s="111" t="str">
        <f t="shared" si="10"/>
        <v/>
      </c>
      <c r="Q108" s="111" t="str">
        <f t="shared" si="10"/>
        <v/>
      </c>
      <c r="R108" s="111" t="str">
        <f t="shared" si="10"/>
        <v/>
      </c>
      <c r="S108" s="111" t="str">
        <f t="shared" si="10"/>
        <v/>
      </c>
      <c r="T108" s="111" t="str">
        <f t="shared" si="10"/>
        <v/>
      </c>
      <c r="U108" s="111" t="str">
        <f t="shared" si="10"/>
        <v/>
      </c>
      <c r="V108" s="111" t="str">
        <f t="shared" si="10"/>
        <v/>
      </c>
      <c r="W108" s="104"/>
      <c r="X108" s="104"/>
      <c r="Y108" s="104"/>
      <c r="Z108" s="104"/>
      <c r="AA108" s="104"/>
      <c r="AB108" s="104"/>
      <c r="AC108" s="104"/>
      <c r="AD108" s="104"/>
    </row>
    <row r="109" spans="1:30" x14ac:dyDescent="0.3">
      <c r="A109" s="110"/>
      <c r="B109" s="111" t="str">
        <f>IF($A109="","",SUMIFS(weekly_demand!$D:$D,weekly_demand!$A:$A,B$1,weekly_demand!$C:$C,$A109))</f>
        <v/>
      </c>
      <c r="C109" s="111" t="str">
        <f>IF($A109="","",SUMIFS(weekly_demand!$D:$D,weekly_demand!$A:$A,C$1,weekly_demand!$C:$C,$A109))</f>
        <v/>
      </c>
      <c r="D109" s="111" t="str">
        <f>IF($A109="","",SUMIFS(weekly_demand!$D:$D,weekly_demand!$A:$A,D$1,weekly_demand!$C:$C,$A109))</f>
        <v/>
      </c>
      <c r="E109" s="111" t="str">
        <f>IF($A109="","",SUMIFS(weekly_demand!$D:$D,weekly_demand!$A:$A,E$1,weekly_demand!$C:$C,$A109))</f>
        <v/>
      </c>
      <c r="F109" s="111" t="str">
        <f>IF($A109="","",SUMIFS(weekly_demand!$D:$D,weekly_demand!$A:$A,F$1,weekly_demand!$C:$C,$A109))</f>
        <v/>
      </c>
      <c r="G109" s="111" t="str">
        <f>IF($A109="","",SUMIFS(weekly_demand!$D:$D,weekly_demand!$A:$A,G$1,weekly_demand!$C:$C,$A109))</f>
        <v/>
      </c>
      <c r="H109" s="111" t="str">
        <f t="shared" si="10"/>
        <v/>
      </c>
      <c r="I109" s="111" t="str">
        <f t="shared" si="10"/>
        <v/>
      </c>
      <c r="J109" s="111" t="str">
        <f t="shared" si="10"/>
        <v/>
      </c>
      <c r="K109" s="111" t="str">
        <f t="shared" si="10"/>
        <v/>
      </c>
      <c r="L109" s="111" t="str">
        <f t="shared" si="10"/>
        <v/>
      </c>
      <c r="M109" s="111" t="str">
        <f t="shared" si="10"/>
        <v/>
      </c>
      <c r="N109" s="111" t="str">
        <f t="shared" si="10"/>
        <v/>
      </c>
      <c r="O109" s="111" t="str">
        <f t="shared" si="10"/>
        <v/>
      </c>
      <c r="P109" s="111" t="str">
        <f t="shared" si="10"/>
        <v/>
      </c>
      <c r="Q109" s="111" t="str">
        <f t="shared" si="10"/>
        <v/>
      </c>
      <c r="R109" s="111" t="str">
        <f t="shared" si="10"/>
        <v/>
      </c>
      <c r="S109" s="111" t="str">
        <f t="shared" si="10"/>
        <v/>
      </c>
      <c r="T109" s="111" t="str">
        <f t="shared" si="10"/>
        <v/>
      </c>
      <c r="U109" s="111" t="str">
        <f t="shared" si="10"/>
        <v/>
      </c>
      <c r="V109" s="111" t="str">
        <f t="shared" si="10"/>
        <v/>
      </c>
      <c r="W109" s="104"/>
      <c r="X109" s="104"/>
      <c r="Y109" s="104"/>
      <c r="Z109" s="104"/>
      <c r="AA109" s="104"/>
      <c r="AB109" s="104"/>
      <c r="AC109" s="104"/>
      <c r="AD109" s="104"/>
    </row>
    <row r="110" spans="1:30" x14ac:dyDescent="0.3">
      <c r="A110" s="110"/>
      <c r="B110" s="111" t="str">
        <f>IF($A110="","",SUMIFS(weekly_demand!$D:$D,weekly_demand!$A:$A,B$1,weekly_demand!$C:$C,$A110))</f>
        <v/>
      </c>
      <c r="C110" s="111" t="str">
        <f>IF($A110="","",SUMIFS(weekly_demand!$D:$D,weekly_demand!$A:$A,C$1,weekly_demand!$C:$C,$A110))</f>
        <v/>
      </c>
      <c r="D110" s="111" t="str">
        <f>IF($A110="","",SUMIFS(weekly_demand!$D:$D,weekly_demand!$A:$A,D$1,weekly_demand!$C:$C,$A110))</f>
        <v/>
      </c>
      <c r="E110" s="111" t="str">
        <f>IF($A110="","",SUMIFS(weekly_demand!$D:$D,weekly_demand!$A:$A,E$1,weekly_demand!$C:$C,$A110))</f>
        <v/>
      </c>
      <c r="F110" s="111" t="str">
        <f>IF($A110="","",SUMIFS(weekly_demand!$D:$D,weekly_demand!$A:$A,F$1,weekly_demand!$C:$C,$A110))</f>
        <v/>
      </c>
      <c r="G110" s="111" t="str">
        <f>IF($A110="","",SUMIFS(weekly_demand!$D:$D,weekly_demand!$A:$A,G$1,weekly_demand!$C:$C,$A110))</f>
        <v/>
      </c>
      <c r="H110" s="111" t="str">
        <f t="shared" si="10"/>
        <v/>
      </c>
      <c r="I110" s="111" t="str">
        <f t="shared" si="10"/>
        <v/>
      </c>
      <c r="J110" s="111" t="str">
        <f t="shared" si="10"/>
        <v/>
      </c>
      <c r="K110" s="111" t="str">
        <f t="shared" si="10"/>
        <v/>
      </c>
      <c r="L110" s="111" t="str">
        <f t="shared" si="10"/>
        <v/>
      </c>
      <c r="M110" s="111" t="str">
        <f t="shared" si="10"/>
        <v/>
      </c>
      <c r="N110" s="111" t="str">
        <f t="shared" si="10"/>
        <v/>
      </c>
      <c r="O110" s="111" t="str">
        <f t="shared" si="10"/>
        <v/>
      </c>
      <c r="P110" s="111" t="str">
        <f t="shared" si="10"/>
        <v/>
      </c>
      <c r="Q110" s="111" t="str">
        <f t="shared" si="10"/>
        <v/>
      </c>
      <c r="R110" s="111" t="str">
        <f t="shared" si="10"/>
        <v/>
      </c>
      <c r="S110" s="111" t="str">
        <f t="shared" si="10"/>
        <v/>
      </c>
      <c r="T110" s="111" t="str">
        <f t="shared" si="10"/>
        <v/>
      </c>
      <c r="U110" s="111" t="str">
        <f t="shared" si="10"/>
        <v/>
      </c>
      <c r="V110" s="111" t="str">
        <f t="shared" si="10"/>
        <v/>
      </c>
      <c r="W110" s="104"/>
      <c r="X110" s="104"/>
      <c r="Y110" s="104"/>
      <c r="Z110" s="104"/>
      <c r="AA110" s="104"/>
      <c r="AB110" s="104"/>
      <c r="AC110" s="104"/>
      <c r="AD110" s="104"/>
    </row>
    <row r="111" spans="1:30" x14ac:dyDescent="0.3">
      <c r="A111" s="110"/>
      <c r="B111" s="111" t="str">
        <f>IF($A111="","",SUMIFS(weekly_demand!$D:$D,weekly_demand!$A:$A,B$1,weekly_demand!$C:$C,$A111))</f>
        <v/>
      </c>
      <c r="C111" s="111" t="str">
        <f>IF($A111="","",SUMIFS(weekly_demand!$D:$D,weekly_demand!$A:$A,C$1,weekly_demand!$C:$C,$A111))</f>
        <v/>
      </c>
      <c r="D111" s="111" t="str">
        <f>IF($A111="","",SUMIFS(weekly_demand!$D:$D,weekly_demand!$A:$A,D$1,weekly_demand!$C:$C,$A111))</f>
        <v/>
      </c>
      <c r="E111" s="111" t="str">
        <f>IF($A111="","",SUMIFS(weekly_demand!$D:$D,weekly_demand!$A:$A,E$1,weekly_demand!$C:$C,$A111))</f>
        <v/>
      </c>
      <c r="F111" s="111" t="str">
        <f>IF($A111="","",SUMIFS(weekly_demand!$D:$D,weekly_demand!$A:$A,F$1,weekly_demand!$C:$C,$A111))</f>
        <v/>
      </c>
      <c r="G111" s="111" t="str">
        <f>IF($A111="","",SUMIFS(weekly_demand!$D:$D,weekly_demand!$A:$A,G$1,weekly_demand!$C:$C,$A111))</f>
        <v/>
      </c>
      <c r="H111" s="111" t="str">
        <f t="shared" si="10"/>
        <v/>
      </c>
      <c r="I111" s="111" t="str">
        <f t="shared" si="10"/>
        <v/>
      </c>
      <c r="J111" s="111" t="str">
        <f t="shared" si="10"/>
        <v/>
      </c>
      <c r="K111" s="111" t="str">
        <f t="shared" si="10"/>
        <v/>
      </c>
      <c r="L111" s="111" t="str">
        <f t="shared" si="10"/>
        <v/>
      </c>
      <c r="M111" s="111" t="str">
        <f t="shared" si="10"/>
        <v/>
      </c>
      <c r="N111" s="111" t="str">
        <f t="shared" si="10"/>
        <v/>
      </c>
      <c r="O111" s="111" t="str">
        <f t="shared" si="10"/>
        <v/>
      </c>
      <c r="P111" s="111" t="str">
        <f t="shared" si="10"/>
        <v/>
      </c>
      <c r="Q111" s="111" t="str">
        <f t="shared" si="10"/>
        <v/>
      </c>
      <c r="R111" s="111" t="str">
        <f t="shared" si="10"/>
        <v/>
      </c>
      <c r="S111" s="111" t="str">
        <f t="shared" si="10"/>
        <v/>
      </c>
      <c r="T111" s="111" t="str">
        <f t="shared" si="10"/>
        <v/>
      </c>
      <c r="U111" s="111" t="str">
        <f t="shared" si="10"/>
        <v/>
      </c>
      <c r="V111" s="111" t="str">
        <f t="shared" si="10"/>
        <v/>
      </c>
      <c r="W111" s="104"/>
      <c r="X111" s="104"/>
      <c r="Y111" s="104"/>
      <c r="Z111" s="104"/>
      <c r="AA111" s="104"/>
      <c r="AB111" s="104"/>
      <c r="AC111" s="104"/>
      <c r="AD111" s="104"/>
    </row>
    <row r="112" spans="1:30" x14ac:dyDescent="0.3">
      <c r="A112" s="110"/>
      <c r="B112" s="111" t="str">
        <f>IF($A112="","",SUMIFS(weekly_demand!$D:$D,weekly_demand!$A:$A,B$1,weekly_demand!$C:$C,$A112))</f>
        <v/>
      </c>
      <c r="C112" s="111" t="str">
        <f>IF($A112="","",SUMIFS(weekly_demand!$D:$D,weekly_demand!$A:$A,C$1,weekly_demand!$C:$C,$A112))</f>
        <v/>
      </c>
      <c r="D112" s="111" t="str">
        <f>IF($A112="","",SUMIFS(weekly_demand!$D:$D,weekly_demand!$A:$A,D$1,weekly_demand!$C:$C,$A112))</f>
        <v/>
      </c>
      <c r="E112" s="111" t="str">
        <f>IF($A112="","",SUMIFS(weekly_demand!$D:$D,weekly_demand!$A:$A,E$1,weekly_demand!$C:$C,$A112))</f>
        <v/>
      </c>
      <c r="F112" s="111" t="str">
        <f>IF($A112="","",SUMIFS(weekly_demand!$D:$D,weekly_demand!$A:$A,F$1,weekly_demand!$C:$C,$A112))</f>
        <v/>
      </c>
      <c r="G112" s="111" t="str">
        <f>IF($A112="","",SUMIFS(weekly_demand!$D:$D,weekly_demand!$A:$A,G$1,weekly_demand!$C:$C,$A112))</f>
        <v/>
      </c>
      <c r="H112" s="111" t="str">
        <f t="shared" ref="H112:V121" si="11">IF($A112="","",SUMPRODUCT($B112:$G112,INDEX($Y$2:$AD$16,MATCH(H$1,$X$2:$X$16,0),0)))</f>
        <v/>
      </c>
      <c r="I112" s="111" t="str">
        <f t="shared" si="11"/>
        <v/>
      </c>
      <c r="J112" s="111" t="str">
        <f t="shared" si="11"/>
        <v/>
      </c>
      <c r="K112" s="111" t="str">
        <f t="shared" si="11"/>
        <v/>
      </c>
      <c r="L112" s="111" t="str">
        <f t="shared" si="11"/>
        <v/>
      </c>
      <c r="M112" s="111" t="str">
        <f t="shared" si="11"/>
        <v/>
      </c>
      <c r="N112" s="111" t="str">
        <f t="shared" si="11"/>
        <v/>
      </c>
      <c r="O112" s="111" t="str">
        <f t="shared" si="11"/>
        <v/>
      </c>
      <c r="P112" s="111" t="str">
        <f t="shared" si="11"/>
        <v/>
      </c>
      <c r="Q112" s="111" t="str">
        <f t="shared" si="11"/>
        <v/>
      </c>
      <c r="R112" s="111" t="str">
        <f t="shared" si="11"/>
        <v/>
      </c>
      <c r="S112" s="111" t="str">
        <f t="shared" si="11"/>
        <v/>
      </c>
      <c r="T112" s="111" t="str">
        <f t="shared" si="11"/>
        <v/>
      </c>
      <c r="U112" s="111" t="str">
        <f t="shared" si="11"/>
        <v/>
      </c>
      <c r="V112" s="111" t="str">
        <f t="shared" si="11"/>
        <v/>
      </c>
      <c r="W112" s="104"/>
      <c r="X112" s="104"/>
      <c r="Y112" s="104"/>
      <c r="Z112" s="104"/>
      <c r="AA112" s="104"/>
      <c r="AB112" s="104"/>
      <c r="AC112" s="104"/>
      <c r="AD112" s="104"/>
    </row>
    <row r="113" spans="1:30" x14ac:dyDescent="0.3">
      <c r="A113" s="110"/>
      <c r="B113" s="111" t="str">
        <f>IF($A113="","",SUMIFS(weekly_demand!$D:$D,weekly_demand!$A:$A,B$1,weekly_demand!$C:$C,$A113))</f>
        <v/>
      </c>
      <c r="C113" s="111" t="str">
        <f>IF($A113="","",SUMIFS(weekly_demand!$D:$D,weekly_demand!$A:$A,C$1,weekly_demand!$C:$C,$A113))</f>
        <v/>
      </c>
      <c r="D113" s="111" t="str">
        <f>IF($A113="","",SUMIFS(weekly_demand!$D:$D,weekly_demand!$A:$A,D$1,weekly_demand!$C:$C,$A113))</f>
        <v/>
      </c>
      <c r="E113" s="111" t="str">
        <f>IF($A113="","",SUMIFS(weekly_demand!$D:$D,weekly_demand!$A:$A,E$1,weekly_demand!$C:$C,$A113))</f>
        <v/>
      </c>
      <c r="F113" s="111" t="str">
        <f>IF($A113="","",SUMIFS(weekly_demand!$D:$D,weekly_demand!$A:$A,F$1,weekly_demand!$C:$C,$A113))</f>
        <v/>
      </c>
      <c r="G113" s="111" t="str">
        <f>IF($A113="","",SUMIFS(weekly_demand!$D:$D,weekly_demand!$A:$A,G$1,weekly_demand!$C:$C,$A113))</f>
        <v/>
      </c>
      <c r="H113" s="111" t="str">
        <f t="shared" si="11"/>
        <v/>
      </c>
      <c r="I113" s="111" t="str">
        <f t="shared" si="11"/>
        <v/>
      </c>
      <c r="J113" s="111" t="str">
        <f t="shared" si="11"/>
        <v/>
      </c>
      <c r="K113" s="111" t="str">
        <f t="shared" si="11"/>
        <v/>
      </c>
      <c r="L113" s="111" t="str">
        <f t="shared" si="11"/>
        <v/>
      </c>
      <c r="M113" s="111" t="str">
        <f t="shared" si="11"/>
        <v/>
      </c>
      <c r="N113" s="111" t="str">
        <f t="shared" si="11"/>
        <v/>
      </c>
      <c r="O113" s="111" t="str">
        <f t="shared" si="11"/>
        <v/>
      </c>
      <c r="P113" s="111" t="str">
        <f t="shared" si="11"/>
        <v/>
      </c>
      <c r="Q113" s="111" t="str">
        <f t="shared" si="11"/>
        <v/>
      </c>
      <c r="R113" s="111" t="str">
        <f t="shared" si="11"/>
        <v/>
      </c>
      <c r="S113" s="111" t="str">
        <f t="shared" si="11"/>
        <v/>
      </c>
      <c r="T113" s="111" t="str">
        <f t="shared" si="11"/>
        <v/>
      </c>
      <c r="U113" s="111" t="str">
        <f t="shared" si="11"/>
        <v/>
      </c>
      <c r="V113" s="111" t="str">
        <f t="shared" si="11"/>
        <v/>
      </c>
      <c r="W113" s="104"/>
      <c r="X113" s="104"/>
      <c r="Y113" s="104"/>
      <c r="Z113" s="104"/>
      <c r="AA113" s="104"/>
      <c r="AB113" s="104"/>
      <c r="AC113" s="104"/>
      <c r="AD113" s="104"/>
    </row>
    <row r="114" spans="1:30" x14ac:dyDescent="0.3">
      <c r="A114" s="110"/>
      <c r="B114" s="111" t="str">
        <f>IF($A114="","",SUMIFS(weekly_demand!$D:$D,weekly_demand!$A:$A,B$1,weekly_demand!$C:$C,$A114))</f>
        <v/>
      </c>
      <c r="C114" s="111" t="str">
        <f>IF($A114="","",SUMIFS(weekly_demand!$D:$D,weekly_demand!$A:$A,C$1,weekly_demand!$C:$C,$A114))</f>
        <v/>
      </c>
      <c r="D114" s="111" t="str">
        <f>IF($A114="","",SUMIFS(weekly_demand!$D:$D,weekly_demand!$A:$A,D$1,weekly_demand!$C:$C,$A114))</f>
        <v/>
      </c>
      <c r="E114" s="111" t="str">
        <f>IF($A114="","",SUMIFS(weekly_demand!$D:$D,weekly_demand!$A:$A,E$1,weekly_demand!$C:$C,$A114))</f>
        <v/>
      </c>
      <c r="F114" s="111" t="str">
        <f>IF($A114="","",SUMIFS(weekly_demand!$D:$D,weekly_demand!$A:$A,F$1,weekly_demand!$C:$C,$A114))</f>
        <v/>
      </c>
      <c r="G114" s="111" t="str">
        <f>IF($A114="","",SUMIFS(weekly_demand!$D:$D,weekly_demand!$A:$A,G$1,weekly_demand!$C:$C,$A114))</f>
        <v/>
      </c>
      <c r="H114" s="111" t="str">
        <f t="shared" si="11"/>
        <v/>
      </c>
      <c r="I114" s="111" t="str">
        <f t="shared" si="11"/>
        <v/>
      </c>
      <c r="J114" s="111" t="str">
        <f t="shared" si="11"/>
        <v/>
      </c>
      <c r="K114" s="111" t="str">
        <f t="shared" si="11"/>
        <v/>
      </c>
      <c r="L114" s="111" t="str">
        <f t="shared" si="11"/>
        <v/>
      </c>
      <c r="M114" s="111" t="str">
        <f t="shared" si="11"/>
        <v/>
      </c>
      <c r="N114" s="111" t="str">
        <f t="shared" si="11"/>
        <v/>
      </c>
      <c r="O114" s="111" t="str">
        <f t="shared" si="11"/>
        <v/>
      </c>
      <c r="P114" s="111" t="str">
        <f t="shared" si="11"/>
        <v/>
      </c>
      <c r="Q114" s="111" t="str">
        <f t="shared" si="11"/>
        <v/>
      </c>
      <c r="R114" s="111" t="str">
        <f t="shared" si="11"/>
        <v/>
      </c>
      <c r="S114" s="111" t="str">
        <f t="shared" si="11"/>
        <v/>
      </c>
      <c r="T114" s="111" t="str">
        <f t="shared" si="11"/>
        <v/>
      </c>
      <c r="U114" s="111" t="str">
        <f t="shared" si="11"/>
        <v/>
      </c>
      <c r="V114" s="111" t="str">
        <f t="shared" si="11"/>
        <v/>
      </c>
      <c r="W114" s="104"/>
      <c r="X114" s="104"/>
      <c r="Y114" s="104"/>
      <c r="Z114" s="104"/>
      <c r="AA114" s="104"/>
      <c r="AB114" s="104"/>
      <c r="AC114" s="104"/>
      <c r="AD114" s="104"/>
    </row>
    <row r="115" spans="1:30" x14ac:dyDescent="0.3">
      <c r="A115" s="110"/>
      <c r="B115" s="111" t="str">
        <f>IF($A115="","",SUMIFS(weekly_demand!$D:$D,weekly_demand!$A:$A,B$1,weekly_demand!$C:$C,$A115))</f>
        <v/>
      </c>
      <c r="C115" s="111" t="str">
        <f>IF($A115="","",SUMIFS(weekly_demand!$D:$D,weekly_demand!$A:$A,C$1,weekly_demand!$C:$C,$A115))</f>
        <v/>
      </c>
      <c r="D115" s="111" t="str">
        <f>IF($A115="","",SUMIFS(weekly_demand!$D:$D,weekly_demand!$A:$A,D$1,weekly_demand!$C:$C,$A115))</f>
        <v/>
      </c>
      <c r="E115" s="111" t="str">
        <f>IF($A115="","",SUMIFS(weekly_demand!$D:$D,weekly_demand!$A:$A,E$1,weekly_demand!$C:$C,$A115))</f>
        <v/>
      </c>
      <c r="F115" s="111" t="str">
        <f>IF($A115="","",SUMIFS(weekly_demand!$D:$D,weekly_demand!$A:$A,F$1,weekly_demand!$C:$C,$A115))</f>
        <v/>
      </c>
      <c r="G115" s="111" t="str">
        <f>IF($A115="","",SUMIFS(weekly_demand!$D:$D,weekly_demand!$A:$A,G$1,weekly_demand!$C:$C,$A115))</f>
        <v/>
      </c>
      <c r="H115" s="111" t="str">
        <f t="shared" si="11"/>
        <v/>
      </c>
      <c r="I115" s="111" t="str">
        <f t="shared" si="11"/>
        <v/>
      </c>
      <c r="J115" s="111" t="str">
        <f t="shared" si="11"/>
        <v/>
      </c>
      <c r="K115" s="111" t="str">
        <f t="shared" si="11"/>
        <v/>
      </c>
      <c r="L115" s="111" t="str">
        <f t="shared" si="11"/>
        <v/>
      </c>
      <c r="M115" s="111" t="str">
        <f t="shared" si="11"/>
        <v/>
      </c>
      <c r="N115" s="111" t="str">
        <f t="shared" si="11"/>
        <v/>
      </c>
      <c r="O115" s="111" t="str">
        <f t="shared" si="11"/>
        <v/>
      </c>
      <c r="P115" s="111" t="str">
        <f t="shared" si="11"/>
        <v/>
      </c>
      <c r="Q115" s="111" t="str">
        <f t="shared" si="11"/>
        <v/>
      </c>
      <c r="R115" s="111" t="str">
        <f t="shared" si="11"/>
        <v/>
      </c>
      <c r="S115" s="111" t="str">
        <f t="shared" si="11"/>
        <v/>
      </c>
      <c r="T115" s="111" t="str">
        <f t="shared" si="11"/>
        <v/>
      </c>
      <c r="U115" s="111" t="str">
        <f t="shared" si="11"/>
        <v/>
      </c>
      <c r="V115" s="111" t="str">
        <f t="shared" si="11"/>
        <v/>
      </c>
      <c r="W115" s="104"/>
      <c r="X115" s="104"/>
      <c r="Y115" s="104"/>
      <c r="Z115" s="104"/>
      <c r="AA115" s="104"/>
      <c r="AB115" s="104"/>
      <c r="AC115" s="104"/>
      <c r="AD115" s="104"/>
    </row>
    <row r="116" spans="1:30" x14ac:dyDescent="0.3">
      <c r="A116" s="110"/>
      <c r="B116" s="111" t="str">
        <f>IF($A116="","",SUMIFS(weekly_demand!$D:$D,weekly_demand!$A:$A,B$1,weekly_demand!$C:$C,$A116))</f>
        <v/>
      </c>
      <c r="C116" s="111" t="str">
        <f>IF($A116="","",SUMIFS(weekly_demand!$D:$D,weekly_demand!$A:$A,C$1,weekly_demand!$C:$C,$A116))</f>
        <v/>
      </c>
      <c r="D116" s="111" t="str">
        <f>IF($A116="","",SUMIFS(weekly_demand!$D:$D,weekly_demand!$A:$A,D$1,weekly_demand!$C:$C,$A116))</f>
        <v/>
      </c>
      <c r="E116" s="111" t="str">
        <f>IF($A116="","",SUMIFS(weekly_demand!$D:$D,weekly_demand!$A:$A,E$1,weekly_demand!$C:$C,$A116))</f>
        <v/>
      </c>
      <c r="F116" s="111" t="str">
        <f>IF($A116="","",SUMIFS(weekly_demand!$D:$D,weekly_demand!$A:$A,F$1,weekly_demand!$C:$C,$A116))</f>
        <v/>
      </c>
      <c r="G116" s="111" t="str">
        <f>IF($A116="","",SUMIFS(weekly_demand!$D:$D,weekly_demand!$A:$A,G$1,weekly_demand!$C:$C,$A116))</f>
        <v/>
      </c>
      <c r="H116" s="111" t="str">
        <f t="shared" si="11"/>
        <v/>
      </c>
      <c r="I116" s="111" t="str">
        <f t="shared" si="11"/>
        <v/>
      </c>
      <c r="J116" s="111" t="str">
        <f t="shared" si="11"/>
        <v/>
      </c>
      <c r="K116" s="111" t="str">
        <f t="shared" si="11"/>
        <v/>
      </c>
      <c r="L116" s="111" t="str">
        <f t="shared" si="11"/>
        <v/>
      </c>
      <c r="M116" s="111" t="str">
        <f t="shared" si="11"/>
        <v/>
      </c>
      <c r="N116" s="111" t="str">
        <f t="shared" si="11"/>
        <v/>
      </c>
      <c r="O116" s="111" t="str">
        <f t="shared" si="11"/>
        <v/>
      </c>
      <c r="P116" s="111" t="str">
        <f t="shared" si="11"/>
        <v/>
      </c>
      <c r="Q116" s="111" t="str">
        <f t="shared" si="11"/>
        <v/>
      </c>
      <c r="R116" s="111" t="str">
        <f t="shared" si="11"/>
        <v/>
      </c>
      <c r="S116" s="111" t="str">
        <f t="shared" si="11"/>
        <v/>
      </c>
      <c r="T116" s="111" t="str">
        <f t="shared" si="11"/>
        <v/>
      </c>
      <c r="U116" s="111" t="str">
        <f t="shared" si="11"/>
        <v/>
      </c>
      <c r="V116" s="111" t="str">
        <f t="shared" si="11"/>
        <v/>
      </c>
      <c r="W116" s="104"/>
      <c r="X116" s="104"/>
      <c r="Y116" s="104"/>
      <c r="Z116" s="104"/>
      <c r="AA116" s="104"/>
      <c r="AB116" s="104"/>
      <c r="AC116" s="104"/>
      <c r="AD116" s="104"/>
    </row>
    <row r="117" spans="1:30" x14ac:dyDescent="0.3">
      <c r="A117" s="110"/>
      <c r="B117" s="111" t="str">
        <f>IF($A117="","",SUMIFS(weekly_demand!$D:$D,weekly_demand!$A:$A,B$1,weekly_demand!$C:$C,$A117))</f>
        <v/>
      </c>
      <c r="C117" s="111" t="str">
        <f>IF($A117="","",SUMIFS(weekly_demand!$D:$D,weekly_demand!$A:$A,C$1,weekly_demand!$C:$C,$A117))</f>
        <v/>
      </c>
      <c r="D117" s="111" t="str">
        <f>IF($A117="","",SUMIFS(weekly_demand!$D:$D,weekly_demand!$A:$A,D$1,weekly_demand!$C:$C,$A117))</f>
        <v/>
      </c>
      <c r="E117" s="111" t="str">
        <f>IF($A117="","",SUMIFS(weekly_demand!$D:$D,weekly_demand!$A:$A,E$1,weekly_demand!$C:$C,$A117))</f>
        <v/>
      </c>
      <c r="F117" s="111" t="str">
        <f>IF($A117="","",SUMIFS(weekly_demand!$D:$D,weekly_demand!$A:$A,F$1,weekly_demand!$C:$C,$A117))</f>
        <v/>
      </c>
      <c r="G117" s="111" t="str">
        <f>IF($A117="","",SUMIFS(weekly_demand!$D:$D,weekly_demand!$A:$A,G$1,weekly_demand!$C:$C,$A117))</f>
        <v/>
      </c>
      <c r="H117" s="111" t="str">
        <f t="shared" si="11"/>
        <v/>
      </c>
      <c r="I117" s="111" t="str">
        <f t="shared" si="11"/>
        <v/>
      </c>
      <c r="J117" s="111" t="str">
        <f t="shared" si="11"/>
        <v/>
      </c>
      <c r="K117" s="111" t="str">
        <f t="shared" si="11"/>
        <v/>
      </c>
      <c r="L117" s="111" t="str">
        <f t="shared" si="11"/>
        <v/>
      </c>
      <c r="M117" s="111" t="str">
        <f t="shared" si="11"/>
        <v/>
      </c>
      <c r="N117" s="111" t="str">
        <f t="shared" si="11"/>
        <v/>
      </c>
      <c r="O117" s="111" t="str">
        <f t="shared" si="11"/>
        <v/>
      </c>
      <c r="P117" s="111" t="str">
        <f t="shared" si="11"/>
        <v/>
      </c>
      <c r="Q117" s="111" t="str">
        <f t="shared" si="11"/>
        <v/>
      </c>
      <c r="R117" s="111" t="str">
        <f t="shared" si="11"/>
        <v/>
      </c>
      <c r="S117" s="111" t="str">
        <f t="shared" si="11"/>
        <v/>
      </c>
      <c r="T117" s="111" t="str">
        <f t="shared" si="11"/>
        <v/>
      </c>
      <c r="U117" s="111" t="str">
        <f t="shared" si="11"/>
        <v/>
      </c>
      <c r="V117" s="111" t="str">
        <f t="shared" si="11"/>
        <v/>
      </c>
      <c r="W117" s="104"/>
      <c r="X117" s="104"/>
      <c r="Y117" s="104"/>
      <c r="Z117" s="104"/>
      <c r="AA117" s="104"/>
      <c r="AB117" s="104"/>
      <c r="AC117" s="104"/>
      <c r="AD117" s="104"/>
    </row>
    <row r="118" spans="1:30" x14ac:dyDescent="0.3">
      <c r="A118" s="110"/>
      <c r="B118" s="111" t="str">
        <f>IF($A118="","",SUMIFS(weekly_demand!$D:$D,weekly_demand!$A:$A,B$1,weekly_demand!$C:$C,$A118))</f>
        <v/>
      </c>
      <c r="C118" s="111" t="str">
        <f>IF($A118="","",SUMIFS(weekly_demand!$D:$D,weekly_demand!$A:$A,C$1,weekly_demand!$C:$C,$A118))</f>
        <v/>
      </c>
      <c r="D118" s="111" t="str">
        <f>IF($A118="","",SUMIFS(weekly_demand!$D:$D,weekly_demand!$A:$A,D$1,weekly_demand!$C:$C,$A118))</f>
        <v/>
      </c>
      <c r="E118" s="111" t="str">
        <f>IF($A118="","",SUMIFS(weekly_demand!$D:$D,weekly_demand!$A:$A,E$1,weekly_demand!$C:$C,$A118))</f>
        <v/>
      </c>
      <c r="F118" s="111" t="str">
        <f>IF($A118="","",SUMIFS(weekly_demand!$D:$D,weekly_demand!$A:$A,F$1,weekly_demand!$C:$C,$A118))</f>
        <v/>
      </c>
      <c r="G118" s="111" t="str">
        <f>IF($A118="","",SUMIFS(weekly_demand!$D:$D,weekly_demand!$A:$A,G$1,weekly_demand!$C:$C,$A118))</f>
        <v/>
      </c>
      <c r="H118" s="111" t="str">
        <f t="shared" si="11"/>
        <v/>
      </c>
      <c r="I118" s="111" t="str">
        <f t="shared" si="11"/>
        <v/>
      </c>
      <c r="J118" s="111" t="str">
        <f t="shared" si="11"/>
        <v/>
      </c>
      <c r="K118" s="111" t="str">
        <f t="shared" si="11"/>
        <v/>
      </c>
      <c r="L118" s="111" t="str">
        <f t="shared" si="11"/>
        <v/>
      </c>
      <c r="M118" s="111" t="str">
        <f t="shared" si="11"/>
        <v/>
      </c>
      <c r="N118" s="111" t="str">
        <f t="shared" si="11"/>
        <v/>
      </c>
      <c r="O118" s="111" t="str">
        <f t="shared" si="11"/>
        <v/>
      </c>
      <c r="P118" s="111" t="str">
        <f t="shared" si="11"/>
        <v/>
      </c>
      <c r="Q118" s="111" t="str">
        <f t="shared" si="11"/>
        <v/>
      </c>
      <c r="R118" s="111" t="str">
        <f t="shared" si="11"/>
        <v/>
      </c>
      <c r="S118" s="111" t="str">
        <f t="shared" si="11"/>
        <v/>
      </c>
      <c r="T118" s="111" t="str">
        <f t="shared" si="11"/>
        <v/>
      </c>
      <c r="U118" s="111" t="str">
        <f t="shared" si="11"/>
        <v/>
      </c>
      <c r="V118" s="111" t="str">
        <f t="shared" si="11"/>
        <v/>
      </c>
      <c r="W118" s="104"/>
      <c r="X118" s="104"/>
      <c r="Y118" s="104"/>
      <c r="Z118" s="104"/>
      <c r="AA118" s="104"/>
      <c r="AB118" s="104"/>
      <c r="AC118" s="104"/>
      <c r="AD118" s="104"/>
    </row>
    <row r="119" spans="1:30" x14ac:dyDescent="0.3">
      <c r="A119" s="110"/>
      <c r="B119" s="111" t="str">
        <f>IF($A119="","",SUMIFS(weekly_demand!$D:$D,weekly_demand!$A:$A,B$1,weekly_demand!$C:$C,$A119))</f>
        <v/>
      </c>
      <c r="C119" s="111" t="str">
        <f>IF($A119="","",SUMIFS(weekly_demand!$D:$D,weekly_demand!$A:$A,C$1,weekly_demand!$C:$C,$A119))</f>
        <v/>
      </c>
      <c r="D119" s="111" t="str">
        <f>IF($A119="","",SUMIFS(weekly_demand!$D:$D,weekly_demand!$A:$A,D$1,weekly_demand!$C:$C,$A119))</f>
        <v/>
      </c>
      <c r="E119" s="111" t="str">
        <f>IF($A119="","",SUMIFS(weekly_demand!$D:$D,weekly_demand!$A:$A,E$1,weekly_demand!$C:$C,$A119))</f>
        <v/>
      </c>
      <c r="F119" s="111" t="str">
        <f>IF($A119="","",SUMIFS(weekly_demand!$D:$D,weekly_demand!$A:$A,F$1,weekly_demand!$C:$C,$A119))</f>
        <v/>
      </c>
      <c r="G119" s="111" t="str">
        <f>IF($A119="","",SUMIFS(weekly_demand!$D:$D,weekly_demand!$A:$A,G$1,weekly_demand!$C:$C,$A119))</f>
        <v/>
      </c>
      <c r="H119" s="111" t="str">
        <f t="shared" si="11"/>
        <v/>
      </c>
      <c r="I119" s="111" t="str">
        <f t="shared" si="11"/>
        <v/>
      </c>
      <c r="J119" s="111" t="str">
        <f t="shared" si="11"/>
        <v/>
      </c>
      <c r="K119" s="111" t="str">
        <f t="shared" si="11"/>
        <v/>
      </c>
      <c r="L119" s="111" t="str">
        <f t="shared" si="11"/>
        <v/>
      </c>
      <c r="M119" s="111" t="str">
        <f t="shared" si="11"/>
        <v/>
      </c>
      <c r="N119" s="111" t="str">
        <f t="shared" si="11"/>
        <v/>
      </c>
      <c r="O119" s="111" t="str">
        <f t="shared" si="11"/>
        <v/>
      </c>
      <c r="P119" s="111" t="str">
        <f t="shared" si="11"/>
        <v/>
      </c>
      <c r="Q119" s="111" t="str">
        <f t="shared" si="11"/>
        <v/>
      </c>
      <c r="R119" s="111" t="str">
        <f t="shared" si="11"/>
        <v/>
      </c>
      <c r="S119" s="111" t="str">
        <f t="shared" si="11"/>
        <v/>
      </c>
      <c r="T119" s="111" t="str">
        <f t="shared" si="11"/>
        <v/>
      </c>
      <c r="U119" s="111" t="str">
        <f t="shared" si="11"/>
        <v/>
      </c>
      <c r="V119" s="111" t="str">
        <f t="shared" si="11"/>
        <v/>
      </c>
      <c r="W119" s="104"/>
      <c r="X119" s="104"/>
      <c r="Y119" s="104"/>
      <c r="Z119" s="104"/>
      <c r="AA119" s="104"/>
      <c r="AB119" s="104"/>
      <c r="AC119" s="104"/>
      <c r="AD119" s="104"/>
    </row>
    <row r="120" spans="1:30" x14ac:dyDescent="0.3">
      <c r="A120" s="110"/>
      <c r="B120" s="111" t="str">
        <f>IF($A120="","",SUMIFS(weekly_demand!$D:$D,weekly_demand!$A:$A,B$1,weekly_demand!$C:$C,$A120))</f>
        <v/>
      </c>
      <c r="C120" s="111" t="str">
        <f>IF($A120="","",SUMIFS(weekly_demand!$D:$D,weekly_demand!$A:$A,C$1,weekly_demand!$C:$C,$A120))</f>
        <v/>
      </c>
      <c r="D120" s="111" t="str">
        <f>IF($A120="","",SUMIFS(weekly_demand!$D:$D,weekly_demand!$A:$A,D$1,weekly_demand!$C:$C,$A120))</f>
        <v/>
      </c>
      <c r="E120" s="111" t="str">
        <f>IF($A120="","",SUMIFS(weekly_demand!$D:$D,weekly_demand!$A:$A,E$1,weekly_demand!$C:$C,$A120))</f>
        <v/>
      </c>
      <c r="F120" s="111" t="str">
        <f>IF($A120="","",SUMIFS(weekly_demand!$D:$D,weekly_demand!$A:$A,F$1,weekly_demand!$C:$C,$A120))</f>
        <v/>
      </c>
      <c r="G120" s="111" t="str">
        <f>IF($A120="","",SUMIFS(weekly_demand!$D:$D,weekly_demand!$A:$A,G$1,weekly_demand!$C:$C,$A120))</f>
        <v/>
      </c>
      <c r="H120" s="111" t="str">
        <f t="shared" si="11"/>
        <v/>
      </c>
      <c r="I120" s="111" t="str">
        <f t="shared" si="11"/>
        <v/>
      </c>
      <c r="J120" s="111" t="str">
        <f t="shared" si="11"/>
        <v/>
      </c>
      <c r="K120" s="111" t="str">
        <f t="shared" si="11"/>
        <v/>
      </c>
      <c r="L120" s="111" t="str">
        <f t="shared" si="11"/>
        <v/>
      </c>
      <c r="M120" s="111" t="str">
        <f t="shared" si="11"/>
        <v/>
      </c>
      <c r="N120" s="111" t="str">
        <f t="shared" si="11"/>
        <v/>
      </c>
      <c r="O120" s="111" t="str">
        <f t="shared" si="11"/>
        <v/>
      </c>
      <c r="P120" s="111" t="str">
        <f t="shared" si="11"/>
        <v/>
      </c>
      <c r="Q120" s="111" t="str">
        <f t="shared" si="11"/>
        <v/>
      </c>
      <c r="R120" s="111" t="str">
        <f t="shared" si="11"/>
        <v/>
      </c>
      <c r="S120" s="111" t="str">
        <f t="shared" si="11"/>
        <v/>
      </c>
      <c r="T120" s="111" t="str">
        <f t="shared" si="11"/>
        <v/>
      </c>
      <c r="U120" s="111" t="str">
        <f t="shared" si="11"/>
        <v/>
      </c>
      <c r="V120" s="111" t="str">
        <f t="shared" si="11"/>
        <v/>
      </c>
      <c r="W120" s="104"/>
      <c r="X120" s="104"/>
      <c r="Y120" s="104"/>
      <c r="Z120" s="104"/>
      <c r="AA120" s="104"/>
      <c r="AB120" s="104"/>
      <c r="AC120" s="104"/>
      <c r="AD120" s="104"/>
    </row>
    <row r="121" spans="1:30" x14ac:dyDescent="0.3">
      <c r="A121" s="110"/>
      <c r="B121" s="111" t="str">
        <f>IF($A121="","",SUMIFS(weekly_demand!$D:$D,weekly_demand!$A:$A,B$1,weekly_demand!$C:$C,$A121))</f>
        <v/>
      </c>
      <c r="C121" s="111" t="str">
        <f>IF($A121="","",SUMIFS(weekly_demand!$D:$D,weekly_demand!$A:$A,C$1,weekly_demand!$C:$C,$A121))</f>
        <v/>
      </c>
      <c r="D121" s="111" t="str">
        <f>IF($A121="","",SUMIFS(weekly_demand!$D:$D,weekly_demand!$A:$A,D$1,weekly_demand!$C:$C,$A121))</f>
        <v/>
      </c>
      <c r="E121" s="111" t="str">
        <f>IF($A121="","",SUMIFS(weekly_demand!$D:$D,weekly_demand!$A:$A,E$1,weekly_demand!$C:$C,$A121))</f>
        <v/>
      </c>
      <c r="F121" s="111" t="str">
        <f>IF($A121="","",SUMIFS(weekly_demand!$D:$D,weekly_demand!$A:$A,F$1,weekly_demand!$C:$C,$A121))</f>
        <v/>
      </c>
      <c r="G121" s="111" t="str">
        <f>IF($A121="","",SUMIFS(weekly_demand!$D:$D,weekly_demand!$A:$A,G$1,weekly_demand!$C:$C,$A121))</f>
        <v/>
      </c>
      <c r="H121" s="111" t="str">
        <f t="shared" si="11"/>
        <v/>
      </c>
      <c r="I121" s="111" t="str">
        <f t="shared" si="11"/>
        <v/>
      </c>
      <c r="J121" s="111" t="str">
        <f t="shared" si="11"/>
        <v/>
      </c>
      <c r="K121" s="111" t="str">
        <f t="shared" si="11"/>
        <v/>
      </c>
      <c r="L121" s="111" t="str">
        <f t="shared" si="11"/>
        <v/>
      </c>
      <c r="M121" s="111" t="str">
        <f t="shared" si="11"/>
        <v/>
      </c>
      <c r="N121" s="111" t="str">
        <f t="shared" si="11"/>
        <v/>
      </c>
      <c r="O121" s="111" t="str">
        <f t="shared" si="11"/>
        <v/>
      </c>
      <c r="P121" s="111" t="str">
        <f t="shared" si="11"/>
        <v/>
      </c>
      <c r="Q121" s="111" t="str">
        <f t="shared" si="11"/>
        <v/>
      </c>
      <c r="R121" s="111" t="str">
        <f t="shared" si="11"/>
        <v/>
      </c>
      <c r="S121" s="111" t="str">
        <f t="shared" si="11"/>
        <v/>
      </c>
      <c r="T121" s="111" t="str">
        <f t="shared" si="11"/>
        <v/>
      </c>
      <c r="U121" s="111" t="str">
        <f t="shared" si="11"/>
        <v/>
      </c>
      <c r="V121" s="111" t="str">
        <f t="shared" si="11"/>
        <v/>
      </c>
      <c r="W121" s="104"/>
      <c r="X121" s="104"/>
      <c r="Y121" s="104"/>
      <c r="Z121" s="104"/>
      <c r="AA121" s="104"/>
      <c r="AB121" s="104"/>
      <c r="AC121" s="104"/>
      <c r="AD121" s="104"/>
    </row>
    <row r="122" spans="1:30" x14ac:dyDescent="0.3">
      <c r="A122" s="110"/>
      <c r="B122" s="111" t="str">
        <f>IF($A122="","",SUMIFS(weekly_demand!$D:$D,weekly_demand!$A:$A,B$1,weekly_demand!$C:$C,$A122))</f>
        <v/>
      </c>
      <c r="C122" s="111" t="str">
        <f>IF($A122="","",SUMIFS(weekly_demand!$D:$D,weekly_demand!$A:$A,C$1,weekly_demand!$C:$C,$A122))</f>
        <v/>
      </c>
      <c r="D122" s="111" t="str">
        <f>IF($A122="","",SUMIFS(weekly_demand!$D:$D,weekly_demand!$A:$A,D$1,weekly_demand!$C:$C,$A122))</f>
        <v/>
      </c>
      <c r="E122" s="111" t="str">
        <f>IF($A122="","",SUMIFS(weekly_demand!$D:$D,weekly_demand!$A:$A,E$1,weekly_demand!$C:$C,$A122))</f>
        <v/>
      </c>
      <c r="F122" s="111" t="str">
        <f>IF($A122="","",SUMIFS(weekly_demand!$D:$D,weekly_demand!$A:$A,F$1,weekly_demand!$C:$C,$A122))</f>
        <v/>
      </c>
      <c r="G122" s="111" t="str">
        <f>IF($A122="","",SUMIFS(weekly_demand!$D:$D,weekly_demand!$A:$A,G$1,weekly_demand!$C:$C,$A122))</f>
        <v/>
      </c>
      <c r="H122" s="111" t="str">
        <f t="shared" ref="H122:V131" si="12">IF($A122="","",SUMPRODUCT($B122:$G122,INDEX($Y$2:$AD$16,MATCH(H$1,$X$2:$X$16,0),0)))</f>
        <v/>
      </c>
      <c r="I122" s="111" t="str">
        <f t="shared" si="12"/>
        <v/>
      </c>
      <c r="J122" s="111" t="str">
        <f t="shared" si="12"/>
        <v/>
      </c>
      <c r="K122" s="111" t="str">
        <f t="shared" si="12"/>
        <v/>
      </c>
      <c r="L122" s="111" t="str">
        <f t="shared" si="12"/>
        <v/>
      </c>
      <c r="M122" s="111" t="str">
        <f t="shared" si="12"/>
        <v/>
      </c>
      <c r="N122" s="111" t="str">
        <f t="shared" si="12"/>
        <v/>
      </c>
      <c r="O122" s="111" t="str">
        <f t="shared" si="12"/>
        <v/>
      </c>
      <c r="P122" s="111" t="str">
        <f t="shared" si="12"/>
        <v/>
      </c>
      <c r="Q122" s="111" t="str">
        <f t="shared" si="12"/>
        <v/>
      </c>
      <c r="R122" s="111" t="str">
        <f t="shared" si="12"/>
        <v/>
      </c>
      <c r="S122" s="111" t="str">
        <f t="shared" si="12"/>
        <v/>
      </c>
      <c r="T122" s="111" t="str">
        <f t="shared" si="12"/>
        <v/>
      </c>
      <c r="U122" s="111" t="str">
        <f t="shared" si="12"/>
        <v/>
      </c>
      <c r="V122" s="111" t="str">
        <f t="shared" si="12"/>
        <v/>
      </c>
      <c r="W122" s="104"/>
      <c r="X122" s="104"/>
      <c r="Y122" s="104"/>
      <c r="Z122" s="104"/>
      <c r="AA122" s="104"/>
      <c r="AB122" s="104"/>
      <c r="AC122" s="104"/>
      <c r="AD122" s="104"/>
    </row>
    <row r="123" spans="1:30" x14ac:dyDescent="0.3">
      <c r="A123" s="110"/>
      <c r="B123" s="111" t="str">
        <f>IF($A123="","",SUMIFS(weekly_demand!$D:$D,weekly_demand!$A:$A,B$1,weekly_demand!$C:$C,$A123))</f>
        <v/>
      </c>
      <c r="C123" s="111" t="str">
        <f>IF($A123="","",SUMIFS(weekly_demand!$D:$D,weekly_demand!$A:$A,C$1,weekly_demand!$C:$C,$A123))</f>
        <v/>
      </c>
      <c r="D123" s="111" t="str">
        <f>IF($A123="","",SUMIFS(weekly_demand!$D:$D,weekly_demand!$A:$A,D$1,weekly_demand!$C:$C,$A123))</f>
        <v/>
      </c>
      <c r="E123" s="111" t="str">
        <f>IF($A123="","",SUMIFS(weekly_demand!$D:$D,weekly_demand!$A:$A,E$1,weekly_demand!$C:$C,$A123))</f>
        <v/>
      </c>
      <c r="F123" s="111" t="str">
        <f>IF($A123="","",SUMIFS(weekly_demand!$D:$D,weekly_demand!$A:$A,F$1,weekly_demand!$C:$C,$A123))</f>
        <v/>
      </c>
      <c r="G123" s="111" t="str">
        <f>IF($A123="","",SUMIFS(weekly_demand!$D:$D,weekly_demand!$A:$A,G$1,weekly_demand!$C:$C,$A123))</f>
        <v/>
      </c>
      <c r="H123" s="111" t="str">
        <f t="shared" si="12"/>
        <v/>
      </c>
      <c r="I123" s="111" t="str">
        <f t="shared" si="12"/>
        <v/>
      </c>
      <c r="J123" s="111" t="str">
        <f t="shared" si="12"/>
        <v/>
      </c>
      <c r="K123" s="111" t="str">
        <f t="shared" si="12"/>
        <v/>
      </c>
      <c r="L123" s="111" t="str">
        <f t="shared" si="12"/>
        <v/>
      </c>
      <c r="M123" s="111" t="str">
        <f t="shared" si="12"/>
        <v/>
      </c>
      <c r="N123" s="111" t="str">
        <f t="shared" si="12"/>
        <v/>
      </c>
      <c r="O123" s="111" t="str">
        <f t="shared" si="12"/>
        <v/>
      </c>
      <c r="P123" s="111" t="str">
        <f t="shared" si="12"/>
        <v/>
      </c>
      <c r="Q123" s="111" t="str">
        <f t="shared" si="12"/>
        <v/>
      </c>
      <c r="R123" s="111" t="str">
        <f t="shared" si="12"/>
        <v/>
      </c>
      <c r="S123" s="111" t="str">
        <f t="shared" si="12"/>
        <v/>
      </c>
      <c r="T123" s="111" t="str">
        <f t="shared" si="12"/>
        <v/>
      </c>
      <c r="U123" s="111" t="str">
        <f t="shared" si="12"/>
        <v/>
      </c>
      <c r="V123" s="111" t="str">
        <f t="shared" si="12"/>
        <v/>
      </c>
      <c r="W123" s="104"/>
      <c r="X123" s="104"/>
      <c r="Y123" s="104"/>
      <c r="Z123" s="104"/>
      <c r="AA123" s="104"/>
      <c r="AB123" s="104"/>
      <c r="AC123" s="104"/>
      <c r="AD123" s="104"/>
    </row>
    <row r="124" spans="1:30" x14ac:dyDescent="0.3">
      <c r="A124" s="110"/>
      <c r="B124" s="111" t="str">
        <f>IF($A124="","",SUMIFS(weekly_demand!$D:$D,weekly_demand!$A:$A,B$1,weekly_demand!$C:$C,$A124))</f>
        <v/>
      </c>
      <c r="C124" s="111" t="str">
        <f>IF($A124="","",SUMIFS(weekly_demand!$D:$D,weekly_demand!$A:$A,C$1,weekly_demand!$C:$C,$A124))</f>
        <v/>
      </c>
      <c r="D124" s="111" t="str">
        <f>IF($A124="","",SUMIFS(weekly_demand!$D:$D,weekly_demand!$A:$A,D$1,weekly_demand!$C:$C,$A124))</f>
        <v/>
      </c>
      <c r="E124" s="111" t="str">
        <f>IF($A124="","",SUMIFS(weekly_demand!$D:$D,weekly_demand!$A:$A,E$1,weekly_demand!$C:$C,$A124))</f>
        <v/>
      </c>
      <c r="F124" s="111" t="str">
        <f>IF($A124="","",SUMIFS(weekly_demand!$D:$D,weekly_demand!$A:$A,F$1,weekly_demand!$C:$C,$A124))</f>
        <v/>
      </c>
      <c r="G124" s="111" t="str">
        <f>IF($A124="","",SUMIFS(weekly_demand!$D:$D,weekly_demand!$A:$A,G$1,weekly_demand!$C:$C,$A124))</f>
        <v/>
      </c>
      <c r="H124" s="111" t="str">
        <f t="shared" si="12"/>
        <v/>
      </c>
      <c r="I124" s="111" t="str">
        <f t="shared" si="12"/>
        <v/>
      </c>
      <c r="J124" s="111" t="str">
        <f t="shared" si="12"/>
        <v/>
      </c>
      <c r="K124" s="111" t="str">
        <f t="shared" si="12"/>
        <v/>
      </c>
      <c r="L124" s="111" t="str">
        <f t="shared" si="12"/>
        <v/>
      </c>
      <c r="M124" s="111" t="str">
        <f t="shared" si="12"/>
        <v/>
      </c>
      <c r="N124" s="111" t="str">
        <f t="shared" si="12"/>
        <v/>
      </c>
      <c r="O124" s="111" t="str">
        <f t="shared" si="12"/>
        <v/>
      </c>
      <c r="P124" s="111" t="str">
        <f t="shared" si="12"/>
        <v/>
      </c>
      <c r="Q124" s="111" t="str">
        <f t="shared" si="12"/>
        <v/>
      </c>
      <c r="R124" s="111" t="str">
        <f t="shared" si="12"/>
        <v/>
      </c>
      <c r="S124" s="111" t="str">
        <f t="shared" si="12"/>
        <v/>
      </c>
      <c r="T124" s="111" t="str">
        <f t="shared" si="12"/>
        <v/>
      </c>
      <c r="U124" s="111" t="str">
        <f t="shared" si="12"/>
        <v/>
      </c>
      <c r="V124" s="111" t="str">
        <f t="shared" si="12"/>
        <v/>
      </c>
      <c r="W124" s="104"/>
      <c r="X124" s="104"/>
      <c r="Y124" s="104"/>
      <c r="Z124" s="104"/>
      <c r="AA124" s="104"/>
      <c r="AB124" s="104"/>
      <c r="AC124" s="104"/>
      <c r="AD124" s="104"/>
    </row>
    <row r="125" spans="1:30" x14ac:dyDescent="0.3">
      <c r="A125" s="110"/>
      <c r="B125" s="111" t="str">
        <f>IF($A125="","",SUMIFS(weekly_demand!$D:$D,weekly_demand!$A:$A,B$1,weekly_demand!$C:$C,$A125))</f>
        <v/>
      </c>
      <c r="C125" s="111" t="str">
        <f>IF($A125="","",SUMIFS(weekly_demand!$D:$D,weekly_demand!$A:$A,C$1,weekly_demand!$C:$C,$A125))</f>
        <v/>
      </c>
      <c r="D125" s="111" t="str">
        <f>IF($A125="","",SUMIFS(weekly_demand!$D:$D,weekly_demand!$A:$A,D$1,weekly_demand!$C:$C,$A125))</f>
        <v/>
      </c>
      <c r="E125" s="111" t="str">
        <f>IF($A125="","",SUMIFS(weekly_demand!$D:$D,weekly_demand!$A:$A,E$1,weekly_demand!$C:$C,$A125))</f>
        <v/>
      </c>
      <c r="F125" s="111" t="str">
        <f>IF($A125="","",SUMIFS(weekly_demand!$D:$D,weekly_demand!$A:$A,F$1,weekly_demand!$C:$C,$A125))</f>
        <v/>
      </c>
      <c r="G125" s="111" t="str">
        <f>IF($A125="","",SUMIFS(weekly_demand!$D:$D,weekly_demand!$A:$A,G$1,weekly_demand!$C:$C,$A125))</f>
        <v/>
      </c>
      <c r="H125" s="111" t="str">
        <f t="shared" si="12"/>
        <v/>
      </c>
      <c r="I125" s="111" t="str">
        <f t="shared" si="12"/>
        <v/>
      </c>
      <c r="J125" s="111" t="str">
        <f t="shared" si="12"/>
        <v/>
      </c>
      <c r="K125" s="111" t="str">
        <f t="shared" si="12"/>
        <v/>
      </c>
      <c r="L125" s="111" t="str">
        <f t="shared" si="12"/>
        <v/>
      </c>
      <c r="M125" s="111" t="str">
        <f t="shared" si="12"/>
        <v/>
      </c>
      <c r="N125" s="111" t="str">
        <f t="shared" si="12"/>
        <v/>
      </c>
      <c r="O125" s="111" t="str">
        <f t="shared" si="12"/>
        <v/>
      </c>
      <c r="P125" s="111" t="str">
        <f t="shared" si="12"/>
        <v/>
      </c>
      <c r="Q125" s="111" t="str">
        <f t="shared" si="12"/>
        <v/>
      </c>
      <c r="R125" s="111" t="str">
        <f t="shared" si="12"/>
        <v/>
      </c>
      <c r="S125" s="111" t="str">
        <f t="shared" si="12"/>
        <v/>
      </c>
      <c r="T125" s="111" t="str">
        <f t="shared" si="12"/>
        <v/>
      </c>
      <c r="U125" s="111" t="str">
        <f t="shared" si="12"/>
        <v/>
      </c>
      <c r="V125" s="111" t="str">
        <f t="shared" si="12"/>
        <v/>
      </c>
      <c r="W125" s="104"/>
      <c r="X125" s="104"/>
      <c r="Y125" s="104"/>
      <c r="Z125" s="104"/>
      <c r="AA125" s="104"/>
      <c r="AB125" s="104"/>
      <c r="AC125" s="104"/>
      <c r="AD125" s="104"/>
    </row>
    <row r="126" spans="1:30" x14ac:dyDescent="0.3">
      <c r="A126" s="110"/>
      <c r="B126" s="111" t="str">
        <f>IF($A126="","",SUMIFS(weekly_demand!$D:$D,weekly_demand!$A:$A,B$1,weekly_demand!$C:$C,$A126))</f>
        <v/>
      </c>
      <c r="C126" s="111" t="str">
        <f>IF($A126="","",SUMIFS(weekly_demand!$D:$D,weekly_demand!$A:$A,C$1,weekly_demand!$C:$C,$A126))</f>
        <v/>
      </c>
      <c r="D126" s="111" t="str">
        <f>IF($A126="","",SUMIFS(weekly_demand!$D:$D,weekly_demand!$A:$A,D$1,weekly_demand!$C:$C,$A126))</f>
        <v/>
      </c>
      <c r="E126" s="111" t="str">
        <f>IF($A126="","",SUMIFS(weekly_demand!$D:$D,weekly_demand!$A:$A,E$1,weekly_demand!$C:$C,$A126))</f>
        <v/>
      </c>
      <c r="F126" s="111" t="str">
        <f>IF($A126="","",SUMIFS(weekly_demand!$D:$D,weekly_demand!$A:$A,F$1,weekly_demand!$C:$C,$A126))</f>
        <v/>
      </c>
      <c r="G126" s="111" t="str">
        <f>IF($A126="","",SUMIFS(weekly_demand!$D:$D,weekly_demand!$A:$A,G$1,weekly_demand!$C:$C,$A126))</f>
        <v/>
      </c>
      <c r="H126" s="111" t="str">
        <f t="shared" si="12"/>
        <v/>
      </c>
      <c r="I126" s="111" t="str">
        <f t="shared" si="12"/>
        <v/>
      </c>
      <c r="J126" s="111" t="str">
        <f t="shared" si="12"/>
        <v/>
      </c>
      <c r="K126" s="111" t="str">
        <f t="shared" si="12"/>
        <v/>
      </c>
      <c r="L126" s="111" t="str">
        <f t="shared" si="12"/>
        <v/>
      </c>
      <c r="M126" s="111" t="str">
        <f t="shared" si="12"/>
        <v/>
      </c>
      <c r="N126" s="111" t="str">
        <f t="shared" si="12"/>
        <v/>
      </c>
      <c r="O126" s="111" t="str">
        <f t="shared" si="12"/>
        <v/>
      </c>
      <c r="P126" s="111" t="str">
        <f t="shared" si="12"/>
        <v/>
      </c>
      <c r="Q126" s="111" t="str">
        <f t="shared" si="12"/>
        <v/>
      </c>
      <c r="R126" s="111" t="str">
        <f t="shared" si="12"/>
        <v/>
      </c>
      <c r="S126" s="111" t="str">
        <f t="shared" si="12"/>
        <v/>
      </c>
      <c r="T126" s="111" t="str">
        <f t="shared" si="12"/>
        <v/>
      </c>
      <c r="U126" s="111" t="str">
        <f t="shared" si="12"/>
        <v/>
      </c>
      <c r="V126" s="111" t="str">
        <f t="shared" si="12"/>
        <v/>
      </c>
      <c r="W126" s="104"/>
      <c r="X126" s="104"/>
      <c r="Y126" s="104"/>
      <c r="Z126" s="104"/>
      <c r="AA126" s="104"/>
      <c r="AB126" s="104"/>
      <c r="AC126" s="104"/>
      <c r="AD126" s="104"/>
    </row>
    <row r="127" spans="1:30" x14ac:dyDescent="0.3">
      <c r="A127" s="110"/>
      <c r="B127" s="111" t="str">
        <f>IF($A127="","",SUMIFS(weekly_demand!$D:$D,weekly_demand!$A:$A,B$1,weekly_demand!$C:$C,$A127))</f>
        <v/>
      </c>
      <c r="C127" s="111" t="str">
        <f>IF($A127="","",SUMIFS(weekly_demand!$D:$D,weekly_demand!$A:$A,C$1,weekly_demand!$C:$C,$A127))</f>
        <v/>
      </c>
      <c r="D127" s="111" t="str">
        <f>IF($A127="","",SUMIFS(weekly_demand!$D:$D,weekly_demand!$A:$A,D$1,weekly_demand!$C:$C,$A127))</f>
        <v/>
      </c>
      <c r="E127" s="111" t="str">
        <f>IF($A127="","",SUMIFS(weekly_demand!$D:$D,weekly_demand!$A:$A,E$1,weekly_demand!$C:$C,$A127))</f>
        <v/>
      </c>
      <c r="F127" s="111" t="str">
        <f>IF($A127="","",SUMIFS(weekly_demand!$D:$D,weekly_demand!$A:$A,F$1,weekly_demand!$C:$C,$A127))</f>
        <v/>
      </c>
      <c r="G127" s="111" t="str">
        <f>IF($A127="","",SUMIFS(weekly_demand!$D:$D,weekly_demand!$A:$A,G$1,weekly_demand!$C:$C,$A127))</f>
        <v/>
      </c>
      <c r="H127" s="111" t="str">
        <f t="shared" si="12"/>
        <v/>
      </c>
      <c r="I127" s="111" t="str">
        <f t="shared" si="12"/>
        <v/>
      </c>
      <c r="J127" s="111" t="str">
        <f t="shared" si="12"/>
        <v/>
      </c>
      <c r="K127" s="111" t="str">
        <f t="shared" si="12"/>
        <v/>
      </c>
      <c r="L127" s="111" t="str">
        <f t="shared" si="12"/>
        <v/>
      </c>
      <c r="M127" s="111" t="str">
        <f t="shared" si="12"/>
        <v/>
      </c>
      <c r="N127" s="111" t="str">
        <f t="shared" si="12"/>
        <v/>
      </c>
      <c r="O127" s="111" t="str">
        <f t="shared" si="12"/>
        <v/>
      </c>
      <c r="P127" s="111" t="str">
        <f t="shared" si="12"/>
        <v/>
      </c>
      <c r="Q127" s="111" t="str">
        <f t="shared" si="12"/>
        <v/>
      </c>
      <c r="R127" s="111" t="str">
        <f t="shared" si="12"/>
        <v/>
      </c>
      <c r="S127" s="111" t="str">
        <f t="shared" si="12"/>
        <v/>
      </c>
      <c r="T127" s="111" t="str">
        <f t="shared" si="12"/>
        <v/>
      </c>
      <c r="U127" s="111" t="str">
        <f t="shared" si="12"/>
        <v/>
      </c>
      <c r="V127" s="111" t="str">
        <f t="shared" si="12"/>
        <v/>
      </c>
      <c r="W127" s="104"/>
      <c r="X127" s="104"/>
      <c r="Y127" s="104"/>
      <c r="Z127" s="104"/>
      <c r="AA127" s="104"/>
      <c r="AB127" s="104"/>
      <c r="AC127" s="104"/>
      <c r="AD127" s="104"/>
    </row>
    <row r="128" spans="1:30" x14ac:dyDescent="0.3">
      <c r="A128" s="110"/>
      <c r="B128" s="111" t="str">
        <f>IF($A128="","",SUMIFS(weekly_demand!$D:$D,weekly_demand!$A:$A,B$1,weekly_demand!$C:$C,$A128))</f>
        <v/>
      </c>
      <c r="C128" s="111" t="str">
        <f>IF($A128="","",SUMIFS(weekly_demand!$D:$D,weekly_demand!$A:$A,C$1,weekly_demand!$C:$C,$A128))</f>
        <v/>
      </c>
      <c r="D128" s="111" t="str">
        <f>IF($A128="","",SUMIFS(weekly_demand!$D:$D,weekly_demand!$A:$A,D$1,weekly_demand!$C:$C,$A128))</f>
        <v/>
      </c>
      <c r="E128" s="111" t="str">
        <f>IF($A128="","",SUMIFS(weekly_demand!$D:$D,weekly_demand!$A:$A,E$1,weekly_demand!$C:$C,$A128))</f>
        <v/>
      </c>
      <c r="F128" s="111" t="str">
        <f>IF($A128="","",SUMIFS(weekly_demand!$D:$D,weekly_demand!$A:$A,F$1,weekly_demand!$C:$C,$A128))</f>
        <v/>
      </c>
      <c r="G128" s="111" t="str">
        <f>IF($A128="","",SUMIFS(weekly_demand!$D:$D,weekly_demand!$A:$A,G$1,weekly_demand!$C:$C,$A128))</f>
        <v/>
      </c>
      <c r="H128" s="111" t="str">
        <f t="shared" si="12"/>
        <v/>
      </c>
      <c r="I128" s="111" t="str">
        <f t="shared" si="12"/>
        <v/>
      </c>
      <c r="J128" s="111" t="str">
        <f t="shared" si="12"/>
        <v/>
      </c>
      <c r="K128" s="111" t="str">
        <f t="shared" si="12"/>
        <v/>
      </c>
      <c r="L128" s="111" t="str">
        <f t="shared" si="12"/>
        <v/>
      </c>
      <c r="M128" s="111" t="str">
        <f t="shared" si="12"/>
        <v/>
      </c>
      <c r="N128" s="111" t="str">
        <f t="shared" si="12"/>
        <v/>
      </c>
      <c r="O128" s="111" t="str">
        <f t="shared" si="12"/>
        <v/>
      </c>
      <c r="P128" s="111" t="str">
        <f t="shared" si="12"/>
        <v/>
      </c>
      <c r="Q128" s="111" t="str">
        <f t="shared" si="12"/>
        <v/>
      </c>
      <c r="R128" s="111" t="str">
        <f t="shared" si="12"/>
        <v/>
      </c>
      <c r="S128" s="111" t="str">
        <f t="shared" si="12"/>
        <v/>
      </c>
      <c r="T128" s="111" t="str">
        <f t="shared" si="12"/>
        <v/>
      </c>
      <c r="U128" s="111" t="str">
        <f t="shared" si="12"/>
        <v/>
      </c>
      <c r="V128" s="111" t="str">
        <f t="shared" si="12"/>
        <v/>
      </c>
      <c r="W128" s="104"/>
      <c r="X128" s="104"/>
      <c r="Y128" s="104"/>
      <c r="Z128" s="104"/>
      <c r="AA128" s="104"/>
      <c r="AB128" s="104"/>
      <c r="AC128" s="104"/>
      <c r="AD128" s="104"/>
    </row>
    <row r="129" spans="1:30" x14ac:dyDescent="0.3">
      <c r="A129" s="110"/>
      <c r="B129" s="111" t="str">
        <f>IF($A129="","",SUMIFS(weekly_demand!$D:$D,weekly_demand!$A:$A,B$1,weekly_demand!$C:$C,$A129))</f>
        <v/>
      </c>
      <c r="C129" s="111" t="str">
        <f>IF($A129="","",SUMIFS(weekly_demand!$D:$D,weekly_demand!$A:$A,C$1,weekly_demand!$C:$C,$A129))</f>
        <v/>
      </c>
      <c r="D129" s="111" t="str">
        <f>IF($A129="","",SUMIFS(weekly_demand!$D:$D,weekly_demand!$A:$A,D$1,weekly_demand!$C:$C,$A129))</f>
        <v/>
      </c>
      <c r="E129" s="111" t="str">
        <f>IF($A129="","",SUMIFS(weekly_demand!$D:$D,weekly_demand!$A:$A,E$1,weekly_demand!$C:$C,$A129))</f>
        <v/>
      </c>
      <c r="F129" s="111" t="str">
        <f>IF($A129="","",SUMIFS(weekly_demand!$D:$D,weekly_demand!$A:$A,F$1,weekly_demand!$C:$C,$A129))</f>
        <v/>
      </c>
      <c r="G129" s="111" t="str">
        <f>IF($A129="","",SUMIFS(weekly_demand!$D:$D,weekly_demand!$A:$A,G$1,weekly_demand!$C:$C,$A129))</f>
        <v/>
      </c>
      <c r="H129" s="111" t="str">
        <f t="shared" si="12"/>
        <v/>
      </c>
      <c r="I129" s="111" t="str">
        <f t="shared" si="12"/>
        <v/>
      </c>
      <c r="J129" s="111" t="str">
        <f t="shared" si="12"/>
        <v/>
      </c>
      <c r="K129" s="111" t="str">
        <f t="shared" si="12"/>
        <v/>
      </c>
      <c r="L129" s="111" t="str">
        <f t="shared" si="12"/>
        <v/>
      </c>
      <c r="M129" s="111" t="str">
        <f t="shared" si="12"/>
        <v/>
      </c>
      <c r="N129" s="111" t="str">
        <f t="shared" si="12"/>
        <v/>
      </c>
      <c r="O129" s="111" t="str">
        <f t="shared" si="12"/>
        <v/>
      </c>
      <c r="P129" s="111" t="str">
        <f t="shared" si="12"/>
        <v/>
      </c>
      <c r="Q129" s="111" t="str">
        <f t="shared" si="12"/>
        <v/>
      </c>
      <c r="R129" s="111" t="str">
        <f t="shared" si="12"/>
        <v/>
      </c>
      <c r="S129" s="111" t="str">
        <f t="shared" si="12"/>
        <v/>
      </c>
      <c r="T129" s="111" t="str">
        <f t="shared" si="12"/>
        <v/>
      </c>
      <c r="U129" s="111" t="str">
        <f t="shared" si="12"/>
        <v/>
      </c>
      <c r="V129" s="111" t="str">
        <f t="shared" si="12"/>
        <v/>
      </c>
      <c r="W129" s="104"/>
      <c r="X129" s="104"/>
      <c r="Y129" s="104"/>
      <c r="Z129" s="104"/>
      <c r="AA129" s="104"/>
      <c r="AB129" s="104"/>
      <c r="AC129" s="104"/>
      <c r="AD129" s="104"/>
    </row>
    <row r="130" spans="1:30" x14ac:dyDescent="0.3">
      <c r="A130" s="110"/>
      <c r="B130" s="111" t="str">
        <f>IF($A130="","",SUMIFS(weekly_demand!$D:$D,weekly_demand!$A:$A,B$1,weekly_demand!$C:$C,$A130))</f>
        <v/>
      </c>
      <c r="C130" s="111" t="str">
        <f>IF($A130="","",SUMIFS(weekly_demand!$D:$D,weekly_demand!$A:$A,C$1,weekly_demand!$C:$C,$A130))</f>
        <v/>
      </c>
      <c r="D130" s="111" t="str">
        <f>IF($A130="","",SUMIFS(weekly_demand!$D:$D,weekly_demand!$A:$A,D$1,weekly_demand!$C:$C,$A130))</f>
        <v/>
      </c>
      <c r="E130" s="111" t="str">
        <f>IF($A130="","",SUMIFS(weekly_demand!$D:$D,weekly_demand!$A:$A,E$1,weekly_demand!$C:$C,$A130))</f>
        <v/>
      </c>
      <c r="F130" s="111" t="str">
        <f>IF($A130="","",SUMIFS(weekly_demand!$D:$D,weekly_demand!$A:$A,F$1,weekly_demand!$C:$C,$A130))</f>
        <v/>
      </c>
      <c r="G130" s="111" t="str">
        <f>IF($A130="","",SUMIFS(weekly_demand!$D:$D,weekly_demand!$A:$A,G$1,weekly_demand!$C:$C,$A130))</f>
        <v/>
      </c>
      <c r="H130" s="111" t="str">
        <f t="shared" si="12"/>
        <v/>
      </c>
      <c r="I130" s="111" t="str">
        <f t="shared" si="12"/>
        <v/>
      </c>
      <c r="J130" s="111" t="str">
        <f t="shared" si="12"/>
        <v/>
      </c>
      <c r="K130" s="111" t="str">
        <f t="shared" si="12"/>
        <v/>
      </c>
      <c r="L130" s="111" t="str">
        <f t="shared" si="12"/>
        <v/>
      </c>
      <c r="M130" s="111" t="str">
        <f t="shared" si="12"/>
        <v/>
      </c>
      <c r="N130" s="111" t="str">
        <f t="shared" si="12"/>
        <v/>
      </c>
      <c r="O130" s="111" t="str">
        <f t="shared" si="12"/>
        <v/>
      </c>
      <c r="P130" s="111" t="str">
        <f t="shared" si="12"/>
        <v/>
      </c>
      <c r="Q130" s="111" t="str">
        <f t="shared" si="12"/>
        <v/>
      </c>
      <c r="R130" s="111" t="str">
        <f t="shared" si="12"/>
        <v/>
      </c>
      <c r="S130" s="111" t="str">
        <f t="shared" si="12"/>
        <v/>
      </c>
      <c r="T130" s="111" t="str">
        <f t="shared" si="12"/>
        <v/>
      </c>
      <c r="U130" s="111" t="str">
        <f t="shared" si="12"/>
        <v/>
      </c>
      <c r="V130" s="111" t="str">
        <f t="shared" si="12"/>
        <v/>
      </c>
      <c r="W130" s="104"/>
      <c r="X130" s="104"/>
      <c r="Y130" s="104"/>
      <c r="Z130" s="104"/>
      <c r="AA130" s="104"/>
      <c r="AB130" s="104"/>
      <c r="AC130" s="104"/>
      <c r="AD130" s="104"/>
    </row>
    <row r="131" spans="1:30" x14ac:dyDescent="0.3">
      <c r="A131" s="110"/>
      <c r="B131" s="111" t="str">
        <f>IF($A131="","",SUMIFS(weekly_demand!$D:$D,weekly_demand!$A:$A,B$1,weekly_demand!$C:$C,$A131))</f>
        <v/>
      </c>
      <c r="C131" s="111" t="str">
        <f>IF($A131="","",SUMIFS(weekly_demand!$D:$D,weekly_demand!$A:$A,C$1,weekly_demand!$C:$C,$A131))</f>
        <v/>
      </c>
      <c r="D131" s="111" t="str">
        <f>IF($A131="","",SUMIFS(weekly_demand!$D:$D,weekly_demand!$A:$A,D$1,weekly_demand!$C:$C,$A131))</f>
        <v/>
      </c>
      <c r="E131" s="111" t="str">
        <f>IF($A131="","",SUMIFS(weekly_demand!$D:$D,weekly_demand!$A:$A,E$1,weekly_demand!$C:$C,$A131))</f>
        <v/>
      </c>
      <c r="F131" s="111" t="str">
        <f>IF($A131="","",SUMIFS(weekly_demand!$D:$D,weekly_demand!$A:$A,F$1,weekly_demand!$C:$C,$A131))</f>
        <v/>
      </c>
      <c r="G131" s="111" t="str">
        <f>IF($A131="","",SUMIFS(weekly_demand!$D:$D,weekly_demand!$A:$A,G$1,weekly_demand!$C:$C,$A131))</f>
        <v/>
      </c>
      <c r="H131" s="111" t="str">
        <f t="shared" si="12"/>
        <v/>
      </c>
      <c r="I131" s="111" t="str">
        <f t="shared" si="12"/>
        <v/>
      </c>
      <c r="J131" s="111" t="str">
        <f t="shared" si="12"/>
        <v/>
      </c>
      <c r="K131" s="111" t="str">
        <f t="shared" si="12"/>
        <v/>
      </c>
      <c r="L131" s="111" t="str">
        <f t="shared" si="12"/>
        <v/>
      </c>
      <c r="M131" s="111" t="str">
        <f t="shared" si="12"/>
        <v/>
      </c>
      <c r="N131" s="111" t="str">
        <f t="shared" si="12"/>
        <v/>
      </c>
      <c r="O131" s="111" t="str">
        <f t="shared" si="12"/>
        <v/>
      </c>
      <c r="P131" s="111" t="str">
        <f t="shared" si="12"/>
        <v/>
      </c>
      <c r="Q131" s="111" t="str">
        <f t="shared" si="12"/>
        <v/>
      </c>
      <c r="R131" s="111" t="str">
        <f t="shared" si="12"/>
        <v/>
      </c>
      <c r="S131" s="111" t="str">
        <f t="shared" si="12"/>
        <v/>
      </c>
      <c r="T131" s="111" t="str">
        <f t="shared" si="12"/>
        <v/>
      </c>
      <c r="U131" s="111" t="str">
        <f t="shared" si="12"/>
        <v/>
      </c>
      <c r="V131" s="111" t="str">
        <f t="shared" si="12"/>
        <v/>
      </c>
      <c r="W131" s="104"/>
      <c r="X131" s="104"/>
      <c r="Y131" s="104"/>
      <c r="Z131" s="104"/>
      <c r="AA131" s="104"/>
      <c r="AB131" s="104"/>
      <c r="AC131" s="104"/>
      <c r="AD131" s="104"/>
    </row>
    <row r="132" spans="1:30" x14ac:dyDescent="0.3">
      <c r="A132" s="110"/>
      <c r="B132" s="111" t="str">
        <f>IF($A132="","",SUMIFS(weekly_demand!$D:$D,weekly_demand!$A:$A,B$1,weekly_demand!$C:$C,$A132))</f>
        <v/>
      </c>
      <c r="C132" s="111" t="str">
        <f>IF($A132="","",SUMIFS(weekly_demand!$D:$D,weekly_demand!$A:$A,C$1,weekly_demand!$C:$C,$A132))</f>
        <v/>
      </c>
      <c r="D132" s="111" t="str">
        <f>IF($A132="","",SUMIFS(weekly_demand!$D:$D,weekly_demand!$A:$A,D$1,weekly_demand!$C:$C,$A132))</f>
        <v/>
      </c>
      <c r="E132" s="111" t="str">
        <f>IF($A132="","",SUMIFS(weekly_demand!$D:$D,weekly_demand!$A:$A,E$1,weekly_demand!$C:$C,$A132))</f>
        <v/>
      </c>
      <c r="F132" s="111" t="str">
        <f>IF($A132="","",SUMIFS(weekly_demand!$D:$D,weekly_demand!$A:$A,F$1,weekly_demand!$C:$C,$A132))</f>
        <v/>
      </c>
      <c r="G132" s="111" t="str">
        <f>IF($A132="","",SUMIFS(weekly_demand!$D:$D,weekly_demand!$A:$A,G$1,weekly_demand!$C:$C,$A132))</f>
        <v/>
      </c>
      <c r="H132" s="111" t="str">
        <f t="shared" ref="H132:V141" si="13">IF($A132="","",SUMPRODUCT($B132:$G132,INDEX($Y$2:$AD$16,MATCH(H$1,$X$2:$X$16,0),0)))</f>
        <v/>
      </c>
      <c r="I132" s="111" t="str">
        <f t="shared" si="13"/>
        <v/>
      </c>
      <c r="J132" s="111" t="str">
        <f t="shared" si="13"/>
        <v/>
      </c>
      <c r="K132" s="111" t="str">
        <f t="shared" si="13"/>
        <v/>
      </c>
      <c r="L132" s="111" t="str">
        <f t="shared" si="13"/>
        <v/>
      </c>
      <c r="M132" s="111" t="str">
        <f t="shared" si="13"/>
        <v/>
      </c>
      <c r="N132" s="111" t="str">
        <f t="shared" si="13"/>
        <v/>
      </c>
      <c r="O132" s="111" t="str">
        <f t="shared" si="13"/>
        <v/>
      </c>
      <c r="P132" s="111" t="str">
        <f t="shared" si="13"/>
        <v/>
      </c>
      <c r="Q132" s="111" t="str">
        <f t="shared" si="13"/>
        <v/>
      </c>
      <c r="R132" s="111" t="str">
        <f t="shared" si="13"/>
        <v/>
      </c>
      <c r="S132" s="111" t="str">
        <f t="shared" si="13"/>
        <v/>
      </c>
      <c r="T132" s="111" t="str">
        <f t="shared" si="13"/>
        <v/>
      </c>
      <c r="U132" s="111" t="str">
        <f t="shared" si="13"/>
        <v/>
      </c>
      <c r="V132" s="111" t="str">
        <f t="shared" si="13"/>
        <v/>
      </c>
      <c r="W132" s="104"/>
      <c r="X132" s="104"/>
      <c r="Y132" s="104"/>
      <c r="Z132" s="104"/>
      <c r="AA132" s="104"/>
      <c r="AB132" s="104"/>
      <c r="AC132" s="104"/>
      <c r="AD132" s="104"/>
    </row>
    <row r="133" spans="1:30" x14ac:dyDescent="0.3">
      <c r="A133" s="110"/>
      <c r="B133" s="111" t="str">
        <f>IF($A133="","",SUMIFS(weekly_demand!$D:$D,weekly_demand!$A:$A,B$1,weekly_demand!$C:$C,$A133))</f>
        <v/>
      </c>
      <c r="C133" s="111" t="str">
        <f>IF($A133="","",SUMIFS(weekly_demand!$D:$D,weekly_demand!$A:$A,C$1,weekly_demand!$C:$C,$A133))</f>
        <v/>
      </c>
      <c r="D133" s="111" t="str">
        <f>IF($A133="","",SUMIFS(weekly_demand!$D:$D,weekly_demand!$A:$A,D$1,weekly_demand!$C:$C,$A133))</f>
        <v/>
      </c>
      <c r="E133" s="111" t="str">
        <f>IF($A133="","",SUMIFS(weekly_demand!$D:$D,weekly_demand!$A:$A,E$1,weekly_demand!$C:$C,$A133))</f>
        <v/>
      </c>
      <c r="F133" s="111" t="str">
        <f>IF($A133="","",SUMIFS(weekly_demand!$D:$D,weekly_demand!$A:$A,F$1,weekly_demand!$C:$C,$A133))</f>
        <v/>
      </c>
      <c r="G133" s="111" t="str">
        <f>IF($A133="","",SUMIFS(weekly_demand!$D:$D,weekly_demand!$A:$A,G$1,weekly_demand!$C:$C,$A133))</f>
        <v/>
      </c>
      <c r="H133" s="111" t="str">
        <f t="shared" si="13"/>
        <v/>
      </c>
      <c r="I133" s="111" t="str">
        <f t="shared" si="13"/>
        <v/>
      </c>
      <c r="J133" s="111" t="str">
        <f t="shared" si="13"/>
        <v/>
      </c>
      <c r="K133" s="111" t="str">
        <f t="shared" si="13"/>
        <v/>
      </c>
      <c r="L133" s="111" t="str">
        <f t="shared" si="13"/>
        <v/>
      </c>
      <c r="M133" s="111" t="str">
        <f t="shared" si="13"/>
        <v/>
      </c>
      <c r="N133" s="111" t="str">
        <f t="shared" si="13"/>
        <v/>
      </c>
      <c r="O133" s="111" t="str">
        <f t="shared" si="13"/>
        <v/>
      </c>
      <c r="P133" s="111" t="str">
        <f t="shared" si="13"/>
        <v/>
      </c>
      <c r="Q133" s="111" t="str">
        <f t="shared" si="13"/>
        <v/>
      </c>
      <c r="R133" s="111" t="str">
        <f t="shared" si="13"/>
        <v/>
      </c>
      <c r="S133" s="111" t="str">
        <f t="shared" si="13"/>
        <v/>
      </c>
      <c r="T133" s="111" t="str">
        <f t="shared" si="13"/>
        <v/>
      </c>
      <c r="U133" s="111" t="str">
        <f t="shared" si="13"/>
        <v/>
      </c>
      <c r="V133" s="111" t="str">
        <f t="shared" si="13"/>
        <v/>
      </c>
      <c r="W133" s="104"/>
      <c r="X133" s="104"/>
      <c r="Y133" s="104"/>
      <c r="Z133" s="104"/>
      <c r="AA133" s="104"/>
      <c r="AB133" s="104"/>
      <c r="AC133" s="104"/>
      <c r="AD133" s="104"/>
    </row>
    <row r="134" spans="1:30" x14ac:dyDescent="0.3">
      <c r="A134" s="110"/>
      <c r="B134" s="111" t="str">
        <f>IF($A134="","",SUMIFS(weekly_demand!$D:$D,weekly_demand!$A:$A,B$1,weekly_demand!$C:$C,$A134))</f>
        <v/>
      </c>
      <c r="C134" s="111" t="str">
        <f>IF($A134="","",SUMIFS(weekly_demand!$D:$D,weekly_demand!$A:$A,C$1,weekly_demand!$C:$C,$A134))</f>
        <v/>
      </c>
      <c r="D134" s="111" t="str">
        <f>IF($A134="","",SUMIFS(weekly_demand!$D:$D,weekly_demand!$A:$A,D$1,weekly_demand!$C:$C,$A134))</f>
        <v/>
      </c>
      <c r="E134" s="111" t="str">
        <f>IF($A134="","",SUMIFS(weekly_demand!$D:$D,weekly_demand!$A:$A,E$1,weekly_demand!$C:$C,$A134))</f>
        <v/>
      </c>
      <c r="F134" s="111" t="str">
        <f>IF($A134="","",SUMIFS(weekly_demand!$D:$D,weekly_demand!$A:$A,F$1,weekly_demand!$C:$C,$A134))</f>
        <v/>
      </c>
      <c r="G134" s="111" t="str">
        <f>IF($A134="","",SUMIFS(weekly_demand!$D:$D,weekly_demand!$A:$A,G$1,weekly_demand!$C:$C,$A134))</f>
        <v/>
      </c>
      <c r="H134" s="111" t="str">
        <f t="shared" si="13"/>
        <v/>
      </c>
      <c r="I134" s="111" t="str">
        <f t="shared" si="13"/>
        <v/>
      </c>
      <c r="J134" s="111" t="str">
        <f t="shared" si="13"/>
        <v/>
      </c>
      <c r="K134" s="111" t="str">
        <f t="shared" si="13"/>
        <v/>
      </c>
      <c r="L134" s="111" t="str">
        <f t="shared" si="13"/>
        <v/>
      </c>
      <c r="M134" s="111" t="str">
        <f t="shared" si="13"/>
        <v/>
      </c>
      <c r="N134" s="111" t="str">
        <f t="shared" si="13"/>
        <v/>
      </c>
      <c r="O134" s="111" t="str">
        <f t="shared" si="13"/>
        <v/>
      </c>
      <c r="P134" s="111" t="str">
        <f t="shared" si="13"/>
        <v/>
      </c>
      <c r="Q134" s="111" t="str">
        <f t="shared" si="13"/>
        <v/>
      </c>
      <c r="R134" s="111" t="str">
        <f t="shared" si="13"/>
        <v/>
      </c>
      <c r="S134" s="111" t="str">
        <f t="shared" si="13"/>
        <v/>
      </c>
      <c r="T134" s="111" t="str">
        <f t="shared" si="13"/>
        <v/>
      </c>
      <c r="U134" s="111" t="str">
        <f t="shared" si="13"/>
        <v/>
      </c>
      <c r="V134" s="111" t="str">
        <f t="shared" si="13"/>
        <v/>
      </c>
      <c r="W134" s="104"/>
      <c r="X134" s="104"/>
      <c r="Y134" s="104"/>
      <c r="Z134" s="104"/>
      <c r="AA134" s="104"/>
      <c r="AB134" s="104"/>
      <c r="AC134" s="104"/>
      <c r="AD134" s="104"/>
    </row>
    <row r="135" spans="1:30" x14ac:dyDescent="0.3">
      <c r="A135" s="110"/>
      <c r="B135" s="111" t="str">
        <f>IF($A135="","",SUMIFS(weekly_demand!$D:$D,weekly_demand!$A:$A,B$1,weekly_demand!$C:$C,$A135))</f>
        <v/>
      </c>
      <c r="C135" s="111" t="str">
        <f>IF($A135="","",SUMIFS(weekly_demand!$D:$D,weekly_demand!$A:$A,C$1,weekly_demand!$C:$C,$A135))</f>
        <v/>
      </c>
      <c r="D135" s="111" t="str">
        <f>IF($A135="","",SUMIFS(weekly_demand!$D:$D,weekly_demand!$A:$A,D$1,weekly_demand!$C:$C,$A135))</f>
        <v/>
      </c>
      <c r="E135" s="111" t="str">
        <f>IF($A135="","",SUMIFS(weekly_demand!$D:$D,weekly_demand!$A:$A,E$1,weekly_demand!$C:$C,$A135))</f>
        <v/>
      </c>
      <c r="F135" s="111" t="str">
        <f>IF($A135="","",SUMIFS(weekly_demand!$D:$D,weekly_demand!$A:$A,F$1,weekly_demand!$C:$C,$A135))</f>
        <v/>
      </c>
      <c r="G135" s="111" t="str">
        <f>IF($A135="","",SUMIFS(weekly_demand!$D:$D,weekly_demand!$A:$A,G$1,weekly_demand!$C:$C,$A135))</f>
        <v/>
      </c>
      <c r="H135" s="111" t="str">
        <f t="shared" si="13"/>
        <v/>
      </c>
      <c r="I135" s="111" t="str">
        <f t="shared" si="13"/>
        <v/>
      </c>
      <c r="J135" s="111" t="str">
        <f t="shared" si="13"/>
        <v/>
      </c>
      <c r="K135" s="111" t="str">
        <f t="shared" si="13"/>
        <v/>
      </c>
      <c r="L135" s="111" t="str">
        <f t="shared" si="13"/>
        <v/>
      </c>
      <c r="M135" s="111" t="str">
        <f t="shared" si="13"/>
        <v/>
      </c>
      <c r="N135" s="111" t="str">
        <f t="shared" si="13"/>
        <v/>
      </c>
      <c r="O135" s="111" t="str">
        <f t="shared" si="13"/>
        <v/>
      </c>
      <c r="P135" s="111" t="str">
        <f t="shared" si="13"/>
        <v/>
      </c>
      <c r="Q135" s="111" t="str">
        <f t="shared" si="13"/>
        <v/>
      </c>
      <c r="R135" s="111" t="str">
        <f t="shared" si="13"/>
        <v/>
      </c>
      <c r="S135" s="111" t="str">
        <f t="shared" si="13"/>
        <v/>
      </c>
      <c r="T135" s="111" t="str">
        <f t="shared" si="13"/>
        <v/>
      </c>
      <c r="U135" s="111" t="str">
        <f t="shared" si="13"/>
        <v/>
      </c>
      <c r="V135" s="111" t="str">
        <f t="shared" si="13"/>
        <v/>
      </c>
      <c r="W135" s="104"/>
      <c r="X135" s="104"/>
      <c r="Y135" s="104"/>
      <c r="Z135" s="104"/>
      <c r="AA135" s="104"/>
      <c r="AB135" s="104"/>
      <c r="AC135" s="104"/>
      <c r="AD135" s="104"/>
    </row>
    <row r="136" spans="1:30" x14ac:dyDescent="0.3">
      <c r="A136" s="110"/>
      <c r="B136" s="111" t="str">
        <f>IF($A136="","",SUMIFS(weekly_demand!$D:$D,weekly_demand!$A:$A,B$1,weekly_demand!$C:$C,$A136))</f>
        <v/>
      </c>
      <c r="C136" s="111" t="str">
        <f>IF($A136="","",SUMIFS(weekly_demand!$D:$D,weekly_demand!$A:$A,C$1,weekly_demand!$C:$C,$A136))</f>
        <v/>
      </c>
      <c r="D136" s="111" t="str">
        <f>IF($A136="","",SUMIFS(weekly_demand!$D:$D,weekly_demand!$A:$A,D$1,weekly_demand!$C:$C,$A136))</f>
        <v/>
      </c>
      <c r="E136" s="111" t="str">
        <f>IF($A136="","",SUMIFS(weekly_demand!$D:$D,weekly_demand!$A:$A,E$1,weekly_demand!$C:$C,$A136))</f>
        <v/>
      </c>
      <c r="F136" s="111" t="str">
        <f>IF($A136="","",SUMIFS(weekly_demand!$D:$D,weekly_demand!$A:$A,F$1,weekly_demand!$C:$C,$A136))</f>
        <v/>
      </c>
      <c r="G136" s="111" t="str">
        <f>IF($A136="","",SUMIFS(weekly_demand!$D:$D,weekly_demand!$A:$A,G$1,weekly_demand!$C:$C,$A136))</f>
        <v/>
      </c>
      <c r="H136" s="111" t="str">
        <f t="shared" si="13"/>
        <v/>
      </c>
      <c r="I136" s="111" t="str">
        <f t="shared" si="13"/>
        <v/>
      </c>
      <c r="J136" s="111" t="str">
        <f t="shared" si="13"/>
        <v/>
      </c>
      <c r="K136" s="111" t="str">
        <f t="shared" si="13"/>
        <v/>
      </c>
      <c r="L136" s="111" t="str">
        <f t="shared" si="13"/>
        <v/>
      </c>
      <c r="M136" s="111" t="str">
        <f t="shared" si="13"/>
        <v/>
      </c>
      <c r="N136" s="111" t="str">
        <f t="shared" si="13"/>
        <v/>
      </c>
      <c r="O136" s="111" t="str">
        <f t="shared" si="13"/>
        <v/>
      </c>
      <c r="P136" s="111" t="str">
        <f t="shared" si="13"/>
        <v/>
      </c>
      <c r="Q136" s="111" t="str">
        <f t="shared" si="13"/>
        <v/>
      </c>
      <c r="R136" s="111" t="str">
        <f t="shared" si="13"/>
        <v/>
      </c>
      <c r="S136" s="111" t="str">
        <f t="shared" si="13"/>
        <v/>
      </c>
      <c r="T136" s="111" t="str">
        <f t="shared" si="13"/>
        <v/>
      </c>
      <c r="U136" s="111" t="str">
        <f t="shared" si="13"/>
        <v/>
      </c>
      <c r="V136" s="111" t="str">
        <f t="shared" si="13"/>
        <v/>
      </c>
      <c r="W136" s="104"/>
      <c r="X136" s="104"/>
      <c r="Y136" s="104"/>
      <c r="Z136" s="104"/>
      <c r="AA136" s="104"/>
      <c r="AB136" s="104"/>
      <c r="AC136" s="104"/>
      <c r="AD136" s="104"/>
    </row>
    <row r="137" spans="1:30" x14ac:dyDescent="0.3">
      <c r="A137" s="110"/>
      <c r="B137" s="111" t="str">
        <f>IF($A137="","",SUMIFS(weekly_demand!$D:$D,weekly_demand!$A:$A,B$1,weekly_demand!$C:$C,$A137))</f>
        <v/>
      </c>
      <c r="C137" s="111" t="str">
        <f>IF($A137="","",SUMIFS(weekly_demand!$D:$D,weekly_demand!$A:$A,C$1,weekly_demand!$C:$C,$A137))</f>
        <v/>
      </c>
      <c r="D137" s="111" t="str">
        <f>IF($A137="","",SUMIFS(weekly_demand!$D:$D,weekly_demand!$A:$A,D$1,weekly_demand!$C:$C,$A137))</f>
        <v/>
      </c>
      <c r="E137" s="111" t="str">
        <f>IF($A137="","",SUMIFS(weekly_demand!$D:$D,weekly_demand!$A:$A,E$1,weekly_demand!$C:$C,$A137))</f>
        <v/>
      </c>
      <c r="F137" s="111" t="str">
        <f>IF($A137="","",SUMIFS(weekly_demand!$D:$D,weekly_demand!$A:$A,F$1,weekly_demand!$C:$C,$A137))</f>
        <v/>
      </c>
      <c r="G137" s="111" t="str">
        <f>IF($A137="","",SUMIFS(weekly_demand!$D:$D,weekly_demand!$A:$A,G$1,weekly_demand!$C:$C,$A137))</f>
        <v/>
      </c>
      <c r="H137" s="111" t="str">
        <f t="shared" si="13"/>
        <v/>
      </c>
      <c r="I137" s="111" t="str">
        <f t="shared" si="13"/>
        <v/>
      </c>
      <c r="J137" s="111" t="str">
        <f t="shared" si="13"/>
        <v/>
      </c>
      <c r="K137" s="111" t="str">
        <f t="shared" si="13"/>
        <v/>
      </c>
      <c r="L137" s="111" t="str">
        <f t="shared" si="13"/>
        <v/>
      </c>
      <c r="M137" s="111" t="str">
        <f t="shared" si="13"/>
        <v/>
      </c>
      <c r="N137" s="111" t="str">
        <f t="shared" si="13"/>
        <v/>
      </c>
      <c r="O137" s="111" t="str">
        <f t="shared" si="13"/>
        <v/>
      </c>
      <c r="P137" s="111" t="str">
        <f t="shared" si="13"/>
        <v/>
      </c>
      <c r="Q137" s="111" t="str">
        <f t="shared" si="13"/>
        <v/>
      </c>
      <c r="R137" s="111" t="str">
        <f t="shared" si="13"/>
        <v/>
      </c>
      <c r="S137" s="111" t="str">
        <f t="shared" si="13"/>
        <v/>
      </c>
      <c r="T137" s="111" t="str">
        <f t="shared" si="13"/>
        <v/>
      </c>
      <c r="U137" s="111" t="str">
        <f t="shared" si="13"/>
        <v/>
      </c>
      <c r="V137" s="111" t="str">
        <f t="shared" si="13"/>
        <v/>
      </c>
      <c r="W137" s="104"/>
      <c r="X137" s="104"/>
      <c r="Y137" s="104"/>
      <c r="Z137" s="104"/>
      <c r="AA137" s="104"/>
      <c r="AB137" s="104"/>
      <c r="AC137" s="104"/>
      <c r="AD137" s="104"/>
    </row>
    <row r="138" spans="1:30" x14ac:dyDescent="0.3">
      <c r="A138" s="110"/>
      <c r="B138" s="111" t="str">
        <f>IF($A138="","",SUMIFS(weekly_demand!$D:$D,weekly_demand!$A:$A,B$1,weekly_demand!$C:$C,$A138))</f>
        <v/>
      </c>
      <c r="C138" s="111" t="str">
        <f>IF($A138="","",SUMIFS(weekly_demand!$D:$D,weekly_demand!$A:$A,C$1,weekly_demand!$C:$C,$A138))</f>
        <v/>
      </c>
      <c r="D138" s="111" t="str">
        <f>IF($A138="","",SUMIFS(weekly_demand!$D:$D,weekly_demand!$A:$A,D$1,weekly_demand!$C:$C,$A138))</f>
        <v/>
      </c>
      <c r="E138" s="111" t="str">
        <f>IF($A138="","",SUMIFS(weekly_demand!$D:$D,weekly_demand!$A:$A,E$1,weekly_demand!$C:$C,$A138))</f>
        <v/>
      </c>
      <c r="F138" s="111" t="str">
        <f>IF($A138="","",SUMIFS(weekly_demand!$D:$D,weekly_demand!$A:$A,F$1,weekly_demand!$C:$C,$A138))</f>
        <v/>
      </c>
      <c r="G138" s="111" t="str">
        <f>IF($A138="","",SUMIFS(weekly_demand!$D:$D,weekly_demand!$A:$A,G$1,weekly_demand!$C:$C,$A138))</f>
        <v/>
      </c>
      <c r="H138" s="111" t="str">
        <f t="shared" si="13"/>
        <v/>
      </c>
      <c r="I138" s="111" t="str">
        <f t="shared" si="13"/>
        <v/>
      </c>
      <c r="J138" s="111" t="str">
        <f t="shared" si="13"/>
        <v/>
      </c>
      <c r="K138" s="111" t="str">
        <f t="shared" si="13"/>
        <v/>
      </c>
      <c r="L138" s="111" t="str">
        <f t="shared" si="13"/>
        <v/>
      </c>
      <c r="M138" s="111" t="str">
        <f t="shared" si="13"/>
        <v/>
      </c>
      <c r="N138" s="111" t="str">
        <f t="shared" si="13"/>
        <v/>
      </c>
      <c r="O138" s="111" t="str">
        <f t="shared" si="13"/>
        <v/>
      </c>
      <c r="P138" s="111" t="str">
        <f t="shared" si="13"/>
        <v/>
      </c>
      <c r="Q138" s="111" t="str">
        <f t="shared" si="13"/>
        <v/>
      </c>
      <c r="R138" s="111" t="str">
        <f t="shared" si="13"/>
        <v/>
      </c>
      <c r="S138" s="111" t="str">
        <f t="shared" si="13"/>
        <v/>
      </c>
      <c r="T138" s="111" t="str">
        <f t="shared" si="13"/>
        <v/>
      </c>
      <c r="U138" s="111" t="str">
        <f t="shared" si="13"/>
        <v/>
      </c>
      <c r="V138" s="111" t="str">
        <f t="shared" si="13"/>
        <v/>
      </c>
      <c r="W138" s="104"/>
      <c r="X138" s="104"/>
      <c r="Y138" s="104"/>
      <c r="Z138" s="104"/>
      <c r="AA138" s="104"/>
      <c r="AB138" s="104"/>
      <c r="AC138" s="104"/>
      <c r="AD138" s="104"/>
    </row>
    <row r="139" spans="1:30" x14ac:dyDescent="0.3">
      <c r="A139" s="110"/>
      <c r="B139" s="111" t="str">
        <f>IF($A139="","",SUMIFS(weekly_demand!$D:$D,weekly_demand!$A:$A,B$1,weekly_demand!$C:$C,$A139))</f>
        <v/>
      </c>
      <c r="C139" s="111" t="str">
        <f>IF($A139="","",SUMIFS(weekly_demand!$D:$D,weekly_demand!$A:$A,C$1,weekly_demand!$C:$C,$A139))</f>
        <v/>
      </c>
      <c r="D139" s="111" t="str">
        <f>IF($A139="","",SUMIFS(weekly_demand!$D:$D,weekly_demand!$A:$A,D$1,weekly_demand!$C:$C,$A139))</f>
        <v/>
      </c>
      <c r="E139" s="111" t="str">
        <f>IF($A139="","",SUMIFS(weekly_demand!$D:$D,weekly_demand!$A:$A,E$1,weekly_demand!$C:$C,$A139))</f>
        <v/>
      </c>
      <c r="F139" s="111" t="str">
        <f>IF($A139="","",SUMIFS(weekly_demand!$D:$D,weekly_demand!$A:$A,F$1,weekly_demand!$C:$C,$A139))</f>
        <v/>
      </c>
      <c r="G139" s="111" t="str">
        <f>IF($A139="","",SUMIFS(weekly_demand!$D:$D,weekly_demand!$A:$A,G$1,weekly_demand!$C:$C,$A139))</f>
        <v/>
      </c>
      <c r="H139" s="111" t="str">
        <f t="shared" si="13"/>
        <v/>
      </c>
      <c r="I139" s="111" t="str">
        <f t="shared" si="13"/>
        <v/>
      </c>
      <c r="J139" s="111" t="str">
        <f t="shared" si="13"/>
        <v/>
      </c>
      <c r="K139" s="111" t="str">
        <f t="shared" si="13"/>
        <v/>
      </c>
      <c r="L139" s="111" t="str">
        <f t="shared" si="13"/>
        <v/>
      </c>
      <c r="M139" s="111" t="str">
        <f t="shared" si="13"/>
        <v/>
      </c>
      <c r="N139" s="111" t="str">
        <f t="shared" si="13"/>
        <v/>
      </c>
      <c r="O139" s="111" t="str">
        <f t="shared" si="13"/>
        <v/>
      </c>
      <c r="P139" s="111" t="str">
        <f t="shared" si="13"/>
        <v/>
      </c>
      <c r="Q139" s="111" t="str">
        <f t="shared" si="13"/>
        <v/>
      </c>
      <c r="R139" s="111" t="str">
        <f t="shared" si="13"/>
        <v/>
      </c>
      <c r="S139" s="111" t="str">
        <f t="shared" si="13"/>
        <v/>
      </c>
      <c r="T139" s="111" t="str">
        <f t="shared" si="13"/>
        <v/>
      </c>
      <c r="U139" s="111" t="str">
        <f t="shared" si="13"/>
        <v/>
      </c>
      <c r="V139" s="111" t="str">
        <f t="shared" si="13"/>
        <v/>
      </c>
      <c r="W139" s="104"/>
      <c r="X139" s="104"/>
      <c r="Y139" s="104"/>
      <c r="Z139" s="104"/>
      <c r="AA139" s="104"/>
      <c r="AB139" s="104"/>
      <c r="AC139" s="104"/>
      <c r="AD139" s="104"/>
    </row>
    <row r="140" spans="1:30" x14ac:dyDescent="0.3">
      <c r="A140" s="110"/>
      <c r="B140" s="111" t="str">
        <f>IF($A140="","",SUMIFS(weekly_demand!$D:$D,weekly_demand!$A:$A,B$1,weekly_demand!$C:$C,$A140))</f>
        <v/>
      </c>
      <c r="C140" s="111" t="str">
        <f>IF($A140="","",SUMIFS(weekly_demand!$D:$D,weekly_demand!$A:$A,C$1,weekly_demand!$C:$C,$A140))</f>
        <v/>
      </c>
      <c r="D140" s="111" t="str">
        <f>IF($A140="","",SUMIFS(weekly_demand!$D:$D,weekly_demand!$A:$A,D$1,weekly_demand!$C:$C,$A140))</f>
        <v/>
      </c>
      <c r="E140" s="111" t="str">
        <f>IF($A140="","",SUMIFS(weekly_demand!$D:$D,weekly_demand!$A:$A,E$1,weekly_demand!$C:$C,$A140))</f>
        <v/>
      </c>
      <c r="F140" s="111" t="str">
        <f>IF($A140="","",SUMIFS(weekly_demand!$D:$D,weekly_demand!$A:$A,F$1,weekly_demand!$C:$C,$A140))</f>
        <v/>
      </c>
      <c r="G140" s="111" t="str">
        <f>IF($A140="","",SUMIFS(weekly_demand!$D:$D,weekly_demand!$A:$A,G$1,weekly_demand!$C:$C,$A140))</f>
        <v/>
      </c>
      <c r="H140" s="111" t="str">
        <f t="shared" si="13"/>
        <v/>
      </c>
      <c r="I140" s="111" t="str">
        <f t="shared" si="13"/>
        <v/>
      </c>
      <c r="J140" s="111" t="str">
        <f t="shared" si="13"/>
        <v/>
      </c>
      <c r="K140" s="111" t="str">
        <f t="shared" si="13"/>
        <v/>
      </c>
      <c r="L140" s="111" t="str">
        <f t="shared" si="13"/>
        <v/>
      </c>
      <c r="M140" s="111" t="str">
        <f t="shared" si="13"/>
        <v/>
      </c>
      <c r="N140" s="111" t="str">
        <f t="shared" si="13"/>
        <v/>
      </c>
      <c r="O140" s="111" t="str">
        <f t="shared" si="13"/>
        <v/>
      </c>
      <c r="P140" s="111" t="str">
        <f t="shared" si="13"/>
        <v/>
      </c>
      <c r="Q140" s="111" t="str">
        <f t="shared" si="13"/>
        <v/>
      </c>
      <c r="R140" s="111" t="str">
        <f t="shared" si="13"/>
        <v/>
      </c>
      <c r="S140" s="111" t="str">
        <f t="shared" si="13"/>
        <v/>
      </c>
      <c r="T140" s="111" t="str">
        <f t="shared" si="13"/>
        <v/>
      </c>
      <c r="U140" s="111" t="str">
        <f t="shared" si="13"/>
        <v/>
      </c>
      <c r="V140" s="111" t="str">
        <f t="shared" si="13"/>
        <v/>
      </c>
      <c r="W140" s="104"/>
      <c r="X140" s="104"/>
      <c r="Y140" s="104"/>
      <c r="Z140" s="104"/>
      <c r="AA140" s="104"/>
      <c r="AB140" s="104"/>
      <c r="AC140" s="104"/>
      <c r="AD140" s="104"/>
    </row>
    <row r="141" spans="1:30" x14ac:dyDescent="0.3">
      <c r="A141" s="110"/>
      <c r="B141" s="111" t="str">
        <f>IF($A141="","",SUMIFS(weekly_demand!$D:$D,weekly_demand!$A:$A,B$1,weekly_demand!$C:$C,$A141))</f>
        <v/>
      </c>
      <c r="C141" s="111" t="str">
        <f>IF($A141="","",SUMIFS(weekly_demand!$D:$D,weekly_demand!$A:$A,C$1,weekly_demand!$C:$C,$A141))</f>
        <v/>
      </c>
      <c r="D141" s="111" t="str">
        <f>IF($A141="","",SUMIFS(weekly_demand!$D:$D,weekly_demand!$A:$A,D$1,weekly_demand!$C:$C,$A141))</f>
        <v/>
      </c>
      <c r="E141" s="111" t="str">
        <f>IF($A141="","",SUMIFS(weekly_demand!$D:$D,weekly_demand!$A:$A,E$1,weekly_demand!$C:$C,$A141))</f>
        <v/>
      </c>
      <c r="F141" s="111" t="str">
        <f>IF($A141="","",SUMIFS(weekly_demand!$D:$D,weekly_demand!$A:$A,F$1,weekly_demand!$C:$C,$A141))</f>
        <v/>
      </c>
      <c r="G141" s="111" t="str">
        <f>IF($A141="","",SUMIFS(weekly_demand!$D:$D,weekly_demand!$A:$A,G$1,weekly_demand!$C:$C,$A141))</f>
        <v/>
      </c>
      <c r="H141" s="111" t="str">
        <f t="shared" si="13"/>
        <v/>
      </c>
      <c r="I141" s="111" t="str">
        <f t="shared" si="13"/>
        <v/>
      </c>
      <c r="J141" s="111" t="str">
        <f t="shared" si="13"/>
        <v/>
      </c>
      <c r="K141" s="111" t="str">
        <f t="shared" si="13"/>
        <v/>
      </c>
      <c r="L141" s="111" t="str">
        <f t="shared" si="13"/>
        <v/>
      </c>
      <c r="M141" s="111" t="str">
        <f t="shared" si="13"/>
        <v/>
      </c>
      <c r="N141" s="111" t="str">
        <f t="shared" si="13"/>
        <v/>
      </c>
      <c r="O141" s="111" t="str">
        <f t="shared" si="13"/>
        <v/>
      </c>
      <c r="P141" s="111" t="str">
        <f t="shared" si="13"/>
        <v/>
      </c>
      <c r="Q141" s="111" t="str">
        <f t="shared" si="13"/>
        <v/>
      </c>
      <c r="R141" s="111" t="str">
        <f t="shared" si="13"/>
        <v/>
      </c>
      <c r="S141" s="111" t="str">
        <f t="shared" si="13"/>
        <v/>
      </c>
      <c r="T141" s="111" t="str">
        <f t="shared" si="13"/>
        <v/>
      </c>
      <c r="U141" s="111" t="str">
        <f t="shared" si="13"/>
        <v/>
      </c>
      <c r="V141" s="111" t="str">
        <f t="shared" si="13"/>
        <v/>
      </c>
      <c r="W141" s="104"/>
      <c r="X141" s="104"/>
      <c r="Y141" s="104"/>
      <c r="Z141" s="104"/>
      <c r="AA141" s="104"/>
      <c r="AB141" s="104"/>
      <c r="AC141" s="104"/>
      <c r="AD141" s="104"/>
    </row>
    <row r="142" spans="1:30" x14ac:dyDescent="0.3">
      <c r="A142" s="110"/>
      <c r="B142" s="111" t="str">
        <f>IF($A142="","",SUMIFS(weekly_demand!$D:$D,weekly_demand!$A:$A,B$1,weekly_demand!$C:$C,$A142))</f>
        <v/>
      </c>
      <c r="C142" s="111" t="str">
        <f>IF($A142="","",SUMIFS(weekly_demand!$D:$D,weekly_demand!$A:$A,C$1,weekly_demand!$C:$C,$A142))</f>
        <v/>
      </c>
      <c r="D142" s="111" t="str">
        <f>IF($A142="","",SUMIFS(weekly_demand!$D:$D,weekly_demand!$A:$A,D$1,weekly_demand!$C:$C,$A142))</f>
        <v/>
      </c>
      <c r="E142" s="111" t="str">
        <f>IF($A142="","",SUMIFS(weekly_demand!$D:$D,weekly_demand!$A:$A,E$1,weekly_demand!$C:$C,$A142))</f>
        <v/>
      </c>
      <c r="F142" s="111" t="str">
        <f>IF($A142="","",SUMIFS(weekly_demand!$D:$D,weekly_demand!$A:$A,F$1,weekly_demand!$C:$C,$A142))</f>
        <v/>
      </c>
      <c r="G142" s="111" t="str">
        <f>IF($A142="","",SUMIFS(weekly_demand!$D:$D,weekly_demand!$A:$A,G$1,weekly_demand!$C:$C,$A142))</f>
        <v/>
      </c>
      <c r="H142" s="111" t="str">
        <f t="shared" ref="H142:V151" si="14">IF($A142="","",SUMPRODUCT($B142:$G142,INDEX($Y$2:$AD$16,MATCH(H$1,$X$2:$X$16,0),0)))</f>
        <v/>
      </c>
      <c r="I142" s="111" t="str">
        <f t="shared" si="14"/>
        <v/>
      </c>
      <c r="J142" s="111" t="str">
        <f t="shared" si="14"/>
        <v/>
      </c>
      <c r="K142" s="111" t="str">
        <f t="shared" si="14"/>
        <v/>
      </c>
      <c r="L142" s="111" t="str">
        <f t="shared" si="14"/>
        <v/>
      </c>
      <c r="M142" s="111" t="str">
        <f t="shared" si="14"/>
        <v/>
      </c>
      <c r="N142" s="111" t="str">
        <f t="shared" si="14"/>
        <v/>
      </c>
      <c r="O142" s="111" t="str">
        <f t="shared" si="14"/>
        <v/>
      </c>
      <c r="P142" s="111" t="str">
        <f t="shared" si="14"/>
        <v/>
      </c>
      <c r="Q142" s="111" t="str">
        <f t="shared" si="14"/>
        <v/>
      </c>
      <c r="R142" s="111" t="str">
        <f t="shared" si="14"/>
        <v/>
      </c>
      <c r="S142" s="111" t="str">
        <f t="shared" si="14"/>
        <v/>
      </c>
      <c r="T142" s="111" t="str">
        <f t="shared" si="14"/>
        <v/>
      </c>
      <c r="U142" s="111" t="str">
        <f t="shared" si="14"/>
        <v/>
      </c>
      <c r="V142" s="111" t="str">
        <f t="shared" si="14"/>
        <v/>
      </c>
      <c r="W142" s="104"/>
      <c r="X142" s="104"/>
      <c r="Y142" s="104"/>
      <c r="Z142" s="104"/>
      <c r="AA142" s="104"/>
      <c r="AB142" s="104"/>
      <c r="AC142" s="104"/>
      <c r="AD142" s="104"/>
    </row>
    <row r="143" spans="1:30" x14ac:dyDescent="0.3">
      <c r="A143" s="110"/>
      <c r="B143" s="111" t="str">
        <f>IF($A143="","",SUMIFS(weekly_demand!$D:$D,weekly_demand!$A:$A,B$1,weekly_demand!$C:$C,$A143))</f>
        <v/>
      </c>
      <c r="C143" s="111" t="str">
        <f>IF($A143="","",SUMIFS(weekly_demand!$D:$D,weekly_demand!$A:$A,C$1,weekly_demand!$C:$C,$A143))</f>
        <v/>
      </c>
      <c r="D143" s="111" t="str">
        <f>IF($A143="","",SUMIFS(weekly_demand!$D:$D,weekly_demand!$A:$A,D$1,weekly_demand!$C:$C,$A143))</f>
        <v/>
      </c>
      <c r="E143" s="111" t="str">
        <f>IF($A143="","",SUMIFS(weekly_demand!$D:$D,weekly_demand!$A:$A,E$1,weekly_demand!$C:$C,$A143))</f>
        <v/>
      </c>
      <c r="F143" s="111" t="str">
        <f>IF($A143="","",SUMIFS(weekly_demand!$D:$D,weekly_demand!$A:$A,F$1,weekly_demand!$C:$C,$A143))</f>
        <v/>
      </c>
      <c r="G143" s="111" t="str">
        <f>IF($A143="","",SUMIFS(weekly_demand!$D:$D,weekly_demand!$A:$A,G$1,weekly_demand!$C:$C,$A143))</f>
        <v/>
      </c>
      <c r="H143" s="111" t="str">
        <f t="shared" si="14"/>
        <v/>
      </c>
      <c r="I143" s="111" t="str">
        <f t="shared" si="14"/>
        <v/>
      </c>
      <c r="J143" s="111" t="str">
        <f t="shared" si="14"/>
        <v/>
      </c>
      <c r="K143" s="111" t="str">
        <f t="shared" si="14"/>
        <v/>
      </c>
      <c r="L143" s="111" t="str">
        <f t="shared" si="14"/>
        <v/>
      </c>
      <c r="M143" s="111" t="str">
        <f t="shared" si="14"/>
        <v/>
      </c>
      <c r="N143" s="111" t="str">
        <f t="shared" si="14"/>
        <v/>
      </c>
      <c r="O143" s="111" t="str">
        <f t="shared" si="14"/>
        <v/>
      </c>
      <c r="P143" s="111" t="str">
        <f t="shared" si="14"/>
        <v/>
      </c>
      <c r="Q143" s="111" t="str">
        <f t="shared" si="14"/>
        <v/>
      </c>
      <c r="R143" s="111" t="str">
        <f t="shared" si="14"/>
        <v/>
      </c>
      <c r="S143" s="111" t="str">
        <f t="shared" si="14"/>
        <v/>
      </c>
      <c r="T143" s="111" t="str">
        <f t="shared" si="14"/>
        <v/>
      </c>
      <c r="U143" s="111" t="str">
        <f t="shared" si="14"/>
        <v/>
      </c>
      <c r="V143" s="111" t="str">
        <f t="shared" si="14"/>
        <v/>
      </c>
      <c r="W143" s="104"/>
      <c r="X143" s="104"/>
      <c r="Y143" s="104"/>
      <c r="Z143" s="104"/>
      <c r="AA143" s="104"/>
      <c r="AB143" s="104"/>
      <c r="AC143" s="104"/>
      <c r="AD143" s="104"/>
    </row>
    <row r="144" spans="1:30" x14ac:dyDescent="0.3">
      <c r="A144" s="110"/>
      <c r="B144" s="111" t="str">
        <f>IF($A144="","",SUMIFS(weekly_demand!$D:$D,weekly_demand!$A:$A,B$1,weekly_demand!$C:$C,$A144))</f>
        <v/>
      </c>
      <c r="C144" s="111" t="str">
        <f>IF($A144="","",SUMIFS(weekly_demand!$D:$D,weekly_demand!$A:$A,C$1,weekly_demand!$C:$C,$A144))</f>
        <v/>
      </c>
      <c r="D144" s="111" t="str">
        <f>IF($A144="","",SUMIFS(weekly_demand!$D:$D,weekly_demand!$A:$A,D$1,weekly_demand!$C:$C,$A144))</f>
        <v/>
      </c>
      <c r="E144" s="111" t="str">
        <f>IF($A144="","",SUMIFS(weekly_demand!$D:$D,weekly_demand!$A:$A,E$1,weekly_demand!$C:$C,$A144))</f>
        <v/>
      </c>
      <c r="F144" s="111" t="str">
        <f>IF($A144="","",SUMIFS(weekly_demand!$D:$D,weekly_demand!$A:$A,F$1,weekly_demand!$C:$C,$A144))</f>
        <v/>
      </c>
      <c r="G144" s="111" t="str">
        <f>IF($A144="","",SUMIFS(weekly_demand!$D:$D,weekly_demand!$A:$A,G$1,weekly_demand!$C:$C,$A144))</f>
        <v/>
      </c>
      <c r="H144" s="111" t="str">
        <f t="shared" si="14"/>
        <v/>
      </c>
      <c r="I144" s="111" t="str">
        <f t="shared" si="14"/>
        <v/>
      </c>
      <c r="J144" s="111" t="str">
        <f t="shared" si="14"/>
        <v/>
      </c>
      <c r="K144" s="111" t="str">
        <f t="shared" si="14"/>
        <v/>
      </c>
      <c r="L144" s="111" t="str">
        <f t="shared" si="14"/>
        <v/>
      </c>
      <c r="M144" s="111" t="str">
        <f t="shared" si="14"/>
        <v/>
      </c>
      <c r="N144" s="111" t="str">
        <f t="shared" si="14"/>
        <v/>
      </c>
      <c r="O144" s="111" t="str">
        <f t="shared" si="14"/>
        <v/>
      </c>
      <c r="P144" s="111" t="str">
        <f t="shared" si="14"/>
        <v/>
      </c>
      <c r="Q144" s="111" t="str">
        <f t="shared" si="14"/>
        <v/>
      </c>
      <c r="R144" s="111" t="str">
        <f t="shared" si="14"/>
        <v/>
      </c>
      <c r="S144" s="111" t="str">
        <f t="shared" si="14"/>
        <v/>
      </c>
      <c r="T144" s="111" t="str">
        <f t="shared" si="14"/>
        <v/>
      </c>
      <c r="U144" s="111" t="str">
        <f t="shared" si="14"/>
        <v/>
      </c>
      <c r="V144" s="111" t="str">
        <f t="shared" si="14"/>
        <v/>
      </c>
      <c r="W144" s="104"/>
      <c r="X144" s="104"/>
      <c r="Y144" s="104"/>
      <c r="Z144" s="104"/>
      <c r="AA144" s="104"/>
      <c r="AB144" s="104"/>
      <c r="AC144" s="104"/>
      <c r="AD144" s="104"/>
    </row>
    <row r="145" spans="1:30" x14ac:dyDescent="0.3">
      <c r="A145" s="110"/>
      <c r="B145" s="111" t="str">
        <f>IF($A145="","",SUMIFS(weekly_demand!$D:$D,weekly_demand!$A:$A,B$1,weekly_demand!$C:$C,$A145))</f>
        <v/>
      </c>
      <c r="C145" s="111" t="str">
        <f>IF($A145="","",SUMIFS(weekly_demand!$D:$D,weekly_demand!$A:$A,C$1,weekly_demand!$C:$C,$A145))</f>
        <v/>
      </c>
      <c r="D145" s="111" t="str">
        <f>IF($A145="","",SUMIFS(weekly_demand!$D:$D,weekly_demand!$A:$A,D$1,weekly_demand!$C:$C,$A145))</f>
        <v/>
      </c>
      <c r="E145" s="111" t="str">
        <f>IF($A145="","",SUMIFS(weekly_demand!$D:$D,weekly_demand!$A:$A,E$1,weekly_demand!$C:$C,$A145))</f>
        <v/>
      </c>
      <c r="F145" s="111" t="str">
        <f>IF($A145="","",SUMIFS(weekly_demand!$D:$D,weekly_demand!$A:$A,F$1,weekly_demand!$C:$C,$A145))</f>
        <v/>
      </c>
      <c r="G145" s="111" t="str">
        <f>IF($A145="","",SUMIFS(weekly_demand!$D:$D,weekly_demand!$A:$A,G$1,weekly_demand!$C:$C,$A145))</f>
        <v/>
      </c>
      <c r="H145" s="111" t="str">
        <f t="shared" si="14"/>
        <v/>
      </c>
      <c r="I145" s="111" t="str">
        <f t="shared" si="14"/>
        <v/>
      </c>
      <c r="J145" s="111" t="str">
        <f t="shared" si="14"/>
        <v/>
      </c>
      <c r="K145" s="111" t="str">
        <f t="shared" si="14"/>
        <v/>
      </c>
      <c r="L145" s="111" t="str">
        <f t="shared" si="14"/>
        <v/>
      </c>
      <c r="M145" s="111" t="str">
        <f t="shared" si="14"/>
        <v/>
      </c>
      <c r="N145" s="111" t="str">
        <f t="shared" si="14"/>
        <v/>
      </c>
      <c r="O145" s="111" t="str">
        <f t="shared" si="14"/>
        <v/>
      </c>
      <c r="P145" s="111" t="str">
        <f t="shared" si="14"/>
        <v/>
      </c>
      <c r="Q145" s="111" t="str">
        <f t="shared" si="14"/>
        <v/>
      </c>
      <c r="R145" s="111" t="str">
        <f t="shared" si="14"/>
        <v/>
      </c>
      <c r="S145" s="111" t="str">
        <f t="shared" si="14"/>
        <v/>
      </c>
      <c r="T145" s="111" t="str">
        <f t="shared" si="14"/>
        <v/>
      </c>
      <c r="U145" s="111" t="str">
        <f t="shared" si="14"/>
        <v/>
      </c>
      <c r="V145" s="111" t="str">
        <f t="shared" si="14"/>
        <v/>
      </c>
      <c r="W145" s="104"/>
      <c r="X145" s="104"/>
      <c r="Y145" s="104"/>
      <c r="Z145" s="104"/>
      <c r="AA145" s="104"/>
      <c r="AB145" s="104"/>
      <c r="AC145" s="104"/>
      <c r="AD145" s="104"/>
    </row>
    <row r="146" spans="1:30" x14ac:dyDescent="0.3">
      <c r="A146" s="110"/>
      <c r="B146" s="111" t="str">
        <f>IF($A146="","",SUMIFS(weekly_demand!$D:$D,weekly_demand!$A:$A,B$1,weekly_demand!$C:$C,$A146))</f>
        <v/>
      </c>
      <c r="C146" s="111" t="str">
        <f>IF($A146="","",SUMIFS(weekly_demand!$D:$D,weekly_demand!$A:$A,C$1,weekly_demand!$C:$C,$A146))</f>
        <v/>
      </c>
      <c r="D146" s="111" t="str">
        <f>IF($A146="","",SUMIFS(weekly_demand!$D:$D,weekly_demand!$A:$A,D$1,weekly_demand!$C:$C,$A146))</f>
        <v/>
      </c>
      <c r="E146" s="111" t="str">
        <f>IF($A146="","",SUMIFS(weekly_demand!$D:$D,weekly_demand!$A:$A,E$1,weekly_demand!$C:$C,$A146))</f>
        <v/>
      </c>
      <c r="F146" s="111" t="str">
        <f>IF($A146="","",SUMIFS(weekly_demand!$D:$D,weekly_demand!$A:$A,F$1,weekly_demand!$C:$C,$A146))</f>
        <v/>
      </c>
      <c r="G146" s="111" t="str">
        <f>IF($A146="","",SUMIFS(weekly_demand!$D:$D,weekly_demand!$A:$A,G$1,weekly_demand!$C:$C,$A146))</f>
        <v/>
      </c>
      <c r="H146" s="111" t="str">
        <f t="shared" si="14"/>
        <v/>
      </c>
      <c r="I146" s="111" t="str">
        <f t="shared" si="14"/>
        <v/>
      </c>
      <c r="J146" s="111" t="str">
        <f t="shared" si="14"/>
        <v/>
      </c>
      <c r="K146" s="111" t="str">
        <f t="shared" si="14"/>
        <v/>
      </c>
      <c r="L146" s="111" t="str">
        <f t="shared" si="14"/>
        <v/>
      </c>
      <c r="M146" s="111" t="str">
        <f t="shared" si="14"/>
        <v/>
      </c>
      <c r="N146" s="111" t="str">
        <f t="shared" si="14"/>
        <v/>
      </c>
      <c r="O146" s="111" t="str">
        <f t="shared" si="14"/>
        <v/>
      </c>
      <c r="P146" s="111" t="str">
        <f t="shared" si="14"/>
        <v/>
      </c>
      <c r="Q146" s="111" t="str">
        <f t="shared" si="14"/>
        <v/>
      </c>
      <c r="R146" s="111" t="str">
        <f t="shared" si="14"/>
        <v/>
      </c>
      <c r="S146" s="111" t="str">
        <f t="shared" si="14"/>
        <v/>
      </c>
      <c r="T146" s="111" t="str">
        <f t="shared" si="14"/>
        <v/>
      </c>
      <c r="U146" s="111" t="str">
        <f t="shared" si="14"/>
        <v/>
      </c>
      <c r="V146" s="111" t="str">
        <f t="shared" si="14"/>
        <v/>
      </c>
      <c r="W146" s="104"/>
      <c r="X146" s="104"/>
      <c r="Y146" s="104"/>
      <c r="Z146" s="104"/>
      <c r="AA146" s="104"/>
      <c r="AB146" s="104"/>
      <c r="AC146" s="104"/>
      <c r="AD146" s="104"/>
    </row>
    <row r="147" spans="1:30" x14ac:dyDescent="0.3">
      <c r="A147" s="110"/>
      <c r="B147" s="111" t="str">
        <f>IF($A147="","",SUMIFS(weekly_demand!$D:$D,weekly_demand!$A:$A,B$1,weekly_demand!$C:$C,$A147))</f>
        <v/>
      </c>
      <c r="C147" s="111" t="str">
        <f>IF($A147="","",SUMIFS(weekly_demand!$D:$D,weekly_demand!$A:$A,C$1,weekly_demand!$C:$C,$A147))</f>
        <v/>
      </c>
      <c r="D147" s="111" t="str">
        <f>IF($A147="","",SUMIFS(weekly_demand!$D:$D,weekly_demand!$A:$A,D$1,weekly_demand!$C:$C,$A147))</f>
        <v/>
      </c>
      <c r="E147" s="111" t="str">
        <f>IF($A147="","",SUMIFS(weekly_demand!$D:$D,weekly_demand!$A:$A,E$1,weekly_demand!$C:$C,$A147))</f>
        <v/>
      </c>
      <c r="F147" s="111" t="str">
        <f>IF($A147="","",SUMIFS(weekly_demand!$D:$D,weekly_demand!$A:$A,F$1,weekly_demand!$C:$C,$A147))</f>
        <v/>
      </c>
      <c r="G147" s="111" t="str">
        <f>IF($A147="","",SUMIFS(weekly_demand!$D:$D,weekly_demand!$A:$A,G$1,weekly_demand!$C:$C,$A147))</f>
        <v/>
      </c>
      <c r="H147" s="111" t="str">
        <f t="shared" si="14"/>
        <v/>
      </c>
      <c r="I147" s="111" t="str">
        <f t="shared" si="14"/>
        <v/>
      </c>
      <c r="J147" s="111" t="str">
        <f t="shared" si="14"/>
        <v/>
      </c>
      <c r="K147" s="111" t="str">
        <f t="shared" si="14"/>
        <v/>
      </c>
      <c r="L147" s="111" t="str">
        <f t="shared" si="14"/>
        <v/>
      </c>
      <c r="M147" s="111" t="str">
        <f t="shared" si="14"/>
        <v/>
      </c>
      <c r="N147" s="111" t="str">
        <f t="shared" si="14"/>
        <v/>
      </c>
      <c r="O147" s="111" t="str">
        <f t="shared" si="14"/>
        <v/>
      </c>
      <c r="P147" s="111" t="str">
        <f t="shared" si="14"/>
        <v/>
      </c>
      <c r="Q147" s="111" t="str">
        <f t="shared" si="14"/>
        <v/>
      </c>
      <c r="R147" s="111" t="str">
        <f t="shared" si="14"/>
        <v/>
      </c>
      <c r="S147" s="111" t="str">
        <f t="shared" si="14"/>
        <v/>
      </c>
      <c r="T147" s="111" t="str">
        <f t="shared" si="14"/>
        <v/>
      </c>
      <c r="U147" s="111" t="str">
        <f t="shared" si="14"/>
        <v/>
      </c>
      <c r="V147" s="111" t="str">
        <f t="shared" si="14"/>
        <v/>
      </c>
      <c r="W147" s="104"/>
      <c r="X147" s="104"/>
      <c r="Y147" s="104"/>
      <c r="Z147" s="104"/>
      <c r="AA147" s="104"/>
      <c r="AB147" s="104"/>
      <c r="AC147" s="104"/>
      <c r="AD147" s="104"/>
    </row>
    <row r="148" spans="1:30" x14ac:dyDescent="0.3">
      <c r="A148" s="110"/>
      <c r="B148" s="111" t="str">
        <f>IF($A148="","",SUMIFS(weekly_demand!$D:$D,weekly_demand!$A:$A,B$1,weekly_demand!$C:$C,$A148))</f>
        <v/>
      </c>
      <c r="C148" s="111" t="str">
        <f>IF($A148="","",SUMIFS(weekly_demand!$D:$D,weekly_demand!$A:$A,C$1,weekly_demand!$C:$C,$A148))</f>
        <v/>
      </c>
      <c r="D148" s="111" t="str">
        <f>IF($A148="","",SUMIFS(weekly_demand!$D:$D,weekly_demand!$A:$A,D$1,weekly_demand!$C:$C,$A148))</f>
        <v/>
      </c>
      <c r="E148" s="111" t="str">
        <f>IF($A148="","",SUMIFS(weekly_demand!$D:$D,weekly_demand!$A:$A,E$1,weekly_demand!$C:$C,$A148))</f>
        <v/>
      </c>
      <c r="F148" s="111" t="str">
        <f>IF($A148="","",SUMIFS(weekly_demand!$D:$D,weekly_demand!$A:$A,F$1,weekly_demand!$C:$C,$A148))</f>
        <v/>
      </c>
      <c r="G148" s="111" t="str">
        <f>IF($A148="","",SUMIFS(weekly_demand!$D:$D,weekly_demand!$A:$A,G$1,weekly_demand!$C:$C,$A148))</f>
        <v/>
      </c>
      <c r="H148" s="111" t="str">
        <f t="shared" si="14"/>
        <v/>
      </c>
      <c r="I148" s="111" t="str">
        <f t="shared" si="14"/>
        <v/>
      </c>
      <c r="J148" s="111" t="str">
        <f t="shared" si="14"/>
        <v/>
      </c>
      <c r="K148" s="111" t="str">
        <f t="shared" si="14"/>
        <v/>
      </c>
      <c r="L148" s="111" t="str">
        <f t="shared" si="14"/>
        <v/>
      </c>
      <c r="M148" s="111" t="str">
        <f t="shared" si="14"/>
        <v/>
      </c>
      <c r="N148" s="111" t="str">
        <f t="shared" si="14"/>
        <v/>
      </c>
      <c r="O148" s="111" t="str">
        <f t="shared" si="14"/>
        <v/>
      </c>
      <c r="P148" s="111" t="str">
        <f t="shared" si="14"/>
        <v/>
      </c>
      <c r="Q148" s="111" t="str">
        <f t="shared" si="14"/>
        <v/>
      </c>
      <c r="R148" s="111" t="str">
        <f t="shared" si="14"/>
        <v/>
      </c>
      <c r="S148" s="111" t="str">
        <f t="shared" si="14"/>
        <v/>
      </c>
      <c r="T148" s="111" t="str">
        <f t="shared" si="14"/>
        <v/>
      </c>
      <c r="U148" s="111" t="str">
        <f t="shared" si="14"/>
        <v/>
      </c>
      <c r="V148" s="111" t="str">
        <f t="shared" si="14"/>
        <v/>
      </c>
      <c r="W148" s="104"/>
      <c r="X148" s="104"/>
      <c r="Y148" s="104"/>
      <c r="Z148" s="104"/>
      <c r="AA148" s="104"/>
      <c r="AB148" s="104"/>
      <c r="AC148" s="104"/>
      <c r="AD148" s="104"/>
    </row>
    <row r="149" spans="1:30" x14ac:dyDescent="0.3">
      <c r="A149" s="110"/>
      <c r="B149" s="111" t="str">
        <f>IF($A149="","",SUMIFS(weekly_demand!$D:$D,weekly_demand!$A:$A,B$1,weekly_demand!$C:$C,$A149))</f>
        <v/>
      </c>
      <c r="C149" s="111" t="str">
        <f>IF($A149="","",SUMIFS(weekly_demand!$D:$D,weekly_demand!$A:$A,C$1,weekly_demand!$C:$C,$A149))</f>
        <v/>
      </c>
      <c r="D149" s="111" t="str">
        <f>IF($A149="","",SUMIFS(weekly_demand!$D:$D,weekly_demand!$A:$A,D$1,weekly_demand!$C:$C,$A149))</f>
        <v/>
      </c>
      <c r="E149" s="111" t="str">
        <f>IF($A149="","",SUMIFS(weekly_demand!$D:$D,weekly_demand!$A:$A,E$1,weekly_demand!$C:$C,$A149))</f>
        <v/>
      </c>
      <c r="F149" s="111" t="str">
        <f>IF($A149="","",SUMIFS(weekly_demand!$D:$D,weekly_demand!$A:$A,F$1,weekly_demand!$C:$C,$A149))</f>
        <v/>
      </c>
      <c r="G149" s="111" t="str">
        <f>IF($A149="","",SUMIFS(weekly_demand!$D:$D,weekly_demand!$A:$A,G$1,weekly_demand!$C:$C,$A149))</f>
        <v/>
      </c>
      <c r="H149" s="111" t="str">
        <f t="shared" si="14"/>
        <v/>
      </c>
      <c r="I149" s="111" t="str">
        <f t="shared" si="14"/>
        <v/>
      </c>
      <c r="J149" s="111" t="str">
        <f t="shared" si="14"/>
        <v/>
      </c>
      <c r="K149" s="111" t="str">
        <f t="shared" si="14"/>
        <v/>
      </c>
      <c r="L149" s="111" t="str">
        <f t="shared" si="14"/>
        <v/>
      </c>
      <c r="M149" s="111" t="str">
        <f t="shared" si="14"/>
        <v/>
      </c>
      <c r="N149" s="111" t="str">
        <f t="shared" si="14"/>
        <v/>
      </c>
      <c r="O149" s="111" t="str">
        <f t="shared" si="14"/>
        <v/>
      </c>
      <c r="P149" s="111" t="str">
        <f t="shared" si="14"/>
        <v/>
      </c>
      <c r="Q149" s="111" t="str">
        <f t="shared" si="14"/>
        <v/>
      </c>
      <c r="R149" s="111" t="str">
        <f t="shared" si="14"/>
        <v/>
      </c>
      <c r="S149" s="111" t="str">
        <f t="shared" si="14"/>
        <v/>
      </c>
      <c r="T149" s="111" t="str">
        <f t="shared" si="14"/>
        <v/>
      </c>
      <c r="U149" s="111" t="str">
        <f t="shared" si="14"/>
        <v/>
      </c>
      <c r="V149" s="111" t="str">
        <f t="shared" si="14"/>
        <v/>
      </c>
      <c r="W149" s="104"/>
      <c r="X149" s="104"/>
      <c r="Y149" s="104"/>
      <c r="Z149" s="104"/>
      <c r="AA149" s="104"/>
      <c r="AB149" s="104"/>
      <c r="AC149" s="104"/>
      <c r="AD149" s="104"/>
    </row>
    <row r="150" spans="1:30" x14ac:dyDescent="0.3">
      <c r="A150" s="110"/>
      <c r="B150" s="111" t="str">
        <f>IF($A150="","",SUMIFS(weekly_demand!$D:$D,weekly_demand!$A:$A,B$1,weekly_demand!$C:$C,$A150))</f>
        <v/>
      </c>
      <c r="C150" s="111" t="str">
        <f>IF($A150="","",SUMIFS(weekly_demand!$D:$D,weekly_demand!$A:$A,C$1,weekly_demand!$C:$C,$A150))</f>
        <v/>
      </c>
      <c r="D150" s="111" t="str">
        <f>IF($A150="","",SUMIFS(weekly_demand!$D:$D,weekly_demand!$A:$A,D$1,weekly_demand!$C:$C,$A150))</f>
        <v/>
      </c>
      <c r="E150" s="111" t="str">
        <f>IF($A150="","",SUMIFS(weekly_demand!$D:$D,weekly_demand!$A:$A,E$1,weekly_demand!$C:$C,$A150))</f>
        <v/>
      </c>
      <c r="F150" s="111" t="str">
        <f>IF($A150="","",SUMIFS(weekly_demand!$D:$D,weekly_demand!$A:$A,F$1,weekly_demand!$C:$C,$A150))</f>
        <v/>
      </c>
      <c r="G150" s="111" t="str">
        <f>IF($A150="","",SUMIFS(weekly_demand!$D:$D,weekly_demand!$A:$A,G$1,weekly_demand!$C:$C,$A150))</f>
        <v/>
      </c>
      <c r="H150" s="111" t="str">
        <f t="shared" si="14"/>
        <v/>
      </c>
      <c r="I150" s="111" t="str">
        <f t="shared" si="14"/>
        <v/>
      </c>
      <c r="J150" s="111" t="str">
        <f t="shared" si="14"/>
        <v/>
      </c>
      <c r="K150" s="111" t="str">
        <f t="shared" si="14"/>
        <v/>
      </c>
      <c r="L150" s="111" t="str">
        <f t="shared" si="14"/>
        <v/>
      </c>
      <c r="M150" s="111" t="str">
        <f t="shared" si="14"/>
        <v/>
      </c>
      <c r="N150" s="111" t="str">
        <f t="shared" si="14"/>
        <v/>
      </c>
      <c r="O150" s="111" t="str">
        <f t="shared" si="14"/>
        <v/>
      </c>
      <c r="P150" s="111" t="str">
        <f t="shared" si="14"/>
        <v/>
      </c>
      <c r="Q150" s="111" t="str">
        <f t="shared" si="14"/>
        <v/>
      </c>
      <c r="R150" s="111" t="str">
        <f t="shared" si="14"/>
        <v/>
      </c>
      <c r="S150" s="111" t="str">
        <f t="shared" si="14"/>
        <v/>
      </c>
      <c r="T150" s="111" t="str">
        <f t="shared" si="14"/>
        <v/>
      </c>
      <c r="U150" s="111" t="str">
        <f t="shared" si="14"/>
        <v/>
      </c>
      <c r="V150" s="111" t="str">
        <f t="shared" si="14"/>
        <v/>
      </c>
      <c r="W150" s="104"/>
      <c r="X150" s="104"/>
      <c r="Y150" s="104"/>
      <c r="Z150" s="104"/>
      <c r="AA150" s="104"/>
      <c r="AB150" s="104"/>
      <c r="AC150" s="104"/>
      <c r="AD150" s="104"/>
    </row>
    <row r="151" spans="1:30" x14ac:dyDescent="0.3">
      <c r="A151" s="110"/>
      <c r="B151" s="111" t="str">
        <f>IF($A151="","",SUMIFS(weekly_demand!$D:$D,weekly_demand!$A:$A,B$1,weekly_demand!$C:$C,$A151))</f>
        <v/>
      </c>
      <c r="C151" s="111" t="str">
        <f>IF($A151="","",SUMIFS(weekly_demand!$D:$D,weekly_demand!$A:$A,C$1,weekly_demand!$C:$C,$A151))</f>
        <v/>
      </c>
      <c r="D151" s="111" t="str">
        <f>IF($A151="","",SUMIFS(weekly_demand!$D:$D,weekly_demand!$A:$A,D$1,weekly_demand!$C:$C,$A151))</f>
        <v/>
      </c>
      <c r="E151" s="111" t="str">
        <f>IF($A151="","",SUMIFS(weekly_demand!$D:$D,weekly_demand!$A:$A,E$1,weekly_demand!$C:$C,$A151))</f>
        <v/>
      </c>
      <c r="F151" s="111" t="str">
        <f>IF($A151="","",SUMIFS(weekly_demand!$D:$D,weekly_demand!$A:$A,F$1,weekly_demand!$C:$C,$A151))</f>
        <v/>
      </c>
      <c r="G151" s="111" t="str">
        <f>IF($A151="","",SUMIFS(weekly_demand!$D:$D,weekly_demand!$A:$A,G$1,weekly_demand!$C:$C,$A151))</f>
        <v/>
      </c>
      <c r="H151" s="111" t="str">
        <f t="shared" si="14"/>
        <v/>
      </c>
      <c r="I151" s="111" t="str">
        <f t="shared" si="14"/>
        <v/>
      </c>
      <c r="J151" s="111" t="str">
        <f t="shared" si="14"/>
        <v/>
      </c>
      <c r="K151" s="111" t="str">
        <f t="shared" si="14"/>
        <v/>
      </c>
      <c r="L151" s="111" t="str">
        <f t="shared" si="14"/>
        <v/>
      </c>
      <c r="M151" s="111" t="str">
        <f t="shared" si="14"/>
        <v/>
      </c>
      <c r="N151" s="111" t="str">
        <f t="shared" si="14"/>
        <v/>
      </c>
      <c r="O151" s="111" t="str">
        <f t="shared" si="14"/>
        <v/>
      </c>
      <c r="P151" s="111" t="str">
        <f t="shared" si="14"/>
        <v/>
      </c>
      <c r="Q151" s="111" t="str">
        <f t="shared" si="14"/>
        <v/>
      </c>
      <c r="R151" s="111" t="str">
        <f t="shared" si="14"/>
        <v/>
      </c>
      <c r="S151" s="111" t="str">
        <f t="shared" si="14"/>
        <v/>
      </c>
      <c r="T151" s="111" t="str">
        <f t="shared" si="14"/>
        <v/>
      </c>
      <c r="U151" s="111" t="str">
        <f t="shared" si="14"/>
        <v/>
      </c>
      <c r="V151" s="111" t="str">
        <f t="shared" si="14"/>
        <v/>
      </c>
      <c r="W151" s="104"/>
      <c r="X151" s="104"/>
      <c r="Y151" s="104"/>
      <c r="Z151" s="104"/>
      <c r="AA151" s="104"/>
      <c r="AB151" s="104"/>
      <c r="AC151" s="104"/>
      <c r="AD151" s="104"/>
    </row>
    <row r="152" spans="1:30" x14ac:dyDescent="0.3">
      <c r="A152" s="110"/>
      <c r="B152" s="111" t="str">
        <f>IF($A152="","",SUMIFS(weekly_demand!$D:$D,weekly_demand!$A:$A,B$1,weekly_demand!$C:$C,$A152))</f>
        <v/>
      </c>
      <c r="C152" s="111" t="str">
        <f>IF($A152="","",SUMIFS(weekly_demand!$D:$D,weekly_demand!$A:$A,C$1,weekly_demand!$C:$C,$A152))</f>
        <v/>
      </c>
      <c r="D152" s="111" t="str">
        <f>IF($A152="","",SUMIFS(weekly_demand!$D:$D,weekly_demand!$A:$A,D$1,weekly_demand!$C:$C,$A152))</f>
        <v/>
      </c>
      <c r="E152" s="111" t="str">
        <f>IF($A152="","",SUMIFS(weekly_demand!$D:$D,weekly_demand!$A:$A,E$1,weekly_demand!$C:$C,$A152))</f>
        <v/>
      </c>
      <c r="F152" s="111" t="str">
        <f>IF($A152="","",SUMIFS(weekly_demand!$D:$D,weekly_demand!$A:$A,F$1,weekly_demand!$C:$C,$A152))</f>
        <v/>
      </c>
      <c r="G152" s="111" t="str">
        <f>IF($A152="","",SUMIFS(weekly_demand!$D:$D,weekly_demand!$A:$A,G$1,weekly_demand!$C:$C,$A152))</f>
        <v/>
      </c>
      <c r="H152" s="111" t="str">
        <f t="shared" ref="H152:V161" si="15">IF($A152="","",SUMPRODUCT($B152:$G152,INDEX($Y$2:$AD$16,MATCH(H$1,$X$2:$X$16,0),0)))</f>
        <v/>
      </c>
      <c r="I152" s="111" t="str">
        <f t="shared" si="15"/>
        <v/>
      </c>
      <c r="J152" s="111" t="str">
        <f t="shared" si="15"/>
        <v/>
      </c>
      <c r="K152" s="111" t="str">
        <f t="shared" si="15"/>
        <v/>
      </c>
      <c r="L152" s="111" t="str">
        <f t="shared" si="15"/>
        <v/>
      </c>
      <c r="M152" s="111" t="str">
        <f t="shared" si="15"/>
        <v/>
      </c>
      <c r="N152" s="111" t="str">
        <f t="shared" si="15"/>
        <v/>
      </c>
      <c r="O152" s="111" t="str">
        <f t="shared" si="15"/>
        <v/>
      </c>
      <c r="P152" s="111" t="str">
        <f t="shared" si="15"/>
        <v/>
      </c>
      <c r="Q152" s="111" t="str">
        <f t="shared" si="15"/>
        <v/>
      </c>
      <c r="R152" s="111" t="str">
        <f t="shared" si="15"/>
        <v/>
      </c>
      <c r="S152" s="111" t="str">
        <f t="shared" si="15"/>
        <v/>
      </c>
      <c r="T152" s="111" t="str">
        <f t="shared" si="15"/>
        <v/>
      </c>
      <c r="U152" s="111" t="str">
        <f t="shared" si="15"/>
        <v/>
      </c>
      <c r="V152" s="111" t="str">
        <f t="shared" si="15"/>
        <v/>
      </c>
      <c r="W152" s="104"/>
      <c r="X152" s="104"/>
      <c r="Y152" s="104"/>
      <c r="Z152" s="104"/>
      <c r="AA152" s="104"/>
      <c r="AB152" s="104"/>
      <c r="AC152" s="104"/>
      <c r="AD152" s="104"/>
    </row>
    <row r="153" spans="1:30" x14ac:dyDescent="0.3">
      <c r="A153" s="110"/>
      <c r="B153" s="111" t="str">
        <f>IF($A153="","",SUMIFS(weekly_demand!$D:$D,weekly_demand!$A:$A,B$1,weekly_demand!$C:$C,$A153))</f>
        <v/>
      </c>
      <c r="C153" s="111" t="str">
        <f>IF($A153="","",SUMIFS(weekly_demand!$D:$D,weekly_demand!$A:$A,C$1,weekly_demand!$C:$C,$A153))</f>
        <v/>
      </c>
      <c r="D153" s="111" t="str">
        <f>IF($A153="","",SUMIFS(weekly_demand!$D:$D,weekly_demand!$A:$A,D$1,weekly_demand!$C:$C,$A153))</f>
        <v/>
      </c>
      <c r="E153" s="111" t="str">
        <f>IF($A153="","",SUMIFS(weekly_demand!$D:$D,weekly_demand!$A:$A,E$1,weekly_demand!$C:$C,$A153))</f>
        <v/>
      </c>
      <c r="F153" s="111" t="str">
        <f>IF($A153="","",SUMIFS(weekly_demand!$D:$D,weekly_demand!$A:$A,F$1,weekly_demand!$C:$C,$A153))</f>
        <v/>
      </c>
      <c r="G153" s="111" t="str">
        <f>IF($A153="","",SUMIFS(weekly_demand!$D:$D,weekly_demand!$A:$A,G$1,weekly_demand!$C:$C,$A153))</f>
        <v/>
      </c>
      <c r="H153" s="111" t="str">
        <f t="shared" si="15"/>
        <v/>
      </c>
      <c r="I153" s="111" t="str">
        <f t="shared" si="15"/>
        <v/>
      </c>
      <c r="J153" s="111" t="str">
        <f t="shared" si="15"/>
        <v/>
      </c>
      <c r="K153" s="111" t="str">
        <f t="shared" si="15"/>
        <v/>
      </c>
      <c r="L153" s="111" t="str">
        <f t="shared" si="15"/>
        <v/>
      </c>
      <c r="M153" s="111" t="str">
        <f t="shared" si="15"/>
        <v/>
      </c>
      <c r="N153" s="111" t="str">
        <f t="shared" si="15"/>
        <v/>
      </c>
      <c r="O153" s="111" t="str">
        <f t="shared" si="15"/>
        <v/>
      </c>
      <c r="P153" s="111" t="str">
        <f t="shared" si="15"/>
        <v/>
      </c>
      <c r="Q153" s="111" t="str">
        <f t="shared" si="15"/>
        <v/>
      </c>
      <c r="R153" s="111" t="str">
        <f t="shared" si="15"/>
        <v/>
      </c>
      <c r="S153" s="111" t="str">
        <f t="shared" si="15"/>
        <v/>
      </c>
      <c r="T153" s="111" t="str">
        <f t="shared" si="15"/>
        <v/>
      </c>
      <c r="U153" s="111" t="str">
        <f t="shared" si="15"/>
        <v/>
      </c>
      <c r="V153" s="111" t="str">
        <f t="shared" si="15"/>
        <v/>
      </c>
      <c r="W153" s="104"/>
      <c r="X153" s="104"/>
      <c r="Y153" s="104"/>
      <c r="Z153" s="104"/>
      <c r="AA153" s="104"/>
      <c r="AB153" s="104"/>
      <c r="AC153" s="104"/>
      <c r="AD153" s="104"/>
    </row>
    <row r="154" spans="1:30" x14ac:dyDescent="0.3">
      <c r="A154" s="110"/>
      <c r="B154" s="111" t="str">
        <f>IF($A154="","",SUMIFS(weekly_demand!$D:$D,weekly_demand!$A:$A,B$1,weekly_demand!$C:$C,$A154))</f>
        <v/>
      </c>
      <c r="C154" s="111" t="str">
        <f>IF($A154="","",SUMIFS(weekly_demand!$D:$D,weekly_demand!$A:$A,C$1,weekly_demand!$C:$C,$A154))</f>
        <v/>
      </c>
      <c r="D154" s="111" t="str">
        <f>IF($A154="","",SUMIFS(weekly_demand!$D:$D,weekly_demand!$A:$A,D$1,weekly_demand!$C:$C,$A154))</f>
        <v/>
      </c>
      <c r="E154" s="111" t="str">
        <f>IF($A154="","",SUMIFS(weekly_demand!$D:$D,weekly_demand!$A:$A,E$1,weekly_demand!$C:$C,$A154))</f>
        <v/>
      </c>
      <c r="F154" s="111" t="str">
        <f>IF($A154="","",SUMIFS(weekly_demand!$D:$D,weekly_demand!$A:$A,F$1,weekly_demand!$C:$C,$A154))</f>
        <v/>
      </c>
      <c r="G154" s="111" t="str">
        <f>IF($A154="","",SUMIFS(weekly_demand!$D:$D,weekly_demand!$A:$A,G$1,weekly_demand!$C:$C,$A154))</f>
        <v/>
      </c>
      <c r="H154" s="111" t="str">
        <f t="shared" si="15"/>
        <v/>
      </c>
      <c r="I154" s="111" t="str">
        <f t="shared" si="15"/>
        <v/>
      </c>
      <c r="J154" s="111" t="str">
        <f t="shared" si="15"/>
        <v/>
      </c>
      <c r="K154" s="111" t="str">
        <f t="shared" si="15"/>
        <v/>
      </c>
      <c r="L154" s="111" t="str">
        <f t="shared" si="15"/>
        <v/>
      </c>
      <c r="M154" s="111" t="str">
        <f t="shared" si="15"/>
        <v/>
      </c>
      <c r="N154" s="111" t="str">
        <f t="shared" si="15"/>
        <v/>
      </c>
      <c r="O154" s="111" t="str">
        <f t="shared" si="15"/>
        <v/>
      </c>
      <c r="P154" s="111" t="str">
        <f t="shared" si="15"/>
        <v/>
      </c>
      <c r="Q154" s="111" t="str">
        <f t="shared" si="15"/>
        <v/>
      </c>
      <c r="R154" s="111" t="str">
        <f t="shared" si="15"/>
        <v/>
      </c>
      <c r="S154" s="111" t="str">
        <f t="shared" si="15"/>
        <v/>
      </c>
      <c r="T154" s="111" t="str">
        <f t="shared" si="15"/>
        <v/>
      </c>
      <c r="U154" s="111" t="str">
        <f t="shared" si="15"/>
        <v/>
      </c>
      <c r="V154" s="111" t="str">
        <f t="shared" si="15"/>
        <v/>
      </c>
      <c r="W154" s="104"/>
      <c r="X154" s="104"/>
      <c r="Y154" s="104"/>
      <c r="Z154" s="104"/>
      <c r="AA154" s="104"/>
      <c r="AB154" s="104"/>
      <c r="AC154" s="104"/>
      <c r="AD154" s="104"/>
    </row>
    <row r="155" spans="1:30" x14ac:dyDescent="0.3">
      <c r="A155" s="110"/>
      <c r="B155" s="111" t="str">
        <f>IF($A155="","",SUMIFS(weekly_demand!$D:$D,weekly_demand!$A:$A,B$1,weekly_demand!$C:$C,$A155))</f>
        <v/>
      </c>
      <c r="C155" s="111" t="str">
        <f>IF($A155="","",SUMIFS(weekly_demand!$D:$D,weekly_demand!$A:$A,C$1,weekly_demand!$C:$C,$A155))</f>
        <v/>
      </c>
      <c r="D155" s="111" t="str">
        <f>IF($A155="","",SUMIFS(weekly_demand!$D:$D,weekly_demand!$A:$A,D$1,weekly_demand!$C:$C,$A155))</f>
        <v/>
      </c>
      <c r="E155" s="111" t="str">
        <f>IF($A155="","",SUMIFS(weekly_demand!$D:$D,weekly_demand!$A:$A,E$1,weekly_demand!$C:$C,$A155))</f>
        <v/>
      </c>
      <c r="F155" s="111" t="str">
        <f>IF($A155="","",SUMIFS(weekly_demand!$D:$D,weekly_demand!$A:$A,F$1,weekly_demand!$C:$C,$A155))</f>
        <v/>
      </c>
      <c r="G155" s="111" t="str">
        <f>IF($A155="","",SUMIFS(weekly_demand!$D:$D,weekly_demand!$A:$A,G$1,weekly_demand!$C:$C,$A155))</f>
        <v/>
      </c>
      <c r="H155" s="111" t="str">
        <f t="shared" si="15"/>
        <v/>
      </c>
      <c r="I155" s="111" t="str">
        <f t="shared" si="15"/>
        <v/>
      </c>
      <c r="J155" s="111" t="str">
        <f t="shared" si="15"/>
        <v/>
      </c>
      <c r="K155" s="111" t="str">
        <f t="shared" si="15"/>
        <v/>
      </c>
      <c r="L155" s="111" t="str">
        <f t="shared" si="15"/>
        <v/>
      </c>
      <c r="M155" s="111" t="str">
        <f t="shared" si="15"/>
        <v/>
      </c>
      <c r="N155" s="111" t="str">
        <f t="shared" si="15"/>
        <v/>
      </c>
      <c r="O155" s="111" t="str">
        <f t="shared" si="15"/>
        <v/>
      </c>
      <c r="P155" s="111" t="str">
        <f t="shared" si="15"/>
        <v/>
      </c>
      <c r="Q155" s="111" t="str">
        <f t="shared" si="15"/>
        <v/>
      </c>
      <c r="R155" s="111" t="str">
        <f t="shared" si="15"/>
        <v/>
      </c>
      <c r="S155" s="111" t="str">
        <f t="shared" si="15"/>
        <v/>
      </c>
      <c r="T155" s="111" t="str">
        <f t="shared" si="15"/>
        <v/>
      </c>
      <c r="U155" s="111" t="str">
        <f t="shared" si="15"/>
        <v/>
      </c>
      <c r="V155" s="111" t="str">
        <f t="shared" si="15"/>
        <v/>
      </c>
      <c r="W155" s="104"/>
      <c r="X155" s="104"/>
      <c r="Y155" s="104"/>
      <c r="Z155" s="104"/>
      <c r="AA155" s="104"/>
      <c r="AB155" s="104"/>
      <c r="AC155" s="104"/>
      <c r="AD155" s="104"/>
    </row>
    <row r="156" spans="1:30" x14ac:dyDescent="0.3">
      <c r="A156" s="110"/>
      <c r="B156" s="111" t="str">
        <f>IF($A156="","",SUMIFS(weekly_demand!$D:$D,weekly_demand!$A:$A,B$1,weekly_demand!$C:$C,$A156))</f>
        <v/>
      </c>
      <c r="C156" s="111" t="str">
        <f>IF($A156="","",SUMIFS(weekly_demand!$D:$D,weekly_demand!$A:$A,C$1,weekly_demand!$C:$C,$A156))</f>
        <v/>
      </c>
      <c r="D156" s="111" t="str">
        <f>IF($A156="","",SUMIFS(weekly_demand!$D:$D,weekly_demand!$A:$A,D$1,weekly_demand!$C:$C,$A156))</f>
        <v/>
      </c>
      <c r="E156" s="111" t="str">
        <f>IF($A156="","",SUMIFS(weekly_demand!$D:$D,weekly_demand!$A:$A,E$1,weekly_demand!$C:$C,$A156))</f>
        <v/>
      </c>
      <c r="F156" s="111" t="str">
        <f>IF($A156="","",SUMIFS(weekly_demand!$D:$D,weekly_demand!$A:$A,F$1,weekly_demand!$C:$C,$A156))</f>
        <v/>
      </c>
      <c r="G156" s="111" t="str">
        <f>IF($A156="","",SUMIFS(weekly_demand!$D:$D,weekly_demand!$A:$A,G$1,weekly_demand!$C:$C,$A156))</f>
        <v/>
      </c>
      <c r="H156" s="111" t="str">
        <f t="shared" si="15"/>
        <v/>
      </c>
      <c r="I156" s="111" t="str">
        <f t="shared" si="15"/>
        <v/>
      </c>
      <c r="J156" s="111" t="str">
        <f t="shared" si="15"/>
        <v/>
      </c>
      <c r="K156" s="111" t="str">
        <f t="shared" si="15"/>
        <v/>
      </c>
      <c r="L156" s="111" t="str">
        <f t="shared" si="15"/>
        <v/>
      </c>
      <c r="M156" s="111" t="str">
        <f t="shared" si="15"/>
        <v/>
      </c>
      <c r="N156" s="111" t="str">
        <f t="shared" si="15"/>
        <v/>
      </c>
      <c r="O156" s="111" t="str">
        <f t="shared" si="15"/>
        <v/>
      </c>
      <c r="P156" s="111" t="str">
        <f t="shared" si="15"/>
        <v/>
      </c>
      <c r="Q156" s="111" t="str">
        <f t="shared" si="15"/>
        <v/>
      </c>
      <c r="R156" s="111" t="str">
        <f t="shared" si="15"/>
        <v/>
      </c>
      <c r="S156" s="111" t="str">
        <f t="shared" si="15"/>
        <v/>
      </c>
      <c r="T156" s="111" t="str">
        <f t="shared" si="15"/>
        <v/>
      </c>
      <c r="U156" s="111" t="str">
        <f t="shared" si="15"/>
        <v/>
      </c>
      <c r="V156" s="111" t="str">
        <f t="shared" si="15"/>
        <v/>
      </c>
      <c r="W156" s="104"/>
      <c r="X156" s="104"/>
      <c r="Y156" s="104"/>
      <c r="Z156" s="104"/>
      <c r="AA156" s="104"/>
      <c r="AB156" s="104"/>
      <c r="AC156" s="104"/>
      <c r="AD156" s="104"/>
    </row>
    <row r="157" spans="1:30" x14ac:dyDescent="0.3">
      <c r="A157" s="110"/>
      <c r="B157" s="111" t="str">
        <f>IF($A157="","",SUMIFS(weekly_demand!$D:$D,weekly_demand!$A:$A,B$1,weekly_demand!$C:$C,$A157))</f>
        <v/>
      </c>
      <c r="C157" s="111" t="str">
        <f>IF($A157="","",SUMIFS(weekly_demand!$D:$D,weekly_demand!$A:$A,C$1,weekly_demand!$C:$C,$A157))</f>
        <v/>
      </c>
      <c r="D157" s="111" t="str">
        <f>IF($A157="","",SUMIFS(weekly_demand!$D:$D,weekly_demand!$A:$A,D$1,weekly_demand!$C:$C,$A157))</f>
        <v/>
      </c>
      <c r="E157" s="111" t="str">
        <f>IF($A157="","",SUMIFS(weekly_demand!$D:$D,weekly_demand!$A:$A,E$1,weekly_demand!$C:$C,$A157))</f>
        <v/>
      </c>
      <c r="F157" s="111" t="str">
        <f>IF($A157="","",SUMIFS(weekly_demand!$D:$D,weekly_demand!$A:$A,F$1,weekly_demand!$C:$C,$A157))</f>
        <v/>
      </c>
      <c r="G157" s="111" t="str">
        <f>IF($A157="","",SUMIFS(weekly_demand!$D:$D,weekly_demand!$A:$A,G$1,weekly_demand!$C:$C,$A157))</f>
        <v/>
      </c>
      <c r="H157" s="111" t="str">
        <f t="shared" si="15"/>
        <v/>
      </c>
      <c r="I157" s="111" t="str">
        <f t="shared" si="15"/>
        <v/>
      </c>
      <c r="J157" s="111" t="str">
        <f t="shared" si="15"/>
        <v/>
      </c>
      <c r="K157" s="111" t="str">
        <f t="shared" si="15"/>
        <v/>
      </c>
      <c r="L157" s="111" t="str">
        <f t="shared" si="15"/>
        <v/>
      </c>
      <c r="M157" s="111" t="str">
        <f t="shared" si="15"/>
        <v/>
      </c>
      <c r="N157" s="111" t="str">
        <f t="shared" si="15"/>
        <v/>
      </c>
      <c r="O157" s="111" t="str">
        <f t="shared" si="15"/>
        <v/>
      </c>
      <c r="P157" s="111" t="str">
        <f t="shared" si="15"/>
        <v/>
      </c>
      <c r="Q157" s="111" t="str">
        <f t="shared" si="15"/>
        <v/>
      </c>
      <c r="R157" s="111" t="str">
        <f t="shared" si="15"/>
        <v/>
      </c>
      <c r="S157" s="111" t="str">
        <f t="shared" si="15"/>
        <v/>
      </c>
      <c r="T157" s="111" t="str">
        <f t="shared" si="15"/>
        <v/>
      </c>
      <c r="U157" s="111" t="str">
        <f t="shared" si="15"/>
        <v/>
      </c>
      <c r="V157" s="111" t="str">
        <f t="shared" si="15"/>
        <v/>
      </c>
      <c r="W157" s="104"/>
      <c r="X157" s="104"/>
      <c r="Y157" s="104"/>
      <c r="Z157" s="104"/>
      <c r="AA157" s="104"/>
      <c r="AB157" s="104"/>
      <c r="AC157" s="104"/>
      <c r="AD157" s="104"/>
    </row>
    <row r="158" spans="1:30" x14ac:dyDescent="0.3">
      <c r="A158" s="110"/>
      <c r="B158" s="111" t="str">
        <f>IF($A158="","",SUMIFS(weekly_demand!$D:$D,weekly_demand!$A:$A,B$1,weekly_demand!$C:$C,$A158))</f>
        <v/>
      </c>
      <c r="C158" s="111" t="str">
        <f>IF($A158="","",SUMIFS(weekly_demand!$D:$D,weekly_demand!$A:$A,C$1,weekly_demand!$C:$C,$A158))</f>
        <v/>
      </c>
      <c r="D158" s="111" t="str">
        <f>IF($A158="","",SUMIFS(weekly_demand!$D:$D,weekly_demand!$A:$A,D$1,weekly_demand!$C:$C,$A158))</f>
        <v/>
      </c>
      <c r="E158" s="111" t="str">
        <f>IF($A158="","",SUMIFS(weekly_demand!$D:$D,weekly_demand!$A:$A,E$1,weekly_demand!$C:$C,$A158))</f>
        <v/>
      </c>
      <c r="F158" s="111" t="str">
        <f>IF($A158="","",SUMIFS(weekly_demand!$D:$D,weekly_demand!$A:$A,F$1,weekly_demand!$C:$C,$A158))</f>
        <v/>
      </c>
      <c r="G158" s="111" t="str">
        <f>IF($A158="","",SUMIFS(weekly_demand!$D:$D,weekly_demand!$A:$A,G$1,weekly_demand!$C:$C,$A158))</f>
        <v/>
      </c>
      <c r="H158" s="111" t="str">
        <f t="shared" si="15"/>
        <v/>
      </c>
      <c r="I158" s="111" t="str">
        <f t="shared" si="15"/>
        <v/>
      </c>
      <c r="J158" s="111" t="str">
        <f t="shared" si="15"/>
        <v/>
      </c>
      <c r="K158" s="111" t="str">
        <f t="shared" si="15"/>
        <v/>
      </c>
      <c r="L158" s="111" t="str">
        <f t="shared" si="15"/>
        <v/>
      </c>
      <c r="M158" s="111" t="str">
        <f t="shared" si="15"/>
        <v/>
      </c>
      <c r="N158" s="111" t="str">
        <f t="shared" si="15"/>
        <v/>
      </c>
      <c r="O158" s="111" t="str">
        <f t="shared" si="15"/>
        <v/>
      </c>
      <c r="P158" s="111" t="str">
        <f t="shared" si="15"/>
        <v/>
      </c>
      <c r="Q158" s="111" t="str">
        <f t="shared" si="15"/>
        <v/>
      </c>
      <c r="R158" s="111" t="str">
        <f t="shared" si="15"/>
        <v/>
      </c>
      <c r="S158" s="111" t="str">
        <f t="shared" si="15"/>
        <v/>
      </c>
      <c r="T158" s="111" t="str">
        <f t="shared" si="15"/>
        <v/>
      </c>
      <c r="U158" s="111" t="str">
        <f t="shared" si="15"/>
        <v/>
      </c>
      <c r="V158" s="111" t="str">
        <f t="shared" si="15"/>
        <v/>
      </c>
      <c r="W158" s="104"/>
      <c r="X158" s="104"/>
      <c r="Y158" s="104"/>
      <c r="Z158" s="104"/>
      <c r="AA158" s="104"/>
      <c r="AB158" s="104"/>
      <c r="AC158" s="104"/>
      <c r="AD158" s="104"/>
    </row>
    <row r="159" spans="1:30" x14ac:dyDescent="0.3">
      <c r="A159" s="110"/>
      <c r="B159" s="111" t="str">
        <f>IF($A159="","",SUMIFS(weekly_demand!$D:$D,weekly_demand!$A:$A,B$1,weekly_demand!$C:$C,$A159))</f>
        <v/>
      </c>
      <c r="C159" s="111" t="str">
        <f>IF($A159="","",SUMIFS(weekly_demand!$D:$D,weekly_demand!$A:$A,C$1,weekly_demand!$C:$C,$A159))</f>
        <v/>
      </c>
      <c r="D159" s="111" t="str">
        <f>IF($A159="","",SUMIFS(weekly_demand!$D:$D,weekly_demand!$A:$A,D$1,weekly_demand!$C:$C,$A159))</f>
        <v/>
      </c>
      <c r="E159" s="111" t="str">
        <f>IF($A159="","",SUMIFS(weekly_demand!$D:$D,weekly_demand!$A:$A,E$1,weekly_demand!$C:$C,$A159))</f>
        <v/>
      </c>
      <c r="F159" s="111" t="str">
        <f>IF($A159="","",SUMIFS(weekly_demand!$D:$D,weekly_demand!$A:$A,F$1,weekly_demand!$C:$C,$A159))</f>
        <v/>
      </c>
      <c r="G159" s="111" t="str">
        <f>IF($A159="","",SUMIFS(weekly_demand!$D:$D,weekly_demand!$A:$A,G$1,weekly_demand!$C:$C,$A159))</f>
        <v/>
      </c>
      <c r="H159" s="111" t="str">
        <f t="shared" si="15"/>
        <v/>
      </c>
      <c r="I159" s="111" t="str">
        <f t="shared" si="15"/>
        <v/>
      </c>
      <c r="J159" s="111" t="str">
        <f t="shared" si="15"/>
        <v/>
      </c>
      <c r="K159" s="111" t="str">
        <f t="shared" si="15"/>
        <v/>
      </c>
      <c r="L159" s="111" t="str">
        <f t="shared" si="15"/>
        <v/>
      </c>
      <c r="M159" s="111" t="str">
        <f t="shared" si="15"/>
        <v/>
      </c>
      <c r="N159" s="111" t="str">
        <f t="shared" si="15"/>
        <v/>
      </c>
      <c r="O159" s="111" t="str">
        <f t="shared" si="15"/>
        <v/>
      </c>
      <c r="P159" s="111" t="str">
        <f t="shared" si="15"/>
        <v/>
      </c>
      <c r="Q159" s="111" t="str">
        <f t="shared" si="15"/>
        <v/>
      </c>
      <c r="R159" s="111" t="str">
        <f t="shared" si="15"/>
        <v/>
      </c>
      <c r="S159" s="111" t="str">
        <f t="shared" si="15"/>
        <v/>
      </c>
      <c r="T159" s="111" t="str">
        <f t="shared" si="15"/>
        <v/>
      </c>
      <c r="U159" s="111" t="str">
        <f t="shared" si="15"/>
        <v/>
      </c>
      <c r="V159" s="111" t="str">
        <f t="shared" si="15"/>
        <v/>
      </c>
      <c r="W159" s="104"/>
      <c r="X159" s="104"/>
      <c r="Y159" s="104"/>
      <c r="Z159" s="104"/>
      <c r="AA159" s="104"/>
      <c r="AB159" s="104"/>
      <c r="AC159" s="104"/>
      <c r="AD159" s="104"/>
    </row>
    <row r="160" spans="1:30" x14ac:dyDescent="0.3">
      <c r="A160" s="110"/>
      <c r="B160" s="111" t="str">
        <f>IF($A160="","",SUMIFS(weekly_demand!$D:$D,weekly_demand!$A:$A,B$1,weekly_demand!$C:$C,$A160))</f>
        <v/>
      </c>
      <c r="C160" s="111" t="str">
        <f>IF($A160="","",SUMIFS(weekly_demand!$D:$D,weekly_demand!$A:$A,C$1,weekly_demand!$C:$C,$A160))</f>
        <v/>
      </c>
      <c r="D160" s="111" t="str">
        <f>IF($A160="","",SUMIFS(weekly_demand!$D:$D,weekly_demand!$A:$A,D$1,weekly_demand!$C:$C,$A160))</f>
        <v/>
      </c>
      <c r="E160" s="111" t="str">
        <f>IF($A160="","",SUMIFS(weekly_demand!$D:$D,weekly_demand!$A:$A,E$1,weekly_demand!$C:$C,$A160))</f>
        <v/>
      </c>
      <c r="F160" s="111" t="str">
        <f>IF($A160="","",SUMIFS(weekly_demand!$D:$D,weekly_demand!$A:$A,F$1,weekly_demand!$C:$C,$A160))</f>
        <v/>
      </c>
      <c r="G160" s="111" t="str">
        <f>IF($A160="","",SUMIFS(weekly_demand!$D:$D,weekly_demand!$A:$A,G$1,weekly_demand!$C:$C,$A160))</f>
        <v/>
      </c>
      <c r="H160" s="111" t="str">
        <f t="shared" si="15"/>
        <v/>
      </c>
      <c r="I160" s="111" t="str">
        <f t="shared" si="15"/>
        <v/>
      </c>
      <c r="J160" s="111" t="str">
        <f t="shared" si="15"/>
        <v/>
      </c>
      <c r="K160" s="111" t="str">
        <f t="shared" si="15"/>
        <v/>
      </c>
      <c r="L160" s="111" t="str">
        <f t="shared" si="15"/>
        <v/>
      </c>
      <c r="M160" s="111" t="str">
        <f t="shared" si="15"/>
        <v/>
      </c>
      <c r="N160" s="111" t="str">
        <f t="shared" si="15"/>
        <v/>
      </c>
      <c r="O160" s="111" t="str">
        <f t="shared" si="15"/>
        <v/>
      </c>
      <c r="P160" s="111" t="str">
        <f t="shared" si="15"/>
        <v/>
      </c>
      <c r="Q160" s="111" t="str">
        <f t="shared" si="15"/>
        <v/>
      </c>
      <c r="R160" s="111" t="str">
        <f t="shared" si="15"/>
        <v/>
      </c>
      <c r="S160" s="111" t="str">
        <f t="shared" si="15"/>
        <v/>
      </c>
      <c r="T160" s="111" t="str">
        <f t="shared" si="15"/>
        <v/>
      </c>
      <c r="U160" s="111" t="str">
        <f t="shared" si="15"/>
        <v/>
      </c>
      <c r="V160" s="111" t="str">
        <f t="shared" si="15"/>
        <v/>
      </c>
      <c r="W160" s="104"/>
      <c r="X160" s="104"/>
      <c r="Y160" s="104"/>
      <c r="Z160" s="104"/>
      <c r="AA160" s="104"/>
      <c r="AB160" s="104"/>
      <c r="AC160" s="104"/>
      <c r="AD160" s="104"/>
    </row>
    <row r="161" spans="1:30" x14ac:dyDescent="0.3">
      <c r="A161" s="110"/>
      <c r="B161" s="111" t="str">
        <f>IF($A161="","",SUMIFS(weekly_demand!$D:$D,weekly_demand!$A:$A,B$1,weekly_demand!$C:$C,$A161))</f>
        <v/>
      </c>
      <c r="C161" s="111" t="str">
        <f>IF($A161="","",SUMIFS(weekly_demand!$D:$D,weekly_demand!$A:$A,C$1,weekly_demand!$C:$C,$A161))</f>
        <v/>
      </c>
      <c r="D161" s="111" t="str">
        <f>IF($A161="","",SUMIFS(weekly_demand!$D:$D,weekly_demand!$A:$A,D$1,weekly_demand!$C:$C,$A161))</f>
        <v/>
      </c>
      <c r="E161" s="111" t="str">
        <f>IF($A161="","",SUMIFS(weekly_demand!$D:$D,weekly_demand!$A:$A,E$1,weekly_demand!$C:$C,$A161))</f>
        <v/>
      </c>
      <c r="F161" s="111" t="str">
        <f>IF($A161="","",SUMIFS(weekly_demand!$D:$D,weekly_demand!$A:$A,F$1,weekly_demand!$C:$C,$A161))</f>
        <v/>
      </c>
      <c r="G161" s="111" t="str">
        <f>IF($A161="","",SUMIFS(weekly_demand!$D:$D,weekly_demand!$A:$A,G$1,weekly_demand!$C:$C,$A161))</f>
        <v/>
      </c>
      <c r="H161" s="111" t="str">
        <f t="shared" si="15"/>
        <v/>
      </c>
      <c r="I161" s="111" t="str">
        <f t="shared" si="15"/>
        <v/>
      </c>
      <c r="J161" s="111" t="str">
        <f t="shared" si="15"/>
        <v/>
      </c>
      <c r="K161" s="111" t="str">
        <f t="shared" si="15"/>
        <v/>
      </c>
      <c r="L161" s="111" t="str">
        <f t="shared" si="15"/>
        <v/>
      </c>
      <c r="M161" s="111" t="str">
        <f t="shared" si="15"/>
        <v/>
      </c>
      <c r="N161" s="111" t="str">
        <f t="shared" si="15"/>
        <v/>
      </c>
      <c r="O161" s="111" t="str">
        <f t="shared" si="15"/>
        <v/>
      </c>
      <c r="P161" s="111" t="str">
        <f t="shared" si="15"/>
        <v/>
      </c>
      <c r="Q161" s="111" t="str">
        <f t="shared" si="15"/>
        <v/>
      </c>
      <c r="R161" s="111" t="str">
        <f t="shared" si="15"/>
        <v/>
      </c>
      <c r="S161" s="111" t="str">
        <f t="shared" si="15"/>
        <v/>
      </c>
      <c r="T161" s="111" t="str">
        <f t="shared" si="15"/>
        <v/>
      </c>
      <c r="U161" s="111" t="str">
        <f t="shared" si="15"/>
        <v/>
      </c>
      <c r="V161" s="111" t="str">
        <f t="shared" si="15"/>
        <v/>
      </c>
      <c r="W161" s="104"/>
      <c r="X161" s="104"/>
      <c r="Y161" s="104"/>
      <c r="Z161" s="104"/>
      <c r="AA161" s="104"/>
      <c r="AB161" s="104"/>
      <c r="AC161" s="104"/>
      <c r="AD161" s="104"/>
    </row>
    <row r="162" spans="1:30" x14ac:dyDescent="0.3">
      <c r="A162" s="110"/>
      <c r="B162" s="111" t="str">
        <f>IF($A162="","",SUMIFS(weekly_demand!$D:$D,weekly_demand!$A:$A,B$1,weekly_demand!$C:$C,$A162))</f>
        <v/>
      </c>
      <c r="C162" s="111" t="str">
        <f>IF($A162="","",SUMIFS(weekly_demand!$D:$D,weekly_demand!$A:$A,C$1,weekly_demand!$C:$C,$A162))</f>
        <v/>
      </c>
      <c r="D162" s="111" t="str">
        <f>IF($A162="","",SUMIFS(weekly_demand!$D:$D,weekly_demand!$A:$A,D$1,weekly_demand!$C:$C,$A162))</f>
        <v/>
      </c>
      <c r="E162" s="111" t="str">
        <f>IF($A162="","",SUMIFS(weekly_demand!$D:$D,weekly_demand!$A:$A,E$1,weekly_demand!$C:$C,$A162))</f>
        <v/>
      </c>
      <c r="F162" s="111" t="str">
        <f>IF($A162="","",SUMIFS(weekly_demand!$D:$D,weekly_demand!$A:$A,F$1,weekly_demand!$C:$C,$A162))</f>
        <v/>
      </c>
      <c r="G162" s="111" t="str">
        <f>IF($A162="","",SUMIFS(weekly_demand!$D:$D,weekly_demand!$A:$A,G$1,weekly_demand!$C:$C,$A162))</f>
        <v/>
      </c>
      <c r="H162" s="111" t="str">
        <f t="shared" ref="H162:V171" si="16">IF($A162="","",SUMPRODUCT($B162:$G162,INDEX($Y$2:$AD$16,MATCH(H$1,$X$2:$X$16,0),0)))</f>
        <v/>
      </c>
      <c r="I162" s="111" t="str">
        <f t="shared" si="16"/>
        <v/>
      </c>
      <c r="J162" s="111" t="str">
        <f t="shared" si="16"/>
        <v/>
      </c>
      <c r="K162" s="111" t="str">
        <f t="shared" si="16"/>
        <v/>
      </c>
      <c r="L162" s="111" t="str">
        <f t="shared" si="16"/>
        <v/>
      </c>
      <c r="M162" s="111" t="str">
        <f t="shared" si="16"/>
        <v/>
      </c>
      <c r="N162" s="111" t="str">
        <f t="shared" si="16"/>
        <v/>
      </c>
      <c r="O162" s="111" t="str">
        <f t="shared" si="16"/>
        <v/>
      </c>
      <c r="P162" s="111" t="str">
        <f t="shared" si="16"/>
        <v/>
      </c>
      <c r="Q162" s="111" t="str">
        <f t="shared" si="16"/>
        <v/>
      </c>
      <c r="R162" s="111" t="str">
        <f t="shared" si="16"/>
        <v/>
      </c>
      <c r="S162" s="111" t="str">
        <f t="shared" si="16"/>
        <v/>
      </c>
      <c r="T162" s="111" t="str">
        <f t="shared" si="16"/>
        <v/>
      </c>
      <c r="U162" s="111" t="str">
        <f t="shared" si="16"/>
        <v/>
      </c>
      <c r="V162" s="111" t="str">
        <f t="shared" si="16"/>
        <v/>
      </c>
      <c r="W162" s="104"/>
      <c r="X162" s="104"/>
      <c r="Y162" s="104"/>
      <c r="Z162" s="104"/>
      <c r="AA162" s="104"/>
      <c r="AB162" s="104"/>
      <c r="AC162" s="104"/>
      <c r="AD162" s="104"/>
    </row>
    <row r="163" spans="1:30" x14ac:dyDescent="0.3">
      <c r="A163" s="110"/>
      <c r="B163" s="111" t="str">
        <f>IF($A163="","",SUMIFS(weekly_demand!$D:$D,weekly_demand!$A:$A,B$1,weekly_demand!$C:$C,$A163))</f>
        <v/>
      </c>
      <c r="C163" s="111" t="str">
        <f>IF($A163="","",SUMIFS(weekly_demand!$D:$D,weekly_demand!$A:$A,C$1,weekly_demand!$C:$C,$A163))</f>
        <v/>
      </c>
      <c r="D163" s="111" t="str">
        <f>IF($A163="","",SUMIFS(weekly_demand!$D:$D,weekly_demand!$A:$A,D$1,weekly_demand!$C:$C,$A163))</f>
        <v/>
      </c>
      <c r="E163" s="111" t="str">
        <f>IF($A163="","",SUMIFS(weekly_demand!$D:$D,weekly_demand!$A:$A,E$1,weekly_demand!$C:$C,$A163))</f>
        <v/>
      </c>
      <c r="F163" s="111" t="str">
        <f>IF($A163="","",SUMIFS(weekly_demand!$D:$D,weekly_demand!$A:$A,F$1,weekly_demand!$C:$C,$A163))</f>
        <v/>
      </c>
      <c r="G163" s="111" t="str">
        <f>IF($A163="","",SUMIFS(weekly_demand!$D:$D,weekly_demand!$A:$A,G$1,weekly_demand!$C:$C,$A163))</f>
        <v/>
      </c>
      <c r="H163" s="111" t="str">
        <f t="shared" si="16"/>
        <v/>
      </c>
      <c r="I163" s="111" t="str">
        <f t="shared" si="16"/>
        <v/>
      </c>
      <c r="J163" s="111" t="str">
        <f t="shared" si="16"/>
        <v/>
      </c>
      <c r="K163" s="111" t="str">
        <f t="shared" si="16"/>
        <v/>
      </c>
      <c r="L163" s="111" t="str">
        <f t="shared" si="16"/>
        <v/>
      </c>
      <c r="M163" s="111" t="str">
        <f t="shared" si="16"/>
        <v/>
      </c>
      <c r="N163" s="111" t="str">
        <f t="shared" si="16"/>
        <v/>
      </c>
      <c r="O163" s="111" t="str">
        <f t="shared" si="16"/>
        <v/>
      </c>
      <c r="P163" s="111" t="str">
        <f t="shared" si="16"/>
        <v/>
      </c>
      <c r="Q163" s="111" t="str">
        <f t="shared" si="16"/>
        <v/>
      </c>
      <c r="R163" s="111" t="str">
        <f t="shared" si="16"/>
        <v/>
      </c>
      <c r="S163" s="111" t="str">
        <f t="shared" si="16"/>
        <v/>
      </c>
      <c r="T163" s="111" t="str">
        <f t="shared" si="16"/>
        <v/>
      </c>
      <c r="U163" s="111" t="str">
        <f t="shared" si="16"/>
        <v/>
      </c>
      <c r="V163" s="111" t="str">
        <f t="shared" si="16"/>
        <v/>
      </c>
      <c r="W163" s="104"/>
      <c r="X163" s="104"/>
      <c r="Y163" s="104"/>
      <c r="Z163" s="104"/>
      <c r="AA163" s="104"/>
      <c r="AB163" s="104"/>
      <c r="AC163" s="104"/>
      <c r="AD163" s="104"/>
    </row>
    <row r="164" spans="1:30" x14ac:dyDescent="0.3">
      <c r="A164" s="110"/>
      <c r="B164" s="111" t="str">
        <f>IF($A164="","",SUMIFS(weekly_demand!$D:$D,weekly_demand!$A:$A,B$1,weekly_demand!$C:$C,$A164))</f>
        <v/>
      </c>
      <c r="C164" s="111" t="str">
        <f>IF($A164="","",SUMIFS(weekly_demand!$D:$D,weekly_demand!$A:$A,C$1,weekly_demand!$C:$C,$A164))</f>
        <v/>
      </c>
      <c r="D164" s="111" t="str">
        <f>IF($A164="","",SUMIFS(weekly_demand!$D:$D,weekly_demand!$A:$A,D$1,weekly_demand!$C:$C,$A164))</f>
        <v/>
      </c>
      <c r="E164" s="111" t="str">
        <f>IF($A164="","",SUMIFS(weekly_demand!$D:$D,weekly_demand!$A:$A,E$1,weekly_demand!$C:$C,$A164))</f>
        <v/>
      </c>
      <c r="F164" s="111" t="str">
        <f>IF($A164="","",SUMIFS(weekly_demand!$D:$D,weekly_demand!$A:$A,F$1,weekly_demand!$C:$C,$A164))</f>
        <v/>
      </c>
      <c r="G164" s="111" t="str">
        <f>IF($A164="","",SUMIFS(weekly_demand!$D:$D,weekly_demand!$A:$A,G$1,weekly_demand!$C:$C,$A164))</f>
        <v/>
      </c>
      <c r="H164" s="111" t="str">
        <f t="shared" si="16"/>
        <v/>
      </c>
      <c r="I164" s="111" t="str">
        <f t="shared" si="16"/>
        <v/>
      </c>
      <c r="J164" s="111" t="str">
        <f t="shared" si="16"/>
        <v/>
      </c>
      <c r="K164" s="111" t="str">
        <f t="shared" si="16"/>
        <v/>
      </c>
      <c r="L164" s="111" t="str">
        <f t="shared" si="16"/>
        <v/>
      </c>
      <c r="M164" s="111" t="str">
        <f t="shared" si="16"/>
        <v/>
      </c>
      <c r="N164" s="111" t="str">
        <f t="shared" si="16"/>
        <v/>
      </c>
      <c r="O164" s="111" t="str">
        <f t="shared" si="16"/>
        <v/>
      </c>
      <c r="P164" s="111" t="str">
        <f t="shared" si="16"/>
        <v/>
      </c>
      <c r="Q164" s="111" t="str">
        <f t="shared" si="16"/>
        <v/>
      </c>
      <c r="R164" s="111" t="str">
        <f t="shared" si="16"/>
        <v/>
      </c>
      <c r="S164" s="111" t="str">
        <f t="shared" si="16"/>
        <v/>
      </c>
      <c r="T164" s="111" t="str">
        <f t="shared" si="16"/>
        <v/>
      </c>
      <c r="U164" s="111" t="str">
        <f t="shared" si="16"/>
        <v/>
      </c>
      <c r="V164" s="111" t="str">
        <f t="shared" si="16"/>
        <v/>
      </c>
      <c r="W164" s="104"/>
      <c r="X164" s="104"/>
      <c r="Y164" s="104"/>
      <c r="Z164" s="104"/>
      <c r="AA164" s="104"/>
      <c r="AB164" s="104"/>
      <c r="AC164" s="104"/>
      <c r="AD164" s="104"/>
    </row>
    <row r="165" spans="1:30" x14ac:dyDescent="0.3">
      <c r="A165" s="110"/>
      <c r="B165" s="111" t="str">
        <f>IF($A165="","",SUMIFS(weekly_demand!$D:$D,weekly_demand!$A:$A,B$1,weekly_demand!$C:$C,$A165))</f>
        <v/>
      </c>
      <c r="C165" s="111" t="str">
        <f>IF($A165="","",SUMIFS(weekly_demand!$D:$D,weekly_demand!$A:$A,C$1,weekly_demand!$C:$C,$A165))</f>
        <v/>
      </c>
      <c r="D165" s="111" t="str">
        <f>IF($A165="","",SUMIFS(weekly_demand!$D:$D,weekly_demand!$A:$A,D$1,weekly_demand!$C:$C,$A165))</f>
        <v/>
      </c>
      <c r="E165" s="111" t="str">
        <f>IF($A165="","",SUMIFS(weekly_demand!$D:$D,weekly_demand!$A:$A,E$1,weekly_demand!$C:$C,$A165))</f>
        <v/>
      </c>
      <c r="F165" s="111" t="str">
        <f>IF($A165="","",SUMIFS(weekly_demand!$D:$D,weekly_demand!$A:$A,F$1,weekly_demand!$C:$C,$A165))</f>
        <v/>
      </c>
      <c r="G165" s="111" t="str">
        <f>IF($A165="","",SUMIFS(weekly_demand!$D:$D,weekly_demand!$A:$A,G$1,weekly_demand!$C:$C,$A165))</f>
        <v/>
      </c>
      <c r="H165" s="111" t="str">
        <f t="shared" si="16"/>
        <v/>
      </c>
      <c r="I165" s="111" t="str">
        <f t="shared" si="16"/>
        <v/>
      </c>
      <c r="J165" s="111" t="str">
        <f t="shared" si="16"/>
        <v/>
      </c>
      <c r="K165" s="111" t="str">
        <f t="shared" si="16"/>
        <v/>
      </c>
      <c r="L165" s="111" t="str">
        <f t="shared" si="16"/>
        <v/>
      </c>
      <c r="M165" s="111" t="str">
        <f t="shared" si="16"/>
        <v/>
      </c>
      <c r="N165" s="111" t="str">
        <f t="shared" si="16"/>
        <v/>
      </c>
      <c r="O165" s="111" t="str">
        <f t="shared" si="16"/>
        <v/>
      </c>
      <c r="P165" s="111" t="str">
        <f t="shared" si="16"/>
        <v/>
      </c>
      <c r="Q165" s="111" t="str">
        <f t="shared" si="16"/>
        <v/>
      </c>
      <c r="R165" s="111" t="str">
        <f t="shared" si="16"/>
        <v/>
      </c>
      <c r="S165" s="111" t="str">
        <f t="shared" si="16"/>
        <v/>
      </c>
      <c r="T165" s="111" t="str">
        <f t="shared" si="16"/>
        <v/>
      </c>
      <c r="U165" s="111" t="str">
        <f t="shared" si="16"/>
        <v/>
      </c>
      <c r="V165" s="111" t="str">
        <f t="shared" si="16"/>
        <v/>
      </c>
      <c r="W165" s="104"/>
      <c r="X165" s="104"/>
      <c r="Y165" s="104"/>
      <c r="Z165" s="104"/>
      <c r="AA165" s="104"/>
      <c r="AB165" s="104"/>
      <c r="AC165" s="104"/>
      <c r="AD165" s="104"/>
    </row>
    <row r="166" spans="1:30" x14ac:dyDescent="0.3">
      <c r="A166" s="110"/>
      <c r="B166" s="111" t="str">
        <f>IF($A166="","",SUMIFS(weekly_demand!$D:$D,weekly_demand!$A:$A,B$1,weekly_demand!$C:$C,$A166))</f>
        <v/>
      </c>
      <c r="C166" s="111" t="str">
        <f>IF($A166="","",SUMIFS(weekly_demand!$D:$D,weekly_demand!$A:$A,C$1,weekly_demand!$C:$C,$A166))</f>
        <v/>
      </c>
      <c r="D166" s="111" t="str">
        <f>IF($A166="","",SUMIFS(weekly_demand!$D:$D,weekly_demand!$A:$A,D$1,weekly_demand!$C:$C,$A166))</f>
        <v/>
      </c>
      <c r="E166" s="111" t="str">
        <f>IF($A166="","",SUMIFS(weekly_demand!$D:$D,weekly_demand!$A:$A,E$1,weekly_demand!$C:$C,$A166))</f>
        <v/>
      </c>
      <c r="F166" s="111" t="str">
        <f>IF($A166="","",SUMIFS(weekly_demand!$D:$D,weekly_demand!$A:$A,F$1,weekly_demand!$C:$C,$A166))</f>
        <v/>
      </c>
      <c r="G166" s="111" t="str">
        <f>IF($A166="","",SUMIFS(weekly_demand!$D:$D,weekly_demand!$A:$A,G$1,weekly_demand!$C:$C,$A166))</f>
        <v/>
      </c>
      <c r="H166" s="111" t="str">
        <f t="shared" si="16"/>
        <v/>
      </c>
      <c r="I166" s="111" t="str">
        <f t="shared" si="16"/>
        <v/>
      </c>
      <c r="J166" s="111" t="str">
        <f t="shared" si="16"/>
        <v/>
      </c>
      <c r="K166" s="111" t="str">
        <f t="shared" si="16"/>
        <v/>
      </c>
      <c r="L166" s="111" t="str">
        <f t="shared" si="16"/>
        <v/>
      </c>
      <c r="M166" s="111" t="str">
        <f t="shared" si="16"/>
        <v/>
      </c>
      <c r="N166" s="111" t="str">
        <f t="shared" si="16"/>
        <v/>
      </c>
      <c r="O166" s="111" t="str">
        <f t="shared" si="16"/>
        <v/>
      </c>
      <c r="P166" s="111" t="str">
        <f t="shared" si="16"/>
        <v/>
      </c>
      <c r="Q166" s="111" t="str">
        <f t="shared" si="16"/>
        <v/>
      </c>
      <c r="R166" s="111" t="str">
        <f t="shared" si="16"/>
        <v/>
      </c>
      <c r="S166" s="111" t="str">
        <f t="shared" si="16"/>
        <v/>
      </c>
      <c r="T166" s="111" t="str">
        <f t="shared" si="16"/>
        <v/>
      </c>
      <c r="U166" s="111" t="str">
        <f t="shared" si="16"/>
        <v/>
      </c>
      <c r="V166" s="111" t="str">
        <f t="shared" si="16"/>
        <v/>
      </c>
      <c r="W166" s="104"/>
      <c r="X166" s="104"/>
      <c r="Y166" s="104"/>
      <c r="Z166" s="104"/>
      <c r="AA166" s="104"/>
      <c r="AB166" s="104"/>
      <c r="AC166" s="104"/>
      <c r="AD166" s="104"/>
    </row>
    <row r="167" spans="1:30" x14ac:dyDescent="0.3">
      <c r="A167" s="110"/>
      <c r="B167" s="111" t="str">
        <f>IF($A167="","",SUMIFS(weekly_demand!$D:$D,weekly_demand!$A:$A,B$1,weekly_demand!$C:$C,$A167))</f>
        <v/>
      </c>
      <c r="C167" s="111" t="str">
        <f>IF($A167="","",SUMIFS(weekly_demand!$D:$D,weekly_demand!$A:$A,C$1,weekly_demand!$C:$C,$A167))</f>
        <v/>
      </c>
      <c r="D167" s="111" t="str">
        <f>IF($A167="","",SUMIFS(weekly_demand!$D:$D,weekly_demand!$A:$A,D$1,weekly_demand!$C:$C,$A167))</f>
        <v/>
      </c>
      <c r="E167" s="111" t="str">
        <f>IF($A167="","",SUMIFS(weekly_demand!$D:$D,weekly_demand!$A:$A,E$1,weekly_demand!$C:$C,$A167))</f>
        <v/>
      </c>
      <c r="F167" s="111" t="str">
        <f>IF($A167="","",SUMIFS(weekly_demand!$D:$D,weekly_demand!$A:$A,F$1,weekly_demand!$C:$C,$A167))</f>
        <v/>
      </c>
      <c r="G167" s="111" t="str">
        <f>IF($A167="","",SUMIFS(weekly_demand!$D:$D,weekly_demand!$A:$A,G$1,weekly_demand!$C:$C,$A167))</f>
        <v/>
      </c>
      <c r="H167" s="111" t="str">
        <f t="shared" si="16"/>
        <v/>
      </c>
      <c r="I167" s="111" t="str">
        <f t="shared" si="16"/>
        <v/>
      </c>
      <c r="J167" s="111" t="str">
        <f t="shared" si="16"/>
        <v/>
      </c>
      <c r="K167" s="111" t="str">
        <f t="shared" si="16"/>
        <v/>
      </c>
      <c r="L167" s="111" t="str">
        <f t="shared" si="16"/>
        <v/>
      </c>
      <c r="M167" s="111" t="str">
        <f t="shared" si="16"/>
        <v/>
      </c>
      <c r="N167" s="111" t="str">
        <f t="shared" si="16"/>
        <v/>
      </c>
      <c r="O167" s="111" t="str">
        <f t="shared" si="16"/>
        <v/>
      </c>
      <c r="P167" s="111" t="str">
        <f t="shared" si="16"/>
        <v/>
      </c>
      <c r="Q167" s="111" t="str">
        <f t="shared" si="16"/>
        <v/>
      </c>
      <c r="R167" s="111" t="str">
        <f t="shared" si="16"/>
        <v/>
      </c>
      <c r="S167" s="111" t="str">
        <f t="shared" si="16"/>
        <v/>
      </c>
      <c r="T167" s="111" t="str">
        <f t="shared" si="16"/>
        <v/>
      </c>
      <c r="U167" s="111" t="str">
        <f t="shared" si="16"/>
        <v/>
      </c>
      <c r="V167" s="111" t="str">
        <f t="shared" si="16"/>
        <v/>
      </c>
      <c r="W167" s="104"/>
      <c r="X167" s="104"/>
      <c r="Y167" s="104"/>
      <c r="Z167" s="104"/>
      <c r="AA167" s="104"/>
      <c r="AB167" s="104"/>
      <c r="AC167" s="104"/>
      <c r="AD167" s="104"/>
    </row>
    <row r="168" spans="1:30" x14ac:dyDescent="0.3">
      <c r="A168" s="110"/>
      <c r="B168" s="111" t="str">
        <f>IF($A168="","",SUMIFS(weekly_demand!$D:$D,weekly_demand!$A:$A,B$1,weekly_demand!$C:$C,$A168))</f>
        <v/>
      </c>
      <c r="C168" s="111" t="str">
        <f>IF($A168="","",SUMIFS(weekly_demand!$D:$D,weekly_demand!$A:$A,C$1,weekly_demand!$C:$C,$A168))</f>
        <v/>
      </c>
      <c r="D168" s="111" t="str">
        <f>IF($A168="","",SUMIFS(weekly_demand!$D:$D,weekly_demand!$A:$A,D$1,weekly_demand!$C:$C,$A168))</f>
        <v/>
      </c>
      <c r="E168" s="111" t="str">
        <f>IF($A168="","",SUMIFS(weekly_demand!$D:$D,weekly_demand!$A:$A,E$1,weekly_demand!$C:$C,$A168))</f>
        <v/>
      </c>
      <c r="F168" s="111" t="str">
        <f>IF($A168="","",SUMIFS(weekly_demand!$D:$D,weekly_demand!$A:$A,F$1,weekly_demand!$C:$C,$A168))</f>
        <v/>
      </c>
      <c r="G168" s="111" t="str">
        <f>IF($A168="","",SUMIFS(weekly_demand!$D:$D,weekly_demand!$A:$A,G$1,weekly_demand!$C:$C,$A168))</f>
        <v/>
      </c>
      <c r="H168" s="111" t="str">
        <f t="shared" si="16"/>
        <v/>
      </c>
      <c r="I168" s="111" t="str">
        <f t="shared" si="16"/>
        <v/>
      </c>
      <c r="J168" s="111" t="str">
        <f t="shared" si="16"/>
        <v/>
      </c>
      <c r="K168" s="111" t="str">
        <f t="shared" si="16"/>
        <v/>
      </c>
      <c r="L168" s="111" t="str">
        <f t="shared" si="16"/>
        <v/>
      </c>
      <c r="M168" s="111" t="str">
        <f t="shared" si="16"/>
        <v/>
      </c>
      <c r="N168" s="111" t="str">
        <f t="shared" si="16"/>
        <v/>
      </c>
      <c r="O168" s="111" t="str">
        <f t="shared" si="16"/>
        <v/>
      </c>
      <c r="P168" s="111" t="str">
        <f t="shared" si="16"/>
        <v/>
      </c>
      <c r="Q168" s="111" t="str">
        <f t="shared" si="16"/>
        <v/>
      </c>
      <c r="R168" s="111" t="str">
        <f t="shared" si="16"/>
        <v/>
      </c>
      <c r="S168" s="111" t="str">
        <f t="shared" si="16"/>
        <v/>
      </c>
      <c r="T168" s="111" t="str">
        <f t="shared" si="16"/>
        <v/>
      </c>
      <c r="U168" s="111" t="str">
        <f t="shared" si="16"/>
        <v/>
      </c>
      <c r="V168" s="111" t="str">
        <f t="shared" si="16"/>
        <v/>
      </c>
      <c r="W168" s="104"/>
      <c r="X168" s="104"/>
      <c r="Y168" s="104"/>
      <c r="Z168" s="104"/>
      <c r="AA168" s="104"/>
      <c r="AB168" s="104"/>
      <c r="AC168" s="104"/>
      <c r="AD168" s="104"/>
    </row>
    <row r="169" spans="1:30" x14ac:dyDescent="0.3">
      <c r="A169" s="110"/>
      <c r="B169" s="111" t="str">
        <f>IF($A169="","",SUMIFS(weekly_demand!$D:$D,weekly_demand!$A:$A,B$1,weekly_demand!$C:$C,$A169))</f>
        <v/>
      </c>
      <c r="C169" s="111" t="str">
        <f>IF($A169="","",SUMIFS(weekly_demand!$D:$D,weekly_demand!$A:$A,C$1,weekly_demand!$C:$C,$A169))</f>
        <v/>
      </c>
      <c r="D169" s="111" t="str">
        <f>IF($A169="","",SUMIFS(weekly_demand!$D:$D,weekly_demand!$A:$A,D$1,weekly_demand!$C:$C,$A169))</f>
        <v/>
      </c>
      <c r="E169" s="111" t="str">
        <f>IF($A169="","",SUMIFS(weekly_demand!$D:$D,weekly_demand!$A:$A,E$1,weekly_demand!$C:$C,$A169))</f>
        <v/>
      </c>
      <c r="F169" s="111" t="str">
        <f>IF($A169="","",SUMIFS(weekly_demand!$D:$D,weekly_demand!$A:$A,F$1,weekly_demand!$C:$C,$A169))</f>
        <v/>
      </c>
      <c r="G169" s="111" t="str">
        <f>IF($A169="","",SUMIFS(weekly_demand!$D:$D,weekly_demand!$A:$A,G$1,weekly_demand!$C:$C,$A169))</f>
        <v/>
      </c>
      <c r="H169" s="111" t="str">
        <f t="shared" si="16"/>
        <v/>
      </c>
      <c r="I169" s="111" t="str">
        <f t="shared" si="16"/>
        <v/>
      </c>
      <c r="J169" s="111" t="str">
        <f t="shared" si="16"/>
        <v/>
      </c>
      <c r="K169" s="111" t="str">
        <f t="shared" si="16"/>
        <v/>
      </c>
      <c r="L169" s="111" t="str">
        <f t="shared" si="16"/>
        <v/>
      </c>
      <c r="M169" s="111" t="str">
        <f t="shared" si="16"/>
        <v/>
      </c>
      <c r="N169" s="111" t="str">
        <f t="shared" si="16"/>
        <v/>
      </c>
      <c r="O169" s="111" t="str">
        <f t="shared" si="16"/>
        <v/>
      </c>
      <c r="P169" s="111" t="str">
        <f t="shared" si="16"/>
        <v/>
      </c>
      <c r="Q169" s="111" t="str">
        <f t="shared" si="16"/>
        <v/>
      </c>
      <c r="R169" s="111" t="str">
        <f t="shared" si="16"/>
        <v/>
      </c>
      <c r="S169" s="111" t="str">
        <f t="shared" si="16"/>
        <v/>
      </c>
      <c r="T169" s="111" t="str">
        <f t="shared" si="16"/>
        <v/>
      </c>
      <c r="U169" s="111" t="str">
        <f t="shared" si="16"/>
        <v/>
      </c>
      <c r="V169" s="111" t="str">
        <f t="shared" si="16"/>
        <v/>
      </c>
      <c r="W169" s="104"/>
      <c r="X169" s="104"/>
      <c r="Y169" s="104"/>
      <c r="Z169" s="104"/>
      <c r="AA169" s="104"/>
      <c r="AB169" s="104"/>
      <c r="AC169" s="104"/>
      <c r="AD169" s="104"/>
    </row>
    <row r="170" spans="1:30" x14ac:dyDescent="0.3">
      <c r="A170" s="110"/>
      <c r="B170" s="111" t="str">
        <f>IF($A170="","",SUMIFS(weekly_demand!$D:$D,weekly_demand!$A:$A,B$1,weekly_demand!$C:$C,$A170))</f>
        <v/>
      </c>
      <c r="C170" s="111" t="str">
        <f>IF($A170="","",SUMIFS(weekly_demand!$D:$D,weekly_demand!$A:$A,C$1,weekly_demand!$C:$C,$A170))</f>
        <v/>
      </c>
      <c r="D170" s="111" t="str">
        <f>IF($A170="","",SUMIFS(weekly_demand!$D:$D,weekly_demand!$A:$A,D$1,weekly_demand!$C:$C,$A170))</f>
        <v/>
      </c>
      <c r="E170" s="111" t="str">
        <f>IF($A170="","",SUMIFS(weekly_demand!$D:$D,weekly_demand!$A:$A,E$1,weekly_demand!$C:$C,$A170))</f>
        <v/>
      </c>
      <c r="F170" s="111" t="str">
        <f>IF($A170="","",SUMIFS(weekly_demand!$D:$D,weekly_demand!$A:$A,F$1,weekly_demand!$C:$C,$A170))</f>
        <v/>
      </c>
      <c r="G170" s="111" t="str">
        <f>IF($A170="","",SUMIFS(weekly_demand!$D:$D,weekly_demand!$A:$A,G$1,weekly_demand!$C:$C,$A170))</f>
        <v/>
      </c>
      <c r="H170" s="111" t="str">
        <f t="shared" si="16"/>
        <v/>
      </c>
      <c r="I170" s="111" t="str">
        <f t="shared" si="16"/>
        <v/>
      </c>
      <c r="J170" s="111" t="str">
        <f t="shared" si="16"/>
        <v/>
      </c>
      <c r="K170" s="111" t="str">
        <f t="shared" si="16"/>
        <v/>
      </c>
      <c r="L170" s="111" t="str">
        <f t="shared" si="16"/>
        <v/>
      </c>
      <c r="M170" s="111" t="str">
        <f t="shared" si="16"/>
        <v/>
      </c>
      <c r="N170" s="111" t="str">
        <f t="shared" si="16"/>
        <v/>
      </c>
      <c r="O170" s="111" t="str">
        <f t="shared" si="16"/>
        <v/>
      </c>
      <c r="P170" s="111" t="str">
        <f t="shared" si="16"/>
        <v/>
      </c>
      <c r="Q170" s="111" t="str">
        <f t="shared" si="16"/>
        <v/>
      </c>
      <c r="R170" s="111" t="str">
        <f t="shared" si="16"/>
        <v/>
      </c>
      <c r="S170" s="111" t="str">
        <f t="shared" si="16"/>
        <v/>
      </c>
      <c r="T170" s="111" t="str">
        <f t="shared" si="16"/>
        <v/>
      </c>
      <c r="U170" s="111" t="str">
        <f t="shared" si="16"/>
        <v/>
      </c>
      <c r="V170" s="111" t="str">
        <f t="shared" si="16"/>
        <v/>
      </c>
      <c r="W170" s="104"/>
      <c r="X170" s="104"/>
      <c r="Y170" s="104"/>
      <c r="Z170" s="104"/>
      <c r="AA170" s="104"/>
      <c r="AB170" s="104"/>
      <c r="AC170" s="104"/>
      <c r="AD170" s="104"/>
    </row>
    <row r="171" spans="1:30" x14ac:dyDescent="0.3">
      <c r="A171" s="110"/>
      <c r="B171" s="111" t="str">
        <f>IF($A171="","",SUMIFS(weekly_demand!$D:$D,weekly_demand!$A:$A,B$1,weekly_demand!$C:$C,$A171))</f>
        <v/>
      </c>
      <c r="C171" s="111" t="str">
        <f>IF($A171="","",SUMIFS(weekly_demand!$D:$D,weekly_demand!$A:$A,C$1,weekly_demand!$C:$C,$A171))</f>
        <v/>
      </c>
      <c r="D171" s="111" t="str">
        <f>IF($A171="","",SUMIFS(weekly_demand!$D:$D,weekly_demand!$A:$A,D$1,weekly_demand!$C:$C,$A171))</f>
        <v/>
      </c>
      <c r="E171" s="111" t="str">
        <f>IF($A171="","",SUMIFS(weekly_demand!$D:$D,weekly_demand!$A:$A,E$1,weekly_demand!$C:$C,$A171))</f>
        <v/>
      </c>
      <c r="F171" s="111" t="str">
        <f>IF($A171="","",SUMIFS(weekly_demand!$D:$D,weekly_demand!$A:$A,F$1,weekly_demand!$C:$C,$A171))</f>
        <v/>
      </c>
      <c r="G171" s="111" t="str">
        <f>IF($A171="","",SUMIFS(weekly_demand!$D:$D,weekly_demand!$A:$A,G$1,weekly_demand!$C:$C,$A171))</f>
        <v/>
      </c>
      <c r="H171" s="111" t="str">
        <f t="shared" si="16"/>
        <v/>
      </c>
      <c r="I171" s="111" t="str">
        <f t="shared" si="16"/>
        <v/>
      </c>
      <c r="J171" s="111" t="str">
        <f t="shared" si="16"/>
        <v/>
      </c>
      <c r="K171" s="111" t="str">
        <f t="shared" si="16"/>
        <v/>
      </c>
      <c r="L171" s="111" t="str">
        <f t="shared" si="16"/>
        <v/>
      </c>
      <c r="M171" s="111" t="str">
        <f t="shared" si="16"/>
        <v/>
      </c>
      <c r="N171" s="111" t="str">
        <f t="shared" si="16"/>
        <v/>
      </c>
      <c r="O171" s="111" t="str">
        <f t="shared" si="16"/>
        <v/>
      </c>
      <c r="P171" s="111" t="str">
        <f t="shared" si="16"/>
        <v/>
      </c>
      <c r="Q171" s="111" t="str">
        <f t="shared" si="16"/>
        <v/>
      </c>
      <c r="R171" s="111" t="str">
        <f t="shared" si="16"/>
        <v/>
      </c>
      <c r="S171" s="111" t="str">
        <f t="shared" si="16"/>
        <v/>
      </c>
      <c r="T171" s="111" t="str">
        <f t="shared" si="16"/>
        <v/>
      </c>
      <c r="U171" s="111" t="str">
        <f t="shared" si="16"/>
        <v/>
      </c>
      <c r="V171" s="111" t="str">
        <f t="shared" si="16"/>
        <v/>
      </c>
      <c r="W171" s="104"/>
      <c r="X171" s="104"/>
      <c r="Y171" s="104"/>
      <c r="Z171" s="104"/>
      <c r="AA171" s="104"/>
      <c r="AB171" s="104"/>
      <c r="AC171" s="104"/>
      <c r="AD171" s="104"/>
    </row>
    <row r="172" spans="1:30" x14ac:dyDescent="0.3">
      <c r="A172" s="110"/>
      <c r="B172" s="111" t="str">
        <f>IF($A172="","",SUMIFS(weekly_demand!$D:$D,weekly_demand!$A:$A,B$1,weekly_demand!$C:$C,$A172))</f>
        <v/>
      </c>
      <c r="C172" s="111" t="str">
        <f>IF($A172="","",SUMIFS(weekly_demand!$D:$D,weekly_demand!$A:$A,C$1,weekly_demand!$C:$C,$A172))</f>
        <v/>
      </c>
      <c r="D172" s="111" t="str">
        <f>IF($A172="","",SUMIFS(weekly_demand!$D:$D,weekly_demand!$A:$A,D$1,weekly_demand!$C:$C,$A172))</f>
        <v/>
      </c>
      <c r="E172" s="111" t="str">
        <f>IF($A172="","",SUMIFS(weekly_demand!$D:$D,weekly_demand!$A:$A,E$1,weekly_demand!$C:$C,$A172))</f>
        <v/>
      </c>
      <c r="F172" s="111" t="str">
        <f>IF($A172="","",SUMIFS(weekly_demand!$D:$D,weekly_demand!$A:$A,F$1,weekly_demand!$C:$C,$A172))</f>
        <v/>
      </c>
      <c r="G172" s="111" t="str">
        <f>IF($A172="","",SUMIFS(weekly_demand!$D:$D,weekly_demand!$A:$A,G$1,weekly_demand!$C:$C,$A172))</f>
        <v/>
      </c>
      <c r="H172" s="111" t="str">
        <f t="shared" ref="H172:V181" si="17">IF($A172="","",SUMPRODUCT($B172:$G172,INDEX($Y$2:$AD$16,MATCH(H$1,$X$2:$X$16,0),0)))</f>
        <v/>
      </c>
      <c r="I172" s="111" t="str">
        <f t="shared" si="17"/>
        <v/>
      </c>
      <c r="J172" s="111" t="str">
        <f t="shared" si="17"/>
        <v/>
      </c>
      <c r="K172" s="111" t="str">
        <f t="shared" si="17"/>
        <v/>
      </c>
      <c r="L172" s="111" t="str">
        <f t="shared" si="17"/>
        <v/>
      </c>
      <c r="M172" s="111" t="str">
        <f t="shared" si="17"/>
        <v/>
      </c>
      <c r="N172" s="111" t="str">
        <f t="shared" si="17"/>
        <v/>
      </c>
      <c r="O172" s="111" t="str">
        <f t="shared" si="17"/>
        <v/>
      </c>
      <c r="P172" s="111" t="str">
        <f t="shared" si="17"/>
        <v/>
      </c>
      <c r="Q172" s="111" t="str">
        <f t="shared" si="17"/>
        <v/>
      </c>
      <c r="R172" s="111" t="str">
        <f t="shared" si="17"/>
        <v/>
      </c>
      <c r="S172" s="111" t="str">
        <f t="shared" si="17"/>
        <v/>
      </c>
      <c r="T172" s="111" t="str">
        <f t="shared" si="17"/>
        <v/>
      </c>
      <c r="U172" s="111" t="str">
        <f t="shared" si="17"/>
        <v/>
      </c>
      <c r="V172" s="111" t="str">
        <f t="shared" si="17"/>
        <v/>
      </c>
      <c r="W172" s="104"/>
      <c r="X172" s="104"/>
      <c r="Y172" s="104"/>
      <c r="Z172" s="104"/>
      <c r="AA172" s="104"/>
      <c r="AB172" s="104"/>
      <c r="AC172" s="104"/>
      <c r="AD172" s="104"/>
    </row>
    <row r="173" spans="1:30" x14ac:dyDescent="0.3">
      <c r="A173" s="110"/>
      <c r="B173" s="111" t="str">
        <f>IF($A173="","",SUMIFS(weekly_demand!$D:$D,weekly_demand!$A:$A,B$1,weekly_demand!$C:$C,$A173))</f>
        <v/>
      </c>
      <c r="C173" s="111" t="str">
        <f>IF($A173="","",SUMIFS(weekly_demand!$D:$D,weekly_demand!$A:$A,C$1,weekly_demand!$C:$C,$A173))</f>
        <v/>
      </c>
      <c r="D173" s="111" t="str">
        <f>IF($A173="","",SUMIFS(weekly_demand!$D:$D,weekly_demand!$A:$A,D$1,weekly_demand!$C:$C,$A173))</f>
        <v/>
      </c>
      <c r="E173" s="111" t="str">
        <f>IF($A173="","",SUMIFS(weekly_demand!$D:$D,weekly_demand!$A:$A,E$1,weekly_demand!$C:$C,$A173))</f>
        <v/>
      </c>
      <c r="F173" s="111" t="str">
        <f>IF($A173="","",SUMIFS(weekly_demand!$D:$D,weekly_demand!$A:$A,F$1,weekly_demand!$C:$C,$A173))</f>
        <v/>
      </c>
      <c r="G173" s="111" t="str">
        <f>IF($A173="","",SUMIFS(weekly_demand!$D:$D,weekly_demand!$A:$A,G$1,weekly_demand!$C:$C,$A173))</f>
        <v/>
      </c>
      <c r="H173" s="111" t="str">
        <f t="shared" si="17"/>
        <v/>
      </c>
      <c r="I173" s="111" t="str">
        <f t="shared" si="17"/>
        <v/>
      </c>
      <c r="J173" s="111" t="str">
        <f t="shared" si="17"/>
        <v/>
      </c>
      <c r="K173" s="111" t="str">
        <f t="shared" si="17"/>
        <v/>
      </c>
      <c r="L173" s="111" t="str">
        <f t="shared" si="17"/>
        <v/>
      </c>
      <c r="M173" s="111" t="str">
        <f t="shared" si="17"/>
        <v/>
      </c>
      <c r="N173" s="111" t="str">
        <f t="shared" si="17"/>
        <v/>
      </c>
      <c r="O173" s="111" t="str">
        <f t="shared" si="17"/>
        <v/>
      </c>
      <c r="P173" s="111" t="str">
        <f t="shared" si="17"/>
        <v/>
      </c>
      <c r="Q173" s="111" t="str">
        <f t="shared" si="17"/>
        <v/>
      </c>
      <c r="R173" s="111" t="str">
        <f t="shared" si="17"/>
        <v/>
      </c>
      <c r="S173" s="111" t="str">
        <f t="shared" si="17"/>
        <v/>
      </c>
      <c r="T173" s="111" t="str">
        <f t="shared" si="17"/>
        <v/>
      </c>
      <c r="U173" s="111" t="str">
        <f t="shared" si="17"/>
        <v/>
      </c>
      <c r="V173" s="111" t="str">
        <f t="shared" si="17"/>
        <v/>
      </c>
      <c r="W173" s="104"/>
      <c r="X173" s="104"/>
      <c r="Y173" s="104"/>
      <c r="Z173" s="104"/>
      <c r="AA173" s="104"/>
      <c r="AB173" s="104"/>
      <c r="AC173" s="104"/>
      <c r="AD173" s="104"/>
    </row>
    <row r="174" spans="1:30" x14ac:dyDescent="0.3">
      <c r="A174" s="110"/>
      <c r="B174" s="111" t="str">
        <f>IF($A174="","",SUMIFS(weekly_demand!$D:$D,weekly_demand!$A:$A,B$1,weekly_demand!$C:$C,$A174))</f>
        <v/>
      </c>
      <c r="C174" s="111" t="str">
        <f>IF($A174="","",SUMIFS(weekly_demand!$D:$D,weekly_demand!$A:$A,C$1,weekly_demand!$C:$C,$A174))</f>
        <v/>
      </c>
      <c r="D174" s="111" t="str">
        <f>IF($A174="","",SUMIFS(weekly_demand!$D:$D,weekly_demand!$A:$A,D$1,weekly_demand!$C:$C,$A174))</f>
        <v/>
      </c>
      <c r="E174" s="111" t="str">
        <f>IF($A174="","",SUMIFS(weekly_demand!$D:$D,weekly_demand!$A:$A,E$1,weekly_demand!$C:$C,$A174))</f>
        <v/>
      </c>
      <c r="F174" s="111" t="str">
        <f>IF($A174="","",SUMIFS(weekly_demand!$D:$D,weekly_demand!$A:$A,F$1,weekly_demand!$C:$C,$A174))</f>
        <v/>
      </c>
      <c r="G174" s="111" t="str">
        <f>IF($A174="","",SUMIFS(weekly_demand!$D:$D,weekly_demand!$A:$A,G$1,weekly_demand!$C:$C,$A174))</f>
        <v/>
      </c>
      <c r="H174" s="111" t="str">
        <f t="shared" si="17"/>
        <v/>
      </c>
      <c r="I174" s="111" t="str">
        <f t="shared" si="17"/>
        <v/>
      </c>
      <c r="J174" s="111" t="str">
        <f t="shared" si="17"/>
        <v/>
      </c>
      <c r="K174" s="111" t="str">
        <f t="shared" si="17"/>
        <v/>
      </c>
      <c r="L174" s="111" t="str">
        <f t="shared" si="17"/>
        <v/>
      </c>
      <c r="M174" s="111" t="str">
        <f t="shared" si="17"/>
        <v/>
      </c>
      <c r="N174" s="111" t="str">
        <f t="shared" si="17"/>
        <v/>
      </c>
      <c r="O174" s="111" t="str">
        <f t="shared" si="17"/>
        <v/>
      </c>
      <c r="P174" s="111" t="str">
        <f t="shared" si="17"/>
        <v/>
      </c>
      <c r="Q174" s="111" t="str">
        <f t="shared" si="17"/>
        <v/>
      </c>
      <c r="R174" s="111" t="str">
        <f t="shared" si="17"/>
        <v/>
      </c>
      <c r="S174" s="111" t="str">
        <f t="shared" si="17"/>
        <v/>
      </c>
      <c r="T174" s="111" t="str">
        <f t="shared" si="17"/>
        <v/>
      </c>
      <c r="U174" s="111" t="str">
        <f t="shared" si="17"/>
        <v/>
      </c>
      <c r="V174" s="111" t="str">
        <f t="shared" si="17"/>
        <v/>
      </c>
      <c r="W174" s="104"/>
      <c r="X174" s="104"/>
      <c r="Y174" s="104"/>
      <c r="Z174" s="104"/>
      <c r="AA174" s="104"/>
      <c r="AB174" s="104"/>
      <c r="AC174" s="104"/>
      <c r="AD174" s="104"/>
    </row>
    <row r="175" spans="1:30" x14ac:dyDescent="0.3">
      <c r="A175" s="110"/>
      <c r="B175" s="111" t="str">
        <f>IF($A175="","",SUMIFS(weekly_demand!$D:$D,weekly_demand!$A:$A,B$1,weekly_demand!$C:$C,$A175))</f>
        <v/>
      </c>
      <c r="C175" s="111" t="str">
        <f>IF($A175="","",SUMIFS(weekly_demand!$D:$D,weekly_demand!$A:$A,C$1,weekly_demand!$C:$C,$A175))</f>
        <v/>
      </c>
      <c r="D175" s="111" t="str">
        <f>IF($A175="","",SUMIFS(weekly_demand!$D:$D,weekly_demand!$A:$A,D$1,weekly_demand!$C:$C,$A175))</f>
        <v/>
      </c>
      <c r="E175" s="111" t="str">
        <f>IF($A175="","",SUMIFS(weekly_demand!$D:$D,weekly_demand!$A:$A,E$1,weekly_demand!$C:$C,$A175))</f>
        <v/>
      </c>
      <c r="F175" s="111" t="str">
        <f>IF($A175="","",SUMIFS(weekly_demand!$D:$D,weekly_demand!$A:$A,F$1,weekly_demand!$C:$C,$A175))</f>
        <v/>
      </c>
      <c r="G175" s="111" t="str">
        <f>IF($A175="","",SUMIFS(weekly_demand!$D:$D,weekly_demand!$A:$A,G$1,weekly_demand!$C:$C,$A175))</f>
        <v/>
      </c>
      <c r="H175" s="111" t="str">
        <f t="shared" si="17"/>
        <v/>
      </c>
      <c r="I175" s="111" t="str">
        <f t="shared" si="17"/>
        <v/>
      </c>
      <c r="J175" s="111" t="str">
        <f t="shared" si="17"/>
        <v/>
      </c>
      <c r="K175" s="111" t="str">
        <f t="shared" si="17"/>
        <v/>
      </c>
      <c r="L175" s="111" t="str">
        <f t="shared" si="17"/>
        <v/>
      </c>
      <c r="M175" s="111" t="str">
        <f t="shared" si="17"/>
        <v/>
      </c>
      <c r="N175" s="111" t="str">
        <f t="shared" si="17"/>
        <v/>
      </c>
      <c r="O175" s="111" t="str">
        <f t="shared" si="17"/>
        <v/>
      </c>
      <c r="P175" s="111" t="str">
        <f t="shared" si="17"/>
        <v/>
      </c>
      <c r="Q175" s="111" t="str">
        <f t="shared" si="17"/>
        <v/>
      </c>
      <c r="R175" s="111" t="str">
        <f t="shared" si="17"/>
        <v/>
      </c>
      <c r="S175" s="111" t="str">
        <f t="shared" si="17"/>
        <v/>
      </c>
      <c r="T175" s="111" t="str">
        <f t="shared" si="17"/>
        <v/>
      </c>
      <c r="U175" s="111" t="str">
        <f t="shared" si="17"/>
        <v/>
      </c>
      <c r="V175" s="111" t="str">
        <f t="shared" si="17"/>
        <v/>
      </c>
      <c r="W175" s="104"/>
      <c r="X175" s="104"/>
      <c r="Y175" s="104"/>
      <c r="Z175" s="104"/>
      <c r="AA175" s="104"/>
      <c r="AB175" s="104"/>
      <c r="AC175" s="104"/>
      <c r="AD175" s="104"/>
    </row>
    <row r="176" spans="1:30" x14ac:dyDescent="0.3">
      <c r="A176" s="110"/>
      <c r="B176" s="111" t="str">
        <f>IF($A176="","",SUMIFS(weekly_demand!$D:$D,weekly_demand!$A:$A,B$1,weekly_demand!$C:$C,$A176))</f>
        <v/>
      </c>
      <c r="C176" s="111" t="str">
        <f>IF($A176="","",SUMIFS(weekly_demand!$D:$D,weekly_demand!$A:$A,C$1,weekly_demand!$C:$C,$A176))</f>
        <v/>
      </c>
      <c r="D176" s="111" t="str">
        <f>IF($A176="","",SUMIFS(weekly_demand!$D:$D,weekly_demand!$A:$A,D$1,weekly_demand!$C:$C,$A176))</f>
        <v/>
      </c>
      <c r="E176" s="111" t="str">
        <f>IF($A176="","",SUMIFS(weekly_demand!$D:$D,weekly_demand!$A:$A,E$1,weekly_demand!$C:$C,$A176))</f>
        <v/>
      </c>
      <c r="F176" s="111" t="str">
        <f>IF($A176="","",SUMIFS(weekly_demand!$D:$D,weekly_demand!$A:$A,F$1,weekly_demand!$C:$C,$A176))</f>
        <v/>
      </c>
      <c r="G176" s="111" t="str">
        <f>IF($A176="","",SUMIFS(weekly_demand!$D:$D,weekly_demand!$A:$A,G$1,weekly_demand!$C:$C,$A176))</f>
        <v/>
      </c>
      <c r="H176" s="111" t="str">
        <f t="shared" si="17"/>
        <v/>
      </c>
      <c r="I176" s="111" t="str">
        <f t="shared" si="17"/>
        <v/>
      </c>
      <c r="J176" s="111" t="str">
        <f t="shared" si="17"/>
        <v/>
      </c>
      <c r="K176" s="111" t="str">
        <f t="shared" si="17"/>
        <v/>
      </c>
      <c r="L176" s="111" t="str">
        <f t="shared" si="17"/>
        <v/>
      </c>
      <c r="M176" s="111" t="str">
        <f t="shared" si="17"/>
        <v/>
      </c>
      <c r="N176" s="111" t="str">
        <f t="shared" si="17"/>
        <v/>
      </c>
      <c r="O176" s="111" t="str">
        <f t="shared" si="17"/>
        <v/>
      </c>
      <c r="P176" s="111" t="str">
        <f t="shared" si="17"/>
        <v/>
      </c>
      <c r="Q176" s="111" t="str">
        <f t="shared" si="17"/>
        <v/>
      </c>
      <c r="R176" s="111" t="str">
        <f t="shared" si="17"/>
        <v/>
      </c>
      <c r="S176" s="111" t="str">
        <f t="shared" si="17"/>
        <v/>
      </c>
      <c r="T176" s="111" t="str">
        <f t="shared" si="17"/>
        <v/>
      </c>
      <c r="U176" s="111" t="str">
        <f t="shared" si="17"/>
        <v/>
      </c>
      <c r="V176" s="111" t="str">
        <f t="shared" si="17"/>
        <v/>
      </c>
      <c r="W176" s="104"/>
      <c r="X176" s="104"/>
      <c r="Y176" s="104"/>
      <c r="Z176" s="104"/>
      <c r="AA176" s="104"/>
      <c r="AB176" s="104"/>
      <c r="AC176" s="104"/>
      <c r="AD176" s="104"/>
    </row>
    <row r="177" spans="1:30" x14ac:dyDescent="0.3">
      <c r="A177" s="110"/>
      <c r="B177" s="111" t="str">
        <f>IF($A177="","",SUMIFS(weekly_demand!$D:$D,weekly_demand!$A:$A,B$1,weekly_demand!$C:$C,$A177))</f>
        <v/>
      </c>
      <c r="C177" s="111" t="str">
        <f>IF($A177="","",SUMIFS(weekly_demand!$D:$D,weekly_demand!$A:$A,C$1,weekly_demand!$C:$C,$A177))</f>
        <v/>
      </c>
      <c r="D177" s="111" t="str">
        <f>IF($A177="","",SUMIFS(weekly_demand!$D:$D,weekly_demand!$A:$A,D$1,weekly_demand!$C:$C,$A177))</f>
        <v/>
      </c>
      <c r="E177" s="111" t="str">
        <f>IF($A177="","",SUMIFS(weekly_demand!$D:$D,weekly_demand!$A:$A,E$1,weekly_demand!$C:$C,$A177))</f>
        <v/>
      </c>
      <c r="F177" s="111" t="str">
        <f>IF($A177="","",SUMIFS(weekly_demand!$D:$D,weekly_demand!$A:$A,F$1,weekly_demand!$C:$C,$A177))</f>
        <v/>
      </c>
      <c r="G177" s="111" t="str">
        <f>IF($A177="","",SUMIFS(weekly_demand!$D:$D,weekly_demand!$A:$A,G$1,weekly_demand!$C:$C,$A177))</f>
        <v/>
      </c>
      <c r="H177" s="111" t="str">
        <f t="shared" si="17"/>
        <v/>
      </c>
      <c r="I177" s="111" t="str">
        <f t="shared" si="17"/>
        <v/>
      </c>
      <c r="J177" s="111" t="str">
        <f t="shared" si="17"/>
        <v/>
      </c>
      <c r="K177" s="111" t="str">
        <f t="shared" si="17"/>
        <v/>
      </c>
      <c r="L177" s="111" t="str">
        <f t="shared" si="17"/>
        <v/>
      </c>
      <c r="M177" s="111" t="str">
        <f t="shared" si="17"/>
        <v/>
      </c>
      <c r="N177" s="111" t="str">
        <f t="shared" si="17"/>
        <v/>
      </c>
      <c r="O177" s="111" t="str">
        <f t="shared" si="17"/>
        <v/>
      </c>
      <c r="P177" s="111" t="str">
        <f t="shared" si="17"/>
        <v/>
      </c>
      <c r="Q177" s="111" t="str">
        <f t="shared" si="17"/>
        <v/>
      </c>
      <c r="R177" s="111" t="str">
        <f t="shared" si="17"/>
        <v/>
      </c>
      <c r="S177" s="111" t="str">
        <f t="shared" si="17"/>
        <v/>
      </c>
      <c r="T177" s="111" t="str">
        <f t="shared" si="17"/>
        <v/>
      </c>
      <c r="U177" s="111" t="str">
        <f t="shared" si="17"/>
        <v/>
      </c>
      <c r="V177" s="111" t="str">
        <f t="shared" si="17"/>
        <v/>
      </c>
      <c r="W177" s="104"/>
      <c r="X177" s="104"/>
      <c r="Y177" s="104"/>
      <c r="Z177" s="104"/>
      <c r="AA177" s="104"/>
      <c r="AB177" s="104"/>
      <c r="AC177" s="104"/>
      <c r="AD177" s="104"/>
    </row>
    <row r="178" spans="1:30" x14ac:dyDescent="0.3">
      <c r="A178" s="110"/>
      <c r="B178" s="111" t="str">
        <f>IF($A178="","",SUMIFS(weekly_demand!$D:$D,weekly_demand!$A:$A,B$1,weekly_demand!$C:$C,$A178))</f>
        <v/>
      </c>
      <c r="C178" s="111" t="str">
        <f>IF($A178="","",SUMIFS(weekly_demand!$D:$D,weekly_demand!$A:$A,C$1,weekly_demand!$C:$C,$A178))</f>
        <v/>
      </c>
      <c r="D178" s="111" t="str">
        <f>IF($A178="","",SUMIFS(weekly_demand!$D:$D,weekly_demand!$A:$A,D$1,weekly_demand!$C:$C,$A178))</f>
        <v/>
      </c>
      <c r="E178" s="111" t="str">
        <f>IF($A178="","",SUMIFS(weekly_demand!$D:$D,weekly_demand!$A:$A,E$1,weekly_demand!$C:$C,$A178))</f>
        <v/>
      </c>
      <c r="F178" s="111" t="str">
        <f>IF($A178="","",SUMIFS(weekly_demand!$D:$D,weekly_demand!$A:$A,F$1,weekly_demand!$C:$C,$A178))</f>
        <v/>
      </c>
      <c r="G178" s="111" t="str">
        <f>IF($A178="","",SUMIFS(weekly_demand!$D:$D,weekly_demand!$A:$A,G$1,weekly_demand!$C:$C,$A178))</f>
        <v/>
      </c>
      <c r="H178" s="111" t="str">
        <f t="shared" si="17"/>
        <v/>
      </c>
      <c r="I178" s="111" t="str">
        <f t="shared" si="17"/>
        <v/>
      </c>
      <c r="J178" s="111" t="str">
        <f t="shared" si="17"/>
        <v/>
      </c>
      <c r="K178" s="111" t="str">
        <f t="shared" si="17"/>
        <v/>
      </c>
      <c r="L178" s="111" t="str">
        <f t="shared" si="17"/>
        <v/>
      </c>
      <c r="M178" s="111" t="str">
        <f t="shared" si="17"/>
        <v/>
      </c>
      <c r="N178" s="111" t="str">
        <f t="shared" si="17"/>
        <v/>
      </c>
      <c r="O178" s="111" t="str">
        <f t="shared" si="17"/>
        <v/>
      </c>
      <c r="P178" s="111" t="str">
        <f t="shared" si="17"/>
        <v/>
      </c>
      <c r="Q178" s="111" t="str">
        <f t="shared" si="17"/>
        <v/>
      </c>
      <c r="R178" s="111" t="str">
        <f t="shared" si="17"/>
        <v/>
      </c>
      <c r="S178" s="111" t="str">
        <f t="shared" si="17"/>
        <v/>
      </c>
      <c r="T178" s="111" t="str">
        <f t="shared" si="17"/>
        <v/>
      </c>
      <c r="U178" s="111" t="str">
        <f t="shared" si="17"/>
        <v/>
      </c>
      <c r="V178" s="111" t="str">
        <f t="shared" si="17"/>
        <v/>
      </c>
      <c r="W178" s="104"/>
      <c r="X178" s="104"/>
      <c r="Y178" s="104"/>
      <c r="Z178" s="104"/>
      <c r="AA178" s="104"/>
      <c r="AB178" s="104"/>
      <c r="AC178" s="104"/>
      <c r="AD178" s="104"/>
    </row>
    <row r="179" spans="1:30" x14ac:dyDescent="0.3">
      <c r="A179" s="110"/>
      <c r="B179" s="111" t="str">
        <f>IF($A179="","",SUMIFS(weekly_demand!$D:$D,weekly_demand!$A:$A,B$1,weekly_demand!$C:$C,$A179))</f>
        <v/>
      </c>
      <c r="C179" s="111" t="str">
        <f>IF($A179="","",SUMIFS(weekly_demand!$D:$D,weekly_demand!$A:$A,C$1,weekly_demand!$C:$C,$A179))</f>
        <v/>
      </c>
      <c r="D179" s="111" t="str">
        <f>IF($A179="","",SUMIFS(weekly_demand!$D:$D,weekly_demand!$A:$A,D$1,weekly_demand!$C:$C,$A179))</f>
        <v/>
      </c>
      <c r="E179" s="111" t="str">
        <f>IF($A179="","",SUMIFS(weekly_demand!$D:$D,weekly_demand!$A:$A,E$1,weekly_demand!$C:$C,$A179))</f>
        <v/>
      </c>
      <c r="F179" s="111" t="str">
        <f>IF($A179="","",SUMIFS(weekly_demand!$D:$D,weekly_demand!$A:$A,F$1,weekly_demand!$C:$C,$A179))</f>
        <v/>
      </c>
      <c r="G179" s="111" t="str">
        <f>IF($A179="","",SUMIFS(weekly_demand!$D:$D,weekly_demand!$A:$A,G$1,weekly_demand!$C:$C,$A179))</f>
        <v/>
      </c>
      <c r="H179" s="111" t="str">
        <f t="shared" si="17"/>
        <v/>
      </c>
      <c r="I179" s="111" t="str">
        <f t="shared" si="17"/>
        <v/>
      </c>
      <c r="J179" s="111" t="str">
        <f t="shared" si="17"/>
        <v/>
      </c>
      <c r="K179" s="111" t="str">
        <f t="shared" si="17"/>
        <v/>
      </c>
      <c r="L179" s="111" t="str">
        <f t="shared" si="17"/>
        <v/>
      </c>
      <c r="M179" s="111" t="str">
        <f t="shared" si="17"/>
        <v/>
      </c>
      <c r="N179" s="111" t="str">
        <f t="shared" si="17"/>
        <v/>
      </c>
      <c r="O179" s="111" t="str">
        <f t="shared" si="17"/>
        <v/>
      </c>
      <c r="P179" s="111" t="str">
        <f t="shared" si="17"/>
        <v/>
      </c>
      <c r="Q179" s="111" t="str">
        <f t="shared" si="17"/>
        <v/>
      </c>
      <c r="R179" s="111" t="str">
        <f t="shared" si="17"/>
        <v/>
      </c>
      <c r="S179" s="111" t="str">
        <f t="shared" si="17"/>
        <v/>
      </c>
      <c r="T179" s="111" t="str">
        <f t="shared" si="17"/>
        <v/>
      </c>
      <c r="U179" s="111" t="str">
        <f t="shared" si="17"/>
        <v/>
      </c>
      <c r="V179" s="111" t="str">
        <f t="shared" si="17"/>
        <v/>
      </c>
      <c r="W179" s="104"/>
      <c r="X179" s="104"/>
      <c r="Y179" s="104"/>
      <c r="Z179" s="104"/>
      <c r="AA179" s="104"/>
      <c r="AB179" s="104"/>
      <c r="AC179" s="104"/>
      <c r="AD179" s="104"/>
    </row>
    <row r="180" spans="1:30" x14ac:dyDescent="0.3">
      <c r="A180" s="110"/>
      <c r="B180" s="111" t="str">
        <f>IF($A180="","",SUMIFS(weekly_demand!$D:$D,weekly_demand!$A:$A,B$1,weekly_demand!$C:$C,$A180))</f>
        <v/>
      </c>
      <c r="C180" s="111" t="str">
        <f>IF($A180="","",SUMIFS(weekly_demand!$D:$D,weekly_demand!$A:$A,C$1,weekly_demand!$C:$C,$A180))</f>
        <v/>
      </c>
      <c r="D180" s="111" t="str">
        <f>IF($A180="","",SUMIFS(weekly_demand!$D:$D,weekly_demand!$A:$A,D$1,weekly_demand!$C:$C,$A180))</f>
        <v/>
      </c>
      <c r="E180" s="111" t="str">
        <f>IF($A180="","",SUMIFS(weekly_demand!$D:$D,weekly_demand!$A:$A,E$1,weekly_demand!$C:$C,$A180))</f>
        <v/>
      </c>
      <c r="F180" s="111" t="str">
        <f>IF($A180="","",SUMIFS(weekly_demand!$D:$D,weekly_demand!$A:$A,F$1,weekly_demand!$C:$C,$A180))</f>
        <v/>
      </c>
      <c r="G180" s="111" t="str">
        <f>IF($A180="","",SUMIFS(weekly_demand!$D:$D,weekly_demand!$A:$A,G$1,weekly_demand!$C:$C,$A180))</f>
        <v/>
      </c>
      <c r="H180" s="111" t="str">
        <f t="shared" si="17"/>
        <v/>
      </c>
      <c r="I180" s="111" t="str">
        <f t="shared" si="17"/>
        <v/>
      </c>
      <c r="J180" s="111" t="str">
        <f t="shared" si="17"/>
        <v/>
      </c>
      <c r="K180" s="111" t="str">
        <f t="shared" si="17"/>
        <v/>
      </c>
      <c r="L180" s="111" t="str">
        <f t="shared" si="17"/>
        <v/>
      </c>
      <c r="M180" s="111" t="str">
        <f t="shared" si="17"/>
        <v/>
      </c>
      <c r="N180" s="111" t="str">
        <f t="shared" si="17"/>
        <v/>
      </c>
      <c r="O180" s="111" t="str">
        <f t="shared" si="17"/>
        <v/>
      </c>
      <c r="P180" s="111" t="str">
        <f t="shared" si="17"/>
        <v/>
      </c>
      <c r="Q180" s="111" t="str">
        <f t="shared" si="17"/>
        <v/>
      </c>
      <c r="R180" s="111" t="str">
        <f t="shared" si="17"/>
        <v/>
      </c>
      <c r="S180" s="111" t="str">
        <f t="shared" si="17"/>
        <v/>
      </c>
      <c r="T180" s="111" t="str">
        <f t="shared" si="17"/>
        <v/>
      </c>
      <c r="U180" s="111" t="str">
        <f t="shared" si="17"/>
        <v/>
      </c>
      <c r="V180" s="111" t="str">
        <f t="shared" si="17"/>
        <v/>
      </c>
      <c r="W180" s="104"/>
      <c r="X180" s="104"/>
      <c r="Y180" s="104"/>
      <c r="Z180" s="104"/>
      <c r="AA180" s="104"/>
      <c r="AB180" s="104"/>
      <c r="AC180" s="104"/>
      <c r="AD180" s="104"/>
    </row>
    <row r="181" spans="1:30" x14ac:dyDescent="0.3">
      <c r="A181" s="110"/>
      <c r="B181" s="111" t="str">
        <f>IF($A181="","",SUMIFS(weekly_demand!$D:$D,weekly_demand!$A:$A,B$1,weekly_demand!$C:$C,$A181))</f>
        <v/>
      </c>
      <c r="C181" s="111" t="str">
        <f>IF($A181="","",SUMIFS(weekly_demand!$D:$D,weekly_demand!$A:$A,C$1,weekly_demand!$C:$C,$A181))</f>
        <v/>
      </c>
      <c r="D181" s="111" t="str">
        <f>IF($A181="","",SUMIFS(weekly_demand!$D:$D,weekly_demand!$A:$A,D$1,weekly_demand!$C:$C,$A181))</f>
        <v/>
      </c>
      <c r="E181" s="111" t="str">
        <f>IF($A181="","",SUMIFS(weekly_demand!$D:$D,weekly_demand!$A:$A,E$1,weekly_demand!$C:$C,$A181))</f>
        <v/>
      </c>
      <c r="F181" s="111" t="str">
        <f>IF($A181="","",SUMIFS(weekly_demand!$D:$D,weekly_demand!$A:$A,F$1,weekly_demand!$C:$C,$A181))</f>
        <v/>
      </c>
      <c r="G181" s="111" t="str">
        <f>IF($A181="","",SUMIFS(weekly_demand!$D:$D,weekly_demand!$A:$A,G$1,weekly_demand!$C:$C,$A181))</f>
        <v/>
      </c>
      <c r="H181" s="111" t="str">
        <f t="shared" si="17"/>
        <v/>
      </c>
      <c r="I181" s="111" t="str">
        <f t="shared" si="17"/>
        <v/>
      </c>
      <c r="J181" s="111" t="str">
        <f t="shared" si="17"/>
        <v/>
      </c>
      <c r="K181" s="111" t="str">
        <f t="shared" si="17"/>
        <v/>
      </c>
      <c r="L181" s="111" t="str">
        <f t="shared" si="17"/>
        <v/>
      </c>
      <c r="M181" s="111" t="str">
        <f t="shared" si="17"/>
        <v/>
      </c>
      <c r="N181" s="111" t="str">
        <f t="shared" si="17"/>
        <v/>
      </c>
      <c r="O181" s="111" t="str">
        <f t="shared" si="17"/>
        <v/>
      </c>
      <c r="P181" s="111" t="str">
        <f t="shared" si="17"/>
        <v/>
      </c>
      <c r="Q181" s="111" t="str">
        <f t="shared" si="17"/>
        <v/>
      </c>
      <c r="R181" s="111" t="str">
        <f t="shared" si="17"/>
        <v/>
      </c>
      <c r="S181" s="111" t="str">
        <f t="shared" si="17"/>
        <v/>
      </c>
      <c r="T181" s="111" t="str">
        <f t="shared" si="17"/>
        <v/>
      </c>
      <c r="U181" s="111" t="str">
        <f t="shared" si="17"/>
        <v/>
      </c>
      <c r="V181" s="111" t="str">
        <f t="shared" si="17"/>
        <v/>
      </c>
      <c r="W181" s="104"/>
      <c r="X181" s="104"/>
      <c r="Y181" s="104"/>
      <c r="Z181" s="104"/>
      <c r="AA181" s="104"/>
      <c r="AB181" s="104"/>
      <c r="AC181" s="104"/>
      <c r="AD181" s="104"/>
    </row>
    <row r="182" spans="1:30" x14ac:dyDescent="0.3">
      <c r="A182" s="110"/>
      <c r="B182" s="111" t="str">
        <f>IF($A182="","",SUMIFS(weekly_demand!$D:$D,weekly_demand!$A:$A,B$1,weekly_demand!$C:$C,$A182))</f>
        <v/>
      </c>
      <c r="C182" s="111" t="str">
        <f>IF($A182="","",SUMIFS(weekly_demand!$D:$D,weekly_demand!$A:$A,C$1,weekly_demand!$C:$C,$A182))</f>
        <v/>
      </c>
      <c r="D182" s="111" t="str">
        <f>IF($A182="","",SUMIFS(weekly_demand!$D:$D,weekly_demand!$A:$A,D$1,weekly_demand!$C:$C,$A182))</f>
        <v/>
      </c>
      <c r="E182" s="111" t="str">
        <f>IF($A182="","",SUMIFS(weekly_demand!$D:$D,weekly_demand!$A:$A,E$1,weekly_demand!$C:$C,$A182))</f>
        <v/>
      </c>
      <c r="F182" s="111" t="str">
        <f>IF($A182="","",SUMIFS(weekly_demand!$D:$D,weekly_demand!$A:$A,F$1,weekly_demand!$C:$C,$A182))</f>
        <v/>
      </c>
      <c r="G182" s="111" t="str">
        <f>IF($A182="","",SUMIFS(weekly_demand!$D:$D,weekly_demand!$A:$A,G$1,weekly_demand!$C:$C,$A182))</f>
        <v/>
      </c>
      <c r="H182" s="111" t="str">
        <f t="shared" ref="H182:V191" si="18">IF($A182="","",SUMPRODUCT($B182:$G182,INDEX($Y$2:$AD$16,MATCH(H$1,$X$2:$X$16,0),0)))</f>
        <v/>
      </c>
      <c r="I182" s="111" t="str">
        <f t="shared" si="18"/>
        <v/>
      </c>
      <c r="J182" s="111" t="str">
        <f t="shared" si="18"/>
        <v/>
      </c>
      <c r="K182" s="111" t="str">
        <f t="shared" si="18"/>
        <v/>
      </c>
      <c r="L182" s="111" t="str">
        <f t="shared" si="18"/>
        <v/>
      </c>
      <c r="M182" s="111" t="str">
        <f t="shared" si="18"/>
        <v/>
      </c>
      <c r="N182" s="111" t="str">
        <f t="shared" si="18"/>
        <v/>
      </c>
      <c r="O182" s="111" t="str">
        <f t="shared" si="18"/>
        <v/>
      </c>
      <c r="P182" s="111" t="str">
        <f t="shared" si="18"/>
        <v/>
      </c>
      <c r="Q182" s="111" t="str">
        <f t="shared" si="18"/>
        <v/>
      </c>
      <c r="R182" s="111" t="str">
        <f t="shared" si="18"/>
        <v/>
      </c>
      <c r="S182" s="111" t="str">
        <f t="shared" si="18"/>
        <v/>
      </c>
      <c r="T182" s="111" t="str">
        <f t="shared" si="18"/>
        <v/>
      </c>
      <c r="U182" s="111" t="str">
        <f t="shared" si="18"/>
        <v/>
      </c>
      <c r="V182" s="111" t="str">
        <f t="shared" si="18"/>
        <v/>
      </c>
      <c r="W182" s="104"/>
      <c r="X182" s="104"/>
      <c r="Y182" s="104"/>
      <c r="Z182" s="104"/>
      <c r="AA182" s="104"/>
      <c r="AB182" s="104"/>
      <c r="AC182" s="104"/>
      <c r="AD182" s="104"/>
    </row>
    <row r="183" spans="1:30" x14ac:dyDescent="0.3">
      <c r="A183" s="110"/>
      <c r="B183" s="111" t="str">
        <f>IF($A183="","",SUMIFS(weekly_demand!$D:$D,weekly_demand!$A:$A,B$1,weekly_demand!$C:$C,$A183))</f>
        <v/>
      </c>
      <c r="C183" s="111" t="str">
        <f>IF($A183="","",SUMIFS(weekly_demand!$D:$D,weekly_demand!$A:$A,C$1,weekly_demand!$C:$C,$A183))</f>
        <v/>
      </c>
      <c r="D183" s="111" t="str">
        <f>IF($A183="","",SUMIFS(weekly_demand!$D:$D,weekly_demand!$A:$A,D$1,weekly_demand!$C:$C,$A183))</f>
        <v/>
      </c>
      <c r="E183" s="111" t="str">
        <f>IF($A183="","",SUMIFS(weekly_demand!$D:$D,weekly_demand!$A:$A,E$1,weekly_demand!$C:$C,$A183))</f>
        <v/>
      </c>
      <c r="F183" s="111" t="str">
        <f>IF($A183="","",SUMIFS(weekly_demand!$D:$D,weekly_demand!$A:$A,F$1,weekly_demand!$C:$C,$A183))</f>
        <v/>
      </c>
      <c r="G183" s="111" t="str">
        <f>IF($A183="","",SUMIFS(weekly_demand!$D:$D,weekly_demand!$A:$A,G$1,weekly_demand!$C:$C,$A183))</f>
        <v/>
      </c>
      <c r="H183" s="111" t="str">
        <f t="shared" si="18"/>
        <v/>
      </c>
      <c r="I183" s="111" t="str">
        <f t="shared" si="18"/>
        <v/>
      </c>
      <c r="J183" s="111" t="str">
        <f t="shared" si="18"/>
        <v/>
      </c>
      <c r="K183" s="111" t="str">
        <f t="shared" si="18"/>
        <v/>
      </c>
      <c r="L183" s="111" t="str">
        <f t="shared" si="18"/>
        <v/>
      </c>
      <c r="M183" s="111" t="str">
        <f t="shared" si="18"/>
        <v/>
      </c>
      <c r="N183" s="111" t="str">
        <f t="shared" si="18"/>
        <v/>
      </c>
      <c r="O183" s="111" t="str">
        <f t="shared" si="18"/>
        <v/>
      </c>
      <c r="P183" s="111" t="str">
        <f t="shared" si="18"/>
        <v/>
      </c>
      <c r="Q183" s="111" t="str">
        <f t="shared" si="18"/>
        <v/>
      </c>
      <c r="R183" s="111" t="str">
        <f t="shared" si="18"/>
        <v/>
      </c>
      <c r="S183" s="111" t="str">
        <f t="shared" si="18"/>
        <v/>
      </c>
      <c r="T183" s="111" t="str">
        <f t="shared" si="18"/>
        <v/>
      </c>
      <c r="U183" s="111" t="str">
        <f t="shared" si="18"/>
        <v/>
      </c>
      <c r="V183" s="111" t="str">
        <f t="shared" si="18"/>
        <v/>
      </c>
      <c r="W183" s="104"/>
      <c r="X183" s="104"/>
      <c r="Y183" s="104"/>
      <c r="Z183" s="104"/>
      <c r="AA183" s="104"/>
      <c r="AB183" s="104"/>
      <c r="AC183" s="104"/>
      <c r="AD183" s="104"/>
    </row>
    <row r="184" spans="1:30" x14ac:dyDescent="0.3">
      <c r="A184" s="110"/>
      <c r="B184" s="111" t="str">
        <f>IF($A184="","",SUMIFS(weekly_demand!$D:$D,weekly_demand!$A:$A,B$1,weekly_demand!$C:$C,$A184))</f>
        <v/>
      </c>
      <c r="C184" s="111" t="str">
        <f>IF($A184="","",SUMIFS(weekly_demand!$D:$D,weekly_demand!$A:$A,C$1,weekly_demand!$C:$C,$A184))</f>
        <v/>
      </c>
      <c r="D184" s="111" t="str">
        <f>IF($A184="","",SUMIFS(weekly_demand!$D:$D,weekly_demand!$A:$A,D$1,weekly_demand!$C:$C,$A184))</f>
        <v/>
      </c>
      <c r="E184" s="111" t="str">
        <f>IF($A184="","",SUMIFS(weekly_demand!$D:$D,weekly_demand!$A:$A,E$1,weekly_demand!$C:$C,$A184))</f>
        <v/>
      </c>
      <c r="F184" s="111" t="str">
        <f>IF($A184="","",SUMIFS(weekly_demand!$D:$D,weekly_demand!$A:$A,F$1,weekly_demand!$C:$C,$A184))</f>
        <v/>
      </c>
      <c r="G184" s="111" t="str">
        <f>IF($A184="","",SUMIFS(weekly_demand!$D:$D,weekly_demand!$A:$A,G$1,weekly_demand!$C:$C,$A184))</f>
        <v/>
      </c>
      <c r="H184" s="111" t="str">
        <f t="shared" si="18"/>
        <v/>
      </c>
      <c r="I184" s="111" t="str">
        <f t="shared" si="18"/>
        <v/>
      </c>
      <c r="J184" s="111" t="str">
        <f t="shared" si="18"/>
        <v/>
      </c>
      <c r="K184" s="111" t="str">
        <f t="shared" si="18"/>
        <v/>
      </c>
      <c r="L184" s="111" t="str">
        <f t="shared" si="18"/>
        <v/>
      </c>
      <c r="M184" s="111" t="str">
        <f t="shared" si="18"/>
        <v/>
      </c>
      <c r="N184" s="111" t="str">
        <f t="shared" si="18"/>
        <v/>
      </c>
      <c r="O184" s="111" t="str">
        <f t="shared" si="18"/>
        <v/>
      </c>
      <c r="P184" s="111" t="str">
        <f t="shared" si="18"/>
        <v/>
      </c>
      <c r="Q184" s="111" t="str">
        <f t="shared" si="18"/>
        <v/>
      </c>
      <c r="R184" s="111" t="str">
        <f t="shared" si="18"/>
        <v/>
      </c>
      <c r="S184" s="111" t="str">
        <f t="shared" si="18"/>
        <v/>
      </c>
      <c r="T184" s="111" t="str">
        <f t="shared" si="18"/>
        <v/>
      </c>
      <c r="U184" s="111" t="str">
        <f t="shared" si="18"/>
        <v/>
      </c>
      <c r="V184" s="111" t="str">
        <f t="shared" si="18"/>
        <v/>
      </c>
      <c r="W184" s="104"/>
      <c r="X184" s="104"/>
      <c r="Y184" s="104"/>
      <c r="Z184" s="104"/>
      <c r="AA184" s="104"/>
      <c r="AB184" s="104"/>
      <c r="AC184" s="104"/>
      <c r="AD184" s="104"/>
    </row>
    <row r="185" spans="1:30" x14ac:dyDescent="0.3">
      <c r="A185" s="110"/>
      <c r="B185" s="111" t="str">
        <f>IF($A185="","",SUMIFS(weekly_demand!$D:$D,weekly_demand!$A:$A,B$1,weekly_demand!$C:$C,$A185))</f>
        <v/>
      </c>
      <c r="C185" s="111" t="str">
        <f>IF($A185="","",SUMIFS(weekly_demand!$D:$D,weekly_demand!$A:$A,C$1,weekly_demand!$C:$C,$A185))</f>
        <v/>
      </c>
      <c r="D185" s="111" t="str">
        <f>IF($A185="","",SUMIFS(weekly_demand!$D:$D,weekly_demand!$A:$A,D$1,weekly_demand!$C:$C,$A185))</f>
        <v/>
      </c>
      <c r="E185" s="111" t="str">
        <f>IF($A185="","",SUMIFS(weekly_demand!$D:$D,weekly_demand!$A:$A,E$1,weekly_demand!$C:$C,$A185))</f>
        <v/>
      </c>
      <c r="F185" s="111" t="str">
        <f>IF($A185="","",SUMIFS(weekly_demand!$D:$D,weekly_demand!$A:$A,F$1,weekly_demand!$C:$C,$A185))</f>
        <v/>
      </c>
      <c r="G185" s="111" t="str">
        <f>IF($A185="","",SUMIFS(weekly_demand!$D:$D,weekly_demand!$A:$A,G$1,weekly_demand!$C:$C,$A185))</f>
        <v/>
      </c>
      <c r="H185" s="111" t="str">
        <f t="shared" si="18"/>
        <v/>
      </c>
      <c r="I185" s="111" t="str">
        <f t="shared" si="18"/>
        <v/>
      </c>
      <c r="J185" s="111" t="str">
        <f t="shared" si="18"/>
        <v/>
      </c>
      <c r="K185" s="111" t="str">
        <f t="shared" si="18"/>
        <v/>
      </c>
      <c r="L185" s="111" t="str">
        <f t="shared" si="18"/>
        <v/>
      </c>
      <c r="M185" s="111" t="str">
        <f t="shared" si="18"/>
        <v/>
      </c>
      <c r="N185" s="111" t="str">
        <f t="shared" si="18"/>
        <v/>
      </c>
      <c r="O185" s="111" t="str">
        <f t="shared" si="18"/>
        <v/>
      </c>
      <c r="P185" s="111" t="str">
        <f t="shared" si="18"/>
        <v/>
      </c>
      <c r="Q185" s="111" t="str">
        <f t="shared" si="18"/>
        <v/>
      </c>
      <c r="R185" s="111" t="str">
        <f t="shared" si="18"/>
        <v/>
      </c>
      <c r="S185" s="111" t="str">
        <f t="shared" si="18"/>
        <v/>
      </c>
      <c r="T185" s="111" t="str">
        <f t="shared" si="18"/>
        <v/>
      </c>
      <c r="U185" s="111" t="str">
        <f t="shared" si="18"/>
        <v/>
      </c>
      <c r="V185" s="111" t="str">
        <f t="shared" si="18"/>
        <v/>
      </c>
      <c r="W185" s="104"/>
      <c r="X185" s="104"/>
      <c r="Y185" s="104"/>
      <c r="Z185" s="104"/>
      <c r="AA185" s="104"/>
      <c r="AB185" s="104"/>
      <c r="AC185" s="104"/>
      <c r="AD185" s="104"/>
    </row>
    <row r="186" spans="1:30" x14ac:dyDescent="0.3">
      <c r="A186" s="110"/>
      <c r="B186" s="111" t="str">
        <f>IF($A186="","",SUMIFS(weekly_demand!$D:$D,weekly_demand!$A:$A,B$1,weekly_demand!$C:$C,$A186))</f>
        <v/>
      </c>
      <c r="C186" s="111" t="str">
        <f>IF($A186="","",SUMIFS(weekly_demand!$D:$D,weekly_demand!$A:$A,C$1,weekly_demand!$C:$C,$A186))</f>
        <v/>
      </c>
      <c r="D186" s="111" t="str">
        <f>IF($A186="","",SUMIFS(weekly_demand!$D:$D,weekly_demand!$A:$A,D$1,weekly_demand!$C:$C,$A186))</f>
        <v/>
      </c>
      <c r="E186" s="111" t="str">
        <f>IF($A186="","",SUMIFS(weekly_demand!$D:$D,weekly_demand!$A:$A,E$1,weekly_demand!$C:$C,$A186))</f>
        <v/>
      </c>
      <c r="F186" s="111" t="str">
        <f>IF($A186="","",SUMIFS(weekly_demand!$D:$D,weekly_demand!$A:$A,F$1,weekly_demand!$C:$C,$A186))</f>
        <v/>
      </c>
      <c r="G186" s="111" t="str">
        <f>IF($A186="","",SUMIFS(weekly_demand!$D:$D,weekly_demand!$A:$A,G$1,weekly_demand!$C:$C,$A186))</f>
        <v/>
      </c>
      <c r="H186" s="111" t="str">
        <f t="shared" si="18"/>
        <v/>
      </c>
      <c r="I186" s="111" t="str">
        <f t="shared" si="18"/>
        <v/>
      </c>
      <c r="J186" s="111" t="str">
        <f t="shared" si="18"/>
        <v/>
      </c>
      <c r="K186" s="111" t="str">
        <f t="shared" si="18"/>
        <v/>
      </c>
      <c r="L186" s="111" t="str">
        <f t="shared" si="18"/>
        <v/>
      </c>
      <c r="M186" s="111" t="str">
        <f t="shared" si="18"/>
        <v/>
      </c>
      <c r="N186" s="111" t="str">
        <f t="shared" si="18"/>
        <v/>
      </c>
      <c r="O186" s="111" t="str">
        <f t="shared" si="18"/>
        <v/>
      </c>
      <c r="P186" s="111" t="str">
        <f t="shared" si="18"/>
        <v/>
      </c>
      <c r="Q186" s="111" t="str">
        <f t="shared" si="18"/>
        <v/>
      </c>
      <c r="R186" s="111" t="str">
        <f t="shared" si="18"/>
        <v/>
      </c>
      <c r="S186" s="111" t="str">
        <f t="shared" si="18"/>
        <v/>
      </c>
      <c r="T186" s="111" t="str">
        <f t="shared" si="18"/>
        <v/>
      </c>
      <c r="U186" s="111" t="str">
        <f t="shared" si="18"/>
        <v/>
      </c>
      <c r="V186" s="111" t="str">
        <f t="shared" si="18"/>
        <v/>
      </c>
      <c r="W186" s="104"/>
      <c r="X186" s="104"/>
      <c r="Y186" s="104"/>
      <c r="Z186" s="104"/>
      <c r="AA186" s="104"/>
      <c r="AB186" s="104"/>
      <c r="AC186" s="104"/>
      <c r="AD186" s="104"/>
    </row>
    <row r="187" spans="1:30" x14ac:dyDescent="0.3">
      <c r="A187" s="110"/>
      <c r="B187" s="111" t="str">
        <f>IF($A187="","",SUMIFS(weekly_demand!$D:$D,weekly_demand!$A:$A,B$1,weekly_demand!$C:$C,$A187))</f>
        <v/>
      </c>
      <c r="C187" s="111" t="str">
        <f>IF($A187="","",SUMIFS(weekly_demand!$D:$D,weekly_demand!$A:$A,C$1,weekly_demand!$C:$C,$A187))</f>
        <v/>
      </c>
      <c r="D187" s="111" t="str">
        <f>IF($A187="","",SUMIFS(weekly_demand!$D:$D,weekly_demand!$A:$A,D$1,weekly_demand!$C:$C,$A187))</f>
        <v/>
      </c>
      <c r="E187" s="111" t="str">
        <f>IF($A187="","",SUMIFS(weekly_demand!$D:$D,weekly_demand!$A:$A,E$1,weekly_demand!$C:$C,$A187))</f>
        <v/>
      </c>
      <c r="F187" s="111" t="str">
        <f>IF($A187="","",SUMIFS(weekly_demand!$D:$D,weekly_demand!$A:$A,F$1,weekly_demand!$C:$C,$A187))</f>
        <v/>
      </c>
      <c r="G187" s="111" t="str">
        <f>IF($A187="","",SUMIFS(weekly_demand!$D:$D,weekly_demand!$A:$A,G$1,weekly_demand!$C:$C,$A187))</f>
        <v/>
      </c>
      <c r="H187" s="111" t="str">
        <f t="shared" si="18"/>
        <v/>
      </c>
      <c r="I187" s="111" t="str">
        <f t="shared" si="18"/>
        <v/>
      </c>
      <c r="J187" s="111" t="str">
        <f t="shared" si="18"/>
        <v/>
      </c>
      <c r="K187" s="111" t="str">
        <f t="shared" si="18"/>
        <v/>
      </c>
      <c r="L187" s="111" t="str">
        <f t="shared" si="18"/>
        <v/>
      </c>
      <c r="M187" s="111" t="str">
        <f t="shared" si="18"/>
        <v/>
      </c>
      <c r="N187" s="111" t="str">
        <f t="shared" si="18"/>
        <v/>
      </c>
      <c r="O187" s="111" t="str">
        <f t="shared" si="18"/>
        <v/>
      </c>
      <c r="P187" s="111" t="str">
        <f t="shared" si="18"/>
        <v/>
      </c>
      <c r="Q187" s="111" t="str">
        <f t="shared" si="18"/>
        <v/>
      </c>
      <c r="R187" s="111" t="str">
        <f t="shared" si="18"/>
        <v/>
      </c>
      <c r="S187" s="111" t="str">
        <f t="shared" si="18"/>
        <v/>
      </c>
      <c r="T187" s="111" t="str">
        <f t="shared" si="18"/>
        <v/>
      </c>
      <c r="U187" s="111" t="str">
        <f t="shared" si="18"/>
        <v/>
      </c>
      <c r="V187" s="111" t="str">
        <f t="shared" si="18"/>
        <v/>
      </c>
      <c r="W187" s="104"/>
      <c r="X187" s="104"/>
      <c r="Y187" s="104"/>
      <c r="Z187" s="104"/>
      <c r="AA187" s="104"/>
      <c r="AB187" s="104"/>
      <c r="AC187" s="104"/>
      <c r="AD187" s="104"/>
    </row>
    <row r="188" spans="1:30" x14ac:dyDescent="0.3">
      <c r="A188" s="110"/>
      <c r="B188" s="111" t="str">
        <f>IF($A188="","",SUMIFS(weekly_demand!$D:$D,weekly_demand!$A:$A,B$1,weekly_demand!$C:$C,$A188))</f>
        <v/>
      </c>
      <c r="C188" s="111" t="str">
        <f>IF($A188="","",SUMIFS(weekly_demand!$D:$D,weekly_demand!$A:$A,C$1,weekly_demand!$C:$C,$A188))</f>
        <v/>
      </c>
      <c r="D188" s="111" t="str">
        <f>IF($A188="","",SUMIFS(weekly_demand!$D:$D,weekly_demand!$A:$A,D$1,weekly_demand!$C:$C,$A188))</f>
        <v/>
      </c>
      <c r="E188" s="111" t="str">
        <f>IF($A188="","",SUMIFS(weekly_demand!$D:$D,weekly_demand!$A:$A,E$1,weekly_demand!$C:$C,$A188))</f>
        <v/>
      </c>
      <c r="F188" s="111" t="str">
        <f>IF($A188="","",SUMIFS(weekly_demand!$D:$D,weekly_demand!$A:$A,F$1,weekly_demand!$C:$C,$A188))</f>
        <v/>
      </c>
      <c r="G188" s="111" t="str">
        <f>IF($A188="","",SUMIFS(weekly_demand!$D:$D,weekly_demand!$A:$A,G$1,weekly_demand!$C:$C,$A188))</f>
        <v/>
      </c>
      <c r="H188" s="111" t="str">
        <f t="shared" si="18"/>
        <v/>
      </c>
      <c r="I188" s="111" t="str">
        <f t="shared" si="18"/>
        <v/>
      </c>
      <c r="J188" s="111" t="str">
        <f t="shared" si="18"/>
        <v/>
      </c>
      <c r="K188" s="111" t="str">
        <f t="shared" si="18"/>
        <v/>
      </c>
      <c r="L188" s="111" t="str">
        <f t="shared" si="18"/>
        <v/>
      </c>
      <c r="M188" s="111" t="str">
        <f t="shared" si="18"/>
        <v/>
      </c>
      <c r="N188" s="111" t="str">
        <f t="shared" si="18"/>
        <v/>
      </c>
      <c r="O188" s="111" t="str">
        <f t="shared" si="18"/>
        <v/>
      </c>
      <c r="P188" s="111" t="str">
        <f t="shared" si="18"/>
        <v/>
      </c>
      <c r="Q188" s="111" t="str">
        <f t="shared" si="18"/>
        <v/>
      </c>
      <c r="R188" s="111" t="str">
        <f t="shared" si="18"/>
        <v/>
      </c>
      <c r="S188" s="111" t="str">
        <f t="shared" si="18"/>
        <v/>
      </c>
      <c r="T188" s="111" t="str">
        <f t="shared" si="18"/>
        <v/>
      </c>
      <c r="U188" s="111" t="str">
        <f t="shared" si="18"/>
        <v/>
      </c>
      <c r="V188" s="111" t="str">
        <f t="shared" si="18"/>
        <v/>
      </c>
      <c r="W188" s="104"/>
      <c r="X188" s="104"/>
      <c r="Y188" s="104"/>
      <c r="Z188" s="104"/>
      <c r="AA188" s="104"/>
      <c r="AB188" s="104"/>
      <c r="AC188" s="104"/>
      <c r="AD188" s="104"/>
    </row>
    <row r="189" spans="1:30" x14ac:dyDescent="0.3">
      <c r="A189" s="110"/>
      <c r="B189" s="111" t="str">
        <f>IF($A189="","",SUMIFS(weekly_demand!$D:$D,weekly_demand!$A:$A,B$1,weekly_demand!$C:$C,$A189))</f>
        <v/>
      </c>
      <c r="C189" s="111" t="str">
        <f>IF($A189="","",SUMIFS(weekly_demand!$D:$D,weekly_demand!$A:$A,C$1,weekly_demand!$C:$C,$A189))</f>
        <v/>
      </c>
      <c r="D189" s="111" t="str">
        <f>IF($A189="","",SUMIFS(weekly_demand!$D:$D,weekly_demand!$A:$A,D$1,weekly_demand!$C:$C,$A189))</f>
        <v/>
      </c>
      <c r="E189" s="111" t="str">
        <f>IF($A189="","",SUMIFS(weekly_demand!$D:$D,weekly_demand!$A:$A,E$1,weekly_demand!$C:$C,$A189))</f>
        <v/>
      </c>
      <c r="F189" s="111" t="str">
        <f>IF($A189="","",SUMIFS(weekly_demand!$D:$D,weekly_demand!$A:$A,F$1,weekly_demand!$C:$C,$A189))</f>
        <v/>
      </c>
      <c r="G189" s="111" t="str">
        <f>IF($A189="","",SUMIFS(weekly_demand!$D:$D,weekly_demand!$A:$A,G$1,weekly_demand!$C:$C,$A189))</f>
        <v/>
      </c>
      <c r="H189" s="111" t="str">
        <f t="shared" si="18"/>
        <v/>
      </c>
      <c r="I189" s="111" t="str">
        <f t="shared" si="18"/>
        <v/>
      </c>
      <c r="J189" s="111" t="str">
        <f t="shared" si="18"/>
        <v/>
      </c>
      <c r="K189" s="111" t="str">
        <f t="shared" si="18"/>
        <v/>
      </c>
      <c r="L189" s="111" t="str">
        <f t="shared" si="18"/>
        <v/>
      </c>
      <c r="M189" s="111" t="str">
        <f t="shared" si="18"/>
        <v/>
      </c>
      <c r="N189" s="111" t="str">
        <f t="shared" si="18"/>
        <v/>
      </c>
      <c r="O189" s="111" t="str">
        <f t="shared" si="18"/>
        <v/>
      </c>
      <c r="P189" s="111" t="str">
        <f t="shared" si="18"/>
        <v/>
      </c>
      <c r="Q189" s="111" t="str">
        <f t="shared" si="18"/>
        <v/>
      </c>
      <c r="R189" s="111" t="str">
        <f t="shared" si="18"/>
        <v/>
      </c>
      <c r="S189" s="111" t="str">
        <f t="shared" si="18"/>
        <v/>
      </c>
      <c r="T189" s="111" t="str">
        <f t="shared" si="18"/>
        <v/>
      </c>
      <c r="U189" s="111" t="str">
        <f t="shared" si="18"/>
        <v/>
      </c>
      <c r="V189" s="111" t="str">
        <f t="shared" si="18"/>
        <v/>
      </c>
      <c r="W189" s="104"/>
      <c r="X189" s="104"/>
      <c r="Y189" s="104"/>
      <c r="Z189" s="104"/>
      <c r="AA189" s="104"/>
      <c r="AB189" s="104"/>
      <c r="AC189" s="104"/>
      <c r="AD189" s="104"/>
    </row>
    <row r="190" spans="1:30" x14ac:dyDescent="0.3">
      <c r="A190" s="110"/>
      <c r="B190" s="111" t="str">
        <f>IF($A190="","",SUMIFS(weekly_demand!$D:$D,weekly_demand!$A:$A,B$1,weekly_demand!$C:$C,$A190))</f>
        <v/>
      </c>
      <c r="C190" s="111" t="str">
        <f>IF($A190="","",SUMIFS(weekly_demand!$D:$D,weekly_demand!$A:$A,C$1,weekly_demand!$C:$C,$A190))</f>
        <v/>
      </c>
      <c r="D190" s="111" t="str">
        <f>IF($A190="","",SUMIFS(weekly_demand!$D:$D,weekly_demand!$A:$A,D$1,weekly_demand!$C:$C,$A190))</f>
        <v/>
      </c>
      <c r="E190" s="111" t="str">
        <f>IF($A190="","",SUMIFS(weekly_demand!$D:$D,weekly_demand!$A:$A,E$1,weekly_demand!$C:$C,$A190))</f>
        <v/>
      </c>
      <c r="F190" s="111" t="str">
        <f>IF($A190="","",SUMIFS(weekly_demand!$D:$D,weekly_demand!$A:$A,F$1,weekly_demand!$C:$C,$A190))</f>
        <v/>
      </c>
      <c r="G190" s="111" t="str">
        <f>IF($A190="","",SUMIFS(weekly_demand!$D:$D,weekly_demand!$A:$A,G$1,weekly_demand!$C:$C,$A190))</f>
        <v/>
      </c>
      <c r="H190" s="111" t="str">
        <f t="shared" si="18"/>
        <v/>
      </c>
      <c r="I190" s="111" t="str">
        <f t="shared" si="18"/>
        <v/>
      </c>
      <c r="J190" s="111" t="str">
        <f t="shared" si="18"/>
        <v/>
      </c>
      <c r="K190" s="111" t="str">
        <f t="shared" si="18"/>
        <v/>
      </c>
      <c r="L190" s="111" t="str">
        <f t="shared" si="18"/>
        <v/>
      </c>
      <c r="M190" s="111" t="str">
        <f t="shared" si="18"/>
        <v/>
      </c>
      <c r="N190" s="111" t="str">
        <f t="shared" si="18"/>
        <v/>
      </c>
      <c r="O190" s="111" t="str">
        <f t="shared" si="18"/>
        <v/>
      </c>
      <c r="P190" s="111" t="str">
        <f t="shared" si="18"/>
        <v/>
      </c>
      <c r="Q190" s="111" t="str">
        <f t="shared" si="18"/>
        <v/>
      </c>
      <c r="R190" s="111" t="str">
        <f t="shared" si="18"/>
        <v/>
      </c>
      <c r="S190" s="111" t="str">
        <f t="shared" si="18"/>
        <v/>
      </c>
      <c r="T190" s="111" t="str">
        <f t="shared" si="18"/>
        <v/>
      </c>
      <c r="U190" s="111" t="str">
        <f t="shared" si="18"/>
        <v/>
      </c>
      <c r="V190" s="111" t="str">
        <f t="shared" si="18"/>
        <v/>
      </c>
      <c r="W190" s="104"/>
      <c r="X190" s="104"/>
      <c r="Y190" s="104"/>
      <c r="Z190" s="104"/>
      <c r="AA190" s="104"/>
      <c r="AB190" s="104"/>
      <c r="AC190" s="104"/>
      <c r="AD190" s="104"/>
    </row>
    <row r="191" spans="1:30" x14ac:dyDescent="0.3">
      <c r="A191" s="110"/>
      <c r="B191" s="111" t="str">
        <f>IF($A191="","",SUMIFS(weekly_demand!$D:$D,weekly_demand!$A:$A,B$1,weekly_demand!$C:$C,$A191))</f>
        <v/>
      </c>
      <c r="C191" s="111" t="str">
        <f>IF($A191="","",SUMIFS(weekly_demand!$D:$D,weekly_demand!$A:$A,C$1,weekly_demand!$C:$C,$A191))</f>
        <v/>
      </c>
      <c r="D191" s="111" t="str">
        <f>IF($A191="","",SUMIFS(weekly_demand!$D:$D,weekly_demand!$A:$A,D$1,weekly_demand!$C:$C,$A191))</f>
        <v/>
      </c>
      <c r="E191" s="111" t="str">
        <f>IF($A191="","",SUMIFS(weekly_demand!$D:$D,weekly_demand!$A:$A,E$1,weekly_demand!$C:$C,$A191))</f>
        <v/>
      </c>
      <c r="F191" s="111" t="str">
        <f>IF($A191="","",SUMIFS(weekly_demand!$D:$D,weekly_demand!$A:$A,F$1,weekly_demand!$C:$C,$A191))</f>
        <v/>
      </c>
      <c r="G191" s="111" t="str">
        <f>IF($A191="","",SUMIFS(weekly_demand!$D:$D,weekly_demand!$A:$A,G$1,weekly_demand!$C:$C,$A191))</f>
        <v/>
      </c>
      <c r="H191" s="111" t="str">
        <f t="shared" si="18"/>
        <v/>
      </c>
      <c r="I191" s="111" t="str">
        <f t="shared" si="18"/>
        <v/>
      </c>
      <c r="J191" s="111" t="str">
        <f t="shared" si="18"/>
        <v/>
      </c>
      <c r="K191" s="111" t="str">
        <f t="shared" si="18"/>
        <v/>
      </c>
      <c r="L191" s="111" t="str">
        <f t="shared" si="18"/>
        <v/>
      </c>
      <c r="M191" s="111" t="str">
        <f t="shared" si="18"/>
        <v/>
      </c>
      <c r="N191" s="111" t="str">
        <f t="shared" si="18"/>
        <v/>
      </c>
      <c r="O191" s="111" t="str">
        <f t="shared" si="18"/>
        <v/>
      </c>
      <c r="P191" s="111" t="str">
        <f t="shared" si="18"/>
        <v/>
      </c>
      <c r="Q191" s="111" t="str">
        <f t="shared" si="18"/>
        <v/>
      </c>
      <c r="R191" s="111" t="str">
        <f t="shared" si="18"/>
        <v/>
      </c>
      <c r="S191" s="111" t="str">
        <f t="shared" si="18"/>
        <v/>
      </c>
      <c r="T191" s="111" t="str">
        <f t="shared" si="18"/>
        <v/>
      </c>
      <c r="U191" s="111" t="str">
        <f t="shared" si="18"/>
        <v/>
      </c>
      <c r="V191" s="111" t="str">
        <f t="shared" si="18"/>
        <v/>
      </c>
      <c r="W191" s="104"/>
      <c r="X191" s="104"/>
      <c r="Y191" s="104"/>
      <c r="Z191" s="104"/>
      <c r="AA191" s="104"/>
      <c r="AB191" s="104"/>
      <c r="AC191" s="104"/>
      <c r="AD191" s="104"/>
    </row>
    <row r="192" spans="1:30" x14ac:dyDescent="0.3">
      <c r="A192" s="110"/>
      <c r="B192" s="111" t="str">
        <f>IF($A192="","",SUMIFS(weekly_demand!$D:$D,weekly_demand!$A:$A,B$1,weekly_demand!$C:$C,$A192))</f>
        <v/>
      </c>
      <c r="C192" s="111" t="str">
        <f>IF($A192="","",SUMIFS(weekly_demand!$D:$D,weekly_demand!$A:$A,C$1,weekly_demand!$C:$C,$A192))</f>
        <v/>
      </c>
      <c r="D192" s="111" t="str">
        <f>IF($A192="","",SUMIFS(weekly_demand!$D:$D,weekly_demand!$A:$A,D$1,weekly_demand!$C:$C,$A192))</f>
        <v/>
      </c>
      <c r="E192" s="111" t="str">
        <f>IF($A192="","",SUMIFS(weekly_demand!$D:$D,weekly_demand!$A:$A,E$1,weekly_demand!$C:$C,$A192))</f>
        <v/>
      </c>
      <c r="F192" s="111" t="str">
        <f>IF($A192="","",SUMIFS(weekly_demand!$D:$D,weekly_demand!$A:$A,F$1,weekly_demand!$C:$C,$A192))</f>
        <v/>
      </c>
      <c r="G192" s="111" t="str">
        <f>IF($A192="","",SUMIFS(weekly_demand!$D:$D,weekly_demand!$A:$A,G$1,weekly_demand!$C:$C,$A192))</f>
        <v/>
      </c>
      <c r="H192" s="111" t="str">
        <f t="shared" ref="H192:V201" si="19">IF($A192="","",SUMPRODUCT($B192:$G192,INDEX($Y$2:$AD$16,MATCH(H$1,$X$2:$X$16,0),0)))</f>
        <v/>
      </c>
      <c r="I192" s="111" t="str">
        <f t="shared" si="19"/>
        <v/>
      </c>
      <c r="J192" s="111" t="str">
        <f t="shared" si="19"/>
        <v/>
      </c>
      <c r="K192" s="111" t="str">
        <f t="shared" si="19"/>
        <v/>
      </c>
      <c r="L192" s="111" t="str">
        <f t="shared" si="19"/>
        <v/>
      </c>
      <c r="M192" s="111" t="str">
        <f t="shared" si="19"/>
        <v/>
      </c>
      <c r="N192" s="111" t="str">
        <f t="shared" si="19"/>
        <v/>
      </c>
      <c r="O192" s="111" t="str">
        <f t="shared" si="19"/>
        <v/>
      </c>
      <c r="P192" s="111" t="str">
        <f t="shared" si="19"/>
        <v/>
      </c>
      <c r="Q192" s="111" t="str">
        <f t="shared" si="19"/>
        <v/>
      </c>
      <c r="R192" s="111" t="str">
        <f t="shared" si="19"/>
        <v/>
      </c>
      <c r="S192" s="111" t="str">
        <f t="shared" si="19"/>
        <v/>
      </c>
      <c r="T192" s="111" t="str">
        <f t="shared" si="19"/>
        <v/>
      </c>
      <c r="U192" s="111" t="str">
        <f t="shared" si="19"/>
        <v/>
      </c>
      <c r="V192" s="111" t="str">
        <f t="shared" si="19"/>
        <v/>
      </c>
      <c r="W192" s="104"/>
      <c r="X192" s="104"/>
      <c r="Y192" s="104"/>
      <c r="Z192" s="104"/>
      <c r="AA192" s="104"/>
      <c r="AB192" s="104"/>
      <c r="AC192" s="104"/>
      <c r="AD192" s="104"/>
    </row>
    <row r="193" spans="1:30" x14ac:dyDescent="0.3">
      <c r="A193" s="110"/>
      <c r="B193" s="111" t="str">
        <f>IF($A193="","",SUMIFS(weekly_demand!$D:$D,weekly_demand!$A:$A,B$1,weekly_demand!$C:$C,$A193))</f>
        <v/>
      </c>
      <c r="C193" s="111" t="str">
        <f>IF($A193="","",SUMIFS(weekly_demand!$D:$D,weekly_demand!$A:$A,C$1,weekly_demand!$C:$C,$A193))</f>
        <v/>
      </c>
      <c r="D193" s="111" t="str">
        <f>IF($A193="","",SUMIFS(weekly_demand!$D:$D,weekly_demand!$A:$A,D$1,weekly_demand!$C:$C,$A193))</f>
        <v/>
      </c>
      <c r="E193" s="111" t="str">
        <f>IF($A193="","",SUMIFS(weekly_demand!$D:$D,weekly_demand!$A:$A,E$1,weekly_demand!$C:$C,$A193))</f>
        <v/>
      </c>
      <c r="F193" s="111" t="str">
        <f>IF($A193="","",SUMIFS(weekly_demand!$D:$D,weekly_demand!$A:$A,F$1,weekly_demand!$C:$C,$A193))</f>
        <v/>
      </c>
      <c r="G193" s="111" t="str">
        <f>IF($A193="","",SUMIFS(weekly_demand!$D:$D,weekly_demand!$A:$A,G$1,weekly_demand!$C:$C,$A193))</f>
        <v/>
      </c>
      <c r="H193" s="111" t="str">
        <f t="shared" si="19"/>
        <v/>
      </c>
      <c r="I193" s="111" t="str">
        <f t="shared" si="19"/>
        <v/>
      </c>
      <c r="J193" s="111" t="str">
        <f t="shared" si="19"/>
        <v/>
      </c>
      <c r="K193" s="111" t="str">
        <f t="shared" si="19"/>
        <v/>
      </c>
      <c r="L193" s="111" t="str">
        <f t="shared" si="19"/>
        <v/>
      </c>
      <c r="M193" s="111" t="str">
        <f t="shared" si="19"/>
        <v/>
      </c>
      <c r="N193" s="111" t="str">
        <f t="shared" si="19"/>
        <v/>
      </c>
      <c r="O193" s="111" t="str">
        <f t="shared" si="19"/>
        <v/>
      </c>
      <c r="P193" s="111" t="str">
        <f t="shared" si="19"/>
        <v/>
      </c>
      <c r="Q193" s="111" t="str">
        <f t="shared" si="19"/>
        <v/>
      </c>
      <c r="R193" s="111" t="str">
        <f t="shared" si="19"/>
        <v/>
      </c>
      <c r="S193" s="111" t="str">
        <f t="shared" si="19"/>
        <v/>
      </c>
      <c r="T193" s="111" t="str">
        <f t="shared" si="19"/>
        <v/>
      </c>
      <c r="U193" s="111" t="str">
        <f t="shared" si="19"/>
        <v/>
      </c>
      <c r="V193" s="111" t="str">
        <f t="shared" si="19"/>
        <v/>
      </c>
      <c r="W193" s="104"/>
      <c r="X193" s="104"/>
      <c r="Y193" s="104"/>
      <c r="Z193" s="104"/>
      <c r="AA193" s="104"/>
      <c r="AB193" s="104"/>
      <c r="AC193" s="104"/>
      <c r="AD193" s="104"/>
    </row>
    <row r="194" spans="1:30" x14ac:dyDescent="0.3">
      <c r="A194" s="110"/>
      <c r="B194" s="111" t="str">
        <f>IF($A194="","",SUMIFS(weekly_demand!$D:$D,weekly_demand!$A:$A,B$1,weekly_demand!$C:$C,$A194))</f>
        <v/>
      </c>
      <c r="C194" s="111" t="str">
        <f>IF($A194="","",SUMIFS(weekly_demand!$D:$D,weekly_demand!$A:$A,C$1,weekly_demand!$C:$C,$A194))</f>
        <v/>
      </c>
      <c r="D194" s="111" t="str">
        <f>IF($A194="","",SUMIFS(weekly_demand!$D:$D,weekly_demand!$A:$A,D$1,weekly_demand!$C:$C,$A194))</f>
        <v/>
      </c>
      <c r="E194" s="111" t="str">
        <f>IF($A194="","",SUMIFS(weekly_demand!$D:$D,weekly_demand!$A:$A,E$1,weekly_demand!$C:$C,$A194))</f>
        <v/>
      </c>
      <c r="F194" s="111" t="str">
        <f>IF($A194="","",SUMIFS(weekly_demand!$D:$D,weekly_demand!$A:$A,F$1,weekly_demand!$C:$C,$A194))</f>
        <v/>
      </c>
      <c r="G194" s="111" t="str">
        <f>IF($A194="","",SUMIFS(weekly_demand!$D:$D,weekly_demand!$A:$A,G$1,weekly_demand!$C:$C,$A194))</f>
        <v/>
      </c>
      <c r="H194" s="111" t="str">
        <f t="shared" si="19"/>
        <v/>
      </c>
      <c r="I194" s="111" t="str">
        <f t="shared" si="19"/>
        <v/>
      </c>
      <c r="J194" s="111" t="str">
        <f t="shared" si="19"/>
        <v/>
      </c>
      <c r="K194" s="111" t="str">
        <f t="shared" si="19"/>
        <v/>
      </c>
      <c r="L194" s="111" t="str">
        <f t="shared" si="19"/>
        <v/>
      </c>
      <c r="M194" s="111" t="str">
        <f t="shared" si="19"/>
        <v/>
      </c>
      <c r="N194" s="111" t="str">
        <f t="shared" si="19"/>
        <v/>
      </c>
      <c r="O194" s="111" t="str">
        <f t="shared" si="19"/>
        <v/>
      </c>
      <c r="P194" s="111" t="str">
        <f t="shared" si="19"/>
        <v/>
      </c>
      <c r="Q194" s="111" t="str">
        <f t="shared" si="19"/>
        <v/>
      </c>
      <c r="R194" s="111" t="str">
        <f t="shared" si="19"/>
        <v/>
      </c>
      <c r="S194" s="111" t="str">
        <f t="shared" si="19"/>
        <v/>
      </c>
      <c r="T194" s="111" t="str">
        <f t="shared" si="19"/>
        <v/>
      </c>
      <c r="U194" s="111" t="str">
        <f t="shared" si="19"/>
        <v/>
      </c>
      <c r="V194" s="111" t="str">
        <f t="shared" si="19"/>
        <v/>
      </c>
      <c r="W194" s="104"/>
      <c r="X194" s="104"/>
      <c r="Y194" s="104"/>
      <c r="Z194" s="104"/>
      <c r="AA194" s="104"/>
      <c r="AB194" s="104"/>
      <c r="AC194" s="104"/>
      <c r="AD194" s="104"/>
    </row>
    <row r="195" spans="1:30" x14ac:dyDescent="0.3">
      <c r="A195" s="110"/>
      <c r="B195" s="111" t="str">
        <f>IF($A195="","",SUMIFS(weekly_demand!$D:$D,weekly_demand!$A:$A,B$1,weekly_demand!$C:$C,$A195))</f>
        <v/>
      </c>
      <c r="C195" s="111" t="str">
        <f>IF($A195="","",SUMIFS(weekly_demand!$D:$D,weekly_demand!$A:$A,C$1,weekly_demand!$C:$C,$A195))</f>
        <v/>
      </c>
      <c r="D195" s="111" t="str">
        <f>IF($A195="","",SUMIFS(weekly_demand!$D:$D,weekly_demand!$A:$A,D$1,weekly_demand!$C:$C,$A195))</f>
        <v/>
      </c>
      <c r="E195" s="111" t="str">
        <f>IF($A195="","",SUMIFS(weekly_demand!$D:$D,weekly_demand!$A:$A,E$1,weekly_demand!$C:$C,$A195))</f>
        <v/>
      </c>
      <c r="F195" s="111" t="str">
        <f>IF($A195="","",SUMIFS(weekly_demand!$D:$D,weekly_demand!$A:$A,F$1,weekly_demand!$C:$C,$A195))</f>
        <v/>
      </c>
      <c r="G195" s="111" t="str">
        <f>IF($A195="","",SUMIFS(weekly_demand!$D:$D,weekly_demand!$A:$A,G$1,weekly_demand!$C:$C,$A195))</f>
        <v/>
      </c>
      <c r="H195" s="111" t="str">
        <f t="shared" si="19"/>
        <v/>
      </c>
      <c r="I195" s="111" t="str">
        <f t="shared" si="19"/>
        <v/>
      </c>
      <c r="J195" s="111" t="str">
        <f t="shared" si="19"/>
        <v/>
      </c>
      <c r="K195" s="111" t="str">
        <f t="shared" si="19"/>
        <v/>
      </c>
      <c r="L195" s="111" t="str">
        <f t="shared" si="19"/>
        <v/>
      </c>
      <c r="M195" s="111" t="str">
        <f t="shared" si="19"/>
        <v/>
      </c>
      <c r="N195" s="111" t="str">
        <f t="shared" si="19"/>
        <v/>
      </c>
      <c r="O195" s="111" t="str">
        <f t="shared" si="19"/>
        <v/>
      </c>
      <c r="P195" s="111" t="str">
        <f t="shared" si="19"/>
        <v/>
      </c>
      <c r="Q195" s="111" t="str">
        <f t="shared" si="19"/>
        <v/>
      </c>
      <c r="R195" s="111" t="str">
        <f t="shared" si="19"/>
        <v/>
      </c>
      <c r="S195" s="111" t="str">
        <f t="shared" si="19"/>
        <v/>
      </c>
      <c r="T195" s="111" t="str">
        <f t="shared" si="19"/>
        <v/>
      </c>
      <c r="U195" s="111" t="str">
        <f t="shared" si="19"/>
        <v/>
      </c>
      <c r="V195" s="111" t="str">
        <f t="shared" si="19"/>
        <v/>
      </c>
      <c r="W195" s="104"/>
      <c r="X195" s="104"/>
      <c r="Y195" s="104"/>
      <c r="Z195" s="104"/>
      <c r="AA195" s="104"/>
      <c r="AB195" s="104"/>
      <c r="AC195" s="104"/>
      <c r="AD195" s="104"/>
    </row>
    <row r="196" spans="1:30" x14ac:dyDescent="0.3">
      <c r="A196" s="110"/>
      <c r="B196" s="111" t="str">
        <f>IF($A196="","",SUMIFS(weekly_demand!$D:$D,weekly_demand!$A:$A,B$1,weekly_demand!$C:$C,$A196))</f>
        <v/>
      </c>
      <c r="C196" s="111" t="str">
        <f>IF($A196="","",SUMIFS(weekly_demand!$D:$D,weekly_demand!$A:$A,C$1,weekly_demand!$C:$C,$A196))</f>
        <v/>
      </c>
      <c r="D196" s="111" t="str">
        <f>IF($A196="","",SUMIFS(weekly_demand!$D:$D,weekly_demand!$A:$A,D$1,weekly_demand!$C:$C,$A196))</f>
        <v/>
      </c>
      <c r="E196" s="111" t="str">
        <f>IF($A196="","",SUMIFS(weekly_demand!$D:$D,weekly_demand!$A:$A,E$1,weekly_demand!$C:$C,$A196))</f>
        <v/>
      </c>
      <c r="F196" s="111" t="str">
        <f>IF($A196="","",SUMIFS(weekly_demand!$D:$D,weekly_demand!$A:$A,F$1,weekly_demand!$C:$C,$A196))</f>
        <v/>
      </c>
      <c r="G196" s="111" t="str">
        <f>IF($A196="","",SUMIFS(weekly_demand!$D:$D,weekly_demand!$A:$A,G$1,weekly_demand!$C:$C,$A196))</f>
        <v/>
      </c>
      <c r="H196" s="111" t="str">
        <f t="shared" si="19"/>
        <v/>
      </c>
      <c r="I196" s="111" t="str">
        <f t="shared" si="19"/>
        <v/>
      </c>
      <c r="J196" s="111" t="str">
        <f t="shared" si="19"/>
        <v/>
      </c>
      <c r="K196" s="111" t="str">
        <f t="shared" si="19"/>
        <v/>
      </c>
      <c r="L196" s="111" t="str">
        <f t="shared" si="19"/>
        <v/>
      </c>
      <c r="M196" s="111" t="str">
        <f t="shared" si="19"/>
        <v/>
      </c>
      <c r="N196" s="111" t="str">
        <f t="shared" si="19"/>
        <v/>
      </c>
      <c r="O196" s="111" t="str">
        <f t="shared" si="19"/>
        <v/>
      </c>
      <c r="P196" s="111" t="str">
        <f t="shared" si="19"/>
        <v/>
      </c>
      <c r="Q196" s="111" t="str">
        <f t="shared" si="19"/>
        <v/>
      </c>
      <c r="R196" s="111" t="str">
        <f t="shared" si="19"/>
        <v/>
      </c>
      <c r="S196" s="111" t="str">
        <f t="shared" si="19"/>
        <v/>
      </c>
      <c r="T196" s="111" t="str">
        <f t="shared" si="19"/>
        <v/>
      </c>
      <c r="U196" s="111" t="str">
        <f t="shared" si="19"/>
        <v/>
      </c>
      <c r="V196" s="111" t="str">
        <f t="shared" si="19"/>
        <v/>
      </c>
      <c r="W196" s="104"/>
      <c r="X196" s="104"/>
      <c r="Y196" s="104"/>
      <c r="Z196" s="104"/>
      <c r="AA196" s="104"/>
      <c r="AB196" s="104"/>
      <c r="AC196" s="104"/>
      <c r="AD196" s="104"/>
    </row>
    <row r="197" spans="1:30" x14ac:dyDescent="0.3">
      <c r="A197" s="110"/>
      <c r="B197" s="111" t="str">
        <f>IF($A197="","",SUMIFS(weekly_demand!$D:$D,weekly_demand!$A:$A,B$1,weekly_demand!$C:$C,$A197))</f>
        <v/>
      </c>
      <c r="C197" s="111" t="str">
        <f>IF($A197="","",SUMIFS(weekly_demand!$D:$D,weekly_demand!$A:$A,C$1,weekly_demand!$C:$C,$A197))</f>
        <v/>
      </c>
      <c r="D197" s="111" t="str">
        <f>IF($A197="","",SUMIFS(weekly_demand!$D:$D,weekly_demand!$A:$A,D$1,weekly_demand!$C:$C,$A197))</f>
        <v/>
      </c>
      <c r="E197" s="111" t="str">
        <f>IF($A197="","",SUMIFS(weekly_demand!$D:$D,weekly_demand!$A:$A,E$1,weekly_demand!$C:$C,$A197))</f>
        <v/>
      </c>
      <c r="F197" s="111" t="str">
        <f>IF($A197="","",SUMIFS(weekly_demand!$D:$D,weekly_demand!$A:$A,F$1,weekly_demand!$C:$C,$A197))</f>
        <v/>
      </c>
      <c r="G197" s="111" t="str">
        <f>IF($A197="","",SUMIFS(weekly_demand!$D:$D,weekly_demand!$A:$A,G$1,weekly_demand!$C:$C,$A197))</f>
        <v/>
      </c>
      <c r="H197" s="111" t="str">
        <f t="shared" si="19"/>
        <v/>
      </c>
      <c r="I197" s="111" t="str">
        <f t="shared" si="19"/>
        <v/>
      </c>
      <c r="J197" s="111" t="str">
        <f t="shared" si="19"/>
        <v/>
      </c>
      <c r="K197" s="111" t="str">
        <f t="shared" si="19"/>
        <v/>
      </c>
      <c r="L197" s="111" t="str">
        <f t="shared" si="19"/>
        <v/>
      </c>
      <c r="M197" s="111" t="str">
        <f t="shared" si="19"/>
        <v/>
      </c>
      <c r="N197" s="111" t="str">
        <f t="shared" si="19"/>
        <v/>
      </c>
      <c r="O197" s="111" t="str">
        <f t="shared" si="19"/>
        <v/>
      </c>
      <c r="P197" s="111" t="str">
        <f t="shared" si="19"/>
        <v/>
      </c>
      <c r="Q197" s="111" t="str">
        <f t="shared" si="19"/>
        <v/>
      </c>
      <c r="R197" s="111" t="str">
        <f t="shared" si="19"/>
        <v/>
      </c>
      <c r="S197" s="111" t="str">
        <f t="shared" si="19"/>
        <v/>
      </c>
      <c r="T197" s="111" t="str">
        <f t="shared" si="19"/>
        <v/>
      </c>
      <c r="U197" s="111" t="str">
        <f t="shared" si="19"/>
        <v/>
      </c>
      <c r="V197" s="111" t="str">
        <f t="shared" si="19"/>
        <v/>
      </c>
      <c r="W197" s="104"/>
      <c r="X197" s="104"/>
      <c r="Y197" s="104"/>
      <c r="Z197" s="104"/>
      <c r="AA197" s="104"/>
      <c r="AB197" s="104"/>
      <c r="AC197" s="104"/>
      <c r="AD197" s="104"/>
    </row>
    <row r="198" spans="1:30" x14ac:dyDescent="0.3">
      <c r="A198" s="110"/>
      <c r="B198" s="111" t="str">
        <f>IF($A198="","",SUMIFS(weekly_demand!$D:$D,weekly_demand!$A:$A,B$1,weekly_demand!$C:$C,$A198))</f>
        <v/>
      </c>
      <c r="C198" s="111" t="str">
        <f>IF($A198="","",SUMIFS(weekly_demand!$D:$D,weekly_demand!$A:$A,C$1,weekly_demand!$C:$C,$A198))</f>
        <v/>
      </c>
      <c r="D198" s="111" t="str">
        <f>IF($A198="","",SUMIFS(weekly_demand!$D:$D,weekly_demand!$A:$A,D$1,weekly_demand!$C:$C,$A198))</f>
        <v/>
      </c>
      <c r="E198" s="111" t="str">
        <f>IF($A198="","",SUMIFS(weekly_demand!$D:$D,weekly_demand!$A:$A,E$1,weekly_demand!$C:$C,$A198))</f>
        <v/>
      </c>
      <c r="F198" s="111" t="str">
        <f>IF($A198="","",SUMIFS(weekly_demand!$D:$D,weekly_demand!$A:$A,F$1,weekly_demand!$C:$C,$A198))</f>
        <v/>
      </c>
      <c r="G198" s="111" t="str">
        <f>IF($A198="","",SUMIFS(weekly_demand!$D:$D,weekly_demand!$A:$A,G$1,weekly_demand!$C:$C,$A198))</f>
        <v/>
      </c>
      <c r="H198" s="111" t="str">
        <f t="shared" si="19"/>
        <v/>
      </c>
      <c r="I198" s="111" t="str">
        <f t="shared" si="19"/>
        <v/>
      </c>
      <c r="J198" s="111" t="str">
        <f t="shared" si="19"/>
        <v/>
      </c>
      <c r="K198" s="111" t="str">
        <f t="shared" si="19"/>
        <v/>
      </c>
      <c r="L198" s="111" t="str">
        <f t="shared" si="19"/>
        <v/>
      </c>
      <c r="M198" s="111" t="str">
        <f t="shared" si="19"/>
        <v/>
      </c>
      <c r="N198" s="111" t="str">
        <f t="shared" si="19"/>
        <v/>
      </c>
      <c r="O198" s="111" t="str">
        <f t="shared" si="19"/>
        <v/>
      </c>
      <c r="P198" s="111" t="str">
        <f t="shared" si="19"/>
        <v/>
      </c>
      <c r="Q198" s="111" t="str">
        <f t="shared" si="19"/>
        <v/>
      </c>
      <c r="R198" s="111" t="str">
        <f t="shared" si="19"/>
        <v/>
      </c>
      <c r="S198" s="111" t="str">
        <f t="shared" si="19"/>
        <v/>
      </c>
      <c r="T198" s="111" t="str">
        <f t="shared" si="19"/>
        <v/>
      </c>
      <c r="U198" s="111" t="str">
        <f t="shared" si="19"/>
        <v/>
      </c>
      <c r="V198" s="111" t="str">
        <f t="shared" si="19"/>
        <v/>
      </c>
      <c r="W198" s="104"/>
      <c r="X198" s="104"/>
      <c r="Y198" s="104"/>
      <c r="Z198" s="104"/>
      <c r="AA198" s="104"/>
      <c r="AB198" s="104"/>
      <c r="AC198" s="104"/>
      <c r="AD198" s="104"/>
    </row>
    <row r="199" spans="1:30" x14ac:dyDescent="0.3">
      <c r="A199" s="110"/>
      <c r="B199" s="111" t="str">
        <f>IF($A199="","",SUMIFS(weekly_demand!$D:$D,weekly_demand!$A:$A,B$1,weekly_demand!$C:$C,$A199))</f>
        <v/>
      </c>
      <c r="C199" s="111" t="str">
        <f>IF($A199="","",SUMIFS(weekly_demand!$D:$D,weekly_demand!$A:$A,C$1,weekly_demand!$C:$C,$A199))</f>
        <v/>
      </c>
      <c r="D199" s="111" t="str">
        <f>IF($A199="","",SUMIFS(weekly_demand!$D:$D,weekly_demand!$A:$A,D$1,weekly_demand!$C:$C,$A199))</f>
        <v/>
      </c>
      <c r="E199" s="111" t="str">
        <f>IF($A199="","",SUMIFS(weekly_demand!$D:$D,weekly_demand!$A:$A,E$1,weekly_demand!$C:$C,$A199))</f>
        <v/>
      </c>
      <c r="F199" s="111" t="str">
        <f>IF($A199="","",SUMIFS(weekly_demand!$D:$D,weekly_demand!$A:$A,F$1,weekly_demand!$C:$C,$A199))</f>
        <v/>
      </c>
      <c r="G199" s="111" t="str">
        <f>IF($A199="","",SUMIFS(weekly_demand!$D:$D,weekly_demand!$A:$A,G$1,weekly_demand!$C:$C,$A199))</f>
        <v/>
      </c>
      <c r="H199" s="111" t="str">
        <f t="shared" si="19"/>
        <v/>
      </c>
      <c r="I199" s="111" t="str">
        <f t="shared" si="19"/>
        <v/>
      </c>
      <c r="J199" s="111" t="str">
        <f t="shared" si="19"/>
        <v/>
      </c>
      <c r="K199" s="111" t="str">
        <f t="shared" si="19"/>
        <v/>
      </c>
      <c r="L199" s="111" t="str">
        <f t="shared" si="19"/>
        <v/>
      </c>
      <c r="M199" s="111" t="str">
        <f t="shared" si="19"/>
        <v/>
      </c>
      <c r="N199" s="111" t="str">
        <f t="shared" si="19"/>
        <v/>
      </c>
      <c r="O199" s="111" t="str">
        <f t="shared" si="19"/>
        <v/>
      </c>
      <c r="P199" s="111" t="str">
        <f t="shared" si="19"/>
        <v/>
      </c>
      <c r="Q199" s="111" t="str">
        <f t="shared" si="19"/>
        <v/>
      </c>
      <c r="R199" s="111" t="str">
        <f t="shared" si="19"/>
        <v/>
      </c>
      <c r="S199" s="111" t="str">
        <f t="shared" si="19"/>
        <v/>
      </c>
      <c r="T199" s="111" t="str">
        <f t="shared" si="19"/>
        <v/>
      </c>
      <c r="U199" s="111" t="str">
        <f t="shared" si="19"/>
        <v/>
      </c>
      <c r="V199" s="111" t="str">
        <f t="shared" si="19"/>
        <v/>
      </c>
      <c r="W199" s="104"/>
      <c r="X199" s="104"/>
      <c r="Y199" s="104"/>
      <c r="Z199" s="104"/>
      <c r="AA199" s="104"/>
      <c r="AB199" s="104"/>
      <c r="AC199" s="104"/>
      <c r="AD199" s="104"/>
    </row>
    <row r="200" spans="1:30" x14ac:dyDescent="0.3">
      <c r="A200" s="110"/>
      <c r="B200" s="111" t="str">
        <f>IF($A200="","",SUMIFS(weekly_demand!$D:$D,weekly_demand!$A:$A,B$1,weekly_demand!$C:$C,$A200))</f>
        <v/>
      </c>
      <c r="C200" s="111" t="str">
        <f>IF($A200="","",SUMIFS(weekly_demand!$D:$D,weekly_demand!$A:$A,C$1,weekly_demand!$C:$C,$A200))</f>
        <v/>
      </c>
      <c r="D200" s="111" t="str">
        <f>IF($A200="","",SUMIFS(weekly_demand!$D:$D,weekly_demand!$A:$A,D$1,weekly_demand!$C:$C,$A200))</f>
        <v/>
      </c>
      <c r="E200" s="111" t="str">
        <f>IF($A200="","",SUMIFS(weekly_demand!$D:$D,weekly_demand!$A:$A,E$1,weekly_demand!$C:$C,$A200))</f>
        <v/>
      </c>
      <c r="F200" s="111" t="str">
        <f>IF($A200="","",SUMIFS(weekly_demand!$D:$D,weekly_demand!$A:$A,F$1,weekly_demand!$C:$C,$A200))</f>
        <v/>
      </c>
      <c r="G200" s="111" t="str">
        <f>IF($A200="","",SUMIFS(weekly_demand!$D:$D,weekly_demand!$A:$A,G$1,weekly_demand!$C:$C,$A200))</f>
        <v/>
      </c>
      <c r="H200" s="111" t="str">
        <f t="shared" si="19"/>
        <v/>
      </c>
      <c r="I200" s="111" t="str">
        <f t="shared" si="19"/>
        <v/>
      </c>
      <c r="J200" s="111" t="str">
        <f t="shared" si="19"/>
        <v/>
      </c>
      <c r="K200" s="111" t="str">
        <f t="shared" si="19"/>
        <v/>
      </c>
      <c r="L200" s="111" t="str">
        <f t="shared" si="19"/>
        <v/>
      </c>
      <c r="M200" s="111" t="str">
        <f t="shared" si="19"/>
        <v/>
      </c>
      <c r="N200" s="111" t="str">
        <f t="shared" si="19"/>
        <v/>
      </c>
      <c r="O200" s="111" t="str">
        <f t="shared" si="19"/>
        <v/>
      </c>
      <c r="P200" s="111" t="str">
        <f t="shared" si="19"/>
        <v/>
      </c>
      <c r="Q200" s="111" t="str">
        <f t="shared" si="19"/>
        <v/>
      </c>
      <c r="R200" s="111" t="str">
        <f t="shared" si="19"/>
        <v/>
      </c>
      <c r="S200" s="111" t="str">
        <f t="shared" si="19"/>
        <v/>
      </c>
      <c r="T200" s="111" t="str">
        <f t="shared" si="19"/>
        <v/>
      </c>
      <c r="U200" s="111" t="str">
        <f t="shared" si="19"/>
        <v/>
      </c>
      <c r="V200" s="111" t="str">
        <f t="shared" si="19"/>
        <v/>
      </c>
      <c r="W200" s="104"/>
      <c r="X200" s="104"/>
      <c r="Y200" s="104"/>
      <c r="Z200" s="104"/>
      <c r="AA200" s="104"/>
      <c r="AB200" s="104"/>
      <c r="AC200" s="104"/>
      <c r="AD200" s="104"/>
    </row>
    <row r="201" spans="1:30" x14ac:dyDescent="0.3">
      <c r="A201" s="110"/>
      <c r="B201" s="111" t="str">
        <f>IF($A201="","",SUMIFS(weekly_demand!$D:$D,weekly_demand!$A:$A,B$1,weekly_demand!$C:$C,$A201))</f>
        <v/>
      </c>
      <c r="C201" s="111" t="str">
        <f>IF($A201="","",SUMIFS(weekly_demand!$D:$D,weekly_demand!$A:$A,C$1,weekly_demand!$C:$C,$A201))</f>
        <v/>
      </c>
      <c r="D201" s="111" t="str">
        <f>IF($A201="","",SUMIFS(weekly_demand!$D:$D,weekly_demand!$A:$A,D$1,weekly_demand!$C:$C,$A201))</f>
        <v/>
      </c>
      <c r="E201" s="111" t="str">
        <f>IF($A201="","",SUMIFS(weekly_demand!$D:$D,weekly_demand!$A:$A,E$1,weekly_demand!$C:$C,$A201))</f>
        <v/>
      </c>
      <c r="F201" s="111" t="str">
        <f>IF($A201="","",SUMIFS(weekly_demand!$D:$D,weekly_demand!$A:$A,F$1,weekly_demand!$C:$C,$A201))</f>
        <v/>
      </c>
      <c r="G201" s="111" t="str">
        <f>IF($A201="","",SUMIFS(weekly_demand!$D:$D,weekly_demand!$A:$A,G$1,weekly_demand!$C:$C,$A201))</f>
        <v/>
      </c>
      <c r="H201" s="111" t="str">
        <f t="shared" si="19"/>
        <v/>
      </c>
      <c r="I201" s="111" t="str">
        <f t="shared" si="19"/>
        <v/>
      </c>
      <c r="J201" s="111" t="str">
        <f t="shared" si="19"/>
        <v/>
      </c>
      <c r="K201" s="111" t="str">
        <f t="shared" si="19"/>
        <v/>
      </c>
      <c r="L201" s="111" t="str">
        <f t="shared" si="19"/>
        <v/>
      </c>
      <c r="M201" s="111" t="str">
        <f t="shared" si="19"/>
        <v/>
      </c>
      <c r="N201" s="111" t="str">
        <f t="shared" si="19"/>
        <v/>
      </c>
      <c r="O201" s="111" t="str">
        <f t="shared" si="19"/>
        <v/>
      </c>
      <c r="P201" s="111" t="str">
        <f t="shared" si="19"/>
        <v/>
      </c>
      <c r="Q201" s="111" t="str">
        <f t="shared" si="19"/>
        <v/>
      </c>
      <c r="R201" s="111" t="str">
        <f t="shared" si="19"/>
        <v/>
      </c>
      <c r="S201" s="111" t="str">
        <f t="shared" si="19"/>
        <v/>
      </c>
      <c r="T201" s="111" t="str">
        <f t="shared" si="19"/>
        <v/>
      </c>
      <c r="U201" s="111" t="str">
        <f t="shared" si="19"/>
        <v/>
      </c>
      <c r="V201" s="111" t="str">
        <f t="shared" si="19"/>
        <v/>
      </c>
      <c r="W201" s="104"/>
      <c r="X201" s="104"/>
      <c r="Y201" s="104"/>
      <c r="Z201" s="104"/>
      <c r="AA201" s="104"/>
      <c r="AB201" s="104"/>
      <c r="AC201" s="104"/>
      <c r="AD201" s="10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163"/>
  <sheetViews>
    <sheetView topLeftCell="Q28" zoomScale="61" workbookViewId="0">
      <selection activeCell="AJ12" sqref="AJ12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1</v>
      </c>
      <c r="AG1" t="s">
        <v>4</v>
      </c>
    </row>
    <row r="2" spans="1:70" ht="14.25" customHeight="1" x14ac:dyDescent="0.3">
      <c r="X2" s="42" t="s">
        <v>7</v>
      </c>
      <c r="Y2" s="43" t="s">
        <v>8</v>
      </c>
      <c r="Z2" s="42" t="s">
        <v>9</v>
      </c>
      <c r="AA2" s="43" t="s">
        <v>10</v>
      </c>
      <c r="AB2" s="42" t="s">
        <v>11</v>
      </c>
      <c r="AE2" s="43" t="s">
        <v>7</v>
      </c>
      <c r="AF2" s="42" t="s">
        <v>8</v>
      </c>
      <c r="AG2" s="43" t="s">
        <v>9</v>
      </c>
      <c r="AH2" s="42" t="s">
        <v>16</v>
      </c>
      <c r="AI2" s="43" t="s">
        <v>17</v>
      </c>
    </row>
    <row r="3" spans="1:70" ht="16.350000000000001" customHeight="1" x14ac:dyDescent="0.3">
      <c r="A3" s="44" t="s">
        <v>123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E3" s="43">
        <v>1</v>
      </c>
      <c r="AF3" s="42">
        <v>0.25</v>
      </c>
      <c r="AG3" s="43">
        <v>1</v>
      </c>
      <c r="AH3" s="42">
        <v>2</v>
      </c>
      <c r="AI3" s="43">
        <v>1.5</v>
      </c>
    </row>
    <row r="4" spans="1:70" ht="16.350000000000001" customHeight="1" x14ac:dyDescent="0.3">
      <c r="A4" s="44" t="s">
        <v>124</v>
      </c>
      <c r="B4" s="33"/>
      <c r="C4" s="33"/>
      <c r="D4" s="3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4" t="s">
        <v>125</v>
      </c>
      <c r="B5" s="139" t="s">
        <v>126</v>
      </c>
      <c r="C5" s="138"/>
      <c r="D5" s="138"/>
      <c r="E5" s="138"/>
      <c r="F5" s="138"/>
      <c r="G5" s="136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4" t="s">
        <v>127</v>
      </c>
      <c r="B6" s="33"/>
      <c r="C6" s="33"/>
      <c r="D6" s="33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2</v>
      </c>
      <c r="AG6" t="s">
        <v>5</v>
      </c>
    </row>
    <row r="7" spans="1:70" ht="16.350000000000001" customHeight="1" x14ac:dyDescent="0.3">
      <c r="A7" s="44" t="s">
        <v>128</v>
      </c>
      <c r="B7" s="33"/>
      <c r="C7" s="33"/>
      <c r="D7" s="33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3" t="s">
        <v>7</v>
      </c>
      <c r="Y7" s="42" t="s">
        <v>8</v>
      </c>
      <c r="Z7" s="43" t="s">
        <v>9</v>
      </c>
      <c r="AA7" s="42" t="s">
        <v>12</v>
      </c>
      <c r="AB7" s="43" t="s">
        <v>13</v>
      </c>
      <c r="AE7" s="42" t="s">
        <v>7</v>
      </c>
      <c r="AF7" s="43" t="s">
        <v>8</v>
      </c>
      <c r="AG7" s="42" t="s">
        <v>9</v>
      </c>
      <c r="AH7" s="43" t="s">
        <v>18</v>
      </c>
      <c r="AI7" s="42" t="s">
        <v>19</v>
      </c>
    </row>
    <row r="8" spans="1:70" ht="16.350000000000001" customHeight="1" x14ac:dyDescent="0.3">
      <c r="A8" s="44" t="s">
        <v>129</v>
      </c>
      <c r="B8" s="33" t="s">
        <v>130</v>
      </c>
      <c r="C8" s="33"/>
      <c r="D8" s="33"/>
      <c r="E8" s="8"/>
      <c r="F8" s="8"/>
      <c r="G8" s="8"/>
      <c r="H8" s="8">
        <f>ROUNDUP(AVERAGE(BOM_demand!H$3:H$37)*IF(INDEX('BOM &amp; Inventory'!$G$6:$G$35,MATCH(H$3,'BOM &amp; Inventory'!$E$6:$E$35,0))="Local",1,2),0)</f>
        <v>16326</v>
      </c>
      <c r="I8" s="8">
        <f>ROUNDUP(AVERAGE(BOM_demand!I$3:I$37)*IF(INDEX('BOM &amp; Inventory'!$G$6:$G$35,MATCH(I$3,'BOM &amp; Inventory'!$E$6:$E$35,0))="Local",1,2),0)</f>
        <v>4400</v>
      </c>
      <c r="J8" s="8">
        <f>ROUNDUP(AVERAGE(BOM_demand!J$3:J$37)*IF(INDEX('BOM &amp; Inventory'!$G$6:$G$35,MATCH(J$3,'BOM &amp; Inventory'!$E$6:$E$35,0))="Local",1,2),0)</f>
        <v>16326</v>
      </c>
      <c r="K8" s="8">
        <f>ROUNDUP(AVERAGE(BOM_demand!K$3:K$37)*IF(INDEX('BOM &amp; Inventory'!$G$6:$G$35,MATCH(K$3,'BOM &amp; Inventory'!$E$6:$E$35,0))="Local",1,2),0)</f>
        <v>33013</v>
      </c>
      <c r="L8" s="8">
        <f>ROUNDUP(AVERAGE(BOM_demand!L$3:L$37)*IF(INDEX('BOM &amp; Inventory'!$G$6:$G$35,MATCH(L$3,'BOM &amp; Inventory'!$E$6:$E$35,0))="Local",1,2),0)</f>
        <v>16507</v>
      </c>
      <c r="M8" s="8">
        <f>ROUNDUP(AVERAGE(BOM_demand!M$3:M$37)*IF(INDEX('BOM &amp; Inventory'!$G$6:$G$35,MATCH(M$3,'BOM &amp; Inventory'!$E$6:$E$35,0))="Local",1,2),0)</f>
        <v>17350</v>
      </c>
      <c r="N8" s="8">
        <f>ROUNDUP(AVERAGE(BOM_demand!N$3:N$37)*IF(INDEX('BOM &amp; Inventory'!$G$6:$G$35,MATCH(N$3,'BOM &amp; Inventory'!$E$6:$E$35,0))="Local",1,2),0)</f>
        <v>10410</v>
      </c>
      <c r="O8" s="8">
        <f>ROUNDUP(AVERAGE(BOM_demand!O$3:O$37)*IF(INDEX('BOM &amp; Inventory'!$G$6:$G$35,MATCH(O$3,'BOM &amp; Inventory'!$E$6:$E$35,0))="Local",1,2),0)</f>
        <v>12312</v>
      </c>
      <c r="P8" s="8">
        <f>ROUNDUP(AVERAGE(BOM_demand!P$3:P$37)*IF(INDEX('BOM &amp; Inventory'!$G$6:$G$35,MATCH(P$3,'BOM &amp; Inventory'!$E$6:$E$35,0))="Local",1,2),0)</f>
        <v>2052</v>
      </c>
      <c r="Q8" s="8">
        <f>ROUNDUP(AVERAGE(BOM_demand!Q$3:Q$37)*IF(INDEX('BOM &amp; Inventory'!$G$6:$G$35,MATCH(Q$3,'BOM &amp; Inventory'!$E$6:$E$35,0))="Local",1,2),0)</f>
        <v>2192</v>
      </c>
      <c r="R8" s="8">
        <f>ROUNDUP(AVERAGE(BOM_demand!R$3:R$37)*IF(INDEX('BOM &amp; Inventory'!$G$6:$G$35,MATCH(R$3,'BOM &amp; Inventory'!$E$6:$E$35,0))="Local",1,2),0)</f>
        <v>1644</v>
      </c>
      <c r="S8" s="8">
        <f>ROUNDUP(AVERAGE(BOM_demand!S$3:S$37)*IF(INDEX('BOM &amp; Inventory'!$G$6:$G$35,MATCH(S$3,'BOM &amp; Inventory'!$E$6:$E$35,0))="Local",1,2),0)</f>
        <v>887</v>
      </c>
      <c r="T8" s="8">
        <f>ROUNDUP(AVERAGE(BOM_demand!T$3:T$37)*IF(INDEX('BOM &amp; Inventory'!$G$6:$G$35,MATCH(T$3,'BOM &amp; Inventory'!$E$6:$E$35,0))="Local",1,2),0)</f>
        <v>1182</v>
      </c>
      <c r="U8" s="8">
        <f>ROUNDUP(AVERAGE(BOM_demand!U$3:U$37)*IF(INDEX('BOM &amp; Inventory'!$G$6:$G$35,MATCH(U$3,'BOM &amp; Inventory'!$E$6:$E$35,0))="Local",1,2),0)</f>
        <v>18547</v>
      </c>
      <c r="V8" s="8">
        <f>ROUNDUP(AVERAGE(BOM_demand!V$3:V$37)*IF(INDEX('BOM &amp; Inventory'!$G$6:$G$35,MATCH(V$3,'BOM &amp; Inventory'!$E$6:$E$35,0))="Local",1,2),0)</f>
        <v>7419</v>
      </c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E8" s="42">
        <v>1</v>
      </c>
      <c r="AF8" s="43">
        <v>0.5</v>
      </c>
      <c r="AG8" s="42">
        <v>1</v>
      </c>
      <c r="AH8" s="43">
        <v>3</v>
      </c>
      <c r="AI8" s="42">
        <v>4</v>
      </c>
    </row>
    <row r="11" spans="1:70" ht="14.25" customHeight="1" x14ac:dyDescent="0.3">
      <c r="Z11" t="s">
        <v>3</v>
      </c>
      <c r="AG11" t="s">
        <v>6</v>
      </c>
    </row>
    <row r="12" spans="1:70" ht="14.25" customHeight="1" x14ac:dyDescent="0.3">
      <c r="X12" s="42" t="s">
        <v>7</v>
      </c>
      <c r="Y12" s="43" t="s">
        <v>8</v>
      </c>
      <c r="Z12" s="42" t="s">
        <v>9</v>
      </c>
      <c r="AA12" s="43" t="s">
        <v>14</v>
      </c>
      <c r="AB12" s="42" t="s">
        <v>15</v>
      </c>
      <c r="AE12" s="43" t="s">
        <v>7</v>
      </c>
      <c r="AF12" s="42" t="s">
        <v>8</v>
      </c>
      <c r="AG12" s="43" t="s">
        <v>9</v>
      </c>
      <c r="AH12" s="42" t="s">
        <v>20</v>
      </c>
      <c r="AI12" s="43" t="s">
        <v>21</v>
      </c>
    </row>
    <row r="13" spans="1:70" ht="14.25" customHeight="1" x14ac:dyDescent="0.3"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</row>
    <row r="15" spans="1:70" ht="16.350000000000001" customHeight="1" x14ac:dyDescent="0.3">
      <c r="A15" s="47" t="s">
        <v>131</v>
      </c>
      <c r="B15" s="47" t="s">
        <v>132</v>
      </c>
      <c r="C15" s="137" t="s">
        <v>0</v>
      </c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6"/>
    </row>
    <row r="16" spans="1:70" ht="16.350000000000001" customHeight="1" x14ac:dyDescent="0.3">
      <c r="A16" s="47" t="s">
        <v>133</v>
      </c>
      <c r="B16" s="47" t="str">
        <f>"LT: "&amp;ROUND(INDEX($H$5:$V$5,1,MATCH("RM01",$H$3:$V$3,0))/7,0)</f>
        <v>LT: 1</v>
      </c>
      <c r="C16" s="48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55" ht="16.350000000000001" customHeight="1" x14ac:dyDescent="0.3">
      <c r="A17" s="51" t="s">
        <v>134</v>
      </c>
      <c r="C17" s="34">
        <f t="array" ref="C17:AL17">TRANSPOSE(BOM_demand!$H$2:$H$37)</f>
        <v>20751</v>
      </c>
      <c r="D17" s="34">
        <v>7837</v>
      </c>
      <c r="E17" s="34">
        <v>13684</v>
      </c>
      <c r="F17" s="34">
        <v>23000</v>
      </c>
      <c r="G17" s="34">
        <v>23000</v>
      </c>
      <c r="H17" s="34">
        <v>23000</v>
      </c>
      <c r="I17" s="34">
        <v>23000</v>
      </c>
      <c r="J17" s="34">
        <v>23000</v>
      </c>
      <c r="K17" s="34">
        <v>20367</v>
      </c>
      <c r="L17" s="34">
        <v>15349</v>
      </c>
      <c r="M17" s="34">
        <v>14622</v>
      </c>
      <c r="N17" s="34">
        <v>21000</v>
      </c>
      <c r="O17" s="34">
        <v>21000</v>
      </c>
      <c r="P17" s="34">
        <v>18246</v>
      </c>
      <c r="Q17" s="34">
        <v>14554</v>
      </c>
      <c r="R17" s="34">
        <v>16476</v>
      </c>
      <c r="S17" s="34">
        <v>17698</v>
      </c>
      <c r="T17" s="34">
        <v>9248</v>
      </c>
      <c r="U17" s="34">
        <v>8946</v>
      </c>
      <c r="V17" s="34">
        <v>10655</v>
      </c>
      <c r="W17" s="34">
        <v>10554</v>
      </c>
      <c r="X17" s="34">
        <v>8797</v>
      </c>
      <c r="Y17" s="34">
        <v>8498</v>
      </c>
      <c r="Z17" s="34">
        <v>17406</v>
      </c>
      <c r="AA17" s="34">
        <v>16010</v>
      </c>
      <c r="AB17" s="34">
        <v>15960</v>
      </c>
      <c r="AC17" s="34">
        <v>17408</v>
      </c>
      <c r="AD17" s="34">
        <v>17408</v>
      </c>
      <c r="AE17" s="34">
        <v>17948</v>
      </c>
      <c r="AF17" s="34">
        <v>14085</v>
      </c>
      <c r="AG17" s="34">
        <v>13788</v>
      </c>
      <c r="AH17" s="34">
        <v>13787</v>
      </c>
      <c r="AI17" s="34">
        <v>16538</v>
      </c>
      <c r="AJ17" s="34">
        <v>17009</v>
      </c>
      <c r="AK17" s="52">
        <v>20756</v>
      </c>
      <c r="AL17" s="54">
        <v>20753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</row>
    <row r="18" spans="1:55" ht="16.350000000000001" customHeight="1" x14ac:dyDescent="0.3">
      <c r="A18" s="135" t="s">
        <v>128</v>
      </c>
      <c r="B18" s="136"/>
      <c r="C18" s="34">
        <f>IFERROR(INDEX($H$7:$V$7,1,MATCH("RM01",$H$3:$V$3,0)),0)</f>
        <v>0</v>
      </c>
      <c r="D18" s="34">
        <f>0</f>
        <v>0</v>
      </c>
      <c r="E18" s="34">
        <f>0</f>
        <v>0</v>
      </c>
      <c r="F18" s="34">
        <f>0</f>
        <v>0</v>
      </c>
      <c r="G18" s="34">
        <f>0</f>
        <v>0</v>
      </c>
      <c r="H18" s="34">
        <f>0</f>
        <v>0</v>
      </c>
      <c r="I18" s="34">
        <f>0</f>
        <v>0</v>
      </c>
      <c r="J18" s="34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53">
        <f>0</f>
        <v>0</v>
      </c>
      <c r="AL18" s="53">
        <f>0</f>
        <v>0</v>
      </c>
    </row>
    <row r="19" spans="1:55" ht="16.350000000000001" customHeight="1" x14ac:dyDescent="0.3">
      <c r="A19" s="34" t="s">
        <v>129</v>
      </c>
      <c r="B19" s="46">
        <f>IFERROR(INDEX($H$8:$V$8,1,MATCH("RM01",$H$3:$V$3,0)),0)</f>
        <v>16326</v>
      </c>
      <c r="C19" s="34">
        <f t="shared" ref="C19:AL19" si="0">$B19</f>
        <v>16326</v>
      </c>
      <c r="D19" s="34">
        <f t="shared" si="0"/>
        <v>16326</v>
      </c>
      <c r="E19" s="34">
        <f t="shared" si="0"/>
        <v>16326</v>
      </c>
      <c r="F19" s="34">
        <f t="shared" si="0"/>
        <v>16326</v>
      </c>
      <c r="G19" s="34">
        <f t="shared" si="0"/>
        <v>16326</v>
      </c>
      <c r="H19" s="34">
        <f t="shared" si="0"/>
        <v>16326</v>
      </c>
      <c r="I19" s="34">
        <f t="shared" si="0"/>
        <v>16326</v>
      </c>
      <c r="J19" s="34">
        <f t="shared" si="0"/>
        <v>16326</v>
      </c>
      <c r="K19" s="8">
        <f t="shared" si="0"/>
        <v>16326</v>
      </c>
      <c r="L19" s="8">
        <f t="shared" si="0"/>
        <v>16326</v>
      </c>
      <c r="M19" s="8">
        <f t="shared" si="0"/>
        <v>16326</v>
      </c>
      <c r="N19" s="8">
        <f t="shared" si="0"/>
        <v>16326</v>
      </c>
      <c r="O19" s="8">
        <f t="shared" si="0"/>
        <v>16326</v>
      </c>
      <c r="P19" s="8">
        <f t="shared" si="0"/>
        <v>16326</v>
      </c>
      <c r="Q19" s="8">
        <f t="shared" si="0"/>
        <v>16326</v>
      </c>
      <c r="R19" s="8">
        <f t="shared" si="0"/>
        <v>16326</v>
      </c>
      <c r="S19" s="8">
        <f t="shared" si="0"/>
        <v>16326</v>
      </c>
      <c r="T19" s="8">
        <f t="shared" si="0"/>
        <v>16326</v>
      </c>
      <c r="U19" s="8">
        <f t="shared" si="0"/>
        <v>16326</v>
      </c>
      <c r="V19" s="8">
        <f t="shared" si="0"/>
        <v>16326</v>
      </c>
      <c r="W19" s="8">
        <f t="shared" si="0"/>
        <v>16326</v>
      </c>
      <c r="X19" s="8">
        <f t="shared" si="0"/>
        <v>16326</v>
      </c>
      <c r="Y19" s="8">
        <f t="shared" si="0"/>
        <v>16326</v>
      </c>
      <c r="Z19" s="8">
        <f t="shared" si="0"/>
        <v>16326</v>
      </c>
      <c r="AA19" s="8">
        <f t="shared" si="0"/>
        <v>16326</v>
      </c>
      <c r="AB19" s="8">
        <f t="shared" si="0"/>
        <v>16326</v>
      </c>
      <c r="AC19" s="8">
        <f t="shared" si="0"/>
        <v>16326</v>
      </c>
      <c r="AD19" s="8">
        <f t="shared" si="0"/>
        <v>16326</v>
      </c>
      <c r="AE19" s="8">
        <f t="shared" si="0"/>
        <v>16326</v>
      </c>
      <c r="AF19" s="8">
        <f t="shared" si="0"/>
        <v>16326</v>
      </c>
      <c r="AG19" s="8">
        <f t="shared" si="0"/>
        <v>16326</v>
      </c>
      <c r="AH19" s="8">
        <f t="shared" si="0"/>
        <v>16326</v>
      </c>
      <c r="AI19" s="8">
        <f t="shared" si="0"/>
        <v>16326</v>
      </c>
      <c r="AJ19" s="8">
        <f t="shared" si="0"/>
        <v>16326</v>
      </c>
      <c r="AK19" s="53">
        <f t="shared" si="0"/>
        <v>16326</v>
      </c>
      <c r="AL19" s="53">
        <f t="shared" si="0"/>
        <v>16326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ht="16.350000000000001" customHeight="1" x14ac:dyDescent="0.3">
      <c r="A20" s="34" t="s">
        <v>135</v>
      </c>
      <c r="B20" s="46">
        <f>IFERROR(INDEX($H$6:$V$6,1,MATCH("RM01",$H$3:$V$3,0)),0)</f>
        <v>588</v>
      </c>
      <c r="C20" s="34">
        <f>$B20+C18+C22-C17</f>
        <v>16326</v>
      </c>
      <c r="D20" s="34">
        <f t="shared" ref="D20:AL20" si="1">C20+D18+D22-D17</f>
        <v>16326</v>
      </c>
      <c r="E20" s="34">
        <f t="shared" si="1"/>
        <v>16326</v>
      </c>
      <c r="F20" s="34">
        <f t="shared" si="1"/>
        <v>16326</v>
      </c>
      <c r="G20" s="34">
        <f t="shared" si="1"/>
        <v>16326</v>
      </c>
      <c r="H20" s="34">
        <f t="shared" si="1"/>
        <v>16326</v>
      </c>
      <c r="I20" s="34">
        <f t="shared" si="1"/>
        <v>16326</v>
      </c>
      <c r="J20" s="34">
        <f t="shared" si="1"/>
        <v>16326</v>
      </c>
      <c r="K20" s="8">
        <f t="shared" si="1"/>
        <v>16326</v>
      </c>
      <c r="L20" s="8">
        <f t="shared" si="1"/>
        <v>16326</v>
      </c>
      <c r="M20" s="8">
        <f t="shared" si="1"/>
        <v>16326</v>
      </c>
      <c r="N20" s="8">
        <f t="shared" si="1"/>
        <v>16326</v>
      </c>
      <c r="O20" s="8">
        <f t="shared" si="1"/>
        <v>16326</v>
      </c>
      <c r="P20" s="8">
        <f t="shared" si="1"/>
        <v>16326</v>
      </c>
      <c r="Q20" s="8">
        <f t="shared" si="1"/>
        <v>16326</v>
      </c>
      <c r="R20" s="8">
        <f t="shared" si="1"/>
        <v>16326</v>
      </c>
      <c r="S20" s="8">
        <f t="shared" si="1"/>
        <v>16326</v>
      </c>
      <c r="T20" s="8">
        <f t="shared" si="1"/>
        <v>16326</v>
      </c>
      <c r="U20" s="8">
        <f t="shared" si="1"/>
        <v>16326</v>
      </c>
      <c r="V20" s="8">
        <f t="shared" si="1"/>
        <v>16326</v>
      </c>
      <c r="W20" s="8">
        <f t="shared" si="1"/>
        <v>16326</v>
      </c>
      <c r="X20" s="8">
        <f t="shared" si="1"/>
        <v>16326</v>
      </c>
      <c r="Y20" s="8">
        <f t="shared" si="1"/>
        <v>16326</v>
      </c>
      <c r="Z20" s="8">
        <f t="shared" si="1"/>
        <v>16326</v>
      </c>
      <c r="AA20" s="8">
        <f t="shared" si="1"/>
        <v>16326</v>
      </c>
      <c r="AB20" s="8">
        <f t="shared" si="1"/>
        <v>16326</v>
      </c>
      <c r="AC20" s="8">
        <f t="shared" si="1"/>
        <v>16326</v>
      </c>
      <c r="AD20" s="8">
        <f t="shared" si="1"/>
        <v>16326</v>
      </c>
      <c r="AE20" s="8">
        <f t="shared" si="1"/>
        <v>16326</v>
      </c>
      <c r="AF20" s="8">
        <f t="shared" si="1"/>
        <v>16326</v>
      </c>
      <c r="AG20" s="8">
        <f t="shared" si="1"/>
        <v>16326</v>
      </c>
      <c r="AH20" s="8">
        <f t="shared" si="1"/>
        <v>16326</v>
      </c>
      <c r="AI20" s="8">
        <f t="shared" si="1"/>
        <v>16326</v>
      </c>
      <c r="AJ20" s="8">
        <f t="shared" si="1"/>
        <v>16326</v>
      </c>
      <c r="AK20" s="53">
        <f t="shared" si="1"/>
        <v>16326</v>
      </c>
      <c r="AL20" s="53">
        <f t="shared" si="1"/>
        <v>16326</v>
      </c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</row>
    <row r="21" spans="1:55" ht="16.350000000000001" customHeight="1" x14ac:dyDescent="0.3">
      <c r="A21" s="34" t="s">
        <v>136</v>
      </c>
      <c r="B21" s="46"/>
      <c r="C21" s="34">
        <f>MAX(C17+C19-($B20+C18),0)</f>
        <v>36489</v>
      </c>
      <c r="D21" s="34">
        <f t="shared" ref="D21:AL21" si="2">MAX(D17+D19-(C20+D18),0)</f>
        <v>7837</v>
      </c>
      <c r="E21" s="34">
        <f t="shared" si="2"/>
        <v>13684</v>
      </c>
      <c r="F21" s="34">
        <f t="shared" si="2"/>
        <v>23000</v>
      </c>
      <c r="G21" s="34">
        <f t="shared" si="2"/>
        <v>23000</v>
      </c>
      <c r="H21" s="34">
        <f t="shared" si="2"/>
        <v>23000</v>
      </c>
      <c r="I21" s="34">
        <f t="shared" si="2"/>
        <v>23000</v>
      </c>
      <c r="J21" s="34">
        <f t="shared" si="2"/>
        <v>23000</v>
      </c>
      <c r="K21" s="8">
        <f t="shared" si="2"/>
        <v>20367</v>
      </c>
      <c r="L21" s="8">
        <f t="shared" si="2"/>
        <v>15349</v>
      </c>
      <c r="M21" s="8">
        <f t="shared" si="2"/>
        <v>14622</v>
      </c>
      <c r="N21" s="8">
        <f t="shared" si="2"/>
        <v>21000</v>
      </c>
      <c r="O21" s="8">
        <f t="shared" si="2"/>
        <v>21000</v>
      </c>
      <c r="P21" s="8">
        <f t="shared" si="2"/>
        <v>18246</v>
      </c>
      <c r="Q21" s="8">
        <f t="shared" si="2"/>
        <v>14554</v>
      </c>
      <c r="R21" s="8">
        <f t="shared" si="2"/>
        <v>16476</v>
      </c>
      <c r="S21" s="8">
        <f t="shared" si="2"/>
        <v>17698</v>
      </c>
      <c r="T21" s="8">
        <f t="shared" si="2"/>
        <v>9248</v>
      </c>
      <c r="U21" s="8">
        <f t="shared" si="2"/>
        <v>8946</v>
      </c>
      <c r="V21" s="8">
        <f t="shared" si="2"/>
        <v>10655</v>
      </c>
      <c r="W21" s="8">
        <f t="shared" si="2"/>
        <v>10554</v>
      </c>
      <c r="X21" s="8">
        <f t="shared" si="2"/>
        <v>8797</v>
      </c>
      <c r="Y21" s="8">
        <f t="shared" si="2"/>
        <v>8498</v>
      </c>
      <c r="Z21" s="8">
        <f t="shared" si="2"/>
        <v>17406</v>
      </c>
      <c r="AA21" s="8">
        <f t="shared" si="2"/>
        <v>16010</v>
      </c>
      <c r="AB21" s="8">
        <f t="shared" si="2"/>
        <v>15960</v>
      </c>
      <c r="AC21" s="8">
        <f t="shared" si="2"/>
        <v>17408</v>
      </c>
      <c r="AD21" s="8">
        <f t="shared" si="2"/>
        <v>17408</v>
      </c>
      <c r="AE21" s="8">
        <f t="shared" si="2"/>
        <v>17948</v>
      </c>
      <c r="AF21" s="8">
        <f t="shared" si="2"/>
        <v>14085</v>
      </c>
      <c r="AG21" s="8">
        <f t="shared" si="2"/>
        <v>13788</v>
      </c>
      <c r="AH21" s="8">
        <f t="shared" si="2"/>
        <v>13787</v>
      </c>
      <c r="AI21" s="8">
        <f t="shared" si="2"/>
        <v>16538</v>
      </c>
      <c r="AJ21" s="8">
        <f t="shared" si="2"/>
        <v>17009</v>
      </c>
      <c r="AK21" s="53">
        <f t="shared" si="2"/>
        <v>20756</v>
      </c>
      <c r="AL21" s="53">
        <f t="shared" si="2"/>
        <v>20753</v>
      </c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ht="16.350000000000001" customHeight="1" x14ac:dyDescent="0.3">
      <c r="A22" s="135" t="s">
        <v>137</v>
      </c>
      <c r="B22" s="136"/>
      <c r="C22" s="34">
        <f t="shared" ref="C22:AL22" si="3">C21</f>
        <v>36489</v>
      </c>
      <c r="D22" s="34">
        <f t="shared" si="3"/>
        <v>7837</v>
      </c>
      <c r="E22" s="34">
        <f t="shared" si="3"/>
        <v>13684</v>
      </c>
      <c r="F22" s="34">
        <f t="shared" si="3"/>
        <v>23000</v>
      </c>
      <c r="G22" s="34">
        <f t="shared" si="3"/>
        <v>23000</v>
      </c>
      <c r="H22" s="34">
        <f t="shared" si="3"/>
        <v>23000</v>
      </c>
      <c r="I22" s="34">
        <f t="shared" si="3"/>
        <v>23000</v>
      </c>
      <c r="J22" s="34">
        <f t="shared" si="3"/>
        <v>23000</v>
      </c>
      <c r="K22" s="8">
        <f t="shared" si="3"/>
        <v>20367</v>
      </c>
      <c r="L22" s="8">
        <f t="shared" si="3"/>
        <v>15349</v>
      </c>
      <c r="M22" s="8">
        <f t="shared" si="3"/>
        <v>14622</v>
      </c>
      <c r="N22" s="8">
        <f t="shared" si="3"/>
        <v>21000</v>
      </c>
      <c r="O22" s="8">
        <f t="shared" si="3"/>
        <v>21000</v>
      </c>
      <c r="P22" s="8">
        <f t="shared" si="3"/>
        <v>18246</v>
      </c>
      <c r="Q22" s="8">
        <f t="shared" si="3"/>
        <v>14554</v>
      </c>
      <c r="R22" s="8">
        <f t="shared" si="3"/>
        <v>16476</v>
      </c>
      <c r="S22" s="8">
        <f t="shared" si="3"/>
        <v>17698</v>
      </c>
      <c r="T22" s="8">
        <f t="shared" si="3"/>
        <v>9248</v>
      </c>
      <c r="U22" s="8">
        <f t="shared" si="3"/>
        <v>8946</v>
      </c>
      <c r="V22" s="8">
        <f t="shared" si="3"/>
        <v>10655</v>
      </c>
      <c r="W22" s="8">
        <f t="shared" si="3"/>
        <v>10554</v>
      </c>
      <c r="X22" s="8">
        <f t="shared" si="3"/>
        <v>8797</v>
      </c>
      <c r="Y22" s="8">
        <f t="shared" si="3"/>
        <v>8498</v>
      </c>
      <c r="Z22" s="8">
        <f t="shared" si="3"/>
        <v>17406</v>
      </c>
      <c r="AA22" s="8">
        <f t="shared" si="3"/>
        <v>16010</v>
      </c>
      <c r="AB22" s="8">
        <f t="shared" si="3"/>
        <v>15960</v>
      </c>
      <c r="AC22" s="8">
        <f t="shared" si="3"/>
        <v>17408</v>
      </c>
      <c r="AD22" s="8">
        <f t="shared" si="3"/>
        <v>17408</v>
      </c>
      <c r="AE22" s="8">
        <f t="shared" si="3"/>
        <v>17948</v>
      </c>
      <c r="AF22" s="8">
        <f t="shared" si="3"/>
        <v>14085</v>
      </c>
      <c r="AG22" s="8">
        <f t="shared" si="3"/>
        <v>13788</v>
      </c>
      <c r="AH22" s="8">
        <f t="shared" si="3"/>
        <v>13787</v>
      </c>
      <c r="AI22" s="8">
        <f t="shared" si="3"/>
        <v>16538</v>
      </c>
      <c r="AJ22" s="8">
        <f t="shared" si="3"/>
        <v>17009</v>
      </c>
      <c r="AK22" s="53">
        <f t="shared" si="3"/>
        <v>20756</v>
      </c>
      <c r="AL22" s="53">
        <f t="shared" si="3"/>
        <v>20753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</row>
    <row r="23" spans="1:55" ht="16.350000000000001" customHeight="1" x14ac:dyDescent="0.3">
      <c r="A23" s="34" t="s">
        <v>138</v>
      </c>
      <c r="B23" s="46"/>
      <c r="C23" s="34">
        <f>IFERROR(INDEX($C$22:$AK$22,1,1+ROUND(INDEX($H$5:$V$5,1,MATCH("RM01",$H$3:$V$3,0))/7,0)),0)</f>
        <v>7837</v>
      </c>
      <c r="D23" s="34">
        <f>IFERROR(INDEX($C$22:$AK$22,1,2+ROUND(INDEX($H$5:$V$5,1,MATCH("RM01",$H$3:$V$3,0))/7,0)),0)</f>
        <v>13684</v>
      </c>
      <c r="E23" s="34">
        <f>IFERROR(INDEX($C$22:$AK$22,1,3+ROUND(INDEX($H$5:$V$5,1,MATCH("RM01",$H$3:$V$3,0))/7,0)),0)</f>
        <v>23000</v>
      </c>
      <c r="F23" s="34">
        <f>IFERROR(INDEX($C$22:$AK$22,1,4+ROUND(INDEX($H$5:$V$5,1,MATCH("RM01",$H$3:$V$3,0))/7,0)),0)</f>
        <v>23000</v>
      </c>
      <c r="G23" s="34">
        <f>IFERROR(INDEX($C$22:$AK$22,1,5+ROUND(INDEX($H$5:$V$5,1,MATCH("RM01",$H$3:$V$3,0))/7,0)),0)</f>
        <v>23000</v>
      </c>
      <c r="H23" s="34">
        <f>IFERROR(INDEX($C$22:$AK$22,1,6+ROUND(INDEX($H$5:$V$5,1,MATCH("RM01",$H$3:$V$3,0))/7,0)),0)</f>
        <v>23000</v>
      </c>
      <c r="I23" s="34">
        <f>IFERROR(INDEX($C$22:$AK$22,1,7+ROUND(INDEX($H$5:$V$5,1,MATCH("RM01",$H$3:$V$3,0))/7,0)),0)</f>
        <v>23000</v>
      </c>
      <c r="J23" s="34">
        <f>IFERROR(INDEX($C$22:$AK$22,1,8+ROUND(INDEX($H$5:$V$5,1,MATCH("RM01",$H$3:$V$3,0))/7,0)),0)</f>
        <v>20367</v>
      </c>
      <c r="K23" s="8">
        <f>IFERROR(INDEX($C$22:$AK$22,1,9+ROUND(INDEX($H$5:$V$5,1,MATCH("RM01",$H$3:$V$3,0))/7,0)),0)</f>
        <v>15349</v>
      </c>
      <c r="L23" s="8">
        <f>IFERROR(INDEX($C$22:$AK$22,1,10+ROUND(INDEX($H$5:$V$5,1,MATCH("RM01",$H$3:$V$3,0))/7,0)),0)</f>
        <v>14622</v>
      </c>
      <c r="M23" s="8">
        <f>IFERROR(INDEX($C$22:$AK$22,1,11+ROUND(INDEX($H$5:$V$5,1,MATCH("RM01",$H$3:$V$3,0))/7,0)),0)</f>
        <v>21000</v>
      </c>
      <c r="N23" s="8">
        <f>IFERROR(INDEX($C$22:$AK$22,1,12+ROUND(INDEX($H$5:$V$5,1,MATCH("RM01",$H$3:$V$3,0))/7,0)),0)</f>
        <v>21000</v>
      </c>
      <c r="O23" s="8">
        <f>IFERROR(INDEX($C$22:$AK$22,1,13+ROUND(INDEX($H$5:$V$5,1,MATCH("RM01",$H$3:$V$3,0))/7,0)),0)</f>
        <v>18246</v>
      </c>
      <c r="P23" s="8">
        <f>IFERROR(INDEX($C$22:$AK$22,1,14+ROUND(INDEX($H$5:$V$5,1,MATCH("RM01",$H$3:$V$3,0))/7,0)),0)</f>
        <v>14554</v>
      </c>
      <c r="Q23" s="8">
        <f>IFERROR(INDEX($C$22:$AK$22,1,15+ROUND(INDEX($H$5:$V$5,1,MATCH("RM01",$H$3:$V$3,0))/7,0)),0)</f>
        <v>16476</v>
      </c>
      <c r="R23" s="8">
        <f>IFERROR(INDEX($C$22:$AK$22,1,16+ROUND(INDEX($H$5:$V$5,1,MATCH("RM01",$H$3:$V$3,0))/7,0)),0)</f>
        <v>17698</v>
      </c>
      <c r="S23" s="8">
        <f>IFERROR(INDEX($C$22:$AK$22,1,17+ROUND(INDEX($H$5:$V$5,1,MATCH("RM01",$H$3:$V$3,0))/7,0)),0)</f>
        <v>9248</v>
      </c>
      <c r="T23" s="8">
        <f>IFERROR(INDEX($C$22:$AK$22,1,18+ROUND(INDEX($H$5:$V$5,1,MATCH("RM01",$H$3:$V$3,0))/7,0)),0)</f>
        <v>8946</v>
      </c>
      <c r="U23" s="8">
        <f>IFERROR(INDEX($C$22:$AK$22,1,19+ROUND(INDEX($H$5:$V$5,1,MATCH("RM01",$H$3:$V$3,0))/7,0)),0)</f>
        <v>10655</v>
      </c>
      <c r="V23" s="8">
        <f>IFERROR(INDEX($C$22:$AK$22,1,20+ROUND(INDEX($H$5:$V$5,1,MATCH("RM01",$H$3:$V$3,0))/7,0)),0)</f>
        <v>10554</v>
      </c>
      <c r="W23" s="8">
        <f>IFERROR(INDEX($C$22:$AK$22,1,21+ROUND(INDEX($H$5:$V$5,1,MATCH("RM01",$H$3:$V$3,0))/7,0)),0)</f>
        <v>8797</v>
      </c>
      <c r="X23" s="8">
        <f>IFERROR(INDEX($C$22:$AK$22,1,22+ROUND(INDEX($H$5:$V$5,1,MATCH("RM01",$H$3:$V$3,0))/7,0)),0)</f>
        <v>8498</v>
      </c>
      <c r="Y23" s="8">
        <f>IFERROR(INDEX($C$22:$AK$22,1,23+ROUND(INDEX($H$5:$V$5,1,MATCH("RM01",$H$3:$V$3,0))/7,0)),0)</f>
        <v>17406</v>
      </c>
      <c r="Z23" s="8">
        <f>IFERROR(INDEX($C$22:$AK$22,1,24+ROUND(INDEX($H$5:$V$5,1,MATCH("RM01",$H$3:$V$3,0))/7,0)),0)</f>
        <v>16010</v>
      </c>
      <c r="AA23" s="8">
        <f>IFERROR(INDEX($C$22:$AK$22,1,25+ROUND(INDEX($H$5:$V$5,1,MATCH("RM01",$H$3:$V$3,0))/7,0)),0)</f>
        <v>15960</v>
      </c>
      <c r="AB23" s="8">
        <f>IFERROR(INDEX($C$22:$AK$22,1,26+ROUND(INDEX($H$5:$V$5,1,MATCH("RM01",$H$3:$V$3,0))/7,0)),0)</f>
        <v>17408</v>
      </c>
      <c r="AC23" s="8">
        <f>IFERROR(INDEX($C$22:$AK$22,1,27+ROUND(INDEX($H$5:$V$5,1,MATCH("RM01",$H$3:$V$3,0))/7,0)),0)</f>
        <v>17408</v>
      </c>
      <c r="AD23" s="8">
        <f>IFERROR(INDEX($C$22:$AK$22,1,28+ROUND(INDEX($H$5:$V$5,1,MATCH("RM01",$H$3:$V$3,0))/7,0)),0)</f>
        <v>17948</v>
      </c>
      <c r="AE23" s="8">
        <f>IFERROR(INDEX($C$22:$AK$22,1,29+ROUND(INDEX($H$5:$V$5,1,MATCH("RM01",$H$3:$V$3,0))/7,0)),0)</f>
        <v>14085</v>
      </c>
      <c r="AF23" s="8">
        <f>IFERROR(INDEX($C$22:$AK$22,1,30+ROUND(INDEX($H$5:$V$5,1,MATCH("RM01",$H$3:$V$3,0))/7,0)),0)</f>
        <v>13788</v>
      </c>
      <c r="AG23" s="8">
        <f>IFERROR(INDEX($C$22:$AK$22,1,31+ROUND(INDEX($H$5:$V$5,1,MATCH("RM01",$H$3:$V$3,0))/7,0)),0)</f>
        <v>13787</v>
      </c>
      <c r="AH23" s="8">
        <f>IFERROR(INDEX($C$22:$AK$22,1,32+ROUND(INDEX($H$5:$V$5,1,MATCH("RM01",$H$3:$V$3,0))/7,0)),0)</f>
        <v>16538</v>
      </c>
      <c r="AI23" s="8">
        <f>IFERROR(INDEX($C$22:$AK$22,1,33+ROUND(INDEX($H$5:$V$5,1,MATCH("RM01",$H$3:$V$3,0))/7,0)),0)</f>
        <v>17009</v>
      </c>
      <c r="AJ23" s="8">
        <f>IFERROR(INDEX($C$22:$AK$22,1,34+ROUND(INDEX($H$5:$V$5,1,MATCH("RM01",$H$3:$V$3,0))/7,0)),0)</f>
        <v>20756</v>
      </c>
      <c r="AK23" s="53">
        <f>IFERROR(INDEX($C$22:$AK$22,1,35+ROUND(INDEX($H$5:$V$5,1,MATCH("RM01",$H$3:$V$3,0))/7,0)),0)</f>
        <v>0</v>
      </c>
      <c r="AL23" s="53">
        <f>IFERROR(INDEX($C$22:$AK$22,1,35+ROUND(INDEX($H$5:$V$5,1,MATCH("RM01",$H$3:$V$3,0))/7,0)),0)</f>
        <v>0</v>
      </c>
    </row>
    <row r="25" spans="1:55" ht="16.350000000000001" customHeight="1" x14ac:dyDescent="0.3">
      <c r="A25" s="47" t="s">
        <v>139</v>
      </c>
      <c r="B25" s="47" t="s">
        <v>132</v>
      </c>
      <c r="C25" s="137" t="s">
        <v>0</v>
      </c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6"/>
    </row>
    <row r="26" spans="1:55" ht="16.350000000000001" customHeight="1" x14ac:dyDescent="0.3">
      <c r="A26" s="47" t="s">
        <v>133</v>
      </c>
      <c r="B26" s="47" t="str">
        <f>"LT: "&amp;ROUND(INDEX($H$5:$V$5,1,MATCH("RM02",$H$3:$V$3,0))/7,0)</f>
        <v>LT: 2</v>
      </c>
      <c r="C26" s="48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>
        <v>46370</v>
      </c>
    </row>
    <row r="27" spans="1:55" ht="16.350000000000001" customHeight="1" x14ac:dyDescent="0.3">
      <c r="A27" s="51" t="s">
        <v>134</v>
      </c>
      <c r="C27" s="34">
        <f t="array" ref="C27:AL27">TRANSPOSE(BOM_demand!$I$2:$I$37)</f>
        <v>6062.75</v>
      </c>
      <c r="D27" s="34">
        <v>1885.75</v>
      </c>
      <c r="E27" s="34">
        <v>3223</v>
      </c>
      <c r="F27" s="34">
        <v>6567.5</v>
      </c>
      <c r="G27" s="34">
        <v>6886.75</v>
      </c>
      <c r="H27" s="34">
        <v>6625</v>
      </c>
      <c r="I27" s="34">
        <v>6737.5</v>
      </c>
      <c r="J27" s="34">
        <v>6625</v>
      </c>
      <c r="K27" s="34">
        <v>5966.75</v>
      </c>
      <c r="L27" s="34">
        <v>4824.75</v>
      </c>
      <c r="M27" s="34">
        <v>4530.5</v>
      </c>
      <c r="N27" s="34">
        <v>5762.5</v>
      </c>
      <c r="O27" s="34">
        <v>5612.5</v>
      </c>
      <c r="P27" s="34">
        <v>4924</v>
      </c>
      <c r="Q27" s="34">
        <v>3626</v>
      </c>
      <c r="R27" s="34">
        <v>4309.5</v>
      </c>
      <c r="S27" s="34">
        <v>4512.25</v>
      </c>
      <c r="T27" s="34">
        <v>2474.5</v>
      </c>
      <c r="U27" s="34">
        <v>2324.25</v>
      </c>
      <c r="V27" s="34">
        <v>2663</v>
      </c>
      <c r="W27" s="34">
        <v>2712.75</v>
      </c>
      <c r="X27" s="34">
        <v>2198.5</v>
      </c>
      <c r="Y27" s="34">
        <v>2123.75</v>
      </c>
      <c r="Z27" s="34">
        <v>4320.75</v>
      </c>
      <c r="AA27" s="34">
        <v>4227.5</v>
      </c>
      <c r="AB27" s="34">
        <v>4140</v>
      </c>
      <c r="AC27" s="34">
        <v>4321</v>
      </c>
      <c r="AD27" s="34">
        <v>4321</v>
      </c>
      <c r="AE27" s="34">
        <v>4431</v>
      </c>
      <c r="AF27" s="34">
        <v>3502</v>
      </c>
      <c r="AG27" s="34">
        <v>3352.5</v>
      </c>
      <c r="AH27" s="34">
        <v>3352.25</v>
      </c>
      <c r="AI27" s="34">
        <v>4665</v>
      </c>
      <c r="AJ27" s="34">
        <v>4836.25</v>
      </c>
      <c r="AK27" s="34">
        <v>5697.75</v>
      </c>
      <c r="AL27">
        <v>5697.25</v>
      </c>
    </row>
    <row r="28" spans="1:55" ht="16.350000000000001" customHeight="1" x14ac:dyDescent="0.3">
      <c r="A28" s="135" t="s">
        <v>128</v>
      </c>
      <c r="B28" s="136"/>
      <c r="C28" s="34">
        <f>IFERROR(INDEX($H$7:$V$7,1,MATCH("RM02",$H$3:$V$3,0)),0)</f>
        <v>0</v>
      </c>
      <c r="D28" s="34">
        <f>0</f>
        <v>0</v>
      </c>
      <c r="E28" s="34">
        <f>0</f>
        <v>0</v>
      </c>
      <c r="F28" s="34">
        <f>0</f>
        <v>0</v>
      </c>
      <c r="G28" s="34">
        <f>0</f>
        <v>0</v>
      </c>
      <c r="H28" s="34">
        <f>0</f>
        <v>0</v>
      </c>
      <c r="I28" s="34">
        <f>0</f>
        <v>0</v>
      </c>
      <c r="J28" s="34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  <c r="AL28" s="8">
        <f>0</f>
        <v>0</v>
      </c>
    </row>
    <row r="29" spans="1:55" ht="16.350000000000001" customHeight="1" x14ac:dyDescent="0.3">
      <c r="A29" s="34" t="s">
        <v>129</v>
      </c>
      <c r="B29" s="46">
        <f>IFERROR(INDEX($H$8:$V$8,1,MATCH("RM02",$H$3:$V$3,0)),0)</f>
        <v>4400</v>
      </c>
      <c r="C29" s="34">
        <f t="shared" ref="C29:AL29" si="4">$B29</f>
        <v>4400</v>
      </c>
      <c r="D29" s="34">
        <f t="shared" si="4"/>
        <v>4400</v>
      </c>
      <c r="E29" s="34">
        <f t="shared" si="4"/>
        <v>4400</v>
      </c>
      <c r="F29" s="34">
        <f t="shared" si="4"/>
        <v>4400</v>
      </c>
      <c r="G29" s="34">
        <f t="shared" si="4"/>
        <v>4400</v>
      </c>
      <c r="H29" s="34">
        <f t="shared" si="4"/>
        <v>4400</v>
      </c>
      <c r="I29" s="34">
        <f t="shared" si="4"/>
        <v>4400</v>
      </c>
      <c r="J29" s="34">
        <f t="shared" si="4"/>
        <v>4400</v>
      </c>
      <c r="K29" s="8">
        <f t="shared" si="4"/>
        <v>4400</v>
      </c>
      <c r="L29" s="8">
        <f t="shared" si="4"/>
        <v>4400</v>
      </c>
      <c r="M29" s="8">
        <f t="shared" si="4"/>
        <v>4400</v>
      </c>
      <c r="N29" s="8">
        <f t="shared" si="4"/>
        <v>4400</v>
      </c>
      <c r="O29" s="8">
        <f t="shared" si="4"/>
        <v>4400</v>
      </c>
      <c r="P29" s="8">
        <f t="shared" si="4"/>
        <v>4400</v>
      </c>
      <c r="Q29" s="8">
        <f t="shared" si="4"/>
        <v>4400</v>
      </c>
      <c r="R29" s="8">
        <f t="shared" si="4"/>
        <v>4400</v>
      </c>
      <c r="S29" s="8">
        <f t="shared" si="4"/>
        <v>4400</v>
      </c>
      <c r="T29" s="8">
        <f t="shared" si="4"/>
        <v>4400</v>
      </c>
      <c r="U29" s="8">
        <f t="shared" si="4"/>
        <v>4400</v>
      </c>
      <c r="V29" s="8">
        <f t="shared" si="4"/>
        <v>4400</v>
      </c>
      <c r="W29" s="8">
        <f t="shared" si="4"/>
        <v>4400</v>
      </c>
      <c r="X29" s="8">
        <f t="shared" si="4"/>
        <v>4400</v>
      </c>
      <c r="Y29" s="8">
        <f t="shared" si="4"/>
        <v>4400</v>
      </c>
      <c r="Z29" s="8">
        <f t="shared" si="4"/>
        <v>4400</v>
      </c>
      <c r="AA29" s="8">
        <f t="shared" si="4"/>
        <v>4400</v>
      </c>
      <c r="AB29" s="8">
        <f t="shared" si="4"/>
        <v>4400</v>
      </c>
      <c r="AC29" s="8">
        <f t="shared" si="4"/>
        <v>4400</v>
      </c>
      <c r="AD29" s="8">
        <f t="shared" si="4"/>
        <v>4400</v>
      </c>
      <c r="AE29" s="8">
        <f t="shared" si="4"/>
        <v>4400</v>
      </c>
      <c r="AF29" s="8">
        <f t="shared" si="4"/>
        <v>4400</v>
      </c>
      <c r="AG29" s="8">
        <f t="shared" si="4"/>
        <v>4400</v>
      </c>
      <c r="AH29" s="8">
        <f t="shared" si="4"/>
        <v>4400</v>
      </c>
      <c r="AI29" s="8">
        <f t="shared" si="4"/>
        <v>4400</v>
      </c>
      <c r="AJ29" s="8">
        <f t="shared" si="4"/>
        <v>4400</v>
      </c>
      <c r="AK29" s="8">
        <f t="shared" si="4"/>
        <v>4400</v>
      </c>
      <c r="AL29" s="8">
        <f t="shared" si="4"/>
        <v>4400</v>
      </c>
    </row>
    <row r="30" spans="1:55" ht="16.350000000000001" customHeight="1" x14ac:dyDescent="0.3">
      <c r="A30" s="34" t="s">
        <v>135</v>
      </c>
      <c r="B30" s="46">
        <f>IFERROR(INDEX($H$6:$V$6,1,MATCH("RM02",$H$3:$V$3,0)),0)</f>
        <v>1443</v>
      </c>
      <c r="C30" s="34">
        <f>$B30+C28+C32-C27</f>
        <v>4400</v>
      </c>
      <c r="D30" s="34">
        <f t="shared" ref="D30:AL30" si="5">C30+D28+D32-D27</f>
        <v>4400</v>
      </c>
      <c r="E30" s="34">
        <f t="shared" si="5"/>
        <v>4400</v>
      </c>
      <c r="F30" s="34">
        <f t="shared" si="5"/>
        <v>4400</v>
      </c>
      <c r="G30" s="34">
        <f t="shared" si="5"/>
        <v>4400</v>
      </c>
      <c r="H30" s="34">
        <f t="shared" si="5"/>
        <v>4400</v>
      </c>
      <c r="I30" s="34">
        <f t="shared" si="5"/>
        <v>4400</v>
      </c>
      <c r="J30" s="34">
        <f t="shared" si="5"/>
        <v>4400</v>
      </c>
      <c r="K30" s="8">
        <f t="shared" si="5"/>
        <v>4400</v>
      </c>
      <c r="L30" s="8">
        <f t="shared" si="5"/>
        <v>4400</v>
      </c>
      <c r="M30" s="8">
        <f t="shared" si="5"/>
        <v>4400</v>
      </c>
      <c r="N30" s="8">
        <f t="shared" si="5"/>
        <v>4400</v>
      </c>
      <c r="O30" s="8">
        <f t="shared" si="5"/>
        <v>4400</v>
      </c>
      <c r="P30" s="8">
        <f t="shared" si="5"/>
        <v>4400</v>
      </c>
      <c r="Q30" s="8">
        <f t="shared" si="5"/>
        <v>4400</v>
      </c>
      <c r="R30" s="8">
        <f t="shared" si="5"/>
        <v>4400</v>
      </c>
      <c r="S30" s="8">
        <f t="shared" si="5"/>
        <v>4400</v>
      </c>
      <c r="T30" s="8">
        <f t="shared" si="5"/>
        <v>4400</v>
      </c>
      <c r="U30" s="8">
        <f t="shared" si="5"/>
        <v>4400</v>
      </c>
      <c r="V30" s="8">
        <f t="shared" si="5"/>
        <v>4400</v>
      </c>
      <c r="W30" s="8">
        <f t="shared" si="5"/>
        <v>4400</v>
      </c>
      <c r="X30" s="8">
        <f t="shared" si="5"/>
        <v>4400</v>
      </c>
      <c r="Y30" s="8">
        <f t="shared" si="5"/>
        <v>4400</v>
      </c>
      <c r="Z30" s="8">
        <f t="shared" si="5"/>
        <v>4400</v>
      </c>
      <c r="AA30" s="8">
        <f t="shared" si="5"/>
        <v>4400</v>
      </c>
      <c r="AB30" s="8">
        <f t="shared" si="5"/>
        <v>4400</v>
      </c>
      <c r="AC30" s="8">
        <f t="shared" si="5"/>
        <v>4400</v>
      </c>
      <c r="AD30" s="8">
        <f t="shared" si="5"/>
        <v>4400</v>
      </c>
      <c r="AE30" s="8">
        <f t="shared" si="5"/>
        <v>4400</v>
      </c>
      <c r="AF30" s="8">
        <f t="shared" si="5"/>
        <v>4400</v>
      </c>
      <c r="AG30" s="8">
        <f t="shared" si="5"/>
        <v>4400</v>
      </c>
      <c r="AH30" s="8">
        <f t="shared" si="5"/>
        <v>4400</v>
      </c>
      <c r="AI30" s="8">
        <f t="shared" si="5"/>
        <v>4400</v>
      </c>
      <c r="AJ30" s="8">
        <f t="shared" si="5"/>
        <v>4400</v>
      </c>
      <c r="AK30" s="8">
        <f t="shared" si="5"/>
        <v>4400</v>
      </c>
      <c r="AL30" s="8">
        <f t="shared" si="5"/>
        <v>4400</v>
      </c>
    </row>
    <row r="31" spans="1:55" ht="16.350000000000001" customHeight="1" x14ac:dyDescent="0.3">
      <c r="A31" s="34" t="s">
        <v>136</v>
      </c>
      <c r="B31" s="46"/>
      <c r="C31" s="34">
        <f>MAX(C27+C29-($B30+C28),0)</f>
        <v>9019.75</v>
      </c>
      <c r="D31" s="34">
        <f t="shared" ref="D31:AL31" si="6">MAX(D27+D29-(C30+D28),0)</f>
        <v>1885.75</v>
      </c>
      <c r="E31" s="34">
        <f t="shared" si="6"/>
        <v>3223</v>
      </c>
      <c r="F31" s="34">
        <f t="shared" si="6"/>
        <v>6567.5</v>
      </c>
      <c r="G31" s="34">
        <f t="shared" si="6"/>
        <v>6886.75</v>
      </c>
      <c r="H31" s="34">
        <f t="shared" si="6"/>
        <v>6625</v>
      </c>
      <c r="I31" s="34">
        <f t="shared" si="6"/>
        <v>6737.5</v>
      </c>
      <c r="J31" s="34">
        <f t="shared" si="6"/>
        <v>6625</v>
      </c>
      <c r="K31" s="8">
        <f t="shared" si="6"/>
        <v>5966.75</v>
      </c>
      <c r="L31" s="8">
        <f t="shared" si="6"/>
        <v>4824.75</v>
      </c>
      <c r="M31" s="8">
        <f t="shared" si="6"/>
        <v>4530.5</v>
      </c>
      <c r="N31" s="8">
        <f t="shared" si="6"/>
        <v>5762.5</v>
      </c>
      <c r="O31" s="8">
        <f t="shared" si="6"/>
        <v>5612.5</v>
      </c>
      <c r="P31" s="8">
        <f t="shared" si="6"/>
        <v>4924</v>
      </c>
      <c r="Q31" s="8">
        <f t="shared" si="6"/>
        <v>3626</v>
      </c>
      <c r="R31" s="8">
        <f t="shared" si="6"/>
        <v>4309.5</v>
      </c>
      <c r="S31" s="8">
        <f t="shared" si="6"/>
        <v>4512.25</v>
      </c>
      <c r="T31" s="8">
        <f t="shared" si="6"/>
        <v>2474.5</v>
      </c>
      <c r="U31" s="8">
        <f t="shared" si="6"/>
        <v>2324.25</v>
      </c>
      <c r="V31" s="8">
        <f t="shared" si="6"/>
        <v>2663</v>
      </c>
      <c r="W31" s="8">
        <f t="shared" si="6"/>
        <v>2712.75</v>
      </c>
      <c r="X31" s="8">
        <f t="shared" si="6"/>
        <v>2198.5</v>
      </c>
      <c r="Y31" s="8">
        <f t="shared" si="6"/>
        <v>2123.75</v>
      </c>
      <c r="Z31" s="8">
        <f t="shared" si="6"/>
        <v>4320.75</v>
      </c>
      <c r="AA31" s="8">
        <f t="shared" si="6"/>
        <v>4227.5</v>
      </c>
      <c r="AB31" s="8">
        <f t="shared" si="6"/>
        <v>4140</v>
      </c>
      <c r="AC31" s="8">
        <f t="shared" si="6"/>
        <v>4321</v>
      </c>
      <c r="AD31" s="8">
        <f t="shared" si="6"/>
        <v>4321</v>
      </c>
      <c r="AE31" s="8">
        <f t="shared" si="6"/>
        <v>4431</v>
      </c>
      <c r="AF31" s="8">
        <f t="shared" si="6"/>
        <v>3502</v>
      </c>
      <c r="AG31" s="8">
        <f t="shared" si="6"/>
        <v>3352.5</v>
      </c>
      <c r="AH31" s="8">
        <f t="shared" si="6"/>
        <v>3352.25</v>
      </c>
      <c r="AI31" s="8">
        <f t="shared" si="6"/>
        <v>4665</v>
      </c>
      <c r="AJ31" s="8">
        <f t="shared" si="6"/>
        <v>4836.25</v>
      </c>
      <c r="AK31" s="8">
        <f t="shared" si="6"/>
        <v>5697.75</v>
      </c>
      <c r="AL31" s="8">
        <f t="shared" si="6"/>
        <v>5697.25</v>
      </c>
    </row>
    <row r="32" spans="1:55" ht="16.350000000000001" customHeight="1" x14ac:dyDescent="0.3">
      <c r="A32" s="135" t="s">
        <v>137</v>
      </c>
      <c r="B32" s="136"/>
      <c r="C32" s="34">
        <f t="shared" ref="C32:AL32" si="7">C31</f>
        <v>9019.75</v>
      </c>
      <c r="D32" s="34">
        <f t="shared" si="7"/>
        <v>1885.75</v>
      </c>
      <c r="E32" s="34">
        <f t="shared" si="7"/>
        <v>3223</v>
      </c>
      <c r="F32" s="34">
        <f t="shared" si="7"/>
        <v>6567.5</v>
      </c>
      <c r="G32" s="34">
        <f t="shared" si="7"/>
        <v>6886.75</v>
      </c>
      <c r="H32" s="34">
        <f t="shared" si="7"/>
        <v>6625</v>
      </c>
      <c r="I32" s="34">
        <f t="shared" si="7"/>
        <v>6737.5</v>
      </c>
      <c r="J32" s="34">
        <f t="shared" si="7"/>
        <v>6625</v>
      </c>
      <c r="K32" s="8">
        <f t="shared" si="7"/>
        <v>5966.75</v>
      </c>
      <c r="L32" s="8">
        <f t="shared" si="7"/>
        <v>4824.75</v>
      </c>
      <c r="M32" s="8">
        <f t="shared" si="7"/>
        <v>4530.5</v>
      </c>
      <c r="N32" s="8">
        <f t="shared" si="7"/>
        <v>5762.5</v>
      </c>
      <c r="O32" s="8">
        <f t="shared" si="7"/>
        <v>5612.5</v>
      </c>
      <c r="P32" s="8">
        <f t="shared" si="7"/>
        <v>4924</v>
      </c>
      <c r="Q32" s="8">
        <f t="shared" si="7"/>
        <v>3626</v>
      </c>
      <c r="R32" s="8">
        <f t="shared" si="7"/>
        <v>4309.5</v>
      </c>
      <c r="S32" s="8">
        <f t="shared" si="7"/>
        <v>4512.25</v>
      </c>
      <c r="T32" s="8">
        <f t="shared" si="7"/>
        <v>2474.5</v>
      </c>
      <c r="U32" s="8">
        <f t="shared" si="7"/>
        <v>2324.25</v>
      </c>
      <c r="V32" s="8">
        <f t="shared" si="7"/>
        <v>2663</v>
      </c>
      <c r="W32" s="8">
        <f t="shared" si="7"/>
        <v>2712.75</v>
      </c>
      <c r="X32" s="8">
        <f t="shared" si="7"/>
        <v>2198.5</v>
      </c>
      <c r="Y32" s="8">
        <f t="shared" si="7"/>
        <v>2123.75</v>
      </c>
      <c r="Z32" s="8">
        <f t="shared" si="7"/>
        <v>4320.75</v>
      </c>
      <c r="AA32" s="8">
        <f t="shared" si="7"/>
        <v>4227.5</v>
      </c>
      <c r="AB32" s="8">
        <f t="shared" si="7"/>
        <v>4140</v>
      </c>
      <c r="AC32" s="8">
        <f t="shared" si="7"/>
        <v>4321</v>
      </c>
      <c r="AD32" s="8">
        <f t="shared" si="7"/>
        <v>4321</v>
      </c>
      <c r="AE32" s="8">
        <f t="shared" si="7"/>
        <v>4431</v>
      </c>
      <c r="AF32" s="8">
        <f t="shared" si="7"/>
        <v>3502</v>
      </c>
      <c r="AG32" s="8">
        <f t="shared" si="7"/>
        <v>3352.5</v>
      </c>
      <c r="AH32" s="8">
        <f t="shared" si="7"/>
        <v>3352.25</v>
      </c>
      <c r="AI32" s="8">
        <f t="shared" si="7"/>
        <v>4665</v>
      </c>
      <c r="AJ32" s="8">
        <f t="shared" si="7"/>
        <v>4836.25</v>
      </c>
      <c r="AK32" s="8">
        <f t="shared" si="7"/>
        <v>5697.75</v>
      </c>
      <c r="AL32" s="8">
        <f t="shared" si="7"/>
        <v>5697.25</v>
      </c>
    </row>
    <row r="33" spans="1:38" ht="16.350000000000001" customHeight="1" x14ac:dyDescent="0.3">
      <c r="A33" s="34" t="s">
        <v>138</v>
      </c>
      <c r="B33" s="46"/>
      <c r="C33" s="34">
        <f>IFERROR(INDEX($C$32:$AK$32,1,1+ROUND(INDEX($H$5:$V$5,1,MATCH("RM02",$H$3:$V$3,0))/7,0)),0)</f>
        <v>3223</v>
      </c>
      <c r="D33" s="34">
        <f>IFERROR(INDEX($C$32:$AK$32,1,2+ROUND(INDEX($H$5:$V$5,1,MATCH("RM02",$H$3:$V$3,0))/7,0)),0)</f>
        <v>6567.5</v>
      </c>
      <c r="E33" s="34">
        <f>IFERROR(INDEX($C$32:$AK$32,1,3+ROUND(INDEX($H$5:$V$5,1,MATCH("RM02",$H$3:$V$3,0))/7,0)),0)</f>
        <v>6886.75</v>
      </c>
      <c r="F33" s="34">
        <f>IFERROR(INDEX($C$32:$AK$32,1,4+ROUND(INDEX($H$5:$V$5,1,MATCH("RM02",$H$3:$V$3,0))/7,0)),0)</f>
        <v>6625</v>
      </c>
      <c r="G33" s="34">
        <f>IFERROR(INDEX($C$32:$AK$32,1,5+ROUND(INDEX($H$5:$V$5,1,MATCH("RM02",$H$3:$V$3,0))/7,0)),0)</f>
        <v>6737.5</v>
      </c>
      <c r="H33" s="34">
        <f>IFERROR(INDEX($C$32:$AK$32,1,6+ROUND(INDEX($H$5:$V$5,1,MATCH("RM02",$H$3:$V$3,0))/7,0)),0)</f>
        <v>6625</v>
      </c>
      <c r="I33" s="34">
        <f>IFERROR(INDEX($C$32:$AK$32,1,7+ROUND(INDEX($H$5:$V$5,1,MATCH("RM02",$H$3:$V$3,0))/7,0)),0)</f>
        <v>5966.75</v>
      </c>
      <c r="J33" s="34">
        <f>IFERROR(INDEX($C$32:$AK$32,1,8+ROUND(INDEX($H$5:$V$5,1,MATCH("RM02",$H$3:$V$3,0))/7,0)),0)</f>
        <v>4824.75</v>
      </c>
      <c r="K33" s="8">
        <f>IFERROR(INDEX($C$32:$AK$32,1,9+ROUND(INDEX($H$5:$V$5,1,MATCH("RM02",$H$3:$V$3,0))/7,0)),0)</f>
        <v>4530.5</v>
      </c>
      <c r="L33" s="8">
        <f>IFERROR(INDEX($C$32:$AK$32,1,10+ROUND(INDEX($H$5:$V$5,1,MATCH("RM02",$H$3:$V$3,0))/7,0)),0)</f>
        <v>5762.5</v>
      </c>
      <c r="M33" s="8">
        <f>IFERROR(INDEX($C$32:$AK$32,1,11+ROUND(INDEX($H$5:$V$5,1,MATCH("RM02",$H$3:$V$3,0))/7,0)),0)</f>
        <v>5612.5</v>
      </c>
      <c r="N33" s="8">
        <f>IFERROR(INDEX($C$32:$AK$32,1,12+ROUND(INDEX($H$5:$V$5,1,MATCH("RM02",$H$3:$V$3,0))/7,0)),0)</f>
        <v>4924</v>
      </c>
      <c r="O33" s="8">
        <f>IFERROR(INDEX($C$32:$AK$32,1,13+ROUND(INDEX($H$5:$V$5,1,MATCH("RM02",$H$3:$V$3,0))/7,0)),0)</f>
        <v>3626</v>
      </c>
      <c r="P33" s="8">
        <f>IFERROR(INDEX($C$32:$AK$32,1,14+ROUND(INDEX($H$5:$V$5,1,MATCH("RM02",$H$3:$V$3,0))/7,0)),0)</f>
        <v>4309.5</v>
      </c>
      <c r="Q33" s="8">
        <f>IFERROR(INDEX($C$32:$AK$32,1,15+ROUND(INDEX($H$5:$V$5,1,MATCH("RM02",$H$3:$V$3,0))/7,0)),0)</f>
        <v>4512.25</v>
      </c>
      <c r="R33" s="8">
        <f>IFERROR(INDEX($C$32:$AK$32,1,16+ROUND(INDEX($H$5:$V$5,1,MATCH("RM02",$H$3:$V$3,0))/7,0)),0)</f>
        <v>2474.5</v>
      </c>
      <c r="S33" s="8">
        <f>IFERROR(INDEX($C$32:$AK$32,1,17+ROUND(INDEX($H$5:$V$5,1,MATCH("RM02",$H$3:$V$3,0))/7,0)),0)</f>
        <v>2324.25</v>
      </c>
      <c r="T33" s="8">
        <f>IFERROR(INDEX($C$32:$AK$32,1,18+ROUND(INDEX($H$5:$V$5,1,MATCH("RM02",$H$3:$V$3,0))/7,0)),0)</f>
        <v>2663</v>
      </c>
      <c r="U33" s="8">
        <f>IFERROR(INDEX($C$32:$AK$32,1,19+ROUND(INDEX($H$5:$V$5,1,MATCH("RM02",$H$3:$V$3,0))/7,0)),0)</f>
        <v>2712.75</v>
      </c>
      <c r="V33" s="8">
        <f>IFERROR(INDEX($C$32:$AK$32,1,20+ROUND(INDEX($H$5:$V$5,1,MATCH("RM02",$H$3:$V$3,0))/7,0)),0)</f>
        <v>2198.5</v>
      </c>
      <c r="W33" s="8">
        <f>IFERROR(INDEX($C$32:$AK$32,1,21+ROUND(INDEX($H$5:$V$5,1,MATCH("RM02",$H$3:$V$3,0))/7,0)),0)</f>
        <v>2123.75</v>
      </c>
      <c r="X33" s="8">
        <f>IFERROR(INDEX($C$32:$AK$32,1,22+ROUND(INDEX($H$5:$V$5,1,MATCH("RM02",$H$3:$V$3,0))/7,0)),0)</f>
        <v>4320.75</v>
      </c>
      <c r="Y33" s="8">
        <f>IFERROR(INDEX($C$32:$AK$32,1,23+ROUND(INDEX($H$5:$V$5,1,MATCH("RM02",$H$3:$V$3,0))/7,0)),0)</f>
        <v>4227.5</v>
      </c>
      <c r="Z33" s="8">
        <f>IFERROR(INDEX($C$32:$AK$32,1,24+ROUND(INDEX($H$5:$V$5,1,MATCH("RM02",$H$3:$V$3,0))/7,0)),0)</f>
        <v>4140</v>
      </c>
      <c r="AA33" s="8">
        <f>IFERROR(INDEX($C$32:$AK$32,1,25+ROUND(INDEX($H$5:$V$5,1,MATCH("RM02",$H$3:$V$3,0))/7,0)),0)</f>
        <v>4321</v>
      </c>
      <c r="AB33" s="8">
        <f>IFERROR(INDEX($C$32:$AK$32,1,26+ROUND(INDEX($H$5:$V$5,1,MATCH("RM02",$H$3:$V$3,0))/7,0)),0)</f>
        <v>4321</v>
      </c>
      <c r="AC33" s="8">
        <f>IFERROR(INDEX($C$32:$AK$32,1,27+ROUND(INDEX($H$5:$V$5,1,MATCH("RM02",$H$3:$V$3,0))/7,0)),0)</f>
        <v>4431</v>
      </c>
      <c r="AD33" s="8">
        <f>IFERROR(INDEX($C$32:$AK$32,1,28+ROUND(INDEX($H$5:$V$5,1,MATCH("RM02",$H$3:$V$3,0))/7,0)),0)</f>
        <v>3502</v>
      </c>
      <c r="AE33" s="8">
        <f>IFERROR(INDEX($C$32:$AK$32,1,29+ROUND(INDEX($H$5:$V$5,1,MATCH("RM02",$H$3:$V$3,0))/7,0)),0)</f>
        <v>3352.5</v>
      </c>
      <c r="AF33" s="8">
        <f>IFERROR(INDEX($C$32:$AK$32,1,30+ROUND(INDEX($H$5:$V$5,1,MATCH("RM02",$H$3:$V$3,0))/7,0)),0)</f>
        <v>3352.25</v>
      </c>
      <c r="AG33" s="8">
        <f>IFERROR(INDEX($C$32:$AK$32,1,31+ROUND(INDEX($H$5:$V$5,1,MATCH("RM02",$H$3:$V$3,0))/7,0)),0)</f>
        <v>4665</v>
      </c>
      <c r="AH33" s="8">
        <f>IFERROR(INDEX($C$32:$AK$32,1,32+ROUND(INDEX($H$5:$V$5,1,MATCH("RM02",$H$3:$V$3,0))/7,0)),0)</f>
        <v>4836.25</v>
      </c>
      <c r="AI33" s="8">
        <f>IFERROR(INDEX($C$32:$AK$32,1,33+ROUND(INDEX($H$5:$V$5,1,MATCH("RM02",$H$3:$V$3,0))/7,0)),0)</f>
        <v>5697.75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  <c r="AL33" s="8">
        <f>IFERROR(INDEX($C$32:$AK$32,1,35+ROUND(INDEX($H$5:$V$5,1,MATCH("RM02",$H$3:$V$3,0))/7,0)),0)</f>
        <v>0</v>
      </c>
    </row>
    <row r="35" spans="1:38" ht="16.350000000000001" customHeight="1" x14ac:dyDescent="0.3">
      <c r="A35" s="47" t="s">
        <v>140</v>
      </c>
      <c r="B35" s="47" t="s">
        <v>132</v>
      </c>
      <c r="C35" s="137" t="s">
        <v>0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6"/>
    </row>
    <row r="36" spans="1:38" ht="16.350000000000001" customHeight="1" x14ac:dyDescent="0.3">
      <c r="A36" s="47" t="s">
        <v>133</v>
      </c>
      <c r="B36" s="47" t="str">
        <f>"LT: "&amp;ROUND(INDEX($H$5:$V$5,1,MATCH("RM03",$H$3:$V$3,0))/7,0)</f>
        <v>LT: 3</v>
      </c>
      <c r="C36" s="48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>
        <v>46370</v>
      </c>
    </row>
    <row r="37" spans="1:38" ht="16.350000000000001" customHeight="1" x14ac:dyDescent="0.3">
      <c r="A37" s="51" t="s">
        <v>134</v>
      </c>
      <c r="C37" s="34">
        <f t="array" ref="C37:AL37">TRANSPOSE(BOM_demand!$J$2:$J$37)</f>
        <v>20751</v>
      </c>
      <c r="D37" s="34">
        <v>7837</v>
      </c>
      <c r="E37" s="34">
        <v>13684</v>
      </c>
      <c r="F37" s="34">
        <v>23000</v>
      </c>
      <c r="G37" s="34">
        <v>23000</v>
      </c>
      <c r="H37" s="34">
        <v>23000</v>
      </c>
      <c r="I37" s="34">
        <v>23000</v>
      </c>
      <c r="J37" s="34">
        <v>23000</v>
      </c>
      <c r="K37" s="34">
        <v>20367</v>
      </c>
      <c r="L37" s="34">
        <v>15349</v>
      </c>
      <c r="M37" s="34">
        <v>14622</v>
      </c>
      <c r="N37" s="34">
        <v>21000</v>
      </c>
      <c r="O37" s="34">
        <v>21000</v>
      </c>
      <c r="P37" s="34">
        <v>18246</v>
      </c>
      <c r="Q37" s="34">
        <v>14554</v>
      </c>
      <c r="R37" s="34">
        <v>16476</v>
      </c>
      <c r="S37" s="34">
        <v>17698</v>
      </c>
      <c r="T37" s="34">
        <v>9248</v>
      </c>
      <c r="U37" s="34">
        <v>8946</v>
      </c>
      <c r="V37" s="34">
        <v>10655</v>
      </c>
      <c r="W37" s="34">
        <v>10554</v>
      </c>
      <c r="X37" s="34">
        <v>8797</v>
      </c>
      <c r="Y37" s="34">
        <v>8498</v>
      </c>
      <c r="Z37" s="34">
        <v>17406</v>
      </c>
      <c r="AA37" s="34">
        <v>16010</v>
      </c>
      <c r="AB37" s="34">
        <v>15960</v>
      </c>
      <c r="AC37" s="34">
        <v>17408</v>
      </c>
      <c r="AD37" s="34">
        <v>17408</v>
      </c>
      <c r="AE37" s="34">
        <v>17948</v>
      </c>
      <c r="AF37" s="34">
        <v>14085</v>
      </c>
      <c r="AG37" s="34">
        <v>13788</v>
      </c>
      <c r="AH37" s="34">
        <v>13787</v>
      </c>
      <c r="AI37" s="34">
        <v>16538</v>
      </c>
      <c r="AJ37" s="34">
        <v>17009</v>
      </c>
      <c r="AK37" s="34">
        <v>20756</v>
      </c>
      <c r="AL37">
        <v>20753</v>
      </c>
    </row>
    <row r="38" spans="1:38" ht="16.350000000000001" customHeight="1" x14ac:dyDescent="0.3">
      <c r="A38" s="135" t="s">
        <v>128</v>
      </c>
      <c r="B38" s="136"/>
      <c r="C38" s="34">
        <f>IFERROR(INDEX($H$7:$V$7,1,MATCH("RM03",$H$3:$V$3,0)),0)</f>
        <v>0</v>
      </c>
      <c r="D38" s="34">
        <f>0</f>
        <v>0</v>
      </c>
      <c r="E38" s="34">
        <f>0</f>
        <v>0</v>
      </c>
      <c r="F38" s="34">
        <f>0</f>
        <v>0</v>
      </c>
      <c r="G38" s="34">
        <f>0</f>
        <v>0</v>
      </c>
      <c r="H38" s="34">
        <f>0</f>
        <v>0</v>
      </c>
      <c r="I38" s="34">
        <f>0</f>
        <v>0</v>
      </c>
      <c r="J38" s="34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  <c r="AL38" s="8">
        <f>0</f>
        <v>0</v>
      </c>
    </row>
    <row r="39" spans="1:38" ht="16.350000000000001" customHeight="1" x14ac:dyDescent="0.3">
      <c r="A39" s="34" t="s">
        <v>129</v>
      </c>
      <c r="B39" s="46">
        <f>IFERROR(INDEX($H$8:$V$8,1,MATCH("RM03",$H$3:$V$3,0)),0)</f>
        <v>16326</v>
      </c>
      <c r="C39" s="34">
        <f t="shared" ref="C39:AL39" si="8">$B39</f>
        <v>16326</v>
      </c>
      <c r="D39" s="34">
        <f t="shared" si="8"/>
        <v>16326</v>
      </c>
      <c r="E39" s="34">
        <f t="shared" si="8"/>
        <v>16326</v>
      </c>
      <c r="F39" s="34">
        <f t="shared" si="8"/>
        <v>16326</v>
      </c>
      <c r="G39" s="34">
        <f t="shared" si="8"/>
        <v>16326</v>
      </c>
      <c r="H39" s="34">
        <f t="shared" si="8"/>
        <v>16326</v>
      </c>
      <c r="I39" s="34">
        <f t="shared" si="8"/>
        <v>16326</v>
      </c>
      <c r="J39" s="34">
        <f t="shared" si="8"/>
        <v>16326</v>
      </c>
      <c r="K39" s="8">
        <f t="shared" si="8"/>
        <v>16326</v>
      </c>
      <c r="L39" s="8">
        <f t="shared" si="8"/>
        <v>16326</v>
      </c>
      <c r="M39" s="8">
        <f t="shared" si="8"/>
        <v>16326</v>
      </c>
      <c r="N39" s="8">
        <f t="shared" si="8"/>
        <v>16326</v>
      </c>
      <c r="O39" s="8">
        <f t="shared" si="8"/>
        <v>16326</v>
      </c>
      <c r="P39" s="8">
        <f t="shared" si="8"/>
        <v>16326</v>
      </c>
      <c r="Q39" s="8">
        <f t="shared" si="8"/>
        <v>16326</v>
      </c>
      <c r="R39" s="8">
        <f t="shared" si="8"/>
        <v>16326</v>
      </c>
      <c r="S39" s="8">
        <f t="shared" si="8"/>
        <v>16326</v>
      </c>
      <c r="T39" s="8">
        <f t="shared" si="8"/>
        <v>16326</v>
      </c>
      <c r="U39" s="8">
        <f t="shared" si="8"/>
        <v>16326</v>
      </c>
      <c r="V39" s="8">
        <f t="shared" si="8"/>
        <v>16326</v>
      </c>
      <c r="W39" s="8">
        <f t="shared" si="8"/>
        <v>16326</v>
      </c>
      <c r="X39" s="8">
        <f t="shared" si="8"/>
        <v>16326</v>
      </c>
      <c r="Y39" s="8">
        <f t="shared" si="8"/>
        <v>16326</v>
      </c>
      <c r="Z39" s="8">
        <f t="shared" si="8"/>
        <v>16326</v>
      </c>
      <c r="AA39" s="8">
        <f t="shared" si="8"/>
        <v>16326</v>
      </c>
      <c r="AB39" s="8">
        <f t="shared" si="8"/>
        <v>16326</v>
      </c>
      <c r="AC39" s="8">
        <f t="shared" si="8"/>
        <v>16326</v>
      </c>
      <c r="AD39" s="8">
        <f t="shared" si="8"/>
        <v>16326</v>
      </c>
      <c r="AE39" s="8">
        <f t="shared" si="8"/>
        <v>16326</v>
      </c>
      <c r="AF39" s="8">
        <f t="shared" si="8"/>
        <v>16326</v>
      </c>
      <c r="AG39" s="8">
        <f t="shared" si="8"/>
        <v>16326</v>
      </c>
      <c r="AH39" s="8">
        <f t="shared" si="8"/>
        <v>16326</v>
      </c>
      <c r="AI39" s="8">
        <f t="shared" si="8"/>
        <v>16326</v>
      </c>
      <c r="AJ39" s="8">
        <f t="shared" si="8"/>
        <v>16326</v>
      </c>
      <c r="AK39" s="8">
        <f t="shared" si="8"/>
        <v>16326</v>
      </c>
      <c r="AL39" s="8">
        <f t="shared" si="8"/>
        <v>16326</v>
      </c>
    </row>
    <row r="40" spans="1:38" ht="16.350000000000001" customHeight="1" x14ac:dyDescent="0.3">
      <c r="A40" s="34" t="s">
        <v>135</v>
      </c>
      <c r="B40" s="46">
        <f>IFERROR(INDEX($H$6:$V$6,1,MATCH("RM03",$H$3:$V$3,0)),0)</f>
        <v>42524</v>
      </c>
      <c r="C40" s="34">
        <f>$B40+C38+C42-C37</f>
        <v>21773</v>
      </c>
      <c r="D40" s="34">
        <f t="shared" ref="D40:AL40" si="9">C40+D38+D42-D37</f>
        <v>16326</v>
      </c>
      <c r="E40" s="34">
        <f t="shared" si="9"/>
        <v>16326</v>
      </c>
      <c r="F40" s="34">
        <f t="shared" si="9"/>
        <v>16326</v>
      </c>
      <c r="G40" s="34">
        <f t="shared" si="9"/>
        <v>16326</v>
      </c>
      <c r="H40" s="34">
        <f t="shared" si="9"/>
        <v>16326</v>
      </c>
      <c r="I40" s="34">
        <f t="shared" si="9"/>
        <v>16326</v>
      </c>
      <c r="J40" s="34">
        <f t="shared" si="9"/>
        <v>16326</v>
      </c>
      <c r="K40" s="8">
        <f t="shared" si="9"/>
        <v>16326</v>
      </c>
      <c r="L40" s="8">
        <f t="shared" si="9"/>
        <v>16326</v>
      </c>
      <c r="M40" s="8">
        <f t="shared" si="9"/>
        <v>16326</v>
      </c>
      <c r="N40" s="8">
        <f t="shared" si="9"/>
        <v>16326</v>
      </c>
      <c r="O40" s="8">
        <f t="shared" si="9"/>
        <v>16326</v>
      </c>
      <c r="P40" s="8">
        <f t="shared" si="9"/>
        <v>16326</v>
      </c>
      <c r="Q40" s="8">
        <f t="shared" si="9"/>
        <v>16326</v>
      </c>
      <c r="R40" s="8">
        <f t="shared" si="9"/>
        <v>16326</v>
      </c>
      <c r="S40" s="8">
        <f t="shared" si="9"/>
        <v>16326</v>
      </c>
      <c r="T40" s="8">
        <f t="shared" si="9"/>
        <v>16326</v>
      </c>
      <c r="U40" s="8">
        <f t="shared" si="9"/>
        <v>16326</v>
      </c>
      <c r="V40" s="8">
        <f t="shared" si="9"/>
        <v>16326</v>
      </c>
      <c r="W40" s="8">
        <f t="shared" si="9"/>
        <v>16326</v>
      </c>
      <c r="X40" s="8">
        <f t="shared" si="9"/>
        <v>16326</v>
      </c>
      <c r="Y40" s="8">
        <f t="shared" si="9"/>
        <v>16326</v>
      </c>
      <c r="Z40" s="8">
        <f t="shared" si="9"/>
        <v>16326</v>
      </c>
      <c r="AA40" s="8">
        <f t="shared" si="9"/>
        <v>16326</v>
      </c>
      <c r="AB40" s="8">
        <f t="shared" si="9"/>
        <v>16326</v>
      </c>
      <c r="AC40" s="8">
        <f t="shared" si="9"/>
        <v>16326</v>
      </c>
      <c r="AD40" s="8">
        <f t="shared" si="9"/>
        <v>16326</v>
      </c>
      <c r="AE40" s="8">
        <f t="shared" si="9"/>
        <v>16326</v>
      </c>
      <c r="AF40" s="8">
        <f t="shared" si="9"/>
        <v>16326</v>
      </c>
      <c r="AG40" s="8">
        <f t="shared" si="9"/>
        <v>16326</v>
      </c>
      <c r="AH40" s="8">
        <f t="shared" si="9"/>
        <v>16326</v>
      </c>
      <c r="AI40" s="8">
        <f t="shared" si="9"/>
        <v>16326</v>
      </c>
      <c r="AJ40" s="8">
        <f t="shared" si="9"/>
        <v>16326</v>
      </c>
      <c r="AK40" s="8">
        <f t="shared" si="9"/>
        <v>16326</v>
      </c>
      <c r="AL40" s="8">
        <f t="shared" si="9"/>
        <v>16326</v>
      </c>
    </row>
    <row r="41" spans="1:38" ht="16.350000000000001" customHeight="1" x14ac:dyDescent="0.3">
      <c r="A41" s="34" t="s">
        <v>136</v>
      </c>
      <c r="B41" s="46"/>
      <c r="C41" s="34">
        <f>MAX(C37+C39-($B40+C38),0)</f>
        <v>0</v>
      </c>
      <c r="D41" s="34">
        <f t="shared" ref="D41:AL41" si="10">MAX(D37+D39-(C40+D38),0)</f>
        <v>2390</v>
      </c>
      <c r="E41" s="34">
        <f t="shared" si="10"/>
        <v>13684</v>
      </c>
      <c r="F41" s="34">
        <f t="shared" si="10"/>
        <v>23000</v>
      </c>
      <c r="G41" s="34">
        <f t="shared" si="10"/>
        <v>23000</v>
      </c>
      <c r="H41" s="34">
        <f t="shared" si="10"/>
        <v>23000</v>
      </c>
      <c r="I41" s="34">
        <f t="shared" si="10"/>
        <v>23000</v>
      </c>
      <c r="J41" s="34">
        <f t="shared" si="10"/>
        <v>23000</v>
      </c>
      <c r="K41" s="8">
        <f t="shared" si="10"/>
        <v>20367</v>
      </c>
      <c r="L41" s="8">
        <f t="shared" si="10"/>
        <v>15349</v>
      </c>
      <c r="M41" s="8">
        <f t="shared" si="10"/>
        <v>14622</v>
      </c>
      <c r="N41" s="8">
        <f t="shared" si="10"/>
        <v>21000</v>
      </c>
      <c r="O41" s="8">
        <f t="shared" si="10"/>
        <v>21000</v>
      </c>
      <c r="P41" s="8">
        <f t="shared" si="10"/>
        <v>18246</v>
      </c>
      <c r="Q41" s="8">
        <f t="shared" si="10"/>
        <v>14554</v>
      </c>
      <c r="R41" s="8">
        <f t="shared" si="10"/>
        <v>16476</v>
      </c>
      <c r="S41" s="8">
        <f t="shared" si="10"/>
        <v>17698</v>
      </c>
      <c r="T41" s="8">
        <f t="shared" si="10"/>
        <v>9248</v>
      </c>
      <c r="U41" s="8">
        <f t="shared" si="10"/>
        <v>8946</v>
      </c>
      <c r="V41" s="8">
        <f t="shared" si="10"/>
        <v>10655</v>
      </c>
      <c r="W41" s="8">
        <f t="shared" si="10"/>
        <v>10554</v>
      </c>
      <c r="X41" s="8">
        <f t="shared" si="10"/>
        <v>8797</v>
      </c>
      <c r="Y41" s="8">
        <f t="shared" si="10"/>
        <v>8498</v>
      </c>
      <c r="Z41" s="8">
        <f t="shared" si="10"/>
        <v>17406</v>
      </c>
      <c r="AA41" s="8">
        <f t="shared" si="10"/>
        <v>16010</v>
      </c>
      <c r="AB41" s="8">
        <f t="shared" si="10"/>
        <v>15960</v>
      </c>
      <c r="AC41" s="8">
        <f t="shared" si="10"/>
        <v>17408</v>
      </c>
      <c r="AD41" s="8">
        <f t="shared" si="10"/>
        <v>17408</v>
      </c>
      <c r="AE41" s="8">
        <f t="shared" si="10"/>
        <v>17948</v>
      </c>
      <c r="AF41" s="8">
        <f t="shared" si="10"/>
        <v>14085</v>
      </c>
      <c r="AG41" s="8">
        <f t="shared" si="10"/>
        <v>13788</v>
      </c>
      <c r="AH41" s="8">
        <f t="shared" si="10"/>
        <v>13787</v>
      </c>
      <c r="AI41" s="8">
        <f t="shared" si="10"/>
        <v>16538</v>
      </c>
      <c r="AJ41" s="8">
        <f t="shared" si="10"/>
        <v>17009</v>
      </c>
      <c r="AK41" s="8">
        <f t="shared" si="10"/>
        <v>20756</v>
      </c>
      <c r="AL41" s="8">
        <f t="shared" si="10"/>
        <v>20753</v>
      </c>
    </row>
    <row r="42" spans="1:38" ht="16.350000000000001" customHeight="1" x14ac:dyDescent="0.3">
      <c r="A42" s="135" t="s">
        <v>137</v>
      </c>
      <c r="B42" s="136"/>
      <c r="C42" s="34">
        <f t="shared" ref="C42:AL42" si="11">C41</f>
        <v>0</v>
      </c>
      <c r="D42" s="34">
        <f t="shared" si="11"/>
        <v>2390</v>
      </c>
      <c r="E42" s="34">
        <f t="shared" si="11"/>
        <v>13684</v>
      </c>
      <c r="F42" s="34">
        <f t="shared" si="11"/>
        <v>23000</v>
      </c>
      <c r="G42" s="34">
        <f t="shared" si="11"/>
        <v>23000</v>
      </c>
      <c r="H42" s="34">
        <f t="shared" si="11"/>
        <v>23000</v>
      </c>
      <c r="I42" s="34">
        <f t="shared" si="11"/>
        <v>23000</v>
      </c>
      <c r="J42" s="34">
        <f t="shared" si="11"/>
        <v>23000</v>
      </c>
      <c r="K42" s="8">
        <f t="shared" si="11"/>
        <v>20367</v>
      </c>
      <c r="L42" s="8">
        <f t="shared" si="11"/>
        <v>15349</v>
      </c>
      <c r="M42" s="8">
        <f t="shared" si="11"/>
        <v>14622</v>
      </c>
      <c r="N42" s="8">
        <f t="shared" si="11"/>
        <v>21000</v>
      </c>
      <c r="O42" s="8">
        <f t="shared" si="11"/>
        <v>21000</v>
      </c>
      <c r="P42" s="8">
        <f t="shared" si="11"/>
        <v>18246</v>
      </c>
      <c r="Q42" s="8">
        <f t="shared" si="11"/>
        <v>14554</v>
      </c>
      <c r="R42" s="8">
        <f t="shared" si="11"/>
        <v>16476</v>
      </c>
      <c r="S42" s="8">
        <f t="shared" si="11"/>
        <v>17698</v>
      </c>
      <c r="T42" s="8">
        <f t="shared" si="11"/>
        <v>9248</v>
      </c>
      <c r="U42" s="8">
        <f t="shared" si="11"/>
        <v>8946</v>
      </c>
      <c r="V42" s="8">
        <f t="shared" si="11"/>
        <v>10655</v>
      </c>
      <c r="W42" s="8">
        <f t="shared" si="11"/>
        <v>10554</v>
      </c>
      <c r="X42" s="8">
        <f t="shared" si="11"/>
        <v>8797</v>
      </c>
      <c r="Y42" s="8">
        <f t="shared" si="11"/>
        <v>8498</v>
      </c>
      <c r="Z42" s="8">
        <f t="shared" si="11"/>
        <v>17406</v>
      </c>
      <c r="AA42" s="8">
        <f t="shared" si="11"/>
        <v>16010</v>
      </c>
      <c r="AB42" s="8">
        <f t="shared" si="11"/>
        <v>15960</v>
      </c>
      <c r="AC42" s="8">
        <f t="shared" si="11"/>
        <v>17408</v>
      </c>
      <c r="AD42" s="8">
        <f t="shared" si="11"/>
        <v>17408</v>
      </c>
      <c r="AE42" s="8">
        <f t="shared" si="11"/>
        <v>17948</v>
      </c>
      <c r="AF42" s="8">
        <f t="shared" si="11"/>
        <v>14085</v>
      </c>
      <c r="AG42" s="8">
        <f t="shared" si="11"/>
        <v>13788</v>
      </c>
      <c r="AH42" s="8">
        <f t="shared" si="11"/>
        <v>13787</v>
      </c>
      <c r="AI42" s="8">
        <f t="shared" si="11"/>
        <v>16538</v>
      </c>
      <c r="AJ42" s="8">
        <f t="shared" si="11"/>
        <v>17009</v>
      </c>
      <c r="AK42" s="8">
        <f t="shared" si="11"/>
        <v>20756</v>
      </c>
      <c r="AL42" s="8">
        <f t="shared" si="11"/>
        <v>20753</v>
      </c>
    </row>
    <row r="43" spans="1:38" ht="16.350000000000001" customHeight="1" x14ac:dyDescent="0.3">
      <c r="A43" s="34" t="s">
        <v>138</v>
      </c>
      <c r="B43" s="46"/>
      <c r="C43" s="34">
        <f>IFERROR(INDEX($C$42:$AK$42,1,1+ROUND(INDEX($H$5:$V$5,1,MATCH("RM03",$H$3:$V$3,0))/7,0)),0)</f>
        <v>23000</v>
      </c>
      <c r="D43" s="34">
        <f>IFERROR(INDEX($C$42:$AK$42,1,2+ROUND(INDEX($H$5:$V$5,1,MATCH("RM03",$H$3:$V$3,0))/7,0)),0)</f>
        <v>23000</v>
      </c>
      <c r="E43" s="34">
        <f>IFERROR(INDEX($C$42:$AK$42,1,3+ROUND(INDEX($H$5:$V$5,1,MATCH("RM03",$H$3:$V$3,0))/7,0)),0)</f>
        <v>23000</v>
      </c>
      <c r="F43" s="34">
        <f>IFERROR(INDEX($C$42:$AK$42,1,4+ROUND(INDEX($H$5:$V$5,1,MATCH("RM03",$H$3:$V$3,0))/7,0)),0)</f>
        <v>23000</v>
      </c>
      <c r="G43" s="34">
        <f>IFERROR(INDEX($C$42:$AK$42,1,5+ROUND(INDEX($H$5:$V$5,1,MATCH("RM03",$H$3:$V$3,0))/7,0)),0)</f>
        <v>23000</v>
      </c>
      <c r="H43" s="34">
        <f>IFERROR(INDEX($C$42:$AK$42,1,6+ROUND(INDEX($H$5:$V$5,1,MATCH("RM03",$H$3:$V$3,0))/7,0)),0)</f>
        <v>20367</v>
      </c>
      <c r="I43" s="34">
        <f>IFERROR(INDEX($C$42:$AK$42,1,7+ROUND(INDEX($H$5:$V$5,1,MATCH("RM03",$H$3:$V$3,0))/7,0)),0)</f>
        <v>15349</v>
      </c>
      <c r="J43" s="34">
        <f>IFERROR(INDEX($C$42:$AK$42,1,8+ROUND(INDEX($H$5:$V$5,1,MATCH("RM03",$H$3:$V$3,0))/7,0)),0)</f>
        <v>14622</v>
      </c>
      <c r="K43" s="8">
        <f>IFERROR(INDEX($C$42:$AK$42,1,9+ROUND(INDEX($H$5:$V$5,1,MATCH("RM03",$H$3:$V$3,0))/7,0)),0)</f>
        <v>21000</v>
      </c>
      <c r="L43" s="8">
        <f>IFERROR(INDEX($C$42:$AK$42,1,10+ROUND(INDEX($H$5:$V$5,1,MATCH("RM03",$H$3:$V$3,0))/7,0)),0)</f>
        <v>21000</v>
      </c>
      <c r="M43" s="8">
        <f>IFERROR(INDEX($C$42:$AK$42,1,11+ROUND(INDEX($H$5:$V$5,1,MATCH("RM03",$H$3:$V$3,0))/7,0)),0)</f>
        <v>18246</v>
      </c>
      <c r="N43" s="8">
        <f>IFERROR(INDEX($C$42:$AK$42,1,12+ROUND(INDEX($H$5:$V$5,1,MATCH("RM03",$H$3:$V$3,0))/7,0)),0)</f>
        <v>14554</v>
      </c>
      <c r="O43" s="8">
        <f>IFERROR(INDEX($C$42:$AK$42,1,13+ROUND(INDEX($H$5:$V$5,1,MATCH("RM03",$H$3:$V$3,0))/7,0)),0)</f>
        <v>16476</v>
      </c>
      <c r="P43" s="8">
        <f>IFERROR(INDEX($C$42:$AK$42,1,14+ROUND(INDEX($H$5:$V$5,1,MATCH("RM03",$H$3:$V$3,0))/7,0)),0)</f>
        <v>17698</v>
      </c>
      <c r="Q43" s="8">
        <f>IFERROR(INDEX($C$42:$AK$42,1,15+ROUND(INDEX($H$5:$V$5,1,MATCH("RM03",$H$3:$V$3,0))/7,0)),0)</f>
        <v>9248</v>
      </c>
      <c r="R43" s="8">
        <f>IFERROR(INDEX($C$42:$AK$42,1,16+ROUND(INDEX($H$5:$V$5,1,MATCH("RM03",$H$3:$V$3,0))/7,0)),0)</f>
        <v>8946</v>
      </c>
      <c r="S43" s="8">
        <f>IFERROR(INDEX($C$42:$AK$42,1,17+ROUND(INDEX($H$5:$V$5,1,MATCH("RM03",$H$3:$V$3,0))/7,0)),0)</f>
        <v>10655</v>
      </c>
      <c r="T43" s="8">
        <f>IFERROR(INDEX($C$42:$AK$42,1,18+ROUND(INDEX($H$5:$V$5,1,MATCH("RM03",$H$3:$V$3,0))/7,0)),0)</f>
        <v>10554</v>
      </c>
      <c r="U43" s="8">
        <f>IFERROR(INDEX($C$42:$AK$42,1,19+ROUND(INDEX($H$5:$V$5,1,MATCH("RM03",$H$3:$V$3,0))/7,0)),0)</f>
        <v>8797</v>
      </c>
      <c r="V43" s="8">
        <f>IFERROR(INDEX($C$42:$AK$42,1,20+ROUND(INDEX($H$5:$V$5,1,MATCH("RM03",$H$3:$V$3,0))/7,0)),0)</f>
        <v>8498</v>
      </c>
      <c r="W43" s="8">
        <f>IFERROR(INDEX($C$42:$AK$42,1,21+ROUND(INDEX($H$5:$V$5,1,MATCH("RM03",$H$3:$V$3,0))/7,0)),0)</f>
        <v>17406</v>
      </c>
      <c r="X43" s="8">
        <f>IFERROR(INDEX($C$42:$AK$42,1,22+ROUND(INDEX($H$5:$V$5,1,MATCH("RM03",$H$3:$V$3,0))/7,0)),0)</f>
        <v>16010</v>
      </c>
      <c r="Y43" s="8">
        <f>IFERROR(INDEX($C$42:$AK$42,1,23+ROUND(INDEX($H$5:$V$5,1,MATCH("RM03",$H$3:$V$3,0))/7,0)),0)</f>
        <v>15960</v>
      </c>
      <c r="Z43" s="8">
        <f>IFERROR(INDEX($C$42:$AK$42,1,24+ROUND(INDEX($H$5:$V$5,1,MATCH("RM03",$H$3:$V$3,0))/7,0)),0)</f>
        <v>17408</v>
      </c>
      <c r="AA43" s="8">
        <f>IFERROR(INDEX($C$42:$AK$42,1,25+ROUND(INDEX($H$5:$V$5,1,MATCH("RM03",$H$3:$V$3,0))/7,0)),0)</f>
        <v>17408</v>
      </c>
      <c r="AB43" s="8">
        <f>IFERROR(INDEX($C$42:$AK$42,1,26+ROUND(INDEX($H$5:$V$5,1,MATCH("RM03",$H$3:$V$3,0))/7,0)),0)</f>
        <v>17948</v>
      </c>
      <c r="AC43" s="8">
        <f>IFERROR(INDEX($C$42:$AK$42,1,27+ROUND(INDEX($H$5:$V$5,1,MATCH("RM03",$H$3:$V$3,0))/7,0)),0)</f>
        <v>14085</v>
      </c>
      <c r="AD43" s="8">
        <f>IFERROR(INDEX($C$42:$AK$42,1,28+ROUND(INDEX($H$5:$V$5,1,MATCH("RM03",$H$3:$V$3,0))/7,0)),0)</f>
        <v>13788</v>
      </c>
      <c r="AE43" s="8">
        <f>IFERROR(INDEX($C$42:$AK$42,1,29+ROUND(INDEX($H$5:$V$5,1,MATCH("RM03",$H$3:$V$3,0))/7,0)),0)</f>
        <v>13787</v>
      </c>
      <c r="AF43" s="8">
        <f>IFERROR(INDEX($C$42:$AK$42,1,30+ROUND(INDEX($H$5:$V$5,1,MATCH("RM03",$H$3:$V$3,0))/7,0)),0)</f>
        <v>16538</v>
      </c>
      <c r="AG43" s="8">
        <f>IFERROR(INDEX($C$42:$AK$42,1,31+ROUND(INDEX($H$5:$V$5,1,MATCH("RM03",$H$3:$V$3,0))/7,0)),0)</f>
        <v>17009</v>
      </c>
      <c r="AH43" s="8">
        <f>IFERROR(INDEX($C$42:$AK$42,1,32+ROUND(INDEX($H$5:$V$5,1,MATCH("RM03",$H$3:$V$3,0))/7,0)),0)</f>
        <v>20756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  <c r="AL43" s="8">
        <f>IFERROR(INDEX($C$42:$AK$42,1,35+ROUND(INDEX($H$5:$V$5,1,MATCH("RM03",$H$3:$V$3,0))/7,0)),0)</f>
        <v>0</v>
      </c>
    </row>
    <row r="45" spans="1:38" ht="16.350000000000001" customHeight="1" x14ac:dyDescent="0.3">
      <c r="A45" s="47" t="s">
        <v>141</v>
      </c>
      <c r="B45" s="47" t="s">
        <v>132</v>
      </c>
      <c r="C45" s="137" t="s">
        <v>0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6"/>
    </row>
    <row r="46" spans="1:38" ht="16.350000000000001" customHeight="1" x14ac:dyDescent="0.3">
      <c r="A46" s="47" t="s">
        <v>133</v>
      </c>
      <c r="B46" s="47" t="str">
        <f>"LT: "&amp;ROUND(INDEX($H$5:$V$5,1,MATCH("RM04",$H$3:$V$3,0))/7,0)</f>
        <v>LT: 20</v>
      </c>
      <c r="C46" s="48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>
        <v>46370</v>
      </c>
    </row>
    <row r="47" spans="1:38" ht="16.350000000000001" customHeight="1" x14ac:dyDescent="0.3">
      <c r="A47" s="51" t="s">
        <v>134</v>
      </c>
      <c r="C47" s="34">
        <f t="array" ref="C47:AL47">TRANSPOSE(BOM_demand!$K$2:$K$37)</f>
        <v>0</v>
      </c>
      <c r="D47" s="34">
        <v>0</v>
      </c>
      <c r="E47" s="34">
        <v>21368</v>
      </c>
      <c r="F47" s="34">
        <v>30000</v>
      </c>
      <c r="G47" s="34">
        <v>30000</v>
      </c>
      <c r="H47" s="34">
        <v>22000</v>
      </c>
      <c r="I47" s="34">
        <v>26000</v>
      </c>
      <c r="J47" s="34">
        <v>27546</v>
      </c>
      <c r="K47" s="34">
        <v>14116</v>
      </c>
      <c r="L47" s="34">
        <v>4080</v>
      </c>
      <c r="M47" s="34">
        <v>7082</v>
      </c>
      <c r="N47" s="34">
        <v>24082</v>
      </c>
      <c r="O47" s="34">
        <v>24080</v>
      </c>
      <c r="P47" s="34">
        <v>18492</v>
      </c>
      <c r="Q47" s="34">
        <v>11508</v>
      </c>
      <c r="R47" s="34">
        <v>30000</v>
      </c>
      <c r="S47" s="34">
        <v>30000</v>
      </c>
      <c r="T47" s="34">
        <v>8496</v>
      </c>
      <c r="U47" s="34">
        <v>8496</v>
      </c>
      <c r="V47" s="34">
        <v>8498</v>
      </c>
      <c r="W47" s="34">
        <v>8496</v>
      </c>
      <c r="X47" s="34">
        <v>4782</v>
      </c>
      <c r="Y47" s="34">
        <v>4784</v>
      </c>
      <c r="Z47" s="34">
        <v>4782</v>
      </c>
      <c r="AA47" s="34">
        <v>12918</v>
      </c>
      <c r="AB47" s="34">
        <v>30000</v>
      </c>
      <c r="AC47" s="34">
        <v>30000</v>
      </c>
      <c r="AD47" s="34">
        <v>30000</v>
      </c>
      <c r="AE47" s="34">
        <v>30000</v>
      </c>
      <c r="AF47" s="34">
        <v>8562</v>
      </c>
      <c r="AG47" s="34">
        <v>8564</v>
      </c>
      <c r="AH47" s="34">
        <v>8562</v>
      </c>
      <c r="AI47" s="34">
        <v>8564</v>
      </c>
      <c r="AJ47" s="34">
        <v>8562</v>
      </c>
      <c r="AK47" s="34">
        <v>16652</v>
      </c>
      <c r="AL47">
        <v>16650</v>
      </c>
    </row>
    <row r="48" spans="1:38" ht="16.350000000000001" customHeight="1" x14ac:dyDescent="0.3">
      <c r="A48" s="135" t="s">
        <v>128</v>
      </c>
      <c r="B48" s="136"/>
      <c r="C48" s="34">
        <f>IFERROR(INDEX($H$7:$V$7,1,MATCH("RM04",$H$3:$V$3,0)),0)</f>
        <v>30000</v>
      </c>
      <c r="D48" s="34">
        <f>0</f>
        <v>0</v>
      </c>
      <c r="E48" s="34">
        <f>0</f>
        <v>0</v>
      </c>
      <c r="F48" s="34">
        <f>0</f>
        <v>0</v>
      </c>
      <c r="G48" s="34">
        <f>0</f>
        <v>0</v>
      </c>
      <c r="H48" s="34">
        <f>0</f>
        <v>0</v>
      </c>
      <c r="I48" s="34">
        <f>0</f>
        <v>0</v>
      </c>
      <c r="J48" s="34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  <c r="AL48" s="8">
        <f>0</f>
        <v>0</v>
      </c>
    </row>
    <row r="49" spans="1:38" ht="16.350000000000001" customHeight="1" x14ac:dyDescent="0.3">
      <c r="A49" s="34" t="s">
        <v>129</v>
      </c>
      <c r="B49" s="46">
        <f>IFERROR(INDEX($H$8:$V$8,1,MATCH("RM04",$H$3:$V$3,0)),0)</f>
        <v>33013</v>
      </c>
      <c r="C49" s="34">
        <f t="shared" ref="C49:AL49" si="12">$B49</f>
        <v>33013</v>
      </c>
      <c r="D49" s="34">
        <f t="shared" si="12"/>
        <v>33013</v>
      </c>
      <c r="E49" s="34">
        <f t="shared" si="12"/>
        <v>33013</v>
      </c>
      <c r="F49" s="34">
        <f t="shared" si="12"/>
        <v>33013</v>
      </c>
      <c r="G49" s="34">
        <f t="shared" si="12"/>
        <v>33013</v>
      </c>
      <c r="H49" s="34">
        <f t="shared" si="12"/>
        <v>33013</v>
      </c>
      <c r="I49" s="34">
        <f t="shared" si="12"/>
        <v>33013</v>
      </c>
      <c r="J49" s="34">
        <f t="shared" si="12"/>
        <v>33013</v>
      </c>
      <c r="K49" s="8">
        <f t="shared" si="12"/>
        <v>33013</v>
      </c>
      <c r="L49" s="8">
        <f t="shared" si="12"/>
        <v>33013</v>
      </c>
      <c r="M49" s="8">
        <f t="shared" si="12"/>
        <v>33013</v>
      </c>
      <c r="N49" s="8">
        <f t="shared" si="12"/>
        <v>33013</v>
      </c>
      <c r="O49" s="8">
        <f t="shared" si="12"/>
        <v>33013</v>
      </c>
      <c r="P49" s="8">
        <f t="shared" si="12"/>
        <v>33013</v>
      </c>
      <c r="Q49" s="8">
        <f t="shared" si="12"/>
        <v>33013</v>
      </c>
      <c r="R49" s="8">
        <f t="shared" si="12"/>
        <v>33013</v>
      </c>
      <c r="S49" s="8">
        <f t="shared" si="12"/>
        <v>33013</v>
      </c>
      <c r="T49" s="8">
        <f t="shared" si="12"/>
        <v>33013</v>
      </c>
      <c r="U49" s="8">
        <f t="shared" si="12"/>
        <v>33013</v>
      </c>
      <c r="V49" s="8">
        <f t="shared" si="12"/>
        <v>33013</v>
      </c>
      <c r="W49" s="8">
        <f t="shared" si="12"/>
        <v>33013</v>
      </c>
      <c r="X49" s="8">
        <f t="shared" si="12"/>
        <v>33013</v>
      </c>
      <c r="Y49" s="8">
        <f t="shared" si="12"/>
        <v>33013</v>
      </c>
      <c r="Z49" s="8">
        <f t="shared" si="12"/>
        <v>33013</v>
      </c>
      <c r="AA49" s="8">
        <f t="shared" si="12"/>
        <v>33013</v>
      </c>
      <c r="AB49" s="8">
        <f t="shared" si="12"/>
        <v>33013</v>
      </c>
      <c r="AC49" s="8">
        <f t="shared" si="12"/>
        <v>33013</v>
      </c>
      <c r="AD49" s="8">
        <f t="shared" si="12"/>
        <v>33013</v>
      </c>
      <c r="AE49" s="8">
        <f t="shared" si="12"/>
        <v>33013</v>
      </c>
      <c r="AF49" s="8">
        <f t="shared" si="12"/>
        <v>33013</v>
      </c>
      <c r="AG49" s="8">
        <f t="shared" si="12"/>
        <v>33013</v>
      </c>
      <c r="AH49" s="8">
        <f t="shared" si="12"/>
        <v>33013</v>
      </c>
      <c r="AI49" s="8">
        <f t="shared" si="12"/>
        <v>33013</v>
      </c>
      <c r="AJ49" s="8">
        <f t="shared" si="12"/>
        <v>33013</v>
      </c>
      <c r="AK49" s="8">
        <f t="shared" si="12"/>
        <v>33013</v>
      </c>
      <c r="AL49" s="8">
        <f t="shared" si="12"/>
        <v>33013</v>
      </c>
    </row>
    <row r="50" spans="1:38" ht="16.350000000000001" customHeight="1" x14ac:dyDescent="0.3">
      <c r="A50" s="34" t="s">
        <v>135</v>
      </c>
      <c r="B50" s="46">
        <f>IFERROR(INDEX($H$6:$V$6,1,MATCH("RM04",$H$3:$V$3,0)),0)</f>
        <v>340000</v>
      </c>
      <c r="C50" s="34">
        <f>$B50+C48+C52-C47</f>
        <v>370000</v>
      </c>
      <c r="D50" s="34">
        <f t="shared" ref="D50:AL50" si="13">C50+D48+D52-D47</f>
        <v>370000</v>
      </c>
      <c r="E50" s="34">
        <f t="shared" si="13"/>
        <v>348632</v>
      </c>
      <c r="F50" s="34">
        <f t="shared" si="13"/>
        <v>318632</v>
      </c>
      <c r="G50" s="34">
        <f t="shared" si="13"/>
        <v>288632</v>
      </c>
      <c r="H50" s="34">
        <f t="shared" si="13"/>
        <v>266632</v>
      </c>
      <c r="I50" s="34">
        <f t="shared" si="13"/>
        <v>240632</v>
      </c>
      <c r="J50" s="34">
        <f t="shared" si="13"/>
        <v>213086</v>
      </c>
      <c r="K50" s="8">
        <f t="shared" si="13"/>
        <v>198970</v>
      </c>
      <c r="L50" s="8">
        <f t="shared" si="13"/>
        <v>194890</v>
      </c>
      <c r="M50" s="8">
        <f t="shared" si="13"/>
        <v>187808</v>
      </c>
      <c r="N50" s="8">
        <f t="shared" si="13"/>
        <v>163726</v>
      </c>
      <c r="O50" s="8">
        <f t="shared" si="13"/>
        <v>139646</v>
      </c>
      <c r="P50" s="8">
        <f t="shared" si="13"/>
        <v>121154</v>
      </c>
      <c r="Q50" s="8">
        <f t="shared" si="13"/>
        <v>109646</v>
      </c>
      <c r="R50" s="8">
        <f t="shared" si="13"/>
        <v>79646</v>
      </c>
      <c r="S50" s="8">
        <f t="shared" si="13"/>
        <v>49646</v>
      </c>
      <c r="T50" s="8">
        <f t="shared" si="13"/>
        <v>41150</v>
      </c>
      <c r="U50" s="8">
        <f t="shared" si="13"/>
        <v>33013</v>
      </c>
      <c r="V50" s="8">
        <f t="shared" si="13"/>
        <v>33013</v>
      </c>
      <c r="W50" s="8">
        <f t="shared" si="13"/>
        <v>33013</v>
      </c>
      <c r="X50" s="8">
        <f t="shared" si="13"/>
        <v>33013</v>
      </c>
      <c r="Y50" s="8">
        <f t="shared" si="13"/>
        <v>33013</v>
      </c>
      <c r="Z50" s="8">
        <f t="shared" si="13"/>
        <v>33013</v>
      </c>
      <c r="AA50" s="8">
        <f t="shared" si="13"/>
        <v>33013</v>
      </c>
      <c r="AB50" s="8">
        <f t="shared" si="13"/>
        <v>33013</v>
      </c>
      <c r="AC50" s="8">
        <f t="shared" si="13"/>
        <v>33013</v>
      </c>
      <c r="AD50" s="8">
        <f t="shared" si="13"/>
        <v>33013</v>
      </c>
      <c r="AE50" s="8">
        <f t="shared" si="13"/>
        <v>33013</v>
      </c>
      <c r="AF50" s="8">
        <f t="shared" si="13"/>
        <v>33013</v>
      </c>
      <c r="AG50" s="8">
        <f t="shared" si="13"/>
        <v>33013</v>
      </c>
      <c r="AH50" s="8">
        <f t="shared" si="13"/>
        <v>33013</v>
      </c>
      <c r="AI50" s="8">
        <f t="shared" si="13"/>
        <v>33013</v>
      </c>
      <c r="AJ50" s="8">
        <f t="shared" si="13"/>
        <v>33013</v>
      </c>
      <c r="AK50" s="8">
        <f t="shared" si="13"/>
        <v>33013</v>
      </c>
      <c r="AL50" s="8">
        <f t="shared" si="13"/>
        <v>33013</v>
      </c>
    </row>
    <row r="51" spans="1:38" ht="16.350000000000001" customHeight="1" x14ac:dyDescent="0.3">
      <c r="A51" s="34" t="s">
        <v>136</v>
      </c>
      <c r="B51" s="46"/>
      <c r="C51" s="34">
        <f>MAX(C47+C49-($B50+C48),0)</f>
        <v>0</v>
      </c>
      <c r="D51" s="34">
        <f t="shared" ref="D51:AL51" si="14">MAX(D47+D49-(C50+D48),0)</f>
        <v>0</v>
      </c>
      <c r="E51" s="34">
        <f t="shared" si="14"/>
        <v>0</v>
      </c>
      <c r="F51" s="34">
        <f t="shared" si="14"/>
        <v>0</v>
      </c>
      <c r="G51" s="34">
        <f t="shared" si="14"/>
        <v>0</v>
      </c>
      <c r="H51" s="34">
        <f t="shared" si="14"/>
        <v>0</v>
      </c>
      <c r="I51" s="34">
        <f t="shared" si="14"/>
        <v>0</v>
      </c>
      <c r="J51" s="34">
        <f t="shared" si="14"/>
        <v>0</v>
      </c>
      <c r="K51" s="8">
        <f t="shared" si="14"/>
        <v>0</v>
      </c>
      <c r="L51" s="8">
        <f t="shared" si="14"/>
        <v>0</v>
      </c>
      <c r="M51" s="8">
        <f t="shared" si="14"/>
        <v>0</v>
      </c>
      <c r="N51" s="8">
        <f t="shared" si="14"/>
        <v>0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8">
        <f t="shared" si="14"/>
        <v>0</v>
      </c>
      <c r="S51" s="8">
        <f t="shared" si="14"/>
        <v>0</v>
      </c>
      <c r="T51" s="8">
        <f t="shared" si="14"/>
        <v>0</v>
      </c>
      <c r="U51" s="8">
        <f t="shared" si="14"/>
        <v>359</v>
      </c>
      <c r="V51" s="8">
        <f t="shared" si="14"/>
        <v>8498</v>
      </c>
      <c r="W51" s="8">
        <f t="shared" si="14"/>
        <v>8496</v>
      </c>
      <c r="X51" s="8">
        <f t="shared" si="14"/>
        <v>4782</v>
      </c>
      <c r="Y51" s="8">
        <f t="shared" si="14"/>
        <v>4784</v>
      </c>
      <c r="Z51" s="8">
        <f t="shared" si="14"/>
        <v>4782</v>
      </c>
      <c r="AA51" s="8">
        <f t="shared" si="14"/>
        <v>12918</v>
      </c>
      <c r="AB51" s="8">
        <f t="shared" si="14"/>
        <v>30000</v>
      </c>
      <c r="AC51" s="8">
        <f t="shared" si="14"/>
        <v>30000</v>
      </c>
      <c r="AD51" s="8">
        <f t="shared" si="14"/>
        <v>30000</v>
      </c>
      <c r="AE51" s="8">
        <f t="shared" si="14"/>
        <v>30000</v>
      </c>
      <c r="AF51" s="8">
        <f t="shared" si="14"/>
        <v>8562</v>
      </c>
      <c r="AG51" s="8">
        <f t="shared" si="14"/>
        <v>8564</v>
      </c>
      <c r="AH51" s="8">
        <f t="shared" si="14"/>
        <v>8562</v>
      </c>
      <c r="AI51" s="8">
        <f t="shared" si="14"/>
        <v>8564</v>
      </c>
      <c r="AJ51" s="8">
        <f t="shared" si="14"/>
        <v>8562</v>
      </c>
      <c r="AK51" s="8">
        <f t="shared" si="14"/>
        <v>16652</v>
      </c>
      <c r="AL51" s="8">
        <f t="shared" si="14"/>
        <v>16650</v>
      </c>
    </row>
    <row r="52" spans="1:38" ht="16.350000000000001" customHeight="1" x14ac:dyDescent="0.3">
      <c r="A52" s="135" t="s">
        <v>137</v>
      </c>
      <c r="B52" s="136"/>
      <c r="C52" s="34">
        <f t="shared" ref="C52:AL52" si="15">C51</f>
        <v>0</v>
      </c>
      <c r="D52" s="34">
        <f t="shared" si="15"/>
        <v>0</v>
      </c>
      <c r="E52" s="34">
        <f t="shared" si="15"/>
        <v>0</v>
      </c>
      <c r="F52" s="34">
        <f t="shared" si="15"/>
        <v>0</v>
      </c>
      <c r="G52" s="34">
        <f t="shared" si="15"/>
        <v>0</v>
      </c>
      <c r="H52" s="34">
        <f t="shared" si="15"/>
        <v>0</v>
      </c>
      <c r="I52" s="34">
        <f t="shared" si="15"/>
        <v>0</v>
      </c>
      <c r="J52" s="34">
        <f t="shared" si="15"/>
        <v>0</v>
      </c>
      <c r="K52" s="8">
        <f t="shared" si="15"/>
        <v>0</v>
      </c>
      <c r="L52" s="8">
        <f t="shared" si="15"/>
        <v>0</v>
      </c>
      <c r="M52" s="8">
        <f t="shared" si="15"/>
        <v>0</v>
      </c>
      <c r="N52" s="8">
        <f t="shared" si="15"/>
        <v>0</v>
      </c>
      <c r="O52" s="8">
        <f t="shared" si="15"/>
        <v>0</v>
      </c>
      <c r="P52" s="8">
        <f t="shared" si="15"/>
        <v>0</v>
      </c>
      <c r="Q52" s="8">
        <f t="shared" si="15"/>
        <v>0</v>
      </c>
      <c r="R52" s="8">
        <f t="shared" si="15"/>
        <v>0</v>
      </c>
      <c r="S52" s="8">
        <f t="shared" si="15"/>
        <v>0</v>
      </c>
      <c r="T52" s="8">
        <f t="shared" si="15"/>
        <v>0</v>
      </c>
      <c r="U52" s="8">
        <f t="shared" si="15"/>
        <v>359</v>
      </c>
      <c r="V52" s="8">
        <f t="shared" si="15"/>
        <v>8498</v>
      </c>
      <c r="W52" s="8">
        <f t="shared" si="15"/>
        <v>8496</v>
      </c>
      <c r="X52" s="8">
        <f t="shared" si="15"/>
        <v>4782</v>
      </c>
      <c r="Y52" s="8">
        <f t="shared" si="15"/>
        <v>4784</v>
      </c>
      <c r="Z52" s="8">
        <f t="shared" si="15"/>
        <v>4782</v>
      </c>
      <c r="AA52" s="8">
        <f t="shared" si="15"/>
        <v>12918</v>
      </c>
      <c r="AB52" s="8">
        <f t="shared" si="15"/>
        <v>30000</v>
      </c>
      <c r="AC52" s="8">
        <f t="shared" si="15"/>
        <v>30000</v>
      </c>
      <c r="AD52" s="8">
        <f t="shared" si="15"/>
        <v>30000</v>
      </c>
      <c r="AE52" s="8">
        <f t="shared" si="15"/>
        <v>30000</v>
      </c>
      <c r="AF52" s="8">
        <f t="shared" si="15"/>
        <v>8562</v>
      </c>
      <c r="AG52" s="8">
        <f t="shared" si="15"/>
        <v>8564</v>
      </c>
      <c r="AH52" s="8">
        <f t="shared" si="15"/>
        <v>8562</v>
      </c>
      <c r="AI52" s="8">
        <f t="shared" si="15"/>
        <v>8564</v>
      </c>
      <c r="AJ52" s="8">
        <f t="shared" si="15"/>
        <v>8562</v>
      </c>
      <c r="AK52" s="8">
        <f t="shared" si="15"/>
        <v>16652</v>
      </c>
      <c r="AL52" s="8">
        <f t="shared" si="15"/>
        <v>16650</v>
      </c>
    </row>
    <row r="53" spans="1:38" ht="16.350000000000001" customHeight="1" x14ac:dyDescent="0.3">
      <c r="A53" s="34" t="s">
        <v>138</v>
      </c>
      <c r="B53" s="46"/>
      <c r="C53" s="34">
        <f>IFERROR(INDEX($C$52:$AK$52,1,1+ROUND(INDEX($H$5:$V$5,1,MATCH("RM04",$H$3:$V$3,0))/7,0)),0)</f>
        <v>8496</v>
      </c>
      <c r="D53" s="34">
        <f>IFERROR(INDEX($C$52:$AK$52,1,2+ROUND(INDEX($H$5:$V$5,1,MATCH("RM04",$H$3:$V$3,0))/7,0)),0)</f>
        <v>4782</v>
      </c>
      <c r="E53" s="34">
        <f>IFERROR(INDEX($C$52:$AK$52,1,3+ROUND(INDEX($H$5:$V$5,1,MATCH("RM04",$H$3:$V$3,0))/7,0)),0)</f>
        <v>4784</v>
      </c>
      <c r="F53" s="34">
        <f>IFERROR(INDEX($C$52:$AK$52,1,4+ROUND(INDEX($H$5:$V$5,1,MATCH("RM04",$H$3:$V$3,0))/7,0)),0)</f>
        <v>4782</v>
      </c>
      <c r="G53" s="34">
        <f>IFERROR(INDEX($C$52:$AK$52,1,5+ROUND(INDEX($H$5:$V$5,1,MATCH("RM04",$H$3:$V$3,0))/7,0)),0)</f>
        <v>12918</v>
      </c>
      <c r="H53" s="34">
        <f>IFERROR(INDEX($C$52:$AK$52,1,6+ROUND(INDEX($H$5:$V$5,1,MATCH("RM04",$H$3:$V$3,0))/7,0)),0)</f>
        <v>30000</v>
      </c>
      <c r="I53" s="34">
        <f>IFERROR(INDEX($C$52:$AK$52,1,7+ROUND(INDEX($H$5:$V$5,1,MATCH("RM04",$H$3:$V$3,0))/7,0)),0)</f>
        <v>30000</v>
      </c>
      <c r="J53" s="34">
        <f>IFERROR(INDEX($C$52:$AK$52,1,8+ROUND(INDEX($H$5:$V$5,1,MATCH("RM04",$H$3:$V$3,0))/7,0)),0)</f>
        <v>30000</v>
      </c>
      <c r="K53" s="8">
        <f>IFERROR(INDEX($C$52:$AK$52,1,9+ROUND(INDEX($H$5:$V$5,1,MATCH("RM04",$H$3:$V$3,0))/7,0)),0)</f>
        <v>30000</v>
      </c>
      <c r="L53" s="8">
        <f>IFERROR(INDEX($C$52:$AK$52,1,10+ROUND(INDEX($H$5:$V$5,1,MATCH("RM04",$H$3:$V$3,0))/7,0)),0)</f>
        <v>8562</v>
      </c>
      <c r="M53" s="8">
        <f>IFERROR(INDEX($C$52:$AK$52,1,11+ROUND(INDEX($H$5:$V$5,1,MATCH("RM04",$H$3:$V$3,0))/7,0)),0)</f>
        <v>8564</v>
      </c>
      <c r="N53" s="8">
        <f>IFERROR(INDEX($C$52:$AK$52,1,12+ROUND(INDEX($H$5:$V$5,1,MATCH("RM04",$H$3:$V$3,0))/7,0)),0)</f>
        <v>8562</v>
      </c>
      <c r="O53" s="8">
        <f>IFERROR(INDEX($C$52:$AK$52,1,13+ROUND(INDEX($H$5:$V$5,1,MATCH("RM04",$H$3:$V$3,0))/7,0)),0)</f>
        <v>8564</v>
      </c>
      <c r="P53" s="8">
        <f>IFERROR(INDEX($C$52:$AK$52,1,14+ROUND(INDEX($H$5:$V$5,1,MATCH("RM04",$H$3:$V$3,0))/7,0)),0)</f>
        <v>8562</v>
      </c>
      <c r="Q53" s="8">
        <f>IFERROR(INDEX($C$52:$AK$52,1,15+ROUND(INDEX($H$5:$V$5,1,MATCH("RM04",$H$3:$V$3,0))/7,0)),0)</f>
        <v>16652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  <c r="AL53" s="8">
        <f>IFERROR(INDEX($C$52:$AK$52,1,35+ROUND(INDEX($H$5:$V$5,1,MATCH("RM04",$H$3:$V$3,0))/7,0)),0)</f>
        <v>0</v>
      </c>
    </row>
    <row r="55" spans="1:38" ht="16.350000000000001" customHeight="1" x14ac:dyDescent="0.3">
      <c r="A55" s="47" t="s">
        <v>142</v>
      </c>
      <c r="B55" s="47" t="s">
        <v>132</v>
      </c>
      <c r="C55" s="137" t="s">
        <v>0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6"/>
    </row>
    <row r="56" spans="1:38" ht="16.350000000000001" customHeight="1" x14ac:dyDescent="0.3">
      <c r="A56" s="47" t="s">
        <v>133</v>
      </c>
      <c r="B56" s="47" t="str">
        <f>"LT: "&amp;ROUND(INDEX($H$5:$V$5,1,MATCH("RM05",$H$3:$V$3,0))/7,0)</f>
        <v>LT: 10</v>
      </c>
      <c r="C56" s="48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>
        <v>46370</v>
      </c>
    </row>
    <row r="57" spans="1:38" ht="16.350000000000001" customHeight="1" x14ac:dyDescent="0.3">
      <c r="A57" s="51" t="s">
        <v>134</v>
      </c>
      <c r="C57" s="34">
        <f t="array" ref="C57:AL57">TRANSPOSE(BOM_demand!$L$2:$L$37)</f>
        <v>0</v>
      </c>
      <c r="D57" s="34">
        <v>0</v>
      </c>
      <c r="E57" s="34">
        <v>10684</v>
      </c>
      <c r="F57" s="34">
        <v>15000</v>
      </c>
      <c r="G57" s="34">
        <v>15000</v>
      </c>
      <c r="H57" s="34">
        <v>11000</v>
      </c>
      <c r="I57" s="34">
        <v>13000</v>
      </c>
      <c r="J57" s="34">
        <v>13773</v>
      </c>
      <c r="K57" s="34">
        <v>7058</v>
      </c>
      <c r="L57" s="34">
        <v>2040</v>
      </c>
      <c r="M57" s="34">
        <v>3541</v>
      </c>
      <c r="N57" s="34">
        <v>12041</v>
      </c>
      <c r="O57" s="34">
        <v>12040</v>
      </c>
      <c r="P57" s="34">
        <v>9246</v>
      </c>
      <c r="Q57" s="34">
        <v>5754</v>
      </c>
      <c r="R57" s="34">
        <v>15000</v>
      </c>
      <c r="S57" s="34">
        <v>15000</v>
      </c>
      <c r="T57" s="34">
        <v>4248</v>
      </c>
      <c r="U57" s="34">
        <v>4248</v>
      </c>
      <c r="V57" s="34">
        <v>4249</v>
      </c>
      <c r="W57" s="34">
        <v>4248</v>
      </c>
      <c r="X57" s="34">
        <v>2391</v>
      </c>
      <c r="Y57" s="34">
        <v>2392</v>
      </c>
      <c r="Z57" s="34">
        <v>2391</v>
      </c>
      <c r="AA57" s="34">
        <v>6459</v>
      </c>
      <c r="AB57" s="34">
        <v>15000</v>
      </c>
      <c r="AC57" s="34">
        <v>15000</v>
      </c>
      <c r="AD57" s="34">
        <v>15000</v>
      </c>
      <c r="AE57" s="34">
        <v>15000</v>
      </c>
      <c r="AF57" s="34">
        <v>4281</v>
      </c>
      <c r="AG57" s="34">
        <v>4282</v>
      </c>
      <c r="AH57" s="34">
        <v>4281</v>
      </c>
      <c r="AI57" s="34">
        <v>4282</v>
      </c>
      <c r="AJ57" s="34">
        <v>4281</v>
      </c>
      <c r="AK57" s="34">
        <v>8326</v>
      </c>
      <c r="AL57">
        <v>8325</v>
      </c>
    </row>
    <row r="58" spans="1:38" ht="16.350000000000001" customHeight="1" x14ac:dyDescent="0.3">
      <c r="A58" s="135" t="s">
        <v>128</v>
      </c>
      <c r="B58" s="136"/>
      <c r="C58" s="34">
        <f>IFERROR(INDEX($H$7:$V$7,1,MATCH("RM05",$H$3:$V$3,0)),0)</f>
        <v>0</v>
      </c>
      <c r="D58" s="34">
        <f>0</f>
        <v>0</v>
      </c>
      <c r="E58" s="34">
        <f>0</f>
        <v>0</v>
      </c>
      <c r="F58" s="34">
        <f>0</f>
        <v>0</v>
      </c>
      <c r="G58" s="34">
        <f>0</f>
        <v>0</v>
      </c>
      <c r="H58" s="34">
        <f>0</f>
        <v>0</v>
      </c>
      <c r="I58" s="34">
        <f>0</f>
        <v>0</v>
      </c>
      <c r="J58" s="34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  <c r="AL58" s="8">
        <f>0</f>
        <v>0</v>
      </c>
    </row>
    <row r="59" spans="1:38" ht="16.350000000000001" customHeight="1" x14ac:dyDescent="0.3">
      <c r="A59" s="34" t="s">
        <v>129</v>
      </c>
      <c r="B59" s="46">
        <f>IFERROR(INDEX($H$8:$V$8,1,MATCH("RM05",$H$3:$V$3,0)),0)</f>
        <v>16507</v>
      </c>
      <c r="C59" s="34">
        <f t="shared" ref="C59:AL59" si="16">$B59</f>
        <v>16507</v>
      </c>
      <c r="D59" s="34">
        <f t="shared" si="16"/>
        <v>16507</v>
      </c>
      <c r="E59" s="34">
        <f t="shared" si="16"/>
        <v>16507</v>
      </c>
      <c r="F59" s="34">
        <f t="shared" si="16"/>
        <v>16507</v>
      </c>
      <c r="G59" s="34">
        <f t="shared" si="16"/>
        <v>16507</v>
      </c>
      <c r="H59" s="34">
        <f t="shared" si="16"/>
        <v>16507</v>
      </c>
      <c r="I59" s="34">
        <f t="shared" si="16"/>
        <v>16507</v>
      </c>
      <c r="J59" s="34">
        <f t="shared" si="16"/>
        <v>16507</v>
      </c>
      <c r="K59" s="8">
        <f t="shared" si="16"/>
        <v>16507</v>
      </c>
      <c r="L59" s="8">
        <f t="shared" si="16"/>
        <v>16507</v>
      </c>
      <c r="M59" s="8">
        <f t="shared" si="16"/>
        <v>16507</v>
      </c>
      <c r="N59" s="8">
        <f t="shared" si="16"/>
        <v>16507</v>
      </c>
      <c r="O59" s="8">
        <f t="shared" si="16"/>
        <v>16507</v>
      </c>
      <c r="P59" s="8">
        <f t="shared" si="16"/>
        <v>16507</v>
      </c>
      <c r="Q59" s="8">
        <f t="shared" si="16"/>
        <v>16507</v>
      </c>
      <c r="R59" s="8">
        <f t="shared" si="16"/>
        <v>16507</v>
      </c>
      <c r="S59" s="8">
        <f t="shared" si="16"/>
        <v>16507</v>
      </c>
      <c r="T59" s="8">
        <f t="shared" si="16"/>
        <v>16507</v>
      </c>
      <c r="U59" s="8">
        <f t="shared" si="16"/>
        <v>16507</v>
      </c>
      <c r="V59" s="8">
        <f t="shared" si="16"/>
        <v>16507</v>
      </c>
      <c r="W59" s="8">
        <f t="shared" si="16"/>
        <v>16507</v>
      </c>
      <c r="X59" s="8">
        <f t="shared" si="16"/>
        <v>16507</v>
      </c>
      <c r="Y59" s="8">
        <f t="shared" si="16"/>
        <v>16507</v>
      </c>
      <c r="Z59" s="8">
        <f t="shared" si="16"/>
        <v>16507</v>
      </c>
      <c r="AA59" s="8">
        <f t="shared" si="16"/>
        <v>16507</v>
      </c>
      <c r="AB59" s="8">
        <f t="shared" si="16"/>
        <v>16507</v>
      </c>
      <c r="AC59" s="8">
        <f t="shared" si="16"/>
        <v>16507</v>
      </c>
      <c r="AD59" s="8">
        <f t="shared" si="16"/>
        <v>16507</v>
      </c>
      <c r="AE59" s="8">
        <f t="shared" si="16"/>
        <v>16507</v>
      </c>
      <c r="AF59" s="8">
        <f t="shared" si="16"/>
        <v>16507</v>
      </c>
      <c r="AG59" s="8">
        <f t="shared" si="16"/>
        <v>16507</v>
      </c>
      <c r="AH59" s="8">
        <f t="shared" si="16"/>
        <v>16507</v>
      </c>
      <c r="AI59" s="8">
        <f t="shared" si="16"/>
        <v>16507</v>
      </c>
      <c r="AJ59" s="8">
        <f t="shared" si="16"/>
        <v>16507</v>
      </c>
      <c r="AK59" s="8">
        <f t="shared" si="16"/>
        <v>16507</v>
      </c>
      <c r="AL59" s="8">
        <f t="shared" si="16"/>
        <v>16507</v>
      </c>
    </row>
    <row r="60" spans="1:38" ht="16.350000000000001" customHeight="1" x14ac:dyDescent="0.3">
      <c r="A60" s="34" t="s">
        <v>135</v>
      </c>
      <c r="B60" s="46">
        <f>IFERROR(INDEX($H$6:$V$6,1,MATCH("RM05",$H$3:$V$3,0)),0)</f>
        <v>90000</v>
      </c>
      <c r="C60" s="34">
        <f>$B60+C58+C62-C57</f>
        <v>90000</v>
      </c>
      <c r="D60" s="34">
        <f t="shared" ref="D60:AL60" si="17">C60+D58+D62-D57</f>
        <v>90000</v>
      </c>
      <c r="E60" s="34">
        <f t="shared" si="17"/>
        <v>79316</v>
      </c>
      <c r="F60" s="34">
        <f t="shared" si="17"/>
        <v>64316</v>
      </c>
      <c r="G60" s="34">
        <f t="shared" si="17"/>
        <v>49316</v>
      </c>
      <c r="H60" s="34">
        <f t="shared" si="17"/>
        <v>38316</v>
      </c>
      <c r="I60" s="34">
        <f t="shared" si="17"/>
        <v>25316</v>
      </c>
      <c r="J60" s="34">
        <f t="shared" si="17"/>
        <v>16507</v>
      </c>
      <c r="K60" s="8">
        <f t="shared" si="17"/>
        <v>16507</v>
      </c>
      <c r="L60" s="8">
        <f t="shared" si="17"/>
        <v>16507</v>
      </c>
      <c r="M60" s="8">
        <f t="shared" si="17"/>
        <v>16507</v>
      </c>
      <c r="N60" s="8">
        <f t="shared" si="17"/>
        <v>16507</v>
      </c>
      <c r="O60" s="8">
        <f t="shared" si="17"/>
        <v>16507</v>
      </c>
      <c r="P60" s="8">
        <f t="shared" si="17"/>
        <v>16507</v>
      </c>
      <c r="Q60" s="8">
        <f t="shared" si="17"/>
        <v>16507</v>
      </c>
      <c r="R60" s="8">
        <f t="shared" si="17"/>
        <v>16507</v>
      </c>
      <c r="S60" s="8">
        <f t="shared" si="17"/>
        <v>16507</v>
      </c>
      <c r="T60" s="8">
        <f t="shared" si="17"/>
        <v>16507</v>
      </c>
      <c r="U60" s="8">
        <f t="shared" si="17"/>
        <v>16507</v>
      </c>
      <c r="V60" s="8">
        <f t="shared" si="17"/>
        <v>16507</v>
      </c>
      <c r="W60" s="8">
        <f t="shared" si="17"/>
        <v>16507</v>
      </c>
      <c r="X60" s="8">
        <f t="shared" si="17"/>
        <v>16507</v>
      </c>
      <c r="Y60" s="8">
        <f t="shared" si="17"/>
        <v>16507</v>
      </c>
      <c r="Z60" s="8">
        <f t="shared" si="17"/>
        <v>16507</v>
      </c>
      <c r="AA60" s="8">
        <f t="shared" si="17"/>
        <v>16507</v>
      </c>
      <c r="AB60" s="8">
        <f t="shared" si="17"/>
        <v>16507</v>
      </c>
      <c r="AC60" s="8">
        <f t="shared" si="17"/>
        <v>16507</v>
      </c>
      <c r="AD60" s="8">
        <f t="shared" si="17"/>
        <v>16507</v>
      </c>
      <c r="AE60" s="8">
        <f t="shared" si="17"/>
        <v>16507</v>
      </c>
      <c r="AF60" s="8">
        <f t="shared" si="17"/>
        <v>16507</v>
      </c>
      <c r="AG60" s="8">
        <f t="shared" si="17"/>
        <v>16507</v>
      </c>
      <c r="AH60" s="8">
        <f t="shared" si="17"/>
        <v>16507</v>
      </c>
      <c r="AI60" s="8">
        <f t="shared" si="17"/>
        <v>16507</v>
      </c>
      <c r="AJ60" s="8">
        <f t="shared" si="17"/>
        <v>16507</v>
      </c>
      <c r="AK60" s="8">
        <f t="shared" si="17"/>
        <v>16507</v>
      </c>
      <c r="AL60" s="8">
        <f t="shared" si="17"/>
        <v>16507</v>
      </c>
    </row>
    <row r="61" spans="1:38" ht="16.350000000000001" customHeight="1" x14ac:dyDescent="0.3">
      <c r="A61" s="34" t="s">
        <v>136</v>
      </c>
      <c r="B61" s="46"/>
      <c r="C61" s="34">
        <f>MAX(C57+C59-($B60+C58),0)</f>
        <v>0</v>
      </c>
      <c r="D61" s="34">
        <f t="shared" ref="D61:AL61" si="18">MAX(D57+D59-(C60+D58),0)</f>
        <v>0</v>
      </c>
      <c r="E61" s="34">
        <f t="shared" si="18"/>
        <v>0</v>
      </c>
      <c r="F61" s="34">
        <f t="shared" si="18"/>
        <v>0</v>
      </c>
      <c r="G61" s="34">
        <f t="shared" si="18"/>
        <v>0</v>
      </c>
      <c r="H61" s="34">
        <f t="shared" si="18"/>
        <v>0</v>
      </c>
      <c r="I61" s="34">
        <f t="shared" si="18"/>
        <v>0</v>
      </c>
      <c r="J61" s="34">
        <f t="shared" si="18"/>
        <v>4964</v>
      </c>
      <c r="K61" s="8">
        <f t="shared" si="18"/>
        <v>7058</v>
      </c>
      <c r="L61" s="8">
        <f t="shared" si="18"/>
        <v>2040</v>
      </c>
      <c r="M61" s="8">
        <f t="shared" si="18"/>
        <v>3541</v>
      </c>
      <c r="N61" s="8">
        <f t="shared" si="18"/>
        <v>12041</v>
      </c>
      <c r="O61" s="8">
        <f t="shared" si="18"/>
        <v>12040</v>
      </c>
      <c r="P61" s="8">
        <f t="shared" si="18"/>
        <v>9246</v>
      </c>
      <c r="Q61" s="8">
        <f t="shared" si="18"/>
        <v>5754</v>
      </c>
      <c r="R61" s="8">
        <f t="shared" si="18"/>
        <v>15000</v>
      </c>
      <c r="S61" s="8">
        <f t="shared" si="18"/>
        <v>15000</v>
      </c>
      <c r="T61" s="8">
        <f t="shared" si="18"/>
        <v>4248</v>
      </c>
      <c r="U61" s="8">
        <f t="shared" si="18"/>
        <v>4248</v>
      </c>
      <c r="V61" s="8">
        <f t="shared" si="18"/>
        <v>4249</v>
      </c>
      <c r="W61" s="8">
        <f t="shared" si="18"/>
        <v>4248</v>
      </c>
      <c r="X61" s="8">
        <f t="shared" si="18"/>
        <v>2391</v>
      </c>
      <c r="Y61" s="8">
        <f t="shared" si="18"/>
        <v>2392</v>
      </c>
      <c r="Z61" s="8">
        <f t="shared" si="18"/>
        <v>2391</v>
      </c>
      <c r="AA61" s="8">
        <f t="shared" si="18"/>
        <v>6459</v>
      </c>
      <c r="AB61" s="8">
        <f t="shared" si="18"/>
        <v>15000</v>
      </c>
      <c r="AC61" s="8">
        <f t="shared" si="18"/>
        <v>15000</v>
      </c>
      <c r="AD61" s="8">
        <f t="shared" si="18"/>
        <v>15000</v>
      </c>
      <c r="AE61" s="8">
        <f t="shared" si="18"/>
        <v>15000</v>
      </c>
      <c r="AF61" s="8">
        <f t="shared" si="18"/>
        <v>4281</v>
      </c>
      <c r="AG61" s="8">
        <f t="shared" si="18"/>
        <v>4282</v>
      </c>
      <c r="AH61" s="8">
        <f t="shared" si="18"/>
        <v>4281</v>
      </c>
      <c r="AI61" s="8">
        <f t="shared" si="18"/>
        <v>4282</v>
      </c>
      <c r="AJ61" s="8">
        <f t="shared" si="18"/>
        <v>4281</v>
      </c>
      <c r="AK61" s="8">
        <f t="shared" si="18"/>
        <v>8326</v>
      </c>
      <c r="AL61" s="8">
        <f t="shared" si="18"/>
        <v>8325</v>
      </c>
    </row>
    <row r="62" spans="1:38" ht="16.350000000000001" customHeight="1" x14ac:dyDescent="0.3">
      <c r="A62" s="135" t="s">
        <v>137</v>
      </c>
      <c r="B62" s="136"/>
      <c r="C62" s="34">
        <f t="shared" ref="C62:AL62" si="19">C61</f>
        <v>0</v>
      </c>
      <c r="D62" s="34">
        <f t="shared" si="19"/>
        <v>0</v>
      </c>
      <c r="E62" s="34">
        <f t="shared" si="19"/>
        <v>0</v>
      </c>
      <c r="F62" s="34">
        <f t="shared" si="19"/>
        <v>0</v>
      </c>
      <c r="G62" s="34">
        <f t="shared" si="19"/>
        <v>0</v>
      </c>
      <c r="H62" s="34">
        <f t="shared" si="19"/>
        <v>0</v>
      </c>
      <c r="I62" s="34">
        <f t="shared" si="19"/>
        <v>0</v>
      </c>
      <c r="J62" s="34">
        <f t="shared" si="19"/>
        <v>4964</v>
      </c>
      <c r="K62" s="8">
        <f t="shared" si="19"/>
        <v>7058</v>
      </c>
      <c r="L62" s="8">
        <f t="shared" si="19"/>
        <v>2040</v>
      </c>
      <c r="M62" s="8">
        <f t="shared" si="19"/>
        <v>3541</v>
      </c>
      <c r="N62" s="8">
        <f t="shared" si="19"/>
        <v>12041</v>
      </c>
      <c r="O62" s="8">
        <f t="shared" si="19"/>
        <v>12040</v>
      </c>
      <c r="P62" s="8">
        <f t="shared" si="19"/>
        <v>9246</v>
      </c>
      <c r="Q62" s="8">
        <f t="shared" si="19"/>
        <v>5754</v>
      </c>
      <c r="R62" s="8">
        <f t="shared" si="19"/>
        <v>15000</v>
      </c>
      <c r="S62" s="8">
        <f t="shared" si="19"/>
        <v>15000</v>
      </c>
      <c r="T62" s="8">
        <f t="shared" si="19"/>
        <v>4248</v>
      </c>
      <c r="U62" s="8">
        <f t="shared" si="19"/>
        <v>4248</v>
      </c>
      <c r="V62" s="8">
        <f t="shared" si="19"/>
        <v>4249</v>
      </c>
      <c r="W62" s="8">
        <f t="shared" si="19"/>
        <v>4248</v>
      </c>
      <c r="X62" s="8">
        <f t="shared" si="19"/>
        <v>2391</v>
      </c>
      <c r="Y62" s="8">
        <f t="shared" si="19"/>
        <v>2392</v>
      </c>
      <c r="Z62" s="8">
        <f t="shared" si="19"/>
        <v>2391</v>
      </c>
      <c r="AA62" s="8">
        <f t="shared" si="19"/>
        <v>6459</v>
      </c>
      <c r="AB62" s="8">
        <f t="shared" si="19"/>
        <v>15000</v>
      </c>
      <c r="AC62" s="8">
        <f t="shared" si="19"/>
        <v>15000</v>
      </c>
      <c r="AD62" s="8">
        <f t="shared" si="19"/>
        <v>15000</v>
      </c>
      <c r="AE62" s="8">
        <f t="shared" si="19"/>
        <v>15000</v>
      </c>
      <c r="AF62" s="8">
        <f t="shared" si="19"/>
        <v>4281</v>
      </c>
      <c r="AG62" s="8">
        <f t="shared" si="19"/>
        <v>4282</v>
      </c>
      <c r="AH62" s="8">
        <f t="shared" si="19"/>
        <v>4281</v>
      </c>
      <c r="AI62" s="8">
        <f t="shared" si="19"/>
        <v>4282</v>
      </c>
      <c r="AJ62" s="8">
        <f t="shared" si="19"/>
        <v>4281</v>
      </c>
      <c r="AK62" s="8">
        <f t="shared" si="19"/>
        <v>8326</v>
      </c>
      <c r="AL62" s="8">
        <f t="shared" si="19"/>
        <v>8325</v>
      </c>
    </row>
    <row r="63" spans="1:38" ht="16.350000000000001" customHeight="1" x14ac:dyDescent="0.3">
      <c r="A63" s="34" t="s">
        <v>138</v>
      </c>
      <c r="B63" s="46"/>
      <c r="C63" s="34">
        <f>IFERROR(INDEX($C$62:$AK$62,1,1+ROUND(INDEX($H$5:$V$5,1,MATCH("RM05",$H$3:$V$3,0))/7,0)),0)</f>
        <v>3541</v>
      </c>
      <c r="D63" s="34">
        <f>IFERROR(INDEX($C$62:$AK$62,1,2+ROUND(INDEX($H$5:$V$5,1,MATCH("RM05",$H$3:$V$3,0))/7,0)),0)</f>
        <v>12041</v>
      </c>
      <c r="E63" s="34">
        <f>IFERROR(INDEX($C$62:$AK$62,1,3+ROUND(INDEX($H$5:$V$5,1,MATCH("RM05",$H$3:$V$3,0))/7,0)),0)</f>
        <v>12040</v>
      </c>
      <c r="F63" s="34">
        <f>IFERROR(INDEX($C$62:$AK$62,1,4+ROUND(INDEX($H$5:$V$5,1,MATCH("RM05",$H$3:$V$3,0))/7,0)),0)</f>
        <v>9246</v>
      </c>
      <c r="G63" s="34">
        <f>IFERROR(INDEX($C$62:$AK$62,1,5+ROUND(INDEX($H$5:$V$5,1,MATCH("RM05",$H$3:$V$3,0))/7,0)),0)</f>
        <v>5754</v>
      </c>
      <c r="H63" s="34">
        <f>IFERROR(INDEX($C$62:$AK$62,1,6+ROUND(INDEX($H$5:$V$5,1,MATCH("RM05",$H$3:$V$3,0))/7,0)),0)</f>
        <v>15000</v>
      </c>
      <c r="I63" s="34">
        <f>IFERROR(INDEX($C$62:$AK$62,1,7+ROUND(INDEX($H$5:$V$5,1,MATCH("RM05",$H$3:$V$3,0))/7,0)),0)</f>
        <v>15000</v>
      </c>
      <c r="J63" s="34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4248</v>
      </c>
      <c r="L63" s="8">
        <f>IFERROR(INDEX($C$62:$AK$62,1,10+ROUND(INDEX($H$5:$V$5,1,MATCH("RM05",$H$3:$V$3,0))/7,0)),0)</f>
        <v>4249</v>
      </c>
      <c r="M63" s="8">
        <f>IFERROR(INDEX($C$62:$AK$62,1,11+ROUND(INDEX($H$5:$V$5,1,MATCH("RM05",$H$3:$V$3,0))/7,0)),0)</f>
        <v>4248</v>
      </c>
      <c r="N63" s="8">
        <f>IFERROR(INDEX($C$62:$AK$62,1,12+ROUND(INDEX($H$5:$V$5,1,MATCH("RM05",$H$3:$V$3,0))/7,0)),0)</f>
        <v>2391</v>
      </c>
      <c r="O63" s="8">
        <f>IFERROR(INDEX($C$62:$AK$62,1,13+ROUND(INDEX($H$5:$V$5,1,MATCH("RM05",$H$3:$V$3,0))/7,0)),0)</f>
        <v>2392</v>
      </c>
      <c r="P63" s="8">
        <f>IFERROR(INDEX($C$62:$AK$62,1,14+ROUND(INDEX($H$5:$V$5,1,MATCH("RM05",$H$3:$V$3,0))/7,0)),0)</f>
        <v>2391</v>
      </c>
      <c r="Q63" s="8">
        <f>IFERROR(INDEX($C$62:$AK$62,1,15+ROUND(INDEX($H$5:$V$5,1,MATCH("RM05",$H$3:$V$3,0))/7,0)),0)</f>
        <v>6459</v>
      </c>
      <c r="R63" s="8">
        <f>IFERROR(INDEX($C$62:$AK$62,1,16+ROUND(INDEX($H$5:$V$5,1,MATCH("RM05",$H$3:$V$3,0))/7,0)),0)</f>
        <v>15000</v>
      </c>
      <c r="S63" s="8">
        <f>IFERROR(INDEX($C$62:$AK$62,1,17+ROUND(INDEX($H$5:$V$5,1,MATCH("RM05",$H$3:$V$3,0))/7,0)),0)</f>
        <v>15000</v>
      </c>
      <c r="T63" s="8">
        <f>IFERROR(INDEX($C$62:$AK$62,1,18+ROUND(INDEX($H$5:$V$5,1,MATCH("RM05",$H$3:$V$3,0))/7,0)),0)</f>
        <v>15000</v>
      </c>
      <c r="U63" s="8">
        <f>IFERROR(INDEX($C$62:$AK$62,1,19+ROUND(INDEX($H$5:$V$5,1,MATCH("RM05",$H$3:$V$3,0))/7,0)),0)</f>
        <v>15000</v>
      </c>
      <c r="V63" s="8">
        <f>IFERROR(INDEX($C$62:$AK$62,1,20+ROUND(INDEX($H$5:$V$5,1,MATCH("RM05",$H$3:$V$3,0))/7,0)),0)</f>
        <v>4281</v>
      </c>
      <c r="W63" s="8">
        <f>IFERROR(INDEX($C$62:$AK$62,1,21+ROUND(INDEX($H$5:$V$5,1,MATCH("RM05",$H$3:$V$3,0))/7,0)),0)</f>
        <v>4282</v>
      </c>
      <c r="X63" s="8">
        <f>IFERROR(INDEX($C$62:$AK$62,1,22+ROUND(INDEX($H$5:$V$5,1,MATCH("RM05",$H$3:$V$3,0))/7,0)),0)</f>
        <v>4281</v>
      </c>
      <c r="Y63" s="8">
        <f>IFERROR(INDEX($C$62:$AK$62,1,23+ROUND(INDEX($H$5:$V$5,1,MATCH("RM05",$H$3:$V$3,0))/7,0)),0)</f>
        <v>4282</v>
      </c>
      <c r="Z63" s="8">
        <f>IFERROR(INDEX($C$62:$AK$62,1,24+ROUND(INDEX($H$5:$V$5,1,MATCH("RM05",$H$3:$V$3,0))/7,0)),0)</f>
        <v>4281</v>
      </c>
      <c r="AA63" s="8">
        <f>IFERROR(INDEX($C$62:$AK$62,1,25+ROUND(INDEX($H$5:$V$5,1,MATCH("RM05",$H$3:$V$3,0))/7,0)),0)</f>
        <v>8326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  <c r="AL63" s="8">
        <f>IFERROR(INDEX($C$62:$AK$62,1,35+ROUND(INDEX($H$5:$V$5,1,MATCH("RM05",$H$3:$V$3,0))/7,0)),0)</f>
        <v>0</v>
      </c>
    </row>
    <row r="65" spans="1:38" ht="16.350000000000001" customHeight="1" x14ac:dyDescent="0.3">
      <c r="A65" s="47" t="s">
        <v>143</v>
      </c>
      <c r="B65" s="47" t="s">
        <v>132</v>
      </c>
      <c r="C65" s="137" t="s">
        <v>0</v>
      </c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6"/>
    </row>
    <row r="66" spans="1:38" ht="16.350000000000001" customHeight="1" x14ac:dyDescent="0.3">
      <c r="A66" s="47" t="s">
        <v>133</v>
      </c>
      <c r="B66" s="47" t="str">
        <f>"LT: "&amp;ROUND(INDEX($H$5:$V$5,1,MATCH("RM06",$H$3:$V$3,0))/7,0)</f>
        <v>LT: 5</v>
      </c>
      <c r="C66" s="48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>
        <v>46370</v>
      </c>
    </row>
    <row r="67" spans="1:38" ht="16.350000000000001" customHeight="1" x14ac:dyDescent="0.3">
      <c r="A67" s="51" t="s">
        <v>134</v>
      </c>
      <c r="C67" s="34">
        <f t="array" ref="C67:AL67">TRANSPOSE(BOM_demand!$M$2:$M$37)</f>
        <v>31877.5</v>
      </c>
      <c r="D67" s="34">
        <v>5622.5</v>
      </c>
      <c r="E67" s="34">
        <v>0</v>
      </c>
      <c r="F67" s="34">
        <v>0</v>
      </c>
      <c r="G67" s="34">
        <v>0</v>
      </c>
      <c r="H67" s="34">
        <v>10000</v>
      </c>
      <c r="I67" s="34">
        <v>5000</v>
      </c>
      <c r="J67" s="34">
        <v>3067.5</v>
      </c>
      <c r="K67" s="34">
        <v>13272.5</v>
      </c>
      <c r="L67" s="34">
        <v>13272.5</v>
      </c>
      <c r="M67" s="34">
        <v>7702.5</v>
      </c>
      <c r="N67" s="34">
        <v>7397.5</v>
      </c>
      <c r="O67" s="34">
        <v>7400</v>
      </c>
      <c r="P67" s="34">
        <v>7500</v>
      </c>
      <c r="Q67" s="34">
        <v>12000</v>
      </c>
      <c r="R67" s="34">
        <v>0</v>
      </c>
      <c r="S67" s="34">
        <v>0</v>
      </c>
      <c r="T67" s="34">
        <v>6000</v>
      </c>
      <c r="U67" s="34">
        <v>6000</v>
      </c>
      <c r="V67" s="34">
        <v>9375</v>
      </c>
      <c r="W67" s="34">
        <v>9375</v>
      </c>
      <c r="X67" s="34">
        <v>9375</v>
      </c>
      <c r="Y67" s="34">
        <v>9625</v>
      </c>
      <c r="Z67" s="34">
        <v>31522.5</v>
      </c>
      <c r="AA67" s="34">
        <v>20727.5</v>
      </c>
      <c r="AB67" s="34">
        <v>0</v>
      </c>
      <c r="AC67" s="34">
        <v>0</v>
      </c>
      <c r="AD67" s="34">
        <v>0</v>
      </c>
      <c r="AE67" s="34">
        <v>0</v>
      </c>
      <c r="AF67" s="34">
        <v>15625</v>
      </c>
      <c r="AG67" s="34">
        <v>15625</v>
      </c>
      <c r="AH67" s="34">
        <v>15625</v>
      </c>
      <c r="AI67" s="34">
        <v>15625</v>
      </c>
      <c r="AJ67" s="34">
        <v>15625</v>
      </c>
      <c r="AK67" s="34">
        <v>15625</v>
      </c>
      <c r="AL67">
        <v>15625</v>
      </c>
    </row>
    <row r="68" spans="1:38" ht="16.350000000000001" customHeight="1" x14ac:dyDescent="0.3">
      <c r="A68" s="135" t="s">
        <v>128</v>
      </c>
      <c r="B68" s="136"/>
      <c r="C68" s="34">
        <f>IFERROR(INDEX($H$7:$V$7,1,MATCH("RM06",$H$3:$V$3,0)),0)</f>
        <v>0</v>
      </c>
      <c r="D68" s="34">
        <f>0</f>
        <v>0</v>
      </c>
      <c r="E68" s="34">
        <f>0</f>
        <v>0</v>
      </c>
      <c r="F68" s="34">
        <f>0</f>
        <v>0</v>
      </c>
      <c r="G68" s="34">
        <f>0</f>
        <v>0</v>
      </c>
      <c r="H68" s="34">
        <f>0</f>
        <v>0</v>
      </c>
      <c r="I68" s="34">
        <f>0</f>
        <v>0</v>
      </c>
      <c r="J68" s="34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  <c r="AL68" s="8">
        <f>0</f>
        <v>0</v>
      </c>
    </row>
    <row r="69" spans="1:38" ht="16.350000000000001" customHeight="1" x14ac:dyDescent="0.3">
      <c r="A69" s="34" t="s">
        <v>129</v>
      </c>
      <c r="B69" s="46">
        <f>IFERROR(INDEX($H$8:$V$8,1,MATCH("RM06",$H$3:$V$3,0)),0)</f>
        <v>17350</v>
      </c>
      <c r="C69" s="34">
        <f t="shared" ref="C69:AL69" si="20">$B69</f>
        <v>17350</v>
      </c>
      <c r="D69" s="34">
        <f t="shared" si="20"/>
        <v>17350</v>
      </c>
      <c r="E69" s="34">
        <f t="shared" si="20"/>
        <v>17350</v>
      </c>
      <c r="F69" s="34">
        <f t="shared" si="20"/>
        <v>17350</v>
      </c>
      <c r="G69" s="34">
        <f t="shared" si="20"/>
        <v>17350</v>
      </c>
      <c r="H69" s="34">
        <f t="shared" si="20"/>
        <v>17350</v>
      </c>
      <c r="I69" s="34">
        <f t="shared" si="20"/>
        <v>17350</v>
      </c>
      <c r="J69" s="34">
        <f t="shared" si="20"/>
        <v>17350</v>
      </c>
      <c r="K69" s="8">
        <f t="shared" si="20"/>
        <v>17350</v>
      </c>
      <c r="L69" s="8">
        <f t="shared" si="20"/>
        <v>17350</v>
      </c>
      <c r="M69" s="8">
        <f t="shared" si="20"/>
        <v>17350</v>
      </c>
      <c r="N69" s="8">
        <f t="shared" si="20"/>
        <v>17350</v>
      </c>
      <c r="O69" s="8">
        <f t="shared" si="20"/>
        <v>17350</v>
      </c>
      <c r="P69" s="8">
        <f t="shared" si="20"/>
        <v>17350</v>
      </c>
      <c r="Q69" s="8">
        <f t="shared" si="20"/>
        <v>17350</v>
      </c>
      <c r="R69" s="8">
        <f t="shared" si="20"/>
        <v>17350</v>
      </c>
      <c r="S69" s="8">
        <f t="shared" si="20"/>
        <v>17350</v>
      </c>
      <c r="T69" s="8">
        <f t="shared" si="20"/>
        <v>17350</v>
      </c>
      <c r="U69" s="8">
        <f t="shared" si="20"/>
        <v>17350</v>
      </c>
      <c r="V69" s="8">
        <f t="shared" si="20"/>
        <v>17350</v>
      </c>
      <c r="W69" s="8">
        <f t="shared" si="20"/>
        <v>17350</v>
      </c>
      <c r="X69" s="8">
        <f t="shared" si="20"/>
        <v>17350</v>
      </c>
      <c r="Y69" s="8">
        <f t="shared" si="20"/>
        <v>17350</v>
      </c>
      <c r="Z69" s="8">
        <f t="shared" si="20"/>
        <v>17350</v>
      </c>
      <c r="AA69" s="8">
        <f t="shared" si="20"/>
        <v>17350</v>
      </c>
      <c r="AB69" s="8">
        <f t="shared" si="20"/>
        <v>17350</v>
      </c>
      <c r="AC69" s="8">
        <f t="shared" si="20"/>
        <v>17350</v>
      </c>
      <c r="AD69" s="8">
        <f t="shared" si="20"/>
        <v>17350</v>
      </c>
      <c r="AE69" s="8">
        <f t="shared" si="20"/>
        <v>17350</v>
      </c>
      <c r="AF69" s="8">
        <f t="shared" si="20"/>
        <v>17350</v>
      </c>
      <c r="AG69" s="8">
        <f t="shared" si="20"/>
        <v>17350</v>
      </c>
      <c r="AH69" s="8">
        <f t="shared" si="20"/>
        <v>17350</v>
      </c>
      <c r="AI69" s="8">
        <f t="shared" si="20"/>
        <v>17350</v>
      </c>
      <c r="AJ69" s="8">
        <f t="shared" si="20"/>
        <v>17350</v>
      </c>
      <c r="AK69" s="8">
        <f t="shared" si="20"/>
        <v>17350</v>
      </c>
      <c r="AL69" s="8">
        <f t="shared" si="20"/>
        <v>17350</v>
      </c>
    </row>
    <row r="70" spans="1:38" ht="16.350000000000001" customHeight="1" x14ac:dyDescent="0.3">
      <c r="A70" s="34" t="s">
        <v>135</v>
      </c>
      <c r="B70" s="46">
        <f>IFERROR(INDEX($H$6:$V$6,1,MATCH("RM06",$H$3:$V$3,0)),0)</f>
        <v>76000</v>
      </c>
      <c r="C70" s="34">
        <f>$B70+C68+C72-C67</f>
        <v>44122.5</v>
      </c>
      <c r="D70" s="34">
        <f t="shared" ref="D70:AL70" si="21">C70+D68+D72-D67</f>
        <v>38500</v>
      </c>
      <c r="E70" s="34">
        <f t="shared" si="21"/>
        <v>38500</v>
      </c>
      <c r="F70" s="34">
        <f t="shared" si="21"/>
        <v>38500</v>
      </c>
      <c r="G70" s="34">
        <f t="shared" si="21"/>
        <v>38500</v>
      </c>
      <c r="H70" s="34">
        <f t="shared" si="21"/>
        <v>28500</v>
      </c>
      <c r="I70" s="34">
        <f t="shared" si="21"/>
        <v>23500</v>
      </c>
      <c r="J70" s="34">
        <f t="shared" si="21"/>
        <v>20432.5</v>
      </c>
      <c r="K70" s="8">
        <f t="shared" si="21"/>
        <v>17350</v>
      </c>
      <c r="L70" s="8">
        <f t="shared" si="21"/>
        <v>17350</v>
      </c>
      <c r="M70" s="8">
        <f t="shared" si="21"/>
        <v>17350</v>
      </c>
      <c r="N70" s="8">
        <f t="shared" si="21"/>
        <v>17350</v>
      </c>
      <c r="O70" s="8">
        <f t="shared" si="21"/>
        <v>17350</v>
      </c>
      <c r="P70" s="8">
        <f t="shared" si="21"/>
        <v>17350</v>
      </c>
      <c r="Q70" s="8">
        <f t="shared" si="21"/>
        <v>17350</v>
      </c>
      <c r="R70" s="8">
        <f t="shared" si="21"/>
        <v>17350</v>
      </c>
      <c r="S70" s="8">
        <f t="shared" si="21"/>
        <v>17350</v>
      </c>
      <c r="T70" s="8">
        <f t="shared" si="21"/>
        <v>17350</v>
      </c>
      <c r="U70" s="8">
        <f t="shared" si="21"/>
        <v>17350</v>
      </c>
      <c r="V70" s="8">
        <f t="shared" si="21"/>
        <v>17350</v>
      </c>
      <c r="W70" s="8">
        <f t="shared" si="21"/>
        <v>17350</v>
      </c>
      <c r="X70" s="8">
        <f t="shared" si="21"/>
        <v>17350</v>
      </c>
      <c r="Y70" s="8">
        <f t="shared" si="21"/>
        <v>17350</v>
      </c>
      <c r="Z70" s="8">
        <f t="shared" si="21"/>
        <v>17350</v>
      </c>
      <c r="AA70" s="8">
        <f t="shared" si="21"/>
        <v>17350</v>
      </c>
      <c r="AB70" s="8">
        <f t="shared" si="21"/>
        <v>17350</v>
      </c>
      <c r="AC70" s="8">
        <f t="shared" si="21"/>
        <v>17350</v>
      </c>
      <c r="AD70" s="8">
        <f t="shared" si="21"/>
        <v>17350</v>
      </c>
      <c r="AE70" s="8">
        <f t="shared" si="21"/>
        <v>17350</v>
      </c>
      <c r="AF70" s="8">
        <f t="shared" si="21"/>
        <v>17350</v>
      </c>
      <c r="AG70" s="8">
        <f t="shared" si="21"/>
        <v>17350</v>
      </c>
      <c r="AH70" s="8">
        <f t="shared" si="21"/>
        <v>17350</v>
      </c>
      <c r="AI70" s="8">
        <f t="shared" si="21"/>
        <v>17350</v>
      </c>
      <c r="AJ70" s="8">
        <f t="shared" si="21"/>
        <v>17350</v>
      </c>
      <c r="AK70" s="8">
        <f t="shared" si="21"/>
        <v>17350</v>
      </c>
      <c r="AL70" s="8">
        <f t="shared" si="21"/>
        <v>17350</v>
      </c>
    </row>
    <row r="71" spans="1:38" ht="16.350000000000001" customHeight="1" x14ac:dyDescent="0.3">
      <c r="A71" s="34" t="s">
        <v>136</v>
      </c>
      <c r="B71" s="46"/>
      <c r="C71" s="34">
        <f>MAX(C67+C69-($B70+C68),0)</f>
        <v>0</v>
      </c>
      <c r="D71" s="34">
        <f t="shared" ref="D71:AL71" si="22">MAX(D67+D69-(C70+D68),0)</f>
        <v>0</v>
      </c>
      <c r="E71" s="34">
        <f t="shared" si="22"/>
        <v>0</v>
      </c>
      <c r="F71" s="34">
        <f t="shared" si="22"/>
        <v>0</v>
      </c>
      <c r="G71" s="34">
        <f t="shared" si="22"/>
        <v>0</v>
      </c>
      <c r="H71" s="34">
        <f t="shared" si="22"/>
        <v>0</v>
      </c>
      <c r="I71" s="34">
        <f t="shared" si="22"/>
        <v>0</v>
      </c>
      <c r="J71" s="34">
        <f t="shared" si="22"/>
        <v>0</v>
      </c>
      <c r="K71" s="8">
        <f t="shared" si="22"/>
        <v>10190</v>
      </c>
      <c r="L71" s="8">
        <f t="shared" si="22"/>
        <v>13272.5</v>
      </c>
      <c r="M71" s="8">
        <f t="shared" si="22"/>
        <v>7702.5</v>
      </c>
      <c r="N71" s="8">
        <f t="shared" si="22"/>
        <v>7397.5</v>
      </c>
      <c r="O71" s="8">
        <f t="shared" si="22"/>
        <v>7400</v>
      </c>
      <c r="P71" s="8">
        <f t="shared" si="22"/>
        <v>7500</v>
      </c>
      <c r="Q71" s="8">
        <f t="shared" si="22"/>
        <v>12000</v>
      </c>
      <c r="R71" s="8">
        <f t="shared" si="22"/>
        <v>0</v>
      </c>
      <c r="S71" s="8">
        <f t="shared" si="22"/>
        <v>0</v>
      </c>
      <c r="T71" s="8">
        <f t="shared" si="22"/>
        <v>6000</v>
      </c>
      <c r="U71" s="8">
        <f t="shared" si="22"/>
        <v>6000</v>
      </c>
      <c r="V71" s="8">
        <f t="shared" si="22"/>
        <v>9375</v>
      </c>
      <c r="W71" s="8">
        <f t="shared" si="22"/>
        <v>9375</v>
      </c>
      <c r="X71" s="8">
        <f t="shared" si="22"/>
        <v>9375</v>
      </c>
      <c r="Y71" s="8">
        <f t="shared" si="22"/>
        <v>9625</v>
      </c>
      <c r="Z71" s="8">
        <f t="shared" si="22"/>
        <v>31522.5</v>
      </c>
      <c r="AA71" s="8">
        <f t="shared" si="22"/>
        <v>20727.5</v>
      </c>
      <c r="AB71" s="8">
        <f t="shared" si="22"/>
        <v>0</v>
      </c>
      <c r="AC71" s="8">
        <f t="shared" si="22"/>
        <v>0</v>
      </c>
      <c r="AD71" s="8">
        <f t="shared" si="22"/>
        <v>0</v>
      </c>
      <c r="AE71" s="8">
        <f t="shared" si="22"/>
        <v>0</v>
      </c>
      <c r="AF71" s="8">
        <f t="shared" si="22"/>
        <v>15625</v>
      </c>
      <c r="AG71" s="8">
        <f t="shared" si="22"/>
        <v>15625</v>
      </c>
      <c r="AH71" s="8">
        <f t="shared" si="22"/>
        <v>15625</v>
      </c>
      <c r="AI71" s="8">
        <f t="shared" si="22"/>
        <v>15625</v>
      </c>
      <c r="AJ71" s="8">
        <f t="shared" si="22"/>
        <v>15625</v>
      </c>
      <c r="AK71" s="8">
        <f t="shared" si="22"/>
        <v>15625</v>
      </c>
      <c r="AL71" s="8">
        <f t="shared" si="22"/>
        <v>15625</v>
      </c>
    </row>
    <row r="72" spans="1:38" ht="16.350000000000001" customHeight="1" x14ac:dyDescent="0.3">
      <c r="A72" s="135" t="s">
        <v>137</v>
      </c>
      <c r="B72" s="136"/>
      <c r="C72" s="34">
        <f t="shared" ref="C72:AL72" si="23">C71</f>
        <v>0</v>
      </c>
      <c r="D72" s="34">
        <f t="shared" si="23"/>
        <v>0</v>
      </c>
      <c r="E72" s="34">
        <f t="shared" si="23"/>
        <v>0</v>
      </c>
      <c r="F72" s="34">
        <f t="shared" si="23"/>
        <v>0</v>
      </c>
      <c r="G72" s="34">
        <f t="shared" si="23"/>
        <v>0</v>
      </c>
      <c r="H72" s="34">
        <f t="shared" si="23"/>
        <v>0</v>
      </c>
      <c r="I72" s="34">
        <f t="shared" si="23"/>
        <v>0</v>
      </c>
      <c r="J72" s="34">
        <f t="shared" si="23"/>
        <v>0</v>
      </c>
      <c r="K72" s="8">
        <f t="shared" si="23"/>
        <v>10190</v>
      </c>
      <c r="L72" s="8">
        <f t="shared" si="23"/>
        <v>13272.5</v>
      </c>
      <c r="M72" s="8">
        <f t="shared" si="23"/>
        <v>7702.5</v>
      </c>
      <c r="N72" s="8">
        <f t="shared" si="23"/>
        <v>7397.5</v>
      </c>
      <c r="O72" s="8">
        <f t="shared" si="23"/>
        <v>7400</v>
      </c>
      <c r="P72" s="8">
        <f t="shared" si="23"/>
        <v>7500</v>
      </c>
      <c r="Q72" s="8">
        <f t="shared" si="23"/>
        <v>12000</v>
      </c>
      <c r="R72" s="8">
        <f t="shared" si="23"/>
        <v>0</v>
      </c>
      <c r="S72" s="8">
        <f t="shared" si="23"/>
        <v>0</v>
      </c>
      <c r="T72" s="8">
        <f t="shared" si="23"/>
        <v>6000</v>
      </c>
      <c r="U72" s="8">
        <f t="shared" si="23"/>
        <v>6000</v>
      </c>
      <c r="V72" s="8">
        <f t="shared" si="23"/>
        <v>9375</v>
      </c>
      <c r="W72" s="8">
        <f t="shared" si="23"/>
        <v>9375</v>
      </c>
      <c r="X72" s="8">
        <f t="shared" si="23"/>
        <v>9375</v>
      </c>
      <c r="Y72" s="8">
        <f t="shared" si="23"/>
        <v>9625</v>
      </c>
      <c r="Z72" s="8">
        <f t="shared" si="23"/>
        <v>31522.5</v>
      </c>
      <c r="AA72" s="8">
        <f t="shared" si="23"/>
        <v>20727.5</v>
      </c>
      <c r="AB72" s="8">
        <f t="shared" si="23"/>
        <v>0</v>
      </c>
      <c r="AC72" s="8">
        <f t="shared" si="23"/>
        <v>0</v>
      </c>
      <c r="AD72" s="8">
        <f t="shared" si="23"/>
        <v>0</v>
      </c>
      <c r="AE72" s="8">
        <f t="shared" si="23"/>
        <v>0</v>
      </c>
      <c r="AF72" s="8">
        <f t="shared" si="23"/>
        <v>15625</v>
      </c>
      <c r="AG72" s="8">
        <f t="shared" si="23"/>
        <v>15625</v>
      </c>
      <c r="AH72" s="8">
        <f t="shared" si="23"/>
        <v>15625</v>
      </c>
      <c r="AI72" s="8">
        <f t="shared" si="23"/>
        <v>15625</v>
      </c>
      <c r="AJ72" s="8">
        <f t="shared" si="23"/>
        <v>15625</v>
      </c>
      <c r="AK72" s="8">
        <f t="shared" si="23"/>
        <v>15625</v>
      </c>
      <c r="AL72" s="8">
        <f t="shared" si="23"/>
        <v>15625</v>
      </c>
    </row>
    <row r="73" spans="1:38" ht="16.350000000000001" customHeight="1" x14ac:dyDescent="0.3">
      <c r="A73" s="34" t="s">
        <v>138</v>
      </c>
      <c r="B73" s="46"/>
      <c r="C73" s="34">
        <f>IFERROR(INDEX($C$72:$AK$72,1,1+ROUND(INDEX($H$5:$V$5,1,MATCH("RM06",$H$3:$V$3,0))/7,0)),0)</f>
        <v>0</v>
      </c>
      <c r="D73" s="34">
        <f>IFERROR(INDEX($C$72:$AK$72,1,2+ROUND(INDEX($H$5:$V$5,1,MATCH("RM06",$H$3:$V$3,0))/7,0)),0)</f>
        <v>0</v>
      </c>
      <c r="E73" s="34">
        <f>IFERROR(INDEX($C$72:$AK$72,1,3+ROUND(INDEX($H$5:$V$5,1,MATCH("RM06",$H$3:$V$3,0))/7,0)),0)</f>
        <v>0</v>
      </c>
      <c r="F73" s="34">
        <f>IFERROR(INDEX($C$72:$AK$72,1,4+ROUND(INDEX($H$5:$V$5,1,MATCH("RM06",$H$3:$V$3,0))/7,0)),0)</f>
        <v>10190</v>
      </c>
      <c r="G73" s="34">
        <f>IFERROR(INDEX($C$72:$AK$72,1,5+ROUND(INDEX($H$5:$V$5,1,MATCH("RM06",$H$3:$V$3,0))/7,0)),0)</f>
        <v>13272.5</v>
      </c>
      <c r="H73" s="34">
        <f>IFERROR(INDEX($C$72:$AK$72,1,6+ROUND(INDEX($H$5:$V$5,1,MATCH("RM06",$H$3:$V$3,0))/7,0)),0)</f>
        <v>7702.5</v>
      </c>
      <c r="I73" s="34">
        <f>IFERROR(INDEX($C$72:$AK$72,1,7+ROUND(INDEX($H$5:$V$5,1,MATCH("RM06",$H$3:$V$3,0))/7,0)),0)</f>
        <v>7397.5</v>
      </c>
      <c r="J73" s="34">
        <f>IFERROR(INDEX($C$72:$AK$72,1,8+ROUND(INDEX($H$5:$V$5,1,MATCH("RM06",$H$3:$V$3,0))/7,0)),0)</f>
        <v>7400</v>
      </c>
      <c r="K73" s="8">
        <f>IFERROR(INDEX($C$72:$AK$72,1,9+ROUND(INDEX($H$5:$V$5,1,MATCH("RM06",$H$3:$V$3,0))/7,0)),0)</f>
        <v>7500</v>
      </c>
      <c r="L73" s="8">
        <f>IFERROR(INDEX($C$72:$AK$72,1,10+ROUND(INDEX($H$5:$V$5,1,MATCH("RM06",$H$3:$V$3,0))/7,0)),0)</f>
        <v>12000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6000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9625</v>
      </c>
      <c r="U73" s="8">
        <f>IFERROR(INDEX($C$72:$AK$72,1,19+ROUND(INDEX($H$5:$V$5,1,MATCH("RM06",$H$3:$V$3,0))/7,0)),0)</f>
        <v>31522.5</v>
      </c>
      <c r="V73" s="8">
        <f>IFERROR(INDEX($C$72:$AK$72,1,20+ROUND(INDEX($H$5:$V$5,1,MATCH("RM06",$H$3:$V$3,0))/7,0)),0)</f>
        <v>20727.5</v>
      </c>
      <c r="W73" s="8">
        <f>IFERROR(INDEX($C$72:$AK$72,1,21+ROUND(INDEX($H$5:$V$5,1,MATCH("RM06",$H$3:$V$3,0))/7,0)),0)</f>
        <v>0</v>
      </c>
      <c r="X73" s="8">
        <f>IFERROR(INDEX($C$72:$AK$72,1,22+ROUND(INDEX($H$5:$V$5,1,MATCH("RM06",$H$3:$V$3,0))/7,0)),0)</f>
        <v>0</v>
      </c>
      <c r="Y73" s="8">
        <f>IFERROR(INDEX($C$72:$AK$72,1,23+ROUND(INDEX($H$5:$V$5,1,MATCH("RM06",$H$3:$V$3,0))/7,0)),0)</f>
        <v>0</v>
      </c>
      <c r="Z73" s="8">
        <f>IFERROR(INDEX($C$72:$AK$72,1,24+ROUND(INDEX($H$5:$V$5,1,MATCH("RM06",$H$3:$V$3,0))/7,0)),0)</f>
        <v>0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  <c r="AL73" s="8">
        <f>IFERROR(INDEX($C$72:$AK$72,1,35+ROUND(INDEX($H$5:$V$5,1,MATCH("RM06",$H$3:$V$3,0))/7,0)),0)</f>
        <v>0</v>
      </c>
    </row>
    <row r="75" spans="1:38" ht="16.350000000000001" customHeight="1" x14ac:dyDescent="0.3">
      <c r="A75" s="47" t="s">
        <v>144</v>
      </c>
      <c r="B75" s="47" t="s">
        <v>132</v>
      </c>
      <c r="C75" s="137" t="s">
        <v>0</v>
      </c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6"/>
    </row>
    <row r="76" spans="1:38" ht="16.350000000000001" customHeight="1" x14ac:dyDescent="0.3">
      <c r="A76" s="47" t="s">
        <v>133</v>
      </c>
      <c r="B76" s="47" t="str">
        <f>"LT: "&amp;ROUND(INDEX($H$5:$V$5,1,MATCH("RM07",$H$3:$V$3,0))/7,0)</f>
        <v>LT: 6</v>
      </c>
      <c r="C76" s="48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>
        <v>46370</v>
      </c>
    </row>
    <row r="77" spans="1:38" ht="16.350000000000001" customHeight="1" x14ac:dyDescent="0.3">
      <c r="A77" s="51" t="s">
        <v>134</v>
      </c>
      <c r="C77" s="34">
        <f t="array" ref="C77:AL77">TRANSPOSE(BOM_demand!$N$2:$N$37)</f>
        <v>19126.5</v>
      </c>
      <c r="D77" s="34">
        <v>3373.5</v>
      </c>
      <c r="E77" s="34">
        <v>0</v>
      </c>
      <c r="F77" s="34">
        <v>0</v>
      </c>
      <c r="G77" s="34">
        <v>0</v>
      </c>
      <c r="H77" s="34">
        <v>6000</v>
      </c>
      <c r="I77" s="34">
        <v>3000</v>
      </c>
      <c r="J77" s="34">
        <v>1840.5</v>
      </c>
      <c r="K77" s="34">
        <v>7963.5</v>
      </c>
      <c r="L77" s="34">
        <v>7963.5</v>
      </c>
      <c r="M77" s="34">
        <v>4621.5</v>
      </c>
      <c r="N77" s="34">
        <v>4438.5</v>
      </c>
      <c r="O77" s="34">
        <v>4440</v>
      </c>
      <c r="P77" s="34">
        <v>4500</v>
      </c>
      <c r="Q77" s="34">
        <v>7200</v>
      </c>
      <c r="R77" s="34">
        <v>0</v>
      </c>
      <c r="S77" s="34">
        <v>0</v>
      </c>
      <c r="T77" s="34">
        <v>3600</v>
      </c>
      <c r="U77" s="34">
        <v>3600</v>
      </c>
      <c r="V77" s="34">
        <v>5625</v>
      </c>
      <c r="W77" s="34">
        <v>5625</v>
      </c>
      <c r="X77" s="34">
        <v>5625</v>
      </c>
      <c r="Y77" s="34">
        <v>5775</v>
      </c>
      <c r="Z77" s="34">
        <v>18913.5</v>
      </c>
      <c r="AA77" s="34">
        <v>12436.5</v>
      </c>
      <c r="AB77" s="34">
        <v>0</v>
      </c>
      <c r="AC77" s="34">
        <v>0</v>
      </c>
      <c r="AD77" s="34">
        <v>0</v>
      </c>
      <c r="AE77" s="34">
        <v>0</v>
      </c>
      <c r="AF77" s="34">
        <v>9375</v>
      </c>
      <c r="AG77" s="34">
        <v>9375</v>
      </c>
      <c r="AH77" s="34">
        <v>9375</v>
      </c>
      <c r="AI77" s="34">
        <v>9375</v>
      </c>
      <c r="AJ77" s="34">
        <v>9375</v>
      </c>
      <c r="AK77" s="34">
        <v>9375</v>
      </c>
      <c r="AL77">
        <v>9375</v>
      </c>
    </row>
    <row r="78" spans="1:38" ht="16.350000000000001" customHeight="1" x14ac:dyDescent="0.3">
      <c r="A78" s="135" t="s">
        <v>128</v>
      </c>
      <c r="B78" s="136"/>
      <c r="C78" s="34">
        <f>IFERROR(INDEX($H$7:$V$7,1,MATCH("RM07",$H$3:$V$3,0)),0)</f>
        <v>0</v>
      </c>
      <c r="D78" s="34">
        <f>0</f>
        <v>0</v>
      </c>
      <c r="E78" s="34">
        <f>0</f>
        <v>0</v>
      </c>
      <c r="F78" s="34">
        <f>0</f>
        <v>0</v>
      </c>
      <c r="G78" s="34">
        <f>0</f>
        <v>0</v>
      </c>
      <c r="H78" s="34">
        <f>0</f>
        <v>0</v>
      </c>
      <c r="I78" s="34">
        <f>0</f>
        <v>0</v>
      </c>
      <c r="J78" s="34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  <c r="AL78" s="8">
        <f>0</f>
        <v>0</v>
      </c>
    </row>
    <row r="79" spans="1:38" ht="16.350000000000001" customHeight="1" x14ac:dyDescent="0.3">
      <c r="A79" s="34" t="s">
        <v>129</v>
      </c>
      <c r="B79" s="46">
        <f>IFERROR(INDEX($H$8:$V$8,1,MATCH("RM07",$H$3:$V$3,0)),0)</f>
        <v>10410</v>
      </c>
      <c r="C79" s="34">
        <f t="shared" ref="C79:AL79" si="24">$B79</f>
        <v>10410</v>
      </c>
      <c r="D79" s="34">
        <f t="shared" si="24"/>
        <v>10410</v>
      </c>
      <c r="E79" s="34">
        <f t="shared" si="24"/>
        <v>10410</v>
      </c>
      <c r="F79" s="34">
        <f t="shared" si="24"/>
        <v>10410</v>
      </c>
      <c r="G79" s="34">
        <f t="shared" si="24"/>
        <v>10410</v>
      </c>
      <c r="H79" s="34">
        <f t="shared" si="24"/>
        <v>10410</v>
      </c>
      <c r="I79" s="34">
        <f t="shared" si="24"/>
        <v>10410</v>
      </c>
      <c r="J79" s="34">
        <f t="shared" si="24"/>
        <v>10410</v>
      </c>
      <c r="K79" s="8">
        <f t="shared" si="24"/>
        <v>10410</v>
      </c>
      <c r="L79" s="8">
        <f t="shared" si="24"/>
        <v>10410</v>
      </c>
      <c r="M79" s="8">
        <f t="shared" si="24"/>
        <v>10410</v>
      </c>
      <c r="N79" s="8">
        <f t="shared" si="24"/>
        <v>10410</v>
      </c>
      <c r="O79" s="8">
        <f t="shared" si="24"/>
        <v>10410</v>
      </c>
      <c r="P79" s="8">
        <f t="shared" si="24"/>
        <v>10410</v>
      </c>
      <c r="Q79" s="8">
        <f t="shared" si="24"/>
        <v>10410</v>
      </c>
      <c r="R79" s="8">
        <f t="shared" si="24"/>
        <v>10410</v>
      </c>
      <c r="S79" s="8">
        <f t="shared" si="24"/>
        <v>10410</v>
      </c>
      <c r="T79" s="8">
        <f t="shared" si="24"/>
        <v>10410</v>
      </c>
      <c r="U79" s="8">
        <f t="shared" si="24"/>
        <v>10410</v>
      </c>
      <c r="V79" s="8">
        <f t="shared" si="24"/>
        <v>10410</v>
      </c>
      <c r="W79" s="8">
        <f t="shared" si="24"/>
        <v>10410</v>
      </c>
      <c r="X79" s="8">
        <f t="shared" si="24"/>
        <v>10410</v>
      </c>
      <c r="Y79" s="8">
        <f t="shared" si="24"/>
        <v>10410</v>
      </c>
      <c r="Z79" s="8">
        <f t="shared" si="24"/>
        <v>10410</v>
      </c>
      <c r="AA79" s="8">
        <f t="shared" si="24"/>
        <v>10410</v>
      </c>
      <c r="AB79" s="8">
        <f t="shared" si="24"/>
        <v>10410</v>
      </c>
      <c r="AC79" s="8">
        <f t="shared" si="24"/>
        <v>10410</v>
      </c>
      <c r="AD79" s="8">
        <f t="shared" si="24"/>
        <v>10410</v>
      </c>
      <c r="AE79" s="8">
        <f t="shared" si="24"/>
        <v>10410</v>
      </c>
      <c r="AF79" s="8">
        <f t="shared" si="24"/>
        <v>10410</v>
      </c>
      <c r="AG79" s="8">
        <f t="shared" si="24"/>
        <v>10410</v>
      </c>
      <c r="AH79" s="8">
        <f t="shared" si="24"/>
        <v>10410</v>
      </c>
      <c r="AI79" s="8">
        <f t="shared" si="24"/>
        <v>10410</v>
      </c>
      <c r="AJ79" s="8">
        <f t="shared" si="24"/>
        <v>10410</v>
      </c>
      <c r="AK79" s="8">
        <f t="shared" si="24"/>
        <v>10410</v>
      </c>
      <c r="AL79" s="8">
        <f t="shared" si="24"/>
        <v>10410</v>
      </c>
    </row>
    <row r="80" spans="1:38" ht="16.350000000000001" customHeight="1" x14ac:dyDescent="0.3">
      <c r="A80" s="34" t="s">
        <v>135</v>
      </c>
      <c r="B80" s="46">
        <f>IFERROR(INDEX($H$6:$V$6,1,MATCH("RM07",$H$3:$V$3,0)),0)</f>
        <v>50000</v>
      </c>
      <c r="C80" s="34">
        <f>$B80+C78+C82-C77</f>
        <v>30873.5</v>
      </c>
      <c r="D80" s="34">
        <f t="shared" ref="D80:AL80" si="25">C80+D78+D82-D77</f>
        <v>27500</v>
      </c>
      <c r="E80" s="34">
        <f t="shared" si="25"/>
        <v>27500</v>
      </c>
      <c r="F80" s="34">
        <f t="shared" si="25"/>
        <v>27500</v>
      </c>
      <c r="G80" s="34">
        <f t="shared" si="25"/>
        <v>27500</v>
      </c>
      <c r="H80" s="34">
        <f t="shared" si="25"/>
        <v>21500</v>
      </c>
      <c r="I80" s="34">
        <f t="shared" si="25"/>
        <v>18500</v>
      </c>
      <c r="J80" s="34">
        <f t="shared" si="25"/>
        <v>16659.5</v>
      </c>
      <c r="K80" s="8">
        <f t="shared" si="25"/>
        <v>10410</v>
      </c>
      <c r="L80" s="8">
        <f t="shared" si="25"/>
        <v>10410</v>
      </c>
      <c r="M80" s="8">
        <f t="shared" si="25"/>
        <v>10410</v>
      </c>
      <c r="N80" s="8">
        <f t="shared" si="25"/>
        <v>10410</v>
      </c>
      <c r="O80" s="8">
        <f t="shared" si="25"/>
        <v>10410</v>
      </c>
      <c r="P80" s="8">
        <f t="shared" si="25"/>
        <v>10410</v>
      </c>
      <c r="Q80" s="8">
        <f t="shared" si="25"/>
        <v>10410</v>
      </c>
      <c r="R80" s="8">
        <f t="shared" si="25"/>
        <v>10410</v>
      </c>
      <c r="S80" s="8">
        <f t="shared" si="25"/>
        <v>10410</v>
      </c>
      <c r="T80" s="8">
        <f t="shared" si="25"/>
        <v>10410</v>
      </c>
      <c r="U80" s="8">
        <f t="shared" si="25"/>
        <v>10410</v>
      </c>
      <c r="V80" s="8">
        <f t="shared" si="25"/>
        <v>10410</v>
      </c>
      <c r="W80" s="8">
        <f t="shared" si="25"/>
        <v>10410</v>
      </c>
      <c r="X80" s="8">
        <f t="shared" si="25"/>
        <v>10410</v>
      </c>
      <c r="Y80" s="8">
        <f t="shared" si="25"/>
        <v>10410</v>
      </c>
      <c r="Z80" s="8">
        <f t="shared" si="25"/>
        <v>10410</v>
      </c>
      <c r="AA80" s="8">
        <f t="shared" si="25"/>
        <v>10410</v>
      </c>
      <c r="AB80" s="8">
        <f t="shared" si="25"/>
        <v>10410</v>
      </c>
      <c r="AC80" s="8">
        <f t="shared" si="25"/>
        <v>10410</v>
      </c>
      <c r="AD80" s="8">
        <f t="shared" si="25"/>
        <v>10410</v>
      </c>
      <c r="AE80" s="8">
        <f t="shared" si="25"/>
        <v>10410</v>
      </c>
      <c r="AF80" s="8">
        <f t="shared" si="25"/>
        <v>10410</v>
      </c>
      <c r="AG80" s="8">
        <f t="shared" si="25"/>
        <v>10410</v>
      </c>
      <c r="AH80" s="8">
        <f t="shared" si="25"/>
        <v>10410</v>
      </c>
      <c r="AI80" s="8">
        <f t="shared" si="25"/>
        <v>10410</v>
      </c>
      <c r="AJ80" s="8">
        <f t="shared" si="25"/>
        <v>10410</v>
      </c>
      <c r="AK80" s="8">
        <f t="shared" si="25"/>
        <v>10410</v>
      </c>
      <c r="AL80" s="8">
        <f t="shared" si="25"/>
        <v>10410</v>
      </c>
    </row>
    <row r="81" spans="1:38" ht="16.350000000000001" customHeight="1" x14ac:dyDescent="0.3">
      <c r="A81" s="34" t="s">
        <v>136</v>
      </c>
      <c r="B81" s="46"/>
      <c r="C81" s="34">
        <f>MAX(C77+C79-($B80+C78),0)</f>
        <v>0</v>
      </c>
      <c r="D81" s="34">
        <f t="shared" ref="D81:AL81" si="26">MAX(D77+D79-(C80+D78),0)</f>
        <v>0</v>
      </c>
      <c r="E81" s="34">
        <f t="shared" si="26"/>
        <v>0</v>
      </c>
      <c r="F81" s="34">
        <f t="shared" si="26"/>
        <v>0</v>
      </c>
      <c r="G81" s="34">
        <f t="shared" si="26"/>
        <v>0</v>
      </c>
      <c r="H81" s="34">
        <f t="shared" si="26"/>
        <v>0</v>
      </c>
      <c r="I81" s="34">
        <f t="shared" si="26"/>
        <v>0</v>
      </c>
      <c r="J81" s="34">
        <f t="shared" si="26"/>
        <v>0</v>
      </c>
      <c r="K81" s="8">
        <f t="shared" si="26"/>
        <v>1714</v>
      </c>
      <c r="L81" s="8">
        <f t="shared" si="26"/>
        <v>7963.5</v>
      </c>
      <c r="M81" s="8">
        <f t="shared" si="26"/>
        <v>4621.5</v>
      </c>
      <c r="N81" s="8">
        <f t="shared" si="26"/>
        <v>4438.5</v>
      </c>
      <c r="O81" s="8">
        <f t="shared" si="26"/>
        <v>4440</v>
      </c>
      <c r="P81" s="8">
        <f t="shared" si="26"/>
        <v>4500</v>
      </c>
      <c r="Q81" s="8">
        <f t="shared" si="26"/>
        <v>7200</v>
      </c>
      <c r="R81" s="8">
        <f t="shared" si="26"/>
        <v>0</v>
      </c>
      <c r="S81" s="8">
        <f t="shared" si="26"/>
        <v>0</v>
      </c>
      <c r="T81" s="8">
        <f t="shared" si="26"/>
        <v>3600</v>
      </c>
      <c r="U81" s="8">
        <f t="shared" si="26"/>
        <v>3600</v>
      </c>
      <c r="V81" s="8">
        <f t="shared" si="26"/>
        <v>5625</v>
      </c>
      <c r="W81" s="8">
        <f t="shared" si="26"/>
        <v>5625</v>
      </c>
      <c r="X81" s="8">
        <f t="shared" si="26"/>
        <v>5625</v>
      </c>
      <c r="Y81" s="8">
        <f t="shared" si="26"/>
        <v>5775</v>
      </c>
      <c r="Z81" s="8">
        <f t="shared" si="26"/>
        <v>18913.5</v>
      </c>
      <c r="AA81" s="8">
        <f t="shared" si="26"/>
        <v>12436.5</v>
      </c>
      <c r="AB81" s="8">
        <f t="shared" si="26"/>
        <v>0</v>
      </c>
      <c r="AC81" s="8">
        <f t="shared" si="26"/>
        <v>0</v>
      </c>
      <c r="AD81" s="8">
        <f t="shared" si="26"/>
        <v>0</v>
      </c>
      <c r="AE81" s="8">
        <f t="shared" si="26"/>
        <v>0</v>
      </c>
      <c r="AF81" s="8">
        <f t="shared" si="26"/>
        <v>9375</v>
      </c>
      <c r="AG81" s="8">
        <f t="shared" si="26"/>
        <v>9375</v>
      </c>
      <c r="AH81" s="8">
        <f t="shared" si="26"/>
        <v>9375</v>
      </c>
      <c r="AI81" s="8">
        <f t="shared" si="26"/>
        <v>9375</v>
      </c>
      <c r="AJ81" s="8">
        <f t="shared" si="26"/>
        <v>9375</v>
      </c>
      <c r="AK81" s="8">
        <f t="shared" si="26"/>
        <v>9375</v>
      </c>
      <c r="AL81" s="8">
        <f t="shared" si="26"/>
        <v>9375</v>
      </c>
    </row>
    <row r="82" spans="1:38" ht="16.350000000000001" customHeight="1" x14ac:dyDescent="0.3">
      <c r="A82" s="135" t="s">
        <v>137</v>
      </c>
      <c r="B82" s="136"/>
      <c r="C82" s="34">
        <f t="shared" ref="C82:AL82" si="27">C81</f>
        <v>0</v>
      </c>
      <c r="D82" s="34">
        <f t="shared" si="27"/>
        <v>0</v>
      </c>
      <c r="E82" s="34">
        <f t="shared" si="27"/>
        <v>0</v>
      </c>
      <c r="F82" s="34">
        <f t="shared" si="27"/>
        <v>0</v>
      </c>
      <c r="G82" s="34">
        <f t="shared" si="27"/>
        <v>0</v>
      </c>
      <c r="H82" s="34">
        <f t="shared" si="27"/>
        <v>0</v>
      </c>
      <c r="I82" s="34">
        <f t="shared" si="27"/>
        <v>0</v>
      </c>
      <c r="J82" s="34">
        <f t="shared" si="27"/>
        <v>0</v>
      </c>
      <c r="K82" s="8">
        <f t="shared" si="27"/>
        <v>1714</v>
      </c>
      <c r="L82" s="8">
        <f t="shared" si="27"/>
        <v>7963.5</v>
      </c>
      <c r="M82" s="8">
        <f t="shared" si="27"/>
        <v>4621.5</v>
      </c>
      <c r="N82" s="8">
        <f t="shared" si="27"/>
        <v>4438.5</v>
      </c>
      <c r="O82" s="8">
        <f t="shared" si="27"/>
        <v>4440</v>
      </c>
      <c r="P82" s="8">
        <f t="shared" si="27"/>
        <v>4500</v>
      </c>
      <c r="Q82" s="8">
        <f t="shared" si="27"/>
        <v>7200</v>
      </c>
      <c r="R82" s="8">
        <f t="shared" si="27"/>
        <v>0</v>
      </c>
      <c r="S82" s="8">
        <f t="shared" si="27"/>
        <v>0</v>
      </c>
      <c r="T82" s="8">
        <f t="shared" si="27"/>
        <v>3600</v>
      </c>
      <c r="U82" s="8">
        <f t="shared" si="27"/>
        <v>3600</v>
      </c>
      <c r="V82" s="8">
        <f t="shared" si="27"/>
        <v>5625</v>
      </c>
      <c r="W82" s="8">
        <f t="shared" si="27"/>
        <v>5625</v>
      </c>
      <c r="X82" s="8">
        <f t="shared" si="27"/>
        <v>5625</v>
      </c>
      <c r="Y82" s="8">
        <f t="shared" si="27"/>
        <v>5775</v>
      </c>
      <c r="Z82" s="8">
        <f t="shared" si="27"/>
        <v>18913.5</v>
      </c>
      <c r="AA82" s="8">
        <f t="shared" si="27"/>
        <v>12436.5</v>
      </c>
      <c r="AB82" s="8">
        <f t="shared" si="27"/>
        <v>0</v>
      </c>
      <c r="AC82" s="8">
        <f t="shared" si="27"/>
        <v>0</v>
      </c>
      <c r="AD82" s="8">
        <f t="shared" si="27"/>
        <v>0</v>
      </c>
      <c r="AE82" s="8">
        <f t="shared" si="27"/>
        <v>0</v>
      </c>
      <c r="AF82" s="8">
        <f t="shared" si="27"/>
        <v>9375</v>
      </c>
      <c r="AG82" s="8">
        <f t="shared" si="27"/>
        <v>9375</v>
      </c>
      <c r="AH82" s="8">
        <f t="shared" si="27"/>
        <v>9375</v>
      </c>
      <c r="AI82" s="8">
        <f t="shared" si="27"/>
        <v>9375</v>
      </c>
      <c r="AJ82" s="8">
        <f t="shared" si="27"/>
        <v>9375</v>
      </c>
      <c r="AK82" s="8">
        <f t="shared" si="27"/>
        <v>9375</v>
      </c>
      <c r="AL82" s="8">
        <f t="shared" si="27"/>
        <v>9375</v>
      </c>
    </row>
    <row r="83" spans="1:38" ht="16.350000000000001" customHeight="1" x14ac:dyDescent="0.3">
      <c r="A83" s="34" t="s">
        <v>138</v>
      </c>
      <c r="B83" s="46"/>
      <c r="C83" s="34">
        <f>IFERROR(INDEX($C$82:$AK$82,1,1+ROUND(INDEX($H$5:$V$5,1,MATCH("RM07",$H$3:$V$3,0))/7,0)),0)</f>
        <v>0</v>
      </c>
      <c r="D83" s="34">
        <f>IFERROR(INDEX($C$82:$AK$82,1,2+ROUND(INDEX($H$5:$V$5,1,MATCH("RM07",$H$3:$V$3,0))/7,0)),0)</f>
        <v>0</v>
      </c>
      <c r="E83" s="34">
        <f>IFERROR(INDEX($C$82:$AK$82,1,3+ROUND(INDEX($H$5:$V$5,1,MATCH("RM07",$H$3:$V$3,0))/7,0)),0)</f>
        <v>1714</v>
      </c>
      <c r="F83" s="34">
        <f>IFERROR(INDEX($C$82:$AK$82,1,4+ROUND(INDEX($H$5:$V$5,1,MATCH("RM07",$H$3:$V$3,0))/7,0)),0)</f>
        <v>7963.5</v>
      </c>
      <c r="G83" s="34">
        <f>IFERROR(INDEX($C$82:$AK$82,1,5+ROUND(INDEX($H$5:$V$5,1,MATCH("RM07",$H$3:$V$3,0))/7,0)),0)</f>
        <v>4621.5</v>
      </c>
      <c r="H83" s="34">
        <f>IFERROR(INDEX($C$82:$AK$82,1,6+ROUND(INDEX($H$5:$V$5,1,MATCH("RM07",$H$3:$V$3,0))/7,0)),0)</f>
        <v>4438.5</v>
      </c>
      <c r="I83" s="34">
        <f>IFERROR(INDEX($C$82:$AK$82,1,7+ROUND(INDEX($H$5:$V$5,1,MATCH("RM07",$H$3:$V$3,0))/7,0)),0)</f>
        <v>4440</v>
      </c>
      <c r="J83" s="34">
        <f>IFERROR(INDEX($C$82:$AK$82,1,8+ROUND(INDEX($H$5:$V$5,1,MATCH("RM07",$H$3:$V$3,0))/7,0)),0)</f>
        <v>4500</v>
      </c>
      <c r="K83" s="8">
        <f>IFERROR(INDEX($C$82:$AK$82,1,9+ROUND(INDEX($H$5:$V$5,1,MATCH("RM07",$H$3:$V$3,0))/7,0)),0)</f>
        <v>7200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3600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5775</v>
      </c>
      <c r="T83" s="8">
        <f>IFERROR(INDEX($C$82:$AK$82,1,18+ROUND(INDEX($H$5:$V$5,1,MATCH("RM07",$H$3:$V$3,0))/7,0)),0)</f>
        <v>18913.5</v>
      </c>
      <c r="U83" s="8">
        <f>IFERROR(INDEX($C$82:$AK$82,1,19+ROUND(INDEX($H$5:$V$5,1,MATCH("RM07",$H$3:$V$3,0))/7,0)),0)</f>
        <v>12436.5</v>
      </c>
      <c r="V83" s="8">
        <f>IFERROR(INDEX($C$82:$AK$82,1,20+ROUND(INDEX($H$5:$V$5,1,MATCH("RM07",$H$3:$V$3,0))/7,0)),0)</f>
        <v>0</v>
      </c>
      <c r="W83" s="8">
        <f>IFERROR(INDEX($C$82:$AK$82,1,21+ROUND(INDEX($H$5:$V$5,1,MATCH("RM07",$H$3:$V$3,0))/7,0)),0)</f>
        <v>0</v>
      </c>
      <c r="X83" s="8">
        <f>IFERROR(INDEX($C$82:$AK$82,1,22+ROUND(INDEX($H$5:$V$5,1,MATCH("RM07",$H$3:$V$3,0))/7,0)),0)</f>
        <v>0</v>
      </c>
      <c r="Y83" s="8">
        <f>IFERROR(INDEX($C$82:$AK$82,1,23+ROUND(INDEX($H$5:$V$5,1,MATCH("RM07",$H$3:$V$3,0))/7,0)),0)</f>
        <v>0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  <c r="AL83" s="8">
        <f>IFERROR(INDEX($C$82:$AK$82,1,35+ROUND(INDEX($H$5:$V$5,1,MATCH("RM07",$H$3:$V$3,0))/7,0)),0)</f>
        <v>0</v>
      </c>
    </row>
    <row r="85" spans="1:38" ht="16.350000000000001" customHeight="1" x14ac:dyDescent="0.3">
      <c r="A85" s="47" t="s">
        <v>145</v>
      </c>
      <c r="B85" s="47" t="s">
        <v>132</v>
      </c>
      <c r="C85" s="137" t="s">
        <v>0</v>
      </c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6"/>
    </row>
    <row r="86" spans="1:38" ht="16.350000000000001" customHeight="1" x14ac:dyDescent="0.3">
      <c r="A86" s="47" t="s">
        <v>133</v>
      </c>
      <c r="B86" s="47" t="str">
        <f>"LT: "&amp;ROUND(INDEX($H$5:$V$5,1,MATCH("RM08",$H$3:$V$3,0))/7,0)</f>
        <v>LT: 9</v>
      </c>
      <c r="C86" s="48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>
        <v>46370</v>
      </c>
    </row>
    <row r="87" spans="1:38" ht="16.350000000000001" customHeight="1" x14ac:dyDescent="0.3">
      <c r="A87" s="51" t="s">
        <v>134</v>
      </c>
      <c r="C87" s="34">
        <f t="array" ref="C87:AL87">TRANSPOSE(BOM_demand!$O$2:$O$37)</f>
        <v>15000</v>
      </c>
      <c r="D87" s="34">
        <v>0</v>
      </c>
      <c r="E87" s="34">
        <v>0</v>
      </c>
      <c r="F87" s="34">
        <v>12960</v>
      </c>
      <c r="G87" s="34">
        <v>15000</v>
      </c>
      <c r="H87" s="34">
        <v>15000</v>
      </c>
      <c r="I87" s="34">
        <v>15000</v>
      </c>
      <c r="J87" s="34">
        <v>15000</v>
      </c>
      <c r="K87" s="34">
        <v>15000</v>
      </c>
      <c r="L87" s="34">
        <v>15000</v>
      </c>
      <c r="M87" s="34">
        <v>15000</v>
      </c>
      <c r="N87" s="34">
        <v>7500</v>
      </c>
      <c r="O87" s="34">
        <v>7500</v>
      </c>
      <c r="P87" s="34">
        <v>7500</v>
      </c>
      <c r="Q87" s="34">
        <v>3000</v>
      </c>
      <c r="R87" s="34">
        <v>3000</v>
      </c>
      <c r="S87" s="34">
        <v>3000</v>
      </c>
      <c r="T87" s="34">
        <v>3000</v>
      </c>
      <c r="U87" s="34">
        <v>3000</v>
      </c>
      <c r="V87" s="34">
        <v>2250</v>
      </c>
      <c r="W87" s="34">
        <v>2250</v>
      </c>
      <c r="X87" s="34">
        <v>2250</v>
      </c>
      <c r="Y87" s="34">
        <v>2250</v>
      </c>
      <c r="Z87" s="34">
        <v>1800</v>
      </c>
      <c r="AA87" s="34">
        <v>1800</v>
      </c>
      <c r="AB87" s="34">
        <v>1800</v>
      </c>
      <c r="AC87" s="34">
        <v>1800</v>
      </c>
      <c r="AD87" s="34">
        <v>1800</v>
      </c>
      <c r="AE87" s="34">
        <v>1500</v>
      </c>
      <c r="AF87" s="34">
        <v>1500</v>
      </c>
      <c r="AG87" s="34">
        <v>1500</v>
      </c>
      <c r="AH87" s="34">
        <v>1500</v>
      </c>
      <c r="AI87" s="34">
        <v>9000</v>
      </c>
      <c r="AJ87" s="34">
        <v>9000</v>
      </c>
      <c r="AK87" s="34">
        <v>9000</v>
      </c>
      <c r="AL87">
        <v>9000</v>
      </c>
    </row>
    <row r="88" spans="1:38" ht="16.350000000000001" customHeight="1" x14ac:dyDescent="0.3">
      <c r="A88" s="135" t="s">
        <v>128</v>
      </c>
      <c r="B88" s="136"/>
      <c r="C88" s="34">
        <f>IFERROR(INDEX($H$7:$V$7,1,MATCH("RM08",$H$3:$V$3,0)),0)</f>
        <v>38000</v>
      </c>
      <c r="D88" s="34">
        <f>0</f>
        <v>0</v>
      </c>
      <c r="E88" s="34">
        <f>0</f>
        <v>0</v>
      </c>
      <c r="F88" s="34">
        <f>0</f>
        <v>0</v>
      </c>
      <c r="G88" s="34">
        <f>0</f>
        <v>0</v>
      </c>
      <c r="H88" s="34">
        <f>0</f>
        <v>0</v>
      </c>
      <c r="I88" s="34">
        <f>0</f>
        <v>0</v>
      </c>
      <c r="J88" s="34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  <c r="AL88" s="8">
        <f>0</f>
        <v>0</v>
      </c>
    </row>
    <row r="89" spans="1:38" ht="16.350000000000001" customHeight="1" x14ac:dyDescent="0.3">
      <c r="A89" s="34" t="s">
        <v>129</v>
      </c>
      <c r="B89" s="46">
        <f>IFERROR(INDEX($H$8:$V$8,1,MATCH("RM08",$H$3:$V$3,0)),0)</f>
        <v>12312</v>
      </c>
      <c r="C89" s="34">
        <f t="shared" ref="C89:AL89" si="28">$B89</f>
        <v>12312</v>
      </c>
      <c r="D89" s="34">
        <f t="shared" si="28"/>
        <v>12312</v>
      </c>
      <c r="E89" s="34">
        <f t="shared" si="28"/>
        <v>12312</v>
      </c>
      <c r="F89" s="34">
        <f t="shared" si="28"/>
        <v>12312</v>
      </c>
      <c r="G89" s="34">
        <f t="shared" si="28"/>
        <v>12312</v>
      </c>
      <c r="H89" s="34">
        <f t="shared" si="28"/>
        <v>12312</v>
      </c>
      <c r="I89" s="34">
        <f t="shared" si="28"/>
        <v>12312</v>
      </c>
      <c r="J89" s="34">
        <f t="shared" si="28"/>
        <v>12312</v>
      </c>
      <c r="K89" s="8">
        <f t="shared" si="28"/>
        <v>12312</v>
      </c>
      <c r="L89" s="8">
        <f t="shared" si="28"/>
        <v>12312</v>
      </c>
      <c r="M89" s="8">
        <f t="shared" si="28"/>
        <v>12312</v>
      </c>
      <c r="N89" s="8">
        <f t="shared" si="28"/>
        <v>12312</v>
      </c>
      <c r="O89" s="8">
        <f t="shared" si="28"/>
        <v>12312</v>
      </c>
      <c r="P89" s="8">
        <f t="shared" si="28"/>
        <v>12312</v>
      </c>
      <c r="Q89" s="8">
        <f t="shared" si="28"/>
        <v>12312</v>
      </c>
      <c r="R89" s="8">
        <f t="shared" si="28"/>
        <v>12312</v>
      </c>
      <c r="S89" s="8">
        <f t="shared" si="28"/>
        <v>12312</v>
      </c>
      <c r="T89" s="8">
        <f t="shared" si="28"/>
        <v>12312</v>
      </c>
      <c r="U89" s="8">
        <f t="shared" si="28"/>
        <v>12312</v>
      </c>
      <c r="V89" s="8">
        <f t="shared" si="28"/>
        <v>12312</v>
      </c>
      <c r="W89" s="8">
        <f t="shared" si="28"/>
        <v>12312</v>
      </c>
      <c r="X89" s="8">
        <f t="shared" si="28"/>
        <v>12312</v>
      </c>
      <c r="Y89" s="8">
        <f t="shared" si="28"/>
        <v>12312</v>
      </c>
      <c r="Z89" s="8">
        <f t="shared" si="28"/>
        <v>12312</v>
      </c>
      <c r="AA89" s="8">
        <f t="shared" si="28"/>
        <v>12312</v>
      </c>
      <c r="AB89" s="8">
        <f t="shared" si="28"/>
        <v>12312</v>
      </c>
      <c r="AC89" s="8">
        <f t="shared" si="28"/>
        <v>12312</v>
      </c>
      <c r="AD89" s="8">
        <f t="shared" si="28"/>
        <v>12312</v>
      </c>
      <c r="AE89" s="8">
        <f t="shared" si="28"/>
        <v>12312</v>
      </c>
      <c r="AF89" s="8">
        <f t="shared" si="28"/>
        <v>12312</v>
      </c>
      <c r="AG89" s="8">
        <f t="shared" si="28"/>
        <v>12312</v>
      </c>
      <c r="AH89" s="8">
        <f t="shared" si="28"/>
        <v>12312</v>
      </c>
      <c r="AI89" s="8">
        <f t="shared" si="28"/>
        <v>12312</v>
      </c>
      <c r="AJ89" s="8">
        <f t="shared" si="28"/>
        <v>12312</v>
      </c>
      <c r="AK89" s="8">
        <f t="shared" si="28"/>
        <v>12312</v>
      </c>
      <c r="AL89" s="8">
        <f t="shared" si="28"/>
        <v>12312</v>
      </c>
    </row>
    <row r="90" spans="1:38" ht="16.350000000000001" customHeight="1" x14ac:dyDescent="0.3">
      <c r="A90" s="34" t="s">
        <v>135</v>
      </c>
      <c r="B90" s="46">
        <f>IFERROR(INDEX($H$6:$V$6,1,MATCH("RM08",$H$3:$V$3,0)),0)</f>
        <v>123000</v>
      </c>
      <c r="C90" s="34">
        <f>$B90+C88+C92-C87</f>
        <v>146000</v>
      </c>
      <c r="D90" s="34">
        <f t="shared" ref="D90:AL90" si="29">C90+D88+D92-D87</f>
        <v>146000</v>
      </c>
      <c r="E90" s="34">
        <f t="shared" si="29"/>
        <v>146000</v>
      </c>
      <c r="F90" s="34">
        <f t="shared" si="29"/>
        <v>133040</v>
      </c>
      <c r="G90" s="34">
        <f t="shared" si="29"/>
        <v>118040</v>
      </c>
      <c r="H90" s="34">
        <f t="shared" si="29"/>
        <v>103040</v>
      </c>
      <c r="I90" s="34">
        <f t="shared" si="29"/>
        <v>88040</v>
      </c>
      <c r="J90" s="34">
        <f t="shared" si="29"/>
        <v>73040</v>
      </c>
      <c r="K90" s="8">
        <f t="shared" si="29"/>
        <v>58040</v>
      </c>
      <c r="L90" s="8">
        <f t="shared" si="29"/>
        <v>43040</v>
      </c>
      <c r="M90" s="8">
        <f t="shared" si="29"/>
        <v>28040</v>
      </c>
      <c r="N90" s="8">
        <f t="shared" si="29"/>
        <v>20540</v>
      </c>
      <c r="O90" s="8">
        <f t="shared" si="29"/>
        <v>13040</v>
      </c>
      <c r="P90" s="8">
        <f t="shared" si="29"/>
        <v>12312</v>
      </c>
      <c r="Q90" s="8">
        <f t="shared" si="29"/>
        <v>12312</v>
      </c>
      <c r="R90" s="8">
        <f t="shared" si="29"/>
        <v>12312</v>
      </c>
      <c r="S90" s="8">
        <f t="shared" si="29"/>
        <v>12312</v>
      </c>
      <c r="T90" s="8">
        <f t="shared" si="29"/>
        <v>12312</v>
      </c>
      <c r="U90" s="8">
        <f t="shared" si="29"/>
        <v>12312</v>
      </c>
      <c r="V90" s="8">
        <f t="shared" si="29"/>
        <v>12312</v>
      </c>
      <c r="W90" s="8">
        <f t="shared" si="29"/>
        <v>12312</v>
      </c>
      <c r="X90" s="8">
        <f t="shared" si="29"/>
        <v>12312</v>
      </c>
      <c r="Y90" s="8">
        <f t="shared" si="29"/>
        <v>12312</v>
      </c>
      <c r="Z90" s="8">
        <f t="shared" si="29"/>
        <v>12312</v>
      </c>
      <c r="AA90" s="8">
        <f t="shared" si="29"/>
        <v>12312</v>
      </c>
      <c r="AB90" s="8">
        <f t="shared" si="29"/>
        <v>12312</v>
      </c>
      <c r="AC90" s="8">
        <f t="shared" si="29"/>
        <v>12312</v>
      </c>
      <c r="AD90" s="8">
        <f t="shared" si="29"/>
        <v>12312</v>
      </c>
      <c r="AE90" s="8">
        <f t="shared" si="29"/>
        <v>12312</v>
      </c>
      <c r="AF90" s="8">
        <f t="shared" si="29"/>
        <v>12312</v>
      </c>
      <c r="AG90" s="8">
        <f t="shared" si="29"/>
        <v>12312</v>
      </c>
      <c r="AH90" s="8">
        <f t="shared" si="29"/>
        <v>12312</v>
      </c>
      <c r="AI90" s="8">
        <f t="shared" si="29"/>
        <v>12312</v>
      </c>
      <c r="AJ90" s="8">
        <f t="shared" si="29"/>
        <v>12312</v>
      </c>
      <c r="AK90" s="8">
        <f t="shared" si="29"/>
        <v>12312</v>
      </c>
      <c r="AL90" s="8">
        <f t="shared" si="29"/>
        <v>12312</v>
      </c>
    </row>
    <row r="91" spans="1:38" ht="16.350000000000001" customHeight="1" x14ac:dyDescent="0.3">
      <c r="A91" s="34" t="s">
        <v>136</v>
      </c>
      <c r="B91" s="46"/>
      <c r="C91" s="34">
        <f>MAX(C87+C89-($B90+C88),0)</f>
        <v>0</v>
      </c>
      <c r="D91" s="34">
        <f t="shared" ref="D91:AL91" si="30">MAX(D87+D89-(C90+D88),0)</f>
        <v>0</v>
      </c>
      <c r="E91" s="34">
        <f t="shared" si="30"/>
        <v>0</v>
      </c>
      <c r="F91" s="34">
        <f t="shared" si="30"/>
        <v>0</v>
      </c>
      <c r="G91" s="34">
        <f t="shared" si="30"/>
        <v>0</v>
      </c>
      <c r="H91" s="34">
        <f t="shared" si="30"/>
        <v>0</v>
      </c>
      <c r="I91" s="34">
        <f t="shared" si="30"/>
        <v>0</v>
      </c>
      <c r="J91" s="34">
        <f t="shared" si="30"/>
        <v>0</v>
      </c>
      <c r="K91" s="8">
        <f t="shared" si="30"/>
        <v>0</v>
      </c>
      <c r="L91" s="8">
        <f t="shared" si="30"/>
        <v>0</v>
      </c>
      <c r="M91" s="8">
        <f t="shared" si="30"/>
        <v>0</v>
      </c>
      <c r="N91" s="8">
        <f t="shared" si="30"/>
        <v>0</v>
      </c>
      <c r="O91" s="8">
        <f t="shared" si="30"/>
        <v>0</v>
      </c>
      <c r="P91" s="8">
        <f t="shared" si="30"/>
        <v>6772</v>
      </c>
      <c r="Q91" s="8">
        <f t="shared" si="30"/>
        <v>3000</v>
      </c>
      <c r="R91" s="8">
        <f t="shared" si="30"/>
        <v>3000</v>
      </c>
      <c r="S91" s="8">
        <f t="shared" si="30"/>
        <v>3000</v>
      </c>
      <c r="T91" s="8">
        <f t="shared" si="30"/>
        <v>3000</v>
      </c>
      <c r="U91" s="8">
        <f t="shared" si="30"/>
        <v>3000</v>
      </c>
      <c r="V91" s="8">
        <f t="shared" si="30"/>
        <v>2250</v>
      </c>
      <c r="W91" s="8">
        <f t="shared" si="30"/>
        <v>2250</v>
      </c>
      <c r="X91" s="8">
        <f t="shared" si="30"/>
        <v>2250</v>
      </c>
      <c r="Y91" s="8">
        <f t="shared" si="30"/>
        <v>2250</v>
      </c>
      <c r="Z91" s="8">
        <f t="shared" si="30"/>
        <v>1800</v>
      </c>
      <c r="AA91" s="8">
        <f t="shared" si="30"/>
        <v>1800</v>
      </c>
      <c r="AB91" s="8">
        <f t="shared" si="30"/>
        <v>1800</v>
      </c>
      <c r="AC91" s="8">
        <f t="shared" si="30"/>
        <v>1800</v>
      </c>
      <c r="AD91" s="8">
        <f t="shared" si="30"/>
        <v>1800</v>
      </c>
      <c r="AE91" s="8">
        <f t="shared" si="30"/>
        <v>1500</v>
      </c>
      <c r="AF91" s="8">
        <f t="shared" si="30"/>
        <v>1500</v>
      </c>
      <c r="AG91" s="8">
        <f t="shared" si="30"/>
        <v>1500</v>
      </c>
      <c r="AH91" s="8">
        <f t="shared" si="30"/>
        <v>1500</v>
      </c>
      <c r="AI91" s="8">
        <f t="shared" si="30"/>
        <v>9000</v>
      </c>
      <c r="AJ91" s="8">
        <f t="shared" si="30"/>
        <v>9000</v>
      </c>
      <c r="AK91" s="8">
        <f t="shared" si="30"/>
        <v>9000</v>
      </c>
      <c r="AL91" s="8">
        <f t="shared" si="30"/>
        <v>9000</v>
      </c>
    </row>
    <row r="92" spans="1:38" ht="16.350000000000001" customHeight="1" x14ac:dyDescent="0.3">
      <c r="A92" s="135" t="s">
        <v>137</v>
      </c>
      <c r="B92" s="136"/>
      <c r="C92" s="34">
        <f t="shared" ref="C92:AL92" si="31">C91</f>
        <v>0</v>
      </c>
      <c r="D92" s="34">
        <f t="shared" si="31"/>
        <v>0</v>
      </c>
      <c r="E92" s="34">
        <f t="shared" si="31"/>
        <v>0</v>
      </c>
      <c r="F92" s="34">
        <f t="shared" si="31"/>
        <v>0</v>
      </c>
      <c r="G92" s="34">
        <f t="shared" si="31"/>
        <v>0</v>
      </c>
      <c r="H92" s="34">
        <f t="shared" si="31"/>
        <v>0</v>
      </c>
      <c r="I92" s="34">
        <f t="shared" si="31"/>
        <v>0</v>
      </c>
      <c r="J92" s="34">
        <f t="shared" si="31"/>
        <v>0</v>
      </c>
      <c r="K92" s="8">
        <f t="shared" si="31"/>
        <v>0</v>
      </c>
      <c r="L92" s="8">
        <f t="shared" si="31"/>
        <v>0</v>
      </c>
      <c r="M92" s="8">
        <f t="shared" si="31"/>
        <v>0</v>
      </c>
      <c r="N92" s="8">
        <f t="shared" si="31"/>
        <v>0</v>
      </c>
      <c r="O92" s="8">
        <f t="shared" si="31"/>
        <v>0</v>
      </c>
      <c r="P92" s="8">
        <f t="shared" si="31"/>
        <v>6772</v>
      </c>
      <c r="Q92" s="8">
        <f t="shared" si="31"/>
        <v>3000</v>
      </c>
      <c r="R92" s="8">
        <f t="shared" si="31"/>
        <v>3000</v>
      </c>
      <c r="S92" s="8">
        <f t="shared" si="31"/>
        <v>3000</v>
      </c>
      <c r="T92" s="8">
        <f t="shared" si="31"/>
        <v>3000</v>
      </c>
      <c r="U92" s="8">
        <f t="shared" si="31"/>
        <v>3000</v>
      </c>
      <c r="V92" s="8">
        <f t="shared" si="31"/>
        <v>2250</v>
      </c>
      <c r="W92" s="8">
        <f t="shared" si="31"/>
        <v>2250</v>
      </c>
      <c r="X92" s="8">
        <f t="shared" si="31"/>
        <v>2250</v>
      </c>
      <c r="Y92" s="8">
        <f t="shared" si="31"/>
        <v>2250</v>
      </c>
      <c r="Z92" s="8">
        <f t="shared" si="31"/>
        <v>1800</v>
      </c>
      <c r="AA92" s="8">
        <f t="shared" si="31"/>
        <v>1800</v>
      </c>
      <c r="AB92" s="8">
        <f t="shared" si="31"/>
        <v>1800</v>
      </c>
      <c r="AC92" s="8">
        <f t="shared" si="31"/>
        <v>1800</v>
      </c>
      <c r="AD92" s="8">
        <f t="shared" si="31"/>
        <v>1800</v>
      </c>
      <c r="AE92" s="8">
        <f t="shared" si="31"/>
        <v>1500</v>
      </c>
      <c r="AF92" s="8">
        <f t="shared" si="31"/>
        <v>1500</v>
      </c>
      <c r="AG92" s="8">
        <f t="shared" si="31"/>
        <v>1500</v>
      </c>
      <c r="AH92" s="8">
        <f t="shared" si="31"/>
        <v>1500</v>
      </c>
      <c r="AI92" s="8">
        <f t="shared" si="31"/>
        <v>9000</v>
      </c>
      <c r="AJ92" s="8">
        <f t="shared" si="31"/>
        <v>9000</v>
      </c>
      <c r="AK92" s="8">
        <f t="shared" si="31"/>
        <v>9000</v>
      </c>
      <c r="AL92" s="8">
        <f t="shared" si="31"/>
        <v>9000</v>
      </c>
    </row>
    <row r="93" spans="1:38" ht="16.350000000000001" customHeight="1" x14ac:dyDescent="0.3">
      <c r="A93" s="34" t="s">
        <v>138</v>
      </c>
      <c r="B93" s="46"/>
      <c r="C93" s="34">
        <f>IFERROR(INDEX($C$92:$AK$92,1,1+ROUND(INDEX($H$5:$V$5,1,MATCH("RM08",$H$3:$V$3,0))/7,0)),0)</f>
        <v>0</v>
      </c>
      <c r="D93" s="34">
        <f>IFERROR(INDEX($C$92:$AK$92,1,2+ROUND(INDEX($H$5:$V$5,1,MATCH("RM08",$H$3:$V$3,0))/7,0)),0)</f>
        <v>0</v>
      </c>
      <c r="E93" s="34">
        <f>IFERROR(INDEX($C$92:$AK$92,1,3+ROUND(INDEX($H$5:$V$5,1,MATCH("RM08",$H$3:$V$3,0))/7,0)),0)</f>
        <v>0</v>
      </c>
      <c r="F93" s="34">
        <f>IFERROR(INDEX($C$92:$AK$92,1,4+ROUND(INDEX($H$5:$V$5,1,MATCH("RM08",$H$3:$V$3,0))/7,0)),0)</f>
        <v>0</v>
      </c>
      <c r="G93" s="34">
        <f>IFERROR(INDEX($C$92:$AK$92,1,5+ROUND(INDEX($H$5:$V$5,1,MATCH("RM08",$H$3:$V$3,0))/7,0)),0)</f>
        <v>6772</v>
      </c>
      <c r="H93" s="34">
        <f>IFERROR(INDEX($C$92:$AK$92,1,6+ROUND(INDEX($H$5:$V$5,1,MATCH("RM08",$H$3:$V$3,0))/7,0)),0)</f>
        <v>3000</v>
      </c>
      <c r="I93" s="34">
        <f>IFERROR(INDEX($C$92:$AK$92,1,7+ROUND(INDEX($H$5:$V$5,1,MATCH("RM08",$H$3:$V$3,0))/7,0)),0)</f>
        <v>3000</v>
      </c>
      <c r="J93" s="34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3000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2250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1800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1500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  <c r="AL93" s="8">
        <f>IFERROR(INDEX($C$92:$AK$92,1,35+ROUND(INDEX($H$5:$V$5,1,MATCH("RM08",$H$3:$V$3,0))/7,0)),0)</f>
        <v>0</v>
      </c>
    </row>
    <row r="95" spans="1:38" ht="16.350000000000001" customHeight="1" x14ac:dyDescent="0.3">
      <c r="A95" s="47" t="s">
        <v>146</v>
      </c>
      <c r="B95" s="47" t="s">
        <v>132</v>
      </c>
      <c r="C95" s="137" t="s">
        <v>0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6"/>
    </row>
    <row r="96" spans="1:38" ht="16.350000000000001" customHeight="1" x14ac:dyDescent="0.3">
      <c r="A96" s="47" t="s">
        <v>133</v>
      </c>
      <c r="B96" s="47" t="str">
        <f>"LT: "&amp;ROUND(INDEX($H$5:$V$5,1,MATCH("RM09",$H$3:$V$3,0))/7,0)</f>
        <v>LT: 4</v>
      </c>
      <c r="C96" s="48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>
        <v>46370</v>
      </c>
    </row>
    <row r="97" spans="1:38" ht="16.350000000000001" customHeight="1" x14ac:dyDescent="0.3">
      <c r="A97" s="51" t="s">
        <v>134</v>
      </c>
      <c r="C97" s="34">
        <f t="array" ref="C97:AL97">TRANSPOSE(BOM_demand!$P$2:$P$37)</f>
        <v>2500</v>
      </c>
      <c r="D97" s="34">
        <v>0</v>
      </c>
      <c r="E97" s="34">
        <v>0</v>
      </c>
      <c r="F97" s="34">
        <v>2160</v>
      </c>
      <c r="G97" s="34">
        <v>2500</v>
      </c>
      <c r="H97" s="34">
        <v>2500</v>
      </c>
      <c r="I97" s="34">
        <v>2500</v>
      </c>
      <c r="J97" s="34">
        <v>2500</v>
      </c>
      <c r="K97" s="34">
        <v>2500</v>
      </c>
      <c r="L97" s="34">
        <v>2500</v>
      </c>
      <c r="M97" s="34">
        <v>2500</v>
      </c>
      <c r="N97" s="34">
        <v>1250</v>
      </c>
      <c r="O97" s="34">
        <v>1250</v>
      </c>
      <c r="P97" s="34">
        <v>1250</v>
      </c>
      <c r="Q97" s="34">
        <v>500</v>
      </c>
      <c r="R97" s="34">
        <v>500</v>
      </c>
      <c r="S97" s="34">
        <v>500</v>
      </c>
      <c r="T97" s="34">
        <v>500</v>
      </c>
      <c r="U97" s="34">
        <v>500</v>
      </c>
      <c r="V97" s="34">
        <v>375</v>
      </c>
      <c r="W97" s="34">
        <v>375</v>
      </c>
      <c r="X97" s="34">
        <v>375</v>
      </c>
      <c r="Y97" s="34">
        <v>375</v>
      </c>
      <c r="Z97" s="34">
        <v>300</v>
      </c>
      <c r="AA97" s="34">
        <v>300</v>
      </c>
      <c r="AB97" s="34">
        <v>300</v>
      </c>
      <c r="AC97" s="34">
        <v>300</v>
      </c>
      <c r="AD97" s="34">
        <v>300</v>
      </c>
      <c r="AE97" s="34">
        <v>250</v>
      </c>
      <c r="AF97" s="34">
        <v>250</v>
      </c>
      <c r="AG97" s="34">
        <v>250</v>
      </c>
      <c r="AH97" s="34">
        <v>250</v>
      </c>
      <c r="AI97" s="34">
        <v>1500</v>
      </c>
      <c r="AJ97" s="34">
        <v>1500</v>
      </c>
      <c r="AK97" s="34">
        <v>1500</v>
      </c>
      <c r="AL97">
        <v>1500</v>
      </c>
    </row>
    <row r="98" spans="1:38" ht="16.350000000000001" customHeight="1" x14ac:dyDescent="0.3">
      <c r="A98" s="135" t="s">
        <v>128</v>
      </c>
      <c r="B98" s="136"/>
      <c r="C98" s="34">
        <f>IFERROR(INDEX($H$7:$V$7,1,MATCH("RM09",$H$3:$V$3,0)),0)</f>
        <v>0</v>
      </c>
      <c r="D98" s="34">
        <f>0</f>
        <v>0</v>
      </c>
      <c r="E98" s="34">
        <f>0</f>
        <v>0</v>
      </c>
      <c r="F98" s="34">
        <f>0</f>
        <v>0</v>
      </c>
      <c r="G98" s="34">
        <f>0</f>
        <v>0</v>
      </c>
      <c r="H98" s="34">
        <f>0</f>
        <v>0</v>
      </c>
      <c r="I98" s="34">
        <f>0</f>
        <v>0</v>
      </c>
      <c r="J98" s="34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  <c r="AL98" s="8">
        <f>0</f>
        <v>0</v>
      </c>
    </row>
    <row r="99" spans="1:38" ht="16.350000000000001" customHeight="1" x14ac:dyDescent="0.3">
      <c r="A99" s="34" t="s">
        <v>129</v>
      </c>
      <c r="B99" s="46">
        <f>IFERROR(INDEX($H$8:$V$8,1,MATCH("RM09",$H$3:$V$3,0)),0)</f>
        <v>2052</v>
      </c>
      <c r="C99" s="34">
        <f t="shared" ref="C99:AL99" si="32">$B99</f>
        <v>2052</v>
      </c>
      <c r="D99" s="34">
        <f t="shared" si="32"/>
        <v>2052</v>
      </c>
      <c r="E99" s="34">
        <f t="shared" si="32"/>
        <v>2052</v>
      </c>
      <c r="F99" s="34">
        <f t="shared" si="32"/>
        <v>2052</v>
      </c>
      <c r="G99" s="34">
        <f t="shared" si="32"/>
        <v>2052</v>
      </c>
      <c r="H99" s="34">
        <f t="shared" si="32"/>
        <v>2052</v>
      </c>
      <c r="I99" s="34">
        <f t="shared" si="32"/>
        <v>2052</v>
      </c>
      <c r="J99" s="34">
        <f t="shared" si="32"/>
        <v>2052</v>
      </c>
      <c r="K99" s="8">
        <f t="shared" si="32"/>
        <v>2052</v>
      </c>
      <c r="L99" s="8">
        <f t="shared" si="32"/>
        <v>2052</v>
      </c>
      <c r="M99" s="8">
        <f t="shared" si="32"/>
        <v>2052</v>
      </c>
      <c r="N99" s="8">
        <f t="shared" si="32"/>
        <v>2052</v>
      </c>
      <c r="O99" s="8">
        <f t="shared" si="32"/>
        <v>2052</v>
      </c>
      <c r="P99" s="8">
        <f t="shared" si="32"/>
        <v>2052</v>
      </c>
      <c r="Q99" s="8">
        <f t="shared" si="32"/>
        <v>2052</v>
      </c>
      <c r="R99" s="8">
        <f t="shared" si="32"/>
        <v>2052</v>
      </c>
      <c r="S99" s="8">
        <f t="shared" si="32"/>
        <v>2052</v>
      </c>
      <c r="T99" s="8">
        <f t="shared" si="32"/>
        <v>2052</v>
      </c>
      <c r="U99" s="8">
        <f t="shared" si="32"/>
        <v>2052</v>
      </c>
      <c r="V99" s="8">
        <f t="shared" si="32"/>
        <v>2052</v>
      </c>
      <c r="W99" s="8">
        <f t="shared" si="32"/>
        <v>2052</v>
      </c>
      <c r="X99" s="8">
        <f t="shared" si="32"/>
        <v>2052</v>
      </c>
      <c r="Y99" s="8">
        <f t="shared" si="32"/>
        <v>2052</v>
      </c>
      <c r="Z99" s="8">
        <f t="shared" si="32"/>
        <v>2052</v>
      </c>
      <c r="AA99" s="8">
        <f t="shared" si="32"/>
        <v>2052</v>
      </c>
      <c r="AB99" s="8">
        <f t="shared" si="32"/>
        <v>2052</v>
      </c>
      <c r="AC99" s="8">
        <f t="shared" si="32"/>
        <v>2052</v>
      </c>
      <c r="AD99" s="8">
        <f t="shared" si="32"/>
        <v>2052</v>
      </c>
      <c r="AE99" s="8">
        <f t="shared" si="32"/>
        <v>2052</v>
      </c>
      <c r="AF99" s="8">
        <f t="shared" si="32"/>
        <v>2052</v>
      </c>
      <c r="AG99" s="8">
        <f t="shared" si="32"/>
        <v>2052</v>
      </c>
      <c r="AH99" s="8">
        <f t="shared" si="32"/>
        <v>2052</v>
      </c>
      <c r="AI99" s="8">
        <f t="shared" si="32"/>
        <v>2052</v>
      </c>
      <c r="AJ99" s="8">
        <f t="shared" si="32"/>
        <v>2052</v>
      </c>
      <c r="AK99" s="8">
        <f t="shared" si="32"/>
        <v>2052</v>
      </c>
      <c r="AL99" s="8">
        <f t="shared" si="32"/>
        <v>2052</v>
      </c>
    </row>
    <row r="100" spans="1:38" ht="16.350000000000001" customHeight="1" x14ac:dyDescent="0.3">
      <c r="A100" s="34" t="s">
        <v>135</v>
      </c>
      <c r="B100" s="46">
        <f>IFERROR(INDEX($H$6:$V$6,1,MATCH("RM09",$H$3:$V$3,0)),0)</f>
        <v>6500</v>
      </c>
      <c r="C100" s="34">
        <f>$B100+C98+C102-C97</f>
        <v>4000</v>
      </c>
      <c r="D100" s="34">
        <f t="shared" ref="D100:AL100" si="33">C100+D98+D102-D97</f>
        <v>4000</v>
      </c>
      <c r="E100" s="34">
        <f t="shared" si="33"/>
        <v>4000</v>
      </c>
      <c r="F100" s="34">
        <f t="shared" si="33"/>
        <v>2052</v>
      </c>
      <c r="G100" s="34">
        <f t="shared" si="33"/>
        <v>2052</v>
      </c>
      <c r="H100" s="34">
        <f t="shared" si="33"/>
        <v>2052</v>
      </c>
      <c r="I100" s="34">
        <f t="shared" si="33"/>
        <v>2052</v>
      </c>
      <c r="J100" s="34">
        <f t="shared" si="33"/>
        <v>2052</v>
      </c>
      <c r="K100" s="8">
        <f t="shared" si="33"/>
        <v>2052</v>
      </c>
      <c r="L100" s="8">
        <f t="shared" si="33"/>
        <v>2052</v>
      </c>
      <c r="M100" s="8">
        <f t="shared" si="33"/>
        <v>2052</v>
      </c>
      <c r="N100" s="8">
        <f t="shared" si="33"/>
        <v>2052</v>
      </c>
      <c r="O100" s="8">
        <f t="shared" si="33"/>
        <v>2052</v>
      </c>
      <c r="P100" s="8">
        <f t="shared" si="33"/>
        <v>2052</v>
      </c>
      <c r="Q100" s="8">
        <f t="shared" si="33"/>
        <v>2052</v>
      </c>
      <c r="R100" s="8">
        <f t="shared" si="33"/>
        <v>2052</v>
      </c>
      <c r="S100" s="8">
        <f t="shared" si="33"/>
        <v>2052</v>
      </c>
      <c r="T100" s="8">
        <f t="shared" si="33"/>
        <v>2052</v>
      </c>
      <c r="U100" s="8">
        <f t="shared" si="33"/>
        <v>2052</v>
      </c>
      <c r="V100" s="8">
        <f t="shared" si="33"/>
        <v>2052</v>
      </c>
      <c r="W100" s="8">
        <f t="shared" si="33"/>
        <v>2052</v>
      </c>
      <c r="X100" s="8">
        <f t="shared" si="33"/>
        <v>2052</v>
      </c>
      <c r="Y100" s="8">
        <f t="shared" si="33"/>
        <v>2052</v>
      </c>
      <c r="Z100" s="8">
        <f t="shared" si="33"/>
        <v>2052</v>
      </c>
      <c r="AA100" s="8">
        <f t="shared" si="33"/>
        <v>2052</v>
      </c>
      <c r="AB100" s="8">
        <f t="shared" si="33"/>
        <v>2052</v>
      </c>
      <c r="AC100" s="8">
        <f t="shared" si="33"/>
        <v>2052</v>
      </c>
      <c r="AD100" s="8">
        <f t="shared" si="33"/>
        <v>2052</v>
      </c>
      <c r="AE100" s="8">
        <f t="shared" si="33"/>
        <v>2052</v>
      </c>
      <c r="AF100" s="8">
        <f t="shared" si="33"/>
        <v>2052</v>
      </c>
      <c r="AG100" s="8">
        <f t="shared" si="33"/>
        <v>2052</v>
      </c>
      <c r="AH100" s="8">
        <f t="shared" si="33"/>
        <v>2052</v>
      </c>
      <c r="AI100" s="8">
        <f t="shared" si="33"/>
        <v>2052</v>
      </c>
      <c r="AJ100" s="8">
        <f t="shared" si="33"/>
        <v>2052</v>
      </c>
      <c r="AK100" s="8">
        <f t="shared" si="33"/>
        <v>2052</v>
      </c>
      <c r="AL100" s="8">
        <f t="shared" si="33"/>
        <v>2052</v>
      </c>
    </row>
    <row r="101" spans="1:38" ht="16.350000000000001" customHeight="1" x14ac:dyDescent="0.3">
      <c r="A101" s="34" t="s">
        <v>136</v>
      </c>
      <c r="B101" s="46"/>
      <c r="C101" s="34">
        <f>MAX(C97+C99-($B100+C98),0)</f>
        <v>0</v>
      </c>
      <c r="D101" s="34">
        <f t="shared" ref="D101:AL101" si="34">MAX(D97+D99-(C100+D98),0)</f>
        <v>0</v>
      </c>
      <c r="E101" s="34">
        <f t="shared" si="34"/>
        <v>0</v>
      </c>
      <c r="F101" s="34">
        <f t="shared" si="34"/>
        <v>212</v>
      </c>
      <c r="G101" s="34">
        <f t="shared" si="34"/>
        <v>2500</v>
      </c>
      <c r="H101" s="34">
        <f t="shared" si="34"/>
        <v>2500</v>
      </c>
      <c r="I101" s="34">
        <f t="shared" si="34"/>
        <v>2500</v>
      </c>
      <c r="J101" s="34">
        <f t="shared" si="34"/>
        <v>2500</v>
      </c>
      <c r="K101" s="8">
        <f t="shared" si="34"/>
        <v>2500</v>
      </c>
      <c r="L101" s="8">
        <f t="shared" si="34"/>
        <v>2500</v>
      </c>
      <c r="M101" s="8">
        <f t="shared" si="34"/>
        <v>2500</v>
      </c>
      <c r="N101" s="8">
        <f t="shared" si="34"/>
        <v>1250</v>
      </c>
      <c r="O101" s="8">
        <f t="shared" si="34"/>
        <v>1250</v>
      </c>
      <c r="P101" s="8">
        <f t="shared" si="34"/>
        <v>1250</v>
      </c>
      <c r="Q101" s="8">
        <f t="shared" si="34"/>
        <v>500</v>
      </c>
      <c r="R101" s="8">
        <f t="shared" si="34"/>
        <v>500</v>
      </c>
      <c r="S101" s="8">
        <f t="shared" si="34"/>
        <v>500</v>
      </c>
      <c r="T101" s="8">
        <f t="shared" si="34"/>
        <v>500</v>
      </c>
      <c r="U101" s="8">
        <f t="shared" si="34"/>
        <v>500</v>
      </c>
      <c r="V101" s="8">
        <f t="shared" si="34"/>
        <v>375</v>
      </c>
      <c r="W101" s="8">
        <f t="shared" si="34"/>
        <v>375</v>
      </c>
      <c r="X101" s="8">
        <f t="shared" si="34"/>
        <v>375</v>
      </c>
      <c r="Y101" s="8">
        <f t="shared" si="34"/>
        <v>375</v>
      </c>
      <c r="Z101" s="8">
        <f t="shared" si="34"/>
        <v>300</v>
      </c>
      <c r="AA101" s="8">
        <f t="shared" si="34"/>
        <v>300</v>
      </c>
      <c r="AB101" s="8">
        <f t="shared" si="34"/>
        <v>300</v>
      </c>
      <c r="AC101" s="8">
        <f t="shared" si="34"/>
        <v>300</v>
      </c>
      <c r="AD101" s="8">
        <f t="shared" si="34"/>
        <v>300</v>
      </c>
      <c r="AE101" s="8">
        <f t="shared" si="34"/>
        <v>250</v>
      </c>
      <c r="AF101" s="8">
        <f t="shared" si="34"/>
        <v>250</v>
      </c>
      <c r="AG101" s="8">
        <f t="shared" si="34"/>
        <v>250</v>
      </c>
      <c r="AH101" s="8">
        <f t="shared" si="34"/>
        <v>250</v>
      </c>
      <c r="AI101" s="8">
        <f t="shared" si="34"/>
        <v>1500</v>
      </c>
      <c r="AJ101" s="8">
        <f t="shared" si="34"/>
        <v>1500</v>
      </c>
      <c r="AK101" s="8">
        <f t="shared" si="34"/>
        <v>1500</v>
      </c>
      <c r="AL101" s="8">
        <f t="shared" si="34"/>
        <v>1500</v>
      </c>
    </row>
    <row r="102" spans="1:38" ht="16.350000000000001" customHeight="1" x14ac:dyDescent="0.3">
      <c r="A102" s="135" t="s">
        <v>137</v>
      </c>
      <c r="B102" s="136"/>
      <c r="C102" s="34">
        <f t="shared" ref="C102:AL102" si="35">C101</f>
        <v>0</v>
      </c>
      <c r="D102" s="34">
        <f t="shared" si="35"/>
        <v>0</v>
      </c>
      <c r="E102" s="34">
        <f t="shared" si="35"/>
        <v>0</v>
      </c>
      <c r="F102" s="34">
        <f t="shared" si="35"/>
        <v>212</v>
      </c>
      <c r="G102" s="34">
        <f t="shared" si="35"/>
        <v>2500</v>
      </c>
      <c r="H102" s="34">
        <f t="shared" si="35"/>
        <v>2500</v>
      </c>
      <c r="I102" s="34">
        <f t="shared" si="35"/>
        <v>2500</v>
      </c>
      <c r="J102" s="34">
        <f t="shared" si="35"/>
        <v>2500</v>
      </c>
      <c r="K102" s="8">
        <f t="shared" si="35"/>
        <v>2500</v>
      </c>
      <c r="L102" s="8">
        <f t="shared" si="35"/>
        <v>2500</v>
      </c>
      <c r="M102" s="8">
        <f t="shared" si="35"/>
        <v>2500</v>
      </c>
      <c r="N102" s="8">
        <f t="shared" si="35"/>
        <v>1250</v>
      </c>
      <c r="O102" s="8">
        <f t="shared" si="35"/>
        <v>1250</v>
      </c>
      <c r="P102" s="8">
        <f t="shared" si="35"/>
        <v>1250</v>
      </c>
      <c r="Q102" s="8">
        <f t="shared" si="35"/>
        <v>500</v>
      </c>
      <c r="R102" s="8">
        <f t="shared" si="35"/>
        <v>500</v>
      </c>
      <c r="S102" s="8">
        <f t="shared" si="35"/>
        <v>500</v>
      </c>
      <c r="T102" s="8">
        <f t="shared" si="35"/>
        <v>500</v>
      </c>
      <c r="U102" s="8">
        <f t="shared" si="35"/>
        <v>500</v>
      </c>
      <c r="V102" s="8">
        <f t="shared" si="35"/>
        <v>375</v>
      </c>
      <c r="W102" s="8">
        <f t="shared" si="35"/>
        <v>375</v>
      </c>
      <c r="X102" s="8">
        <f t="shared" si="35"/>
        <v>375</v>
      </c>
      <c r="Y102" s="8">
        <f t="shared" si="35"/>
        <v>375</v>
      </c>
      <c r="Z102" s="8">
        <f t="shared" si="35"/>
        <v>300</v>
      </c>
      <c r="AA102" s="8">
        <f t="shared" si="35"/>
        <v>300</v>
      </c>
      <c r="AB102" s="8">
        <f t="shared" si="35"/>
        <v>300</v>
      </c>
      <c r="AC102" s="8">
        <f t="shared" si="35"/>
        <v>300</v>
      </c>
      <c r="AD102" s="8">
        <f t="shared" si="35"/>
        <v>300</v>
      </c>
      <c r="AE102" s="8">
        <f t="shared" si="35"/>
        <v>250</v>
      </c>
      <c r="AF102" s="8">
        <f t="shared" si="35"/>
        <v>250</v>
      </c>
      <c r="AG102" s="8">
        <f t="shared" si="35"/>
        <v>250</v>
      </c>
      <c r="AH102" s="8">
        <f t="shared" si="35"/>
        <v>250</v>
      </c>
      <c r="AI102" s="8">
        <f t="shared" si="35"/>
        <v>1500</v>
      </c>
      <c r="AJ102" s="8">
        <f t="shared" si="35"/>
        <v>1500</v>
      </c>
      <c r="AK102" s="8">
        <f t="shared" si="35"/>
        <v>1500</v>
      </c>
      <c r="AL102" s="8">
        <f t="shared" si="35"/>
        <v>1500</v>
      </c>
    </row>
    <row r="103" spans="1:38" ht="16.350000000000001" customHeight="1" x14ac:dyDescent="0.3">
      <c r="A103" s="34" t="s">
        <v>138</v>
      </c>
      <c r="B103" s="46"/>
      <c r="C103" s="34">
        <f>IFERROR(INDEX($C$102:$AK$102,1,1+ROUND(INDEX($H$5:$V$5,1,MATCH("RM09",$H$3:$V$3,0))/7,0)),0)</f>
        <v>2500</v>
      </c>
      <c r="D103" s="34">
        <f>IFERROR(INDEX($C$102:$AK$102,1,2+ROUND(INDEX($H$5:$V$5,1,MATCH("RM09",$H$3:$V$3,0))/7,0)),0)</f>
        <v>2500</v>
      </c>
      <c r="E103" s="34">
        <f>IFERROR(INDEX($C$102:$AK$102,1,3+ROUND(INDEX($H$5:$V$5,1,MATCH("RM09",$H$3:$V$3,0))/7,0)),0)</f>
        <v>2500</v>
      </c>
      <c r="F103" s="34">
        <f>IFERROR(INDEX($C$102:$AK$102,1,4+ROUND(INDEX($H$5:$V$5,1,MATCH("RM09",$H$3:$V$3,0))/7,0)),0)</f>
        <v>2500</v>
      </c>
      <c r="G103" s="34">
        <f>IFERROR(INDEX($C$102:$AK$102,1,5+ROUND(INDEX($H$5:$V$5,1,MATCH("RM09",$H$3:$V$3,0))/7,0)),0)</f>
        <v>2500</v>
      </c>
      <c r="H103" s="34">
        <f>IFERROR(INDEX($C$102:$AK$102,1,6+ROUND(INDEX($H$5:$V$5,1,MATCH("RM09",$H$3:$V$3,0))/7,0)),0)</f>
        <v>2500</v>
      </c>
      <c r="I103" s="34">
        <f>IFERROR(INDEX($C$102:$AK$102,1,7+ROUND(INDEX($H$5:$V$5,1,MATCH("RM09",$H$3:$V$3,0))/7,0)),0)</f>
        <v>2500</v>
      </c>
      <c r="J103" s="34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1250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500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375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300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250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  <c r="AL103" s="8">
        <f>IFERROR(INDEX($C$102:$AK$102,1,35+ROUND(INDEX($H$5:$V$5,1,MATCH("RM09",$H$3:$V$3,0))/7,0)),0)</f>
        <v>0</v>
      </c>
    </row>
    <row r="105" spans="1:38" ht="16.350000000000001" customHeight="1" x14ac:dyDescent="0.3">
      <c r="A105" s="47" t="s">
        <v>147</v>
      </c>
      <c r="B105" s="47" t="s">
        <v>132</v>
      </c>
      <c r="C105" s="137" t="s">
        <v>0</v>
      </c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6"/>
    </row>
    <row r="106" spans="1:38" ht="16.350000000000001" customHeight="1" x14ac:dyDescent="0.3">
      <c r="A106" s="47" t="s">
        <v>133</v>
      </c>
      <c r="B106" s="47" t="str">
        <f>"LT: "&amp;ROUND(INDEX($H$5:$V$5,1,MATCH("RM10",$H$3:$V$3,0))/7,0)</f>
        <v>LT: 11</v>
      </c>
      <c r="C106" s="48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>
        <v>46370</v>
      </c>
    </row>
    <row r="107" spans="1:38" ht="16.350000000000001" customHeight="1" x14ac:dyDescent="0.3">
      <c r="A107" s="51" t="s">
        <v>134</v>
      </c>
      <c r="C107" s="34">
        <f t="array" ref="C107:AL107">TRANSPOSE(BOM_demand!$Q$2:$Q$37)</f>
        <v>0</v>
      </c>
      <c r="D107" s="34">
        <v>10000</v>
      </c>
      <c r="E107" s="34">
        <v>0</v>
      </c>
      <c r="F107" s="34">
        <v>1360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1000</v>
      </c>
      <c r="O107" s="34">
        <v>1000</v>
      </c>
      <c r="P107" s="34">
        <v>1000</v>
      </c>
      <c r="Q107" s="34">
        <v>0</v>
      </c>
      <c r="R107" s="34">
        <v>0</v>
      </c>
      <c r="S107" s="34">
        <v>800</v>
      </c>
      <c r="T107" s="34">
        <v>0</v>
      </c>
      <c r="U107" s="34">
        <v>0</v>
      </c>
      <c r="V107" s="34">
        <v>800</v>
      </c>
      <c r="W107" s="34">
        <v>0</v>
      </c>
      <c r="X107" s="34">
        <v>800</v>
      </c>
      <c r="Y107" s="34">
        <v>0</v>
      </c>
      <c r="Z107" s="34">
        <v>720</v>
      </c>
      <c r="AA107" s="34">
        <v>720</v>
      </c>
      <c r="AB107" s="34">
        <v>720</v>
      </c>
      <c r="AC107" s="34">
        <v>720</v>
      </c>
      <c r="AD107" s="34">
        <v>720</v>
      </c>
      <c r="AE107" s="34">
        <v>2000</v>
      </c>
      <c r="AF107" s="34">
        <v>2000</v>
      </c>
      <c r="AG107" s="34">
        <v>2000</v>
      </c>
      <c r="AH107" s="34">
        <v>2000</v>
      </c>
      <c r="AI107" s="34">
        <v>2500</v>
      </c>
      <c r="AJ107" s="34">
        <v>2500</v>
      </c>
      <c r="AK107" s="34">
        <v>2500</v>
      </c>
      <c r="AL107">
        <v>2500</v>
      </c>
    </row>
    <row r="108" spans="1:38" ht="16.350000000000001" customHeight="1" x14ac:dyDescent="0.3">
      <c r="A108" s="135" t="s">
        <v>128</v>
      </c>
      <c r="B108" s="136"/>
      <c r="C108" s="34">
        <f>IFERROR(INDEX($H$7:$V$7,1,MATCH("RM10",$H$3:$V$3,0)),0)</f>
        <v>5000</v>
      </c>
      <c r="D108" s="34">
        <f>0</f>
        <v>0</v>
      </c>
      <c r="E108" s="34">
        <f>0</f>
        <v>0</v>
      </c>
      <c r="F108" s="34">
        <f>0</f>
        <v>0</v>
      </c>
      <c r="G108" s="34">
        <f>0</f>
        <v>0</v>
      </c>
      <c r="H108" s="34">
        <f>0</f>
        <v>0</v>
      </c>
      <c r="I108" s="34">
        <f>0</f>
        <v>0</v>
      </c>
      <c r="J108" s="34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  <c r="AL108" s="8">
        <f>0</f>
        <v>0</v>
      </c>
    </row>
    <row r="109" spans="1:38" ht="16.350000000000001" customHeight="1" x14ac:dyDescent="0.3">
      <c r="A109" s="34" t="s">
        <v>129</v>
      </c>
      <c r="B109" s="46">
        <f>IFERROR(INDEX($H$8:$V$8,1,MATCH("RM10",$H$3:$V$3,0)),0)</f>
        <v>2192</v>
      </c>
      <c r="C109" s="34">
        <f t="shared" ref="C109:AL109" si="36">$B109</f>
        <v>2192</v>
      </c>
      <c r="D109" s="34">
        <f t="shared" si="36"/>
        <v>2192</v>
      </c>
      <c r="E109" s="34">
        <f t="shared" si="36"/>
        <v>2192</v>
      </c>
      <c r="F109" s="34">
        <f t="shared" si="36"/>
        <v>2192</v>
      </c>
      <c r="G109" s="34">
        <f t="shared" si="36"/>
        <v>2192</v>
      </c>
      <c r="H109" s="34">
        <f t="shared" si="36"/>
        <v>2192</v>
      </c>
      <c r="I109" s="34">
        <f t="shared" si="36"/>
        <v>2192</v>
      </c>
      <c r="J109" s="34">
        <f t="shared" si="36"/>
        <v>2192</v>
      </c>
      <c r="K109" s="8">
        <f t="shared" si="36"/>
        <v>2192</v>
      </c>
      <c r="L109" s="8">
        <f t="shared" si="36"/>
        <v>2192</v>
      </c>
      <c r="M109" s="8">
        <f t="shared" si="36"/>
        <v>2192</v>
      </c>
      <c r="N109" s="8">
        <f t="shared" si="36"/>
        <v>2192</v>
      </c>
      <c r="O109" s="8">
        <f t="shared" si="36"/>
        <v>2192</v>
      </c>
      <c r="P109" s="8">
        <f t="shared" si="36"/>
        <v>2192</v>
      </c>
      <c r="Q109" s="8">
        <f t="shared" si="36"/>
        <v>2192</v>
      </c>
      <c r="R109" s="8">
        <f t="shared" si="36"/>
        <v>2192</v>
      </c>
      <c r="S109" s="8">
        <f t="shared" si="36"/>
        <v>2192</v>
      </c>
      <c r="T109" s="8">
        <f t="shared" si="36"/>
        <v>2192</v>
      </c>
      <c r="U109" s="8">
        <f t="shared" si="36"/>
        <v>2192</v>
      </c>
      <c r="V109" s="8">
        <f t="shared" si="36"/>
        <v>2192</v>
      </c>
      <c r="W109" s="8">
        <f t="shared" si="36"/>
        <v>2192</v>
      </c>
      <c r="X109" s="8">
        <f t="shared" si="36"/>
        <v>2192</v>
      </c>
      <c r="Y109" s="8">
        <f t="shared" si="36"/>
        <v>2192</v>
      </c>
      <c r="Z109" s="8">
        <f t="shared" si="36"/>
        <v>2192</v>
      </c>
      <c r="AA109" s="8">
        <f t="shared" si="36"/>
        <v>2192</v>
      </c>
      <c r="AB109" s="8">
        <f t="shared" si="36"/>
        <v>2192</v>
      </c>
      <c r="AC109" s="8">
        <f t="shared" si="36"/>
        <v>2192</v>
      </c>
      <c r="AD109" s="8">
        <f t="shared" si="36"/>
        <v>2192</v>
      </c>
      <c r="AE109" s="8">
        <f t="shared" si="36"/>
        <v>2192</v>
      </c>
      <c r="AF109" s="8">
        <f t="shared" si="36"/>
        <v>2192</v>
      </c>
      <c r="AG109" s="8">
        <f t="shared" si="36"/>
        <v>2192</v>
      </c>
      <c r="AH109" s="8">
        <f t="shared" si="36"/>
        <v>2192</v>
      </c>
      <c r="AI109" s="8">
        <f t="shared" si="36"/>
        <v>2192</v>
      </c>
      <c r="AJ109" s="8">
        <f t="shared" si="36"/>
        <v>2192</v>
      </c>
      <c r="AK109" s="8">
        <f t="shared" si="36"/>
        <v>2192</v>
      </c>
      <c r="AL109" s="8">
        <f t="shared" si="36"/>
        <v>2192</v>
      </c>
    </row>
    <row r="110" spans="1:38" ht="16.350000000000001" customHeight="1" x14ac:dyDescent="0.3">
      <c r="A110" s="34" t="s">
        <v>135</v>
      </c>
      <c r="B110" s="46">
        <f>IFERROR(INDEX($H$6:$V$6,1,MATCH("RM10",$H$3:$V$3,0)),0)</f>
        <v>60000</v>
      </c>
      <c r="C110" s="34">
        <f>$B110+C108+C112-C107</f>
        <v>65000</v>
      </c>
      <c r="D110" s="34">
        <f t="shared" ref="D110:AL110" si="37">C110+D108+D112-D107</f>
        <v>55000</v>
      </c>
      <c r="E110" s="34">
        <f t="shared" si="37"/>
        <v>55000</v>
      </c>
      <c r="F110" s="34">
        <f t="shared" si="37"/>
        <v>53640</v>
      </c>
      <c r="G110" s="34">
        <f t="shared" si="37"/>
        <v>53640</v>
      </c>
      <c r="H110" s="34">
        <f t="shared" si="37"/>
        <v>53640</v>
      </c>
      <c r="I110" s="34">
        <f t="shared" si="37"/>
        <v>53640</v>
      </c>
      <c r="J110" s="34">
        <f t="shared" si="37"/>
        <v>53640</v>
      </c>
      <c r="K110" s="8">
        <f t="shared" si="37"/>
        <v>53640</v>
      </c>
      <c r="L110" s="8">
        <f t="shared" si="37"/>
        <v>53640</v>
      </c>
      <c r="M110" s="8">
        <f t="shared" si="37"/>
        <v>53640</v>
      </c>
      <c r="N110" s="8">
        <f t="shared" si="37"/>
        <v>52640</v>
      </c>
      <c r="O110" s="8">
        <f t="shared" si="37"/>
        <v>51640</v>
      </c>
      <c r="P110" s="8">
        <f t="shared" si="37"/>
        <v>50640</v>
      </c>
      <c r="Q110" s="8">
        <f t="shared" si="37"/>
        <v>50640</v>
      </c>
      <c r="R110" s="8">
        <f t="shared" si="37"/>
        <v>50640</v>
      </c>
      <c r="S110" s="8">
        <f t="shared" si="37"/>
        <v>49840</v>
      </c>
      <c r="T110" s="8">
        <f t="shared" si="37"/>
        <v>49840</v>
      </c>
      <c r="U110" s="8">
        <f t="shared" si="37"/>
        <v>49840</v>
      </c>
      <c r="V110" s="8">
        <f t="shared" si="37"/>
        <v>49040</v>
      </c>
      <c r="W110" s="8">
        <f t="shared" si="37"/>
        <v>49040</v>
      </c>
      <c r="X110" s="8">
        <f t="shared" si="37"/>
        <v>48240</v>
      </c>
      <c r="Y110" s="8">
        <f t="shared" si="37"/>
        <v>48240</v>
      </c>
      <c r="Z110" s="8">
        <f t="shared" si="37"/>
        <v>47520</v>
      </c>
      <c r="AA110" s="8">
        <f t="shared" si="37"/>
        <v>46800</v>
      </c>
      <c r="AB110" s="8">
        <f t="shared" si="37"/>
        <v>46080</v>
      </c>
      <c r="AC110" s="8">
        <f t="shared" si="37"/>
        <v>45360</v>
      </c>
      <c r="AD110" s="8">
        <f t="shared" si="37"/>
        <v>44640</v>
      </c>
      <c r="AE110" s="8">
        <f t="shared" si="37"/>
        <v>42640</v>
      </c>
      <c r="AF110" s="8">
        <f t="shared" si="37"/>
        <v>40640</v>
      </c>
      <c r="AG110" s="8">
        <f t="shared" si="37"/>
        <v>38640</v>
      </c>
      <c r="AH110" s="8">
        <f t="shared" si="37"/>
        <v>36640</v>
      </c>
      <c r="AI110" s="8">
        <f t="shared" si="37"/>
        <v>34140</v>
      </c>
      <c r="AJ110" s="8">
        <f t="shared" si="37"/>
        <v>31640</v>
      </c>
      <c r="AK110" s="8">
        <f t="shared" si="37"/>
        <v>29140</v>
      </c>
      <c r="AL110" s="8">
        <f t="shared" si="37"/>
        <v>26640</v>
      </c>
    </row>
    <row r="111" spans="1:38" ht="16.350000000000001" customHeight="1" x14ac:dyDescent="0.3">
      <c r="A111" s="34" t="s">
        <v>136</v>
      </c>
      <c r="B111" s="46"/>
      <c r="C111" s="34">
        <f>MAX(C107+C109-($B110+C108),0)</f>
        <v>0</v>
      </c>
      <c r="D111" s="34">
        <f t="shared" ref="D111:AL111" si="38">MAX(D107+D109-(C110+D108),0)</f>
        <v>0</v>
      </c>
      <c r="E111" s="34">
        <f t="shared" si="38"/>
        <v>0</v>
      </c>
      <c r="F111" s="34">
        <f t="shared" si="38"/>
        <v>0</v>
      </c>
      <c r="G111" s="34">
        <f t="shared" si="38"/>
        <v>0</v>
      </c>
      <c r="H111" s="34">
        <f t="shared" si="38"/>
        <v>0</v>
      </c>
      <c r="I111" s="34">
        <f t="shared" si="38"/>
        <v>0</v>
      </c>
      <c r="J111" s="34">
        <f t="shared" si="38"/>
        <v>0</v>
      </c>
      <c r="K111" s="8">
        <f t="shared" si="38"/>
        <v>0</v>
      </c>
      <c r="L111" s="8">
        <f t="shared" si="38"/>
        <v>0</v>
      </c>
      <c r="M111" s="8">
        <f t="shared" si="38"/>
        <v>0</v>
      </c>
      <c r="N111" s="8">
        <f t="shared" si="38"/>
        <v>0</v>
      </c>
      <c r="O111" s="8">
        <f t="shared" si="38"/>
        <v>0</v>
      </c>
      <c r="P111" s="8">
        <f t="shared" si="38"/>
        <v>0</v>
      </c>
      <c r="Q111" s="8">
        <f t="shared" si="38"/>
        <v>0</v>
      </c>
      <c r="R111" s="8">
        <f t="shared" si="38"/>
        <v>0</v>
      </c>
      <c r="S111" s="8">
        <f t="shared" si="38"/>
        <v>0</v>
      </c>
      <c r="T111" s="8">
        <f t="shared" si="38"/>
        <v>0</v>
      </c>
      <c r="U111" s="8">
        <f t="shared" si="38"/>
        <v>0</v>
      </c>
      <c r="V111" s="8">
        <f t="shared" si="38"/>
        <v>0</v>
      </c>
      <c r="W111" s="8">
        <f t="shared" si="38"/>
        <v>0</v>
      </c>
      <c r="X111" s="8">
        <f t="shared" si="38"/>
        <v>0</v>
      </c>
      <c r="Y111" s="8">
        <f t="shared" si="38"/>
        <v>0</v>
      </c>
      <c r="Z111" s="8">
        <f t="shared" si="38"/>
        <v>0</v>
      </c>
      <c r="AA111" s="8">
        <f t="shared" si="38"/>
        <v>0</v>
      </c>
      <c r="AB111" s="8">
        <f t="shared" si="38"/>
        <v>0</v>
      </c>
      <c r="AC111" s="8">
        <f t="shared" si="38"/>
        <v>0</v>
      </c>
      <c r="AD111" s="8">
        <f t="shared" si="38"/>
        <v>0</v>
      </c>
      <c r="AE111" s="8">
        <f t="shared" si="38"/>
        <v>0</v>
      </c>
      <c r="AF111" s="8">
        <f t="shared" si="38"/>
        <v>0</v>
      </c>
      <c r="AG111" s="8">
        <f t="shared" si="38"/>
        <v>0</v>
      </c>
      <c r="AH111" s="8">
        <f t="shared" si="38"/>
        <v>0</v>
      </c>
      <c r="AI111" s="8">
        <f t="shared" si="38"/>
        <v>0</v>
      </c>
      <c r="AJ111" s="8">
        <f t="shared" si="38"/>
        <v>0</v>
      </c>
      <c r="AK111" s="8">
        <f t="shared" si="38"/>
        <v>0</v>
      </c>
      <c r="AL111" s="8">
        <f t="shared" si="38"/>
        <v>0</v>
      </c>
    </row>
    <row r="112" spans="1:38" ht="16.350000000000001" customHeight="1" x14ac:dyDescent="0.3">
      <c r="A112" s="135" t="s">
        <v>137</v>
      </c>
      <c r="B112" s="136"/>
      <c r="C112" s="34">
        <f t="shared" ref="C112:AL112" si="39">C111</f>
        <v>0</v>
      </c>
      <c r="D112" s="34">
        <f t="shared" si="39"/>
        <v>0</v>
      </c>
      <c r="E112" s="34">
        <f t="shared" si="39"/>
        <v>0</v>
      </c>
      <c r="F112" s="34">
        <f t="shared" si="39"/>
        <v>0</v>
      </c>
      <c r="G112" s="34">
        <f t="shared" si="39"/>
        <v>0</v>
      </c>
      <c r="H112" s="34">
        <f t="shared" si="39"/>
        <v>0</v>
      </c>
      <c r="I112" s="34">
        <f t="shared" si="39"/>
        <v>0</v>
      </c>
      <c r="J112" s="34">
        <f t="shared" si="39"/>
        <v>0</v>
      </c>
      <c r="K112" s="8">
        <f t="shared" si="39"/>
        <v>0</v>
      </c>
      <c r="L112" s="8">
        <f t="shared" si="39"/>
        <v>0</v>
      </c>
      <c r="M112" s="8">
        <f t="shared" si="39"/>
        <v>0</v>
      </c>
      <c r="N112" s="8">
        <f t="shared" si="39"/>
        <v>0</v>
      </c>
      <c r="O112" s="8">
        <f t="shared" si="39"/>
        <v>0</v>
      </c>
      <c r="P112" s="8">
        <f t="shared" si="39"/>
        <v>0</v>
      </c>
      <c r="Q112" s="8">
        <f t="shared" si="39"/>
        <v>0</v>
      </c>
      <c r="R112" s="8">
        <f t="shared" si="39"/>
        <v>0</v>
      </c>
      <c r="S112" s="8">
        <f t="shared" si="39"/>
        <v>0</v>
      </c>
      <c r="T112" s="8">
        <f t="shared" si="39"/>
        <v>0</v>
      </c>
      <c r="U112" s="8">
        <f t="shared" si="39"/>
        <v>0</v>
      </c>
      <c r="V112" s="8">
        <f t="shared" si="39"/>
        <v>0</v>
      </c>
      <c r="W112" s="8">
        <f t="shared" si="39"/>
        <v>0</v>
      </c>
      <c r="X112" s="8">
        <f t="shared" si="39"/>
        <v>0</v>
      </c>
      <c r="Y112" s="8">
        <f t="shared" si="39"/>
        <v>0</v>
      </c>
      <c r="Z112" s="8">
        <f t="shared" si="39"/>
        <v>0</v>
      </c>
      <c r="AA112" s="8">
        <f t="shared" si="39"/>
        <v>0</v>
      </c>
      <c r="AB112" s="8">
        <f t="shared" si="39"/>
        <v>0</v>
      </c>
      <c r="AC112" s="8">
        <f t="shared" si="39"/>
        <v>0</v>
      </c>
      <c r="AD112" s="8">
        <f t="shared" si="39"/>
        <v>0</v>
      </c>
      <c r="AE112" s="8">
        <f t="shared" si="39"/>
        <v>0</v>
      </c>
      <c r="AF112" s="8">
        <f t="shared" si="39"/>
        <v>0</v>
      </c>
      <c r="AG112" s="8">
        <f t="shared" si="39"/>
        <v>0</v>
      </c>
      <c r="AH112" s="8">
        <f t="shared" si="39"/>
        <v>0</v>
      </c>
      <c r="AI112" s="8">
        <f t="shared" si="39"/>
        <v>0</v>
      </c>
      <c r="AJ112" s="8">
        <f t="shared" si="39"/>
        <v>0</v>
      </c>
      <c r="AK112" s="8">
        <f t="shared" si="39"/>
        <v>0</v>
      </c>
      <c r="AL112" s="8">
        <f t="shared" si="39"/>
        <v>0</v>
      </c>
    </row>
    <row r="113" spans="1:38" ht="16.350000000000001" customHeight="1" x14ac:dyDescent="0.3">
      <c r="A113" s="34" t="s">
        <v>138</v>
      </c>
      <c r="B113" s="46"/>
      <c r="C113" s="34">
        <f>IFERROR(INDEX($C$112:$AK$112,1,1+ROUND(INDEX($H$5:$V$5,1,MATCH("RM10",$H$3:$V$3,0))/7,0)),0)</f>
        <v>0</v>
      </c>
      <c r="D113" s="34">
        <f>IFERROR(INDEX($C$112:$AK$112,1,2+ROUND(INDEX($H$5:$V$5,1,MATCH("RM10",$H$3:$V$3,0))/7,0)),0)</f>
        <v>0</v>
      </c>
      <c r="E113" s="34">
        <f>IFERROR(INDEX($C$112:$AK$112,1,3+ROUND(INDEX($H$5:$V$5,1,MATCH("RM10",$H$3:$V$3,0))/7,0)),0)</f>
        <v>0</v>
      </c>
      <c r="F113" s="34">
        <f>IFERROR(INDEX($C$112:$AK$112,1,4+ROUND(INDEX($H$5:$V$5,1,MATCH("RM10",$H$3:$V$3,0))/7,0)),0)</f>
        <v>0</v>
      </c>
      <c r="G113" s="34">
        <f>IFERROR(INDEX($C$112:$AK$112,1,5+ROUND(INDEX($H$5:$V$5,1,MATCH("RM10",$H$3:$V$3,0))/7,0)),0)</f>
        <v>0</v>
      </c>
      <c r="H113" s="34">
        <f>IFERROR(INDEX($C$112:$AK$112,1,6+ROUND(INDEX($H$5:$V$5,1,MATCH("RM10",$H$3:$V$3,0))/7,0)),0)</f>
        <v>0</v>
      </c>
      <c r="I113" s="34">
        <f>IFERROR(INDEX($C$112:$AK$112,1,7+ROUND(INDEX($H$5:$V$5,1,MATCH("RM10",$H$3:$V$3,0))/7,0)),0)</f>
        <v>0</v>
      </c>
      <c r="J113" s="34">
        <f>IFERROR(INDEX($C$112:$AK$112,1,8+ROUND(INDEX($H$5:$V$5,1,MATCH("RM10",$H$3:$V$3,0))/7,0)),0)</f>
        <v>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0</v>
      </c>
      <c r="O113" s="8">
        <f>IFERROR(INDEX($C$112:$AK$112,1,13+ROUND(INDEX($H$5:$V$5,1,MATCH("RM10",$H$3:$V$3,0))/7,0)),0)</f>
        <v>0</v>
      </c>
      <c r="P113" s="8">
        <f>IFERROR(INDEX($C$112:$AK$112,1,14+ROUND(INDEX($H$5:$V$5,1,MATCH("RM10",$H$3:$V$3,0))/7,0)),0)</f>
        <v>0</v>
      </c>
      <c r="Q113" s="8">
        <f>IFERROR(INDEX($C$112:$AK$112,1,15+ROUND(INDEX($H$5:$V$5,1,MATCH("RM10",$H$3:$V$3,0))/7,0)),0)</f>
        <v>0</v>
      </c>
      <c r="R113" s="8">
        <f>IFERROR(INDEX($C$112:$AK$112,1,16+ROUND(INDEX($H$5:$V$5,1,MATCH("RM10",$H$3:$V$3,0))/7,0)),0)</f>
        <v>0</v>
      </c>
      <c r="S113" s="8">
        <f>IFERROR(INDEX($C$112:$AK$112,1,17+ROUND(INDEX($H$5:$V$5,1,MATCH("RM10",$H$3:$V$3,0))/7,0)),0)</f>
        <v>0</v>
      </c>
      <c r="T113" s="8">
        <f>IFERROR(INDEX($C$112:$AK$112,1,18+ROUND(INDEX($H$5:$V$5,1,MATCH("RM10",$H$3:$V$3,0))/7,0)),0)</f>
        <v>0</v>
      </c>
      <c r="U113" s="8">
        <f>IFERROR(INDEX($C$112:$AK$112,1,19+ROUND(INDEX($H$5:$V$5,1,MATCH("RM10",$H$3:$V$3,0))/7,0)),0)</f>
        <v>0</v>
      </c>
      <c r="V113" s="8">
        <f>IFERROR(INDEX($C$112:$AK$112,1,20+ROUND(INDEX($H$5:$V$5,1,MATCH("RM10",$H$3:$V$3,0))/7,0)),0)</f>
        <v>0</v>
      </c>
      <c r="W113" s="8">
        <f>IFERROR(INDEX($C$112:$AK$112,1,21+ROUND(INDEX($H$5:$V$5,1,MATCH("RM10",$H$3:$V$3,0))/7,0)),0)</f>
        <v>0</v>
      </c>
      <c r="X113" s="8">
        <f>IFERROR(INDEX($C$112:$AK$112,1,22+ROUND(INDEX($H$5:$V$5,1,MATCH("RM10",$H$3:$V$3,0))/7,0)),0)</f>
        <v>0</v>
      </c>
      <c r="Y113" s="8">
        <f>IFERROR(INDEX($C$112:$AK$112,1,23+ROUND(INDEX($H$5:$V$5,1,MATCH("RM10",$H$3:$V$3,0))/7,0)),0)</f>
        <v>0</v>
      </c>
      <c r="Z113" s="8">
        <f>IFERROR(INDEX($C$112:$AK$112,1,24+ROUND(INDEX($H$5:$V$5,1,MATCH("RM10",$H$3:$V$3,0))/7,0)),0)</f>
        <v>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  <c r="AL113" s="8">
        <f>IFERROR(INDEX($C$112:$AK$112,1,35+ROUND(INDEX($H$5:$V$5,1,MATCH("RM10",$H$3:$V$3,0))/7,0)),0)</f>
        <v>0</v>
      </c>
    </row>
    <row r="115" spans="1:38" ht="16.350000000000001" customHeight="1" x14ac:dyDescent="0.3">
      <c r="A115" s="47" t="s">
        <v>148</v>
      </c>
      <c r="B115" s="47" t="s">
        <v>132</v>
      </c>
      <c r="C115" s="137" t="s">
        <v>0</v>
      </c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6"/>
    </row>
    <row r="116" spans="1:38" ht="16.350000000000001" customHeight="1" x14ac:dyDescent="0.3">
      <c r="A116" s="47" t="s">
        <v>133</v>
      </c>
      <c r="B116" s="47" t="str">
        <f>"LT: "&amp;ROUND(INDEX($H$5:$V$5,1,MATCH("RM11",$H$3:$V$3,0))/7,0)</f>
        <v>LT: 3</v>
      </c>
      <c r="C116" s="48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>
        <v>46370</v>
      </c>
    </row>
    <row r="117" spans="1:38" ht="16.350000000000001" customHeight="1" x14ac:dyDescent="0.3">
      <c r="A117" s="51" t="s">
        <v>134</v>
      </c>
      <c r="C117" s="34">
        <f t="array" ref="C117:AL117">TRANSPOSE(BOM_demand!$R$2:$R$37)</f>
        <v>0</v>
      </c>
      <c r="D117" s="34">
        <v>7500</v>
      </c>
      <c r="E117" s="34">
        <v>0</v>
      </c>
      <c r="F117" s="34">
        <v>1020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750</v>
      </c>
      <c r="O117" s="34">
        <v>750</v>
      </c>
      <c r="P117" s="34">
        <v>750</v>
      </c>
      <c r="Q117" s="34">
        <v>0</v>
      </c>
      <c r="R117" s="34">
        <v>0</v>
      </c>
      <c r="S117" s="34">
        <v>600</v>
      </c>
      <c r="T117" s="34">
        <v>0</v>
      </c>
      <c r="U117" s="34">
        <v>0</v>
      </c>
      <c r="V117" s="34">
        <v>600</v>
      </c>
      <c r="W117" s="34">
        <v>0</v>
      </c>
      <c r="X117" s="34">
        <v>600</v>
      </c>
      <c r="Y117" s="34">
        <v>0</v>
      </c>
      <c r="Z117" s="34">
        <v>540</v>
      </c>
      <c r="AA117" s="34">
        <v>540</v>
      </c>
      <c r="AB117" s="34">
        <v>540</v>
      </c>
      <c r="AC117" s="34">
        <v>540</v>
      </c>
      <c r="AD117" s="34">
        <v>540</v>
      </c>
      <c r="AE117" s="34">
        <v>1500</v>
      </c>
      <c r="AF117" s="34">
        <v>1500</v>
      </c>
      <c r="AG117" s="34">
        <v>1500</v>
      </c>
      <c r="AH117" s="34">
        <v>1500</v>
      </c>
      <c r="AI117" s="34">
        <v>1875</v>
      </c>
      <c r="AJ117" s="34">
        <v>1875</v>
      </c>
      <c r="AK117" s="34">
        <v>1875</v>
      </c>
      <c r="AL117">
        <v>1875</v>
      </c>
    </row>
    <row r="118" spans="1:38" ht="16.350000000000001" customHeight="1" x14ac:dyDescent="0.3">
      <c r="A118" s="135" t="s">
        <v>128</v>
      </c>
      <c r="B118" s="136"/>
      <c r="C118" s="34">
        <f>IFERROR(INDEX($H$7:$V$7,1,MATCH("RM11",$H$3:$V$3,0)),0)</f>
        <v>0</v>
      </c>
      <c r="D118" s="34">
        <f>0</f>
        <v>0</v>
      </c>
      <c r="E118" s="34">
        <f>0</f>
        <v>0</v>
      </c>
      <c r="F118" s="34">
        <f>0</f>
        <v>0</v>
      </c>
      <c r="G118" s="34">
        <f>0</f>
        <v>0</v>
      </c>
      <c r="H118" s="34">
        <f>0</f>
        <v>0</v>
      </c>
      <c r="I118" s="34">
        <f>0</f>
        <v>0</v>
      </c>
      <c r="J118" s="34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  <c r="AL118" s="8">
        <f>0</f>
        <v>0</v>
      </c>
    </row>
    <row r="119" spans="1:38" ht="16.350000000000001" customHeight="1" x14ac:dyDescent="0.3">
      <c r="A119" s="34" t="s">
        <v>129</v>
      </c>
      <c r="B119" s="46">
        <f>IFERROR(INDEX($H$8:$V$8,1,MATCH("RM11",$H$3:$V$3,0)),0)</f>
        <v>1644</v>
      </c>
      <c r="C119" s="34">
        <f t="shared" ref="C119:AL119" si="40">$B119</f>
        <v>1644</v>
      </c>
      <c r="D119" s="34">
        <f t="shared" si="40"/>
        <v>1644</v>
      </c>
      <c r="E119" s="34">
        <f t="shared" si="40"/>
        <v>1644</v>
      </c>
      <c r="F119" s="34">
        <f t="shared" si="40"/>
        <v>1644</v>
      </c>
      <c r="G119" s="34">
        <f t="shared" si="40"/>
        <v>1644</v>
      </c>
      <c r="H119" s="34">
        <f t="shared" si="40"/>
        <v>1644</v>
      </c>
      <c r="I119" s="34">
        <f t="shared" si="40"/>
        <v>1644</v>
      </c>
      <c r="J119" s="34">
        <f t="shared" si="40"/>
        <v>1644</v>
      </c>
      <c r="K119" s="8">
        <f t="shared" si="40"/>
        <v>1644</v>
      </c>
      <c r="L119" s="8">
        <f t="shared" si="40"/>
        <v>1644</v>
      </c>
      <c r="M119" s="8">
        <f t="shared" si="40"/>
        <v>1644</v>
      </c>
      <c r="N119" s="8">
        <f t="shared" si="40"/>
        <v>1644</v>
      </c>
      <c r="O119" s="8">
        <f t="shared" si="40"/>
        <v>1644</v>
      </c>
      <c r="P119" s="8">
        <f t="shared" si="40"/>
        <v>1644</v>
      </c>
      <c r="Q119" s="8">
        <f t="shared" si="40"/>
        <v>1644</v>
      </c>
      <c r="R119" s="8">
        <f t="shared" si="40"/>
        <v>1644</v>
      </c>
      <c r="S119" s="8">
        <f t="shared" si="40"/>
        <v>1644</v>
      </c>
      <c r="T119" s="8">
        <f t="shared" si="40"/>
        <v>1644</v>
      </c>
      <c r="U119" s="8">
        <f t="shared" si="40"/>
        <v>1644</v>
      </c>
      <c r="V119" s="8">
        <f t="shared" si="40"/>
        <v>1644</v>
      </c>
      <c r="W119" s="8">
        <f t="shared" si="40"/>
        <v>1644</v>
      </c>
      <c r="X119" s="8">
        <f t="shared" si="40"/>
        <v>1644</v>
      </c>
      <c r="Y119" s="8">
        <f t="shared" si="40"/>
        <v>1644</v>
      </c>
      <c r="Z119" s="8">
        <f t="shared" si="40"/>
        <v>1644</v>
      </c>
      <c r="AA119" s="8">
        <f t="shared" si="40"/>
        <v>1644</v>
      </c>
      <c r="AB119" s="8">
        <f t="shared" si="40"/>
        <v>1644</v>
      </c>
      <c r="AC119" s="8">
        <f t="shared" si="40"/>
        <v>1644</v>
      </c>
      <c r="AD119" s="8">
        <f t="shared" si="40"/>
        <v>1644</v>
      </c>
      <c r="AE119" s="8">
        <f t="shared" si="40"/>
        <v>1644</v>
      </c>
      <c r="AF119" s="8">
        <f t="shared" si="40"/>
        <v>1644</v>
      </c>
      <c r="AG119" s="8">
        <f t="shared" si="40"/>
        <v>1644</v>
      </c>
      <c r="AH119" s="8">
        <f t="shared" si="40"/>
        <v>1644</v>
      </c>
      <c r="AI119" s="8">
        <f t="shared" si="40"/>
        <v>1644</v>
      </c>
      <c r="AJ119" s="8">
        <f t="shared" si="40"/>
        <v>1644</v>
      </c>
      <c r="AK119" s="8">
        <f t="shared" si="40"/>
        <v>1644</v>
      </c>
      <c r="AL119" s="8">
        <f t="shared" si="40"/>
        <v>1644</v>
      </c>
    </row>
    <row r="120" spans="1:38" ht="16.350000000000001" customHeight="1" x14ac:dyDescent="0.3">
      <c r="A120" s="34" t="s">
        <v>135</v>
      </c>
      <c r="B120" s="46">
        <f>IFERROR(INDEX($H$6:$V$6,1,MATCH("RM11",$H$3:$V$3,0)),0)</f>
        <v>100000</v>
      </c>
      <c r="C120" s="34">
        <f>$B120+C118+C122-C117</f>
        <v>100000</v>
      </c>
      <c r="D120" s="34">
        <f t="shared" ref="D120:AL120" si="41">C120+D118+D122-D117</f>
        <v>92500</v>
      </c>
      <c r="E120" s="34">
        <f t="shared" si="41"/>
        <v>92500</v>
      </c>
      <c r="F120" s="34">
        <f t="shared" si="41"/>
        <v>91480</v>
      </c>
      <c r="G120" s="34">
        <f t="shared" si="41"/>
        <v>91480</v>
      </c>
      <c r="H120" s="34">
        <f t="shared" si="41"/>
        <v>91480</v>
      </c>
      <c r="I120" s="34">
        <f t="shared" si="41"/>
        <v>91480</v>
      </c>
      <c r="J120" s="34">
        <f t="shared" si="41"/>
        <v>91480</v>
      </c>
      <c r="K120" s="8">
        <f t="shared" si="41"/>
        <v>91480</v>
      </c>
      <c r="L120" s="8">
        <f t="shared" si="41"/>
        <v>91480</v>
      </c>
      <c r="M120" s="8">
        <f t="shared" si="41"/>
        <v>91480</v>
      </c>
      <c r="N120" s="8">
        <f t="shared" si="41"/>
        <v>90730</v>
      </c>
      <c r="O120" s="8">
        <f t="shared" si="41"/>
        <v>89980</v>
      </c>
      <c r="P120" s="8">
        <f t="shared" si="41"/>
        <v>89230</v>
      </c>
      <c r="Q120" s="8">
        <f t="shared" si="41"/>
        <v>89230</v>
      </c>
      <c r="R120" s="8">
        <f t="shared" si="41"/>
        <v>89230</v>
      </c>
      <c r="S120" s="8">
        <f t="shared" si="41"/>
        <v>88630</v>
      </c>
      <c r="T120" s="8">
        <f t="shared" si="41"/>
        <v>88630</v>
      </c>
      <c r="U120" s="8">
        <f t="shared" si="41"/>
        <v>88630</v>
      </c>
      <c r="V120" s="8">
        <f t="shared" si="41"/>
        <v>88030</v>
      </c>
      <c r="W120" s="8">
        <f t="shared" si="41"/>
        <v>88030</v>
      </c>
      <c r="X120" s="8">
        <f t="shared" si="41"/>
        <v>87430</v>
      </c>
      <c r="Y120" s="8">
        <f t="shared" si="41"/>
        <v>87430</v>
      </c>
      <c r="Z120" s="8">
        <f t="shared" si="41"/>
        <v>86890</v>
      </c>
      <c r="AA120" s="8">
        <f t="shared" si="41"/>
        <v>86350</v>
      </c>
      <c r="AB120" s="8">
        <f t="shared" si="41"/>
        <v>85810</v>
      </c>
      <c r="AC120" s="8">
        <f t="shared" si="41"/>
        <v>85270</v>
      </c>
      <c r="AD120" s="8">
        <f t="shared" si="41"/>
        <v>84730</v>
      </c>
      <c r="AE120" s="8">
        <f t="shared" si="41"/>
        <v>83230</v>
      </c>
      <c r="AF120" s="8">
        <f t="shared" si="41"/>
        <v>81730</v>
      </c>
      <c r="AG120" s="8">
        <f t="shared" si="41"/>
        <v>80230</v>
      </c>
      <c r="AH120" s="8">
        <f t="shared" si="41"/>
        <v>78730</v>
      </c>
      <c r="AI120" s="8">
        <f t="shared" si="41"/>
        <v>76855</v>
      </c>
      <c r="AJ120" s="8">
        <f t="shared" si="41"/>
        <v>74980</v>
      </c>
      <c r="AK120" s="8">
        <f t="shared" si="41"/>
        <v>73105</v>
      </c>
      <c r="AL120" s="8">
        <f t="shared" si="41"/>
        <v>71230</v>
      </c>
    </row>
    <row r="121" spans="1:38" ht="16.350000000000001" customHeight="1" x14ac:dyDescent="0.3">
      <c r="A121" s="34" t="s">
        <v>136</v>
      </c>
      <c r="B121" s="46"/>
      <c r="C121" s="34">
        <f>MAX(C117+C119-($B120+C118),0)</f>
        <v>0</v>
      </c>
      <c r="D121" s="34">
        <f t="shared" ref="D121:AL121" si="42">MAX(D117+D119-(C120+D118),0)</f>
        <v>0</v>
      </c>
      <c r="E121" s="34">
        <f t="shared" si="42"/>
        <v>0</v>
      </c>
      <c r="F121" s="34">
        <f t="shared" si="42"/>
        <v>0</v>
      </c>
      <c r="G121" s="34">
        <f t="shared" si="42"/>
        <v>0</v>
      </c>
      <c r="H121" s="34">
        <f t="shared" si="42"/>
        <v>0</v>
      </c>
      <c r="I121" s="34">
        <f t="shared" si="42"/>
        <v>0</v>
      </c>
      <c r="J121" s="34">
        <f t="shared" si="42"/>
        <v>0</v>
      </c>
      <c r="K121" s="8">
        <f t="shared" si="42"/>
        <v>0</v>
      </c>
      <c r="L121" s="8">
        <f t="shared" si="42"/>
        <v>0</v>
      </c>
      <c r="M121" s="8">
        <f t="shared" si="42"/>
        <v>0</v>
      </c>
      <c r="N121" s="8">
        <f t="shared" si="42"/>
        <v>0</v>
      </c>
      <c r="O121" s="8">
        <f t="shared" si="42"/>
        <v>0</v>
      </c>
      <c r="P121" s="8">
        <f t="shared" si="42"/>
        <v>0</v>
      </c>
      <c r="Q121" s="8">
        <f t="shared" si="42"/>
        <v>0</v>
      </c>
      <c r="R121" s="8">
        <f t="shared" si="42"/>
        <v>0</v>
      </c>
      <c r="S121" s="8">
        <f t="shared" si="42"/>
        <v>0</v>
      </c>
      <c r="T121" s="8">
        <f t="shared" si="42"/>
        <v>0</v>
      </c>
      <c r="U121" s="8">
        <f t="shared" si="42"/>
        <v>0</v>
      </c>
      <c r="V121" s="8">
        <f t="shared" si="42"/>
        <v>0</v>
      </c>
      <c r="W121" s="8">
        <f t="shared" si="42"/>
        <v>0</v>
      </c>
      <c r="X121" s="8">
        <f t="shared" si="42"/>
        <v>0</v>
      </c>
      <c r="Y121" s="8">
        <f t="shared" si="42"/>
        <v>0</v>
      </c>
      <c r="Z121" s="8">
        <f t="shared" si="42"/>
        <v>0</v>
      </c>
      <c r="AA121" s="8">
        <f t="shared" si="42"/>
        <v>0</v>
      </c>
      <c r="AB121" s="8">
        <f t="shared" si="42"/>
        <v>0</v>
      </c>
      <c r="AC121" s="8">
        <f t="shared" si="42"/>
        <v>0</v>
      </c>
      <c r="AD121" s="8">
        <f t="shared" si="42"/>
        <v>0</v>
      </c>
      <c r="AE121" s="8">
        <f t="shared" si="42"/>
        <v>0</v>
      </c>
      <c r="AF121" s="8">
        <f t="shared" si="42"/>
        <v>0</v>
      </c>
      <c r="AG121" s="8">
        <f t="shared" si="42"/>
        <v>0</v>
      </c>
      <c r="AH121" s="8">
        <f t="shared" si="42"/>
        <v>0</v>
      </c>
      <c r="AI121" s="8">
        <f t="shared" si="42"/>
        <v>0</v>
      </c>
      <c r="AJ121" s="8">
        <f t="shared" si="42"/>
        <v>0</v>
      </c>
      <c r="AK121" s="8">
        <f t="shared" si="42"/>
        <v>0</v>
      </c>
      <c r="AL121" s="8">
        <f t="shared" si="42"/>
        <v>0</v>
      </c>
    </row>
    <row r="122" spans="1:38" ht="16.350000000000001" customHeight="1" x14ac:dyDescent="0.3">
      <c r="A122" s="135" t="s">
        <v>137</v>
      </c>
      <c r="B122" s="136"/>
      <c r="C122" s="34">
        <f t="shared" ref="C122:AL122" si="43">C121</f>
        <v>0</v>
      </c>
      <c r="D122" s="34">
        <f t="shared" si="43"/>
        <v>0</v>
      </c>
      <c r="E122" s="34">
        <f t="shared" si="43"/>
        <v>0</v>
      </c>
      <c r="F122" s="34">
        <f t="shared" si="43"/>
        <v>0</v>
      </c>
      <c r="G122" s="34">
        <f t="shared" si="43"/>
        <v>0</v>
      </c>
      <c r="H122" s="34">
        <f t="shared" si="43"/>
        <v>0</v>
      </c>
      <c r="I122" s="34">
        <f t="shared" si="43"/>
        <v>0</v>
      </c>
      <c r="J122" s="34">
        <f t="shared" si="43"/>
        <v>0</v>
      </c>
      <c r="K122" s="8">
        <f t="shared" si="43"/>
        <v>0</v>
      </c>
      <c r="L122" s="8">
        <f t="shared" si="43"/>
        <v>0</v>
      </c>
      <c r="M122" s="8">
        <f t="shared" si="43"/>
        <v>0</v>
      </c>
      <c r="N122" s="8">
        <f t="shared" si="43"/>
        <v>0</v>
      </c>
      <c r="O122" s="8">
        <f t="shared" si="43"/>
        <v>0</v>
      </c>
      <c r="P122" s="8">
        <f t="shared" si="43"/>
        <v>0</v>
      </c>
      <c r="Q122" s="8">
        <f t="shared" si="43"/>
        <v>0</v>
      </c>
      <c r="R122" s="8">
        <f t="shared" si="43"/>
        <v>0</v>
      </c>
      <c r="S122" s="8">
        <f t="shared" si="43"/>
        <v>0</v>
      </c>
      <c r="T122" s="8">
        <f t="shared" si="43"/>
        <v>0</v>
      </c>
      <c r="U122" s="8">
        <f t="shared" si="43"/>
        <v>0</v>
      </c>
      <c r="V122" s="8">
        <f t="shared" si="43"/>
        <v>0</v>
      </c>
      <c r="W122" s="8">
        <f t="shared" si="43"/>
        <v>0</v>
      </c>
      <c r="X122" s="8">
        <f t="shared" si="43"/>
        <v>0</v>
      </c>
      <c r="Y122" s="8">
        <f t="shared" si="43"/>
        <v>0</v>
      </c>
      <c r="Z122" s="8">
        <f t="shared" si="43"/>
        <v>0</v>
      </c>
      <c r="AA122" s="8">
        <f t="shared" si="43"/>
        <v>0</v>
      </c>
      <c r="AB122" s="8">
        <f t="shared" si="43"/>
        <v>0</v>
      </c>
      <c r="AC122" s="8">
        <f t="shared" si="43"/>
        <v>0</v>
      </c>
      <c r="AD122" s="8">
        <f t="shared" si="43"/>
        <v>0</v>
      </c>
      <c r="AE122" s="8">
        <f t="shared" si="43"/>
        <v>0</v>
      </c>
      <c r="AF122" s="8">
        <f t="shared" si="43"/>
        <v>0</v>
      </c>
      <c r="AG122" s="8">
        <f t="shared" si="43"/>
        <v>0</v>
      </c>
      <c r="AH122" s="8">
        <f t="shared" si="43"/>
        <v>0</v>
      </c>
      <c r="AI122" s="8">
        <f t="shared" si="43"/>
        <v>0</v>
      </c>
      <c r="AJ122" s="8">
        <f t="shared" si="43"/>
        <v>0</v>
      </c>
      <c r="AK122" s="8">
        <f t="shared" si="43"/>
        <v>0</v>
      </c>
      <c r="AL122" s="8">
        <f t="shared" si="43"/>
        <v>0</v>
      </c>
    </row>
    <row r="123" spans="1:38" ht="16.350000000000001" customHeight="1" x14ac:dyDescent="0.3">
      <c r="A123" s="34" t="s">
        <v>138</v>
      </c>
      <c r="B123" s="46"/>
      <c r="C123" s="34">
        <f>IFERROR(INDEX($C$122:$AK$122,1,1+ROUND(INDEX($H$5:$V$5,1,MATCH("RM11",$H$3:$V$3,0))/7,0)),0)</f>
        <v>0</v>
      </c>
      <c r="D123" s="34">
        <f>IFERROR(INDEX($C$122:$AK$122,1,2+ROUND(INDEX($H$5:$V$5,1,MATCH("RM11",$H$3:$V$3,0))/7,0)),0)</f>
        <v>0</v>
      </c>
      <c r="E123" s="34">
        <f>IFERROR(INDEX($C$122:$AK$122,1,3+ROUND(INDEX($H$5:$V$5,1,MATCH("RM11",$H$3:$V$3,0))/7,0)),0)</f>
        <v>0</v>
      </c>
      <c r="F123" s="34">
        <f>IFERROR(INDEX($C$122:$AK$122,1,4+ROUND(INDEX($H$5:$V$5,1,MATCH("RM11",$H$3:$V$3,0))/7,0)),0)</f>
        <v>0</v>
      </c>
      <c r="G123" s="34">
        <f>IFERROR(INDEX($C$122:$AK$122,1,5+ROUND(INDEX($H$5:$V$5,1,MATCH("RM11",$H$3:$V$3,0))/7,0)),0)</f>
        <v>0</v>
      </c>
      <c r="H123" s="34">
        <f>IFERROR(INDEX($C$122:$AK$122,1,6+ROUND(INDEX($H$5:$V$5,1,MATCH("RM11",$H$3:$V$3,0))/7,0)),0)</f>
        <v>0</v>
      </c>
      <c r="I123" s="34">
        <f>IFERROR(INDEX($C$122:$AK$122,1,7+ROUND(INDEX($H$5:$V$5,1,MATCH("RM11",$H$3:$V$3,0))/7,0)),0)</f>
        <v>0</v>
      </c>
      <c r="J123" s="34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  <c r="AL123" s="8">
        <f>IFERROR(INDEX($C$122:$AK$122,1,35+ROUND(INDEX($H$5:$V$5,1,MATCH("RM11",$H$3:$V$3,0))/7,0)),0)</f>
        <v>0</v>
      </c>
    </row>
    <row r="125" spans="1:38" ht="16.350000000000001" customHeight="1" x14ac:dyDescent="0.3">
      <c r="A125" s="47" t="s">
        <v>149</v>
      </c>
      <c r="B125" s="47" t="s">
        <v>132</v>
      </c>
      <c r="C125" s="137" t="s">
        <v>0</v>
      </c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6"/>
    </row>
    <row r="126" spans="1:38" ht="16.350000000000001" customHeight="1" x14ac:dyDescent="0.3">
      <c r="A126" s="47" t="s">
        <v>133</v>
      </c>
      <c r="B126" s="47" t="str">
        <f>"LT: "&amp;ROUND(INDEX($H$5:$V$5,1,MATCH("RM12",$H$3:$V$3,0))/7,0)</f>
        <v>LT: 8</v>
      </c>
      <c r="C126" s="48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>
        <v>46370</v>
      </c>
    </row>
    <row r="127" spans="1:38" ht="16.350000000000001" customHeight="1" x14ac:dyDescent="0.3">
      <c r="A127" s="51" t="s">
        <v>134</v>
      </c>
      <c r="C127" s="34">
        <f t="array" ref="C127:AL127">TRANSPOSE(BOM_demand!$S$2:$S$37)</f>
        <v>0</v>
      </c>
      <c r="D127" s="34">
        <v>0</v>
      </c>
      <c r="E127" s="34">
        <v>1416</v>
      </c>
      <c r="F127" s="34">
        <v>900</v>
      </c>
      <c r="G127" s="34">
        <v>2094</v>
      </c>
      <c r="H127" s="34">
        <v>0</v>
      </c>
      <c r="I127" s="34">
        <v>900</v>
      </c>
      <c r="J127" s="34">
        <v>0</v>
      </c>
      <c r="K127" s="34">
        <v>0</v>
      </c>
      <c r="L127" s="34">
        <v>900</v>
      </c>
      <c r="M127" s="34">
        <v>0</v>
      </c>
      <c r="N127" s="34">
        <v>2100</v>
      </c>
      <c r="O127" s="34">
        <v>900</v>
      </c>
      <c r="P127" s="34">
        <v>900</v>
      </c>
      <c r="Q127" s="34">
        <v>900</v>
      </c>
      <c r="R127" s="34">
        <v>0</v>
      </c>
      <c r="S127" s="34">
        <v>0</v>
      </c>
      <c r="T127" s="34">
        <v>900</v>
      </c>
      <c r="U127" s="34">
        <v>0</v>
      </c>
      <c r="V127" s="34">
        <v>0</v>
      </c>
      <c r="W127" s="34">
        <v>900</v>
      </c>
      <c r="X127" s="34">
        <v>0</v>
      </c>
      <c r="Y127" s="34">
        <v>0</v>
      </c>
      <c r="Z127" s="34">
        <v>0</v>
      </c>
      <c r="AA127" s="34">
        <v>900</v>
      </c>
      <c r="AB127" s="34">
        <v>0</v>
      </c>
      <c r="AC127" s="34">
        <v>0</v>
      </c>
      <c r="AD127" s="34">
        <v>0</v>
      </c>
      <c r="AE127" s="34">
        <v>0</v>
      </c>
      <c r="AF127" s="34">
        <v>900</v>
      </c>
      <c r="AG127" s="34">
        <v>0</v>
      </c>
      <c r="AH127" s="34">
        <v>0</v>
      </c>
      <c r="AI127" s="34">
        <v>0</v>
      </c>
      <c r="AJ127" s="34">
        <v>900</v>
      </c>
      <c r="AK127" s="34">
        <v>0</v>
      </c>
      <c r="AL127">
        <v>0</v>
      </c>
    </row>
    <row r="128" spans="1:38" ht="16.350000000000001" customHeight="1" x14ac:dyDescent="0.3">
      <c r="A128" s="135" t="s">
        <v>128</v>
      </c>
      <c r="B128" s="136"/>
      <c r="C128" s="34">
        <f>IFERROR(INDEX($H$7:$V$7,1,MATCH("RM12",$H$3:$V$3,0)),0)</f>
        <v>0</v>
      </c>
      <c r="D128" s="34">
        <f>0</f>
        <v>0</v>
      </c>
      <c r="E128" s="34">
        <f>0</f>
        <v>0</v>
      </c>
      <c r="F128" s="34">
        <f>0</f>
        <v>0</v>
      </c>
      <c r="G128" s="34">
        <f>0</f>
        <v>0</v>
      </c>
      <c r="H128" s="34">
        <f>0</f>
        <v>0</v>
      </c>
      <c r="I128" s="34">
        <f>0</f>
        <v>0</v>
      </c>
      <c r="J128" s="34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  <c r="AL128" s="8">
        <f>0</f>
        <v>0</v>
      </c>
    </row>
    <row r="129" spans="1:38" ht="16.350000000000001" customHeight="1" x14ac:dyDescent="0.3">
      <c r="A129" s="34" t="s">
        <v>129</v>
      </c>
      <c r="B129" s="46">
        <f>IFERROR(INDEX($H$8:$V$8,1,MATCH("RM12",$H$3:$V$3,0)),0)</f>
        <v>887</v>
      </c>
      <c r="C129" s="34">
        <f t="shared" ref="C129:AL129" si="44">$B129</f>
        <v>887</v>
      </c>
      <c r="D129" s="34">
        <f t="shared" si="44"/>
        <v>887</v>
      </c>
      <c r="E129" s="34">
        <f t="shared" si="44"/>
        <v>887</v>
      </c>
      <c r="F129" s="34">
        <f t="shared" si="44"/>
        <v>887</v>
      </c>
      <c r="G129" s="34">
        <f t="shared" si="44"/>
        <v>887</v>
      </c>
      <c r="H129" s="34">
        <f t="shared" si="44"/>
        <v>887</v>
      </c>
      <c r="I129" s="34">
        <f t="shared" si="44"/>
        <v>887</v>
      </c>
      <c r="J129" s="34">
        <f t="shared" si="44"/>
        <v>887</v>
      </c>
      <c r="K129" s="8">
        <f t="shared" si="44"/>
        <v>887</v>
      </c>
      <c r="L129" s="8">
        <f t="shared" si="44"/>
        <v>887</v>
      </c>
      <c r="M129" s="8">
        <f t="shared" si="44"/>
        <v>887</v>
      </c>
      <c r="N129" s="8">
        <f t="shared" si="44"/>
        <v>887</v>
      </c>
      <c r="O129" s="8">
        <f t="shared" si="44"/>
        <v>887</v>
      </c>
      <c r="P129" s="8">
        <f t="shared" si="44"/>
        <v>887</v>
      </c>
      <c r="Q129" s="8">
        <f t="shared" si="44"/>
        <v>887</v>
      </c>
      <c r="R129" s="8">
        <f t="shared" si="44"/>
        <v>887</v>
      </c>
      <c r="S129" s="8">
        <f t="shared" si="44"/>
        <v>887</v>
      </c>
      <c r="T129" s="8">
        <f t="shared" si="44"/>
        <v>887</v>
      </c>
      <c r="U129" s="8">
        <f t="shared" si="44"/>
        <v>887</v>
      </c>
      <c r="V129" s="8">
        <f t="shared" si="44"/>
        <v>887</v>
      </c>
      <c r="W129" s="8">
        <f t="shared" si="44"/>
        <v>887</v>
      </c>
      <c r="X129" s="8">
        <f t="shared" si="44"/>
        <v>887</v>
      </c>
      <c r="Y129" s="8">
        <f t="shared" si="44"/>
        <v>887</v>
      </c>
      <c r="Z129" s="8">
        <f t="shared" si="44"/>
        <v>887</v>
      </c>
      <c r="AA129" s="8">
        <f t="shared" si="44"/>
        <v>887</v>
      </c>
      <c r="AB129" s="8">
        <f t="shared" si="44"/>
        <v>887</v>
      </c>
      <c r="AC129" s="8">
        <f t="shared" si="44"/>
        <v>887</v>
      </c>
      <c r="AD129" s="8">
        <f t="shared" si="44"/>
        <v>887</v>
      </c>
      <c r="AE129" s="8">
        <f t="shared" si="44"/>
        <v>887</v>
      </c>
      <c r="AF129" s="8">
        <f t="shared" si="44"/>
        <v>887</v>
      </c>
      <c r="AG129" s="8">
        <f t="shared" si="44"/>
        <v>887</v>
      </c>
      <c r="AH129" s="8">
        <f t="shared" si="44"/>
        <v>887</v>
      </c>
      <c r="AI129" s="8">
        <f t="shared" si="44"/>
        <v>887</v>
      </c>
      <c r="AJ129" s="8">
        <f t="shared" si="44"/>
        <v>887</v>
      </c>
      <c r="AK129" s="8">
        <f t="shared" si="44"/>
        <v>887</v>
      </c>
      <c r="AL129" s="8">
        <f t="shared" si="44"/>
        <v>887</v>
      </c>
    </row>
    <row r="130" spans="1:38" ht="16.350000000000001" customHeight="1" x14ac:dyDescent="0.3">
      <c r="A130" s="34" t="s">
        <v>135</v>
      </c>
      <c r="B130" s="46">
        <f>IFERROR(INDEX($H$6:$V$6,1,MATCH("RM12",$H$3:$V$3,0)),0)</f>
        <v>5500</v>
      </c>
      <c r="C130" s="34">
        <f>$B130+C128+C132-C127</f>
        <v>5500</v>
      </c>
      <c r="D130" s="34">
        <f t="shared" ref="D130:AL130" si="45">C130+D128+D132-D127</f>
        <v>5500</v>
      </c>
      <c r="E130" s="34">
        <f t="shared" si="45"/>
        <v>4084</v>
      </c>
      <c r="F130" s="34">
        <f t="shared" si="45"/>
        <v>3184</v>
      </c>
      <c r="G130" s="34">
        <f t="shared" si="45"/>
        <v>1090</v>
      </c>
      <c r="H130" s="34">
        <f t="shared" si="45"/>
        <v>1090</v>
      </c>
      <c r="I130" s="34">
        <f t="shared" si="45"/>
        <v>887</v>
      </c>
      <c r="J130" s="34">
        <f t="shared" si="45"/>
        <v>887</v>
      </c>
      <c r="K130" s="8">
        <f t="shared" si="45"/>
        <v>887</v>
      </c>
      <c r="L130" s="8">
        <f t="shared" si="45"/>
        <v>887</v>
      </c>
      <c r="M130" s="8">
        <f t="shared" si="45"/>
        <v>887</v>
      </c>
      <c r="N130" s="8">
        <f t="shared" si="45"/>
        <v>887</v>
      </c>
      <c r="O130" s="8">
        <f t="shared" si="45"/>
        <v>887</v>
      </c>
      <c r="P130" s="8">
        <f t="shared" si="45"/>
        <v>887</v>
      </c>
      <c r="Q130" s="8">
        <f t="shared" si="45"/>
        <v>887</v>
      </c>
      <c r="R130" s="8">
        <f t="shared" si="45"/>
        <v>887</v>
      </c>
      <c r="S130" s="8">
        <f t="shared" si="45"/>
        <v>887</v>
      </c>
      <c r="T130" s="8">
        <f t="shared" si="45"/>
        <v>887</v>
      </c>
      <c r="U130" s="8">
        <f t="shared" si="45"/>
        <v>887</v>
      </c>
      <c r="V130" s="8">
        <f t="shared" si="45"/>
        <v>887</v>
      </c>
      <c r="W130" s="8">
        <f t="shared" si="45"/>
        <v>887</v>
      </c>
      <c r="X130" s="8">
        <f t="shared" si="45"/>
        <v>887</v>
      </c>
      <c r="Y130" s="8">
        <f t="shared" si="45"/>
        <v>887</v>
      </c>
      <c r="Z130" s="8">
        <f t="shared" si="45"/>
        <v>887</v>
      </c>
      <c r="AA130" s="8">
        <f t="shared" si="45"/>
        <v>887</v>
      </c>
      <c r="AB130" s="8">
        <f t="shared" si="45"/>
        <v>887</v>
      </c>
      <c r="AC130" s="8">
        <f t="shared" si="45"/>
        <v>887</v>
      </c>
      <c r="AD130" s="8">
        <f t="shared" si="45"/>
        <v>887</v>
      </c>
      <c r="AE130" s="8">
        <f t="shared" si="45"/>
        <v>887</v>
      </c>
      <c r="AF130" s="8">
        <f t="shared" si="45"/>
        <v>887</v>
      </c>
      <c r="AG130" s="8">
        <f t="shared" si="45"/>
        <v>887</v>
      </c>
      <c r="AH130" s="8">
        <f t="shared" si="45"/>
        <v>887</v>
      </c>
      <c r="AI130" s="8">
        <f t="shared" si="45"/>
        <v>887</v>
      </c>
      <c r="AJ130" s="8">
        <f t="shared" si="45"/>
        <v>887</v>
      </c>
      <c r="AK130" s="8">
        <f t="shared" si="45"/>
        <v>887</v>
      </c>
      <c r="AL130" s="8">
        <f t="shared" si="45"/>
        <v>887</v>
      </c>
    </row>
    <row r="131" spans="1:38" ht="16.350000000000001" customHeight="1" x14ac:dyDescent="0.3">
      <c r="A131" s="34" t="s">
        <v>136</v>
      </c>
      <c r="B131" s="46"/>
      <c r="C131" s="34">
        <f>MAX(C127+C129-($B130+C128),0)</f>
        <v>0</v>
      </c>
      <c r="D131" s="34">
        <f t="shared" ref="D131:AL131" si="46">MAX(D127+D129-(C130+D128),0)</f>
        <v>0</v>
      </c>
      <c r="E131" s="34">
        <f t="shared" si="46"/>
        <v>0</v>
      </c>
      <c r="F131" s="34">
        <f t="shared" si="46"/>
        <v>0</v>
      </c>
      <c r="G131" s="34">
        <f t="shared" si="46"/>
        <v>0</v>
      </c>
      <c r="H131" s="34">
        <f t="shared" si="46"/>
        <v>0</v>
      </c>
      <c r="I131" s="34">
        <f t="shared" si="46"/>
        <v>697</v>
      </c>
      <c r="J131" s="34">
        <f t="shared" si="46"/>
        <v>0</v>
      </c>
      <c r="K131" s="8">
        <f t="shared" si="46"/>
        <v>0</v>
      </c>
      <c r="L131" s="8">
        <f t="shared" si="46"/>
        <v>900</v>
      </c>
      <c r="M131" s="8">
        <f t="shared" si="46"/>
        <v>0</v>
      </c>
      <c r="N131" s="8">
        <f t="shared" si="46"/>
        <v>2100</v>
      </c>
      <c r="O131" s="8">
        <f t="shared" si="46"/>
        <v>900</v>
      </c>
      <c r="P131" s="8">
        <f t="shared" si="46"/>
        <v>900</v>
      </c>
      <c r="Q131" s="8">
        <f t="shared" si="46"/>
        <v>900</v>
      </c>
      <c r="R131" s="8">
        <f t="shared" si="46"/>
        <v>0</v>
      </c>
      <c r="S131" s="8">
        <f t="shared" si="46"/>
        <v>0</v>
      </c>
      <c r="T131" s="8">
        <f t="shared" si="46"/>
        <v>900</v>
      </c>
      <c r="U131" s="8">
        <f t="shared" si="46"/>
        <v>0</v>
      </c>
      <c r="V131" s="8">
        <f t="shared" si="46"/>
        <v>0</v>
      </c>
      <c r="W131" s="8">
        <f t="shared" si="46"/>
        <v>900</v>
      </c>
      <c r="X131" s="8">
        <f t="shared" si="46"/>
        <v>0</v>
      </c>
      <c r="Y131" s="8">
        <f t="shared" si="46"/>
        <v>0</v>
      </c>
      <c r="Z131" s="8">
        <f t="shared" si="46"/>
        <v>0</v>
      </c>
      <c r="AA131" s="8">
        <f t="shared" si="46"/>
        <v>900</v>
      </c>
      <c r="AB131" s="8">
        <f t="shared" si="46"/>
        <v>0</v>
      </c>
      <c r="AC131" s="8">
        <f t="shared" si="46"/>
        <v>0</v>
      </c>
      <c r="AD131" s="8">
        <f t="shared" si="46"/>
        <v>0</v>
      </c>
      <c r="AE131" s="8">
        <f t="shared" si="46"/>
        <v>0</v>
      </c>
      <c r="AF131" s="8">
        <f t="shared" si="46"/>
        <v>900</v>
      </c>
      <c r="AG131" s="8">
        <f t="shared" si="46"/>
        <v>0</v>
      </c>
      <c r="AH131" s="8">
        <f t="shared" si="46"/>
        <v>0</v>
      </c>
      <c r="AI131" s="8">
        <f t="shared" si="46"/>
        <v>0</v>
      </c>
      <c r="AJ131" s="8">
        <f t="shared" si="46"/>
        <v>900</v>
      </c>
      <c r="AK131" s="8">
        <f t="shared" si="46"/>
        <v>0</v>
      </c>
      <c r="AL131" s="8">
        <f t="shared" si="46"/>
        <v>0</v>
      </c>
    </row>
    <row r="132" spans="1:38" ht="16.350000000000001" customHeight="1" x14ac:dyDescent="0.3">
      <c r="A132" s="135" t="s">
        <v>137</v>
      </c>
      <c r="B132" s="136"/>
      <c r="C132" s="34">
        <f t="shared" ref="C132:AL132" si="47">C131</f>
        <v>0</v>
      </c>
      <c r="D132" s="34">
        <f t="shared" si="47"/>
        <v>0</v>
      </c>
      <c r="E132" s="34">
        <f t="shared" si="47"/>
        <v>0</v>
      </c>
      <c r="F132" s="34">
        <f t="shared" si="47"/>
        <v>0</v>
      </c>
      <c r="G132" s="34">
        <f t="shared" si="47"/>
        <v>0</v>
      </c>
      <c r="H132" s="34">
        <f t="shared" si="47"/>
        <v>0</v>
      </c>
      <c r="I132" s="34">
        <f t="shared" si="47"/>
        <v>697</v>
      </c>
      <c r="J132" s="34">
        <f t="shared" si="47"/>
        <v>0</v>
      </c>
      <c r="K132" s="8">
        <f t="shared" si="47"/>
        <v>0</v>
      </c>
      <c r="L132" s="8">
        <f t="shared" si="47"/>
        <v>900</v>
      </c>
      <c r="M132" s="8">
        <f t="shared" si="47"/>
        <v>0</v>
      </c>
      <c r="N132" s="8">
        <f t="shared" si="47"/>
        <v>2100</v>
      </c>
      <c r="O132" s="8">
        <f t="shared" si="47"/>
        <v>900</v>
      </c>
      <c r="P132" s="8">
        <f t="shared" si="47"/>
        <v>900</v>
      </c>
      <c r="Q132" s="8">
        <f t="shared" si="47"/>
        <v>900</v>
      </c>
      <c r="R132" s="8">
        <f t="shared" si="47"/>
        <v>0</v>
      </c>
      <c r="S132" s="8">
        <f t="shared" si="47"/>
        <v>0</v>
      </c>
      <c r="T132" s="8">
        <f t="shared" si="47"/>
        <v>900</v>
      </c>
      <c r="U132" s="8">
        <f t="shared" si="47"/>
        <v>0</v>
      </c>
      <c r="V132" s="8">
        <f t="shared" si="47"/>
        <v>0</v>
      </c>
      <c r="W132" s="8">
        <f t="shared" si="47"/>
        <v>900</v>
      </c>
      <c r="X132" s="8">
        <f t="shared" si="47"/>
        <v>0</v>
      </c>
      <c r="Y132" s="8">
        <f t="shared" si="47"/>
        <v>0</v>
      </c>
      <c r="Z132" s="8">
        <f t="shared" si="47"/>
        <v>0</v>
      </c>
      <c r="AA132" s="8">
        <f t="shared" si="47"/>
        <v>900</v>
      </c>
      <c r="AB132" s="8">
        <f t="shared" si="47"/>
        <v>0</v>
      </c>
      <c r="AC132" s="8">
        <f t="shared" si="47"/>
        <v>0</v>
      </c>
      <c r="AD132" s="8">
        <f t="shared" si="47"/>
        <v>0</v>
      </c>
      <c r="AE132" s="8">
        <f t="shared" si="47"/>
        <v>0</v>
      </c>
      <c r="AF132" s="8">
        <f t="shared" si="47"/>
        <v>900</v>
      </c>
      <c r="AG132" s="8">
        <f t="shared" si="47"/>
        <v>0</v>
      </c>
      <c r="AH132" s="8">
        <f t="shared" si="47"/>
        <v>0</v>
      </c>
      <c r="AI132" s="8">
        <f t="shared" si="47"/>
        <v>0</v>
      </c>
      <c r="AJ132" s="8">
        <f t="shared" si="47"/>
        <v>900</v>
      </c>
      <c r="AK132" s="8">
        <f t="shared" si="47"/>
        <v>0</v>
      </c>
      <c r="AL132" s="8">
        <f t="shared" si="47"/>
        <v>0</v>
      </c>
    </row>
    <row r="133" spans="1:38" ht="16.350000000000001" customHeight="1" x14ac:dyDescent="0.3">
      <c r="A133" s="34" t="s">
        <v>138</v>
      </c>
      <c r="B133" s="46"/>
      <c r="C133" s="34">
        <f>IFERROR(INDEX($C$132:$AK$132,1,1+ROUND(INDEX($H$5:$V$5,1,MATCH("RM12",$H$3:$V$3,0))/7,0)),0)</f>
        <v>0</v>
      </c>
      <c r="D133" s="34">
        <f>IFERROR(INDEX($C$132:$AK$132,1,2+ROUND(INDEX($H$5:$V$5,1,MATCH("RM12",$H$3:$V$3,0))/7,0)),0)</f>
        <v>900</v>
      </c>
      <c r="E133" s="34">
        <f>IFERROR(INDEX($C$132:$AK$132,1,3+ROUND(INDEX($H$5:$V$5,1,MATCH("RM12",$H$3:$V$3,0))/7,0)),0)</f>
        <v>0</v>
      </c>
      <c r="F133" s="34">
        <f>IFERROR(INDEX($C$132:$AK$132,1,4+ROUND(INDEX($H$5:$V$5,1,MATCH("RM12",$H$3:$V$3,0))/7,0)),0)</f>
        <v>2100</v>
      </c>
      <c r="G133" s="34">
        <f>IFERROR(INDEX($C$132:$AK$132,1,5+ROUND(INDEX($H$5:$V$5,1,MATCH("RM12",$H$3:$V$3,0))/7,0)),0)</f>
        <v>900</v>
      </c>
      <c r="H133" s="34">
        <f>IFERROR(INDEX($C$132:$AK$132,1,6+ROUND(INDEX($H$5:$V$5,1,MATCH("RM12",$H$3:$V$3,0))/7,0)),0)</f>
        <v>900</v>
      </c>
      <c r="I133" s="34">
        <f>IFERROR(INDEX($C$132:$AK$132,1,7+ROUND(INDEX($H$5:$V$5,1,MATCH("RM12",$H$3:$V$3,0))/7,0)),0)</f>
        <v>900</v>
      </c>
      <c r="J133" s="34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0</v>
      </c>
      <c r="L133" s="8">
        <f>IFERROR(INDEX($C$132:$AK$132,1,10+ROUND(INDEX($H$5:$V$5,1,MATCH("RM12",$H$3:$V$3,0))/7,0)),0)</f>
        <v>900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0</v>
      </c>
      <c r="O133" s="8">
        <f>IFERROR(INDEX($C$132:$AK$132,1,13+ROUND(INDEX($H$5:$V$5,1,MATCH("RM12",$H$3:$V$3,0))/7,0)),0)</f>
        <v>900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0</v>
      </c>
      <c r="S133" s="8">
        <f>IFERROR(INDEX($C$132:$AK$132,1,17+ROUND(INDEX($H$5:$V$5,1,MATCH("RM12",$H$3:$V$3,0))/7,0)),0)</f>
        <v>900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0</v>
      </c>
      <c r="X133" s="8">
        <f>IFERROR(INDEX($C$132:$AK$132,1,22+ROUND(INDEX($H$5:$V$5,1,MATCH("RM12",$H$3:$V$3,0))/7,0)),0)</f>
        <v>900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0</v>
      </c>
      <c r="AB133" s="8">
        <f>IFERROR(INDEX($C$132:$AK$132,1,26+ROUND(INDEX($H$5:$V$5,1,MATCH("RM12",$H$3:$V$3,0))/7,0)),0)</f>
        <v>900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  <c r="AL133" s="8">
        <f>IFERROR(INDEX($C$132:$AK$132,1,35+ROUND(INDEX($H$5:$V$5,1,MATCH("RM12",$H$3:$V$3,0))/7,0)),0)</f>
        <v>0</v>
      </c>
    </row>
    <row r="135" spans="1:38" ht="16.350000000000001" customHeight="1" x14ac:dyDescent="0.3">
      <c r="A135" s="47" t="s">
        <v>150</v>
      </c>
      <c r="B135" s="47" t="s">
        <v>132</v>
      </c>
      <c r="C135" s="137" t="s">
        <v>0</v>
      </c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6"/>
    </row>
    <row r="136" spans="1:38" ht="16.350000000000001" customHeight="1" x14ac:dyDescent="0.3">
      <c r="A136" s="47" t="s">
        <v>133</v>
      </c>
      <c r="B136" s="47" t="str">
        <f>"LT: "&amp;ROUND(INDEX($H$5:$V$5,1,MATCH("RM13",$H$3:$V$3,0))/7,0)</f>
        <v>LT: 5</v>
      </c>
      <c r="C136" s="48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>
        <v>46370</v>
      </c>
    </row>
    <row r="137" spans="1:38" ht="16.350000000000001" customHeight="1" x14ac:dyDescent="0.3">
      <c r="A137" s="51" t="s">
        <v>134</v>
      </c>
      <c r="C137" s="34">
        <f t="array" ref="C137:AL137">TRANSPOSE(BOM_demand!$T$2:$T$37)</f>
        <v>0</v>
      </c>
      <c r="D137" s="34">
        <v>0</v>
      </c>
      <c r="E137" s="34">
        <v>1888</v>
      </c>
      <c r="F137" s="34">
        <v>1200</v>
      </c>
      <c r="G137" s="34">
        <v>2792</v>
      </c>
      <c r="H137" s="34">
        <v>0</v>
      </c>
      <c r="I137" s="34">
        <v>1200</v>
      </c>
      <c r="J137" s="34">
        <v>0</v>
      </c>
      <c r="K137" s="34">
        <v>0</v>
      </c>
      <c r="L137" s="34">
        <v>1200</v>
      </c>
      <c r="M137" s="34">
        <v>0</v>
      </c>
      <c r="N137" s="34">
        <v>2800</v>
      </c>
      <c r="O137" s="34">
        <v>1200</v>
      </c>
      <c r="P137" s="34">
        <v>1200</v>
      </c>
      <c r="Q137" s="34">
        <v>1200</v>
      </c>
      <c r="R137" s="34">
        <v>0</v>
      </c>
      <c r="S137" s="34">
        <v>0</v>
      </c>
      <c r="T137" s="34">
        <v>1200</v>
      </c>
      <c r="U137" s="34">
        <v>0</v>
      </c>
      <c r="V137" s="34">
        <v>0</v>
      </c>
      <c r="W137" s="34">
        <v>1200</v>
      </c>
      <c r="X137" s="34">
        <v>0</v>
      </c>
      <c r="Y137" s="34">
        <v>0</v>
      </c>
      <c r="Z137" s="34">
        <v>0</v>
      </c>
      <c r="AA137" s="34">
        <v>1200</v>
      </c>
      <c r="AB137" s="34">
        <v>0</v>
      </c>
      <c r="AC137" s="34">
        <v>0</v>
      </c>
      <c r="AD137" s="34">
        <v>0</v>
      </c>
      <c r="AE137" s="34">
        <v>0</v>
      </c>
      <c r="AF137" s="34">
        <v>1200</v>
      </c>
      <c r="AG137" s="34">
        <v>0</v>
      </c>
      <c r="AH137" s="34">
        <v>0</v>
      </c>
      <c r="AI137" s="34">
        <v>0</v>
      </c>
      <c r="AJ137" s="34">
        <v>1200</v>
      </c>
      <c r="AK137" s="34">
        <v>0</v>
      </c>
      <c r="AL137">
        <v>0</v>
      </c>
    </row>
    <row r="138" spans="1:38" ht="16.350000000000001" customHeight="1" x14ac:dyDescent="0.3">
      <c r="A138" s="135" t="s">
        <v>128</v>
      </c>
      <c r="B138" s="136"/>
      <c r="C138" s="34">
        <f>IFERROR(INDEX($H$7:$V$7,1,MATCH("RM13",$H$3:$V$3,0)),0)</f>
        <v>1000</v>
      </c>
      <c r="D138" s="34">
        <f>0</f>
        <v>0</v>
      </c>
      <c r="E138" s="34">
        <f>0</f>
        <v>0</v>
      </c>
      <c r="F138" s="34">
        <f>0</f>
        <v>0</v>
      </c>
      <c r="G138" s="34">
        <f>0</f>
        <v>0</v>
      </c>
      <c r="H138" s="34">
        <f>0</f>
        <v>0</v>
      </c>
      <c r="I138" s="34">
        <f>0</f>
        <v>0</v>
      </c>
      <c r="J138" s="34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  <c r="AL138" s="8">
        <f>0</f>
        <v>0</v>
      </c>
    </row>
    <row r="139" spans="1:38" ht="16.350000000000001" customHeight="1" x14ac:dyDescent="0.3">
      <c r="A139" s="34" t="s">
        <v>129</v>
      </c>
      <c r="B139" s="46">
        <f>IFERROR(INDEX($H$8:$V$8,1,MATCH("RM13",$H$3:$V$3,0)),0)</f>
        <v>1182</v>
      </c>
      <c r="C139" s="34">
        <f t="shared" ref="C139:AL139" si="48">$B139</f>
        <v>1182</v>
      </c>
      <c r="D139" s="34">
        <f t="shared" si="48"/>
        <v>1182</v>
      </c>
      <c r="E139" s="34">
        <f t="shared" si="48"/>
        <v>1182</v>
      </c>
      <c r="F139" s="34">
        <f t="shared" si="48"/>
        <v>1182</v>
      </c>
      <c r="G139" s="34">
        <f t="shared" si="48"/>
        <v>1182</v>
      </c>
      <c r="H139" s="34">
        <f t="shared" si="48"/>
        <v>1182</v>
      </c>
      <c r="I139" s="34">
        <f t="shared" si="48"/>
        <v>1182</v>
      </c>
      <c r="J139" s="34">
        <f t="shared" si="48"/>
        <v>1182</v>
      </c>
      <c r="K139" s="8">
        <f t="shared" si="48"/>
        <v>1182</v>
      </c>
      <c r="L139" s="8">
        <f t="shared" si="48"/>
        <v>1182</v>
      </c>
      <c r="M139" s="8">
        <f t="shared" si="48"/>
        <v>1182</v>
      </c>
      <c r="N139" s="8">
        <f t="shared" si="48"/>
        <v>1182</v>
      </c>
      <c r="O139" s="8">
        <f t="shared" si="48"/>
        <v>1182</v>
      </c>
      <c r="P139" s="8">
        <f t="shared" si="48"/>
        <v>1182</v>
      </c>
      <c r="Q139" s="8">
        <f t="shared" si="48"/>
        <v>1182</v>
      </c>
      <c r="R139" s="8">
        <f t="shared" si="48"/>
        <v>1182</v>
      </c>
      <c r="S139" s="8">
        <f t="shared" si="48"/>
        <v>1182</v>
      </c>
      <c r="T139" s="8">
        <f t="shared" si="48"/>
        <v>1182</v>
      </c>
      <c r="U139" s="8">
        <f t="shared" si="48"/>
        <v>1182</v>
      </c>
      <c r="V139" s="8">
        <f t="shared" si="48"/>
        <v>1182</v>
      </c>
      <c r="W139" s="8">
        <f t="shared" si="48"/>
        <v>1182</v>
      </c>
      <c r="X139" s="8">
        <f t="shared" si="48"/>
        <v>1182</v>
      </c>
      <c r="Y139" s="8">
        <f t="shared" si="48"/>
        <v>1182</v>
      </c>
      <c r="Z139" s="8">
        <f t="shared" si="48"/>
        <v>1182</v>
      </c>
      <c r="AA139" s="8">
        <f t="shared" si="48"/>
        <v>1182</v>
      </c>
      <c r="AB139" s="8">
        <f t="shared" si="48"/>
        <v>1182</v>
      </c>
      <c r="AC139" s="8">
        <f t="shared" si="48"/>
        <v>1182</v>
      </c>
      <c r="AD139" s="8">
        <f t="shared" si="48"/>
        <v>1182</v>
      </c>
      <c r="AE139" s="8">
        <f t="shared" si="48"/>
        <v>1182</v>
      </c>
      <c r="AF139" s="8">
        <f t="shared" si="48"/>
        <v>1182</v>
      </c>
      <c r="AG139" s="8">
        <f t="shared" si="48"/>
        <v>1182</v>
      </c>
      <c r="AH139" s="8">
        <f t="shared" si="48"/>
        <v>1182</v>
      </c>
      <c r="AI139" s="8">
        <f t="shared" si="48"/>
        <v>1182</v>
      </c>
      <c r="AJ139" s="8">
        <f t="shared" si="48"/>
        <v>1182</v>
      </c>
      <c r="AK139" s="8">
        <f t="shared" si="48"/>
        <v>1182</v>
      </c>
      <c r="AL139" s="8">
        <f t="shared" si="48"/>
        <v>1182</v>
      </c>
    </row>
    <row r="140" spans="1:38" ht="16.350000000000001" customHeight="1" x14ac:dyDescent="0.3">
      <c r="A140" s="34" t="s">
        <v>135</v>
      </c>
      <c r="B140" s="46">
        <f>IFERROR(INDEX($H$6:$V$6,1,MATCH("RM13",$H$3:$V$3,0)),0)</f>
        <v>6000</v>
      </c>
      <c r="C140" s="34">
        <f>$B140+C138+C142-C137</f>
        <v>7000</v>
      </c>
      <c r="D140" s="34">
        <f t="shared" ref="D140:AL140" si="49">C140+D138+D142-D137</f>
        <v>7000</v>
      </c>
      <c r="E140" s="34">
        <f t="shared" si="49"/>
        <v>5112</v>
      </c>
      <c r="F140" s="34">
        <f t="shared" si="49"/>
        <v>3912</v>
      </c>
      <c r="G140" s="34">
        <f t="shared" si="49"/>
        <v>1182</v>
      </c>
      <c r="H140" s="34">
        <f t="shared" si="49"/>
        <v>1182</v>
      </c>
      <c r="I140" s="34">
        <f t="shared" si="49"/>
        <v>1182</v>
      </c>
      <c r="J140" s="34">
        <f t="shared" si="49"/>
        <v>1182</v>
      </c>
      <c r="K140" s="8">
        <f t="shared" si="49"/>
        <v>1182</v>
      </c>
      <c r="L140" s="8">
        <f t="shared" si="49"/>
        <v>1182</v>
      </c>
      <c r="M140" s="8">
        <f t="shared" si="49"/>
        <v>1182</v>
      </c>
      <c r="N140" s="8">
        <f t="shared" si="49"/>
        <v>1182</v>
      </c>
      <c r="O140" s="8">
        <f t="shared" si="49"/>
        <v>1182</v>
      </c>
      <c r="P140" s="8">
        <f t="shared" si="49"/>
        <v>1182</v>
      </c>
      <c r="Q140" s="8">
        <f t="shared" si="49"/>
        <v>1182</v>
      </c>
      <c r="R140" s="8">
        <f t="shared" si="49"/>
        <v>1182</v>
      </c>
      <c r="S140" s="8">
        <f t="shared" si="49"/>
        <v>1182</v>
      </c>
      <c r="T140" s="8">
        <f t="shared" si="49"/>
        <v>1182</v>
      </c>
      <c r="U140" s="8">
        <f t="shared" si="49"/>
        <v>1182</v>
      </c>
      <c r="V140" s="8">
        <f t="shared" si="49"/>
        <v>1182</v>
      </c>
      <c r="W140" s="8">
        <f t="shared" si="49"/>
        <v>1182</v>
      </c>
      <c r="X140" s="8">
        <f t="shared" si="49"/>
        <v>1182</v>
      </c>
      <c r="Y140" s="8">
        <f t="shared" si="49"/>
        <v>1182</v>
      </c>
      <c r="Z140" s="8">
        <f t="shared" si="49"/>
        <v>1182</v>
      </c>
      <c r="AA140" s="8">
        <f t="shared" si="49"/>
        <v>1182</v>
      </c>
      <c r="AB140" s="8">
        <f t="shared" si="49"/>
        <v>1182</v>
      </c>
      <c r="AC140" s="8">
        <f t="shared" si="49"/>
        <v>1182</v>
      </c>
      <c r="AD140" s="8">
        <f t="shared" si="49"/>
        <v>1182</v>
      </c>
      <c r="AE140" s="8">
        <f t="shared" si="49"/>
        <v>1182</v>
      </c>
      <c r="AF140" s="8">
        <f t="shared" si="49"/>
        <v>1182</v>
      </c>
      <c r="AG140" s="8">
        <f t="shared" si="49"/>
        <v>1182</v>
      </c>
      <c r="AH140" s="8">
        <f t="shared" si="49"/>
        <v>1182</v>
      </c>
      <c r="AI140" s="8">
        <f t="shared" si="49"/>
        <v>1182</v>
      </c>
      <c r="AJ140" s="8">
        <f t="shared" si="49"/>
        <v>1182</v>
      </c>
      <c r="AK140" s="8">
        <f t="shared" si="49"/>
        <v>1182</v>
      </c>
      <c r="AL140" s="8">
        <f t="shared" si="49"/>
        <v>1182</v>
      </c>
    </row>
    <row r="141" spans="1:38" ht="16.350000000000001" customHeight="1" x14ac:dyDescent="0.3">
      <c r="A141" s="34" t="s">
        <v>136</v>
      </c>
      <c r="B141" s="46"/>
      <c r="C141" s="34">
        <f>MAX(C137+C139-($B140+C138),0)</f>
        <v>0</v>
      </c>
      <c r="D141" s="34">
        <f t="shared" ref="D141:AL141" si="50">MAX(D137+D139-(C140+D138),0)</f>
        <v>0</v>
      </c>
      <c r="E141" s="34">
        <f t="shared" si="50"/>
        <v>0</v>
      </c>
      <c r="F141" s="34">
        <f t="shared" si="50"/>
        <v>0</v>
      </c>
      <c r="G141" s="34">
        <f t="shared" si="50"/>
        <v>62</v>
      </c>
      <c r="H141" s="34">
        <f t="shared" si="50"/>
        <v>0</v>
      </c>
      <c r="I141" s="34">
        <f t="shared" si="50"/>
        <v>1200</v>
      </c>
      <c r="J141" s="34">
        <f t="shared" si="50"/>
        <v>0</v>
      </c>
      <c r="K141" s="8">
        <f t="shared" si="50"/>
        <v>0</v>
      </c>
      <c r="L141" s="8">
        <f t="shared" si="50"/>
        <v>1200</v>
      </c>
      <c r="M141" s="8">
        <f t="shared" si="50"/>
        <v>0</v>
      </c>
      <c r="N141" s="8">
        <f t="shared" si="50"/>
        <v>2800</v>
      </c>
      <c r="O141" s="8">
        <f t="shared" si="50"/>
        <v>1200</v>
      </c>
      <c r="P141" s="8">
        <f t="shared" si="50"/>
        <v>1200</v>
      </c>
      <c r="Q141" s="8">
        <f t="shared" si="50"/>
        <v>1200</v>
      </c>
      <c r="R141" s="8">
        <f t="shared" si="50"/>
        <v>0</v>
      </c>
      <c r="S141" s="8">
        <f t="shared" si="50"/>
        <v>0</v>
      </c>
      <c r="T141" s="8">
        <f t="shared" si="50"/>
        <v>1200</v>
      </c>
      <c r="U141" s="8">
        <f t="shared" si="50"/>
        <v>0</v>
      </c>
      <c r="V141" s="8">
        <f t="shared" si="50"/>
        <v>0</v>
      </c>
      <c r="W141" s="8">
        <f t="shared" si="50"/>
        <v>1200</v>
      </c>
      <c r="X141" s="8">
        <f t="shared" si="50"/>
        <v>0</v>
      </c>
      <c r="Y141" s="8">
        <f t="shared" si="50"/>
        <v>0</v>
      </c>
      <c r="Z141" s="8">
        <f t="shared" si="50"/>
        <v>0</v>
      </c>
      <c r="AA141" s="8">
        <f t="shared" si="50"/>
        <v>1200</v>
      </c>
      <c r="AB141" s="8">
        <f t="shared" si="50"/>
        <v>0</v>
      </c>
      <c r="AC141" s="8">
        <f t="shared" si="50"/>
        <v>0</v>
      </c>
      <c r="AD141" s="8">
        <f t="shared" si="50"/>
        <v>0</v>
      </c>
      <c r="AE141" s="8">
        <f t="shared" si="50"/>
        <v>0</v>
      </c>
      <c r="AF141" s="8">
        <f t="shared" si="50"/>
        <v>1200</v>
      </c>
      <c r="AG141" s="8">
        <f t="shared" si="50"/>
        <v>0</v>
      </c>
      <c r="AH141" s="8">
        <f t="shared" si="50"/>
        <v>0</v>
      </c>
      <c r="AI141" s="8">
        <f t="shared" si="50"/>
        <v>0</v>
      </c>
      <c r="AJ141" s="8">
        <f t="shared" si="50"/>
        <v>1200</v>
      </c>
      <c r="AK141" s="8">
        <f t="shared" si="50"/>
        <v>0</v>
      </c>
      <c r="AL141" s="8">
        <f t="shared" si="50"/>
        <v>0</v>
      </c>
    </row>
    <row r="142" spans="1:38" ht="16.350000000000001" customHeight="1" x14ac:dyDescent="0.3">
      <c r="A142" s="135" t="s">
        <v>137</v>
      </c>
      <c r="B142" s="136"/>
      <c r="C142" s="34">
        <f t="shared" ref="C142:AL142" si="51">C141</f>
        <v>0</v>
      </c>
      <c r="D142" s="34">
        <f t="shared" si="51"/>
        <v>0</v>
      </c>
      <c r="E142" s="34">
        <f t="shared" si="51"/>
        <v>0</v>
      </c>
      <c r="F142" s="34">
        <f t="shared" si="51"/>
        <v>0</v>
      </c>
      <c r="G142" s="34">
        <f t="shared" si="51"/>
        <v>62</v>
      </c>
      <c r="H142" s="34">
        <f t="shared" si="51"/>
        <v>0</v>
      </c>
      <c r="I142" s="34">
        <f t="shared" si="51"/>
        <v>1200</v>
      </c>
      <c r="J142" s="34">
        <f t="shared" si="51"/>
        <v>0</v>
      </c>
      <c r="K142" s="8">
        <f t="shared" si="51"/>
        <v>0</v>
      </c>
      <c r="L142" s="8">
        <f t="shared" si="51"/>
        <v>1200</v>
      </c>
      <c r="M142" s="8">
        <f t="shared" si="51"/>
        <v>0</v>
      </c>
      <c r="N142" s="8">
        <f t="shared" si="51"/>
        <v>2800</v>
      </c>
      <c r="O142" s="8">
        <f t="shared" si="51"/>
        <v>1200</v>
      </c>
      <c r="P142" s="8">
        <f t="shared" si="51"/>
        <v>1200</v>
      </c>
      <c r="Q142" s="8">
        <f t="shared" si="51"/>
        <v>1200</v>
      </c>
      <c r="R142" s="8">
        <f t="shared" si="51"/>
        <v>0</v>
      </c>
      <c r="S142" s="8">
        <f t="shared" si="51"/>
        <v>0</v>
      </c>
      <c r="T142" s="8">
        <f t="shared" si="51"/>
        <v>1200</v>
      </c>
      <c r="U142" s="8">
        <f t="shared" si="51"/>
        <v>0</v>
      </c>
      <c r="V142" s="8">
        <f t="shared" si="51"/>
        <v>0</v>
      </c>
      <c r="W142" s="8">
        <f t="shared" si="51"/>
        <v>1200</v>
      </c>
      <c r="X142" s="8">
        <f t="shared" si="51"/>
        <v>0</v>
      </c>
      <c r="Y142" s="8">
        <f t="shared" si="51"/>
        <v>0</v>
      </c>
      <c r="Z142" s="8">
        <f t="shared" si="51"/>
        <v>0</v>
      </c>
      <c r="AA142" s="8">
        <f t="shared" si="51"/>
        <v>1200</v>
      </c>
      <c r="AB142" s="8">
        <f t="shared" si="51"/>
        <v>0</v>
      </c>
      <c r="AC142" s="8">
        <f t="shared" si="51"/>
        <v>0</v>
      </c>
      <c r="AD142" s="8">
        <f t="shared" si="51"/>
        <v>0</v>
      </c>
      <c r="AE142" s="8">
        <f t="shared" si="51"/>
        <v>0</v>
      </c>
      <c r="AF142" s="8">
        <f t="shared" si="51"/>
        <v>1200</v>
      </c>
      <c r="AG142" s="8">
        <f t="shared" si="51"/>
        <v>0</v>
      </c>
      <c r="AH142" s="8">
        <f t="shared" si="51"/>
        <v>0</v>
      </c>
      <c r="AI142" s="8">
        <f t="shared" si="51"/>
        <v>0</v>
      </c>
      <c r="AJ142" s="8">
        <f t="shared" si="51"/>
        <v>1200</v>
      </c>
      <c r="AK142" s="8">
        <f t="shared" si="51"/>
        <v>0</v>
      </c>
      <c r="AL142" s="8">
        <f t="shared" si="51"/>
        <v>0</v>
      </c>
    </row>
    <row r="143" spans="1:38" ht="16.350000000000001" customHeight="1" x14ac:dyDescent="0.3">
      <c r="A143" s="34" t="s">
        <v>138</v>
      </c>
      <c r="B143" s="46"/>
      <c r="C143" s="34">
        <f>IFERROR(INDEX($C$142:$AK$142,1,1+ROUND(INDEX($H$5:$V$5,1,MATCH("RM13",$H$3:$V$3,0))/7,0)),0)</f>
        <v>0</v>
      </c>
      <c r="D143" s="34">
        <f>IFERROR(INDEX($C$142:$AK$142,1,2+ROUND(INDEX($H$5:$V$5,1,MATCH("RM13",$H$3:$V$3,0))/7,0)),0)</f>
        <v>1200</v>
      </c>
      <c r="E143" s="34">
        <f>IFERROR(INDEX($C$142:$AK$142,1,3+ROUND(INDEX($H$5:$V$5,1,MATCH("RM13",$H$3:$V$3,0))/7,0)),0)</f>
        <v>0</v>
      </c>
      <c r="F143" s="34">
        <f>IFERROR(INDEX($C$142:$AK$142,1,4+ROUND(INDEX($H$5:$V$5,1,MATCH("RM13",$H$3:$V$3,0))/7,0)),0)</f>
        <v>0</v>
      </c>
      <c r="G143" s="34">
        <f>IFERROR(INDEX($C$142:$AK$142,1,5+ROUND(INDEX($H$5:$V$5,1,MATCH("RM13",$H$3:$V$3,0))/7,0)),0)</f>
        <v>1200</v>
      </c>
      <c r="H143" s="34">
        <f>IFERROR(INDEX($C$142:$AK$142,1,6+ROUND(INDEX($H$5:$V$5,1,MATCH("RM13",$H$3:$V$3,0))/7,0)),0)</f>
        <v>0</v>
      </c>
      <c r="I143" s="34">
        <f>IFERROR(INDEX($C$142:$AK$142,1,7+ROUND(INDEX($H$5:$V$5,1,MATCH("RM13",$H$3:$V$3,0))/7,0)),0)</f>
        <v>2800</v>
      </c>
      <c r="J143" s="34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1200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0</v>
      </c>
      <c r="O143" s="8">
        <f>IFERROR(INDEX($C$142:$AK$142,1,13+ROUND(INDEX($H$5:$V$5,1,MATCH("RM13",$H$3:$V$3,0))/7,0)),0)</f>
        <v>1200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0</v>
      </c>
      <c r="R143" s="8">
        <f>IFERROR(INDEX($C$142:$AK$142,1,16+ROUND(INDEX($H$5:$V$5,1,MATCH("RM13",$H$3:$V$3,0))/7,0)),0)</f>
        <v>1200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0</v>
      </c>
      <c r="V143" s="8">
        <f>IFERROR(INDEX($C$142:$AK$142,1,20+ROUND(INDEX($H$5:$V$5,1,MATCH("RM13",$H$3:$V$3,0))/7,0)),0)</f>
        <v>1200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0</v>
      </c>
      <c r="AA143" s="8">
        <f>IFERROR(INDEX($C$142:$AK$142,1,25+ROUND(INDEX($H$5:$V$5,1,MATCH("RM13",$H$3:$V$3,0))/7,0)),0)</f>
        <v>1200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0</v>
      </c>
      <c r="AE143" s="8">
        <f>IFERROR(INDEX($C$142:$AK$142,1,29+ROUND(INDEX($H$5:$V$5,1,MATCH("RM13",$H$3:$V$3,0))/7,0)),0)</f>
        <v>1200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  <c r="AL143" s="8">
        <f>IFERROR(INDEX($C$142:$AK$142,1,35+ROUND(INDEX($H$5:$V$5,1,MATCH("RM13",$H$3:$V$3,0))/7,0)),0)</f>
        <v>0</v>
      </c>
    </row>
    <row r="145" spans="1:38" ht="16.350000000000001" customHeight="1" x14ac:dyDescent="0.3">
      <c r="A145" s="47" t="s">
        <v>151</v>
      </c>
      <c r="B145" s="47" t="s">
        <v>132</v>
      </c>
      <c r="C145" s="137" t="s">
        <v>0</v>
      </c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6"/>
    </row>
    <row r="146" spans="1:38" ht="16.350000000000001" customHeight="1" x14ac:dyDescent="0.3">
      <c r="A146" s="47" t="s">
        <v>133</v>
      </c>
      <c r="B146" s="47" t="str">
        <f>"LT: "&amp;ROUND(INDEX($H$5:$V$5,1,MATCH("RM14",$H$3:$V$3,0))/7,0)</f>
        <v>LT: 9</v>
      </c>
      <c r="C146" s="48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>
        <v>46370</v>
      </c>
    </row>
    <row r="147" spans="1:38" ht="16.350000000000001" customHeight="1" x14ac:dyDescent="0.3">
      <c r="A147" s="51" t="s">
        <v>134</v>
      </c>
      <c r="C147" s="34">
        <f t="array" ref="C147:AL147">TRANSPOSE(BOM_demand!$U$2:$U$37)</f>
        <v>15000</v>
      </c>
      <c r="D147" s="34">
        <v>2940</v>
      </c>
      <c r="E147" s="34">
        <v>12640</v>
      </c>
      <c r="F147" s="34">
        <v>13500</v>
      </c>
      <c r="G147" s="34">
        <v>11510</v>
      </c>
      <c r="H147" s="34">
        <v>15000</v>
      </c>
      <c r="I147" s="34">
        <v>13500</v>
      </c>
      <c r="J147" s="34">
        <v>15000</v>
      </c>
      <c r="K147" s="34">
        <v>15000</v>
      </c>
      <c r="L147" s="34">
        <v>13500</v>
      </c>
      <c r="M147" s="34">
        <v>15000</v>
      </c>
      <c r="N147" s="34">
        <v>11500</v>
      </c>
      <c r="O147" s="34">
        <v>13500</v>
      </c>
      <c r="P147" s="34">
        <v>13500</v>
      </c>
      <c r="Q147" s="34">
        <v>13500</v>
      </c>
      <c r="R147" s="34">
        <v>2380</v>
      </c>
      <c r="S147" s="34">
        <v>6490</v>
      </c>
      <c r="T147" s="34">
        <v>6500</v>
      </c>
      <c r="U147" s="34">
        <v>6490</v>
      </c>
      <c r="V147" s="34">
        <v>7530</v>
      </c>
      <c r="W147" s="34">
        <v>7530</v>
      </c>
      <c r="X147" s="34">
        <v>7530</v>
      </c>
      <c r="Y147" s="34">
        <v>7530</v>
      </c>
      <c r="Z147" s="34">
        <v>7230</v>
      </c>
      <c r="AA147" s="34">
        <v>0</v>
      </c>
      <c r="AB147" s="34">
        <v>0</v>
      </c>
      <c r="AC147" s="34">
        <v>7240</v>
      </c>
      <c r="AD147" s="34">
        <v>7240</v>
      </c>
      <c r="AE147" s="34">
        <v>7240</v>
      </c>
      <c r="AF147" s="34">
        <v>8770</v>
      </c>
      <c r="AG147" s="34">
        <v>8780</v>
      </c>
      <c r="AH147" s="34">
        <v>8780</v>
      </c>
      <c r="AI147" s="34">
        <v>8780</v>
      </c>
      <c r="AJ147" s="34">
        <v>9640</v>
      </c>
      <c r="AK147" s="34">
        <v>9650</v>
      </c>
      <c r="AL147">
        <v>9640</v>
      </c>
    </row>
    <row r="148" spans="1:38" ht="16.350000000000001" customHeight="1" x14ac:dyDescent="0.3">
      <c r="A148" s="135" t="s">
        <v>128</v>
      </c>
      <c r="B148" s="136"/>
      <c r="C148" s="34">
        <f>IFERROR(INDEX($H$7:$V$7,1,MATCH("RM14",$H$3:$V$3,0)),0)</f>
        <v>0</v>
      </c>
      <c r="D148" s="34">
        <f>0</f>
        <v>0</v>
      </c>
      <c r="E148" s="34">
        <f>0</f>
        <v>0</v>
      </c>
      <c r="F148" s="34">
        <f>0</f>
        <v>0</v>
      </c>
      <c r="G148" s="34">
        <f>0</f>
        <v>0</v>
      </c>
      <c r="H148" s="34">
        <f>0</f>
        <v>0</v>
      </c>
      <c r="I148" s="34">
        <f>0</f>
        <v>0</v>
      </c>
      <c r="J148" s="34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  <c r="AL148" s="8">
        <f>0</f>
        <v>0</v>
      </c>
    </row>
    <row r="149" spans="1:38" ht="16.350000000000001" customHeight="1" x14ac:dyDescent="0.3">
      <c r="A149" s="34" t="s">
        <v>129</v>
      </c>
      <c r="B149" s="46">
        <f>IFERROR(INDEX($H$8:$V$8,1,MATCH("RM14",$H$3:$V$3,0)),0)</f>
        <v>18547</v>
      </c>
      <c r="C149" s="34">
        <f t="shared" ref="C149:AL149" si="52">$B149</f>
        <v>18547</v>
      </c>
      <c r="D149" s="34">
        <f t="shared" si="52"/>
        <v>18547</v>
      </c>
      <c r="E149" s="34">
        <f t="shared" si="52"/>
        <v>18547</v>
      </c>
      <c r="F149" s="34">
        <f t="shared" si="52"/>
        <v>18547</v>
      </c>
      <c r="G149" s="34">
        <f t="shared" si="52"/>
        <v>18547</v>
      </c>
      <c r="H149" s="34">
        <f t="shared" si="52"/>
        <v>18547</v>
      </c>
      <c r="I149" s="34">
        <f t="shared" si="52"/>
        <v>18547</v>
      </c>
      <c r="J149" s="34">
        <f t="shared" si="52"/>
        <v>18547</v>
      </c>
      <c r="K149" s="8">
        <f t="shared" si="52"/>
        <v>18547</v>
      </c>
      <c r="L149" s="8">
        <f t="shared" si="52"/>
        <v>18547</v>
      </c>
      <c r="M149" s="8">
        <f t="shared" si="52"/>
        <v>18547</v>
      </c>
      <c r="N149" s="8">
        <f t="shared" si="52"/>
        <v>18547</v>
      </c>
      <c r="O149" s="8">
        <f t="shared" si="52"/>
        <v>18547</v>
      </c>
      <c r="P149" s="8">
        <f t="shared" si="52"/>
        <v>18547</v>
      </c>
      <c r="Q149" s="8">
        <f t="shared" si="52"/>
        <v>18547</v>
      </c>
      <c r="R149" s="8">
        <f t="shared" si="52"/>
        <v>18547</v>
      </c>
      <c r="S149" s="8">
        <f t="shared" si="52"/>
        <v>18547</v>
      </c>
      <c r="T149" s="8">
        <f t="shared" si="52"/>
        <v>18547</v>
      </c>
      <c r="U149" s="8">
        <f t="shared" si="52"/>
        <v>18547</v>
      </c>
      <c r="V149" s="8">
        <f t="shared" si="52"/>
        <v>18547</v>
      </c>
      <c r="W149" s="8">
        <f t="shared" si="52"/>
        <v>18547</v>
      </c>
      <c r="X149" s="8">
        <f t="shared" si="52"/>
        <v>18547</v>
      </c>
      <c r="Y149" s="8">
        <f t="shared" si="52"/>
        <v>18547</v>
      </c>
      <c r="Z149" s="8">
        <f t="shared" si="52"/>
        <v>18547</v>
      </c>
      <c r="AA149" s="8">
        <f t="shared" si="52"/>
        <v>18547</v>
      </c>
      <c r="AB149" s="8">
        <f t="shared" si="52"/>
        <v>18547</v>
      </c>
      <c r="AC149" s="8">
        <f t="shared" si="52"/>
        <v>18547</v>
      </c>
      <c r="AD149" s="8">
        <f t="shared" si="52"/>
        <v>18547</v>
      </c>
      <c r="AE149" s="8">
        <f t="shared" si="52"/>
        <v>18547</v>
      </c>
      <c r="AF149" s="8">
        <f t="shared" si="52"/>
        <v>18547</v>
      </c>
      <c r="AG149" s="8">
        <f t="shared" si="52"/>
        <v>18547</v>
      </c>
      <c r="AH149" s="8">
        <f t="shared" si="52"/>
        <v>18547</v>
      </c>
      <c r="AI149" s="8">
        <f t="shared" si="52"/>
        <v>18547</v>
      </c>
      <c r="AJ149" s="8">
        <f t="shared" si="52"/>
        <v>18547</v>
      </c>
      <c r="AK149" s="8">
        <f t="shared" si="52"/>
        <v>18547</v>
      </c>
      <c r="AL149" s="8">
        <f t="shared" si="52"/>
        <v>18547</v>
      </c>
    </row>
    <row r="150" spans="1:38" ht="16.350000000000001" customHeight="1" x14ac:dyDescent="0.3">
      <c r="A150" s="34" t="s">
        <v>135</v>
      </c>
      <c r="B150" s="46">
        <f>IFERROR(INDEX($H$6:$V$6,1,MATCH("RM14",$H$3:$V$3,0)),0)</f>
        <v>130000</v>
      </c>
      <c r="C150" s="34">
        <f>$B150+C148+C152-C147</f>
        <v>115000</v>
      </c>
      <c r="D150" s="34">
        <f t="shared" ref="D150:AL150" si="53">C150+D148+D152-D147</f>
        <v>112060</v>
      </c>
      <c r="E150" s="34">
        <f t="shared" si="53"/>
        <v>99420</v>
      </c>
      <c r="F150" s="34">
        <f t="shared" si="53"/>
        <v>85920</v>
      </c>
      <c r="G150" s="34">
        <f t="shared" si="53"/>
        <v>74410</v>
      </c>
      <c r="H150" s="34">
        <f t="shared" si="53"/>
        <v>59410</v>
      </c>
      <c r="I150" s="34">
        <f t="shared" si="53"/>
        <v>45910</v>
      </c>
      <c r="J150" s="34">
        <f t="shared" si="53"/>
        <v>30910</v>
      </c>
      <c r="K150" s="8">
        <f t="shared" si="53"/>
        <v>18547</v>
      </c>
      <c r="L150" s="8">
        <f t="shared" si="53"/>
        <v>18547</v>
      </c>
      <c r="M150" s="8">
        <f t="shared" si="53"/>
        <v>18547</v>
      </c>
      <c r="N150" s="8">
        <f t="shared" si="53"/>
        <v>18547</v>
      </c>
      <c r="O150" s="8">
        <f t="shared" si="53"/>
        <v>18547</v>
      </c>
      <c r="P150" s="8">
        <f t="shared" si="53"/>
        <v>18547</v>
      </c>
      <c r="Q150" s="8">
        <f t="shared" si="53"/>
        <v>18547</v>
      </c>
      <c r="R150" s="8">
        <f t="shared" si="53"/>
        <v>18547</v>
      </c>
      <c r="S150" s="8">
        <f t="shared" si="53"/>
        <v>18547</v>
      </c>
      <c r="T150" s="8">
        <f t="shared" si="53"/>
        <v>18547</v>
      </c>
      <c r="U150" s="8">
        <f t="shared" si="53"/>
        <v>18547</v>
      </c>
      <c r="V150" s="8">
        <f t="shared" si="53"/>
        <v>18547</v>
      </c>
      <c r="W150" s="8">
        <f t="shared" si="53"/>
        <v>18547</v>
      </c>
      <c r="X150" s="8">
        <f t="shared" si="53"/>
        <v>18547</v>
      </c>
      <c r="Y150" s="8">
        <f t="shared" si="53"/>
        <v>18547</v>
      </c>
      <c r="Z150" s="8">
        <f t="shared" si="53"/>
        <v>18547</v>
      </c>
      <c r="AA150" s="8">
        <f t="shared" si="53"/>
        <v>18547</v>
      </c>
      <c r="AB150" s="8">
        <f t="shared" si="53"/>
        <v>18547</v>
      </c>
      <c r="AC150" s="8">
        <f t="shared" si="53"/>
        <v>18547</v>
      </c>
      <c r="AD150" s="8">
        <f t="shared" si="53"/>
        <v>18547</v>
      </c>
      <c r="AE150" s="8">
        <f t="shared" si="53"/>
        <v>18547</v>
      </c>
      <c r="AF150" s="8">
        <f t="shared" si="53"/>
        <v>18547</v>
      </c>
      <c r="AG150" s="8">
        <f t="shared" si="53"/>
        <v>18547</v>
      </c>
      <c r="AH150" s="8">
        <f t="shared" si="53"/>
        <v>18547</v>
      </c>
      <c r="AI150" s="8">
        <f t="shared" si="53"/>
        <v>18547</v>
      </c>
      <c r="AJ150" s="8">
        <f t="shared" si="53"/>
        <v>18547</v>
      </c>
      <c r="AK150" s="8">
        <f t="shared" si="53"/>
        <v>18547</v>
      </c>
      <c r="AL150" s="8">
        <f t="shared" si="53"/>
        <v>18547</v>
      </c>
    </row>
    <row r="151" spans="1:38" ht="16.350000000000001" customHeight="1" x14ac:dyDescent="0.3">
      <c r="A151" s="34" t="s">
        <v>136</v>
      </c>
      <c r="B151" s="46"/>
      <c r="C151" s="34">
        <f>MAX(C147+C149-($B150+C148),0)</f>
        <v>0</v>
      </c>
      <c r="D151" s="34">
        <f t="shared" ref="D151:AL151" si="54">MAX(D147+D149-(C150+D148),0)</f>
        <v>0</v>
      </c>
      <c r="E151" s="34">
        <f t="shared" si="54"/>
        <v>0</v>
      </c>
      <c r="F151" s="34">
        <f t="shared" si="54"/>
        <v>0</v>
      </c>
      <c r="G151" s="34">
        <f t="shared" si="54"/>
        <v>0</v>
      </c>
      <c r="H151" s="34">
        <f t="shared" si="54"/>
        <v>0</v>
      </c>
      <c r="I151" s="34">
        <f t="shared" si="54"/>
        <v>0</v>
      </c>
      <c r="J151" s="34">
        <f t="shared" si="54"/>
        <v>0</v>
      </c>
      <c r="K151" s="8">
        <f t="shared" si="54"/>
        <v>2637</v>
      </c>
      <c r="L151" s="8">
        <f t="shared" si="54"/>
        <v>13500</v>
      </c>
      <c r="M151" s="8">
        <f t="shared" si="54"/>
        <v>15000</v>
      </c>
      <c r="N151" s="8">
        <f t="shared" si="54"/>
        <v>11500</v>
      </c>
      <c r="O151" s="8">
        <f t="shared" si="54"/>
        <v>13500</v>
      </c>
      <c r="P151" s="8">
        <f t="shared" si="54"/>
        <v>13500</v>
      </c>
      <c r="Q151" s="8">
        <f t="shared" si="54"/>
        <v>13500</v>
      </c>
      <c r="R151" s="8">
        <f t="shared" si="54"/>
        <v>2380</v>
      </c>
      <c r="S151" s="8">
        <f t="shared" si="54"/>
        <v>6490</v>
      </c>
      <c r="T151" s="8">
        <f t="shared" si="54"/>
        <v>6500</v>
      </c>
      <c r="U151" s="8">
        <f t="shared" si="54"/>
        <v>6490</v>
      </c>
      <c r="V151" s="8">
        <f t="shared" si="54"/>
        <v>7530</v>
      </c>
      <c r="W151" s="8">
        <f t="shared" si="54"/>
        <v>7530</v>
      </c>
      <c r="X151" s="8">
        <f t="shared" si="54"/>
        <v>7530</v>
      </c>
      <c r="Y151" s="8">
        <f t="shared" si="54"/>
        <v>7530</v>
      </c>
      <c r="Z151" s="8">
        <f t="shared" si="54"/>
        <v>7230</v>
      </c>
      <c r="AA151" s="8">
        <f t="shared" si="54"/>
        <v>0</v>
      </c>
      <c r="AB151" s="8">
        <f t="shared" si="54"/>
        <v>0</v>
      </c>
      <c r="AC151" s="8">
        <f t="shared" si="54"/>
        <v>7240</v>
      </c>
      <c r="AD151" s="8">
        <f t="shared" si="54"/>
        <v>7240</v>
      </c>
      <c r="AE151" s="8">
        <f t="shared" si="54"/>
        <v>7240</v>
      </c>
      <c r="AF151" s="8">
        <f t="shared" si="54"/>
        <v>8770</v>
      </c>
      <c r="AG151" s="8">
        <f t="shared" si="54"/>
        <v>8780</v>
      </c>
      <c r="AH151" s="8">
        <f t="shared" si="54"/>
        <v>8780</v>
      </c>
      <c r="AI151" s="8">
        <f t="shared" si="54"/>
        <v>8780</v>
      </c>
      <c r="AJ151" s="8">
        <f t="shared" si="54"/>
        <v>9640</v>
      </c>
      <c r="AK151" s="8">
        <f t="shared" si="54"/>
        <v>9650</v>
      </c>
      <c r="AL151" s="8">
        <f t="shared" si="54"/>
        <v>9640</v>
      </c>
    </row>
    <row r="152" spans="1:38" ht="16.350000000000001" customHeight="1" x14ac:dyDescent="0.3">
      <c r="A152" s="135" t="s">
        <v>137</v>
      </c>
      <c r="B152" s="136"/>
      <c r="C152" s="34">
        <f t="shared" ref="C152:AL152" si="55">C151</f>
        <v>0</v>
      </c>
      <c r="D152" s="34">
        <f t="shared" si="55"/>
        <v>0</v>
      </c>
      <c r="E152" s="34">
        <f t="shared" si="55"/>
        <v>0</v>
      </c>
      <c r="F152" s="34">
        <f t="shared" si="55"/>
        <v>0</v>
      </c>
      <c r="G152" s="34">
        <f t="shared" si="55"/>
        <v>0</v>
      </c>
      <c r="H152" s="34">
        <f t="shared" si="55"/>
        <v>0</v>
      </c>
      <c r="I152" s="34">
        <f t="shared" si="55"/>
        <v>0</v>
      </c>
      <c r="J152" s="34">
        <f t="shared" si="55"/>
        <v>0</v>
      </c>
      <c r="K152" s="8">
        <f t="shared" si="55"/>
        <v>2637</v>
      </c>
      <c r="L152" s="8">
        <f t="shared" si="55"/>
        <v>13500</v>
      </c>
      <c r="M152" s="8">
        <f t="shared" si="55"/>
        <v>15000</v>
      </c>
      <c r="N152" s="8">
        <f t="shared" si="55"/>
        <v>11500</v>
      </c>
      <c r="O152" s="8">
        <f t="shared" si="55"/>
        <v>13500</v>
      </c>
      <c r="P152" s="8">
        <f t="shared" si="55"/>
        <v>13500</v>
      </c>
      <c r="Q152" s="8">
        <f t="shared" si="55"/>
        <v>13500</v>
      </c>
      <c r="R152" s="8">
        <f t="shared" si="55"/>
        <v>2380</v>
      </c>
      <c r="S152" s="8">
        <f t="shared" si="55"/>
        <v>6490</v>
      </c>
      <c r="T152" s="8">
        <f t="shared" si="55"/>
        <v>6500</v>
      </c>
      <c r="U152" s="8">
        <f t="shared" si="55"/>
        <v>6490</v>
      </c>
      <c r="V152" s="8">
        <f t="shared" si="55"/>
        <v>7530</v>
      </c>
      <c r="W152" s="8">
        <f t="shared" si="55"/>
        <v>7530</v>
      </c>
      <c r="X152" s="8">
        <f t="shared" si="55"/>
        <v>7530</v>
      </c>
      <c r="Y152" s="8">
        <f t="shared" si="55"/>
        <v>7530</v>
      </c>
      <c r="Z152" s="8">
        <f t="shared" si="55"/>
        <v>7230</v>
      </c>
      <c r="AA152" s="8">
        <f t="shared" si="55"/>
        <v>0</v>
      </c>
      <c r="AB152" s="8">
        <f t="shared" si="55"/>
        <v>0</v>
      </c>
      <c r="AC152" s="8">
        <f t="shared" si="55"/>
        <v>7240</v>
      </c>
      <c r="AD152" s="8">
        <f t="shared" si="55"/>
        <v>7240</v>
      </c>
      <c r="AE152" s="8">
        <f t="shared" si="55"/>
        <v>7240</v>
      </c>
      <c r="AF152" s="8">
        <f t="shared" si="55"/>
        <v>8770</v>
      </c>
      <c r="AG152" s="8">
        <f t="shared" si="55"/>
        <v>8780</v>
      </c>
      <c r="AH152" s="8">
        <f t="shared" si="55"/>
        <v>8780</v>
      </c>
      <c r="AI152" s="8">
        <f t="shared" si="55"/>
        <v>8780</v>
      </c>
      <c r="AJ152" s="8">
        <f t="shared" si="55"/>
        <v>9640</v>
      </c>
      <c r="AK152" s="8">
        <f t="shared" si="55"/>
        <v>9650</v>
      </c>
      <c r="AL152" s="8">
        <f t="shared" si="55"/>
        <v>9640</v>
      </c>
    </row>
    <row r="153" spans="1:38" ht="16.350000000000001" customHeight="1" x14ac:dyDescent="0.3">
      <c r="A153" s="34" t="s">
        <v>138</v>
      </c>
      <c r="B153" s="46"/>
      <c r="C153" s="34">
        <f>IFERROR(INDEX($C$152:$AK$152,1,1+ROUND(INDEX($H$5:$V$5,1,MATCH("RM14",$H$3:$V$3,0))/7,0)),0)</f>
        <v>13500</v>
      </c>
      <c r="D153" s="34">
        <f>IFERROR(INDEX($C$152:$AK$152,1,2+ROUND(INDEX($H$5:$V$5,1,MATCH("RM14",$H$3:$V$3,0))/7,0)),0)</f>
        <v>15000</v>
      </c>
      <c r="E153" s="34">
        <f>IFERROR(INDEX($C$152:$AK$152,1,3+ROUND(INDEX($H$5:$V$5,1,MATCH("RM14",$H$3:$V$3,0))/7,0)),0)</f>
        <v>11500</v>
      </c>
      <c r="F153" s="34">
        <f>IFERROR(INDEX($C$152:$AK$152,1,4+ROUND(INDEX($H$5:$V$5,1,MATCH("RM14",$H$3:$V$3,0))/7,0)),0)</f>
        <v>13500</v>
      </c>
      <c r="G153" s="34">
        <f>IFERROR(INDEX($C$152:$AK$152,1,5+ROUND(INDEX($H$5:$V$5,1,MATCH("RM14",$H$3:$V$3,0))/7,0)),0)</f>
        <v>13500</v>
      </c>
      <c r="H153" s="34">
        <f>IFERROR(INDEX($C$152:$AK$152,1,6+ROUND(INDEX($H$5:$V$5,1,MATCH("RM14",$H$3:$V$3,0))/7,0)),0)</f>
        <v>13500</v>
      </c>
      <c r="I153" s="34">
        <f>IFERROR(INDEX($C$152:$AK$152,1,7+ROUND(INDEX($H$5:$V$5,1,MATCH("RM14",$H$3:$V$3,0))/7,0)),0)</f>
        <v>2380</v>
      </c>
      <c r="J153" s="34">
        <f>IFERROR(INDEX($C$152:$AK$152,1,8+ROUND(INDEX($H$5:$V$5,1,MATCH("RM14",$H$3:$V$3,0))/7,0)),0)</f>
        <v>6490</v>
      </c>
      <c r="K153" s="8">
        <f>IFERROR(INDEX($C$152:$AK$152,1,9+ROUND(INDEX($H$5:$V$5,1,MATCH("RM14",$H$3:$V$3,0))/7,0)),0)</f>
        <v>6500</v>
      </c>
      <c r="L153" s="8">
        <f>IFERROR(INDEX($C$152:$AK$152,1,10+ROUND(INDEX($H$5:$V$5,1,MATCH("RM14",$H$3:$V$3,0))/7,0)),0)</f>
        <v>6490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7530</v>
      </c>
      <c r="Q153" s="8">
        <f>IFERROR(INDEX($C$152:$AK$152,1,15+ROUND(INDEX($H$5:$V$5,1,MATCH("RM14",$H$3:$V$3,0))/7,0)),0)</f>
        <v>7230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7240</v>
      </c>
      <c r="W153" s="8">
        <f>IFERROR(INDEX($C$152:$AK$152,1,21+ROUND(INDEX($H$5:$V$5,1,MATCH("RM14",$H$3:$V$3,0))/7,0)),0)</f>
        <v>8770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8780</v>
      </c>
      <c r="AA153" s="8">
        <f>IFERROR(INDEX($C$152:$AK$152,1,25+ROUND(INDEX($H$5:$V$5,1,MATCH("RM14",$H$3:$V$3,0))/7,0)),0)</f>
        <v>9640</v>
      </c>
      <c r="AB153" s="8">
        <f>IFERROR(INDEX($C$152:$AK$152,1,26+ROUND(INDEX($H$5:$V$5,1,MATCH("RM14",$H$3:$V$3,0))/7,0)),0)</f>
        <v>9650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  <c r="AL153" s="8">
        <f>IFERROR(INDEX($C$152:$AK$152,1,35+ROUND(INDEX($H$5:$V$5,1,MATCH("RM14",$H$3:$V$3,0))/7,0)),0)</f>
        <v>0</v>
      </c>
    </row>
    <row r="155" spans="1:38" ht="16.350000000000001" customHeight="1" x14ac:dyDescent="0.3">
      <c r="A155" s="47" t="s">
        <v>152</v>
      </c>
      <c r="B155" s="47" t="s">
        <v>132</v>
      </c>
      <c r="C155" s="137" t="s">
        <v>0</v>
      </c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6"/>
    </row>
    <row r="156" spans="1:38" ht="16.350000000000001" customHeight="1" x14ac:dyDescent="0.3">
      <c r="A156" s="47" t="s">
        <v>133</v>
      </c>
      <c r="B156" s="47" t="str">
        <f>"LT: "&amp;ROUND(INDEX($H$5:$V$5,1,MATCH("RM15",$H$3:$V$3,0))/7,0)</f>
        <v>LT: 7</v>
      </c>
      <c r="C156" s="48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>
        <v>46370</v>
      </c>
    </row>
    <row r="157" spans="1:38" ht="16.350000000000001" customHeight="1" x14ac:dyDescent="0.3">
      <c r="A157" s="51" t="s">
        <v>134</v>
      </c>
      <c r="C157" s="34">
        <f t="array" ref="C157:AL157">TRANSPOSE(BOM_demand!$V$2:$V$37)</f>
        <v>6000</v>
      </c>
      <c r="D157" s="34">
        <v>1176</v>
      </c>
      <c r="E157" s="34">
        <v>5056</v>
      </c>
      <c r="F157" s="34">
        <v>5400</v>
      </c>
      <c r="G157" s="34">
        <v>4604</v>
      </c>
      <c r="H157" s="34">
        <v>6000</v>
      </c>
      <c r="I157" s="34">
        <v>5400</v>
      </c>
      <c r="J157" s="34">
        <v>6000</v>
      </c>
      <c r="K157" s="34">
        <v>6000</v>
      </c>
      <c r="L157" s="34">
        <v>5400</v>
      </c>
      <c r="M157" s="34">
        <v>6000</v>
      </c>
      <c r="N157" s="34">
        <v>4600</v>
      </c>
      <c r="O157" s="34">
        <v>5400</v>
      </c>
      <c r="P157" s="34">
        <v>5400</v>
      </c>
      <c r="Q157" s="34">
        <v>5400</v>
      </c>
      <c r="R157" s="34">
        <v>952</v>
      </c>
      <c r="S157" s="34">
        <v>2596</v>
      </c>
      <c r="T157" s="34">
        <v>2600</v>
      </c>
      <c r="U157" s="34">
        <v>2596</v>
      </c>
      <c r="V157" s="34">
        <v>3012</v>
      </c>
      <c r="W157" s="34">
        <v>3012</v>
      </c>
      <c r="X157" s="34">
        <v>3012</v>
      </c>
      <c r="Y157" s="34">
        <v>3012</v>
      </c>
      <c r="Z157" s="34">
        <v>2892</v>
      </c>
      <c r="AA157" s="34">
        <v>0</v>
      </c>
      <c r="AB157" s="34">
        <v>0</v>
      </c>
      <c r="AC157" s="34">
        <v>2896</v>
      </c>
      <c r="AD157" s="34">
        <v>2896</v>
      </c>
      <c r="AE157" s="34">
        <v>2896</v>
      </c>
      <c r="AF157" s="34">
        <v>3508</v>
      </c>
      <c r="AG157" s="34">
        <v>3512</v>
      </c>
      <c r="AH157" s="34">
        <v>3512</v>
      </c>
      <c r="AI157" s="34">
        <v>3512</v>
      </c>
      <c r="AJ157" s="34">
        <v>3856</v>
      </c>
      <c r="AK157" s="34">
        <v>3860</v>
      </c>
      <c r="AL157">
        <v>3856</v>
      </c>
    </row>
    <row r="158" spans="1:38" ht="16.350000000000001" customHeight="1" x14ac:dyDescent="0.3">
      <c r="A158" s="135" t="s">
        <v>128</v>
      </c>
      <c r="B158" s="136"/>
      <c r="C158" s="34">
        <f>IFERROR(INDEX($H$7:$V$7,1,MATCH("RM15",$H$3:$V$3,0)),0)</f>
        <v>21000</v>
      </c>
      <c r="D158" s="34">
        <f>0</f>
        <v>0</v>
      </c>
      <c r="E158" s="34">
        <f>0</f>
        <v>0</v>
      </c>
      <c r="F158" s="34">
        <f>0</f>
        <v>0</v>
      </c>
      <c r="G158" s="34">
        <f>0</f>
        <v>0</v>
      </c>
      <c r="H158" s="34">
        <f>0</f>
        <v>0</v>
      </c>
      <c r="I158" s="34">
        <f>0</f>
        <v>0</v>
      </c>
      <c r="J158" s="34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  <c r="AL158" s="8">
        <f>0</f>
        <v>0</v>
      </c>
    </row>
    <row r="159" spans="1:38" ht="16.350000000000001" customHeight="1" x14ac:dyDescent="0.3">
      <c r="A159" s="34" t="s">
        <v>129</v>
      </c>
      <c r="B159" s="46">
        <f>IFERROR(INDEX($H$8:$V$8,1,MATCH("RM15",$H$3:$V$3,0)),0)</f>
        <v>7419</v>
      </c>
      <c r="C159" s="34">
        <f t="shared" ref="C159:AL159" si="56">$B159</f>
        <v>7419</v>
      </c>
      <c r="D159" s="34">
        <f t="shared" si="56"/>
        <v>7419</v>
      </c>
      <c r="E159" s="34">
        <f t="shared" si="56"/>
        <v>7419</v>
      </c>
      <c r="F159" s="34">
        <f t="shared" si="56"/>
        <v>7419</v>
      </c>
      <c r="G159" s="34">
        <f t="shared" si="56"/>
        <v>7419</v>
      </c>
      <c r="H159" s="34">
        <f t="shared" si="56"/>
        <v>7419</v>
      </c>
      <c r="I159" s="34">
        <f t="shared" si="56"/>
        <v>7419</v>
      </c>
      <c r="J159" s="34">
        <f t="shared" si="56"/>
        <v>7419</v>
      </c>
      <c r="K159" s="8">
        <f t="shared" si="56"/>
        <v>7419</v>
      </c>
      <c r="L159" s="8">
        <f t="shared" si="56"/>
        <v>7419</v>
      </c>
      <c r="M159" s="8">
        <f t="shared" si="56"/>
        <v>7419</v>
      </c>
      <c r="N159" s="8">
        <f t="shared" si="56"/>
        <v>7419</v>
      </c>
      <c r="O159" s="8">
        <f t="shared" si="56"/>
        <v>7419</v>
      </c>
      <c r="P159" s="8">
        <f t="shared" si="56"/>
        <v>7419</v>
      </c>
      <c r="Q159" s="8">
        <f t="shared" si="56"/>
        <v>7419</v>
      </c>
      <c r="R159" s="8">
        <f t="shared" si="56"/>
        <v>7419</v>
      </c>
      <c r="S159" s="8">
        <f t="shared" si="56"/>
        <v>7419</v>
      </c>
      <c r="T159" s="8">
        <f t="shared" si="56"/>
        <v>7419</v>
      </c>
      <c r="U159" s="8">
        <f t="shared" si="56"/>
        <v>7419</v>
      </c>
      <c r="V159" s="8">
        <f t="shared" si="56"/>
        <v>7419</v>
      </c>
      <c r="W159" s="8">
        <f t="shared" si="56"/>
        <v>7419</v>
      </c>
      <c r="X159" s="8">
        <f t="shared" si="56"/>
        <v>7419</v>
      </c>
      <c r="Y159" s="8">
        <f t="shared" si="56"/>
        <v>7419</v>
      </c>
      <c r="Z159" s="8">
        <f t="shared" si="56"/>
        <v>7419</v>
      </c>
      <c r="AA159" s="8">
        <f t="shared" si="56"/>
        <v>7419</v>
      </c>
      <c r="AB159" s="8">
        <f t="shared" si="56"/>
        <v>7419</v>
      </c>
      <c r="AC159" s="8">
        <f t="shared" si="56"/>
        <v>7419</v>
      </c>
      <c r="AD159" s="8">
        <f t="shared" si="56"/>
        <v>7419</v>
      </c>
      <c r="AE159" s="8">
        <f t="shared" si="56"/>
        <v>7419</v>
      </c>
      <c r="AF159" s="8">
        <f t="shared" si="56"/>
        <v>7419</v>
      </c>
      <c r="AG159" s="8">
        <f t="shared" si="56"/>
        <v>7419</v>
      </c>
      <c r="AH159" s="8">
        <f t="shared" si="56"/>
        <v>7419</v>
      </c>
      <c r="AI159" s="8">
        <f t="shared" si="56"/>
        <v>7419</v>
      </c>
      <c r="AJ159" s="8">
        <f t="shared" si="56"/>
        <v>7419</v>
      </c>
      <c r="AK159" s="8">
        <f t="shared" si="56"/>
        <v>7419</v>
      </c>
      <c r="AL159" s="8">
        <f t="shared" si="56"/>
        <v>7419</v>
      </c>
    </row>
    <row r="160" spans="1:38" ht="16.350000000000001" customHeight="1" x14ac:dyDescent="0.3">
      <c r="A160" s="34" t="s">
        <v>135</v>
      </c>
      <c r="B160" s="46">
        <f>IFERROR(INDEX($H$6:$V$6,1,MATCH("RM15",$H$3:$V$3,0)),0)</f>
        <v>20000</v>
      </c>
      <c r="C160" s="34">
        <f>$B160+C158+C162-C157</f>
        <v>35000</v>
      </c>
      <c r="D160" s="34">
        <f t="shared" ref="D160:AL160" si="57">C160+D158+D162-D157</f>
        <v>33824</v>
      </c>
      <c r="E160" s="34">
        <f t="shared" si="57"/>
        <v>28768</v>
      </c>
      <c r="F160" s="34">
        <f t="shared" si="57"/>
        <v>23368</v>
      </c>
      <c r="G160" s="34">
        <f t="shared" si="57"/>
        <v>18764</v>
      </c>
      <c r="H160" s="34">
        <f t="shared" si="57"/>
        <v>12764</v>
      </c>
      <c r="I160" s="34">
        <f t="shared" si="57"/>
        <v>7419</v>
      </c>
      <c r="J160" s="34">
        <f t="shared" si="57"/>
        <v>7419</v>
      </c>
      <c r="K160" s="8">
        <f t="shared" si="57"/>
        <v>7419</v>
      </c>
      <c r="L160" s="8">
        <f t="shared" si="57"/>
        <v>7419</v>
      </c>
      <c r="M160" s="8">
        <f t="shared" si="57"/>
        <v>7419</v>
      </c>
      <c r="N160" s="8">
        <f t="shared" si="57"/>
        <v>7419</v>
      </c>
      <c r="O160" s="8">
        <f t="shared" si="57"/>
        <v>7419</v>
      </c>
      <c r="P160" s="8">
        <f t="shared" si="57"/>
        <v>7419</v>
      </c>
      <c r="Q160" s="8">
        <f t="shared" si="57"/>
        <v>7419</v>
      </c>
      <c r="R160" s="8">
        <f t="shared" si="57"/>
        <v>7419</v>
      </c>
      <c r="S160" s="8">
        <f t="shared" si="57"/>
        <v>7419</v>
      </c>
      <c r="T160" s="8">
        <f t="shared" si="57"/>
        <v>7419</v>
      </c>
      <c r="U160" s="8">
        <f t="shared" si="57"/>
        <v>7419</v>
      </c>
      <c r="V160" s="8">
        <f t="shared" si="57"/>
        <v>7419</v>
      </c>
      <c r="W160" s="8">
        <f t="shared" si="57"/>
        <v>7419</v>
      </c>
      <c r="X160" s="8">
        <f t="shared" si="57"/>
        <v>7419</v>
      </c>
      <c r="Y160" s="8">
        <f t="shared" si="57"/>
        <v>7419</v>
      </c>
      <c r="Z160" s="8">
        <f t="shared" si="57"/>
        <v>7419</v>
      </c>
      <c r="AA160" s="8">
        <f t="shared" si="57"/>
        <v>7419</v>
      </c>
      <c r="AB160" s="8">
        <f t="shared" si="57"/>
        <v>7419</v>
      </c>
      <c r="AC160" s="8">
        <f t="shared" si="57"/>
        <v>7419</v>
      </c>
      <c r="AD160" s="8">
        <f t="shared" si="57"/>
        <v>7419</v>
      </c>
      <c r="AE160" s="8">
        <f t="shared" si="57"/>
        <v>7419</v>
      </c>
      <c r="AF160" s="8">
        <f t="shared" si="57"/>
        <v>7419</v>
      </c>
      <c r="AG160" s="8">
        <f t="shared" si="57"/>
        <v>7419</v>
      </c>
      <c r="AH160" s="8">
        <f t="shared" si="57"/>
        <v>7419</v>
      </c>
      <c r="AI160" s="8">
        <f t="shared" si="57"/>
        <v>7419</v>
      </c>
      <c r="AJ160" s="8">
        <f t="shared" si="57"/>
        <v>7419</v>
      </c>
      <c r="AK160" s="8">
        <f t="shared" si="57"/>
        <v>7419</v>
      </c>
      <c r="AL160" s="8">
        <f t="shared" si="57"/>
        <v>7419</v>
      </c>
    </row>
    <row r="161" spans="1:38" ht="16.350000000000001" customHeight="1" x14ac:dyDescent="0.3">
      <c r="A161" s="34" t="s">
        <v>136</v>
      </c>
      <c r="B161" s="46"/>
      <c r="C161" s="34">
        <f>MAX(C157+C159-($B160+C158),0)</f>
        <v>0</v>
      </c>
      <c r="D161" s="34">
        <f t="shared" ref="D161:AL161" si="58">MAX(D157+D159-(C160+D158),0)</f>
        <v>0</v>
      </c>
      <c r="E161" s="34">
        <f t="shared" si="58"/>
        <v>0</v>
      </c>
      <c r="F161" s="34">
        <f t="shared" si="58"/>
        <v>0</v>
      </c>
      <c r="G161" s="34">
        <f t="shared" si="58"/>
        <v>0</v>
      </c>
      <c r="H161" s="34">
        <f t="shared" si="58"/>
        <v>0</v>
      </c>
      <c r="I161" s="34">
        <f t="shared" si="58"/>
        <v>55</v>
      </c>
      <c r="J161" s="34">
        <f t="shared" si="58"/>
        <v>6000</v>
      </c>
      <c r="K161" s="8">
        <f t="shared" si="58"/>
        <v>6000</v>
      </c>
      <c r="L161" s="8">
        <f t="shared" si="58"/>
        <v>5400</v>
      </c>
      <c r="M161" s="8">
        <f t="shared" si="58"/>
        <v>6000</v>
      </c>
      <c r="N161" s="8">
        <f t="shared" si="58"/>
        <v>4600</v>
      </c>
      <c r="O161" s="8">
        <f t="shared" si="58"/>
        <v>5400</v>
      </c>
      <c r="P161" s="8">
        <f t="shared" si="58"/>
        <v>5400</v>
      </c>
      <c r="Q161" s="8">
        <f t="shared" si="58"/>
        <v>5400</v>
      </c>
      <c r="R161" s="8">
        <f t="shared" si="58"/>
        <v>952</v>
      </c>
      <c r="S161" s="8">
        <f t="shared" si="58"/>
        <v>2596</v>
      </c>
      <c r="T161" s="8">
        <f t="shared" si="58"/>
        <v>2600</v>
      </c>
      <c r="U161" s="8">
        <f t="shared" si="58"/>
        <v>2596</v>
      </c>
      <c r="V161" s="8">
        <f t="shared" si="58"/>
        <v>3012</v>
      </c>
      <c r="W161" s="8">
        <f t="shared" si="58"/>
        <v>3012</v>
      </c>
      <c r="X161" s="8">
        <f t="shared" si="58"/>
        <v>3012</v>
      </c>
      <c r="Y161" s="8">
        <f t="shared" si="58"/>
        <v>3012</v>
      </c>
      <c r="Z161" s="8">
        <f t="shared" si="58"/>
        <v>2892</v>
      </c>
      <c r="AA161" s="8">
        <f t="shared" si="58"/>
        <v>0</v>
      </c>
      <c r="AB161" s="8">
        <f t="shared" si="58"/>
        <v>0</v>
      </c>
      <c r="AC161" s="8">
        <f t="shared" si="58"/>
        <v>2896</v>
      </c>
      <c r="AD161" s="8">
        <f t="shared" si="58"/>
        <v>2896</v>
      </c>
      <c r="AE161" s="8">
        <f t="shared" si="58"/>
        <v>2896</v>
      </c>
      <c r="AF161" s="8">
        <f t="shared" si="58"/>
        <v>3508</v>
      </c>
      <c r="AG161" s="8">
        <f t="shared" si="58"/>
        <v>3512</v>
      </c>
      <c r="AH161" s="8">
        <f t="shared" si="58"/>
        <v>3512</v>
      </c>
      <c r="AI161" s="8">
        <f t="shared" si="58"/>
        <v>3512</v>
      </c>
      <c r="AJ161" s="8">
        <f t="shared" si="58"/>
        <v>3856</v>
      </c>
      <c r="AK161" s="8">
        <f t="shared" si="58"/>
        <v>3860</v>
      </c>
      <c r="AL161" s="8">
        <f t="shared" si="58"/>
        <v>3856</v>
      </c>
    </row>
    <row r="162" spans="1:38" ht="16.350000000000001" customHeight="1" x14ac:dyDescent="0.3">
      <c r="A162" s="135" t="s">
        <v>137</v>
      </c>
      <c r="B162" s="136"/>
      <c r="C162" s="34">
        <f t="shared" ref="C162:AL162" si="59">C161</f>
        <v>0</v>
      </c>
      <c r="D162" s="34">
        <f t="shared" si="59"/>
        <v>0</v>
      </c>
      <c r="E162" s="34">
        <f t="shared" si="59"/>
        <v>0</v>
      </c>
      <c r="F162" s="34">
        <f t="shared" si="59"/>
        <v>0</v>
      </c>
      <c r="G162" s="34">
        <f t="shared" si="59"/>
        <v>0</v>
      </c>
      <c r="H162" s="34">
        <f t="shared" si="59"/>
        <v>0</v>
      </c>
      <c r="I162" s="34">
        <f t="shared" si="59"/>
        <v>55</v>
      </c>
      <c r="J162" s="34">
        <f t="shared" si="59"/>
        <v>6000</v>
      </c>
      <c r="K162" s="8">
        <f t="shared" si="59"/>
        <v>6000</v>
      </c>
      <c r="L162" s="8">
        <f t="shared" si="59"/>
        <v>5400</v>
      </c>
      <c r="M162" s="8">
        <f t="shared" si="59"/>
        <v>6000</v>
      </c>
      <c r="N162" s="8">
        <f t="shared" si="59"/>
        <v>4600</v>
      </c>
      <c r="O162" s="8">
        <f t="shared" si="59"/>
        <v>5400</v>
      </c>
      <c r="P162" s="8">
        <f t="shared" si="59"/>
        <v>5400</v>
      </c>
      <c r="Q162" s="8">
        <f t="shared" si="59"/>
        <v>5400</v>
      </c>
      <c r="R162" s="8">
        <f t="shared" si="59"/>
        <v>952</v>
      </c>
      <c r="S162" s="8">
        <f t="shared" si="59"/>
        <v>2596</v>
      </c>
      <c r="T162" s="8">
        <f t="shared" si="59"/>
        <v>2600</v>
      </c>
      <c r="U162" s="8">
        <f t="shared" si="59"/>
        <v>2596</v>
      </c>
      <c r="V162" s="8">
        <f t="shared" si="59"/>
        <v>3012</v>
      </c>
      <c r="W162" s="8">
        <f t="shared" si="59"/>
        <v>3012</v>
      </c>
      <c r="X162" s="8">
        <f t="shared" si="59"/>
        <v>3012</v>
      </c>
      <c r="Y162" s="8">
        <f t="shared" si="59"/>
        <v>3012</v>
      </c>
      <c r="Z162" s="8">
        <f t="shared" si="59"/>
        <v>2892</v>
      </c>
      <c r="AA162" s="8">
        <f t="shared" si="59"/>
        <v>0</v>
      </c>
      <c r="AB162" s="8">
        <f t="shared" si="59"/>
        <v>0</v>
      </c>
      <c r="AC162" s="8">
        <f t="shared" si="59"/>
        <v>2896</v>
      </c>
      <c r="AD162" s="8">
        <f t="shared" si="59"/>
        <v>2896</v>
      </c>
      <c r="AE162" s="8">
        <f t="shared" si="59"/>
        <v>2896</v>
      </c>
      <c r="AF162" s="8">
        <f t="shared" si="59"/>
        <v>3508</v>
      </c>
      <c r="AG162" s="8">
        <f t="shared" si="59"/>
        <v>3512</v>
      </c>
      <c r="AH162" s="8">
        <f t="shared" si="59"/>
        <v>3512</v>
      </c>
      <c r="AI162" s="8">
        <f t="shared" si="59"/>
        <v>3512</v>
      </c>
      <c r="AJ162" s="8">
        <f t="shared" si="59"/>
        <v>3856</v>
      </c>
      <c r="AK162" s="8">
        <f t="shared" si="59"/>
        <v>3860</v>
      </c>
      <c r="AL162" s="8">
        <f t="shared" si="59"/>
        <v>3856</v>
      </c>
    </row>
    <row r="163" spans="1:38" ht="16.350000000000001" customHeight="1" x14ac:dyDescent="0.3">
      <c r="A163" s="34" t="s">
        <v>138</v>
      </c>
      <c r="B163" s="46"/>
      <c r="C163" s="34">
        <f>IFERROR(INDEX($C$162:$AK$162,1,1+ROUND(INDEX($H$5:$V$5,1,MATCH("RM15",$H$3:$V$3,0))/7,0)),0)</f>
        <v>6000</v>
      </c>
      <c r="D163" s="34">
        <f>IFERROR(INDEX($C$162:$AK$162,1,2+ROUND(INDEX($H$5:$V$5,1,MATCH("RM15",$H$3:$V$3,0))/7,0)),0)</f>
        <v>6000</v>
      </c>
      <c r="E163" s="34">
        <f>IFERROR(INDEX($C$162:$AK$162,1,3+ROUND(INDEX($H$5:$V$5,1,MATCH("RM15",$H$3:$V$3,0))/7,0)),0)</f>
        <v>5400</v>
      </c>
      <c r="F163" s="34">
        <f>IFERROR(INDEX($C$162:$AK$162,1,4+ROUND(INDEX($H$5:$V$5,1,MATCH("RM15",$H$3:$V$3,0))/7,0)),0)</f>
        <v>6000</v>
      </c>
      <c r="G163" s="34">
        <f>IFERROR(INDEX($C$162:$AK$162,1,5+ROUND(INDEX($H$5:$V$5,1,MATCH("RM15",$H$3:$V$3,0))/7,0)),0)</f>
        <v>4600</v>
      </c>
      <c r="H163" s="34">
        <f>IFERROR(INDEX($C$162:$AK$162,1,6+ROUND(INDEX($H$5:$V$5,1,MATCH("RM15",$H$3:$V$3,0))/7,0)),0)</f>
        <v>5400</v>
      </c>
      <c r="I163" s="34">
        <f>IFERROR(INDEX($C$162:$AK$162,1,7+ROUND(INDEX($H$5:$V$5,1,MATCH("RM15",$H$3:$V$3,0))/7,0)),0)</f>
        <v>5400</v>
      </c>
      <c r="J163" s="34">
        <f>IFERROR(INDEX($C$162:$AK$162,1,8+ROUND(INDEX($H$5:$V$5,1,MATCH("RM15",$H$3:$V$3,0))/7,0)),0)</f>
        <v>5400</v>
      </c>
      <c r="K163" s="8">
        <f>IFERROR(INDEX($C$162:$AK$162,1,9+ROUND(INDEX($H$5:$V$5,1,MATCH("RM15",$H$3:$V$3,0))/7,0)),0)</f>
        <v>952</v>
      </c>
      <c r="L163" s="8">
        <f>IFERROR(INDEX($C$162:$AK$162,1,10+ROUND(INDEX($H$5:$V$5,1,MATCH("RM15",$H$3:$V$3,0))/7,0)),0)</f>
        <v>2596</v>
      </c>
      <c r="M163" s="8">
        <f>IFERROR(INDEX($C$162:$AK$162,1,11+ROUND(INDEX($H$5:$V$5,1,MATCH("RM15",$H$3:$V$3,0))/7,0)),0)</f>
        <v>2600</v>
      </c>
      <c r="N163" s="8">
        <f>IFERROR(INDEX($C$162:$AK$162,1,12+ROUND(INDEX($H$5:$V$5,1,MATCH("RM15",$H$3:$V$3,0))/7,0)),0)</f>
        <v>2596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3012</v>
      </c>
      <c r="S163" s="8">
        <f>IFERROR(INDEX($C$162:$AK$162,1,17+ROUND(INDEX($H$5:$V$5,1,MATCH("RM15",$H$3:$V$3,0))/7,0)),0)</f>
        <v>2892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0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2896</v>
      </c>
      <c r="Y163" s="8">
        <f>IFERROR(INDEX($C$162:$AK$162,1,23+ROUND(INDEX($H$5:$V$5,1,MATCH("RM15",$H$3:$V$3,0))/7,0)),0)</f>
        <v>3508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3512</v>
      </c>
      <c r="AC163" s="8">
        <f>IFERROR(INDEX($C$162:$AK$162,1,27+ROUND(INDEX($H$5:$V$5,1,MATCH("RM15",$H$3:$V$3,0))/7,0)),0)</f>
        <v>3856</v>
      </c>
      <c r="AD163" s="8">
        <f>IFERROR(INDEX($C$162:$AK$162,1,28+ROUND(INDEX($H$5:$V$5,1,MATCH("RM15",$H$3:$V$3,0))/7,0)),0)</f>
        <v>3860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  <c r="AL163" s="8">
        <f>IFERROR(INDEX($C$162:$AK$162,1,35+ROUND(INDEX($H$5:$V$5,1,MATCH("RM15",$H$3:$V$3,0))/7,0)),0)</f>
        <v>0</v>
      </c>
    </row>
  </sheetData>
  <mergeCells count="46"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48:B48"/>
    <mergeCell ref="A92:B92"/>
    <mergeCell ref="C125:AK125"/>
    <mergeCell ref="A148:B148"/>
    <mergeCell ref="A82:B82"/>
    <mergeCell ref="A88:B8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163"/>
  <sheetViews>
    <sheetView topLeftCell="A25" zoomScale="57" zoomScaleNormal="74" workbookViewId="0">
      <selection activeCell="C17" sqref="C17"/>
    </sheetView>
  </sheetViews>
  <sheetFormatPr defaultRowHeight="14.4" x14ac:dyDescent="0.3"/>
  <cols>
    <col min="1" max="1" width="21" customWidth="1"/>
    <col min="2" max="2" width="12.44140625" customWidth="1"/>
    <col min="3" max="5" width="10.109375" bestFit="1" customWidth="1"/>
    <col min="6" max="6" width="9" bestFit="1" customWidth="1"/>
    <col min="7" max="9" width="10.109375" bestFit="1" customWidth="1"/>
    <col min="10" max="11" width="9" bestFit="1" customWidth="1"/>
    <col min="12" max="14" width="10.109375" bestFit="1" customWidth="1"/>
    <col min="15" max="15" width="9" bestFit="1" customWidth="1"/>
    <col min="16" max="18" width="10.109375" bestFit="1" customWidth="1"/>
    <col min="19" max="19" width="9" bestFit="1" customWidth="1"/>
    <col min="20" max="23" width="10.109375" bestFit="1" customWidth="1"/>
    <col min="24" max="24" width="9" bestFit="1" customWidth="1"/>
    <col min="25" max="28" width="10.109375" bestFit="1" customWidth="1"/>
    <col min="29" max="30" width="11.21875" bestFit="1" customWidth="1"/>
  </cols>
  <sheetData>
    <row r="1" spans="1:70" ht="14.25" customHeight="1" x14ac:dyDescent="0.3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 t="s">
        <v>1</v>
      </c>
      <c r="AA1" s="104"/>
      <c r="AB1" s="104"/>
      <c r="AC1" s="104"/>
      <c r="AD1" s="104"/>
      <c r="AE1" s="104"/>
      <c r="AF1" s="104"/>
      <c r="AG1" s="104" t="s">
        <v>4</v>
      </c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</row>
    <row r="2" spans="1:70" ht="14.25" customHeight="1" x14ac:dyDescent="0.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42" t="s">
        <v>7</v>
      </c>
      <c r="Y2" s="43" t="s">
        <v>8</v>
      </c>
      <c r="Z2" s="42" t="s">
        <v>9</v>
      </c>
      <c r="AA2" s="43" t="s">
        <v>10</v>
      </c>
      <c r="AB2" s="42" t="s">
        <v>11</v>
      </c>
      <c r="AC2" s="104"/>
      <c r="AD2" s="104"/>
      <c r="AE2" s="43" t="s">
        <v>7</v>
      </c>
      <c r="AF2" s="42" t="s">
        <v>8</v>
      </c>
      <c r="AG2" s="43" t="s">
        <v>9</v>
      </c>
      <c r="AH2" s="42" t="s">
        <v>16</v>
      </c>
      <c r="AI2" s="43" t="s">
        <v>17</v>
      </c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</row>
    <row r="3" spans="1:70" ht="16.350000000000001" customHeight="1" x14ac:dyDescent="0.3">
      <c r="A3" s="44" t="s">
        <v>123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W3" s="104"/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C3" s="104"/>
      <c r="AD3" s="104"/>
      <c r="AE3" s="43">
        <v>1</v>
      </c>
      <c r="AF3" s="42">
        <v>0.25</v>
      </c>
      <c r="AG3" s="43">
        <v>1</v>
      </c>
      <c r="AH3" s="42">
        <v>2</v>
      </c>
      <c r="AI3" s="43">
        <v>1.5</v>
      </c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</row>
    <row r="4" spans="1:70" ht="16.350000000000001" customHeight="1" x14ac:dyDescent="0.3">
      <c r="A4" s="44" t="s">
        <v>124</v>
      </c>
      <c r="B4" s="112"/>
      <c r="C4" s="112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</row>
    <row r="5" spans="1:70" ht="28.5" customHeight="1" x14ac:dyDescent="0.3">
      <c r="A5" s="44" t="s">
        <v>125</v>
      </c>
      <c r="B5" s="141" t="s">
        <v>126</v>
      </c>
      <c r="C5" s="138"/>
      <c r="D5" s="138"/>
      <c r="E5" s="138"/>
      <c r="F5" s="138"/>
      <c r="G5" s="136"/>
      <c r="H5" s="113">
        <v>7</v>
      </c>
      <c r="I5" s="113">
        <v>14</v>
      </c>
      <c r="J5" s="113">
        <v>21</v>
      </c>
      <c r="K5" s="113">
        <v>140</v>
      </c>
      <c r="L5" s="113">
        <v>70</v>
      </c>
      <c r="M5" s="113">
        <v>35</v>
      </c>
      <c r="N5" s="113">
        <v>42</v>
      </c>
      <c r="O5" s="113">
        <v>63</v>
      </c>
      <c r="P5" s="113">
        <v>28</v>
      </c>
      <c r="Q5" s="113">
        <v>77</v>
      </c>
      <c r="R5" s="113">
        <v>21</v>
      </c>
      <c r="S5" s="113">
        <v>56</v>
      </c>
      <c r="T5" s="113">
        <v>35</v>
      </c>
      <c r="U5" s="113">
        <v>63</v>
      </c>
      <c r="V5" s="113">
        <v>49</v>
      </c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</row>
    <row r="6" spans="1:70" ht="16.350000000000001" customHeight="1" x14ac:dyDescent="0.3">
      <c r="A6" s="44" t="s">
        <v>127</v>
      </c>
      <c r="B6" s="112"/>
      <c r="C6" s="112"/>
      <c r="D6" s="112"/>
      <c r="E6" s="113"/>
      <c r="F6" s="113"/>
      <c r="G6" s="113"/>
      <c r="H6" s="113">
        <v>588</v>
      </c>
      <c r="I6" s="113">
        <v>1443</v>
      </c>
      <c r="J6" s="113">
        <v>42524</v>
      </c>
      <c r="K6" s="113">
        <v>0</v>
      </c>
      <c r="L6" s="113">
        <v>90000</v>
      </c>
      <c r="M6" s="113">
        <v>76000</v>
      </c>
      <c r="N6" s="113">
        <v>50000</v>
      </c>
      <c r="O6" s="113">
        <v>123000</v>
      </c>
      <c r="P6" s="113">
        <v>6500</v>
      </c>
      <c r="Q6" s="113">
        <v>60000</v>
      </c>
      <c r="R6" s="113">
        <v>100000</v>
      </c>
      <c r="S6" s="113">
        <v>5500</v>
      </c>
      <c r="T6" s="113">
        <v>6000</v>
      </c>
      <c r="U6" s="113">
        <v>130000</v>
      </c>
      <c r="V6" s="113">
        <v>20000</v>
      </c>
      <c r="W6" s="104"/>
      <c r="X6" s="104"/>
      <c r="Y6" s="104"/>
      <c r="Z6" s="104" t="s">
        <v>2</v>
      </c>
      <c r="AA6" s="104"/>
      <c r="AB6" s="104"/>
      <c r="AC6" s="104"/>
      <c r="AD6" s="104"/>
      <c r="AE6" s="104"/>
      <c r="AF6" s="104"/>
      <c r="AG6" s="104" t="s">
        <v>5</v>
      </c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</row>
    <row r="7" spans="1:70" ht="16.350000000000001" customHeight="1" x14ac:dyDescent="0.3">
      <c r="A7" s="44" t="s">
        <v>128</v>
      </c>
      <c r="B7" s="112"/>
      <c r="C7" s="112"/>
      <c r="D7" s="112"/>
      <c r="E7" s="113"/>
      <c r="F7" s="113"/>
      <c r="G7" s="113"/>
      <c r="H7" s="113"/>
      <c r="I7" s="113"/>
      <c r="J7" s="113"/>
      <c r="K7" s="113">
        <v>0</v>
      </c>
      <c r="L7" s="113"/>
      <c r="M7" s="113"/>
      <c r="N7" s="113"/>
      <c r="O7" s="113">
        <v>38000</v>
      </c>
      <c r="P7" s="113"/>
      <c r="Q7" s="113">
        <v>5000</v>
      </c>
      <c r="R7" s="113"/>
      <c r="S7" s="113"/>
      <c r="T7" s="113">
        <v>1000</v>
      </c>
      <c r="U7" s="113"/>
      <c r="V7" s="113">
        <v>21000</v>
      </c>
      <c r="W7" s="104"/>
      <c r="X7" s="43" t="s">
        <v>7</v>
      </c>
      <c r="Y7" s="42" t="s">
        <v>8</v>
      </c>
      <c r="Z7" s="43" t="s">
        <v>9</v>
      </c>
      <c r="AA7" s="42" t="s">
        <v>12</v>
      </c>
      <c r="AB7" s="43" t="s">
        <v>13</v>
      </c>
      <c r="AC7" s="104"/>
      <c r="AD7" s="104"/>
      <c r="AE7" s="42" t="s">
        <v>7</v>
      </c>
      <c r="AF7" s="43" t="s">
        <v>8</v>
      </c>
      <c r="AG7" s="42" t="s">
        <v>9</v>
      </c>
      <c r="AH7" s="43" t="s">
        <v>18</v>
      </c>
      <c r="AI7" s="42" t="s">
        <v>19</v>
      </c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</row>
    <row r="8" spans="1:70" ht="16.350000000000001" customHeight="1" x14ac:dyDescent="0.3">
      <c r="A8" s="44" t="s">
        <v>129</v>
      </c>
      <c r="B8" s="112" t="s">
        <v>130</v>
      </c>
      <c r="C8" s="112"/>
      <c r="D8" s="112"/>
      <c r="E8" s="113"/>
      <c r="F8" s="113"/>
      <c r="G8" s="113"/>
      <c r="H8" s="113">
        <f>ROUNDUP(AVERAGE(BOM_demand_Scenario!H$3:H$37)*IF(INDEX('BOM &amp; Inventory'!$G$6:$G$35,MATCH(H$3,'BOM &amp; Inventory'!$E$6:$E$35,0))="Local",1,2),0)</f>
        <v>16915</v>
      </c>
      <c r="I8" s="113">
        <f>ROUNDUP(AVERAGE(BOM_demand_Scenario!I$3:I$37)*IF(INDEX('BOM &amp; Inventory'!$G$6:$G$35,MATCH(I$3,'BOM &amp; Inventory'!$E$6:$E$35,0))="Local",1,2),0)</f>
        <v>4611</v>
      </c>
      <c r="J8" s="113">
        <f>ROUNDUP(AVERAGE(BOM_demand_Scenario!J$3:J$37)*IF(INDEX('BOM &amp; Inventory'!$G$6:$G$35,MATCH(J$3,'BOM &amp; Inventory'!$E$6:$E$35,0))="Local",1,2),0)</f>
        <v>16915</v>
      </c>
      <c r="K8" s="113">
        <v>0</v>
      </c>
      <c r="L8" s="113">
        <f>ROUNDUP(AVERAGE(BOM_demand_Scenario!L$3:L$37)*IF(INDEX('BOM &amp; Inventory'!$G$6:$G$35,MATCH(L$3,'BOM &amp; Inventory'!$E$6:$E$35,0))="Local",1,2),0)</f>
        <v>16468</v>
      </c>
      <c r="M8" s="113">
        <f>ROUNDUP(AVERAGE(BOM_demand_Scenario!M$3:M$37)*IF(INDEX('BOM &amp; Inventory'!$G$6:$G$35,MATCH(M$3,'BOM &amp; Inventory'!$E$6:$E$35,0))="Local",1,2),0)</f>
        <v>19527</v>
      </c>
      <c r="N8" s="113">
        <f>ROUNDUP(AVERAGE(BOM_demand_Scenario!N$3:N$37)*IF(INDEX('BOM &amp; Inventory'!$G$6:$G$35,MATCH(N$3,'BOM &amp; Inventory'!$E$6:$E$35,0))="Local",1,2),0)</f>
        <v>11716</v>
      </c>
      <c r="O8" s="113">
        <f>ROUNDUP(AVERAGE(BOM_demand_Scenario!O$3:O$37)*IF(INDEX('BOM &amp; Inventory'!$G$6:$G$35,MATCH(O$3,'BOM &amp; Inventory'!$E$6:$E$35,0))="Local",1,2),0)</f>
        <v>13999</v>
      </c>
      <c r="P8" s="113">
        <f>ROUNDUP(AVERAGE(BOM_demand_Scenario!P$3:P$37)*IF(INDEX('BOM &amp; Inventory'!$G$6:$G$35,MATCH(P$3,'BOM &amp; Inventory'!$E$6:$E$35,0))="Local",1,2),0)</f>
        <v>2334</v>
      </c>
      <c r="Q8" s="113">
        <f>ROUNDUP(AVERAGE(BOM_demand_Scenario!Q$3:Q$37)*IF(INDEX('BOM &amp; Inventory'!$G$6:$G$35,MATCH(Q$3,'BOM &amp; Inventory'!$E$6:$E$35,0))="Local",1,2),0)</f>
        <v>1543</v>
      </c>
      <c r="R8" s="113">
        <f>ROUNDUP(AVERAGE(BOM_demand_Scenario!R$3:R$37)*IF(INDEX('BOM &amp; Inventory'!$G$6:$G$35,MATCH(R$3,'BOM &amp; Inventory'!$E$6:$E$35,0))="Local",1,2),0)</f>
        <v>1158</v>
      </c>
      <c r="S8" s="113">
        <f>ROUNDUP(AVERAGE(BOM_demand_Scenario!S$3:S$37)*IF(INDEX('BOM &amp; Inventory'!$G$6:$G$35,MATCH(S$3,'BOM &amp; Inventory'!$E$6:$E$35,0))="Local",1,2),0)</f>
        <v>887</v>
      </c>
      <c r="T8" s="113">
        <f>ROUNDUP(AVERAGE(BOM_demand_Scenario!T$3:T$37)*IF(INDEX('BOM &amp; Inventory'!$G$6:$G$35,MATCH(T$3,'BOM &amp; Inventory'!$E$6:$E$35,0))="Local",1,2),0)</f>
        <v>1182</v>
      </c>
      <c r="U8" s="113">
        <f>ROUNDUP(AVERAGE(BOM_demand_Scenario!U$3:U$37)*IF(INDEX('BOM &amp; Inventory'!$G$6:$G$35,MATCH(U$3,'BOM &amp; Inventory'!$E$6:$E$35,0))="Local",1,2),0)</f>
        <v>19093</v>
      </c>
      <c r="V8" s="113">
        <f>ROUNDUP(AVERAGE(BOM_demand_Scenario!V$3:V$37)*IF(INDEX('BOM &amp; Inventory'!$G$6:$G$35,MATCH(V$3,'BOM &amp; Inventory'!$E$6:$E$35,0))="Local",1,2),0)</f>
        <v>7638</v>
      </c>
      <c r="W8" s="104"/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C8" s="104"/>
      <c r="AD8" s="104"/>
      <c r="AE8" s="42">
        <v>1</v>
      </c>
      <c r="AF8" s="43">
        <v>0.5</v>
      </c>
      <c r="AG8" s="42">
        <v>1</v>
      </c>
      <c r="AH8" s="43">
        <v>3</v>
      </c>
      <c r="AI8" s="42">
        <v>4</v>
      </c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</row>
    <row r="9" spans="1:70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</row>
    <row r="10" spans="1:70" x14ac:dyDescent="0.3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</row>
    <row r="11" spans="1:70" ht="14.25" customHeight="1" x14ac:dyDescent="0.3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 t="s">
        <v>3</v>
      </c>
      <c r="AA11" s="104"/>
      <c r="AB11" s="104"/>
      <c r="AC11" s="104"/>
      <c r="AD11" s="104"/>
      <c r="AE11" s="104"/>
      <c r="AF11" s="104"/>
      <c r="AG11" s="104" t="s">
        <v>6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</row>
    <row r="12" spans="1:70" ht="14.25" customHeight="1" x14ac:dyDescent="0.3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42" t="s">
        <v>7</v>
      </c>
      <c r="Y12" s="43" t="s">
        <v>8</v>
      </c>
      <c r="Z12" s="42" t="s">
        <v>9</v>
      </c>
      <c r="AA12" s="43" t="s">
        <v>14</v>
      </c>
      <c r="AB12" s="42" t="s">
        <v>15</v>
      </c>
      <c r="AC12" s="104"/>
      <c r="AD12" s="104"/>
      <c r="AE12" s="43" t="s">
        <v>7</v>
      </c>
      <c r="AF12" s="42" t="s">
        <v>8</v>
      </c>
      <c r="AG12" s="43" t="s">
        <v>9</v>
      </c>
      <c r="AH12" s="42" t="s">
        <v>20</v>
      </c>
      <c r="AI12" s="43" t="s">
        <v>21</v>
      </c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</row>
    <row r="13" spans="1:70" ht="14.25" customHeight="1" x14ac:dyDescent="0.3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C13" s="104"/>
      <c r="AD13" s="104"/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</row>
    <row r="14" spans="1:70" x14ac:dyDescent="0.3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</row>
    <row r="15" spans="1:70" ht="16.350000000000001" customHeight="1" x14ac:dyDescent="0.3">
      <c r="A15" s="47" t="s">
        <v>131</v>
      </c>
      <c r="B15" s="47" t="s">
        <v>132</v>
      </c>
      <c r="C15" s="137" t="s">
        <v>0</v>
      </c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6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</row>
    <row r="16" spans="1:70" ht="16.350000000000001" customHeight="1" x14ac:dyDescent="0.3">
      <c r="A16" s="47" t="s">
        <v>133</v>
      </c>
      <c r="B16" s="47" t="str">
        <f>"LT: "&amp;ROUND(INDEX($H$5:$V$5,1,MATCH("RM01",$H$3:$V$3,0))/7,0)</f>
        <v>LT: 1</v>
      </c>
      <c r="C16" s="48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70" ht="16.350000000000001" customHeight="1" x14ac:dyDescent="0.3">
      <c r="A17" s="51" t="s">
        <v>134</v>
      </c>
      <c r="B17" s="104"/>
      <c r="C17" s="114">
        <f t="array" ref="C17:AL17">TRANSPOSE(BOM_demand!$H$2:$H$37)</f>
        <v>20751</v>
      </c>
      <c r="D17" s="114">
        <v>7837</v>
      </c>
      <c r="E17" s="114">
        <v>13684</v>
      </c>
      <c r="F17" s="114">
        <v>23000</v>
      </c>
      <c r="G17" s="114">
        <v>23000</v>
      </c>
      <c r="H17" s="114">
        <v>23000</v>
      </c>
      <c r="I17" s="114">
        <v>23000</v>
      </c>
      <c r="J17" s="114">
        <v>23000</v>
      </c>
      <c r="K17" s="114">
        <v>20367</v>
      </c>
      <c r="L17" s="114">
        <v>15349</v>
      </c>
      <c r="M17" s="114">
        <v>14622</v>
      </c>
      <c r="N17" s="114">
        <v>21000</v>
      </c>
      <c r="O17" s="114">
        <v>21000</v>
      </c>
      <c r="P17" s="114">
        <v>18246</v>
      </c>
      <c r="Q17" s="114">
        <v>14554</v>
      </c>
      <c r="R17" s="114">
        <v>16476</v>
      </c>
      <c r="S17" s="114">
        <v>17698</v>
      </c>
      <c r="T17" s="114">
        <v>9248</v>
      </c>
      <c r="U17" s="114">
        <v>8946</v>
      </c>
      <c r="V17" s="114">
        <v>10655</v>
      </c>
      <c r="W17" s="114">
        <v>10554</v>
      </c>
      <c r="X17" s="114">
        <v>8797</v>
      </c>
      <c r="Y17" s="114">
        <v>8498</v>
      </c>
      <c r="Z17" s="114">
        <v>17406</v>
      </c>
      <c r="AA17" s="114">
        <v>16010</v>
      </c>
      <c r="AB17" s="114">
        <v>15960</v>
      </c>
      <c r="AC17" s="114">
        <v>17408</v>
      </c>
      <c r="AD17" s="114">
        <v>17408</v>
      </c>
      <c r="AE17" s="114">
        <v>17948</v>
      </c>
      <c r="AF17" s="114">
        <v>14085</v>
      </c>
      <c r="AG17" s="114">
        <v>13788</v>
      </c>
      <c r="AH17" s="114">
        <v>13787</v>
      </c>
      <c r="AI17" s="114">
        <v>16538</v>
      </c>
      <c r="AJ17" s="114">
        <v>17009</v>
      </c>
      <c r="AK17" s="115">
        <v>20756</v>
      </c>
      <c r="AL17" s="116">
        <v>20753</v>
      </c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</row>
    <row r="18" spans="1:70" ht="16.350000000000001" customHeight="1" x14ac:dyDescent="0.3">
      <c r="A18" s="140" t="s">
        <v>128</v>
      </c>
      <c r="B18" s="136"/>
      <c r="C18" s="114">
        <f>IFERROR(INDEX($H$7:$V$7,1,MATCH("RM01",$H$3:$V$3,0)),0)</f>
        <v>0</v>
      </c>
      <c r="D18" s="114">
        <f>0</f>
        <v>0</v>
      </c>
      <c r="E18" s="114">
        <f>0</f>
        <v>0</v>
      </c>
      <c r="F18" s="114">
        <f>0</f>
        <v>0</v>
      </c>
      <c r="G18" s="114">
        <f>0</f>
        <v>0</v>
      </c>
      <c r="H18" s="114">
        <f>0</f>
        <v>0</v>
      </c>
      <c r="I18" s="114">
        <f>0</f>
        <v>0</v>
      </c>
      <c r="J18" s="114">
        <f>0</f>
        <v>0</v>
      </c>
      <c r="K18" s="113">
        <f>0</f>
        <v>0</v>
      </c>
      <c r="L18" s="113">
        <f>0</f>
        <v>0</v>
      </c>
      <c r="M18" s="113">
        <f>0</f>
        <v>0</v>
      </c>
      <c r="N18" s="113">
        <f>0</f>
        <v>0</v>
      </c>
      <c r="O18" s="113">
        <f>0</f>
        <v>0</v>
      </c>
      <c r="P18" s="113">
        <f>0</f>
        <v>0</v>
      </c>
      <c r="Q18" s="113">
        <f>0</f>
        <v>0</v>
      </c>
      <c r="R18" s="113">
        <f>0</f>
        <v>0</v>
      </c>
      <c r="S18" s="113">
        <f>0</f>
        <v>0</v>
      </c>
      <c r="T18" s="113">
        <f>0</f>
        <v>0</v>
      </c>
      <c r="U18" s="113">
        <f>0</f>
        <v>0</v>
      </c>
      <c r="V18" s="113">
        <f>0</f>
        <v>0</v>
      </c>
      <c r="W18" s="113">
        <f>0</f>
        <v>0</v>
      </c>
      <c r="X18" s="113">
        <f>0</f>
        <v>0</v>
      </c>
      <c r="Y18" s="113">
        <f>0</f>
        <v>0</v>
      </c>
      <c r="Z18" s="113">
        <f>0</f>
        <v>0</v>
      </c>
      <c r="AA18" s="113">
        <f>0</f>
        <v>0</v>
      </c>
      <c r="AB18" s="113">
        <f>0</f>
        <v>0</v>
      </c>
      <c r="AC18" s="113">
        <f>0</f>
        <v>0</v>
      </c>
      <c r="AD18" s="113">
        <f>0</f>
        <v>0</v>
      </c>
      <c r="AE18" s="113">
        <f>0</f>
        <v>0</v>
      </c>
      <c r="AF18" s="113">
        <f>0</f>
        <v>0</v>
      </c>
      <c r="AG18" s="113">
        <f>0</f>
        <v>0</v>
      </c>
      <c r="AH18" s="113">
        <f>0</f>
        <v>0</v>
      </c>
      <c r="AI18" s="113">
        <f>0</f>
        <v>0</v>
      </c>
      <c r="AJ18" s="113">
        <f>0</f>
        <v>0</v>
      </c>
      <c r="AK18" s="117">
        <f>0</f>
        <v>0</v>
      </c>
      <c r="AL18" s="117">
        <f>0</f>
        <v>0</v>
      </c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</row>
    <row r="19" spans="1:70" ht="16.350000000000001" customHeight="1" x14ac:dyDescent="0.3">
      <c r="A19" s="114" t="s">
        <v>129</v>
      </c>
      <c r="B19" s="118">
        <f>IFERROR(INDEX($H$8:$V$8,1,MATCH("RM01",$H$3:$V$3,0)),0)</f>
        <v>16915</v>
      </c>
      <c r="C19" s="114">
        <f t="shared" ref="C19:AL19" si="0">$B19</f>
        <v>16915</v>
      </c>
      <c r="D19" s="114">
        <f t="shared" si="0"/>
        <v>16915</v>
      </c>
      <c r="E19" s="114">
        <f t="shared" si="0"/>
        <v>16915</v>
      </c>
      <c r="F19" s="114">
        <f t="shared" si="0"/>
        <v>16915</v>
      </c>
      <c r="G19" s="114">
        <f t="shared" si="0"/>
        <v>16915</v>
      </c>
      <c r="H19" s="114">
        <f t="shared" si="0"/>
        <v>16915</v>
      </c>
      <c r="I19" s="114">
        <f t="shared" si="0"/>
        <v>16915</v>
      </c>
      <c r="J19" s="114">
        <f t="shared" si="0"/>
        <v>16915</v>
      </c>
      <c r="K19" s="113">
        <f t="shared" si="0"/>
        <v>16915</v>
      </c>
      <c r="L19" s="113">
        <f t="shared" si="0"/>
        <v>16915</v>
      </c>
      <c r="M19" s="113">
        <f t="shared" si="0"/>
        <v>16915</v>
      </c>
      <c r="N19" s="113">
        <f t="shared" si="0"/>
        <v>16915</v>
      </c>
      <c r="O19" s="113">
        <f t="shared" si="0"/>
        <v>16915</v>
      </c>
      <c r="P19" s="113">
        <f t="shared" si="0"/>
        <v>16915</v>
      </c>
      <c r="Q19" s="113">
        <f t="shared" si="0"/>
        <v>16915</v>
      </c>
      <c r="R19" s="113">
        <f t="shared" si="0"/>
        <v>16915</v>
      </c>
      <c r="S19" s="113">
        <f t="shared" si="0"/>
        <v>16915</v>
      </c>
      <c r="T19" s="113">
        <f t="shared" si="0"/>
        <v>16915</v>
      </c>
      <c r="U19" s="113">
        <f t="shared" si="0"/>
        <v>16915</v>
      </c>
      <c r="V19" s="113">
        <f t="shared" si="0"/>
        <v>16915</v>
      </c>
      <c r="W19" s="113">
        <f t="shared" si="0"/>
        <v>16915</v>
      </c>
      <c r="X19" s="113">
        <f t="shared" si="0"/>
        <v>16915</v>
      </c>
      <c r="Y19" s="113">
        <f t="shared" si="0"/>
        <v>16915</v>
      </c>
      <c r="Z19" s="113">
        <f t="shared" si="0"/>
        <v>16915</v>
      </c>
      <c r="AA19" s="113">
        <f t="shared" si="0"/>
        <v>16915</v>
      </c>
      <c r="AB19" s="113">
        <f t="shared" si="0"/>
        <v>16915</v>
      </c>
      <c r="AC19" s="113">
        <f t="shared" si="0"/>
        <v>16915</v>
      </c>
      <c r="AD19" s="113">
        <f t="shared" si="0"/>
        <v>16915</v>
      </c>
      <c r="AE19" s="113">
        <f t="shared" si="0"/>
        <v>16915</v>
      </c>
      <c r="AF19" s="113">
        <f t="shared" si="0"/>
        <v>16915</v>
      </c>
      <c r="AG19" s="113">
        <f t="shared" si="0"/>
        <v>16915</v>
      </c>
      <c r="AH19" s="113">
        <f t="shared" si="0"/>
        <v>16915</v>
      </c>
      <c r="AI19" s="113">
        <f t="shared" si="0"/>
        <v>16915</v>
      </c>
      <c r="AJ19" s="113">
        <f t="shared" si="0"/>
        <v>16915</v>
      </c>
      <c r="AK19" s="117">
        <f t="shared" si="0"/>
        <v>16915</v>
      </c>
      <c r="AL19" s="117">
        <f t="shared" si="0"/>
        <v>16915</v>
      </c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</row>
    <row r="20" spans="1:70" ht="16.350000000000001" customHeight="1" x14ac:dyDescent="0.3">
      <c r="A20" s="114" t="s">
        <v>135</v>
      </c>
      <c r="B20" s="118">
        <f>IFERROR(INDEX($H$6:$V$6,1,MATCH("RM01",$H$3:$V$3,0)),0)</f>
        <v>588</v>
      </c>
      <c r="C20" s="114">
        <f>$B20+C18+C22-C17</f>
        <v>16915</v>
      </c>
      <c r="D20" s="114">
        <f t="shared" ref="D20:AL20" si="1">C20+D18+D22-D17</f>
        <v>16915</v>
      </c>
      <c r="E20" s="114">
        <f t="shared" si="1"/>
        <v>16915</v>
      </c>
      <c r="F20" s="114">
        <f t="shared" si="1"/>
        <v>16915</v>
      </c>
      <c r="G20" s="114">
        <f t="shared" si="1"/>
        <v>16915</v>
      </c>
      <c r="H20" s="114">
        <f t="shared" si="1"/>
        <v>16915</v>
      </c>
      <c r="I20" s="114">
        <f t="shared" si="1"/>
        <v>16915</v>
      </c>
      <c r="J20" s="114">
        <f t="shared" si="1"/>
        <v>16915</v>
      </c>
      <c r="K20" s="113">
        <f t="shared" si="1"/>
        <v>16915</v>
      </c>
      <c r="L20" s="113">
        <f t="shared" si="1"/>
        <v>16915</v>
      </c>
      <c r="M20" s="113">
        <f t="shared" si="1"/>
        <v>16915</v>
      </c>
      <c r="N20" s="113">
        <f t="shared" si="1"/>
        <v>16915</v>
      </c>
      <c r="O20" s="113">
        <f t="shared" si="1"/>
        <v>16915</v>
      </c>
      <c r="P20" s="113">
        <f t="shared" si="1"/>
        <v>16915</v>
      </c>
      <c r="Q20" s="113">
        <f t="shared" si="1"/>
        <v>16915</v>
      </c>
      <c r="R20" s="113">
        <f t="shared" si="1"/>
        <v>16915</v>
      </c>
      <c r="S20" s="113">
        <f t="shared" si="1"/>
        <v>16915</v>
      </c>
      <c r="T20" s="113">
        <f t="shared" si="1"/>
        <v>16915</v>
      </c>
      <c r="U20" s="113">
        <f t="shared" si="1"/>
        <v>16915</v>
      </c>
      <c r="V20" s="113">
        <f t="shared" si="1"/>
        <v>16915</v>
      </c>
      <c r="W20" s="113">
        <f t="shared" si="1"/>
        <v>16915</v>
      </c>
      <c r="X20" s="113">
        <f t="shared" si="1"/>
        <v>16915</v>
      </c>
      <c r="Y20" s="113">
        <f t="shared" si="1"/>
        <v>16915</v>
      </c>
      <c r="Z20" s="113">
        <f t="shared" si="1"/>
        <v>16915</v>
      </c>
      <c r="AA20" s="113">
        <f t="shared" si="1"/>
        <v>16915</v>
      </c>
      <c r="AB20" s="113">
        <f t="shared" si="1"/>
        <v>16915</v>
      </c>
      <c r="AC20" s="113">
        <f t="shared" si="1"/>
        <v>16915</v>
      </c>
      <c r="AD20" s="113">
        <f t="shared" si="1"/>
        <v>16915</v>
      </c>
      <c r="AE20" s="113">
        <f t="shared" si="1"/>
        <v>16915</v>
      </c>
      <c r="AF20" s="113">
        <f t="shared" si="1"/>
        <v>16915</v>
      </c>
      <c r="AG20" s="113">
        <f t="shared" si="1"/>
        <v>16915</v>
      </c>
      <c r="AH20" s="113">
        <f t="shared" si="1"/>
        <v>16915</v>
      </c>
      <c r="AI20" s="113">
        <f t="shared" si="1"/>
        <v>16915</v>
      </c>
      <c r="AJ20" s="113">
        <f t="shared" si="1"/>
        <v>16915</v>
      </c>
      <c r="AK20" s="117">
        <f t="shared" si="1"/>
        <v>16915</v>
      </c>
      <c r="AL20" s="117">
        <f t="shared" si="1"/>
        <v>16915</v>
      </c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</row>
    <row r="21" spans="1:70" ht="16.350000000000001" customHeight="1" x14ac:dyDescent="0.3">
      <c r="A21" s="114" t="s">
        <v>136</v>
      </c>
      <c r="B21" s="118"/>
      <c r="C21" s="114">
        <f>MAX(C17+C19-($B20+C18),0)</f>
        <v>37078</v>
      </c>
      <c r="D21" s="114">
        <f t="shared" ref="D21:AL21" si="2">MAX(D17+D19-(C20+D18),0)</f>
        <v>7837</v>
      </c>
      <c r="E21" s="114">
        <f t="shared" si="2"/>
        <v>13684</v>
      </c>
      <c r="F21" s="114">
        <f t="shared" si="2"/>
        <v>23000</v>
      </c>
      <c r="G21" s="114">
        <f t="shared" si="2"/>
        <v>23000</v>
      </c>
      <c r="H21" s="114">
        <f t="shared" si="2"/>
        <v>23000</v>
      </c>
      <c r="I21" s="114">
        <f t="shared" si="2"/>
        <v>23000</v>
      </c>
      <c r="J21" s="114">
        <f t="shared" si="2"/>
        <v>23000</v>
      </c>
      <c r="K21" s="113">
        <f t="shared" si="2"/>
        <v>20367</v>
      </c>
      <c r="L21" s="113">
        <f t="shared" si="2"/>
        <v>15349</v>
      </c>
      <c r="M21" s="113">
        <f t="shared" si="2"/>
        <v>14622</v>
      </c>
      <c r="N21" s="113">
        <f t="shared" si="2"/>
        <v>21000</v>
      </c>
      <c r="O21" s="113">
        <f t="shared" si="2"/>
        <v>21000</v>
      </c>
      <c r="P21" s="113">
        <f t="shared" si="2"/>
        <v>18246</v>
      </c>
      <c r="Q21" s="113">
        <f t="shared" si="2"/>
        <v>14554</v>
      </c>
      <c r="R21" s="113">
        <f t="shared" si="2"/>
        <v>16476</v>
      </c>
      <c r="S21" s="113">
        <f t="shared" si="2"/>
        <v>17698</v>
      </c>
      <c r="T21" s="113">
        <f t="shared" si="2"/>
        <v>9248</v>
      </c>
      <c r="U21" s="113">
        <f t="shared" si="2"/>
        <v>8946</v>
      </c>
      <c r="V21" s="113">
        <f t="shared" si="2"/>
        <v>10655</v>
      </c>
      <c r="W21" s="113">
        <f t="shared" si="2"/>
        <v>10554</v>
      </c>
      <c r="X21" s="113">
        <f t="shared" si="2"/>
        <v>8797</v>
      </c>
      <c r="Y21" s="113">
        <f t="shared" si="2"/>
        <v>8498</v>
      </c>
      <c r="Z21" s="113">
        <f t="shared" si="2"/>
        <v>17406</v>
      </c>
      <c r="AA21" s="113">
        <f t="shared" si="2"/>
        <v>16010</v>
      </c>
      <c r="AB21" s="113">
        <f t="shared" si="2"/>
        <v>15960</v>
      </c>
      <c r="AC21" s="113">
        <f t="shared" si="2"/>
        <v>17408</v>
      </c>
      <c r="AD21" s="113">
        <f t="shared" si="2"/>
        <v>17408</v>
      </c>
      <c r="AE21" s="113">
        <f t="shared" si="2"/>
        <v>17948</v>
      </c>
      <c r="AF21" s="113">
        <f t="shared" si="2"/>
        <v>14085</v>
      </c>
      <c r="AG21" s="113">
        <f t="shared" si="2"/>
        <v>13788</v>
      </c>
      <c r="AH21" s="113">
        <f t="shared" si="2"/>
        <v>13787</v>
      </c>
      <c r="AI21" s="113">
        <f t="shared" si="2"/>
        <v>16538</v>
      </c>
      <c r="AJ21" s="113">
        <f t="shared" si="2"/>
        <v>17009</v>
      </c>
      <c r="AK21" s="117">
        <f t="shared" si="2"/>
        <v>20756</v>
      </c>
      <c r="AL21" s="117">
        <f t="shared" si="2"/>
        <v>20753</v>
      </c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</row>
    <row r="22" spans="1:70" ht="16.350000000000001" customHeight="1" x14ac:dyDescent="0.3">
      <c r="A22" s="140" t="s">
        <v>137</v>
      </c>
      <c r="B22" s="136"/>
      <c r="C22" s="114">
        <f t="shared" ref="C22:AL22" si="3">C21</f>
        <v>37078</v>
      </c>
      <c r="D22" s="114">
        <f t="shared" si="3"/>
        <v>7837</v>
      </c>
      <c r="E22" s="114">
        <f t="shared" si="3"/>
        <v>13684</v>
      </c>
      <c r="F22" s="114">
        <f t="shared" si="3"/>
        <v>23000</v>
      </c>
      <c r="G22" s="114">
        <f t="shared" si="3"/>
        <v>23000</v>
      </c>
      <c r="H22" s="114">
        <f t="shared" si="3"/>
        <v>23000</v>
      </c>
      <c r="I22" s="114">
        <f t="shared" si="3"/>
        <v>23000</v>
      </c>
      <c r="J22" s="114">
        <f t="shared" si="3"/>
        <v>23000</v>
      </c>
      <c r="K22" s="113">
        <f t="shared" si="3"/>
        <v>20367</v>
      </c>
      <c r="L22" s="113">
        <f t="shared" si="3"/>
        <v>15349</v>
      </c>
      <c r="M22" s="113">
        <f t="shared" si="3"/>
        <v>14622</v>
      </c>
      <c r="N22" s="113">
        <f t="shared" si="3"/>
        <v>21000</v>
      </c>
      <c r="O22" s="113">
        <f t="shared" si="3"/>
        <v>21000</v>
      </c>
      <c r="P22" s="113">
        <f t="shared" si="3"/>
        <v>18246</v>
      </c>
      <c r="Q22" s="113">
        <f t="shared" si="3"/>
        <v>14554</v>
      </c>
      <c r="R22" s="113">
        <f t="shared" si="3"/>
        <v>16476</v>
      </c>
      <c r="S22" s="113">
        <f t="shared" si="3"/>
        <v>17698</v>
      </c>
      <c r="T22" s="113">
        <f t="shared" si="3"/>
        <v>9248</v>
      </c>
      <c r="U22" s="113">
        <f t="shared" si="3"/>
        <v>8946</v>
      </c>
      <c r="V22" s="113">
        <f t="shared" si="3"/>
        <v>10655</v>
      </c>
      <c r="W22" s="113">
        <f t="shared" si="3"/>
        <v>10554</v>
      </c>
      <c r="X22" s="113">
        <f t="shared" si="3"/>
        <v>8797</v>
      </c>
      <c r="Y22" s="113">
        <f t="shared" si="3"/>
        <v>8498</v>
      </c>
      <c r="Z22" s="113">
        <f t="shared" si="3"/>
        <v>17406</v>
      </c>
      <c r="AA22" s="113">
        <f t="shared" si="3"/>
        <v>16010</v>
      </c>
      <c r="AB22" s="113">
        <f t="shared" si="3"/>
        <v>15960</v>
      </c>
      <c r="AC22" s="113">
        <f t="shared" si="3"/>
        <v>17408</v>
      </c>
      <c r="AD22" s="113">
        <f t="shared" si="3"/>
        <v>17408</v>
      </c>
      <c r="AE22" s="113">
        <f t="shared" si="3"/>
        <v>17948</v>
      </c>
      <c r="AF22" s="113">
        <f t="shared" si="3"/>
        <v>14085</v>
      </c>
      <c r="AG22" s="113">
        <f t="shared" si="3"/>
        <v>13788</v>
      </c>
      <c r="AH22" s="113">
        <f t="shared" si="3"/>
        <v>13787</v>
      </c>
      <c r="AI22" s="113">
        <f t="shared" si="3"/>
        <v>16538</v>
      </c>
      <c r="AJ22" s="113">
        <f t="shared" si="3"/>
        <v>17009</v>
      </c>
      <c r="AK22" s="117">
        <f t="shared" si="3"/>
        <v>20756</v>
      </c>
      <c r="AL22" s="117">
        <f t="shared" si="3"/>
        <v>20753</v>
      </c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</row>
    <row r="23" spans="1:70" ht="16.350000000000001" customHeight="1" x14ac:dyDescent="0.3">
      <c r="A23" s="114" t="s">
        <v>138</v>
      </c>
      <c r="B23" s="118"/>
      <c r="C23" s="114">
        <f>IFERROR(INDEX($C$22:$AK$22,1,1+ROUND(INDEX($H$5:$V$5,1,MATCH("RM01",$H$3:$V$3,0))/7,0)),0)</f>
        <v>7837</v>
      </c>
      <c r="D23" s="114">
        <f>IFERROR(INDEX($C$22:$AK$22,1,2+ROUND(INDEX($H$5:$V$5,1,MATCH("RM01",$H$3:$V$3,0))/7,0)),0)</f>
        <v>13684</v>
      </c>
      <c r="E23" s="114">
        <f>IFERROR(INDEX($C$22:$AK$22,1,3+ROUND(INDEX($H$5:$V$5,1,MATCH("RM01",$H$3:$V$3,0))/7,0)),0)</f>
        <v>23000</v>
      </c>
      <c r="F23" s="114">
        <f>IFERROR(INDEX($C$22:$AK$22,1,4+ROUND(INDEX($H$5:$V$5,1,MATCH("RM01",$H$3:$V$3,0))/7,0)),0)</f>
        <v>23000</v>
      </c>
      <c r="G23" s="114">
        <f>IFERROR(INDEX($C$22:$AK$22,1,5+ROUND(INDEX($H$5:$V$5,1,MATCH("RM01",$H$3:$V$3,0))/7,0)),0)</f>
        <v>23000</v>
      </c>
      <c r="H23" s="114">
        <f>IFERROR(INDEX($C$22:$AK$22,1,6+ROUND(INDEX($H$5:$V$5,1,MATCH("RM01",$H$3:$V$3,0))/7,0)),0)</f>
        <v>23000</v>
      </c>
      <c r="I23" s="114">
        <f>IFERROR(INDEX($C$22:$AK$22,1,7+ROUND(INDEX($H$5:$V$5,1,MATCH("RM01",$H$3:$V$3,0))/7,0)),0)</f>
        <v>23000</v>
      </c>
      <c r="J23" s="114">
        <f>IFERROR(INDEX($C$22:$AK$22,1,8+ROUND(INDEX($H$5:$V$5,1,MATCH("RM01",$H$3:$V$3,0))/7,0)),0)</f>
        <v>20367</v>
      </c>
      <c r="K23" s="113">
        <f>IFERROR(INDEX($C$22:$AK$22,1,9+ROUND(INDEX($H$5:$V$5,1,MATCH("RM01",$H$3:$V$3,0))/7,0)),0)</f>
        <v>15349</v>
      </c>
      <c r="L23" s="113">
        <f>IFERROR(INDEX($C$22:$AK$22,1,10+ROUND(INDEX($H$5:$V$5,1,MATCH("RM01",$H$3:$V$3,0))/7,0)),0)</f>
        <v>14622</v>
      </c>
      <c r="M23" s="113">
        <f>IFERROR(INDEX($C$22:$AK$22,1,11+ROUND(INDEX($H$5:$V$5,1,MATCH("RM01",$H$3:$V$3,0))/7,0)),0)</f>
        <v>21000</v>
      </c>
      <c r="N23" s="113">
        <f>IFERROR(INDEX($C$22:$AK$22,1,12+ROUND(INDEX($H$5:$V$5,1,MATCH("RM01",$H$3:$V$3,0))/7,0)),0)</f>
        <v>21000</v>
      </c>
      <c r="O23" s="113">
        <f>IFERROR(INDEX($C$22:$AK$22,1,13+ROUND(INDEX($H$5:$V$5,1,MATCH("RM01",$H$3:$V$3,0))/7,0)),0)</f>
        <v>18246</v>
      </c>
      <c r="P23" s="113">
        <f>IFERROR(INDEX($C$22:$AK$22,1,14+ROUND(INDEX($H$5:$V$5,1,MATCH("RM01",$H$3:$V$3,0))/7,0)),0)</f>
        <v>14554</v>
      </c>
      <c r="Q23" s="113">
        <f>IFERROR(INDEX($C$22:$AK$22,1,15+ROUND(INDEX($H$5:$V$5,1,MATCH("RM01",$H$3:$V$3,0))/7,0)),0)</f>
        <v>16476</v>
      </c>
      <c r="R23" s="113">
        <f>IFERROR(INDEX($C$22:$AK$22,1,16+ROUND(INDEX($H$5:$V$5,1,MATCH("RM01",$H$3:$V$3,0))/7,0)),0)</f>
        <v>17698</v>
      </c>
      <c r="S23" s="113">
        <f>IFERROR(INDEX($C$22:$AK$22,1,17+ROUND(INDEX($H$5:$V$5,1,MATCH("RM01",$H$3:$V$3,0))/7,0)),0)</f>
        <v>9248</v>
      </c>
      <c r="T23" s="113">
        <f>IFERROR(INDEX($C$22:$AK$22,1,18+ROUND(INDEX($H$5:$V$5,1,MATCH("RM01",$H$3:$V$3,0))/7,0)),0)</f>
        <v>8946</v>
      </c>
      <c r="U23" s="113">
        <f>IFERROR(INDEX($C$22:$AK$22,1,19+ROUND(INDEX($H$5:$V$5,1,MATCH("RM01",$H$3:$V$3,0))/7,0)),0)</f>
        <v>10655</v>
      </c>
      <c r="V23" s="113">
        <f>IFERROR(INDEX($C$22:$AK$22,1,20+ROUND(INDEX($H$5:$V$5,1,MATCH("RM01",$H$3:$V$3,0))/7,0)),0)</f>
        <v>10554</v>
      </c>
      <c r="W23" s="113">
        <f>IFERROR(INDEX($C$22:$AK$22,1,21+ROUND(INDEX($H$5:$V$5,1,MATCH("RM01",$H$3:$V$3,0))/7,0)),0)</f>
        <v>8797</v>
      </c>
      <c r="X23" s="113">
        <f>IFERROR(INDEX($C$22:$AK$22,1,22+ROUND(INDEX($H$5:$V$5,1,MATCH("RM01",$H$3:$V$3,0))/7,0)),0)</f>
        <v>8498</v>
      </c>
      <c r="Y23" s="113">
        <f>IFERROR(INDEX($C$22:$AK$22,1,23+ROUND(INDEX($H$5:$V$5,1,MATCH("RM01",$H$3:$V$3,0))/7,0)),0)</f>
        <v>17406</v>
      </c>
      <c r="Z23" s="113">
        <f>IFERROR(INDEX($C$22:$AK$22,1,24+ROUND(INDEX($H$5:$V$5,1,MATCH("RM01",$H$3:$V$3,0))/7,0)),0)</f>
        <v>16010</v>
      </c>
      <c r="AA23" s="113">
        <f>IFERROR(INDEX($C$22:$AK$22,1,25+ROUND(INDEX($H$5:$V$5,1,MATCH("RM01",$H$3:$V$3,0))/7,0)),0)</f>
        <v>15960</v>
      </c>
      <c r="AB23" s="113">
        <f>IFERROR(INDEX($C$22:$AK$22,1,26+ROUND(INDEX($H$5:$V$5,1,MATCH("RM01",$H$3:$V$3,0))/7,0)),0)</f>
        <v>17408</v>
      </c>
      <c r="AC23" s="113">
        <f>IFERROR(INDEX($C$22:$AK$22,1,27+ROUND(INDEX($H$5:$V$5,1,MATCH("RM01",$H$3:$V$3,0))/7,0)),0)</f>
        <v>17408</v>
      </c>
      <c r="AD23" s="113">
        <f>IFERROR(INDEX($C$22:$AK$22,1,28+ROUND(INDEX($H$5:$V$5,1,MATCH("RM01",$H$3:$V$3,0))/7,0)),0)</f>
        <v>17948</v>
      </c>
      <c r="AE23" s="113">
        <f>IFERROR(INDEX($C$22:$AK$22,1,29+ROUND(INDEX($H$5:$V$5,1,MATCH("RM01",$H$3:$V$3,0))/7,0)),0)</f>
        <v>14085</v>
      </c>
      <c r="AF23" s="113">
        <f>IFERROR(INDEX($C$22:$AK$22,1,30+ROUND(INDEX($H$5:$V$5,1,MATCH("RM01",$H$3:$V$3,0))/7,0)),0)</f>
        <v>13788</v>
      </c>
      <c r="AG23" s="113">
        <f>IFERROR(INDEX($C$22:$AK$22,1,31+ROUND(INDEX($H$5:$V$5,1,MATCH("RM01",$H$3:$V$3,0))/7,0)),0)</f>
        <v>13787</v>
      </c>
      <c r="AH23" s="113">
        <f>IFERROR(INDEX($C$22:$AK$22,1,32+ROUND(INDEX($H$5:$V$5,1,MATCH("RM01",$H$3:$V$3,0))/7,0)),0)</f>
        <v>16538</v>
      </c>
      <c r="AI23" s="113">
        <f>IFERROR(INDEX($C$22:$AK$22,1,33+ROUND(INDEX($H$5:$V$5,1,MATCH("RM01",$H$3:$V$3,0))/7,0)),0)</f>
        <v>17009</v>
      </c>
      <c r="AJ23" s="113">
        <f>IFERROR(INDEX($C$22:$AK$22,1,34+ROUND(INDEX($H$5:$V$5,1,MATCH("RM01",$H$3:$V$3,0))/7,0)),0)</f>
        <v>20756</v>
      </c>
      <c r="AK23" s="117">
        <f>IFERROR(INDEX($C$22:$AK$22,1,35+ROUND(INDEX($H$5:$V$5,1,MATCH("RM01",$H$3:$V$3,0))/7,0)),0)</f>
        <v>0</v>
      </c>
      <c r="AL23" s="117">
        <f>IFERROR(INDEX($C$22:$AK$22,1,35+ROUND(INDEX($H$5:$V$5,1,MATCH("RM01",$H$3:$V$3,0))/7,0)),0)</f>
        <v>0</v>
      </c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</row>
    <row r="24" spans="1:70" x14ac:dyDescent="0.3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</row>
    <row r="25" spans="1:70" ht="16.350000000000001" customHeight="1" x14ac:dyDescent="0.3">
      <c r="A25" s="47" t="s">
        <v>139</v>
      </c>
      <c r="B25" s="47" t="s">
        <v>132</v>
      </c>
      <c r="C25" s="137" t="s">
        <v>0</v>
      </c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6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</row>
    <row r="26" spans="1:70" ht="16.350000000000001" customHeight="1" x14ac:dyDescent="0.3">
      <c r="A26" s="47" t="s">
        <v>133</v>
      </c>
      <c r="B26" s="47" t="str">
        <f>"LT: "&amp;ROUND(INDEX($H$5:$V$5,1,MATCH("RM02",$H$3:$V$3,0))/7,0)</f>
        <v>LT: 2</v>
      </c>
      <c r="C26" s="48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 s="104">
        <v>46370</v>
      </c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</row>
    <row r="27" spans="1:70" ht="16.350000000000001" customHeight="1" x14ac:dyDescent="0.3">
      <c r="A27" s="51" t="s">
        <v>134</v>
      </c>
      <c r="B27" s="104"/>
      <c r="C27" s="114">
        <f t="array" ref="C27:AL27">TRANSPOSE(BOM_demand!$I$2:$I$37)</f>
        <v>6062.75</v>
      </c>
      <c r="D27" s="114">
        <v>1885.75</v>
      </c>
      <c r="E27" s="114">
        <v>3223</v>
      </c>
      <c r="F27" s="114">
        <v>6567.5</v>
      </c>
      <c r="G27" s="114">
        <v>6886.75</v>
      </c>
      <c r="H27" s="114">
        <v>6625</v>
      </c>
      <c r="I27" s="114">
        <v>6737.5</v>
      </c>
      <c r="J27" s="114">
        <v>6625</v>
      </c>
      <c r="K27" s="114">
        <v>5966.75</v>
      </c>
      <c r="L27" s="114">
        <v>4824.75</v>
      </c>
      <c r="M27" s="114">
        <v>4530.5</v>
      </c>
      <c r="N27" s="114">
        <v>5762.5</v>
      </c>
      <c r="O27" s="114">
        <v>5612.5</v>
      </c>
      <c r="P27" s="114">
        <v>4924</v>
      </c>
      <c r="Q27" s="114">
        <v>3626</v>
      </c>
      <c r="R27" s="114">
        <v>4309.5</v>
      </c>
      <c r="S27" s="114">
        <v>4512.25</v>
      </c>
      <c r="T27" s="114">
        <v>2474.5</v>
      </c>
      <c r="U27" s="114">
        <v>2324.25</v>
      </c>
      <c r="V27" s="114">
        <v>2663</v>
      </c>
      <c r="W27" s="114">
        <v>2712.75</v>
      </c>
      <c r="X27" s="114">
        <v>2198.5</v>
      </c>
      <c r="Y27" s="114">
        <v>2123.75</v>
      </c>
      <c r="Z27" s="114">
        <v>4320.75</v>
      </c>
      <c r="AA27" s="114">
        <v>4227.5</v>
      </c>
      <c r="AB27" s="114">
        <v>4140</v>
      </c>
      <c r="AC27" s="114">
        <v>4321</v>
      </c>
      <c r="AD27" s="114">
        <v>4321</v>
      </c>
      <c r="AE27" s="114">
        <v>4431</v>
      </c>
      <c r="AF27" s="114">
        <v>3502</v>
      </c>
      <c r="AG27" s="114">
        <v>3352.5</v>
      </c>
      <c r="AH27" s="114">
        <v>3352.25</v>
      </c>
      <c r="AI27" s="114">
        <v>4665</v>
      </c>
      <c r="AJ27" s="114">
        <v>4836.25</v>
      </c>
      <c r="AK27" s="114">
        <v>5697.75</v>
      </c>
      <c r="AL27" s="104">
        <v>5697.25</v>
      </c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</row>
    <row r="28" spans="1:70" ht="16.350000000000001" customHeight="1" x14ac:dyDescent="0.3">
      <c r="A28" s="140" t="s">
        <v>128</v>
      </c>
      <c r="B28" s="136"/>
      <c r="C28" s="114">
        <f>IFERROR(INDEX($H$7:$V$7,1,MATCH("RM02",$H$3:$V$3,0)),0)</f>
        <v>0</v>
      </c>
      <c r="D28" s="114">
        <f>0</f>
        <v>0</v>
      </c>
      <c r="E28" s="114">
        <f>0</f>
        <v>0</v>
      </c>
      <c r="F28" s="114">
        <f>0</f>
        <v>0</v>
      </c>
      <c r="G28" s="114">
        <f>0</f>
        <v>0</v>
      </c>
      <c r="H28" s="114">
        <f>0</f>
        <v>0</v>
      </c>
      <c r="I28" s="114">
        <f>0</f>
        <v>0</v>
      </c>
      <c r="J28" s="114">
        <f>0</f>
        <v>0</v>
      </c>
      <c r="K28" s="113">
        <f>0</f>
        <v>0</v>
      </c>
      <c r="L28" s="113">
        <f>0</f>
        <v>0</v>
      </c>
      <c r="M28" s="113">
        <f>0</f>
        <v>0</v>
      </c>
      <c r="N28" s="113">
        <f>0</f>
        <v>0</v>
      </c>
      <c r="O28" s="113">
        <f>0</f>
        <v>0</v>
      </c>
      <c r="P28" s="113">
        <f>0</f>
        <v>0</v>
      </c>
      <c r="Q28" s="113">
        <f>0</f>
        <v>0</v>
      </c>
      <c r="R28" s="113">
        <f>0</f>
        <v>0</v>
      </c>
      <c r="S28" s="113">
        <f>0</f>
        <v>0</v>
      </c>
      <c r="T28" s="113">
        <f>0</f>
        <v>0</v>
      </c>
      <c r="U28" s="113">
        <f>0</f>
        <v>0</v>
      </c>
      <c r="V28" s="113">
        <f>0</f>
        <v>0</v>
      </c>
      <c r="W28" s="113">
        <f>0</f>
        <v>0</v>
      </c>
      <c r="X28" s="113">
        <f>0</f>
        <v>0</v>
      </c>
      <c r="Y28" s="113">
        <f>0</f>
        <v>0</v>
      </c>
      <c r="Z28" s="113">
        <f>0</f>
        <v>0</v>
      </c>
      <c r="AA28" s="113">
        <f>0</f>
        <v>0</v>
      </c>
      <c r="AB28" s="113">
        <f>0</f>
        <v>0</v>
      </c>
      <c r="AC28" s="113">
        <f>0</f>
        <v>0</v>
      </c>
      <c r="AD28" s="113">
        <f>0</f>
        <v>0</v>
      </c>
      <c r="AE28" s="113">
        <f>0</f>
        <v>0</v>
      </c>
      <c r="AF28" s="113">
        <f>0</f>
        <v>0</v>
      </c>
      <c r="AG28" s="113">
        <f>0</f>
        <v>0</v>
      </c>
      <c r="AH28" s="113">
        <f>0</f>
        <v>0</v>
      </c>
      <c r="AI28" s="113">
        <f>0</f>
        <v>0</v>
      </c>
      <c r="AJ28" s="113">
        <f>0</f>
        <v>0</v>
      </c>
      <c r="AK28" s="113">
        <f>0</f>
        <v>0</v>
      </c>
      <c r="AL28" s="113">
        <f>0</f>
        <v>0</v>
      </c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</row>
    <row r="29" spans="1:70" ht="16.350000000000001" customHeight="1" x14ac:dyDescent="0.3">
      <c r="A29" s="114" t="s">
        <v>129</v>
      </c>
      <c r="B29" s="118">
        <f>IFERROR(INDEX($H$8:$V$8,1,MATCH("RM02",$H$3:$V$3,0)),0)</f>
        <v>4611</v>
      </c>
      <c r="C29" s="114">
        <f t="shared" ref="C29:AL29" si="4">$B29</f>
        <v>4611</v>
      </c>
      <c r="D29" s="114">
        <f t="shared" si="4"/>
        <v>4611</v>
      </c>
      <c r="E29" s="114">
        <f t="shared" si="4"/>
        <v>4611</v>
      </c>
      <c r="F29" s="114">
        <f t="shared" si="4"/>
        <v>4611</v>
      </c>
      <c r="G29" s="114">
        <f t="shared" si="4"/>
        <v>4611</v>
      </c>
      <c r="H29" s="114">
        <f t="shared" si="4"/>
        <v>4611</v>
      </c>
      <c r="I29" s="114">
        <f t="shared" si="4"/>
        <v>4611</v>
      </c>
      <c r="J29" s="114">
        <f t="shared" si="4"/>
        <v>4611</v>
      </c>
      <c r="K29" s="113">
        <f t="shared" si="4"/>
        <v>4611</v>
      </c>
      <c r="L29" s="113">
        <f t="shared" si="4"/>
        <v>4611</v>
      </c>
      <c r="M29" s="113">
        <f t="shared" si="4"/>
        <v>4611</v>
      </c>
      <c r="N29" s="113">
        <f t="shared" si="4"/>
        <v>4611</v>
      </c>
      <c r="O29" s="113">
        <f t="shared" si="4"/>
        <v>4611</v>
      </c>
      <c r="P29" s="113">
        <f t="shared" si="4"/>
        <v>4611</v>
      </c>
      <c r="Q29" s="113">
        <f t="shared" si="4"/>
        <v>4611</v>
      </c>
      <c r="R29" s="113">
        <f t="shared" si="4"/>
        <v>4611</v>
      </c>
      <c r="S29" s="113">
        <f t="shared" si="4"/>
        <v>4611</v>
      </c>
      <c r="T29" s="113">
        <f t="shared" si="4"/>
        <v>4611</v>
      </c>
      <c r="U29" s="113">
        <f t="shared" si="4"/>
        <v>4611</v>
      </c>
      <c r="V29" s="113">
        <f t="shared" si="4"/>
        <v>4611</v>
      </c>
      <c r="W29" s="113">
        <f t="shared" si="4"/>
        <v>4611</v>
      </c>
      <c r="X29" s="113">
        <f t="shared" si="4"/>
        <v>4611</v>
      </c>
      <c r="Y29" s="113">
        <f t="shared" si="4"/>
        <v>4611</v>
      </c>
      <c r="Z29" s="113">
        <f t="shared" si="4"/>
        <v>4611</v>
      </c>
      <c r="AA29" s="113">
        <f t="shared" si="4"/>
        <v>4611</v>
      </c>
      <c r="AB29" s="113">
        <f t="shared" si="4"/>
        <v>4611</v>
      </c>
      <c r="AC29" s="113">
        <f t="shared" si="4"/>
        <v>4611</v>
      </c>
      <c r="AD29" s="113">
        <f t="shared" si="4"/>
        <v>4611</v>
      </c>
      <c r="AE29" s="113">
        <f t="shared" si="4"/>
        <v>4611</v>
      </c>
      <c r="AF29" s="113">
        <f t="shared" si="4"/>
        <v>4611</v>
      </c>
      <c r="AG29" s="113">
        <f t="shared" si="4"/>
        <v>4611</v>
      </c>
      <c r="AH29" s="113">
        <f t="shared" si="4"/>
        <v>4611</v>
      </c>
      <c r="AI29" s="113">
        <f t="shared" si="4"/>
        <v>4611</v>
      </c>
      <c r="AJ29" s="113">
        <f t="shared" si="4"/>
        <v>4611</v>
      </c>
      <c r="AK29" s="113">
        <f t="shared" si="4"/>
        <v>4611</v>
      </c>
      <c r="AL29" s="113">
        <f t="shared" si="4"/>
        <v>4611</v>
      </c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</row>
    <row r="30" spans="1:70" ht="16.350000000000001" customHeight="1" x14ac:dyDescent="0.3">
      <c r="A30" s="114" t="s">
        <v>135</v>
      </c>
      <c r="B30" s="118">
        <f>IFERROR(INDEX($H$6:$V$6,1,MATCH("RM02",$H$3:$V$3,0)),0)</f>
        <v>1443</v>
      </c>
      <c r="C30" s="114">
        <f>$B30+C28+C32-C27</f>
        <v>4611</v>
      </c>
      <c r="D30" s="114">
        <f t="shared" ref="D30:AL30" si="5">C30+D28+D32-D27</f>
        <v>4611</v>
      </c>
      <c r="E30" s="114">
        <f t="shared" si="5"/>
        <v>4611</v>
      </c>
      <c r="F30" s="114">
        <f t="shared" si="5"/>
        <v>4611</v>
      </c>
      <c r="G30" s="114">
        <f t="shared" si="5"/>
        <v>4611</v>
      </c>
      <c r="H30" s="114">
        <f t="shared" si="5"/>
        <v>4611</v>
      </c>
      <c r="I30" s="114">
        <f t="shared" si="5"/>
        <v>4611</v>
      </c>
      <c r="J30" s="114">
        <f t="shared" si="5"/>
        <v>4611</v>
      </c>
      <c r="K30" s="113">
        <f t="shared" si="5"/>
        <v>4611</v>
      </c>
      <c r="L30" s="113">
        <f t="shared" si="5"/>
        <v>4611</v>
      </c>
      <c r="M30" s="113">
        <f t="shared" si="5"/>
        <v>4611</v>
      </c>
      <c r="N30" s="113">
        <f t="shared" si="5"/>
        <v>4611</v>
      </c>
      <c r="O30" s="113">
        <f t="shared" si="5"/>
        <v>4611</v>
      </c>
      <c r="P30" s="113">
        <f t="shared" si="5"/>
        <v>4611</v>
      </c>
      <c r="Q30" s="113">
        <f t="shared" si="5"/>
        <v>4611</v>
      </c>
      <c r="R30" s="113">
        <f t="shared" si="5"/>
        <v>4611</v>
      </c>
      <c r="S30" s="113">
        <f t="shared" si="5"/>
        <v>4611</v>
      </c>
      <c r="T30" s="113">
        <f t="shared" si="5"/>
        <v>4611</v>
      </c>
      <c r="U30" s="113">
        <f t="shared" si="5"/>
        <v>4611</v>
      </c>
      <c r="V30" s="113">
        <f t="shared" si="5"/>
        <v>4611</v>
      </c>
      <c r="W30" s="113">
        <f t="shared" si="5"/>
        <v>4611</v>
      </c>
      <c r="X30" s="113">
        <f t="shared" si="5"/>
        <v>4611</v>
      </c>
      <c r="Y30" s="113">
        <f t="shared" si="5"/>
        <v>4611</v>
      </c>
      <c r="Z30" s="113">
        <f t="shared" si="5"/>
        <v>4611</v>
      </c>
      <c r="AA30" s="113">
        <f t="shared" si="5"/>
        <v>4611</v>
      </c>
      <c r="AB30" s="113">
        <f t="shared" si="5"/>
        <v>4611</v>
      </c>
      <c r="AC30" s="113">
        <f t="shared" si="5"/>
        <v>4611</v>
      </c>
      <c r="AD30" s="113">
        <f t="shared" si="5"/>
        <v>4611</v>
      </c>
      <c r="AE30" s="113">
        <f t="shared" si="5"/>
        <v>4611</v>
      </c>
      <c r="AF30" s="113">
        <f t="shared" si="5"/>
        <v>4611</v>
      </c>
      <c r="AG30" s="113">
        <f t="shared" si="5"/>
        <v>4611</v>
      </c>
      <c r="AH30" s="113">
        <f t="shared" si="5"/>
        <v>4611</v>
      </c>
      <c r="AI30" s="113">
        <f t="shared" si="5"/>
        <v>4611</v>
      </c>
      <c r="AJ30" s="113">
        <f t="shared" si="5"/>
        <v>4611</v>
      </c>
      <c r="AK30" s="113">
        <f t="shared" si="5"/>
        <v>4611</v>
      </c>
      <c r="AL30" s="113">
        <f t="shared" si="5"/>
        <v>4611</v>
      </c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</row>
    <row r="31" spans="1:70" ht="16.350000000000001" customHeight="1" x14ac:dyDescent="0.3">
      <c r="A31" s="114" t="s">
        <v>136</v>
      </c>
      <c r="B31" s="118"/>
      <c r="C31" s="114">
        <f>MAX(C27+C29-($B30+C28),0)</f>
        <v>9230.75</v>
      </c>
      <c r="D31" s="114">
        <f t="shared" ref="D31:AL31" si="6">MAX(D27+D29-(C30+D28),0)</f>
        <v>1885.75</v>
      </c>
      <c r="E31" s="114">
        <f t="shared" si="6"/>
        <v>3223</v>
      </c>
      <c r="F31" s="114">
        <f t="shared" si="6"/>
        <v>6567.5</v>
      </c>
      <c r="G31" s="114">
        <f t="shared" si="6"/>
        <v>6886.75</v>
      </c>
      <c r="H31" s="114">
        <f t="shared" si="6"/>
        <v>6625</v>
      </c>
      <c r="I31" s="114">
        <f t="shared" si="6"/>
        <v>6737.5</v>
      </c>
      <c r="J31" s="114">
        <f t="shared" si="6"/>
        <v>6625</v>
      </c>
      <c r="K31" s="113">
        <f t="shared" si="6"/>
        <v>5966.75</v>
      </c>
      <c r="L31" s="113">
        <f t="shared" si="6"/>
        <v>4824.75</v>
      </c>
      <c r="M31" s="113">
        <f t="shared" si="6"/>
        <v>4530.5</v>
      </c>
      <c r="N31" s="113">
        <f t="shared" si="6"/>
        <v>5762.5</v>
      </c>
      <c r="O31" s="113">
        <f t="shared" si="6"/>
        <v>5612.5</v>
      </c>
      <c r="P31" s="113">
        <f t="shared" si="6"/>
        <v>4924</v>
      </c>
      <c r="Q31" s="113">
        <f t="shared" si="6"/>
        <v>3626</v>
      </c>
      <c r="R31" s="113">
        <f t="shared" si="6"/>
        <v>4309.5</v>
      </c>
      <c r="S31" s="113">
        <f t="shared" si="6"/>
        <v>4512.25</v>
      </c>
      <c r="T31" s="113">
        <f t="shared" si="6"/>
        <v>2474.5</v>
      </c>
      <c r="U31" s="113">
        <f t="shared" si="6"/>
        <v>2324.25</v>
      </c>
      <c r="V31" s="113">
        <f t="shared" si="6"/>
        <v>2663</v>
      </c>
      <c r="W31" s="113">
        <f t="shared" si="6"/>
        <v>2712.75</v>
      </c>
      <c r="X31" s="113">
        <f t="shared" si="6"/>
        <v>2198.5</v>
      </c>
      <c r="Y31" s="113">
        <f t="shared" si="6"/>
        <v>2123.75</v>
      </c>
      <c r="Z31" s="113">
        <f t="shared" si="6"/>
        <v>4320.75</v>
      </c>
      <c r="AA31" s="113">
        <f t="shared" si="6"/>
        <v>4227.5</v>
      </c>
      <c r="AB31" s="113">
        <f t="shared" si="6"/>
        <v>4140</v>
      </c>
      <c r="AC31" s="113">
        <f t="shared" si="6"/>
        <v>4321</v>
      </c>
      <c r="AD31" s="113">
        <f t="shared" si="6"/>
        <v>4321</v>
      </c>
      <c r="AE31" s="113">
        <f t="shared" si="6"/>
        <v>4431</v>
      </c>
      <c r="AF31" s="113">
        <f t="shared" si="6"/>
        <v>3502</v>
      </c>
      <c r="AG31" s="113">
        <f t="shared" si="6"/>
        <v>3352.5</v>
      </c>
      <c r="AH31" s="113">
        <f t="shared" si="6"/>
        <v>3352.25</v>
      </c>
      <c r="AI31" s="113">
        <f t="shared" si="6"/>
        <v>4665</v>
      </c>
      <c r="AJ31" s="113">
        <f t="shared" si="6"/>
        <v>4836.25</v>
      </c>
      <c r="AK31" s="113">
        <f t="shared" si="6"/>
        <v>5697.75</v>
      </c>
      <c r="AL31" s="113">
        <f t="shared" si="6"/>
        <v>5697.25</v>
      </c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</row>
    <row r="32" spans="1:70" ht="16.350000000000001" customHeight="1" x14ac:dyDescent="0.3">
      <c r="A32" s="140" t="s">
        <v>137</v>
      </c>
      <c r="B32" s="136"/>
      <c r="C32" s="114">
        <f t="shared" ref="C32:AL32" si="7">C31</f>
        <v>9230.75</v>
      </c>
      <c r="D32" s="114">
        <f t="shared" si="7"/>
        <v>1885.75</v>
      </c>
      <c r="E32" s="114">
        <f t="shared" si="7"/>
        <v>3223</v>
      </c>
      <c r="F32" s="114">
        <f t="shared" si="7"/>
        <v>6567.5</v>
      </c>
      <c r="G32" s="114">
        <f t="shared" si="7"/>
        <v>6886.75</v>
      </c>
      <c r="H32" s="114">
        <f t="shared" si="7"/>
        <v>6625</v>
      </c>
      <c r="I32" s="114">
        <f t="shared" si="7"/>
        <v>6737.5</v>
      </c>
      <c r="J32" s="114">
        <f t="shared" si="7"/>
        <v>6625</v>
      </c>
      <c r="K32" s="113">
        <f t="shared" si="7"/>
        <v>5966.75</v>
      </c>
      <c r="L32" s="113">
        <f t="shared" si="7"/>
        <v>4824.75</v>
      </c>
      <c r="M32" s="113">
        <f t="shared" si="7"/>
        <v>4530.5</v>
      </c>
      <c r="N32" s="113">
        <f t="shared" si="7"/>
        <v>5762.5</v>
      </c>
      <c r="O32" s="113">
        <f t="shared" si="7"/>
        <v>5612.5</v>
      </c>
      <c r="P32" s="113">
        <f t="shared" si="7"/>
        <v>4924</v>
      </c>
      <c r="Q32" s="113">
        <f t="shared" si="7"/>
        <v>3626</v>
      </c>
      <c r="R32" s="113">
        <f t="shared" si="7"/>
        <v>4309.5</v>
      </c>
      <c r="S32" s="113">
        <f t="shared" si="7"/>
        <v>4512.25</v>
      </c>
      <c r="T32" s="113">
        <f t="shared" si="7"/>
        <v>2474.5</v>
      </c>
      <c r="U32" s="113">
        <f t="shared" si="7"/>
        <v>2324.25</v>
      </c>
      <c r="V32" s="113">
        <f t="shared" si="7"/>
        <v>2663</v>
      </c>
      <c r="W32" s="113">
        <f t="shared" si="7"/>
        <v>2712.75</v>
      </c>
      <c r="X32" s="113">
        <f t="shared" si="7"/>
        <v>2198.5</v>
      </c>
      <c r="Y32" s="113">
        <f t="shared" si="7"/>
        <v>2123.75</v>
      </c>
      <c r="Z32" s="113">
        <f t="shared" si="7"/>
        <v>4320.75</v>
      </c>
      <c r="AA32" s="113">
        <f t="shared" si="7"/>
        <v>4227.5</v>
      </c>
      <c r="AB32" s="113">
        <f t="shared" si="7"/>
        <v>4140</v>
      </c>
      <c r="AC32" s="113">
        <f t="shared" si="7"/>
        <v>4321</v>
      </c>
      <c r="AD32" s="113">
        <f t="shared" si="7"/>
        <v>4321</v>
      </c>
      <c r="AE32" s="113">
        <f t="shared" si="7"/>
        <v>4431</v>
      </c>
      <c r="AF32" s="113">
        <f t="shared" si="7"/>
        <v>3502</v>
      </c>
      <c r="AG32" s="113">
        <f t="shared" si="7"/>
        <v>3352.5</v>
      </c>
      <c r="AH32" s="113">
        <f t="shared" si="7"/>
        <v>3352.25</v>
      </c>
      <c r="AI32" s="113">
        <f t="shared" si="7"/>
        <v>4665</v>
      </c>
      <c r="AJ32" s="113">
        <f t="shared" si="7"/>
        <v>4836.25</v>
      </c>
      <c r="AK32" s="113">
        <f t="shared" si="7"/>
        <v>5697.75</v>
      </c>
      <c r="AL32" s="113">
        <f t="shared" si="7"/>
        <v>5697.25</v>
      </c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</row>
    <row r="33" spans="1:70" ht="16.350000000000001" customHeight="1" x14ac:dyDescent="0.3">
      <c r="A33" s="114" t="s">
        <v>138</v>
      </c>
      <c r="B33" s="118"/>
      <c r="C33" s="114">
        <f>IFERROR(INDEX($C$32:$AK$32,1,1+ROUND(INDEX($H$5:$V$5,1,MATCH("RM02",$H$3:$V$3,0))/7,0)),0)</f>
        <v>3223</v>
      </c>
      <c r="D33" s="114">
        <f>IFERROR(INDEX($C$32:$AK$32,1,2+ROUND(INDEX($H$5:$V$5,1,MATCH("RM02",$H$3:$V$3,0))/7,0)),0)</f>
        <v>6567.5</v>
      </c>
      <c r="E33" s="114">
        <f>IFERROR(INDEX($C$32:$AK$32,1,3+ROUND(INDEX($H$5:$V$5,1,MATCH("RM02",$H$3:$V$3,0))/7,0)),0)</f>
        <v>6886.75</v>
      </c>
      <c r="F33" s="114">
        <f>IFERROR(INDEX($C$32:$AK$32,1,4+ROUND(INDEX($H$5:$V$5,1,MATCH("RM02",$H$3:$V$3,0))/7,0)),0)</f>
        <v>6625</v>
      </c>
      <c r="G33" s="114">
        <f>IFERROR(INDEX($C$32:$AK$32,1,5+ROUND(INDEX($H$5:$V$5,1,MATCH("RM02",$H$3:$V$3,0))/7,0)),0)</f>
        <v>6737.5</v>
      </c>
      <c r="H33" s="114">
        <f>IFERROR(INDEX($C$32:$AK$32,1,6+ROUND(INDEX($H$5:$V$5,1,MATCH("RM02",$H$3:$V$3,0))/7,0)),0)</f>
        <v>6625</v>
      </c>
      <c r="I33" s="114">
        <f>IFERROR(INDEX($C$32:$AK$32,1,7+ROUND(INDEX($H$5:$V$5,1,MATCH("RM02",$H$3:$V$3,0))/7,0)),0)</f>
        <v>5966.75</v>
      </c>
      <c r="J33" s="114">
        <f>IFERROR(INDEX($C$32:$AK$32,1,8+ROUND(INDEX($H$5:$V$5,1,MATCH("RM02",$H$3:$V$3,0))/7,0)),0)</f>
        <v>4824.75</v>
      </c>
      <c r="K33" s="113">
        <f>IFERROR(INDEX($C$32:$AK$32,1,9+ROUND(INDEX($H$5:$V$5,1,MATCH("RM02",$H$3:$V$3,0))/7,0)),0)</f>
        <v>4530.5</v>
      </c>
      <c r="L33" s="113">
        <f>IFERROR(INDEX($C$32:$AK$32,1,10+ROUND(INDEX($H$5:$V$5,1,MATCH("RM02",$H$3:$V$3,0))/7,0)),0)</f>
        <v>5762.5</v>
      </c>
      <c r="M33" s="113">
        <f>IFERROR(INDEX($C$32:$AK$32,1,11+ROUND(INDEX($H$5:$V$5,1,MATCH("RM02",$H$3:$V$3,0))/7,0)),0)</f>
        <v>5612.5</v>
      </c>
      <c r="N33" s="113">
        <f>IFERROR(INDEX($C$32:$AK$32,1,12+ROUND(INDEX($H$5:$V$5,1,MATCH("RM02",$H$3:$V$3,0))/7,0)),0)</f>
        <v>4924</v>
      </c>
      <c r="O33" s="113">
        <f>IFERROR(INDEX($C$32:$AK$32,1,13+ROUND(INDEX($H$5:$V$5,1,MATCH("RM02",$H$3:$V$3,0))/7,0)),0)</f>
        <v>3626</v>
      </c>
      <c r="P33" s="113">
        <f>IFERROR(INDEX($C$32:$AK$32,1,14+ROUND(INDEX($H$5:$V$5,1,MATCH("RM02",$H$3:$V$3,0))/7,0)),0)</f>
        <v>4309.5</v>
      </c>
      <c r="Q33" s="113">
        <f>IFERROR(INDEX($C$32:$AK$32,1,15+ROUND(INDEX($H$5:$V$5,1,MATCH("RM02",$H$3:$V$3,0))/7,0)),0)</f>
        <v>4512.25</v>
      </c>
      <c r="R33" s="113">
        <f>IFERROR(INDEX($C$32:$AK$32,1,16+ROUND(INDEX($H$5:$V$5,1,MATCH("RM02",$H$3:$V$3,0))/7,0)),0)</f>
        <v>2474.5</v>
      </c>
      <c r="S33" s="113">
        <f>IFERROR(INDEX($C$32:$AK$32,1,17+ROUND(INDEX($H$5:$V$5,1,MATCH("RM02",$H$3:$V$3,0))/7,0)),0)</f>
        <v>2324.25</v>
      </c>
      <c r="T33" s="113">
        <f>IFERROR(INDEX($C$32:$AK$32,1,18+ROUND(INDEX($H$5:$V$5,1,MATCH("RM02",$H$3:$V$3,0))/7,0)),0)</f>
        <v>2663</v>
      </c>
      <c r="U33" s="113">
        <f>IFERROR(INDEX($C$32:$AK$32,1,19+ROUND(INDEX($H$5:$V$5,1,MATCH("RM02",$H$3:$V$3,0))/7,0)),0)</f>
        <v>2712.75</v>
      </c>
      <c r="V33" s="113">
        <f>IFERROR(INDEX($C$32:$AK$32,1,20+ROUND(INDEX($H$5:$V$5,1,MATCH("RM02",$H$3:$V$3,0))/7,0)),0)</f>
        <v>2198.5</v>
      </c>
      <c r="W33" s="113">
        <f>IFERROR(INDEX($C$32:$AK$32,1,21+ROUND(INDEX($H$5:$V$5,1,MATCH("RM02",$H$3:$V$3,0))/7,0)),0)</f>
        <v>2123.75</v>
      </c>
      <c r="X33" s="113">
        <f>IFERROR(INDEX($C$32:$AK$32,1,22+ROUND(INDEX($H$5:$V$5,1,MATCH("RM02",$H$3:$V$3,0))/7,0)),0)</f>
        <v>4320.75</v>
      </c>
      <c r="Y33" s="113">
        <f>IFERROR(INDEX($C$32:$AK$32,1,23+ROUND(INDEX($H$5:$V$5,1,MATCH("RM02",$H$3:$V$3,0))/7,0)),0)</f>
        <v>4227.5</v>
      </c>
      <c r="Z33" s="113">
        <f>IFERROR(INDEX($C$32:$AK$32,1,24+ROUND(INDEX($H$5:$V$5,1,MATCH("RM02",$H$3:$V$3,0))/7,0)),0)</f>
        <v>4140</v>
      </c>
      <c r="AA33" s="113">
        <f>IFERROR(INDEX($C$32:$AK$32,1,25+ROUND(INDEX($H$5:$V$5,1,MATCH("RM02",$H$3:$V$3,0))/7,0)),0)</f>
        <v>4321</v>
      </c>
      <c r="AB33" s="113">
        <f>IFERROR(INDEX($C$32:$AK$32,1,26+ROUND(INDEX($H$5:$V$5,1,MATCH("RM02",$H$3:$V$3,0))/7,0)),0)</f>
        <v>4321</v>
      </c>
      <c r="AC33" s="113">
        <f>IFERROR(INDEX($C$32:$AK$32,1,27+ROUND(INDEX($H$5:$V$5,1,MATCH("RM02",$H$3:$V$3,0))/7,0)),0)</f>
        <v>4431</v>
      </c>
      <c r="AD33" s="113">
        <f>IFERROR(INDEX($C$32:$AK$32,1,28+ROUND(INDEX($H$5:$V$5,1,MATCH("RM02",$H$3:$V$3,0))/7,0)),0)</f>
        <v>3502</v>
      </c>
      <c r="AE33" s="113">
        <f>IFERROR(INDEX($C$32:$AK$32,1,29+ROUND(INDEX($H$5:$V$5,1,MATCH("RM02",$H$3:$V$3,0))/7,0)),0)</f>
        <v>3352.5</v>
      </c>
      <c r="AF33" s="113">
        <f>IFERROR(INDEX($C$32:$AK$32,1,30+ROUND(INDEX($H$5:$V$5,1,MATCH("RM02",$H$3:$V$3,0))/7,0)),0)</f>
        <v>3352.25</v>
      </c>
      <c r="AG33" s="113">
        <f>IFERROR(INDEX($C$32:$AK$32,1,31+ROUND(INDEX($H$5:$V$5,1,MATCH("RM02",$H$3:$V$3,0))/7,0)),0)</f>
        <v>4665</v>
      </c>
      <c r="AH33" s="113">
        <f>IFERROR(INDEX($C$32:$AK$32,1,32+ROUND(INDEX($H$5:$V$5,1,MATCH("RM02",$H$3:$V$3,0))/7,0)),0)</f>
        <v>4836.25</v>
      </c>
      <c r="AI33" s="113">
        <f>IFERROR(INDEX($C$32:$AK$32,1,33+ROUND(INDEX($H$5:$V$5,1,MATCH("RM02",$H$3:$V$3,0))/7,0)),0)</f>
        <v>5697.75</v>
      </c>
      <c r="AJ33" s="113">
        <f>IFERROR(INDEX($C$32:$AK$32,1,34+ROUND(INDEX($H$5:$V$5,1,MATCH("RM02",$H$3:$V$3,0))/7,0)),0)</f>
        <v>0</v>
      </c>
      <c r="AK33" s="113">
        <f>IFERROR(INDEX($C$32:$AK$32,1,35+ROUND(INDEX($H$5:$V$5,1,MATCH("RM02",$H$3:$V$3,0))/7,0)),0)</f>
        <v>0</v>
      </c>
      <c r="AL33" s="113">
        <f>IFERROR(INDEX($C$32:$AK$32,1,35+ROUND(INDEX($H$5:$V$5,1,MATCH("RM02",$H$3:$V$3,0))/7,0)),0)</f>
        <v>0</v>
      </c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</row>
    <row r="34" spans="1:70" x14ac:dyDescent="0.3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</row>
    <row r="35" spans="1:70" ht="16.350000000000001" customHeight="1" x14ac:dyDescent="0.3">
      <c r="A35" s="47" t="s">
        <v>140</v>
      </c>
      <c r="B35" s="47" t="s">
        <v>132</v>
      </c>
      <c r="C35" s="137" t="s">
        <v>0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6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</row>
    <row r="36" spans="1:70" ht="16.350000000000001" customHeight="1" x14ac:dyDescent="0.3">
      <c r="A36" s="47" t="s">
        <v>133</v>
      </c>
      <c r="B36" s="47" t="str">
        <f>"LT: "&amp;ROUND(INDEX($H$5:$V$5,1,MATCH("RM03",$H$3:$V$3,0))/7,0)</f>
        <v>LT: 3</v>
      </c>
      <c r="C36" s="48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 s="104">
        <v>46370</v>
      </c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</row>
    <row r="37" spans="1:70" ht="16.350000000000001" customHeight="1" x14ac:dyDescent="0.3">
      <c r="A37" s="51" t="s">
        <v>134</v>
      </c>
      <c r="B37" s="104"/>
      <c r="C37" s="114">
        <f t="array" ref="C37:AL37">TRANSPOSE(BOM_demand!$J$2:$J$37)</f>
        <v>20751</v>
      </c>
      <c r="D37" s="114">
        <v>7837</v>
      </c>
      <c r="E37" s="114">
        <v>13684</v>
      </c>
      <c r="F37" s="114">
        <v>23000</v>
      </c>
      <c r="G37" s="114">
        <v>23000</v>
      </c>
      <c r="H37" s="114">
        <v>23000</v>
      </c>
      <c r="I37" s="114">
        <v>23000</v>
      </c>
      <c r="J37" s="114">
        <v>23000</v>
      </c>
      <c r="K37" s="114">
        <v>20367</v>
      </c>
      <c r="L37" s="114">
        <v>15349</v>
      </c>
      <c r="M37" s="114">
        <v>14622</v>
      </c>
      <c r="N37" s="114">
        <v>21000</v>
      </c>
      <c r="O37" s="114">
        <v>21000</v>
      </c>
      <c r="P37" s="114">
        <v>18246</v>
      </c>
      <c r="Q37" s="114">
        <v>14554</v>
      </c>
      <c r="R37" s="114">
        <v>16476</v>
      </c>
      <c r="S37" s="114">
        <v>17698</v>
      </c>
      <c r="T37" s="114">
        <v>9248</v>
      </c>
      <c r="U37" s="114">
        <v>8946</v>
      </c>
      <c r="V37" s="114">
        <v>10655</v>
      </c>
      <c r="W37" s="114">
        <v>10554</v>
      </c>
      <c r="X37" s="114">
        <v>8797</v>
      </c>
      <c r="Y37" s="114">
        <v>8498</v>
      </c>
      <c r="Z37" s="114">
        <v>17406</v>
      </c>
      <c r="AA37" s="114">
        <v>16010</v>
      </c>
      <c r="AB37" s="114">
        <v>15960</v>
      </c>
      <c r="AC37" s="114">
        <v>17408</v>
      </c>
      <c r="AD37" s="114">
        <v>17408</v>
      </c>
      <c r="AE37" s="114">
        <v>17948</v>
      </c>
      <c r="AF37" s="114">
        <v>14085</v>
      </c>
      <c r="AG37" s="114">
        <v>13788</v>
      </c>
      <c r="AH37" s="114">
        <v>13787</v>
      </c>
      <c r="AI37" s="114">
        <v>16538</v>
      </c>
      <c r="AJ37" s="114">
        <v>17009</v>
      </c>
      <c r="AK37" s="114">
        <v>20756</v>
      </c>
      <c r="AL37" s="104">
        <v>20753</v>
      </c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</row>
    <row r="38" spans="1:70" ht="16.350000000000001" customHeight="1" x14ac:dyDescent="0.3">
      <c r="A38" s="140" t="s">
        <v>128</v>
      </c>
      <c r="B38" s="136"/>
      <c r="C38" s="114">
        <f>IFERROR(INDEX($H$7:$V$7,1,MATCH("RM03",$H$3:$V$3,0)),0)</f>
        <v>0</v>
      </c>
      <c r="D38" s="114">
        <f>0</f>
        <v>0</v>
      </c>
      <c r="E38" s="114">
        <f>0</f>
        <v>0</v>
      </c>
      <c r="F38" s="114">
        <f>0</f>
        <v>0</v>
      </c>
      <c r="G38" s="114">
        <f>0</f>
        <v>0</v>
      </c>
      <c r="H38" s="114">
        <f>0</f>
        <v>0</v>
      </c>
      <c r="I38" s="114">
        <f>0</f>
        <v>0</v>
      </c>
      <c r="J38" s="114">
        <f>0</f>
        <v>0</v>
      </c>
      <c r="K38" s="113">
        <f>0</f>
        <v>0</v>
      </c>
      <c r="L38" s="113">
        <f>0</f>
        <v>0</v>
      </c>
      <c r="M38" s="113">
        <f>0</f>
        <v>0</v>
      </c>
      <c r="N38" s="113">
        <f>0</f>
        <v>0</v>
      </c>
      <c r="O38" s="113">
        <f>0</f>
        <v>0</v>
      </c>
      <c r="P38" s="113">
        <f>0</f>
        <v>0</v>
      </c>
      <c r="Q38" s="113">
        <f>0</f>
        <v>0</v>
      </c>
      <c r="R38" s="113">
        <f>0</f>
        <v>0</v>
      </c>
      <c r="S38" s="113">
        <f>0</f>
        <v>0</v>
      </c>
      <c r="T38" s="113">
        <f>0</f>
        <v>0</v>
      </c>
      <c r="U38" s="113">
        <f>0</f>
        <v>0</v>
      </c>
      <c r="V38" s="113">
        <f>0</f>
        <v>0</v>
      </c>
      <c r="W38" s="113">
        <f>0</f>
        <v>0</v>
      </c>
      <c r="X38" s="113">
        <f>0</f>
        <v>0</v>
      </c>
      <c r="Y38" s="113">
        <f>0</f>
        <v>0</v>
      </c>
      <c r="Z38" s="113">
        <f>0</f>
        <v>0</v>
      </c>
      <c r="AA38" s="113">
        <f>0</f>
        <v>0</v>
      </c>
      <c r="AB38" s="113">
        <f>0</f>
        <v>0</v>
      </c>
      <c r="AC38" s="113">
        <f>0</f>
        <v>0</v>
      </c>
      <c r="AD38" s="113">
        <f>0</f>
        <v>0</v>
      </c>
      <c r="AE38" s="113">
        <f>0</f>
        <v>0</v>
      </c>
      <c r="AF38" s="113">
        <f>0</f>
        <v>0</v>
      </c>
      <c r="AG38" s="113">
        <f>0</f>
        <v>0</v>
      </c>
      <c r="AH38" s="113">
        <f>0</f>
        <v>0</v>
      </c>
      <c r="AI38" s="113">
        <f>0</f>
        <v>0</v>
      </c>
      <c r="AJ38" s="113">
        <f>0</f>
        <v>0</v>
      </c>
      <c r="AK38" s="113">
        <f>0</f>
        <v>0</v>
      </c>
      <c r="AL38" s="113">
        <f>0</f>
        <v>0</v>
      </c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</row>
    <row r="39" spans="1:70" ht="16.350000000000001" customHeight="1" x14ac:dyDescent="0.3">
      <c r="A39" s="114" t="s">
        <v>129</v>
      </c>
      <c r="B39" s="118">
        <f>IFERROR(INDEX($H$8:$V$8,1,MATCH("RM03",$H$3:$V$3,0)),0)</f>
        <v>16915</v>
      </c>
      <c r="C39" s="114">
        <f t="shared" ref="C39:AL39" si="8">$B39</f>
        <v>16915</v>
      </c>
      <c r="D39" s="114">
        <f t="shared" si="8"/>
        <v>16915</v>
      </c>
      <c r="E39" s="114">
        <f t="shared" si="8"/>
        <v>16915</v>
      </c>
      <c r="F39" s="114">
        <f t="shared" si="8"/>
        <v>16915</v>
      </c>
      <c r="G39" s="114">
        <f t="shared" si="8"/>
        <v>16915</v>
      </c>
      <c r="H39" s="114">
        <f t="shared" si="8"/>
        <v>16915</v>
      </c>
      <c r="I39" s="114">
        <f t="shared" si="8"/>
        <v>16915</v>
      </c>
      <c r="J39" s="114">
        <f t="shared" si="8"/>
        <v>16915</v>
      </c>
      <c r="K39" s="113">
        <f t="shared" si="8"/>
        <v>16915</v>
      </c>
      <c r="L39" s="113">
        <f t="shared" si="8"/>
        <v>16915</v>
      </c>
      <c r="M39" s="113">
        <f t="shared" si="8"/>
        <v>16915</v>
      </c>
      <c r="N39" s="113">
        <f t="shared" si="8"/>
        <v>16915</v>
      </c>
      <c r="O39" s="113">
        <f t="shared" si="8"/>
        <v>16915</v>
      </c>
      <c r="P39" s="113">
        <f t="shared" si="8"/>
        <v>16915</v>
      </c>
      <c r="Q39" s="113">
        <f t="shared" si="8"/>
        <v>16915</v>
      </c>
      <c r="R39" s="113">
        <f t="shared" si="8"/>
        <v>16915</v>
      </c>
      <c r="S39" s="113">
        <f t="shared" si="8"/>
        <v>16915</v>
      </c>
      <c r="T39" s="113">
        <f t="shared" si="8"/>
        <v>16915</v>
      </c>
      <c r="U39" s="113">
        <f t="shared" si="8"/>
        <v>16915</v>
      </c>
      <c r="V39" s="113">
        <f t="shared" si="8"/>
        <v>16915</v>
      </c>
      <c r="W39" s="113">
        <f t="shared" si="8"/>
        <v>16915</v>
      </c>
      <c r="X39" s="113">
        <f t="shared" si="8"/>
        <v>16915</v>
      </c>
      <c r="Y39" s="113">
        <f t="shared" si="8"/>
        <v>16915</v>
      </c>
      <c r="Z39" s="113">
        <f t="shared" si="8"/>
        <v>16915</v>
      </c>
      <c r="AA39" s="113">
        <f t="shared" si="8"/>
        <v>16915</v>
      </c>
      <c r="AB39" s="113">
        <f t="shared" si="8"/>
        <v>16915</v>
      </c>
      <c r="AC39" s="113">
        <f t="shared" si="8"/>
        <v>16915</v>
      </c>
      <c r="AD39" s="113">
        <f t="shared" si="8"/>
        <v>16915</v>
      </c>
      <c r="AE39" s="113">
        <f t="shared" si="8"/>
        <v>16915</v>
      </c>
      <c r="AF39" s="113">
        <f t="shared" si="8"/>
        <v>16915</v>
      </c>
      <c r="AG39" s="113">
        <f t="shared" si="8"/>
        <v>16915</v>
      </c>
      <c r="AH39" s="113">
        <f t="shared" si="8"/>
        <v>16915</v>
      </c>
      <c r="AI39" s="113">
        <f t="shared" si="8"/>
        <v>16915</v>
      </c>
      <c r="AJ39" s="113">
        <f t="shared" si="8"/>
        <v>16915</v>
      </c>
      <c r="AK39" s="113">
        <f t="shared" si="8"/>
        <v>16915</v>
      </c>
      <c r="AL39" s="113">
        <f t="shared" si="8"/>
        <v>16915</v>
      </c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</row>
    <row r="40" spans="1:70" ht="16.350000000000001" customHeight="1" x14ac:dyDescent="0.3">
      <c r="A40" s="114" t="s">
        <v>135</v>
      </c>
      <c r="B40" s="118">
        <f>IFERROR(INDEX($H$6:$V$6,1,MATCH("RM03",$H$3:$V$3,0)),0)</f>
        <v>42524</v>
      </c>
      <c r="C40" s="114">
        <f>$B40+C38+C42-C37</f>
        <v>21773</v>
      </c>
      <c r="D40" s="114">
        <f t="shared" ref="D40:AL40" si="9">C40+D38+D42-D37</f>
        <v>16915</v>
      </c>
      <c r="E40" s="114">
        <f t="shared" si="9"/>
        <v>16915</v>
      </c>
      <c r="F40" s="114">
        <f t="shared" si="9"/>
        <v>16915</v>
      </c>
      <c r="G40" s="114">
        <f t="shared" si="9"/>
        <v>16915</v>
      </c>
      <c r="H40" s="114">
        <f t="shared" si="9"/>
        <v>16915</v>
      </c>
      <c r="I40" s="114">
        <f t="shared" si="9"/>
        <v>16915</v>
      </c>
      <c r="J40" s="114">
        <f t="shared" si="9"/>
        <v>16915</v>
      </c>
      <c r="K40" s="113">
        <f t="shared" si="9"/>
        <v>16915</v>
      </c>
      <c r="L40" s="113">
        <f t="shared" si="9"/>
        <v>16915</v>
      </c>
      <c r="M40" s="113">
        <f t="shared" si="9"/>
        <v>16915</v>
      </c>
      <c r="N40" s="113">
        <f t="shared" si="9"/>
        <v>16915</v>
      </c>
      <c r="O40" s="113">
        <f t="shared" si="9"/>
        <v>16915</v>
      </c>
      <c r="P40" s="113">
        <f t="shared" si="9"/>
        <v>16915</v>
      </c>
      <c r="Q40" s="113">
        <f t="shared" si="9"/>
        <v>16915</v>
      </c>
      <c r="R40" s="113">
        <f t="shared" si="9"/>
        <v>16915</v>
      </c>
      <c r="S40" s="113">
        <f t="shared" si="9"/>
        <v>16915</v>
      </c>
      <c r="T40" s="113">
        <f t="shared" si="9"/>
        <v>16915</v>
      </c>
      <c r="U40" s="113">
        <f t="shared" si="9"/>
        <v>16915</v>
      </c>
      <c r="V40" s="113">
        <f t="shared" si="9"/>
        <v>16915</v>
      </c>
      <c r="W40" s="113">
        <f t="shared" si="9"/>
        <v>16915</v>
      </c>
      <c r="X40" s="113">
        <f t="shared" si="9"/>
        <v>16915</v>
      </c>
      <c r="Y40" s="113">
        <f t="shared" si="9"/>
        <v>16915</v>
      </c>
      <c r="Z40" s="113">
        <f t="shared" si="9"/>
        <v>16915</v>
      </c>
      <c r="AA40" s="113">
        <f t="shared" si="9"/>
        <v>16915</v>
      </c>
      <c r="AB40" s="113">
        <f t="shared" si="9"/>
        <v>16915</v>
      </c>
      <c r="AC40" s="113">
        <f t="shared" si="9"/>
        <v>16915</v>
      </c>
      <c r="AD40" s="113">
        <f t="shared" si="9"/>
        <v>16915</v>
      </c>
      <c r="AE40" s="113">
        <f t="shared" si="9"/>
        <v>16915</v>
      </c>
      <c r="AF40" s="113">
        <f t="shared" si="9"/>
        <v>16915</v>
      </c>
      <c r="AG40" s="113">
        <f t="shared" si="9"/>
        <v>16915</v>
      </c>
      <c r="AH40" s="113">
        <f t="shared" si="9"/>
        <v>16915</v>
      </c>
      <c r="AI40" s="113">
        <f t="shared" si="9"/>
        <v>16915</v>
      </c>
      <c r="AJ40" s="113">
        <f t="shared" si="9"/>
        <v>16915</v>
      </c>
      <c r="AK40" s="113">
        <f t="shared" si="9"/>
        <v>16915</v>
      </c>
      <c r="AL40" s="113">
        <f t="shared" si="9"/>
        <v>16915</v>
      </c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</row>
    <row r="41" spans="1:70" ht="16.350000000000001" customHeight="1" x14ac:dyDescent="0.3">
      <c r="A41" s="114" t="s">
        <v>136</v>
      </c>
      <c r="B41" s="118"/>
      <c r="C41" s="114">
        <f>MAX(C37+C39-($B40+C38),0)</f>
        <v>0</v>
      </c>
      <c r="D41" s="114">
        <f t="shared" ref="D41:AL41" si="10">MAX(D37+D39-(C40+D38),0)</f>
        <v>2979</v>
      </c>
      <c r="E41" s="114">
        <f t="shared" si="10"/>
        <v>13684</v>
      </c>
      <c r="F41" s="114">
        <f t="shared" si="10"/>
        <v>23000</v>
      </c>
      <c r="G41" s="114">
        <f t="shared" si="10"/>
        <v>23000</v>
      </c>
      <c r="H41" s="114">
        <f t="shared" si="10"/>
        <v>23000</v>
      </c>
      <c r="I41" s="114">
        <f t="shared" si="10"/>
        <v>23000</v>
      </c>
      <c r="J41" s="114">
        <f t="shared" si="10"/>
        <v>23000</v>
      </c>
      <c r="K41" s="113">
        <f t="shared" si="10"/>
        <v>20367</v>
      </c>
      <c r="L41" s="113">
        <f t="shared" si="10"/>
        <v>15349</v>
      </c>
      <c r="M41" s="113">
        <f t="shared" si="10"/>
        <v>14622</v>
      </c>
      <c r="N41" s="113">
        <f t="shared" si="10"/>
        <v>21000</v>
      </c>
      <c r="O41" s="113">
        <f t="shared" si="10"/>
        <v>21000</v>
      </c>
      <c r="P41" s="113">
        <f t="shared" si="10"/>
        <v>18246</v>
      </c>
      <c r="Q41" s="113">
        <f t="shared" si="10"/>
        <v>14554</v>
      </c>
      <c r="R41" s="113">
        <f t="shared" si="10"/>
        <v>16476</v>
      </c>
      <c r="S41" s="113">
        <f t="shared" si="10"/>
        <v>17698</v>
      </c>
      <c r="T41" s="113">
        <f t="shared" si="10"/>
        <v>9248</v>
      </c>
      <c r="U41" s="113">
        <f t="shared" si="10"/>
        <v>8946</v>
      </c>
      <c r="V41" s="113">
        <f t="shared" si="10"/>
        <v>10655</v>
      </c>
      <c r="W41" s="113">
        <f t="shared" si="10"/>
        <v>10554</v>
      </c>
      <c r="X41" s="113">
        <f t="shared" si="10"/>
        <v>8797</v>
      </c>
      <c r="Y41" s="113">
        <f t="shared" si="10"/>
        <v>8498</v>
      </c>
      <c r="Z41" s="113">
        <f t="shared" si="10"/>
        <v>17406</v>
      </c>
      <c r="AA41" s="113">
        <f t="shared" si="10"/>
        <v>16010</v>
      </c>
      <c r="AB41" s="113">
        <f t="shared" si="10"/>
        <v>15960</v>
      </c>
      <c r="AC41" s="113">
        <f t="shared" si="10"/>
        <v>17408</v>
      </c>
      <c r="AD41" s="113">
        <f t="shared" si="10"/>
        <v>17408</v>
      </c>
      <c r="AE41" s="113">
        <f t="shared" si="10"/>
        <v>17948</v>
      </c>
      <c r="AF41" s="113">
        <f t="shared" si="10"/>
        <v>14085</v>
      </c>
      <c r="AG41" s="113">
        <f t="shared" si="10"/>
        <v>13788</v>
      </c>
      <c r="AH41" s="113">
        <f t="shared" si="10"/>
        <v>13787</v>
      </c>
      <c r="AI41" s="113">
        <f t="shared" si="10"/>
        <v>16538</v>
      </c>
      <c r="AJ41" s="113">
        <f t="shared" si="10"/>
        <v>17009</v>
      </c>
      <c r="AK41" s="113">
        <f t="shared" si="10"/>
        <v>20756</v>
      </c>
      <c r="AL41" s="113">
        <f t="shared" si="10"/>
        <v>20753</v>
      </c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</row>
    <row r="42" spans="1:70" ht="16.350000000000001" customHeight="1" x14ac:dyDescent="0.3">
      <c r="A42" s="140" t="s">
        <v>137</v>
      </c>
      <c r="B42" s="136"/>
      <c r="C42" s="114">
        <f t="shared" ref="C42:AL42" si="11">C41</f>
        <v>0</v>
      </c>
      <c r="D42" s="114">
        <f t="shared" si="11"/>
        <v>2979</v>
      </c>
      <c r="E42" s="114">
        <f t="shared" si="11"/>
        <v>13684</v>
      </c>
      <c r="F42" s="114">
        <f t="shared" si="11"/>
        <v>23000</v>
      </c>
      <c r="G42" s="114">
        <f t="shared" si="11"/>
        <v>23000</v>
      </c>
      <c r="H42" s="114">
        <f t="shared" si="11"/>
        <v>23000</v>
      </c>
      <c r="I42" s="114">
        <f t="shared" si="11"/>
        <v>23000</v>
      </c>
      <c r="J42" s="114">
        <f t="shared" si="11"/>
        <v>23000</v>
      </c>
      <c r="K42" s="113">
        <f t="shared" si="11"/>
        <v>20367</v>
      </c>
      <c r="L42" s="113">
        <f t="shared" si="11"/>
        <v>15349</v>
      </c>
      <c r="M42" s="113">
        <f t="shared" si="11"/>
        <v>14622</v>
      </c>
      <c r="N42" s="113">
        <f t="shared" si="11"/>
        <v>21000</v>
      </c>
      <c r="O42" s="113">
        <f t="shared" si="11"/>
        <v>21000</v>
      </c>
      <c r="P42" s="113">
        <f t="shared" si="11"/>
        <v>18246</v>
      </c>
      <c r="Q42" s="113">
        <f t="shared" si="11"/>
        <v>14554</v>
      </c>
      <c r="R42" s="113">
        <f t="shared" si="11"/>
        <v>16476</v>
      </c>
      <c r="S42" s="113">
        <f t="shared" si="11"/>
        <v>17698</v>
      </c>
      <c r="T42" s="113">
        <f t="shared" si="11"/>
        <v>9248</v>
      </c>
      <c r="U42" s="113">
        <f t="shared" si="11"/>
        <v>8946</v>
      </c>
      <c r="V42" s="113">
        <f t="shared" si="11"/>
        <v>10655</v>
      </c>
      <c r="W42" s="113">
        <f t="shared" si="11"/>
        <v>10554</v>
      </c>
      <c r="X42" s="113">
        <f t="shared" si="11"/>
        <v>8797</v>
      </c>
      <c r="Y42" s="113">
        <f t="shared" si="11"/>
        <v>8498</v>
      </c>
      <c r="Z42" s="113">
        <f t="shared" si="11"/>
        <v>17406</v>
      </c>
      <c r="AA42" s="113">
        <f t="shared" si="11"/>
        <v>16010</v>
      </c>
      <c r="AB42" s="113">
        <f t="shared" si="11"/>
        <v>15960</v>
      </c>
      <c r="AC42" s="113">
        <f t="shared" si="11"/>
        <v>17408</v>
      </c>
      <c r="AD42" s="113">
        <f t="shared" si="11"/>
        <v>17408</v>
      </c>
      <c r="AE42" s="113">
        <f t="shared" si="11"/>
        <v>17948</v>
      </c>
      <c r="AF42" s="113">
        <f t="shared" si="11"/>
        <v>14085</v>
      </c>
      <c r="AG42" s="113">
        <f t="shared" si="11"/>
        <v>13788</v>
      </c>
      <c r="AH42" s="113">
        <f t="shared" si="11"/>
        <v>13787</v>
      </c>
      <c r="AI42" s="113">
        <f t="shared" si="11"/>
        <v>16538</v>
      </c>
      <c r="AJ42" s="113">
        <f t="shared" si="11"/>
        <v>17009</v>
      </c>
      <c r="AK42" s="113">
        <f t="shared" si="11"/>
        <v>20756</v>
      </c>
      <c r="AL42" s="113">
        <f t="shared" si="11"/>
        <v>20753</v>
      </c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</row>
    <row r="43" spans="1:70" ht="16.350000000000001" customHeight="1" x14ac:dyDescent="0.3">
      <c r="A43" s="114" t="s">
        <v>138</v>
      </c>
      <c r="B43" s="118"/>
      <c r="C43" s="114">
        <f>IFERROR(INDEX($C$42:$AK$42,1,1+ROUND(INDEX($H$5:$V$5,1,MATCH("RM03",$H$3:$V$3,0))/7,0)),0)</f>
        <v>23000</v>
      </c>
      <c r="D43" s="114">
        <f>IFERROR(INDEX($C$42:$AK$42,1,2+ROUND(INDEX($H$5:$V$5,1,MATCH("RM03",$H$3:$V$3,0))/7,0)),0)</f>
        <v>23000</v>
      </c>
      <c r="E43" s="114">
        <f>IFERROR(INDEX($C$42:$AK$42,1,3+ROUND(INDEX($H$5:$V$5,1,MATCH("RM03",$H$3:$V$3,0))/7,0)),0)</f>
        <v>23000</v>
      </c>
      <c r="F43" s="114">
        <f>IFERROR(INDEX($C$42:$AK$42,1,4+ROUND(INDEX($H$5:$V$5,1,MATCH("RM03",$H$3:$V$3,0))/7,0)),0)</f>
        <v>23000</v>
      </c>
      <c r="G43" s="114">
        <f>IFERROR(INDEX($C$42:$AK$42,1,5+ROUND(INDEX($H$5:$V$5,1,MATCH("RM03",$H$3:$V$3,0))/7,0)),0)</f>
        <v>23000</v>
      </c>
      <c r="H43" s="114">
        <f>IFERROR(INDEX($C$42:$AK$42,1,6+ROUND(INDEX($H$5:$V$5,1,MATCH("RM03",$H$3:$V$3,0))/7,0)),0)</f>
        <v>20367</v>
      </c>
      <c r="I43" s="114">
        <f>IFERROR(INDEX($C$42:$AK$42,1,7+ROUND(INDEX($H$5:$V$5,1,MATCH("RM03",$H$3:$V$3,0))/7,0)),0)</f>
        <v>15349</v>
      </c>
      <c r="J43" s="114">
        <f>IFERROR(INDEX($C$42:$AK$42,1,8+ROUND(INDEX($H$5:$V$5,1,MATCH("RM03",$H$3:$V$3,0))/7,0)),0)</f>
        <v>14622</v>
      </c>
      <c r="K43" s="113">
        <f>IFERROR(INDEX($C$42:$AK$42,1,9+ROUND(INDEX($H$5:$V$5,1,MATCH("RM03",$H$3:$V$3,0))/7,0)),0)</f>
        <v>21000</v>
      </c>
      <c r="L43" s="113">
        <f>IFERROR(INDEX($C$42:$AK$42,1,10+ROUND(INDEX($H$5:$V$5,1,MATCH("RM03",$H$3:$V$3,0))/7,0)),0)</f>
        <v>21000</v>
      </c>
      <c r="M43" s="113">
        <f>IFERROR(INDEX($C$42:$AK$42,1,11+ROUND(INDEX($H$5:$V$5,1,MATCH("RM03",$H$3:$V$3,0))/7,0)),0)</f>
        <v>18246</v>
      </c>
      <c r="N43" s="113">
        <f>IFERROR(INDEX($C$42:$AK$42,1,12+ROUND(INDEX($H$5:$V$5,1,MATCH("RM03",$H$3:$V$3,0))/7,0)),0)</f>
        <v>14554</v>
      </c>
      <c r="O43" s="113">
        <f>IFERROR(INDEX($C$42:$AK$42,1,13+ROUND(INDEX($H$5:$V$5,1,MATCH("RM03",$H$3:$V$3,0))/7,0)),0)</f>
        <v>16476</v>
      </c>
      <c r="P43" s="113">
        <f>IFERROR(INDEX($C$42:$AK$42,1,14+ROUND(INDEX($H$5:$V$5,1,MATCH("RM03",$H$3:$V$3,0))/7,0)),0)</f>
        <v>17698</v>
      </c>
      <c r="Q43" s="113">
        <f>IFERROR(INDEX($C$42:$AK$42,1,15+ROUND(INDEX($H$5:$V$5,1,MATCH("RM03",$H$3:$V$3,0))/7,0)),0)</f>
        <v>9248</v>
      </c>
      <c r="R43" s="113">
        <f>IFERROR(INDEX($C$42:$AK$42,1,16+ROUND(INDEX($H$5:$V$5,1,MATCH("RM03",$H$3:$V$3,0))/7,0)),0)</f>
        <v>8946</v>
      </c>
      <c r="S43" s="113">
        <f>IFERROR(INDEX($C$42:$AK$42,1,17+ROUND(INDEX($H$5:$V$5,1,MATCH("RM03",$H$3:$V$3,0))/7,0)),0)</f>
        <v>10655</v>
      </c>
      <c r="T43" s="113">
        <f>IFERROR(INDEX($C$42:$AK$42,1,18+ROUND(INDEX($H$5:$V$5,1,MATCH("RM03",$H$3:$V$3,0))/7,0)),0)</f>
        <v>10554</v>
      </c>
      <c r="U43" s="113">
        <f>IFERROR(INDEX($C$42:$AK$42,1,19+ROUND(INDEX($H$5:$V$5,1,MATCH("RM03",$H$3:$V$3,0))/7,0)),0)</f>
        <v>8797</v>
      </c>
      <c r="V43" s="113">
        <f>IFERROR(INDEX($C$42:$AK$42,1,20+ROUND(INDEX($H$5:$V$5,1,MATCH("RM03",$H$3:$V$3,0))/7,0)),0)</f>
        <v>8498</v>
      </c>
      <c r="W43" s="113">
        <f>IFERROR(INDEX($C$42:$AK$42,1,21+ROUND(INDEX($H$5:$V$5,1,MATCH("RM03",$H$3:$V$3,0))/7,0)),0)</f>
        <v>17406</v>
      </c>
      <c r="X43" s="113">
        <f>IFERROR(INDEX($C$42:$AK$42,1,22+ROUND(INDEX($H$5:$V$5,1,MATCH("RM03",$H$3:$V$3,0))/7,0)),0)</f>
        <v>16010</v>
      </c>
      <c r="Y43" s="113">
        <f>IFERROR(INDEX($C$42:$AK$42,1,23+ROUND(INDEX($H$5:$V$5,1,MATCH("RM03",$H$3:$V$3,0))/7,0)),0)</f>
        <v>15960</v>
      </c>
      <c r="Z43" s="113">
        <f>IFERROR(INDEX($C$42:$AK$42,1,24+ROUND(INDEX($H$5:$V$5,1,MATCH("RM03",$H$3:$V$3,0))/7,0)),0)</f>
        <v>17408</v>
      </c>
      <c r="AA43" s="113">
        <f>IFERROR(INDEX($C$42:$AK$42,1,25+ROUND(INDEX($H$5:$V$5,1,MATCH("RM03",$H$3:$V$3,0))/7,0)),0)</f>
        <v>17408</v>
      </c>
      <c r="AB43" s="113">
        <f>IFERROR(INDEX($C$42:$AK$42,1,26+ROUND(INDEX($H$5:$V$5,1,MATCH("RM03",$H$3:$V$3,0))/7,0)),0)</f>
        <v>17948</v>
      </c>
      <c r="AC43" s="113">
        <f>IFERROR(INDEX($C$42:$AK$42,1,27+ROUND(INDEX($H$5:$V$5,1,MATCH("RM03",$H$3:$V$3,0))/7,0)),0)</f>
        <v>14085</v>
      </c>
      <c r="AD43" s="113">
        <f>IFERROR(INDEX($C$42:$AK$42,1,28+ROUND(INDEX($H$5:$V$5,1,MATCH("RM03",$H$3:$V$3,0))/7,0)),0)</f>
        <v>13788</v>
      </c>
      <c r="AE43" s="113">
        <f>IFERROR(INDEX($C$42:$AK$42,1,29+ROUND(INDEX($H$5:$V$5,1,MATCH("RM03",$H$3:$V$3,0))/7,0)),0)</f>
        <v>13787</v>
      </c>
      <c r="AF43" s="113">
        <f>IFERROR(INDEX($C$42:$AK$42,1,30+ROUND(INDEX($H$5:$V$5,1,MATCH("RM03",$H$3:$V$3,0))/7,0)),0)</f>
        <v>16538</v>
      </c>
      <c r="AG43" s="113">
        <f>IFERROR(INDEX($C$42:$AK$42,1,31+ROUND(INDEX($H$5:$V$5,1,MATCH("RM03",$H$3:$V$3,0))/7,0)),0)</f>
        <v>17009</v>
      </c>
      <c r="AH43" s="113">
        <f>IFERROR(INDEX($C$42:$AK$42,1,32+ROUND(INDEX($H$5:$V$5,1,MATCH("RM03",$H$3:$V$3,0))/7,0)),0)</f>
        <v>20756</v>
      </c>
      <c r="AI43" s="113">
        <f>IFERROR(INDEX($C$42:$AK$42,1,33+ROUND(INDEX($H$5:$V$5,1,MATCH("RM03",$H$3:$V$3,0))/7,0)),0)</f>
        <v>0</v>
      </c>
      <c r="AJ43" s="113">
        <f>IFERROR(INDEX($C$42:$AK$42,1,34+ROUND(INDEX($H$5:$V$5,1,MATCH("RM03",$H$3:$V$3,0))/7,0)),0)</f>
        <v>0</v>
      </c>
      <c r="AK43" s="113">
        <f>IFERROR(INDEX($C$42:$AK$42,1,35+ROUND(INDEX($H$5:$V$5,1,MATCH("RM03",$H$3:$V$3,0))/7,0)),0)</f>
        <v>0</v>
      </c>
      <c r="AL43" s="113">
        <f>IFERROR(INDEX($C$42:$AK$42,1,35+ROUND(INDEX($H$5:$V$5,1,MATCH("RM03",$H$3:$V$3,0))/7,0)),0)</f>
        <v>0</v>
      </c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</row>
    <row r="44" spans="1:70" x14ac:dyDescent="0.3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</row>
    <row r="45" spans="1:70" ht="16.350000000000001" customHeight="1" x14ac:dyDescent="0.3">
      <c r="A45" s="47" t="s">
        <v>141</v>
      </c>
      <c r="B45" s="47" t="s">
        <v>153</v>
      </c>
      <c r="C45" s="137" t="s">
        <v>0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6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</row>
    <row r="46" spans="1:70" ht="16.350000000000001" customHeight="1" x14ac:dyDescent="0.3">
      <c r="A46" s="47" t="s">
        <v>133</v>
      </c>
      <c r="B46" s="47" t="str">
        <f>"LT: scenario-driven / see imported sheets"</f>
        <v>LT: scenario-driven / see imported sheets</v>
      </c>
      <c r="C46" s="48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 s="104">
        <v>46370</v>
      </c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</row>
    <row r="47" spans="1:70" ht="16.350000000000001" customHeight="1" x14ac:dyDescent="0.3">
      <c r="A47" s="51" t="s">
        <v>134</v>
      </c>
      <c r="B47" s="104"/>
      <c r="C47" s="114">
        <f t="array" ref="C47:AL47">TRANSPOSE(BOM_demand!$K$2:$K$37)</f>
        <v>0</v>
      </c>
      <c r="D47" s="114">
        <v>0</v>
      </c>
      <c r="E47" s="114">
        <v>21368</v>
      </c>
      <c r="F47" s="114">
        <v>30000</v>
      </c>
      <c r="G47" s="114">
        <v>30000</v>
      </c>
      <c r="H47" s="114">
        <v>22000</v>
      </c>
      <c r="I47" s="114">
        <v>26000</v>
      </c>
      <c r="J47" s="114">
        <v>27546</v>
      </c>
      <c r="K47" s="114">
        <v>14116</v>
      </c>
      <c r="L47" s="114">
        <v>4080</v>
      </c>
      <c r="M47" s="114">
        <v>7082</v>
      </c>
      <c r="N47" s="114">
        <v>24082</v>
      </c>
      <c r="O47" s="114">
        <v>24080</v>
      </c>
      <c r="P47" s="114">
        <v>18492</v>
      </c>
      <c r="Q47" s="114">
        <v>11508</v>
      </c>
      <c r="R47" s="114">
        <v>30000</v>
      </c>
      <c r="S47" s="114">
        <v>30000</v>
      </c>
      <c r="T47" s="114">
        <v>8496</v>
      </c>
      <c r="U47" s="114">
        <v>8496</v>
      </c>
      <c r="V47" s="114">
        <v>8498</v>
      </c>
      <c r="W47" s="114">
        <v>8496</v>
      </c>
      <c r="X47" s="114">
        <v>4782</v>
      </c>
      <c r="Y47" s="114">
        <v>4784</v>
      </c>
      <c r="Z47" s="114">
        <v>4782</v>
      </c>
      <c r="AA47" s="114">
        <v>12918</v>
      </c>
      <c r="AB47" s="114">
        <v>30000</v>
      </c>
      <c r="AC47" s="114">
        <v>30000</v>
      </c>
      <c r="AD47" s="114">
        <v>30000</v>
      </c>
      <c r="AE47" s="114">
        <v>30000</v>
      </c>
      <c r="AF47" s="114">
        <v>8562</v>
      </c>
      <c r="AG47" s="114">
        <v>8564</v>
      </c>
      <c r="AH47" s="114">
        <v>8562</v>
      </c>
      <c r="AI47" s="114">
        <v>8564</v>
      </c>
      <c r="AJ47" s="114">
        <v>8562</v>
      </c>
      <c r="AK47" s="114">
        <v>16652</v>
      </c>
      <c r="AL47" s="104">
        <v>16650</v>
      </c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</row>
    <row r="48" spans="1:70" ht="16.350000000000001" customHeight="1" x14ac:dyDescent="0.3">
      <c r="A48" s="140" t="s">
        <v>128</v>
      </c>
      <c r="B48" s="136"/>
      <c r="C48" s="114">
        <f ca="1">IFERROR(SUMIFS(Scenario_Weekly_PCBA!$C:$C,Scenario_Weekly_PCBA!$A:$A,C$46),0)</f>
        <v>0</v>
      </c>
      <c r="D48" s="114">
        <f ca="1">IFERROR(SUMIFS(Scenario_Weekly_PCBA!$C:$C,Scenario_Weekly_PCBA!$A:$A,D$46),0)</f>
        <v>0</v>
      </c>
      <c r="E48" s="114">
        <f ca="1">IFERROR(SUMIFS(Scenario_Weekly_PCBA!$C:$C,Scenario_Weekly_PCBA!$A:$A,E$46),0)</f>
        <v>0</v>
      </c>
      <c r="F48" s="114">
        <f ca="1">IFERROR(SUMIFS(Scenario_Weekly_PCBA!$C:$C,Scenario_Weekly_PCBA!$A:$A,F$46),0)</f>
        <v>0</v>
      </c>
      <c r="G48" s="114">
        <f ca="1">IFERROR(SUMIFS(Scenario_Weekly_PCBA!$C:$C,Scenario_Weekly_PCBA!$A:$A,G$46),0)</f>
        <v>0</v>
      </c>
      <c r="H48" s="114">
        <f>IFERROR(SUMIFS(Scenario_Weekly_PCBA!$C:$C,Scenario_Weekly_PCBA!$A:$A,H$46),0)</f>
        <v>0</v>
      </c>
      <c r="I48" s="114">
        <f>IFERROR(SUMIFS(Scenario_Weekly_PCBA!$C:$C,Scenario_Weekly_PCBA!$A:$A,I$46),0)</f>
        <v>0</v>
      </c>
      <c r="J48" s="114">
        <f>IFERROR(SUMIFS(Scenario_Weekly_PCBA!$C:$C,Scenario_Weekly_PCBA!$A:$A,J$46),0)</f>
        <v>0</v>
      </c>
      <c r="K48" s="113">
        <f>IFERROR(SUMIFS(Scenario_Weekly_PCBA!$C:$C,Scenario_Weekly_PCBA!$A:$A,K$46),0)</f>
        <v>0</v>
      </c>
      <c r="L48" s="113">
        <f>IFERROR(SUMIFS(Scenario_Weekly_PCBA!$C:$C,Scenario_Weekly_PCBA!$A:$A,L$46),0)</f>
        <v>0</v>
      </c>
      <c r="M48" s="113">
        <f>IFERROR(SUMIFS(Scenario_Weekly_PCBA!$C:$C,Scenario_Weekly_PCBA!$A:$A,M$46),0)</f>
        <v>0</v>
      </c>
      <c r="N48" s="113">
        <f>IFERROR(SUMIFS(Scenario_Weekly_PCBA!$C:$C,Scenario_Weekly_PCBA!$A:$A,N$46),0)</f>
        <v>0</v>
      </c>
      <c r="O48" s="113">
        <f>IFERROR(SUMIFS(Scenario_Weekly_PCBA!$C:$C,Scenario_Weekly_PCBA!$A:$A,O$46),0)</f>
        <v>0</v>
      </c>
      <c r="P48" s="113">
        <f>IFERROR(SUMIFS(Scenario_Weekly_PCBA!$C:$C,Scenario_Weekly_PCBA!$A:$A,P$46),0)</f>
        <v>0</v>
      </c>
      <c r="Q48" s="113">
        <f>IFERROR(SUMIFS(Scenario_Weekly_PCBA!$C:$C,Scenario_Weekly_PCBA!$A:$A,Q$46),0)</f>
        <v>0</v>
      </c>
      <c r="R48" s="113">
        <f>IFERROR(SUMIFS(Scenario_Weekly_PCBA!$C:$C,Scenario_Weekly_PCBA!$A:$A,R$46),0)</f>
        <v>0</v>
      </c>
      <c r="S48" s="113">
        <f>IFERROR(SUMIFS(Scenario_Weekly_PCBA!$C:$C,Scenario_Weekly_PCBA!$A:$A,S$46),0)</f>
        <v>0</v>
      </c>
      <c r="T48" s="113">
        <f>IFERROR(SUMIFS(Scenario_Weekly_PCBA!$C:$C,Scenario_Weekly_PCBA!$A:$A,T$46),0)</f>
        <v>0</v>
      </c>
      <c r="U48" s="113">
        <f>IFERROR(SUMIFS(Scenario_Weekly_PCBA!$C:$C,Scenario_Weekly_PCBA!$A:$A,U$46),0)</f>
        <v>0</v>
      </c>
      <c r="V48" s="113">
        <f>IFERROR(SUMIFS(Scenario_Weekly_PCBA!$C:$C,Scenario_Weekly_PCBA!$A:$A,V$46),0)</f>
        <v>0</v>
      </c>
      <c r="W48" s="113">
        <f>IFERROR(SUMIFS(Scenario_Weekly_PCBA!$C:$C,Scenario_Weekly_PCBA!$A:$A,W$46),0)</f>
        <v>0</v>
      </c>
      <c r="X48" s="113">
        <f>IFERROR(SUMIFS(Scenario_Weekly_PCBA!$C:$C,Scenario_Weekly_PCBA!$A:$A,X$46),0)</f>
        <v>0</v>
      </c>
      <c r="Y48" s="113">
        <f>IFERROR(SUMIFS(Scenario_Weekly_PCBA!$C:$C,Scenario_Weekly_PCBA!$A:$A,Y$46),0)</f>
        <v>0</v>
      </c>
      <c r="Z48" s="113">
        <f>IFERROR(SUMIFS(Scenario_Weekly_PCBA!$C:$C,Scenario_Weekly_PCBA!$A:$A,Z$46),0)</f>
        <v>0</v>
      </c>
      <c r="AA48" s="113">
        <f>IFERROR(SUMIFS(Scenario_Weekly_PCBA!$C:$C,Scenario_Weekly_PCBA!$A:$A,AA$46),0)</f>
        <v>0</v>
      </c>
      <c r="AB48" s="113">
        <f>IFERROR(SUMIFS(Scenario_Weekly_PCBA!$C:$C,Scenario_Weekly_PCBA!$A:$A,AB$46),0)</f>
        <v>0</v>
      </c>
      <c r="AC48" s="113">
        <f>IFERROR(SUMIFS(Scenario_Weekly_PCBA!$C:$C,Scenario_Weekly_PCBA!$A:$A,AC$46),0)</f>
        <v>0</v>
      </c>
      <c r="AD48" s="113">
        <f>IFERROR(SUMIFS(Scenario_Weekly_PCBA!$C:$C,Scenario_Weekly_PCBA!$A:$A,AD$46),0)</f>
        <v>0</v>
      </c>
      <c r="AE48" s="113">
        <f>IFERROR(SUMIFS(Scenario_Weekly_PCBA!$C:$C,Scenario_Weekly_PCBA!$A:$A,AE$46),0)</f>
        <v>0</v>
      </c>
      <c r="AF48" s="113">
        <f>IFERROR(SUMIFS(Scenario_Weekly_PCBA!$C:$C,Scenario_Weekly_PCBA!$A:$A,AF$46),0)</f>
        <v>0</v>
      </c>
      <c r="AG48" s="113">
        <f>IFERROR(SUMIFS(Scenario_Weekly_PCBA!$C:$C,Scenario_Weekly_PCBA!$A:$A,AG$46),0)</f>
        <v>0</v>
      </c>
      <c r="AH48" s="113">
        <f>IFERROR(SUMIFS(Scenario_Weekly_PCBA!$C:$C,Scenario_Weekly_PCBA!$A:$A,AH$46),0)</f>
        <v>0</v>
      </c>
      <c r="AI48" s="113">
        <f>IFERROR(SUMIFS(Scenario_Weekly_PCBA!$C:$C,Scenario_Weekly_PCBA!$A:$A,AI$46),0)</f>
        <v>0</v>
      </c>
      <c r="AJ48" s="113">
        <f>IFERROR(SUMIFS(Scenario_Weekly_PCBA!$C:$C,Scenario_Weekly_PCBA!$A:$A,AJ$46),0)</f>
        <v>0</v>
      </c>
      <c r="AK48" s="113">
        <f>IFERROR(SUMIFS(Scenario_Weekly_PCBA!$C:$C,Scenario_Weekly_PCBA!$A:$A,AK$46),0)</f>
        <v>0</v>
      </c>
      <c r="AL48" s="113">
        <f>IFERROR(SUMIFS(Scenario_Weekly_PCBA!$C:$C,Scenario_Weekly_PCBA!$A:$A,AL$46),0)</f>
        <v>0</v>
      </c>
      <c r="AM48" s="104">
        <f>IFERROR(SUMIFS(Scenario_Weekly_PCBA!$C:$C,Scenario_Weekly_PCBA!$A:$A,AM$46),0)</f>
        <v>0</v>
      </c>
      <c r="AN48" s="104">
        <f>IFERROR(SUMIFS(Scenario_Weekly_PCBA!$C:$C,Scenario_Weekly_PCBA!$A:$A,AN$46),0)</f>
        <v>0</v>
      </c>
      <c r="AO48" s="104">
        <f>IFERROR(SUMIFS(Scenario_Weekly_PCBA!$C:$C,Scenario_Weekly_PCBA!$A:$A,AO$46),0)</f>
        <v>0</v>
      </c>
      <c r="AP48" s="104">
        <f>IFERROR(SUMIFS(Scenario_Weekly_PCBA!$C:$C,Scenario_Weekly_PCBA!$A:$A,AP$46),0)</f>
        <v>0</v>
      </c>
      <c r="AQ48" s="104">
        <f>IFERROR(SUMIFS(Scenario_Weekly_PCBA!$C:$C,Scenario_Weekly_PCBA!$A:$A,AQ$46),0)</f>
        <v>0</v>
      </c>
      <c r="AR48" s="104">
        <f>IFERROR(SUMIFS(Scenario_Weekly_PCBA!$C:$C,Scenario_Weekly_PCBA!$A:$A,AR$46),0)</f>
        <v>0</v>
      </c>
      <c r="AS48" s="104">
        <f>IFERROR(SUMIFS(Scenario_Weekly_PCBA!$C:$C,Scenario_Weekly_PCBA!$A:$A,AS$46),0)</f>
        <v>0</v>
      </c>
      <c r="AT48" s="104">
        <f>IFERROR(SUMIFS(Scenario_Weekly_PCBA!$C:$C,Scenario_Weekly_PCBA!$A:$A,AT$46),0)</f>
        <v>0</v>
      </c>
      <c r="AU48" s="104">
        <f>IFERROR(SUMIFS(Scenario_Weekly_PCBA!$C:$C,Scenario_Weekly_PCBA!$A:$A,AU$46),0)</f>
        <v>0</v>
      </c>
      <c r="AV48" s="104">
        <f>IFERROR(SUMIFS(Scenario_Weekly_PCBA!$C:$C,Scenario_Weekly_PCBA!$A:$A,AV$46),0)</f>
        <v>0</v>
      </c>
      <c r="AW48" s="104">
        <f>IFERROR(SUMIFS(Scenario_Weekly_PCBA!$C:$C,Scenario_Weekly_PCBA!$A:$A,AW$46),0)</f>
        <v>0</v>
      </c>
      <c r="AX48" s="104">
        <f>IFERROR(SUMIFS(Scenario_Weekly_PCBA!$C:$C,Scenario_Weekly_PCBA!$A:$A,AX$46),0)</f>
        <v>0</v>
      </c>
      <c r="AY48" s="104">
        <f>IFERROR(SUMIFS(Scenario_Weekly_PCBA!$C:$C,Scenario_Weekly_PCBA!$A:$A,AY$46),0)</f>
        <v>0</v>
      </c>
      <c r="AZ48" s="104">
        <f>IFERROR(SUMIFS(Scenario_Weekly_PCBA!$C:$C,Scenario_Weekly_PCBA!$A:$A,AZ$46),0)</f>
        <v>0</v>
      </c>
      <c r="BA48" s="104">
        <f>IFERROR(SUMIFS(Scenario_Weekly_PCBA!$C:$C,Scenario_Weekly_PCBA!$A:$A,BA$46),0)</f>
        <v>0</v>
      </c>
      <c r="BB48" s="104">
        <f>IFERROR(SUMIFS(Scenario_Weekly_PCBA!$C:$C,Scenario_Weekly_PCBA!$A:$A,BB$46),0)</f>
        <v>0</v>
      </c>
      <c r="BC48" s="104">
        <f>IFERROR(SUMIFS(Scenario_Weekly_PCBA!$C:$C,Scenario_Weekly_PCBA!$A:$A,BC$46),0)</f>
        <v>0</v>
      </c>
      <c r="BD48" s="104">
        <f>IFERROR(SUMIFS(Scenario_Weekly_PCBA!$C:$C,Scenario_Weekly_PCBA!$A:$A,BD$46),0)</f>
        <v>0</v>
      </c>
      <c r="BE48" s="104">
        <f>IFERROR(SUMIFS(Scenario_Weekly_PCBA!$C:$C,Scenario_Weekly_PCBA!$A:$A,BE$46),0)</f>
        <v>0</v>
      </c>
      <c r="BF48" s="104">
        <f>IFERROR(SUMIFS(Scenario_Weekly_PCBA!$C:$C,Scenario_Weekly_PCBA!$A:$A,BF$46),0)</f>
        <v>0</v>
      </c>
      <c r="BG48" s="104">
        <f>IFERROR(SUMIFS(Scenario_Weekly_PCBA!$C:$C,Scenario_Weekly_PCBA!$A:$A,BG$46),0)</f>
        <v>0</v>
      </c>
      <c r="BH48" s="104">
        <f>IFERROR(SUMIFS(Scenario_Weekly_PCBA!$C:$C,Scenario_Weekly_PCBA!$A:$A,BH$46),0)</f>
        <v>0</v>
      </c>
      <c r="BI48" s="104">
        <f>IFERROR(SUMIFS(Scenario_Weekly_PCBA!$C:$C,Scenario_Weekly_PCBA!$A:$A,BI$46),0)</f>
        <v>0</v>
      </c>
      <c r="BJ48" s="104">
        <f>IFERROR(SUMIFS(Scenario_Weekly_PCBA!$C:$C,Scenario_Weekly_PCBA!$A:$A,BJ$46),0)</f>
        <v>0</v>
      </c>
      <c r="BK48" s="104">
        <f>IFERROR(SUMIFS(Scenario_Weekly_PCBA!$C:$C,Scenario_Weekly_PCBA!$A:$A,BK$46),0)</f>
        <v>0</v>
      </c>
      <c r="BL48" s="104">
        <f>IFERROR(SUMIFS(Scenario_Weekly_PCBA!$C:$C,Scenario_Weekly_PCBA!$A:$A,BL$46),0)</f>
        <v>0</v>
      </c>
      <c r="BM48" s="104">
        <f>IFERROR(SUMIFS(Scenario_Weekly_PCBA!$C:$C,Scenario_Weekly_PCBA!$A:$A,BM$46),0)</f>
        <v>0</v>
      </c>
      <c r="BN48" s="104">
        <f>IFERROR(SUMIFS(Scenario_Weekly_PCBA!$C:$C,Scenario_Weekly_PCBA!$A:$A,BN$46),0)</f>
        <v>0</v>
      </c>
      <c r="BO48" s="104">
        <f>IFERROR(SUMIFS(Scenario_Weekly_PCBA!$C:$C,Scenario_Weekly_PCBA!$A:$A,BO$46),0)</f>
        <v>0</v>
      </c>
      <c r="BP48" s="104">
        <f>IFERROR(SUMIFS(Scenario_Weekly_PCBA!$C:$C,Scenario_Weekly_PCBA!$A:$A,BP$46),0)</f>
        <v>0</v>
      </c>
      <c r="BQ48" s="104">
        <f>IFERROR(SUMIFS(Scenario_Weekly_PCBA!$C:$C,Scenario_Weekly_PCBA!$A:$A,BQ$46),0)</f>
        <v>0</v>
      </c>
      <c r="BR48" s="104">
        <f>IFERROR(SUMIFS(Scenario_Weekly_PCBA!$C:$C,Scenario_Weekly_PCBA!$A:$A,BR$46),0)</f>
        <v>0</v>
      </c>
    </row>
    <row r="49" spans="1:70" ht="16.350000000000001" customHeight="1" x14ac:dyDescent="0.3">
      <c r="A49" s="114" t="s">
        <v>129</v>
      </c>
      <c r="B49" s="118">
        <v>0</v>
      </c>
      <c r="C49" s="114">
        <f>0</f>
        <v>0</v>
      </c>
      <c r="D49" s="114">
        <f>0</f>
        <v>0</v>
      </c>
      <c r="E49" s="114">
        <f>0</f>
        <v>0</v>
      </c>
      <c r="F49" s="114">
        <f>0</f>
        <v>0</v>
      </c>
      <c r="G49" s="114">
        <f>0</f>
        <v>0</v>
      </c>
      <c r="H49" s="114">
        <f>0</f>
        <v>0</v>
      </c>
      <c r="I49" s="114">
        <f>0</f>
        <v>0</v>
      </c>
      <c r="J49" s="114">
        <f>0</f>
        <v>0</v>
      </c>
      <c r="K49" s="113">
        <f>0</f>
        <v>0</v>
      </c>
      <c r="L49" s="113">
        <f>0</f>
        <v>0</v>
      </c>
      <c r="M49" s="113">
        <f>0</f>
        <v>0</v>
      </c>
      <c r="N49" s="113">
        <f>0</f>
        <v>0</v>
      </c>
      <c r="O49" s="113">
        <f>0</f>
        <v>0</v>
      </c>
      <c r="P49" s="113">
        <f>0</f>
        <v>0</v>
      </c>
      <c r="Q49" s="113">
        <f>0</f>
        <v>0</v>
      </c>
      <c r="R49" s="113">
        <f>0</f>
        <v>0</v>
      </c>
      <c r="S49" s="113">
        <f>0</f>
        <v>0</v>
      </c>
      <c r="T49" s="113">
        <f>0</f>
        <v>0</v>
      </c>
      <c r="U49" s="113">
        <f>0</f>
        <v>0</v>
      </c>
      <c r="V49" s="113">
        <f>0</f>
        <v>0</v>
      </c>
      <c r="W49" s="113">
        <f>0</f>
        <v>0</v>
      </c>
      <c r="X49" s="113">
        <f>0</f>
        <v>0</v>
      </c>
      <c r="Y49" s="113">
        <f>0</f>
        <v>0</v>
      </c>
      <c r="Z49" s="113">
        <f>0</f>
        <v>0</v>
      </c>
      <c r="AA49" s="113">
        <f>0</f>
        <v>0</v>
      </c>
      <c r="AB49" s="113">
        <f>0</f>
        <v>0</v>
      </c>
      <c r="AC49" s="113">
        <f>0</f>
        <v>0</v>
      </c>
      <c r="AD49" s="113">
        <f>0</f>
        <v>0</v>
      </c>
      <c r="AE49" s="113">
        <f>0</f>
        <v>0</v>
      </c>
      <c r="AF49" s="113">
        <f>0</f>
        <v>0</v>
      </c>
      <c r="AG49" s="113">
        <f>0</f>
        <v>0</v>
      </c>
      <c r="AH49" s="113">
        <f>0</f>
        <v>0</v>
      </c>
      <c r="AI49" s="113">
        <f>0</f>
        <v>0</v>
      </c>
      <c r="AJ49" s="113">
        <f>0</f>
        <v>0</v>
      </c>
      <c r="AK49" s="113">
        <f>0</f>
        <v>0</v>
      </c>
      <c r="AL49" s="113">
        <f>0</f>
        <v>0</v>
      </c>
      <c r="AM49" s="104">
        <f>0</f>
        <v>0</v>
      </c>
      <c r="AN49" s="104">
        <f>0</f>
        <v>0</v>
      </c>
      <c r="AO49" s="104">
        <f>0</f>
        <v>0</v>
      </c>
      <c r="AP49" s="104">
        <f>0</f>
        <v>0</v>
      </c>
      <c r="AQ49" s="104">
        <f>0</f>
        <v>0</v>
      </c>
      <c r="AR49" s="104">
        <f>0</f>
        <v>0</v>
      </c>
      <c r="AS49" s="104">
        <f>0</f>
        <v>0</v>
      </c>
      <c r="AT49" s="104">
        <f>0</f>
        <v>0</v>
      </c>
      <c r="AU49" s="104">
        <f>0</f>
        <v>0</v>
      </c>
      <c r="AV49" s="104">
        <f>0</f>
        <v>0</v>
      </c>
      <c r="AW49" s="104">
        <f>0</f>
        <v>0</v>
      </c>
      <c r="AX49" s="104">
        <f>0</f>
        <v>0</v>
      </c>
      <c r="AY49" s="104">
        <f>0</f>
        <v>0</v>
      </c>
      <c r="AZ49" s="104">
        <f>0</f>
        <v>0</v>
      </c>
      <c r="BA49" s="104">
        <f>0</f>
        <v>0</v>
      </c>
      <c r="BB49" s="104">
        <f>0</f>
        <v>0</v>
      </c>
      <c r="BC49" s="104">
        <f>0</f>
        <v>0</v>
      </c>
      <c r="BD49" s="104">
        <f>0</f>
        <v>0</v>
      </c>
      <c r="BE49" s="104">
        <f>0</f>
        <v>0</v>
      </c>
      <c r="BF49" s="104">
        <f>0</f>
        <v>0</v>
      </c>
      <c r="BG49" s="104">
        <f>0</f>
        <v>0</v>
      </c>
      <c r="BH49" s="104">
        <f>0</f>
        <v>0</v>
      </c>
      <c r="BI49" s="104">
        <f>0</f>
        <v>0</v>
      </c>
      <c r="BJ49" s="104">
        <f>0</f>
        <v>0</v>
      </c>
      <c r="BK49" s="104">
        <f>0</f>
        <v>0</v>
      </c>
      <c r="BL49" s="104">
        <f>0</f>
        <v>0</v>
      </c>
      <c r="BM49" s="104">
        <f>0</f>
        <v>0</v>
      </c>
      <c r="BN49" s="104">
        <f>0</f>
        <v>0</v>
      </c>
      <c r="BO49" s="104">
        <f>0</f>
        <v>0</v>
      </c>
      <c r="BP49" s="104">
        <f>0</f>
        <v>0</v>
      </c>
      <c r="BQ49" s="104">
        <f>0</f>
        <v>0</v>
      </c>
      <c r="BR49" s="104">
        <f>0</f>
        <v>0</v>
      </c>
    </row>
    <row r="50" spans="1:70" ht="16.350000000000001" customHeight="1" x14ac:dyDescent="0.3">
      <c r="A50" s="114" t="s">
        <v>135</v>
      </c>
      <c r="B50" s="118">
        <v>0</v>
      </c>
      <c r="C50" s="114">
        <f ca="1">$B50+C48+C52-C47</f>
        <v>0</v>
      </c>
      <c r="D50" s="114">
        <f t="shared" ref="D50:AI50" ca="1" si="12">C50+D48+D52-D47</f>
        <v>0</v>
      </c>
      <c r="E50" s="114">
        <f t="shared" ca="1" si="12"/>
        <v>0</v>
      </c>
      <c r="F50" s="114">
        <f t="shared" ca="1" si="12"/>
        <v>0</v>
      </c>
      <c r="G50" s="114">
        <f t="shared" ca="1" si="12"/>
        <v>0</v>
      </c>
      <c r="H50" s="114">
        <f t="shared" ca="1" si="12"/>
        <v>0</v>
      </c>
      <c r="I50" s="114">
        <f t="shared" ca="1" si="12"/>
        <v>0</v>
      </c>
      <c r="J50" s="114">
        <f t="shared" ca="1" si="12"/>
        <v>0</v>
      </c>
      <c r="K50" s="113">
        <f t="shared" ca="1" si="12"/>
        <v>0</v>
      </c>
      <c r="L50" s="113">
        <f t="shared" ca="1" si="12"/>
        <v>0</v>
      </c>
      <c r="M50" s="113">
        <f t="shared" ca="1" si="12"/>
        <v>0</v>
      </c>
      <c r="N50" s="113">
        <f t="shared" ca="1" si="12"/>
        <v>0</v>
      </c>
      <c r="O50" s="113">
        <f t="shared" ca="1" si="12"/>
        <v>0</v>
      </c>
      <c r="P50" s="113">
        <f t="shared" ca="1" si="12"/>
        <v>0</v>
      </c>
      <c r="Q50" s="113">
        <f t="shared" ca="1" si="12"/>
        <v>0</v>
      </c>
      <c r="R50" s="113">
        <f t="shared" ca="1" si="12"/>
        <v>0</v>
      </c>
      <c r="S50" s="113">
        <f t="shared" ca="1" si="12"/>
        <v>0</v>
      </c>
      <c r="T50" s="113">
        <f t="shared" ca="1" si="12"/>
        <v>0</v>
      </c>
      <c r="U50" s="113">
        <f t="shared" ca="1" si="12"/>
        <v>0</v>
      </c>
      <c r="V50" s="113">
        <f t="shared" ca="1" si="12"/>
        <v>0</v>
      </c>
      <c r="W50" s="113">
        <f t="shared" ca="1" si="12"/>
        <v>0</v>
      </c>
      <c r="X50" s="113">
        <f t="shared" ca="1" si="12"/>
        <v>0</v>
      </c>
      <c r="Y50" s="113">
        <f t="shared" ca="1" si="12"/>
        <v>0</v>
      </c>
      <c r="Z50" s="113">
        <f t="shared" ca="1" si="12"/>
        <v>0</v>
      </c>
      <c r="AA50" s="113">
        <f t="shared" ca="1" si="12"/>
        <v>0</v>
      </c>
      <c r="AB50" s="113">
        <f t="shared" ca="1" si="12"/>
        <v>0</v>
      </c>
      <c r="AC50" s="113">
        <f t="shared" ca="1" si="12"/>
        <v>0</v>
      </c>
      <c r="AD50" s="113">
        <f t="shared" ca="1" si="12"/>
        <v>0</v>
      </c>
      <c r="AE50" s="113">
        <f t="shared" ca="1" si="12"/>
        <v>0</v>
      </c>
      <c r="AF50" s="113">
        <f t="shared" ca="1" si="12"/>
        <v>0</v>
      </c>
      <c r="AG50" s="113">
        <f t="shared" ca="1" si="12"/>
        <v>0</v>
      </c>
      <c r="AH50" s="113">
        <f t="shared" ca="1" si="12"/>
        <v>0</v>
      </c>
      <c r="AI50" s="113">
        <f t="shared" ca="1" si="12"/>
        <v>0</v>
      </c>
      <c r="AJ50" s="113">
        <f t="shared" ref="AJ50:BR50" ca="1" si="13">AI50+AJ48+AJ52-AJ47</f>
        <v>0</v>
      </c>
      <c r="AK50" s="113">
        <f t="shared" ca="1" si="13"/>
        <v>0</v>
      </c>
      <c r="AL50" s="113">
        <f t="shared" ca="1" si="13"/>
        <v>0</v>
      </c>
      <c r="AM50" s="104">
        <f t="shared" ca="1" si="13"/>
        <v>0</v>
      </c>
      <c r="AN50" s="104">
        <f t="shared" ca="1" si="13"/>
        <v>0</v>
      </c>
      <c r="AO50" s="104">
        <f t="shared" ca="1" si="13"/>
        <v>0</v>
      </c>
      <c r="AP50" s="104">
        <f t="shared" ca="1" si="13"/>
        <v>0</v>
      </c>
      <c r="AQ50" s="104">
        <f t="shared" ca="1" si="13"/>
        <v>0</v>
      </c>
      <c r="AR50" s="104">
        <f t="shared" ca="1" si="13"/>
        <v>0</v>
      </c>
      <c r="AS50" s="104">
        <f t="shared" ca="1" si="13"/>
        <v>0</v>
      </c>
      <c r="AT50" s="104">
        <f t="shared" ca="1" si="13"/>
        <v>0</v>
      </c>
      <c r="AU50" s="104">
        <f t="shared" ca="1" si="13"/>
        <v>0</v>
      </c>
      <c r="AV50" s="104">
        <f t="shared" ca="1" si="13"/>
        <v>0</v>
      </c>
      <c r="AW50" s="104">
        <f t="shared" ca="1" si="13"/>
        <v>0</v>
      </c>
      <c r="AX50" s="104">
        <f t="shared" ca="1" si="13"/>
        <v>0</v>
      </c>
      <c r="AY50" s="104">
        <f t="shared" ca="1" si="13"/>
        <v>0</v>
      </c>
      <c r="AZ50" s="104">
        <f t="shared" ca="1" si="13"/>
        <v>0</v>
      </c>
      <c r="BA50" s="104">
        <f t="shared" ca="1" si="13"/>
        <v>0</v>
      </c>
      <c r="BB50" s="104">
        <f t="shared" ca="1" si="13"/>
        <v>0</v>
      </c>
      <c r="BC50" s="104">
        <f t="shared" ca="1" si="13"/>
        <v>0</v>
      </c>
      <c r="BD50" s="104">
        <f t="shared" ca="1" si="13"/>
        <v>0</v>
      </c>
      <c r="BE50" s="104">
        <f t="shared" ca="1" si="13"/>
        <v>0</v>
      </c>
      <c r="BF50" s="104">
        <f t="shared" ca="1" si="13"/>
        <v>0</v>
      </c>
      <c r="BG50" s="104">
        <f t="shared" ca="1" si="13"/>
        <v>0</v>
      </c>
      <c r="BH50" s="104">
        <f t="shared" ca="1" si="13"/>
        <v>0</v>
      </c>
      <c r="BI50" s="104">
        <f t="shared" ca="1" si="13"/>
        <v>0</v>
      </c>
      <c r="BJ50" s="104">
        <f t="shared" ca="1" si="13"/>
        <v>0</v>
      </c>
      <c r="BK50" s="104">
        <f t="shared" ca="1" si="13"/>
        <v>0</v>
      </c>
      <c r="BL50" s="104">
        <f t="shared" ca="1" si="13"/>
        <v>0</v>
      </c>
      <c r="BM50" s="104">
        <f t="shared" ca="1" si="13"/>
        <v>0</v>
      </c>
      <c r="BN50" s="104">
        <f t="shared" ca="1" si="13"/>
        <v>0</v>
      </c>
      <c r="BO50" s="104">
        <f t="shared" ca="1" si="13"/>
        <v>0</v>
      </c>
      <c r="BP50" s="104">
        <f t="shared" ca="1" si="13"/>
        <v>0</v>
      </c>
      <c r="BQ50" s="104">
        <f t="shared" ca="1" si="13"/>
        <v>0</v>
      </c>
      <c r="BR50" s="104">
        <f t="shared" ca="1" si="13"/>
        <v>0</v>
      </c>
    </row>
    <row r="51" spans="1:70" ht="16.350000000000001" customHeight="1" x14ac:dyDescent="0.3">
      <c r="A51" s="114" t="s">
        <v>136</v>
      </c>
      <c r="B51" s="118"/>
      <c r="C51" s="114">
        <f ca="1">MAX(C47+C49-($B50+C48),0)</f>
        <v>0</v>
      </c>
      <c r="D51" s="114">
        <f t="shared" ref="D51:AI51" ca="1" si="14">MAX(D47+D49-(C50+D48),0)</f>
        <v>0</v>
      </c>
      <c r="E51" s="114">
        <f t="shared" ca="1" si="14"/>
        <v>21368</v>
      </c>
      <c r="F51" s="114">
        <f t="shared" ca="1" si="14"/>
        <v>30000</v>
      </c>
      <c r="G51" s="114">
        <f t="shared" ca="1" si="14"/>
        <v>30000</v>
      </c>
      <c r="H51" s="114">
        <f t="shared" ca="1" si="14"/>
        <v>22000</v>
      </c>
      <c r="I51" s="114">
        <f t="shared" ca="1" si="14"/>
        <v>26000</v>
      </c>
      <c r="J51" s="114">
        <f t="shared" ca="1" si="14"/>
        <v>27546</v>
      </c>
      <c r="K51" s="113">
        <f t="shared" ca="1" si="14"/>
        <v>14116</v>
      </c>
      <c r="L51" s="113">
        <f t="shared" ca="1" si="14"/>
        <v>4080</v>
      </c>
      <c r="M51" s="113">
        <f t="shared" ca="1" si="14"/>
        <v>7082</v>
      </c>
      <c r="N51" s="113">
        <f t="shared" ca="1" si="14"/>
        <v>24082</v>
      </c>
      <c r="O51" s="113">
        <f t="shared" ca="1" si="14"/>
        <v>24080</v>
      </c>
      <c r="P51" s="113">
        <f t="shared" ca="1" si="14"/>
        <v>18492</v>
      </c>
      <c r="Q51" s="113">
        <f t="shared" ca="1" si="14"/>
        <v>11508</v>
      </c>
      <c r="R51" s="113">
        <f t="shared" ca="1" si="14"/>
        <v>30000</v>
      </c>
      <c r="S51" s="113">
        <f t="shared" ca="1" si="14"/>
        <v>30000</v>
      </c>
      <c r="T51" s="113">
        <f t="shared" ca="1" si="14"/>
        <v>8496</v>
      </c>
      <c r="U51" s="113">
        <f t="shared" ca="1" si="14"/>
        <v>8496</v>
      </c>
      <c r="V51" s="113">
        <f t="shared" ca="1" si="14"/>
        <v>8498</v>
      </c>
      <c r="W51" s="113">
        <f t="shared" ca="1" si="14"/>
        <v>8496</v>
      </c>
      <c r="X51" s="113">
        <f t="shared" ca="1" si="14"/>
        <v>4782</v>
      </c>
      <c r="Y51" s="113">
        <f t="shared" ca="1" si="14"/>
        <v>4784</v>
      </c>
      <c r="Z51" s="113">
        <f t="shared" ca="1" si="14"/>
        <v>4782</v>
      </c>
      <c r="AA51" s="113">
        <f t="shared" ca="1" si="14"/>
        <v>12918</v>
      </c>
      <c r="AB51" s="113">
        <f t="shared" ca="1" si="14"/>
        <v>30000</v>
      </c>
      <c r="AC51" s="113">
        <f t="shared" ca="1" si="14"/>
        <v>30000</v>
      </c>
      <c r="AD51" s="113">
        <f t="shared" ca="1" si="14"/>
        <v>30000</v>
      </c>
      <c r="AE51" s="113">
        <f t="shared" ca="1" si="14"/>
        <v>30000</v>
      </c>
      <c r="AF51" s="113">
        <f t="shared" ca="1" si="14"/>
        <v>8562</v>
      </c>
      <c r="AG51" s="113">
        <f t="shared" ca="1" si="14"/>
        <v>8564</v>
      </c>
      <c r="AH51" s="113">
        <f t="shared" ca="1" si="14"/>
        <v>8562</v>
      </c>
      <c r="AI51" s="113">
        <f t="shared" ca="1" si="14"/>
        <v>8564</v>
      </c>
      <c r="AJ51" s="113">
        <f t="shared" ref="AJ51:BR51" ca="1" si="15">MAX(AJ47+AJ49-(AI50+AJ48),0)</f>
        <v>8562</v>
      </c>
      <c r="AK51" s="113">
        <f t="shared" ca="1" si="15"/>
        <v>16652</v>
      </c>
      <c r="AL51" s="113">
        <f t="shared" ca="1" si="15"/>
        <v>16650</v>
      </c>
      <c r="AM51" s="104">
        <f t="shared" ca="1" si="15"/>
        <v>0</v>
      </c>
      <c r="AN51" s="104">
        <f t="shared" ca="1" si="15"/>
        <v>0</v>
      </c>
      <c r="AO51" s="104">
        <f t="shared" ca="1" si="15"/>
        <v>0</v>
      </c>
      <c r="AP51" s="104">
        <f t="shared" ca="1" si="15"/>
        <v>0</v>
      </c>
      <c r="AQ51" s="104">
        <f t="shared" ca="1" si="15"/>
        <v>0</v>
      </c>
      <c r="AR51" s="104">
        <f t="shared" ca="1" si="15"/>
        <v>0</v>
      </c>
      <c r="AS51" s="104">
        <f t="shared" ca="1" si="15"/>
        <v>0</v>
      </c>
      <c r="AT51" s="104">
        <f t="shared" ca="1" si="15"/>
        <v>0</v>
      </c>
      <c r="AU51" s="104">
        <f t="shared" ca="1" si="15"/>
        <v>0</v>
      </c>
      <c r="AV51" s="104">
        <f t="shared" ca="1" si="15"/>
        <v>0</v>
      </c>
      <c r="AW51" s="104">
        <f t="shared" ca="1" si="15"/>
        <v>0</v>
      </c>
      <c r="AX51" s="104">
        <f t="shared" ca="1" si="15"/>
        <v>0</v>
      </c>
      <c r="AY51" s="104">
        <f t="shared" ca="1" si="15"/>
        <v>0</v>
      </c>
      <c r="AZ51" s="104">
        <f t="shared" ca="1" si="15"/>
        <v>0</v>
      </c>
      <c r="BA51" s="104">
        <f t="shared" ca="1" si="15"/>
        <v>0</v>
      </c>
      <c r="BB51" s="104">
        <f t="shared" ca="1" si="15"/>
        <v>0</v>
      </c>
      <c r="BC51" s="104">
        <f t="shared" ca="1" si="15"/>
        <v>0</v>
      </c>
      <c r="BD51" s="104">
        <f t="shared" ca="1" si="15"/>
        <v>0</v>
      </c>
      <c r="BE51" s="104">
        <f t="shared" ca="1" si="15"/>
        <v>0</v>
      </c>
      <c r="BF51" s="104">
        <f t="shared" ca="1" si="15"/>
        <v>0</v>
      </c>
      <c r="BG51" s="104">
        <f t="shared" ca="1" si="15"/>
        <v>0</v>
      </c>
      <c r="BH51" s="104">
        <f t="shared" ca="1" si="15"/>
        <v>0</v>
      </c>
      <c r="BI51" s="104">
        <f t="shared" ca="1" si="15"/>
        <v>0</v>
      </c>
      <c r="BJ51" s="104">
        <f t="shared" ca="1" si="15"/>
        <v>0</v>
      </c>
      <c r="BK51" s="104">
        <f t="shared" ca="1" si="15"/>
        <v>0</v>
      </c>
      <c r="BL51" s="104">
        <f t="shared" ca="1" si="15"/>
        <v>0</v>
      </c>
      <c r="BM51" s="104">
        <f t="shared" ca="1" si="15"/>
        <v>0</v>
      </c>
      <c r="BN51" s="104">
        <f t="shared" ca="1" si="15"/>
        <v>0</v>
      </c>
      <c r="BO51" s="104">
        <f t="shared" ca="1" si="15"/>
        <v>0</v>
      </c>
      <c r="BP51" s="104">
        <f t="shared" ca="1" si="15"/>
        <v>0</v>
      </c>
      <c r="BQ51" s="104">
        <f t="shared" ca="1" si="15"/>
        <v>0</v>
      </c>
      <c r="BR51" s="104">
        <f t="shared" ca="1" si="15"/>
        <v>0</v>
      </c>
    </row>
    <row r="52" spans="1:70" ht="16.350000000000001" customHeight="1" x14ac:dyDescent="0.3">
      <c r="A52" s="140" t="s">
        <v>137</v>
      </c>
      <c r="B52" s="136"/>
      <c r="C52" s="114">
        <f t="shared" ref="C52:AH52" ca="1" si="16">C51</f>
        <v>0</v>
      </c>
      <c r="D52" s="114">
        <f t="shared" ca="1" si="16"/>
        <v>0</v>
      </c>
      <c r="E52" s="114">
        <f t="shared" ca="1" si="16"/>
        <v>21368</v>
      </c>
      <c r="F52" s="114">
        <f t="shared" ca="1" si="16"/>
        <v>30000</v>
      </c>
      <c r="G52" s="114">
        <f t="shared" ca="1" si="16"/>
        <v>30000</v>
      </c>
      <c r="H52" s="114">
        <f t="shared" ca="1" si="16"/>
        <v>22000</v>
      </c>
      <c r="I52" s="114">
        <f t="shared" ca="1" si="16"/>
        <v>26000</v>
      </c>
      <c r="J52" s="114">
        <f t="shared" ca="1" si="16"/>
        <v>27546</v>
      </c>
      <c r="K52" s="113">
        <f t="shared" ca="1" si="16"/>
        <v>14116</v>
      </c>
      <c r="L52" s="113">
        <f t="shared" ca="1" si="16"/>
        <v>4080</v>
      </c>
      <c r="M52" s="113">
        <f t="shared" ca="1" si="16"/>
        <v>7082</v>
      </c>
      <c r="N52" s="113">
        <f t="shared" ca="1" si="16"/>
        <v>24082</v>
      </c>
      <c r="O52" s="113">
        <f t="shared" ca="1" si="16"/>
        <v>24080</v>
      </c>
      <c r="P52" s="113">
        <f t="shared" ca="1" si="16"/>
        <v>18492</v>
      </c>
      <c r="Q52" s="113">
        <f t="shared" ca="1" si="16"/>
        <v>11508</v>
      </c>
      <c r="R52" s="113">
        <f t="shared" ca="1" si="16"/>
        <v>30000</v>
      </c>
      <c r="S52" s="113">
        <f t="shared" ca="1" si="16"/>
        <v>30000</v>
      </c>
      <c r="T52" s="113">
        <f t="shared" ca="1" si="16"/>
        <v>8496</v>
      </c>
      <c r="U52" s="113">
        <f t="shared" ca="1" si="16"/>
        <v>8496</v>
      </c>
      <c r="V52" s="113">
        <f t="shared" ca="1" si="16"/>
        <v>8498</v>
      </c>
      <c r="W52" s="113">
        <f t="shared" ca="1" si="16"/>
        <v>8496</v>
      </c>
      <c r="X52" s="113">
        <f t="shared" ca="1" si="16"/>
        <v>4782</v>
      </c>
      <c r="Y52" s="113">
        <f t="shared" ca="1" si="16"/>
        <v>4784</v>
      </c>
      <c r="Z52" s="113">
        <f t="shared" ca="1" si="16"/>
        <v>4782</v>
      </c>
      <c r="AA52" s="113">
        <f t="shared" ca="1" si="16"/>
        <v>12918</v>
      </c>
      <c r="AB52" s="113">
        <f t="shared" ca="1" si="16"/>
        <v>30000</v>
      </c>
      <c r="AC52" s="113">
        <f t="shared" ca="1" si="16"/>
        <v>30000</v>
      </c>
      <c r="AD52" s="113">
        <f t="shared" ca="1" si="16"/>
        <v>30000</v>
      </c>
      <c r="AE52" s="113">
        <f t="shared" ca="1" si="16"/>
        <v>30000</v>
      </c>
      <c r="AF52" s="113">
        <f t="shared" ca="1" si="16"/>
        <v>8562</v>
      </c>
      <c r="AG52" s="113">
        <f t="shared" ca="1" si="16"/>
        <v>8564</v>
      </c>
      <c r="AH52" s="113">
        <f t="shared" ca="1" si="16"/>
        <v>8562</v>
      </c>
      <c r="AI52" s="113">
        <f t="shared" ref="AI52:BN52" ca="1" si="17">AI51</f>
        <v>8564</v>
      </c>
      <c r="AJ52" s="113">
        <f t="shared" ca="1" si="17"/>
        <v>8562</v>
      </c>
      <c r="AK52" s="113">
        <f t="shared" ca="1" si="17"/>
        <v>16652</v>
      </c>
      <c r="AL52" s="113">
        <f t="shared" ca="1" si="17"/>
        <v>16650</v>
      </c>
      <c r="AM52" s="104">
        <f t="shared" ca="1" si="17"/>
        <v>0</v>
      </c>
      <c r="AN52" s="104">
        <f t="shared" ca="1" si="17"/>
        <v>0</v>
      </c>
      <c r="AO52" s="104">
        <f t="shared" ca="1" si="17"/>
        <v>0</v>
      </c>
      <c r="AP52" s="104">
        <f t="shared" ca="1" si="17"/>
        <v>0</v>
      </c>
      <c r="AQ52" s="104">
        <f t="shared" ca="1" si="17"/>
        <v>0</v>
      </c>
      <c r="AR52" s="104">
        <f t="shared" ca="1" si="17"/>
        <v>0</v>
      </c>
      <c r="AS52" s="104">
        <f t="shared" ca="1" si="17"/>
        <v>0</v>
      </c>
      <c r="AT52" s="104">
        <f t="shared" ca="1" si="17"/>
        <v>0</v>
      </c>
      <c r="AU52" s="104">
        <f t="shared" ca="1" si="17"/>
        <v>0</v>
      </c>
      <c r="AV52" s="104">
        <f t="shared" ca="1" si="17"/>
        <v>0</v>
      </c>
      <c r="AW52" s="104">
        <f t="shared" ca="1" si="17"/>
        <v>0</v>
      </c>
      <c r="AX52" s="104">
        <f t="shared" ca="1" si="17"/>
        <v>0</v>
      </c>
      <c r="AY52" s="104">
        <f t="shared" ca="1" si="17"/>
        <v>0</v>
      </c>
      <c r="AZ52" s="104">
        <f t="shared" ca="1" si="17"/>
        <v>0</v>
      </c>
      <c r="BA52" s="104">
        <f t="shared" ca="1" si="17"/>
        <v>0</v>
      </c>
      <c r="BB52" s="104">
        <f t="shared" ca="1" si="17"/>
        <v>0</v>
      </c>
      <c r="BC52" s="104">
        <f t="shared" ca="1" si="17"/>
        <v>0</v>
      </c>
      <c r="BD52" s="104">
        <f t="shared" ca="1" si="17"/>
        <v>0</v>
      </c>
      <c r="BE52" s="104">
        <f t="shared" ca="1" si="17"/>
        <v>0</v>
      </c>
      <c r="BF52" s="104">
        <f t="shared" ca="1" si="17"/>
        <v>0</v>
      </c>
      <c r="BG52" s="104">
        <f t="shared" ca="1" si="17"/>
        <v>0</v>
      </c>
      <c r="BH52" s="104">
        <f t="shared" ca="1" si="17"/>
        <v>0</v>
      </c>
      <c r="BI52" s="104">
        <f t="shared" ca="1" si="17"/>
        <v>0</v>
      </c>
      <c r="BJ52" s="104">
        <f t="shared" ca="1" si="17"/>
        <v>0</v>
      </c>
      <c r="BK52" s="104">
        <f t="shared" ca="1" si="17"/>
        <v>0</v>
      </c>
      <c r="BL52" s="104">
        <f t="shared" ca="1" si="17"/>
        <v>0</v>
      </c>
      <c r="BM52" s="104">
        <f t="shared" ca="1" si="17"/>
        <v>0</v>
      </c>
      <c r="BN52" s="104">
        <f t="shared" ca="1" si="17"/>
        <v>0</v>
      </c>
      <c r="BO52" s="104">
        <f t="shared" ref="BO52:CT52" ca="1" si="18">BO51</f>
        <v>0</v>
      </c>
      <c r="BP52" s="104">
        <f t="shared" ca="1" si="18"/>
        <v>0</v>
      </c>
      <c r="BQ52" s="104">
        <f t="shared" ca="1" si="18"/>
        <v>0</v>
      </c>
      <c r="BR52" s="104">
        <f t="shared" ca="1" si="18"/>
        <v>0</v>
      </c>
    </row>
    <row r="53" spans="1:70" ht="16.350000000000001" customHeight="1" x14ac:dyDescent="0.3">
      <c r="A53" s="114" t="s">
        <v>138</v>
      </c>
      <c r="B53" s="118"/>
      <c r="C53" s="114">
        <f ca="1">IFERROR(INDEX($C$52:$AK$52,1,1+ROUND(INDEX($H$5:$V$5,1,MATCH("RM04",$H$3:$V$3,0))/7,0)),0)</f>
        <v>8496</v>
      </c>
      <c r="D53" s="114">
        <f ca="1">IFERROR(INDEX($C$52:$AK$52,1,2+ROUND(INDEX($H$5:$V$5,1,MATCH("RM04",$H$3:$V$3,0))/7,0)),0)</f>
        <v>4782</v>
      </c>
      <c r="E53" s="114">
        <f ca="1">IFERROR(INDEX($C$52:$AK$52,1,3+ROUND(INDEX($H$5:$V$5,1,MATCH("RM04",$H$3:$V$3,0))/7,0)),0)</f>
        <v>4784</v>
      </c>
      <c r="F53" s="114">
        <f ca="1">IFERROR(INDEX($C$52:$AK$52,1,4+ROUND(INDEX($H$5:$V$5,1,MATCH("RM04",$H$3:$V$3,0))/7,0)),0)</f>
        <v>4782</v>
      </c>
      <c r="G53" s="114">
        <f ca="1">IFERROR(INDEX($C$52:$AK$52,1,5+ROUND(INDEX($H$5:$V$5,1,MATCH("RM04",$H$3:$V$3,0))/7,0)),0)</f>
        <v>12918</v>
      </c>
      <c r="H53" s="114">
        <f ca="1">IFERROR(INDEX($C$52:$AK$52,1,6+ROUND(INDEX($H$5:$V$5,1,MATCH("RM04",$H$3:$V$3,0))/7,0)),0)</f>
        <v>30000</v>
      </c>
      <c r="I53" s="114">
        <f ca="1">IFERROR(INDEX($C$52:$AK$52,1,7+ROUND(INDEX($H$5:$V$5,1,MATCH("RM04",$H$3:$V$3,0))/7,0)),0)</f>
        <v>30000</v>
      </c>
      <c r="J53" s="114">
        <f ca="1">IFERROR(INDEX($C$52:$AK$52,1,8+ROUND(INDEX($H$5:$V$5,1,MATCH("RM04",$H$3:$V$3,0))/7,0)),0)</f>
        <v>30000</v>
      </c>
      <c r="K53" s="113">
        <f ca="1">IFERROR(INDEX($C$52:$AK$52,1,9+ROUND(INDEX($H$5:$V$5,1,MATCH("RM04",$H$3:$V$3,0))/7,0)),0)</f>
        <v>30000</v>
      </c>
      <c r="L53" s="113">
        <f ca="1">IFERROR(INDEX($C$52:$AK$52,1,10+ROUND(INDEX($H$5:$V$5,1,MATCH("RM04",$H$3:$V$3,0))/7,0)),0)</f>
        <v>8562</v>
      </c>
      <c r="M53" s="113">
        <f ca="1">IFERROR(INDEX($C$52:$AK$52,1,11+ROUND(INDEX($H$5:$V$5,1,MATCH("RM04",$H$3:$V$3,0))/7,0)),0)</f>
        <v>8564</v>
      </c>
      <c r="N53" s="113">
        <f ca="1">IFERROR(INDEX($C$52:$AK$52,1,12+ROUND(INDEX($H$5:$V$5,1,MATCH("RM04",$H$3:$V$3,0))/7,0)),0)</f>
        <v>8562</v>
      </c>
      <c r="O53" s="113">
        <f ca="1">IFERROR(INDEX($C$52:$AK$52,1,13+ROUND(INDEX($H$5:$V$5,1,MATCH("RM04",$H$3:$V$3,0))/7,0)),0)</f>
        <v>8564</v>
      </c>
      <c r="P53" s="113">
        <f ca="1">IFERROR(INDEX($C$52:$AK$52,1,14+ROUND(INDEX($H$5:$V$5,1,MATCH("RM04",$H$3:$V$3,0))/7,0)),0)</f>
        <v>8562</v>
      </c>
      <c r="Q53" s="113">
        <f ca="1">IFERROR(INDEX($C$52:$AK$52,1,15+ROUND(INDEX($H$5:$V$5,1,MATCH("RM04",$H$3:$V$3,0))/7,0)),0)</f>
        <v>16652</v>
      </c>
      <c r="R53" s="113">
        <f>IFERROR(INDEX($C$52:$AK$52,1,16+ROUND(INDEX($H$5:$V$5,1,MATCH("RM04",$H$3:$V$3,0))/7,0)),0)</f>
        <v>0</v>
      </c>
      <c r="S53" s="113">
        <f>IFERROR(INDEX($C$52:$AK$52,1,17+ROUND(INDEX($H$5:$V$5,1,MATCH("RM04",$H$3:$V$3,0))/7,0)),0)</f>
        <v>0</v>
      </c>
      <c r="T53" s="113">
        <f>IFERROR(INDEX($C$52:$AK$52,1,18+ROUND(INDEX($H$5:$V$5,1,MATCH("RM04",$H$3:$V$3,0))/7,0)),0)</f>
        <v>0</v>
      </c>
      <c r="U53" s="113">
        <f>IFERROR(INDEX($C$52:$AK$52,1,19+ROUND(INDEX($H$5:$V$5,1,MATCH("RM04",$H$3:$V$3,0))/7,0)),0)</f>
        <v>0</v>
      </c>
      <c r="V53" s="113">
        <f>IFERROR(INDEX($C$52:$AK$52,1,20+ROUND(INDEX($H$5:$V$5,1,MATCH("RM04",$H$3:$V$3,0))/7,0)),0)</f>
        <v>0</v>
      </c>
      <c r="W53" s="113">
        <f>IFERROR(INDEX($C$52:$AK$52,1,21+ROUND(INDEX($H$5:$V$5,1,MATCH("RM04",$H$3:$V$3,0))/7,0)),0)</f>
        <v>0</v>
      </c>
      <c r="X53" s="113">
        <f>IFERROR(INDEX($C$52:$AK$52,1,22+ROUND(INDEX($H$5:$V$5,1,MATCH("RM04",$H$3:$V$3,0))/7,0)),0)</f>
        <v>0</v>
      </c>
      <c r="Y53" s="113">
        <f>IFERROR(INDEX($C$52:$AK$52,1,23+ROUND(INDEX($H$5:$V$5,1,MATCH("RM04",$H$3:$V$3,0))/7,0)),0)</f>
        <v>0</v>
      </c>
      <c r="Z53" s="113">
        <f>IFERROR(INDEX($C$52:$AK$52,1,24+ROUND(INDEX($H$5:$V$5,1,MATCH("RM04",$H$3:$V$3,0))/7,0)),0)</f>
        <v>0</v>
      </c>
      <c r="AA53" s="113">
        <f>IFERROR(INDEX($C$52:$AK$52,1,25+ROUND(INDEX($H$5:$V$5,1,MATCH("RM04",$H$3:$V$3,0))/7,0)),0)</f>
        <v>0</v>
      </c>
      <c r="AB53" s="113">
        <f>IFERROR(INDEX($C$52:$AK$52,1,26+ROUND(INDEX($H$5:$V$5,1,MATCH("RM04",$H$3:$V$3,0))/7,0)),0)</f>
        <v>0</v>
      </c>
      <c r="AC53" s="113">
        <f>IFERROR(INDEX($C$52:$AK$52,1,27+ROUND(INDEX($H$5:$V$5,1,MATCH("RM04",$H$3:$V$3,0))/7,0)),0)</f>
        <v>0</v>
      </c>
      <c r="AD53" s="113">
        <f>IFERROR(INDEX($C$52:$AK$52,1,28+ROUND(INDEX($H$5:$V$5,1,MATCH("RM04",$H$3:$V$3,0))/7,0)),0)</f>
        <v>0</v>
      </c>
      <c r="AE53" s="113">
        <f>IFERROR(INDEX($C$52:$AK$52,1,29+ROUND(INDEX($H$5:$V$5,1,MATCH("RM04",$H$3:$V$3,0))/7,0)),0)</f>
        <v>0</v>
      </c>
      <c r="AF53" s="113">
        <f>IFERROR(INDEX($C$52:$AK$52,1,30+ROUND(INDEX($H$5:$V$5,1,MATCH("RM04",$H$3:$V$3,0))/7,0)),0)</f>
        <v>0</v>
      </c>
      <c r="AG53" s="113">
        <f>IFERROR(INDEX($C$52:$AK$52,1,31+ROUND(INDEX($H$5:$V$5,1,MATCH("RM04",$H$3:$V$3,0))/7,0)),0)</f>
        <v>0</v>
      </c>
      <c r="AH53" s="113">
        <f>IFERROR(INDEX($C$52:$AK$52,1,32+ROUND(INDEX($H$5:$V$5,1,MATCH("RM04",$H$3:$V$3,0))/7,0)),0)</f>
        <v>0</v>
      </c>
      <c r="AI53" s="113">
        <f>IFERROR(INDEX($C$52:$AK$52,1,33+ROUND(INDEX($H$5:$V$5,1,MATCH("RM04",$H$3:$V$3,0))/7,0)),0)</f>
        <v>0</v>
      </c>
      <c r="AJ53" s="113">
        <f>IFERROR(INDEX($C$52:$AK$52,1,34+ROUND(INDEX($H$5:$V$5,1,MATCH("RM04",$H$3:$V$3,0))/7,0)),0)</f>
        <v>0</v>
      </c>
      <c r="AK53" s="113">
        <f>IFERROR(INDEX($C$52:$AK$52,1,35+ROUND(INDEX($H$5:$V$5,1,MATCH("RM04",$H$3:$V$3,0))/7,0)),0)</f>
        <v>0</v>
      </c>
      <c r="AL53" s="113">
        <f>IFERROR(INDEX($C$52:$AK$52,1,36+ROUND(INDEX($H$5:$V$5,1,MATCH("RM04",$H$3:$V$3,0))/7,0)),0)</f>
        <v>0</v>
      </c>
      <c r="AM53" s="104">
        <f>IFERROR(INDEX($C$52:$AK$52,1,37+ROUND(INDEX($H$5:$V$5,1,MATCH("RM04",$H$3:$V$3,0))/7,0)),0)</f>
        <v>0</v>
      </c>
      <c r="AN53" s="104">
        <f>IFERROR(INDEX($C$52:$AK$52,1,38+ROUND(INDEX($H$5:$V$5,1,MATCH("RM04",$H$3:$V$3,0))/7,0)),0)</f>
        <v>0</v>
      </c>
      <c r="AO53" s="104">
        <f>IFERROR(INDEX($C$52:$AK$52,1,39+ROUND(INDEX($H$5:$V$5,1,MATCH("RM04",$H$3:$V$3,0))/7,0)),0)</f>
        <v>0</v>
      </c>
      <c r="AP53" s="104">
        <f>IFERROR(INDEX($C$52:$AK$52,1,40+ROUND(INDEX($H$5:$V$5,1,MATCH("RM04",$H$3:$V$3,0))/7,0)),0)</f>
        <v>0</v>
      </c>
      <c r="AQ53" s="104">
        <f>IFERROR(INDEX($C$52:$AK$52,1,41+ROUND(INDEX($H$5:$V$5,1,MATCH("RM04",$H$3:$V$3,0))/7,0)),0)</f>
        <v>0</v>
      </c>
      <c r="AR53" s="104">
        <f>IFERROR(INDEX($C$52:$AK$52,1,42+ROUND(INDEX($H$5:$V$5,1,MATCH("RM04",$H$3:$V$3,0))/7,0)),0)</f>
        <v>0</v>
      </c>
      <c r="AS53" s="104">
        <f>IFERROR(INDEX($C$52:$AK$52,1,43+ROUND(INDEX($H$5:$V$5,1,MATCH("RM04",$H$3:$V$3,0))/7,0)),0)</f>
        <v>0</v>
      </c>
      <c r="AT53" s="104">
        <f>IFERROR(INDEX($C$52:$AK$52,1,44+ROUND(INDEX($H$5:$V$5,1,MATCH("RM04",$H$3:$V$3,0))/7,0)),0)</f>
        <v>0</v>
      </c>
      <c r="AU53" s="104">
        <f>IFERROR(INDEX($C$52:$AK$52,1,45+ROUND(INDEX($H$5:$V$5,1,MATCH("RM04",$H$3:$V$3,0))/7,0)),0)</f>
        <v>0</v>
      </c>
      <c r="AV53" s="104">
        <f>IFERROR(INDEX($C$52:$AK$52,1,46+ROUND(INDEX($H$5:$V$5,1,MATCH("RM04",$H$3:$V$3,0))/7,0)),0)</f>
        <v>0</v>
      </c>
      <c r="AW53" s="104">
        <f>IFERROR(INDEX($C$52:$AK$52,1,47+ROUND(INDEX($H$5:$V$5,1,MATCH("RM04",$H$3:$V$3,0))/7,0)),0)</f>
        <v>0</v>
      </c>
      <c r="AX53" s="104">
        <f>IFERROR(INDEX($C$52:$AK$52,1,48+ROUND(INDEX($H$5:$V$5,1,MATCH("RM04",$H$3:$V$3,0))/7,0)),0)</f>
        <v>0</v>
      </c>
      <c r="AY53" s="104">
        <f>IFERROR(INDEX($C$52:$AK$52,1,49+ROUND(INDEX($H$5:$V$5,1,MATCH("RM04",$H$3:$V$3,0))/7,0)),0)</f>
        <v>0</v>
      </c>
      <c r="AZ53" s="104">
        <f>IFERROR(INDEX($C$52:$AK$52,1,50+ROUND(INDEX($H$5:$V$5,1,MATCH("RM04",$H$3:$V$3,0))/7,0)),0)</f>
        <v>0</v>
      </c>
      <c r="BA53" s="104">
        <f>IFERROR(INDEX($C$52:$AK$52,1,51+ROUND(INDEX($H$5:$V$5,1,MATCH("RM04",$H$3:$V$3,0))/7,0)),0)</f>
        <v>0</v>
      </c>
      <c r="BB53" s="104">
        <f>IFERROR(INDEX($C$52:$AK$52,1,52+ROUND(INDEX($H$5:$V$5,1,MATCH("RM04",$H$3:$V$3,0))/7,0)),0)</f>
        <v>0</v>
      </c>
      <c r="BC53" s="104">
        <f>IFERROR(INDEX($C$52:$AK$52,1,53+ROUND(INDEX($H$5:$V$5,1,MATCH("RM04",$H$3:$V$3,0))/7,0)),0)</f>
        <v>0</v>
      </c>
      <c r="BD53" s="104">
        <f>IFERROR(INDEX($C$52:$AK$52,1,54+ROUND(INDEX($H$5:$V$5,1,MATCH("RM04",$H$3:$V$3,0))/7,0)),0)</f>
        <v>0</v>
      </c>
      <c r="BE53" s="104">
        <f>IFERROR(INDEX($C$52:$AK$52,1,55+ROUND(INDEX($H$5:$V$5,1,MATCH("RM04",$H$3:$V$3,0))/7,0)),0)</f>
        <v>0</v>
      </c>
      <c r="BF53" s="104">
        <f>IFERROR(INDEX($C$52:$AK$52,1,56+ROUND(INDEX($H$5:$V$5,1,MATCH("RM04",$H$3:$V$3,0))/7,0)),0)</f>
        <v>0</v>
      </c>
      <c r="BG53" s="104">
        <f>IFERROR(INDEX($C$52:$AK$52,1,57+ROUND(INDEX($H$5:$V$5,1,MATCH("RM04",$H$3:$V$3,0))/7,0)),0)</f>
        <v>0</v>
      </c>
      <c r="BH53" s="104">
        <f>IFERROR(INDEX($C$52:$AK$52,1,58+ROUND(INDEX($H$5:$V$5,1,MATCH("RM04",$H$3:$V$3,0))/7,0)),0)</f>
        <v>0</v>
      </c>
      <c r="BI53" s="104">
        <f>IFERROR(INDEX($C$52:$AK$52,1,59+ROUND(INDEX($H$5:$V$5,1,MATCH("RM04",$H$3:$V$3,0))/7,0)),0)</f>
        <v>0</v>
      </c>
      <c r="BJ53" s="104">
        <f>IFERROR(INDEX($C$52:$AK$52,1,60+ROUND(INDEX($H$5:$V$5,1,MATCH("RM04",$H$3:$V$3,0))/7,0)),0)</f>
        <v>0</v>
      </c>
      <c r="BK53" s="104">
        <f>IFERROR(INDEX($C$52:$AK$52,1,61+ROUND(INDEX($H$5:$V$5,1,MATCH("RM04",$H$3:$V$3,0))/7,0)),0)</f>
        <v>0</v>
      </c>
      <c r="BL53" s="104">
        <f>IFERROR(INDEX($C$52:$AK$52,1,62+ROUND(INDEX($H$5:$V$5,1,MATCH("RM04",$H$3:$V$3,0))/7,0)),0)</f>
        <v>0</v>
      </c>
      <c r="BM53" s="104">
        <f>IFERROR(INDEX($C$52:$AK$52,1,63+ROUND(INDEX($H$5:$V$5,1,MATCH("RM04",$H$3:$V$3,0))/7,0)),0)</f>
        <v>0</v>
      </c>
      <c r="BN53" s="104">
        <f>IFERROR(INDEX($C$52:$AK$52,1,64+ROUND(INDEX($H$5:$V$5,1,MATCH("RM04",$H$3:$V$3,0))/7,0)),0)</f>
        <v>0</v>
      </c>
      <c r="BO53" s="104">
        <f>IFERROR(INDEX($C$52:$AK$52,1,65+ROUND(INDEX($H$5:$V$5,1,MATCH("RM04",$H$3:$V$3,0))/7,0)),0)</f>
        <v>0</v>
      </c>
      <c r="BP53" s="104">
        <f>IFERROR(INDEX($C$52:$AK$52,1,66+ROUND(INDEX($H$5:$V$5,1,MATCH("RM04",$H$3:$V$3,0))/7,0)),0)</f>
        <v>0</v>
      </c>
      <c r="BQ53" s="104">
        <f>IFERROR(INDEX($C$52:$AK$52,1,67+ROUND(INDEX($H$5:$V$5,1,MATCH("RM04",$H$3:$V$3,0))/7,0)),0)</f>
        <v>0</v>
      </c>
      <c r="BR53" s="104">
        <f>IFERROR(INDEX($C$52:$AK$52,1,68+ROUND(INDEX($H$5:$V$5,1,MATCH("RM04",$H$3:$V$3,0))/7,0)),0)</f>
        <v>0</v>
      </c>
    </row>
    <row r="54" spans="1:70" x14ac:dyDescent="0.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</row>
    <row r="55" spans="1:70" ht="16.350000000000001" customHeight="1" x14ac:dyDescent="0.3">
      <c r="A55" s="47" t="s">
        <v>142</v>
      </c>
      <c r="B55" s="47" t="s">
        <v>132</v>
      </c>
      <c r="C55" s="137" t="s">
        <v>0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6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</row>
    <row r="56" spans="1:70" ht="16.350000000000001" customHeight="1" x14ac:dyDescent="0.3">
      <c r="A56" s="47" t="s">
        <v>133</v>
      </c>
      <c r="B56" s="47" t="str">
        <f>"LT: "&amp;ROUND(INDEX($H$5:$V$5,1,MATCH("RM05",$H$3:$V$3,0))/7,0)</f>
        <v>LT: 10</v>
      </c>
      <c r="C56" s="48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 s="104">
        <v>46370</v>
      </c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</row>
    <row r="57" spans="1:70" ht="16.350000000000001" customHeight="1" x14ac:dyDescent="0.3">
      <c r="A57" s="51" t="s">
        <v>134</v>
      </c>
      <c r="B57" s="104"/>
      <c r="C57" s="114">
        <f t="array" ref="C57:AL57">TRANSPOSE(BOM_demand!$L$2:$L$37)</f>
        <v>0</v>
      </c>
      <c r="D57" s="114">
        <v>0</v>
      </c>
      <c r="E57" s="114">
        <v>10684</v>
      </c>
      <c r="F57" s="114">
        <v>15000</v>
      </c>
      <c r="G57" s="114">
        <v>15000</v>
      </c>
      <c r="H57" s="114">
        <v>11000</v>
      </c>
      <c r="I57" s="114">
        <v>13000</v>
      </c>
      <c r="J57" s="114">
        <v>13773</v>
      </c>
      <c r="K57" s="114">
        <v>7058</v>
      </c>
      <c r="L57" s="114">
        <v>2040</v>
      </c>
      <c r="M57" s="114">
        <v>3541</v>
      </c>
      <c r="N57" s="114">
        <v>12041</v>
      </c>
      <c r="O57" s="114">
        <v>12040</v>
      </c>
      <c r="P57" s="114">
        <v>9246</v>
      </c>
      <c r="Q57" s="114">
        <v>5754</v>
      </c>
      <c r="R57" s="114">
        <v>15000</v>
      </c>
      <c r="S57" s="114">
        <v>15000</v>
      </c>
      <c r="T57" s="114">
        <v>4248</v>
      </c>
      <c r="U57" s="114">
        <v>4248</v>
      </c>
      <c r="V57" s="114">
        <v>4249</v>
      </c>
      <c r="W57" s="114">
        <v>4248</v>
      </c>
      <c r="X57" s="114">
        <v>2391</v>
      </c>
      <c r="Y57" s="114">
        <v>2392</v>
      </c>
      <c r="Z57" s="114">
        <v>2391</v>
      </c>
      <c r="AA57" s="114">
        <v>6459</v>
      </c>
      <c r="AB57" s="114">
        <v>15000</v>
      </c>
      <c r="AC57" s="114">
        <v>15000</v>
      </c>
      <c r="AD57" s="114">
        <v>15000</v>
      </c>
      <c r="AE57" s="114">
        <v>15000</v>
      </c>
      <c r="AF57" s="114">
        <v>4281</v>
      </c>
      <c r="AG57" s="114">
        <v>4282</v>
      </c>
      <c r="AH57" s="114">
        <v>4281</v>
      </c>
      <c r="AI57" s="114">
        <v>4282</v>
      </c>
      <c r="AJ57" s="114">
        <v>4281</v>
      </c>
      <c r="AK57" s="114">
        <v>8326</v>
      </c>
      <c r="AL57" s="104">
        <v>8325</v>
      </c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</row>
    <row r="58" spans="1:70" ht="16.350000000000001" customHeight="1" x14ac:dyDescent="0.3">
      <c r="A58" s="140" t="s">
        <v>128</v>
      </c>
      <c r="B58" s="136"/>
      <c r="C58" s="114">
        <f>IFERROR(INDEX($H$7:$V$7,1,MATCH("RM05",$H$3:$V$3,0)),0)</f>
        <v>0</v>
      </c>
      <c r="D58" s="114">
        <f>0</f>
        <v>0</v>
      </c>
      <c r="E58" s="114">
        <f>0</f>
        <v>0</v>
      </c>
      <c r="F58" s="114">
        <f>0</f>
        <v>0</v>
      </c>
      <c r="G58" s="114">
        <f>0</f>
        <v>0</v>
      </c>
      <c r="H58" s="114">
        <f>0</f>
        <v>0</v>
      </c>
      <c r="I58" s="114">
        <f>0</f>
        <v>0</v>
      </c>
      <c r="J58" s="114">
        <f>0</f>
        <v>0</v>
      </c>
      <c r="K58" s="113">
        <f>0</f>
        <v>0</v>
      </c>
      <c r="L58" s="113">
        <f>0</f>
        <v>0</v>
      </c>
      <c r="M58" s="113">
        <f>0</f>
        <v>0</v>
      </c>
      <c r="N58" s="113">
        <f>0</f>
        <v>0</v>
      </c>
      <c r="O58" s="113">
        <f>0</f>
        <v>0</v>
      </c>
      <c r="P58" s="113">
        <f>0</f>
        <v>0</v>
      </c>
      <c r="Q58" s="113">
        <f>0</f>
        <v>0</v>
      </c>
      <c r="R58" s="113">
        <f>0</f>
        <v>0</v>
      </c>
      <c r="S58" s="113">
        <f>0</f>
        <v>0</v>
      </c>
      <c r="T58" s="113">
        <f>0</f>
        <v>0</v>
      </c>
      <c r="U58" s="113">
        <f>0</f>
        <v>0</v>
      </c>
      <c r="V58" s="113">
        <f>0</f>
        <v>0</v>
      </c>
      <c r="W58" s="113">
        <f>0</f>
        <v>0</v>
      </c>
      <c r="X58" s="113">
        <f>0</f>
        <v>0</v>
      </c>
      <c r="Y58" s="113">
        <f>0</f>
        <v>0</v>
      </c>
      <c r="Z58" s="113">
        <f>0</f>
        <v>0</v>
      </c>
      <c r="AA58" s="113">
        <f>0</f>
        <v>0</v>
      </c>
      <c r="AB58" s="113">
        <f>0</f>
        <v>0</v>
      </c>
      <c r="AC58" s="113">
        <f>0</f>
        <v>0</v>
      </c>
      <c r="AD58" s="113">
        <f>0</f>
        <v>0</v>
      </c>
      <c r="AE58" s="113">
        <f>0</f>
        <v>0</v>
      </c>
      <c r="AF58" s="113">
        <f>0</f>
        <v>0</v>
      </c>
      <c r="AG58" s="113">
        <f>0</f>
        <v>0</v>
      </c>
      <c r="AH58" s="113">
        <f>0</f>
        <v>0</v>
      </c>
      <c r="AI58" s="113">
        <f>0</f>
        <v>0</v>
      </c>
      <c r="AJ58" s="113">
        <f>0</f>
        <v>0</v>
      </c>
      <c r="AK58" s="113">
        <f>0</f>
        <v>0</v>
      </c>
      <c r="AL58" s="113">
        <f>0</f>
        <v>0</v>
      </c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</row>
    <row r="59" spans="1:70" ht="16.350000000000001" customHeight="1" x14ac:dyDescent="0.3">
      <c r="A59" s="114" t="s">
        <v>129</v>
      </c>
      <c r="B59" s="118">
        <f>IFERROR(INDEX($H$8:$V$8,1,MATCH("RM05",$H$3:$V$3,0)),0)</f>
        <v>16468</v>
      </c>
      <c r="C59" s="114">
        <f t="shared" ref="C59:AL59" si="19">$B59</f>
        <v>16468</v>
      </c>
      <c r="D59" s="114">
        <f t="shared" si="19"/>
        <v>16468</v>
      </c>
      <c r="E59" s="114">
        <f t="shared" si="19"/>
        <v>16468</v>
      </c>
      <c r="F59" s="114">
        <f t="shared" si="19"/>
        <v>16468</v>
      </c>
      <c r="G59" s="114">
        <f t="shared" si="19"/>
        <v>16468</v>
      </c>
      <c r="H59" s="114">
        <f t="shared" si="19"/>
        <v>16468</v>
      </c>
      <c r="I59" s="114">
        <f t="shared" si="19"/>
        <v>16468</v>
      </c>
      <c r="J59" s="114">
        <f t="shared" si="19"/>
        <v>16468</v>
      </c>
      <c r="K59" s="113">
        <f t="shared" si="19"/>
        <v>16468</v>
      </c>
      <c r="L59" s="113">
        <f t="shared" si="19"/>
        <v>16468</v>
      </c>
      <c r="M59" s="113">
        <f t="shared" si="19"/>
        <v>16468</v>
      </c>
      <c r="N59" s="113">
        <f t="shared" si="19"/>
        <v>16468</v>
      </c>
      <c r="O59" s="113">
        <f t="shared" si="19"/>
        <v>16468</v>
      </c>
      <c r="P59" s="113">
        <f t="shared" si="19"/>
        <v>16468</v>
      </c>
      <c r="Q59" s="113">
        <f t="shared" si="19"/>
        <v>16468</v>
      </c>
      <c r="R59" s="113">
        <f t="shared" si="19"/>
        <v>16468</v>
      </c>
      <c r="S59" s="113">
        <f t="shared" si="19"/>
        <v>16468</v>
      </c>
      <c r="T59" s="113">
        <f t="shared" si="19"/>
        <v>16468</v>
      </c>
      <c r="U59" s="113">
        <f t="shared" si="19"/>
        <v>16468</v>
      </c>
      <c r="V59" s="113">
        <f t="shared" si="19"/>
        <v>16468</v>
      </c>
      <c r="W59" s="113">
        <f t="shared" si="19"/>
        <v>16468</v>
      </c>
      <c r="X59" s="113">
        <f t="shared" si="19"/>
        <v>16468</v>
      </c>
      <c r="Y59" s="113">
        <f t="shared" si="19"/>
        <v>16468</v>
      </c>
      <c r="Z59" s="113">
        <f t="shared" si="19"/>
        <v>16468</v>
      </c>
      <c r="AA59" s="113">
        <f t="shared" si="19"/>
        <v>16468</v>
      </c>
      <c r="AB59" s="113">
        <f t="shared" si="19"/>
        <v>16468</v>
      </c>
      <c r="AC59" s="113">
        <f t="shared" si="19"/>
        <v>16468</v>
      </c>
      <c r="AD59" s="113">
        <f t="shared" si="19"/>
        <v>16468</v>
      </c>
      <c r="AE59" s="113">
        <f t="shared" si="19"/>
        <v>16468</v>
      </c>
      <c r="AF59" s="113">
        <f t="shared" si="19"/>
        <v>16468</v>
      </c>
      <c r="AG59" s="113">
        <f t="shared" si="19"/>
        <v>16468</v>
      </c>
      <c r="AH59" s="113">
        <f t="shared" si="19"/>
        <v>16468</v>
      </c>
      <c r="AI59" s="113">
        <f t="shared" si="19"/>
        <v>16468</v>
      </c>
      <c r="AJ59" s="113">
        <f t="shared" si="19"/>
        <v>16468</v>
      </c>
      <c r="AK59" s="113">
        <f t="shared" si="19"/>
        <v>16468</v>
      </c>
      <c r="AL59" s="113">
        <f t="shared" si="19"/>
        <v>16468</v>
      </c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</row>
    <row r="60" spans="1:70" ht="16.350000000000001" customHeight="1" x14ac:dyDescent="0.3">
      <c r="A60" s="114" t="s">
        <v>135</v>
      </c>
      <c r="B60" s="118">
        <f>IFERROR(INDEX($H$6:$V$6,1,MATCH("RM05",$H$3:$V$3,0)),0)</f>
        <v>90000</v>
      </c>
      <c r="C60" s="114">
        <f>$B60+C58+C62-C57</f>
        <v>90000</v>
      </c>
      <c r="D60" s="114">
        <f t="shared" ref="D60:AL60" si="20">C60+D58+D62-D57</f>
        <v>90000</v>
      </c>
      <c r="E60" s="114">
        <f t="shared" si="20"/>
        <v>79316</v>
      </c>
      <c r="F60" s="114">
        <f t="shared" si="20"/>
        <v>64316</v>
      </c>
      <c r="G60" s="114">
        <f t="shared" si="20"/>
        <v>49316</v>
      </c>
      <c r="H60" s="114">
        <f t="shared" si="20"/>
        <v>38316</v>
      </c>
      <c r="I60" s="114">
        <f t="shared" si="20"/>
        <v>25316</v>
      </c>
      <c r="J60" s="114">
        <f t="shared" si="20"/>
        <v>16468</v>
      </c>
      <c r="K60" s="113">
        <f t="shared" si="20"/>
        <v>16468</v>
      </c>
      <c r="L60" s="113">
        <f t="shared" si="20"/>
        <v>16468</v>
      </c>
      <c r="M60" s="113">
        <f t="shared" si="20"/>
        <v>16468</v>
      </c>
      <c r="N60" s="113">
        <f t="shared" si="20"/>
        <v>16468</v>
      </c>
      <c r="O60" s="113">
        <f t="shared" si="20"/>
        <v>16468</v>
      </c>
      <c r="P60" s="113">
        <f t="shared" si="20"/>
        <v>16468</v>
      </c>
      <c r="Q60" s="113">
        <f t="shared" si="20"/>
        <v>16468</v>
      </c>
      <c r="R60" s="113">
        <f t="shared" si="20"/>
        <v>16468</v>
      </c>
      <c r="S60" s="113">
        <f t="shared" si="20"/>
        <v>16468</v>
      </c>
      <c r="T60" s="113">
        <f t="shared" si="20"/>
        <v>16468</v>
      </c>
      <c r="U60" s="113">
        <f t="shared" si="20"/>
        <v>16468</v>
      </c>
      <c r="V60" s="113">
        <f t="shared" si="20"/>
        <v>16468</v>
      </c>
      <c r="W60" s="113">
        <f t="shared" si="20"/>
        <v>16468</v>
      </c>
      <c r="X60" s="113">
        <f t="shared" si="20"/>
        <v>16468</v>
      </c>
      <c r="Y60" s="113">
        <f t="shared" si="20"/>
        <v>16468</v>
      </c>
      <c r="Z60" s="113">
        <f t="shared" si="20"/>
        <v>16468</v>
      </c>
      <c r="AA60" s="113">
        <f t="shared" si="20"/>
        <v>16468</v>
      </c>
      <c r="AB60" s="113">
        <f t="shared" si="20"/>
        <v>16468</v>
      </c>
      <c r="AC60" s="113">
        <f t="shared" si="20"/>
        <v>16468</v>
      </c>
      <c r="AD60" s="113">
        <f t="shared" si="20"/>
        <v>16468</v>
      </c>
      <c r="AE60" s="113">
        <f t="shared" si="20"/>
        <v>16468</v>
      </c>
      <c r="AF60" s="113">
        <f t="shared" si="20"/>
        <v>16468</v>
      </c>
      <c r="AG60" s="113">
        <f t="shared" si="20"/>
        <v>16468</v>
      </c>
      <c r="AH60" s="113">
        <f t="shared" si="20"/>
        <v>16468</v>
      </c>
      <c r="AI60" s="113">
        <f t="shared" si="20"/>
        <v>16468</v>
      </c>
      <c r="AJ60" s="113">
        <f t="shared" si="20"/>
        <v>16468</v>
      </c>
      <c r="AK60" s="113">
        <f t="shared" si="20"/>
        <v>16468</v>
      </c>
      <c r="AL60" s="113">
        <f t="shared" si="20"/>
        <v>16468</v>
      </c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</row>
    <row r="61" spans="1:70" ht="16.350000000000001" customHeight="1" x14ac:dyDescent="0.3">
      <c r="A61" s="114" t="s">
        <v>136</v>
      </c>
      <c r="B61" s="118"/>
      <c r="C61" s="114">
        <f>MAX(C57+C59-($B60+C58),0)</f>
        <v>0</v>
      </c>
      <c r="D61" s="114">
        <f t="shared" ref="D61:AL61" si="21">MAX(D57+D59-(C60+D58),0)</f>
        <v>0</v>
      </c>
      <c r="E61" s="114">
        <f t="shared" si="21"/>
        <v>0</v>
      </c>
      <c r="F61" s="114">
        <f t="shared" si="21"/>
        <v>0</v>
      </c>
      <c r="G61" s="114">
        <f t="shared" si="21"/>
        <v>0</v>
      </c>
      <c r="H61" s="114">
        <f t="shared" si="21"/>
        <v>0</v>
      </c>
      <c r="I61" s="114">
        <f t="shared" si="21"/>
        <v>0</v>
      </c>
      <c r="J61" s="114">
        <f t="shared" si="21"/>
        <v>4925</v>
      </c>
      <c r="K61" s="113">
        <f t="shared" si="21"/>
        <v>7058</v>
      </c>
      <c r="L61" s="113">
        <f t="shared" si="21"/>
        <v>2040</v>
      </c>
      <c r="M61" s="113">
        <f t="shared" si="21"/>
        <v>3541</v>
      </c>
      <c r="N61" s="113">
        <f t="shared" si="21"/>
        <v>12041</v>
      </c>
      <c r="O61" s="113">
        <f t="shared" si="21"/>
        <v>12040</v>
      </c>
      <c r="P61" s="113">
        <f t="shared" si="21"/>
        <v>9246</v>
      </c>
      <c r="Q61" s="113">
        <f t="shared" si="21"/>
        <v>5754</v>
      </c>
      <c r="R61" s="113">
        <f t="shared" si="21"/>
        <v>15000</v>
      </c>
      <c r="S61" s="113">
        <f t="shared" si="21"/>
        <v>15000</v>
      </c>
      <c r="T61" s="113">
        <f t="shared" si="21"/>
        <v>4248</v>
      </c>
      <c r="U61" s="113">
        <f t="shared" si="21"/>
        <v>4248</v>
      </c>
      <c r="V61" s="113">
        <f t="shared" si="21"/>
        <v>4249</v>
      </c>
      <c r="W61" s="113">
        <f t="shared" si="21"/>
        <v>4248</v>
      </c>
      <c r="X61" s="113">
        <f t="shared" si="21"/>
        <v>2391</v>
      </c>
      <c r="Y61" s="113">
        <f t="shared" si="21"/>
        <v>2392</v>
      </c>
      <c r="Z61" s="113">
        <f t="shared" si="21"/>
        <v>2391</v>
      </c>
      <c r="AA61" s="113">
        <f t="shared" si="21"/>
        <v>6459</v>
      </c>
      <c r="AB61" s="113">
        <f t="shared" si="21"/>
        <v>15000</v>
      </c>
      <c r="AC61" s="113">
        <f t="shared" si="21"/>
        <v>15000</v>
      </c>
      <c r="AD61" s="113">
        <f t="shared" si="21"/>
        <v>15000</v>
      </c>
      <c r="AE61" s="113">
        <f t="shared" si="21"/>
        <v>15000</v>
      </c>
      <c r="AF61" s="113">
        <f t="shared" si="21"/>
        <v>4281</v>
      </c>
      <c r="AG61" s="113">
        <f t="shared" si="21"/>
        <v>4282</v>
      </c>
      <c r="AH61" s="113">
        <f t="shared" si="21"/>
        <v>4281</v>
      </c>
      <c r="AI61" s="113">
        <f t="shared" si="21"/>
        <v>4282</v>
      </c>
      <c r="AJ61" s="113">
        <f t="shared" si="21"/>
        <v>4281</v>
      </c>
      <c r="AK61" s="113">
        <f t="shared" si="21"/>
        <v>8326</v>
      </c>
      <c r="AL61" s="113">
        <f t="shared" si="21"/>
        <v>8325</v>
      </c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</row>
    <row r="62" spans="1:70" ht="16.350000000000001" customHeight="1" x14ac:dyDescent="0.3">
      <c r="A62" s="140" t="s">
        <v>137</v>
      </c>
      <c r="B62" s="136"/>
      <c r="C62" s="114">
        <f t="shared" ref="C62:AL62" si="22">C61</f>
        <v>0</v>
      </c>
      <c r="D62" s="114">
        <f t="shared" si="22"/>
        <v>0</v>
      </c>
      <c r="E62" s="114">
        <f t="shared" si="22"/>
        <v>0</v>
      </c>
      <c r="F62" s="114">
        <f t="shared" si="22"/>
        <v>0</v>
      </c>
      <c r="G62" s="114">
        <f t="shared" si="22"/>
        <v>0</v>
      </c>
      <c r="H62" s="114">
        <f t="shared" si="22"/>
        <v>0</v>
      </c>
      <c r="I62" s="114">
        <f t="shared" si="22"/>
        <v>0</v>
      </c>
      <c r="J62" s="114">
        <f t="shared" si="22"/>
        <v>4925</v>
      </c>
      <c r="K62" s="113">
        <f t="shared" si="22"/>
        <v>7058</v>
      </c>
      <c r="L62" s="113">
        <f t="shared" si="22"/>
        <v>2040</v>
      </c>
      <c r="M62" s="113">
        <f t="shared" si="22"/>
        <v>3541</v>
      </c>
      <c r="N62" s="113">
        <f t="shared" si="22"/>
        <v>12041</v>
      </c>
      <c r="O62" s="113">
        <f t="shared" si="22"/>
        <v>12040</v>
      </c>
      <c r="P62" s="113">
        <f t="shared" si="22"/>
        <v>9246</v>
      </c>
      <c r="Q62" s="113">
        <f t="shared" si="22"/>
        <v>5754</v>
      </c>
      <c r="R62" s="113">
        <f t="shared" si="22"/>
        <v>15000</v>
      </c>
      <c r="S62" s="113">
        <f t="shared" si="22"/>
        <v>15000</v>
      </c>
      <c r="T62" s="113">
        <f t="shared" si="22"/>
        <v>4248</v>
      </c>
      <c r="U62" s="113">
        <f t="shared" si="22"/>
        <v>4248</v>
      </c>
      <c r="V62" s="113">
        <f t="shared" si="22"/>
        <v>4249</v>
      </c>
      <c r="W62" s="113">
        <f t="shared" si="22"/>
        <v>4248</v>
      </c>
      <c r="X62" s="113">
        <f t="shared" si="22"/>
        <v>2391</v>
      </c>
      <c r="Y62" s="113">
        <f t="shared" si="22"/>
        <v>2392</v>
      </c>
      <c r="Z62" s="113">
        <f t="shared" si="22"/>
        <v>2391</v>
      </c>
      <c r="AA62" s="113">
        <f t="shared" si="22"/>
        <v>6459</v>
      </c>
      <c r="AB62" s="113">
        <f t="shared" si="22"/>
        <v>15000</v>
      </c>
      <c r="AC62" s="113">
        <f t="shared" si="22"/>
        <v>15000</v>
      </c>
      <c r="AD62" s="113">
        <f t="shared" si="22"/>
        <v>15000</v>
      </c>
      <c r="AE62" s="113">
        <f t="shared" si="22"/>
        <v>15000</v>
      </c>
      <c r="AF62" s="113">
        <f t="shared" si="22"/>
        <v>4281</v>
      </c>
      <c r="AG62" s="113">
        <f t="shared" si="22"/>
        <v>4282</v>
      </c>
      <c r="AH62" s="113">
        <f t="shared" si="22"/>
        <v>4281</v>
      </c>
      <c r="AI62" s="113">
        <f t="shared" si="22"/>
        <v>4282</v>
      </c>
      <c r="AJ62" s="113">
        <f t="shared" si="22"/>
        <v>4281</v>
      </c>
      <c r="AK62" s="113">
        <f t="shared" si="22"/>
        <v>8326</v>
      </c>
      <c r="AL62" s="113">
        <f t="shared" si="22"/>
        <v>8325</v>
      </c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</row>
    <row r="63" spans="1:70" ht="16.350000000000001" customHeight="1" x14ac:dyDescent="0.3">
      <c r="A63" s="114" t="s">
        <v>138</v>
      </c>
      <c r="B63" s="118"/>
      <c r="C63" s="114">
        <f>IFERROR(INDEX($C$62:$AK$62,1,1+ROUND(INDEX($H$5:$V$5,1,MATCH("RM05",$H$3:$V$3,0))/7,0)),0)</f>
        <v>3541</v>
      </c>
      <c r="D63" s="114">
        <f>IFERROR(INDEX($C$62:$AK$62,1,2+ROUND(INDEX($H$5:$V$5,1,MATCH("RM05",$H$3:$V$3,0))/7,0)),0)</f>
        <v>12041</v>
      </c>
      <c r="E63" s="114">
        <f>IFERROR(INDEX($C$62:$AK$62,1,3+ROUND(INDEX($H$5:$V$5,1,MATCH("RM05",$H$3:$V$3,0))/7,0)),0)</f>
        <v>12040</v>
      </c>
      <c r="F63" s="114">
        <f>IFERROR(INDEX($C$62:$AK$62,1,4+ROUND(INDEX($H$5:$V$5,1,MATCH("RM05",$H$3:$V$3,0))/7,0)),0)</f>
        <v>9246</v>
      </c>
      <c r="G63" s="114">
        <f>IFERROR(INDEX($C$62:$AK$62,1,5+ROUND(INDEX($H$5:$V$5,1,MATCH("RM05",$H$3:$V$3,0))/7,0)),0)</f>
        <v>5754</v>
      </c>
      <c r="H63" s="114">
        <f>IFERROR(INDEX($C$62:$AK$62,1,6+ROUND(INDEX($H$5:$V$5,1,MATCH("RM05",$H$3:$V$3,0))/7,0)),0)</f>
        <v>15000</v>
      </c>
      <c r="I63" s="114">
        <f>IFERROR(INDEX($C$62:$AK$62,1,7+ROUND(INDEX($H$5:$V$5,1,MATCH("RM05",$H$3:$V$3,0))/7,0)),0)</f>
        <v>15000</v>
      </c>
      <c r="J63" s="114">
        <f>IFERROR(INDEX($C$62:$AK$62,1,8+ROUND(INDEX($H$5:$V$5,1,MATCH("RM05",$H$3:$V$3,0))/7,0)),0)</f>
        <v>4248</v>
      </c>
      <c r="K63" s="113">
        <f>IFERROR(INDEX($C$62:$AK$62,1,9+ROUND(INDEX($H$5:$V$5,1,MATCH("RM05",$H$3:$V$3,0))/7,0)),0)</f>
        <v>4248</v>
      </c>
      <c r="L63" s="113">
        <f>IFERROR(INDEX($C$62:$AK$62,1,10+ROUND(INDEX($H$5:$V$5,1,MATCH("RM05",$H$3:$V$3,0))/7,0)),0)</f>
        <v>4249</v>
      </c>
      <c r="M63" s="113">
        <f>IFERROR(INDEX($C$62:$AK$62,1,11+ROUND(INDEX($H$5:$V$5,1,MATCH("RM05",$H$3:$V$3,0))/7,0)),0)</f>
        <v>4248</v>
      </c>
      <c r="N63" s="113">
        <f>IFERROR(INDEX($C$62:$AK$62,1,12+ROUND(INDEX($H$5:$V$5,1,MATCH("RM05",$H$3:$V$3,0))/7,0)),0)</f>
        <v>2391</v>
      </c>
      <c r="O63" s="113">
        <f>IFERROR(INDEX($C$62:$AK$62,1,13+ROUND(INDEX($H$5:$V$5,1,MATCH("RM05",$H$3:$V$3,0))/7,0)),0)</f>
        <v>2392</v>
      </c>
      <c r="P63" s="113">
        <f>IFERROR(INDEX($C$62:$AK$62,1,14+ROUND(INDEX($H$5:$V$5,1,MATCH("RM05",$H$3:$V$3,0))/7,0)),0)</f>
        <v>2391</v>
      </c>
      <c r="Q63" s="113">
        <f>IFERROR(INDEX($C$62:$AK$62,1,15+ROUND(INDEX($H$5:$V$5,1,MATCH("RM05",$H$3:$V$3,0))/7,0)),0)</f>
        <v>6459</v>
      </c>
      <c r="R63" s="113">
        <f>IFERROR(INDEX($C$62:$AK$62,1,16+ROUND(INDEX($H$5:$V$5,1,MATCH("RM05",$H$3:$V$3,0))/7,0)),0)</f>
        <v>15000</v>
      </c>
      <c r="S63" s="113">
        <f>IFERROR(INDEX($C$62:$AK$62,1,17+ROUND(INDEX($H$5:$V$5,1,MATCH("RM05",$H$3:$V$3,0))/7,0)),0)</f>
        <v>15000</v>
      </c>
      <c r="T63" s="113">
        <f>IFERROR(INDEX($C$62:$AK$62,1,18+ROUND(INDEX($H$5:$V$5,1,MATCH("RM05",$H$3:$V$3,0))/7,0)),0)</f>
        <v>15000</v>
      </c>
      <c r="U63" s="113">
        <f>IFERROR(INDEX($C$62:$AK$62,1,19+ROUND(INDEX($H$5:$V$5,1,MATCH("RM05",$H$3:$V$3,0))/7,0)),0)</f>
        <v>15000</v>
      </c>
      <c r="V63" s="113">
        <f>IFERROR(INDEX($C$62:$AK$62,1,20+ROUND(INDEX($H$5:$V$5,1,MATCH("RM05",$H$3:$V$3,0))/7,0)),0)</f>
        <v>4281</v>
      </c>
      <c r="W63" s="113">
        <f>IFERROR(INDEX($C$62:$AK$62,1,21+ROUND(INDEX($H$5:$V$5,1,MATCH("RM05",$H$3:$V$3,0))/7,0)),0)</f>
        <v>4282</v>
      </c>
      <c r="X63" s="113">
        <f>IFERROR(INDEX($C$62:$AK$62,1,22+ROUND(INDEX($H$5:$V$5,1,MATCH("RM05",$H$3:$V$3,0))/7,0)),0)</f>
        <v>4281</v>
      </c>
      <c r="Y63" s="113">
        <f>IFERROR(INDEX($C$62:$AK$62,1,23+ROUND(INDEX($H$5:$V$5,1,MATCH("RM05",$H$3:$V$3,0))/7,0)),0)</f>
        <v>4282</v>
      </c>
      <c r="Z63" s="113">
        <f>IFERROR(INDEX($C$62:$AK$62,1,24+ROUND(INDEX($H$5:$V$5,1,MATCH("RM05",$H$3:$V$3,0))/7,0)),0)</f>
        <v>4281</v>
      </c>
      <c r="AA63" s="113">
        <f>IFERROR(INDEX($C$62:$AK$62,1,25+ROUND(INDEX($H$5:$V$5,1,MATCH("RM05",$H$3:$V$3,0))/7,0)),0)</f>
        <v>8326</v>
      </c>
      <c r="AB63" s="113">
        <f>IFERROR(INDEX($C$62:$AK$62,1,26+ROUND(INDEX($H$5:$V$5,1,MATCH("RM05",$H$3:$V$3,0))/7,0)),0)</f>
        <v>0</v>
      </c>
      <c r="AC63" s="113">
        <f>IFERROR(INDEX($C$62:$AK$62,1,27+ROUND(INDEX($H$5:$V$5,1,MATCH("RM05",$H$3:$V$3,0))/7,0)),0)</f>
        <v>0</v>
      </c>
      <c r="AD63" s="113">
        <f>IFERROR(INDEX($C$62:$AK$62,1,28+ROUND(INDEX($H$5:$V$5,1,MATCH("RM05",$H$3:$V$3,0))/7,0)),0)</f>
        <v>0</v>
      </c>
      <c r="AE63" s="113">
        <f>IFERROR(INDEX($C$62:$AK$62,1,29+ROUND(INDEX($H$5:$V$5,1,MATCH("RM05",$H$3:$V$3,0))/7,0)),0)</f>
        <v>0</v>
      </c>
      <c r="AF63" s="113">
        <f>IFERROR(INDEX($C$62:$AK$62,1,30+ROUND(INDEX($H$5:$V$5,1,MATCH("RM05",$H$3:$V$3,0))/7,0)),0)</f>
        <v>0</v>
      </c>
      <c r="AG63" s="113">
        <f>IFERROR(INDEX($C$62:$AK$62,1,31+ROUND(INDEX($H$5:$V$5,1,MATCH("RM05",$H$3:$V$3,0))/7,0)),0)</f>
        <v>0</v>
      </c>
      <c r="AH63" s="113">
        <f>IFERROR(INDEX($C$62:$AK$62,1,32+ROUND(INDEX($H$5:$V$5,1,MATCH("RM05",$H$3:$V$3,0))/7,0)),0)</f>
        <v>0</v>
      </c>
      <c r="AI63" s="113">
        <f>IFERROR(INDEX($C$62:$AK$62,1,33+ROUND(INDEX($H$5:$V$5,1,MATCH("RM05",$H$3:$V$3,0))/7,0)),0)</f>
        <v>0</v>
      </c>
      <c r="AJ63" s="113">
        <f>IFERROR(INDEX($C$62:$AK$62,1,34+ROUND(INDEX($H$5:$V$5,1,MATCH("RM05",$H$3:$V$3,0))/7,0)),0)</f>
        <v>0</v>
      </c>
      <c r="AK63" s="113">
        <f>IFERROR(INDEX($C$62:$AK$62,1,35+ROUND(INDEX($H$5:$V$5,1,MATCH("RM05",$H$3:$V$3,0))/7,0)),0)</f>
        <v>0</v>
      </c>
      <c r="AL63" s="113">
        <f>IFERROR(INDEX($C$62:$AK$62,1,35+ROUND(INDEX($H$5:$V$5,1,MATCH("RM05",$H$3:$V$3,0))/7,0)),0)</f>
        <v>0</v>
      </c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</row>
    <row r="64" spans="1:70" x14ac:dyDescent="0.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</row>
    <row r="65" spans="1:70" ht="16.350000000000001" customHeight="1" x14ac:dyDescent="0.3">
      <c r="A65" s="47" t="s">
        <v>143</v>
      </c>
      <c r="B65" s="47" t="s">
        <v>132</v>
      </c>
      <c r="C65" s="137" t="s">
        <v>0</v>
      </c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6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</row>
    <row r="66" spans="1:70" ht="16.350000000000001" customHeight="1" x14ac:dyDescent="0.3">
      <c r="A66" s="47" t="s">
        <v>133</v>
      </c>
      <c r="B66" s="47" t="str">
        <f>"LT: "&amp;ROUND(INDEX($H$5:$V$5,1,MATCH("RM06",$H$3:$V$3,0))/7,0)</f>
        <v>LT: 5</v>
      </c>
      <c r="C66" s="48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 s="104">
        <v>46370</v>
      </c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</row>
    <row r="67" spans="1:70" ht="16.350000000000001" customHeight="1" x14ac:dyDescent="0.3">
      <c r="A67" s="51" t="s">
        <v>134</v>
      </c>
      <c r="B67" s="104"/>
      <c r="C67" s="114">
        <f t="array" ref="C67:AL67">TRANSPOSE(BOM_demand!$M$2:$M$37)</f>
        <v>31877.5</v>
      </c>
      <c r="D67" s="114">
        <v>5622.5</v>
      </c>
      <c r="E67" s="114">
        <v>0</v>
      </c>
      <c r="F67" s="114">
        <v>0</v>
      </c>
      <c r="G67" s="114">
        <v>0</v>
      </c>
      <c r="H67" s="114">
        <v>10000</v>
      </c>
      <c r="I67" s="114">
        <v>5000</v>
      </c>
      <c r="J67" s="114">
        <v>3067.5</v>
      </c>
      <c r="K67" s="114">
        <v>13272.5</v>
      </c>
      <c r="L67" s="114">
        <v>13272.5</v>
      </c>
      <c r="M67" s="114">
        <v>7702.5</v>
      </c>
      <c r="N67" s="114">
        <v>7397.5</v>
      </c>
      <c r="O67" s="114">
        <v>7400</v>
      </c>
      <c r="P67" s="114">
        <v>7500</v>
      </c>
      <c r="Q67" s="114">
        <v>12000</v>
      </c>
      <c r="R67" s="114">
        <v>0</v>
      </c>
      <c r="S67" s="114">
        <v>0</v>
      </c>
      <c r="T67" s="114">
        <v>6000</v>
      </c>
      <c r="U67" s="114">
        <v>6000</v>
      </c>
      <c r="V67" s="114">
        <v>9375</v>
      </c>
      <c r="W67" s="114">
        <v>9375</v>
      </c>
      <c r="X67" s="114">
        <v>9375</v>
      </c>
      <c r="Y67" s="114">
        <v>9625</v>
      </c>
      <c r="Z67" s="114">
        <v>31522.5</v>
      </c>
      <c r="AA67" s="114">
        <v>20727.5</v>
      </c>
      <c r="AB67" s="114">
        <v>0</v>
      </c>
      <c r="AC67" s="114">
        <v>0</v>
      </c>
      <c r="AD67" s="114">
        <v>0</v>
      </c>
      <c r="AE67" s="114">
        <v>0</v>
      </c>
      <c r="AF67" s="114">
        <v>15625</v>
      </c>
      <c r="AG67" s="114">
        <v>15625</v>
      </c>
      <c r="AH67" s="114">
        <v>15625</v>
      </c>
      <c r="AI67" s="114">
        <v>15625</v>
      </c>
      <c r="AJ67" s="114">
        <v>15625</v>
      </c>
      <c r="AK67" s="114">
        <v>15625</v>
      </c>
      <c r="AL67" s="104">
        <v>15625</v>
      </c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</row>
    <row r="68" spans="1:70" ht="16.350000000000001" customHeight="1" x14ac:dyDescent="0.3">
      <c r="A68" s="140" t="s">
        <v>128</v>
      </c>
      <c r="B68" s="136"/>
      <c r="C68" s="114">
        <f>IFERROR(INDEX($H$7:$V$7,1,MATCH("RM06",$H$3:$V$3,0)),0)</f>
        <v>0</v>
      </c>
      <c r="D68" s="114">
        <f>0</f>
        <v>0</v>
      </c>
      <c r="E68" s="114">
        <f>0</f>
        <v>0</v>
      </c>
      <c r="F68" s="114">
        <f>0</f>
        <v>0</v>
      </c>
      <c r="G68" s="114">
        <f>0</f>
        <v>0</v>
      </c>
      <c r="H68" s="114">
        <f>0</f>
        <v>0</v>
      </c>
      <c r="I68" s="114">
        <f>0</f>
        <v>0</v>
      </c>
      <c r="J68" s="114">
        <f>0</f>
        <v>0</v>
      </c>
      <c r="K68" s="113">
        <f>0</f>
        <v>0</v>
      </c>
      <c r="L68" s="113">
        <f>0</f>
        <v>0</v>
      </c>
      <c r="M68" s="113">
        <f>0</f>
        <v>0</v>
      </c>
      <c r="N68" s="113">
        <f>0</f>
        <v>0</v>
      </c>
      <c r="O68" s="113">
        <f>0</f>
        <v>0</v>
      </c>
      <c r="P68" s="113">
        <f>0</f>
        <v>0</v>
      </c>
      <c r="Q68" s="113">
        <f>0</f>
        <v>0</v>
      </c>
      <c r="R68" s="113">
        <f>0</f>
        <v>0</v>
      </c>
      <c r="S68" s="113">
        <f>0</f>
        <v>0</v>
      </c>
      <c r="T68" s="113">
        <f>0</f>
        <v>0</v>
      </c>
      <c r="U68" s="113">
        <f>0</f>
        <v>0</v>
      </c>
      <c r="V68" s="113">
        <f>0</f>
        <v>0</v>
      </c>
      <c r="W68" s="113">
        <f>0</f>
        <v>0</v>
      </c>
      <c r="X68" s="113">
        <f>0</f>
        <v>0</v>
      </c>
      <c r="Y68" s="113">
        <f>0</f>
        <v>0</v>
      </c>
      <c r="Z68" s="113">
        <f>0</f>
        <v>0</v>
      </c>
      <c r="AA68" s="113">
        <f>0</f>
        <v>0</v>
      </c>
      <c r="AB68" s="113">
        <f>0</f>
        <v>0</v>
      </c>
      <c r="AC68" s="113">
        <f>0</f>
        <v>0</v>
      </c>
      <c r="AD68" s="113">
        <f>0</f>
        <v>0</v>
      </c>
      <c r="AE68" s="113">
        <f>0</f>
        <v>0</v>
      </c>
      <c r="AF68" s="113">
        <f>0</f>
        <v>0</v>
      </c>
      <c r="AG68" s="113">
        <f>0</f>
        <v>0</v>
      </c>
      <c r="AH68" s="113">
        <f>0</f>
        <v>0</v>
      </c>
      <c r="AI68" s="113">
        <f>0</f>
        <v>0</v>
      </c>
      <c r="AJ68" s="113">
        <f>0</f>
        <v>0</v>
      </c>
      <c r="AK68" s="113">
        <f>0</f>
        <v>0</v>
      </c>
      <c r="AL68" s="113">
        <f>0</f>
        <v>0</v>
      </c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</row>
    <row r="69" spans="1:70" ht="16.350000000000001" customHeight="1" x14ac:dyDescent="0.3">
      <c r="A69" s="114" t="s">
        <v>129</v>
      </c>
      <c r="B69" s="118">
        <f>IFERROR(INDEX($H$8:$V$8,1,MATCH("RM06",$H$3:$V$3,0)),0)</f>
        <v>19527</v>
      </c>
      <c r="C69" s="114">
        <f t="shared" ref="C69:AL69" si="23">$B69</f>
        <v>19527</v>
      </c>
      <c r="D69" s="114">
        <f t="shared" si="23"/>
        <v>19527</v>
      </c>
      <c r="E69" s="114">
        <f t="shared" si="23"/>
        <v>19527</v>
      </c>
      <c r="F69" s="114">
        <f t="shared" si="23"/>
        <v>19527</v>
      </c>
      <c r="G69" s="114">
        <f t="shared" si="23"/>
        <v>19527</v>
      </c>
      <c r="H69" s="114">
        <f t="shared" si="23"/>
        <v>19527</v>
      </c>
      <c r="I69" s="114">
        <f t="shared" si="23"/>
        <v>19527</v>
      </c>
      <c r="J69" s="114">
        <f t="shared" si="23"/>
        <v>19527</v>
      </c>
      <c r="K69" s="113">
        <f t="shared" si="23"/>
        <v>19527</v>
      </c>
      <c r="L69" s="113">
        <f t="shared" si="23"/>
        <v>19527</v>
      </c>
      <c r="M69" s="113">
        <f t="shared" si="23"/>
        <v>19527</v>
      </c>
      <c r="N69" s="113">
        <f t="shared" si="23"/>
        <v>19527</v>
      </c>
      <c r="O69" s="113">
        <f t="shared" si="23"/>
        <v>19527</v>
      </c>
      <c r="P69" s="113">
        <f t="shared" si="23"/>
        <v>19527</v>
      </c>
      <c r="Q69" s="113">
        <f t="shared" si="23"/>
        <v>19527</v>
      </c>
      <c r="R69" s="113">
        <f t="shared" si="23"/>
        <v>19527</v>
      </c>
      <c r="S69" s="113">
        <f t="shared" si="23"/>
        <v>19527</v>
      </c>
      <c r="T69" s="113">
        <f t="shared" si="23"/>
        <v>19527</v>
      </c>
      <c r="U69" s="113">
        <f t="shared" si="23"/>
        <v>19527</v>
      </c>
      <c r="V69" s="113">
        <f t="shared" si="23"/>
        <v>19527</v>
      </c>
      <c r="W69" s="113">
        <f t="shared" si="23"/>
        <v>19527</v>
      </c>
      <c r="X69" s="113">
        <f t="shared" si="23"/>
        <v>19527</v>
      </c>
      <c r="Y69" s="113">
        <f t="shared" si="23"/>
        <v>19527</v>
      </c>
      <c r="Z69" s="113">
        <f t="shared" si="23"/>
        <v>19527</v>
      </c>
      <c r="AA69" s="113">
        <f t="shared" si="23"/>
        <v>19527</v>
      </c>
      <c r="AB69" s="113">
        <f t="shared" si="23"/>
        <v>19527</v>
      </c>
      <c r="AC69" s="113">
        <f t="shared" si="23"/>
        <v>19527</v>
      </c>
      <c r="AD69" s="113">
        <f t="shared" si="23"/>
        <v>19527</v>
      </c>
      <c r="AE69" s="113">
        <f t="shared" si="23"/>
        <v>19527</v>
      </c>
      <c r="AF69" s="113">
        <f t="shared" si="23"/>
        <v>19527</v>
      </c>
      <c r="AG69" s="113">
        <f t="shared" si="23"/>
        <v>19527</v>
      </c>
      <c r="AH69" s="113">
        <f t="shared" si="23"/>
        <v>19527</v>
      </c>
      <c r="AI69" s="113">
        <f t="shared" si="23"/>
        <v>19527</v>
      </c>
      <c r="AJ69" s="113">
        <f t="shared" si="23"/>
        <v>19527</v>
      </c>
      <c r="AK69" s="113">
        <f t="shared" si="23"/>
        <v>19527</v>
      </c>
      <c r="AL69" s="113">
        <f t="shared" si="23"/>
        <v>19527</v>
      </c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</row>
    <row r="70" spans="1:70" ht="16.350000000000001" customHeight="1" x14ac:dyDescent="0.3">
      <c r="A70" s="114" t="s">
        <v>135</v>
      </c>
      <c r="B70" s="118">
        <f>IFERROR(INDEX($H$6:$V$6,1,MATCH("RM06",$H$3:$V$3,0)),0)</f>
        <v>76000</v>
      </c>
      <c r="C70" s="114">
        <f>$B70+C68+C72-C67</f>
        <v>44122.5</v>
      </c>
      <c r="D70" s="114">
        <f t="shared" ref="D70:AL70" si="24">C70+D68+D72-D67</f>
        <v>38500</v>
      </c>
      <c r="E70" s="114">
        <f t="shared" si="24"/>
        <v>38500</v>
      </c>
      <c r="F70" s="114">
        <f t="shared" si="24"/>
        <v>38500</v>
      </c>
      <c r="G70" s="114">
        <f t="shared" si="24"/>
        <v>38500</v>
      </c>
      <c r="H70" s="114">
        <f t="shared" si="24"/>
        <v>28500</v>
      </c>
      <c r="I70" s="114">
        <f t="shared" si="24"/>
        <v>23500</v>
      </c>
      <c r="J70" s="114">
        <f t="shared" si="24"/>
        <v>20432.5</v>
      </c>
      <c r="K70" s="113">
        <f t="shared" si="24"/>
        <v>19527</v>
      </c>
      <c r="L70" s="113">
        <f t="shared" si="24"/>
        <v>19527</v>
      </c>
      <c r="M70" s="113">
        <f t="shared" si="24"/>
        <v>19527</v>
      </c>
      <c r="N70" s="113">
        <f t="shared" si="24"/>
        <v>19527</v>
      </c>
      <c r="O70" s="113">
        <f t="shared" si="24"/>
        <v>19527</v>
      </c>
      <c r="P70" s="113">
        <f t="shared" si="24"/>
        <v>19527</v>
      </c>
      <c r="Q70" s="113">
        <f t="shared" si="24"/>
        <v>19527</v>
      </c>
      <c r="R70" s="113">
        <f t="shared" si="24"/>
        <v>19527</v>
      </c>
      <c r="S70" s="113">
        <f t="shared" si="24"/>
        <v>19527</v>
      </c>
      <c r="T70" s="113">
        <f t="shared" si="24"/>
        <v>19527</v>
      </c>
      <c r="U70" s="113">
        <f t="shared" si="24"/>
        <v>19527</v>
      </c>
      <c r="V70" s="113">
        <f t="shared" si="24"/>
        <v>19527</v>
      </c>
      <c r="W70" s="113">
        <f t="shared" si="24"/>
        <v>19527</v>
      </c>
      <c r="X70" s="113">
        <f t="shared" si="24"/>
        <v>19527</v>
      </c>
      <c r="Y70" s="113">
        <f t="shared" si="24"/>
        <v>19527</v>
      </c>
      <c r="Z70" s="113">
        <f t="shared" si="24"/>
        <v>19527</v>
      </c>
      <c r="AA70" s="113">
        <f t="shared" si="24"/>
        <v>19527</v>
      </c>
      <c r="AB70" s="113">
        <f t="shared" si="24"/>
        <v>19527</v>
      </c>
      <c r="AC70" s="113">
        <f t="shared" si="24"/>
        <v>19527</v>
      </c>
      <c r="AD70" s="113">
        <f t="shared" si="24"/>
        <v>19527</v>
      </c>
      <c r="AE70" s="113">
        <f t="shared" si="24"/>
        <v>19527</v>
      </c>
      <c r="AF70" s="113">
        <f t="shared" si="24"/>
        <v>19527</v>
      </c>
      <c r="AG70" s="113">
        <f t="shared" si="24"/>
        <v>19527</v>
      </c>
      <c r="AH70" s="113">
        <f t="shared" si="24"/>
        <v>19527</v>
      </c>
      <c r="AI70" s="113">
        <f t="shared" si="24"/>
        <v>19527</v>
      </c>
      <c r="AJ70" s="113">
        <f t="shared" si="24"/>
        <v>19527</v>
      </c>
      <c r="AK70" s="113">
        <f t="shared" si="24"/>
        <v>19527</v>
      </c>
      <c r="AL70" s="113">
        <f t="shared" si="24"/>
        <v>19527</v>
      </c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</row>
    <row r="71" spans="1:70" ht="16.350000000000001" customHeight="1" x14ac:dyDescent="0.3">
      <c r="A71" s="114" t="s">
        <v>136</v>
      </c>
      <c r="B71" s="118"/>
      <c r="C71" s="114">
        <f>MAX(C67+C69-($B70+C68),0)</f>
        <v>0</v>
      </c>
      <c r="D71" s="114">
        <f t="shared" ref="D71:AL71" si="25">MAX(D67+D69-(C70+D68),0)</f>
        <v>0</v>
      </c>
      <c r="E71" s="114">
        <f t="shared" si="25"/>
        <v>0</v>
      </c>
      <c r="F71" s="114">
        <f t="shared" si="25"/>
        <v>0</v>
      </c>
      <c r="G71" s="114">
        <f t="shared" si="25"/>
        <v>0</v>
      </c>
      <c r="H71" s="114">
        <f t="shared" si="25"/>
        <v>0</v>
      </c>
      <c r="I71" s="114">
        <f t="shared" si="25"/>
        <v>0</v>
      </c>
      <c r="J71" s="114">
        <f t="shared" si="25"/>
        <v>0</v>
      </c>
      <c r="K71" s="113">
        <f t="shared" si="25"/>
        <v>12367</v>
      </c>
      <c r="L71" s="113">
        <f t="shared" si="25"/>
        <v>13272.5</v>
      </c>
      <c r="M71" s="113">
        <f t="shared" si="25"/>
        <v>7702.5</v>
      </c>
      <c r="N71" s="113">
        <f t="shared" si="25"/>
        <v>7397.5</v>
      </c>
      <c r="O71" s="113">
        <f t="shared" si="25"/>
        <v>7400</v>
      </c>
      <c r="P71" s="113">
        <f t="shared" si="25"/>
        <v>7500</v>
      </c>
      <c r="Q71" s="113">
        <f t="shared" si="25"/>
        <v>12000</v>
      </c>
      <c r="R71" s="113">
        <f t="shared" si="25"/>
        <v>0</v>
      </c>
      <c r="S71" s="113">
        <f t="shared" si="25"/>
        <v>0</v>
      </c>
      <c r="T71" s="113">
        <f t="shared" si="25"/>
        <v>6000</v>
      </c>
      <c r="U71" s="113">
        <f t="shared" si="25"/>
        <v>6000</v>
      </c>
      <c r="V71" s="113">
        <f t="shared" si="25"/>
        <v>9375</v>
      </c>
      <c r="W71" s="113">
        <f t="shared" si="25"/>
        <v>9375</v>
      </c>
      <c r="X71" s="113">
        <f t="shared" si="25"/>
        <v>9375</v>
      </c>
      <c r="Y71" s="113">
        <f t="shared" si="25"/>
        <v>9625</v>
      </c>
      <c r="Z71" s="113">
        <f t="shared" si="25"/>
        <v>31522.5</v>
      </c>
      <c r="AA71" s="113">
        <f t="shared" si="25"/>
        <v>20727.5</v>
      </c>
      <c r="AB71" s="113">
        <f t="shared" si="25"/>
        <v>0</v>
      </c>
      <c r="AC71" s="113">
        <f t="shared" si="25"/>
        <v>0</v>
      </c>
      <c r="AD71" s="113">
        <f t="shared" si="25"/>
        <v>0</v>
      </c>
      <c r="AE71" s="113">
        <f t="shared" si="25"/>
        <v>0</v>
      </c>
      <c r="AF71" s="113">
        <f t="shared" si="25"/>
        <v>15625</v>
      </c>
      <c r="AG71" s="113">
        <f t="shared" si="25"/>
        <v>15625</v>
      </c>
      <c r="AH71" s="113">
        <f t="shared" si="25"/>
        <v>15625</v>
      </c>
      <c r="AI71" s="113">
        <f t="shared" si="25"/>
        <v>15625</v>
      </c>
      <c r="AJ71" s="113">
        <f t="shared" si="25"/>
        <v>15625</v>
      </c>
      <c r="AK71" s="113">
        <f t="shared" si="25"/>
        <v>15625</v>
      </c>
      <c r="AL71" s="113">
        <f t="shared" si="25"/>
        <v>15625</v>
      </c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</row>
    <row r="72" spans="1:70" ht="16.350000000000001" customHeight="1" x14ac:dyDescent="0.3">
      <c r="A72" s="140" t="s">
        <v>137</v>
      </c>
      <c r="B72" s="136"/>
      <c r="C72" s="114">
        <f t="shared" ref="C72:AL72" si="26">C71</f>
        <v>0</v>
      </c>
      <c r="D72" s="114">
        <f t="shared" si="26"/>
        <v>0</v>
      </c>
      <c r="E72" s="114">
        <f t="shared" si="26"/>
        <v>0</v>
      </c>
      <c r="F72" s="114">
        <f t="shared" si="26"/>
        <v>0</v>
      </c>
      <c r="G72" s="114">
        <f t="shared" si="26"/>
        <v>0</v>
      </c>
      <c r="H72" s="114">
        <f t="shared" si="26"/>
        <v>0</v>
      </c>
      <c r="I72" s="114">
        <f t="shared" si="26"/>
        <v>0</v>
      </c>
      <c r="J72" s="114">
        <f t="shared" si="26"/>
        <v>0</v>
      </c>
      <c r="K72" s="113">
        <f t="shared" si="26"/>
        <v>12367</v>
      </c>
      <c r="L72" s="113">
        <f t="shared" si="26"/>
        <v>13272.5</v>
      </c>
      <c r="M72" s="113">
        <f t="shared" si="26"/>
        <v>7702.5</v>
      </c>
      <c r="N72" s="113">
        <f t="shared" si="26"/>
        <v>7397.5</v>
      </c>
      <c r="O72" s="113">
        <f t="shared" si="26"/>
        <v>7400</v>
      </c>
      <c r="P72" s="113">
        <f t="shared" si="26"/>
        <v>7500</v>
      </c>
      <c r="Q72" s="113">
        <f t="shared" si="26"/>
        <v>12000</v>
      </c>
      <c r="R72" s="113">
        <f t="shared" si="26"/>
        <v>0</v>
      </c>
      <c r="S72" s="113">
        <f t="shared" si="26"/>
        <v>0</v>
      </c>
      <c r="T72" s="113">
        <f t="shared" si="26"/>
        <v>6000</v>
      </c>
      <c r="U72" s="113">
        <f t="shared" si="26"/>
        <v>6000</v>
      </c>
      <c r="V72" s="113">
        <f t="shared" si="26"/>
        <v>9375</v>
      </c>
      <c r="W72" s="113">
        <f t="shared" si="26"/>
        <v>9375</v>
      </c>
      <c r="X72" s="113">
        <f t="shared" si="26"/>
        <v>9375</v>
      </c>
      <c r="Y72" s="113">
        <f t="shared" si="26"/>
        <v>9625</v>
      </c>
      <c r="Z72" s="113">
        <f t="shared" si="26"/>
        <v>31522.5</v>
      </c>
      <c r="AA72" s="113">
        <f t="shared" si="26"/>
        <v>20727.5</v>
      </c>
      <c r="AB72" s="113">
        <f t="shared" si="26"/>
        <v>0</v>
      </c>
      <c r="AC72" s="113">
        <f t="shared" si="26"/>
        <v>0</v>
      </c>
      <c r="AD72" s="113">
        <f t="shared" si="26"/>
        <v>0</v>
      </c>
      <c r="AE72" s="113">
        <f t="shared" si="26"/>
        <v>0</v>
      </c>
      <c r="AF72" s="113">
        <f t="shared" si="26"/>
        <v>15625</v>
      </c>
      <c r="AG72" s="113">
        <f t="shared" si="26"/>
        <v>15625</v>
      </c>
      <c r="AH72" s="113">
        <f t="shared" si="26"/>
        <v>15625</v>
      </c>
      <c r="AI72" s="113">
        <f t="shared" si="26"/>
        <v>15625</v>
      </c>
      <c r="AJ72" s="113">
        <f t="shared" si="26"/>
        <v>15625</v>
      </c>
      <c r="AK72" s="113">
        <f t="shared" si="26"/>
        <v>15625</v>
      </c>
      <c r="AL72" s="113">
        <f t="shared" si="26"/>
        <v>15625</v>
      </c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</row>
    <row r="73" spans="1:70" ht="16.350000000000001" customHeight="1" x14ac:dyDescent="0.3">
      <c r="A73" s="114" t="s">
        <v>138</v>
      </c>
      <c r="B73" s="118"/>
      <c r="C73" s="114">
        <f>IFERROR(INDEX($C$72:$AK$72,1,1+ROUND(INDEX($H$5:$V$5,1,MATCH("RM06",$H$3:$V$3,0))/7,0)),0)</f>
        <v>0</v>
      </c>
      <c r="D73" s="114">
        <f>IFERROR(INDEX($C$72:$AK$72,1,2+ROUND(INDEX($H$5:$V$5,1,MATCH("RM06",$H$3:$V$3,0))/7,0)),0)</f>
        <v>0</v>
      </c>
      <c r="E73" s="114">
        <f>IFERROR(INDEX($C$72:$AK$72,1,3+ROUND(INDEX($H$5:$V$5,1,MATCH("RM06",$H$3:$V$3,0))/7,0)),0)</f>
        <v>0</v>
      </c>
      <c r="F73" s="114">
        <f>IFERROR(INDEX($C$72:$AK$72,1,4+ROUND(INDEX($H$5:$V$5,1,MATCH("RM06",$H$3:$V$3,0))/7,0)),0)</f>
        <v>12367</v>
      </c>
      <c r="G73" s="114">
        <f>IFERROR(INDEX($C$72:$AK$72,1,5+ROUND(INDEX($H$5:$V$5,1,MATCH("RM06",$H$3:$V$3,0))/7,0)),0)</f>
        <v>13272.5</v>
      </c>
      <c r="H73" s="114">
        <f>IFERROR(INDEX($C$72:$AK$72,1,6+ROUND(INDEX($H$5:$V$5,1,MATCH("RM06",$H$3:$V$3,0))/7,0)),0)</f>
        <v>7702.5</v>
      </c>
      <c r="I73" s="114">
        <f>IFERROR(INDEX($C$72:$AK$72,1,7+ROUND(INDEX($H$5:$V$5,1,MATCH("RM06",$H$3:$V$3,0))/7,0)),0)</f>
        <v>7397.5</v>
      </c>
      <c r="J73" s="114">
        <f>IFERROR(INDEX($C$72:$AK$72,1,8+ROUND(INDEX($H$5:$V$5,1,MATCH("RM06",$H$3:$V$3,0))/7,0)),0)</f>
        <v>7400</v>
      </c>
      <c r="K73" s="113">
        <f>IFERROR(INDEX($C$72:$AK$72,1,9+ROUND(INDEX($H$5:$V$5,1,MATCH("RM06",$H$3:$V$3,0))/7,0)),0)</f>
        <v>7500</v>
      </c>
      <c r="L73" s="113">
        <f>IFERROR(INDEX($C$72:$AK$72,1,10+ROUND(INDEX($H$5:$V$5,1,MATCH("RM06",$H$3:$V$3,0))/7,0)),0)</f>
        <v>12000</v>
      </c>
      <c r="M73" s="113">
        <f>IFERROR(INDEX($C$72:$AK$72,1,11+ROUND(INDEX($H$5:$V$5,1,MATCH("RM06",$H$3:$V$3,0))/7,0)),0)</f>
        <v>0</v>
      </c>
      <c r="N73" s="113">
        <f>IFERROR(INDEX($C$72:$AK$72,1,12+ROUND(INDEX($H$5:$V$5,1,MATCH("RM06",$H$3:$V$3,0))/7,0)),0)</f>
        <v>0</v>
      </c>
      <c r="O73" s="113">
        <f>IFERROR(INDEX($C$72:$AK$72,1,13+ROUND(INDEX($H$5:$V$5,1,MATCH("RM06",$H$3:$V$3,0))/7,0)),0)</f>
        <v>6000</v>
      </c>
      <c r="P73" s="113">
        <f>IFERROR(INDEX($C$72:$AK$72,1,14+ROUND(INDEX($H$5:$V$5,1,MATCH("RM06",$H$3:$V$3,0))/7,0)),0)</f>
        <v>6000</v>
      </c>
      <c r="Q73" s="113">
        <f>IFERROR(INDEX($C$72:$AK$72,1,15+ROUND(INDEX($H$5:$V$5,1,MATCH("RM06",$H$3:$V$3,0))/7,0)),0)</f>
        <v>9375</v>
      </c>
      <c r="R73" s="113">
        <f>IFERROR(INDEX($C$72:$AK$72,1,16+ROUND(INDEX($H$5:$V$5,1,MATCH("RM06",$H$3:$V$3,0))/7,0)),0)</f>
        <v>9375</v>
      </c>
      <c r="S73" s="113">
        <f>IFERROR(INDEX($C$72:$AK$72,1,17+ROUND(INDEX($H$5:$V$5,1,MATCH("RM06",$H$3:$V$3,0))/7,0)),0)</f>
        <v>9375</v>
      </c>
      <c r="T73" s="113">
        <f>IFERROR(INDEX($C$72:$AK$72,1,18+ROUND(INDEX($H$5:$V$5,1,MATCH("RM06",$H$3:$V$3,0))/7,0)),0)</f>
        <v>9625</v>
      </c>
      <c r="U73" s="113">
        <f>IFERROR(INDEX($C$72:$AK$72,1,19+ROUND(INDEX($H$5:$V$5,1,MATCH("RM06",$H$3:$V$3,0))/7,0)),0)</f>
        <v>31522.5</v>
      </c>
      <c r="V73" s="113">
        <f>IFERROR(INDEX($C$72:$AK$72,1,20+ROUND(INDEX($H$5:$V$5,1,MATCH("RM06",$H$3:$V$3,0))/7,0)),0)</f>
        <v>20727.5</v>
      </c>
      <c r="W73" s="113">
        <f>IFERROR(INDEX($C$72:$AK$72,1,21+ROUND(INDEX($H$5:$V$5,1,MATCH("RM06",$H$3:$V$3,0))/7,0)),0)</f>
        <v>0</v>
      </c>
      <c r="X73" s="113">
        <f>IFERROR(INDEX($C$72:$AK$72,1,22+ROUND(INDEX($H$5:$V$5,1,MATCH("RM06",$H$3:$V$3,0))/7,0)),0)</f>
        <v>0</v>
      </c>
      <c r="Y73" s="113">
        <f>IFERROR(INDEX($C$72:$AK$72,1,23+ROUND(INDEX($H$5:$V$5,1,MATCH("RM06",$H$3:$V$3,0))/7,0)),0)</f>
        <v>0</v>
      </c>
      <c r="Z73" s="113">
        <f>IFERROR(INDEX($C$72:$AK$72,1,24+ROUND(INDEX($H$5:$V$5,1,MATCH("RM06",$H$3:$V$3,0))/7,0)),0)</f>
        <v>0</v>
      </c>
      <c r="AA73" s="113">
        <f>IFERROR(INDEX($C$72:$AK$72,1,25+ROUND(INDEX($H$5:$V$5,1,MATCH("RM06",$H$3:$V$3,0))/7,0)),0)</f>
        <v>15625</v>
      </c>
      <c r="AB73" s="113">
        <f>IFERROR(INDEX($C$72:$AK$72,1,26+ROUND(INDEX($H$5:$V$5,1,MATCH("RM06",$H$3:$V$3,0))/7,0)),0)</f>
        <v>15625</v>
      </c>
      <c r="AC73" s="113">
        <f>IFERROR(INDEX($C$72:$AK$72,1,27+ROUND(INDEX($H$5:$V$5,1,MATCH("RM06",$H$3:$V$3,0))/7,0)),0)</f>
        <v>15625</v>
      </c>
      <c r="AD73" s="113">
        <f>IFERROR(INDEX($C$72:$AK$72,1,28+ROUND(INDEX($H$5:$V$5,1,MATCH("RM06",$H$3:$V$3,0))/7,0)),0)</f>
        <v>15625</v>
      </c>
      <c r="AE73" s="113">
        <f>IFERROR(INDEX($C$72:$AK$72,1,29+ROUND(INDEX($H$5:$V$5,1,MATCH("RM06",$H$3:$V$3,0))/7,0)),0)</f>
        <v>15625</v>
      </c>
      <c r="AF73" s="113">
        <f>IFERROR(INDEX($C$72:$AK$72,1,30+ROUND(INDEX($H$5:$V$5,1,MATCH("RM06",$H$3:$V$3,0))/7,0)),0)</f>
        <v>15625</v>
      </c>
      <c r="AG73" s="113">
        <f>IFERROR(INDEX($C$72:$AK$72,1,31+ROUND(INDEX($H$5:$V$5,1,MATCH("RM06",$H$3:$V$3,0))/7,0)),0)</f>
        <v>0</v>
      </c>
      <c r="AH73" s="113">
        <f>IFERROR(INDEX($C$72:$AK$72,1,32+ROUND(INDEX($H$5:$V$5,1,MATCH("RM06",$H$3:$V$3,0))/7,0)),0)</f>
        <v>0</v>
      </c>
      <c r="AI73" s="113">
        <f>IFERROR(INDEX($C$72:$AK$72,1,33+ROUND(INDEX($H$5:$V$5,1,MATCH("RM06",$H$3:$V$3,0))/7,0)),0)</f>
        <v>0</v>
      </c>
      <c r="AJ73" s="113">
        <f>IFERROR(INDEX($C$72:$AK$72,1,34+ROUND(INDEX($H$5:$V$5,1,MATCH("RM06",$H$3:$V$3,0))/7,0)),0)</f>
        <v>0</v>
      </c>
      <c r="AK73" s="113">
        <f>IFERROR(INDEX($C$72:$AK$72,1,35+ROUND(INDEX($H$5:$V$5,1,MATCH("RM06",$H$3:$V$3,0))/7,0)),0)</f>
        <v>0</v>
      </c>
      <c r="AL73" s="113">
        <f>IFERROR(INDEX($C$72:$AK$72,1,35+ROUND(INDEX($H$5:$V$5,1,MATCH("RM06",$H$3:$V$3,0))/7,0)),0)</f>
        <v>0</v>
      </c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</row>
    <row r="74" spans="1:70" x14ac:dyDescent="0.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</row>
    <row r="75" spans="1:70" ht="16.350000000000001" customHeight="1" x14ac:dyDescent="0.3">
      <c r="A75" s="47" t="s">
        <v>144</v>
      </c>
      <c r="B75" s="47" t="s">
        <v>132</v>
      </c>
      <c r="C75" s="137" t="s">
        <v>0</v>
      </c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6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</row>
    <row r="76" spans="1:70" ht="16.350000000000001" customHeight="1" x14ac:dyDescent="0.3">
      <c r="A76" s="47" t="s">
        <v>133</v>
      </c>
      <c r="B76" s="47" t="str">
        <f>"LT: "&amp;ROUND(INDEX($H$5:$V$5,1,MATCH("RM07",$H$3:$V$3,0))/7,0)</f>
        <v>LT: 6</v>
      </c>
      <c r="C76" s="48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 s="104">
        <v>46370</v>
      </c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</row>
    <row r="77" spans="1:70" ht="16.350000000000001" customHeight="1" x14ac:dyDescent="0.3">
      <c r="A77" s="51" t="s">
        <v>134</v>
      </c>
      <c r="B77" s="104"/>
      <c r="C77" s="114">
        <f t="array" ref="C77:AL77">TRANSPOSE(BOM_demand!$N$2:$N$37)</f>
        <v>19126.5</v>
      </c>
      <c r="D77" s="114">
        <v>3373.5</v>
      </c>
      <c r="E77" s="114">
        <v>0</v>
      </c>
      <c r="F77" s="114">
        <v>0</v>
      </c>
      <c r="G77" s="114">
        <v>0</v>
      </c>
      <c r="H77" s="114">
        <v>6000</v>
      </c>
      <c r="I77" s="114">
        <v>3000</v>
      </c>
      <c r="J77" s="114">
        <v>1840.5</v>
      </c>
      <c r="K77" s="114">
        <v>7963.5</v>
      </c>
      <c r="L77" s="114">
        <v>7963.5</v>
      </c>
      <c r="M77" s="114">
        <v>4621.5</v>
      </c>
      <c r="N77" s="114">
        <v>4438.5</v>
      </c>
      <c r="O77" s="114">
        <v>4440</v>
      </c>
      <c r="P77" s="114">
        <v>4500</v>
      </c>
      <c r="Q77" s="114">
        <v>7200</v>
      </c>
      <c r="R77" s="114">
        <v>0</v>
      </c>
      <c r="S77" s="114">
        <v>0</v>
      </c>
      <c r="T77" s="114">
        <v>3600</v>
      </c>
      <c r="U77" s="114">
        <v>3600</v>
      </c>
      <c r="V77" s="114">
        <v>5625</v>
      </c>
      <c r="W77" s="114">
        <v>5625</v>
      </c>
      <c r="X77" s="114">
        <v>5625</v>
      </c>
      <c r="Y77" s="114">
        <v>5775</v>
      </c>
      <c r="Z77" s="114">
        <v>18913.5</v>
      </c>
      <c r="AA77" s="114">
        <v>12436.5</v>
      </c>
      <c r="AB77" s="114">
        <v>0</v>
      </c>
      <c r="AC77" s="114">
        <v>0</v>
      </c>
      <c r="AD77" s="114">
        <v>0</v>
      </c>
      <c r="AE77" s="114">
        <v>0</v>
      </c>
      <c r="AF77" s="114">
        <v>9375</v>
      </c>
      <c r="AG77" s="114">
        <v>9375</v>
      </c>
      <c r="AH77" s="114">
        <v>9375</v>
      </c>
      <c r="AI77" s="114">
        <v>9375</v>
      </c>
      <c r="AJ77" s="114">
        <v>9375</v>
      </c>
      <c r="AK77" s="114">
        <v>9375</v>
      </c>
      <c r="AL77" s="104">
        <v>9375</v>
      </c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</row>
    <row r="78" spans="1:70" ht="16.350000000000001" customHeight="1" x14ac:dyDescent="0.3">
      <c r="A78" s="140" t="s">
        <v>128</v>
      </c>
      <c r="B78" s="136"/>
      <c r="C78" s="114">
        <f>IFERROR(INDEX($H$7:$V$7,1,MATCH("RM07",$H$3:$V$3,0)),0)</f>
        <v>0</v>
      </c>
      <c r="D78" s="114">
        <f>0</f>
        <v>0</v>
      </c>
      <c r="E78" s="114">
        <f>0</f>
        <v>0</v>
      </c>
      <c r="F78" s="114">
        <f>0</f>
        <v>0</v>
      </c>
      <c r="G78" s="114">
        <f>0</f>
        <v>0</v>
      </c>
      <c r="H78" s="114">
        <f>0</f>
        <v>0</v>
      </c>
      <c r="I78" s="114">
        <f>0</f>
        <v>0</v>
      </c>
      <c r="J78" s="114">
        <f>0</f>
        <v>0</v>
      </c>
      <c r="K78" s="113">
        <f>0</f>
        <v>0</v>
      </c>
      <c r="L78" s="113">
        <f>0</f>
        <v>0</v>
      </c>
      <c r="M78" s="113">
        <f>0</f>
        <v>0</v>
      </c>
      <c r="N78" s="113">
        <f>0</f>
        <v>0</v>
      </c>
      <c r="O78" s="113">
        <f>0</f>
        <v>0</v>
      </c>
      <c r="P78" s="113">
        <f>0</f>
        <v>0</v>
      </c>
      <c r="Q78" s="113">
        <f>0</f>
        <v>0</v>
      </c>
      <c r="R78" s="113">
        <f>0</f>
        <v>0</v>
      </c>
      <c r="S78" s="113">
        <f>0</f>
        <v>0</v>
      </c>
      <c r="T78" s="113">
        <f>0</f>
        <v>0</v>
      </c>
      <c r="U78" s="113">
        <f>0</f>
        <v>0</v>
      </c>
      <c r="V78" s="113">
        <f>0</f>
        <v>0</v>
      </c>
      <c r="W78" s="113">
        <f>0</f>
        <v>0</v>
      </c>
      <c r="X78" s="113">
        <f>0</f>
        <v>0</v>
      </c>
      <c r="Y78" s="113">
        <f>0</f>
        <v>0</v>
      </c>
      <c r="Z78" s="113">
        <f>0</f>
        <v>0</v>
      </c>
      <c r="AA78" s="113">
        <f>0</f>
        <v>0</v>
      </c>
      <c r="AB78" s="113">
        <f>0</f>
        <v>0</v>
      </c>
      <c r="AC78" s="113">
        <f>0</f>
        <v>0</v>
      </c>
      <c r="AD78" s="113">
        <f>0</f>
        <v>0</v>
      </c>
      <c r="AE78" s="113">
        <f>0</f>
        <v>0</v>
      </c>
      <c r="AF78" s="113">
        <f>0</f>
        <v>0</v>
      </c>
      <c r="AG78" s="113">
        <f>0</f>
        <v>0</v>
      </c>
      <c r="AH78" s="113">
        <f>0</f>
        <v>0</v>
      </c>
      <c r="AI78" s="113">
        <f>0</f>
        <v>0</v>
      </c>
      <c r="AJ78" s="113">
        <f>0</f>
        <v>0</v>
      </c>
      <c r="AK78" s="113">
        <f>0</f>
        <v>0</v>
      </c>
      <c r="AL78" s="113">
        <f>0</f>
        <v>0</v>
      </c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</row>
    <row r="79" spans="1:70" ht="16.350000000000001" customHeight="1" x14ac:dyDescent="0.3">
      <c r="A79" s="114" t="s">
        <v>129</v>
      </c>
      <c r="B79" s="118">
        <f>IFERROR(INDEX($H$8:$V$8,1,MATCH("RM07",$H$3:$V$3,0)),0)</f>
        <v>11716</v>
      </c>
      <c r="C79" s="114">
        <f t="shared" ref="C79:AL79" si="27">$B79</f>
        <v>11716</v>
      </c>
      <c r="D79" s="114">
        <f t="shared" si="27"/>
        <v>11716</v>
      </c>
      <c r="E79" s="114">
        <f t="shared" si="27"/>
        <v>11716</v>
      </c>
      <c r="F79" s="114">
        <f t="shared" si="27"/>
        <v>11716</v>
      </c>
      <c r="G79" s="114">
        <f t="shared" si="27"/>
        <v>11716</v>
      </c>
      <c r="H79" s="114">
        <f t="shared" si="27"/>
        <v>11716</v>
      </c>
      <c r="I79" s="114">
        <f t="shared" si="27"/>
        <v>11716</v>
      </c>
      <c r="J79" s="114">
        <f t="shared" si="27"/>
        <v>11716</v>
      </c>
      <c r="K79" s="113">
        <f t="shared" si="27"/>
        <v>11716</v>
      </c>
      <c r="L79" s="113">
        <f t="shared" si="27"/>
        <v>11716</v>
      </c>
      <c r="M79" s="113">
        <f t="shared" si="27"/>
        <v>11716</v>
      </c>
      <c r="N79" s="113">
        <f t="shared" si="27"/>
        <v>11716</v>
      </c>
      <c r="O79" s="113">
        <f t="shared" si="27"/>
        <v>11716</v>
      </c>
      <c r="P79" s="113">
        <f t="shared" si="27"/>
        <v>11716</v>
      </c>
      <c r="Q79" s="113">
        <f t="shared" si="27"/>
        <v>11716</v>
      </c>
      <c r="R79" s="113">
        <f t="shared" si="27"/>
        <v>11716</v>
      </c>
      <c r="S79" s="113">
        <f t="shared" si="27"/>
        <v>11716</v>
      </c>
      <c r="T79" s="113">
        <f t="shared" si="27"/>
        <v>11716</v>
      </c>
      <c r="U79" s="113">
        <f t="shared" si="27"/>
        <v>11716</v>
      </c>
      <c r="V79" s="113">
        <f t="shared" si="27"/>
        <v>11716</v>
      </c>
      <c r="W79" s="113">
        <f t="shared" si="27"/>
        <v>11716</v>
      </c>
      <c r="X79" s="113">
        <f t="shared" si="27"/>
        <v>11716</v>
      </c>
      <c r="Y79" s="113">
        <f t="shared" si="27"/>
        <v>11716</v>
      </c>
      <c r="Z79" s="113">
        <f t="shared" si="27"/>
        <v>11716</v>
      </c>
      <c r="AA79" s="113">
        <f t="shared" si="27"/>
        <v>11716</v>
      </c>
      <c r="AB79" s="113">
        <f t="shared" si="27"/>
        <v>11716</v>
      </c>
      <c r="AC79" s="113">
        <f t="shared" si="27"/>
        <v>11716</v>
      </c>
      <c r="AD79" s="113">
        <f t="shared" si="27"/>
        <v>11716</v>
      </c>
      <c r="AE79" s="113">
        <f t="shared" si="27"/>
        <v>11716</v>
      </c>
      <c r="AF79" s="113">
        <f t="shared" si="27"/>
        <v>11716</v>
      </c>
      <c r="AG79" s="113">
        <f t="shared" si="27"/>
        <v>11716</v>
      </c>
      <c r="AH79" s="113">
        <f t="shared" si="27"/>
        <v>11716</v>
      </c>
      <c r="AI79" s="113">
        <f t="shared" si="27"/>
        <v>11716</v>
      </c>
      <c r="AJ79" s="113">
        <f t="shared" si="27"/>
        <v>11716</v>
      </c>
      <c r="AK79" s="113">
        <f t="shared" si="27"/>
        <v>11716</v>
      </c>
      <c r="AL79" s="113">
        <f t="shared" si="27"/>
        <v>11716</v>
      </c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</row>
    <row r="80" spans="1:70" ht="16.350000000000001" customHeight="1" x14ac:dyDescent="0.3">
      <c r="A80" s="114" t="s">
        <v>135</v>
      </c>
      <c r="B80" s="118">
        <f>IFERROR(INDEX($H$6:$V$6,1,MATCH("RM07",$H$3:$V$3,0)),0)</f>
        <v>50000</v>
      </c>
      <c r="C80" s="114">
        <f>$B80+C78+C82-C77</f>
        <v>30873.5</v>
      </c>
      <c r="D80" s="114">
        <f t="shared" ref="D80:AL80" si="28">C80+D78+D82-D77</f>
        <v>27500</v>
      </c>
      <c r="E80" s="114">
        <f t="shared" si="28"/>
        <v>27500</v>
      </c>
      <c r="F80" s="114">
        <f t="shared" si="28"/>
        <v>27500</v>
      </c>
      <c r="G80" s="114">
        <f t="shared" si="28"/>
        <v>27500</v>
      </c>
      <c r="H80" s="114">
        <f t="shared" si="28"/>
        <v>21500</v>
      </c>
      <c r="I80" s="114">
        <f t="shared" si="28"/>
        <v>18500</v>
      </c>
      <c r="J80" s="114">
        <f t="shared" si="28"/>
        <v>16659.5</v>
      </c>
      <c r="K80" s="113">
        <f t="shared" si="28"/>
        <v>11716</v>
      </c>
      <c r="L80" s="113">
        <f t="shared" si="28"/>
        <v>11716</v>
      </c>
      <c r="M80" s="113">
        <f t="shared" si="28"/>
        <v>11716</v>
      </c>
      <c r="N80" s="113">
        <f t="shared" si="28"/>
        <v>11716</v>
      </c>
      <c r="O80" s="113">
        <f t="shared" si="28"/>
        <v>11716</v>
      </c>
      <c r="P80" s="113">
        <f t="shared" si="28"/>
        <v>11716</v>
      </c>
      <c r="Q80" s="113">
        <f t="shared" si="28"/>
        <v>11716</v>
      </c>
      <c r="R80" s="113">
        <f t="shared" si="28"/>
        <v>11716</v>
      </c>
      <c r="S80" s="113">
        <f t="shared" si="28"/>
        <v>11716</v>
      </c>
      <c r="T80" s="113">
        <f t="shared" si="28"/>
        <v>11716</v>
      </c>
      <c r="U80" s="113">
        <f t="shared" si="28"/>
        <v>11716</v>
      </c>
      <c r="V80" s="113">
        <f t="shared" si="28"/>
        <v>11716</v>
      </c>
      <c r="W80" s="113">
        <f t="shared" si="28"/>
        <v>11716</v>
      </c>
      <c r="X80" s="113">
        <f t="shared" si="28"/>
        <v>11716</v>
      </c>
      <c r="Y80" s="113">
        <f t="shared" si="28"/>
        <v>11716</v>
      </c>
      <c r="Z80" s="113">
        <f t="shared" si="28"/>
        <v>11716</v>
      </c>
      <c r="AA80" s="113">
        <f t="shared" si="28"/>
        <v>11716</v>
      </c>
      <c r="AB80" s="113">
        <f t="shared" si="28"/>
        <v>11716</v>
      </c>
      <c r="AC80" s="113">
        <f t="shared" si="28"/>
        <v>11716</v>
      </c>
      <c r="AD80" s="113">
        <f t="shared" si="28"/>
        <v>11716</v>
      </c>
      <c r="AE80" s="113">
        <f t="shared" si="28"/>
        <v>11716</v>
      </c>
      <c r="AF80" s="113">
        <f t="shared" si="28"/>
        <v>11716</v>
      </c>
      <c r="AG80" s="113">
        <f t="shared" si="28"/>
        <v>11716</v>
      </c>
      <c r="AH80" s="113">
        <f t="shared" si="28"/>
        <v>11716</v>
      </c>
      <c r="AI80" s="113">
        <f t="shared" si="28"/>
        <v>11716</v>
      </c>
      <c r="AJ80" s="113">
        <f t="shared" si="28"/>
        <v>11716</v>
      </c>
      <c r="AK80" s="113">
        <f t="shared" si="28"/>
        <v>11716</v>
      </c>
      <c r="AL80" s="113">
        <f t="shared" si="28"/>
        <v>11716</v>
      </c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</row>
    <row r="81" spans="1:70" ht="16.350000000000001" customHeight="1" x14ac:dyDescent="0.3">
      <c r="A81" s="114" t="s">
        <v>136</v>
      </c>
      <c r="B81" s="118"/>
      <c r="C81" s="114">
        <f>MAX(C77+C79-($B80+C78),0)</f>
        <v>0</v>
      </c>
      <c r="D81" s="114">
        <f t="shared" ref="D81:AL81" si="29">MAX(D77+D79-(C80+D78),0)</f>
        <v>0</v>
      </c>
      <c r="E81" s="114">
        <f t="shared" si="29"/>
        <v>0</v>
      </c>
      <c r="F81" s="114">
        <f t="shared" si="29"/>
        <v>0</v>
      </c>
      <c r="G81" s="114">
        <f t="shared" si="29"/>
        <v>0</v>
      </c>
      <c r="H81" s="114">
        <f t="shared" si="29"/>
        <v>0</v>
      </c>
      <c r="I81" s="114">
        <f t="shared" si="29"/>
        <v>0</v>
      </c>
      <c r="J81" s="114">
        <f t="shared" si="29"/>
        <v>0</v>
      </c>
      <c r="K81" s="113">
        <f t="shared" si="29"/>
        <v>3020</v>
      </c>
      <c r="L81" s="113">
        <f t="shared" si="29"/>
        <v>7963.5</v>
      </c>
      <c r="M81" s="113">
        <f t="shared" si="29"/>
        <v>4621.5</v>
      </c>
      <c r="N81" s="113">
        <f t="shared" si="29"/>
        <v>4438.5</v>
      </c>
      <c r="O81" s="113">
        <f t="shared" si="29"/>
        <v>4440</v>
      </c>
      <c r="P81" s="113">
        <f t="shared" si="29"/>
        <v>4500</v>
      </c>
      <c r="Q81" s="113">
        <f t="shared" si="29"/>
        <v>7200</v>
      </c>
      <c r="R81" s="113">
        <f t="shared" si="29"/>
        <v>0</v>
      </c>
      <c r="S81" s="113">
        <f t="shared" si="29"/>
        <v>0</v>
      </c>
      <c r="T81" s="113">
        <f t="shared" si="29"/>
        <v>3600</v>
      </c>
      <c r="U81" s="113">
        <f t="shared" si="29"/>
        <v>3600</v>
      </c>
      <c r="V81" s="113">
        <f t="shared" si="29"/>
        <v>5625</v>
      </c>
      <c r="W81" s="113">
        <f t="shared" si="29"/>
        <v>5625</v>
      </c>
      <c r="X81" s="113">
        <f t="shared" si="29"/>
        <v>5625</v>
      </c>
      <c r="Y81" s="113">
        <f t="shared" si="29"/>
        <v>5775</v>
      </c>
      <c r="Z81" s="113">
        <f t="shared" si="29"/>
        <v>18913.5</v>
      </c>
      <c r="AA81" s="113">
        <f t="shared" si="29"/>
        <v>12436.5</v>
      </c>
      <c r="AB81" s="113">
        <f t="shared" si="29"/>
        <v>0</v>
      </c>
      <c r="AC81" s="113">
        <f t="shared" si="29"/>
        <v>0</v>
      </c>
      <c r="AD81" s="113">
        <f t="shared" si="29"/>
        <v>0</v>
      </c>
      <c r="AE81" s="113">
        <f t="shared" si="29"/>
        <v>0</v>
      </c>
      <c r="AF81" s="113">
        <f t="shared" si="29"/>
        <v>9375</v>
      </c>
      <c r="AG81" s="113">
        <f t="shared" si="29"/>
        <v>9375</v>
      </c>
      <c r="AH81" s="113">
        <f t="shared" si="29"/>
        <v>9375</v>
      </c>
      <c r="AI81" s="113">
        <f t="shared" si="29"/>
        <v>9375</v>
      </c>
      <c r="AJ81" s="113">
        <f t="shared" si="29"/>
        <v>9375</v>
      </c>
      <c r="AK81" s="113">
        <f t="shared" si="29"/>
        <v>9375</v>
      </c>
      <c r="AL81" s="113">
        <f t="shared" si="29"/>
        <v>9375</v>
      </c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</row>
    <row r="82" spans="1:70" ht="16.350000000000001" customHeight="1" x14ac:dyDescent="0.3">
      <c r="A82" s="140" t="s">
        <v>137</v>
      </c>
      <c r="B82" s="136"/>
      <c r="C82" s="114">
        <f t="shared" ref="C82:AL82" si="30">C81</f>
        <v>0</v>
      </c>
      <c r="D82" s="114">
        <f t="shared" si="30"/>
        <v>0</v>
      </c>
      <c r="E82" s="114">
        <f t="shared" si="30"/>
        <v>0</v>
      </c>
      <c r="F82" s="114">
        <f t="shared" si="30"/>
        <v>0</v>
      </c>
      <c r="G82" s="114">
        <f t="shared" si="30"/>
        <v>0</v>
      </c>
      <c r="H82" s="114">
        <f t="shared" si="30"/>
        <v>0</v>
      </c>
      <c r="I82" s="114">
        <f t="shared" si="30"/>
        <v>0</v>
      </c>
      <c r="J82" s="114">
        <f t="shared" si="30"/>
        <v>0</v>
      </c>
      <c r="K82" s="113">
        <f t="shared" si="30"/>
        <v>3020</v>
      </c>
      <c r="L82" s="113">
        <f t="shared" si="30"/>
        <v>7963.5</v>
      </c>
      <c r="M82" s="113">
        <f t="shared" si="30"/>
        <v>4621.5</v>
      </c>
      <c r="N82" s="113">
        <f t="shared" si="30"/>
        <v>4438.5</v>
      </c>
      <c r="O82" s="113">
        <f t="shared" si="30"/>
        <v>4440</v>
      </c>
      <c r="P82" s="113">
        <f t="shared" si="30"/>
        <v>4500</v>
      </c>
      <c r="Q82" s="113">
        <f t="shared" si="30"/>
        <v>7200</v>
      </c>
      <c r="R82" s="113">
        <f t="shared" si="30"/>
        <v>0</v>
      </c>
      <c r="S82" s="113">
        <f t="shared" si="30"/>
        <v>0</v>
      </c>
      <c r="T82" s="113">
        <f t="shared" si="30"/>
        <v>3600</v>
      </c>
      <c r="U82" s="113">
        <f t="shared" si="30"/>
        <v>3600</v>
      </c>
      <c r="V82" s="113">
        <f t="shared" si="30"/>
        <v>5625</v>
      </c>
      <c r="W82" s="113">
        <f t="shared" si="30"/>
        <v>5625</v>
      </c>
      <c r="X82" s="113">
        <f t="shared" si="30"/>
        <v>5625</v>
      </c>
      <c r="Y82" s="113">
        <f t="shared" si="30"/>
        <v>5775</v>
      </c>
      <c r="Z82" s="113">
        <f t="shared" si="30"/>
        <v>18913.5</v>
      </c>
      <c r="AA82" s="113">
        <f t="shared" si="30"/>
        <v>12436.5</v>
      </c>
      <c r="AB82" s="113">
        <f t="shared" si="30"/>
        <v>0</v>
      </c>
      <c r="AC82" s="113">
        <f t="shared" si="30"/>
        <v>0</v>
      </c>
      <c r="AD82" s="113">
        <f t="shared" si="30"/>
        <v>0</v>
      </c>
      <c r="AE82" s="113">
        <f t="shared" si="30"/>
        <v>0</v>
      </c>
      <c r="AF82" s="113">
        <f t="shared" si="30"/>
        <v>9375</v>
      </c>
      <c r="AG82" s="113">
        <f t="shared" si="30"/>
        <v>9375</v>
      </c>
      <c r="AH82" s="113">
        <f t="shared" si="30"/>
        <v>9375</v>
      </c>
      <c r="AI82" s="113">
        <f t="shared" si="30"/>
        <v>9375</v>
      </c>
      <c r="AJ82" s="113">
        <f t="shared" si="30"/>
        <v>9375</v>
      </c>
      <c r="AK82" s="113">
        <f t="shared" si="30"/>
        <v>9375</v>
      </c>
      <c r="AL82" s="113">
        <f t="shared" si="30"/>
        <v>9375</v>
      </c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</row>
    <row r="83" spans="1:70" ht="16.350000000000001" customHeight="1" x14ac:dyDescent="0.3">
      <c r="A83" s="114" t="s">
        <v>138</v>
      </c>
      <c r="B83" s="118"/>
      <c r="C83" s="114">
        <f>IFERROR(INDEX($C$82:$AK$82,1,1+ROUND(INDEX($H$5:$V$5,1,MATCH("RM07",$H$3:$V$3,0))/7,0)),0)</f>
        <v>0</v>
      </c>
      <c r="D83" s="114">
        <f>IFERROR(INDEX($C$82:$AK$82,1,2+ROUND(INDEX($H$5:$V$5,1,MATCH("RM07",$H$3:$V$3,0))/7,0)),0)</f>
        <v>0</v>
      </c>
      <c r="E83" s="114">
        <f>IFERROR(INDEX($C$82:$AK$82,1,3+ROUND(INDEX($H$5:$V$5,1,MATCH("RM07",$H$3:$V$3,0))/7,0)),0)</f>
        <v>3020</v>
      </c>
      <c r="F83" s="114">
        <f>IFERROR(INDEX($C$82:$AK$82,1,4+ROUND(INDEX($H$5:$V$5,1,MATCH("RM07",$H$3:$V$3,0))/7,0)),0)</f>
        <v>7963.5</v>
      </c>
      <c r="G83" s="114">
        <f>IFERROR(INDEX($C$82:$AK$82,1,5+ROUND(INDEX($H$5:$V$5,1,MATCH("RM07",$H$3:$V$3,0))/7,0)),0)</f>
        <v>4621.5</v>
      </c>
      <c r="H83" s="114">
        <f>IFERROR(INDEX($C$82:$AK$82,1,6+ROUND(INDEX($H$5:$V$5,1,MATCH("RM07",$H$3:$V$3,0))/7,0)),0)</f>
        <v>4438.5</v>
      </c>
      <c r="I83" s="114">
        <f>IFERROR(INDEX($C$82:$AK$82,1,7+ROUND(INDEX($H$5:$V$5,1,MATCH("RM07",$H$3:$V$3,0))/7,0)),0)</f>
        <v>4440</v>
      </c>
      <c r="J83" s="114">
        <f>IFERROR(INDEX($C$82:$AK$82,1,8+ROUND(INDEX($H$5:$V$5,1,MATCH("RM07",$H$3:$V$3,0))/7,0)),0)</f>
        <v>4500</v>
      </c>
      <c r="K83" s="113">
        <f>IFERROR(INDEX($C$82:$AK$82,1,9+ROUND(INDEX($H$5:$V$5,1,MATCH("RM07",$H$3:$V$3,0))/7,0)),0)</f>
        <v>7200</v>
      </c>
      <c r="L83" s="113">
        <f>IFERROR(INDEX($C$82:$AK$82,1,10+ROUND(INDEX($H$5:$V$5,1,MATCH("RM07",$H$3:$V$3,0))/7,0)),0)</f>
        <v>0</v>
      </c>
      <c r="M83" s="113">
        <f>IFERROR(INDEX($C$82:$AK$82,1,11+ROUND(INDEX($H$5:$V$5,1,MATCH("RM07",$H$3:$V$3,0))/7,0)),0)</f>
        <v>0</v>
      </c>
      <c r="N83" s="113">
        <f>IFERROR(INDEX($C$82:$AK$82,1,12+ROUND(INDEX($H$5:$V$5,1,MATCH("RM07",$H$3:$V$3,0))/7,0)),0)</f>
        <v>3600</v>
      </c>
      <c r="O83" s="113">
        <f>IFERROR(INDEX($C$82:$AK$82,1,13+ROUND(INDEX($H$5:$V$5,1,MATCH("RM07",$H$3:$V$3,0))/7,0)),0)</f>
        <v>3600</v>
      </c>
      <c r="P83" s="113">
        <f>IFERROR(INDEX($C$82:$AK$82,1,14+ROUND(INDEX($H$5:$V$5,1,MATCH("RM07",$H$3:$V$3,0))/7,0)),0)</f>
        <v>5625</v>
      </c>
      <c r="Q83" s="113">
        <f>IFERROR(INDEX($C$82:$AK$82,1,15+ROUND(INDEX($H$5:$V$5,1,MATCH("RM07",$H$3:$V$3,0))/7,0)),0)</f>
        <v>5625</v>
      </c>
      <c r="R83" s="113">
        <f>IFERROR(INDEX($C$82:$AK$82,1,16+ROUND(INDEX($H$5:$V$5,1,MATCH("RM07",$H$3:$V$3,0))/7,0)),0)</f>
        <v>5625</v>
      </c>
      <c r="S83" s="113">
        <f>IFERROR(INDEX($C$82:$AK$82,1,17+ROUND(INDEX($H$5:$V$5,1,MATCH("RM07",$H$3:$V$3,0))/7,0)),0)</f>
        <v>5775</v>
      </c>
      <c r="T83" s="113">
        <f>IFERROR(INDEX($C$82:$AK$82,1,18+ROUND(INDEX($H$5:$V$5,1,MATCH("RM07",$H$3:$V$3,0))/7,0)),0)</f>
        <v>18913.5</v>
      </c>
      <c r="U83" s="113">
        <f>IFERROR(INDEX($C$82:$AK$82,1,19+ROUND(INDEX($H$5:$V$5,1,MATCH("RM07",$H$3:$V$3,0))/7,0)),0)</f>
        <v>12436.5</v>
      </c>
      <c r="V83" s="113">
        <f>IFERROR(INDEX($C$82:$AK$82,1,20+ROUND(INDEX($H$5:$V$5,1,MATCH("RM07",$H$3:$V$3,0))/7,0)),0)</f>
        <v>0</v>
      </c>
      <c r="W83" s="113">
        <f>IFERROR(INDEX($C$82:$AK$82,1,21+ROUND(INDEX($H$5:$V$5,1,MATCH("RM07",$H$3:$V$3,0))/7,0)),0)</f>
        <v>0</v>
      </c>
      <c r="X83" s="113">
        <f>IFERROR(INDEX($C$82:$AK$82,1,22+ROUND(INDEX($H$5:$V$5,1,MATCH("RM07",$H$3:$V$3,0))/7,0)),0)</f>
        <v>0</v>
      </c>
      <c r="Y83" s="113">
        <f>IFERROR(INDEX($C$82:$AK$82,1,23+ROUND(INDEX($H$5:$V$5,1,MATCH("RM07",$H$3:$V$3,0))/7,0)),0)</f>
        <v>0</v>
      </c>
      <c r="Z83" s="113">
        <f>IFERROR(INDEX($C$82:$AK$82,1,24+ROUND(INDEX($H$5:$V$5,1,MATCH("RM07",$H$3:$V$3,0))/7,0)),0)</f>
        <v>9375</v>
      </c>
      <c r="AA83" s="113">
        <f>IFERROR(INDEX($C$82:$AK$82,1,25+ROUND(INDEX($H$5:$V$5,1,MATCH("RM07",$H$3:$V$3,0))/7,0)),0)</f>
        <v>9375</v>
      </c>
      <c r="AB83" s="113">
        <f>IFERROR(INDEX($C$82:$AK$82,1,26+ROUND(INDEX($H$5:$V$5,1,MATCH("RM07",$H$3:$V$3,0))/7,0)),0)</f>
        <v>9375</v>
      </c>
      <c r="AC83" s="113">
        <f>IFERROR(INDEX($C$82:$AK$82,1,27+ROUND(INDEX($H$5:$V$5,1,MATCH("RM07",$H$3:$V$3,0))/7,0)),0)</f>
        <v>9375</v>
      </c>
      <c r="AD83" s="113">
        <f>IFERROR(INDEX($C$82:$AK$82,1,28+ROUND(INDEX($H$5:$V$5,1,MATCH("RM07",$H$3:$V$3,0))/7,0)),0)</f>
        <v>9375</v>
      </c>
      <c r="AE83" s="113">
        <f>IFERROR(INDEX($C$82:$AK$82,1,29+ROUND(INDEX($H$5:$V$5,1,MATCH("RM07",$H$3:$V$3,0))/7,0)),0)</f>
        <v>9375</v>
      </c>
      <c r="AF83" s="113">
        <f>IFERROR(INDEX($C$82:$AK$82,1,30+ROUND(INDEX($H$5:$V$5,1,MATCH("RM07",$H$3:$V$3,0))/7,0)),0)</f>
        <v>0</v>
      </c>
      <c r="AG83" s="113">
        <f>IFERROR(INDEX($C$82:$AK$82,1,31+ROUND(INDEX($H$5:$V$5,1,MATCH("RM07",$H$3:$V$3,0))/7,0)),0)</f>
        <v>0</v>
      </c>
      <c r="AH83" s="113">
        <f>IFERROR(INDEX($C$82:$AK$82,1,32+ROUND(INDEX($H$5:$V$5,1,MATCH("RM07",$H$3:$V$3,0))/7,0)),0)</f>
        <v>0</v>
      </c>
      <c r="AI83" s="113">
        <f>IFERROR(INDEX($C$82:$AK$82,1,33+ROUND(INDEX($H$5:$V$5,1,MATCH("RM07",$H$3:$V$3,0))/7,0)),0)</f>
        <v>0</v>
      </c>
      <c r="AJ83" s="113">
        <f>IFERROR(INDEX($C$82:$AK$82,1,34+ROUND(INDEX($H$5:$V$5,1,MATCH("RM07",$H$3:$V$3,0))/7,0)),0)</f>
        <v>0</v>
      </c>
      <c r="AK83" s="113">
        <f>IFERROR(INDEX($C$82:$AK$82,1,35+ROUND(INDEX($H$5:$V$5,1,MATCH("RM07",$H$3:$V$3,0))/7,0)),0)</f>
        <v>0</v>
      </c>
      <c r="AL83" s="113">
        <f>IFERROR(INDEX($C$82:$AK$82,1,35+ROUND(INDEX($H$5:$V$5,1,MATCH("RM07",$H$3:$V$3,0))/7,0)),0)</f>
        <v>0</v>
      </c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</row>
    <row r="84" spans="1:70" x14ac:dyDescent="0.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</row>
    <row r="85" spans="1:70" ht="16.350000000000001" customHeight="1" x14ac:dyDescent="0.3">
      <c r="A85" s="47" t="s">
        <v>145</v>
      </c>
      <c r="B85" s="47" t="s">
        <v>132</v>
      </c>
      <c r="C85" s="137" t="s">
        <v>0</v>
      </c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6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</row>
    <row r="86" spans="1:70" ht="16.350000000000001" customHeight="1" x14ac:dyDescent="0.3">
      <c r="A86" s="47" t="s">
        <v>133</v>
      </c>
      <c r="B86" s="47" t="str">
        <f>"LT: "&amp;ROUND(INDEX($H$5:$V$5,1,MATCH("RM08",$H$3:$V$3,0))/7,0)</f>
        <v>LT: 9</v>
      </c>
      <c r="C86" s="48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 s="104">
        <v>46370</v>
      </c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</row>
    <row r="87" spans="1:70" ht="16.350000000000001" customHeight="1" x14ac:dyDescent="0.3">
      <c r="A87" s="51" t="s">
        <v>134</v>
      </c>
      <c r="B87" s="104"/>
      <c r="C87" s="114">
        <f t="array" ref="C87:AL87">TRANSPOSE(BOM_demand!$O$2:$O$37)</f>
        <v>15000</v>
      </c>
      <c r="D87" s="114">
        <v>0</v>
      </c>
      <c r="E87" s="114">
        <v>0</v>
      </c>
      <c r="F87" s="114">
        <v>12960</v>
      </c>
      <c r="G87" s="114">
        <v>15000</v>
      </c>
      <c r="H87" s="114">
        <v>15000</v>
      </c>
      <c r="I87" s="114">
        <v>15000</v>
      </c>
      <c r="J87" s="114">
        <v>15000</v>
      </c>
      <c r="K87" s="114">
        <v>15000</v>
      </c>
      <c r="L87" s="114">
        <v>15000</v>
      </c>
      <c r="M87" s="114">
        <v>15000</v>
      </c>
      <c r="N87" s="114">
        <v>7500</v>
      </c>
      <c r="O87" s="114">
        <v>7500</v>
      </c>
      <c r="P87" s="114">
        <v>7500</v>
      </c>
      <c r="Q87" s="114">
        <v>3000</v>
      </c>
      <c r="R87" s="114">
        <v>3000</v>
      </c>
      <c r="S87" s="114">
        <v>3000</v>
      </c>
      <c r="T87" s="114">
        <v>3000</v>
      </c>
      <c r="U87" s="114">
        <v>3000</v>
      </c>
      <c r="V87" s="114">
        <v>2250</v>
      </c>
      <c r="W87" s="114">
        <v>2250</v>
      </c>
      <c r="X87" s="114">
        <v>2250</v>
      </c>
      <c r="Y87" s="114">
        <v>2250</v>
      </c>
      <c r="Z87" s="114">
        <v>1800</v>
      </c>
      <c r="AA87" s="114">
        <v>1800</v>
      </c>
      <c r="AB87" s="114">
        <v>1800</v>
      </c>
      <c r="AC87" s="114">
        <v>1800</v>
      </c>
      <c r="AD87" s="114">
        <v>1800</v>
      </c>
      <c r="AE87" s="114">
        <v>1500</v>
      </c>
      <c r="AF87" s="114">
        <v>1500</v>
      </c>
      <c r="AG87" s="114">
        <v>1500</v>
      </c>
      <c r="AH87" s="114">
        <v>1500</v>
      </c>
      <c r="AI87" s="114">
        <v>9000</v>
      </c>
      <c r="AJ87" s="114">
        <v>9000</v>
      </c>
      <c r="AK87" s="114">
        <v>9000</v>
      </c>
      <c r="AL87" s="104">
        <v>9000</v>
      </c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</row>
    <row r="88" spans="1:70" ht="16.350000000000001" customHeight="1" x14ac:dyDescent="0.3">
      <c r="A88" s="140" t="s">
        <v>128</v>
      </c>
      <c r="B88" s="136"/>
      <c r="C88" s="114">
        <f>IFERROR(INDEX($H$7:$V$7,1,MATCH("RM08",$H$3:$V$3,0)),0)</f>
        <v>38000</v>
      </c>
      <c r="D88" s="114">
        <f>0</f>
        <v>0</v>
      </c>
      <c r="E88" s="114">
        <f>0</f>
        <v>0</v>
      </c>
      <c r="F88" s="114">
        <f>0</f>
        <v>0</v>
      </c>
      <c r="G88" s="114">
        <f>0</f>
        <v>0</v>
      </c>
      <c r="H88" s="114">
        <f>0</f>
        <v>0</v>
      </c>
      <c r="I88" s="114">
        <f>0</f>
        <v>0</v>
      </c>
      <c r="J88" s="114">
        <f>0</f>
        <v>0</v>
      </c>
      <c r="K88" s="113">
        <f>0</f>
        <v>0</v>
      </c>
      <c r="L88" s="113">
        <f>0</f>
        <v>0</v>
      </c>
      <c r="M88" s="113">
        <f>0</f>
        <v>0</v>
      </c>
      <c r="N88" s="113">
        <f>0</f>
        <v>0</v>
      </c>
      <c r="O88" s="113">
        <f>0</f>
        <v>0</v>
      </c>
      <c r="P88" s="113">
        <f>0</f>
        <v>0</v>
      </c>
      <c r="Q88" s="113">
        <f>0</f>
        <v>0</v>
      </c>
      <c r="R88" s="113">
        <f>0</f>
        <v>0</v>
      </c>
      <c r="S88" s="113">
        <f>0</f>
        <v>0</v>
      </c>
      <c r="T88" s="113">
        <f>0</f>
        <v>0</v>
      </c>
      <c r="U88" s="113">
        <f>0</f>
        <v>0</v>
      </c>
      <c r="V88" s="113">
        <f>0</f>
        <v>0</v>
      </c>
      <c r="W88" s="113">
        <f>0</f>
        <v>0</v>
      </c>
      <c r="X88" s="113">
        <f>0</f>
        <v>0</v>
      </c>
      <c r="Y88" s="113">
        <f>0</f>
        <v>0</v>
      </c>
      <c r="Z88" s="113">
        <f>0</f>
        <v>0</v>
      </c>
      <c r="AA88" s="113">
        <f>0</f>
        <v>0</v>
      </c>
      <c r="AB88" s="113">
        <f>0</f>
        <v>0</v>
      </c>
      <c r="AC88" s="113">
        <f>0</f>
        <v>0</v>
      </c>
      <c r="AD88" s="113">
        <f>0</f>
        <v>0</v>
      </c>
      <c r="AE88" s="113">
        <f>0</f>
        <v>0</v>
      </c>
      <c r="AF88" s="113">
        <f>0</f>
        <v>0</v>
      </c>
      <c r="AG88" s="113">
        <f>0</f>
        <v>0</v>
      </c>
      <c r="AH88" s="113">
        <f>0</f>
        <v>0</v>
      </c>
      <c r="AI88" s="113">
        <f>0</f>
        <v>0</v>
      </c>
      <c r="AJ88" s="113">
        <f>0</f>
        <v>0</v>
      </c>
      <c r="AK88" s="113">
        <f>0</f>
        <v>0</v>
      </c>
      <c r="AL88" s="113">
        <f>0</f>
        <v>0</v>
      </c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</row>
    <row r="89" spans="1:70" ht="16.350000000000001" customHeight="1" x14ac:dyDescent="0.3">
      <c r="A89" s="114" t="s">
        <v>129</v>
      </c>
      <c r="B89" s="118">
        <f>IFERROR(INDEX($H$8:$V$8,1,MATCH("RM08",$H$3:$V$3,0)),0)</f>
        <v>13999</v>
      </c>
      <c r="C89" s="114">
        <f t="shared" ref="C89:AL89" si="31">$B89</f>
        <v>13999</v>
      </c>
      <c r="D89" s="114">
        <f t="shared" si="31"/>
        <v>13999</v>
      </c>
      <c r="E89" s="114">
        <f t="shared" si="31"/>
        <v>13999</v>
      </c>
      <c r="F89" s="114">
        <f t="shared" si="31"/>
        <v>13999</v>
      </c>
      <c r="G89" s="114">
        <f t="shared" si="31"/>
        <v>13999</v>
      </c>
      <c r="H89" s="114">
        <f t="shared" si="31"/>
        <v>13999</v>
      </c>
      <c r="I89" s="114">
        <f t="shared" si="31"/>
        <v>13999</v>
      </c>
      <c r="J89" s="114">
        <f t="shared" si="31"/>
        <v>13999</v>
      </c>
      <c r="K89" s="113">
        <f t="shared" si="31"/>
        <v>13999</v>
      </c>
      <c r="L89" s="113">
        <f t="shared" si="31"/>
        <v>13999</v>
      </c>
      <c r="M89" s="113">
        <f t="shared" si="31"/>
        <v>13999</v>
      </c>
      <c r="N89" s="113">
        <f t="shared" si="31"/>
        <v>13999</v>
      </c>
      <c r="O89" s="113">
        <f t="shared" si="31"/>
        <v>13999</v>
      </c>
      <c r="P89" s="113">
        <f t="shared" si="31"/>
        <v>13999</v>
      </c>
      <c r="Q89" s="113">
        <f t="shared" si="31"/>
        <v>13999</v>
      </c>
      <c r="R89" s="113">
        <f t="shared" si="31"/>
        <v>13999</v>
      </c>
      <c r="S89" s="113">
        <f t="shared" si="31"/>
        <v>13999</v>
      </c>
      <c r="T89" s="113">
        <f t="shared" si="31"/>
        <v>13999</v>
      </c>
      <c r="U89" s="113">
        <f t="shared" si="31"/>
        <v>13999</v>
      </c>
      <c r="V89" s="113">
        <f t="shared" si="31"/>
        <v>13999</v>
      </c>
      <c r="W89" s="113">
        <f t="shared" si="31"/>
        <v>13999</v>
      </c>
      <c r="X89" s="113">
        <f t="shared" si="31"/>
        <v>13999</v>
      </c>
      <c r="Y89" s="113">
        <f t="shared" si="31"/>
        <v>13999</v>
      </c>
      <c r="Z89" s="113">
        <f t="shared" si="31"/>
        <v>13999</v>
      </c>
      <c r="AA89" s="113">
        <f t="shared" si="31"/>
        <v>13999</v>
      </c>
      <c r="AB89" s="113">
        <f t="shared" si="31"/>
        <v>13999</v>
      </c>
      <c r="AC89" s="113">
        <f t="shared" si="31"/>
        <v>13999</v>
      </c>
      <c r="AD89" s="113">
        <f t="shared" si="31"/>
        <v>13999</v>
      </c>
      <c r="AE89" s="113">
        <f t="shared" si="31"/>
        <v>13999</v>
      </c>
      <c r="AF89" s="113">
        <f t="shared" si="31"/>
        <v>13999</v>
      </c>
      <c r="AG89" s="113">
        <f t="shared" si="31"/>
        <v>13999</v>
      </c>
      <c r="AH89" s="113">
        <f t="shared" si="31"/>
        <v>13999</v>
      </c>
      <c r="AI89" s="113">
        <f t="shared" si="31"/>
        <v>13999</v>
      </c>
      <c r="AJ89" s="113">
        <f t="shared" si="31"/>
        <v>13999</v>
      </c>
      <c r="AK89" s="113">
        <f t="shared" si="31"/>
        <v>13999</v>
      </c>
      <c r="AL89" s="113">
        <f t="shared" si="31"/>
        <v>13999</v>
      </c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</row>
    <row r="90" spans="1:70" ht="16.350000000000001" customHeight="1" x14ac:dyDescent="0.3">
      <c r="A90" s="114" t="s">
        <v>135</v>
      </c>
      <c r="B90" s="118">
        <f>IFERROR(INDEX($H$6:$V$6,1,MATCH("RM08",$H$3:$V$3,0)),0)</f>
        <v>123000</v>
      </c>
      <c r="C90" s="114">
        <f>$B90+C88+C92-C87</f>
        <v>146000</v>
      </c>
      <c r="D90" s="114">
        <f t="shared" ref="D90:AL90" si="32">C90+D88+D92-D87</f>
        <v>146000</v>
      </c>
      <c r="E90" s="114">
        <f t="shared" si="32"/>
        <v>146000</v>
      </c>
      <c r="F90" s="114">
        <f t="shared" si="32"/>
        <v>133040</v>
      </c>
      <c r="G90" s="114">
        <f t="shared" si="32"/>
        <v>118040</v>
      </c>
      <c r="H90" s="114">
        <f t="shared" si="32"/>
        <v>103040</v>
      </c>
      <c r="I90" s="114">
        <f t="shared" si="32"/>
        <v>88040</v>
      </c>
      <c r="J90" s="114">
        <f t="shared" si="32"/>
        <v>73040</v>
      </c>
      <c r="K90" s="113">
        <f t="shared" si="32"/>
        <v>58040</v>
      </c>
      <c r="L90" s="113">
        <f t="shared" si="32"/>
        <v>43040</v>
      </c>
      <c r="M90" s="113">
        <f t="shared" si="32"/>
        <v>28040</v>
      </c>
      <c r="N90" s="113">
        <f t="shared" si="32"/>
        <v>20540</v>
      </c>
      <c r="O90" s="113">
        <f t="shared" si="32"/>
        <v>13999</v>
      </c>
      <c r="P90" s="113">
        <f t="shared" si="32"/>
        <v>13999</v>
      </c>
      <c r="Q90" s="113">
        <f t="shared" si="32"/>
        <v>13999</v>
      </c>
      <c r="R90" s="113">
        <f t="shared" si="32"/>
        <v>13999</v>
      </c>
      <c r="S90" s="113">
        <f t="shared" si="32"/>
        <v>13999</v>
      </c>
      <c r="T90" s="113">
        <f t="shared" si="32"/>
        <v>13999</v>
      </c>
      <c r="U90" s="113">
        <f t="shared" si="32"/>
        <v>13999</v>
      </c>
      <c r="V90" s="113">
        <f t="shared" si="32"/>
        <v>13999</v>
      </c>
      <c r="W90" s="113">
        <f t="shared" si="32"/>
        <v>13999</v>
      </c>
      <c r="X90" s="113">
        <f t="shared" si="32"/>
        <v>13999</v>
      </c>
      <c r="Y90" s="113">
        <f t="shared" si="32"/>
        <v>13999</v>
      </c>
      <c r="Z90" s="113">
        <f t="shared" si="32"/>
        <v>13999</v>
      </c>
      <c r="AA90" s="113">
        <f t="shared" si="32"/>
        <v>13999</v>
      </c>
      <c r="AB90" s="113">
        <f t="shared" si="32"/>
        <v>13999</v>
      </c>
      <c r="AC90" s="113">
        <f t="shared" si="32"/>
        <v>13999</v>
      </c>
      <c r="AD90" s="113">
        <f t="shared" si="32"/>
        <v>13999</v>
      </c>
      <c r="AE90" s="113">
        <f t="shared" si="32"/>
        <v>13999</v>
      </c>
      <c r="AF90" s="113">
        <f t="shared" si="32"/>
        <v>13999</v>
      </c>
      <c r="AG90" s="113">
        <f t="shared" si="32"/>
        <v>13999</v>
      </c>
      <c r="AH90" s="113">
        <f t="shared" si="32"/>
        <v>13999</v>
      </c>
      <c r="AI90" s="113">
        <f t="shared" si="32"/>
        <v>13999</v>
      </c>
      <c r="AJ90" s="113">
        <f t="shared" si="32"/>
        <v>13999</v>
      </c>
      <c r="AK90" s="113">
        <f t="shared" si="32"/>
        <v>13999</v>
      </c>
      <c r="AL90" s="113">
        <f t="shared" si="32"/>
        <v>13999</v>
      </c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</row>
    <row r="91" spans="1:70" ht="16.350000000000001" customHeight="1" x14ac:dyDescent="0.3">
      <c r="A91" s="114" t="s">
        <v>136</v>
      </c>
      <c r="B91" s="118"/>
      <c r="C91" s="114">
        <f>MAX(C87+C89-($B90+C88),0)</f>
        <v>0</v>
      </c>
      <c r="D91" s="114">
        <f t="shared" ref="D91:AL91" si="33">MAX(D87+D89-(C90+D88),0)</f>
        <v>0</v>
      </c>
      <c r="E91" s="114">
        <f t="shared" si="33"/>
        <v>0</v>
      </c>
      <c r="F91" s="114">
        <f t="shared" si="33"/>
        <v>0</v>
      </c>
      <c r="G91" s="114">
        <f t="shared" si="33"/>
        <v>0</v>
      </c>
      <c r="H91" s="114">
        <f t="shared" si="33"/>
        <v>0</v>
      </c>
      <c r="I91" s="114">
        <f t="shared" si="33"/>
        <v>0</v>
      </c>
      <c r="J91" s="114">
        <f t="shared" si="33"/>
        <v>0</v>
      </c>
      <c r="K91" s="113">
        <f t="shared" si="33"/>
        <v>0</v>
      </c>
      <c r="L91" s="113">
        <f t="shared" si="33"/>
        <v>0</v>
      </c>
      <c r="M91" s="113">
        <f t="shared" si="33"/>
        <v>0</v>
      </c>
      <c r="N91" s="113">
        <f t="shared" si="33"/>
        <v>0</v>
      </c>
      <c r="O91" s="113">
        <f t="shared" si="33"/>
        <v>959</v>
      </c>
      <c r="P91" s="113">
        <f t="shared" si="33"/>
        <v>7500</v>
      </c>
      <c r="Q91" s="113">
        <f t="shared" si="33"/>
        <v>3000</v>
      </c>
      <c r="R91" s="113">
        <f t="shared" si="33"/>
        <v>3000</v>
      </c>
      <c r="S91" s="113">
        <f t="shared" si="33"/>
        <v>3000</v>
      </c>
      <c r="T91" s="113">
        <f t="shared" si="33"/>
        <v>3000</v>
      </c>
      <c r="U91" s="113">
        <f t="shared" si="33"/>
        <v>3000</v>
      </c>
      <c r="V91" s="113">
        <f t="shared" si="33"/>
        <v>2250</v>
      </c>
      <c r="W91" s="113">
        <f t="shared" si="33"/>
        <v>2250</v>
      </c>
      <c r="X91" s="113">
        <f t="shared" si="33"/>
        <v>2250</v>
      </c>
      <c r="Y91" s="113">
        <f t="shared" si="33"/>
        <v>2250</v>
      </c>
      <c r="Z91" s="113">
        <f t="shared" si="33"/>
        <v>1800</v>
      </c>
      <c r="AA91" s="113">
        <f t="shared" si="33"/>
        <v>1800</v>
      </c>
      <c r="AB91" s="113">
        <f t="shared" si="33"/>
        <v>1800</v>
      </c>
      <c r="AC91" s="113">
        <f t="shared" si="33"/>
        <v>1800</v>
      </c>
      <c r="AD91" s="113">
        <f t="shared" si="33"/>
        <v>1800</v>
      </c>
      <c r="AE91" s="113">
        <f t="shared" si="33"/>
        <v>1500</v>
      </c>
      <c r="AF91" s="113">
        <f t="shared" si="33"/>
        <v>1500</v>
      </c>
      <c r="AG91" s="113">
        <f t="shared" si="33"/>
        <v>1500</v>
      </c>
      <c r="AH91" s="113">
        <f t="shared" si="33"/>
        <v>1500</v>
      </c>
      <c r="AI91" s="113">
        <f t="shared" si="33"/>
        <v>9000</v>
      </c>
      <c r="AJ91" s="113">
        <f t="shared" si="33"/>
        <v>9000</v>
      </c>
      <c r="AK91" s="113">
        <f t="shared" si="33"/>
        <v>9000</v>
      </c>
      <c r="AL91" s="113">
        <f t="shared" si="33"/>
        <v>9000</v>
      </c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</row>
    <row r="92" spans="1:70" ht="16.350000000000001" customHeight="1" x14ac:dyDescent="0.3">
      <c r="A92" s="140" t="s">
        <v>137</v>
      </c>
      <c r="B92" s="136"/>
      <c r="C92" s="114">
        <f t="shared" ref="C92:AL92" si="34">C91</f>
        <v>0</v>
      </c>
      <c r="D92" s="114">
        <f t="shared" si="34"/>
        <v>0</v>
      </c>
      <c r="E92" s="114">
        <f t="shared" si="34"/>
        <v>0</v>
      </c>
      <c r="F92" s="114">
        <f t="shared" si="34"/>
        <v>0</v>
      </c>
      <c r="G92" s="114">
        <f t="shared" si="34"/>
        <v>0</v>
      </c>
      <c r="H92" s="114">
        <f t="shared" si="34"/>
        <v>0</v>
      </c>
      <c r="I92" s="114">
        <f t="shared" si="34"/>
        <v>0</v>
      </c>
      <c r="J92" s="114">
        <f t="shared" si="34"/>
        <v>0</v>
      </c>
      <c r="K92" s="113">
        <f t="shared" si="34"/>
        <v>0</v>
      </c>
      <c r="L92" s="113">
        <f t="shared" si="34"/>
        <v>0</v>
      </c>
      <c r="M92" s="113">
        <f t="shared" si="34"/>
        <v>0</v>
      </c>
      <c r="N92" s="113">
        <f t="shared" si="34"/>
        <v>0</v>
      </c>
      <c r="O92" s="113">
        <f t="shared" si="34"/>
        <v>959</v>
      </c>
      <c r="P92" s="113">
        <f t="shared" si="34"/>
        <v>7500</v>
      </c>
      <c r="Q92" s="113">
        <f t="shared" si="34"/>
        <v>3000</v>
      </c>
      <c r="R92" s="113">
        <f t="shared" si="34"/>
        <v>3000</v>
      </c>
      <c r="S92" s="113">
        <f t="shared" si="34"/>
        <v>3000</v>
      </c>
      <c r="T92" s="113">
        <f t="shared" si="34"/>
        <v>3000</v>
      </c>
      <c r="U92" s="113">
        <f t="shared" si="34"/>
        <v>3000</v>
      </c>
      <c r="V92" s="113">
        <f t="shared" si="34"/>
        <v>2250</v>
      </c>
      <c r="W92" s="113">
        <f t="shared" si="34"/>
        <v>2250</v>
      </c>
      <c r="X92" s="113">
        <f t="shared" si="34"/>
        <v>2250</v>
      </c>
      <c r="Y92" s="113">
        <f t="shared" si="34"/>
        <v>2250</v>
      </c>
      <c r="Z92" s="113">
        <f t="shared" si="34"/>
        <v>1800</v>
      </c>
      <c r="AA92" s="113">
        <f t="shared" si="34"/>
        <v>1800</v>
      </c>
      <c r="AB92" s="113">
        <f t="shared" si="34"/>
        <v>1800</v>
      </c>
      <c r="AC92" s="113">
        <f t="shared" si="34"/>
        <v>1800</v>
      </c>
      <c r="AD92" s="113">
        <f t="shared" si="34"/>
        <v>1800</v>
      </c>
      <c r="AE92" s="113">
        <f t="shared" si="34"/>
        <v>1500</v>
      </c>
      <c r="AF92" s="113">
        <f t="shared" si="34"/>
        <v>1500</v>
      </c>
      <c r="AG92" s="113">
        <f t="shared" si="34"/>
        <v>1500</v>
      </c>
      <c r="AH92" s="113">
        <f t="shared" si="34"/>
        <v>1500</v>
      </c>
      <c r="AI92" s="113">
        <f t="shared" si="34"/>
        <v>9000</v>
      </c>
      <c r="AJ92" s="113">
        <f t="shared" si="34"/>
        <v>9000</v>
      </c>
      <c r="AK92" s="113">
        <f t="shared" si="34"/>
        <v>9000</v>
      </c>
      <c r="AL92" s="113">
        <f t="shared" si="34"/>
        <v>9000</v>
      </c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</row>
    <row r="93" spans="1:70" ht="16.350000000000001" customHeight="1" x14ac:dyDescent="0.3">
      <c r="A93" s="114" t="s">
        <v>138</v>
      </c>
      <c r="B93" s="118"/>
      <c r="C93" s="114">
        <f>IFERROR(INDEX($C$92:$AK$92,1,1+ROUND(INDEX($H$5:$V$5,1,MATCH("RM08",$H$3:$V$3,0))/7,0)),0)</f>
        <v>0</v>
      </c>
      <c r="D93" s="114">
        <f>IFERROR(INDEX($C$92:$AK$92,1,2+ROUND(INDEX($H$5:$V$5,1,MATCH("RM08",$H$3:$V$3,0))/7,0)),0)</f>
        <v>0</v>
      </c>
      <c r="E93" s="114">
        <f>IFERROR(INDEX($C$92:$AK$92,1,3+ROUND(INDEX($H$5:$V$5,1,MATCH("RM08",$H$3:$V$3,0))/7,0)),0)</f>
        <v>0</v>
      </c>
      <c r="F93" s="114">
        <f>IFERROR(INDEX($C$92:$AK$92,1,4+ROUND(INDEX($H$5:$V$5,1,MATCH("RM08",$H$3:$V$3,0))/7,0)),0)</f>
        <v>959</v>
      </c>
      <c r="G93" s="114">
        <f>IFERROR(INDEX($C$92:$AK$92,1,5+ROUND(INDEX($H$5:$V$5,1,MATCH("RM08",$H$3:$V$3,0))/7,0)),0)</f>
        <v>7500</v>
      </c>
      <c r="H93" s="114">
        <f>IFERROR(INDEX($C$92:$AK$92,1,6+ROUND(INDEX($H$5:$V$5,1,MATCH("RM08",$H$3:$V$3,0))/7,0)),0)</f>
        <v>3000</v>
      </c>
      <c r="I93" s="114">
        <f>IFERROR(INDEX($C$92:$AK$92,1,7+ROUND(INDEX($H$5:$V$5,1,MATCH("RM08",$H$3:$V$3,0))/7,0)),0)</f>
        <v>3000</v>
      </c>
      <c r="J93" s="114">
        <f>IFERROR(INDEX($C$92:$AK$92,1,8+ROUND(INDEX($H$5:$V$5,1,MATCH("RM08",$H$3:$V$3,0))/7,0)),0)</f>
        <v>3000</v>
      </c>
      <c r="K93" s="113">
        <f>IFERROR(INDEX($C$92:$AK$92,1,9+ROUND(INDEX($H$5:$V$5,1,MATCH("RM08",$H$3:$V$3,0))/7,0)),0)</f>
        <v>3000</v>
      </c>
      <c r="L93" s="113">
        <f>IFERROR(INDEX($C$92:$AK$92,1,10+ROUND(INDEX($H$5:$V$5,1,MATCH("RM08",$H$3:$V$3,0))/7,0)),0)</f>
        <v>3000</v>
      </c>
      <c r="M93" s="113">
        <f>IFERROR(INDEX($C$92:$AK$92,1,11+ROUND(INDEX($H$5:$V$5,1,MATCH("RM08",$H$3:$V$3,0))/7,0)),0)</f>
        <v>2250</v>
      </c>
      <c r="N93" s="113">
        <f>IFERROR(INDEX($C$92:$AK$92,1,12+ROUND(INDEX($H$5:$V$5,1,MATCH("RM08",$H$3:$V$3,0))/7,0)),0)</f>
        <v>2250</v>
      </c>
      <c r="O93" s="113">
        <f>IFERROR(INDEX($C$92:$AK$92,1,13+ROUND(INDEX($H$5:$V$5,1,MATCH("RM08",$H$3:$V$3,0))/7,0)),0)</f>
        <v>2250</v>
      </c>
      <c r="P93" s="113">
        <f>IFERROR(INDEX($C$92:$AK$92,1,14+ROUND(INDEX($H$5:$V$5,1,MATCH("RM08",$H$3:$V$3,0))/7,0)),0)</f>
        <v>2250</v>
      </c>
      <c r="Q93" s="113">
        <f>IFERROR(INDEX($C$92:$AK$92,1,15+ROUND(INDEX($H$5:$V$5,1,MATCH("RM08",$H$3:$V$3,0))/7,0)),0)</f>
        <v>1800</v>
      </c>
      <c r="R93" s="113">
        <f>IFERROR(INDEX($C$92:$AK$92,1,16+ROUND(INDEX($H$5:$V$5,1,MATCH("RM08",$H$3:$V$3,0))/7,0)),0)</f>
        <v>1800</v>
      </c>
      <c r="S93" s="113">
        <f>IFERROR(INDEX($C$92:$AK$92,1,17+ROUND(INDEX($H$5:$V$5,1,MATCH("RM08",$H$3:$V$3,0))/7,0)),0)</f>
        <v>1800</v>
      </c>
      <c r="T93" s="113">
        <f>IFERROR(INDEX($C$92:$AK$92,1,18+ROUND(INDEX($H$5:$V$5,1,MATCH("RM08",$H$3:$V$3,0))/7,0)),0)</f>
        <v>1800</v>
      </c>
      <c r="U93" s="113">
        <f>IFERROR(INDEX($C$92:$AK$92,1,19+ROUND(INDEX($H$5:$V$5,1,MATCH("RM08",$H$3:$V$3,0))/7,0)),0)</f>
        <v>1800</v>
      </c>
      <c r="V93" s="113">
        <f>IFERROR(INDEX($C$92:$AK$92,1,20+ROUND(INDEX($H$5:$V$5,1,MATCH("RM08",$H$3:$V$3,0))/7,0)),0)</f>
        <v>1500</v>
      </c>
      <c r="W93" s="113">
        <f>IFERROR(INDEX($C$92:$AK$92,1,21+ROUND(INDEX($H$5:$V$5,1,MATCH("RM08",$H$3:$V$3,0))/7,0)),0)</f>
        <v>1500</v>
      </c>
      <c r="X93" s="113">
        <f>IFERROR(INDEX($C$92:$AK$92,1,22+ROUND(INDEX($H$5:$V$5,1,MATCH("RM08",$H$3:$V$3,0))/7,0)),0)</f>
        <v>1500</v>
      </c>
      <c r="Y93" s="113">
        <f>IFERROR(INDEX($C$92:$AK$92,1,23+ROUND(INDEX($H$5:$V$5,1,MATCH("RM08",$H$3:$V$3,0))/7,0)),0)</f>
        <v>1500</v>
      </c>
      <c r="Z93" s="113">
        <f>IFERROR(INDEX($C$92:$AK$92,1,24+ROUND(INDEX($H$5:$V$5,1,MATCH("RM08",$H$3:$V$3,0))/7,0)),0)</f>
        <v>9000</v>
      </c>
      <c r="AA93" s="113">
        <f>IFERROR(INDEX($C$92:$AK$92,1,25+ROUND(INDEX($H$5:$V$5,1,MATCH("RM08",$H$3:$V$3,0))/7,0)),0)</f>
        <v>9000</v>
      </c>
      <c r="AB93" s="113">
        <f>IFERROR(INDEX($C$92:$AK$92,1,26+ROUND(INDEX($H$5:$V$5,1,MATCH("RM08",$H$3:$V$3,0))/7,0)),0)</f>
        <v>9000</v>
      </c>
      <c r="AC93" s="113">
        <f>IFERROR(INDEX($C$92:$AK$92,1,27+ROUND(INDEX($H$5:$V$5,1,MATCH("RM08",$H$3:$V$3,0))/7,0)),0)</f>
        <v>0</v>
      </c>
      <c r="AD93" s="113">
        <f>IFERROR(INDEX($C$92:$AK$92,1,28+ROUND(INDEX($H$5:$V$5,1,MATCH("RM08",$H$3:$V$3,0))/7,0)),0)</f>
        <v>0</v>
      </c>
      <c r="AE93" s="113">
        <f>IFERROR(INDEX($C$92:$AK$92,1,29+ROUND(INDEX($H$5:$V$5,1,MATCH("RM08",$H$3:$V$3,0))/7,0)),0)</f>
        <v>0</v>
      </c>
      <c r="AF93" s="113">
        <f>IFERROR(INDEX($C$92:$AK$92,1,30+ROUND(INDEX($H$5:$V$5,1,MATCH("RM08",$H$3:$V$3,0))/7,0)),0)</f>
        <v>0</v>
      </c>
      <c r="AG93" s="113">
        <f>IFERROR(INDEX($C$92:$AK$92,1,31+ROUND(INDEX($H$5:$V$5,1,MATCH("RM08",$H$3:$V$3,0))/7,0)),0)</f>
        <v>0</v>
      </c>
      <c r="AH93" s="113">
        <f>IFERROR(INDEX($C$92:$AK$92,1,32+ROUND(INDEX($H$5:$V$5,1,MATCH("RM08",$H$3:$V$3,0))/7,0)),0)</f>
        <v>0</v>
      </c>
      <c r="AI93" s="113">
        <f>IFERROR(INDEX($C$92:$AK$92,1,33+ROUND(INDEX($H$5:$V$5,1,MATCH("RM08",$H$3:$V$3,0))/7,0)),0)</f>
        <v>0</v>
      </c>
      <c r="AJ93" s="113">
        <f>IFERROR(INDEX($C$92:$AK$92,1,34+ROUND(INDEX($H$5:$V$5,1,MATCH("RM08",$H$3:$V$3,0))/7,0)),0)</f>
        <v>0</v>
      </c>
      <c r="AK93" s="113">
        <f>IFERROR(INDEX($C$92:$AK$92,1,35+ROUND(INDEX($H$5:$V$5,1,MATCH("RM08",$H$3:$V$3,0))/7,0)),0)</f>
        <v>0</v>
      </c>
      <c r="AL93" s="113">
        <f>IFERROR(INDEX($C$92:$AK$92,1,35+ROUND(INDEX($H$5:$V$5,1,MATCH("RM08",$H$3:$V$3,0))/7,0)),0)</f>
        <v>0</v>
      </c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</row>
    <row r="94" spans="1:70" x14ac:dyDescent="0.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</row>
    <row r="95" spans="1:70" ht="16.350000000000001" customHeight="1" x14ac:dyDescent="0.3">
      <c r="A95" s="47" t="s">
        <v>146</v>
      </c>
      <c r="B95" s="47" t="s">
        <v>132</v>
      </c>
      <c r="C95" s="137" t="s">
        <v>0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6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</row>
    <row r="96" spans="1:70" ht="16.350000000000001" customHeight="1" x14ac:dyDescent="0.3">
      <c r="A96" s="47" t="s">
        <v>133</v>
      </c>
      <c r="B96" s="47" t="str">
        <f>"LT: "&amp;ROUND(INDEX($H$5:$V$5,1,MATCH("RM09",$H$3:$V$3,0))/7,0)</f>
        <v>LT: 4</v>
      </c>
      <c r="C96" s="48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 s="104">
        <v>46370</v>
      </c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</row>
    <row r="97" spans="1:70" ht="16.350000000000001" customHeight="1" x14ac:dyDescent="0.3">
      <c r="A97" s="51" t="s">
        <v>134</v>
      </c>
      <c r="B97" s="104"/>
      <c r="C97" s="114">
        <f t="array" ref="C97:AL97">TRANSPOSE(BOM_demand!$P$2:$P$37)</f>
        <v>2500</v>
      </c>
      <c r="D97" s="114">
        <v>0</v>
      </c>
      <c r="E97" s="114">
        <v>0</v>
      </c>
      <c r="F97" s="114">
        <v>2160</v>
      </c>
      <c r="G97" s="114">
        <v>2500</v>
      </c>
      <c r="H97" s="114">
        <v>2500</v>
      </c>
      <c r="I97" s="114">
        <v>2500</v>
      </c>
      <c r="J97" s="114">
        <v>2500</v>
      </c>
      <c r="K97" s="114">
        <v>2500</v>
      </c>
      <c r="L97" s="114">
        <v>2500</v>
      </c>
      <c r="M97" s="114">
        <v>2500</v>
      </c>
      <c r="N97" s="114">
        <v>1250</v>
      </c>
      <c r="O97" s="114">
        <v>1250</v>
      </c>
      <c r="P97" s="114">
        <v>1250</v>
      </c>
      <c r="Q97" s="114">
        <v>500</v>
      </c>
      <c r="R97" s="114">
        <v>500</v>
      </c>
      <c r="S97" s="114">
        <v>500</v>
      </c>
      <c r="T97" s="114">
        <v>500</v>
      </c>
      <c r="U97" s="114">
        <v>500</v>
      </c>
      <c r="V97" s="114">
        <v>375</v>
      </c>
      <c r="W97" s="114">
        <v>375</v>
      </c>
      <c r="X97" s="114">
        <v>375</v>
      </c>
      <c r="Y97" s="114">
        <v>375</v>
      </c>
      <c r="Z97" s="114">
        <v>300</v>
      </c>
      <c r="AA97" s="114">
        <v>300</v>
      </c>
      <c r="AB97" s="114">
        <v>300</v>
      </c>
      <c r="AC97" s="114">
        <v>300</v>
      </c>
      <c r="AD97" s="114">
        <v>300</v>
      </c>
      <c r="AE97" s="114">
        <v>250</v>
      </c>
      <c r="AF97" s="114">
        <v>250</v>
      </c>
      <c r="AG97" s="114">
        <v>250</v>
      </c>
      <c r="AH97" s="114">
        <v>250</v>
      </c>
      <c r="AI97" s="114">
        <v>1500</v>
      </c>
      <c r="AJ97" s="114">
        <v>1500</v>
      </c>
      <c r="AK97" s="114">
        <v>1500</v>
      </c>
      <c r="AL97" s="104">
        <v>1500</v>
      </c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</row>
    <row r="98" spans="1:70" ht="16.350000000000001" customHeight="1" x14ac:dyDescent="0.3">
      <c r="A98" s="140" t="s">
        <v>128</v>
      </c>
      <c r="B98" s="136"/>
      <c r="C98" s="114">
        <f>IFERROR(INDEX($H$7:$V$7,1,MATCH("RM09",$H$3:$V$3,0)),0)</f>
        <v>0</v>
      </c>
      <c r="D98" s="114">
        <f>0</f>
        <v>0</v>
      </c>
      <c r="E98" s="114">
        <f>0</f>
        <v>0</v>
      </c>
      <c r="F98" s="114">
        <f>0</f>
        <v>0</v>
      </c>
      <c r="G98" s="114">
        <f>0</f>
        <v>0</v>
      </c>
      <c r="H98" s="114">
        <f>0</f>
        <v>0</v>
      </c>
      <c r="I98" s="114">
        <f>0</f>
        <v>0</v>
      </c>
      <c r="J98" s="114">
        <f>0</f>
        <v>0</v>
      </c>
      <c r="K98" s="113">
        <f>0</f>
        <v>0</v>
      </c>
      <c r="L98" s="113">
        <f>0</f>
        <v>0</v>
      </c>
      <c r="M98" s="113">
        <f>0</f>
        <v>0</v>
      </c>
      <c r="N98" s="113">
        <f>0</f>
        <v>0</v>
      </c>
      <c r="O98" s="113">
        <f>0</f>
        <v>0</v>
      </c>
      <c r="P98" s="113">
        <f>0</f>
        <v>0</v>
      </c>
      <c r="Q98" s="113">
        <f>0</f>
        <v>0</v>
      </c>
      <c r="R98" s="113">
        <f>0</f>
        <v>0</v>
      </c>
      <c r="S98" s="113">
        <f>0</f>
        <v>0</v>
      </c>
      <c r="T98" s="113">
        <f>0</f>
        <v>0</v>
      </c>
      <c r="U98" s="113">
        <f>0</f>
        <v>0</v>
      </c>
      <c r="V98" s="113">
        <f>0</f>
        <v>0</v>
      </c>
      <c r="W98" s="113">
        <f>0</f>
        <v>0</v>
      </c>
      <c r="X98" s="113">
        <f>0</f>
        <v>0</v>
      </c>
      <c r="Y98" s="113">
        <f>0</f>
        <v>0</v>
      </c>
      <c r="Z98" s="113">
        <f>0</f>
        <v>0</v>
      </c>
      <c r="AA98" s="113">
        <f>0</f>
        <v>0</v>
      </c>
      <c r="AB98" s="113">
        <f>0</f>
        <v>0</v>
      </c>
      <c r="AC98" s="113">
        <f>0</f>
        <v>0</v>
      </c>
      <c r="AD98" s="113">
        <f>0</f>
        <v>0</v>
      </c>
      <c r="AE98" s="113">
        <f>0</f>
        <v>0</v>
      </c>
      <c r="AF98" s="113">
        <f>0</f>
        <v>0</v>
      </c>
      <c r="AG98" s="113">
        <f>0</f>
        <v>0</v>
      </c>
      <c r="AH98" s="113">
        <f>0</f>
        <v>0</v>
      </c>
      <c r="AI98" s="113">
        <f>0</f>
        <v>0</v>
      </c>
      <c r="AJ98" s="113">
        <f>0</f>
        <v>0</v>
      </c>
      <c r="AK98" s="113">
        <f>0</f>
        <v>0</v>
      </c>
      <c r="AL98" s="113">
        <f>0</f>
        <v>0</v>
      </c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</row>
    <row r="99" spans="1:70" ht="16.350000000000001" customHeight="1" x14ac:dyDescent="0.3">
      <c r="A99" s="114" t="s">
        <v>129</v>
      </c>
      <c r="B99" s="118">
        <f>IFERROR(INDEX($H$8:$V$8,1,MATCH("RM09",$H$3:$V$3,0)),0)</f>
        <v>2334</v>
      </c>
      <c r="C99" s="114">
        <f t="shared" ref="C99:AL99" si="35">$B99</f>
        <v>2334</v>
      </c>
      <c r="D99" s="114">
        <f t="shared" si="35"/>
        <v>2334</v>
      </c>
      <c r="E99" s="114">
        <f t="shared" si="35"/>
        <v>2334</v>
      </c>
      <c r="F99" s="114">
        <f t="shared" si="35"/>
        <v>2334</v>
      </c>
      <c r="G99" s="114">
        <f t="shared" si="35"/>
        <v>2334</v>
      </c>
      <c r="H99" s="114">
        <f t="shared" si="35"/>
        <v>2334</v>
      </c>
      <c r="I99" s="114">
        <f t="shared" si="35"/>
        <v>2334</v>
      </c>
      <c r="J99" s="114">
        <f t="shared" si="35"/>
        <v>2334</v>
      </c>
      <c r="K99" s="113">
        <f t="shared" si="35"/>
        <v>2334</v>
      </c>
      <c r="L99" s="113">
        <f t="shared" si="35"/>
        <v>2334</v>
      </c>
      <c r="M99" s="113">
        <f t="shared" si="35"/>
        <v>2334</v>
      </c>
      <c r="N99" s="113">
        <f t="shared" si="35"/>
        <v>2334</v>
      </c>
      <c r="O99" s="113">
        <f t="shared" si="35"/>
        <v>2334</v>
      </c>
      <c r="P99" s="113">
        <f t="shared" si="35"/>
        <v>2334</v>
      </c>
      <c r="Q99" s="113">
        <f t="shared" si="35"/>
        <v>2334</v>
      </c>
      <c r="R99" s="113">
        <f t="shared" si="35"/>
        <v>2334</v>
      </c>
      <c r="S99" s="113">
        <f t="shared" si="35"/>
        <v>2334</v>
      </c>
      <c r="T99" s="113">
        <f t="shared" si="35"/>
        <v>2334</v>
      </c>
      <c r="U99" s="113">
        <f t="shared" si="35"/>
        <v>2334</v>
      </c>
      <c r="V99" s="113">
        <f t="shared" si="35"/>
        <v>2334</v>
      </c>
      <c r="W99" s="113">
        <f t="shared" si="35"/>
        <v>2334</v>
      </c>
      <c r="X99" s="113">
        <f t="shared" si="35"/>
        <v>2334</v>
      </c>
      <c r="Y99" s="113">
        <f t="shared" si="35"/>
        <v>2334</v>
      </c>
      <c r="Z99" s="113">
        <f t="shared" si="35"/>
        <v>2334</v>
      </c>
      <c r="AA99" s="113">
        <f t="shared" si="35"/>
        <v>2334</v>
      </c>
      <c r="AB99" s="113">
        <f t="shared" si="35"/>
        <v>2334</v>
      </c>
      <c r="AC99" s="113">
        <f t="shared" si="35"/>
        <v>2334</v>
      </c>
      <c r="AD99" s="113">
        <f t="shared" si="35"/>
        <v>2334</v>
      </c>
      <c r="AE99" s="113">
        <f t="shared" si="35"/>
        <v>2334</v>
      </c>
      <c r="AF99" s="113">
        <f t="shared" si="35"/>
        <v>2334</v>
      </c>
      <c r="AG99" s="113">
        <f t="shared" si="35"/>
        <v>2334</v>
      </c>
      <c r="AH99" s="113">
        <f t="shared" si="35"/>
        <v>2334</v>
      </c>
      <c r="AI99" s="113">
        <f t="shared" si="35"/>
        <v>2334</v>
      </c>
      <c r="AJ99" s="113">
        <f t="shared" si="35"/>
        <v>2334</v>
      </c>
      <c r="AK99" s="113">
        <f t="shared" si="35"/>
        <v>2334</v>
      </c>
      <c r="AL99" s="113">
        <f t="shared" si="35"/>
        <v>2334</v>
      </c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</row>
    <row r="100" spans="1:70" ht="16.350000000000001" customHeight="1" x14ac:dyDescent="0.3">
      <c r="A100" s="114" t="s">
        <v>135</v>
      </c>
      <c r="B100" s="118">
        <f>IFERROR(INDEX($H$6:$V$6,1,MATCH("RM09",$H$3:$V$3,0)),0)</f>
        <v>6500</v>
      </c>
      <c r="C100" s="114">
        <f>$B100+C98+C102-C97</f>
        <v>4000</v>
      </c>
      <c r="D100" s="114">
        <f t="shared" ref="D100:AL100" si="36">C100+D98+D102-D97</f>
        <v>4000</v>
      </c>
      <c r="E100" s="114">
        <f t="shared" si="36"/>
        <v>4000</v>
      </c>
      <c r="F100" s="114">
        <f t="shared" si="36"/>
        <v>2334</v>
      </c>
      <c r="G100" s="114">
        <f t="shared" si="36"/>
        <v>2334</v>
      </c>
      <c r="H100" s="114">
        <f t="shared" si="36"/>
        <v>2334</v>
      </c>
      <c r="I100" s="114">
        <f t="shared" si="36"/>
        <v>2334</v>
      </c>
      <c r="J100" s="114">
        <f t="shared" si="36"/>
        <v>2334</v>
      </c>
      <c r="K100" s="113">
        <f t="shared" si="36"/>
        <v>2334</v>
      </c>
      <c r="L100" s="113">
        <f t="shared" si="36"/>
        <v>2334</v>
      </c>
      <c r="M100" s="113">
        <f t="shared" si="36"/>
        <v>2334</v>
      </c>
      <c r="N100" s="113">
        <f t="shared" si="36"/>
        <v>2334</v>
      </c>
      <c r="O100" s="113">
        <f t="shared" si="36"/>
        <v>2334</v>
      </c>
      <c r="P100" s="113">
        <f t="shared" si="36"/>
        <v>2334</v>
      </c>
      <c r="Q100" s="113">
        <f t="shared" si="36"/>
        <v>2334</v>
      </c>
      <c r="R100" s="113">
        <f t="shared" si="36"/>
        <v>2334</v>
      </c>
      <c r="S100" s="113">
        <f t="shared" si="36"/>
        <v>2334</v>
      </c>
      <c r="T100" s="113">
        <f t="shared" si="36"/>
        <v>2334</v>
      </c>
      <c r="U100" s="113">
        <f t="shared" si="36"/>
        <v>2334</v>
      </c>
      <c r="V100" s="113">
        <f t="shared" si="36"/>
        <v>2334</v>
      </c>
      <c r="W100" s="113">
        <f t="shared" si="36"/>
        <v>2334</v>
      </c>
      <c r="X100" s="113">
        <f t="shared" si="36"/>
        <v>2334</v>
      </c>
      <c r="Y100" s="113">
        <f t="shared" si="36"/>
        <v>2334</v>
      </c>
      <c r="Z100" s="113">
        <f t="shared" si="36"/>
        <v>2334</v>
      </c>
      <c r="AA100" s="113">
        <f t="shared" si="36"/>
        <v>2334</v>
      </c>
      <c r="AB100" s="113">
        <f t="shared" si="36"/>
        <v>2334</v>
      </c>
      <c r="AC100" s="113">
        <f t="shared" si="36"/>
        <v>2334</v>
      </c>
      <c r="AD100" s="113">
        <f t="shared" si="36"/>
        <v>2334</v>
      </c>
      <c r="AE100" s="113">
        <f t="shared" si="36"/>
        <v>2334</v>
      </c>
      <c r="AF100" s="113">
        <f t="shared" si="36"/>
        <v>2334</v>
      </c>
      <c r="AG100" s="113">
        <f t="shared" si="36"/>
        <v>2334</v>
      </c>
      <c r="AH100" s="113">
        <f t="shared" si="36"/>
        <v>2334</v>
      </c>
      <c r="AI100" s="113">
        <f t="shared" si="36"/>
        <v>2334</v>
      </c>
      <c r="AJ100" s="113">
        <f t="shared" si="36"/>
        <v>2334</v>
      </c>
      <c r="AK100" s="113">
        <f t="shared" si="36"/>
        <v>2334</v>
      </c>
      <c r="AL100" s="113">
        <f t="shared" si="36"/>
        <v>2334</v>
      </c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</row>
    <row r="101" spans="1:70" ht="16.350000000000001" customHeight="1" x14ac:dyDescent="0.3">
      <c r="A101" s="114" t="s">
        <v>136</v>
      </c>
      <c r="B101" s="118"/>
      <c r="C101" s="114">
        <f>MAX(C97+C99-($B100+C98),0)</f>
        <v>0</v>
      </c>
      <c r="D101" s="114">
        <f t="shared" ref="D101:AL101" si="37">MAX(D97+D99-(C100+D98),0)</f>
        <v>0</v>
      </c>
      <c r="E101" s="114">
        <f t="shared" si="37"/>
        <v>0</v>
      </c>
      <c r="F101" s="114">
        <f t="shared" si="37"/>
        <v>494</v>
      </c>
      <c r="G101" s="114">
        <f t="shared" si="37"/>
        <v>2500</v>
      </c>
      <c r="H101" s="114">
        <f t="shared" si="37"/>
        <v>2500</v>
      </c>
      <c r="I101" s="114">
        <f t="shared" si="37"/>
        <v>2500</v>
      </c>
      <c r="J101" s="114">
        <f t="shared" si="37"/>
        <v>2500</v>
      </c>
      <c r="K101" s="113">
        <f t="shared" si="37"/>
        <v>2500</v>
      </c>
      <c r="L101" s="113">
        <f t="shared" si="37"/>
        <v>2500</v>
      </c>
      <c r="M101" s="113">
        <f t="shared" si="37"/>
        <v>2500</v>
      </c>
      <c r="N101" s="113">
        <f t="shared" si="37"/>
        <v>1250</v>
      </c>
      <c r="O101" s="113">
        <f t="shared" si="37"/>
        <v>1250</v>
      </c>
      <c r="P101" s="113">
        <f t="shared" si="37"/>
        <v>1250</v>
      </c>
      <c r="Q101" s="113">
        <f t="shared" si="37"/>
        <v>500</v>
      </c>
      <c r="R101" s="113">
        <f t="shared" si="37"/>
        <v>500</v>
      </c>
      <c r="S101" s="113">
        <f t="shared" si="37"/>
        <v>500</v>
      </c>
      <c r="T101" s="113">
        <f t="shared" si="37"/>
        <v>500</v>
      </c>
      <c r="U101" s="113">
        <f t="shared" si="37"/>
        <v>500</v>
      </c>
      <c r="V101" s="113">
        <f t="shared" si="37"/>
        <v>375</v>
      </c>
      <c r="W101" s="113">
        <f t="shared" si="37"/>
        <v>375</v>
      </c>
      <c r="X101" s="113">
        <f t="shared" si="37"/>
        <v>375</v>
      </c>
      <c r="Y101" s="113">
        <f t="shared" si="37"/>
        <v>375</v>
      </c>
      <c r="Z101" s="113">
        <f t="shared" si="37"/>
        <v>300</v>
      </c>
      <c r="AA101" s="113">
        <f t="shared" si="37"/>
        <v>300</v>
      </c>
      <c r="AB101" s="113">
        <f t="shared" si="37"/>
        <v>300</v>
      </c>
      <c r="AC101" s="113">
        <f t="shared" si="37"/>
        <v>300</v>
      </c>
      <c r="AD101" s="113">
        <f t="shared" si="37"/>
        <v>300</v>
      </c>
      <c r="AE101" s="113">
        <f t="shared" si="37"/>
        <v>250</v>
      </c>
      <c r="AF101" s="113">
        <f t="shared" si="37"/>
        <v>250</v>
      </c>
      <c r="AG101" s="113">
        <f t="shared" si="37"/>
        <v>250</v>
      </c>
      <c r="AH101" s="113">
        <f t="shared" si="37"/>
        <v>250</v>
      </c>
      <c r="AI101" s="113">
        <f t="shared" si="37"/>
        <v>1500</v>
      </c>
      <c r="AJ101" s="113">
        <f t="shared" si="37"/>
        <v>1500</v>
      </c>
      <c r="AK101" s="113">
        <f t="shared" si="37"/>
        <v>1500</v>
      </c>
      <c r="AL101" s="113">
        <f t="shared" si="37"/>
        <v>1500</v>
      </c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</row>
    <row r="102" spans="1:70" ht="16.350000000000001" customHeight="1" x14ac:dyDescent="0.3">
      <c r="A102" s="140" t="s">
        <v>137</v>
      </c>
      <c r="B102" s="136"/>
      <c r="C102" s="114">
        <f t="shared" ref="C102:AL102" si="38">C101</f>
        <v>0</v>
      </c>
      <c r="D102" s="114">
        <f t="shared" si="38"/>
        <v>0</v>
      </c>
      <c r="E102" s="114">
        <f t="shared" si="38"/>
        <v>0</v>
      </c>
      <c r="F102" s="114">
        <f t="shared" si="38"/>
        <v>494</v>
      </c>
      <c r="G102" s="114">
        <f t="shared" si="38"/>
        <v>2500</v>
      </c>
      <c r="H102" s="114">
        <f t="shared" si="38"/>
        <v>2500</v>
      </c>
      <c r="I102" s="114">
        <f t="shared" si="38"/>
        <v>2500</v>
      </c>
      <c r="J102" s="114">
        <f t="shared" si="38"/>
        <v>2500</v>
      </c>
      <c r="K102" s="113">
        <f t="shared" si="38"/>
        <v>2500</v>
      </c>
      <c r="L102" s="113">
        <f t="shared" si="38"/>
        <v>2500</v>
      </c>
      <c r="M102" s="113">
        <f t="shared" si="38"/>
        <v>2500</v>
      </c>
      <c r="N102" s="113">
        <f t="shared" si="38"/>
        <v>1250</v>
      </c>
      <c r="O102" s="113">
        <f t="shared" si="38"/>
        <v>1250</v>
      </c>
      <c r="P102" s="113">
        <f t="shared" si="38"/>
        <v>1250</v>
      </c>
      <c r="Q102" s="113">
        <f t="shared" si="38"/>
        <v>500</v>
      </c>
      <c r="R102" s="113">
        <f t="shared" si="38"/>
        <v>500</v>
      </c>
      <c r="S102" s="113">
        <f t="shared" si="38"/>
        <v>500</v>
      </c>
      <c r="T102" s="113">
        <f t="shared" si="38"/>
        <v>500</v>
      </c>
      <c r="U102" s="113">
        <f t="shared" si="38"/>
        <v>500</v>
      </c>
      <c r="V102" s="113">
        <f t="shared" si="38"/>
        <v>375</v>
      </c>
      <c r="W102" s="113">
        <f t="shared" si="38"/>
        <v>375</v>
      </c>
      <c r="X102" s="113">
        <f t="shared" si="38"/>
        <v>375</v>
      </c>
      <c r="Y102" s="113">
        <f t="shared" si="38"/>
        <v>375</v>
      </c>
      <c r="Z102" s="113">
        <f t="shared" si="38"/>
        <v>300</v>
      </c>
      <c r="AA102" s="113">
        <f t="shared" si="38"/>
        <v>300</v>
      </c>
      <c r="AB102" s="113">
        <f t="shared" si="38"/>
        <v>300</v>
      </c>
      <c r="AC102" s="113">
        <f t="shared" si="38"/>
        <v>300</v>
      </c>
      <c r="AD102" s="113">
        <f t="shared" si="38"/>
        <v>300</v>
      </c>
      <c r="AE102" s="113">
        <f t="shared" si="38"/>
        <v>250</v>
      </c>
      <c r="AF102" s="113">
        <f t="shared" si="38"/>
        <v>250</v>
      </c>
      <c r="AG102" s="113">
        <f t="shared" si="38"/>
        <v>250</v>
      </c>
      <c r="AH102" s="113">
        <f t="shared" si="38"/>
        <v>250</v>
      </c>
      <c r="AI102" s="113">
        <f t="shared" si="38"/>
        <v>1500</v>
      </c>
      <c r="AJ102" s="113">
        <f t="shared" si="38"/>
        <v>1500</v>
      </c>
      <c r="AK102" s="113">
        <f t="shared" si="38"/>
        <v>1500</v>
      </c>
      <c r="AL102" s="113">
        <f t="shared" si="38"/>
        <v>1500</v>
      </c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</row>
    <row r="103" spans="1:70" ht="16.350000000000001" customHeight="1" x14ac:dyDescent="0.3">
      <c r="A103" s="114" t="s">
        <v>138</v>
      </c>
      <c r="B103" s="118"/>
      <c r="C103" s="114">
        <f>IFERROR(INDEX($C$102:$AK$102,1,1+ROUND(INDEX($H$5:$V$5,1,MATCH("RM09",$H$3:$V$3,0))/7,0)),0)</f>
        <v>2500</v>
      </c>
      <c r="D103" s="114">
        <f>IFERROR(INDEX($C$102:$AK$102,1,2+ROUND(INDEX($H$5:$V$5,1,MATCH("RM09",$H$3:$V$3,0))/7,0)),0)</f>
        <v>2500</v>
      </c>
      <c r="E103" s="114">
        <f>IFERROR(INDEX($C$102:$AK$102,1,3+ROUND(INDEX($H$5:$V$5,1,MATCH("RM09",$H$3:$V$3,0))/7,0)),0)</f>
        <v>2500</v>
      </c>
      <c r="F103" s="114">
        <f>IFERROR(INDEX($C$102:$AK$102,1,4+ROUND(INDEX($H$5:$V$5,1,MATCH("RM09",$H$3:$V$3,0))/7,0)),0)</f>
        <v>2500</v>
      </c>
      <c r="G103" s="114">
        <f>IFERROR(INDEX($C$102:$AK$102,1,5+ROUND(INDEX($H$5:$V$5,1,MATCH("RM09",$H$3:$V$3,0))/7,0)),0)</f>
        <v>2500</v>
      </c>
      <c r="H103" s="114">
        <f>IFERROR(INDEX($C$102:$AK$102,1,6+ROUND(INDEX($H$5:$V$5,1,MATCH("RM09",$H$3:$V$3,0))/7,0)),0)</f>
        <v>2500</v>
      </c>
      <c r="I103" s="114">
        <f>IFERROR(INDEX($C$102:$AK$102,1,7+ROUND(INDEX($H$5:$V$5,1,MATCH("RM09",$H$3:$V$3,0))/7,0)),0)</f>
        <v>2500</v>
      </c>
      <c r="J103" s="114">
        <f>IFERROR(INDEX($C$102:$AK$102,1,8+ROUND(INDEX($H$5:$V$5,1,MATCH("RM09",$H$3:$V$3,0))/7,0)),0)</f>
        <v>1250</v>
      </c>
      <c r="K103" s="113">
        <f>IFERROR(INDEX($C$102:$AK$102,1,9+ROUND(INDEX($H$5:$V$5,1,MATCH("RM09",$H$3:$V$3,0))/7,0)),0)</f>
        <v>1250</v>
      </c>
      <c r="L103" s="113">
        <f>IFERROR(INDEX($C$102:$AK$102,1,10+ROUND(INDEX($H$5:$V$5,1,MATCH("RM09",$H$3:$V$3,0))/7,0)),0)</f>
        <v>1250</v>
      </c>
      <c r="M103" s="113">
        <f>IFERROR(INDEX($C$102:$AK$102,1,11+ROUND(INDEX($H$5:$V$5,1,MATCH("RM09",$H$3:$V$3,0))/7,0)),0)</f>
        <v>500</v>
      </c>
      <c r="N103" s="113">
        <f>IFERROR(INDEX($C$102:$AK$102,1,12+ROUND(INDEX($H$5:$V$5,1,MATCH("RM09",$H$3:$V$3,0))/7,0)),0)</f>
        <v>500</v>
      </c>
      <c r="O103" s="113">
        <f>IFERROR(INDEX($C$102:$AK$102,1,13+ROUND(INDEX($H$5:$V$5,1,MATCH("RM09",$H$3:$V$3,0))/7,0)),0)</f>
        <v>500</v>
      </c>
      <c r="P103" s="113">
        <f>IFERROR(INDEX($C$102:$AK$102,1,14+ROUND(INDEX($H$5:$V$5,1,MATCH("RM09",$H$3:$V$3,0))/7,0)),0)</f>
        <v>500</v>
      </c>
      <c r="Q103" s="113">
        <f>IFERROR(INDEX($C$102:$AK$102,1,15+ROUND(INDEX($H$5:$V$5,1,MATCH("RM09",$H$3:$V$3,0))/7,0)),0)</f>
        <v>500</v>
      </c>
      <c r="R103" s="113">
        <f>IFERROR(INDEX($C$102:$AK$102,1,16+ROUND(INDEX($H$5:$V$5,1,MATCH("RM09",$H$3:$V$3,0))/7,0)),0)</f>
        <v>375</v>
      </c>
      <c r="S103" s="113">
        <f>IFERROR(INDEX($C$102:$AK$102,1,17+ROUND(INDEX($H$5:$V$5,1,MATCH("RM09",$H$3:$V$3,0))/7,0)),0)</f>
        <v>375</v>
      </c>
      <c r="T103" s="113">
        <f>IFERROR(INDEX($C$102:$AK$102,1,18+ROUND(INDEX($H$5:$V$5,1,MATCH("RM09",$H$3:$V$3,0))/7,0)),0)</f>
        <v>375</v>
      </c>
      <c r="U103" s="113">
        <f>IFERROR(INDEX($C$102:$AK$102,1,19+ROUND(INDEX($H$5:$V$5,1,MATCH("RM09",$H$3:$V$3,0))/7,0)),0)</f>
        <v>375</v>
      </c>
      <c r="V103" s="113">
        <f>IFERROR(INDEX($C$102:$AK$102,1,20+ROUND(INDEX($H$5:$V$5,1,MATCH("RM09",$H$3:$V$3,0))/7,0)),0)</f>
        <v>300</v>
      </c>
      <c r="W103" s="113">
        <f>IFERROR(INDEX($C$102:$AK$102,1,21+ROUND(INDEX($H$5:$V$5,1,MATCH("RM09",$H$3:$V$3,0))/7,0)),0)</f>
        <v>300</v>
      </c>
      <c r="X103" s="113">
        <f>IFERROR(INDEX($C$102:$AK$102,1,22+ROUND(INDEX($H$5:$V$5,1,MATCH("RM09",$H$3:$V$3,0))/7,0)),0)</f>
        <v>300</v>
      </c>
      <c r="Y103" s="113">
        <f>IFERROR(INDEX($C$102:$AK$102,1,23+ROUND(INDEX($H$5:$V$5,1,MATCH("RM09",$H$3:$V$3,0))/7,0)),0)</f>
        <v>300</v>
      </c>
      <c r="Z103" s="113">
        <f>IFERROR(INDEX($C$102:$AK$102,1,24+ROUND(INDEX($H$5:$V$5,1,MATCH("RM09",$H$3:$V$3,0))/7,0)),0)</f>
        <v>300</v>
      </c>
      <c r="AA103" s="113">
        <f>IFERROR(INDEX($C$102:$AK$102,1,25+ROUND(INDEX($H$5:$V$5,1,MATCH("RM09",$H$3:$V$3,0))/7,0)),0)</f>
        <v>250</v>
      </c>
      <c r="AB103" s="113">
        <f>IFERROR(INDEX($C$102:$AK$102,1,26+ROUND(INDEX($H$5:$V$5,1,MATCH("RM09",$H$3:$V$3,0))/7,0)),0)</f>
        <v>250</v>
      </c>
      <c r="AC103" s="113">
        <f>IFERROR(INDEX($C$102:$AK$102,1,27+ROUND(INDEX($H$5:$V$5,1,MATCH("RM09",$H$3:$V$3,0))/7,0)),0)</f>
        <v>250</v>
      </c>
      <c r="AD103" s="113">
        <f>IFERROR(INDEX($C$102:$AK$102,1,28+ROUND(INDEX($H$5:$V$5,1,MATCH("RM09",$H$3:$V$3,0))/7,0)),0)</f>
        <v>250</v>
      </c>
      <c r="AE103" s="113">
        <f>IFERROR(INDEX($C$102:$AK$102,1,29+ROUND(INDEX($H$5:$V$5,1,MATCH("RM09",$H$3:$V$3,0))/7,0)),0)</f>
        <v>1500</v>
      </c>
      <c r="AF103" s="113">
        <f>IFERROR(INDEX($C$102:$AK$102,1,30+ROUND(INDEX($H$5:$V$5,1,MATCH("RM09",$H$3:$V$3,0))/7,0)),0)</f>
        <v>1500</v>
      </c>
      <c r="AG103" s="113">
        <f>IFERROR(INDEX($C$102:$AK$102,1,31+ROUND(INDEX($H$5:$V$5,1,MATCH("RM09",$H$3:$V$3,0))/7,0)),0)</f>
        <v>1500</v>
      </c>
      <c r="AH103" s="113">
        <f>IFERROR(INDEX($C$102:$AK$102,1,32+ROUND(INDEX($H$5:$V$5,1,MATCH("RM09",$H$3:$V$3,0))/7,0)),0)</f>
        <v>0</v>
      </c>
      <c r="AI103" s="113">
        <f>IFERROR(INDEX($C$102:$AK$102,1,33+ROUND(INDEX($H$5:$V$5,1,MATCH("RM09",$H$3:$V$3,0))/7,0)),0)</f>
        <v>0</v>
      </c>
      <c r="AJ103" s="113">
        <f>IFERROR(INDEX($C$102:$AK$102,1,34+ROUND(INDEX($H$5:$V$5,1,MATCH("RM09",$H$3:$V$3,0))/7,0)),0)</f>
        <v>0</v>
      </c>
      <c r="AK103" s="113">
        <f>IFERROR(INDEX($C$102:$AK$102,1,35+ROUND(INDEX($H$5:$V$5,1,MATCH("RM09",$H$3:$V$3,0))/7,0)),0)</f>
        <v>0</v>
      </c>
      <c r="AL103" s="113">
        <f>IFERROR(INDEX($C$102:$AK$102,1,35+ROUND(INDEX($H$5:$V$5,1,MATCH("RM09",$H$3:$V$3,0))/7,0)),0)</f>
        <v>0</v>
      </c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</row>
    <row r="104" spans="1:70" x14ac:dyDescent="0.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</row>
    <row r="105" spans="1:70" ht="16.350000000000001" customHeight="1" x14ac:dyDescent="0.3">
      <c r="A105" s="47" t="s">
        <v>147</v>
      </c>
      <c r="B105" s="47" t="s">
        <v>132</v>
      </c>
      <c r="C105" s="137" t="s">
        <v>0</v>
      </c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6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</row>
    <row r="106" spans="1:70" ht="16.350000000000001" customHeight="1" x14ac:dyDescent="0.3">
      <c r="A106" s="47" t="s">
        <v>133</v>
      </c>
      <c r="B106" s="47" t="str">
        <f>"LT: "&amp;ROUND(INDEX($H$5:$V$5,1,MATCH("RM10",$H$3:$V$3,0))/7,0)</f>
        <v>LT: 11</v>
      </c>
      <c r="C106" s="48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 s="104">
        <v>46370</v>
      </c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</row>
    <row r="107" spans="1:70" ht="16.350000000000001" customHeight="1" x14ac:dyDescent="0.3">
      <c r="A107" s="51" t="s">
        <v>134</v>
      </c>
      <c r="B107" s="104"/>
      <c r="C107" s="114">
        <f t="array" ref="C107:AL107">TRANSPOSE(BOM_demand!$Q$2:$Q$37)</f>
        <v>0</v>
      </c>
      <c r="D107" s="114">
        <v>10000</v>
      </c>
      <c r="E107" s="114">
        <v>0</v>
      </c>
      <c r="F107" s="114">
        <v>1360</v>
      </c>
      <c r="G107" s="114">
        <v>0</v>
      </c>
      <c r="H107" s="114">
        <v>0</v>
      </c>
      <c r="I107" s="114">
        <v>0</v>
      </c>
      <c r="J107" s="114">
        <v>0</v>
      </c>
      <c r="K107" s="114">
        <v>0</v>
      </c>
      <c r="L107" s="114">
        <v>0</v>
      </c>
      <c r="M107" s="114">
        <v>0</v>
      </c>
      <c r="N107" s="114">
        <v>1000</v>
      </c>
      <c r="O107" s="114">
        <v>1000</v>
      </c>
      <c r="P107" s="114">
        <v>1000</v>
      </c>
      <c r="Q107" s="114">
        <v>0</v>
      </c>
      <c r="R107" s="114">
        <v>0</v>
      </c>
      <c r="S107" s="114">
        <v>800</v>
      </c>
      <c r="T107" s="114">
        <v>0</v>
      </c>
      <c r="U107" s="114">
        <v>0</v>
      </c>
      <c r="V107" s="114">
        <v>800</v>
      </c>
      <c r="W107" s="114">
        <v>0</v>
      </c>
      <c r="X107" s="114">
        <v>800</v>
      </c>
      <c r="Y107" s="114">
        <v>0</v>
      </c>
      <c r="Z107" s="114">
        <v>720</v>
      </c>
      <c r="AA107" s="114">
        <v>720</v>
      </c>
      <c r="AB107" s="114">
        <v>720</v>
      </c>
      <c r="AC107" s="114">
        <v>720</v>
      </c>
      <c r="AD107" s="114">
        <v>720</v>
      </c>
      <c r="AE107" s="114">
        <v>2000</v>
      </c>
      <c r="AF107" s="114">
        <v>2000</v>
      </c>
      <c r="AG107" s="114">
        <v>2000</v>
      </c>
      <c r="AH107" s="114">
        <v>2000</v>
      </c>
      <c r="AI107" s="114">
        <v>2500</v>
      </c>
      <c r="AJ107" s="114">
        <v>2500</v>
      </c>
      <c r="AK107" s="114">
        <v>2500</v>
      </c>
      <c r="AL107" s="104">
        <v>2500</v>
      </c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</row>
    <row r="108" spans="1:70" ht="16.350000000000001" customHeight="1" x14ac:dyDescent="0.3">
      <c r="A108" s="140" t="s">
        <v>128</v>
      </c>
      <c r="B108" s="136"/>
      <c r="C108" s="114">
        <f>IFERROR(INDEX($H$7:$V$7,1,MATCH("RM10",$H$3:$V$3,0)),0)</f>
        <v>5000</v>
      </c>
      <c r="D108" s="114">
        <f>0</f>
        <v>0</v>
      </c>
      <c r="E108" s="114">
        <f>0</f>
        <v>0</v>
      </c>
      <c r="F108" s="114">
        <f>0</f>
        <v>0</v>
      </c>
      <c r="G108" s="114">
        <f>0</f>
        <v>0</v>
      </c>
      <c r="H108" s="114">
        <f>0</f>
        <v>0</v>
      </c>
      <c r="I108" s="114">
        <f>0</f>
        <v>0</v>
      </c>
      <c r="J108" s="114">
        <f>0</f>
        <v>0</v>
      </c>
      <c r="K108" s="113">
        <f>0</f>
        <v>0</v>
      </c>
      <c r="L108" s="113">
        <f>0</f>
        <v>0</v>
      </c>
      <c r="M108" s="113">
        <f>0</f>
        <v>0</v>
      </c>
      <c r="N108" s="113">
        <f>0</f>
        <v>0</v>
      </c>
      <c r="O108" s="113">
        <f>0</f>
        <v>0</v>
      </c>
      <c r="P108" s="113">
        <f>0</f>
        <v>0</v>
      </c>
      <c r="Q108" s="113">
        <f>0</f>
        <v>0</v>
      </c>
      <c r="R108" s="113">
        <f>0</f>
        <v>0</v>
      </c>
      <c r="S108" s="113">
        <f>0</f>
        <v>0</v>
      </c>
      <c r="T108" s="113">
        <f>0</f>
        <v>0</v>
      </c>
      <c r="U108" s="113">
        <f>0</f>
        <v>0</v>
      </c>
      <c r="V108" s="113">
        <f>0</f>
        <v>0</v>
      </c>
      <c r="W108" s="113">
        <f>0</f>
        <v>0</v>
      </c>
      <c r="X108" s="113">
        <f>0</f>
        <v>0</v>
      </c>
      <c r="Y108" s="113">
        <f>0</f>
        <v>0</v>
      </c>
      <c r="Z108" s="113">
        <f>0</f>
        <v>0</v>
      </c>
      <c r="AA108" s="113">
        <f>0</f>
        <v>0</v>
      </c>
      <c r="AB108" s="113">
        <f>0</f>
        <v>0</v>
      </c>
      <c r="AC108" s="113">
        <f>0</f>
        <v>0</v>
      </c>
      <c r="AD108" s="113">
        <f>0</f>
        <v>0</v>
      </c>
      <c r="AE108" s="113">
        <f>0</f>
        <v>0</v>
      </c>
      <c r="AF108" s="113">
        <f>0</f>
        <v>0</v>
      </c>
      <c r="AG108" s="113">
        <f>0</f>
        <v>0</v>
      </c>
      <c r="AH108" s="113">
        <f>0</f>
        <v>0</v>
      </c>
      <c r="AI108" s="113">
        <f>0</f>
        <v>0</v>
      </c>
      <c r="AJ108" s="113">
        <f>0</f>
        <v>0</v>
      </c>
      <c r="AK108" s="113">
        <f>0</f>
        <v>0</v>
      </c>
      <c r="AL108" s="113">
        <f>0</f>
        <v>0</v>
      </c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</row>
    <row r="109" spans="1:70" ht="16.350000000000001" customHeight="1" x14ac:dyDescent="0.3">
      <c r="A109" s="114" t="s">
        <v>129</v>
      </c>
      <c r="B109" s="118">
        <f>IFERROR(INDEX($H$8:$V$8,1,MATCH("RM10",$H$3:$V$3,0)),0)</f>
        <v>1543</v>
      </c>
      <c r="C109" s="114">
        <f t="shared" ref="C109:AL109" si="39">$B109</f>
        <v>1543</v>
      </c>
      <c r="D109" s="114">
        <f t="shared" si="39"/>
        <v>1543</v>
      </c>
      <c r="E109" s="114">
        <f t="shared" si="39"/>
        <v>1543</v>
      </c>
      <c r="F109" s="114">
        <f t="shared" si="39"/>
        <v>1543</v>
      </c>
      <c r="G109" s="114">
        <f t="shared" si="39"/>
        <v>1543</v>
      </c>
      <c r="H109" s="114">
        <f t="shared" si="39"/>
        <v>1543</v>
      </c>
      <c r="I109" s="114">
        <f t="shared" si="39"/>
        <v>1543</v>
      </c>
      <c r="J109" s="114">
        <f t="shared" si="39"/>
        <v>1543</v>
      </c>
      <c r="K109" s="113">
        <f t="shared" si="39"/>
        <v>1543</v>
      </c>
      <c r="L109" s="113">
        <f t="shared" si="39"/>
        <v>1543</v>
      </c>
      <c r="M109" s="113">
        <f t="shared" si="39"/>
        <v>1543</v>
      </c>
      <c r="N109" s="113">
        <f t="shared" si="39"/>
        <v>1543</v>
      </c>
      <c r="O109" s="113">
        <f t="shared" si="39"/>
        <v>1543</v>
      </c>
      <c r="P109" s="113">
        <f t="shared" si="39"/>
        <v>1543</v>
      </c>
      <c r="Q109" s="113">
        <f t="shared" si="39"/>
        <v>1543</v>
      </c>
      <c r="R109" s="113">
        <f t="shared" si="39"/>
        <v>1543</v>
      </c>
      <c r="S109" s="113">
        <f t="shared" si="39"/>
        <v>1543</v>
      </c>
      <c r="T109" s="113">
        <f t="shared" si="39"/>
        <v>1543</v>
      </c>
      <c r="U109" s="113">
        <f t="shared" si="39"/>
        <v>1543</v>
      </c>
      <c r="V109" s="113">
        <f t="shared" si="39"/>
        <v>1543</v>
      </c>
      <c r="W109" s="113">
        <f t="shared" si="39"/>
        <v>1543</v>
      </c>
      <c r="X109" s="113">
        <f t="shared" si="39"/>
        <v>1543</v>
      </c>
      <c r="Y109" s="113">
        <f t="shared" si="39"/>
        <v>1543</v>
      </c>
      <c r="Z109" s="113">
        <f t="shared" si="39"/>
        <v>1543</v>
      </c>
      <c r="AA109" s="113">
        <f t="shared" si="39"/>
        <v>1543</v>
      </c>
      <c r="AB109" s="113">
        <f t="shared" si="39"/>
        <v>1543</v>
      </c>
      <c r="AC109" s="113">
        <f t="shared" si="39"/>
        <v>1543</v>
      </c>
      <c r="AD109" s="113">
        <f t="shared" si="39"/>
        <v>1543</v>
      </c>
      <c r="AE109" s="113">
        <f t="shared" si="39"/>
        <v>1543</v>
      </c>
      <c r="AF109" s="113">
        <f t="shared" si="39"/>
        <v>1543</v>
      </c>
      <c r="AG109" s="113">
        <f t="shared" si="39"/>
        <v>1543</v>
      </c>
      <c r="AH109" s="113">
        <f t="shared" si="39"/>
        <v>1543</v>
      </c>
      <c r="AI109" s="113">
        <f t="shared" si="39"/>
        <v>1543</v>
      </c>
      <c r="AJ109" s="113">
        <f t="shared" si="39"/>
        <v>1543</v>
      </c>
      <c r="AK109" s="113">
        <f t="shared" si="39"/>
        <v>1543</v>
      </c>
      <c r="AL109" s="113">
        <f t="shared" si="39"/>
        <v>1543</v>
      </c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</row>
    <row r="110" spans="1:70" ht="16.350000000000001" customHeight="1" x14ac:dyDescent="0.3">
      <c r="A110" s="114" t="s">
        <v>135</v>
      </c>
      <c r="B110" s="118">
        <f>IFERROR(INDEX($H$6:$V$6,1,MATCH("RM10",$H$3:$V$3,0)),0)</f>
        <v>60000</v>
      </c>
      <c r="C110" s="114">
        <f>$B110+C108+C112-C107</f>
        <v>65000</v>
      </c>
      <c r="D110" s="114">
        <f t="shared" ref="D110:AL110" si="40">C110+D108+D112-D107</f>
        <v>55000</v>
      </c>
      <c r="E110" s="114">
        <f t="shared" si="40"/>
        <v>55000</v>
      </c>
      <c r="F110" s="114">
        <f t="shared" si="40"/>
        <v>53640</v>
      </c>
      <c r="G110" s="114">
        <f t="shared" si="40"/>
        <v>53640</v>
      </c>
      <c r="H110" s="114">
        <f t="shared" si="40"/>
        <v>53640</v>
      </c>
      <c r="I110" s="114">
        <f t="shared" si="40"/>
        <v>53640</v>
      </c>
      <c r="J110" s="114">
        <f t="shared" si="40"/>
        <v>53640</v>
      </c>
      <c r="K110" s="113">
        <f t="shared" si="40"/>
        <v>53640</v>
      </c>
      <c r="L110" s="113">
        <f t="shared" si="40"/>
        <v>53640</v>
      </c>
      <c r="M110" s="113">
        <f t="shared" si="40"/>
        <v>53640</v>
      </c>
      <c r="N110" s="113">
        <f t="shared" si="40"/>
        <v>52640</v>
      </c>
      <c r="O110" s="113">
        <f t="shared" si="40"/>
        <v>51640</v>
      </c>
      <c r="P110" s="113">
        <f t="shared" si="40"/>
        <v>50640</v>
      </c>
      <c r="Q110" s="113">
        <f t="shared" si="40"/>
        <v>50640</v>
      </c>
      <c r="R110" s="113">
        <f t="shared" si="40"/>
        <v>50640</v>
      </c>
      <c r="S110" s="113">
        <f t="shared" si="40"/>
        <v>49840</v>
      </c>
      <c r="T110" s="113">
        <f t="shared" si="40"/>
        <v>49840</v>
      </c>
      <c r="U110" s="113">
        <f t="shared" si="40"/>
        <v>49840</v>
      </c>
      <c r="V110" s="113">
        <f t="shared" si="40"/>
        <v>49040</v>
      </c>
      <c r="W110" s="113">
        <f t="shared" si="40"/>
        <v>49040</v>
      </c>
      <c r="X110" s="113">
        <f t="shared" si="40"/>
        <v>48240</v>
      </c>
      <c r="Y110" s="113">
        <f t="shared" si="40"/>
        <v>48240</v>
      </c>
      <c r="Z110" s="113">
        <f t="shared" si="40"/>
        <v>47520</v>
      </c>
      <c r="AA110" s="113">
        <f t="shared" si="40"/>
        <v>46800</v>
      </c>
      <c r="AB110" s="113">
        <f t="shared" si="40"/>
        <v>46080</v>
      </c>
      <c r="AC110" s="113">
        <f t="shared" si="40"/>
        <v>45360</v>
      </c>
      <c r="AD110" s="113">
        <f t="shared" si="40"/>
        <v>44640</v>
      </c>
      <c r="AE110" s="113">
        <f t="shared" si="40"/>
        <v>42640</v>
      </c>
      <c r="AF110" s="113">
        <f t="shared" si="40"/>
        <v>40640</v>
      </c>
      <c r="AG110" s="113">
        <f t="shared" si="40"/>
        <v>38640</v>
      </c>
      <c r="AH110" s="113">
        <f t="shared" si="40"/>
        <v>36640</v>
      </c>
      <c r="AI110" s="113">
        <f t="shared" si="40"/>
        <v>34140</v>
      </c>
      <c r="AJ110" s="113">
        <f t="shared" si="40"/>
        <v>31640</v>
      </c>
      <c r="AK110" s="113">
        <f t="shared" si="40"/>
        <v>29140</v>
      </c>
      <c r="AL110" s="113">
        <f t="shared" si="40"/>
        <v>26640</v>
      </c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</row>
    <row r="111" spans="1:70" ht="16.350000000000001" customHeight="1" x14ac:dyDescent="0.3">
      <c r="A111" s="114" t="s">
        <v>136</v>
      </c>
      <c r="B111" s="118"/>
      <c r="C111" s="114">
        <f>MAX(C107+C109-($B110+C108),0)</f>
        <v>0</v>
      </c>
      <c r="D111" s="114">
        <f t="shared" ref="D111:AL111" si="41">MAX(D107+D109-(C110+D108),0)</f>
        <v>0</v>
      </c>
      <c r="E111" s="114">
        <f t="shared" si="41"/>
        <v>0</v>
      </c>
      <c r="F111" s="114">
        <f t="shared" si="41"/>
        <v>0</v>
      </c>
      <c r="G111" s="114">
        <f t="shared" si="41"/>
        <v>0</v>
      </c>
      <c r="H111" s="114">
        <f t="shared" si="41"/>
        <v>0</v>
      </c>
      <c r="I111" s="114">
        <f t="shared" si="41"/>
        <v>0</v>
      </c>
      <c r="J111" s="114">
        <f t="shared" si="41"/>
        <v>0</v>
      </c>
      <c r="K111" s="113">
        <f t="shared" si="41"/>
        <v>0</v>
      </c>
      <c r="L111" s="113">
        <f t="shared" si="41"/>
        <v>0</v>
      </c>
      <c r="M111" s="113">
        <f t="shared" si="41"/>
        <v>0</v>
      </c>
      <c r="N111" s="113">
        <f t="shared" si="41"/>
        <v>0</v>
      </c>
      <c r="O111" s="113">
        <f t="shared" si="41"/>
        <v>0</v>
      </c>
      <c r="P111" s="113">
        <f t="shared" si="41"/>
        <v>0</v>
      </c>
      <c r="Q111" s="113">
        <f t="shared" si="41"/>
        <v>0</v>
      </c>
      <c r="R111" s="113">
        <f t="shared" si="41"/>
        <v>0</v>
      </c>
      <c r="S111" s="113">
        <f t="shared" si="41"/>
        <v>0</v>
      </c>
      <c r="T111" s="113">
        <f t="shared" si="41"/>
        <v>0</v>
      </c>
      <c r="U111" s="113">
        <f t="shared" si="41"/>
        <v>0</v>
      </c>
      <c r="V111" s="113">
        <f t="shared" si="41"/>
        <v>0</v>
      </c>
      <c r="W111" s="113">
        <f t="shared" si="41"/>
        <v>0</v>
      </c>
      <c r="X111" s="113">
        <f t="shared" si="41"/>
        <v>0</v>
      </c>
      <c r="Y111" s="113">
        <f t="shared" si="41"/>
        <v>0</v>
      </c>
      <c r="Z111" s="113">
        <f t="shared" si="41"/>
        <v>0</v>
      </c>
      <c r="AA111" s="113">
        <f t="shared" si="41"/>
        <v>0</v>
      </c>
      <c r="AB111" s="113">
        <f t="shared" si="41"/>
        <v>0</v>
      </c>
      <c r="AC111" s="113">
        <f t="shared" si="41"/>
        <v>0</v>
      </c>
      <c r="AD111" s="113">
        <f t="shared" si="41"/>
        <v>0</v>
      </c>
      <c r="AE111" s="113">
        <f t="shared" si="41"/>
        <v>0</v>
      </c>
      <c r="AF111" s="113">
        <f t="shared" si="41"/>
        <v>0</v>
      </c>
      <c r="AG111" s="113">
        <f t="shared" si="41"/>
        <v>0</v>
      </c>
      <c r="AH111" s="113">
        <f t="shared" si="41"/>
        <v>0</v>
      </c>
      <c r="AI111" s="113">
        <f t="shared" si="41"/>
        <v>0</v>
      </c>
      <c r="AJ111" s="113">
        <f t="shared" si="41"/>
        <v>0</v>
      </c>
      <c r="AK111" s="113">
        <f t="shared" si="41"/>
        <v>0</v>
      </c>
      <c r="AL111" s="113">
        <f t="shared" si="41"/>
        <v>0</v>
      </c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</row>
    <row r="112" spans="1:70" ht="16.350000000000001" customHeight="1" x14ac:dyDescent="0.3">
      <c r="A112" s="140" t="s">
        <v>137</v>
      </c>
      <c r="B112" s="136"/>
      <c r="C112" s="114">
        <f t="shared" ref="C112:AL112" si="42">C111</f>
        <v>0</v>
      </c>
      <c r="D112" s="114">
        <f t="shared" si="42"/>
        <v>0</v>
      </c>
      <c r="E112" s="114">
        <f t="shared" si="42"/>
        <v>0</v>
      </c>
      <c r="F112" s="114">
        <f t="shared" si="42"/>
        <v>0</v>
      </c>
      <c r="G112" s="114">
        <f t="shared" si="42"/>
        <v>0</v>
      </c>
      <c r="H112" s="114">
        <f t="shared" si="42"/>
        <v>0</v>
      </c>
      <c r="I112" s="114">
        <f t="shared" si="42"/>
        <v>0</v>
      </c>
      <c r="J112" s="114">
        <f t="shared" si="42"/>
        <v>0</v>
      </c>
      <c r="K112" s="113">
        <f t="shared" si="42"/>
        <v>0</v>
      </c>
      <c r="L112" s="113">
        <f t="shared" si="42"/>
        <v>0</v>
      </c>
      <c r="M112" s="113">
        <f t="shared" si="42"/>
        <v>0</v>
      </c>
      <c r="N112" s="113">
        <f t="shared" si="42"/>
        <v>0</v>
      </c>
      <c r="O112" s="113">
        <f t="shared" si="42"/>
        <v>0</v>
      </c>
      <c r="P112" s="113">
        <f t="shared" si="42"/>
        <v>0</v>
      </c>
      <c r="Q112" s="113">
        <f t="shared" si="42"/>
        <v>0</v>
      </c>
      <c r="R112" s="113">
        <f t="shared" si="42"/>
        <v>0</v>
      </c>
      <c r="S112" s="113">
        <f t="shared" si="42"/>
        <v>0</v>
      </c>
      <c r="T112" s="113">
        <f t="shared" si="42"/>
        <v>0</v>
      </c>
      <c r="U112" s="113">
        <f t="shared" si="42"/>
        <v>0</v>
      </c>
      <c r="V112" s="113">
        <f t="shared" si="42"/>
        <v>0</v>
      </c>
      <c r="W112" s="113">
        <f t="shared" si="42"/>
        <v>0</v>
      </c>
      <c r="X112" s="113">
        <f t="shared" si="42"/>
        <v>0</v>
      </c>
      <c r="Y112" s="113">
        <f t="shared" si="42"/>
        <v>0</v>
      </c>
      <c r="Z112" s="113">
        <f t="shared" si="42"/>
        <v>0</v>
      </c>
      <c r="AA112" s="113">
        <f t="shared" si="42"/>
        <v>0</v>
      </c>
      <c r="AB112" s="113">
        <f t="shared" si="42"/>
        <v>0</v>
      </c>
      <c r="AC112" s="113">
        <f t="shared" si="42"/>
        <v>0</v>
      </c>
      <c r="AD112" s="113">
        <f t="shared" si="42"/>
        <v>0</v>
      </c>
      <c r="AE112" s="113">
        <f t="shared" si="42"/>
        <v>0</v>
      </c>
      <c r="AF112" s="113">
        <f t="shared" si="42"/>
        <v>0</v>
      </c>
      <c r="AG112" s="113">
        <f t="shared" si="42"/>
        <v>0</v>
      </c>
      <c r="AH112" s="113">
        <f t="shared" si="42"/>
        <v>0</v>
      </c>
      <c r="AI112" s="113">
        <f t="shared" si="42"/>
        <v>0</v>
      </c>
      <c r="AJ112" s="113">
        <f t="shared" si="42"/>
        <v>0</v>
      </c>
      <c r="AK112" s="113">
        <f t="shared" si="42"/>
        <v>0</v>
      </c>
      <c r="AL112" s="113">
        <f t="shared" si="42"/>
        <v>0</v>
      </c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</row>
    <row r="113" spans="1:70" ht="16.350000000000001" customHeight="1" x14ac:dyDescent="0.3">
      <c r="A113" s="114" t="s">
        <v>138</v>
      </c>
      <c r="B113" s="118"/>
      <c r="C113" s="114">
        <f>IFERROR(INDEX($C$112:$AK$112,1,1+ROUND(INDEX($H$5:$V$5,1,MATCH("RM10",$H$3:$V$3,0))/7,0)),0)</f>
        <v>0</v>
      </c>
      <c r="D113" s="114">
        <f>IFERROR(INDEX($C$112:$AK$112,1,2+ROUND(INDEX($H$5:$V$5,1,MATCH("RM10",$H$3:$V$3,0))/7,0)),0)</f>
        <v>0</v>
      </c>
      <c r="E113" s="114">
        <f>IFERROR(INDEX($C$112:$AK$112,1,3+ROUND(INDEX($H$5:$V$5,1,MATCH("RM10",$H$3:$V$3,0))/7,0)),0)</f>
        <v>0</v>
      </c>
      <c r="F113" s="114">
        <f>IFERROR(INDEX($C$112:$AK$112,1,4+ROUND(INDEX($H$5:$V$5,1,MATCH("RM10",$H$3:$V$3,0))/7,0)),0)</f>
        <v>0</v>
      </c>
      <c r="G113" s="114">
        <f>IFERROR(INDEX($C$112:$AK$112,1,5+ROUND(INDEX($H$5:$V$5,1,MATCH("RM10",$H$3:$V$3,0))/7,0)),0)</f>
        <v>0</v>
      </c>
      <c r="H113" s="114">
        <f>IFERROR(INDEX($C$112:$AK$112,1,6+ROUND(INDEX($H$5:$V$5,1,MATCH("RM10",$H$3:$V$3,0))/7,0)),0)</f>
        <v>0</v>
      </c>
      <c r="I113" s="114">
        <f>IFERROR(INDEX($C$112:$AK$112,1,7+ROUND(INDEX($H$5:$V$5,1,MATCH("RM10",$H$3:$V$3,0))/7,0)),0)</f>
        <v>0</v>
      </c>
      <c r="J113" s="114">
        <f>IFERROR(INDEX($C$112:$AK$112,1,8+ROUND(INDEX($H$5:$V$5,1,MATCH("RM10",$H$3:$V$3,0))/7,0)),0)</f>
        <v>0</v>
      </c>
      <c r="K113" s="113">
        <f>IFERROR(INDEX($C$112:$AK$112,1,9+ROUND(INDEX($H$5:$V$5,1,MATCH("RM10",$H$3:$V$3,0))/7,0)),0)</f>
        <v>0</v>
      </c>
      <c r="L113" s="113">
        <f>IFERROR(INDEX($C$112:$AK$112,1,10+ROUND(INDEX($H$5:$V$5,1,MATCH("RM10",$H$3:$V$3,0))/7,0)),0)</f>
        <v>0</v>
      </c>
      <c r="M113" s="113">
        <f>IFERROR(INDEX($C$112:$AK$112,1,11+ROUND(INDEX($H$5:$V$5,1,MATCH("RM10",$H$3:$V$3,0))/7,0)),0)</f>
        <v>0</v>
      </c>
      <c r="N113" s="113">
        <f>IFERROR(INDEX($C$112:$AK$112,1,12+ROUND(INDEX($H$5:$V$5,1,MATCH("RM10",$H$3:$V$3,0))/7,0)),0)</f>
        <v>0</v>
      </c>
      <c r="O113" s="113">
        <f>IFERROR(INDEX($C$112:$AK$112,1,13+ROUND(INDEX($H$5:$V$5,1,MATCH("RM10",$H$3:$V$3,0))/7,0)),0)</f>
        <v>0</v>
      </c>
      <c r="P113" s="113">
        <f>IFERROR(INDEX($C$112:$AK$112,1,14+ROUND(INDEX($H$5:$V$5,1,MATCH("RM10",$H$3:$V$3,0))/7,0)),0)</f>
        <v>0</v>
      </c>
      <c r="Q113" s="113">
        <f>IFERROR(INDEX($C$112:$AK$112,1,15+ROUND(INDEX($H$5:$V$5,1,MATCH("RM10",$H$3:$V$3,0))/7,0)),0)</f>
        <v>0</v>
      </c>
      <c r="R113" s="113">
        <f>IFERROR(INDEX($C$112:$AK$112,1,16+ROUND(INDEX($H$5:$V$5,1,MATCH("RM10",$H$3:$V$3,0))/7,0)),0)</f>
        <v>0</v>
      </c>
      <c r="S113" s="113">
        <f>IFERROR(INDEX($C$112:$AK$112,1,17+ROUND(INDEX($H$5:$V$5,1,MATCH("RM10",$H$3:$V$3,0))/7,0)),0)</f>
        <v>0</v>
      </c>
      <c r="T113" s="113">
        <f>IFERROR(INDEX($C$112:$AK$112,1,18+ROUND(INDEX($H$5:$V$5,1,MATCH("RM10",$H$3:$V$3,0))/7,0)),0)</f>
        <v>0</v>
      </c>
      <c r="U113" s="113">
        <f>IFERROR(INDEX($C$112:$AK$112,1,19+ROUND(INDEX($H$5:$V$5,1,MATCH("RM10",$H$3:$V$3,0))/7,0)),0)</f>
        <v>0</v>
      </c>
      <c r="V113" s="113">
        <f>IFERROR(INDEX($C$112:$AK$112,1,20+ROUND(INDEX($H$5:$V$5,1,MATCH("RM10",$H$3:$V$3,0))/7,0)),0)</f>
        <v>0</v>
      </c>
      <c r="W113" s="113">
        <f>IFERROR(INDEX($C$112:$AK$112,1,21+ROUND(INDEX($H$5:$V$5,1,MATCH("RM10",$H$3:$V$3,0))/7,0)),0)</f>
        <v>0</v>
      </c>
      <c r="X113" s="113">
        <f>IFERROR(INDEX($C$112:$AK$112,1,22+ROUND(INDEX($H$5:$V$5,1,MATCH("RM10",$H$3:$V$3,0))/7,0)),0)</f>
        <v>0</v>
      </c>
      <c r="Y113" s="113">
        <f>IFERROR(INDEX($C$112:$AK$112,1,23+ROUND(INDEX($H$5:$V$5,1,MATCH("RM10",$H$3:$V$3,0))/7,0)),0)</f>
        <v>0</v>
      </c>
      <c r="Z113" s="113">
        <f>IFERROR(INDEX($C$112:$AK$112,1,24+ROUND(INDEX($H$5:$V$5,1,MATCH("RM10",$H$3:$V$3,0))/7,0)),0)</f>
        <v>0</v>
      </c>
      <c r="AA113" s="113">
        <f>IFERROR(INDEX($C$112:$AK$112,1,25+ROUND(INDEX($H$5:$V$5,1,MATCH("RM10",$H$3:$V$3,0))/7,0)),0)</f>
        <v>0</v>
      </c>
      <c r="AB113" s="113">
        <f>IFERROR(INDEX($C$112:$AK$112,1,26+ROUND(INDEX($H$5:$V$5,1,MATCH("RM10",$H$3:$V$3,0))/7,0)),0)</f>
        <v>0</v>
      </c>
      <c r="AC113" s="113">
        <f>IFERROR(INDEX($C$112:$AK$112,1,27+ROUND(INDEX($H$5:$V$5,1,MATCH("RM10",$H$3:$V$3,0))/7,0)),0)</f>
        <v>0</v>
      </c>
      <c r="AD113" s="113">
        <f>IFERROR(INDEX($C$112:$AK$112,1,28+ROUND(INDEX($H$5:$V$5,1,MATCH("RM10",$H$3:$V$3,0))/7,0)),0)</f>
        <v>0</v>
      </c>
      <c r="AE113" s="113">
        <f>IFERROR(INDEX($C$112:$AK$112,1,29+ROUND(INDEX($H$5:$V$5,1,MATCH("RM10",$H$3:$V$3,0))/7,0)),0)</f>
        <v>0</v>
      </c>
      <c r="AF113" s="113">
        <f>IFERROR(INDEX($C$112:$AK$112,1,30+ROUND(INDEX($H$5:$V$5,1,MATCH("RM10",$H$3:$V$3,0))/7,0)),0)</f>
        <v>0</v>
      </c>
      <c r="AG113" s="113">
        <f>IFERROR(INDEX($C$112:$AK$112,1,31+ROUND(INDEX($H$5:$V$5,1,MATCH("RM10",$H$3:$V$3,0))/7,0)),0)</f>
        <v>0</v>
      </c>
      <c r="AH113" s="113">
        <f>IFERROR(INDEX($C$112:$AK$112,1,32+ROUND(INDEX($H$5:$V$5,1,MATCH("RM10",$H$3:$V$3,0))/7,0)),0)</f>
        <v>0</v>
      </c>
      <c r="AI113" s="113">
        <f>IFERROR(INDEX($C$112:$AK$112,1,33+ROUND(INDEX($H$5:$V$5,1,MATCH("RM10",$H$3:$V$3,0))/7,0)),0)</f>
        <v>0</v>
      </c>
      <c r="AJ113" s="113">
        <f>IFERROR(INDEX($C$112:$AK$112,1,34+ROUND(INDEX($H$5:$V$5,1,MATCH("RM10",$H$3:$V$3,0))/7,0)),0)</f>
        <v>0</v>
      </c>
      <c r="AK113" s="113">
        <f>IFERROR(INDEX($C$112:$AK$112,1,35+ROUND(INDEX($H$5:$V$5,1,MATCH("RM10",$H$3:$V$3,0))/7,0)),0)</f>
        <v>0</v>
      </c>
      <c r="AL113" s="113">
        <f>IFERROR(INDEX($C$112:$AK$112,1,35+ROUND(INDEX($H$5:$V$5,1,MATCH("RM10",$H$3:$V$3,0))/7,0)),0)</f>
        <v>0</v>
      </c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</row>
    <row r="114" spans="1:70" x14ac:dyDescent="0.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</row>
    <row r="115" spans="1:70" ht="16.350000000000001" customHeight="1" x14ac:dyDescent="0.3">
      <c r="A115" s="47" t="s">
        <v>148</v>
      </c>
      <c r="B115" s="47" t="s">
        <v>132</v>
      </c>
      <c r="C115" s="137" t="s">
        <v>0</v>
      </c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6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</row>
    <row r="116" spans="1:70" ht="16.350000000000001" customHeight="1" x14ac:dyDescent="0.3">
      <c r="A116" s="47" t="s">
        <v>133</v>
      </c>
      <c r="B116" s="47" t="str">
        <f>"LT: "&amp;ROUND(INDEX($H$5:$V$5,1,MATCH("RM11",$H$3:$V$3,0))/7,0)</f>
        <v>LT: 3</v>
      </c>
      <c r="C116" s="48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 s="104">
        <v>46370</v>
      </c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</row>
    <row r="117" spans="1:70" ht="16.350000000000001" customHeight="1" x14ac:dyDescent="0.3">
      <c r="A117" s="51" t="s">
        <v>134</v>
      </c>
      <c r="B117" s="104"/>
      <c r="C117" s="114">
        <f t="array" ref="C117:AL117">TRANSPOSE(BOM_demand!$R$2:$R$37)</f>
        <v>0</v>
      </c>
      <c r="D117" s="114">
        <v>7500</v>
      </c>
      <c r="E117" s="114">
        <v>0</v>
      </c>
      <c r="F117" s="114">
        <v>1020</v>
      </c>
      <c r="G117" s="114">
        <v>0</v>
      </c>
      <c r="H117" s="114">
        <v>0</v>
      </c>
      <c r="I117" s="114">
        <v>0</v>
      </c>
      <c r="J117" s="114">
        <v>0</v>
      </c>
      <c r="K117" s="114">
        <v>0</v>
      </c>
      <c r="L117" s="114">
        <v>0</v>
      </c>
      <c r="M117" s="114">
        <v>0</v>
      </c>
      <c r="N117" s="114">
        <v>750</v>
      </c>
      <c r="O117" s="114">
        <v>750</v>
      </c>
      <c r="P117" s="114">
        <v>750</v>
      </c>
      <c r="Q117" s="114">
        <v>0</v>
      </c>
      <c r="R117" s="114">
        <v>0</v>
      </c>
      <c r="S117" s="114">
        <v>600</v>
      </c>
      <c r="T117" s="114">
        <v>0</v>
      </c>
      <c r="U117" s="114">
        <v>0</v>
      </c>
      <c r="V117" s="114">
        <v>600</v>
      </c>
      <c r="W117" s="114">
        <v>0</v>
      </c>
      <c r="X117" s="114">
        <v>600</v>
      </c>
      <c r="Y117" s="114">
        <v>0</v>
      </c>
      <c r="Z117" s="114">
        <v>540</v>
      </c>
      <c r="AA117" s="114">
        <v>540</v>
      </c>
      <c r="AB117" s="114">
        <v>540</v>
      </c>
      <c r="AC117" s="114">
        <v>540</v>
      </c>
      <c r="AD117" s="114">
        <v>540</v>
      </c>
      <c r="AE117" s="114">
        <v>1500</v>
      </c>
      <c r="AF117" s="114">
        <v>1500</v>
      </c>
      <c r="AG117" s="114">
        <v>1500</v>
      </c>
      <c r="AH117" s="114">
        <v>1500</v>
      </c>
      <c r="AI117" s="114">
        <v>1875</v>
      </c>
      <c r="AJ117" s="114">
        <v>1875</v>
      </c>
      <c r="AK117" s="114">
        <v>1875</v>
      </c>
      <c r="AL117" s="104">
        <v>1875</v>
      </c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</row>
    <row r="118" spans="1:70" ht="16.350000000000001" customHeight="1" x14ac:dyDescent="0.3">
      <c r="A118" s="140" t="s">
        <v>128</v>
      </c>
      <c r="B118" s="136"/>
      <c r="C118" s="114">
        <f>IFERROR(INDEX($H$7:$V$7,1,MATCH("RM11",$H$3:$V$3,0)),0)</f>
        <v>0</v>
      </c>
      <c r="D118" s="114">
        <f>0</f>
        <v>0</v>
      </c>
      <c r="E118" s="114">
        <f>0</f>
        <v>0</v>
      </c>
      <c r="F118" s="114">
        <f>0</f>
        <v>0</v>
      </c>
      <c r="G118" s="114">
        <f>0</f>
        <v>0</v>
      </c>
      <c r="H118" s="114">
        <f>0</f>
        <v>0</v>
      </c>
      <c r="I118" s="114">
        <f>0</f>
        <v>0</v>
      </c>
      <c r="J118" s="114">
        <f>0</f>
        <v>0</v>
      </c>
      <c r="K118" s="113">
        <f>0</f>
        <v>0</v>
      </c>
      <c r="L118" s="113">
        <f>0</f>
        <v>0</v>
      </c>
      <c r="M118" s="113">
        <f>0</f>
        <v>0</v>
      </c>
      <c r="N118" s="113">
        <f>0</f>
        <v>0</v>
      </c>
      <c r="O118" s="113">
        <f>0</f>
        <v>0</v>
      </c>
      <c r="P118" s="113">
        <f>0</f>
        <v>0</v>
      </c>
      <c r="Q118" s="113">
        <f>0</f>
        <v>0</v>
      </c>
      <c r="R118" s="113">
        <f>0</f>
        <v>0</v>
      </c>
      <c r="S118" s="113">
        <f>0</f>
        <v>0</v>
      </c>
      <c r="T118" s="113">
        <f>0</f>
        <v>0</v>
      </c>
      <c r="U118" s="113">
        <f>0</f>
        <v>0</v>
      </c>
      <c r="V118" s="113">
        <f>0</f>
        <v>0</v>
      </c>
      <c r="W118" s="113">
        <f>0</f>
        <v>0</v>
      </c>
      <c r="X118" s="113">
        <f>0</f>
        <v>0</v>
      </c>
      <c r="Y118" s="113">
        <f>0</f>
        <v>0</v>
      </c>
      <c r="Z118" s="113">
        <f>0</f>
        <v>0</v>
      </c>
      <c r="AA118" s="113">
        <f>0</f>
        <v>0</v>
      </c>
      <c r="AB118" s="113">
        <f>0</f>
        <v>0</v>
      </c>
      <c r="AC118" s="113">
        <f>0</f>
        <v>0</v>
      </c>
      <c r="AD118" s="113">
        <f>0</f>
        <v>0</v>
      </c>
      <c r="AE118" s="113">
        <f>0</f>
        <v>0</v>
      </c>
      <c r="AF118" s="113">
        <f>0</f>
        <v>0</v>
      </c>
      <c r="AG118" s="113">
        <f>0</f>
        <v>0</v>
      </c>
      <c r="AH118" s="113">
        <f>0</f>
        <v>0</v>
      </c>
      <c r="AI118" s="113">
        <f>0</f>
        <v>0</v>
      </c>
      <c r="AJ118" s="113">
        <f>0</f>
        <v>0</v>
      </c>
      <c r="AK118" s="113">
        <f>0</f>
        <v>0</v>
      </c>
      <c r="AL118" s="113">
        <f>0</f>
        <v>0</v>
      </c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</row>
    <row r="119" spans="1:70" ht="16.350000000000001" customHeight="1" x14ac:dyDescent="0.3">
      <c r="A119" s="114" t="s">
        <v>129</v>
      </c>
      <c r="B119" s="118">
        <f>IFERROR(INDEX($H$8:$V$8,1,MATCH("RM11",$H$3:$V$3,0)),0)</f>
        <v>1158</v>
      </c>
      <c r="C119" s="114">
        <f t="shared" ref="C119:AL119" si="43">$B119</f>
        <v>1158</v>
      </c>
      <c r="D119" s="114">
        <f t="shared" si="43"/>
        <v>1158</v>
      </c>
      <c r="E119" s="114">
        <f t="shared" si="43"/>
        <v>1158</v>
      </c>
      <c r="F119" s="114">
        <f t="shared" si="43"/>
        <v>1158</v>
      </c>
      <c r="G119" s="114">
        <f t="shared" si="43"/>
        <v>1158</v>
      </c>
      <c r="H119" s="114">
        <f t="shared" si="43"/>
        <v>1158</v>
      </c>
      <c r="I119" s="114">
        <f t="shared" si="43"/>
        <v>1158</v>
      </c>
      <c r="J119" s="114">
        <f t="shared" si="43"/>
        <v>1158</v>
      </c>
      <c r="K119" s="113">
        <f t="shared" si="43"/>
        <v>1158</v>
      </c>
      <c r="L119" s="113">
        <f t="shared" si="43"/>
        <v>1158</v>
      </c>
      <c r="M119" s="113">
        <f t="shared" si="43"/>
        <v>1158</v>
      </c>
      <c r="N119" s="113">
        <f t="shared" si="43"/>
        <v>1158</v>
      </c>
      <c r="O119" s="113">
        <f t="shared" si="43"/>
        <v>1158</v>
      </c>
      <c r="P119" s="113">
        <f t="shared" si="43"/>
        <v>1158</v>
      </c>
      <c r="Q119" s="113">
        <f t="shared" si="43"/>
        <v>1158</v>
      </c>
      <c r="R119" s="113">
        <f t="shared" si="43"/>
        <v>1158</v>
      </c>
      <c r="S119" s="113">
        <f t="shared" si="43"/>
        <v>1158</v>
      </c>
      <c r="T119" s="113">
        <f t="shared" si="43"/>
        <v>1158</v>
      </c>
      <c r="U119" s="113">
        <f t="shared" si="43"/>
        <v>1158</v>
      </c>
      <c r="V119" s="113">
        <f t="shared" si="43"/>
        <v>1158</v>
      </c>
      <c r="W119" s="113">
        <f t="shared" si="43"/>
        <v>1158</v>
      </c>
      <c r="X119" s="113">
        <f t="shared" si="43"/>
        <v>1158</v>
      </c>
      <c r="Y119" s="113">
        <f t="shared" si="43"/>
        <v>1158</v>
      </c>
      <c r="Z119" s="113">
        <f t="shared" si="43"/>
        <v>1158</v>
      </c>
      <c r="AA119" s="113">
        <f t="shared" si="43"/>
        <v>1158</v>
      </c>
      <c r="AB119" s="113">
        <f t="shared" si="43"/>
        <v>1158</v>
      </c>
      <c r="AC119" s="113">
        <f t="shared" si="43"/>
        <v>1158</v>
      </c>
      <c r="AD119" s="113">
        <f t="shared" si="43"/>
        <v>1158</v>
      </c>
      <c r="AE119" s="113">
        <f t="shared" si="43"/>
        <v>1158</v>
      </c>
      <c r="AF119" s="113">
        <f t="shared" si="43"/>
        <v>1158</v>
      </c>
      <c r="AG119" s="113">
        <f t="shared" si="43"/>
        <v>1158</v>
      </c>
      <c r="AH119" s="113">
        <f t="shared" si="43"/>
        <v>1158</v>
      </c>
      <c r="AI119" s="113">
        <f t="shared" si="43"/>
        <v>1158</v>
      </c>
      <c r="AJ119" s="113">
        <f t="shared" si="43"/>
        <v>1158</v>
      </c>
      <c r="AK119" s="113">
        <f t="shared" si="43"/>
        <v>1158</v>
      </c>
      <c r="AL119" s="113">
        <f t="shared" si="43"/>
        <v>1158</v>
      </c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</row>
    <row r="120" spans="1:70" ht="16.350000000000001" customHeight="1" x14ac:dyDescent="0.3">
      <c r="A120" s="114" t="s">
        <v>135</v>
      </c>
      <c r="B120" s="118">
        <f>IFERROR(INDEX($H$6:$V$6,1,MATCH("RM11",$H$3:$V$3,0)),0)</f>
        <v>100000</v>
      </c>
      <c r="C120" s="114">
        <f>$B120+C118+C122-C117</f>
        <v>100000</v>
      </c>
      <c r="D120" s="114">
        <f t="shared" ref="D120:AL120" si="44">C120+D118+D122-D117</f>
        <v>92500</v>
      </c>
      <c r="E120" s="114">
        <f t="shared" si="44"/>
        <v>92500</v>
      </c>
      <c r="F120" s="114">
        <f t="shared" si="44"/>
        <v>91480</v>
      </c>
      <c r="G120" s="114">
        <f t="shared" si="44"/>
        <v>91480</v>
      </c>
      <c r="H120" s="114">
        <f t="shared" si="44"/>
        <v>91480</v>
      </c>
      <c r="I120" s="114">
        <f t="shared" si="44"/>
        <v>91480</v>
      </c>
      <c r="J120" s="114">
        <f t="shared" si="44"/>
        <v>91480</v>
      </c>
      <c r="K120" s="113">
        <f t="shared" si="44"/>
        <v>91480</v>
      </c>
      <c r="L120" s="113">
        <f t="shared" si="44"/>
        <v>91480</v>
      </c>
      <c r="M120" s="113">
        <f t="shared" si="44"/>
        <v>91480</v>
      </c>
      <c r="N120" s="113">
        <f t="shared" si="44"/>
        <v>90730</v>
      </c>
      <c r="O120" s="113">
        <f t="shared" si="44"/>
        <v>89980</v>
      </c>
      <c r="P120" s="113">
        <f t="shared" si="44"/>
        <v>89230</v>
      </c>
      <c r="Q120" s="113">
        <f t="shared" si="44"/>
        <v>89230</v>
      </c>
      <c r="R120" s="113">
        <f t="shared" si="44"/>
        <v>89230</v>
      </c>
      <c r="S120" s="113">
        <f t="shared" si="44"/>
        <v>88630</v>
      </c>
      <c r="T120" s="113">
        <f t="shared" si="44"/>
        <v>88630</v>
      </c>
      <c r="U120" s="113">
        <f t="shared" si="44"/>
        <v>88630</v>
      </c>
      <c r="V120" s="113">
        <f t="shared" si="44"/>
        <v>88030</v>
      </c>
      <c r="W120" s="113">
        <f t="shared" si="44"/>
        <v>88030</v>
      </c>
      <c r="X120" s="113">
        <f t="shared" si="44"/>
        <v>87430</v>
      </c>
      <c r="Y120" s="113">
        <f t="shared" si="44"/>
        <v>87430</v>
      </c>
      <c r="Z120" s="113">
        <f t="shared" si="44"/>
        <v>86890</v>
      </c>
      <c r="AA120" s="113">
        <f t="shared" si="44"/>
        <v>86350</v>
      </c>
      <c r="AB120" s="113">
        <f t="shared" si="44"/>
        <v>85810</v>
      </c>
      <c r="AC120" s="113">
        <f t="shared" si="44"/>
        <v>85270</v>
      </c>
      <c r="AD120" s="113">
        <f t="shared" si="44"/>
        <v>84730</v>
      </c>
      <c r="AE120" s="113">
        <f t="shared" si="44"/>
        <v>83230</v>
      </c>
      <c r="AF120" s="113">
        <f t="shared" si="44"/>
        <v>81730</v>
      </c>
      <c r="AG120" s="113">
        <f t="shared" si="44"/>
        <v>80230</v>
      </c>
      <c r="AH120" s="113">
        <f t="shared" si="44"/>
        <v>78730</v>
      </c>
      <c r="AI120" s="113">
        <f t="shared" si="44"/>
        <v>76855</v>
      </c>
      <c r="AJ120" s="113">
        <f t="shared" si="44"/>
        <v>74980</v>
      </c>
      <c r="AK120" s="113">
        <f t="shared" si="44"/>
        <v>73105</v>
      </c>
      <c r="AL120" s="113">
        <f t="shared" si="44"/>
        <v>71230</v>
      </c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</row>
    <row r="121" spans="1:70" ht="16.350000000000001" customHeight="1" x14ac:dyDescent="0.3">
      <c r="A121" s="114" t="s">
        <v>136</v>
      </c>
      <c r="B121" s="118"/>
      <c r="C121" s="114">
        <f>MAX(C117+C119-($B120+C118),0)</f>
        <v>0</v>
      </c>
      <c r="D121" s="114">
        <f t="shared" ref="D121:AL121" si="45">MAX(D117+D119-(C120+D118),0)</f>
        <v>0</v>
      </c>
      <c r="E121" s="114">
        <f t="shared" si="45"/>
        <v>0</v>
      </c>
      <c r="F121" s="114">
        <f t="shared" si="45"/>
        <v>0</v>
      </c>
      <c r="G121" s="114">
        <f t="shared" si="45"/>
        <v>0</v>
      </c>
      <c r="H121" s="114">
        <f t="shared" si="45"/>
        <v>0</v>
      </c>
      <c r="I121" s="114">
        <f t="shared" si="45"/>
        <v>0</v>
      </c>
      <c r="J121" s="114">
        <f t="shared" si="45"/>
        <v>0</v>
      </c>
      <c r="K121" s="113">
        <f t="shared" si="45"/>
        <v>0</v>
      </c>
      <c r="L121" s="113">
        <f t="shared" si="45"/>
        <v>0</v>
      </c>
      <c r="M121" s="113">
        <f t="shared" si="45"/>
        <v>0</v>
      </c>
      <c r="N121" s="113">
        <f t="shared" si="45"/>
        <v>0</v>
      </c>
      <c r="O121" s="113">
        <f t="shared" si="45"/>
        <v>0</v>
      </c>
      <c r="P121" s="113">
        <f t="shared" si="45"/>
        <v>0</v>
      </c>
      <c r="Q121" s="113">
        <f t="shared" si="45"/>
        <v>0</v>
      </c>
      <c r="R121" s="113">
        <f t="shared" si="45"/>
        <v>0</v>
      </c>
      <c r="S121" s="113">
        <f t="shared" si="45"/>
        <v>0</v>
      </c>
      <c r="T121" s="113">
        <f t="shared" si="45"/>
        <v>0</v>
      </c>
      <c r="U121" s="113">
        <f t="shared" si="45"/>
        <v>0</v>
      </c>
      <c r="V121" s="113">
        <f t="shared" si="45"/>
        <v>0</v>
      </c>
      <c r="W121" s="113">
        <f t="shared" si="45"/>
        <v>0</v>
      </c>
      <c r="X121" s="113">
        <f t="shared" si="45"/>
        <v>0</v>
      </c>
      <c r="Y121" s="113">
        <f t="shared" si="45"/>
        <v>0</v>
      </c>
      <c r="Z121" s="113">
        <f t="shared" si="45"/>
        <v>0</v>
      </c>
      <c r="AA121" s="113">
        <f t="shared" si="45"/>
        <v>0</v>
      </c>
      <c r="AB121" s="113">
        <f t="shared" si="45"/>
        <v>0</v>
      </c>
      <c r="AC121" s="113">
        <f t="shared" si="45"/>
        <v>0</v>
      </c>
      <c r="AD121" s="113">
        <f t="shared" si="45"/>
        <v>0</v>
      </c>
      <c r="AE121" s="113">
        <f t="shared" si="45"/>
        <v>0</v>
      </c>
      <c r="AF121" s="113">
        <f t="shared" si="45"/>
        <v>0</v>
      </c>
      <c r="AG121" s="113">
        <f t="shared" si="45"/>
        <v>0</v>
      </c>
      <c r="AH121" s="113">
        <f t="shared" si="45"/>
        <v>0</v>
      </c>
      <c r="AI121" s="113">
        <f t="shared" si="45"/>
        <v>0</v>
      </c>
      <c r="AJ121" s="113">
        <f t="shared" si="45"/>
        <v>0</v>
      </c>
      <c r="AK121" s="113">
        <f t="shared" si="45"/>
        <v>0</v>
      </c>
      <c r="AL121" s="113">
        <f t="shared" si="45"/>
        <v>0</v>
      </c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</row>
    <row r="122" spans="1:70" ht="16.350000000000001" customHeight="1" x14ac:dyDescent="0.3">
      <c r="A122" s="140" t="s">
        <v>137</v>
      </c>
      <c r="B122" s="136"/>
      <c r="C122" s="114">
        <f t="shared" ref="C122:AL122" si="46">C121</f>
        <v>0</v>
      </c>
      <c r="D122" s="114">
        <f t="shared" si="46"/>
        <v>0</v>
      </c>
      <c r="E122" s="114">
        <f t="shared" si="46"/>
        <v>0</v>
      </c>
      <c r="F122" s="114">
        <f t="shared" si="46"/>
        <v>0</v>
      </c>
      <c r="G122" s="114">
        <f t="shared" si="46"/>
        <v>0</v>
      </c>
      <c r="H122" s="114">
        <f t="shared" si="46"/>
        <v>0</v>
      </c>
      <c r="I122" s="114">
        <f t="shared" si="46"/>
        <v>0</v>
      </c>
      <c r="J122" s="114">
        <f t="shared" si="46"/>
        <v>0</v>
      </c>
      <c r="K122" s="113">
        <f t="shared" si="46"/>
        <v>0</v>
      </c>
      <c r="L122" s="113">
        <f t="shared" si="46"/>
        <v>0</v>
      </c>
      <c r="M122" s="113">
        <f t="shared" si="46"/>
        <v>0</v>
      </c>
      <c r="N122" s="113">
        <f t="shared" si="46"/>
        <v>0</v>
      </c>
      <c r="O122" s="113">
        <f t="shared" si="46"/>
        <v>0</v>
      </c>
      <c r="P122" s="113">
        <f t="shared" si="46"/>
        <v>0</v>
      </c>
      <c r="Q122" s="113">
        <f t="shared" si="46"/>
        <v>0</v>
      </c>
      <c r="R122" s="113">
        <f t="shared" si="46"/>
        <v>0</v>
      </c>
      <c r="S122" s="113">
        <f t="shared" si="46"/>
        <v>0</v>
      </c>
      <c r="T122" s="113">
        <f t="shared" si="46"/>
        <v>0</v>
      </c>
      <c r="U122" s="113">
        <f t="shared" si="46"/>
        <v>0</v>
      </c>
      <c r="V122" s="113">
        <f t="shared" si="46"/>
        <v>0</v>
      </c>
      <c r="W122" s="113">
        <f t="shared" si="46"/>
        <v>0</v>
      </c>
      <c r="X122" s="113">
        <f t="shared" si="46"/>
        <v>0</v>
      </c>
      <c r="Y122" s="113">
        <f t="shared" si="46"/>
        <v>0</v>
      </c>
      <c r="Z122" s="113">
        <f t="shared" si="46"/>
        <v>0</v>
      </c>
      <c r="AA122" s="113">
        <f t="shared" si="46"/>
        <v>0</v>
      </c>
      <c r="AB122" s="113">
        <f t="shared" si="46"/>
        <v>0</v>
      </c>
      <c r="AC122" s="113">
        <f t="shared" si="46"/>
        <v>0</v>
      </c>
      <c r="AD122" s="113">
        <f t="shared" si="46"/>
        <v>0</v>
      </c>
      <c r="AE122" s="113">
        <f t="shared" si="46"/>
        <v>0</v>
      </c>
      <c r="AF122" s="113">
        <f t="shared" si="46"/>
        <v>0</v>
      </c>
      <c r="AG122" s="113">
        <f t="shared" si="46"/>
        <v>0</v>
      </c>
      <c r="AH122" s="113">
        <f t="shared" si="46"/>
        <v>0</v>
      </c>
      <c r="AI122" s="113">
        <f t="shared" si="46"/>
        <v>0</v>
      </c>
      <c r="AJ122" s="113">
        <f t="shared" si="46"/>
        <v>0</v>
      </c>
      <c r="AK122" s="113">
        <f t="shared" si="46"/>
        <v>0</v>
      </c>
      <c r="AL122" s="113">
        <f t="shared" si="46"/>
        <v>0</v>
      </c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</row>
    <row r="123" spans="1:70" ht="16.350000000000001" customHeight="1" x14ac:dyDescent="0.3">
      <c r="A123" s="114" t="s">
        <v>138</v>
      </c>
      <c r="B123" s="118"/>
      <c r="C123" s="114">
        <f>IFERROR(INDEX($C$122:$AK$122,1,1+ROUND(INDEX($H$5:$V$5,1,MATCH("RM11",$H$3:$V$3,0))/7,0)),0)</f>
        <v>0</v>
      </c>
      <c r="D123" s="114">
        <f>IFERROR(INDEX($C$122:$AK$122,1,2+ROUND(INDEX($H$5:$V$5,1,MATCH("RM11",$H$3:$V$3,0))/7,0)),0)</f>
        <v>0</v>
      </c>
      <c r="E123" s="114">
        <f>IFERROR(INDEX($C$122:$AK$122,1,3+ROUND(INDEX($H$5:$V$5,1,MATCH("RM11",$H$3:$V$3,0))/7,0)),0)</f>
        <v>0</v>
      </c>
      <c r="F123" s="114">
        <f>IFERROR(INDEX($C$122:$AK$122,1,4+ROUND(INDEX($H$5:$V$5,1,MATCH("RM11",$H$3:$V$3,0))/7,0)),0)</f>
        <v>0</v>
      </c>
      <c r="G123" s="114">
        <f>IFERROR(INDEX($C$122:$AK$122,1,5+ROUND(INDEX($H$5:$V$5,1,MATCH("RM11",$H$3:$V$3,0))/7,0)),0)</f>
        <v>0</v>
      </c>
      <c r="H123" s="114">
        <f>IFERROR(INDEX($C$122:$AK$122,1,6+ROUND(INDEX($H$5:$V$5,1,MATCH("RM11",$H$3:$V$3,0))/7,0)),0)</f>
        <v>0</v>
      </c>
      <c r="I123" s="114">
        <f>IFERROR(INDEX($C$122:$AK$122,1,7+ROUND(INDEX($H$5:$V$5,1,MATCH("RM11",$H$3:$V$3,0))/7,0)),0)</f>
        <v>0</v>
      </c>
      <c r="J123" s="114">
        <f>IFERROR(INDEX($C$122:$AK$122,1,8+ROUND(INDEX($H$5:$V$5,1,MATCH("RM11",$H$3:$V$3,0))/7,0)),0)</f>
        <v>0</v>
      </c>
      <c r="K123" s="113">
        <f>IFERROR(INDEX($C$122:$AK$122,1,9+ROUND(INDEX($H$5:$V$5,1,MATCH("RM11",$H$3:$V$3,0))/7,0)),0)</f>
        <v>0</v>
      </c>
      <c r="L123" s="113">
        <f>IFERROR(INDEX($C$122:$AK$122,1,10+ROUND(INDEX($H$5:$V$5,1,MATCH("RM11",$H$3:$V$3,0))/7,0)),0)</f>
        <v>0</v>
      </c>
      <c r="M123" s="113">
        <f>IFERROR(INDEX($C$122:$AK$122,1,11+ROUND(INDEX($H$5:$V$5,1,MATCH("RM11",$H$3:$V$3,0))/7,0)),0)</f>
        <v>0</v>
      </c>
      <c r="N123" s="113">
        <f>IFERROR(INDEX($C$122:$AK$122,1,12+ROUND(INDEX($H$5:$V$5,1,MATCH("RM11",$H$3:$V$3,0))/7,0)),0)</f>
        <v>0</v>
      </c>
      <c r="O123" s="113">
        <f>IFERROR(INDEX($C$122:$AK$122,1,13+ROUND(INDEX($H$5:$V$5,1,MATCH("RM11",$H$3:$V$3,0))/7,0)),0)</f>
        <v>0</v>
      </c>
      <c r="P123" s="113">
        <f>IFERROR(INDEX($C$122:$AK$122,1,14+ROUND(INDEX($H$5:$V$5,1,MATCH("RM11",$H$3:$V$3,0))/7,0)),0)</f>
        <v>0</v>
      </c>
      <c r="Q123" s="113">
        <f>IFERROR(INDEX($C$122:$AK$122,1,15+ROUND(INDEX($H$5:$V$5,1,MATCH("RM11",$H$3:$V$3,0))/7,0)),0)</f>
        <v>0</v>
      </c>
      <c r="R123" s="113">
        <f>IFERROR(INDEX($C$122:$AK$122,1,16+ROUND(INDEX($H$5:$V$5,1,MATCH("RM11",$H$3:$V$3,0))/7,0)),0)</f>
        <v>0</v>
      </c>
      <c r="S123" s="113">
        <f>IFERROR(INDEX($C$122:$AK$122,1,17+ROUND(INDEX($H$5:$V$5,1,MATCH("RM11",$H$3:$V$3,0))/7,0)),0)</f>
        <v>0</v>
      </c>
      <c r="T123" s="113">
        <f>IFERROR(INDEX($C$122:$AK$122,1,18+ROUND(INDEX($H$5:$V$5,1,MATCH("RM11",$H$3:$V$3,0))/7,0)),0)</f>
        <v>0</v>
      </c>
      <c r="U123" s="113">
        <f>IFERROR(INDEX($C$122:$AK$122,1,19+ROUND(INDEX($H$5:$V$5,1,MATCH("RM11",$H$3:$V$3,0))/7,0)),0)</f>
        <v>0</v>
      </c>
      <c r="V123" s="113">
        <f>IFERROR(INDEX($C$122:$AK$122,1,20+ROUND(INDEX($H$5:$V$5,1,MATCH("RM11",$H$3:$V$3,0))/7,0)),0)</f>
        <v>0</v>
      </c>
      <c r="W123" s="113">
        <f>IFERROR(INDEX($C$122:$AK$122,1,21+ROUND(INDEX($H$5:$V$5,1,MATCH("RM11",$H$3:$V$3,0))/7,0)),0)</f>
        <v>0</v>
      </c>
      <c r="X123" s="113">
        <f>IFERROR(INDEX($C$122:$AK$122,1,22+ROUND(INDEX($H$5:$V$5,1,MATCH("RM11",$H$3:$V$3,0))/7,0)),0)</f>
        <v>0</v>
      </c>
      <c r="Y123" s="113">
        <f>IFERROR(INDEX($C$122:$AK$122,1,23+ROUND(INDEX($H$5:$V$5,1,MATCH("RM11",$H$3:$V$3,0))/7,0)),0)</f>
        <v>0</v>
      </c>
      <c r="Z123" s="113">
        <f>IFERROR(INDEX($C$122:$AK$122,1,24+ROUND(INDEX($H$5:$V$5,1,MATCH("RM11",$H$3:$V$3,0))/7,0)),0)</f>
        <v>0</v>
      </c>
      <c r="AA123" s="113">
        <f>IFERROR(INDEX($C$122:$AK$122,1,25+ROUND(INDEX($H$5:$V$5,1,MATCH("RM11",$H$3:$V$3,0))/7,0)),0)</f>
        <v>0</v>
      </c>
      <c r="AB123" s="113">
        <f>IFERROR(INDEX($C$122:$AK$122,1,26+ROUND(INDEX($H$5:$V$5,1,MATCH("RM11",$H$3:$V$3,0))/7,0)),0)</f>
        <v>0</v>
      </c>
      <c r="AC123" s="113">
        <f>IFERROR(INDEX($C$122:$AK$122,1,27+ROUND(INDEX($H$5:$V$5,1,MATCH("RM11",$H$3:$V$3,0))/7,0)),0)</f>
        <v>0</v>
      </c>
      <c r="AD123" s="113">
        <f>IFERROR(INDEX($C$122:$AK$122,1,28+ROUND(INDEX($H$5:$V$5,1,MATCH("RM11",$H$3:$V$3,0))/7,0)),0)</f>
        <v>0</v>
      </c>
      <c r="AE123" s="113">
        <f>IFERROR(INDEX($C$122:$AK$122,1,29+ROUND(INDEX($H$5:$V$5,1,MATCH("RM11",$H$3:$V$3,0))/7,0)),0)</f>
        <v>0</v>
      </c>
      <c r="AF123" s="113">
        <f>IFERROR(INDEX($C$122:$AK$122,1,30+ROUND(INDEX($H$5:$V$5,1,MATCH("RM11",$H$3:$V$3,0))/7,0)),0)</f>
        <v>0</v>
      </c>
      <c r="AG123" s="113">
        <f>IFERROR(INDEX($C$122:$AK$122,1,31+ROUND(INDEX($H$5:$V$5,1,MATCH("RM11",$H$3:$V$3,0))/7,0)),0)</f>
        <v>0</v>
      </c>
      <c r="AH123" s="113">
        <f>IFERROR(INDEX($C$122:$AK$122,1,32+ROUND(INDEX($H$5:$V$5,1,MATCH("RM11",$H$3:$V$3,0))/7,0)),0)</f>
        <v>0</v>
      </c>
      <c r="AI123" s="113">
        <f>IFERROR(INDEX($C$122:$AK$122,1,33+ROUND(INDEX($H$5:$V$5,1,MATCH("RM11",$H$3:$V$3,0))/7,0)),0)</f>
        <v>0</v>
      </c>
      <c r="AJ123" s="113">
        <f>IFERROR(INDEX($C$122:$AK$122,1,34+ROUND(INDEX($H$5:$V$5,1,MATCH("RM11",$H$3:$V$3,0))/7,0)),0)</f>
        <v>0</v>
      </c>
      <c r="AK123" s="113">
        <f>IFERROR(INDEX($C$122:$AK$122,1,35+ROUND(INDEX($H$5:$V$5,1,MATCH("RM11",$H$3:$V$3,0))/7,0)),0)</f>
        <v>0</v>
      </c>
      <c r="AL123" s="113">
        <f>IFERROR(INDEX($C$122:$AK$122,1,35+ROUND(INDEX($H$5:$V$5,1,MATCH("RM11",$H$3:$V$3,0))/7,0)),0)</f>
        <v>0</v>
      </c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</row>
    <row r="124" spans="1:70" x14ac:dyDescent="0.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</row>
    <row r="125" spans="1:70" ht="16.350000000000001" customHeight="1" x14ac:dyDescent="0.3">
      <c r="A125" s="47" t="s">
        <v>149</v>
      </c>
      <c r="B125" s="47" t="s">
        <v>132</v>
      </c>
      <c r="C125" s="137" t="s">
        <v>0</v>
      </c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6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</row>
    <row r="126" spans="1:70" ht="16.350000000000001" customHeight="1" x14ac:dyDescent="0.3">
      <c r="A126" s="47" t="s">
        <v>133</v>
      </c>
      <c r="B126" s="47" t="str">
        <f>"LT: "&amp;ROUND(INDEX($H$5:$V$5,1,MATCH("RM12",$H$3:$V$3,0))/7,0)</f>
        <v>LT: 8</v>
      </c>
      <c r="C126" s="48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 s="104">
        <v>46370</v>
      </c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</row>
    <row r="127" spans="1:70" ht="16.350000000000001" customHeight="1" x14ac:dyDescent="0.3">
      <c r="A127" s="51" t="s">
        <v>134</v>
      </c>
      <c r="B127" s="104"/>
      <c r="C127" s="114">
        <f t="array" ref="C127:AL127">TRANSPOSE(BOM_demand!$S$2:$S$37)</f>
        <v>0</v>
      </c>
      <c r="D127" s="114">
        <v>0</v>
      </c>
      <c r="E127" s="114">
        <v>1416</v>
      </c>
      <c r="F127" s="114">
        <v>900</v>
      </c>
      <c r="G127" s="114">
        <v>2094</v>
      </c>
      <c r="H127" s="114">
        <v>0</v>
      </c>
      <c r="I127" s="114">
        <v>900</v>
      </c>
      <c r="J127" s="114">
        <v>0</v>
      </c>
      <c r="K127" s="114">
        <v>0</v>
      </c>
      <c r="L127" s="114">
        <v>900</v>
      </c>
      <c r="M127" s="114">
        <v>0</v>
      </c>
      <c r="N127" s="114">
        <v>2100</v>
      </c>
      <c r="O127" s="114">
        <v>900</v>
      </c>
      <c r="P127" s="114">
        <v>900</v>
      </c>
      <c r="Q127" s="114">
        <v>900</v>
      </c>
      <c r="R127" s="114">
        <v>0</v>
      </c>
      <c r="S127" s="114">
        <v>0</v>
      </c>
      <c r="T127" s="114">
        <v>900</v>
      </c>
      <c r="U127" s="114">
        <v>0</v>
      </c>
      <c r="V127" s="114">
        <v>0</v>
      </c>
      <c r="W127" s="114">
        <v>900</v>
      </c>
      <c r="X127" s="114">
        <v>0</v>
      </c>
      <c r="Y127" s="114">
        <v>0</v>
      </c>
      <c r="Z127" s="114">
        <v>0</v>
      </c>
      <c r="AA127" s="114">
        <v>900</v>
      </c>
      <c r="AB127" s="114">
        <v>0</v>
      </c>
      <c r="AC127" s="114">
        <v>0</v>
      </c>
      <c r="AD127" s="114">
        <v>0</v>
      </c>
      <c r="AE127" s="114">
        <v>0</v>
      </c>
      <c r="AF127" s="114">
        <v>900</v>
      </c>
      <c r="AG127" s="114">
        <v>0</v>
      </c>
      <c r="AH127" s="114">
        <v>0</v>
      </c>
      <c r="AI127" s="114">
        <v>0</v>
      </c>
      <c r="AJ127" s="114">
        <v>900</v>
      </c>
      <c r="AK127" s="114">
        <v>0</v>
      </c>
      <c r="AL127" s="104">
        <v>0</v>
      </c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</row>
    <row r="128" spans="1:70" ht="16.350000000000001" customHeight="1" x14ac:dyDescent="0.3">
      <c r="A128" s="140" t="s">
        <v>128</v>
      </c>
      <c r="B128" s="136"/>
      <c r="C128" s="114">
        <f>IFERROR(INDEX($H$7:$V$7,1,MATCH("RM12",$H$3:$V$3,0)),0)</f>
        <v>0</v>
      </c>
      <c r="D128" s="114">
        <f>0</f>
        <v>0</v>
      </c>
      <c r="E128" s="114">
        <f>0</f>
        <v>0</v>
      </c>
      <c r="F128" s="114">
        <f>0</f>
        <v>0</v>
      </c>
      <c r="G128" s="114">
        <f>0</f>
        <v>0</v>
      </c>
      <c r="H128" s="114">
        <f>0</f>
        <v>0</v>
      </c>
      <c r="I128" s="114">
        <f>0</f>
        <v>0</v>
      </c>
      <c r="J128" s="114">
        <f>0</f>
        <v>0</v>
      </c>
      <c r="K128" s="113">
        <f>0</f>
        <v>0</v>
      </c>
      <c r="L128" s="113">
        <f>0</f>
        <v>0</v>
      </c>
      <c r="M128" s="113">
        <f>0</f>
        <v>0</v>
      </c>
      <c r="N128" s="113">
        <f>0</f>
        <v>0</v>
      </c>
      <c r="O128" s="113">
        <f>0</f>
        <v>0</v>
      </c>
      <c r="P128" s="113">
        <f>0</f>
        <v>0</v>
      </c>
      <c r="Q128" s="113">
        <f>0</f>
        <v>0</v>
      </c>
      <c r="R128" s="113">
        <f>0</f>
        <v>0</v>
      </c>
      <c r="S128" s="113">
        <f>0</f>
        <v>0</v>
      </c>
      <c r="T128" s="113">
        <f>0</f>
        <v>0</v>
      </c>
      <c r="U128" s="113">
        <f>0</f>
        <v>0</v>
      </c>
      <c r="V128" s="113">
        <f>0</f>
        <v>0</v>
      </c>
      <c r="W128" s="113">
        <f>0</f>
        <v>0</v>
      </c>
      <c r="X128" s="113">
        <f>0</f>
        <v>0</v>
      </c>
      <c r="Y128" s="113">
        <f>0</f>
        <v>0</v>
      </c>
      <c r="Z128" s="113">
        <f>0</f>
        <v>0</v>
      </c>
      <c r="AA128" s="113">
        <f>0</f>
        <v>0</v>
      </c>
      <c r="AB128" s="113">
        <f>0</f>
        <v>0</v>
      </c>
      <c r="AC128" s="113">
        <f>0</f>
        <v>0</v>
      </c>
      <c r="AD128" s="113">
        <f>0</f>
        <v>0</v>
      </c>
      <c r="AE128" s="113">
        <f>0</f>
        <v>0</v>
      </c>
      <c r="AF128" s="113">
        <f>0</f>
        <v>0</v>
      </c>
      <c r="AG128" s="113">
        <f>0</f>
        <v>0</v>
      </c>
      <c r="AH128" s="113">
        <f>0</f>
        <v>0</v>
      </c>
      <c r="AI128" s="113">
        <f>0</f>
        <v>0</v>
      </c>
      <c r="AJ128" s="113">
        <f>0</f>
        <v>0</v>
      </c>
      <c r="AK128" s="113">
        <f>0</f>
        <v>0</v>
      </c>
      <c r="AL128" s="113">
        <f>0</f>
        <v>0</v>
      </c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</row>
    <row r="129" spans="1:70" ht="16.350000000000001" customHeight="1" x14ac:dyDescent="0.3">
      <c r="A129" s="114" t="s">
        <v>129</v>
      </c>
      <c r="B129" s="118">
        <f>IFERROR(INDEX($H$8:$V$8,1,MATCH("RM12",$H$3:$V$3,0)),0)</f>
        <v>887</v>
      </c>
      <c r="C129" s="114">
        <f t="shared" ref="C129:AL129" si="47">$B129</f>
        <v>887</v>
      </c>
      <c r="D129" s="114">
        <f t="shared" si="47"/>
        <v>887</v>
      </c>
      <c r="E129" s="114">
        <f t="shared" si="47"/>
        <v>887</v>
      </c>
      <c r="F129" s="114">
        <f t="shared" si="47"/>
        <v>887</v>
      </c>
      <c r="G129" s="114">
        <f t="shared" si="47"/>
        <v>887</v>
      </c>
      <c r="H129" s="114">
        <f t="shared" si="47"/>
        <v>887</v>
      </c>
      <c r="I129" s="114">
        <f t="shared" si="47"/>
        <v>887</v>
      </c>
      <c r="J129" s="114">
        <f t="shared" si="47"/>
        <v>887</v>
      </c>
      <c r="K129" s="113">
        <f t="shared" si="47"/>
        <v>887</v>
      </c>
      <c r="L129" s="113">
        <f t="shared" si="47"/>
        <v>887</v>
      </c>
      <c r="M129" s="113">
        <f t="shared" si="47"/>
        <v>887</v>
      </c>
      <c r="N129" s="113">
        <f t="shared" si="47"/>
        <v>887</v>
      </c>
      <c r="O129" s="113">
        <f t="shared" si="47"/>
        <v>887</v>
      </c>
      <c r="P129" s="113">
        <f t="shared" si="47"/>
        <v>887</v>
      </c>
      <c r="Q129" s="113">
        <f t="shared" si="47"/>
        <v>887</v>
      </c>
      <c r="R129" s="113">
        <f t="shared" si="47"/>
        <v>887</v>
      </c>
      <c r="S129" s="113">
        <f t="shared" si="47"/>
        <v>887</v>
      </c>
      <c r="T129" s="113">
        <f t="shared" si="47"/>
        <v>887</v>
      </c>
      <c r="U129" s="113">
        <f t="shared" si="47"/>
        <v>887</v>
      </c>
      <c r="V129" s="113">
        <f t="shared" si="47"/>
        <v>887</v>
      </c>
      <c r="W129" s="113">
        <f t="shared" si="47"/>
        <v>887</v>
      </c>
      <c r="X129" s="113">
        <f t="shared" si="47"/>
        <v>887</v>
      </c>
      <c r="Y129" s="113">
        <f t="shared" si="47"/>
        <v>887</v>
      </c>
      <c r="Z129" s="113">
        <f t="shared" si="47"/>
        <v>887</v>
      </c>
      <c r="AA129" s="113">
        <f t="shared" si="47"/>
        <v>887</v>
      </c>
      <c r="AB129" s="113">
        <f t="shared" si="47"/>
        <v>887</v>
      </c>
      <c r="AC129" s="113">
        <f t="shared" si="47"/>
        <v>887</v>
      </c>
      <c r="AD129" s="113">
        <f t="shared" si="47"/>
        <v>887</v>
      </c>
      <c r="AE129" s="113">
        <f t="shared" si="47"/>
        <v>887</v>
      </c>
      <c r="AF129" s="113">
        <f t="shared" si="47"/>
        <v>887</v>
      </c>
      <c r="AG129" s="113">
        <f t="shared" si="47"/>
        <v>887</v>
      </c>
      <c r="AH129" s="113">
        <f t="shared" si="47"/>
        <v>887</v>
      </c>
      <c r="AI129" s="113">
        <f t="shared" si="47"/>
        <v>887</v>
      </c>
      <c r="AJ129" s="113">
        <f t="shared" si="47"/>
        <v>887</v>
      </c>
      <c r="AK129" s="113">
        <f t="shared" si="47"/>
        <v>887</v>
      </c>
      <c r="AL129" s="113">
        <f t="shared" si="47"/>
        <v>887</v>
      </c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</row>
    <row r="130" spans="1:70" ht="16.350000000000001" customHeight="1" x14ac:dyDescent="0.3">
      <c r="A130" s="114" t="s">
        <v>135</v>
      </c>
      <c r="B130" s="118">
        <f>IFERROR(INDEX($H$6:$V$6,1,MATCH("RM12",$H$3:$V$3,0)),0)</f>
        <v>5500</v>
      </c>
      <c r="C130" s="114">
        <f>$B130+C128+C132-C127</f>
        <v>5500</v>
      </c>
      <c r="D130" s="114">
        <f t="shared" ref="D130:AL130" si="48">C130+D128+D132-D127</f>
        <v>5500</v>
      </c>
      <c r="E130" s="114">
        <f t="shared" si="48"/>
        <v>4084</v>
      </c>
      <c r="F130" s="114">
        <f t="shared" si="48"/>
        <v>3184</v>
      </c>
      <c r="G130" s="114">
        <f t="shared" si="48"/>
        <v>1090</v>
      </c>
      <c r="H130" s="114">
        <f t="shared" si="48"/>
        <v>1090</v>
      </c>
      <c r="I130" s="114">
        <f t="shared" si="48"/>
        <v>887</v>
      </c>
      <c r="J130" s="114">
        <f t="shared" si="48"/>
        <v>887</v>
      </c>
      <c r="K130" s="113">
        <f t="shared" si="48"/>
        <v>887</v>
      </c>
      <c r="L130" s="113">
        <f t="shared" si="48"/>
        <v>887</v>
      </c>
      <c r="M130" s="113">
        <f t="shared" si="48"/>
        <v>887</v>
      </c>
      <c r="N130" s="113">
        <f t="shared" si="48"/>
        <v>887</v>
      </c>
      <c r="O130" s="113">
        <f t="shared" si="48"/>
        <v>887</v>
      </c>
      <c r="P130" s="113">
        <f t="shared" si="48"/>
        <v>887</v>
      </c>
      <c r="Q130" s="113">
        <f t="shared" si="48"/>
        <v>887</v>
      </c>
      <c r="R130" s="113">
        <f t="shared" si="48"/>
        <v>887</v>
      </c>
      <c r="S130" s="113">
        <f t="shared" si="48"/>
        <v>887</v>
      </c>
      <c r="T130" s="113">
        <f t="shared" si="48"/>
        <v>887</v>
      </c>
      <c r="U130" s="113">
        <f t="shared" si="48"/>
        <v>887</v>
      </c>
      <c r="V130" s="113">
        <f t="shared" si="48"/>
        <v>887</v>
      </c>
      <c r="W130" s="113">
        <f t="shared" si="48"/>
        <v>887</v>
      </c>
      <c r="X130" s="113">
        <f t="shared" si="48"/>
        <v>887</v>
      </c>
      <c r="Y130" s="113">
        <f t="shared" si="48"/>
        <v>887</v>
      </c>
      <c r="Z130" s="113">
        <f t="shared" si="48"/>
        <v>887</v>
      </c>
      <c r="AA130" s="113">
        <f t="shared" si="48"/>
        <v>887</v>
      </c>
      <c r="AB130" s="113">
        <f t="shared" si="48"/>
        <v>887</v>
      </c>
      <c r="AC130" s="113">
        <f t="shared" si="48"/>
        <v>887</v>
      </c>
      <c r="AD130" s="113">
        <f t="shared" si="48"/>
        <v>887</v>
      </c>
      <c r="AE130" s="113">
        <f t="shared" si="48"/>
        <v>887</v>
      </c>
      <c r="AF130" s="113">
        <f t="shared" si="48"/>
        <v>887</v>
      </c>
      <c r="AG130" s="113">
        <f t="shared" si="48"/>
        <v>887</v>
      </c>
      <c r="AH130" s="113">
        <f t="shared" si="48"/>
        <v>887</v>
      </c>
      <c r="AI130" s="113">
        <f t="shared" si="48"/>
        <v>887</v>
      </c>
      <c r="AJ130" s="113">
        <f t="shared" si="48"/>
        <v>887</v>
      </c>
      <c r="AK130" s="113">
        <f t="shared" si="48"/>
        <v>887</v>
      </c>
      <c r="AL130" s="113">
        <f t="shared" si="48"/>
        <v>887</v>
      </c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</row>
    <row r="131" spans="1:70" ht="16.350000000000001" customHeight="1" x14ac:dyDescent="0.3">
      <c r="A131" s="114" t="s">
        <v>136</v>
      </c>
      <c r="B131" s="118"/>
      <c r="C131" s="114">
        <f>MAX(C127+C129-($B130+C128),0)</f>
        <v>0</v>
      </c>
      <c r="D131" s="114">
        <f t="shared" ref="D131:AL131" si="49">MAX(D127+D129-(C130+D128),0)</f>
        <v>0</v>
      </c>
      <c r="E131" s="114">
        <f t="shared" si="49"/>
        <v>0</v>
      </c>
      <c r="F131" s="114">
        <f t="shared" si="49"/>
        <v>0</v>
      </c>
      <c r="G131" s="114">
        <f t="shared" si="49"/>
        <v>0</v>
      </c>
      <c r="H131" s="114">
        <f t="shared" si="49"/>
        <v>0</v>
      </c>
      <c r="I131" s="114">
        <f t="shared" si="49"/>
        <v>697</v>
      </c>
      <c r="J131" s="114">
        <f t="shared" si="49"/>
        <v>0</v>
      </c>
      <c r="K131" s="113">
        <f t="shared" si="49"/>
        <v>0</v>
      </c>
      <c r="L131" s="113">
        <f t="shared" si="49"/>
        <v>900</v>
      </c>
      <c r="M131" s="113">
        <f t="shared" si="49"/>
        <v>0</v>
      </c>
      <c r="N131" s="113">
        <f t="shared" si="49"/>
        <v>2100</v>
      </c>
      <c r="O131" s="113">
        <f t="shared" si="49"/>
        <v>900</v>
      </c>
      <c r="P131" s="113">
        <f t="shared" si="49"/>
        <v>900</v>
      </c>
      <c r="Q131" s="113">
        <f t="shared" si="49"/>
        <v>900</v>
      </c>
      <c r="R131" s="113">
        <f t="shared" si="49"/>
        <v>0</v>
      </c>
      <c r="S131" s="113">
        <f t="shared" si="49"/>
        <v>0</v>
      </c>
      <c r="T131" s="113">
        <f t="shared" si="49"/>
        <v>900</v>
      </c>
      <c r="U131" s="113">
        <f t="shared" si="49"/>
        <v>0</v>
      </c>
      <c r="V131" s="113">
        <f t="shared" si="49"/>
        <v>0</v>
      </c>
      <c r="W131" s="113">
        <f t="shared" si="49"/>
        <v>900</v>
      </c>
      <c r="X131" s="113">
        <f t="shared" si="49"/>
        <v>0</v>
      </c>
      <c r="Y131" s="113">
        <f t="shared" si="49"/>
        <v>0</v>
      </c>
      <c r="Z131" s="113">
        <f t="shared" si="49"/>
        <v>0</v>
      </c>
      <c r="AA131" s="113">
        <f t="shared" si="49"/>
        <v>900</v>
      </c>
      <c r="AB131" s="113">
        <f t="shared" si="49"/>
        <v>0</v>
      </c>
      <c r="AC131" s="113">
        <f t="shared" si="49"/>
        <v>0</v>
      </c>
      <c r="AD131" s="113">
        <f t="shared" si="49"/>
        <v>0</v>
      </c>
      <c r="AE131" s="113">
        <f t="shared" si="49"/>
        <v>0</v>
      </c>
      <c r="AF131" s="113">
        <f t="shared" si="49"/>
        <v>900</v>
      </c>
      <c r="AG131" s="113">
        <f t="shared" si="49"/>
        <v>0</v>
      </c>
      <c r="AH131" s="113">
        <f t="shared" si="49"/>
        <v>0</v>
      </c>
      <c r="AI131" s="113">
        <f t="shared" si="49"/>
        <v>0</v>
      </c>
      <c r="AJ131" s="113">
        <f t="shared" si="49"/>
        <v>900</v>
      </c>
      <c r="AK131" s="113">
        <f t="shared" si="49"/>
        <v>0</v>
      </c>
      <c r="AL131" s="113">
        <f t="shared" si="49"/>
        <v>0</v>
      </c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</row>
    <row r="132" spans="1:70" ht="16.350000000000001" customHeight="1" x14ac:dyDescent="0.3">
      <c r="A132" s="140" t="s">
        <v>137</v>
      </c>
      <c r="B132" s="136"/>
      <c r="C132" s="114">
        <f t="shared" ref="C132:AL132" si="50">C131</f>
        <v>0</v>
      </c>
      <c r="D132" s="114">
        <f t="shared" si="50"/>
        <v>0</v>
      </c>
      <c r="E132" s="114">
        <f t="shared" si="50"/>
        <v>0</v>
      </c>
      <c r="F132" s="114">
        <f t="shared" si="50"/>
        <v>0</v>
      </c>
      <c r="G132" s="114">
        <f t="shared" si="50"/>
        <v>0</v>
      </c>
      <c r="H132" s="114">
        <f t="shared" si="50"/>
        <v>0</v>
      </c>
      <c r="I132" s="114">
        <f t="shared" si="50"/>
        <v>697</v>
      </c>
      <c r="J132" s="114">
        <f t="shared" si="50"/>
        <v>0</v>
      </c>
      <c r="K132" s="113">
        <f t="shared" si="50"/>
        <v>0</v>
      </c>
      <c r="L132" s="113">
        <f t="shared" si="50"/>
        <v>900</v>
      </c>
      <c r="M132" s="113">
        <f t="shared" si="50"/>
        <v>0</v>
      </c>
      <c r="N132" s="113">
        <f t="shared" si="50"/>
        <v>2100</v>
      </c>
      <c r="O132" s="113">
        <f t="shared" si="50"/>
        <v>900</v>
      </c>
      <c r="P132" s="113">
        <f t="shared" si="50"/>
        <v>900</v>
      </c>
      <c r="Q132" s="113">
        <f t="shared" si="50"/>
        <v>900</v>
      </c>
      <c r="R132" s="113">
        <f t="shared" si="50"/>
        <v>0</v>
      </c>
      <c r="S132" s="113">
        <f t="shared" si="50"/>
        <v>0</v>
      </c>
      <c r="T132" s="113">
        <f t="shared" si="50"/>
        <v>900</v>
      </c>
      <c r="U132" s="113">
        <f t="shared" si="50"/>
        <v>0</v>
      </c>
      <c r="V132" s="113">
        <f t="shared" si="50"/>
        <v>0</v>
      </c>
      <c r="W132" s="113">
        <f t="shared" si="50"/>
        <v>900</v>
      </c>
      <c r="X132" s="113">
        <f t="shared" si="50"/>
        <v>0</v>
      </c>
      <c r="Y132" s="113">
        <f t="shared" si="50"/>
        <v>0</v>
      </c>
      <c r="Z132" s="113">
        <f t="shared" si="50"/>
        <v>0</v>
      </c>
      <c r="AA132" s="113">
        <f t="shared" si="50"/>
        <v>900</v>
      </c>
      <c r="AB132" s="113">
        <f t="shared" si="50"/>
        <v>0</v>
      </c>
      <c r="AC132" s="113">
        <f t="shared" si="50"/>
        <v>0</v>
      </c>
      <c r="AD132" s="113">
        <f t="shared" si="50"/>
        <v>0</v>
      </c>
      <c r="AE132" s="113">
        <f t="shared" si="50"/>
        <v>0</v>
      </c>
      <c r="AF132" s="113">
        <f t="shared" si="50"/>
        <v>900</v>
      </c>
      <c r="AG132" s="113">
        <f t="shared" si="50"/>
        <v>0</v>
      </c>
      <c r="AH132" s="113">
        <f t="shared" si="50"/>
        <v>0</v>
      </c>
      <c r="AI132" s="113">
        <f t="shared" si="50"/>
        <v>0</v>
      </c>
      <c r="AJ132" s="113">
        <f t="shared" si="50"/>
        <v>900</v>
      </c>
      <c r="AK132" s="113">
        <f t="shared" si="50"/>
        <v>0</v>
      </c>
      <c r="AL132" s="113">
        <f t="shared" si="50"/>
        <v>0</v>
      </c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</row>
    <row r="133" spans="1:70" ht="16.350000000000001" customHeight="1" x14ac:dyDescent="0.3">
      <c r="A133" s="114" t="s">
        <v>138</v>
      </c>
      <c r="B133" s="118"/>
      <c r="C133" s="114">
        <f>IFERROR(INDEX($C$132:$AK$132,1,1+ROUND(INDEX($H$5:$V$5,1,MATCH("RM12",$H$3:$V$3,0))/7,0)),0)</f>
        <v>0</v>
      </c>
      <c r="D133" s="114">
        <f>IFERROR(INDEX($C$132:$AK$132,1,2+ROUND(INDEX($H$5:$V$5,1,MATCH("RM12",$H$3:$V$3,0))/7,0)),0)</f>
        <v>900</v>
      </c>
      <c r="E133" s="114">
        <f>IFERROR(INDEX($C$132:$AK$132,1,3+ROUND(INDEX($H$5:$V$5,1,MATCH("RM12",$H$3:$V$3,0))/7,0)),0)</f>
        <v>0</v>
      </c>
      <c r="F133" s="114">
        <f>IFERROR(INDEX($C$132:$AK$132,1,4+ROUND(INDEX($H$5:$V$5,1,MATCH("RM12",$H$3:$V$3,0))/7,0)),0)</f>
        <v>2100</v>
      </c>
      <c r="G133" s="114">
        <f>IFERROR(INDEX($C$132:$AK$132,1,5+ROUND(INDEX($H$5:$V$5,1,MATCH("RM12",$H$3:$V$3,0))/7,0)),0)</f>
        <v>900</v>
      </c>
      <c r="H133" s="114">
        <f>IFERROR(INDEX($C$132:$AK$132,1,6+ROUND(INDEX($H$5:$V$5,1,MATCH("RM12",$H$3:$V$3,0))/7,0)),0)</f>
        <v>900</v>
      </c>
      <c r="I133" s="114">
        <f>IFERROR(INDEX($C$132:$AK$132,1,7+ROUND(INDEX($H$5:$V$5,1,MATCH("RM12",$H$3:$V$3,0))/7,0)),0)</f>
        <v>900</v>
      </c>
      <c r="J133" s="114">
        <f>IFERROR(INDEX($C$132:$AK$132,1,8+ROUND(INDEX($H$5:$V$5,1,MATCH("RM12",$H$3:$V$3,0))/7,0)),0)</f>
        <v>0</v>
      </c>
      <c r="K133" s="113">
        <f>IFERROR(INDEX($C$132:$AK$132,1,9+ROUND(INDEX($H$5:$V$5,1,MATCH("RM12",$H$3:$V$3,0))/7,0)),0)</f>
        <v>0</v>
      </c>
      <c r="L133" s="113">
        <f>IFERROR(INDEX($C$132:$AK$132,1,10+ROUND(INDEX($H$5:$V$5,1,MATCH("RM12",$H$3:$V$3,0))/7,0)),0)</f>
        <v>900</v>
      </c>
      <c r="M133" s="113">
        <f>IFERROR(INDEX($C$132:$AK$132,1,11+ROUND(INDEX($H$5:$V$5,1,MATCH("RM12",$H$3:$V$3,0))/7,0)),0)</f>
        <v>0</v>
      </c>
      <c r="N133" s="113">
        <f>IFERROR(INDEX($C$132:$AK$132,1,12+ROUND(INDEX($H$5:$V$5,1,MATCH("RM12",$H$3:$V$3,0))/7,0)),0)</f>
        <v>0</v>
      </c>
      <c r="O133" s="113">
        <f>IFERROR(INDEX($C$132:$AK$132,1,13+ROUND(INDEX($H$5:$V$5,1,MATCH("RM12",$H$3:$V$3,0))/7,0)),0)</f>
        <v>900</v>
      </c>
      <c r="P133" s="113">
        <f>IFERROR(INDEX($C$132:$AK$132,1,14+ROUND(INDEX($H$5:$V$5,1,MATCH("RM12",$H$3:$V$3,0))/7,0)),0)</f>
        <v>0</v>
      </c>
      <c r="Q133" s="113">
        <f>IFERROR(INDEX($C$132:$AK$132,1,15+ROUND(INDEX($H$5:$V$5,1,MATCH("RM12",$H$3:$V$3,0))/7,0)),0)</f>
        <v>0</v>
      </c>
      <c r="R133" s="113">
        <f>IFERROR(INDEX($C$132:$AK$132,1,16+ROUND(INDEX($H$5:$V$5,1,MATCH("RM12",$H$3:$V$3,0))/7,0)),0)</f>
        <v>0</v>
      </c>
      <c r="S133" s="113">
        <f>IFERROR(INDEX($C$132:$AK$132,1,17+ROUND(INDEX($H$5:$V$5,1,MATCH("RM12",$H$3:$V$3,0))/7,0)),0)</f>
        <v>900</v>
      </c>
      <c r="T133" s="113">
        <f>IFERROR(INDEX($C$132:$AK$132,1,18+ROUND(INDEX($H$5:$V$5,1,MATCH("RM12",$H$3:$V$3,0))/7,0)),0)</f>
        <v>0</v>
      </c>
      <c r="U133" s="113">
        <f>IFERROR(INDEX($C$132:$AK$132,1,19+ROUND(INDEX($H$5:$V$5,1,MATCH("RM12",$H$3:$V$3,0))/7,0)),0)</f>
        <v>0</v>
      </c>
      <c r="V133" s="113">
        <f>IFERROR(INDEX($C$132:$AK$132,1,20+ROUND(INDEX($H$5:$V$5,1,MATCH("RM12",$H$3:$V$3,0))/7,0)),0)</f>
        <v>0</v>
      </c>
      <c r="W133" s="113">
        <f>IFERROR(INDEX($C$132:$AK$132,1,21+ROUND(INDEX($H$5:$V$5,1,MATCH("RM12",$H$3:$V$3,0))/7,0)),0)</f>
        <v>0</v>
      </c>
      <c r="X133" s="113">
        <f>IFERROR(INDEX($C$132:$AK$132,1,22+ROUND(INDEX($H$5:$V$5,1,MATCH("RM12",$H$3:$V$3,0))/7,0)),0)</f>
        <v>900</v>
      </c>
      <c r="Y133" s="113">
        <f>IFERROR(INDEX($C$132:$AK$132,1,23+ROUND(INDEX($H$5:$V$5,1,MATCH("RM12",$H$3:$V$3,0))/7,0)),0)</f>
        <v>0</v>
      </c>
      <c r="Z133" s="113">
        <f>IFERROR(INDEX($C$132:$AK$132,1,24+ROUND(INDEX($H$5:$V$5,1,MATCH("RM12",$H$3:$V$3,0))/7,0)),0)</f>
        <v>0</v>
      </c>
      <c r="AA133" s="113">
        <f>IFERROR(INDEX($C$132:$AK$132,1,25+ROUND(INDEX($H$5:$V$5,1,MATCH("RM12",$H$3:$V$3,0))/7,0)),0)</f>
        <v>0</v>
      </c>
      <c r="AB133" s="113">
        <f>IFERROR(INDEX($C$132:$AK$132,1,26+ROUND(INDEX($H$5:$V$5,1,MATCH("RM12",$H$3:$V$3,0))/7,0)),0)</f>
        <v>900</v>
      </c>
      <c r="AC133" s="113">
        <f>IFERROR(INDEX($C$132:$AK$132,1,27+ROUND(INDEX($H$5:$V$5,1,MATCH("RM12",$H$3:$V$3,0))/7,0)),0)</f>
        <v>0</v>
      </c>
      <c r="AD133" s="113">
        <f>IFERROR(INDEX($C$132:$AK$132,1,28+ROUND(INDEX($H$5:$V$5,1,MATCH("RM12",$H$3:$V$3,0))/7,0)),0)</f>
        <v>0</v>
      </c>
      <c r="AE133" s="113">
        <f>IFERROR(INDEX($C$132:$AK$132,1,29+ROUND(INDEX($H$5:$V$5,1,MATCH("RM12",$H$3:$V$3,0))/7,0)),0)</f>
        <v>0</v>
      </c>
      <c r="AF133" s="113">
        <f>IFERROR(INDEX($C$132:$AK$132,1,30+ROUND(INDEX($H$5:$V$5,1,MATCH("RM12",$H$3:$V$3,0))/7,0)),0)</f>
        <v>0</v>
      </c>
      <c r="AG133" s="113">
        <f>IFERROR(INDEX($C$132:$AK$132,1,31+ROUND(INDEX($H$5:$V$5,1,MATCH("RM12",$H$3:$V$3,0))/7,0)),0)</f>
        <v>0</v>
      </c>
      <c r="AH133" s="113">
        <f>IFERROR(INDEX($C$132:$AK$132,1,32+ROUND(INDEX($H$5:$V$5,1,MATCH("RM12",$H$3:$V$3,0))/7,0)),0)</f>
        <v>0</v>
      </c>
      <c r="AI133" s="113">
        <f>IFERROR(INDEX($C$132:$AK$132,1,33+ROUND(INDEX($H$5:$V$5,1,MATCH("RM12",$H$3:$V$3,0))/7,0)),0)</f>
        <v>0</v>
      </c>
      <c r="AJ133" s="113">
        <f>IFERROR(INDEX($C$132:$AK$132,1,34+ROUND(INDEX($H$5:$V$5,1,MATCH("RM12",$H$3:$V$3,0))/7,0)),0)</f>
        <v>0</v>
      </c>
      <c r="AK133" s="113">
        <f>IFERROR(INDEX($C$132:$AK$132,1,35+ROUND(INDEX($H$5:$V$5,1,MATCH("RM12",$H$3:$V$3,0))/7,0)),0)</f>
        <v>0</v>
      </c>
      <c r="AL133" s="113">
        <f>IFERROR(INDEX($C$132:$AK$132,1,35+ROUND(INDEX($H$5:$V$5,1,MATCH("RM12",$H$3:$V$3,0))/7,0)),0)</f>
        <v>0</v>
      </c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</row>
    <row r="134" spans="1:70" x14ac:dyDescent="0.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</row>
    <row r="135" spans="1:70" ht="16.350000000000001" customHeight="1" x14ac:dyDescent="0.3">
      <c r="A135" s="47" t="s">
        <v>150</v>
      </c>
      <c r="B135" s="47" t="s">
        <v>132</v>
      </c>
      <c r="C135" s="137" t="s">
        <v>0</v>
      </c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6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</row>
    <row r="136" spans="1:70" ht="16.350000000000001" customHeight="1" x14ac:dyDescent="0.3">
      <c r="A136" s="47" t="s">
        <v>133</v>
      </c>
      <c r="B136" s="47" t="str">
        <f>"LT: "&amp;ROUND(INDEX($H$5:$V$5,1,MATCH("RM13",$H$3:$V$3,0))/7,0)</f>
        <v>LT: 5</v>
      </c>
      <c r="C136" s="48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 s="104">
        <v>46370</v>
      </c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</row>
    <row r="137" spans="1:70" ht="16.350000000000001" customHeight="1" x14ac:dyDescent="0.3">
      <c r="A137" s="51" t="s">
        <v>134</v>
      </c>
      <c r="B137" s="104"/>
      <c r="C137" s="114">
        <f t="array" ref="C137:AL137">TRANSPOSE(BOM_demand!$T$2:$T$37)</f>
        <v>0</v>
      </c>
      <c r="D137" s="114">
        <v>0</v>
      </c>
      <c r="E137" s="114">
        <v>1888</v>
      </c>
      <c r="F137" s="114">
        <v>1200</v>
      </c>
      <c r="G137" s="114">
        <v>2792</v>
      </c>
      <c r="H137" s="114">
        <v>0</v>
      </c>
      <c r="I137" s="114">
        <v>1200</v>
      </c>
      <c r="J137" s="114">
        <v>0</v>
      </c>
      <c r="K137" s="114">
        <v>0</v>
      </c>
      <c r="L137" s="114">
        <v>1200</v>
      </c>
      <c r="M137" s="114">
        <v>0</v>
      </c>
      <c r="N137" s="114">
        <v>2800</v>
      </c>
      <c r="O137" s="114">
        <v>1200</v>
      </c>
      <c r="P137" s="114">
        <v>1200</v>
      </c>
      <c r="Q137" s="114">
        <v>1200</v>
      </c>
      <c r="R137" s="114">
        <v>0</v>
      </c>
      <c r="S137" s="114">
        <v>0</v>
      </c>
      <c r="T137" s="114">
        <v>1200</v>
      </c>
      <c r="U137" s="114">
        <v>0</v>
      </c>
      <c r="V137" s="114">
        <v>0</v>
      </c>
      <c r="W137" s="114">
        <v>1200</v>
      </c>
      <c r="X137" s="114">
        <v>0</v>
      </c>
      <c r="Y137" s="114">
        <v>0</v>
      </c>
      <c r="Z137" s="114">
        <v>0</v>
      </c>
      <c r="AA137" s="114">
        <v>1200</v>
      </c>
      <c r="AB137" s="114">
        <v>0</v>
      </c>
      <c r="AC137" s="114">
        <v>0</v>
      </c>
      <c r="AD137" s="114">
        <v>0</v>
      </c>
      <c r="AE137" s="114">
        <v>0</v>
      </c>
      <c r="AF137" s="114">
        <v>1200</v>
      </c>
      <c r="AG137" s="114">
        <v>0</v>
      </c>
      <c r="AH137" s="114">
        <v>0</v>
      </c>
      <c r="AI137" s="114">
        <v>0</v>
      </c>
      <c r="AJ137" s="114">
        <v>1200</v>
      </c>
      <c r="AK137" s="114">
        <v>0</v>
      </c>
      <c r="AL137" s="104">
        <v>0</v>
      </c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</row>
    <row r="138" spans="1:70" ht="16.350000000000001" customHeight="1" x14ac:dyDescent="0.3">
      <c r="A138" s="140" t="s">
        <v>128</v>
      </c>
      <c r="B138" s="136"/>
      <c r="C138" s="114">
        <f>IFERROR(INDEX($H$7:$V$7,1,MATCH("RM13",$H$3:$V$3,0)),0)</f>
        <v>1000</v>
      </c>
      <c r="D138" s="114">
        <f>0</f>
        <v>0</v>
      </c>
      <c r="E138" s="114">
        <f>0</f>
        <v>0</v>
      </c>
      <c r="F138" s="114">
        <f>0</f>
        <v>0</v>
      </c>
      <c r="G138" s="114">
        <f>0</f>
        <v>0</v>
      </c>
      <c r="H138" s="114">
        <f>0</f>
        <v>0</v>
      </c>
      <c r="I138" s="114">
        <f>0</f>
        <v>0</v>
      </c>
      <c r="J138" s="114">
        <f>0</f>
        <v>0</v>
      </c>
      <c r="K138" s="113">
        <f>0</f>
        <v>0</v>
      </c>
      <c r="L138" s="113">
        <f>0</f>
        <v>0</v>
      </c>
      <c r="M138" s="113">
        <f>0</f>
        <v>0</v>
      </c>
      <c r="N138" s="113">
        <f>0</f>
        <v>0</v>
      </c>
      <c r="O138" s="113">
        <f>0</f>
        <v>0</v>
      </c>
      <c r="P138" s="113">
        <f>0</f>
        <v>0</v>
      </c>
      <c r="Q138" s="113">
        <f>0</f>
        <v>0</v>
      </c>
      <c r="R138" s="113">
        <f>0</f>
        <v>0</v>
      </c>
      <c r="S138" s="113">
        <f>0</f>
        <v>0</v>
      </c>
      <c r="T138" s="113">
        <f>0</f>
        <v>0</v>
      </c>
      <c r="U138" s="113">
        <f>0</f>
        <v>0</v>
      </c>
      <c r="V138" s="113">
        <f>0</f>
        <v>0</v>
      </c>
      <c r="W138" s="113">
        <f>0</f>
        <v>0</v>
      </c>
      <c r="X138" s="113">
        <f>0</f>
        <v>0</v>
      </c>
      <c r="Y138" s="113">
        <f>0</f>
        <v>0</v>
      </c>
      <c r="Z138" s="113">
        <f>0</f>
        <v>0</v>
      </c>
      <c r="AA138" s="113">
        <f>0</f>
        <v>0</v>
      </c>
      <c r="AB138" s="113">
        <f>0</f>
        <v>0</v>
      </c>
      <c r="AC138" s="113">
        <f>0</f>
        <v>0</v>
      </c>
      <c r="AD138" s="113">
        <f>0</f>
        <v>0</v>
      </c>
      <c r="AE138" s="113">
        <f>0</f>
        <v>0</v>
      </c>
      <c r="AF138" s="113">
        <f>0</f>
        <v>0</v>
      </c>
      <c r="AG138" s="113">
        <f>0</f>
        <v>0</v>
      </c>
      <c r="AH138" s="113">
        <f>0</f>
        <v>0</v>
      </c>
      <c r="AI138" s="113">
        <f>0</f>
        <v>0</v>
      </c>
      <c r="AJ138" s="113">
        <f>0</f>
        <v>0</v>
      </c>
      <c r="AK138" s="113">
        <f>0</f>
        <v>0</v>
      </c>
      <c r="AL138" s="113">
        <f>0</f>
        <v>0</v>
      </c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</row>
    <row r="139" spans="1:70" ht="16.350000000000001" customHeight="1" x14ac:dyDescent="0.3">
      <c r="A139" s="114" t="s">
        <v>129</v>
      </c>
      <c r="B139" s="118">
        <f>IFERROR(INDEX($H$8:$V$8,1,MATCH("RM13",$H$3:$V$3,0)),0)</f>
        <v>1182</v>
      </c>
      <c r="C139" s="114">
        <f t="shared" ref="C139:AL139" si="51">$B139</f>
        <v>1182</v>
      </c>
      <c r="D139" s="114">
        <f t="shared" si="51"/>
        <v>1182</v>
      </c>
      <c r="E139" s="114">
        <f t="shared" si="51"/>
        <v>1182</v>
      </c>
      <c r="F139" s="114">
        <f t="shared" si="51"/>
        <v>1182</v>
      </c>
      <c r="G139" s="114">
        <f t="shared" si="51"/>
        <v>1182</v>
      </c>
      <c r="H139" s="114">
        <f t="shared" si="51"/>
        <v>1182</v>
      </c>
      <c r="I139" s="114">
        <f t="shared" si="51"/>
        <v>1182</v>
      </c>
      <c r="J139" s="114">
        <f t="shared" si="51"/>
        <v>1182</v>
      </c>
      <c r="K139" s="113">
        <f t="shared" si="51"/>
        <v>1182</v>
      </c>
      <c r="L139" s="113">
        <f t="shared" si="51"/>
        <v>1182</v>
      </c>
      <c r="M139" s="113">
        <f t="shared" si="51"/>
        <v>1182</v>
      </c>
      <c r="N139" s="113">
        <f t="shared" si="51"/>
        <v>1182</v>
      </c>
      <c r="O139" s="113">
        <f t="shared" si="51"/>
        <v>1182</v>
      </c>
      <c r="P139" s="113">
        <f t="shared" si="51"/>
        <v>1182</v>
      </c>
      <c r="Q139" s="113">
        <f t="shared" si="51"/>
        <v>1182</v>
      </c>
      <c r="R139" s="113">
        <f t="shared" si="51"/>
        <v>1182</v>
      </c>
      <c r="S139" s="113">
        <f t="shared" si="51"/>
        <v>1182</v>
      </c>
      <c r="T139" s="113">
        <f t="shared" si="51"/>
        <v>1182</v>
      </c>
      <c r="U139" s="113">
        <f t="shared" si="51"/>
        <v>1182</v>
      </c>
      <c r="V139" s="113">
        <f t="shared" si="51"/>
        <v>1182</v>
      </c>
      <c r="W139" s="113">
        <f t="shared" si="51"/>
        <v>1182</v>
      </c>
      <c r="X139" s="113">
        <f t="shared" si="51"/>
        <v>1182</v>
      </c>
      <c r="Y139" s="113">
        <f t="shared" si="51"/>
        <v>1182</v>
      </c>
      <c r="Z139" s="113">
        <f t="shared" si="51"/>
        <v>1182</v>
      </c>
      <c r="AA139" s="113">
        <f t="shared" si="51"/>
        <v>1182</v>
      </c>
      <c r="AB139" s="113">
        <f t="shared" si="51"/>
        <v>1182</v>
      </c>
      <c r="AC139" s="113">
        <f t="shared" si="51"/>
        <v>1182</v>
      </c>
      <c r="AD139" s="113">
        <f t="shared" si="51"/>
        <v>1182</v>
      </c>
      <c r="AE139" s="113">
        <f t="shared" si="51"/>
        <v>1182</v>
      </c>
      <c r="AF139" s="113">
        <f t="shared" si="51"/>
        <v>1182</v>
      </c>
      <c r="AG139" s="113">
        <f t="shared" si="51"/>
        <v>1182</v>
      </c>
      <c r="AH139" s="113">
        <f t="shared" si="51"/>
        <v>1182</v>
      </c>
      <c r="AI139" s="113">
        <f t="shared" si="51"/>
        <v>1182</v>
      </c>
      <c r="AJ139" s="113">
        <f t="shared" si="51"/>
        <v>1182</v>
      </c>
      <c r="AK139" s="113">
        <f t="shared" si="51"/>
        <v>1182</v>
      </c>
      <c r="AL139" s="113">
        <f t="shared" si="51"/>
        <v>1182</v>
      </c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</row>
    <row r="140" spans="1:70" ht="16.350000000000001" customHeight="1" x14ac:dyDescent="0.3">
      <c r="A140" s="114" t="s">
        <v>135</v>
      </c>
      <c r="B140" s="118">
        <f>IFERROR(INDEX($H$6:$V$6,1,MATCH("RM13",$H$3:$V$3,0)),0)</f>
        <v>6000</v>
      </c>
      <c r="C140" s="114">
        <f>$B140+C138+C142-C137</f>
        <v>7000</v>
      </c>
      <c r="D140" s="114">
        <f t="shared" ref="D140:AL140" si="52">C140+D138+D142-D137</f>
        <v>7000</v>
      </c>
      <c r="E140" s="114">
        <f t="shared" si="52"/>
        <v>5112</v>
      </c>
      <c r="F140" s="114">
        <f t="shared" si="52"/>
        <v>3912</v>
      </c>
      <c r="G140" s="114">
        <f t="shared" si="52"/>
        <v>1182</v>
      </c>
      <c r="H140" s="114">
        <f t="shared" si="52"/>
        <v>1182</v>
      </c>
      <c r="I140" s="114">
        <f t="shared" si="52"/>
        <v>1182</v>
      </c>
      <c r="J140" s="114">
        <f t="shared" si="52"/>
        <v>1182</v>
      </c>
      <c r="K140" s="113">
        <f t="shared" si="52"/>
        <v>1182</v>
      </c>
      <c r="L140" s="113">
        <f t="shared" si="52"/>
        <v>1182</v>
      </c>
      <c r="M140" s="113">
        <f t="shared" si="52"/>
        <v>1182</v>
      </c>
      <c r="N140" s="113">
        <f t="shared" si="52"/>
        <v>1182</v>
      </c>
      <c r="O140" s="113">
        <f t="shared" si="52"/>
        <v>1182</v>
      </c>
      <c r="P140" s="113">
        <f t="shared" si="52"/>
        <v>1182</v>
      </c>
      <c r="Q140" s="113">
        <f t="shared" si="52"/>
        <v>1182</v>
      </c>
      <c r="R140" s="113">
        <f t="shared" si="52"/>
        <v>1182</v>
      </c>
      <c r="S140" s="113">
        <f t="shared" si="52"/>
        <v>1182</v>
      </c>
      <c r="T140" s="113">
        <f t="shared" si="52"/>
        <v>1182</v>
      </c>
      <c r="U140" s="113">
        <f t="shared" si="52"/>
        <v>1182</v>
      </c>
      <c r="V140" s="113">
        <f t="shared" si="52"/>
        <v>1182</v>
      </c>
      <c r="W140" s="113">
        <f t="shared" si="52"/>
        <v>1182</v>
      </c>
      <c r="X140" s="113">
        <f t="shared" si="52"/>
        <v>1182</v>
      </c>
      <c r="Y140" s="113">
        <f t="shared" si="52"/>
        <v>1182</v>
      </c>
      <c r="Z140" s="113">
        <f t="shared" si="52"/>
        <v>1182</v>
      </c>
      <c r="AA140" s="113">
        <f t="shared" si="52"/>
        <v>1182</v>
      </c>
      <c r="AB140" s="113">
        <f t="shared" si="52"/>
        <v>1182</v>
      </c>
      <c r="AC140" s="113">
        <f t="shared" si="52"/>
        <v>1182</v>
      </c>
      <c r="AD140" s="113">
        <f t="shared" si="52"/>
        <v>1182</v>
      </c>
      <c r="AE140" s="113">
        <f t="shared" si="52"/>
        <v>1182</v>
      </c>
      <c r="AF140" s="113">
        <f t="shared" si="52"/>
        <v>1182</v>
      </c>
      <c r="AG140" s="113">
        <f t="shared" si="52"/>
        <v>1182</v>
      </c>
      <c r="AH140" s="113">
        <f t="shared" si="52"/>
        <v>1182</v>
      </c>
      <c r="AI140" s="113">
        <f t="shared" si="52"/>
        <v>1182</v>
      </c>
      <c r="AJ140" s="113">
        <f t="shared" si="52"/>
        <v>1182</v>
      </c>
      <c r="AK140" s="113">
        <f t="shared" si="52"/>
        <v>1182</v>
      </c>
      <c r="AL140" s="113">
        <f t="shared" si="52"/>
        <v>1182</v>
      </c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</row>
    <row r="141" spans="1:70" ht="16.350000000000001" customHeight="1" x14ac:dyDescent="0.3">
      <c r="A141" s="114" t="s">
        <v>136</v>
      </c>
      <c r="B141" s="118"/>
      <c r="C141" s="114">
        <f>MAX(C137+C139-($B140+C138),0)</f>
        <v>0</v>
      </c>
      <c r="D141" s="114">
        <f t="shared" ref="D141:AL141" si="53">MAX(D137+D139-(C140+D138),0)</f>
        <v>0</v>
      </c>
      <c r="E141" s="114">
        <f t="shared" si="53"/>
        <v>0</v>
      </c>
      <c r="F141" s="114">
        <f t="shared" si="53"/>
        <v>0</v>
      </c>
      <c r="G141" s="114">
        <f t="shared" si="53"/>
        <v>62</v>
      </c>
      <c r="H141" s="114">
        <f t="shared" si="53"/>
        <v>0</v>
      </c>
      <c r="I141" s="114">
        <f t="shared" si="53"/>
        <v>1200</v>
      </c>
      <c r="J141" s="114">
        <f t="shared" si="53"/>
        <v>0</v>
      </c>
      <c r="K141" s="113">
        <f t="shared" si="53"/>
        <v>0</v>
      </c>
      <c r="L141" s="113">
        <f t="shared" si="53"/>
        <v>1200</v>
      </c>
      <c r="M141" s="113">
        <f t="shared" si="53"/>
        <v>0</v>
      </c>
      <c r="N141" s="113">
        <f t="shared" si="53"/>
        <v>2800</v>
      </c>
      <c r="O141" s="113">
        <f t="shared" si="53"/>
        <v>1200</v>
      </c>
      <c r="P141" s="113">
        <f t="shared" si="53"/>
        <v>1200</v>
      </c>
      <c r="Q141" s="113">
        <f t="shared" si="53"/>
        <v>1200</v>
      </c>
      <c r="R141" s="113">
        <f t="shared" si="53"/>
        <v>0</v>
      </c>
      <c r="S141" s="113">
        <f t="shared" si="53"/>
        <v>0</v>
      </c>
      <c r="T141" s="113">
        <f t="shared" si="53"/>
        <v>1200</v>
      </c>
      <c r="U141" s="113">
        <f t="shared" si="53"/>
        <v>0</v>
      </c>
      <c r="V141" s="113">
        <f t="shared" si="53"/>
        <v>0</v>
      </c>
      <c r="W141" s="113">
        <f t="shared" si="53"/>
        <v>1200</v>
      </c>
      <c r="X141" s="113">
        <f t="shared" si="53"/>
        <v>0</v>
      </c>
      <c r="Y141" s="113">
        <f t="shared" si="53"/>
        <v>0</v>
      </c>
      <c r="Z141" s="113">
        <f t="shared" si="53"/>
        <v>0</v>
      </c>
      <c r="AA141" s="113">
        <f t="shared" si="53"/>
        <v>1200</v>
      </c>
      <c r="AB141" s="113">
        <f t="shared" si="53"/>
        <v>0</v>
      </c>
      <c r="AC141" s="113">
        <f t="shared" si="53"/>
        <v>0</v>
      </c>
      <c r="AD141" s="113">
        <f t="shared" si="53"/>
        <v>0</v>
      </c>
      <c r="AE141" s="113">
        <f t="shared" si="53"/>
        <v>0</v>
      </c>
      <c r="AF141" s="113">
        <f t="shared" si="53"/>
        <v>1200</v>
      </c>
      <c r="AG141" s="113">
        <f t="shared" si="53"/>
        <v>0</v>
      </c>
      <c r="AH141" s="113">
        <f t="shared" si="53"/>
        <v>0</v>
      </c>
      <c r="AI141" s="113">
        <f t="shared" si="53"/>
        <v>0</v>
      </c>
      <c r="AJ141" s="113">
        <f t="shared" si="53"/>
        <v>1200</v>
      </c>
      <c r="AK141" s="113">
        <f t="shared" si="53"/>
        <v>0</v>
      </c>
      <c r="AL141" s="113">
        <f t="shared" si="53"/>
        <v>0</v>
      </c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</row>
    <row r="142" spans="1:70" ht="16.350000000000001" customHeight="1" x14ac:dyDescent="0.3">
      <c r="A142" s="140" t="s">
        <v>137</v>
      </c>
      <c r="B142" s="136"/>
      <c r="C142" s="114">
        <f t="shared" ref="C142:AL142" si="54">C141</f>
        <v>0</v>
      </c>
      <c r="D142" s="114">
        <f t="shared" si="54"/>
        <v>0</v>
      </c>
      <c r="E142" s="114">
        <f t="shared" si="54"/>
        <v>0</v>
      </c>
      <c r="F142" s="114">
        <f t="shared" si="54"/>
        <v>0</v>
      </c>
      <c r="G142" s="114">
        <f t="shared" si="54"/>
        <v>62</v>
      </c>
      <c r="H142" s="114">
        <f t="shared" si="54"/>
        <v>0</v>
      </c>
      <c r="I142" s="114">
        <f t="shared" si="54"/>
        <v>1200</v>
      </c>
      <c r="J142" s="114">
        <f t="shared" si="54"/>
        <v>0</v>
      </c>
      <c r="K142" s="113">
        <f t="shared" si="54"/>
        <v>0</v>
      </c>
      <c r="L142" s="113">
        <f t="shared" si="54"/>
        <v>1200</v>
      </c>
      <c r="M142" s="113">
        <f t="shared" si="54"/>
        <v>0</v>
      </c>
      <c r="N142" s="113">
        <f t="shared" si="54"/>
        <v>2800</v>
      </c>
      <c r="O142" s="113">
        <f t="shared" si="54"/>
        <v>1200</v>
      </c>
      <c r="P142" s="113">
        <f t="shared" si="54"/>
        <v>1200</v>
      </c>
      <c r="Q142" s="113">
        <f t="shared" si="54"/>
        <v>1200</v>
      </c>
      <c r="R142" s="113">
        <f t="shared" si="54"/>
        <v>0</v>
      </c>
      <c r="S142" s="113">
        <f t="shared" si="54"/>
        <v>0</v>
      </c>
      <c r="T142" s="113">
        <f t="shared" si="54"/>
        <v>1200</v>
      </c>
      <c r="U142" s="113">
        <f t="shared" si="54"/>
        <v>0</v>
      </c>
      <c r="V142" s="113">
        <f t="shared" si="54"/>
        <v>0</v>
      </c>
      <c r="W142" s="113">
        <f t="shared" si="54"/>
        <v>1200</v>
      </c>
      <c r="X142" s="113">
        <f t="shared" si="54"/>
        <v>0</v>
      </c>
      <c r="Y142" s="113">
        <f t="shared" si="54"/>
        <v>0</v>
      </c>
      <c r="Z142" s="113">
        <f t="shared" si="54"/>
        <v>0</v>
      </c>
      <c r="AA142" s="113">
        <f t="shared" si="54"/>
        <v>1200</v>
      </c>
      <c r="AB142" s="113">
        <f t="shared" si="54"/>
        <v>0</v>
      </c>
      <c r="AC142" s="113">
        <f t="shared" si="54"/>
        <v>0</v>
      </c>
      <c r="AD142" s="113">
        <f t="shared" si="54"/>
        <v>0</v>
      </c>
      <c r="AE142" s="113">
        <f t="shared" si="54"/>
        <v>0</v>
      </c>
      <c r="AF142" s="113">
        <f t="shared" si="54"/>
        <v>1200</v>
      </c>
      <c r="AG142" s="113">
        <f t="shared" si="54"/>
        <v>0</v>
      </c>
      <c r="AH142" s="113">
        <f t="shared" si="54"/>
        <v>0</v>
      </c>
      <c r="AI142" s="113">
        <f t="shared" si="54"/>
        <v>0</v>
      </c>
      <c r="AJ142" s="113">
        <f t="shared" si="54"/>
        <v>1200</v>
      </c>
      <c r="AK142" s="113">
        <f t="shared" si="54"/>
        <v>0</v>
      </c>
      <c r="AL142" s="113">
        <f t="shared" si="54"/>
        <v>0</v>
      </c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</row>
    <row r="143" spans="1:70" ht="16.350000000000001" customHeight="1" x14ac:dyDescent="0.3">
      <c r="A143" s="114" t="s">
        <v>138</v>
      </c>
      <c r="B143" s="118"/>
      <c r="C143" s="114">
        <f>IFERROR(INDEX($C$142:$AK$142,1,1+ROUND(INDEX($H$5:$V$5,1,MATCH("RM13",$H$3:$V$3,0))/7,0)),0)</f>
        <v>0</v>
      </c>
      <c r="D143" s="114">
        <f>IFERROR(INDEX($C$142:$AK$142,1,2+ROUND(INDEX($H$5:$V$5,1,MATCH("RM13",$H$3:$V$3,0))/7,0)),0)</f>
        <v>1200</v>
      </c>
      <c r="E143" s="114">
        <f>IFERROR(INDEX($C$142:$AK$142,1,3+ROUND(INDEX($H$5:$V$5,1,MATCH("RM13",$H$3:$V$3,0))/7,0)),0)</f>
        <v>0</v>
      </c>
      <c r="F143" s="114">
        <f>IFERROR(INDEX($C$142:$AK$142,1,4+ROUND(INDEX($H$5:$V$5,1,MATCH("RM13",$H$3:$V$3,0))/7,0)),0)</f>
        <v>0</v>
      </c>
      <c r="G143" s="114">
        <f>IFERROR(INDEX($C$142:$AK$142,1,5+ROUND(INDEX($H$5:$V$5,1,MATCH("RM13",$H$3:$V$3,0))/7,0)),0)</f>
        <v>1200</v>
      </c>
      <c r="H143" s="114">
        <f>IFERROR(INDEX($C$142:$AK$142,1,6+ROUND(INDEX($H$5:$V$5,1,MATCH("RM13",$H$3:$V$3,0))/7,0)),0)</f>
        <v>0</v>
      </c>
      <c r="I143" s="114">
        <f>IFERROR(INDEX($C$142:$AK$142,1,7+ROUND(INDEX($H$5:$V$5,1,MATCH("RM13",$H$3:$V$3,0))/7,0)),0)</f>
        <v>2800</v>
      </c>
      <c r="J143" s="114">
        <f>IFERROR(INDEX($C$142:$AK$142,1,8+ROUND(INDEX($H$5:$V$5,1,MATCH("RM13",$H$3:$V$3,0))/7,0)),0)</f>
        <v>1200</v>
      </c>
      <c r="K143" s="113">
        <f>IFERROR(INDEX($C$142:$AK$142,1,9+ROUND(INDEX($H$5:$V$5,1,MATCH("RM13",$H$3:$V$3,0))/7,0)),0)</f>
        <v>1200</v>
      </c>
      <c r="L143" s="113">
        <f>IFERROR(INDEX($C$142:$AK$142,1,10+ROUND(INDEX($H$5:$V$5,1,MATCH("RM13",$H$3:$V$3,0))/7,0)),0)</f>
        <v>1200</v>
      </c>
      <c r="M143" s="113">
        <f>IFERROR(INDEX($C$142:$AK$142,1,11+ROUND(INDEX($H$5:$V$5,1,MATCH("RM13",$H$3:$V$3,0))/7,0)),0)</f>
        <v>0</v>
      </c>
      <c r="N143" s="113">
        <f>IFERROR(INDEX($C$142:$AK$142,1,12+ROUND(INDEX($H$5:$V$5,1,MATCH("RM13",$H$3:$V$3,0))/7,0)),0)</f>
        <v>0</v>
      </c>
      <c r="O143" s="113">
        <f>IFERROR(INDEX($C$142:$AK$142,1,13+ROUND(INDEX($H$5:$V$5,1,MATCH("RM13",$H$3:$V$3,0))/7,0)),0)</f>
        <v>1200</v>
      </c>
      <c r="P143" s="113">
        <f>IFERROR(INDEX($C$142:$AK$142,1,14+ROUND(INDEX($H$5:$V$5,1,MATCH("RM13",$H$3:$V$3,0))/7,0)),0)</f>
        <v>0</v>
      </c>
      <c r="Q143" s="113">
        <f>IFERROR(INDEX($C$142:$AK$142,1,15+ROUND(INDEX($H$5:$V$5,1,MATCH("RM13",$H$3:$V$3,0))/7,0)),0)</f>
        <v>0</v>
      </c>
      <c r="R143" s="113">
        <f>IFERROR(INDEX($C$142:$AK$142,1,16+ROUND(INDEX($H$5:$V$5,1,MATCH("RM13",$H$3:$V$3,0))/7,0)),0)</f>
        <v>1200</v>
      </c>
      <c r="S143" s="113">
        <f>IFERROR(INDEX($C$142:$AK$142,1,17+ROUND(INDEX($H$5:$V$5,1,MATCH("RM13",$H$3:$V$3,0))/7,0)),0)</f>
        <v>0</v>
      </c>
      <c r="T143" s="113">
        <f>IFERROR(INDEX($C$142:$AK$142,1,18+ROUND(INDEX($H$5:$V$5,1,MATCH("RM13",$H$3:$V$3,0))/7,0)),0)</f>
        <v>0</v>
      </c>
      <c r="U143" s="113">
        <f>IFERROR(INDEX($C$142:$AK$142,1,19+ROUND(INDEX($H$5:$V$5,1,MATCH("RM13",$H$3:$V$3,0))/7,0)),0)</f>
        <v>0</v>
      </c>
      <c r="V143" s="113">
        <f>IFERROR(INDEX($C$142:$AK$142,1,20+ROUND(INDEX($H$5:$V$5,1,MATCH("RM13",$H$3:$V$3,0))/7,0)),0)</f>
        <v>1200</v>
      </c>
      <c r="W143" s="113">
        <f>IFERROR(INDEX($C$142:$AK$142,1,21+ROUND(INDEX($H$5:$V$5,1,MATCH("RM13",$H$3:$V$3,0))/7,0)),0)</f>
        <v>0</v>
      </c>
      <c r="X143" s="113">
        <f>IFERROR(INDEX($C$142:$AK$142,1,22+ROUND(INDEX($H$5:$V$5,1,MATCH("RM13",$H$3:$V$3,0))/7,0)),0)</f>
        <v>0</v>
      </c>
      <c r="Y143" s="113">
        <f>IFERROR(INDEX($C$142:$AK$142,1,23+ROUND(INDEX($H$5:$V$5,1,MATCH("RM13",$H$3:$V$3,0))/7,0)),0)</f>
        <v>0</v>
      </c>
      <c r="Z143" s="113">
        <f>IFERROR(INDEX($C$142:$AK$142,1,24+ROUND(INDEX($H$5:$V$5,1,MATCH("RM13",$H$3:$V$3,0))/7,0)),0)</f>
        <v>0</v>
      </c>
      <c r="AA143" s="113">
        <f>IFERROR(INDEX($C$142:$AK$142,1,25+ROUND(INDEX($H$5:$V$5,1,MATCH("RM13",$H$3:$V$3,0))/7,0)),0)</f>
        <v>1200</v>
      </c>
      <c r="AB143" s="113">
        <f>IFERROR(INDEX($C$142:$AK$142,1,26+ROUND(INDEX($H$5:$V$5,1,MATCH("RM13",$H$3:$V$3,0))/7,0)),0)</f>
        <v>0</v>
      </c>
      <c r="AC143" s="113">
        <f>IFERROR(INDEX($C$142:$AK$142,1,27+ROUND(INDEX($H$5:$V$5,1,MATCH("RM13",$H$3:$V$3,0))/7,0)),0)</f>
        <v>0</v>
      </c>
      <c r="AD143" s="113">
        <f>IFERROR(INDEX($C$142:$AK$142,1,28+ROUND(INDEX($H$5:$V$5,1,MATCH("RM13",$H$3:$V$3,0))/7,0)),0)</f>
        <v>0</v>
      </c>
      <c r="AE143" s="113">
        <f>IFERROR(INDEX($C$142:$AK$142,1,29+ROUND(INDEX($H$5:$V$5,1,MATCH("RM13",$H$3:$V$3,0))/7,0)),0)</f>
        <v>1200</v>
      </c>
      <c r="AF143" s="113">
        <f>IFERROR(INDEX($C$142:$AK$142,1,30+ROUND(INDEX($H$5:$V$5,1,MATCH("RM13",$H$3:$V$3,0))/7,0)),0)</f>
        <v>0</v>
      </c>
      <c r="AG143" s="113">
        <f>IFERROR(INDEX($C$142:$AK$142,1,31+ROUND(INDEX($H$5:$V$5,1,MATCH("RM13",$H$3:$V$3,0))/7,0)),0)</f>
        <v>0</v>
      </c>
      <c r="AH143" s="113">
        <f>IFERROR(INDEX($C$142:$AK$142,1,32+ROUND(INDEX($H$5:$V$5,1,MATCH("RM13",$H$3:$V$3,0))/7,0)),0)</f>
        <v>0</v>
      </c>
      <c r="AI143" s="113">
        <f>IFERROR(INDEX($C$142:$AK$142,1,33+ROUND(INDEX($H$5:$V$5,1,MATCH("RM13",$H$3:$V$3,0))/7,0)),0)</f>
        <v>0</v>
      </c>
      <c r="AJ143" s="113">
        <f>IFERROR(INDEX($C$142:$AK$142,1,34+ROUND(INDEX($H$5:$V$5,1,MATCH("RM13",$H$3:$V$3,0))/7,0)),0)</f>
        <v>0</v>
      </c>
      <c r="AK143" s="113">
        <f>IFERROR(INDEX($C$142:$AK$142,1,35+ROUND(INDEX($H$5:$V$5,1,MATCH("RM13",$H$3:$V$3,0))/7,0)),0)</f>
        <v>0</v>
      </c>
      <c r="AL143" s="113">
        <f>IFERROR(INDEX($C$142:$AK$142,1,35+ROUND(INDEX($H$5:$V$5,1,MATCH("RM13",$H$3:$V$3,0))/7,0)),0)</f>
        <v>0</v>
      </c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</row>
    <row r="144" spans="1:70" x14ac:dyDescent="0.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</row>
    <row r="145" spans="1:70" ht="16.350000000000001" customHeight="1" x14ac:dyDescent="0.3">
      <c r="A145" s="47" t="s">
        <v>151</v>
      </c>
      <c r="B145" s="47" t="s">
        <v>132</v>
      </c>
      <c r="C145" s="137" t="s">
        <v>0</v>
      </c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6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</row>
    <row r="146" spans="1:70" ht="16.350000000000001" customHeight="1" x14ac:dyDescent="0.3">
      <c r="A146" s="47" t="s">
        <v>133</v>
      </c>
      <c r="B146" s="47" t="str">
        <f>"LT: "&amp;ROUND(INDEX($H$5:$V$5,1,MATCH("RM14",$H$3:$V$3,0))/7,0)</f>
        <v>LT: 9</v>
      </c>
      <c r="C146" s="48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 s="104">
        <v>46370</v>
      </c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</row>
    <row r="147" spans="1:70" ht="16.350000000000001" customHeight="1" x14ac:dyDescent="0.3">
      <c r="A147" s="51" t="s">
        <v>134</v>
      </c>
      <c r="B147" s="104"/>
      <c r="C147" s="114">
        <f t="array" ref="C147:AL147">TRANSPOSE(BOM_demand!$U$2:$U$37)</f>
        <v>15000</v>
      </c>
      <c r="D147" s="114">
        <v>2940</v>
      </c>
      <c r="E147" s="114">
        <v>12640</v>
      </c>
      <c r="F147" s="114">
        <v>13500</v>
      </c>
      <c r="G147" s="114">
        <v>11510</v>
      </c>
      <c r="H147" s="114">
        <v>15000</v>
      </c>
      <c r="I147" s="114">
        <v>13500</v>
      </c>
      <c r="J147" s="114">
        <v>15000</v>
      </c>
      <c r="K147" s="114">
        <v>15000</v>
      </c>
      <c r="L147" s="114">
        <v>13500</v>
      </c>
      <c r="M147" s="114">
        <v>15000</v>
      </c>
      <c r="N147" s="114">
        <v>11500</v>
      </c>
      <c r="O147" s="114">
        <v>13500</v>
      </c>
      <c r="P147" s="114">
        <v>13500</v>
      </c>
      <c r="Q147" s="114">
        <v>13500</v>
      </c>
      <c r="R147" s="114">
        <v>2380</v>
      </c>
      <c r="S147" s="114">
        <v>6490</v>
      </c>
      <c r="T147" s="114">
        <v>6500</v>
      </c>
      <c r="U147" s="114">
        <v>6490</v>
      </c>
      <c r="V147" s="114">
        <v>7530</v>
      </c>
      <c r="W147" s="114">
        <v>7530</v>
      </c>
      <c r="X147" s="114">
        <v>7530</v>
      </c>
      <c r="Y147" s="114">
        <v>7530</v>
      </c>
      <c r="Z147" s="114">
        <v>7230</v>
      </c>
      <c r="AA147" s="114">
        <v>0</v>
      </c>
      <c r="AB147" s="114">
        <v>0</v>
      </c>
      <c r="AC147" s="114">
        <v>7240</v>
      </c>
      <c r="AD147" s="114">
        <v>7240</v>
      </c>
      <c r="AE147" s="114">
        <v>7240</v>
      </c>
      <c r="AF147" s="114">
        <v>8770</v>
      </c>
      <c r="AG147" s="114">
        <v>8780</v>
      </c>
      <c r="AH147" s="114">
        <v>8780</v>
      </c>
      <c r="AI147" s="114">
        <v>8780</v>
      </c>
      <c r="AJ147" s="114">
        <v>9640</v>
      </c>
      <c r="AK147" s="114">
        <v>9650</v>
      </c>
      <c r="AL147" s="104">
        <v>9640</v>
      </c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</row>
    <row r="148" spans="1:70" ht="16.350000000000001" customHeight="1" x14ac:dyDescent="0.3">
      <c r="A148" s="140" t="s">
        <v>128</v>
      </c>
      <c r="B148" s="136"/>
      <c r="C148" s="114">
        <f>IFERROR(INDEX($H$7:$V$7,1,MATCH("RM14",$H$3:$V$3,0)),0)</f>
        <v>0</v>
      </c>
      <c r="D148" s="114">
        <f>0</f>
        <v>0</v>
      </c>
      <c r="E148" s="114">
        <f>0</f>
        <v>0</v>
      </c>
      <c r="F148" s="114">
        <f>0</f>
        <v>0</v>
      </c>
      <c r="G148" s="114">
        <f>0</f>
        <v>0</v>
      </c>
      <c r="H148" s="114">
        <f>0</f>
        <v>0</v>
      </c>
      <c r="I148" s="114">
        <f>0</f>
        <v>0</v>
      </c>
      <c r="J148" s="114">
        <f>0</f>
        <v>0</v>
      </c>
      <c r="K148" s="113">
        <f>0</f>
        <v>0</v>
      </c>
      <c r="L148" s="113">
        <f>0</f>
        <v>0</v>
      </c>
      <c r="M148" s="113">
        <f>0</f>
        <v>0</v>
      </c>
      <c r="N148" s="113">
        <f>0</f>
        <v>0</v>
      </c>
      <c r="O148" s="113">
        <f>0</f>
        <v>0</v>
      </c>
      <c r="P148" s="113">
        <f>0</f>
        <v>0</v>
      </c>
      <c r="Q148" s="113">
        <f>0</f>
        <v>0</v>
      </c>
      <c r="R148" s="113">
        <f>0</f>
        <v>0</v>
      </c>
      <c r="S148" s="113">
        <f>0</f>
        <v>0</v>
      </c>
      <c r="T148" s="113">
        <f>0</f>
        <v>0</v>
      </c>
      <c r="U148" s="113">
        <f>0</f>
        <v>0</v>
      </c>
      <c r="V148" s="113">
        <f>0</f>
        <v>0</v>
      </c>
      <c r="W148" s="113">
        <f>0</f>
        <v>0</v>
      </c>
      <c r="X148" s="113">
        <f>0</f>
        <v>0</v>
      </c>
      <c r="Y148" s="113">
        <f>0</f>
        <v>0</v>
      </c>
      <c r="Z148" s="113">
        <f>0</f>
        <v>0</v>
      </c>
      <c r="AA148" s="113">
        <f>0</f>
        <v>0</v>
      </c>
      <c r="AB148" s="113">
        <f>0</f>
        <v>0</v>
      </c>
      <c r="AC148" s="113">
        <f>0</f>
        <v>0</v>
      </c>
      <c r="AD148" s="113">
        <f>0</f>
        <v>0</v>
      </c>
      <c r="AE148" s="113">
        <f>0</f>
        <v>0</v>
      </c>
      <c r="AF148" s="113">
        <f>0</f>
        <v>0</v>
      </c>
      <c r="AG148" s="113">
        <f>0</f>
        <v>0</v>
      </c>
      <c r="AH148" s="113">
        <f>0</f>
        <v>0</v>
      </c>
      <c r="AI148" s="113">
        <f>0</f>
        <v>0</v>
      </c>
      <c r="AJ148" s="113">
        <f>0</f>
        <v>0</v>
      </c>
      <c r="AK148" s="113">
        <f>0</f>
        <v>0</v>
      </c>
      <c r="AL148" s="113">
        <f>0</f>
        <v>0</v>
      </c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</row>
    <row r="149" spans="1:70" ht="16.350000000000001" customHeight="1" x14ac:dyDescent="0.3">
      <c r="A149" s="114" t="s">
        <v>129</v>
      </c>
      <c r="B149" s="118">
        <f>IFERROR(INDEX($H$8:$V$8,1,MATCH("RM14",$H$3:$V$3,0)),0)</f>
        <v>19093</v>
      </c>
      <c r="C149" s="114">
        <f t="shared" ref="C149:AL149" si="55">$B149</f>
        <v>19093</v>
      </c>
      <c r="D149" s="114">
        <f t="shared" si="55"/>
        <v>19093</v>
      </c>
      <c r="E149" s="114">
        <f t="shared" si="55"/>
        <v>19093</v>
      </c>
      <c r="F149" s="114">
        <f t="shared" si="55"/>
        <v>19093</v>
      </c>
      <c r="G149" s="114">
        <f t="shared" si="55"/>
        <v>19093</v>
      </c>
      <c r="H149" s="114">
        <f t="shared" si="55"/>
        <v>19093</v>
      </c>
      <c r="I149" s="114">
        <f t="shared" si="55"/>
        <v>19093</v>
      </c>
      <c r="J149" s="114">
        <f t="shared" si="55"/>
        <v>19093</v>
      </c>
      <c r="K149" s="113">
        <f t="shared" si="55"/>
        <v>19093</v>
      </c>
      <c r="L149" s="113">
        <f t="shared" si="55"/>
        <v>19093</v>
      </c>
      <c r="M149" s="113">
        <f t="shared" si="55"/>
        <v>19093</v>
      </c>
      <c r="N149" s="113">
        <f t="shared" si="55"/>
        <v>19093</v>
      </c>
      <c r="O149" s="113">
        <f t="shared" si="55"/>
        <v>19093</v>
      </c>
      <c r="P149" s="113">
        <f t="shared" si="55"/>
        <v>19093</v>
      </c>
      <c r="Q149" s="113">
        <f t="shared" si="55"/>
        <v>19093</v>
      </c>
      <c r="R149" s="113">
        <f t="shared" si="55"/>
        <v>19093</v>
      </c>
      <c r="S149" s="113">
        <f t="shared" si="55"/>
        <v>19093</v>
      </c>
      <c r="T149" s="113">
        <f t="shared" si="55"/>
        <v>19093</v>
      </c>
      <c r="U149" s="113">
        <f t="shared" si="55"/>
        <v>19093</v>
      </c>
      <c r="V149" s="113">
        <f t="shared" si="55"/>
        <v>19093</v>
      </c>
      <c r="W149" s="113">
        <f t="shared" si="55"/>
        <v>19093</v>
      </c>
      <c r="X149" s="113">
        <f t="shared" si="55"/>
        <v>19093</v>
      </c>
      <c r="Y149" s="113">
        <f t="shared" si="55"/>
        <v>19093</v>
      </c>
      <c r="Z149" s="113">
        <f t="shared" si="55"/>
        <v>19093</v>
      </c>
      <c r="AA149" s="113">
        <f t="shared" si="55"/>
        <v>19093</v>
      </c>
      <c r="AB149" s="113">
        <f t="shared" si="55"/>
        <v>19093</v>
      </c>
      <c r="AC149" s="113">
        <f t="shared" si="55"/>
        <v>19093</v>
      </c>
      <c r="AD149" s="113">
        <f t="shared" si="55"/>
        <v>19093</v>
      </c>
      <c r="AE149" s="113">
        <f t="shared" si="55"/>
        <v>19093</v>
      </c>
      <c r="AF149" s="113">
        <f t="shared" si="55"/>
        <v>19093</v>
      </c>
      <c r="AG149" s="113">
        <f t="shared" si="55"/>
        <v>19093</v>
      </c>
      <c r="AH149" s="113">
        <f t="shared" si="55"/>
        <v>19093</v>
      </c>
      <c r="AI149" s="113">
        <f t="shared" si="55"/>
        <v>19093</v>
      </c>
      <c r="AJ149" s="113">
        <f t="shared" si="55"/>
        <v>19093</v>
      </c>
      <c r="AK149" s="113">
        <f t="shared" si="55"/>
        <v>19093</v>
      </c>
      <c r="AL149" s="113">
        <f t="shared" si="55"/>
        <v>19093</v>
      </c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</row>
    <row r="150" spans="1:70" ht="16.350000000000001" customHeight="1" x14ac:dyDescent="0.3">
      <c r="A150" s="114" t="s">
        <v>135</v>
      </c>
      <c r="B150" s="118">
        <f>IFERROR(INDEX($H$6:$V$6,1,MATCH("RM14",$H$3:$V$3,0)),0)</f>
        <v>130000</v>
      </c>
      <c r="C150" s="114">
        <f>$B150+C148+C152-C147</f>
        <v>115000</v>
      </c>
      <c r="D150" s="114">
        <f t="shared" ref="D150:AL150" si="56">C150+D148+D152-D147</f>
        <v>112060</v>
      </c>
      <c r="E150" s="114">
        <f t="shared" si="56"/>
        <v>99420</v>
      </c>
      <c r="F150" s="114">
        <f t="shared" si="56"/>
        <v>85920</v>
      </c>
      <c r="G150" s="114">
        <f t="shared" si="56"/>
        <v>74410</v>
      </c>
      <c r="H150" s="114">
        <f t="shared" si="56"/>
        <v>59410</v>
      </c>
      <c r="I150" s="114">
        <f t="shared" si="56"/>
        <v>45910</v>
      </c>
      <c r="J150" s="114">
        <f t="shared" si="56"/>
        <v>30910</v>
      </c>
      <c r="K150" s="113">
        <f t="shared" si="56"/>
        <v>19093</v>
      </c>
      <c r="L150" s="113">
        <f t="shared" si="56"/>
        <v>19093</v>
      </c>
      <c r="M150" s="113">
        <f t="shared" si="56"/>
        <v>19093</v>
      </c>
      <c r="N150" s="113">
        <f t="shared" si="56"/>
        <v>19093</v>
      </c>
      <c r="O150" s="113">
        <f t="shared" si="56"/>
        <v>19093</v>
      </c>
      <c r="P150" s="113">
        <f t="shared" si="56"/>
        <v>19093</v>
      </c>
      <c r="Q150" s="113">
        <f t="shared" si="56"/>
        <v>19093</v>
      </c>
      <c r="R150" s="113">
        <f t="shared" si="56"/>
        <v>19093</v>
      </c>
      <c r="S150" s="113">
        <f t="shared" si="56"/>
        <v>19093</v>
      </c>
      <c r="T150" s="113">
        <f t="shared" si="56"/>
        <v>19093</v>
      </c>
      <c r="U150" s="113">
        <f t="shared" si="56"/>
        <v>19093</v>
      </c>
      <c r="V150" s="113">
        <f t="shared" si="56"/>
        <v>19093</v>
      </c>
      <c r="W150" s="113">
        <f t="shared" si="56"/>
        <v>19093</v>
      </c>
      <c r="X150" s="113">
        <f t="shared" si="56"/>
        <v>19093</v>
      </c>
      <c r="Y150" s="113">
        <f t="shared" si="56"/>
        <v>19093</v>
      </c>
      <c r="Z150" s="113">
        <f t="shared" si="56"/>
        <v>19093</v>
      </c>
      <c r="AA150" s="113">
        <f t="shared" si="56"/>
        <v>19093</v>
      </c>
      <c r="AB150" s="113">
        <f t="shared" si="56"/>
        <v>19093</v>
      </c>
      <c r="AC150" s="113">
        <f t="shared" si="56"/>
        <v>19093</v>
      </c>
      <c r="AD150" s="113">
        <f t="shared" si="56"/>
        <v>19093</v>
      </c>
      <c r="AE150" s="113">
        <f t="shared" si="56"/>
        <v>19093</v>
      </c>
      <c r="AF150" s="113">
        <f t="shared" si="56"/>
        <v>19093</v>
      </c>
      <c r="AG150" s="113">
        <f t="shared" si="56"/>
        <v>19093</v>
      </c>
      <c r="AH150" s="113">
        <f t="shared" si="56"/>
        <v>19093</v>
      </c>
      <c r="AI150" s="113">
        <f t="shared" si="56"/>
        <v>19093</v>
      </c>
      <c r="AJ150" s="113">
        <f t="shared" si="56"/>
        <v>19093</v>
      </c>
      <c r="AK150" s="113">
        <f t="shared" si="56"/>
        <v>19093</v>
      </c>
      <c r="AL150" s="113">
        <f t="shared" si="56"/>
        <v>19093</v>
      </c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</row>
    <row r="151" spans="1:70" ht="16.350000000000001" customHeight="1" x14ac:dyDescent="0.3">
      <c r="A151" s="114" t="s">
        <v>136</v>
      </c>
      <c r="B151" s="118"/>
      <c r="C151" s="114">
        <f>MAX(C147+C149-($B150+C148),0)</f>
        <v>0</v>
      </c>
      <c r="D151" s="114">
        <f t="shared" ref="D151:AL151" si="57">MAX(D147+D149-(C150+D148),0)</f>
        <v>0</v>
      </c>
      <c r="E151" s="114">
        <f t="shared" si="57"/>
        <v>0</v>
      </c>
      <c r="F151" s="114">
        <f t="shared" si="57"/>
        <v>0</v>
      </c>
      <c r="G151" s="114">
        <f t="shared" si="57"/>
        <v>0</v>
      </c>
      <c r="H151" s="114">
        <f t="shared" si="57"/>
        <v>0</v>
      </c>
      <c r="I151" s="114">
        <f t="shared" si="57"/>
        <v>0</v>
      </c>
      <c r="J151" s="114">
        <f t="shared" si="57"/>
        <v>0</v>
      </c>
      <c r="K151" s="113">
        <f t="shared" si="57"/>
        <v>3183</v>
      </c>
      <c r="L151" s="113">
        <f t="shared" si="57"/>
        <v>13500</v>
      </c>
      <c r="M151" s="113">
        <f t="shared" si="57"/>
        <v>15000</v>
      </c>
      <c r="N151" s="113">
        <f t="shared" si="57"/>
        <v>11500</v>
      </c>
      <c r="O151" s="113">
        <f t="shared" si="57"/>
        <v>13500</v>
      </c>
      <c r="P151" s="113">
        <f t="shared" si="57"/>
        <v>13500</v>
      </c>
      <c r="Q151" s="113">
        <f t="shared" si="57"/>
        <v>13500</v>
      </c>
      <c r="R151" s="113">
        <f t="shared" si="57"/>
        <v>2380</v>
      </c>
      <c r="S151" s="113">
        <f t="shared" si="57"/>
        <v>6490</v>
      </c>
      <c r="T151" s="113">
        <f t="shared" si="57"/>
        <v>6500</v>
      </c>
      <c r="U151" s="113">
        <f t="shared" si="57"/>
        <v>6490</v>
      </c>
      <c r="V151" s="113">
        <f t="shared" si="57"/>
        <v>7530</v>
      </c>
      <c r="W151" s="113">
        <f t="shared" si="57"/>
        <v>7530</v>
      </c>
      <c r="X151" s="113">
        <f t="shared" si="57"/>
        <v>7530</v>
      </c>
      <c r="Y151" s="113">
        <f t="shared" si="57"/>
        <v>7530</v>
      </c>
      <c r="Z151" s="113">
        <f t="shared" si="57"/>
        <v>7230</v>
      </c>
      <c r="AA151" s="113">
        <f t="shared" si="57"/>
        <v>0</v>
      </c>
      <c r="AB151" s="113">
        <f t="shared" si="57"/>
        <v>0</v>
      </c>
      <c r="AC151" s="113">
        <f t="shared" si="57"/>
        <v>7240</v>
      </c>
      <c r="AD151" s="113">
        <f t="shared" si="57"/>
        <v>7240</v>
      </c>
      <c r="AE151" s="113">
        <f t="shared" si="57"/>
        <v>7240</v>
      </c>
      <c r="AF151" s="113">
        <f t="shared" si="57"/>
        <v>8770</v>
      </c>
      <c r="AG151" s="113">
        <f t="shared" si="57"/>
        <v>8780</v>
      </c>
      <c r="AH151" s="113">
        <f t="shared" si="57"/>
        <v>8780</v>
      </c>
      <c r="AI151" s="113">
        <f t="shared" si="57"/>
        <v>8780</v>
      </c>
      <c r="AJ151" s="113">
        <f t="shared" si="57"/>
        <v>9640</v>
      </c>
      <c r="AK151" s="113">
        <f t="shared" si="57"/>
        <v>9650</v>
      </c>
      <c r="AL151" s="113">
        <f t="shared" si="57"/>
        <v>9640</v>
      </c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</row>
    <row r="152" spans="1:70" ht="16.350000000000001" customHeight="1" x14ac:dyDescent="0.3">
      <c r="A152" s="140" t="s">
        <v>137</v>
      </c>
      <c r="B152" s="136"/>
      <c r="C152" s="114">
        <f t="shared" ref="C152:AL152" si="58">C151</f>
        <v>0</v>
      </c>
      <c r="D152" s="114">
        <f t="shared" si="58"/>
        <v>0</v>
      </c>
      <c r="E152" s="114">
        <f t="shared" si="58"/>
        <v>0</v>
      </c>
      <c r="F152" s="114">
        <f t="shared" si="58"/>
        <v>0</v>
      </c>
      <c r="G152" s="114">
        <f t="shared" si="58"/>
        <v>0</v>
      </c>
      <c r="H152" s="114">
        <f t="shared" si="58"/>
        <v>0</v>
      </c>
      <c r="I152" s="114">
        <f t="shared" si="58"/>
        <v>0</v>
      </c>
      <c r="J152" s="114">
        <f t="shared" si="58"/>
        <v>0</v>
      </c>
      <c r="K152" s="113">
        <f t="shared" si="58"/>
        <v>3183</v>
      </c>
      <c r="L152" s="113">
        <f t="shared" si="58"/>
        <v>13500</v>
      </c>
      <c r="M152" s="113">
        <f t="shared" si="58"/>
        <v>15000</v>
      </c>
      <c r="N152" s="113">
        <f t="shared" si="58"/>
        <v>11500</v>
      </c>
      <c r="O152" s="113">
        <f t="shared" si="58"/>
        <v>13500</v>
      </c>
      <c r="P152" s="113">
        <f t="shared" si="58"/>
        <v>13500</v>
      </c>
      <c r="Q152" s="113">
        <f t="shared" si="58"/>
        <v>13500</v>
      </c>
      <c r="R152" s="113">
        <f t="shared" si="58"/>
        <v>2380</v>
      </c>
      <c r="S152" s="113">
        <f t="shared" si="58"/>
        <v>6490</v>
      </c>
      <c r="T152" s="113">
        <f t="shared" si="58"/>
        <v>6500</v>
      </c>
      <c r="U152" s="113">
        <f t="shared" si="58"/>
        <v>6490</v>
      </c>
      <c r="V152" s="113">
        <f t="shared" si="58"/>
        <v>7530</v>
      </c>
      <c r="W152" s="113">
        <f t="shared" si="58"/>
        <v>7530</v>
      </c>
      <c r="X152" s="113">
        <f t="shared" si="58"/>
        <v>7530</v>
      </c>
      <c r="Y152" s="113">
        <f t="shared" si="58"/>
        <v>7530</v>
      </c>
      <c r="Z152" s="113">
        <f t="shared" si="58"/>
        <v>7230</v>
      </c>
      <c r="AA152" s="113">
        <f t="shared" si="58"/>
        <v>0</v>
      </c>
      <c r="AB152" s="113">
        <f t="shared" si="58"/>
        <v>0</v>
      </c>
      <c r="AC152" s="113">
        <f t="shared" si="58"/>
        <v>7240</v>
      </c>
      <c r="AD152" s="113">
        <f t="shared" si="58"/>
        <v>7240</v>
      </c>
      <c r="AE152" s="113">
        <f t="shared" si="58"/>
        <v>7240</v>
      </c>
      <c r="AF152" s="113">
        <f t="shared" si="58"/>
        <v>8770</v>
      </c>
      <c r="AG152" s="113">
        <f t="shared" si="58"/>
        <v>8780</v>
      </c>
      <c r="AH152" s="113">
        <f t="shared" si="58"/>
        <v>8780</v>
      </c>
      <c r="AI152" s="113">
        <f t="shared" si="58"/>
        <v>8780</v>
      </c>
      <c r="AJ152" s="113">
        <f t="shared" si="58"/>
        <v>9640</v>
      </c>
      <c r="AK152" s="113">
        <f t="shared" si="58"/>
        <v>9650</v>
      </c>
      <c r="AL152" s="113">
        <f t="shared" si="58"/>
        <v>9640</v>
      </c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</row>
    <row r="153" spans="1:70" ht="16.350000000000001" customHeight="1" x14ac:dyDescent="0.3">
      <c r="A153" s="114" t="s">
        <v>138</v>
      </c>
      <c r="B153" s="118"/>
      <c r="C153" s="114">
        <f>IFERROR(INDEX($C$152:$AK$152,1,1+ROUND(INDEX($H$5:$V$5,1,MATCH("RM14",$H$3:$V$3,0))/7,0)),0)</f>
        <v>13500</v>
      </c>
      <c r="D153" s="114">
        <f>IFERROR(INDEX($C$152:$AK$152,1,2+ROUND(INDEX($H$5:$V$5,1,MATCH("RM14",$H$3:$V$3,0))/7,0)),0)</f>
        <v>15000</v>
      </c>
      <c r="E153" s="114">
        <f>IFERROR(INDEX($C$152:$AK$152,1,3+ROUND(INDEX($H$5:$V$5,1,MATCH("RM14",$H$3:$V$3,0))/7,0)),0)</f>
        <v>11500</v>
      </c>
      <c r="F153" s="114">
        <f>IFERROR(INDEX($C$152:$AK$152,1,4+ROUND(INDEX($H$5:$V$5,1,MATCH("RM14",$H$3:$V$3,0))/7,0)),0)</f>
        <v>13500</v>
      </c>
      <c r="G153" s="114">
        <f>IFERROR(INDEX($C$152:$AK$152,1,5+ROUND(INDEX($H$5:$V$5,1,MATCH("RM14",$H$3:$V$3,0))/7,0)),0)</f>
        <v>13500</v>
      </c>
      <c r="H153" s="114">
        <f>IFERROR(INDEX($C$152:$AK$152,1,6+ROUND(INDEX($H$5:$V$5,1,MATCH("RM14",$H$3:$V$3,0))/7,0)),0)</f>
        <v>13500</v>
      </c>
      <c r="I153" s="114">
        <f>IFERROR(INDEX($C$152:$AK$152,1,7+ROUND(INDEX($H$5:$V$5,1,MATCH("RM14",$H$3:$V$3,0))/7,0)),0)</f>
        <v>2380</v>
      </c>
      <c r="J153" s="114">
        <f>IFERROR(INDEX($C$152:$AK$152,1,8+ROUND(INDEX($H$5:$V$5,1,MATCH("RM14",$H$3:$V$3,0))/7,0)),0)</f>
        <v>6490</v>
      </c>
      <c r="K153" s="113">
        <f>IFERROR(INDEX($C$152:$AK$152,1,9+ROUND(INDEX($H$5:$V$5,1,MATCH("RM14",$H$3:$V$3,0))/7,0)),0)</f>
        <v>6500</v>
      </c>
      <c r="L153" s="113">
        <f>IFERROR(INDEX($C$152:$AK$152,1,10+ROUND(INDEX($H$5:$V$5,1,MATCH("RM14",$H$3:$V$3,0))/7,0)),0)</f>
        <v>6490</v>
      </c>
      <c r="M153" s="113">
        <f>IFERROR(INDEX($C$152:$AK$152,1,11+ROUND(INDEX($H$5:$V$5,1,MATCH("RM14",$H$3:$V$3,0))/7,0)),0)</f>
        <v>7530</v>
      </c>
      <c r="N153" s="113">
        <f>IFERROR(INDEX($C$152:$AK$152,1,12+ROUND(INDEX($H$5:$V$5,1,MATCH("RM14",$H$3:$V$3,0))/7,0)),0)</f>
        <v>7530</v>
      </c>
      <c r="O153" s="113">
        <f>IFERROR(INDEX($C$152:$AK$152,1,13+ROUND(INDEX($H$5:$V$5,1,MATCH("RM14",$H$3:$V$3,0))/7,0)),0)</f>
        <v>7530</v>
      </c>
      <c r="P153" s="113">
        <f>IFERROR(INDEX($C$152:$AK$152,1,14+ROUND(INDEX($H$5:$V$5,1,MATCH("RM14",$H$3:$V$3,0))/7,0)),0)</f>
        <v>7530</v>
      </c>
      <c r="Q153" s="113">
        <f>IFERROR(INDEX($C$152:$AK$152,1,15+ROUND(INDEX($H$5:$V$5,1,MATCH("RM14",$H$3:$V$3,0))/7,0)),0)</f>
        <v>7230</v>
      </c>
      <c r="R153" s="113">
        <f>IFERROR(INDEX($C$152:$AK$152,1,16+ROUND(INDEX($H$5:$V$5,1,MATCH("RM14",$H$3:$V$3,0))/7,0)),0)</f>
        <v>0</v>
      </c>
      <c r="S153" s="113">
        <f>IFERROR(INDEX($C$152:$AK$152,1,17+ROUND(INDEX($H$5:$V$5,1,MATCH("RM14",$H$3:$V$3,0))/7,0)),0)</f>
        <v>0</v>
      </c>
      <c r="T153" s="113">
        <f>IFERROR(INDEX($C$152:$AK$152,1,18+ROUND(INDEX($H$5:$V$5,1,MATCH("RM14",$H$3:$V$3,0))/7,0)),0)</f>
        <v>7240</v>
      </c>
      <c r="U153" s="113">
        <f>IFERROR(INDEX($C$152:$AK$152,1,19+ROUND(INDEX($H$5:$V$5,1,MATCH("RM14",$H$3:$V$3,0))/7,0)),0)</f>
        <v>7240</v>
      </c>
      <c r="V153" s="113">
        <f>IFERROR(INDEX($C$152:$AK$152,1,20+ROUND(INDEX($H$5:$V$5,1,MATCH("RM14",$H$3:$V$3,0))/7,0)),0)</f>
        <v>7240</v>
      </c>
      <c r="W153" s="113">
        <f>IFERROR(INDEX($C$152:$AK$152,1,21+ROUND(INDEX($H$5:$V$5,1,MATCH("RM14",$H$3:$V$3,0))/7,0)),0)</f>
        <v>8770</v>
      </c>
      <c r="X153" s="113">
        <f>IFERROR(INDEX($C$152:$AK$152,1,22+ROUND(INDEX($H$5:$V$5,1,MATCH("RM14",$H$3:$V$3,0))/7,0)),0)</f>
        <v>8780</v>
      </c>
      <c r="Y153" s="113">
        <f>IFERROR(INDEX($C$152:$AK$152,1,23+ROUND(INDEX($H$5:$V$5,1,MATCH("RM14",$H$3:$V$3,0))/7,0)),0)</f>
        <v>8780</v>
      </c>
      <c r="Z153" s="113">
        <f>IFERROR(INDEX($C$152:$AK$152,1,24+ROUND(INDEX($H$5:$V$5,1,MATCH("RM14",$H$3:$V$3,0))/7,0)),0)</f>
        <v>8780</v>
      </c>
      <c r="AA153" s="113">
        <f>IFERROR(INDEX($C$152:$AK$152,1,25+ROUND(INDEX($H$5:$V$5,1,MATCH("RM14",$H$3:$V$3,0))/7,0)),0)</f>
        <v>9640</v>
      </c>
      <c r="AB153" s="113">
        <f>IFERROR(INDEX($C$152:$AK$152,1,26+ROUND(INDEX($H$5:$V$5,1,MATCH("RM14",$H$3:$V$3,0))/7,0)),0)</f>
        <v>9650</v>
      </c>
      <c r="AC153" s="113">
        <f>IFERROR(INDEX($C$152:$AK$152,1,27+ROUND(INDEX($H$5:$V$5,1,MATCH("RM14",$H$3:$V$3,0))/7,0)),0)</f>
        <v>0</v>
      </c>
      <c r="AD153" s="113">
        <f>IFERROR(INDEX($C$152:$AK$152,1,28+ROUND(INDEX($H$5:$V$5,1,MATCH("RM14",$H$3:$V$3,0))/7,0)),0)</f>
        <v>0</v>
      </c>
      <c r="AE153" s="113">
        <f>IFERROR(INDEX($C$152:$AK$152,1,29+ROUND(INDEX($H$5:$V$5,1,MATCH("RM14",$H$3:$V$3,0))/7,0)),0)</f>
        <v>0</v>
      </c>
      <c r="AF153" s="113">
        <f>IFERROR(INDEX($C$152:$AK$152,1,30+ROUND(INDEX($H$5:$V$5,1,MATCH("RM14",$H$3:$V$3,0))/7,0)),0)</f>
        <v>0</v>
      </c>
      <c r="AG153" s="113">
        <f>IFERROR(INDEX($C$152:$AK$152,1,31+ROUND(INDEX($H$5:$V$5,1,MATCH("RM14",$H$3:$V$3,0))/7,0)),0)</f>
        <v>0</v>
      </c>
      <c r="AH153" s="113">
        <f>IFERROR(INDEX($C$152:$AK$152,1,32+ROUND(INDEX($H$5:$V$5,1,MATCH("RM14",$H$3:$V$3,0))/7,0)),0)</f>
        <v>0</v>
      </c>
      <c r="AI153" s="113">
        <f>IFERROR(INDEX($C$152:$AK$152,1,33+ROUND(INDEX($H$5:$V$5,1,MATCH("RM14",$H$3:$V$3,0))/7,0)),0)</f>
        <v>0</v>
      </c>
      <c r="AJ153" s="113">
        <f>IFERROR(INDEX($C$152:$AK$152,1,34+ROUND(INDEX($H$5:$V$5,1,MATCH("RM14",$H$3:$V$3,0))/7,0)),0)</f>
        <v>0</v>
      </c>
      <c r="AK153" s="113">
        <f>IFERROR(INDEX($C$152:$AK$152,1,35+ROUND(INDEX($H$5:$V$5,1,MATCH("RM14",$H$3:$V$3,0))/7,0)),0)</f>
        <v>0</v>
      </c>
      <c r="AL153" s="113">
        <f>IFERROR(INDEX($C$152:$AK$152,1,35+ROUND(INDEX($H$5:$V$5,1,MATCH("RM14",$H$3:$V$3,0))/7,0)),0)</f>
        <v>0</v>
      </c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</row>
    <row r="154" spans="1:70" x14ac:dyDescent="0.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</row>
    <row r="155" spans="1:70" ht="16.350000000000001" customHeight="1" x14ac:dyDescent="0.3">
      <c r="A155" s="47" t="s">
        <v>152</v>
      </c>
      <c r="B155" s="47" t="s">
        <v>132</v>
      </c>
      <c r="C155" s="137" t="s">
        <v>0</v>
      </c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6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</row>
    <row r="156" spans="1:70" ht="16.350000000000001" customHeight="1" x14ac:dyDescent="0.3">
      <c r="A156" s="47" t="s">
        <v>133</v>
      </c>
      <c r="B156" s="47" t="str">
        <f>"LT: "&amp;ROUND(INDEX($H$5:$V$5,1,MATCH("RM15",$H$3:$V$3,0))/7,0)</f>
        <v>LT: 7</v>
      </c>
      <c r="C156" s="48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 s="104">
        <v>46370</v>
      </c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</row>
    <row r="157" spans="1:70" ht="16.350000000000001" customHeight="1" x14ac:dyDescent="0.3">
      <c r="A157" s="51" t="s">
        <v>134</v>
      </c>
      <c r="B157" s="104"/>
      <c r="C157" s="114">
        <f t="array" ref="C157:AL157">TRANSPOSE(BOM_demand!$V$2:$V$37)</f>
        <v>6000</v>
      </c>
      <c r="D157" s="114">
        <v>1176</v>
      </c>
      <c r="E157" s="114">
        <v>5056</v>
      </c>
      <c r="F157" s="114">
        <v>5400</v>
      </c>
      <c r="G157" s="114">
        <v>4604</v>
      </c>
      <c r="H157" s="114">
        <v>6000</v>
      </c>
      <c r="I157" s="114">
        <v>5400</v>
      </c>
      <c r="J157" s="114">
        <v>6000</v>
      </c>
      <c r="K157" s="114">
        <v>6000</v>
      </c>
      <c r="L157" s="114">
        <v>5400</v>
      </c>
      <c r="M157" s="114">
        <v>6000</v>
      </c>
      <c r="N157" s="114">
        <v>4600</v>
      </c>
      <c r="O157" s="114">
        <v>5400</v>
      </c>
      <c r="P157" s="114">
        <v>5400</v>
      </c>
      <c r="Q157" s="114">
        <v>5400</v>
      </c>
      <c r="R157" s="114">
        <v>952</v>
      </c>
      <c r="S157" s="114">
        <v>2596</v>
      </c>
      <c r="T157" s="114">
        <v>2600</v>
      </c>
      <c r="U157" s="114">
        <v>2596</v>
      </c>
      <c r="V157" s="114">
        <v>3012</v>
      </c>
      <c r="W157" s="114">
        <v>3012</v>
      </c>
      <c r="X157" s="114">
        <v>3012</v>
      </c>
      <c r="Y157" s="114">
        <v>3012</v>
      </c>
      <c r="Z157" s="114">
        <v>2892</v>
      </c>
      <c r="AA157" s="114">
        <v>0</v>
      </c>
      <c r="AB157" s="114">
        <v>0</v>
      </c>
      <c r="AC157" s="114">
        <v>2896</v>
      </c>
      <c r="AD157" s="114">
        <v>2896</v>
      </c>
      <c r="AE157" s="114">
        <v>2896</v>
      </c>
      <c r="AF157" s="114">
        <v>3508</v>
      </c>
      <c r="AG157" s="114">
        <v>3512</v>
      </c>
      <c r="AH157" s="114">
        <v>3512</v>
      </c>
      <c r="AI157" s="114">
        <v>3512</v>
      </c>
      <c r="AJ157" s="114">
        <v>3856</v>
      </c>
      <c r="AK157" s="114">
        <v>3860</v>
      </c>
      <c r="AL157" s="104">
        <v>3856</v>
      </c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</row>
    <row r="158" spans="1:70" ht="16.350000000000001" customHeight="1" x14ac:dyDescent="0.3">
      <c r="A158" s="140" t="s">
        <v>128</v>
      </c>
      <c r="B158" s="136"/>
      <c r="C158" s="114">
        <f>IFERROR(INDEX($H$7:$V$7,1,MATCH("RM15",$H$3:$V$3,0)),0)</f>
        <v>21000</v>
      </c>
      <c r="D158" s="114">
        <f>0</f>
        <v>0</v>
      </c>
      <c r="E158" s="114">
        <f>0</f>
        <v>0</v>
      </c>
      <c r="F158" s="114">
        <f>0</f>
        <v>0</v>
      </c>
      <c r="G158" s="114">
        <f>0</f>
        <v>0</v>
      </c>
      <c r="H158" s="114">
        <f>0</f>
        <v>0</v>
      </c>
      <c r="I158" s="114">
        <f>0</f>
        <v>0</v>
      </c>
      <c r="J158" s="114">
        <f>0</f>
        <v>0</v>
      </c>
      <c r="K158" s="113">
        <f>0</f>
        <v>0</v>
      </c>
      <c r="L158" s="113">
        <f>0</f>
        <v>0</v>
      </c>
      <c r="M158" s="113">
        <f>0</f>
        <v>0</v>
      </c>
      <c r="N158" s="113">
        <f>0</f>
        <v>0</v>
      </c>
      <c r="O158" s="113">
        <f>0</f>
        <v>0</v>
      </c>
      <c r="P158" s="113">
        <f>0</f>
        <v>0</v>
      </c>
      <c r="Q158" s="113">
        <f>0</f>
        <v>0</v>
      </c>
      <c r="R158" s="113">
        <f>0</f>
        <v>0</v>
      </c>
      <c r="S158" s="113">
        <f>0</f>
        <v>0</v>
      </c>
      <c r="T158" s="113">
        <f>0</f>
        <v>0</v>
      </c>
      <c r="U158" s="113">
        <f>0</f>
        <v>0</v>
      </c>
      <c r="V158" s="113">
        <f>0</f>
        <v>0</v>
      </c>
      <c r="W158" s="113">
        <f>0</f>
        <v>0</v>
      </c>
      <c r="X158" s="113">
        <f>0</f>
        <v>0</v>
      </c>
      <c r="Y158" s="113">
        <f>0</f>
        <v>0</v>
      </c>
      <c r="Z158" s="113">
        <f>0</f>
        <v>0</v>
      </c>
      <c r="AA158" s="113">
        <f>0</f>
        <v>0</v>
      </c>
      <c r="AB158" s="113">
        <f>0</f>
        <v>0</v>
      </c>
      <c r="AC158" s="113">
        <f>0</f>
        <v>0</v>
      </c>
      <c r="AD158" s="113">
        <f>0</f>
        <v>0</v>
      </c>
      <c r="AE158" s="113">
        <f>0</f>
        <v>0</v>
      </c>
      <c r="AF158" s="113">
        <f>0</f>
        <v>0</v>
      </c>
      <c r="AG158" s="113">
        <f>0</f>
        <v>0</v>
      </c>
      <c r="AH158" s="113">
        <f>0</f>
        <v>0</v>
      </c>
      <c r="AI158" s="113">
        <f>0</f>
        <v>0</v>
      </c>
      <c r="AJ158" s="113">
        <f>0</f>
        <v>0</v>
      </c>
      <c r="AK158" s="113">
        <f>0</f>
        <v>0</v>
      </c>
      <c r="AL158" s="113">
        <f>0</f>
        <v>0</v>
      </c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</row>
    <row r="159" spans="1:70" ht="16.350000000000001" customHeight="1" x14ac:dyDescent="0.3">
      <c r="A159" s="114" t="s">
        <v>129</v>
      </c>
      <c r="B159" s="118">
        <f>IFERROR(INDEX($H$8:$V$8,1,MATCH("RM15",$H$3:$V$3,0)),0)</f>
        <v>7638</v>
      </c>
      <c r="C159" s="114">
        <f t="shared" ref="C159:AL159" si="59">$B159</f>
        <v>7638</v>
      </c>
      <c r="D159" s="114">
        <f t="shared" si="59"/>
        <v>7638</v>
      </c>
      <c r="E159" s="114">
        <f t="shared" si="59"/>
        <v>7638</v>
      </c>
      <c r="F159" s="114">
        <f t="shared" si="59"/>
        <v>7638</v>
      </c>
      <c r="G159" s="114">
        <f t="shared" si="59"/>
        <v>7638</v>
      </c>
      <c r="H159" s="114">
        <f t="shared" si="59"/>
        <v>7638</v>
      </c>
      <c r="I159" s="114">
        <f t="shared" si="59"/>
        <v>7638</v>
      </c>
      <c r="J159" s="114">
        <f t="shared" si="59"/>
        <v>7638</v>
      </c>
      <c r="K159" s="113">
        <f t="shared" si="59"/>
        <v>7638</v>
      </c>
      <c r="L159" s="113">
        <f t="shared" si="59"/>
        <v>7638</v>
      </c>
      <c r="M159" s="113">
        <f t="shared" si="59"/>
        <v>7638</v>
      </c>
      <c r="N159" s="113">
        <f t="shared" si="59"/>
        <v>7638</v>
      </c>
      <c r="O159" s="113">
        <f t="shared" si="59"/>
        <v>7638</v>
      </c>
      <c r="P159" s="113">
        <f t="shared" si="59"/>
        <v>7638</v>
      </c>
      <c r="Q159" s="113">
        <f t="shared" si="59"/>
        <v>7638</v>
      </c>
      <c r="R159" s="113">
        <f t="shared" si="59"/>
        <v>7638</v>
      </c>
      <c r="S159" s="113">
        <f t="shared" si="59"/>
        <v>7638</v>
      </c>
      <c r="T159" s="113">
        <f t="shared" si="59"/>
        <v>7638</v>
      </c>
      <c r="U159" s="113">
        <f t="shared" si="59"/>
        <v>7638</v>
      </c>
      <c r="V159" s="113">
        <f t="shared" si="59"/>
        <v>7638</v>
      </c>
      <c r="W159" s="113">
        <f t="shared" si="59"/>
        <v>7638</v>
      </c>
      <c r="X159" s="113">
        <f t="shared" si="59"/>
        <v>7638</v>
      </c>
      <c r="Y159" s="113">
        <f t="shared" si="59"/>
        <v>7638</v>
      </c>
      <c r="Z159" s="113">
        <f t="shared" si="59"/>
        <v>7638</v>
      </c>
      <c r="AA159" s="113">
        <f t="shared" si="59"/>
        <v>7638</v>
      </c>
      <c r="AB159" s="113">
        <f t="shared" si="59"/>
        <v>7638</v>
      </c>
      <c r="AC159" s="113">
        <f t="shared" si="59"/>
        <v>7638</v>
      </c>
      <c r="AD159" s="113">
        <f t="shared" si="59"/>
        <v>7638</v>
      </c>
      <c r="AE159" s="113">
        <f t="shared" si="59"/>
        <v>7638</v>
      </c>
      <c r="AF159" s="113">
        <f t="shared" si="59"/>
        <v>7638</v>
      </c>
      <c r="AG159" s="113">
        <f t="shared" si="59"/>
        <v>7638</v>
      </c>
      <c r="AH159" s="113">
        <f t="shared" si="59"/>
        <v>7638</v>
      </c>
      <c r="AI159" s="113">
        <f t="shared" si="59"/>
        <v>7638</v>
      </c>
      <c r="AJ159" s="113">
        <f t="shared" si="59"/>
        <v>7638</v>
      </c>
      <c r="AK159" s="113">
        <f t="shared" si="59"/>
        <v>7638</v>
      </c>
      <c r="AL159" s="113">
        <f t="shared" si="59"/>
        <v>7638</v>
      </c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</row>
    <row r="160" spans="1:70" ht="16.350000000000001" customHeight="1" x14ac:dyDescent="0.3">
      <c r="A160" s="114" t="s">
        <v>135</v>
      </c>
      <c r="B160" s="118">
        <f>IFERROR(INDEX($H$6:$V$6,1,MATCH("RM15",$H$3:$V$3,0)),0)</f>
        <v>20000</v>
      </c>
      <c r="C160" s="114">
        <f>$B160+C158+C162-C157</f>
        <v>35000</v>
      </c>
      <c r="D160" s="114">
        <f t="shared" ref="D160:AL160" si="60">C160+D158+D162-D157</f>
        <v>33824</v>
      </c>
      <c r="E160" s="114">
        <f t="shared" si="60"/>
        <v>28768</v>
      </c>
      <c r="F160" s="114">
        <f t="shared" si="60"/>
        <v>23368</v>
      </c>
      <c r="G160" s="114">
        <f t="shared" si="60"/>
        <v>18764</v>
      </c>
      <c r="H160" s="114">
        <f t="shared" si="60"/>
        <v>12764</v>
      </c>
      <c r="I160" s="114">
        <f t="shared" si="60"/>
        <v>7638</v>
      </c>
      <c r="J160" s="114">
        <f t="shared" si="60"/>
        <v>7638</v>
      </c>
      <c r="K160" s="113">
        <f t="shared" si="60"/>
        <v>7638</v>
      </c>
      <c r="L160" s="113">
        <f t="shared" si="60"/>
        <v>7638</v>
      </c>
      <c r="M160" s="113">
        <f t="shared" si="60"/>
        <v>7638</v>
      </c>
      <c r="N160" s="113">
        <f t="shared" si="60"/>
        <v>7638</v>
      </c>
      <c r="O160" s="113">
        <f t="shared" si="60"/>
        <v>7638</v>
      </c>
      <c r="P160" s="113">
        <f t="shared" si="60"/>
        <v>7638</v>
      </c>
      <c r="Q160" s="113">
        <f t="shared" si="60"/>
        <v>7638</v>
      </c>
      <c r="R160" s="113">
        <f t="shared" si="60"/>
        <v>7638</v>
      </c>
      <c r="S160" s="113">
        <f t="shared" si="60"/>
        <v>7638</v>
      </c>
      <c r="T160" s="113">
        <f t="shared" si="60"/>
        <v>7638</v>
      </c>
      <c r="U160" s="113">
        <f t="shared" si="60"/>
        <v>7638</v>
      </c>
      <c r="V160" s="113">
        <f t="shared" si="60"/>
        <v>7638</v>
      </c>
      <c r="W160" s="113">
        <f t="shared" si="60"/>
        <v>7638</v>
      </c>
      <c r="X160" s="113">
        <f t="shared" si="60"/>
        <v>7638</v>
      </c>
      <c r="Y160" s="113">
        <f t="shared" si="60"/>
        <v>7638</v>
      </c>
      <c r="Z160" s="113">
        <f t="shared" si="60"/>
        <v>7638</v>
      </c>
      <c r="AA160" s="113">
        <f t="shared" si="60"/>
        <v>7638</v>
      </c>
      <c r="AB160" s="113">
        <f t="shared" si="60"/>
        <v>7638</v>
      </c>
      <c r="AC160" s="113">
        <f t="shared" si="60"/>
        <v>7638</v>
      </c>
      <c r="AD160" s="113">
        <f t="shared" si="60"/>
        <v>7638</v>
      </c>
      <c r="AE160" s="113">
        <f t="shared" si="60"/>
        <v>7638</v>
      </c>
      <c r="AF160" s="113">
        <f t="shared" si="60"/>
        <v>7638</v>
      </c>
      <c r="AG160" s="113">
        <f t="shared" si="60"/>
        <v>7638</v>
      </c>
      <c r="AH160" s="113">
        <f t="shared" si="60"/>
        <v>7638</v>
      </c>
      <c r="AI160" s="113">
        <f t="shared" si="60"/>
        <v>7638</v>
      </c>
      <c r="AJ160" s="113">
        <f t="shared" si="60"/>
        <v>7638</v>
      </c>
      <c r="AK160" s="113">
        <f t="shared" si="60"/>
        <v>7638</v>
      </c>
      <c r="AL160" s="113">
        <f t="shared" si="60"/>
        <v>7638</v>
      </c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</row>
    <row r="161" spans="1:70" ht="16.350000000000001" customHeight="1" x14ac:dyDescent="0.3">
      <c r="A161" s="114" t="s">
        <v>136</v>
      </c>
      <c r="B161" s="118"/>
      <c r="C161" s="114">
        <f>MAX(C157+C159-($B160+C158),0)</f>
        <v>0</v>
      </c>
      <c r="D161" s="114">
        <f t="shared" ref="D161:AL161" si="61">MAX(D157+D159-(C160+D158),0)</f>
        <v>0</v>
      </c>
      <c r="E161" s="114">
        <f t="shared" si="61"/>
        <v>0</v>
      </c>
      <c r="F161" s="114">
        <f t="shared" si="61"/>
        <v>0</v>
      </c>
      <c r="G161" s="114">
        <f t="shared" si="61"/>
        <v>0</v>
      </c>
      <c r="H161" s="114">
        <f t="shared" si="61"/>
        <v>0</v>
      </c>
      <c r="I161" s="114">
        <f t="shared" si="61"/>
        <v>274</v>
      </c>
      <c r="J161" s="114">
        <f t="shared" si="61"/>
        <v>6000</v>
      </c>
      <c r="K161" s="113">
        <f t="shared" si="61"/>
        <v>6000</v>
      </c>
      <c r="L161" s="113">
        <f t="shared" si="61"/>
        <v>5400</v>
      </c>
      <c r="M161" s="113">
        <f t="shared" si="61"/>
        <v>6000</v>
      </c>
      <c r="N161" s="113">
        <f t="shared" si="61"/>
        <v>4600</v>
      </c>
      <c r="O161" s="113">
        <f t="shared" si="61"/>
        <v>5400</v>
      </c>
      <c r="P161" s="113">
        <f t="shared" si="61"/>
        <v>5400</v>
      </c>
      <c r="Q161" s="113">
        <f t="shared" si="61"/>
        <v>5400</v>
      </c>
      <c r="R161" s="113">
        <f t="shared" si="61"/>
        <v>952</v>
      </c>
      <c r="S161" s="113">
        <f t="shared" si="61"/>
        <v>2596</v>
      </c>
      <c r="T161" s="113">
        <f t="shared" si="61"/>
        <v>2600</v>
      </c>
      <c r="U161" s="113">
        <f t="shared" si="61"/>
        <v>2596</v>
      </c>
      <c r="V161" s="113">
        <f t="shared" si="61"/>
        <v>3012</v>
      </c>
      <c r="W161" s="113">
        <f t="shared" si="61"/>
        <v>3012</v>
      </c>
      <c r="X161" s="113">
        <f t="shared" si="61"/>
        <v>3012</v>
      </c>
      <c r="Y161" s="113">
        <f t="shared" si="61"/>
        <v>3012</v>
      </c>
      <c r="Z161" s="113">
        <f t="shared" si="61"/>
        <v>2892</v>
      </c>
      <c r="AA161" s="113">
        <f t="shared" si="61"/>
        <v>0</v>
      </c>
      <c r="AB161" s="113">
        <f t="shared" si="61"/>
        <v>0</v>
      </c>
      <c r="AC161" s="113">
        <f t="shared" si="61"/>
        <v>2896</v>
      </c>
      <c r="AD161" s="113">
        <f t="shared" si="61"/>
        <v>2896</v>
      </c>
      <c r="AE161" s="113">
        <f t="shared" si="61"/>
        <v>2896</v>
      </c>
      <c r="AF161" s="113">
        <f t="shared" si="61"/>
        <v>3508</v>
      </c>
      <c r="AG161" s="113">
        <f t="shared" si="61"/>
        <v>3512</v>
      </c>
      <c r="AH161" s="113">
        <f t="shared" si="61"/>
        <v>3512</v>
      </c>
      <c r="AI161" s="113">
        <f t="shared" si="61"/>
        <v>3512</v>
      </c>
      <c r="AJ161" s="113">
        <f t="shared" si="61"/>
        <v>3856</v>
      </c>
      <c r="AK161" s="113">
        <f t="shared" si="61"/>
        <v>3860</v>
      </c>
      <c r="AL161" s="113">
        <f t="shared" si="61"/>
        <v>3856</v>
      </c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</row>
    <row r="162" spans="1:70" ht="16.350000000000001" customHeight="1" x14ac:dyDescent="0.3">
      <c r="A162" s="140" t="s">
        <v>137</v>
      </c>
      <c r="B162" s="136"/>
      <c r="C162" s="114">
        <f t="shared" ref="C162:AL162" si="62">C161</f>
        <v>0</v>
      </c>
      <c r="D162" s="114">
        <f t="shared" si="62"/>
        <v>0</v>
      </c>
      <c r="E162" s="114">
        <f t="shared" si="62"/>
        <v>0</v>
      </c>
      <c r="F162" s="114">
        <f t="shared" si="62"/>
        <v>0</v>
      </c>
      <c r="G162" s="114">
        <f t="shared" si="62"/>
        <v>0</v>
      </c>
      <c r="H162" s="114">
        <f t="shared" si="62"/>
        <v>0</v>
      </c>
      <c r="I162" s="114">
        <f t="shared" si="62"/>
        <v>274</v>
      </c>
      <c r="J162" s="114">
        <f t="shared" si="62"/>
        <v>6000</v>
      </c>
      <c r="K162" s="113">
        <f t="shared" si="62"/>
        <v>6000</v>
      </c>
      <c r="L162" s="113">
        <f t="shared" si="62"/>
        <v>5400</v>
      </c>
      <c r="M162" s="113">
        <f t="shared" si="62"/>
        <v>6000</v>
      </c>
      <c r="N162" s="113">
        <f t="shared" si="62"/>
        <v>4600</v>
      </c>
      <c r="O162" s="113">
        <f t="shared" si="62"/>
        <v>5400</v>
      </c>
      <c r="P162" s="113">
        <f t="shared" si="62"/>
        <v>5400</v>
      </c>
      <c r="Q162" s="113">
        <f t="shared" si="62"/>
        <v>5400</v>
      </c>
      <c r="R162" s="113">
        <f t="shared" si="62"/>
        <v>952</v>
      </c>
      <c r="S162" s="113">
        <f t="shared" si="62"/>
        <v>2596</v>
      </c>
      <c r="T162" s="113">
        <f t="shared" si="62"/>
        <v>2600</v>
      </c>
      <c r="U162" s="113">
        <f t="shared" si="62"/>
        <v>2596</v>
      </c>
      <c r="V162" s="113">
        <f t="shared" si="62"/>
        <v>3012</v>
      </c>
      <c r="W162" s="113">
        <f t="shared" si="62"/>
        <v>3012</v>
      </c>
      <c r="X162" s="113">
        <f t="shared" si="62"/>
        <v>3012</v>
      </c>
      <c r="Y162" s="113">
        <f t="shared" si="62"/>
        <v>3012</v>
      </c>
      <c r="Z162" s="113">
        <f t="shared" si="62"/>
        <v>2892</v>
      </c>
      <c r="AA162" s="113">
        <f t="shared" si="62"/>
        <v>0</v>
      </c>
      <c r="AB162" s="113">
        <f t="shared" si="62"/>
        <v>0</v>
      </c>
      <c r="AC162" s="113">
        <f t="shared" si="62"/>
        <v>2896</v>
      </c>
      <c r="AD162" s="113">
        <f t="shared" si="62"/>
        <v>2896</v>
      </c>
      <c r="AE162" s="113">
        <f t="shared" si="62"/>
        <v>2896</v>
      </c>
      <c r="AF162" s="113">
        <f t="shared" si="62"/>
        <v>3508</v>
      </c>
      <c r="AG162" s="113">
        <f t="shared" si="62"/>
        <v>3512</v>
      </c>
      <c r="AH162" s="113">
        <f t="shared" si="62"/>
        <v>3512</v>
      </c>
      <c r="AI162" s="113">
        <f t="shared" si="62"/>
        <v>3512</v>
      </c>
      <c r="AJ162" s="113">
        <f t="shared" si="62"/>
        <v>3856</v>
      </c>
      <c r="AK162" s="113">
        <f t="shared" si="62"/>
        <v>3860</v>
      </c>
      <c r="AL162" s="113">
        <f t="shared" si="62"/>
        <v>3856</v>
      </c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</row>
    <row r="163" spans="1:70" ht="16.350000000000001" customHeight="1" x14ac:dyDescent="0.3">
      <c r="A163" s="114" t="s">
        <v>138</v>
      </c>
      <c r="B163" s="118"/>
      <c r="C163" s="114">
        <f>IFERROR(INDEX($C$162:$AK$162,1,1+ROUND(INDEX($H$5:$V$5,1,MATCH("RM15",$H$3:$V$3,0))/7,0)),0)</f>
        <v>6000</v>
      </c>
      <c r="D163" s="114">
        <f>IFERROR(INDEX($C$162:$AK$162,1,2+ROUND(INDEX($H$5:$V$5,1,MATCH("RM15",$H$3:$V$3,0))/7,0)),0)</f>
        <v>6000</v>
      </c>
      <c r="E163" s="114">
        <f>IFERROR(INDEX($C$162:$AK$162,1,3+ROUND(INDEX($H$5:$V$5,1,MATCH("RM15",$H$3:$V$3,0))/7,0)),0)</f>
        <v>5400</v>
      </c>
      <c r="F163" s="114">
        <f>IFERROR(INDEX($C$162:$AK$162,1,4+ROUND(INDEX($H$5:$V$5,1,MATCH("RM15",$H$3:$V$3,0))/7,0)),0)</f>
        <v>6000</v>
      </c>
      <c r="G163" s="114">
        <f>IFERROR(INDEX($C$162:$AK$162,1,5+ROUND(INDEX($H$5:$V$5,1,MATCH("RM15",$H$3:$V$3,0))/7,0)),0)</f>
        <v>4600</v>
      </c>
      <c r="H163" s="114">
        <f>IFERROR(INDEX($C$162:$AK$162,1,6+ROUND(INDEX($H$5:$V$5,1,MATCH("RM15",$H$3:$V$3,0))/7,0)),0)</f>
        <v>5400</v>
      </c>
      <c r="I163" s="114">
        <f>IFERROR(INDEX($C$162:$AK$162,1,7+ROUND(INDEX($H$5:$V$5,1,MATCH("RM15",$H$3:$V$3,0))/7,0)),0)</f>
        <v>5400</v>
      </c>
      <c r="J163" s="114">
        <f>IFERROR(INDEX($C$162:$AK$162,1,8+ROUND(INDEX($H$5:$V$5,1,MATCH("RM15",$H$3:$V$3,0))/7,0)),0)</f>
        <v>5400</v>
      </c>
      <c r="K163" s="113">
        <f>IFERROR(INDEX($C$162:$AK$162,1,9+ROUND(INDEX($H$5:$V$5,1,MATCH("RM15",$H$3:$V$3,0))/7,0)),0)</f>
        <v>952</v>
      </c>
      <c r="L163" s="113">
        <f>IFERROR(INDEX($C$162:$AK$162,1,10+ROUND(INDEX($H$5:$V$5,1,MATCH("RM15",$H$3:$V$3,0))/7,0)),0)</f>
        <v>2596</v>
      </c>
      <c r="M163" s="113">
        <f>IFERROR(INDEX($C$162:$AK$162,1,11+ROUND(INDEX($H$5:$V$5,1,MATCH("RM15",$H$3:$V$3,0))/7,0)),0)</f>
        <v>2600</v>
      </c>
      <c r="N163" s="113">
        <f>IFERROR(INDEX($C$162:$AK$162,1,12+ROUND(INDEX($H$5:$V$5,1,MATCH("RM15",$H$3:$V$3,0))/7,0)),0)</f>
        <v>2596</v>
      </c>
      <c r="O163" s="113">
        <f>IFERROR(INDEX($C$162:$AK$162,1,13+ROUND(INDEX($H$5:$V$5,1,MATCH("RM15",$H$3:$V$3,0))/7,0)),0)</f>
        <v>3012</v>
      </c>
      <c r="P163" s="113">
        <f>IFERROR(INDEX($C$162:$AK$162,1,14+ROUND(INDEX($H$5:$V$5,1,MATCH("RM15",$H$3:$V$3,0))/7,0)),0)</f>
        <v>3012</v>
      </c>
      <c r="Q163" s="113">
        <f>IFERROR(INDEX($C$162:$AK$162,1,15+ROUND(INDEX($H$5:$V$5,1,MATCH("RM15",$H$3:$V$3,0))/7,0)),0)</f>
        <v>3012</v>
      </c>
      <c r="R163" s="113">
        <f>IFERROR(INDEX($C$162:$AK$162,1,16+ROUND(INDEX($H$5:$V$5,1,MATCH("RM15",$H$3:$V$3,0))/7,0)),0)</f>
        <v>3012</v>
      </c>
      <c r="S163" s="113">
        <f>IFERROR(INDEX($C$162:$AK$162,1,17+ROUND(INDEX($H$5:$V$5,1,MATCH("RM15",$H$3:$V$3,0))/7,0)),0)</f>
        <v>2892</v>
      </c>
      <c r="T163" s="113">
        <f>IFERROR(INDEX($C$162:$AK$162,1,18+ROUND(INDEX($H$5:$V$5,1,MATCH("RM15",$H$3:$V$3,0))/7,0)),0)</f>
        <v>0</v>
      </c>
      <c r="U163" s="113">
        <f>IFERROR(INDEX($C$162:$AK$162,1,19+ROUND(INDEX($H$5:$V$5,1,MATCH("RM15",$H$3:$V$3,0))/7,0)),0)</f>
        <v>0</v>
      </c>
      <c r="V163" s="113">
        <f>IFERROR(INDEX($C$162:$AK$162,1,20+ROUND(INDEX($H$5:$V$5,1,MATCH("RM15",$H$3:$V$3,0))/7,0)),0)</f>
        <v>2896</v>
      </c>
      <c r="W163" s="113">
        <f>IFERROR(INDEX($C$162:$AK$162,1,21+ROUND(INDEX($H$5:$V$5,1,MATCH("RM15",$H$3:$V$3,0))/7,0)),0)</f>
        <v>2896</v>
      </c>
      <c r="X163" s="113">
        <f>IFERROR(INDEX($C$162:$AK$162,1,22+ROUND(INDEX($H$5:$V$5,1,MATCH("RM15",$H$3:$V$3,0))/7,0)),0)</f>
        <v>2896</v>
      </c>
      <c r="Y163" s="113">
        <f>IFERROR(INDEX($C$162:$AK$162,1,23+ROUND(INDEX($H$5:$V$5,1,MATCH("RM15",$H$3:$V$3,0))/7,0)),0)</f>
        <v>3508</v>
      </c>
      <c r="Z163" s="113">
        <f>IFERROR(INDEX($C$162:$AK$162,1,24+ROUND(INDEX($H$5:$V$5,1,MATCH("RM15",$H$3:$V$3,0))/7,0)),0)</f>
        <v>3512</v>
      </c>
      <c r="AA163" s="113">
        <f>IFERROR(INDEX($C$162:$AK$162,1,25+ROUND(INDEX($H$5:$V$5,1,MATCH("RM15",$H$3:$V$3,0))/7,0)),0)</f>
        <v>3512</v>
      </c>
      <c r="AB163" s="113">
        <f>IFERROR(INDEX($C$162:$AK$162,1,26+ROUND(INDEX($H$5:$V$5,1,MATCH("RM15",$H$3:$V$3,0))/7,0)),0)</f>
        <v>3512</v>
      </c>
      <c r="AC163" s="113">
        <f>IFERROR(INDEX($C$162:$AK$162,1,27+ROUND(INDEX($H$5:$V$5,1,MATCH("RM15",$H$3:$V$3,0))/7,0)),0)</f>
        <v>3856</v>
      </c>
      <c r="AD163" s="113">
        <f>IFERROR(INDEX($C$162:$AK$162,1,28+ROUND(INDEX($H$5:$V$5,1,MATCH("RM15",$H$3:$V$3,0))/7,0)),0)</f>
        <v>3860</v>
      </c>
      <c r="AE163" s="113">
        <f>IFERROR(INDEX($C$162:$AK$162,1,29+ROUND(INDEX($H$5:$V$5,1,MATCH("RM15",$H$3:$V$3,0))/7,0)),0)</f>
        <v>0</v>
      </c>
      <c r="AF163" s="113">
        <f>IFERROR(INDEX($C$162:$AK$162,1,30+ROUND(INDEX($H$5:$V$5,1,MATCH("RM15",$H$3:$V$3,0))/7,0)),0)</f>
        <v>0</v>
      </c>
      <c r="AG163" s="113">
        <f>IFERROR(INDEX($C$162:$AK$162,1,31+ROUND(INDEX($H$5:$V$5,1,MATCH("RM15",$H$3:$V$3,0))/7,0)),0)</f>
        <v>0</v>
      </c>
      <c r="AH163" s="113">
        <f>IFERROR(INDEX($C$162:$AK$162,1,32+ROUND(INDEX($H$5:$V$5,1,MATCH("RM15",$H$3:$V$3,0))/7,0)),0)</f>
        <v>0</v>
      </c>
      <c r="AI163" s="113">
        <f>IFERROR(INDEX($C$162:$AK$162,1,33+ROUND(INDEX($H$5:$V$5,1,MATCH("RM15",$H$3:$V$3,0))/7,0)),0)</f>
        <v>0</v>
      </c>
      <c r="AJ163" s="113">
        <f>IFERROR(INDEX($C$162:$AK$162,1,34+ROUND(INDEX($H$5:$V$5,1,MATCH("RM15",$H$3:$V$3,0))/7,0)),0)</f>
        <v>0</v>
      </c>
      <c r="AK163" s="113">
        <f>IFERROR(INDEX($C$162:$AK$162,1,35+ROUND(INDEX($H$5:$V$5,1,MATCH("RM15",$H$3:$V$3,0))/7,0)),0)</f>
        <v>0</v>
      </c>
      <c r="AL163" s="113">
        <f>IFERROR(INDEX($C$162:$AK$162,1,35+ROUND(INDEX($H$5:$V$5,1,MATCH("RM15",$H$3:$V$3,0))/7,0)),0)</f>
        <v>0</v>
      </c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</row>
  </sheetData>
  <mergeCells count="46"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48:B48"/>
    <mergeCell ref="A92:B92"/>
    <mergeCell ref="C125:AK125"/>
    <mergeCell ref="A148:B148"/>
    <mergeCell ref="A82:B82"/>
    <mergeCell ref="A88:B8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2"/>
  <sheetViews>
    <sheetView topLeftCell="J1" zoomScale="5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2" customWidth="1"/>
    <col min="3" max="3" width="11" customWidth="1"/>
    <col min="4" max="4" width="22" customWidth="1"/>
    <col min="5" max="5" width="9" customWidth="1"/>
    <col min="6" max="6" width="10" customWidth="1"/>
    <col min="7" max="7" width="12" customWidth="1"/>
    <col min="8" max="8" width="14" customWidth="1"/>
    <col min="9" max="9" width="12" customWidth="1"/>
    <col min="10" max="36" width="8" customWidth="1"/>
    <col min="37" max="37" width="9" customWidth="1"/>
    <col min="38" max="38" width="13" customWidth="1"/>
    <col min="39" max="39" width="11" customWidth="1"/>
    <col min="40" max="40" width="9" customWidth="1"/>
    <col min="41" max="42" width="10" customWidth="1"/>
    <col min="43" max="43" width="16" customWidth="1"/>
  </cols>
  <sheetData>
    <row r="1" spans="1:43" x14ac:dyDescent="0.3">
      <c r="A1" s="120" t="s">
        <v>92</v>
      </c>
      <c r="B1" s="120" t="s">
        <v>120</v>
      </c>
      <c r="C1" s="120" t="s">
        <v>154</v>
      </c>
      <c r="D1" s="120" t="s">
        <v>155</v>
      </c>
      <c r="E1" s="120" t="s">
        <v>49</v>
      </c>
      <c r="F1" s="120" t="s">
        <v>122</v>
      </c>
      <c r="G1" s="120" t="s">
        <v>156</v>
      </c>
      <c r="H1" s="120" t="s">
        <v>157</v>
      </c>
      <c r="I1" s="120" t="s">
        <v>158</v>
      </c>
      <c r="J1" s="120" t="s">
        <v>159</v>
      </c>
      <c r="K1" s="120" t="s">
        <v>160</v>
      </c>
      <c r="L1" s="120" t="s">
        <v>161</v>
      </c>
      <c r="M1" s="120" t="s">
        <v>162</v>
      </c>
      <c r="N1" s="120" t="s">
        <v>163</v>
      </c>
      <c r="O1" s="120" t="s">
        <v>164</v>
      </c>
      <c r="P1" s="120" t="s">
        <v>165</v>
      </c>
      <c r="Q1" s="120" t="s">
        <v>166</v>
      </c>
      <c r="R1" s="120" t="s">
        <v>167</v>
      </c>
      <c r="S1" s="120" t="s">
        <v>168</v>
      </c>
      <c r="T1" s="120" t="s">
        <v>169</v>
      </c>
      <c r="U1" s="120" t="s">
        <v>170</v>
      </c>
      <c r="V1" s="120" t="s">
        <v>171</v>
      </c>
      <c r="W1" s="120" t="s">
        <v>172</v>
      </c>
      <c r="X1" s="120" t="s">
        <v>173</v>
      </c>
      <c r="Y1" s="120" t="s">
        <v>174</v>
      </c>
      <c r="Z1" s="120" t="s">
        <v>175</v>
      </c>
      <c r="AA1" s="120" t="s">
        <v>176</v>
      </c>
      <c r="AB1" s="120" t="s">
        <v>177</v>
      </c>
      <c r="AC1" s="120" t="s">
        <v>178</v>
      </c>
      <c r="AD1" s="120" t="s">
        <v>179</v>
      </c>
      <c r="AE1" s="120" t="s">
        <v>180</v>
      </c>
      <c r="AF1" s="120" t="s">
        <v>181</v>
      </c>
      <c r="AG1" s="120" t="s">
        <v>182</v>
      </c>
      <c r="AH1" s="120" t="s">
        <v>183</v>
      </c>
      <c r="AI1" s="120" t="s">
        <v>184</v>
      </c>
      <c r="AJ1" s="120" t="s">
        <v>185</v>
      </c>
      <c r="AK1" s="120" t="s">
        <v>186</v>
      </c>
      <c r="AL1" s="120" t="s">
        <v>187</v>
      </c>
      <c r="AM1" s="120" t="s">
        <v>188</v>
      </c>
      <c r="AN1" s="120" t="s">
        <v>189</v>
      </c>
      <c r="AO1" s="120" t="s">
        <v>100</v>
      </c>
      <c r="AP1" s="120" t="s">
        <v>190</v>
      </c>
      <c r="AQ1" s="120" t="s">
        <v>191</v>
      </c>
    </row>
    <row r="2" spans="1:43" x14ac:dyDescent="0.3">
      <c r="A2" s="121" t="s">
        <v>6</v>
      </c>
      <c r="B2" s="121" t="s">
        <v>53</v>
      </c>
      <c r="C2" s="121" t="s">
        <v>54</v>
      </c>
      <c r="D2" s="121" t="s">
        <v>55</v>
      </c>
      <c r="E2" s="121" t="s">
        <v>56</v>
      </c>
      <c r="F2" s="121">
        <v>2</v>
      </c>
      <c r="G2" s="121">
        <v>3000</v>
      </c>
      <c r="H2" s="122">
        <v>46143</v>
      </c>
      <c r="I2" s="121">
        <v>588</v>
      </c>
      <c r="J2" s="121">
        <v>500</v>
      </c>
      <c r="K2" s="121">
        <v>500</v>
      </c>
      <c r="L2" s="121">
        <v>500</v>
      </c>
      <c r="M2" s="121">
        <v>500</v>
      </c>
      <c r="N2" s="121">
        <v>500</v>
      </c>
      <c r="O2" s="121">
        <v>500</v>
      </c>
      <c r="P2" s="121">
        <v>0</v>
      </c>
      <c r="Q2" s="121">
        <v>500</v>
      </c>
      <c r="R2" s="121">
        <v>500</v>
      </c>
      <c r="S2" s="121">
        <v>500</v>
      </c>
      <c r="T2" s="121">
        <v>500</v>
      </c>
      <c r="U2" s="121">
        <v>500</v>
      </c>
      <c r="V2" s="121">
        <v>30</v>
      </c>
      <c r="W2" s="121">
        <v>500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  <c r="AH2" s="121">
        <v>0</v>
      </c>
      <c r="AI2" s="121">
        <v>0</v>
      </c>
      <c r="AJ2" s="121">
        <v>0</v>
      </c>
      <c r="AK2" s="121">
        <v>0</v>
      </c>
      <c r="AL2" s="121">
        <v>6030</v>
      </c>
      <c r="AM2" s="121">
        <v>6030</v>
      </c>
      <c r="AN2" s="121">
        <v>5442</v>
      </c>
      <c r="AO2" s="121">
        <v>0</v>
      </c>
      <c r="AP2" s="123" t="s">
        <v>192</v>
      </c>
      <c r="AQ2" s="121" t="s">
        <v>193</v>
      </c>
    </row>
    <row r="3" spans="1:43" x14ac:dyDescent="0.3">
      <c r="A3" s="121" t="s">
        <v>1</v>
      </c>
      <c r="B3" s="121" t="s">
        <v>57</v>
      </c>
      <c r="C3" s="121" t="s">
        <v>54</v>
      </c>
      <c r="D3" s="121" t="s">
        <v>58</v>
      </c>
      <c r="E3" s="121" t="s">
        <v>59</v>
      </c>
      <c r="F3" s="121">
        <v>1</v>
      </c>
      <c r="G3" s="121">
        <v>15000</v>
      </c>
      <c r="H3" s="122">
        <v>46150</v>
      </c>
      <c r="I3" s="121">
        <v>684</v>
      </c>
      <c r="J3" s="121">
        <v>0</v>
      </c>
      <c r="K3" s="121">
        <v>0</v>
      </c>
      <c r="L3" s="121">
        <v>0</v>
      </c>
      <c r="M3" s="121">
        <v>0</v>
      </c>
      <c r="N3" s="121">
        <v>510</v>
      </c>
      <c r="O3" s="121">
        <v>0</v>
      </c>
      <c r="P3" s="121">
        <v>2500</v>
      </c>
      <c r="Q3" s="121">
        <v>0</v>
      </c>
      <c r="R3" s="121">
        <v>0</v>
      </c>
      <c r="S3" s="121">
        <v>2500</v>
      </c>
      <c r="T3" s="121">
        <v>2500</v>
      </c>
      <c r="U3" s="121">
        <v>0</v>
      </c>
      <c r="V3" s="121">
        <v>0</v>
      </c>
      <c r="W3" s="121">
        <v>0</v>
      </c>
      <c r="X3" s="121">
        <v>2500</v>
      </c>
      <c r="Y3" s="121">
        <v>2000</v>
      </c>
      <c r="Z3" s="121">
        <v>2500</v>
      </c>
      <c r="AA3" s="121">
        <v>2500</v>
      </c>
      <c r="AB3" s="121">
        <v>2500</v>
      </c>
      <c r="AC3" s="121">
        <v>2500</v>
      </c>
      <c r="AD3" s="121">
        <v>2500</v>
      </c>
      <c r="AE3" s="121">
        <v>0</v>
      </c>
      <c r="AF3" s="121">
        <v>0</v>
      </c>
      <c r="AG3" s="121">
        <v>0</v>
      </c>
      <c r="AH3" s="121">
        <v>0</v>
      </c>
      <c r="AI3" s="121">
        <v>0</v>
      </c>
      <c r="AJ3" s="121">
        <v>0</v>
      </c>
      <c r="AK3" s="121">
        <v>0</v>
      </c>
      <c r="AL3" s="121">
        <v>25010</v>
      </c>
      <c r="AM3" s="121">
        <v>25010</v>
      </c>
      <c r="AN3" s="121">
        <v>24326</v>
      </c>
      <c r="AO3" s="121">
        <v>0</v>
      </c>
      <c r="AP3" s="123" t="s">
        <v>192</v>
      </c>
      <c r="AQ3" s="121" t="s">
        <v>193</v>
      </c>
    </row>
    <row r="4" spans="1:43" x14ac:dyDescent="0.3">
      <c r="A4" s="121" t="s">
        <v>5</v>
      </c>
      <c r="B4" s="121" t="s">
        <v>60</v>
      </c>
      <c r="C4" s="121" t="s">
        <v>61</v>
      </c>
      <c r="D4" s="121" t="s">
        <v>62</v>
      </c>
      <c r="E4" s="121" t="s">
        <v>56</v>
      </c>
      <c r="F4" s="121">
        <v>1</v>
      </c>
      <c r="G4" s="121">
        <v>3000</v>
      </c>
      <c r="H4" s="122">
        <v>46150</v>
      </c>
      <c r="I4" s="121">
        <v>472</v>
      </c>
      <c r="J4" s="121">
        <v>0</v>
      </c>
      <c r="K4" s="121">
        <v>0</v>
      </c>
      <c r="L4" s="121">
        <v>0</v>
      </c>
      <c r="M4" s="121">
        <v>0</v>
      </c>
      <c r="N4" s="121">
        <v>0</v>
      </c>
      <c r="O4" s="121">
        <v>0</v>
      </c>
      <c r="P4" s="121">
        <v>500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470</v>
      </c>
      <c r="W4" s="121">
        <v>0</v>
      </c>
      <c r="X4" s="121">
        <v>500</v>
      </c>
      <c r="Y4" s="121">
        <v>0</v>
      </c>
      <c r="Z4" s="121">
        <v>0</v>
      </c>
      <c r="AA4" s="121">
        <v>0</v>
      </c>
      <c r="AB4" s="121">
        <v>0</v>
      </c>
      <c r="AC4" s="121">
        <v>0</v>
      </c>
      <c r="AD4" s="121">
        <v>0</v>
      </c>
      <c r="AE4" s="121">
        <v>0</v>
      </c>
      <c r="AF4" s="121">
        <v>0</v>
      </c>
      <c r="AG4" s="121">
        <v>0</v>
      </c>
      <c r="AH4" s="121">
        <v>0</v>
      </c>
      <c r="AI4" s="121">
        <v>0</v>
      </c>
      <c r="AJ4" s="121">
        <v>0</v>
      </c>
      <c r="AK4" s="121">
        <v>0</v>
      </c>
      <c r="AL4" s="121">
        <v>1470</v>
      </c>
      <c r="AM4" s="121">
        <v>1470</v>
      </c>
      <c r="AN4" s="121">
        <v>998</v>
      </c>
      <c r="AO4" s="121">
        <v>0</v>
      </c>
      <c r="AP4" s="123" t="s">
        <v>192</v>
      </c>
      <c r="AQ4" s="121" t="s">
        <v>193</v>
      </c>
    </row>
    <row r="5" spans="1:43" x14ac:dyDescent="0.3">
      <c r="A5" s="121" t="s">
        <v>6</v>
      </c>
      <c r="B5" s="121" t="s">
        <v>53</v>
      </c>
      <c r="C5" s="121" t="s">
        <v>54</v>
      </c>
      <c r="D5" s="121" t="s">
        <v>55</v>
      </c>
      <c r="E5" s="121" t="s">
        <v>56</v>
      </c>
      <c r="F5" s="121">
        <v>2</v>
      </c>
      <c r="G5" s="121">
        <v>3000</v>
      </c>
      <c r="H5" s="122">
        <v>46150</v>
      </c>
      <c r="I5" s="121">
        <v>4028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  <c r="X5" s="121">
        <v>0</v>
      </c>
      <c r="Y5" s="121">
        <v>500</v>
      </c>
      <c r="Z5" s="121">
        <v>500</v>
      </c>
      <c r="AA5" s="121">
        <v>500</v>
      </c>
      <c r="AB5" s="121">
        <v>500</v>
      </c>
      <c r="AC5" s="121">
        <v>500</v>
      </c>
      <c r="AD5" s="121">
        <v>500</v>
      </c>
      <c r="AE5" s="121">
        <v>0</v>
      </c>
      <c r="AF5" s="121">
        <v>0</v>
      </c>
      <c r="AG5" s="121">
        <v>0</v>
      </c>
      <c r="AH5" s="121">
        <v>0</v>
      </c>
      <c r="AI5" s="121">
        <v>0</v>
      </c>
      <c r="AJ5" s="121">
        <v>0</v>
      </c>
      <c r="AK5" s="121">
        <v>5442</v>
      </c>
      <c r="AL5" s="121">
        <v>3000</v>
      </c>
      <c r="AM5" s="121">
        <v>8442</v>
      </c>
      <c r="AN5" s="121">
        <v>4414</v>
      </c>
      <c r="AO5" s="121">
        <v>0</v>
      </c>
      <c r="AP5" s="123" t="s">
        <v>192</v>
      </c>
      <c r="AQ5" s="121" t="s">
        <v>193</v>
      </c>
    </row>
    <row r="6" spans="1:43" x14ac:dyDescent="0.3">
      <c r="A6" s="121" t="s">
        <v>1</v>
      </c>
      <c r="B6" s="121" t="s">
        <v>57</v>
      </c>
      <c r="C6" s="121" t="s">
        <v>54</v>
      </c>
      <c r="D6" s="121" t="s">
        <v>58</v>
      </c>
      <c r="E6" s="121" t="s">
        <v>59</v>
      </c>
      <c r="F6" s="121">
        <v>1</v>
      </c>
      <c r="G6" s="121">
        <v>15000</v>
      </c>
      <c r="H6" s="122">
        <v>46157</v>
      </c>
      <c r="I6" s="121">
        <v>20000</v>
      </c>
      <c r="J6" s="121">
        <v>0</v>
      </c>
      <c r="K6" s="121">
        <v>0</v>
      </c>
      <c r="L6" s="121">
        <v>0</v>
      </c>
      <c r="M6" s="121">
        <v>0</v>
      </c>
      <c r="N6" s="121">
        <v>0</v>
      </c>
      <c r="O6" s="121">
        <v>0</v>
      </c>
      <c r="P6" s="121">
        <v>0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  <c r="X6" s="121">
        <v>0</v>
      </c>
      <c r="Y6" s="121">
        <v>0</v>
      </c>
      <c r="Z6" s="121">
        <v>0</v>
      </c>
      <c r="AA6" s="121">
        <v>0</v>
      </c>
      <c r="AB6" s="121">
        <v>0</v>
      </c>
      <c r="AC6" s="121">
        <v>0</v>
      </c>
      <c r="AD6" s="121">
        <v>0</v>
      </c>
      <c r="AE6" s="121">
        <v>2500</v>
      </c>
      <c r="AF6" s="121">
        <v>2500</v>
      </c>
      <c r="AG6" s="121">
        <v>2500</v>
      </c>
      <c r="AH6" s="121">
        <v>2500</v>
      </c>
      <c r="AI6" s="121">
        <v>2500</v>
      </c>
      <c r="AJ6" s="121">
        <v>2500</v>
      </c>
      <c r="AK6" s="121">
        <v>24326</v>
      </c>
      <c r="AL6" s="121">
        <v>15000</v>
      </c>
      <c r="AM6" s="121">
        <v>39326</v>
      </c>
      <c r="AN6" s="121">
        <v>19326</v>
      </c>
      <c r="AO6" s="121">
        <v>0</v>
      </c>
      <c r="AP6" s="123" t="s">
        <v>192</v>
      </c>
      <c r="AQ6" s="121" t="s">
        <v>193</v>
      </c>
    </row>
    <row r="7" spans="1:43" x14ac:dyDescent="0.3">
      <c r="A7" s="121" t="s">
        <v>2</v>
      </c>
      <c r="B7" s="121" t="s">
        <v>63</v>
      </c>
      <c r="C7" s="121" t="s">
        <v>54</v>
      </c>
      <c r="D7" s="121" t="s">
        <v>64</v>
      </c>
      <c r="E7" s="121" t="s">
        <v>59</v>
      </c>
      <c r="F7" s="121">
        <v>2</v>
      </c>
      <c r="G7" s="121">
        <v>15000</v>
      </c>
      <c r="H7" s="122">
        <v>46157</v>
      </c>
      <c r="I7" s="121">
        <v>5502</v>
      </c>
      <c r="J7" s="121">
        <v>2500</v>
      </c>
      <c r="K7" s="121">
        <v>2500</v>
      </c>
      <c r="L7" s="121">
        <v>2500</v>
      </c>
      <c r="M7" s="121">
        <v>2500</v>
      </c>
      <c r="N7" s="121">
        <v>1990</v>
      </c>
      <c r="O7" s="121">
        <v>2500</v>
      </c>
      <c r="P7" s="121">
        <v>0</v>
      </c>
      <c r="Q7" s="121">
        <v>2500</v>
      </c>
      <c r="R7" s="121">
        <v>2500</v>
      </c>
      <c r="S7" s="121">
        <v>0</v>
      </c>
      <c r="T7" s="121">
        <v>0</v>
      </c>
      <c r="U7" s="121">
        <v>2500</v>
      </c>
      <c r="V7" s="121">
        <v>2500</v>
      </c>
      <c r="W7" s="121">
        <v>2500</v>
      </c>
      <c r="X7" s="121">
        <v>0</v>
      </c>
      <c r="Y7" s="121">
        <v>500</v>
      </c>
      <c r="Z7" s="121">
        <v>0</v>
      </c>
      <c r="AA7" s="121">
        <v>0</v>
      </c>
      <c r="AB7" s="121">
        <v>0</v>
      </c>
      <c r="AC7" s="121">
        <v>0</v>
      </c>
      <c r="AD7" s="121">
        <v>0</v>
      </c>
      <c r="AE7" s="121">
        <v>0</v>
      </c>
      <c r="AF7" s="121">
        <v>0</v>
      </c>
      <c r="AG7" s="121">
        <v>0</v>
      </c>
      <c r="AH7" s="121">
        <v>0</v>
      </c>
      <c r="AI7" s="121">
        <v>0</v>
      </c>
      <c r="AJ7" s="121">
        <v>0</v>
      </c>
      <c r="AK7" s="121">
        <v>0</v>
      </c>
      <c r="AL7" s="121">
        <v>27490</v>
      </c>
      <c r="AM7" s="121">
        <v>27490</v>
      </c>
      <c r="AN7" s="121">
        <v>21988</v>
      </c>
      <c r="AO7" s="121">
        <v>0</v>
      </c>
      <c r="AP7" s="123" t="s">
        <v>192</v>
      </c>
      <c r="AQ7" s="121" t="s">
        <v>193</v>
      </c>
    </row>
    <row r="8" spans="1:43" x14ac:dyDescent="0.3">
      <c r="A8" s="121" t="s">
        <v>3</v>
      </c>
      <c r="B8" s="121" t="s">
        <v>65</v>
      </c>
      <c r="C8" s="121" t="s">
        <v>66</v>
      </c>
      <c r="D8" s="121" t="s">
        <v>67</v>
      </c>
      <c r="E8" s="121" t="s">
        <v>68</v>
      </c>
      <c r="F8" s="121">
        <v>1</v>
      </c>
      <c r="G8" s="121">
        <v>5000</v>
      </c>
      <c r="H8" s="122">
        <v>46157</v>
      </c>
      <c r="I8" s="121">
        <v>4320</v>
      </c>
      <c r="J8" s="121">
        <v>833</v>
      </c>
      <c r="K8" s="121">
        <v>833</v>
      </c>
      <c r="L8" s="121">
        <v>833</v>
      </c>
      <c r="M8" s="121">
        <v>833</v>
      </c>
      <c r="N8" s="121">
        <v>833</v>
      </c>
      <c r="O8" s="121">
        <v>833</v>
      </c>
      <c r="P8" s="121">
        <v>833</v>
      </c>
      <c r="Q8" s="121">
        <v>833</v>
      </c>
      <c r="R8" s="121">
        <v>833</v>
      </c>
      <c r="S8" s="121">
        <v>833</v>
      </c>
      <c r="T8" s="121">
        <v>833</v>
      </c>
      <c r="U8" s="121">
        <v>833</v>
      </c>
      <c r="V8" s="121">
        <v>833</v>
      </c>
      <c r="W8" s="121">
        <v>833</v>
      </c>
      <c r="X8" s="121">
        <v>833</v>
      </c>
      <c r="Y8" s="121">
        <v>833</v>
      </c>
      <c r="Z8" s="121">
        <v>833</v>
      </c>
      <c r="AA8" s="121">
        <v>833</v>
      </c>
      <c r="AB8" s="121">
        <v>833</v>
      </c>
      <c r="AC8" s="121">
        <v>833</v>
      </c>
      <c r="AD8" s="121">
        <v>833</v>
      </c>
      <c r="AE8" s="121">
        <v>833</v>
      </c>
      <c r="AF8" s="121">
        <v>833</v>
      </c>
      <c r="AG8" s="121">
        <v>833</v>
      </c>
      <c r="AH8" s="121">
        <v>833</v>
      </c>
      <c r="AI8" s="121">
        <v>833</v>
      </c>
      <c r="AJ8" s="121">
        <v>833</v>
      </c>
      <c r="AK8" s="121">
        <v>0</v>
      </c>
      <c r="AL8" s="121">
        <v>22491</v>
      </c>
      <c r="AM8" s="121">
        <v>22491</v>
      </c>
      <c r="AN8" s="121">
        <v>18171</v>
      </c>
      <c r="AO8" s="121">
        <v>0</v>
      </c>
      <c r="AP8" s="123" t="s">
        <v>192</v>
      </c>
      <c r="AQ8" s="121" t="s">
        <v>193</v>
      </c>
    </row>
    <row r="9" spans="1:43" x14ac:dyDescent="0.3">
      <c r="A9" s="121" t="s">
        <v>4</v>
      </c>
      <c r="B9" s="121" t="s">
        <v>69</v>
      </c>
      <c r="C9" s="121" t="s">
        <v>66</v>
      </c>
      <c r="D9" s="121" t="s">
        <v>70</v>
      </c>
      <c r="E9" s="121" t="s">
        <v>68</v>
      </c>
      <c r="F9" s="121">
        <v>2</v>
      </c>
      <c r="G9" s="121">
        <v>5000</v>
      </c>
      <c r="H9" s="122">
        <v>46157</v>
      </c>
      <c r="I9" s="121">
        <v>2430</v>
      </c>
      <c r="J9" s="121">
        <v>0</v>
      </c>
      <c r="K9" s="121">
        <v>0</v>
      </c>
      <c r="L9" s="121">
        <v>0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  <c r="Y9" s="121">
        <v>0</v>
      </c>
      <c r="Z9" s="121">
        <v>0</v>
      </c>
      <c r="AA9" s="121">
        <v>0</v>
      </c>
      <c r="AB9" s="121">
        <v>0</v>
      </c>
      <c r="AC9" s="121">
        <v>0</v>
      </c>
      <c r="AD9" s="121">
        <v>0</v>
      </c>
      <c r="AE9" s="121">
        <v>0</v>
      </c>
      <c r="AF9" s="121">
        <v>0</v>
      </c>
      <c r="AG9" s="121">
        <v>0</v>
      </c>
      <c r="AH9" s="121">
        <v>0</v>
      </c>
      <c r="AI9" s="121">
        <v>0</v>
      </c>
      <c r="AJ9" s="121">
        <v>0</v>
      </c>
      <c r="AK9" s="121">
        <v>0</v>
      </c>
      <c r="AL9" s="121">
        <v>0</v>
      </c>
      <c r="AM9" s="121">
        <v>0</v>
      </c>
      <c r="AN9" s="121">
        <v>0</v>
      </c>
      <c r="AO9" s="121">
        <v>2430</v>
      </c>
      <c r="AP9" s="124" t="s">
        <v>194</v>
      </c>
      <c r="AQ9" s="121" t="s">
        <v>193</v>
      </c>
    </row>
    <row r="10" spans="1:43" x14ac:dyDescent="0.3">
      <c r="A10" s="121" t="s">
        <v>5</v>
      </c>
      <c r="B10" s="121" t="s">
        <v>60</v>
      </c>
      <c r="C10" s="121" t="s">
        <v>61</v>
      </c>
      <c r="D10" s="121" t="s">
        <v>62</v>
      </c>
      <c r="E10" s="121" t="s">
        <v>56</v>
      </c>
      <c r="F10" s="121">
        <v>1</v>
      </c>
      <c r="G10" s="121">
        <v>3000</v>
      </c>
      <c r="H10" s="122">
        <v>46157</v>
      </c>
      <c r="I10" s="121">
        <v>300</v>
      </c>
      <c r="J10" s="121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0</v>
      </c>
      <c r="S10" s="121">
        <v>0</v>
      </c>
      <c r="T10" s="121">
        <v>0</v>
      </c>
      <c r="U10" s="121">
        <v>0</v>
      </c>
      <c r="V10" s="121">
        <v>0</v>
      </c>
      <c r="W10" s="121">
        <v>0</v>
      </c>
      <c r="X10" s="121">
        <v>0</v>
      </c>
      <c r="Y10" s="121">
        <v>0</v>
      </c>
      <c r="Z10" s="121">
        <v>0</v>
      </c>
      <c r="AA10" s="121">
        <v>0</v>
      </c>
      <c r="AB10" s="121">
        <v>0</v>
      </c>
      <c r="AC10" s="121">
        <v>0</v>
      </c>
      <c r="AD10" s="121">
        <v>0</v>
      </c>
      <c r="AE10" s="121">
        <v>0</v>
      </c>
      <c r="AF10" s="121">
        <v>0</v>
      </c>
      <c r="AG10" s="121">
        <v>0</v>
      </c>
      <c r="AH10" s="121">
        <v>0</v>
      </c>
      <c r="AI10" s="121">
        <v>0</v>
      </c>
      <c r="AJ10" s="121">
        <v>0</v>
      </c>
      <c r="AK10" s="121">
        <v>998</v>
      </c>
      <c r="AL10" s="121">
        <v>0</v>
      </c>
      <c r="AM10" s="121">
        <v>998</v>
      </c>
      <c r="AN10" s="121">
        <v>698</v>
      </c>
      <c r="AO10" s="121">
        <v>0</v>
      </c>
      <c r="AP10" s="123" t="s">
        <v>192</v>
      </c>
      <c r="AQ10" s="121" t="s">
        <v>193</v>
      </c>
    </row>
    <row r="11" spans="1:43" x14ac:dyDescent="0.3">
      <c r="A11" s="121" t="s">
        <v>6</v>
      </c>
      <c r="B11" s="121" t="s">
        <v>53</v>
      </c>
      <c r="C11" s="121" t="s">
        <v>54</v>
      </c>
      <c r="D11" s="121" t="s">
        <v>55</v>
      </c>
      <c r="E11" s="121" t="s">
        <v>56</v>
      </c>
      <c r="F11" s="121">
        <v>2</v>
      </c>
      <c r="G11" s="121">
        <v>3000</v>
      </c>
      <c r="H11" s="122">
        <v>46157</v>
      </c>
      <c r="I11" s="121">
        <v>4200</v>
      </c>
      <c r="J11" s="121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  <c r="Y11" s="121">
        <v>0</v>
      </c>
      <c r="Z11" s="121">
        <v>0</v>
      </c>
      <c r="AA11" s="121">
        <v>0</v>
      </c>
      <c r="AB11" s="121">
        <v>0</v>
      </c>
      <c r="AC11" s="121">
        <v>0</v>
      </c>
      <c r="AD11" s="121">
        <v>0</v>
      </c>
      <c r="AE11" s="121">
        <v>500</v>
      </c>
      <c r="AF11" s="121">
        <v>500</v>
      </c>
      <c r="AG11" s="121">
        <v>500</v>
      </c>
      <c r="AH11" s="121">
        <v>500</v>
      </c>
      <c r="AI11" s="121">
        <v>500</v>
      </c>
      <c r="AJ11" s="121">
        <v>500</v>
      </c>
      <c r="AK11" s="121">
        <v>4414</v>
      </c>
      <c r="AL11" s="121">
        <v>3000</v>
      </c>
      <c r="AM11" s="121">
        <v>7414</v>
      </c>
      <c r="AN11" s="121">
        <v>3214</v>
      </c>
      <c r="AO11" s="121">
        <v>0</v>
      </c>
      <c r="AP11" s="123" t="s">
        <v>192</v>
      </c>
      <c r="AQ11" s="121" t="s">
        <v>193</v>
      </c>
    </row>
    <row r="12" spans="1:43" x14ac:dyDescent="0.3">
      <c r="A12" s="121" t="s">
        <v>1</v>
      </c>
      <c r="B12" s="121" t="s">
        <v>57</v>
      </c>
      <c r="C12" s="121" t="s">
        <v>54</v>
      </c>
      <c r="D12" s="121" t="s">
        <v>58</v>
      </c>
      <c r="E12" s="121" t="s">
        <v>59</v>
      </c>
      <c r="F12" s="121">
        <v>1</v>
      </c>
      <c r="G12" s="121">
        <v>15000</v>
      </c>
      <c r="H12" s="122">
        <v>46164</v>
      </c>
      <c r="I12" s="121">
        <v>20000</v>
      </c>
      <c r="J12" s="121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  <c r="X12" s="121">
        <v>0</v>
      </c>
      <c r="Y12" s="121">
        <v>0</v>
      </c>
      <c r="Z12" s="121">
        <v>0</v>
      </c>
      <c r="AA12" s="121">
        <v>0</v>
      </c>
      <c r="AB12" s="121">
        <v>0</v>
      </c>
      <c r="AC12" s="121">
        <v>0</v>
      </c>
      <c r="AD12" s="121">
        <v>0</v>
      </c>
      <c r="AE12" s="121">
        <v>0</v>
      </c>
      <c r="AF12" s="121">
        <v>0</v>
      </c>
      <c r="AG12" s="121">
        <v>0</v>
      </c>
      <c r="AH12" s="121">
        <v>0</v>
      </c>
      <c r="AI12" s="121">
        <v>0</v>
      </c>
      <c r="AJ12" s="121">
        <v>0</v>
      </c>
      <c r="AK12" s="121">
        <v>19326</v>
      </c>
      <c r="AL12" s="121">
        <v>0</v>
      </c>
      <c r="AM12" s="121">
        <v>19326</v>
      </c>
      <c r="AN12" s="121">
        <v>0</v>
      </c>
      <c r="AO12" s="121">
        <v>674</v>
      </c>
      <c r="AP12" s="124" t="s">
        <v>194</v>
      </c>
      <c r="AQ12" s="121" t="s">
        <v>195</v>
      </c>
    </row>
    <row r="13" spans="1:43" x14ac:dyDescent="0.3">
      <c r="A13" s="121" t="s">
        <v>2</v>
      </c>
      <c r="B13" s="121" t="s">
        <v>63</v>
      </c>
      <c r="C13" s="121" t="s">
        <v>54</v>
      </c>
      <c r="D13" s="121" t="s">
        <v>64</v>
      </c>
      <c r="E13" s="121" t="s">
        <v>59</v>
      </c>
      <c r="F13" s="121">
        <v>2</v>
      </c>
      <c r="G13" s="121">
        <v>15000</v>
      </c>
      <c r="H13" s="122">
        <v>46164</v>
      </c>
      <c r="I13" s="121">
        <v>15658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  <c r="X13" s="121">
        <v>0</v>
      </c>
      <c r="Y13" s="121">
        <v>0</v>
      </c>
      <c r="Z13" s="121">
        <v>0</v>
      </c>
      <c r="AA13" s="121">
        <v>0</v>
      </c>
      <c r="AB13" s="121">
        <v>0</v>
      </c>
      <c r="AC13" s="121">
        <v>0</v>
      </c>
      <c r="AD13" s="121">
        <v>0</v>
      </c>
      <c r="AE13" s="121">
        <v>0</v>
      </c>
      <c r="AF13" s="121">
        <v>0</v>
      </c>
      <c r="AG13" s="121">
        <v>0</v>
      </c>
      <c r="AH13" s="121">
        <v>0</v>
      </c>
      <c r="AI13" s="121">
        <v>0</v>
      </c>
      <c r="AJ13" s="121">
        <v>0</v>
      </c>
      <c r="AK13" s="121">
        <v>21988</v>
      </c>
      <c r="AL13" s="121">
        <v>0</v>
      </c>
      <c r="AM13" s="121">
        <v>21988</v>
      </c>
      <c r="AN13" s="121">
        <v>6330</v>
      </c>
      <c r="AO13" s="121">
        <v>0</v>
      </c>
      <c r="AP13" s="123" t="s">
        <v>192</v>
      </c>
      <c r="AQ13" s="121" t="s">
        <v>195</v>
      </c>
    </row>
    <row r="14" spans="1:43" x14ac:dyDescent="0.3">
      <c r="A14" s="121" t="s">
        <v>3</v>
      </c>
      <c r="B14" s="121" t="s">
        <v>65</v>
      </c>
      <c r="C14" s="121" t="s">
        <v>66</v>
      </c>
      <c r="D14" s="121" t="s">
        <v>67</v>
      </c>
      <c r="E14" s="121" t="s">
        <v>68</v>
      </c>
      <c r="F14" s="121">
        <v>1</v>
      </c>
      <c r="G14" s="121">
        <v>5000</v>
      </c>
      <c r="H14" s="122">
        <v>46164</v>
      </c>
      <c r="I14" s="121">
        <v>8370</v>
      </c>
      <c r="J14" s="121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  <c r="Y14" s="121">
        <v>0</v>
      </c>
      <c r="Z14" s="121">
        <v>0</v>
      </c>
      <c r="AA14" s="121">
        <v>0</v>
      </c>
      <c r="AB14" s="121">
        <v>0</v>
      </c>
      <c r="AC14" s="121">
        <v>0</v>
      </c>
      <c r="AD14" s="121">
        <v>0</v>
      </c>
      <c r="AE14" s="121">
        <v>0</v>
      </c>
      <c r="AF14" s="121">
        <v>0</v>
      </c>
      <c r="AG14" s="121">
        <v>0</v>
      </c>
      <c r="AH14" s="121">
        <v>0</v>
      </c>
      <c r="AI14" s="121">
        <v>0</v>
      </c>
      <c r="AJ14" s="121">
        <v>0</v>
      </c>
      <c r="AK14" s="121">
        <v>18171</v>
      </c>
      <c r="AL14" s="121">
        <v>0</v>
      </c>
      <c r="AM14" s="121">
        <v>18171</v>
      </c>
      <c r="AN14" s="121">
        <v>9801</v>
      </c>
      <c r="AO14" s="121">
        <v>0</v>
      </c>
      <c r="AP14" s="123" t="s">
        <v>192</v>
      </c>
      <c r="AQ14" s="121" t="s">
        <v>195</v>
      </c>
    </row>
    <row r="15" spans="1:43" x14ac:dyDescent="0.3">
      <c r="A15" s="121" t="s">
        <v>4</v>
      </c>
      <c r="B15" s="121" t="s">
        <v>69</v>
      </c>
      <c r="C15" s="121" t="s">
        <v>66</v>
      </c>
      <c r="D15" s="121" t="s">
        <v>70</v>
      </c>
      <c r="E15" s="121" t="s">
        <v>68</v>
      </c>
      <c r="F15" s="121">
        <v>2</v>
      </c>
      <c r="G15" s="121">
        <v>5000</v>
      </c>
      <c r="H15" s="122">
        <v>46164</v>
      </c>
      <c r="I15" s="121">
        <v>9990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  <c r="Y15" s="121">
        <v>0</v>
      </c>
      <c r="Z15" s="121">
        <v>0</v>
      </c>
      <c r="AA15" s="121">
        <v>0</v>
      </c>
      <c r="AB15" s="121">
        <v>0</v>
      </c>
      <c r="AC15" s="121">
        <v>0</v>
      </c>
      <c r="AD15" s="121">
        <v>0</v>
      </c>
      <c r="AE15" s="121">
        <v>0</v>
      </c>
      <c r="AF15" s="121">
        <v>0</v>
      </c>
      <c r="AG15" s="121">
        <v>0</v>
      </c>
      <c r="AH15" s="121">
        <v>0</v>
      </c>
      <c r="AI15" s="121">
        <v>0</v>
      </c>
      <c r="AJ15" s="121">
        <v>0</v>
      </c>
      <c r="AK15" s="121">
        <v>0</v>
      </c>
      <c r="AL15" s="121">
        <v>0</v>
      </c>
      <c r="AM15" s="121">
        <v>0</v>
      </c>
      <c r="AN15" s="121">
        <v>0</v>
      </c>
      <c r="AO15" s="121">
        <v>9990</v>
      </c>
      <c r="AP15" s="124" t="s">
        <v>194</v>
      </c>
      <c r="AQ15" s="121" t="s">
        <v>195</v>
      </c>
    </row>
    <row r="16" spans="1:43" x14ac:dyDescent="0.3">
      <c r="A16" s="121" t="s">
        <v>5</v>
      </c>
      <c r="B16" s="121" t="s">
        <v>60</v>
      </c>
      <c r="C16" s="121" t="s">
        <v>61</v>
      </c>
      <c r="D16" s="121" t="s">
        <v>62</v>
      </c>
      <c r="E16" s="121" t="s">
        <v>56</v>
      </c>
      <c r="F16" s="121">
        <v>1</v>
      </c>
      <c r="G16" s="121">
        <v>3000</v>
      </c>
      <c r="H16" s="122">
        <v>46164</v>
      </c>
      <c r="I16" s="121">
        <v>698</v>
      </c>
      <c r="J16" s="121">
        <v>0</v>
      </c>
      <c r="K16" s="121">
        <v>0</v>
      </c>
      <c r="L16" s="121">
        <v>0</v>
      </c>
      <c r="M16" s="121">
        <v>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0</v>
      </c>
      <c r="T16" s="121">
        <v>0</v>
      </c>
      <c r="U16" s="121">
        <v>0</v>
      </c>
      <c r="V16" s="121">
        <v>0</v>
      </c>
      <c r="W16" s="121">
        <v>0</v>
      </c>
      <c r="X16" s="121">
        <v>0</v>
      </c>
      <c r="Y16" s="121">
        <v>0</v>
      </c>
      <c r="Z16" s="121">
        <v>0</v>
      </c>
      <c r="AA16" s="121">
        <v>0</v>
      </c>
      <c r="AB16" s="121">
        <v>0</v>
      </c>
      <c r="AC16" s="121">
        <v>0</v>
      </c>
      <c r="AD16" s="121">
        <v>0</v>
      </c>
      <c r="AE16" s="121">
        <v>0</v>
      </c>
      <c r="AF16" s="121">
        <v>0</v>
      </c>
      <c r="AG16" s="121">
        <v>0</v>
      </c>
      <c r="AH16" s="121">
        <v>0</v>
      </c>
      <c r="AI16" s="121">
        <v>0</v>
      </c>
      <c r="AJ16" s="121">
        <v>0</v>
      </c>
      <c r="AK16" s="121">
        <v>698</v>
      </c>
      <c r="AL16" s="121">
        <v>0</v>
      </c>
      <c r="AM16" s="121">
        <v>698</v>
      </c>
      <c r="AN16" s="121">
        <v>0</v>
      </c>
      <c r="AO16" s="121">
        <v>0</v>
      </c>
      <c r="AP16" s="123" t="s">
        <v>192</v>
      </c>
      <c r="AQ16" s="121" t="s">
        <v>195</v>
      </c>
    </row>
    <row r="17" spans="1:43" x14ac:dyDescent="0.3">
      <c r="A17" s="121" t="s">
        <v>6</v>
      </c>
      <c r="B17" s="121" t="s">
        <v>53</v>
      </c>
      <c r="C17" s="121" t="s">
        <v>54</v>
      </c>
      <c r="D17" s="121" t="s">
        <v>55</v>
      </c>
      <c r="E17" s="121" t="s">
        <v>56</v>
      </c>
      <c r="F17" s="121">
        <v>2</v>
      </c>
      <c r="G17" s="121">
        <v>3000</v>
      </c>
      <c r="H17" s="122">
        <v>46164</v>
      </c>
      <c r="I17" s="121">
        <v>3802</v>
      </c>
      <c r="J17" s="121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  <c r="Y17" s="121">
        <v>0</v>
      </c>
      <c r="Z17" s="121">
        <v>0</v>
      </c>
      <c r="AA17" s="121">
        <v>0</v>
      </c>
      <c r="AB17" s="121">
        <v>0</v>
      </c>
      <c r="AC17" s="121">
        <v>0</v>
      </c>
      <c r="AD17" s="121">
        <v>0</v>
      </c>
      <c r="AE17" s="121">
        <v>0</v>
      </c>
      <c r="AF17" s="121">
        <v>0</v>
      </c>
      <c r="AG17" s="121">
        <v>0</v>
      </c>
      <c r="AH17" s="121">
        <v>0</v>
      </c>
      <c r="AI17" s="121">
        <v>0</v>
      </c>
      <c r="AJ17" s="121">
        <v>0</v>
      </c>
      <c r="AK17" s="121">
        <v>3214</v>
      </c>
      <c r="AL17" s="121">
        <v>0</v>
      </c>
      <c r="AM17" s="121">
        <v>3214</v>
      </c>
      <c r="AN17" s="121">
        <v>0</v>
      </c>
      <c r="AO17" s="121">
        <v>588</v>
      </c>
      <c r="AP17" s="124" t="s">
        <v>194</v>
      </c>
      <c r="AQ17" s="121" t="s">
        <v>195</v>
      </c>
    </row>
    <row r="18" spans="1:43" x14ac:dyDescent="0.3">
      <c r="A18" s="121" t="s">
        <v>1</v>
      </c>
      <c r="B18" s="121" t="s">
        <v>57</v>
      </c>
      <c r="C18" s="121" t="s">
        <v>54</v>
      </c>
      <c r="D18" s="121" t="s">
        <v>58</v>
      </c>
      <c r="E18" s="121" t="s">
        <v>59</v>
      </c>
      <c r="F18" s="121">
        <v>1</v>
      </c>
      <c r="G18" s="121">
        <v>15000</v>
      </c>
      <c r="H18" s="122">
        <v>46171</v>
      </c>
      <c r="I18" s="121">
        <v>11000</v>
      </c>
      <c r="J18" s="121">
        <v>0</v>
      </c>
      <c r="K18" s="121">
        <v>0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  <c r="X18" s="121">
        <v>0</v>
      </c>
      <c r="Y18" s="121">
        <v>0</v>
      </c>
      <c r="Z18" s="121">
        <v>0</v>
      </c>
      <c r="AA18" s="121">
        <v>0</v>
      </c>
      <c r="AB18" s="121">
        <v>0</v>
      </c>
      <c r="AC18" s="121">
        <v>0</v>
      </c>
      <c r="AD18" s="121">
        <v>0</v>
      </c>
      <c r="AE18" s="121">
        <v>0</v>
      </c>
      <c r="AF18" s="121">
        <v>0</v>
      </c>
      <c r="AG18" s="121">
        <v>0</v>
      </c>
      <c r="AH18" s="121">
        <v>0</v>
      </c>
      <c r="AI18" s="121">
        <v>0</v>
      </c>
      <c r="AJ18" s="121">
        <v>0</v>
      </c>
      <c r="AK18" s="121">
        <v>0</v>
      </c>
      <c r="AL18" s="121">
        <v>0</v>
      </c>
      <c r="AM18" s="121">
        <v>0</v>
      </c>
      <c r="AN18" s="121">
        <v>0</v>
      </c>
      <c r="AO18" s="121">
        <v>11000</v>
      </c>
      <c r="AP18" s="124" t="s">
        <v>194</v>
      </c>
      <c r="AQ18" s="121" t="s">
        <v>195</v>
      </c>
    </row>
    <row r="19" spans="1:43" x14ac:dyDescent="0.3">
      <c r="A19" s="121" t="s">
        <v>2</v>
      </c>
      <c r="B19" s="121" t="s">
        <v>63</v>
      </c>
      <c r="C19" s="121" t="s">
        <v>54</v>
      </c>
      <c r="D19" s="121" t="s">
        <v>64</v>
      </c>
      <c r="E19" s="121" t="s">
        <v>59</v>
      </c>
      <c r="F19" s="121">
        <v>2</v>
      </c>
      <c r="G19" s="121">
        <v>15000</v>
      </c>
      <c r="H19" s="122">
        <v>46171</v>
      </c>
      <c r="I19" s="121">
        <v>8865</v>
      </c>
      <c r="J19" s="121">
        <v>0</v>
      </c>
      <c r="K19" s="121">
        <v>0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  <c r="Y19" s="121">
        <v>0</v>
      </c>
      <c r="Z19" s="121">
        <v>0</v>
      </c>
      <c r="AA19" s="121">
        <v>0</v>
      </c>
      <c r="AB19" s="121">
        <v>0</v>
      </c>
      <c r="AC19" s="121">
        <v>0</v>
      </c>
      <c r="AD19" s="121">
        <v>0</v>
      </c>
      <c r="AE19" s="121">
        <v>0</v>
      </c>
      <c r="AF19" s="121">
        <v>0</v>
      </c>
      <c r="AG19" s="121">
        <v>0</v>
      </c>
      <c r="AH19" s="121">
        <v>0</v>
      </c>
      <c r="AI19" s="121">
        <v>0</v>
      </c>
      <c r="AJ19" s="121">
        <v>0</v>
      </c>
      <c r="AK19" s="121">
        <v>6330</v>
      </c>
      <c r="AL19" s="121">
        <v>0</v>
      </c>
      <c r="AM19" s="121">
        <v>6330</v>
      </c>
      <c r="AN19" s="121">
        <v>0</v>
      </c>
      <c r="AO19" s="121">
        <v>2535</v>
      </c>
      <c r="AP19" s="124" t="s">
        <v>194</v>
      </c>
      <c r="AQ19" s="121" t="s">
        <v>195</v>
      </c>
    </row>
    <row r="20" spans="1:43" x14ac:dyDescent="0.3">
      <c r="A20" s="121" t="s">
        <v>3</v>
      </c>
      <c r="B20" s="121" t="s">
        <v>65</v>
      </c>
      <c r="C20" s="121" t="s">
        <v>66</v>
      </c>
      <c r="D20" s="121" t="s">
        <v>67</v>
      </c>
      <c r="E20" s="121" t="s">
        <v>68</v>
      </c>
      <c r="F20" s="121">
        <v>1</v>
      </c>
      <c r="G20" s="121">
        <v>5000</v>
      </c>
      <c r="H20" s="122">
        <v>46171</v>
      </c>
      <c r="I20" s="121">
        <v>11782</v>
      </c>
      <c r="J20" s="121">
        <v>0</v>
      </c>
      <c r="K20" s="121">
        <v>0</v>
      </c>
      <c r="L20" s="121">
        <v>0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0</v>
      </c>
      <c r="Y20" s="121">
        <v>0</v>
      </c>
      <c r="Z20" s="121">
        <v>0</v>
      </c>
      <c r="AA20" s="121">
        <v>0</v>
      </c>
      <c r="AB20" s="121">
        <v>0</v>
      </c>
      <c r="AC20" s="121">
        <v>0</v>
      </c>
      <c r="AD20" s="121">
        <v>0</v>
      </c>
      <c r="AE20" s="121">
        <v>0</v>
      </c>
      <c r="AF20" s="121">
        <v>0</v>
      </c>
      <c r="AG20" s="121">
        <v>0</v>
      </c>
      <c r="AH20" s="121">
        <v>0</v>
      </c>
      <c r="AI20" s="121">
        <v>0</v>
      </c>
      <c r="AJ20" s="121">
        <v>0</v>
      </c>
      <c r="AK20" s="121">
        <v>9801</v>
      </c>
      <c r="AL20" s="121">
        <v>0</v>
      </c>
      <c r="AM20" s="121">
        <v>9801</v>
      </c>
      <c r="AN20" s="121">
        <v>0</v>
      </c>
      <c r="AO20" s="121">
        <v>1981</v>
      </c>
      <c r="AP20" s="124" t="s">
        <v>194</v>
      </c>
      <c r="AQ20" s="121" t="s">
        <v>195</v>
      </c>
    </row>
    <row r="21" spans="1:43" x14ac:dyDescent="0.3">
      <c r="A21" s="121" t="s">
        <v>4</v>
      </c>
      <c r="B21" s="121" t="s">
        <v>69</v>
      </c>
      <c r="C21" s="121" t="s">
        <v>66</v>
      </c>
      <c r="D21" s="121" t="s">
        <v>70</v>
      </c>
      <c r="E21" s="121" t="s">
        <v>68</v>
      </c>
      <c r="F21" s="121">
        <v>2</v>
      </c>
      <c r="G21" s="121">
        <v>5000</v>
      </c>
      <c r="H21" s="122">
        <v>46171</v>
      </c>
      <c r="I21" s="121">
        <v>5840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0</v>
      </c>
      <c r="U21" s="121">
        <v>0</v>
      </c>
      <c r="V21" s="121">
        <v>0</v>
      </c>
      <c r="W21" s="121">
        <v>0</v>
      </c>
      <c r="X21" s="121">
        <v>0</v>
      </c>
      <c r="Y21" s="121">
        <v>0</v>
      </c>
      <c r="Z21" s="121">
        <v>0</v>
      </c>
      <c r="AA21" s="121">
        <v>0</v>
      </c>
      <c r="AB21" s="121">
        <v>0</v>
      </c>
      <c r="AC21" s="121">
        <v>0</v>
      </c>
      <c r="AD21" s="121">
        <v>0</v>
      </c>
      <c r="AE21" s="121">
        <v>0</v>
      </c>
      <c r="AF21" s="121">
        <v>0</v>
      </c>
      <c r="AG21" s="121">
        <v>0</v>
      </c>
      <c r="AH21" s="121">
        <v>0</v>
      </c>
      <c r="AI21" s="121">
        <v>0</v>
      </c>
      <c r="AJ21" s="121">
        <v>0</v>
      </c>
      <c r="AK21" s="121">
        <v>0</v>
      </c>
      <c r="AL21" s="121">
        <v>0</v>
      </c>
      <c r="AM21" s="121">
        <v>0</v>
      </c>
      <c r="AN21" s="121">
        <v>0</v>
      </c>
      <c r="AO21" s="121">
        <v>5840</v>
      </c>
      <c r="AP21" s="124" t="s">
        <v>194</v>
      </c>
      <c r="AQ21" s="121" t="s">
        <v>195</v>
      </c>
    </row>
    <row r="22" spans="1:43" x14ac:dyDescent="0.3">
      <c r="A22" s="121" t="s">
        <v>6</v>
      </c>
      <c r="B22" s="121" t="s">
        <v>53</v>
      </c>
      <c r="C22" s="121" t="s">
        <v>54</v>
      </c>
      <c r="D22" s="121" t="s">
        <v>55</v>
      </c>
      <c r="E22" s="121" t="s">
        <v>56</v>
      </c>
      <c r="F22" s="121">
        <v>2</v>
      </c>
      <c r="G22" s="121">
        <v>3000</v>
      </c>
      <c r="H22" s="122">
        <v>46171</v>
      </c>
      <c r="I22" s="121">
        <v>4500</v>
      </c>
      <c r="J22" s="121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  <c r="X22" s="121">
        <v>0</v>
      </c>
      <c r="Y22" s="121">
        <v>0</v>
      </c>
      <c r="Z22" s="121">
        <v>0</v>
      </c>
      <c r="AA22" s="121">
        <v>0</v>
      </c>
      <c r="AB22" s="121">
        <v>0</v>
      </c>
      <c r="AC22" s="121">
        <v>0</v>
      </c>
      <c r="AD22" s="121">
        <v>0</v>
      </c>
      <c r="AE22" s="121">
        <v>0</v>
      </c>
      <c r="AF22" s="121">
        <v>0</v>
      </c>
      <c r="AG22" s="121">
        <v>0</v>
      </c>
      <c r="AH22" s="121">
        <v>0</v>
      </c>
      <c r="AI22" s="121">
        <v>0</v>
      </c>
      <c r="AJ22" s="121">
        <v>0</v>
      </c>
      <c r="AK22" s="121">
        <v>0</v>
      </c>
      <c r="AL22" s="121">
        <v>0</v>
      </c>
      <c r="AM22" s="121">
        <v>0</v>
      </c>
      <c r="AN22" s="121">
        <v>0</v>
      </c>
      <c r="AO22" s="121">
        <v>4500</v>
      </c>
      <c r="AP22" s="124" t="s">
        <v>194</v>
      </c>
      <c r="AQ22" s="121" t="s">
        <v>195</v>
      </c>
    </row>
  </sheetData>
  <autoFilter ref="A1:AQ2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"/>
  <sheetViews>
    <sheetView zoomScale="71" workbookViewId="0"/>
  </sheetViews>
  <sheetFormatPr defaultRowHeight="14.4" x14ac:dyDescent="0.3"/>
  <cols>
    <col min="2" max="2" width="12.109375" customWidth="1"/>
  </cols>
  <sheetData>
    <row r="1" spans="1:3" x14ac:dyDescent="0.3">
      <c r="A1" s="80" t="s">
        <v>92</v>
      </c>
      <c r="B1" s="80" t="s">
        <v>0</v>
      </c>
      <c r="C1" s="80" t="s">
        <v>196</v>
      </c>
    </row>
    <row r="2" spans="1:3" x14ac:dyDescent="0.3">
      <c r="A2" s="87" t="s">
        <v>1</v>
      </c>
      <c r="B2" s="101">
        <v>46125</v>
      </c>
      <c r="C2" s="89">
        <f>SUMPRODUCT((Scenario_Daily_Agg!$B$1:$AB$1&gt;=$B2)*(Scenario_Daily_Agg!$B$1:$AB$1&lt;$B2+7)*INDEX(Scenario_Daily_Agg!$B$2:$AB$7,MATCH($A2,Scenario_Daily_Agg!$A$2:$A$7,0),0))</f>
        <v>0</v>
      </c>
    </row>
    <row r="3" spans="1:3" x14ac:dyDescent="0.3">
      <c r="A3" s="87" t="s">
        <v>1</v>
      </c>
      <c r="B3" s="101">
        <v>46132</v>
      </c>
      <c r="C3" s="89">
        <f>SUMPRODUCT((Scenario_Daily_Agg!$B$1:$AB$1&gt;=$B3)*(Scenario_Daily_Agg!$B$1:$AB$1&lt;$B3+7)*INDEX(Scenario_Daily_Agg!$B$2:$AB$7,MATCH($A3,Scenario_Daily_Agg!$A$2:$A$7,0),0))</f>
        <v>5510</v>
      </c>
    </row>
    <row r="4" spans="1:3" x14ac:dyDescent="0.3">
      <c r="A4" s="87" t="s">
        <v>1</v>
      </c>
      <c r="B4" s="101">
        <v>46139</v>
      </c>
      <c r="C4" s="89">
        <f>SUMPRODUCT((Scenario_Daily_Agg!$B$1:$AB$1&gt;=$B4)*(Scenario_Daily_Agg!$B$1:$AB$1&lt;$B4+7)*INDEX(Scenario_Daily_Agg!$B$2:$AB$7,MATCH($A4,Scenario_Daily_Agg!$A$2:$A$7,0),0))</f>
        <v>7000</v>
      </c>
    </row>
    <row r="5" spans="1:3" x14ac:dyDescent="0.3">
      <c r="A5" s="87" t="s">
        <v>1</v>
      </c>
      <c r="B5" s="101">
        <v>46146</v>
      </c>
      <c r="C5" s="89">
        <f>SUMPRODUCT((Scenario_Daily_Agg!$B$1:$AB$1&gt;=$B5)*(Scenario_Daily_Agg!$B$1:$AB$1&lt;$B5+7)*INDEX(Scenario_Daily_Agg!$B$2:$AB$7,MATCH($A5,Scenario_Daily_Agg!$A$2:$A$7,0),0))</f>
        <v>15000</v>
      </c>
    </row>
    <row r="6" spans="1:3" x14ac:dyDescent="0.3">
      <c r="A6" s="87" t="s">
        <v>1</v>
      </c>
      <c r="B6" s="101">
        <v>46153</v>
      </c>
      <c r="C6" s="89">
        <f>SUMPRODUCT((Scenario_Daily_Agg!$B$1:$AB$1&gt;=$B6)*(Scenario_Daily_Agg!$B$1:$AB$1&lt;$B6+7)*INDEX(Scenario_Daily_Agg!$B$2:$AB$7,MATCH($A6,Scenario_Daily_Agg!$A$2:$A$7,0),0))</f>
        <v>12500</v>
      </c>
    </row>
    <row r="7" spans="1:3" x14ac:dyDescent="0.3">
      <c r="A7" s="87" t="s">
        <v>2</v>
      </c>
      <c r="B7" s="101">
        <v>46125</v>
      </c>
      <c r="C7" s="89">
        <f>SUMPRODUCT((Scenario_Daily_Agg!$B$1:$AB$1&gt;=$B7)*(Scenario_Daily_Agg!$B$1:$AB$1&lt;$B7+7)*INDEX(Scenario_Daily_Agg!$B$2:$AB$7,MATCH($A7,Scenario_Daily_Agg!$A$2:$A$7,0),0))</f>
        <v>10000</v>
      </c>
    </row>
    <row r="8" spans="1:3" x14ac:dyDescent="0.3">
      <c r="A8" s="87" t="s">
        <v>2</v>
      </c>
      <c r="B8" s="101">
        <v>46132</v>
      </c>
      <c r="C8" s="89">
        <f>SUMPRODUCT((Scenario_Daily_Agg!$B$1:$AB$1&gt;=$B8)*(Scenario_Daily_Agg!$B$1:$AB$1&lt;$B8+7)*INDEX(Scenario_Daily_Agg!$B$2:$AB$7,MATCH($A8,Scenario_Daily_Agg!$A$2:$A$7,0),0))</f>
        <v>9490</v>
      </c>
    </row>
    <row r="9" spans="1:3" x14ac:dyDescent="0.3">
      <c r="A9" s="87" t="s">
        <v>2</v>
      </c>
      <c r="B9" s="101">
        <v>46139</v>
      </c>
      <c r="C9" s="89">
        <f>SUMPRODUCT((Scenario_Daily_Agg!$B$1:$AB$1&gt;=$B9)*(Scenario_Daily_Agg!$B$1:$AB$1&lt;$B9+7)*INDEX(Scenario_Daily_Agg!$B$2:$AB$7,MATCH($A9,Scenario_Daily_Agg!$A$2:$A$7,0),0))</f>
        <v>8000</v>
      </c>
    </row>
    <row r="10" spans="1:3" x14ac:dyDescent="0.3">
      <c r="A10" s="87" t="s">
        <v>2</v>
      </c>
      <c r="B10" s="101">
        <v>46146</v>
      </c>
      <c r="C10" s="89">
        <f>SUMPRODUCT((Scenario_Daily_Agg!$B$1:$AB$1&gt;=$B10)*(Scenario_Daily_Agg!$B$1:$AB$1&lt;$B10+7)*INDEX(Scenario_Daily_Agg!$B$2:$AB$7,MATCH($A10,Scenario_Daily_Agg!$A$2:$A$7,0),0))</f>
        <v>0</v>
      </c>
    </row>
    <row r="11" spans="1:3" x14ac:dyDescent="0.3">
      <c r="A11" s="87" t="s">
        <v>2</v>
      </c>
      <c r="B11" s="101">
        <v>46153</v>
      </c>
      <c r="C11" s="89">
        <f>SUMPRODUCT((Scenario_Daily_Agg!$B$1:$AB$1&gt;=$B11)*(Scenario_Daily_Agg!$B$1:$AB$1&lt;$B11+7)*INDEX(Scenario_Daily_Agg!$B$2:$AB$7,MATCH($A11,Scenario_Daily_Agg!$A$2:$A$7,0),0))</f>
        <v>0</v>
      </c>
    </row>
    <row r="12" spans="1:3" x14ac:dyDescent="0.3">
      <c r="A12" s="87" t="s">
        <v>3</v>
      </c>
      <c r="B12" s="101">
        <v>46125</v>
      </c>
      <c r="C12" s="89">
        <f>SUMPRODUCT((Scenario_Daily_Agg!$B$1:$AB$1&gt;=$B12)*(Scenario_Daily_Agg!$B$1:$AB$1&lt;$B12+7)*INDEX(Scenario_Daily_Agg!$B$2:$AB$7,MATCH($A12,Scenario_Daily_Agg!$A$2:$A$7,0),0))</f>
        <v>3332</v>
      </c>
    </row>
    <row r="13" spans="1:3" x14ac:dyDescent="0.3">
      <c r="A13" s="87" t="s">
        <v>3</v>
      </c>
      <c r="B13" s="101">
        <v>46132</v>
      </c>
      <c r="C13" s="89">
        <f>SUMPRODUCT((Scenario_Daily_Agg!$B$1:$AB$1&gt;=$B13)*(Scenario_Daily_Agg!$B$1:$AB$1&lt;$B13+7)*INDEX(Scenario_Daily_Agg!$B$2:$AB$7,MATCH($A13,Scenario_Daily_Agg!$A$2:$A$7,0),0))</f>
        <v>4998</v>
      </c>
    </row>
    <row r="14" spans="1:3" x14ac:dyDescent="0.3">
      <c r="A14" s="87" t="s">
        <v>3</v>
      </c>
      <c r="B14" s="101">
        <v>46139</v>
      </c>
      <c r="C14" s="89">
        <f>SUMPRODUCT((Scenario_Daily_Agg!$B$1:$AB$1&gt;=$B14)*(Scenario_Daily_Agg!$B$1:$AB$1&lt;$B14+7)*INDEX(Scenario_Daily_Agg!$B$2:$AB$7,MATCH($A14,Scenario_Daily_Agg!$A$2:$A$7,0),0))</f>
        <v>4998</v>
      </c>
    </row>
    <row r="15" spans="1:3" x14ac:dyDescent="0.3">
      <c r="A15" s="87" t="s">
        <v>3</v>
      </c>
      <c r="B15" s="101">
        <v>46146</v>
      </c>
      <c r="C15" s="89">
        <f>SUMPRODUCT((Scenario_Daily_Agg!$B$1:$AB$1&gt;=$B15)*(Scenario_Daily_Agg!$B$1:$AB$1&lt;$B15+7)*INDEX(Scenario_Daily_Agg!$B$2:$AB$7,MATCH($A15,Scenario_Daily_Agg!$A$2:$A$7,0),0))</f>
        <v>4998</v>
      </c>
    </row>
    <row r="16" spans="1:3" x14ac:dyDescent="0.3">
      <c r="A16" s="87" t="s">
        <v>3</v>
      </c>
      <c r="B16" s="101">
        <v>46153</v>
      </c>
      <c r="C16" s="89">
        <f>SUMPRODUCT((Scenario_Daily_Agg!$B$1:$AB$1&gt;=$B16)*(Scenario_Daily_Agg!$B$1:$AB$1&lt;$B16+7)*INDEX(Scenario_Daily_Agg!$B$2:$AB$7,MATCH($A16,Scenario_Daily_Agg!$A$2:$A$7,0),0))</f>
        <v>4165</v>
      </c>
    </row>
    <row r="17" spans="1:3" x14ac:dyDescent="0.3">
      <c r="A17" s="87" t="s">
        <v>4</v>
      </c>
      <c r="B17" s="101">
        <v>46125</v>
      </c>
      <c r="C17" s="89">
        <f>SUMPRODUCT((Scenario_Daily_Agg!$B$1:$AB$1&gt;=$B17)*(Scenario_Daily_Agg!$B$1:$AB$1&lt;$B17+7)*INDEX(Scenario_Daily_Agg!$B$2:$AB$7,MATCH($A17,Scenario_Daily_Agg!$A$2:$A$7,0),0))</f>
        <v>0</v>
      </c>
    </row>
    <row r="18" spans="1:3" x14ac:dyDescent="0.3">
      <c r="A18" s="87" t="s">
        <v>4</v>
      </c>
      <c r="B18" s="101">
        <v>46132</v>
      </c>
      <c r="C18" s="89">
        <f>SUMPRODUCT((Scenario_Daily_Agg!$B$1:$AB$1&gt;=$B18)*(Scenario_Daily_Agg!$B$1:$AB$1&lt;$B18+7)*INDEX(Scenario_Daily_Agg!$B$2:$AB$7,MATCH($A18,Scenario_Daily_Agg!$A$2:$A$7,0),0))</f>
        <v>0</v>
      </c>
    </row>
    <row r="19" spans="1:3" x14ac:dyDescent="0.3">
      <c r="A19" s="87" t="s">
        <v>4</v>
      </c>
      <c r="B19" s="101">
        <v>46139</v>
      </c>
      <c r="C19" s="89">
        <f>SUMPRODUCT((Scenario_Daily_Agg!$B$1:$AB$1&gt;=$B19)*(Scenario_Daily_Agg!$B$1:$AB$1&lt;$B19+7)*INDEX(Scenario_Daily_Agg!$B$2:$AB$7,MATCH($A19,Scenario_Daily_Agg!$A$2:$A$7,0),0))</f>
        <v>0</v>
      </c>
    </row>
    <row r="20" spans="1:3" x14ac:dyDescent="0.3">
      <c r="A20" s="87" t="s">
        <v>4</v>
      </c>
      <c r="B20" s="101">
        <v>46146</v>
      </c>
      <c r="C20" s="89">
        <f>SUMPRODUCT((Scenario_Daily_Agg!$B$1:$AB$1&gt;=$B20)*(Scenario_Daily_Agg!$B$1:$AB$1&lt;$B20+7)*INDEX(Scenario_Daily_Agg!$B$2:$AB$7,MATCH($A20,Scenario_Daily_Agg!$A$2:$A$7,0),0))</f>
        <v>0</v>
      </c>
    </row>
    <row r="21" spans="1:3" x14ac:dyDescent="0.3">
      <c r="A21" s="87" t="s">
        <v>4</v>
      </c>
      <c r="B21" s="101">
        <v>46153</v>
      </c>
      <c r="C21" s="89">
        <f>SUMPRODUCT((Scenario_Daily_Agg!$B$1:$AB$1&gt;=$B21)*(Scenario_Daily_Agg!$B$1:$AB$1&lt;$B21+7)*INDEX(Scenario_Daily_Agg!$B$2:$AB$7,MATCH($A21,Scenario_Daily_Agg!$A$2:$A$7,0),0))</f>
        <v>0</v>
      </c>
    </row>
    <row r="22" spans="1:3" x14ac:dyDescent="0.3">
      <c r="A22" s="87" t="s">
        <v>5</v>
      </c>
      <c r="B22" s="101">
        <v>46125</v>
      </c>
      <c r="C22" s="89">
        <f>SUMPRODUCT((Scenario_Daily_Agg!$B$1:$AB$1&gt;=$B22)*(Scenario_Daily_Agg!$B$1:$AB$1&lt;$B22+7)*INDEX(Scenario_Daily_Agg!$B$2:$AB$7,MATCH($A22,Scenario_Daily_Agg!$A$2:$A$7,0),0))</f>
        <v>0</v>
      </c>
    </row>
    <row r="23" spans="1:3" x14ac:dyDescent="0.3">
      <c r="A23" s="87" t="s">
        <v>5</v>
      </c>
      <c r="B23" s="101">
        <v>46132</v>
      </c>
      <c r="C23" s="89">
        <f>SUMPRODUCT((Scenario_Daily_Agg!$B$1:$AB$1&gt;=$B23)*(Scenario_Daily_Agg!$B$1:$AB$1&lt;$B23+7)*INDEX(Scenario_Daily_Agg!$B$2:$AB$7,MATCH($A23,Scenario_Daily_Agg!$A$2:$A$7,0),0))</f>
        <v>500</v>
      </c>
    </row>
    <row r="24" spans="1:3" x14ac:dyDescent="0.3">
      <c r="A24" s="87" t="s">
        <v>5</v>
      </c>
      <c r="B24" s="101">
        <v>46139</v>
      </c>
      <c r="C24" s="89">
        <f>SUMPRODUCT((Scenario_Daily_Agg!$B$1:$AB$1&gt;=$B24)*(Scenario_Daily_Agg!$B$1:$AB$1&lt;$B24+7)*INDEX(Scenario_Daily_Agg!$B$2:$AB$7,MATCH($A24,Scenario_Daily_Agg!$A$2:$A$7,0),0))</f>
        <v>970</v>
      </c>
    </row>
    <row r="25" spans="1:3" x14ac:dyDescent="0.3">
      <c r="A25" s="87" t="s">
        <v>5</v>
      </c>
      <c r="B25" s="101">
        <v>46146</v>
      </c>
      <c r="C25" s="89">
        <f>SUMPRODUCT((Scenario_Daily_Agg!$B$1:$AB$1&gt;=$B25)*(Scenario_Daily_Agg!$B$1:$AB$1&lt;$B25+7)*INDEX(Scenario_Daily_Agg!$B$2:$AB$7,MATCH($A25,Scenario_Daily_Agg!$A$2:$A$7,0),0))</f>
        <v>0</v>
      </c>
    </row>
    <row r="26" spans="1:3" x14ac:dyDescent="0.3">
      <c r="A26" s="87" t="s">
        <v>5</v>
      </c>
      <c r="B26" s="101">
        <v>46153</v>
      </c>
      <c r="C26" s="89">
        <f>SUMPRODUCT((Scenario_Daily_Agg!$B$1:$AB$1&gt;=$B26)*(Scenario_Daily_Agg!$B$1:$AB$1&lt;$B26+7)*INDEX(Scenario_Daily_Agg!$B$2:$AB$7,MATCH($A26,Scenario_Daily_Agg!$A$2:$A$7,0),0))</f>
        <v>0</v>
      </c>
    </row>
    <row r="27" spans="1:3" x14ac:dyDescent="0.3">
      <c r="A27" s="87" t="s">
        <v>6</v>
      </c>
      <c r="B27" s="101">
        <v>46125</v>
      </c>
      <c r="C27" s="89">
        <f>SUMPRODUCT((Scenario_Daily_Agg!$B$1:$AB$1&gt;=$B27)*(Scenario_Daily_Agg!$B$1:$AB$1&lt;$B27+7)*INDEX(Scenario_Daily_Agg!$B$2:$AB$7,MATCH($A27,Scenario_Daily_Agg!$A$2:$A$7,0),0))</f>
        <v>2000</v>
      </c>
    </row>
    <row r="28" spans="1:3" x14ac:dyDescent="0.3">
      <c r="A28" s="87" t="s">
        <v>6</v>
      </c>
      <c r="B28" s="101">
        <v>46132</v>
      </c>
      <c r="C28" s="89">
        <f>SUMPRODUCT((Scenario_Daily_Agg!$B$1:$AB$1&gt;=$B28)*(Scenario_Daily_Agg!$B$1:$AB$1&lt;$B28+7)*INDEX(Scenario_Daily_Agg!$B$2:$AB$7,MATCH($A28,Scenario_Daily_Agg!$A$2:$A$7,0),0))</f>
        <v>2500</v>
      </c>
    </row>
    <row r="29" spans="1:3" x14ac:dyDescent="0.3">
      <c r="A29" s="87" t="s">
        <v>6</v>
      </c>
      <c r="B29" s="101">
        <v>46139</v>
      </c>
      <c r="C29" s="89">
        <f>SUMPRODUCT((Scenario_Daily_Agg!$B$1:$AB$1&gt;=$B29)*(Scenario_Daily_Agg!$B$1:$AB$1&lt;$B29+7)*INDEX(Scenario_Daily_Agg!$B$2:$AB$7,MATCH($A29,Scenario_Daily_Agg!$A$2:$A$7,0),0))</f>
        <v>2030</v>
      </c>
    </row>
    <row r="30" spans="1:3" x14ac:dyDescent="0.3">
      <c r="A30" s="87" t="s">
        <v>6</v>
      </c>
      <c r="B30" s="101">
        <v>46146</v>
      </c>
      <c r="C30" s="89">
        <f>SUMPRODUCT((Scenario_Daily_Agg!$B$1:$AB$1&gt;=$B30)*(Scenario_Daily_Agg!$B$1:$AB$1&lt;$B30+7)*INDEX(Scenario_Daily_Agg!$B$2:$AB$7,MATCH($A30,Scenario_Daily_Agg!$A$2:$A$7,0),0))</f>
        <v>3000</v>
      </c>
    </row>
    <row r="31" spans="1:3" x14ac:dyDescent="0.3">
      <c r="A31" s="87" t="s">
        <v>6</v>
      </c>
      <c r="B31" s="101">
        <v>46153</v>
      </c>
      <c r="C31" s="89">
        <f>SUMPRODUCT((Scenario_Daily_Agg!$B$1:$AB$1&gt;=$B31)*(Scenario_Daily_Agg!$B$1:$AB$1&lt;$B31+7)*INDEX(Scenario_Daily_Agg!$B$2:$AB$7,MATCH($A31,Scenario_Daily_Agg!$A$2:$A$7,0),0))</f>
        <v>2500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8"/>
  <sheetViews>
    <sheetView zoomScale="51" workbookViewId="0"/>
  </sheetViews>
  <sheetFormatPr defaultRowHeight="14.4" x14ac:dyDescent="0.3"/>
  <cols>
    <col min="1" max="1" width="10" customWidth="1"/>
    <col min="2" max="2" width="12" customWidth="1"/>
    <col min="3" max="3" width="10" customWidth="1"/>
    <col min="4" max="5" width="13" customWidth="1"/>
    <col min="6" max="6" width="15" customWidth="1"/>
    <col min="7" max="7" width="12" customWidth="1"/>
    <col min="8" max="9" width="14" customWidth="1"/>
    <col min="10" max="10" width="17" customWidth="1"/>
    <col min="11" max="11" width="16" customWidth="1"/>
  </cols>
  <sheetData>
    <row r="1" spans="1:11" x14ac:dyDescent="0.3">
      <c r="A1" s="125" t="s">
        <v>197</v>
      </c>
      <c r="B1" s="125" t="s">
        <v>198</v>
      </c>
      <c r="C1" s="125" t="s">
        <v>199</v>
      </c>
      <c r="D1" s="125" t="s">
        <v>200</v>
      </c>
      <c r="E1" s="125" t="s">
        <v>201</v>
      </c>
      <c r="F1" s="125" t="s">
        <v>202</v>
      </c>
      <c r="G1" s="125" t="s">
        <v>203</v>
      </c>
      <c r="H1" s="125" t="s">
        <v>204</v>
      </c>
      <c r="I1" s="125" t="s">
        <v>205</v>
      </c>
      <c r="J1" s="125" t="s">
        <v>206</v>
      </c>
      <c r="K1" s="125" t="s">
        <v>207</v>
      </c>
    </row>
    <row r="2" spans="1:11" x14ac:dyDescent="0.3">
      <c r="A2" s="126">
        <v>1</v>
      </c>
      <c r="B2" s="127">
        <v>46127</v>
      </c>
      <c r="C2" s="126">
        <v>0</v>
      </c>
      <c r="D2" s="126">
        <v>0</v>
      </c>
      <c r="E2" s="126">
        <v>0</v>
      </c>
      <c r="F2" s="126">
        <v>0</v>
      </c>
      <c r="G2" s="126">
        <v>0</v>
      </c>
      <c r="H2" s="126">
        <v>0</v>
      </c>
      <c r="I2" s="126">
        <v>0</v>
      </c>
      <c r="J2" s="126">
        <v>0</v>
      </c>
      <c r="K2" s="126">
        <v>0</v>
      </c>
    </row>
    <row r="3" spans="1:11" x14ac:dyDescent="0.3">
      <c r="A3" s="126">
        <v>2</v>
      </c>
      <c r="B3" s="127">
        <v>46128</v>
      </c>
      <c r="C3" s="126">
        <v>1</v>
      </c>
      <c r="D3" s="126">
        <v>0</v>
      </c>
      <c r="E3" s="126">
        <v>0</v>
      </c>
      <c r="F3" s="126">
        <v>0</v>
      </c>
      <c r="G3" s="126">
        <v>0</v>
      </c>
      <c r="H3" s="126">
        <v>0</v>
      </c>
      <c r="I3" s="126">
        <v>0</v>
      </c>
      <c r="J3" s="126">
        <v>0</v>
      </c>
      <c r="K3" s="126">
        <v>0</v>
      </c>
    </row>
    <row r="4" spans="1:11" x14ac:dyDescent="0.3">
      <c r="A4" s="126">
        <v>3</v>
      </c>
      <c r="B4" s="127">
        <v>46129</v>
      </c>
      <c r="C4" s="126">
        <v>2</v>
      </c>
      <c r="D4" s="126">
        <v>0</v>
      </c>
      <c r="E4" s="126">
        <v>0</v>
      </c>
      <c r="F4" s="126">
        <v>0</v>
      </c>
      <c r="G4" s="126">
        <v>0</v>
      </c>
      <c r="H4" s="126">
        <v>0</v>
      </c>
      <c r="I4" s="126">
        <v>0</v>
      </c>
      <c r="J4" s="126">
        <v>0</v>
      </c>
      <c r="K4" s="126">
        <v>0</v>
      </c>
    </row>
    <row r="5" spans="1:11" x14ac:dyDescent="0.3">
      <c r="A5" s="121">
        <v>4</v>
      </c>
      <c r="B5" s="122">
        <v>46130</v>
      </c>
      <c r="C5" s="121">
        <v>3</v>
      </c>
      <c r="D5" s="121">
        <v>4000</v>
      </c>
      <c r="E5" s="121">
        <v>0</v>
      </c>
      <c r="F5" s="121">
        <v>0</v>
      </c>
      <c r="G5" s="121">
        <v>4000</v>
      </c>
      <c r="H5" s="121">
        <v>0</v>
      </c>
      <c r="I5" s="121">
        <v>0</v>
      </c>
      <c r="J5" s="121">
        <v>0</v>
      </c>
      <c r="K5" s="121">
        <v>4000</v>
      </c>
    </row>
    <row r="6" spans="1:11" x14ac:dyDescent="0.3">
      <c r="A6" s="121">
        <v>5</v>
      </c>
      <c r="B6" s="122">
        <v>46132</v>
      </c>
      <c r="C6" s="121">
        <v>5</v>
      </c>
      <c r="D6" s="121">
        <v>0</v>
      </c>
      <c r="E6" s="121">
        <v>0</v>
      </c>
      <c r="F6" s="121">
        <v>0</v>
      </c>
      <c r="G6" s="121">
        <v>4000</v>
      </c>
      <c r="H6" s="121">
        <v>510</v>
      </c>
      <c r="I6" s="121">
        <v>510</v>
      </c>
      <c r="J6" s="121">
        <v>1020</v>
      </c>
      <c r="K6" s="121">
        <v>2980</v>
      </c>
    </row>
    <row r="7" spans="1:11" x14ac:dyDescent="0.3">
      <c r="A7" s="121">
        <v>6</v>
      </c>
      <c r="B7" s="122">
        <v>46133</v>
      </c>
      <c r="C7" s="121">
        <v>6</v>
      </c>
      <c r="D7" s="121">
        <v>0</v>
      </c>
      <c r="E7" s="121">
        <v>0</v>
      </c>
      <c r="F7" s="121">
        <v>0</v>
      </c>
      <c r="G7" s="121">
        <v>4000</v>
      </c>
      <c r="H7" s="121">
        <v>0</v>
      </c>
      <c r="I7" s="121">
        <v>510</v>
      </c>
      <c r="J7" s="121">
        <v>1020</v>
      </c>
      <c r="K7" s="121">
        <v>2980</v>
      </c>
    </row>
    <row r="8" spans="1:11" x14ac:dyDescent="0.3">
      <c r="A8" s="121">
        <v>7</v>
      </c>
      <c r="B8" s="122">
        <v>46134</v>
      </c>
      <c r="C8" s="121">
        <v>7</v>
      </c>
      <c r="D8" s="121">
        <v>2020</v>
      </c>
      <c r="E8" s="121">
        <v>0</v>
      </c>
      <c r="F8" s="121">
        <v>0</v>
      </c>
      <c r="G8" s="121">
        <v>6020</v>
      </c>
      <c r="H8" s="121">
        <v>2500</v>
      </c>
      <c r="I8" s="121">
        <v>3010</v>
      </c>
      <c r="J8" s="121">
        <v>6020</v>
      </c>
      <c r="K8" s="121">
        <v>0</v>
      </c>
    </row>
    <row r="9" spans="1:11" x14ac:dyDescent="0.3">
      <c r="A9" s="121">
        <v>8</v>
      </c>
      <c r="B9" s="122">
        <v>46135</v>
      </c>
      <c r="C9" s="121">
        <v>8</v>
      </c>
      <c r="D9" s="121">
        <v>4000</v>
      </c>
      <c r="E9" s="121">
        <v>0</v>
      </c>
      <c r="F9" s="121">
        <v>0</v>
      </c>
      <c r="G9" s="121">
        <v>10020</v>
      </c>
      <c r="H9" s="121">
        <v>0</v>
      </c>
      <c r="I9" s="121">
        <v>3010</v>
      </c>
      <c r="J9" s="121">
        <v>6020</v>
      </c>
      <c r="K9" s="121">
        <v>4000</v>
      </c>
    </row>
    <row r="10" spans="1:11" x14ac:dyDescent="0.3">
      <c r="A10" s="121">
        <v>9</v>
      </c>
      <c r="B10" s="122">
        <v>46136</v>
      </c>
      <c r="C10" s="121">
        <v>9</v>
      </c>
      <c r="D10" s="121">
        <v>0</v>
      </c>
      <c r="E10" s="121">
        <v>0</v>
      </c>
      <c r="F10" s="121">
        <v>0</v>
      </c>
      <c r="G10" s="121">
        <v>10020</v>
      </c>
      <c r="H10" s="121">
        <v>0</v>
      </c>
      <c r="I10" s="121">
        <v>3010</v>
      </c>
      <c r="J10" s="121">
        <v>6020</v>
      </c>
      <c r="K10" s="121">
        <v>4000</v>
      </c>
    </row>
    <row r="11" spans="1:11" x14ac:dyDescent="0.3">
      <c r="A11" s="121">
        <v>10</v>
      </c>
      <c r="B11" s="122">
        <v>46137</v>
      </c>
      <c r="C11" s="121">
        <v>10</v>
      </c>
      <c r="D11" s="121">
        <v>4000</v>
      </c>
      <c r="E11" s="121">
        <v>0</v>
      </c>
      <c r="F11" s="121">
        <v>0</v>
      </c>
      <c r="G11" s="121">
        <v>14020</v>
      </c>
      <c r="H11" s="121">
        <v>2500</v>
      </c>
      <c r="I11" s="121">
        <v>5510</v>
      </c>
      <c r="J11" s="121">
        <v>11020</v>
      </c>
      <c r="K11" s="121">
        <v>3000</v>
      </c>
    </row>
    <row r="12" spans="1:11" x14ac:dyDescent="0.3">
      <c r="A12" s="121">
        <v>11</v>
      </c>
      <c r="B12" s="122">
        <v>46139</v>
      </c>
      <c r="C12" s="121">
        <v>12</v>
      </c>
      <c r="D12" s="121">
        <v>3000</v>
      </c>
      <c r="E12" s="121">
        <v>0</v>
      </c>
      <c r="F12" s="121">
        <v>0</v>
      </c>
      <c r="G12" s="121">
        <v>17020</v>
      </c>
      <c r="H12" s="121">
        <v>2500</v>
      </c>
      <c r="I12" s="121">
        <v>8010</v>
      </c>
      <c r="J12" s="121">
        <v>16020</v>
      </c>
      <c r="K12" s="121">
        <v>1000</v>
      </c>
    </row>
    <row r="13" spans="1:11" x14ac:dyDescent="0.3">
      <c r="A13" s="121">
        <v>12</v>
      </c>
      <c r="B13" s="122">
        <v>46140</v>
      </c>
      <c r="C13" s="121">
        <v>13</v>
      </c>
      <c r="D13" s="121">
        <v>0</v>
      </c>
      <c r="E13" s="121">
        <v>0</v>
      </c>
      <c r="F13" s="121">
        <v>0</v>
      </c>
      <c r="G13" s="121">
        <v>17020</v>
      </c>
      <c r="H13" s="121">
        <v>0</v>
      </c>
      <c r="I13" s="121">
        <v>8010</v>
      </c>
      <c r="J13" s="121">
        <v>16020</v>
      </c>
      <c r="K13" s="121">
        <v>1000</v>
      </c>
    </row>
    <row r="14" spans="1:11" x14ac:dyDescent="0.3">
      <c r="A14" s="121">
        <v>13</v>
      </c>
      <c r="B14" s="122">
        <v>46141</v>
      </c>
      <c r="C14" s="121">
        <v>14</v>
      </c>
      <c r="D14" s="121">
        <v>0</v>
      </c>
      <c r="E14" s="121">
        <v>0</v>
      </c>
      <c r="F14" s="121">
        <v>0</v>
      </c>
      <c r="G14" s="121">
        <v>17020</v>
      </c>
      <c r="H14" s="121">
        <v>0</v>
      </c>
      <c r="I14" s="121">
        <v>8010</v>
      </c>
      <c r="J14" s="121">
        <v>16020</v>
      </c>
      <c r="K14" s="121">
        <v>1000</v>
      </c>
    </row>
    <row r="15" spans="1:11" x14ac:dyDescent="0.3">
      <c r="A15" s="121">
        <v>14</v>
      </c>
      <c r="B15" s="122">
        <v>46142</v>
      </c>
      <c r="C15" s="121">
        <v>15</v>
      </c>
      <c r="D15" s="121">
        <v>0</v>
      </c>
      <c r="E15" s="121">
        <v>0</v>
      </c>
      <c r="F15" s="121">
        <v>0</v>
      </c>
      <c r="G15" s="121">
        <v>17020</v>
      </c>
      <c r="H15" s="121">
        <v>0</v>
      </c>
      <c r="I15" s="121">
        <v>8010</v>
      </c>
      <c r="J15" s="121">
        <v>16020</v>
      </c>
      <c r="K15" s="121">
        <v>1000</v>
      </c>
    </row>
    <row r="16" spans="1:11" x14ac:dyDescent="0.3">
      <c r="A16" s="121">
        <v>15</v>
      </c>
      <c r="B16" s="122">
        <v>46143</v>
      </c>
      <c r="C16" s="121">
        <v>16</v>
      </c>
      <c r="D16" s="121">
        <v>4000</v>
      </c>
      <c r="E16" s="121">
        <v>0</v>
      </c>
      <c r="F16" s="121">
        <v>0</v>
      </c>
      <c r="G16" s="121">
        <v>21020</v>
      </c>
      <c r="H16" s="121">
        <v>2500</v>
      </c>
      <c r="I16" s="121">
        <v>10510</v>
      </c>
      <c r="J16" s="121">
        <v>21020</v>
      </c>
      <c r="K16" s="121">
        <v>0</v>
      </c>
    </row>
    <row r="17" spans="1:11" x14ac:dyDescent="0.3">
      <c r="A17" s="121">
        <v>16</v>
      </c>
      <c r="B17" s="122">
        <v>46144</v>
      </c>
      <c r="C17" s="121">
        <v>17</v>
      </c>
      <c r="D17" s="121">
        <v>4000</v>
      </c>
      <c r="E17" s="121">
        <v>0</v>
      </c>
      <c r="F17" s="121">
        <v>0</v>
      </c>
      <c r="G17" s="121">
        <v>25020</v>
      </c>
      <c r="H17" s="121">
        <v>2000</v>
      </c>
      <c r="I17" s="121">
        <v>12510</v>
      </c>
      <c r="J17" s="121">
        <v>25020</v>
      </c>
      <c r="K17" s="121">
        <v>0</v>
      </c>
    </row>
    <row r="18" spans="1:11" x14ac:dyDescent="0.3">
      <c r="A18" s="121">
        <v>17</v>
      </c>
      <c r="B18" s="122">
        <v>46146</v>
      </c>
      <c r="C18" s="121">
        <v>19</v>
      </c>
      <c r="D18" s="121">
        <v>4000</v>
      </c>
      <c r="E18" s="121">
        <v>0</v>
      </c>
      <c r="F18" s="121">
        <v>0</v>
      </c>
      <c r="G18" s="121">
        <v>31020</v>
      </c>
      <c r="H18" s="121">
        <v>2500</v>
      </c>
      <c r="I18" s="121">
        <v>15010</v>
      </c>
      <c r="J18" s="121">
        <v>30020</v>
      </c>
      <c r="K18" s="121">
        <v>1000</v>
      </c>
    </row>
    <row r="19" spans="1:11" x14ac:dyDescent="0.3">
      <c r="A19" s="121">
        <v>18</v>
      </c>
      <c r="B19" s="122">
        <v>46147</v>
      </c>
      <c r="C19" s="121">
        <v>20</v>
      </c>
      <c r="D19" s="121">
        <v>4000</v>
      </c>
      <c r="E19" s="121">
        <v>0</v>
      </c>
      <c r="F19" s="121">
        <v>0</v>
      </c>
      <c r="G19" s="121">
        <v>35020</v>
      </c>
      <c r="H19" s="121">
        <v>2500</v>
      </c>
      <c r="I19" s="121">
        <v>17510</v>
      </c>
      <c r="J19" s="121">
        <v>35020</v>
      </c>
      <c r="K19" s="121">
        <v>0</v>
      </c>
    </row>
    <row r="20" spans="1:11" x14ac:dyDescent="0.3">
      <c r="A20" s="121">
        <v>19</v>
      </c>
      <c r="B20" s="122">
        <v>46148</v>
      </c>
      <c r="C20" s="121">
        <v>21</v>
      </c>
      <c r="D20" s="121">
        <v>0</v>
      </c>
      <c r="E20" s="121">
        <v>0</v>
      </c>
      <c r="F20" s="121">
        <v>370000</v>
      </c>
      <c r="G20" s="121">
        <v>405020</v>
      </c>
      <c r="H20" s="121">
        <v>2500</v>
      </c>
      <c r="I20" s="121">
        <v>20010</v>
      </c>
      <c r="J20" s="121">
        <v>40020</v>
      </c>
      <c r="K20" s="121">
        <v>365000</v>
      </c>
    </row>
    <row r="21" spans="1:11" x14ac:dyDescent="0.3">
      <c r="A21" s="121">
        <v>20</v>
      </c>
      <c r="B21" s="122">
        <v>46149</v>
      </c>
      <c r="C21" s="121">
        <v>22</v>
      </c>
      <c r="D21" s="121">
        <v>0</v>
      </c>
      <c r="E21" s="121">
        <v>0</v>
      </c>
      <c r="F21" s="121">
        <v>370000</v>
      </c>
      <c r="G21" s="121">
        <v>405020</v>
      </c>
      <c r="H21" s="121">
        <v>2500</v>
      </c>
      <c r="I21" s="121">
        <v>22510</v>
      </c>
      <c r="J21" s="121">
        <v>45020</v>
      </c>
      <c r="K21" s="121">
        <v>360000</v>
      </c>
    </row>
    <row r="22" spans="1:11" x14ac:dyDescent="0.3">
      <c r="A22" s="121">
        <v>21</v>
      </c>
      <c r="B22" s="122">
        <v>46150</v>
      </c>
      <c r="C22" s="121">
        <v>23</v>
      </c>
      <c r="D22" s="121">
        <v>0</v>
      </c>
      <c r="E22" s="121">
        <v>0</v>
      </c>
      <c r="F22" s="121">
        <v>370000</v>
      </c>
      <c r="G22" s="121">
        <v>405020</v>
      </c>
      <c r="H22" s="121">
        <v>2500</v>
      </c>
      <c r="I22" s="121">
        <v>25010</v>
      </c>
      <c r="J22" s="121">
        <v>50020</v>
      </c>
      <c r="K22" s="121">
        <v>355000</v>
      </c>
    </row>
    <row r="23" spans="1:11" x14ac:dyDescent="0.3">
      <c r="A23" s="121">
        <v>22</v>
      </c>
      <c r="B23" s="122">
        <v>46151</v>
      </c>
      <c r="C23" s="121">
        <v>24</v>
      </c>
      <c r="D23" s="121">
        <v>0</v>
      </c>
      <c r="E23" s="121">
        <v>0</v>
      </c>
      <c r="F23" s="121">
        <v>370000</v>
      </c>
      <c r="G23" s="121">
        <v>405020</v>
      </c>
      <c r="H23" s="121">
        <v>2500</v>
      </c>
      <c r="I23" s="121">
        <v>27510</v>
      </c>
      <c r="J23" s="121">
        <v>55020</v>
      </c>
      <c r="K23" s="121">
        <v>350000</v>
      </c>
    </row>
    <row r="24" spans="1:11" x14ac:dyDescent="0.3">
      <c r="A24" s="121">
        <v>23</v>
      </c>
      <c r="B24" s="122">
        <v>46153</v>
      </c>
      <c r="C24" s="121">
        <v>26</v>
      </c>
      <c r="D24" s="121">
        <v>0</v>
      </c>
      <c r="E24" s="121">
        <v>0</v>
      </c>
      <c r="F24" s="121">
        <v>370000</v>
      </c>
      <c r="G24" s="121">
        <v>405020</v>
      </c>
      <c r="H24" s="121">
        <v>2500</v>
      </c>
      <c r="I24" s="121">
        <v>30010</v>
      </c>
      <c r="J24" s="121">
        <v>60020</v>
      </c>
      <c r="K24" s="121">
        <v>345000</v>
      </c>
    </row>
    <row r="25" spans="1:11" x14ac:dyDescent="0.3">
      <c r="A25" s="121">
        <v>24</v>
      </c>
      <c r="B25" s="122">
        <v>46154</v>
      </c>
      <c r="C25" s="121">
        <v>27</v>
      </c>
      <c r="D25" s="121">
        <v>0</v>
      </c>
      <c r="E25" s="121">
        <v>0</v>
      </c>
      <c r="F25" s="121">
        <v>370000</v>
      </c>
      <c r="G25" s="121">
        <v>405020</v>
      </c>
      <c r="H25" s="121">
        <v>2500</v>
      </c>
      <c r="I25" s="121">
        <v>32510</v>
      </c>
      <c r="J25" s="121">
        <v>65020</v>
      </c>
      <c r="K25" s="121">
        <v>340000</v>
      </c>
    </row>
    <row r="26" spans="1:11" x14ac:dyDescent="0.3">
      <c r="A26" s="121">
        <v>25</v>
      </c>
      <c r="B26" s="122">
        <v>46155</v>
      </c>
      <c r="C26" s="121">
        <v>28</v>
      </c>
      <c r="D26" s="121">
        <v>0</v>
      </c>
      <c r="E26" s="121">
        <v>0</v>
      </c>
      <c r="F26" s="121">
        <v>370000</v>
      </c>
      <c r="G26" s="121">
        <v>405020</v>
      </c>
      <c r="H26" s="121">
        <v>2500</v>
      </c>
      <c r="I26" s="121">
        <v>35010</v>
      </c>
      <c r="J26" s="121">
        <v>70020</v>
      </c>
      <c r="K26" s="121">
        <v>335000</v>
      </c>
    </row>
    <row r="27" spans="1:11" x14ac:dyDescent="0.3">
      <c r="A27" s="121">
        <v>26</v>
      </c>
      <c r="B27" s="122">
        <v>46156</v>
      </c>
      <c r="C27" s="121">
        <v>29</v>
      </c>
      <c r="D27" s="121">
        <v>0</v>
      </c>
      <c r="E27" s="121">
        <v>0</v>
      </c>
      <c r="F27" s="121">
        <v>370000</v>
      </c>
      <c r="G27" s="121">
        <v>405020</v>
      </c>
      <c r="H27" s="121">
        <v>2500</v>
      </c>
      <c r="I27" s="121">
        <v>37510</v>
      </c>
      <c r="J27" s="121">
        <v>75020</v>
      </c>
      <c r="K27" s="121">
        <v>330000</v>
      </c>
    </row>
    <row r="28" spans="1:11" x14ac:dyDescent="0.3">
      <c r="A28" s="121">
        <v>27</v>
      </c>
      <c r="B28" s="122">
        <v>46157</v>
      </c>
      <c r="C28" s="121">
        <v>30</v>
      </c>
      <c r="D28" s="121">
        <v>0</v>
      </c>
      <c r="E28" s="121">
        <v>0</v>
      </c>
      <c r="F28" s="121">
        <v>370000</v>
      </c>
      <c r="G28" s="121">
        <v>405020</v>
      </c>
      <c r="H28" s="121">
        <v>2500</v>
      </c>
      <c r="I28" s="121">
        <v>40010</v>
      </c>
      <c r="J28" s="121">
        <v>80020</v>
      </c>
      <c r="K28" s="121">
        <v>325000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3"/>
  <sheetViews>
    <sheetView topLeftCell="D1" zoomScale="99" workbookViewId="0">
      <selection activeCell="A8" sqref="A8:XFD8"/>
    </sheetView>
  </sheetViews>
  <sheetFormatPr defaultRowHeight="14.4" x14ac:dyDescent="0.3"/>
  <cols>
    <col min="1" max="1" width="13" customWidth="1"/>
    <col min="2" max="3" width="17" customWidth="1"/>
    <col min="4" max="4" width="12" customWidth="1"/>
    <col min="5" max="5" width="17" customWidth="1"/>
    <col min="6" max="6" width="16" customWidth="1"/>
    <col min="7" max="8" width="12" customWidth="1"/>
    <col min="9" max="9" width="17" customWidth="1"/>
    <col min="10" max="10" width="12" customWidth="1"/>
    <col min="11" max="11" width="13" customWidth="1"/>
    <col min="12" max="12" width="12" customWidth="1"/>
    <col min="13" max="13" width="13" customWidth="1"/>
    <col min="14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  <col min="20" max="20" width="12" customWidth="1"/>
    <col min="21" max="21" width="13" customWidth="1"/>
  </cols>
  <sheetData>
    <row r="1" spans="1:21" x14ac:dyDescent="0.3">
      <c r="A1" s="125" t="s">
        <v>208</v>
      </c>
      <c r="B1" s="125" t="s">
        <v>209</v>
      </c>
      <c r="C1" s="125" t="s">
        <v>210</v>
      </c>
      <c r="D1" s="125" t="s">
        <v>211</v>
      </c>
      <c r="E1" s="125" t="s">
        <v>85</v>
      </c>
      <c r="F1" s="125" t="s">
        <v>83</v>
      </c>
      <c r="G1" s="125" t="s">
        <v>212</v>
      </c>
      <c r="H1" s="125" t="s">
        <v>213</v>
      </c>
      <c r="I1" s="125" t="s">
        <v>214</v>
      </c>
      <c r="J1" s="125" t="s">
        <v>215</v>
      </c>
      <c r="K1" s="125" t="s">
        <v>216</v>
      </c>
      <c r="L1" s="125" t="s">
        <v>217</v>
      </c>
      <c r="M1" s="125" t="s">
        <v>218</v>
      </c>
      <c r="N1" s="125" t="s">
        <v>219</v>
      </c>
      <c r="O1" s="125" t="s">
        <v>220</v>
      </c>
      <c r="P1" s="125" t="s">
        <v>221</v>
      </c>
      <c r="Q1" s="125" t="s">
        <v>222</v>
      </c>
      <c r="R1" s="125" t="s">
        <v>223</v>
      </c>
      <c r="S1" s="125" t="s">
        <v>224</v>
      </c>
      <c r="T1" s="125" t="s">
        <v>225</v>
      </c>
      <c r="U1" s="125" t="s">
        <v>226</v>
      </c>
    </row>
    <row r="2" spans="1:21" x14ac:dyDescent="0.3">
      <c r="A2" s="126" t="s">
        <v>227</v>
      </c>
      <c r="B2" s="121">
        <v>29184</v>
      </c>
      <c r="C2" s="121">
        <v>29184</v>
      </c>
      <c r="D2" s="121" t="s">
        <v>228</v>
      </c>
      <c r="E2" s="121">
        <v>54513</v>
      </c>
      <c r="F2" s="121">
        <v>88516</v>
      </c>
      <c r="G2" s="121">
        <v>0</v>
      </c>
      <c r="H2" s="121">
        <v>0</v>
      </c>
      <c r="I2" s="121">
        <v>0</v>
      </c>
      <c r="J2" s="121">
        <v>22500</v>
      </c>
      <c r="K2" s="121">
        <v>29184</v>
      </c>
      <c r="L2" s="121">
        <v>30025</v>
      </c>
      <c r="M2" s="121">
        <v>0</v>
      </c>
      <c r="N2" s="121">
        <v>22491</v>
      </c>
      <c r="O2" s="121">
        <v>1981</v>
      </c>
      <c r="P2" s="121">
        <v>0</v>
      </c>
      <c r="Q2" s="121">
        <v>18260</v>
      </c>
      <c r="R2" s="121">
        <v>1470</v>
      </c>
      <c r="S2" s="121">
        <v>0</v>
      </c>
      <c r="T2" s="121">
        <v>12030</v>
      </c>
      <c r="U2" s="121">
        <v>5088</v>
      </c>
    </row>
    <row r="3" spans="1:21" x14ac:dyDescent="0.3">
      <c r="A3" s="126" t="s">
        <v>229</v>
      </c>
      <c r="B3" s="121">
        <v>26266</v>
      </c>
      <c r="C3" s="121">
        <v>26266</v>
      </c>
      <c r="D3" s="121" t="s">
        <v>230</v>
      </c>
      <c r="E3" s="121">
        <v>51595</v>
      </c>
      <c r="F3" s="121">
        <v>91434</v>
      </c>
      <c r="G3" s="121">
        <v>5836</v>
      </c>
      <c r="H3" s="121">
        <v>0</v>
      </c>
      <c r="I3" s="121">
        <v>11672</v>
      </c>
      <c r="J3" s="121">
        <v>25418</v>
      </c>
      <c r="K3" s="121">
        <v>26266</v>
      </c>
      <c r="L3" s="121">
        <v>30025</v>
      </c>
      <c r="M3" s="121">
        <v>0</v>
      </c>
      <c r="N3" s="121">
        <v>22491</v>
      </c>
      <c r="O3" s="121">
        <v>1981</v>
      </c>
      <c r="P3" s="121">
        <v>0</v>
      </c>
      <c r="Q3" s="121">
        <v>18260</v>
      </c>
      <c r="R3" s="121">
        <v>1470</v>
      </c>
      <c r="S3" s="121">
        <v>0</v>
      </c>
      <c r="T3" s="121">
        <v>12030</v>
      </c>
      <c r="U3" s="121">
        <v>5088</v>
      </c>
    </row>
    <row r="4" spans="1:21" x14ac:dyDescent="0.3">
      <c r="A4" s="126" t="s">
        <v>231</v>
      </c>
      <c r="B4" s="121">
        <v>23348</v>
      </c>
      <c r="C4" s="121">
        <v>23348</v>
      </c>
      <c r="D4" s="121" t="s">
        <v>232</v>
      </c>
      <c r="E4" s="121">
        <v>48677</v>
      </c>
      <c r="F4" s="121">
        <v>94352</v>
      </c>
      <c r="G4" s="121">
        <v>11672</v>
      </c>
      <c r="H4" s="121">
        <v>0</v>
      </c>
      <c r="I4" s="121">
        <v>23344</v>
      </c>
      <c r="J4" s="121">
        <v>28336</v>
      </c>
      <c r="K4" s="121">
        <v>23348</v>
      </c>
      <c r="L4" s="121">
        <v>30025</v>
      </c>
      <c r="M4" s="121">
        <v>0</v>
      </c>
      <c r="N4" s="121">
        <v>22491</v>
      </c>
      <c r="O4" s="121">
        <v>1981</v>
      </c>
      <c r="P4" s="121">
        <v>0</v>
      </c>
      <c r="Q4" s="121">
        <v>18260</v>
      </c>
      <c r="R4" s="121">
        <v>1470</v>
      </c>
      <c r="S4" s="121">
        <v>0</v>
      </c>
      <c r="T4" s="121">
        <v>12030</v>
      </c>
      <c r="U4" s="121">
        <v>5088</v>
      </c>
    </row>
    <row r="5" spans="1:21" x14ac:dyDescent="0.3">
      <c r="A5" s="126" t="s">
        <v>233</v>
      </c>
      <c r="B5" s="121">
        <v>20429</v>
      </c>
      <c r="C5" s="121">
        <v>20429</v>
      </c>
      <c r="D5" s="121" t="s">
        <v>234</v>
      </c>
      <c r="E5" s="121">
        <v>45758</v>
      </c>
      <c r="F5" s="121">
        <v>97271</v>
      </c>
      <c r="G5" s="121">
        <v>17510</v>
      </c>
      <c r="H5" s="121">
        <v>0</v>
      </c>
      <c r="I5" s="121">
        <v>35020</v>
      </c>
      <c r="J5" s="121">
        <v>31255</v>
      </c>
      <c r="K5" s="121">
        <v>20429</v>
      </c>
      <c r="L5" s="121">
        <v>30025</v>
      </c>
      <c r="M5" s="121">
        <v>0</v>
      </c>
      <c r="N5" s="121">
        <v>22491</v>
      </c>
      <c r="O5" s="121">
        <v>1981</v>
      </c>
      <c r="P5" s="121">
        <v>0</v>
      </c>
      <c r="Q5" s="121">
        <v>18260</v>
      </c>
      <c r="R5" s="121">
        <v>1470</v>
      </c>
      <c r="S5" s="121">
        <v>0</v>
      </c>
      <c r="T5" s="121">
        <v>12030</v>
      </c>
      <c r="U5" s="121">
        <v>5088</v>
      </c>
    </row>
    <row r="6" spans="1:21" x14ac:dyDescent="0.3">
      <c r="A6" s="126" t="s">
        <v>235</v>
      </c>
      <c r="B6" s="121">
        <v>17511</v>
      </c>
      <c r="C6" s="121">
        <v>17511</v>
      </c>
      <c r="D6" s="121" t="s">
        <v>236</v>
      </c>
      <c r="E6" s="121">
        <v>42840</v>
      </c>
      <c r="F6" s="121">
        <v>100189</v>
      </c>
      <c r="G6" s="121">
        <v>23346</v>
      </c>
      <c r="H6" s="121">
        <v>0</v>
      </c>
      <c r="I6" s="121">
        <v>46692</v>
      </c>
      <c r="J6" s="121">
        <v>34173</v>
      </c>
      <c r="K6" s="121">
        <v>17511</v>
      </c>
      <c r="L6" s="121">
        <v>30025</v>
      </c>
      <c r="M6" s="121">
        <v>0</v>
      </c>
      <c r="N6" s="121">
        <v>22491</v>
      </c>
      <c r="O6" s="121">
        <v>1981</v>
      </c>
      <c r="P6" s="121">
        <v>0</v>
      </c>
      <c r="Q6" s="121">
        <v>18260</v>
      </c>
      <c r="R6" s="121">
        <v>1470</v>
      </c>
      <c r="S6" s="121">
        <v>0</v>
      </c>
      <c r="T6" s="121">
        <v>12030</v>
      </c>
      <c r="U6" s="121">
        <v>5088</v>
      </c>
    </row>
    <row r="7" spans="1:21" x14ac:dyDescent="0.3">
      <c r="A7" s="126" t="s">
        <v>237</v>
      </c>
      <c r="B7" s="121">
        <v>14592</v>
      </c>
      <c r="C7" s="121">
        <v>14592</v>
      </c>
      <c r="D7" s="121" t="s">
        <v>238</v>
      </c>
      <c r="E7" s="121">
        <v>39921</v>
      </c>
      <c r="F7" s="121">
        <v>103108</v>
      </c>
      <c r="G7" s="121">
        <v>29184</v>
      </c>
      <c r="H7" s="121">
        <v>0</v>
      </c>
      <c r="I7" s="121">
        <v>58368</v>
      </c>
      <c r="J7" s="121">
        <v>37092</v>
      </c>
      <c r="K7" s="121">
        <v>14592</v>
      </c>
      <c r="L7" s="121">
        <v>30025</v>
      </c>
      <c r="M7" s="121">
        <v>0</v>
      </c>
      <c r="N7" s="121">
        <v>22491</v>
      </c>
      <c r="O7" s="121">
        <v>1981</v>
      </c>
      <c r="P7" s="121">
        <v>0</v>
      </c>
      <c r="Q7" s="121">
        <v>18260</v>
      </c>
      <c r="R7" s="121">
        <v>1470</v>
      </c>
      <c r="S7" s="121">
        <v>0</v>
      </c>
      <c r="T7" s="121">
        <v>12030</v>
      </c>
      <c r="U7" s="121">
        <v>5088</v>
      </c>
    </row>
    <row r="8" spans="1:21" x14ac:dyDescent="0.3">
      <c r="A8" s="126" t="s">
        <v>239</v>
      </c>
      <c r="B8" s="121">
        <v>11674</v>
      </c>
      <c r="C8" s="121">
        <v>11674</v>
      </c>
      <c r="D8" s="121" t="s">
        <v>240</v>
      </c>
      <c r="E8" s="121">
        <v>39538</v>
      </c>
      <c r="F8" s="121">
        <v>103491</v>
      </c>
      <c r="G8" s="121">
        <v>35020</v>
      </c>
      <c r="H8" s="121">
        <v>0</v>
      </c>
      <c r="I8" s="121">
        <v>70040</v>
      </c>
      <c r="J8" s="121">
        <v>40010</v>
      </c>
      <c r="K8" s="121">
        <v>11674</v>
      </c>
      <c r="L8" s="121">
        <v>27490</v>
      </c>
      <c r="M8" s="121">
        <v>2535</v>
      </c>
      <c r="N8" s="121">
        <v>22491</v>
      </c>
      <c r="O8" s="121">
        <v>1981</v>
      </c>
      <c r="P8" s="121">
        <v>0</v>
      </c>
      <c r="Q8" s="121">
        <v>18260</v>
      </c>
      <c r="R8" s="121">
        <v>1470</v>
      </c>
      <c r="S8" s="121">
        <v>0</v>
      </c>
      <c r="T8" s="121">
        <v>12030</v>
      </c>
      <c r="U8" s="121">
        <v>5088</v>
      </c>
    </row>
    <row r="9" spans="1:21" x14ac:dyDescent="0.3">
      <c r="A9" s="126" t="s">
        <v>241</v>
      </c>
      <c r="B9" s="121">
        <v>8756</v>
      </c>
      <c r="C9" s="121">
        <v>8756</v>
      </c>
      <c r="D9" s="121" t="s">
        <v>242</v>
      </c>
      <c r="E9" s="121">
        <v>39538</v>
      </c>
      <c r="F9" s="121">
        <v>103491</v>
      </c>
      <c r="G9" s="121">
        <v>40856</v>
      </c>
      <c r="H9" s="121">
        <v>0</v>
      </c>
      <c r="I9" s="121">
        <v>81712</v>
      </c>
      <c r="J9" s="121">
        <v>42928</v>
      </c>
      <c r="K9" s="121">
        <v>8756</v>
      </c>
      <c r="L9" s="121">
        <v>24572</v>
      </c>
      <c r="M9" s="121">
        <v>5453</v>
      </c>
      <c r="N9" s="121">
        <v>22491</v>
      </c>
      <c r="O9" s="121">
        <v>1981</v>
      </c>
      <c r="P9" s="121">
        <v>0</v>
      </c>
      <c r="Q9" s="121">
        <v>18260</v>
      </c>
      <c r="R9" s="121">
        <v>1470</v>
      </c>
      <c r="S9" s="121">
        <v>0</v>
      </c>
      <c r="T9" s="121">
        <v>12030</v>
      </c>
      <c r="U9" s="121">
        <v>5088</v>
      </c>
    </row>
    <row r="10" spans="1:21" x14ac:dyDescent="0.3">
      <c r="A10" s="128" t="s">
        <v>243</v>
      </c>
      <c r="B10" s="121">
        <v>5837</v>
      </c>
      <c r="C10" s="121">
        <v>5837</v>
      </c>
      <c r="D10" s="121" t="s">
        <v>244</v>
      </c>
      <c r="E10" s="121">
        <v>39538</v>
      </c>
      <c r="F10" s="121">
        <v>103491</v>
      </c>
      <c r="G10" s="121">
        <v>46694</v>
      </c>
      <c r="H10" s="121">
        <v>0</v>
      </c>
      <c r="I10" s="121">
        <v>93388</v>
      </c>
      <c r="J10" s="121">
        <v>45847</v>
      </c>
      <c r="K10" s="121">
        <v>5837</v>
      </c>
      <c r="L10" s="121">
        <v>21653</v>
      </c>
      <c r="M10" s="121">
        <v>8372</v>
      </c>
      <c r="N10" s="121">
        <v>22491</v>
      </c>
      <c r="O10" s="121">
        <v>1981</v>
      </c>
      <c r="P10" s="121">
        <v>0</v>
      </c>
      <c r="Q10" s="121">
        <v>18260</v>
      </c>
      <c r="R10" s="121">
        <v>1470</v>
      </c>
      <c r="S10" s="121">
        <v>0</v>
      </c>
      <c r="T10" s="121">
        <v>12030</v>
      </c>
      <c r="U10" s="121">
        <v>5088</v>
      </c>
    </row>
    <row r="11" spans="1:21" x14ac:dyDescent="0.3">
      <c r="A11" s="128" t="s">
        <v>245</v>
      </c>
      <c r="B11" s="121">
        <v>2919</v>
      </c>
      <c r="C11" s="121">
        <v>2919</v>
      </c>
      <c r="D11" s="121" t="s">
        <v>246</v>
      </c>
      <c r="E11" s="121">
        <v>39538</v>
      </c>
      <c r="F11" s="121">
        <v>103491</v>
      </c>
      <c r="G11" s="121">
        <v>52530</v>
      </c>
      <c r="H11" s="121">
        <v>0</v>
      </c>
      <c r="I11" s="121">
        <v>105060</v>
      </c>
      <c r="J11" s="121">
        <v>48765</v>
      </c>
      <c r="K11" s="121">
        <v>2919</v>
      </c>
      <c r="L11" s="121">
        <v>18735</v>
      </c>
      <c r="M11" s="121">
        <v>11290</v>
      </c>
      <c r="N11" s="121">
        <v>22491</v>
      </c>
      <c r="O11" s="121">
        <v>1981</v>
      </c>
      <c r="P11" s="121">
        <v>0</v>
      </c>
      <c r="Q11" s="121">
        <v>18260</v>
      </c>
      <c r="R11" s="121">
        <v>1470</v>
      </c>
      <c r="S11" s="121">
        <v>0</v>
      </c>
      <c r="T11" s="121">
        <v>12030</v>
      </c>
      <c r="U11" s="121">
        <v>5088</v>
      </c>
    </row>
    <row r="12" spans="1:21" x14ac:dyDescent="0.3">
      <c r="A12" s="123" t="s">
        <v>247</v>
      </c>
      <c r="B12" s="121">
        <v>1460</v>
      </c>
      <c r="C12" s="121">
        <v>1460</v>
      </c>
      <c r="D12" s="121" t="s">
        <v>248</v>
      </c>
      <c r="E12" s="121">
        <v>39538</v>
      </c>
      <c r="F12" s="121">
        <v>103491</v>
      </c>
      <c r="G12" s="121">
        <v>55448</v>
      </c>
      <c r="H12" s="121">
        <v>0</v>
      </c>
      <c r="I12" s="121">
        <v>110896</v>
      </c>
      <c r="J12" s="121">
        <v>50224</v>
      </c>
      <c r="K12" s="121">
        <v>1460</v>
      </c>
      <c r="L12" s="121">
        <v>17276</v>
      </c>
      <c r="M12" s="121">
        <v>12749</v>
      </c>
      <c r="N12" s="121">
        <v>22491</v>
      </c>
      <c r="O12" s="121">
        <v>1981</v>
      </c>
      <c r="P12" s="121">
        <v>0</v>
      </c>
      <c r="Q12" s="121">
        <v>18260</v>
      </c>
      <c r="R12" s="121">
        <v>1470</v>
      </c>
      <c r="S12" s="121">
        <v>0</v>
      </c>
      <c r="T12" s="121">
        <v>12030</v>
      </c>
      <c r="U12" s="121">
        <v>5088</v>
      </c>
    </row>
    <row r="13" spans="1:21" x14ac:dyDescent="0.3">
      <c r="A13" s="123" t="s">
        <v>249</v>
      </c>
      <c r="B13" s="121">
        <v>0</v>
      </c>
      <c r="C13" s="121">
        <v>0</v>
      </c>
      <c r="D13" s="121" t="s">
        <v>250</v>
      </c>
      <c r="E13" s="121">
        <v>39538</v>
      </c>
      <c r="F13" s="121">
        <v>103491</v>
      </c>
      <c r="G13" s="121">
        <v>58368</v>
      </c>
      <c r="H13" s="121">
        <v>0</v>
      </c>
      <c r="I13" s="121">
        <v>116736</v>
      </c>
      <c r="J13" s="121">
        <v>51684</v>
      </c>
      <c r="K13" s="121">
        <v>0</v>
      </c>
      <c r="L13" s="121">
        <v>15816</v>
      </c>
      <c r="M13" s="121">
        <v>14209</v>
      </c>
      <c r="N13" s="121">
        <v>22491</v>
      </c>
      <c r="O13" s="121">
        <v>1981</v>
      </c>
      <c r="P13" s="121">
        <v>0</v>
      </c>
      <c r="Q13" s="121">
        <v>18260</v>
      </c>
      <c r="R13" s="121">
        <v>1470</v>
      </c>
      <c r="S13" s="121">
        <v>0</v>
      </c>
      <c r="T13" s="121">
        <v>12030</v>
      </c>
      <c r="U13" s="121">
        <v>5088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/>
  </sheetViews>
  <sheetFormatPr defaultRowHeight="14.4" x14ac:dyDescent="0.3"/>
  <cols>
    <col min="1" max="1" width="38" customWidth="1"/>
    <col min="2" max="2" width="30" customWidth="1"/>
  </cols>
  <sheetData>
    <row r="1" spans="1:2" x14ac:dyDescent="0.3">
      <c r="A1" s="129" t="s">
        <v>251</v>
      </c>
      <c r="B1" s="121"/>
    </row>
    <row r="2" spans="1:2" x14ac:dyDescent="0.3">
      <c r="A2" s="121"/>
      <c r="B2" s="121"/>
    </row>
    <row r="3" spans="1:2" x14ac:dyDescent="0.3">
      <c r="A3" s="121" t="s">
        <v>252</v>
      </c>
      <c r="B3" s="121" t="s">
        <v>253</v>
      </c>
    </row>
    <row r="4" spans="1:2" x14ac:dyDescent="0.3">
      <c r="A4" s="121" t="s">
        <v>254</v>
      </c>
      <c r="B4" s="121" t="s">
        <v>255</v>
      </c>
    </row>
    <row r="5" spans="1:2" x14ac:dyDescent="0.3">
      <c r="A5" s="121" t="s">
        <v>256</v>
      </c>
      <c r="B5" s="121" t="s">
        <v>257</v>
      </c>
    </row>
    <row r="6" spans="1:2" x14ac:dyDescent="0.3">
      <c r="A6" s="121"/>
      <c r="B6" s="121"/>
    </row>
    <row r="7" spans="1:2" x14ac:dyDescent="0.3">
      <c r="A7" s="130" t="s">
        <v>258</v>
      </c>
      <c r="B7" s="121"/>
    </row>
    <row r="8" spans="1:2" x14ac:dyDescent="0.3">
      <c r="A8" s="121" t="s">
        <v>259</v>
      </c>
      <c r="B8" s="121" t="s">
        <v>260</v>
      </c>
    </row>
    <row r="9" spans="1:2" x14ac:dyDescent="0.3">
      <c r="A9" s="121" t="s">
        <v>261</v>
      </c>
      <c r="B9" s="121" t="s">
        <v>262</v>
      </c>
    </row>
    <row r="10" spans="1:2" x14ac:dyDescent="0.3">
      <c r="A10" s="121" t="s">
        <v>263</v>
      </c>
      <c r="B10" s="121" t="s">
        <v>264</v>
      </c>
    </row>
    <row r="11" spans="1:2" x14ac:dyDescent="0.3">
      <c r="A11" s="121" t="s">
        <v>265</v>
      </c>
      <c r="B11" s="121" t="s">
        <v>266</v>
      </c>
    </row>
    <row r="12" spans="1:2" x14ac:dyDescent="0.3">
      <c r="A12" s="121" t="s">
        <v>267</v>
      </c>
      <c r="B12" s="121" t="s">
        <v>268</v>
      </c>
    </row>
    <row r="13" spans="1:2" x14ac:dyDescent="0.3">
      <c r="A13" s="121" t="s">
        <v>269</v>
      </c>
      <c r="B13" s="121" t="s">
        <v>270</v>
      </c>
    </row>
    <row r="14" spans="1:2" x14ac:dyDescent="0.3">
      <c r="A14" s="121" t="s">
        <v>271</v>
      </c>
      <c r="B14" s="121" t="s">
        <v>272</v>
      </c>
    </row>
    <row r="15" spans="1:2" x14ac:dyDescent="0.3">
      <c r="A15" s="121"/>
      <c r="B15" s="121"/>
    </row>
    <row r="16" spans="1:2" x14ac:dyDescent="0.3">
      <c r="A16" s="130" t="s">
        <v>273</v>
      </c>
      <c r="B16" s="121"/>
    </row>
    <row r="17" spans="1:2" x14ac:dyDescent="0.3">
      <c r="A17" s="121" t="s">
        <v>274</v>
      </c>
      <c r="B17" s="121" t="s">
        <v>275</v>
      </c>
    </row>
    <row r="18" spans="1:2" x14ac:dyDescent="0.3">
      <c r="A18" s="121" t="s">
        <v>276</v>
      </c>
      <c r="B18" s="121" t="s">
        <v>277</v>
      </c>
    </row>
    <row r="19" spans="1:2" x14ac:dyDescent="0.3">
      <c r="A19" s="121" t="s">
        <v>278</v>
      </c>
      <c r="B19" s="121" t="s">
        <v>279</v>
      </c>
    </row>
    <row r="20" spans="1:2" x14ac:dyDescent="0.3">
      <c r="A20" s="121" t="s">
        <v>280</v>
      </c>
      <c r="B20" s="121" t="s">
        <v>281</v>
      </c>
    </row>
    <row r="21" spans="1:2" x14ac:dyDescent="0.3">
      <c r="A21" s="121" t="s">
        <v>282</v>
      </c>
      <c r="B21" s="121" t="s">
        <v>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7"/>
  <sheetViews>
    <sheetView workbookViewId="0"/>
  </sheetViews>
  <sheetFormatPr defaultRowHeight="14.4" x14ac:dyDescent="0.3"/>
  <cols>
    <col min="1" max="1" width="35" customWidth="1"/>
    <col min="2" max="2" width="25" customWidth="1"/>
  </cols>
  <sheetData>
    <row r="1" spans="1:2" x14ac:dyDescent="0.3">
      <c r="A1" s="129" t="s">
        <v>284</v>
      </c>
      <c r="B1" s="121"/>
    </row>
    <row r="2" spans="1:2" x14ac:dyDescent="0.3">
      <c r="A2" s="121"/>
      <c r="B2" s="121"/>
    </row>
    <row r="3" spans="1:2" x14ac:dyDescent="0.3">
      <c r="A3" s="121" t="s">
        <v>285</v>
      </c>
      <c r="B3" s="121" t="s">
        <v>286</v>
      </c>
    </row>
    <row r="4" spans="1:2" x14ac:dyDescent="0.3">
      <c r="A4" s="121" t="s">
        <v>259</v>
      </c>
      <c r="B4" s="121" t="s">
        <v>260</v>
      </c>
    </row>
    <row r="5" spans="1:2" x14ac:dyDescent="0.3">
      <c r="A5" s="121" t="s">
        <v>287</v>
      </c>
      <c r="B5" s="121" t="s">
        <v>288</v>
      </c>
    </row>
    <row r="6" spans="1:2" x14ac:dyDescent="0.3">
      <c r="A6" s="121" t="s">
        <v>289</v>
      </c>
      <c r="B6" s="121" t="s">
        <v>264</v>
      </c>
    </row>
    <row r="7" spans="1:2" x14ac:dyDescent="0.3">
      <c r="A7" s="121"/>
      <c r="B7" s="121"/>
    </row>
    <row r="8" spans="1:2" x14ac:dyDescent="0.3">
      <c r="A8" s="130" t="s">
        <v>290</v>
      </c>
      <c r="B8" s="121"/>
    </row>
    <row r="9" spans="1:2" x14ac:dyDescent="0.3">
      <c r="A9" s="121" t="s">
        <v>291</v>
      </c>
      <c r="B9" s="121" t="s">
        <v>292</v>
      </c>
    </row>
    <row r="10" spans="1:2" x14ac:dyDescent="0.3">
      <c r="A10" s="121" t="s">
        <v>293</v>
      </c>
      <c r="B10" s="121" t="s">
        <v>277</v>
      </c>
    </row>
    <row r="11" spans="1:2" x14ac:dyDescent="0.3">
      <c r="A11" s="121" t="s">
        <v>265</v>
      </c>
      <c r="B11" s="121" t="s">
        <v>266</v>
      </c>
    </row>
    <row r="12" spans="1:2" x14ac:dyDescent="0.3">
      <c r="A12" s="121" t="s">
        <v>267</v>
      </c>
      <c r="B12" s="121" t="s">
        <v>268</v>
      </c>
    </row>
    <row r="13" spans="1:2" x14ac:dyDescent="0.3">
      <c r="A13" s="121"/>
      <c r="B13" s="121"/>
    </row>
    <row r="14" spans="1:2" x14ac:dyDescent="0.3">
      <c r="A14" s="130" t="s">
        <v>294</v>
      </c>
      <c r="B14" s="121"/>
    </row>
    <row r="15" spans="1:2" x14ac:dyDescent="0.3">
      <c r="A15" s="121" t="s">
        <v>295</v>
      </c>
      <c r="B15" s="121" t="s">
        <v>296</v>
      </c>
    </row>
    <row r="16" spans="1:2" x14ac:dyDescent="0.3">
      <c r="A16" s="130" t="s">
        <v>297</v>
      </c>
      <c r="B16" s="121"/>
    </row>
    <row r="17" spans="1:2" x14ac:dyDescent="0.3">
      <c r="A17" s="121" t="s">
        <v>298</v>
      </c>
      <c r="B17" s="121" t="s">
        <v>299</v>
      </c>
    </row>
    <row r="18" spans="1:2" x14ac:dyDescent="0.3">
      <c r="A18" s="121" t="s">
        <v>300</v>
      </c>
      <c r="B18" s="121" t="s">
        <v>301</v>
      </c>
    </row>
    <row r="19" spans="1:2" x14ac:dyDescent="0.3">
      <c r="A19" s="121"/>
      <c r="B19" s="121"/>
    </row>
    <row r="20" spans="1:2" ht="15.6" x14ac:dyDescent="0.3">
      <c r="A20" s="131" t="s">
        <v>302</v>
      </c>
      <c r="B20" s="132" t="s">
        <v>296</v>
      </c>
    </row>
    <row r="21" spans="1:2" x14ac:dyDescent="0.3">
      <c r="A21" s="121"/>
      <c r="B21" s="121"/>
    </row>
    <row r="22" spans="1:2" x14ac:dyDescent="0.3">
      <c r="A22" s="130" t="s">
        <v>303</v>
      </c>
      <c r="B22" s="121"/>
    </row>
    <row r="23" spans="1:2" x14ac:dyDescent="0.3">
      <c r="A23" s="121" t="s">
        <v>304</v>
      </c>
      <c r="B23" s="121" t="s">
        <v>253</v>
      </c>
    </row>
    <row r="24" spans="1:2" x14ac:dyDescent="0.3">
      <c r="A24" s="121" t="s">
        <v>305</v>
      </c>
      <c r="B24" s="121" t="s">
        <v>306</v>
      </c>
    </row>
    <row r="25" spans="1:2" x14ac:dyDescent="0.3">
      <c r="A25" s="121" t="s">
        <v>307</v>
      </c>
      <c r="B25" s="121" t="s">
        <v>308</v>
      </c>
    </row>
    <row r="26" spans="1:2" x14ac:dyDescent="0.3">
      <c r="A26" s="121" t="s">
        <v>309</v>
      </c>
      <c r="B26" s="121" t="s">
        <v>255</v>
      </c>
    </row>
    <row r="27" spans="1:2" x14ac:dyDescent="0.3">
      <c r="A27" s="121" t="s">
        <v>310</v>
      </c>
      <c r="B27" s="121" t="s">
        <v>311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2"/>
  <sheetViews>
    <sheetView workbookViewId="0"/>
  </sheetViews>
  <sheetFormatPr defaultRowHeight="14.4" x14ac:dyDescent="0.3"/>
  <cols>
    <col min="1" max="1" width="25" customWidth="1"/>
    <col min="2" max="2" width="30" customWidth="1"/>
  </cols>
  <sheetData>
    <row r="1" spans="1:2" x14ac:dyDescent="0.3">
      <c r="A1" s="129" t="s">
        <v>312</v>
      </c>
      <c r="B1" s="129" t="s">
        <v>286</v>
      </c>
    </row>
    <row r="2" spans="1:2" x14ac:dyDescent="0.3">
      <c r="A2" s="130" t="s">
        <v>313</v>
      </c>
      <c r="B2" s="121" t="s">
        <v>314</v>
      </c>
    </row>
    <row r="3" spans="1:2" x14ac:dyDescent="0.3">
      <c r="A3" s="130" t="s">
        <v>315</v>
      </c>
      <c r="B3" s="121">
        <v>21</v>
      </c>
    </row>
    <row r="4" spans="1:2" x14ac:dyDescent="0.3">
      <c r="A4" s="130" t="s">
        <v>256</v>
      </c>
      <c r="B4" s="121" t="s">
        <v>257</v>
      </c>
    </row>
    <row r="5" spans="1:2" x14ac:dyDescent="0.3">
      <c r="A5" s="130" t="s">
        <v>316</v>
      </c>
      <c r="B5" s="121">
        <v>143029</v>
      </c>
    </row>
    <row r="6" spans="1:2" x14ac:dyDescent="0.3">
      <c r="A6" s="130" t="s">
        <v>317</v>
      </c>
      <c r="B6" s="121">
        <v>103491</v>
      </c>
    </row>
    <row r="7" spans="1:2" x14ac:dyDescent="0.3">
      <c r="A7" s="130" t="s">
        <v>318</v>
      </c>
      <c r="B7" s="121">
        <v>39538</v>
      </c>
    </row>
    <row r="8" spans="1:2" x14ac:dyDescent="0.3">
      <c r="A8" s="130" t="s">
        <v>319</v>
      </c>
      <c r="B8" s="121" t="s">
        <v>320</v>
      </c>
    </row>
    <row r="9" spans="1:2" x14ac:dyDescent="0.3">
      <c r="A9" s="130" t="s">
        <v>321</v>
      </c>
      <c r="B9" s="121" t="s">
        <v>322</v>
      </c>
    </row>
    <row r="10" spans="1:2" x14ac:dyDescent="0.3">
      <c r="A10" s="130" t="s">
        <v>323</v>
      </c>
      <c r="B10" s="121">
        <v>35020</v>
      </c>
    </row>
    <row r="11" spans="1:2" x14ac:dyDescent="0.3">
      <c r="A11" s="130" t="s">
        <v>324</v>
      </c>
      <c r="B11" s="121">
        <v>0</v>
      </c>
    </row>
    <row r="12" spans="1:2" x14ac:dyDescent="0.3">
      <c r="A12" s="130" t="s">
        <v>325</v>
      </c>
      <c r="B12" s="121" t="s">
        <v>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Q62"/>
  <sheetViews>
    <sheetView tabSelected="1" topLeftCell="A27" zoomScale="43" workbookViewId="0">
      <selection activeCell="D72" sqref="D72"/>
    </sheetView>
  </sheetViews>
  <sheetFormatPr defaultColWidth="8.5546875" defaultRowHeight="14.4" x14ac:dyDescent="0.3"/>
  <cols>
    <col min="1" max="1" width="33.88671875" style="61" customWidth="1"/>
    <col min="2" max="2" width="47.109375" style="61" customWidth="1"/>
    <col min="3" max="3" width="11.109375" style="61" customWidth="1"/>
    <col min="4" max="4" width="32.77734375" style="61" customWidth="1"/>
    <col min="5" max="5" width="12.5546875" style="61" customWidth="1"/>
    <col min="6" max="6" width="23.88671875" style="61" customWidth="1"/>
    <col min="7" max="7" width="15.44140625" style="61" customWidth="1"/>
    <col min="8" max="8" width="25.5546875" style="61" customWidth="1"/>
    <col min="9" max="9" width="27" style="61" customWidth="1"/>
    <col min="10" max="10" width="28.5546875" style="61" customWidth="1"/>
    <col min="11" max="12" width="13.5546875" style="61" customWidth="1"/>
    <col min="13" max="13" width="21.21875" style="61" customWidth="1"/>
    <col min="14" max="14" width="17.5546875" style="61" customWidth="1"/>
    <col min="15" max="15" width="25.77734375" style="61" customWidth="1"/>
    <col min="16" max="16" width="17.109375" style="61" customWidth="1"/>
    <col min="17" max="17" width="15.5546875" style="61" customWidth="1"/>
    <col min="18" max="18" width="17.109375" style="61" customWidth="1"/>
    <col min="19" max="19" width="23.21875" style="61" customWidth="1"/>
    <col min="20" max="26" width="9" style="61" customWidth="1"/>
    <col min="27" max="37" width="9.5546875" style="61" customWidth="1"/>
    <col min="38" max="38" width="15.88671875" style="61" customWidth="1"/>
    <col min="39" max="39" width="13.88671875" style="61" customWidth="1"/>
    <col min="40" max="40" width="25.6640625" style="61" bestFit="1" customWidth="1"/>
    <col min="41" max="41" width="12" style="61" customWidth="1"/>
    <col min="42" max="42" width="25.6640625" style="61" bestFit="1" customWidth="1"/>
    <col min="43" max="43" width="8.5546875" style="61" customWidth="1"/>
    <col min="44" max="16384" width="8.5546875" style="61"/>
  </cols>
  <sheetData>
    <row r="1" spans="1:19" ht="39" customHeight="1" x14ac:dyDescent="0.3">
      <c r="A1" s="155" t="s">
        <v>326</v>
      </c>
      <c r="B1" s="156"/>
      <c r="C1" s="156"/>
      <c r="D1" s="156"/>
      <c r="E1" s="156"/>
      <c r="F1" s="156"/>
      <c r="G1" s="156"/>
      <c r="H1" s="157"/>
      <c r="J1" s="161" t="s">
        <v>327</v>
      </c>
      <c r="K1" s="138"/>
      <c r="L1" s="138"/>
      <c r="M1" s="138"/>
      <c r="N1" s="138"/>
      <c r="O1" s="136"/>
    </row>
    <row r="2" spans="1:19" ht="16.5" customHeight="1" x14ac:dyDescent="0.3">
      <c r="A2" s="158"/>
      <c r="B2" s="159"/>
      <c r="C2" s="159"/>
      <c r="D2" s="159"/>
      <c r="E2" s="159"/>
      <c r="F2" s="159"/>
      <c r="G2" s="159"/>
      <c r="H2" s="160"/>
      <c r="J2" s="62" t="s">
        <v>328</v>
      </c>
      <c r="K2" s="62" t="s">
        <v>329</v>
      </c>
      <c r="L2" s="62" t="s">
        <v>330</v>
      </c>
      <c r="M2" s="62" t="s">
        <v>331</v>
      </c>
      <c r="N2" s="62" t="s">
        <v>332</v>
      </c>
      <c r="O2" s="62" t="s">
        <v>333</v>
      </c>
    </row>
    <row r="3" spans="1:19" ht="27" customHeight="1" x14ac:dyDescent="0.3">
      <c r="A3" s="63" t="s">
        <v>334</v>
      </c>
      <c r="B3" s="147">
        <v>46127</v>
      </c>
      <c r="C3" s="143"/>
      <c r="D3" s="143"/>
      <c r="E3" s="143"/>
      <c r="F3" s="143"/>
      <c r="G3" s="143"/>
      <c r="H3" s="144"/>
      <c r="J3" s="64" t="s">
        <v>335</v>
      </c>
      <c r="K3" s="65">
        <f>$B$3</f>
        <v>46127</v>
      </c>
      <c r="L3" s="65">
        <f>MIN(B3+($B$5-WEEKDAY(B3,2)), $B$4)</f>
        <v>46130</v>
      </c>
      <c r="M3" s="66">
        <f>L3-K3+1</f>
        <v>4</v>
      </c>
      <c r="N3" s="66">
        <v>0.67</v>
      </c>
      <c r="O3" s="67" t="s">
        <v>336</v>
      </c>
    </row>
    <row r="4" spans="1:19" ht="27" customHeight="1" x14ac:dyDescent="0.3">
      <c r="A4" s="63" t="s">
        <v>337</v>
      </c>
      <c r="B4" s="147">
        <v>46157</v>
      </c>
      <c r="C4" s="143"/>
      <c r="D4" s="143"/>
      <c r="E4" s="143"/>
      <c r="F4" s="143"/>
      <c r="G4" s="143"/>
      <c r="H4" s="144"/>
      <c r="J4" s="64" t="s">
        <v>338</v>
      </c>
      <c r="K4" s="65">
        <f>L3+2</f>
        <v>46132</v>
      </c>
      <c r="L4" s="65">
        <f>K4+5</f>
        <v>46137</v>
      </c>
      <c r="M4" s="66">
        <f>L4-K4+1</f>
        <v>6</v>
      </c>
      <c r="N4" s="66">
        <v>1</v>
      </c>
      <c r="O4" s="67" t="s">
        <v>336</v>
      </c>
    </row>
    <row r="5" spans="1:19" ht="27" customHeight="1" x14ac:dyDescent="0.3">
      <c r="A5" s="63" t="s">
        <v>339</v>
      </c>
      <c r="B5" s="142">
        <v>6</v>
      </c>
      <c r="C5" s="143"/>
      <c r="D5" s="143"/>
      <c r="E5" s="143"/>
      <c r="F5" s="143"/>
      <c r="G5" s="143"/>
      <c r="H5" s="144"/>
      <c r="J5" s="64" t="s">
        <v>340</v>
      </c>
      <c r="K5" s="65">
        <f>L4+2</f>
        <v>46139</v>
      </c>
      <c r="L5" s="65">
        <f>K5+5</f>
        <v>46144</v>
      </c>
      <c r="M5" s="66">
        <f>L5-K5+1</f>
        <v>6</v>
      </c>
      <c r="N5" s="66">
        <v>1</v>
      </c>
      <c r="O5" s="67" t="s">
        <v>336</v>
      </c>
    </row>
    <row r="6" spans="1:19" ht="27" customHeight="1" x14ac:dyDescent="0.3">
      <c r="A6" s="63" t="s">
        <v>341</v>
      </c>
      <c r="B6" s="142">
        <v>2</v>
      </c>
      <c r="C6" s="143"/>
      <c r="D6" s="143"/>
      <c r="E6" s="143"/>
      <c r="F6" s="143"/>
      <c r="G6" s="143"/>
      <c r="H6" s="144"/>
      <c r="J6" s="64" t="s">
        <v>342</v>
      </c>
      <c r="K6" s="65">
        <f>L5+2</f>
        <v>46146</v>
      </c>
      <c r="L6" s="65">
        <f>K6+5</f>
        <v>46151</v>
      </c>
      <c r="M6" s="66">
        <f>L6-K6+1</f>
        <v>6</v>
      </c>
      <c r="N6" s="66">
        <v>1</v>
      </c>
      <c r="O6" s="67" t="s">
        <v>336</v>
      </c>
    </row>
    <row r="7" spans="1:19" ht="27" customHeight="1" x14ac:dyDescent="0.3">
      <c r="A7" s="63" t="s">
        <v>343</v>
      </c>
      <c r="B7" s="142">
        <v>7</v>
      </c>
      <c r="C7" s="143"/>
      <c r="D7" s="143"/>
      <c r="E7" s="143"/>
      <c r="F7" s="143"/>
      <c r="G7" s="143"/>
      <c r="H7" s="144"/>
      <c r="J7" s="64" t="s">
        <v>344</v>
      </c>
      <c r="K7" s="65">
        <f>L6+2</f>
        <v>46153</v>
      </c>
      <c r="L7" s="65">
        <f>$B$4</f>
        <v>46157</v>
      </c>
      <c r="M7" s="66">
        <f>L7-K7+1</f>
        <v>5</v>
      </c>
      <c r="N7" s="66">
        <v>0.83</v>
      </c>
      <c r="O7" s="67" t="s">
        <v>336</v>
      </c>
    </row>
    <row r="8" spans="1:19" ht="16.5" customHeight="1" x14ac:dyDescent="0.3">
      <c r="A8" s="63" t="s">
        <v>345</v>
      </c>
      <c r="B8" s="142">
        <v>14</v>
      </c>
      <c r="C8" s="143"/>
      <c r="D8" s="143"/>
      <c r="E8" s="143"/>
      <c r="F8" s="143"/>
      <c r="G8" s="143"/>
      <c r="H8" s="144"/>
    </row>
    <row r="9" spans="1:19" ht="16.5" customHeight="1" x14ac:dyDescent="0.3">
      <c r="A9" s="63" t="s">
        <v>90</v>
      </c>
      <c r="B9" s="142" t="s">
        <v>346</v>
      </c>
      <c r="C9" s="143"/>
      <c r="D9" s="143"/>
      <c r="E9" s="143"/>
      <c r="F9" s="143"/>
      <c r="G9" s="143"/>
      <c r="H9" s="144"/>
    </row>
    <row r="10" spans="1:19" ht="23.25" customHeight="1" x14ac:dyDescent="0.3">
      <c r="A10" s="162" t="s">
        <v>347</v>
      </c>
      <c r="B10" s="143"/>
      <c r="C10" s="143"/>
      <c r="D10" s="143"/>
      <c r="E10" s="143"/>
      <c r="F10" s="143"/>
      <c r="G10" s="143"/>
      <c r="H10" s="144"/>
    </row>
    <row r="11" spans="1:19" ht="21.75" customHeight="1" x14ac:dyDescent="0.3">
      <c r="A11" s="68" t="s">
        <v>348</v>
      </c>
      <c r="B11" s="154">
        <f>(B4-B3-4)+1</f>
        <v>27</v>
      </c>
      <c r="C11" s="143"/>
      <c r="D11" s="143"/>
      <c r="E11" s="143"/>
      <c r="F11" s="143"/>
      <c r="G11" s="143"/>
      <c r="H11" s="144"/>
    </row>
    <row r="12" spans="1:19" ht="39" customHeight="1" x14ac:dyDescent="0.3">
      <c r="A12" s="69" t="s">
        <v>349</v>
      </c>
      <c r="B12" s="153" t="str">
        <f>TEXT(B3+B7,"dd/mm")&amp;" - "&amp;TEXT(B4+B8,"dd/mm")</f>
        <v>22/04 - 29/05</v>
      </c>
      <c r="C12" s="143"/>
      <c r="D12" s="143"/>
      <c r="E12" s="143"/>
      <c r="F12" s="143"/>
      <c r="G12" s="143"/>
      <c r="H12" s="144"/>
    </row>
    <row r="13" spans="1:19" ht="24.6" customHeight="1" x14ac:dyDescent="0.3">
      <c r="L13" s="145"/>
      <c r="M13" s="146"/>
      <c r="N13" s="146"/>
      <c r="O13" s="146"/>
      <c r="P13" s="146"/>
      <c r="Q13" s="146"/>
      <c r="R13" s="146"/>
      <c r="S13" s="146"/>
    </row>
    <row r="14" spans="1:19" ht="37.5" customHeight="1" x14ac:dyDescent="0.3">
      <c r="A14" s="148" t="s">
        <v>350</v>
      </c>
      <c r="B14" s="149"/>
      <c r="C14" s="149"/>
      <c r="D14" s="149"/>
      <c r="E14" s="149"/>
      <c r="F14" s="149"/>
      <c r="G14" s="149"/>
      <c r="H14" s="149"/>
      <c r="I14" s="149"/>
      <c r="J14" s="150"/>
      <c r="L14" s="70" t="s">
        <v>49</v>
      </c>
      <c r="M14" s="70" t="s">
        <v>351</v>
      </c>
      <c r="N14" s="70" t="s">
        <v>352</v>
      </c>
      <c r="O14" s="70" t="s">
        <v>353</v>
      </c>
      <c r="P14" s="70" t="s">
        <v>340</v>
      </c>
      <c r="Q14" s="70" t="s">
        <v>342</v>
      </c>
      <c r="R14" s="70" t="s">
        <v>344</v>
      </c>
      <c r="S14" s="70" t="s">
        <v>354</v>
      </c>
    </row>
    <row r="15" spans="1:19" ht="26.25" customHeight="1" x14ac:dyDescent="0.3">
      <c r="A15" s="151"/>
      <c r="B15" s="146"/>
      <c r="C15" s="146"/>
      <c r="D15" s="146"/>
      <c r="E15" s="146"/>
      <c r="F15" s="146"/>
      <c r="G15" s="146"/>
      <c r="H15" s="146"/>
      <c r="I15" s="146"/>
      <c r="J15" s="152"/>
      <c r="L15" s="71" t="s">
        <v>59</v>
      </c>
      <c r="M15" s="72">
        <v>15000</v>
      </c>
      <c r="N15" s="73">
        <f>M15*$M$3/6</f>
        <v>10000</v>
      </c>
      <c r="O15" s="73">
        <f>M15*$M$4/6</f>
        <v>15000</v>
      </c>
      <c r="P15" s="73">
        <f>M15*$M$5/6</f>
        <v>15000</v>
      </c>
      <c r="Q15" s="73">
        <f>M15*$M$6/6</f>
        <v>15000</v>
      </c>
      <c r="R15" s="73">
        <f>M15*$M$7/6</f>
        <v>12500</v>
      </c>
      <c r="S15" s="74">
        <f>SUM(N15:R15)</f>
        <v>67500</v>
      </c>
    </row>
    <row r="16" spans="1:19" ht="36" customHeight="1" x14ac:dyDescent="0.3">
      <c r="A16" s="70" t="s">
        <v>92</v>
      </c>
      <c r="B16" s="70" t="s">
        <v>120</v>
      </c>
      <c r="C16" s="70" t="s">
        <v>154</v>
      </c>
      <c r="D16" s="70" t="s">
        <v>48</v>
      </c>
      <c r="E16" s="70" t="s">
        <v>49</v>
      </c>
      <c r="F16" s="70" t="s">
        <v>351</v>
      </c>
      <c r="G16" s="70" t="s">
        <v>355</v>
      </c>
      <c r="H16" s="70" t="s">
        <v>356</v>
      </c>
      <c r="I16" s="70" t="s">
        <v>357</v>
      </c>
      <c r="J16" s="70" t="s">
        <v>358</v>
      </c>
      <c r="L16" s="71" t="s">
        <v>68</v>
      </c>
      <c r="M16" s="72">
        <v>5000</v>
      </c>
      <c r="N16" s="73">
        <f>M16*$M$3/6</f>
        <v>3333.3333333333335</v>
      </c>
      <c r="O16" s="73">
        <f>M16*$M$4/6</f>
        <v>5000</v>
      </c>
      <c r="P16" s="73">
        <f>M16*$M$5/6</f>
        <v>5000</v>
      </c>
      <c r="Q16" s="73">
        <f>M16*$M$6/6</f>
        <v>5000</v>
      </c>
      <c r="R16" s="73">
        <f>M16*$M$7/6</f>
        <v>4166.666666666667</v>
      </c>
      <c r="S16" s="74">
        <f>SUM(N16:R16)</f>
        <v>22500.000000000004</v>
      </c>
    </row>
    <row r="17" spans="1:19" ht="30.75" customHeight="1" x14ac:dyDescent="0.3">
      <c r="A17" s="75" t="s">
        <v>1</v>
      </c>
      <c r="B17" s="76" t="s">
        <v>57</v>
      </c>
      <c r="C17" s="76" t="s">
        <v>54</v>
      </c>
      <c r="D17" s="76" t="s">
        <v>58</v>
      </c>
      <c r="E17" s="76" t="s">
        <v>59</v>
      </c>
      <c r="F17" s="73">
        <v>15000</v>
      </c>
      <c r="G17" s="77">
        <v>46150</v>
      </c>
      <c r="H17" s="73" t="e">
        <f>SUMIFS('[1]Demand for Production Plan'!$I:$I,'[1]Demand for Production Plan'!$A:$A,$A17,'[1]Demand for Production Plan'!$C:$C,$C17,'[1]Demand for Production Plan'!$F:$F,$E17,'[1]Demand for Production Plan'!$H:$H,$G17)</f>
        <v>#VALUE!</v>
      </c>
      <c r="I17" s="77">
        <f t="shared" ref="I17:I37" si="0">G17-$B$8</f>
        <v>46136</v>
      </c>
      <c r="J17" s="77">
        <f t="shared" ref="J17:J37" si="1">G17-$B$7</f>
        <v>46143</v>
      </c>
      <c r="L17" s="71" t="s">
        <v>56</v>
      </c>
      <c r="M17" s="72">
        <v>3000</v>
      </c>
      <c r="N17" s="73">
        <f>M17*$M$3/6</f>
        <v>2000</v>
      </c>
      <c r="O17" s="73">
        <f>M17*$M$4/6</f>
        <v>3000</v>
      </c>
      <c r="P17" s="73">
        <f>M17*$M$5/6</f>
        <v>3000</v>
      </c>
      <c r="Q17" s="73">
        <f>M17*$M$6/6</f>
        <v>3000</v>
      </c>
      <c r="R17" s="73">
        <f>M17*$M$7/6</f>
        <v>2500</v>
      </c>
      <c r="S17" s="74">
        <f>SUM(N17:R17)</f>
        <v>13500</v>
      </c>
    </row>
    <row r="18" spans="1:19" ht="24.75" customHeight="1" x14ac:dyDescent="0.3">
      <c r="A18" s="75" t="s">
        <v>1</v>
      </c>
      <c r="B18" s="76" t="s">
        <v>57</v>
      </c>
      <c r="C18" s="76" t="s">
        <v>54</v>
      </c>
      <c r="D18" s="76" t="s">
        <v>58</v>
      </c>
      <c r="E18" s="76" t="s">
        <v>59</v>
      </c>
      <c r="F18" s="73">
        <v>15000</v>
      </c>
      <c r="G18" s="77">
        <v>46157</v>
      </c>
      <c r="H18" s="73" t="e">
        <f>SUMIFS('[1]Demand for Production Plan'!$I:$I,'[1]Demand for Production Plan'!$A:$A,$A18,'[1]Demand for Production Plan'!$C:$C,$C18,'[1]Demand for Production Plan'!$F:$F,$E18,'[1]Demand for Production Plan'!$H:$H,$G18)</f>
        <v>#VALUE!</v>
      </c>
      <c r="I18" s="77">
        <f t="shared" si="0"/>
        <v>46143</v>
      </c>
      <c r="J18" s="77">
        <f t="shared" si="1"/>
        <v>46150</v>
      </c>
    </row>
    <row r="19" spans="1:19" ht="24.75" customHeight="1" x14ac:dyDescent="0.3">
      <c r="A19" s="75" t="s">
        <v>1</v>
      </c>
      <c r="B19" s="76" t="s">
        <v>57</v>
      </c>
      <c r="C19" s="76" t="s">
        <v>54</v>
      </c>
      <c r="D19" s="76" t="s">
        <v>58</v>
      </c>
      <c r="E19" s="76" t="s">
        <v>59</v>
      </c>
      <c r="F19" s="73">
        <v>15000</v>
      </c>
      <c r="G19" s="77">
        <v>46164</v>
      </c>
      <c r="H19" s="73" t="e">
        <f>SUMIFS('[1]Demand for Production Plan'!$I:$I,'[1]Demand for Production Plan'!$A:$A,$A19,'[1]Demand for Production Plan'!$C:$C,$C19,'[1]Demand for Production Plan'!$F:$F,$E19,'[1]Demand for Production Plan'!$H:$H,$G19)</f>
        <v>#VALUE!</v>
      </c>
      <c r="I19" s="77">
        <f t="shared" si="0"/>
        <v>46150</v>
      </c>
      <c r="J19" s="77">
        <f t="shared" si="1"/>
        <v>46157</v>
      </c>
    </row>
    <row r="20" spans="1:19" ht="24.75" customHeight="1" x14ac:dyDescent="0.3">
      <c r="A20" s="75" t="s">
        <v>1</v>
      </c>
      <c r="B20" s="76" t="s">
        <v>57</v>
      </c>
      <c r="C20" s="76" t="s">
        <v>54</v>
      </c>
      <c r="D20" s="76" t="s">
        <v>58</v>
      </c>
      <c r="E20" s="76" t="s">
        <v>59</v>
      </c>
      <c r="F20" s="73">
        <v>15000</v>
      </c>
      <c r="G20" s="77">
        <v>46171</v>
      </c>
      <c r="H20" s="73" t="e">
        <f>SUMIFS('[1]Demand for Production Plan'!$I:$I,'[1]Demand for Production Plan'!$A:$A,$A20,'[1]Demand for Production Plan'!$C:$C,$C20,'[1]Demand for Production Plan'!$F:$F,$E20,'[1]Demand for Production Plan'!$H:$H,$G20)</f>
        <v>#VALUE!</v>
      </c>
      <c r="I20" s="77">
        <f t="shared" si="0"/>
        <v>46157</v>
      </c>
      <c r="J20" s="77">
        <f t="shared" si="1"/>
        <v>46164</v>
      </c>
    </row>
    <row r="21" spans="1:19" ht="24.75" customHeight="1" x14ac:dyDescent="0.3">
      <c r="A21" s="75" t="s">
        <v>2</v>
      </c>
      <c r="B21" s="76" t="s">
        <v>63</v>
      </c>
      <c r="C21" s="76" t="s">
        <v>54</v>
      </c>
      <c r="D21" s="76" t="s">
        <v>64</v>
      </c>
      <c r="E21" s="76" t="s">
        <v>59</v>
      </c>
      <c r="F21" s="73">
        <v>15000</v>
      </c>
      <c r="G21" s="77">
        <v>46157</v>
      </c>
      <c r="H21" s="73" t="e">
        <f>SUMIFS('[1]Demand for Production Plan'!$I:$I,'[1]Demand for Production Plan'!$A:$A,$A21,'[1]Demand for Production Plan'!$C:$C,$C21,'[1]Demand for Production Plan'!$F:$F,$E21,'[1]Demand for Production Plan'!$H:$H,$G21)</f>
        <v>#VALUE!</v>
      </c>
      <c r="I21" s="77">
        <f t="shared" si="0"/>
        <v>46143</v>
      </c>
      <c r="J21" s="77">
        <f t="shared" si="1"/>
        <v>46150</v>
      </c>
    </row>
    <row r="22" spans="1:19" ht="24.75" customHeight="1" x14ac:dyDescent="0.3">
      <c r="A22" s="75" t="s">
        <v>2</v>
      </c>
      <c r="B22" s="76" t="s">
        <v>63</v>
      </c>
      <c r="C22" s="76" t="s">
        <v>54</v>
      </c>
      <c r="D22" s="76" t="s">
        <v>64</v>
      </c>
      <c r="E22" s="76" t="s">
        <v>59</v>
      </c>
      <c r="F22" s="73">
        <v>15000</v>
      </c>
      <c r="G22" s="77">
        <v>46164</v>
      </c>
      <c r="H22" s="73" t="e">
        <f>SUMIFS('[1]Demand for Production Plan'!$I:$I,'[1]Demand for Production Plan'!$A:$A,$A22,'[1]Demand for Production Plan'!$C:$C,$C22,'[1]Demand for Production Plan'!$F:$F,$E22,'[1]Demand for Production Plan'!$H:$H,$G22)</f>
        <v>#VALUE!</v>
      </c>
      <c r="I22" s="77">
        <f t="shared" si="0"/>
        <v>46150</v>
      </c>
      <c r="J22" s="77">
        <f t="shared" si="1"/>
        <v>46157</v>
      </c>
    </row>
    <row r="23" spans="1:19" ht="24.75" customHeight="1" x14ac:dyDescent="0.3">
      <c r="A23" s="75" t="s">
        <v>2</v>
      </c>
      <c r="B23" s="76" t="s">
        <v>63</v>
      </c>
      <c r="C23" s="76" t="s">
        <v>54</v>
      </c>
      <c r="D23" s="76" t="s">
        <v>64</v>
      </c>
      <c r="E23" s="76" t="s">
        <v>59</v>
      </c>
      <c r="F23" s="73">
        <v>15000</v>
      </c>
      <c r="G23" s="77">
        <v>46171</v>
      </c>
      <c r="H23" s="73" t="e">
        <f>SUMIFS('[1]Demand for Production Plan'!$I:$I,'[1]Demand for Production Plan'!$A:$A,$A23,'[1]Demand for Production Plan'!$C:$C,$C23,'[1]Demand for Production Plan'!$F:$F,$E23,'[1]Demand for Production Plan'!$H:$H,$G23)</f>
        <v>#VALUE!</v>
      </c>
      <c r="I23" s="77">
        <f t="shared" si="0"/>
        <v>46157</v>
      </c>
      <c r="J23" s="77">
        <f t="shared" si="1"/>
        <v>46164</v>
      </c>
    </row>
    <row r="24" spans="1:19" ht="24.75" customHeight="1" x14ac:dyDescent="0.3">
      <c r="A24" s="75" t="s">
        <v>3</v>
      </c>
      <c r="B24" s="76" t="s">
        <v>65</v>
      </c>
      <c r="C24" s="76" t="s">
        <v>66</v>
      </c>
      <c r="D24" s="76" t="s">
        <v>67</v>
      </c>
      <c r="E24" s="76" t="s">
        <v>68</v>
      </c>
      <c r="F24" s="73">
        <v>5000</v>
      </c>
      <c r="G24" s="77">
        <v>46157</v>
      </c>
      <c r="H24" s="73" t="e">
        <f>SUMIFS('[1]Demand for Production Plan'!$I:$I,'[1]Demand for Production Plan'!$A:$A,$A24,'[1]Demand for Production Plan'!$C:$C,$C24,'[1]Demand for Production Plan'!$F:$F,$E24,'[1]Demand for Production Plan'!$H:$H,$G24)</f>
        <v>#VALUE!</v>
      </c>
      <c r="I24" s="77">
        <f t="shared" si="0"/>
        <v>46143</v>
      </c>
      <c r="J24" s="77">
        <f t="shared" si="1"/>
        <v>46150</v>
      </c>
    </row>
    <row r="25" spans="1:19" ht="24.75" customHeight="1" x14ac:dyDescent="0.3">
      <c r="A25" s="75" t="s">
        <v>3</v>
      </c>
      <c r="B25" s="76" t="s">
        <v>65</v>
      </c>
      <c r="C25" s="76" t="s">
        <v>66</v>
      </c>
      <c r="D25" s="76" t="s">
        <v>67</v>
      </c>
      <c r="E25" s="76" t="s">
        <v>68</v>
      </c>
      <c r="F25" s="73">
        <v>5000</v>
      </c>
      <c r="G25" s="77">
        <v>46164</v>
      </c>
      <c r="H25" s="73" t="e">
        <f>SUMIFS('[1]Demand for Production Plan'!$I:$I,'[1]Demand for Production Plan'!$A:$A,$A25,'[1]Demand for Production Plan'!$C:$C,$C25,'[1]Demand for Production Plan'!$F:$F,$E25,'[1]Demand for Production Plan'!$H:$H,$G25)</f>
        <v>#VALUE!</v>
      </c>
      <c r="I25" s="77">
        <f t="shared" si="0"/>
        <v>46150</v>
      </c>
      <c r="J25" s="77">
        <f t="shared" si="1"/>
        <v>46157</v>
      </c>
    </row>
    <row r="26" spans="1:19" ht="24.75" customHeight="1" x14ac:dyDescent="0.3">
      <c r="A26" s="75" t="s">
        <v>3</v>
      </c>
      <c r="B26" s="76" t="s">
        <v>65</v>
      </c>
      <c r="C26" s="76" t="s">
        <v>66</v>
      </c>
      <c r="D26" s="76" t="s">
        <v>67</v>
      </c>
      <c r="E26" s="76" t="s">
        <v>68</v>
      </c>
      <c r="F26" s="73">
        <v>5000</v>
      </c>
      <c r="G26" s="77">
        <v>46171</v>
      </c>
      <c r="H26" s="73" t="e">
        <f>SUMIFS('[1]Demand for Production Plan'!$I:$I,'[1]Demand for Production Plan'!$A:$A,$A26,'[1]Demand for Production Plan'!$C:$C,$C26,'[1]Demand for Production Plan'!$F:$F,$E26,'[1]Demand for Production Plan'!$H:$H,$G26)</f>
        <v>#VALUE!</v>
      </c>
      <c r="I26" s="77">
        <f t="shared" si="0"/>
        <v>46157</v>
      </c>
      <c r="J26" s="77">
        <f t="shared" si="1"/>
        <v>46164</v>
      </c>
    </row>
    <row r="27" spans="1:19" ht="24.75" customHeight="1" x14ac:dyDescent="0.3">
      <c r="A27" s="75" t="s">
        <v>4</v>
      </c>
      <c r="B27" s="76" t="s">
        <v>69</v>
      </c>
      <c r="C27" s="76" t="s">
        <v>66</v>
      </c>
      <c r="D27" s="76" t="s">
        <v>70</v>
      </c>
      <c r="E27" s="76" t="s">
        <v>68</v>
      </c>
      <c r="F27" s="73">
        <v>5000</v>
      </c>
      <c r="G27" s="77">
        <v>46157</v>
      </c>
      <c r="H27" s="73" t="e">
        <f>SUMIFS('[1]Demand for Production Plan'!$I:$I,'[1]Demand for Production Plan'!$A:$A,$A27,'[1]Demand for Production Plan'!$C:$C,$C27,'[1]Demand for Production Plan'!$F:$F,$E27,'[1]Demand for Production Plan'!$H:$H,$G27)</f>
        <v>#VALUE!</v>
      </c>
      <c r="I27" s="77">
        <f t="shared" si="0"/>
        <v>46143</v>
      </c>
      <c r="J27" s="77">
        <f t="shared" si="1"/>
        <v>46150</v>
      </c>
    </row>
    <row r="28" spans="1:19" ht="24.75" customHeight="1" x14ac:dyDescent="0.3">
      <c r="A28" s="75" t="s">
        <v>4</v>
      </c>
      <c r="B28" s="76" t="s">
        <v>69</v>
      </c>
      <c r="C28" s="76" t="s">
        <v>66</v>
      </c>
      <c r="D28" s="76" t="s">
        <v>70</v>
      </c>
      <c r="E28" s="76" t="s">
        <v>68</v>
      </c>
      <c r="F28" s="73">
        <v>5000</v>
      </c>
      <c r="G28" s="77">
        <v>46164</v>
      </c>
      <c r="H28" s="73" t="e">
        <f>SUMIFS('[1]Demand for Production Plan'!$I:$I,'[1]Demand for Production Plan'!$A:$A,$A28,'[1]Demand for Production Plan'!$C:$C,$C28,'[1]Demand for Production Plan'!$F:$F,$E28,'[1]Demand for Production Plan'!$H:$H,$G28)</f>
        <v>#VALUE!</v>
      </c>
      <c r="I28" s="77">
        <f t="shared" si="0"/>
        <v>46150</v>
      </c>
      <c r="J28" s="77">
        <f t="shared" si="1"/>
        <v>46157</v>
      </c>
    </row>
    <row r="29" spans="1:19" ht="24.75" customHeight="1" x14ac:dyDescent="0.3">
      <c r="A29" s="75" t="s">
        <v>4</v>
      </c>
      <c r="B29" s="76" t="s">
        <v>69</v>
      </c>
      <c r="C29" s="76" t="s">
        <v>66</v>
      </c>
      <c r="D29" s="76" t="s">
        <v>70</v>
      </c>
      <c r="E29" s="76" t="s">
        <v>68</v>
      </c>
      <c r="F29" s="73">
        <v>5000</v>
      </c>
      <c r="G29" s="77">
        <v>46171</v>
      </c>
      <c r="H29" s="73" t="e">
        <f>SUMIFS('[1]Demand for Production Plan'!$I:$I,'[1]Demand for Production Plan'!$A:$A,$A29,'[1]Demand for Production Plan'!$C:$C,$C29,'[1]Demand for Production Plan'!$F:$F,$E29,'[1]Demand for Production Plan'!$H:$H,$G29)</f>
        <v>#VALUE!</v>
      </c>
      <c r="I29" s="77">
        <f t="shared" si="0"/>
        <v>46157</v>
      </c>
      <c r="J29" s="77">
        <f t="shared" si="1"/>
        <v>46164</v>
      </c>
    </row>
    <row r="30" spans="1:19" ht="24.75" customHeight="1" x14ac:dyDescent="0.3">
      <c r="A30" s="75" t="s">
        <v>5</v>
      </c>
      <c r="B30" s="76" t="s">
        <v>60</v>
      </c>
      <c r="C30" s="76" t="s">
        <v>61</v>
      </c>
      <c r="D30" s="76" t="s">
        <v>62</v>
      </c>
      <c r="E30" s="76" t="s">
        <v>56</v>
      </c>
      <c r="F30" s="73">
        <v>3000</v>
      </c>
      <c r="G30" s="77">
        <v>46150</v>
      </c>
      <c r="H30" s="73" t="e">
        <f>SUMIFS('[1]Demand for Production Plan'!$I:$I,'[1]Demand for Production Plan'!$A:$A,$A30,'[1]Demand for Production Plan'!$C:$C,$C30,'[1]Demand for Production Plan'!$F:$F,$E30,'[1]Demand for Production Plan'!$H:$H,$G30)</f>
        <v>#VALUE!</v>
      </c>
      <c r="I30" s="77">
        <f t="shared" si="0"/>
        <v>46136</v>
      </c>
      <c r="J30" s="77">
        <f t="shared" si="1"/>
        <v>46143</v>
      </c>
    </row>
    <row r="31" spans="1:19" ht="24.75" customHeight="1" x14ac:dyDescent="0.3">
      <c r="A31" s="75" t="s">
        <v>5</v>
      </c>
      <c r="B31" s="76" t="s">
        <v>60</v>
      </c>
      <c r="C31" s="76" t="s">
        <v>61</v>
      </c>
      <c r="D31" s="76" t="s">
        <v>62</v>
      </c>
      <c r="E31" s="76" t="s">
        <v>56</v>
      </c>
      <c r="F31" s="73">
        <v>3000</v>
      </c>
      <c r="G31" s="77">
        <v>46157</v>
      </c>
      <c r="H31" s="73" t="e">
        <f>SUMIFS('[1]Demand for Production Plan'!$I:$I,'[1]Demand for Production Plan'!$A:$A,$A31,'[1]Demand for Production Plan'!$C:$C,$C31,'[1]Demand for Production Plan'!$F:$F,$E31,'[1]Demand for Production Plan'!$H:$H,$G31)</f>
        <v>#VALUE!</v>
      </c>
      <c r="I31" s="77">
        <f t="shared" si="0"/>
        <v>46143</v>
      </c>
      <c r="J31" s="77">
        <f t="shared" si="1"/>
        <v>46150</v>
      </c>
    </row>
    <row r="32" spans="1:19" ht="27.75" customHeight="1" x14ac:dyDescent="0.3">
      <c r="A32" s="75" t="s">
        <v>5</v>
      </c>
      <c r="B32" s="76" t="s">
        <v>60</v>
      </c>
      <c r="C32" s="76" t="s">
        <v>61</v>
      </c>
      <c r="D32" s="76" t="s">
        <v>62</v>
      </c>
      <c r="E32" s="76" t="s">
        <v>56</v>
      </c>
      <c r="F32" s="73">
        <v>3000</v>
      </c>
      <c r="G32" s="77">
        <v>46164</v>
      </c>
      <c r="H32" s="73" t="e">
        <f>SUMIFS('[1]Demand for Production Plan'!$I:$I,'[1]Demand for Production Plan'!$A:$A,$A32,'[1]Demand for Production Plan'!$C:$C,$C32,'[1]Demand for Production Plan'!$F:$F,$E32,'[1]Demand for Production Plan'!$H:$H,$G32)</f>
        <v>#VALUE!</v>
      </c>
      <c r="I32" s="77">
        <f t="shared" si="0"/>
        <v>46150</v>
      </c>
      <c r="J32" s="77">
        <f t="shared" si="1"/>
        <v>46157</v>
      </c>
    </row>
    <row r="33" spans="1:43" ht="33" customHeight="1" x14ac:dyDescent="0.3">
      <c r="A33" s="75" t="s">
        <v>6</v>
      </c>
      <c r="B33" s="76" t="s">
        <v>53</v>
      </c>
      <c r="C33" s="76" t="s">
        <v>54</v>
      </c>
      <c r="D33" s="76" t="s">
        <v>55</v>
      </c>
      <c r="E33" s="76" t="s">
        <v>56</v>
      </c>
      <c r="F33" s="73">
        <v>3000</v>
      </c>
      <c r="G33" s="77">
        <v>46143</v>
      </c>
      <c r="H33" s="73" t="e">
        <f>SUMIFS('[1]Demand for Production Plan'!$I:$I,'[1]Demand for Production Plan'!$A:$A,$A33,'[1]Demand for Production Plan'!$C:$C,$C33,'[1]Demand for Production Plan'!$F:$F,$E33,'[1]Demand for Production Plan'!$H:$H,$G33)</f>
        <v>#VALUE!</v>
      </c>
      <c r="I33" s="77">
        <f t="shared" si="0"/>
        <v>46129</v>
      </c>
      <c r="J33" s="77">
        <f t="shared" si="1"/>
        <v>46136</v>
      </c>
    </row>
    <row r="34" spans="1:43" ht="33" customHeight="1" x14ac:dyDescent="0.3">
      <c r="A34" s="75" t="s">
        <v>6</v>
      </c>
      <c r="B34" s="76" t="s">
        <v>53</v>
      </c>
      <c r="C34" s="76" t="s">
        <v>54</v>
      </c>
      <c r="D34" s="76" t="s">
        <v>55</v>
      </c>
      <c r="E34" s="76" t="s">
        <v>56</v>
      </c>
      <c r="F34" s="73">
        <v>3000</v>
      </c>
      <c r="G34" s="77">
        <v>46150</v>
      </c>
      <c r="H34" s="73" t="e">
        <f>SUMIFS('[1]Demand for Production Plan'!$I:$I,'[1]Demand for Production Plan'!$A:$A,$A34,'[1]Demand for Production Plan'!$C:$C,$C34,'[1]Demand for Production Plan'!$F:$F,$E34,'[1]Demand for Production Plan'!$H:$H,$G34)</f>
        <v>#VALUE!</v>
      </c>
      <c r="I34" s="77">
        <f t="shared" si="0"/>
        <v>46136</v>
      </c>
      <c r="J34" s="77">
        <f t="shared" si="1"/>
        <v>46143</v>
      </c>
    </row>
    <row r="35" spans="1:43" ht="33" customHeight="1" x14ac:dyDescent="0.3">
      <c r="A35" s="75" t="s">
        <v>6</v>
      </c>
      <c r="B35" s="76" t="s">
        <v>53</v>
      </c>
      <c r="C35" s="76" t="s">
        <v>54</v>
      </c>
      <c r="D35" s="76" t="s">
        <v>55</v>
      </c>
      <c r="E35" s="76" t="s">
        <v>56</v>
      </c>
      <c r="F35" s="73">
        <v>3000</v>
      </c>
      <c r="G35" s="77">
        <v>46157</v>
      </c>
      <c r="H35" s="73" t="e">
        <f>SUMIFS('[1]Demand for Production Plan'!$I:$I,'[1]Demand for Production Plan'!$A:$A,$A35,'[1]Demand for Production Plan'!$C:$C,$C35,'[1]Demand for Production Plan'!$F:$F,$E35,'[1]Demand for Production Plan'!$H:$H,$G35)</f>
        <v>#VALUE!</v>
      </c>
      <c r="I35" s="77">
        <f t="shared" si="0"/>
        <v>46143</v>
      </c>
      <c r="J35" s="77">
        <f t="shared" si="1"/>
        <v>46150</v>
      </c>
    </row>
    <row r="36" spans="1:43" ht="33" customHeight="1" x14ac:dyDescent="0.3">
      <c r="A36" s="75" t="s">
        <v>6</v>
      </c>
      <c r="B36" s="76" t="s">
        <v>53</v>
      </c>
      <c r="C36" s="76" t="s">
        <v>54</v>
      </c>
      <c r="D36" s="76" t="s">
        <v>55</v>
      </c>
      <c r="E36" s="76" t="s">
        <v>56</v>
      </c>
      <c r="F36" s="73">
        <v>3000</v>
      </c>
      <c r="G36" s="77">
        <v>46164</v>
      </c>
      <c r="H36" s="73" t="e">
        <f>SUMIFS('[1]Demand for Production Plan'!$I:$I,'[1]Demand for Production Plan'!$A:$A,$A36,'[1]Demand for Production Plan'!$C:$C,$C36,'[1]Demand for Production Plan'!$F:$F,$E36,'[1]Demand for Production Plan'!$H:$H,$G36)</f>
        <v>#VALUE!</v>
      </c>
      <c r="I36" s="77">
        <f t="shared" si="0"/>
        <v>46150</v>
      </c>
      <c r="J36" s="77">
        <f t="shared" si="1"/>
        <v>46157</v>
      </c>
    </row>
    <row r="37" spans="1:43" ht="33" customHeight="1" x14ac:dyDescent="0.3">
      <c r="A37" s="75" t="s">
        <v>6</v>
      </c>
      <c r="B37" s="76" t="s">
        <v>53</v>
      </c>
      <c r="C37" s="76" t="s">
        <v>54</v>
      </c>
      <c r="D37" s="76" t="s">
        <v>55</v>
      </c>
      <c r="E37" s="76" t="s">
        <v>56</v>
      </c>
      <c r="F37" s="73">
        <v>3000</v>
      </c>
      <c r="G37" s="77">
        <v>46171</v>
      </c>
      <c r="H37" s="73" t="e">
        <f>SUMIFS('[1]Demand for Production Plan'!$I:$I,'[1]Demand for Production Plan'!$A:$A,$A37,'[1]Demand for Production Plan'!$C:$C,$C37,'[1]Demand for Production Plan'!$F:$F,$E37,'[1]Demand for Production Plan'!$H:$H,$G37)</f>
        <v>#VALUE!</v>
      </c>
      <c r="I37" s="77">
        <f t="shared" si="0"/>
        <v>46157</v>
      </c>
      <c r="J37" s="77">
        <f t="shared" si="1"/>
        <v>46164</v>
      </c>
    </row>
    <row r="39" spans="1:43" x14ac:dyDescent="0.3">
      <c r="A39" s="163" t="s">
        <v>359</v>
      </c>
      <c r="B39" s="149"/>
      <c r="C39" s="149"/>
      <c r="D39" s="149"/>
      <c r="E39" s="149"/>
      <c r="F39" s="149"/>
      <c r="G39" s="149"/>
      <c r="H39" s="149"/>
      <c r="I39" s="149"/>
      <c r="J39" s="150"/>
    </row>
    <row r="40" spans="1:43" x14ac:dyDescent="0.3">
      <c r="A40" s="151"/>
      <c r="B40" s="146"/>
      <c r="C40" s="146"/>
      <c r="D40" s="146"/>
      <c r="E40" s="146"/>
      <c r="F40" s="146"/>
      <c r="G40" s="146"/>
      <c r="H40" s="146"/>
      <c r="I40" s="146"/>
      <c r="J40" s="152"/>
    </row>
    <row r="41" spans="1:43" ht="16.5" customHeight="1" x14ac:dyDescent="0.3">
      <c r="A41" s="164" t="s">
        <v>92</v>
      </c>
      <c r="B41" s="164" t="s">
        <v>120</v>
      </c>
      <c r="C41" s="164" t="s">
        <v>154</v>
      </c>
      <c r="D41" s="164" t="s">
        <v>155</v>
      </c>
      <c r="E41" s="164" t="s">
        <v>49</v>
      </c>
      <c r="F41" s="164" t="s">
        <v>122</v>
      </c>
      <c r="G41" s="164" t="s">
        <v>156</v>
      </c>
      <c r="H41" s="164" t="s">
        <v>157</v>
      </c>
      <c r="I41" s="164" t="s">
        <v>158</v>
      </c>
      <c r="J41" s="164" t="s">
        <v>159</v>
      </c>
      <c r="K41" s="164" t="s">
        <v>160</v>
      </c>
      <c r="L41" s="164" t="s">
        <v>161</v>
      </c>
      <c r="M41" s="164" t="s">
        <v>162</v>
      </c>
      <c r="N41" s="164" t="s">
        <v>163</v>
      </c>
      <c r="O41" s="164" t="s">
        <v>164</v>
      </c>
      <c r="P41" s="164" t="s">
        <v>165</v>
      </c>
      <c r="Q41" s="164" t="s">
        <v>166</v>
      </c>
      <c r="R41" s="164" t="s">
        <v>167</v>
      </c>
      <c r="S41" s="164" t="s">
        <v>168</v>
      </c>
      <c r="T41" s="164" t="s">
        <v>169</v>
      </c>
      <c r="U41" s="164" t="s">
        <v>170</v>
      </c>
      <c r="V41" s="164" t="s">
        <v>171</v>
      </c>
      <c r="W41" s="164" t="s">
        <v>172</v>
      </c>
      <c r="X41" s="164" t="s">
        <v>173</v>
      </c>
      <c r="Y41" s="164" t="s">
        <v>174</v>
      </c>
      <c r="Z41" s="164" t="s">
        <v>175</v>
      </c>
      <c r="AA41" s="164" t="s">
        <v>176</v>
      </c>
      <c r="AB41" s="164" t="s">
        <v>177</v>
      </c>
      <c r="AC41" s="164" t="s">
        <v>178</v>
      </c>
      <c r="AD41" s="164" t="s">
        <v>179</v>
      </c>
      <c r="AE41" s="164" t="s">
        <v>180</v>
      </c>
      <c r="AF41" s="164" t="s">
        <v>181</v>
      </c>
      <c r="AG41" s="164" t="s">
        <v>182</v>
      </c>
      <c r="AH41" s="164" t="s">
        <v>183</v>
      </c>
      <c r="AI41" s="164" t="s">
        <v>184</v>
      </c>
      <c r="AJ41" s="164" t="s">
        <v>185</v>
      </c>
      <c r="AK41" s="164" t="s">
        <v>186</v>
      </c>
      <c r="AL41" s="164" t="s">
        <v>187</v>
      </c>
      <c r="AM41" s="164" t="s">
        <v>188</v>
      </c>
      <c r="AN41" s="164" t="s">
        <v>189</v>
      </c>
      <c r="AO41" s="164" t="s">
        <v>100</v>
      </c>
      <c r="AP41" s="164" t="s">
        <v>190</v>
      </c>
      <c r="AQ41" s="164" t="s">
        <v>191</v>
      </c>
    </row>
    <row r="42" spans="1:43" ht="16.5" customHeight="1" x14ac:dyDescent="0.3">
      <c r="A42" s="165" t="s">
        <v>6</v>
      </c>
      <c r="B42" s="165" t="s">
        <v>53</v>
      </c>
      <c r="C42" s="165" t="s">
        <v>54</v>
      </c>
      <c r="D42" s="165" t="s">
        <v>55</v>
      </c>
      <c r="E42" s="165" t="s">
        <v>56</v>
      </c>
      <c r="F42" s="165">
        <v>2</v>
      </c>
      <c r="G42" s="165">
        <v>3000</v>
      </c>
      <c r="H42" s="166">
        <v>46143</v>
      </c>
      <c r="I42" s="165">
        <v>588</v>
      </c>
      <c r="J42" s="165">
        <v>500</v>
      </c>
      <c r="K42" s="165">
        <v>500</v>
      </c>
      <c r="L42" s="165">
        <v>500</v>
      </c>
      <c r="M42" s="165">
        <v>500</v>
      </c>
      <c r="N42" s="165">
        <v>500</v>
      </c>
      <c r="O42" s="165">
        <v>0</v>
      </c>
      <c r="P42" s="165">
        <v>500</v>
      </c>
      <c r="Q42" s="165">
        <v>30</v>
      </c>
      <c r="R42" s="165">
        <v>500</v>
      </c>
      <c r="S42" s="165">
        <v>500</v>
      </c>
      <c r="T42" s="165">
        <v>0</v>
      </c>
      <c r="U42" s="165">
        <v>500</v>
      </c>
      <c r="V42" s="165">
        <v>500</v>
      </c>
      <c r="W42" s="165">
        <v>500</v>
      </c>
      <c r="X42" s="165">
        <v>500</v>
      </c>
      <c r="Y42" s="165">
        <v>0</v>
      </c>
      <c r="Z42" s="165">
        <v>0</v>
      </c>
      <c r="AA42" s="165">
        <v>0</v>
      </c>
      <c r="AB42" s="165">
        <v>0</v>
      </c>
      <c r="AC42" s="165">
        <v>0</v>
      </c>
      <c r="AD42" s="165">
        <v>0</v>
      </c>
      <c r="AE42" s="165">
        <v>0</v>
      </c>
      <c r="AF42" s="165">
        <v>0</v>
      </c>
      <c r="AG42" s="165">
        <v>0</v>
      </c>
      <c r="AH42" s="165">
        <v>0</v>
      </c>
      <c r="AI42" s="165">
        <v>0</v>
      </c>
      <c r="AJ42" s="165">
        <v>0</v>
      </c>
      <c r="AK42" s="165">
        <v>0</v>
      </c>
      <c r="AL42" s="165">
        <v>6030</v>
      </c>
      <c r="AM42" s="165">
        <v>6030</v>
      </c>
      <c r="AN42" s="165">
        <v>5442</v>
      </c>
      <c r="AO42" s="165">
        <v>0</v>
      </c>
      <c r="AP42" s="167" t="s">
        <v>192</v>
      </c>
      <c r="AQ42" s="165" t="s">
        <v>193</v>
      </c>
    </row>
    <row r="43" spans="1:43" ht="16.5" customHeight="1" x14ac:dyDescent="0.3">
      <c r="A43" s="165" t="s">
        <v>1</v>
      </c>
      <c r="B43" s="165" t="s">
        <v>57</v>
      </c>
      <c r="C43" s="165" t="s">
        <v>54</v>
      </c>
      <c r="D43" s="165" t="s">
        <v>58</v>
      </c>
      <c r="E43" s="165" t="s">
        <v>59</v>
      </c>
      <c r="F43" s="165">
        <v>1</v>
      </c>
      <c r="G43" s="165">
        <v>15000</v>
      </c>
      <c r="H43" s="166">
        <v>46150</v>
      </c>
      <c r="I43" s="165">
        <v>684</v>
      </c>
      <c r="J43" s="165">
        <v>2500</v>
      </c>
      <c r="K43" s="165">
        <v>2500</v>
      </c>
      <c r="L43" s="165">
        <v>2500</v>
      </c>
      <c r="M43" s="165">
        <v>2500</v>
      </c>
      <c r="N43" s="165">
        <v>2500</v>
      </c>
      <c r="O43" s="165">
        <v>0</v>
      </c>
      <c r="P43" s="165">
        <v>2500</v>
      </c>
      <c r="Q43" s="165">
        <v>2500</v>
      </c>
      <c r="R43" s="165">
        <v>2500</v>
      </c>
      <c r="S43" s="165">
        <v>0</v>
      </c>
      <c r="T43" s="165">
        <v>2500</v>
      </c>
      <c r="U43" s="165">
        <v>0</v>
      </c>
      <c r="V43" s="165">
        <v>2500</v>
      </c>
      <c r="W43" s="165">
        <v>0</v>
      </c>
      <c r="X43" s="165">
        <v>0</v>
      </c>
      <c r="Y43" s="165">
        <v>0</v>
      </c>
      <c r="Z43" s="165">
        <v>1684</v>
      </c>
      <c r="AA43" s="165">
        <v>2500</v>
      </c>
      <c r="AB43" s="165">
        <v>2500</v>
      </c>
      <c r="AC43" s="165">
        <v>2500</v>
      </c>
      <c r="AD43" s="165">
        <v>2500</v>
      </c>
      <c r="AE43" s="165">
        <v>0</v>
      </c>
      <c r="AF43" s="165">
        <v>0</v>
      </c>
      <c r="AG43" s="165">
        <v>0</v>
      </c>
      <c r="AH43" s="165">
        <v>0</v>
      </c>
      <c r="AI43" s="165">
        <v>0</v>
      </c>
      <c r="AJ43" s="165">
        <v>0</v>
      </c>
      <c r="AK43" s="165">
        <v>0</v>
      </c>
      <c r="AL43" s="165">
        <v>36684</v>
      </c>
      <c r="AM43" s="165">
        <v>36684</v>
      </c>
      <c r="AN43" s="165">
        <v>36000</v>
      </c>
      <c r="AO43" s="165">
        <v>0</v>
      </c>
      <c r="AP43" s="167" t="s">
        <v>192</v>
      </c>
      <c r="AQ43" s="165" t="s">
        <v>193</v>
      </c>
    </row>
    <row r="44" spans="1:43" ht="16.5" customHeight="1" x14ac:dyDescent="0.3">
      <c r="A44" s="165" t="s">
        <v>5</v>
      </c>
      <c r="B44" s="165" t="s">
        <v>60</v>
      </c>
      <c r="C44" s="165" t="s">
        <v>61</v>
      </c>
      <c r="D44" s="165" t="s">
        <v>62</v>
      </c>
      <c r="E44" s="165" t="s">
        <v>56</v>
      </c>
      <c r="F44" s="165">
        <v>1</v>
      </c>
      <c r="G44" s="165">
        <v>3000</v>
      </c>
      <c r="H44" s="166">
        <v>46150</v>
      </c>
      <c r="I44" s="165">
        <v>472</v>
      </c>
      <c r="J44" s="165">
        <v>0</v>
      </c>
      <c r="K44" s="165">
        <v>0</v>
      </c>
      <c r="L44" s="165">
        <v>0</v>
      </c>
      <c r="M44" s="165">
        <v>0</v>
      </c>
      <c r="N44" s="165">
        <v>0</v>
      </c>
      <c r="O44" s="165">
        <v>500</v>
      </c>
      <c r="P44" s="165">
        <v>0</v>
      </c>
      <c r="Q44" s="165">
        <v>470</v>
      </c>
      <c r="R44" s="165">
        <v>0</v>
      </c>
      <c r="S44" s="165">
        <v>0</v>
      </c>
      <c r="T44" s="165">
        <v>500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65">
        <v>0</v>
      </c>
      <c r="AC44" s="165">
        <v>0</v>
      </c>
      <c r="AD44" s="165">
        <v>0</v>
      </c>
      <c r="AE44" s="165">
        <v>0</v>
      </c>
      <c r="AF44" s="165">
        <v>0</v>
      </c>
      <c r="AG44" s="165">
        <v>0</v>
      </c>
      <c r="AH44" s="165">
        <v>0</v>
      </c>
      <c r="AI44" s="165">
        <v>0</v>
      </c>
      <c r="AJ44" s="165">
        <v>0</v>
      </c>
      <c r="AK44" s="165">
        <v>0</v>
      </c>
      <c r="AL44" s="165">
        <v>1470</v>
      </c>
      <c r="AM44" s="165">
        <v>1470</v>
      </c>
      <c r="AN44" s="165">
        <v>998</v>
      </c>
      <c r="AO44" s="165">
        <v>0</v>
      </c>
      <c r="AP44" s="167" t="s">
        <v>192</v>
      </c>
      <c r="AQ44" s="165" t="s">
        <v>193</v>
      </c>
    </row>
    <row r="45" spans="1:43" ht="16.5" customHeight="1" x14ac:dyDescent="0.3">
      <c r="A45" s="165" t="s">
        <v>6</v>
      </c>
      <c r="B45" s="165" t="s">
        <v>53</v>
      </c>
      <c r="C45" s="165" t="s">
        <v>54</v>
      </c>
      <c r="D45" s="165" t="s">
        <v>55</v>
      </c>
      <c r="E45" s="165" t="s">
        <v>56</v>
      </c>
      <c r="F45" s="165">
        <v>2</v>
      </c>
      <c r="G45" s="165">
        <v>3000</v>
      </c>
      <c r="H45" s="166">
        <v>46150</v>
      </c>
      <c r="I45" s="165">
        <v>4028</v>
      </c>
      <c r="J45" s="165">
        <v>0</v>
      </c>
      <c r="K45" s="165">
        <v>0</v>
      </c>
      <c r="L45" s="165">
        <v>0</v>
      </c>
      <c r="M45" s="165">
        <v>0</v>
      </c>
      <c r="N45" s="165">
        <v>0</v>
      </c>
      <c r="O45" s="165">
        <v>0</v>
      </c>
      <c r="P45" s="165">
        <v>0</v>
      </c>
      <c r="Q45" s="165">
        <v>0</v>
      </c>
      <c r="R45" s="165">
        <v>0</v>
      </c>
      <c r="S45" s="165">
        <v>0</v>
      </c>
      <c r="T45" s="165">
        <v>0</v>
      </c>
      <c r="U45" s="165">
        <v>0</v>
      </c>
      <c r="V45" s="165">
        <v>0</v>
      </c>
      <c r="W45" s="165">
        <v>0</v>
      </c>
      <c r="X45" s="165">
        <v>0</v>
      </c>
      <c r="Y45" s="165">
        <v>500</v>
      </c>
      <c r="Z45" s="165">
        <v>500</v>
      </c>
      <c r="AA45" s="165">
        <v>500</v>
      </c>
      <c r="AB45" s="165">
        <v>500</v>
      </c>
      <c r="AC45" s="165">
        <v>500</v>
      </c>
      <c r="AD45" s="165">
        <v>500</v>
      </c>
      <c r="AE45" s="165">
        <v>0</v>
      </c>
      <c r="AF45" s="165">
        <v>0</v>
      </c>
      <c r="AG45" s="165">
        <v>0</v>
      </c>
      <c r="AH45" s="165">
        <v>0</v>
      </c>
      <c r="AI45" s="165">
        <v>0</v>
      </c>
      <c r="AJ45" s="165">
        <v>0</v>
      </c>
      <c r="AK45" s="165">
        <v>5442</v>
      </c>
      <c r="AL45" s="165">
        <v>3000</v>
      </c>
      <c r="AM45" s="165">
        <v>8442</v>
      </c>
      <c r="AN45" s="165">
        <v>4414</v>
      </c>
      <c r="AO45" s="165">
        <v>0</v>
      </c>
      <c r="AP45" s="167" t="s">
        <v>192</v>
      </c>
      <c r="AQ45" s="165" t="s">
        <v>193</v>
      </c>
    </row>
    <row r="46" spans="1:43" ht="16.5" customHeight="1" x14ac:dyDescent="0.3">
      <c r="A46" s="165" t="s">
        <v>1</v>
      </c>
      <c r="B46" s="165" t="s">
        <v>57</v>
      </c>
      <c r="C46" s="165" t="s">
        <v>54</v>
      </c>
      <c r="D46" s="165" t="s">
        <v>58</v>
      </c>
      <c r="E46" s="165" t="s">
        <v>59</v>
      </c>
      <c r="F46" s="165">
        <v>1</v>
      </c>
      <c r="G46" s="165">
        <v>15000</v>
      </c>
      <c r="H46" s="166">
        <v>46157</v>
      </c>
      <c r="I46" s="165">
        <v>20000</v>
      </c>
      <c r="J46" s="165">
        <v>0</v>
      </c>
      <c r="K46" s="165">
        <v>0</v>
      </c>
      <c r="L46" s="165">
        <v>0</v>
      </c>
      <c r="M46" s="165">
        <v>0</v>
      </c>
      <c r="N46" s="165">
        <v>0</v>
      </c>
      <c r="O46" s="165">
        <v>0</v>
      </c>
      <c r="P46" s="165">
        <v>0</v>
      </c>
      <c r="Q46" s="165">
        <v>0</v>
      </c>
      <c r="R46" s="165">
        <v>0</v>
      </c>
      <c r="S46" s="165">
        <v>0</v>
      </c>
      <c r="T46" s="165">
        <v>0</v>
      </c>
      <c r="U46" s="165">
        <v>0</v>
      </c>
      <c r="V46" s="165">
        <v>0</v>
      </c>
      <c r="W46" s="165">
        <v>0</v>
      </c>
      <c r="X46" s="165">
        <v>0</v>
      </c>
      <c r="Y46" s="165">
        <v>0</v>
      </c>
      <c r="Z46" s="165">
        <v>0</v>
      </c>
      <c r="AA46" s="165">
        <v>0</v>
      </c>
      <c r="AB46" s="165">
        <v>0</v>
      </c>
      <c r="AC46" s="165">
        <v>0</v>
      </c>
      <c r="AD46" s="165">
        <v>0</v>
      </c>
      <c r="AE46" s="165">
        <v>2500</v>
      </c>
      <c r="AF46" s="165">
        <v>2500</v>
      </c>
      <c r="AG46" s="165">
        <v>2500</v>
      </c>
      <c r="AH46" s="165">
        <v>2500</v>
      </c>
      <c r="AI46" s="165">
        <v>2500</v>
      </c>
      <c r="AJ46" s="165">
        <v>2500</v>
      </c>
      <c r="AK46" s="165">
        <v>36000</v>
      </c>
      <c r="AL46" s="165">
        <v>15000</v>
      </c>
      <c r="AM46" s="165">
        <v>51000</v>
      </c>
      <c r="AN46" s="165">
        <v>31000</v>
      </c>
      <c r="AO46" s="165">
        <v>0</v>
      </c>
      <c r="AP46" s="167" t="s">
        <v>192</v>
      </c>
      <c r="AQ46" s="165" t="s">
        <v>193</v>
      </c>
    </row>
    <row r="47" spans="1:43" ht="16.5" customHeight="1" x14ac:dyDescent="0.3">
      <c r="A47" s="165" t="s">
        <v>2</v>
      </c>
      <c r="B47" s="165" t="s">
        <v>63</v>
      </c>
      <c r="C47" s="165" t="s">
        <v>54</v>
      </c>
      <c r="D47" s="165" t="s">
        <v>64</v>
      </c>
      <c r="E47" s="165" t="s">
        <v>59</v>
      </c>
      <c r="F47" s="165">
        <v>2</v>
      </c>
      <c r="G47" s="165">
        <v>15000</v>
      </c>
      <c r="H47" s="166">
        <v>46157</v>
      </c>
      <c r="I47" s="165">
        <v>5502</v>
      </c>
      <c r="J47" s="165">
        <v>0</v>
      </c>
      <c r="K47" s="165">
        <v>0</v>
      </c>
      <c r="L47" s="165">
        <v>0</v>
      </c>
      <c r="M47" s="165">
        <v>0</v>
      </c>
      <c r="N47" s="165">
        <v>0</v>
      </c>
      <c r="O47" s="165">
        <v>2500</v>
      </c>
      <c r="P47" s="165">
        <v>0</v>
      </c>
      <c r="Q47" s="165">
        <v>0</v>
      </c>
      <c r="R47" s="165">
        <v>0</v>
      </c>
      <c r="S47" s="165">
        <v>2500</v>
      </c>
      <c r="T47" s="165">
        <v>0</v>
      </c>
      <c r="U47" s="165">
        <v>2500</v>
      </c>
      <c r="V47" s="165">
        <v>0</v>
      </c>
      <c r="W47" s="165">
        <v>2500</v>
      </c>
      <c r="X47" s="165">
        <v>2500</v>
      </c>
      <c r="Y47" s="165">
        <v>2500</v>
      </c>
      <c r="Z47" s="165">
        <v>816</v>
      </c>
      <c r="AA47" s="165">
        <v>0</v>
      </c>
      <c r="AB47" s="165">
        <v>0</v>
      </c>
      <c r="AC47" s="165">
        <v>0</v>
      </c>
      <c r="AD47" s="165">
        <v>0</v>
      </c>
      <c r="AE47" s="165">
        <v>0</v>
      </c>
      <c r="AF47" s="165">
        <v>0</v>
      </c>
      <c r="AG47" s="165">
        <v>0</v>
      </c>
      <c r="AH47" s="165">
        <v>0</v>
      </c>
      <c r="AI47" s="165">
        <v>0</v>
      </c>
      <c r="AJ47" s="165">
        <v>0</v>
      </c>
      <c r="AK47" s="165">
        <v>0</v>
      </c>
      <c r="AL47" s="165">
        <v>15816</v>
      </c>
      <c r="AM47" s="165">
        <v>15816</v>
      </c>
      <c r="AN47" s="165">
        <v>10314</v>
      </c>
      <c r="AO47" s="165">
        <v>0</v>
      </c>
      <c r="AP47" s="167" t="s">
        <v>192</v>
      </c>
      <c r="AQ47" s="165" t="s">
        <v>193</v>
      </c>
    </row>
    <row r="48" spans="1:43" ht="16.5" customHeight="1" x14ac:dyDescent="0.3">
      <c r="A48" s="165" t="s">
        <v>3</v>
      </c>
      <c r="B48" s="165" t="s">
        <v>65</v>
      </c>
      <c r="C48" s="165" t="s">
        <v>66</v>
      </c>
      <c r="D48" s="165" t="s">
        <v>67</v>
      </c>
      <c r="E48" s="165" t="s">
        <v>68</v>
      </c>
      <c r="F48" s="165">
        <v>1</v>
      </c>
      <c r="G48" s="165">
        <v>5000</v>
      </c>
      <c r="H48" s="166">
        <v>46157</v>
      </c>
      <c r="I48" s="165">
        <v>4320</v>
      </c>
      <c r="J48" s="165">
        <v>833</v>
      </c>
      <c r="K48" s="165">
        <v>833</v>
      </c>
      <c r="L48" s="165">
        <v>833</v>
      </c>
      <c r="M48" s="165">
        <v>833</v>
      </c>
      <c r="N48" s="165">
        <v>833</v>
      </c>
      <c r="O48" s="165">
        <v>833</v>
      </c>
      <c r="P48" s="165">
        <v>833</v>
      </c>
      <c r="Q48" s="165">
        <v>833</v>
      </c>
      <c r="R48" s="165">
        <v>833</v>
      </c>
      <c r="S48" s="165">
        <v>833</v>
      </c>
      <c r="T48" s="165">
        <v>833</v>
      </c>
      <c r="U48" s="165">
        <v>833</v>
      </c>
      <c r="V48" s="165">
        <v>833</v>
      </c>
      <c r="W48" s="165">
        <v>833</v>
      </c>
      <c r="X48" s="165">
        <v>833</v>
      </c>
      <c r="Y48" s="165">
        <v>833</v>
      </c>
      <c r="Z48" s="165">
        <v>833</v>
      </c>
      <c r="AA48" s="165">
        <v>833</v>
      </c>
      <c r="AB48" s="165">
        <v>833</v>
      </c>
      <c r="AC48" s="165">
        <v>833</v>
      </c>
      <c r="AD48" s="165">
        <v>833</v>
      </c>
      <c r="AE48" s="165">
        <v>833</v>
      </c>
      <c r="AF48" s="165">
        <v>833</v>
      </c>
      <c r="AG48" s="165">
        <v>833</v>
      </c>
      <c r="AH48" s="165">
        <v>833</v>
      </c>
      <c r="AI48" s="165">
        <v>833</v>
      </c>
      <c r="AJ48" s="165">
        <v>833</v>
      </c>
      <c r="AK48" s="165">
        <v>0</v>
      </c>
      <c r="AL48" s="165">
        <v>22491</v>
      </c>
      <c r="AM48" s="165">
        <v>22491</v>
      </c>
      <c r="AN48" s="165">
        <v>18171</v>
      </c>
      <c r="AO48" s="165">
        <v>0</v>
      </c>
      <c r="AP48" s="167" t="s">
        <v>192</v>
      </c>
      <c r="AQ48" s="165" t="s">
        <v>193</v>
      </c>
    </row>
    <row r="49" spans="1:43" ht="16.5" customHeight="1" x14ac:dyDescent="0.3">
      <c r="A49" s="165" t="s">
        <v>4</v>
      </c>
      <c r="B49" s="165" t="s">
        <v>69</v>
      </c>
      <c r="C49" s="165" t="s">
        <v>66</v>
      </c>
      <c r="D49" s="165" t="s">
        <v>70</v>
      </c>
      <c r="E49" s="165" t="s">
        <v>68</v>
      </c>
      <c r="F49" s="165">
        <v>2</v>
      </c>
      <c r="G49" s="165">
        <v>5000</v>
      </c>
      <c r="H49" s="166">
        <v>46157</v>
      </c>
      <c r="I49" s="165">
        <v>2430</v>
      </c>
      <c r="J49" s="165">
        <v>0</v>
      </c>
      <c r="K49" s="165">
        <v>0</v>
      </c>
      <c r="L49" s="165">
        <v>0</v>
      </c>
      <c r="M49" s="165">
        <v>0</v>
      </c>
      <c r="N49" s="165">
        <v>0</v>
      </c>
      <c r="O49" s="165">
        <v>0</v>
      </c>
      <c r="P49" s="165">
        <v>0</v>
      </c>
      <c r="Q49" s="165">
        <v>0</v>
      </c>
      <c r="R49" s="165">
        <v>0</v>
      </c>
      <c r="S49" s="165">
        <v>0</v>
      </c>
      <c r="T49" s="165">
        <v>0</v>
      </c>
      <c r="U49" s="165">
        <v>0</v>
      </c>
      <c r="V49" s="165">
        <v>0</v>
      </c>
      <c r="W49" s="165">
        <v>0</v>
      </c>
      <c r="X49" s="165">
        <v>0</v>
      </c>
      <c r="Y49" s="165">
        <v>0</v>
      </c>
      <c r="Z49" s="165">
        <v>0</v>
      </c>
      <c r="AA49" s="165">
        <v>0</v>
      </c>
      <c r="AB49" s="165">
        <v>0</v>
      </c>
      <c r="AC49" s="165">
        <v>0</v>
      </c>
      <c r="AD49" s="165">
        <v>0</v>
      </c>
      <c r="AE49" s="165">
        <v>0</v>
      </c>
      <c r="AF49" s="165">
        <v>0</v>
      </c>
      <c r="AG49" s="165">
        <v>0</v>
      </c>
      <c r="AH49" s="165">
        <v>0</v>
      </c>
      <c r="AI49" s="165">
        <v>0</v>
      </c>
      <c r="AJ49" s="165">
        <v>0</v>
      </c>
      <c r="AK49" s="165">
        <v>0</v>
      </c>
      <c r="AL49" s="165">
        <v>0</v>
      </c>
      <c r="AM49" s="165">
        <v>0</v>
      </c>
      <c r="AN49" s="165">
        <v>0</v>
      </c>
      <c r="AO49" s="165">
        <v>2430</v>
      </c>
      <c r="AP49" s="168" t="s">
        <v>194</v>
      </c>
      <c r="AQ49" s="165" t="s">
        <v>193</v>
      </c>
    </row>
    <row r="50" spans="1:43" ht="16.5" customHeight="1" x14ac:dyDescent="0.3">
      <c r="A50" s="165" t="s">
        <v>5</v>
      </c>
      <c r="B50" s="165" t="s">
        <v>60</v>
      </c>
      <c r="C50" s="165" t="s">
        <v>61</v>
      </c>
      <c r="D50" s="165" t="s">
        <v>62</v>
      </c>
      <c r="E50" s="165" t="s">
        <v>56</v>
      </c>
      <c r="F50" s="165">
        <v>1</v>
      </c>
      <c r="G50" s="165">
        <v>3000</v>
      </c>
      <c r="H50" s="166">
        <v>46157</v>
      </c>
      <c r="I50" s="165">
        <v>300</v>
      </c>
      <c r="J50" s="165">
        <v>0</v>
      </c>
      <c r="K50" s="165">
        <v>0</v>
      </c>
      <c r="L50" s="165">
        <v>0</v>
      </c>
      <c r="M50" s="165">
        <v>0</v>
      </c>
      <c r="N50" s="165">
        <v>0</v>
      </c>
      <c r="O50" s="165">
        <v>0</v>
      </c>
      <c r="P50" s="165">
        <v>0</v>
      </c>
      <c r="Q50" s="165">
        <v>0</v>
      </c>
      <c r="R50" s="165">
        <v>0</v>
      </c>
      <c r="S50" s="165">
        <v>0</v>
      </c>
      <c r="T50" s="165">
        <v>0</v>
      </c>
      <c r="U50" s="165">
        <v>0</v>
      </c>
      <c r="V50" s="165">
        <v>0</v>
      </c>
      <c r="W50" s="165">
        <v>0</v>
      </c>
      <c r="X50" s="165">
        <v>0</v>
      </c>
      <c r="Y50" s="165">
        <v>0</v>
      </c>
      <c r="Z50" s="165">
        <v>0</v>
      </c>
      <c r="AA50" s="165">
        <v>0</v>
      </c>
      <c r="AB50" s="165">
        <v>0</v>
      </c>
      <c r="AC50" s="165">
        <v>0</v>
      </c>
      <c r="AD50" s="165">
        <v>0</v>
      </c>
      <c r="AE50" s="165">
        <v>0</v>
      </c>
      <c r="AF50" s="165">
        <v>0</v>
      </c>
      <c r="AG50" s="165">
        <v>0</v>
      </c>
      <c r="AH50" s="165">
        <v>0</v>
      </c>
      <c r="AI50" s="165">
        <v>0</v>
      </c>
      <c r="AJ50" s="165">
        <v>0</v>
      </c>
      <c r="AK50" s="165">
        <v>998</v>
      </c>
      <c r="AL50" s="165">
        <v>0</v>
      </c>
      <c r="AM50" s="165">
        <v>998</v>
      </c>
      <c r="AN50" s="165">
        <v>698</v>
      </c>
      <c r="AO50" s="165">
        <v>0</v>
      </c>
      <c r="AP50" s="167" t="s">
        <v>192</v>
      </c>
      <c r="AQ50" s="165" t="s">
        <v>193</v>
      </c>
    </row>
    <row r="51" spans="1:43" ht="16.5" customHeight="1" x14ac:dyDescent="0.3">
      <c r="A51" s="165" t="s">
        <v>6</v>
      </c>
      <c r="B51" s="165" t="s">
        <v>53</v>
      </c>
      <c r="C51" s="165" t="s">
        <v>54</v>
      </c>
      <c r="D51" s="165" t="s">
        <v>55</v>
      </c>
      <c r="E51" s="165" t="s">
        <v>56</v>
      </c>
      <c r="F51" s="165">
        <v>2</v>
      </c>
      <c r="G51" s="165">
        <v>3000</v>
      </c>
      <c r="H51" s="166">
        <v>46157</v>
      </c>
      <c r="I51" s="165">
        <v>4200</v>
      </c>
      <c r="J51" s="165">
        <v>0</v>
      </c>
      <c r="K51" s="165">
        <v>0</v>
      </c>
      <c r="L51" s="165">
        <v>0</v>
      </c>
      <c r="M51" s="165">
        <v>0</v>
      </c>
      <c r="N51" s="165">
        <v>0</v>
      </c>
      <c r="O51" s="165">
        <v>0</v>
      </c>
      <c r="P51" s="165">
        <v>0</v>
      </c>
      <c r="Q51" s="165">
        <v>0</v>
      </c>
      <c r="R51" s="165">
        <v>0</v>
      </c>
      <c r="S51" s="165">
        <v>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65">
        <v>0</v>
      </c>
      <c r="AC51" s="165">
        <v>0</v>
      </c>
      <c r="AD51" s="165">
        <v>0</v>
      </c>
      <c r="AE51" s="165">
        <v>500</v>
      </c>
      <c r="AF51" s="165">
        <v>500</v>
      </c>
      <c r="AG51" s="165">
        <v>500</v>
      </c>
      <c r="AH51" s="165">
        <v>500</v>
      </c>
      <c r="AI51" s="165">
        <v>500</v>
      </c>
      <c r="AJ51" s="165">
        <v>500</v>
      </c>
      <c r="AK51" s="165">
        <v>4414</v>
      </c>
      <c r="AL51" s="165">
        <v>3000</v>
      </c>
      <c r="AM51" s="165">
        <v>7414</v>
      </c>
      <c r="AN51" s="165">
        <v>3214</v>
      </c>
      <c r="AO51" s="165">
        <v>0</v>
      </c>
      <c r="AP51" s="167" t="s">
        <v>192</v>
      </c>
      <c r="AQ51" s="165" t="s">
        <v>193</v>
      </c>
    </row>
    <row r="52" spans="1:43" ht="16.5" customHeight="1" x14ac:dyDescent="0.3">
      <c r="A52" s="165" t="s">
        <v>1</v>
      </c>
      <c r="B52" s="165" t="s">
        <v>57</v>
      </c>
      <c r="C52" s="165" t="s">
        <v>54</v>
      </c>
      <c r="D52" s="165" t="s">
        <v>58</v>
      </c>
      <c r="E52" s="165" t="s">
        <v>59</v>
      </c>
      <c r="F52" s="165">
        <v>1</v>
      </c>
      <c r="G52" s="165">
        <v>15000</v>
      </c>
      <c r="H52" s="166">
        <v>46164</v>
      </c>
      <c r="I52" s="165">
        <v>20000</v>
      </c>
      <c r="J52" s="165">
        <v>0</v>
      </c>
      <c r="K52" s="165">
        <v>0</v>
      </c>
      <c r="L52" s="165">
        <v>0</v>
      </c>
      <c r="M52" s="165">
        <v>0</v>
      </c>
      <c r="N52" s="165">
        <v>0</v>
      </c>
      <c r="O52" s="165">
        <v>0</v>
      </c>
      <c r="P52" s="165">
        <v>0</v>
      </c>
      <c r="Q52" s="165">
        <v>0</v>
      </c>
      <c r="R52" s="165">
        <v>0</v>
      </c>
      <c r="S52" s="165">
        <v>0</v>
      </c>
      <c r="T52" s="165">
        <v>0</v>
      </c>
      <c r="U52" s="165">
        <v>0</v>
      </c>
      <c r="V52" s="165">
        <v>0</v>
      </c>
      <c r="W52" s="165">
        <v>0</v>
      </c>
      <c r="X52" s="165">
        <v>0</v>
      </c>
      <c r="Y52" s="165">
        <v>0</v>
      </c>
      <c r="Z52" s="165">
        <v>0</v>
      </c>
      <c r="AA52" s="165">
        <v>0</v>
      </c>
      <c r="AB52" s="165">
        <v>0</v>
      </c>
      <c r="AC52" s="165">
        <v>0</v>
      </c>
      <c r="AD52" s="165">
        <v>0</v>
      </c>
      <c r="AE52" s="165">
        <v>0</v>
      </c>
      <c r="AF52" s="165">
        <v>0</v>
      </c>
      <c r="AG52" s="165">
        <v>0</v>
      </c>
      <c r="AH52" s="165">
        <v>0</v>
      </c>
      <c r="AI52" s="165">
        <v>0</v>
      </c>
      <c r="AJ52" s="165">
        <v>0</v>
      </c>
      <c r="AK52" s="165">
        <v>31000</v>
      </c>
      <c r="AL52" s="165">
        <v>0</v>
      </c>
      <c r="AM52" s="165">
        <v>31000</v>
      </c>
      <c r="AN52" s="165">
        <v>11000</v>
      </c>
      <c r="AO52" s="165">
        <v>0</v>
      </c>
      <c r="AP52" s="167" t="s">
        <v>192</v>
      </c>
      <c r="AQ52" s="165" t="s">
        <v>195</v>
      </c>
    </row>
    <row r="53" spans="1:43" ht="16.5" customHeight="1" x14ac:dyDescent="0.3">
      <c r="A53" s="165" t="s">
        <v>2</v>
      </c>
      <c r="B53" s="165" t="s">
        <v>63</v>
      </c>
      <c r="C53" s="165" t="s">
        <v>54</v>
      </c>
      <c r="D53" s="165" t="s">
        <v>64</v>
      </c>
      <c r="E53" s="165" t="s">
        <v>59</v>
      </c>
      <c r="F53" s="165">
        <v>2</v>
      </c>
      <c r="G53" s="165">
        <v>15000</v>
      </c>
      <c r="H53" s="166">
        <v>46164</v>
      </c>
      <c r="I53" s="165">
        <v>15658</v>
      </c>
      <c r="J53" s="165">
        <v>0</v>
      </c>
      <c r="K53" s="165">
        <v>0</v>
      </c>
      <c r="L53" s="165">
        <v>0</v>
      </c>
      <c r="M53" s="165">
        <v>0</v>
      </c>
      <c r="N53" s="165">
        <v>0</v>
      </c>
      <c r="O53" s="165">
        <v>0</v>
      </c>
      <c r="P53" s="165">
        <v>0</v>
      </c>
      <c r="Q53" s="165">
        <v>0</v>
      </c>
      <c r="R53" s="165">
        <v>0</v>
      </c>
      <c r="S53" s="165">
        <v>0</v>
      </c>
      <c r="T53" s="165">
        <v>0</v>
      </c>
      <c r="U53" s="165">
        <v>0</v>
      </c>
      <c r="V53" s="165">
        <v>0</v>
      </c>
      <c r="W53" s="165">
        <v>0</v>
      </c>
      <c r="X53" s="165">
        <v>0</v>
      </c>
      <c r="Y53" s="165">
        <v>0</v>
      </c>
      <c r="Z53" s="165">
        <v>0</v>
      </c>
      <c r="AA53" s="165">
        <v>0</v>
      </c>
      <c r="AB53" s="165">
        <v>0</v>
      </c>
      <c r="AC53" s="165">
        <v>0</v>
      </c>
      <c r="AD53" s="165">
        <v>0</v>
      </c>
      <c r="AE53" s="165">
        <v>0</v>
      </c>
      <c r="AF53" s="165">
        <v>0</v>
      </c>
      <c r="AG53" s="165">
        <v>0</v>
      </c>
      <c r="AH53" s="165">
        <v>0</v>
      </c>
      <c r="AI53" s="165">
        <v>0</v>
      </c>
      <c r="AJ53" s="165">
        <v>0</v>
      </c>
      <c r="AK53" s="165">
        <v>10314</v>
      </c>
      <c r="AL53" s="165">
        <v>0</v>
      </c>
      <c r="AM53" s="165">
        <v>10314</v>
      </c>
      <c r="AN53" s="165">
        <v>0</v>
      </c>
      <c r="AO53" s="165">
        <v>5344</v>
      </c>
      <c r="AP53" s="168" t="s">
        <v>194</v>
      </c>
      <c r="AQ53" s="165" t="s">
        <v>195</v>
      </c>
    </row>
    <row r="54" spans="1:43" ht="16.5" customHeight="1" x14ac:dyDescent="0.3">
      <c r="A54" s="165" t="s">
        <v>3</v>
      </c>
      <c r="B54" s="165" t="s">
        <v>65</v>
      </c>
      <c r="C54" s="165" t="s">
        <v>66</v>
      </c>
      <c r="D54" s="165" t="s">
        <v>67</v>
      </c>
      <c r="E54" s="165" t="s">
        <v>68</v>
      </c>
      <c r="F54" s="165">
        <v>1</v>
      </c>
      <c r="G54" s="165">
        <v>5000</v>
      </c>
      <c r="H54" s="166">
        <v>46164</v>
      </c>
      <c r="I54" s="165">
        <v>8370</v>
      </c>
      <c r="J54" s="165">
        <v>0</v>
      </c>
      <c r="K54" s="165">
        <v>0</v>
      </c>
      <c r="L54" s="165">
        <v>0</v>
      </c>
      <c r="M54" s="165">
        <v>0</v>
      </c>
      <c r="N54" s="165">
        <v>0</v>
      </c>
      <c r="O54" s="165">
        <v>0</v>
      </c>
      <c r="P54" s="165">
        <v>0</v>
      </c>
      <c r="Q54" s="165">
        <v>0</v>
      </c>
      <c r="R54" s="165">
        <v>0</v>
      </c>
      <c r="S54" s="165">
        <v>0</v>
      </c>
      <c r="T54" s="165">
        <v>0</v>
      </c>
      <c r="U54" s="165">
        <v>0</v>
      </c>
      <c r="V54" s="165">
        <v>0</v>
      </c>
      <c r="W54" s="165">
        <v>0</v>
      </c>
      <c r="X54" s="165">
        <v>0</v>
      </c>
      <c r="Y54" s="165">
        <v>0</v>
      </c>
      <c r="Z54" s="165">
        <v>0</v>
      </c>
      <c r="AA54" s="165">
        <v>0</v>
      </c>
      <c r="AB54" s="165">
        <v>0</v>
      </c>
      <c r="AC54" s="165">
        <v>0</v>
      </c>
      <c r="AD54" s="165">
        <v>0</v>
      </c>
      <c r="AE54" s="165">
        <v>0</v>
      </c>
      <c r="AF54" s="165">
        <v>0</v>
      </c>
      <c r="AG54" s="165">
        <v>0</v>
      </c>
      <c r="AH54" s="165">
        <v>0</v>
      </c>
      <c r="AI54" s="165">
        <v>0</v>
      </c>
      <c r="AJ54" s="165">
        <v>0</v>
      </c>
      <c r="AK54" s="165">
        <v>18171</v>
      </c>
      <c r="AL54" s="165">
        <v>0</v>
      </c>
      <c r="AM54" s="165">
        <v>18171</v>
      </c>
      <c r="AN54" s="165">
        <v>9801</v>
      </c>
      <c r="AO54" s="165">
        <v>0</v>
      </c>
      <c r="AP54" s="167" t="s">
        <v>192</v>
      </c>
      <c r="AQ54" s="165" t="s">
        <v>195</v>
      </c>
    </row>
    <row r="55" spans="1:43" ht="16.5" customHeight="1" x14ac:dyDescent="0.3">
      <c r="A55" s="165" t="s">
        <v>4</v>
      </c>
      <c r="B55" s="165" t="s">
        <v>69</v>
      </c>
      <c r="C55" s="165" t="s">
        <v>66</v>
      </c>
      <c r="D55" s="165" t="s">
        <v>70</v>
      </c>
      <c r="E55" s="165" t="s">
        <v>68</v>
      </c>
      <c r="F55" s="165">
        <v>2</v>
      </c>
      <c r="G55" s="165">
        <v>5000</v>
      </c>
      <c r="H55" s="166">
        <v>46164</v>
      </c>
      <c r="I55" s="165">
        <v>9990</v>
      </c>
      <c r="J55" s="165">
        <v>0</v>
      </c>
      <c r="K55" s="165">
        <v>0</v>
      </c>
      <c r="L55" s="165">
        <v>0</v>
      </c>
      <c r="M55" s="165">
        <v>0</v>
      </c>
      <c r="N55" s="165">
        <v>0</v>
      </c>
      <c r="O55" s="165">
        <v>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65">
        <v>0</v>
      </c>
      <c r="AC55" s="165">
        <v>0</v>
      </c>
      <c r="AD55" s="165">
        <v>0</v>
      </c>
      <c r="AE55" s="165">
        <v>0</v>
      </c>
      <c r="AF55" s="165">
        <v>0</v>
      </c>
      <c r="AG55" s="165">
        <v>0</v>
      </c>
      <c r="AH55" s="165">
        <v>0</v>
      </c>
      <c r="AI55" s="165">
        <v>0</v>
      </c>
      <c r="AJ55" s="165">
        <v>0</v>
      </c>
      <c r="AK55" s="165">
        <v>0</v>
      </c>
      <c r="AL55" s="165">
        <v>0</v>
      </c>
      <c r="AM55" s="165">
        <v>0</v>
      </c>
      <c r="AN55" s="165">
        <v>0</v>
      </c>
      <c r="AO55" s="165">
        <v>9990</v>
      </c>
      <c r="AP55" s="168" t="s">
        <v>194</v>
      </c>
      <c r="AQ55" s="165" t="s">
        <v>195</v>
      </c>
    </row>
    <row r="56" spans="1:43" ht="16.5" customHeight="1" x14ac:dyDescent="0.3">
      <c r="A56" s="165" t="s">
        <v>5</v>
      </c>
      <c r="B56" s="165" t="s">
        <v>60</v>
      </c>
      <c r="C56" s="165" t="s">
        <v>61</v>
      </c>
      <c r="D56" s="165" t="s">
        <v>62</v>
      </c>
      <c r="E56" s="165" t="s">
        <v>56</v>
      </c>
      <c r="F56" s="165">
        <v>1</v>
      </c>
      <c r="G56" s="165">
        <v>3000</v>
      </c>
      <c r="H56" s="166">
        <v>46164</v>
      </c>
      <c r="I56" s="165">
        <v>698</v>
      </c>
      <c r="J56" s="165">
        <v>0</v>
      </c>
      <c r="K56" s="165">
        <v>0</v>
      </c>
      <c r="L56" s="165">
        <v>0</v>
      </c>
      <c r="M56" s="165">
        <v>0</v>
      </c>
      <c r="N56" s="165">
        <v>0</v>
      </c>
      <c r="O56" s="165">
        <v>0</v>
      </c>
      <c r="P56" s="165">
        <v>0</v>
      </c>
      <c r="Q56" s="165">
        <v>0</v>
      </c>
      <c r="R56" s="165">
        <v>0</v>
      </c>
      <c r="S56" s="165">
        <v>0</v>
      </c>
      <c r="T56" s="165">
        <v>0</v>
      </c>
      <c r="U56" s="165">
        <v>0</v>
      </c>
      <c r="V56" s="165">
        <v>0</v>
      </c>
      <c r="W56" s="165">
        <v>0</v>
      </c>
      <c r="X56" s="165">
        <v>0</v>
      </c>
      <c r="Y56" s="165">
        <v>0</v>
      </c>
      <c r="Z56" s="165">
        <v>0</v>
      </c>
      <c r="AA56" s="165">
        <v>0</v>
      </c>
      <c r="AB56" s="165">
        <v>0</v>
      </c>
      <c r="AC56" s="165">
        <v>0</v>
      </c>
      <c r="AD56" s="165">
        <v>0</v>
      </c>
      <c r="AE56" s="165">
        <v>0</v>
      </c>
      <c r="AF56" s="165">
        <v>0</v>
      </c>
      <c r="AG56" s="165">
        <v>0</v>
      </c>
      <c r="AH56" s="165">
        <v>0</v>
      </c>
      <c r="AI56" s="165">
        <v>0</v>
      </c>
      <c r="AJ56" s="165">
        <v>0</v>
      </c>
      <c r="AK56" s="165">
        <v>698</v>
      </c>
      <c r="AL56" s="165">
        <v>0</v>
      </c>
      <c r="AM56" s="165">
        <v>698</v>
      </c>
      <c r="AN56" s="165">
        <v>0</v>
      </c>
      <c r="AO56" s="165">
        <v>0</v>
      </c>
      <c r="AP56" s="167" t="s">
        <v>192</v>
      </c>
      <c r="AQ56" s="165" t="s">
        <v>195</v>
      </c>
    </row>
    <row r="57" spans="1:43" ht="16.5" customHeight="1" x14ac:dyDescent="0.3">
      <c r="A57" s="165" t="s">
        <v>6</v>
      </c>
      <c r="B57" s="165" t="s">
        <v>53</v>
      </c>
      <c r="C57" s="165" t="s">
        <v>54</v>
      </c>
      <c r="D57" s="165" t="s">
        <v>55</v>
      </c>
      <c r="E57" s="165" t="s">
        <v>56</v>
      </c>
      <c r="F57" s="165">
        <v>2</v>
      </c>
      <c r="G57" s="165">
        <v>3000</v>
      </c>
      <c r="H57" s="166">
        <v>46164</v>
      </c>
      <c r="I57" s="165">
        <v>3802</v>
      </c>
      <c r="J57" s="165">
        <v>0</v>
      </c>
      <c r="K57" s="165">
        <v>0</v>
      </c>
      <c r="L57" s="165">
        <v>0</v>
      </c>
      <c r="M57" s="165">
        <v>0</v>
      </c>
      <c r="N57" s="165">
        <v>0</v>
      </c>
      <c r="O57" s="165">
        <v>0</v>
      </c>
      <c r="P57" s="165">
        <v>0</v>
      </c>
      <c r="Q57" s="165">
        <v>0</v>
      </c>
      <c r="R57" s="165">
        <v>0</v>
      </c>
      <c r="S57" s="165">
        <v>0</v>
      </c>
      <c r="T57" s="165">
        <v>0</v>
      </c>
      <c r="U57" s="165">
        <v>0</v>
      </c>
      <c r="V57" s="165">
        <v>0</v>
      </c>
      <c r="W57" s="165">
        <v>0</v>
      </c>
      <c r="X57" s="165">
        <v>0</v>
      </c>
      <c r="Y57" s="165">
        <v>0</v>
      </c>
      <c r="Z57" s="165">
        <v>0</v>
      </c>
      <c r="AA57" s="165">
        <v>0</v>
      </c>
      <c r="AB57" s="165">
        <v>0</v>
      </c>
      <c r="AC57" s="165">
        <v>0</v>
      </c>
      <c r="AD57" s="165">
        <v>0</v>
      </c>
      <c r="AE57" s="165">
        <v>0</v>
      </c>
      <c r="AF57" s="165">
        <v>0</v>
      </c>
      <c r="AG57" s="165">
        <v>0</v>
      </c>
      <c r="AH57" s="165">
        <v>0</v>
      </c>
      <c r="AI57" s="165">
        <v>0</v>
      </c>
      <c r="AJ57" s="165">
        <v>0</v>
      </c>
      <c r="AK57" s="165">
        <v>3214</v>
      </c>
      <c r="AL57" s="165">
        <v>0</v>
      </c>
      <c r="AM57" s="165">
        <v>3214</v>
      </c>
      <c r="AN57" s="165">
        <v>0</v>
      </c>
      <c r="AO57" s="165">
        <v>588</v>
      </c>
      <c r="AP57" s="168" t="s">
        <v>194</v>
      </c>
      <c r="AQ57" s="165" t="s">
        <v>195</v>
      </c>
    </row>
    <row r="58" spans="1:43" ht="16.5" customHeight="1" x14ac:dyDescent="0.3">
      <c r="A58" s="165" t="s">
        <v>1</v>
      </c>
      <c r="B58" s="165" t="s">
        <v>57</v>
      </c>
      <c r="C58" s="165" t="s">
        <v>54</v>
      </c>
      <c r="D58" s="165" t="s">
        <v>58</v>
      </c>
      <c r="E58" s="165" t="s">
        <v>59</v>
      </c>
      <c r="F58" s="165">
        <v>1</v>
      </c>
      <c r="G58" s="165">
        <v>15000</v>
      </c>
      <c r="H58" s="166">
        <v>46171</v>
      </c>
      <c r="I58" s="165">
        <v>11000</v>
      </c>
      <c r="J58" s="165">
        <v>0</v>
      </c>
      <c r="K58" s="165">
        <v>0</v>
      </c>
      <c r="L58" s="165">
        <v>0</v>
      </c>
      <c r="M58" s="165">
        <v>0</v>
      </c>
      <c r="N58" s="165">
        <v>0</v>
      </c>
      <c r="O58" s="165">
        <v>0</v>
      </c>
      <c r="P58" s="165">
        <v>0</v>
      </c>
      <c r="Q58" s="165">
        <v>0</v>
      </c>
      <c r="R58" s="165">
        <v>0</v>
      </c>
      <c r="S58" s="165">
        <v>0</v>
      </c>
      <c r="T58" s="165">
        <v>0</v>
      </c>
      <c r="U58" s="165">
        <v>0</v>
      </c>
      <c r="V58" s="165">
        <v>0</v>
      </c>
      <c r="W58" s="165">
        <v>0</v>
      </c>
      <c r="X58" s="165">
        <v>0</v>
      </c>
      <c r="Y58" s="165">
        <v>0</v>
      </c>
      <c r="Z58" s="165">
        <v>0</v>
      </c>
      <c r="AA58" s="165">
        <v>0</v>
      </c>
      <c r="AB58" s="165">
        <v>0</v>
      </c>
      <c r="AC58" s="165">
        <v>0</v>
      </c>
      <c r="AD58" s="165">
        <v>0</v>
      </c>
      <c r="AE58" s="165">
        <v>0</v>
      </c>
      <c r="AF58" s="165">
        <v>0</v>
      </c>
      <c r="AG58" s="165">
        <v>0</v>
      </c>
      <c r="AH58" s="165">
        <v>0</v>
      </c>
      <c r="AI58" s="165">
        <v>0</v>
      </c>
      <c r="AJ58" s="165">
        <v>0</v>
      </c>
      <c r="AK58" s="165">
        <v>11000</v>
      </c>
      <c r="AL58" s="165">
        <v>0</v>
      </c>
      <c r="AM58" s="165">
        <v>11000</v>
      </c>
      <c r="AN58" s="165">
        <v>0</v>
      </c>
      <c r="AO58" s="165">
        <v>0</v>
      </c>
      <c r="AP58" s="167" t="s">
        <v>192</v>
      </c>
      <c r="AQ58" s="165" t="s">
        <v>195</v>
      </c>
    </row>
    <row r="59" spans="1:43" ht="16.5" customHeight="1" x14ac:dyDescent="0.3">
      <c r="A59" s="165" t="s">
        <v>2</v>
      </c>
      <c r="B59" s="165" t="s">
        <v>63</v>
      </c>
      <c r="C59" s="165" t="s">
        <v>54</v>
      </c>
      <c r="D59" s="165" t="s">
        <v>64</v>
      </c>
      <c r="E59" s="165" t="s">
        <v>59</v>
      </c>
      <c r="F59" s="165">
        <v>2</v>
      </c>
      <c r="G59" s="165">
        <v>15000</v>
      </c>
      <c r="H59" s="166">
        <v>46171</v>
      </c>
      <c r="I59" s="165">
        <v>8865</v>
      </c>
      <c r="J59" s="165">
        <v>0</v>
      </c>
      <c r="K59" s="165">
        <v>0</v>
      </c>
      <c r="L59" s="165">
        <v>0</v>
      </c>
      <c r="M59" s="165">
        <v>0</v>
      </c>
      <c r="N59" s="165">
        <v>0</v>
      </c>
      <c r="O59" s="165">
        <v>0</v>
      </c>
      <c r="P59" s="165">
        <v>0</v>
      </c>
      <c r="Q59" s="165">
        <v>0</v>
      </c>
      <c r="R59" s="165">
        <v>0</v>
      </c>
      <c r="S59" s="165">
        <v>0</v>
      </c>
      <c r="T59" s="165">
        <v>0</v>
      </c>
      <c r="U59" s="165">
        <v>0</v>
      </c>
      <c r="V59" s="165">
        <v>0</v>
      </c>
      <c r="W59" s="165">
        <v>0</v>
      </c>
      <c r="X59" s="165">
        <v>0</v>
      </c>
      <c r="Y59" s="165">
        <v>0</v>
      </c>
      <c r="Z59" s="165">
        <v>0</v>
      </c>
      <c r="AA59" s="165">
        <v>0</v>
      </c>
      <c r="AB59" s="165">
        <v>0</v>
      </c>
      <c r="AC59" s="165">
        <v>0</v>
      </c>
      <c r="AD59" s="165">
        <v>0</v>
      </c>
      <c r="AE59" s="165">
        <v>0</v>
      </c>
      <c r="AF59" s="165">
        <v>0</v>
      </c>
      <c r="AG59" s="165">
        <v>0</v>
      </c>
      <c r="AH59" s="165">
        <v>0</v>
      </c>
      <c r="AI59" s="165">
        <v>0</v>
      </c>
      <c r="AJ59" s="165">
        <v>0</v>
      </c>
      <c r="AK59" s="165">
        <v>0</v>
      </c>
      <c r="AL59" s="165">
        <v>0</v>
      </c>
      <c r="AM59" s="165">
        <v>0</v>
      </c>
      <c r="AN59" s="165">
        <v>0</v>
      </c>
      <c r="AO59" s="165">
        <v>8865</v>
      </c>
      <c r="AP59" s="168" t="s">
        <v>194</v>
      </c>
      <c r="AQ59" s="165" t="s">
        <v>195</v>
      </c>
    </row>
    <row r="60" spans="1:43" ht="16.5" customHeight="1" x14ac:dyDescent="0.3">
      <c r="A60" s="165" t="s">
        <v>3</v>
      </c>
      <c r="B60" s="165" t="s">
        <v>65</v>
      </c>
      <c r="C60" s="165" t="s">
        <v>66</v>
      </c>
      <c r="D60" s="165" t="s">
        <v>67</v>
      </c>
      <c r="E60" s="165" t="s">
        <v>68</v>
      </c>
      <c r="F60" s="165">
        <v>1</v>
      </c>
      <c r="G60" s="165">
        <v>5000</v>
      </c>
      <c r="H60" s="166">
        <v>46171</v>
      </c>
      <c r="I60" s="165">
        <v>11782</v>
      </c>
      <c r="J60" s="165">
        <v>0</v>
      </c>
      <c r="K60" s="165">
        <v>0</v>
      </c>
      <c r="L60" s="165">
        <v>0</v>
      </c>
      <c r="M60" s="165">
        <v>0</v>
      </c>
      <c r="N60" s="165">
        <v>0</v>
      </c>
      <c r="O60" s="165">
        <v>0</v>
      </c>
      <c r="P60" s="165">
        <v>0</v>
      </c>
      <c r="Q60" s="165">
        <v>0</v>
      </c>
      <c r="R60" s="165">
        <v>0</v>
      </c>
      <c r="S60" s="165">
        <v>0</v>
      </c>
      <c r="T60" s="165">
        <v>0</v>
      </c>
      <c r="U60" s="165">
        <v>0</v>
      </c>
      <c r="V60" s="165">
        <v>0</v>
      </c>
      <c r="W60" s="165">
        <v>0</v>
      </c>
      <c r="X60" s="165">
        <v>0</v>
      </c>
      <c r="Y60" s="165">
        <v>0</v>
      </c>
      <c r="Z60" s="165">
        <v>0</v>
      </c>
      <c r="AA60" s="165">
        <v>0</v>
      </c>
      <c r="AB60" s="165">
        <v>0</v>
      </c>
      <c r="AC60" s="165">
        <v>0</v>
      </c>
      <c r="AD60" s="165">
        <v>0</v>
      </c>
      <c r="AE60" s="165">
        <v>0</v>
      </c>
      <c r="AF60" s="165">
        <v>0</v>
      </c>
      <c r="AG60" s="165">
        <v>0</v>
      </c>
      <c r="AH60" s="165">
        <v>0</v>
      </c>
      <c r="AI60" s="165">
        <v>0</v>
      </c>
      <c r="AJ60" s="165">
        <v>0</v>
      </c>
      <c r="AK60" s="165">
        <v>9801</v>
      </c>
      <c r="AL60" s="165">
        <v>0</v>
      </c>
      <c r="AM60" s="165">
        <v>9801</v>
      </c>
      <c r="AN60" s="165">
        <v>0</v>
      </c>
      <c r="AO60" s="165">
        <v>1981</v>
      </c>
      <c r="AP60" s="168" t="s">
        <v>194</v>
      </c>
      <c r="AQ60" s="165" t="s">
        <v>195</v>
      </c>
    </row>
    <row r="61" spans="1:43" ht="16.5" customHeight="1" x14ac:dyDescent="0.3">
      <c r="A61" s="165" t="s">
        <v>4</v>
      </c>
      <c r="B61" s="165" t="s">
        <v>69</v>
      </c>
      <c r="C61" s="165" t="s">
        <v>66</v>
      </c>
      <c r="D61" s="165" t="s">
        <v>70</v>
      </c>
      <c r="E61" s="165" t="s">
        <v>68</v>
      </c>
      <c r="F61" s="165">
        <v>2</v>
      </c>
      <c r="G61" s="165">
        <v>5000</v>
      </c>
      <c r="H61" s="166">
        <v>46171</v>
      </c>
      <c r="I61" s="165">
        <v>5840</v>
      </c>
      <c r="J61" s="165">
        <v>0</v>
      </c>
      <c r="K61" s="165">
        <v>0</v>
      </c>
      <c r="L61" s="165">
        <v>0</v>
      </c>
      <c r="M61" s="165">
        <v>0</v>
      </c>
      <c r="N61" s="165">
        <v>0</v>
      </c>
      <c r="O61" s="165">
        <v>0</v>
      </c>
      <c r="P61" s="165">
        <v>0</v>
      </c>
      <c r="Q61" s="165">
        <v>0</v>
      </c>
      <c r="R61" s="165">
        <v>0</v>
      </c>
      <c r="S61" s="165">
        <v>0</v>
      </c>
      <c r="T61" s="165">
        <v>0</v>
      </c>
      <c r="U61" s="165">
        <v>0</v>
      </c>
      <c r="V61" s="165">
        <v>0</v>
      </c>
      <c r="W61" s="165">
        <v>0</v>
      </c>
      <c r="X61" s="165">
        <v>0</v>
      </c>
      <c r="Y61" s="165">
        <v>0</v>
      </c>
      <c r="Z61" s="165">
        <v>0</v>
      </c>
      <c r="AA61" s="165">
        <v>0</v>
      </c>
      <c r="AB61" s="165">
        <v>0</v>
      </c>
      <c r="AC61" s="165">
        <v>0</v>
      </c>
      <c r="AD61" s="165">
        <v>0</v>
      </c>
      <c r="AE61" s="165">
        <v>0</v>
      </c>
      <c r="AF61" s="165">
        <v>0</v>
      </c>
      <c r="AG61" s="165">
        <v>0</v>
      </c>
      <c r="AH61" s="165">
        <v>0</v>
      </c>
      <c r="AI61" s="165">
        <v>0</v>
      </c>
      <c r="AJ61" s="165">
        <v>0</v>
      </c>
      <c r="AK61" s="165">
        <v>0</v>
      </c>
      <c r="AL61" s="165">
        <v>0</v>
      </c>
      <c r="AM61" s="165">
        <v>0</v>
      </c>
      <c r="AN61" s="165">
        <v>0</v>
      </c>
      <c r="AO61" s="165">
        <v>5840</v>
      </c>
      <c r="AP61" s="168" t="s">
        <v>194</v>
      </c>
      <c r="AQ61" s="165" t="s">
        <v>195</v>
      </c>
    </row>
    <row r="62" spans="1:43" ht="16.5" customHeight="1" x14ac:dyDescent="0.3">
      <c r="A62" s="165" t="s">
        <v>6</v>
      </c>
      <c r="B62" s="165" t="s">
        <v>53</v>
      </c>
      <c r="C62" s="165" t="s">
        <v>54</v>
      </c>
      <c r="D62" s="165" t="s">
        <v>55</v>
      </c>
      <c r="E62" s="165" t="s">
        <v>56</v>
      </c>
      <c r="F62" s="165">
        <v>2</v>
      </c>
      <c r="G62" s="165">
        <v>3000</v>
      </c>
      <c r="H62" s="166">
        <v>46171</v>
      </c>
      <c r="I62" s="165">
        <v>4500</v>
      </c>
      <c r="J62" s="165">
        <v>0</v>
      </c>
      <c r="K62" s="165">
        <v>0</v>
      </c>
      <c r="L62" s="165">
        <v>0</v>
      </c>
      <c r="M62" s="165">
        <v>0</v>
      </c>
      <c r="N62" s="165">
        <v>0</v>
      </c>
      <c r="O62" s="165">
        <v>0</v>
      </c>
      <c r="P62" s="165">
        <v>0</v>
      </c>
      <c r="Q62" s="165">
        <v>0</v>
      </c>
      <c r="R62" s="165">
        <v>0</v>
      </c>
      <c r="S62" s="165">
        <v>0</v>
      </c>
      <c r="T62" s="165">
        <v>0</v>
      </c>
      <c r="U62" s="165">
        <v>0</v>
      </c>
      <c r="V62" s="165">
        <v>0</v>
      </c>
      <c r="W62" s="165">
        <v>0</v>
      </c>
      <c r="X62" s="165">
        <v>0</v>
      </c>
      <c r="Y62" s="165">
        <v>0</v>
      </c>
      <c r="Z62" s="165">
        <v>0</v>
      </c>
      <c r="AA62" s="165">
        <v>0</v>
      </c>
      <c r="AB62" s="165">
        <v>0</v>
      </c>
      <c r="AC62" s="165">
        <v>0</v>
      </c>
      <c r="AD62" s="165">
        <v>0</v>
      </c>
      <c r="AE62" s="165">
        <v>0</v>
      </c>
      <c r="AF62" s="165">
        <v>0</v>
      </c>
      <c r="AG62" s="165">
        <v>0</v>
      </c>
      <c r="AH62" s="165">
        <v>0</v>
      </c>
      <c r="AI62" s="165">
        <v>0</v>
      </c>
      <c r="AJ62" s="165">
        <v>0</v>
      </c>
      <c r="AK62" s="165">
        <v>0</v>
      </c>
      <c r="AL62" s="165">
        <v>0</v>
      </c>
      <c r="AM62" s="165">
        <v>0</v>
      </c>
      <c r="AN62" s="165">
        <v>0</v>
      </c>
      <c r="AO62" s="165">
        <v>4500</v>
      </c>
      <c r="AP62" s="168" t="s">
        <v>194</v>
      </c>
      <c r="AQ62" s="165" t="s">
        <v>195</v>
      </c>
    </row>
  </sheetData>
  <mergeCells count="15">
    <mergeCell ref="A1:H2"/>
    <mergeCell ref="B8:H8"/>
    <mergeCell ref="J1:O1"/>
    <mergeCell ref="A10:H10"/>
    <mergeCell ref="A39:J40"/>
    <mergeCell ref="B3:H3"/>
    <mergeCell ref="A14:J15"/>
    <mergeCell ref="B12:H12"/>
    <mergeCell ref="B11:H11"/>
    <mergeCell ref="B4:H4"/>
    <mergeCell ref="B7:H7"/>
    <mergeCell ref="B5:H5"/>
    <mergeCell ref="L13:S13"/>
    <mergeCell ref="B9:H9"/>
    <mergeCell ref="B6:H6"/>
  </mergeCells>
  <conditionalFormatting sqref="AN43:AN62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2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91"/>
  <sheetViews>
    <sheetView topLeftCell="B1" zoomScale="50" workbookViewId="0">
      <selection activeCell="Q21" sqref="Q21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78" t="s">
        <v>154</v>
      </c>
      <c r="B1" s="78" t="s">
        <v>0</v>
      </c>
      <c r="C1" s="78" t="s">
        <v>360</v>
      </c>
      <c r="D1" s="78" t="s">
        <v>361</v>
      </c>
      <c r="E1" s="78" t="s">
        <v>362</v>
      </c>
      <c r="F1" s="78" t="s">
        <v>363</v>
      </c>
      <c r="G1" s="78" t="s">
        <v>364</v>
      </c>
      <c r="H1" s="78" t="s">
        <v>365</v>
      </c>
      <c r="I1" s="78" t="s">
        <v>366</v>
      </c>
      <c r="J1" s="78" t="s">
        <v>367</v>
      </c>
      <c r="K1" s="78" t="s">
        <v>368</v>
      </c>
      <c r="L1" s="78" t="s">
        <v>369</v>
      </c>
      <c r="M1" s="78" t="s">
        <v>370</v>
      </c>
      <c r="N1" s="78" t="s">
        <v>371</v>
      </c>
      <c r="O1" s="78" t="s">
        <v>372</v>
      </c>
      <c r="P1" s="78" t="s">
        <v>373</v>
      </c>
      <c r="Q1" s="78" t="s">
        <v>374</v>
      </c>
      <c r="R1" s="78" t="s">
        <v>375</v>
      </c>
      <c r="S1" s="78" t="s">
        <v>376</v>
      </c>
      <c r="T1" s="78" t="s">
        <v>377</v>
      </c>
      <c r="U1" s="78" t="s">
        <v>378</v>
      </c>
      <c r="V1" s="78" t="s">
        <v>379</v>
      </c>
      <c r="W1" s="78" t="s">
        <v>380</v>
      </c>
      <c r="X1" s="78" t="s">
        <v>381</v>
      </c>
      <c r="Y1" s="78" t="s">
        <v>382</v>
      </c>
      <c r="Z1" s="78" t="s">
        <v>383</v>
      </c>
      <c r="AA1" s="78" t="s">
        <v>384</v>
      </c>
      <c r="AB1" s="78" t="s">
        <v>385</v>
      </c>
      <c r="AC1" s="78" t="s">
        <v>386</v>
      </c>
    </row>
    <row r="2" spans="1:29" x14ac:dyDescent="0.3">
      <c r="A2" s="79" t="s">
        <v>54</v>
      </c>
      <c r="B2" s="79">
        <v>1</v>
      </c>
      <c r="C2" s="79" t="s">
        <v>387</v>
      </c>
      <c r="D2" s="79" t="s">
        <v>388</v>
      </c>
      <c r="E2" s="79">
        <v>1</v>
      </c>
      <c r="F2" s="79" t="s">
        <v>388</v>
      </c>
      <c r="G2" s="79"/>
      <c r="H2" s="79">
        <v>0</v>
      </c>
      <c r="I2" s="79">
        <v>0</v>
      </c>
      <c r="J2" s="79">
        <v>0</v>
      </c>
      <c r="K2" s="79">
        <v>0</v>
      </c>
      <c r="L2" s="79">
        <v>0</v>
      </c>
      <c r="M2" s="79">
        <v>0</v>
      </c>
      <c r="N2" s="79">
        <v>74</v>
      </c>
      <c r="O2" s="79">
        <v>592</v>
      </c>
      <c r="P2" s="79">
        <v>0.578125</v>
      </c>
      <c r="Q2" s="79">
        <v>74</v>
      </c>
      <c r="R2" s="79">
        <v>592</v>
      </c>
      <c r="S2" s="79">
        <v>0.578125</v>
      </c>
      <c r="T2" s="79">
        <v>0</v>
      </c>
      <c r="U2" s="79"/>
      <c r="V2" s="79"/>
      <c r="W2" s="79"/>
      <c r="X2" s="79"/>
      <c r="Y2" s="79"/>
      <c r="Z2" s="79"/>
      <c r="AA2" s="79"/>
      <c r="AB2" s="79"/>
      <c r="AC2" s="79"/>
    </row>
    <row r="3" spans="1:29" x14ac:dyDescent="0.3">
      <c r="A3" s="79" t="s">
        <v>54</v>
      </c>
      <c r="B3" s="79">
        <v>2</v>
      </c>
      <c r="C3" s="79" t="s">
        <v>389</v>
      </c>
      <c r="D3" s="79" t="s">
        <v>388</v>
      </c>
      <c r="E3" s="79">
        <v>1</v>
      </c>
      <c r="F3" s="79" t="s">
        <v>388</v>
      </c>
      <c r="G3" s="79"/>
      <c r="H3" s="79">
        <v>171</v>
      </c>
      <c r="I3" s="79">
        <v>684</v>
      </c>
      <c r="J3" s="79">
        <v>1.71</v>
      </c>
      <c r="K3" s="79">
        <v>0</v>
      </c>
      <c r="L3" s="79">
        <v>0</v>
      </c>
      <c r="M3" s="79">
        <v>0</v>
      </c>
      <c r="N3" s="79">
        <v>504</v>
      </c>
      <c r="O3" s="79">
        <v>4032</v>
      </c>
      <c r="P3" s="79">
        <v>3.9375</v>
      </c>
      <c r="Q3" s="79">
        <v>675</v>
      </c>
      <c r="R3" s="79">
        <v>4716</v>
      </c>
      <c r="S3" s="79">
        <v>5.6475</v>
      </c>
      <c r="T3" s="79">
        <v>0</v>
      </c>
      <c r="U3" s="79"/>
      <c r="V3" s="79"/>
      <c r="W3" s="79"/>
      <c r="X3" s="79"/>
      <c r="Y3" s="79"/>
      <c r="Z3" s="79"/>
      <c r="AA3" s="79"/>
      <c r="AB3" s="79"/>
      <c r="AC3" s="79"/>
    </row>
    <row r="4" spans="1:29" x14ac:dyDescent="0.3">
      <c r="A4" s="79" t="s">
        <v>54</v>
      </c>
      <c r="B4" s="79">
        <v>3</v>
      </c>
      <c r="C4" s="79" t="s">
        <v>390</v>
      </c>
      <c r="D4" s="79" t="s">
        <v>391</v>
      </c>
      <c r="E4" s="79">
        <v>1</v>
      </c>
      <c r="F4" s="79" t="s">
        <v>392</v>
      </c>
      <c r="G4" s="79">
        <v>65</v>
      </c>
      <c r="H4" s="79">
        <v>5000</v>
      </c>
      <c r="I4" s="79">
        <v>20000</v>
      </c>
      <c r="J4" s="79">
        <v>50</v>
      </c>
      <c r="K4" s="79">
        <v>1376</v>
      </c>
      <c r="L4" s="79">
        <v>5504</v>
      </c>
      <c r="M4" s="79">
        <v>8.6</v>
      </c>
      <c r="N4" s="79">
        <v>525</v>
      </c>
      <c r="O4" s="79">
        <v>4200</v>
      </c>
      <c r="P4" s="79">
        <v>4.1015620000000004</v>
      </c>
      <c r="Q4" s="79">
        <v>6901</v>
      </c>
      <c r="R4" s="79">
        <v>29704</v>
      </c>
      <c r="S4" s="79">
        <v>62.701563</v>
      </c>
      <c r="T4" s="79">
        <v>2.2984369999999998</v>
      </c>
      <c r="U4" s="79"/>
      <c r="V4" s="79"/>
      <c r="W4" s="79"/>
      <c r="X4" s="79"/>
      <c r="Y4" s="79"/>
      <c r="Z4" s="79"/>
      <c r="AA4" s="79"/>
      <c r="AB4" s="79"/>
      <c r="AC4" s="79"/>
    </row>
    <row r="5" spans="1:29" x14ac:dyDescent="0.3">
      <c r="A5" s="79" t="s">
        <v>54</v>
      </c>
      <c r="B5" s="79">
        <v>4</v>
      </c>
      <c r="C5" s="79" t="s">
        <v>393</v>
      </c>
      <c r="D5" s="79" t="s">
        <v>391</v>
      </c>
      <c r="E5" s="79">
        <v>1</v>
      </c>
      <c r="F5" s="79" t="s">
        <v>392</v>
      </c>
      <c r="G5" s="79">
        <v>65</v>
      </c>
      <c r="H5" s="79">
        <v>4050</v>
      </c>
      <c r="I5" s="79">
        <v>16200</v>
      </c>
      <c r="J5" s="79">
        <v>40.5</v>
      </c>
      <c r="K5" s="79">
        <v>3915</v>
      </c>
      <c r="L5" s="79">
        <v>15660</v>
      </c>
      <c r="M5" s="79">
        <v>24.46875</v>
      </c>
      <c r="N5" s="79">
        <v>4</v>
      </c>
      <c r="O5" s="79">
        <v>32</v>
      </c>
      <c r="P5" s="79">
        <v>3.125E-2</v>
      </c>
      <c r="Q5" s="79">
        <v>7969</v>
      </c>
      <c r="R5" s="79">
        <v>31892</v>
      </c>
      <c r="S5" s="79">
        <v>65</v>
      </c>
      <c r="T5" s="79">
        <v>0</v>
      </c>
      <c r="U5" s="79"/>
      <c r="V5" s="79"/>
      <c r="W5" s="79"/>
      <c r="X5" s="79"/>
      <c r="Y5" s="79"/>
      <c r="Z5" s="79"/>
      <c r="AA5" s="79"/>
      <c r="AB5" s="79"/>
      <c r="AC5" s="79"/>
    </row>
    <row r="6" spans="1:29" x14ac:dyDescent="0.3">
      <c r="A6" s="79" t="s">
        <v>54</v>
      </c>
      <c r="B6" s="79">
        <v>4</v>
      </c>
      <c r="C6" s="79" t="s">
        <v>393</v>
      </c>
      <c r="D6" s="79" t="s">
        <v>388</v>
      </c>
      <c r="E6" s="79">
        <v>1</v>
      </c>
      <c r="F6" s="79" t="s">
        <v>388</v>
      </c>
      <c r="G6" s="79"/>
      <c r="H6" s="79">
        <v>950</v>
      </c>
      <c r="I6" s="79">
        <v>3800</v>
      </c>
      <c r="J6" s="79">
        <v>9.5</v>
      </c>
      <c r="K6" s="79">
        <v>0</v>
      </c>
      <c r="L6" s="79">
        <v>0</v>
      </c>
      <c r="M6" s="79">
        <v>0</v>
      </c>
      <c r="N6" s="79">
        <v>472</v>
      </c>
      <c r="O6" s="79">
        <v>3776</v>
      </c>
      <c r="P6" s="79">
        <v>3.6875</v>
      </c>
      <c r="Q6" s="79">
        <v>1422</v>
      </c>
      <c r="R6" s="79">
        <v>7576</v>
      </c>
      <c r="S6" s="79">
        <v>13.1875</v>
      </c>
      <c r="T6" s="79">
        <v>0</v>
      </c>
      <c r="U6" s="79"/>
      <c r="V6" s="79"/>
      <c r="W6" s="79"/>
      <c r="X6" s="79"/>
      <c r="Y6" s="79"/>
      <c r="Z6" s="79"/>
      <c r="AA6" s="79"/>
      <c r="AB6" s="79"/>
      <c r="AC6" s="79"/>
    </row>
    <row r="7" spans="1:29" x14ac:dyDescent="0.3">
      <c r="A7" s="79" t="s">
        <v>54</v>
      </c>
      <c r="B7" s="79">
        <v>5</v>
      </c>
      <c r="C7" s="79" t="s">
        <v>394</v>
      </c>
      <c r="D7" s="79" t="s">
        <v>391</v>
      </c>
      <c r="E7" s="79">
        <v>1</v>
      </c>
      <c r="F7" s="79" t="s">
        <v>392</v>
      </c>
      <c r="G7" s="79">
        <v>65</v>
      </c>
      <c r="H7" s="79">
        <v>2750</v>
      </c>
      <c r="I7" s="79">
        <v>11000</v>
      </c>
      <c r="J7" s="79">
        <v>27.5</v>
      </c>
      <c r="K7" s="79">
        <v>2217</v>
      </c>
      <c r="L7" s="79">
        <v>8868</v>
      </c>
      <c r="M7" s="79">
        <v>13.856249999999999</v>
      </c>
      <c r="N7" s="79">
        <v>563</v>
      </c>
      <c r="O7" s="79">
        <v>4504</v>
      </c>
      <c r="P7" s="79">
        <v>4.3984379999999996</v>
      </c>
      <c r="Q7" s="79">
        <v>5530</v>
      </c>
      <c r="R7" s="79">
        <v>24372</v>
      </c>
      <c r="S7" s="79">
        <v>45.754688000000002</v>
      </c>
      <c r="T7" s="79">
        <v>19.245311999999998</v>
      </c>
      <c r="U7" s="79"/>
      <c r="V7" s="79"/>
      <c r="W7" s="79"/>
      <c r="X7" s="79"/>
      <c r="Y7" s="79"/>
      <c r="Z7" s="79"/>
      <c r="AA7" s="79"/>
      <c r="AB7" s="79"/>
      <c r="AC7" s="79"/>
    </row>
    <row r="8" spans="1:29" x14ac:dyDescent="0.3">
      <c r="A8" s="79" t="s">
        <v>54</v>
      </c>
      <c r="B8" s="79">
        <v>6</v>
      </c>
      <c r="C8" s="79" t="s">
        <v>395</v>
      </c>
      <c r="D8" s="79" t="s">
        <v>391</v>
      </c>
      <c r="E8" s="79">
        <v>1</v>
      </c>
      <c r="F8" s="79" t="s">
        <v>392</v>
      </c>
      <c r="G8" s="79">
        <v>65</v>
      </c>
      <c r="H8" s="79">
        <v>3250</v>
      </c>
      <c r="I8" s="79">
        <v>13000</v>
      </c>
      <c r="J8" s="79">
        <v>32.5</v>
      </c>
      <c r="K8" s="79">
        <v>537</v>
      </c>
      <c r="L8" s="79">
        <v>2148</v>
      </c>
      <c r="M8" s="79">
        <v>3.3562500000000002</v>
      </c>
      <c r="N8" s="79">
        <v>525</v>
      </c>
      <c r="O8" s="79">
        <v>4200</v>
      </c>
      <c r="P8" s="79">
        <v>4.1015620000000004</v>
      </c>
      <c r="Q8" s="79">
        <v>4312</v>
      </c>
      <c r="R8" s="79">
        <v>19348</v>
      </c>
      <c r="S8" s="79">
        <v>39.957813000000002</v>
      </c>
      <c r="T8" s="79">
        <v>25.042186999999998</v>
      </c>
      <c r="U8" s="79"/>
      <c r="V8" s="79"/>
      <c r="W8" s="79"/>
      <c r="X8" s="79"/>
      <c r="Y8" s="79"/>
      <c r="Z8" s="79"/>
      <c r="AA8" s="79"/>
      <c r="AB8" s="79"/>
      <c r="AC8" s="79"/>
    </row>
    <row r="9" spans="1:29" x14ac:dyDescent="0.3">
      <c r="A9" s="79" t="s">
        <v>54</v>
      </c>
      <c r="B9" s="79">
        <v>7</v>
      </c>
      <c r="C9" s="79" t="s">
        <v>396</v>
      </c>
      <c r="D9" s="79" t="s">
        <v>391</v>
      </c>
      <c r="E9" s="79">
        <v>1</v>
      </c>
      <c r="F9" s="79" t="s">
        <v>392</v>
      </c>
      <c r="G9" s="79">
        <v>65</v>
      </c>
      <c r="H9" s="79">
        <v>3444</v>
      </c>
      <c r="I9" s="79">
        <v>13776</v>
      </c>
      <c r="J9" s="79">
        <v>34.44</v>
      </c>
      <c r="K9" s="79">
        <v>1781</v>
      </c>
      <c r="L9" s="79">
        <v>7124</v>
      </c>
      <c r="M9" s="79">
        <v>11.13125</v>
      </c>
      <c r="N9" s="79">
        <v>563</v>
      </c>
      <c r="O9" s="79">
        <v>4504</v>
      </c>
      <c r="P9" s="79">
        <v>4.3984379999999996</v>
      </c>
      <c r="Q9" s="79">
        <v>5788</v>
      </c>
      <c r="R9" s="79">
        <v>25404</v>
      </c>
      <c r="S9" s="79">
        <v>49.969687</v>
      </c>
      <c r="T9" s="79">
        <v>15.030313</v>
      </c>
      <c r="U9" s="79"/>
      <c r="V9" s="79"/>
      <c r="W9" s="79"/>
      <c r="X9" s="79"/>
      <c r="Y9" s="79"/>
      <c r="Z9" s="79"/>
      <c r="AA9" s="79"/>
      <c r="AB9" s="79"/>
      <c r="AC9" s="79"/>
    </row>
    <row r="10" spans="1:29" x14ac:dyDescent="0.3">
      <c r="A10" s="79" t="s">
        <v>54</v>
      </c>
      <c r="B10" s="79">
        <v>8</v>
      </c>
      <c r="C10" s="79" t="s">
        <v>397</v>
      </c>
      <c r="D10" s="79" t="s">
        <v>398</v>
      </c>
      <c r="E10" s="79">
        <v>1</v>
      </c>
      <c r="F10" s="79" t="s">
        <v>399</v>
      </c>
      <c r="G10" s="79">
        <v>28</v>
      </c>
      <c r="H10" s="79">
        <v>1765</v>
      </c>
      <c r="I10" s="79">
        <v>7060</v>
      </c>
      <c r="J10" s="79">
        <v>17.649999999999999</v>
      </c>
      <c r="K10" s="79">
        <v>952</v>
      </c>
      <c r="L10" s="79">
        <v>3808</v>
      </c>
      <c r="M10" s="79">
        <v>5.95</v>
      </c>
      <c r="N10" s="79">
        <v>563</v>
      </c>
      <c r="O10" s="79">
        <v>4504</v>
      </c>
      <c r="P10" s="79">
        <v>4.3984379999999996</v>
      </c>
      <c r="Q10" s="79">
        <v>3280</v>
      </c>
      <c r="R10" s="79">
        <v>15372</v>
      </c>
      <c r="S10" s="79">
        <v>27.998438</v>
      </c>
      <c r="T10" s="79">
        <v>1.562E-3</v>
      </c>
      <c r="U10" s="79"/>
      <c r="V10" s="79"/>
      <c r="W10" s="79"/>
      <c r="X10" s="79"/>
      <c r="Y10" s="79"/>
      <c r="Z10" s="79"/>
      <c r="AA10" s="79"/>
      <c r="AB10" s="79"/>
      <c r="AC10" s="79"/>
    </row>
    <row r="11" spans="1:29" x14ac:dyDescent="0.3">
      <c r="A11" s="79" t="s">
        <v>54</v>
      </c>
      <c r="B11" s="79">
        <v>8</v>
      </c>
      <c r="C11" s="79" t="s">
        <v>397</v>
      </c>
      <c r="D11" s="79" t="s">
        <v>388</v>
      </c>
      <c r="E11" s="79">
        <v>1</v>
      </c>
      <c r="F11" s="79" t="s">
        <v>388</v>
      </c>
      <c r="G11" s="79"/>
      <c r="H11" s="79">
        <v>0</v>
      </c>
      <c r="I11" s="79">
        <v>0</v>
      </c>
      <c r="J11" s="79">
        <v>0</v>
      </c>
      <c r="K11" s="79">
        <v>376</v>
      </c>
      <c r="L11" s="79">
        <v>1504</v>
      </c>
      <c r="M11" s="79">
        <v>2.35</v>
      </c>
      <c r="N11" s="79">
        <v>0</v>
      </c>
      <c r="O11" s="79">
        <v>0</v>
      </c>
      <c r="P11" s="79">
        <v>0</v>
      </c>
      <c r="Q11" s="79">
        <v>376</v>
      </c>
      <c r="R11" s="79">
        <v>1504</v>
      </c>
      <c r="S11" s="79">
        <v>2.35</v>
      </c>
      <c r="T11" s="79">
        <v>0</v>
      </c>
      <c r="U11" s="79"/>
      <c r="V11" s="79"/>
      <c r="W11" s="79"/>
      <c r="X11" s="79"/>
      <c r="Y11" s="79"/>
      <c r="Z11" s="79"/>
      <c r="AA11" s="79"/>
      <c r="AB11" s="79"/>
      <c r="AC11" s="79"/>
    </row>
    <row r="12" spans="1:29" x14ac:dyDescent="0.3">
      <c r="A12" s="79" t="s">
        <v>54</v>
      </c>
      <c r="B12" s="79">
        <v>9</v>
      </c>
      <c r="C12" s="79" t="s">
        <v>400</v>
      </c>
      <c r="D12" s="79" t="s">
        <v>398</v>
      </c>
      <c r="E12" s="79">
        <v>1</v>
      </c>
      <c r="F12" s="79" t="s">
        <v>399</v>
      </c>
      <c r="G12" s="79">
        <v>28</v>
      </c>
      <c r="H12" s="79">
        <v>510</v>
      </c>
      <c r="I12" s="79">
        <v>2040</v>
      </c>
      <c r="J12" s="79">
        <v>5.0999999999999996</v>
      </c>
      <c r="K12" s="79">
        <v>1328</v>
      </c>
      <c r="L12" s="79">
        <v>5312</v>
      </c>
      <c r="M12" s="79">
        <v>8.3000000000000007</v>
      </c>
      <c r="N12" s="79">
        <v>275</v>
      </c>
      <c r="O12" s="79">
        <v>2200</v>
      </c>
      <c r="P12" s="79">
        <v>2.1484380000000001</v>
      </c>
      <c r="Q12" s="79">
        <v>2113</v>
      </c>
      <c r="R12" s="79">
        <v>9552</v>
      </c>
      <c r="S12" s="79">
        <v>15.548438000000001</v>
      </c>
      <c r="T12" s="79">
        <v>12.451561999999999</v>
      </c>
      <c r="U12" s="79"/>
      <c r="V12" s="79"/>
      <c r="W12" s="79"/>
      <c r="X12" s="79"/>
      <c r="Y12" s="79"/>
      <c r="Z12" s="79"/>
      <c r="AA12" s="79"/>
      <c r="AB12" s="79"/>
      <c r="AC12" s="79"/>
    </row>
    <row r="13" spans="1:29" x14ac:dyDescent="0.3">
      <c r="A13" s="79" t="s">
        <v>54</v>
      </c>
      <c r="B13" s="79">
        <v>10</v>
      </c>
      <c r="C13" s="79" t="s">
        <v>401</v>
      </c>
      <c r="D13" s="79" t="s">
        <v>398</v>
      </c>
      <c r="E13" s="79">
        <v>1</v>
      </c>
      <c r="F13" s="79" t="s">
        <v>399</v>
      </c>
      <c r="G13" s="79">
        <v>28</v>
      </c>
      <c r="H13" s="79">
        <v>886</v>
      </c>
      <c r="I13" s="79">
        <v>3544</v>
      </c>
      <c r="J13" s="79">
        <v>8.86</v>
      </c>
      <c r="K13" s="79">
        <v>750</v>
      </c>
      <c r="L13" s="79">
        <v>3000</v>
      </c>
      <c r="M13" s="79">
        <v>4.6875</v>
      </c>
      <c r="N13" s="79">
        <v>625</v>
      </c>
      <c r="O13" s="79">
        <v>5000</v>
      </c>
      <c r="P13" s="79">
        <v>4.8828120000000004</v>
      </c>
      <c r="Q13" s="79">
        <v>2261</v>
      </c>
      <c r="R13" s="79">
        <v>11544</v>
      </c>
      <c r="S13" s="79">
        <v>18.430312000000001</v>
      </c>
      <c r="T13" s="79">
        <v>9.5696879999999993</v>
      </c>
      <c r="U13" s="79"/>
      <c r="V13" s="79"/>
      <c r="W13" s="79"/>
      <c r="X13" s="79"/>
      <c r="Y13" s="79"/>
      <c r="Z13" s="79"/>
      <c r="AA13" s="79"/>
      <c r="AB13" s="79"/>
      <c r="AC13" s="79"/>
    </row>
    <row r="14" spans="1:29" x14ac:dyDescent="0.3">
      <c r="A14" s="79" t="s">
        <v>54</v>
      </c>
      <c r="B14" s="79">
        <v>11</v>
      </c>
      <c r="C14" s="79" t="s">
        <v>402</v>
      </c>
      <c r="D14" s="79" t="s">
        <v>391</v>
      </c>
      <c r="E14" s="79">
        <v>1</v>
      </c>
      <c r="F14" s="79" t="s">
        <v>392</v>
      </c>
      <c r="G14" s="79">
        <v>65</v>
      </c>
      <c r="H14" s="79">
        <v>3011</v>
      </c>
      <c r="I14" s="79">
        <v>12044</v>
      </c>
      <c r="J14" s="79">
        <v>30.11</v>
      </c>
      <c r="K14" s="79">
        <v>750</v>
      </c>
      <c r="L14" s="79">
        <v>3000</v>
      </c>
      <c r="M14" s="79">
        <v>4.6875</v>
      </c>
      <c r="N14" s="79">
        <v>538</v>
      </c>
      <c r="O14" s="79">
        <v>4304</v>
      </c>
      <c r="P14" s="79">
        <v>4.203125</v>
      </c>
      <c r="Q14" s="79">
        <v>4299</v>
      </c>
      <c r="R14" s="79">
        <v>19348</v>
      </c>
      <c r="S14" s="79">
        <v>39.000624999999999</v>
      </c>
      <c r="T14" s="79">
        <v>25.999375000000001</v>
      </c>
      <c r="U14" s="79"/>
      <c r="V14" s="79"/>
      <c r="W14" s="79"/>
      <c r="X14" s="79"/>
      <c r="Y14" s="79"/>
      <c r="Z14" s="79"/>
      <c r="AA14" s="79"/>
      <c r="AB14" s="79"/>
      <c r="AC14" s="79"/>
    </row>
    <row r="15" spans="1:29" x14ac:dyDescent="0.3">
      <c r="A15" s="79" t="s">
        <v>54</v>
      </c>
      <c r="B15" s="79">
        <v>12</v>
      </c>
      <c r="C15" s="79" t="s">
        <v>403</v>
      </c>
      <c r="D15" s="79" t="s">
        <v>391</v>
      </c>
      <c r="E15" s="79">
        <v>1</v>
      </c>
      <c r="F15" s="79" t="s">
        <v>392</v>
      </c>
      <c r="G15" s="79">
        <v>65</v>
      </c>
      <c r="H15" s="79">
        <v>3010</v>
      </c>
      <c r="I15" s="79">
        <v>12040</v>
      </c>
      <c r="J15" s="79">
        <v>30.1</v>
      </c>
      <c r="K15" s="79">
        <v>750</v>
      </c>
      <c r="L15" s="79">
        <v>3000</v>
      </c>
      <c r="M15" s="79">
        <v>4.6875</v>
      </c>
      <c r="N15" s="79">
        <v>588</v>
      </c>
      <c r="O15" s="79">
        <v>4704</v>
      </c>
      <c r="P15" s="79">
        <v>4.59375</v>
      </c>
      <c r="Q15" s="79">
        <v>4348</v>
      </c>
      <c r="R15" s="79">
        <v>19744</v>
      </c>
      <c r="S15" s="79">
        <v>39.381250000000001</v>
      </c>
      <c r="T15" s="79">
        <v>25.618749999999999</v>
      </c>
      <c r="U15" s="79"/>
      <c r="V15" s="79"/>
      <c r="W15" s="79"/>
      <c r="X15" s="79"/>
      <c r="Y15" s="79"/>
      <c r="Z15" s="79"/>
      <c r="AA15" s="79"/>
      <c r="AB15" s="79"/>
      <c r="AC15" s="79"/>
    </row>
    <row r="16" spans="1:29" x14ac:dyDescent="0.3">
      <c r="A16" s="79" t="s">
        <v>54</v>
      </c>
      <c r="B16" s="79">
        <v>13</v>
      </c>
      <c r="C16" s="79" t="s">
        <v>404</v>
      </c>
      <c r="D16" s="79" t="s">
        <v>388</v>
      </c>
      <c r="E16" s="79">
        <v>1</v>
      </c>
      <c r="F16" s="79" t="s">
        <v>388</v>
      </c>
      <c r="G16" s="79"/>
      <c r="H16" s="79">
        <v>0</v>
      </c>
      <c r="I16" s="79">
        <v>0</v>
      </c>
      <c r="J16" s="79">
        <v>0</v>
      </c>
      <c r="K16" s="79">
        <v>750</v>
      </c>
      <c r="L16" s="79">
        <v>3000</v>
      </c>
      <c r="M16" s="79">
        <v>4.6875</v>
      </c>
      <c r="N16" s="79">
        <v>594</v>
      </c>
      <c r="O16" s="79">
        <v>4752</v>
      </c>
      <c r="P16" s="79">
        <v>4.640625</v>
      </c>
      <c r="Q16" s="79">
        <v>1344</v>
      </c>
      <c r="R16" s="79">
        <v>7752</v>
      </c>
      <c r="S16" s="79">
        <v>9.328125</v>
      </c>
      <c r="T16" s="79">
        <v>0</v>
      </c>
      <c r="U16" s="79"/>
      <c r="V16" s="79"/>
      <c r="W16" s="79"/>
      <c r="X16" s="79"/>
      <c r="Y16" s="79"/>
      <c r="Z16" s="79"/>
      <c r="AA16" s="79"/>
      <c r="AB16" s="79"/>
      <c r="AC16" s="79"/>
    </row>
    <row r="17" spans="1:29" x14ac:dyDescent="0.3">
      <c r="A17" s="79" t="s">
        <v>54</v>
      </c>
      <c r="B17" s="79">
        <v>14</v>
      </c>
      <c r="C17" s="79" t="s">
        <v>405</v>
      </c>
      <c r="D17" s="79" t="s">
        <v>388</v>
      </c>
      <c r="E17" s="79">
        <v>1</v>
      </c>
      <c r="F17" s="79" t="s">
        <v>388</v>
      </c>
      <c r="G17" s="79"/>
      <c r="H17" s="79">
        <v>0</v>
      </c>
      <c r="I17" s="79">
        <v>0</v>
      </c>
      <c r="J17" s="79">
        <v>0</v>
      </c>
      <c r="K17" s="79">
        <v>600</v>
      </c>
      <c r="L17" s="79">
        <v>2400</v>
      </c>
      <c r="M17" s="79">
        <v>3.75</v>
      </c>
      <c r="N17" s="79">
        <v>538</v>
      </c>
      <c r="O17" s="79">
        <v>4304</v>
      </c>
      <c r="P17" s="79">
        <v>4.203125</v>
      </c>
      <c r="Q17" s="79">
        <v>1138</v>
      </c>
      <c r="R17" s="79">
        <v>6704</v>
      </c>
      <c r="S17" s="79">
        <v>7.953125</v>
      </c>
      <c r="T17" s="79">
        <v>0</v>
      </c>
      <c r="U17" s="79"/>
      <c r="V17" s="79"/>
      <c r="W17" s="79"/>
      <c r="X17" s="79"/>
      <c r="Y17" s="79"/>
      <c r="Z17" s="79"/>
      <c r="AA17" s="79"/>
      <c r="AB17" s="79"/>
      <c r="AC17" s="79"/>
    </row>
    <row r="18" spans="1:29" x14ac:dyDescent="0.3">
      <c r="A18" s="79" t="s">
        <v>54</v>
      </c>
      <c r="B18" s="79">
        <v>15</v>
      </c>
      <c r="C18" s="79" t="s">
        <v>406</v>
      </c>
      <c r="D18" s="79" t="s">
        <v>391</v>
      </c>
      <c r="E18" s="79">
        <v>1</v>
      </c>
      <c r="F18" s="79" t="s">
        <v>392</v>
      </c>
      <c r="G18" s="79">
        <v>65</v>
      </c>
      <c r="H18" s="79">
        <v>6500</v>
      </c>
      <c r="I18" s="79">
        <v>26000</v>
      </c>
      <c r="J18" s="79">
        <v>65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6500</v>
      </c>
      <c r="R18" s="79">
        <v>26000</v>
      </c>
      <c r="S18" s="79">
        <v>65</v>
      </c>
      <c r="T18" s="79">
        <v>0</v>
      </c>
      <c r="U18" s="79"/>
      <c r="V18" s="79"/>
      <c r="W18" s="79"/>
      <c r="X18" s="79"/>
      <c r="Y18" s="79"/>
      <c r="Z18" s="79"/>
      <c r="AA18" s="79"/>
      <c r="AB18" s="79"/>
      <c r="AC18" s="79"/>
    </row>
    <row r="19" spans="1:29" x14ac:dyDescent="0.3">
      <c r="A19" s="79" t="s">
        <v>54</v>
      </c>
      <c r="B19" s="79">
        <v>15</v>
      </c>
      <c r="C19" s="79" t="s">
        <v>406</v>
      </c>
      <c r="D19" s="79" t="s">
        <v>388</v>
      </c>
      <c r="E19" s="79">
        <v>1</v>
      </c>
      <c r="F19" s="79" t="s">
        <v>388</v>
      </c>
      <c r="G19" s="79"/>
      <c r="H19" s="79">
        <v>440</v>
      </c>
      <c r="I19" s="79">
        <v>1760</v>
      </c>
      <c r="J19" s="79">
        <v>4.4000000000000004</v>
      </c>
      <c r="K19" s="79">
        <v>600</v>
      </c>
      <c r="L19" s="79">
        <v>2400</v>
      </c>
      <c r="M19" s="79">
        <v>3.75</v>
      </c>
      <c r="N19" s="79">
        <v>60</v>
      </c>
      <c r="O19" s="79">
        <v>480</v>
      </c>
      <c r="P19" s="79">
        <v>0.46875</v>
      </c>
      <c r="Q19" s="79">
        <v>1100</v>
      </c>
      <c r="R19" s="79">
        <v>4640</v>
      </c>
      <c r="S19" s="79">
        <v>8.6187500000000004</v>
      </c>
      <c r="T19" s="79">
        <v>0</v>
      </c>
      <c r="U19" s="79"/>
      <c r="V19" s="79"/>
      <c r="W19" s="79"/>
      <c r="X19" s="79"/>
      <c r="Y19" s="79"/>
      <c r="Z19" s="79"/>
      <c r="AA19" s="79"/>
      <c r="AB19" s="79"/>
      <c r="AC19" s="79"/>
    </row>
    <row r="20" spans="1:29" x14ac:dyDescent="0.3">
      <c r="A20" s="79" t="s">
        <v>54</v>
      </c>
      <c r="B20" s="79">
        <v>16</v>
      </c>
      <c r="C20" s="79" t="s">
        <v>407</v>
      </c>
      <c r="D20" s="79" t="s">
        <v>391</v>
      </c>
      <c r="E20" s="79">
        <v>1</v>
      </c>
      <c r="F20" s="79" t="s">
        <v>392</v>
      </c>
      <c r="G20" s="79">
        <v>65</v>
      </c>
      <c r="H20" s="79">
        <v>6500</v>
      </c>
      <c r="I20" s="79">
        <v>26000</v>
      </c>
      <c r="J20" s="79">
        <v>65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6500</v>
      </c>
      <c r="R20" s="79">
        <v>26000</v>
      </c>
      <c r="S20" s="79">
        <v>65</v>
      </c>
      <c r="T20" s="79">
        <v>0</v>
      </c>
      <c r="U20" s="79"/>
      <c r="V20" s="79"/>
      <c r="W20" s="79"/>
      <c r="X20" s="79"/>
      <c r="Y20" s="79"/>
      <c r="Z20" s="79"/>
      <c r="AA20" s="79"/>
      <c r="AB20" s="79"/>
      <c r="AC20" s="79"/>
    </row>
    <row r="21" spans="1:29" x14ac:dyDescent="0.3">
      <c r="A21" s="79" t="s">
        <v>54</v>
      </c>
      <c r="B21" s="79">
        <v>16</v>
      </c>
      <c r="C21" s="79" t="s">
        <v>407</v>
      </c>
      <c r="D21" s="79" t="s">
        <v>388</v>
      </c>
      <c r="E21" s="79">
        <v>1</v>
      </c>
      <c r="F21" s="79" t="s">
        <v>388</v>
      </c>
      <c r="G21" s="79"/>
      <c r="H21" s="79">
        <v>122</v>
      </c>
      <c r="I21" s="79">
        <v>488</v>
      </c>
      <c r="J21" s="79">
        <v>1.22</v>
      </c>
      <c r="K21" s="79">
        <v>0</v>
      </c>
      <c r="L21" s="79">
        <v>0</v>
      </c>
      <c r="M21" s="79">
        <v>0</v>
      </c>
      <c r="N21" s="79">
        <v>163</v>
      </c>
      <c r="O21" s="79">
        <v>1304</v>
      </c>
      <c r="P21" s="79">
        <v>1.2734380000000001</v>
      </c>
      <c r="Q21" s="79">
        <v>285</v>
      </c>
      <c r="R21" s="79">
        <v>1792</v>
      </c>
      <c r="S21" s="79">
        <v>2.4934370000000001</v>
      </c>
      <c r="T21" s="79">
        <v>0</v>
      </c>
      <c r="U21" s="79"/>
      <c r="V21" s="79"/>
      <c r="W21" s="79"/>
      <c r="X21" s="79"/>
      <c r="Y21" s="79"/>
      <c r="Z21" s="79"/>
      <c r="AA21" s="79"/>
      <c r="AB21" s="79"/>
      <c r="AC21" s="79"/>
    </row>
    <row r="22" spans="1:29" x14ac:dyDescent="0.3">
      <c r="A22" s="79" t="s">
        <v>54</v>
      </c>
      <c r="B22" s="79">
        <v>17</v>
      </c>
      <c r="C22" s="79" t="s">
        <v>408</v>
      </c>
      <c r="D22" s="79" t="s">
        <v>398</v>
      </c>
      <c r="E22" s="79">
        <v>1</v>
      </c>
      <c r="F22" s="79" t="s">
        <v>399</v>
      </c>
      <c r="G22" s="79">
        <v>28</v>
      </c>
      <c r="H22" s="79">
        <v>1062</v>
      </c>
      <c r="I22" s="79">
        <v>4248</v>
      </c>
      <c r="J22" s="79">
        <v>10.62</v>
      </c>
      <c r="K22" s="79">
        <v>600</v>
      </c>
      <c r="L22" s="79">
        <v>2400</v>
      </c>
      <c r="M22" s="79">
        <v>3.75</v>
      </c>
      <c r="N22" s="79">
        <v>163</v>
      </c>
      <c r="O22" s="79">
        <v>1304</v>
      </c>
      <c r="P22" s="79">
        <v>1.2734380000000001</v>
      </c>
      <c r="Q22" s="79">
        <v>1825</v>
      </c>
      <c r="R22" s="79">
        <v>7952</v>
      </c>
      <c r="S22" s="79">
        <v>15.643438</v>
      </c>
      <c r="T22" s="79">
        <v>12.356562</v>
      </c>
      <c r="U22" s="79"/>
      <c r="V22" s="79"/>
      <c r="W22" s="79"/>
      <c r="X22" s="79"/>
      <c r="Y22" s="79"/>
      <c r="Z22" s="79"/>
      <c r="AA22" s="79"/>
      <c r="AB22" s="79"/>
      <c r="AC22" s="79"/>
    </row>
    <row r="23" spans="1:29" x14ac:dyDescent="0.3">
      <c r="A23" s="79" t="s">
        <v>54</v>
      </c>
      <c r="B23" s="79">
        <v>18</v>
      </c>
      <c r="C23" s="79" t="s">
        <v>409</v>
      </c>
      <c r="D23" s="79" t="s">
        <v>398</v>
      </c>
      <c r="E23" s="79">
        <v>1</v>
      </c>
      <c r="F23" s="79" t="s">
        <v>399</v>
      </c>
      <c r="G23" s="79">
        <v>28</v>
      </c>
      <c r="H23" s="79">
        <v>1062</v>
      </c>
      <c r="I23" s="79">
        <v>4248</v>
      </c>
      <c r="J23" s="79">
        <v>10.62</v>
      </c>
      <c r="K23" s="79">
        <v>600</v>
      </c>
      <c r="L23" s="79">
        <v>2400</v>
      </c>
      <c r="M23" s="79">
        <v>3.75</v>
      </c>
      <c r="N23" s="79">
        <v>163</v>
      </c>
      <c r="O23" s="79">
        <v>1304</v>
      </c>
      <c r="P23" s="79">
        <v>1.2734380000000001</v>
      </c>
      <c r="Q23" s="79">
        <v>1825</v>
      </c>
      <c r="R23" s="79">
        <v>7952</v>
      </c>
      <c r="S23" s="79">
        <v>15.643438</v>
      </c>
      <c r="T23" s="79">
        <v>12.356562</v>
      </c>
      <c r="U23" s="79"/>
      <c r="V23" s="79"/>
      <c r="W23" s="79"/>
      <c r="X23" s="79"/>
      <c r="Y23" s="79"/>
      <c r="Z23" s="79"/>
      <c r="AA23" s="79"/>
      <c r="AB23" s="79"/>
      <c r="AC23" s="79"/>
    </row>
    <row r="24" spans="1:29" x14ac:dyDescent="0.3">
      <c r="A24" s="79" t="s">
        <v>54</v>
      </c>
      <c r="B24" s="79">
        <v>19</v>
      </c>
      <c r="C24" s="79" t="s">
        <v>410</v>
      </c>
      <c r="D24" s="79" t="s">
        <v>398</v>
      </c>
      <c r="E24" s="79">
        <v>1</v>
      </c>
      <c r="F24" s="79" t="s">
        <v>399</v>
      </c>
      <c r="G24" s="79">
        <v>28</v>
      </c>
      <c r="H24" s="79">
        <v>1063</v>
      </c>
      <c r="I24" s="79">
        <v>4252</v>
      </c>
      <c r="J24" s="79">
        <v>10.63</v>
      </c>
      <c r="K24" s="79">
        <v>938</v>
      </c>
      <c r="L24" s="79">
        <v>3752</v>
      </c>
      <c r="M24" s="79">
        <v>5.8624999999999998</v>
      </c>
      <c r="N24" s="79">
        <v>189</v>
      </c>
      <c r="O24" s="79">
        <v>1512</v>
      </c>
      <c r="P24" s="79">
        <v>1.4765619999999999</v>
      </c>
      <c r="Q24" s="79">
        <v>2190</v>
      </c>
      <c r="R24" s="79">
        <v>9516</v>
      </c>
      <c r="S24" s="79">
        <v>17.969062000000001</v>
      </c>
      <c r="T24" s="79">
        <v>10.030938000000001</v>
      </c>
      <c r="U24" s="79"/>
      <c r="V24" s="79"/>
      <c r="W24" s="79"/>
      <c r="X24" s="79"/>
      <c r="Y24" s="79"/>
      <c r="Z24" s="79"/>
      <c r="AA24" s="79"/>
      <c r="AB24" s="79"/>
      <c r="AC24" s="79"/>
    </row>
    <row r="25" spans="1:29" x14ac:dyDescent="0.3">
      <c r="A25" s="79" t="s">
        <v>54</v>
      </c>
      <c r="B25" s="79">
        <v>20</v>
      </c>
      <c r="C25" s="79" t="s">
        <v>411</v>
      </c>
      <c r="D25" s="79" t="s">
        <v>398</v>
      </c>
      <c r="E25" s="79">
        <v>1</v>
      </c>
      <c r="F25" s="79" t="s">
        <v>399</v>
      </c>
      <c r="G25" s="79">
        <v>28</v>
      </c>
      <c r="H25" s="79">
        <v>1062</v>
      </c>
      <c r="I25" s="79">
        <v>4248</v>
      </c>
      <c r="J25" s="79">
        <v>10.62</v>
      </c>
      <c r="K25" s="79">
        <v>938</v>
      </c>
      <c r="L25" s="79">
        <v>3752</v>
      </c>
      <c r="M25" s="79">
        <v>5.8624999999999998</v>
      </c>
      <c r="N25" s="79">
        <v>189</v>
      </c>
      <c r="O25" s="79">
        <v>1512</v>
      </c>
      <c r="P25" s="79">
        <v>1.4765619999999999</v>
      </c>
      <c r="Q25" s="79">
        <v>2189</v>
      </c>
      <c r="R25" s="79">
        <v>9512</v>
      </c>
      <c r="S25" s="79">
        <v>17.959063</v>
      </c>
      <c r="T25" s="79">
        <v>10.040937</v>
      </c>
      <c r="U25" s="79"/>
      <c r="V25" s="79"/>
      <c r="W25" s="79"/>
      <c r="X25" s="79"/>
      <c r="Y25" s="79"/>
      <c r="Z25" s="79"/>
      <c r="AA25" s="79"/>
      <c r="AB25" s="79"/>
      <c r="AC25" s="79"/>
    </row>
    <row r="26" spans="1:29" x14ac:dyDescent="0.3">
      <c r="A26" s="79" t="s">
        <v>54</v>
      </c>
      <c r="B26" s="79">
        <v>21</v>
      </c>
      <c r="C26" s="79" t="s">
        <v>412</v>
      </c>
      <c r="D26" s="79" t="s">
        <v>388</v>
      </c>
      <c r="E26" s="79">
        <v>1</v>
      </c>
      <c r="F26" s="79" t="s">
        <v>388</v>
      </c>
      <c r="G26" s="79"/>
      <c r="H26" s="79">
        <v>598</v>
      </c>
      <c r="I26" s="79">
        <v>2392</v>
      </c>
      <c r="J26" s="79">
        <v>5.98</v>
      </c>
      <c r="K26" s="79">
        <v>938</v>
      </c>
      <c r="L26" s="79">
        <v>3752</v>
      </c>
      <c r="M26" s="79">
        <v>5.8624999999999998</v>
      </c>
      <c r="N26" s="79">
        <v>189</v>
      </c>
      <c r="O26" s="79">
        <v>1512</v>
      </c>
      <c r="P26" s="79">
        <v>1.4765619999999999</v>
      </c>
      <c r="Q26" s="79">
        <v>1725</v>
      </c>
      <c r="R26" s="79">
        <v>7656</v>
      </c>
      <c r="S26" s="79">
        <v>13.319063</v>
      </c>
      <c r="T26" s="79">
        <v>0</v>
      </c>
      <c r="U26" s="79"/>
      <c r="V26" s="79"/>
      <c r="W26" s="79"/>
      <c r="X26" s="79"/>
      <c r="Y26" s="79"/>
      <c r="Z26" s="79"/>
      <c r="AA26" s="79"/>
      <c r="AB26" s="79"/>
      <c r="AC26" s="79"/>
    </row>
    <row r="27" spans="1:29" x14ac:dyDescent="0.3">
      <c r="A27" s="79" t="s">
        <v>54</v>
      </c>
      <c r="B27" s="79">
        <v>22</v>
      </c>
      <c r="C27" s="79" t="s">
        <v>413</v>
      </c>
      <c r="D27" s="79" t="s">
        <v>388</v>
      </c>
      <c r="E27" s="79">
        <v>1</v>
      </c>
      <c r="F27" s="79" t="s">
        <v>388</v>
      </c>
      <c r="G27" s="79"/>
      <c r="H27" s="79">
        <v>598</v>
      </c>
      <c r="I27" s="79">
        <v>2392</v>
      </c>
      <c r="J27" s="79">
        <v>5.98</v>
      </c>
      <c r="K27" s="79">
        <v>938</v>
      </c>
      <c r="L27" s="79">
        <v>3752</v>
      </c>
      <c r="M27" s="79">
        <v>5.8624999999999998</v>
      </c>
      <c r="N27" s="79">
        <v>189</v>
      </c>
      <c r="O27" s="79">
        <v>1512</v>
      </c>
      <c r="P27" s="79">
        <v>1.4765619999999999</v>
      </c>
      <c r="Q27" s="79">
        <v>1725</v>
      </c>
      <c r="R27" s="79">
        <v>7656</v>
      </c>
      <c r="S27" s="79">
        <v>13.319063</v>
      </c>
      <c r="T27" s="79">
        <v>0</v>
      </c>
      <c r="U27" s="79"/>
      <c r="V27" s="79"/>
      <c r="W27" s="79"/>
      <c r="X27" s="79"/>
      <c r="Y27" s="79"/>
      <c r="Z27" s="79"/>
      <c r="AA27" s="79"/>
      <c r="AB27" s="79"/>
      <c r="AC27" s="79"/>
    </row>
    <row r="28" spans="1:29" x14ac:dyDescent="0.3">
      <c r="A28" s="79" t="s">
        <v>54</v>
      </c>
      <c r="B28" s="79">
        <v>23</v>
      </c>
      <c r="C28" s="79" t="s">
        <v>414</v>
      </c>
      <c r="D28" s="79" t="s">
        <v>388</v>
      </c>
      <c r="E28" s="79">
        <v>1</v>
      </c>
      <c r="F28" s="79" t="s">
        <v>388</v>
      </c>
      <c r="G28" s="79"/>
      <c r="H28" s="79">
        <v>598</v>
      </c>
      <c r="I28" s="79">
        <v>2392</v>
      </c>
      <c r="J28" s="79">
        <v>5.98</v>
      </c>
      <c r="K28" s="79">
        <v>750</v>
      </c>
      <c r="L28" s="79">
        <v>3000</v>
      </c>
      <c r="M28" s="79">
        <v>4.6875</v>
      </c>
      <c r="N28" s="79">
        <v>181</v>
      </c>
      <c r="O28" s="79">
        <v>1448</v>
      </c>
      <c r="P28" s="79">
        <v>1.4140619999999999</v>
      </c>
      <c r="Q28" s="79">
        <v>1529</v>
      </c>
      <c r="R28" s="79">
        <v>6840</v>
      </c>
      <c r="S28" s="79">
        <v>12.081562999999999</v>
      </c>
      <c r="T28" s="79">
        <v>0</v>
      </c>
      <c r="U28" s="79"/>
      <c r="V28" s="79"/>
      <c r="W28" s="79"/>
      <c r="X28" s="79"/>
      <c r="Y28" s="79"/>
      <c r="Z28" s="79"/>
      <c r="AA28" s="79"/>
      <c r="AB28" s="79"/>
      <c r="AC28" s="79"/>
    </row>
    <row r="29" spans="1:29" x14ac:dyDescent="0.3">
      <c r="A29" s="79" t="s">
        <v>54</v>
      </c>
      <c r="B29" s="79">
        <v>24</v>
      </c>
      <c r="C29" s="79" t="s">
        <v>415</v>
      </c>
      <c r="D29" s="79" t="s">
        <v>388</v>
      </c>
      <c r="E29" s="79">
        <v>1</v>
      </c>
      <c r="F29" s="79" t="s">
        <v>388</v>
      </c>
      <c r="G29" s="79"/>
      <c r="H29" s="79">
        <v>598</v>
      </c>
      <c r="I29" s="79">
        <v>2392</v>
      </c>
      <c r="J29" s="79">
        <v>5.98</v>
      </c>
      <c r="K29" s="79">
        <v>750</v>
      </c>
      <c r="L29" s="79">
        <v>3000</v>
      </c>
      <c r="M29" s="79">
        <v>4.6875</v>
      </c>
      <c r="N29" s="79">
        <v>0</v>
      </c>
      <c r="O29" s="79">
        <v>0</v>
      </c>
      <c r="P29" s="79">
        <v>0</v>
      </c>
      <c r="Q29" s="79">
        <v>1348</v>
      </c>
      <c r="R29" s="79">
        <v>5392</v>
      </c>
      <c r="S29" s="79">
        <v>10.6675</v>
      </c>
      <c r="T29" s="79">
        <v>0</v>
      </c>
      <c r="U29" s="79"/>
      <c r="V29" s="79"/>
      <c r="W29" s="79"/>
      <c r="X29" s="79"/>
      <c r="Y29" s="79"/>
      <c r="Z29" s="79"/>
      <c r="AA29" s="79"/>
      <c r="AB29" s="79"/>
      <c r="AC29" s="79"/>
    </row>
    <row r="30" spans="1:29" x14ac:dyDescent="0.3">
      <c r="A30" s="79" t="s">
        <v>54</v>
      </c>
      <c r="B30" s="79">
        <v>25</v>
      </c>
      <c r="C30" s="79" t="s">
        <v>416</v>
      </c>
      <c r="D30" s="79" t="s">
        <v>391</v>
      </c>
      <c r="E30" s="79">
        <v>1</v>
      </c>
      <c r="F30" s="79" t="s">
        <v>392</v>
      </c>
      <c r="G30" s="79">
        <v>65</v>
      </c>
      <c r="H30" s="79">
        <v>4005</v>
      </c>
      <c r="I30" s="79">
        <v>16020</v>
      </c>
      <c r="J30" s="79">
        <v>40.049999999999997</v>
      </c>
      <c r="K30" s="79">
        <v>750</v>
      </c>
      <c r="L30" s="79">
        <v>3000</v>
      </c>
      <c r="M30" s="79">
        <v>4.6875</v>
      </c>
      <c r="N30" s="79">
        <v>0</v>
      </c>
      <c r="O30" s="79">
        <v>0</v>
      </c>
      <c r="P30" s="79">
        <v>0</v>
      </c>
      <c r="Q30" s="79">
        <v>4755</v>
      </c>
      <c r="R30" s="79">
        <v>19020</v>
      </c>
      <c r="S30" s="79">
        <v>44.737499999999997</v>
      </c>
      <c r="T30" s="79">
        <v>20.262499999999999</v>
      </c>
      <c r="U30" s="79"/>
      <c r="V30" s="79"/>
      <c r="W30" s="79"/>
      <c r="X30" s="79"/>
      <c r="Y30" s="79"/>
      <c r="Z30" s="79"/>
      <c r="AA30" s="79"/>
      <c r="AB30" s="79"/>
      <c r="AC30" s="79"/>
    </row>
    <row r="31" spans="1:29" x14ac:dyDescent="0.3">
      <c r="A31" s="79" t="s">
        <v>54</v>
      </c>
      <c r="B31" s="79">
        <v>26</v>
      </c>
      <c r="C31" s="79" t="s">
        <v>417</v>
      </c>
      <c r="D31" s="79" t="s">
        <v>391</v>
      </c>
      <c r="E31" s="79">
        <v>1</v>
      </c>
      <c r="F31" s="79" t="s">
        <v>392</v>
      </c>
      <c r="G31" s="79">
        <v>65</v>
      </c>
      <c r="H31" s="79">
        <v>4005</v>
      </c>
      <c r="I31" s="79">
        <v>16020</v>
      </c>
      <c r="J31" s="79">
        <v>40.049999999999997</v>
      </c>
      <c r="K31" s="79">
        <v>750</v>
      </c>
      <c r="L31" s="79">
        <v>3000</v>
      </c>
      <c r="M31" s="79">
        <v>4.6875</v>
      </c>
      <c r="N31" s="79">
        <v>181</v>
      </c>
      <c r="O31" s="79">
        <v>1448</v>
      </c>
      <c r="P31" s="79">
        <v>1.4140619999999999</v>
      </c>
      <c r="Q31" s="79">
        <v>4936</v>
      </c>
      <c r="R31" s="79">
        <v>20468</v>
      </c>
      <c r="S31" s="79">
        <v>46.151563000000003</v>
      </c>
      <c r="T31" s="79">
        <v>18.848437000000001</v>
      </c>
      <c r="U31" s="79"/>
      <c r="V31" s="79"/>
      <c r="W31" s="79"/>
      <c r="X31" s="79"/>
      <c r="Y31" s="79"/>
      <c r="Z31" s="79"/>
      <c r="AA31" s="79"/>
      <c r="AB31" s="79"/>
      <c r="AC31" s="79"/>
    </row>
    <row r="32" spans="1:29" x14ac:dyDescent="0.3">
      <c r="A32" s="79" t="s">
        <v>54</v>
      </c>
      <c r="B32" s="79">
        <v>27</v>
      </c>
      <c r="C32" s="79" t="s">
        <v>418</v>
      </c>
      <c r="D32" s="79" t="s">
        <v>391</v>
      </c>
      <c r="E32" s="79">
        <v>1</v>
      </c>
      <c r="F32" s="79" t="s">
        <v>392</v>
      </c>
      <c r="G32" s="79">
        <v>65</v>
      </c>
      <c r="H32" s="79">
        <v>4004</v>
      </c>
      <c r="I32" s="79">
        <v>16016</v>
      </c>
      <c r="J32" s="79">
        <v>40.04</v>
      </c>
      <c r="K32" s="79">
        <v>750</v>
      </c>
      <c r="L32" s="79">
        <v>3000</v>
      </c>
      <c r="M32" s="79">
        <v>4.6875</v>
      </c>
      <c r="N32" s="79">
        <v>181</v>
      </c>
      <c r="O32" s="79">
        <v>1448</v>
      </c>
      <c r="P32" s="79">
        <v>1.4140619999999999</v>
      </c>
      <c r="Q32" s="79">
        <v>4935</v>
      </c>
      <c r="R32" s="79">
        <v>20464</v>
      </c>
      <c r="S32" s="79">
        <v>46.141562</v>
      </c>
      <c r="T32" s="79">
        <v>18.858438</v>
      </c>
      <c r="U32" s="79"/>
      <c r="V32" s="79"/>
      <c r="W32" s="79"/>
      <c r="X32" s="79"/>
      <c r="Y32" s="79"/>
      <c r="Z32" s="79"/>
      <c r="AA32" s="79"/>
      <c r="AB32" s="79"/>
      <c r="AC32" s="79"/>
    </row>
    <row r="33" spans="1:29" x14ac:dyDescent="0.3">
      <c r="A33" s="79" t="s">
        <v>54</v>
      </c>
      <c r="B33" s="79">
        <v>28</v>
      </c>
      <c r="C33" s="79" t="s">
        <v>419</v>
      </c>
      <c r="D33" s="79" t="s">
        <v>391</v>
      </c>
      <c r="E33" s="79">
        <v>1</v>
      </c>
      <c r="F33" s="79" t="s">
        <v>392</v>
      </c>
      <c r="G33" s="79">
        <v>65</v>
      </c>
      <c r="H33" s="79">
        <v>4005</v>
      </c>
      <c r="I33" s="79">
        <v>16020</v>
      </c>
      <c r="J33" s="79">
        <v>40.049999999999997</v>
      </c>
      <c r="K33" s="79">
        <v>1563</v>
      </c>
      <c r="L33" s="79">
        <v>6252</v>
      </c>
      <c r="M33" s="79">
        <v>9.7687500000000007</v>
      </c>
      <c r="N33" s="79">
        <v>181</v>
      </c>
      <c r="O33" s="79">
        <v>1448</v>
      </c>
      <c r="P33" s="79">
        <v>1.4140619999999999</v>
      </c>
      <c r="Q33" s="79">
        <v>5749</v>
      </c>
      <c r="R33" s="79">
        <v>23720</v>
      </c>
      <c r="S33" s="79">
        <v>51.232813</v>
      </c>
      <c r="T33" s="79">
        <v>13.767187</v>
      </c>
      <c r="U33" s="79"/>
      <c r="V33" s="79"/>
      <c r="W33" s="79"/>
      <c r="X33" s="79"/>
      <c r="Y33" s="79"/>
      <c r="Z33" s="79"/>
      <c r="AA33" s="79"/>
      <c r="AB33" s="79"/>
      <c r="AC33" s="79"/>
    </row>
    <row r="34" spans="1:29" x14ac:dyDescent="0.3">
      <c r="A34" s="79" t="s">
        <v>54</v>
      </c>
      <c r="B34" s="79">
        <v>29</v>
      </c>
      <c r="C34" s="79" t="s">
        <v>420</v>
      </c>
      <c r="D34" s="79" t="s">
        <v>398</v>
      </c>
      <c r="E34" s="79">
        <v>1</v>
      </c>
      <c r="F34" s="79" t="s">
        <v>399</v>
      </c>
      <c r="G34" s="79">
        <v>28</v>
      </c>
      <c r="H34" s="79">
        <v>1071</v>
      </c>
      <c r="I34" s="79">
        <v>4284</v>
      </c>
      <c r="J34" s="79">
        <v>10.71</v>
      </c>
      <c r="K34" s="79">
        <v>1563</v>
      </c>
      <c r="L34" s="79">
        <v>6252</v>
      </c>
      <c r="M34" s="79">
        <v>9.7687500000000007</v>
      </c>
      <c r="N34" s="79">
        <v>220</v>
      </c>
      <c r="O34" s="79">
        <v>1760</v>
      </c>
      <c r="P34" s="79">
        <v>1.71875</v>
      </c>
      <c r="Q34" s="79">
        <v>2854</v>
      </c>
      <c r="R34" s="79">
        <v>12296</v>
      </c>
      <c r="S34" s="79">
        <v>22.197500000000002</v>
      </c>
      <c r="T34" s="79">
        <v>5.8025000000000002</v>
      </c>
      <c r="U34" s="79"/>
      <c r="V34" s="79"/>
      <c r="W34" s="79"/>
      <c r="X34" s="79"/>
      <c r="Y34" s="79"/>
      <c r="Z34" s="79"/>
      <c r="AA34" s="79"/>
      <c r="AB34" s="79"/>
      <c r="AC34" s="79"/>
    </row>
    <row r="35" spans="1:29" x14ac:dyDescent="0.3">
      <c r="A35" s="79" t="s">
        <v>54</v>
      </c>
      <c r="B35" s="79">
        <v>30</v>
      </c>
      <c r="C35" s="79" t="s">
        <v>421</v>
      </c>
      <c r="D35" s="79" t="s">
        <v>398</v>
      </c>
      <c r="E35" s="79">
        <v>1</v>
      </c>
      <c r="F35" s="79" t="s">
        <v>399</v>
      </c>
      <c r="G35" s="79">
        <v>28</v>
      </c>
      <c r="H35" s="79">
        <v>1071</v>
      </c>
      <c r="I35" s="79">
        <v>4284</v>
      </c>
      <c r="J35" s="79">
        <v>10.71</v>
      </c>
      <c r="K35" s="79">
        <v>1563</v>
      </c>
      <c r="L35" s="79">
        <v>6252</v>
      </c>
      <c r="M35" s="79">
        <v>9.7687500000000007</v>
      </c>
      <c r="N35" s="79">
        <v>220</v>
      </c>
      <c r="O35" s="79">
        <v>1760</v>
      </c>
      <c r="P35" s="79">
        <v>1.71875</v>
      </c>
      <c r="Q35" s="79">
        <v>2854</v>
      </c>
      <c r="R35" s="79">
        <v>12296</v>
      </c>
      <c r="S35" s="79">
        <v>22.197500000000002</v>
      </c>
      <c r="T35" s="79">
        <v>5.8025000000000002</v>
      </c>
      <c r="U35" s="79"/>
      <c r="V35" s="79"/>
      <c r="W35" s="79"/>
      <c r="X35" s="79"/>
      <c r="Y35" s="79"/>
      <c r="Z35" s="79"/>
      <c r="AA35" s="79"/>
      <c r="AB35" s="79"/>
      <c r="AC35" s="79"/>
    </row>
    <row r="36" spans="1:29" x14ac:dyDescent="0.3">
      <c r="A36" s="79" t="s">
        <v>54</v>
      </c>
      <c r="B36" s="79">
        <v>31</v>
      </c>
      <c r="C36" s="79" t="s">
        <v>422</v>
      </c>
      <c r="D36" s="79" t="s">
        <v>398</v>
      </c>
      <c r="E36" s="79">
        <v>1</v>
      </c>
      <c r="F36" s="79" t="s">
        <v>399</v>
      </c>
      <c r="G36" s="79">
        <v>28</v>
      </c>
      <c r="H36" s="79">
        <v>1071</v>
      </c>
      <c r="I36" s="79">
        <v>4284</v>
      </c>
      <c r="J36" s="79">
        <v>10.71</v>
      </c>
      <c r="K36" s="79">
        <v>1563</v>
      </c>
      <c r="L36" s="79">
        <v>6252</v>
      </c>
      <c r="M36" s="79">
        <v>9.7687500000000007</v>
      </c>
      <c r="N36" s="79">
        <v>220</v>
      </c>
      <c r="O36" s="79">
        <v>1760</v>
      </c>
      <c r="P36" s="79">
        <v>1.71875</v>
      </c>
      <c r="Q36" s="79">
        <v>2854</v>
      </c>
      <c r="R36" s="79">
        <v>12296</v>
      </c>
      <c r="S36" s="79">
        <v>22.197500000000002</v>
      </c>
      <c r="T36" s="79">
        <v>5.8025000000000002</v>
      </c>
      <c r="U36" s="79"/>
      <c r="V36" s="79"/>
      <c r="W36" s="79"/>
      <c r="X36" s="79"/>
      <c r="Y36" s="79"/>
      <c r="Z36" s="79"/>
      <c r="AA36" s="79"/>
      <c r="AB36" s="79"/>
      <c r="AC36" s="79"/>
    </row>
    <row r="37" spans="1:29" x14ac:dyDescent="0.3">
      <c r="A37" s="79" t="s">
        <v>54</v>
      </c>
      <c r="B37" s="79">
        <v>32</v>
      </c>
      <c r="C37" s="79" t="s">
        <v>423</v>
      </c>
      <c r="D37" s="79" t="s">
        <v>398</v>
      </c>
      <c r="E37" s="79">
        <v>1</v>
      </c>
      <c r="F37" s="79" t="s">
        <v>399</v>
      </c>
      <c r="G37" s="79">
        <v>28</v>
      </c>
      <c r="H37" s="79">
        <v>1071</v>
      </c>
      <c r="I37" s="79">
        <v>4284</v>
      </c>
      <c r="J37" s="79">
        <v>10.71</v>
      </c>
      <c r="K37" s="79">
        <v>1563</v>
      </c>
      <c r="L37" s="79">
        <v>6252</v>
      </c>
      <c r="M37" s="79">
        <v>9.7687500000000007</v>
      </c>
      <c r="N37" s="79">
        <v>220</v>
      </c>
      <c r="O37" s="79">
        <v>1760</v>
      </c>
      <c r="P37" s="79">
        <v>1.71875</v>
      </c>
      <c r="Q37" s="79">
        <v>2854</v>
      </c>
      <c r="R37" s="79">
        <v>12296</v>
      </c>
      <c r="S37" s="79">
        <v>22.197500000000002</v>
      </c>
      <c r="T37" s="79">
        <v>5.8025000000000002</v>
      </c>
      <c r="U37" s="79"/>
      <c r="V37" s="79"/>
      <c r="W37" s="79"/>
      <c r="X37" s="79"/>
      <c r="Y37" s="79"/>
      <c r="Z37" s="79"/>
      <c r="AA37" s="79"/>
      <c r="AB37" s="79"/>
      <c r="AC37" s="79"/>
    </row>
    <row r="38" spans="1:29" x14ac:dyDescent="0.3">
      <c r="A38" s="79" t="s">
        <v>54</v>
      </c>
      <c r="B38" s="79">
        <v>33</v>
      </c>
      <c r="C38" s="79" t="s">
        <v>424</v>
      </c>
      <c r="D38" s="79" t="s">
        <v>398</v>
      </c>
      <c r="E38" s="79">
        <v>1</v>
      </c>
      <c r="F38" s="79" t="s">
        <v>399</v>
      </c>
      <c r="G38" s="79">
        <v>28</v>
      </c>
      <c r="H38" s="79">
        <v>1071</v>
      </c>
      <c r="I38" s="79">
        <v>4284</v>
      </c>
      <c r="J38" s="79">
        <v>10.71</v>
      </c>
      <c r="K38" s="79">
        <v>1563</v>
      </c>
      <c r="L38" s="79">
        <v>6252</v>
      </c>
      <c r="M38" s="79">
        <v>9.7687500000000007</v>
      </c>
      <c r="N38" s="79">
        <v>241</v>
      </c>
      <c r="O38" s="79">
        <v>1928</v>
      </c>
      <c r="P38" s="79">
        <v>1.8828119999999999</v>
      </c>
      <c r="Q38" s="79">
        <v>2875</v>
      </c>
      <c r="R38" s="79">
        <v>12464</v>
      </c>
      <c r="S38" s="79">
        <v>22.361563</v>
      </c>
      <c r="T38" s="79">
        <v>5.6384369999999997</v>
      </c>
      <c r="U38" s="79"/>
      <c r="V38" s="79"/>
      <c r="W38" s="79"/>
      <c r="X38" s="79"/>
      <c r="Y38" s="79"/>
      <c r="Z38" s="79"/>
      <c r="AA38" s="79"/>
      <c r="AB38" s="79"/>
      <c r="AC38" s="79"/>
    </row>
    <row r="39" spans="1:29" x14ac:dyDescent="0.3">
      <c r="A39" s="79" t="s">
        <v>54</v>
      </c>
      <c r="B39" s="79">
        <v>34</v>
      </c>
      <c r="C39" s="79" t="s">
        <v>425</v>
      </c>
      <c r="D39" s="79" t="s">
        <v>398</v>
      </c>
      <c r="E39" s="79">
        <v>1</v>
      </c>
      <c r="F39" s="79" t="s">
        <v>399</v>
      </c>
      <c r="G39" s="79">
        <v>28</v>
      </c>
      <c r="H39" s="79">
        <v>2082</v>
      </c>
      <c r="I39" s="79">
        <v>8328</v>
      </c>
      <c r="J39" s="79">
        <v>20.82</v>
      </c>
      <c r="K39" s="79">
        <v>846</v>
      </c>
      <c r="L39" s="79">
        <v>3384</v>
      </c>
      <c r="M39" s="79">
        <v>5.2874999999999996</v>
      </c>
      <c r="N39" s="79">
        <v>242</v>
      </c>
      <c r="O39" s="79">
        <v>1936</v>
      </c>
      <c r="P39" s="79">
        <v>1.890625</v>
      </c>
      <c r="Q39" s="79">
        <v>3170</v>
      </c>
      <c r="R39" s="79">
        <v>13648</v>
      </c>
      <c r="S39" s="79">
        <v>27.998125000000002</v>
      </c>
      <c r="T39" s="79">
        <v>1.8749999999999999E-3</v>
      </c>
      <c r="U39" s="79"/>
      <c r="V39" s="79"/>
      <c r="W39" s="79"/>
      <c r="X39" s="79"/>
      <c r="Y39" s="79"/>
      <c r="Z39" s="79"/>
      <c r="AA39" s="79"/>
      <c r="AB39" s="79"/>
      <c r="AC39" s="79"/>
    </row>
    <row r="40" spans="1:29" x14ac:dyDescent="0.3">
      <c r="A40" s="79" t="s">
        <v>54</v>
      </c>
      <c r="B40" s="79">
        <v>34</v>
      </c>
      <c r="C40" s="79" t="s">
        <v>425</v>
      </c>
      <c r="D40" s="79" t="s">
        <v>388</v>
      </c>
      <c r="E40" s="79">
        <v>1</v>
      </c>
      <c r="F40" s="79" t="s">
        <v>388</v>
      </c>
      <c r="G40" s="79"/>
      <c r="H40" s="79">
        <v>0</v>
      </c>
      <c r="I40" s="79">
        <v>0</v>
      </c>
      <c r="J40" s="79">
        <v>0</v>
      </c>
      <c r="K40" s="79">
        <v>717</v>
      </c>
      <c r="L40" s="79">
        <v>2868</v>
      </c>
      <c r="M40" s="79">
        <v>4.4812500000000002</v>
      </c>
      <c r="N40" s="79">
        <v>0</v>
      </c>
      <c r="O40" s="79">
        <v>0</v>
      </c>
      <c r="P40" s="79">
        <v>0</v>
      </c>
      <c r="Q40" s="79">
        <v>717</v>
      </c>
      <c r="R40" s="79">
        <v>2868</v>
      </c>
      <c r="S40" s="79">
        <v>4.4812500000000002</v>
      </c>
      <c r="T40" s="79">
        <v>0</v>
      </c>
      <c r="U40" s="79"/>
      <c r="V40" s="79"/>
      <c r="W40" s="79"/>
      <c r="X40" s="79"/>
      <c r="Y40" s="79"/>
      <c r="Z40" s="79"/>
      <c r="AA40" s="79"/>
      <c r="AB40" s="79"/>
      <c r="AC40" s="79"/>
    </row>
    <row r="41" spans="1:29" x14ac:dyDescent="0.3">
      <c r="A41" s="79" t="s">
        <v>54</v>
      </c>
      <c r="B41" s="79">
        <v>35</v>
      </c>
      <c r="C41" s="79" t="s">
        <v>426</v>
      </c>
      <c r="D41" s="79" t="s">
        <v>398</v>
      </c>
      <c r="E41" s="79">
        <v>1</v>
      </c>
      <c r="F41" s="79" t="s">
        <v>399</v>
      </c>
      <c r="G41" s="79">
        <v>28</v>
      </c>
      <c r="H41" s="79">
        <v>2049</v>
      </c>
      <c r="I41" s="79">
        <v>8196</v>
      </c>
      <c r="J41" s="79">
        <v>20.49</v>
      </c>
      <c r="K41" s="79">
        <v>1154</v>
      </c>
      <c r="L41" s="79">
        <v>4616</v>
      </c>
      <c r="M41" s="79">
        <v>7.2125000000000004</v>
      </c>
      <c r="N41" s="79">
        <v>38</v>
      </c>
      <c r="O41" s="79">
        <v>304</v>
      </c>
      <c r="P41" s="79">
        <v>0.296875</v>
      </c>
      <c r="Q41" s="79">
        <v>3241</v>
      </c>
      <c r="R41" s="79">
        <v>13116</v>
      </c>
      <c r="S41" s="79">
        <v>27.999375000000001</v>
      </c>
      <c r="T41" s="79">
        <v>6.2500000000000001E-4</v>
      </c>
      <c r="U41" s="79"/>
      <c r="V41" s="79"/>
      <c r="W41" s="79"/>
      <c r="X41" s="79"/>
      <c r="Y41" s="79"/>
      <c r="Z41" s="79"/>
      <c r="AA41" s="79"/>
      <c r="AB41" s="79"/>
      <c r="AC41" s="79"/>
    </row>
    <row r="42" spans="1:29" x14ac:dyDescent="0.3">
      <c r="A42" s="79" t="s">
        <v>54</v>
      </c>
      <c r="B42" s="79">
        <v>35</v>
      </c>
      <c r="C42" s="79" t="s">
        <v>426</v>
      </c>
      <c r="D42" s="79" t="s">
        <v>388</v>
      </c>
      <c r="E42" s="79">
        <v>1</v>
      </c>
      <c r="F42" s="79" t="s">
        <v>388</v>
      </c>
      <c r="G42" s="79"/>
      <c r="H42" s="79">
        <v>33</v>
      </c>
      <c r="I42" s="79">
        <v>132</v>
      </c>
      <c r="J42" s="79">
        <v>0.33</v>
      </c>
      <c r="K42" s="79">
        <v>409</v>
      </c>
      <c r="L42" s="79">
        <v>1636</v>
      </c>
      <c r="M42" s="79">
        <v>2.5562499999999999</v>
      </c>
      <c r="N42" s="79">
        <v>203</v>
      </c>
      <c r="O42" s="79">
        <v>1624</v>
      </c>
      <c r="P42" s="79">
        <v>1.5859380000000001</v>
      </c>
      <c r="Q42" s="79">
        <v>645</v>
      </c>
      <c r="R42" s="79">
        <v>3392</v>
      </c>
      <c r="S42" s="79">
        <v>4.4721880000000001</v>
      </c>
      <c r="T42" s="79">
        <v>0</v>
      </c>
      <c r="U42" s="79"/>
      <c r="V42" s="79"/>
      <c r="W42" s="79"/>
      <c r="X42" s="79"/>
      <c r="Y42" s="79"/>
      <c r="Z42" s="79"/>
      <c r="AA42" s="79"/>
      <c r="AB42" s="79"/>
      <c r="AC42" s="79"/>
    </row>
    <row r="43" spans="1:29" x14ac:dyDescent="0.3">
      <c r="A43" s="79" t="s">
        <v>66</v>
      </c>
      <c r="B43" s="79">
        <v>3</v>
      </c>
      <c r="C43" s="79" t="s">
        <v>390</v>
      </c>
      <c r="D43" s="79" t="s">
        <v>388</v>
      </c>
      <c r="E43" s="79">
        <v>1</v>
      </c>
      <c r="F43" s="79" t="s">
        <v>388</v>
      </c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>
        <v>2768</v>
      </c>
      <c r="R43" s="79">
        <v>6752</v>
      </c>
      <c r="S43" s="79">
        <v>25.4</v>
      </c>
      <c r="T43" s="79">
        <v>0</v>
      </c>
      <c r="U43" s="79">
        <v>2160</v>
      </c>
      <c r="V43" s="79">
        <v>4320</v>
      </c>
      <c r="W43" s="79">
        <v>21.6</v>
      </c>
      <c r="X43" s="79">
        <v>608</v>
      </c>
      <c r="Y43" s="79">
        <v>2432</v>
      </c>
      <c r="Z43" s="79">
        <v>3.8</v>
      </c>
      <c r="AA43" s="79"/>
      <c r="AB43" s="79"/>
      <c r="AC43" s="79"/>
    </row>
    <row r="44" spans="1:29" x14ac:dyDescent="0.3">
      <c r="A44" s="79" t="s">
        <v>66</v>
      </c>
      <c r="B44" s="79">
        <v>4</v>
      </c>
      <c r="C44" s="79" t="s">
        <v>393</v>
      </c>
      <c r="D44" s="79" t="s">
        <v>388</v>
      </c>
      <c r="E44" s="79">
        <v>1</v>
      </c>
      <c r="F44" s="79" t="s">
        <v>388</v>
      </c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>
        <v>6683</v>
      </c>
      <c r="R44" s="79">
        <v>18362</v>
      </c>
      <c r="S44" s="79">
        <v>57.462499999999999</v>
      </c>
      <c r="T44" s="79">
        <v>0</v>
      </c>
      <c r="U44" s="79">
        <v>4185</v>
      </c>
      <c r="V44" s="79">
        <v>8370</v>
      </c>
      <c r="W44" s="79">
        <v>41.85</v>
      </c>
      <c r="X44" s="79">
        <v>2498</v>
      </c>
      <c r="Y44" s="79">
        <v>9992</v>
      </c>
      <c r="Z44" s="79">
        <v>15.612500000000001</v>
      </c>
      <c r="AA44" s="79"/>
      <c r="AB44" s="79"/>
      <c r="AC44" s="79"/>
    </row>
    <row r="45" spans="1:29" x14ac:dyDescent="0.3">
      <c r="A45" s="79" t="s">
        <v>66</v>
      </c>
      <c r="B45" s="79">
        <v>5</v>
      </c>
      <c r="C45" s="79" t="s">
        <v>394</v>
      </c>
      <c r="D45" s="79" t="s">
        <v>391</v>
      </c>
      <c r="E45" s="79">
        <v>1</v>
      </c>
      <c r="F45" s="79" t="s">
        <v>392</v>
      </c>
      <c r="G45" s="79">
        <v>65</v>
      </c>
      <c r="H45" s="79"/>
      <c r="I45" s="79"/>
      <c r="J45" s="79"/>
      <c r="K45" s="79"/>
      <c r="L45" s="79"/>
      <c r="M45" s="79"/>
      <c r="N45" s="79"/>
      <c r="O45" s="79"/>
      <c r="P45" s="79"/>
      <c r="Q45" s="79">
        <v>7047</v>
      </c>
      <c r="R45" s="79">
        <v>17014</v>
      </c>
      <c r="S45" s="79">
        <v>64.995000000000005</v>
      </c>
      <c r="T45" s="79">
        <v>5.0000000000000001E-3</v>
      </c>
      <c r="U45" s="79">
        <v>5587</v>
      </c>
      <c r="V45" s="79">
        <v>11174</v>
      </c>
      <c r="W45" s="79">
        <v>55.87</v>
      </c>
      <c r="X45" s="79">
        <v>1460</v>
      </c>
      <c r="Y45" s="79">
        <v>5840</v>
      </c>
      <c r="Z45" s="79">
        <v>9.125</v>
      </c>
      <c r="AA45" s="79"/>
      <c r="AB45" s="79"/>
      <c r="AC45" s="79"/>
    </row>
    <row r="46" spans="1:29" x14ac:dyDescent="0.3">
      <c r="A46" s="79" t="s">
        <v>66</v>
      </c>
      <c r="B46" s="79">
        <v>5</v>
      </c>
      <c r="C46" s="79" t="s">
        <v>394</v>
      </c>
      <c r="D46" s="79" t="s">
        <v>388</v>
      </c>
      <c r="E46" s="79">
        <v>1</v>
      </c>
      <c r="F46" s="79" t="s">
        <v>388</v>
      </c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>
        <v>304</v>
      </c>
      <c r="R46" s="79">
        <v>608</v>
      </c>
      <c r="S46" s="79">
        <v>3.04</v>
      </c>
      <c r="T46" s="79">
        <v>0</v>
      </c>
      <c r="U46" s="79">
        <v>304</v>
      </c>
      <c r="V46" s="79">
        <v>608</v>
      </c>
      <c r="W46" s="79">
        <v>3.04</v>
      </c>
      <c r="X46" s="79">
        <v>0</v>
      </c>
      <c r="Y46" s="79">
        <v>0</v>
      </c>
      <c r="Z46" s="79">
        <v>0</v>
      </c>
      <c r="AA46" s="79"/>
      <c r="AB46" s="79"/>
      <c r="AC46" s="79"/>
    </row>
    <row r="47" spans="1:29" x14ac:dyDescent="0.3">
      <c r="A47" s="79" t="s">
        <v>66</v>
      </c>
      <c r="B47" s="79">
        <v>6</v>
      </c>
      <c r="C47" s="79" t="s">
        <v>395</v>
      </c>
      <c r="D47" s="79" t="s">
        <v>391</v>
      </c>
      <c r="E47" s="79">
        <v>1</v>
      </c>
      <c r="F47" s="79" t="s">
        <v>392</v>
      </c>
      <c r="G47" s="79">
        <v>65</v>
      </c>
      <c r="H47" s="79"/>
      <c r="I47" s="79"/>
      <c r="J47" s="79"/>
      <c r="K47" s="79"/>
      <c r="L47" s="79"/>
      <c r="M47" s="79"/>
      <c r="N47" s="79"/>
      <c r="O47" s="79"/>
      <c r="P47" s="79"/>
      <c r="Q47" s="79">
        <v>7259</v>
      </c>
      <c r="R47" s="79">
        <v>18566</v>
      </c>
      <c r="S47" s="79">
        <v>65</v>
      </c>
      <c r="T47" s="79">
        <v>0</v>
      </c>
      <c r="U47" s="79">
        <v>5235</v>
      </c>
      <c r="V47" s="79">
        <v>10470</v>
      </c>
      <c r="W47" s="79">
        <v>52.35</v>
      </c>
      <c r="X47" s="79">
        <v>2024</v>
      </c>
      <c r="Y47" s="79">
        <v>8096</v>
      </c>
      <c r="Z47" s="79">
        <v>12.65</v>
      </c>
      <c r="AA47" s="79"/>
      <c r="AB47" s="79"/>
      <c r="AC47" s="79"/>
    </row>
    <row r="48" spans="1:29" x14ac:dyDescent="0.3">
      <c r="A48" s="79" t="s">
        <v>66</v>
      </c>
      <c r="B48" s="79">
        <v>6</v>
      </c>
      <c r="C48" s="79" t="s">
        <v>395</v>
      </c>
      <c r="D48" s="79" t="s">
        <v>388</v>
      </c>
      <c r="E48" s="79">
        <v>1</v>
      </c>
      <c r="F48" s="79" t="s">
        <v>388</v>
      </c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>
        <v>28</v>
      </c>
      <c r="R48" s="79">
        <v>58</v>
      </c>
      <c r="S48" s="79">
        <v>0.27625</v>
      </c>
      <c r="T48" s="79">
        <v>0</v>
      </c>
      <c r="U48" s="79">
        <v>27</v>
      </c>
      <c r="V48" s="79">
        <v>54</v>
      </c>
      <c r="W48" s="79">
        <v>0.27</v>
      </c>
      <c r="X48" s="79">
        <v>1</v>
      </c>
      <c r="Y48" s="79">
        <v>4</v>
      </c>
      <c r="Z48" s="79">
        <v>6.2500000000000003E-3</v>
      </c>
      <c r="AA48" s="79"/>
      <c r="AB48" s="79"/>
      <c r="AC48" s="79"/>
    </row>
    <row r="49" spans="1:29" x14ac:dyDescent="0.3">
      <c r="A49" s="79" t="s">
        <v>66</v>
      </c>
      <c r="B49" s="79">
        <v>7</v>
      </c>
      <c r="C49" s="79" t="s">
        <v>396</v>
      </c>
      <c r="D49" s="79" t="s">
        <v>388</v>
      </c>
      <c r="E49" s="79">
        <v>1</v>
      </c>
      <c r="F49" s="79" t="s">
        <v>388</v>
      </c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>
        <v>1871</v>
      </c>
      <c r="R49" s="79">
        <v>4244</v>
      </c>
      <c r="S49" s="79">
        <v>17.768750000000001</v>
      </c>
      <c r="T49" s="79">
        <v>0</v>
      </c>
      <c r="U49" s="79">
        <v>1620</v>
      </c>
      <c r="V49" s="79">
        <v>3240</v>
      </c>
      <c r="W49" s="79">
        <v>16.2</v>
      </c>
      <c r="X49" s="79">
        <v>251</v>
      </c>
      <c r="Y49" s="79">
        <v>1004</v>
      </c>
      <c r="Z49" s="79">
        <v>1.5687500000000001</v>
      </c>
      <c r="AA49" s="79"/>
      <c r="AB49" s="79"/>
      <c r="AC49" s="79"/>
    </row>
    <row r="50" spans="1:29" x14ac:dyDescent="0.3">
      <c r="A50" s="79" t="s">
        <v>66</v>
      </c>
      <c r="B50" s="79">
        <v>8</v>
      </c>
      <c r="C50" s="79" t="s">
        <v>397</v>
      </c>
      <c r="D50" s="79" t="s">
        <v>388</v>
      </c>
      <c r="E50" s="79">
        <v>1</v>
      </c>
      <c r="F50" s="79" t="s">
        <v>388</v>
      </c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>
        <v>3839</v>
      </c>
      <c r="R50" s="79">
        <v>8914</v>
      </c>
      <c r="S50" s="79">
        <v>36.072499999999998</v>
      </c>
      <c r="T50" s="79">
        <v>0</v>
      </c>
      <c r="U50" s="79">
        <v>3221</v>
      </c>
      <c r="V50" s="79">
        <v>6442</v>
      </c>
      <c r="W50" s="79">
        <v>32.21</v>
      </c>
      <c r="X50" s="79">
        <v>618</v>
      </c>
      <c r="Y50" s="79">
        <v>2472</v>
      </c>
      <c r="Z50" s="79">
        <v>3.8624999999999998</v>
      </c>
      <c r="AA50" s="79"/>
      <c r="AB50" s="79"/>
      <c r="AC50" s="79"/>
    </row>
    <row r="51" spans="1:29" x14ac:dyDescent="0.3">
      <c r="A51" s="79" t="s">
        <v>66</v>
      </c>
      <c r="B51" s="79">
        <v>9</v>
      </c>
      <c r="C51" s="79" t="s">
        <v>400</v>
      </c>
      <c r="D51" s="79" t="s">
        <v>388</v>
      </c>
      <c r="E51" s="79">
        <v>1</v>
      </c>
      <c r="F51" s="79" t="s">
        <v>388</v>
      </c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>
        <v>5266</v>
      </c>
      <c r="R51" s="79">
        <v>12262</v>
      </c>
      <c r="S51" s="79">
        <v>49.416249999999998</v>
      </c>
      <c r="T51" s="79">
        <v>0</v>
      </c>
      <c r="U51" s="79">
        <v>4401</v>
      </c>
      <c r="V51" s="79">
        <v>8802</v>
      </c>
      <c r="W51" s="79">
        <v>44.01</v>
      </c>
      <c r="X51" s="79">
        <v>865</v>
      </c>
      <c r="Y51" s="79">
        <v>3460</v>
      </c>
      <c r="Z51" s="79">
        <v>5.40625</v>
      </c>
      <c r="AA51" s="79"/>
      <c r="AB51" s="79"/>
      <c r="AC51" s="79"/>
    </row>
    <row r="52" spans="1:29" x14ac:dyDescent="0.3">
      <c r="A52" s="79" t="s">
        <v>66</v>
      </c>
      <c r="B52" s="79">
        <v>10</v>
      </c>
      <c r="C52" s="79" t="s">
        <v>401</v>
      </c>
      <c r="D52" s="79" t="s">
        <v>388</v>
      </c>
      <c r="E52" s="79">
        <v>1</v>
      </c>
      <c r="F52" s="79" t="s">
        <v>388</v>
      </c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>
        <v>3973</v>
      </c>
      <c r="R52" s="79">
        <v>8196</v>
      </c>
      <c r="S52" s="79">
        <v>39.261249999999997</v>
      </c>
      <c r="T52" s="79">
        <v>0</v>
      </c>
      <c r="U52" s="79">
        <v>3848</v>
      </c>
      <c r="V52" s="79">
        <v>7696</v>
      </c>
      <c r="W52" s="79">
        <v>38.479999999999997</v>
      </c>
      <c r="X52" s="79">
        <v>125</v>
      </c>
      <c r="Y52" s="79">
        <v>500</v>
      </c>
      <c r="Z52" s="79">
        <v>0.78125</v>
      </c>
      <c r="AA52" s="79"/>
      <c r="AB52" s="79"/>
      <c r="AC52" s="79"/>
    </row>
    <row r="53" spans="1:29" x14ac:dyDescent="0.3">
      <c r="A53" s="79" t="s">
        <v>66</v>
      </c>
      <c r="B53" s="79">
        <v>11</v>
      </c>
      <c r="C53" s="79" t="s">
        <v>402</v>
      </c>
      <c r="D53" s="79" t="s">
        <v>388</v>
      </c>
      <c r="E53" s="79">
        <v>1</v>
      </c>
      <c r="F53" s="79" t="s">
        <v>388</v>
      </c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>
        <v>1375</v>
      </c>
      <c r="R53" s="79">
        <v>3000</v>
      </c>
      <c r="S53" s="79">
        <v>13.28125</v>
      </c>
      <c r="T53" s="79">
        <v>0</v>
      </c>
      <c r="U53" s="79">
        <v>1250</v>
      </c>
      <c r="V53" s="79">
        <v>2500</v>
      </c>
      <c r="W53" s="79">
        <v>12.5</v>
      </c>
      <c r="X53" s="79">
        <v>125</v>
      </c>
      <c r="Y53" s="79">
        <v>500</v>
      </c>
      <c r="Z53" s="79">
        <v>0.78125</v>
      </c>
      <c r="AA53" s="79"/>
      <c r="AB53" s="79"/>
      <c r="AC53" s="79"/>
    </row>
    <row r="54" spans="1:29" x14ac:dyDescent="0.3">
      <c r="A54" s="79" t="s">
        <v>66</v>
      </c>
      <c r="B54" s="79">
        <v>12</v>
      </c>
      <c r="C54" s="79" t="s">
        <v>403</v>
      </c>
      <c r="D54" s="79" t="s">
        <v>388</v>
      </c>
      <c r="E54" s="79">
        <v>1</v>
      </c>
      <c r="F54" s="79" t="s">
        <v>388</v>
      </c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>
        <v>1375</v>
      </c>
      <c r="R54" s="79">
        <v>3000</v>
      </c>
      <c r="S54" s="79">
        <v>13.28125</v>
      </c>
      <c r="T54" s="79">
        <v>0</v>
      </c>
      <c r="U54" s="79">
        <v>1250</v>
      </c>
      <c r="V54" s="79">
        <v>2500</v>
      </c>
      <c r="W54" s="79">
        <v>12.5</v>
      </c>
      <c r="X54" s="79">
        <v>125</v>
      </c>
      <c r="Y54" s="79">
        <v>500</v>
      </c>
      <c r="Z54" s="79">
        <v>0.78125</v>
      </c>
      <c r="AA54" s="79"/>
      <c r="AB54" s="79"/>
      <c r="AC54" s="79"/>
    </row>
    <row r="55" spans="1:29" x14ac:dyDescent="0.3">
      <c r="A55" s="79" t="s">
        <v>66</v>
      </c>
      <c r="B55" s="79">
        <v>13</v>
      </c>
      <c r="C55" s="79" t="s">
        <v>404</v>
      </c>
      <c r="D55" s="79" t="s">
        <v>388</v>
      </c>
      <c r="E55" s="79">
        <v>1</v>
      </c>
      <c r="F55" s="79" t="s">
        <v>388</v>
      </c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>
        <v>1375</v>
      </c>
      <c r="R55" s="79">
        <v>3000</v>
      </c>
      <c r="S55" s="79">
        <v>13.28125</v>
      </c>
      <c r="T55" s="79">
        <v>0</v>
      </c>
      <c r="U55" s="79">
        <v>1250</v>
      </c>
      <c r="V55" s="79">
        <v>2500</v>
      </c>
      <c r="W55" s="79">
        <v>12.5</v>
      </c>
      <c r="X55" s="79">
        <v>125</v>
      </c>
      <c r="Y55" s="79">
        <v>500</v>
      </c>
      <c r="Z55" s="79">
        <v>0.78125</v>
      </c>
      <c r="AA55" s="79"/>
      <c r="AB55" s="79"/>
      <c r="AC55" s="79"/>
    </row>
    <row r="56" spans="1:29" x14ac:dyDescent="0.3">
      <c r="A56" s="79" t="s">
        <v>66</v>
      </c>
      <c r="B56" s="79">
        <v>14</v>
      </c>
      <c r="C56" s="79" t="s">
        <v>405</v>
      </c>
      <c r="D56" s="79" t="s">
        <v>388</v>
      </c>
      <c r="E56" s="79">
        <v>1</v>
      </c>
      <c r="F56" s="79" t="s">
        <v>388</v>
      </c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>
        <v>500</v>
      </c>
      <c r="R56" s="79">
        <v>1000</v>
      </c>
      <c r="S56" s="79">
        <v>5</v>
      </c>
      <c r="T56" s="79">
        <v>0</v>
      </c>
      <c r="U56" s="79">
        <v>500</v>
      </c>
      <c r="V56" s="79">
        <v>1000</v>
      </c>
      <c r="W56" s="79">
        <v>5</v>
      </c>
      <c r="X56" s="79">
        <v>0</v>
      </c>
      <c r="Y56" s="79">
        <v>0</v>
      </c>
      <c r="Z56" s="79">
        <v>0</v>
      </c>
      <c r="AA56" s="79"/>
      <c r="AB56" s="79"/>
      <c r="AC56" s="79"/>
    </row>
    <row r="57" spans="1:29" x14ac:dyDescent="0.3">
      <c r="A57" s="79" t="s">
        <v>66</v>
      </c>
      <c r="B57" s="79">
        <v>15</v>
      </c>
      <c r="C57" s="79" t="s">
        <v>406</v>
      </c>
      <c r="D57" s="79" t="s">
        <v>388</v>
      </c>
      <c r="E57" s="79">
        <v>1</v>
      </c>
      <c r="F57" s="79" t="s">
        <v>388</v>
      </c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>
        <v>500</v>
      </c>
      <c r="R57" s="79">
        <v>1000</v>
      </c>
      <c r="S57" s="79">
        <v>5</v>
      </c>
      <c r="T57" s="79">
        <v>0</v>
      </c>
      <c r="U57" s="79">
        <v>500</v>
      </c>
      <c r="V57" s="79">
        <v>1000</v>
      </c>
      <c r="W57" s="79">
        <v>5</v>
      </c>
      <c r="X57" s="79">
        <v>0</v>
      </c>
      <c r="Y57" s="79">
        <v>0</v>
      </c>
      <c r="Z57" s="79">
        <v>0</v>
      </c>
      <c r="AA57" s="79"/>
      <c r="AB57" s="79"/>
      <c r="AC57" s="79"/>
    </row>
    <row r="58" spans="1:29" x14ac:dyDescent="0.3">
      <c r="A58" s="79" t="s">
        <v>66</v>
      </c>
      <c r="B58" s="79">
        <v>16</v>
      </c>
      <c r="C58" s="79" t="s">
        <v>407</v>
      </c>
      <c r="D58" s="79" t="s">
        <v>388</v>
      </c>
      <c r="E58" s="79">
        <v>1</v>
      </c>
      <c r="F58" s="79" t="s">
        <v>388</v>
      </c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>
        <v>600</v>
      </c>
      <c r="R58" s="79">
        <v>1400</v>
      </c>
      <c r="S58" s="79">
        <v>5.625</v>
      </c>
      <c r="T58" s="79">
        <v>0</v>
      </c>
      <c r="U58" s="79">
        <v>500</v>
      </c>
      <c r="V58" s="79">
        <v>1000</v>
      </c>
      <c r="W58" s="79">
        <v>5</v>
      </c>
      <c r="X58" s="79">
        <v>100</v>
      </c>
      <c r="Y58" s="79">
        <v>400</v>
      </c>
      <c r="Z58" s="79">
        <v>0.625</v>
      </c>
      <c r="AA58" s="79"/>
      <c r="AB58" s="79"/>
      <c r="AC58" s="79"/>
    </row>
    <row r="59" spans="1:29" x14ac:dyDescent="0.3">
      <c r="A59" s="79" t="s">
        <v>66</v>
      </c>
      <c r="B59" s="79">
        <v>17</v>
      </c>
      <c r="C59" s="79" t="s">
        <v>408</v>
      </c>
      <c r="D59" s="79" t="s">
        <v>388</v>
      </c>
      <c r="E59" s="79">
        <v>1</v>
      </c>
      <c r="F59" s="79" t="s">
        <v>388</v>
      </c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>
        <v>500</v>
      </c>
      <c r="R59" s="79">
        <v>1000</v>
      </c>
      <c r="S59" s="79">
        <v>5</v>
      </c>
      <c r="T59" s="79">
        <v>0</v>
      </c>
      <c r="U59" s="79">
        <v>500</v>
      </c>
      <c r="V59" s="79">
        <v>1000</v>
      </c>
      <c r="W59" s="79">
        <v>5</v>
      </c>
      <c r="X59" s="79">
        <v>0</v>
      </c>
      <c r="Y59" s="79">
        <v>0</v>
      </c>
      <c r="Z59" s="79">
        <v>0</v>
      </c>
      <c r="AA59" s="79"/>
      <c r="AB59" s="79"/>
      <c r="AC59" s="79"/>
    </row>
    <row r="60" spans="1:29" x14ac:dyDescent="0.3">
      <c r="A60" s="79" t="s">
        <v>66</v>
      </c>
      <c r="B60" s="79">
        <v>18</v>
      </c>
      <c r="C60" s="79" t="s">
        <v>409</v>
      </c>
      <c r="D60" s="79" t="s">
        <v>388</v>
      </c>
      <c r="E60" s="79">
        <v>1</v>
      </c>
      <c r="F60" s="79" t="s">
        <v>388</v>
      </c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>
        <v>500</v>
      </c>
      <c r="R60" s="79">
        <v>1000</v>
      </c>
      <c r="S60" s="79">
        <v>5</v>
      </c>
      <c r="T60" s="79">
        <v>0</v>
      </c>
      <c r="U60" s="79">
        <v>500</v>
      </c>
      <c r="V60" s="79">
        <v>1000</v>
      </c>
      <c r="W60" s="79">
        <v>5</v>
      </c>
      <c r="X60" s="79">
        <v>0</v>
      </c>
      <c r="Y60" s="79">
        <v>0</v>
      </c>
      <c r="Z60" s="79">
        <v>0</v>
      </c>
      <c r="AA60" s="79"/>
      <c r="AB60" s="79"/>
      <c r="AC60" s="79"/>
    </row>
    <row r="61" spans="1:29" x14ac:dyDescent="0.3">
      <c r="A61" s="79" t="s">
        <v>66</v>
      </c>
      <c r="B61" s="79">
        <v>19</v>
      </c>
      <c r="C61" s="79" t="s">
        <v>410</v>
      </c>
      <c r="D61" s="79" t="s">
        <v>388</v>
      </c>
      <c r="E61" s="79">
        <v>1</v>
      </c>
      <c r="F61" s="79" t="s">
        <v>388</v>
      </c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>
        <v>475</v>
      </c>
      <c r="R61" s="79">
        <v>1150</v>
      </c>
      <c r="S61" s="79">
        <v>4.375</v>
      </c>
      <c r="T61" s="79">
        <v>0</v>
      </c>
      <c r="U61" s="79">
        <v>375</v>
      </c>
      <c r="V61" s="79">
        <v>750</v>
      </c>
      <c r="W61" s="79">
        <v>3.75</v>
      </c>
      <c r="X61" s="79">
        <v>100</v>
      </c>
      <c r="Y61" s="79">
        <v>400</v>
      </c>
      <c r="Z61" s="79">
        <v>0.625</v>
      </c>
      <c r="AA61" s="79"/>
      <c r="AB61" s="79"/>
      <c r="AC61" s="79"/>
    </row>
    <row r="62" spans="1:29" x14ac:dyDescent="0.3">
      <c r="A62" s="79" t="s">
        <v>66</v>
      </c>
      <c r="B62" s="79">
        <v>20</v>
      </c>
      <c r="C62" s="79" t="s">
        <v>411</v>
      </c>
      <c r="D62" s="79" t="s">
        <v>388</v>
      </c>
      <c r="E62" s="79">
        <v>1</v>
      </c>
      <c r="F62" s="79" t="s">
        <v>388</v>
      </c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>
        <v>375</v>
      </c>
      <c r="R62" s="79">
        <v>750</v>
      </c>
      <c r="S62" s="79">
        <v>3.75</v>
      </c>
      <c r="T62" s="79">
        <v>0</v>
      </c>
      <c r="U62" s="79">
        <v>375</v>
      </c>
      <c r="V62" s="79">
        <v>750</v>
      </c>
      <c r="W62" s="79">
        <v>3.75</v>
      </c>
      <c r="X62" s="79">
        <v>0</v>
      </c>
      <c r="Y62" s="79">
        <v>0</v>
      </c>
      <c r="Z62" s="79">
        <v>0</v>
      </c>
      <c r="AA62" s="79"/>
      <c r="AB62" s="79"/>
      <c r="AC62" s="79"/>
    </row>
    <row r="63" spans="1:29" x14ac:dyDescent="0.3">
      <c r="A63" s="79" t="s">
        <v>66</v>
      </c>
      <c r="B63" s="79">
        <v>21</v>
      </c>
      <c r="C63" s="79" t="s">
        <v>412</v>
      </c>
      <c r="D63" s="79" t="s">
        <v>388</v>
      </c>
      <c r="E63" s="79">
        <v>1</v>
      </c>
      <c r="F63" s="79" t="s">
        <v>388</v>
      </c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>
        <v>475</v>
      </c>
      <c r="R63" s="79">
        <v>1150</v>
      </c>
      <c r="S63" s="79">
        <v>4.375</v>
      </c>
      <c r="T63" s="79">
        <v>0</v>
      </c>
      <c r="U63" s="79">
        <v>375</v>
      </c>
      <c r="V63" s="79">
        <v>750</v>
      </c>
      <c r="W63" s="79">
        <v>3.75</v>
      </c>
      <c r="X63" s="79">
        <v>100</v>
      </c>
      <c r="Y63" s="79">
        <v>400</v>
      </c>
      <c r="Z63" s="79">
        <v>0.625</v>
      </c>
      <c r="AA63" s="79"/>
      <c r="AB63" s="79"/>
      <c r="AC63" s="79"/>
    </row>
    <row r="64" spans="1:29" x14ac:dyDescent="0.3">
      <c r="A64" s="79" t="s">
        <v>66</v>
      </c>
      <c r="B64" s="79">
        <v>22</v>
      </c>
      <c r="C64" s="79" t="s">
        <v>413</v>
      </c>
      <c r="D64" s="79" t="s">
        <v>388</v>
      </c>
      <c r="E64" s="79">
        <v>1</v>
      </c>
      <c r="F64" s="79" t="s">
        <v>388</v>
      </c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>
        <v>375</v>
      </c>
      <c r="R64" s="79">
        <v>750</v>
      </c>
      <c r="S64" s="79">
        <v>3.75</v>
      </c>
      <c r="T64" s="79">
        <v>0</v>
      </c>
      <c r="U64" s="79">
        <v>375</v>
      </c>
      <c r="V64" s="79">
        <v>750</v>
      </c>
      <c r="W64" s="79">
        <v>3.75</v>
      </c>
      <c r="X64" s="79">
        <v>0</v>
      </c>
      <c r="Y64" s="79">
        <v>0</v>
      </c>
      <c r="Z64" s="79">
        <v>0</v>
      </c>
      <c r="AA64" s="79"/>
      <c r="AB64" s="79"/>
      <c r="AC64" s="79"/>
    </row>
    <row r="65" spans="1:29" x14ac:dyDescent="0.3">
      <c r="A65" s="79" t="s">
        <v>66</v>
      </c>
      <c r="B65" s="79">
        <v>23</v>
      </c>
      <c r="C65" s="79" t="s">
        <v>414</v>
      </c>
      <c r="D65" s="79" t="s">
        <v>388</v>
      </c>
      <c r="E65" s="79">
        <v>1</v>
      </c>
      <c r="F65" s="79" t="s">
        <v>388</v>
      </c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>
        <v>390</v>
      </c>
      <c r="R65" s="79">
        <v>960</v>
      </c>
      <c r="S65" s="79">
        <v>3.5625</v>
      </c>
      <c r="T65" s="79">
        <v>0</v>
      </c>
      <c r="U65" s="79">
        <v>300</v>
      </c>
      <c r="V65" s="79">
        <v>600</v>
      </c>
      <c r="W65" s="79">
        <v>3</v>
      </c>
      <c r="X65" s="79">
        <v>90</v>
      </c>
      <c r="Y65" s="79">
        <v>360</v>
      </c>
      <c r="Z65" s="79">
        <v>0.5625</v>
      </c>
      <c r="AA65" s="79"/>
      <c r="AB65" s="79"/>
      <c r="AC65" s="79"/>
    </row>
    <row r="66" spans="1:29" x14ac:dyDescent="0.3">
      <c r="A66" s="79" t="s">
        <v>66</v>
      </c>
      <c r="B66" s="79">
        <v>24</v>
      </c>
      <c r="C66" s="79" t="s">
        <v>415</v>
      </c>
      <c r="D66" s="79" t="s">
        <v>388</v>
      </c>
      <c r="E66" s="79">
        <v>1</v>
      </c>
      <c r="F66" s="79" t="s">
        <v>388</v>
      </c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>
        <v>390</v>
      </c>
      <c r="R66" s="79">
        <v>960</v>
      </c>
      <c r="S66" s="79">
        <v>3.5625</v>
      </c>
      <c r="T66" s="79">
        <v>0</v>
      </c>
      <c r="U66" s="79">
        <v>300</v>
      </c>
      <c r="V66" s="79">
        <v>600</v>
      </c>
      <c r="W66" s="79">
        <v>3</v>
      </c>
      <c r="X66" s="79">
        <v>90</v>
      </c>
      <c r="Y66" s="79">
        <v>360</v>
      </c>
      <c r="Z66" s="79">
        <v>0.5625</v>
      </c>
      <c r="AA66" s="79"/>
      <c r="AB66" s="79"/>
      <c r="AC66" s="79"/>
    </row>
    <row r="67" spans="1:29" x14ac:dyDescent="0.3">
      <c r="A67" s="79" t="s">
        <v>66</v>
      </c>
      <c r="B67" s="79">
        <v>25</v>
      </c>
      <c r="C67" s="79" t="s">
        <v>416</v>
      </c>
      <c r="D67" s="79" t="s">
        <v>388</v>
      </c>
      <c r="E67" s="79">
        <v>1</v>
      </c>
      <c r="F67" s="79" t="s">
        <v>388</v>
      </c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>
        <v>390</v>
      </c>
      <c r="R67" s="79">
        <v>960</v>
      </c>
      <c r="S67" s="79">
        <v>3.5625</v>
      </c>
      <c r="T67" s="79">
        <v>0</v>
      </c>
      <c r="U67" s="79">
        <v>300</v>
      </c>
      <c r="V67" s="79">
        <v>600</v>
      </c>
      <c r="W67" s="79">
        <v>3</v>
      </c>
      <c r="X67" s="79">
        <v>90</v>
      </c>
      <c r="Y67" s="79">
        <v>360</v>
      </c>
      <c r="Z67" s="79">
        <v>0.5625</v>
      </c>
      <c r="AA67" s="79"/>
      <c r="AB67" s="79"/>
      <c r="AC67" s="79"/>
    </row>
    <row r="68" spans="1:29" x14ac:dyDescent="0.3">
      <c r="A68" s="79" t="s">
        <v>66</v>
      </c>
      <c r="B68" s="79">
        <v>26</v>
      </c>
      <c r="C68" s="79" t="s">
        <v>417</v>
      </c>
      <c r="D68" s="79" t="s">
        <v>388</v>
      </c>
      <c r="E68" s="79">
        <v>1</v>
      </c>
      <c r="F68" s="79" t="s">
        <v>388</v>
      </c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>
        <v>390</v>
      </c>
      <c r="R68" s="79">
        <v>960</v>
      </c>
      <c r="S68" s="79">
        <v>3.5625</v>
      </c>
      <c r="T68" s="79">
        <v>0</v>
      </c>
      <c r="U68" s="79">
        <v>300</v>
      </c>
      <c r="V68" s="79">
        <v>600</v>
      </c>
      <c r="W68" s="79">
        <v>3</v>
      </c>
      <c r="X68" s="79">
        <v>90</v>
      </c>
      <c r="Y68" s="79">
        <v>360</v>
      </c>
      <c r="Z68" s="79">
        <v>0.5625</v>
      </c>
      <c r="AA68" s="79"/>
      <c r="AB68" s="79"/>
      <c r="AC68" s="79"/>
    </row>
    <row r="69" spans="1:29" x14ac:dyDescent="0.3">
      <c r="A69" s="79" t="s">
        <v>66</v>
      </c>
      <c r="B69" s="79">
        <v>27</v>
      </c>
      <c r="C69" s="79" t="s">
        <v>418</v>
      </c>
      <c r="D69" s="79" t="s">
        <v>388</v>
      </c>
      <c r="E69" s="79">
        <v>1</v>
      </c>
      <c r="F69" s="79" t="s">
        <v>388</v>
      </c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>
        <v>390</v>
      </c>
      <c r="R69" s="79">
        <v>960</v>
      </c>
      <c r="S69" s="79">
        <v>3.5625</v>
      </c>
      <c r="T69" s="79">
        <v>0</v>
      </c>
      <c r="U69" s="79">
        <v>300</v>
      </c>
      <c r="V69" s="79">
        <v>600</v>
      </c>
      <c r="W69" s="79">
        <v>3</v>
      </c>
      <c r="X69" s="79">
        <v>90</v>
      </c>
      <c r="Y69" s="79">
        <v>360</v>
      </c>
      <c r="Z69" s="79">
        <v>0.5625</v>
      </c>
      <c r="AA69" s="79"/>
      <c r="AB69" s="79"/>
      <c r="AC69" s="79"/>
    </row>
    <row r="70" spans="1:29" x14ac:dyDescent="0.3">
      <c r="A70" s="79" t="s">
        <v>66</v>
      </c>
      <c r="B70" s="79">
        <v>28</v>
      </c>
      <c r="C70" s="79" t="s">
        <v>419</v>
      </c>
      <c r="D70" s="79" t="s">
        <v>388</v>
      </c>
      <c r="E70" s="79">
        <v>1</v>
      </c>
      <c r="F70" s="79" t="s">
        <v>388</v>
      </c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>
        <v>500</v>
      </c>
      <c r="R70" s="79">
        <v>1500</v>
      </c>
      <c r="S70" s="79">
        <v>4.0625</v>
      </c>
      <c r="T70" s="79">
        <v>0</v>
      </c>
      <c r="U70" s="79">
        <v>250</v>
      </c>
      <c r="V70" s="79">
        <v>500</v>
      </c>
      <c r="W70" s="79">
        <v>2.5</v>
      </c>
      <c r="X70" s="79">
        <v>250</v>
      </c>
      <c r="Y70" s="79">
        <v>1000</v>
      </c>
      <c r="Z70" s="79">
        <v>1.5625</v>
      </c>
      <c r="AA70" s="79"/>
      <c r="AB70" s="79"/>
      <c r="AC70" s="79"/>
    </row>
    <row r="71" spans="1:29" x14ac:dyDescent="0.3">
      <c r="A71" s="79" t="s">
        <v>66</v>
      </c>
      <c r="B71" s="79">
        <v>29</v>
      </c>
      <c r="C71" s="79" t="s">
        <v>420</v>
      </c>
      <c r="D71" s="79" t="s">
        <v>388</v>
      </c>
      <c r="E71" s="79">
        <v>1</v>
      </c>
      <c r="F71" s="79" t="s">
        <v>388</v>
      </c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>
        <v>500</v>
      </c>
      <c r="R71" s="79">
        <v>1500</v>
      </c>
      <c r="S71" s="79">
        <v>4.0625</v>
      </c>
      <c r="T71" s="79">
        <v>0</v>
      </c>
      <c r="U71" s="79">
        <v>250</v>
      </c>
      <c r="V71" s="79">
        <v>500</v>
      </c>
      <c r="W71" s="79">
        <v>2.5</v>
      </c>
      <c r="X71" s="79">
        <v>250</v>
      </c>
      <c r="Y71" s="79">
        <v>1000</v>
      </c>
      <c r="Z71" s="79">
        <v>1.5625</v>
      </c>
      <c r="AA71" s="79"/>
      <c r="AB71" s="79"/>
      <c r="AC71" s="79"/>
    </row>
    <row r="72" spans="1:29" x14ac:dyDescent="0.3">
      <c r="A72" s="79" t="s">
        <v>66</v>
      </c>
      <c r="B72" s="79">
        <v>30</v>
      </c>
      <c r="C72" s="79" t="s">
        <v>421</v>
      </c>
      <c r="D72" s="79" t="s">
        <v>388</v>
      </c>
      <c r="E72" s="79">
        <v>1</v>
      </c>
      <c r="F72" s="79" t="s">
        <v>388</v>
      </c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>
        <v>500</v>
      </c>
      <c r="R72" s="79">
        <v>1500</v>
      </c>
      <c r="S72" s="79">
        <v>4.0625</v>
      </c>
      <c r="T72" s="79">
        <v>0</v>
      </c>
      <c r="U72" s="79">
        <v>250</v>
      </c>
      <c r="V72" s="79">
        <v>500</v>
      </c>
      <c r="W72" s="79">
        <v>2.5</v>
      </c>
      <c r="X72" s="79">
        <v>250</v>
      </c>
      <c r="Y72" s="79">
        <v>1000</v>
      </c>
      <c r="Z72" s="79">
        <v>1.5625</v>
      </c>
      <c r="AA72" s="79"/>
      <c r="AB72" s="79"/>
      <c r="AC72" s="79"/>
    </row>
    <row r="73" spans="1:29" x14ac:dyDescent="0.3">
      <c r="A73" s="79" t="s">
        <v>66</v>
      </c>
      <c r="B73" s="79">
        <v>31</v>
      </c>
      <c r="C73" s="79" t="s">
        <v>422</v>
      </c>
      <c r="D73" s="79" t="s">
        <v>388</v>
      </c>
      <c r="E73" s="79">
        <v>1</v>
      </c>
      <c r="F73" s="79" t="s">
        <v>388</v>
      </c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>
        <v>500</v>
      </c>
      <c r="R73" s="79">
        <v>1500</v>
      </c>
      <c r="S73" s="79">
        <v>4.0625</v>
      </c>
      <c r="T73" s="79">
        <v>0</v>
      </c>
      <c r="U73" s="79">
        <v>250</v>
      </c>
      <c r="V73" s="79">
        <v>500</v>
      </c>
      <c r="W73" s="79">
        <v>2.5</v>
      </c>
      <c r="X73" s="79">
        <v>250</v>
      </c>
      <c r="Y73" s="79">
        <v>1000</v>
      </c>
      <c r="Z73" s="79">
        <v>1.5625</v>
      </c>
      <c r="AA73" s="79"/>
      <c r="AB73" s="79"/>
      <c r="AC73" s="79"/>
    </row>
    <row r="74" spans="1:29" x14ac:dyDescent="0.3">
      <c r="A74" s="79" t="s">
        <v>66</v>
      </c>
      <c r="B74" s="79">
        <v>32</v>
      </c>
      <c r="C74" s="79" t="s">
        <v>423</v>
      </c>
      <c r="D74" s="79" t="s">
        <v>388</v>
      </c>
      <c r="E74" s="79">
        <v>1</v>
      </c>
      <c r="F74" s="79" t="s">
        <v>388</v>
      </c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>
        <v>1813</v>
      </c>
      <c r="R74" s="79">
        <v>4252</v>
      </c>
      <c r="S74" s="79">
        <v>16.956250000000001</v>
      </c>
      <c r="T74" s="79">
        <v>0</v>
      </c>
      <c r="U74" s="79">
        <v>1500</v>
      </c>
      <c r="V74" s="79">
        <v>3000</v>
      </c>
      <c r="W74" s="79">
        <v>15</v>
      </c>
      <c r="X74" s="79">
        <v>313</v>
      </c>
      <c r="Y74" s="79">
        <v>1252</v>
      </c>
      <c r="Z74" s="79">
        <v>1.95625</v>
      </c>
      <c r="AA74" s="79"/>
      <c r="AB74" s="79"/>
      <c r="AC74" s="79"/>
    </row>
    <row r="75" spans="1:29" x14ac:dyDescent="0.3">
      <c r="A75" s="79" t="s">
        <v>66</v>
      </c>
      <c r="B75" s="79">
        <v>33</v>
      </c>
      <c r="C75" s="79" t="s">
        <v>424</v>
      </c>
      <c r="D75" s="79" t="s">
        <v>388</v>
      </c>
      <c r="E75" s="79">
        <v>1</v>
      </c>
      <c r="F75" s="79" t="s">
        <v>388</v>
      </c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>
        <v>1813</v>
      </c>
      <c r="R75" s="79">
        <v>4252</v>
      </c>
      <c r="S75" s="79">
        <v>16.956250000000001</v>
      </c>
      <c r="T75" s="79">
        <v>0</v>
      </c>
      <c r="U75" s="79">
        <v>1500</v>
      </c>
      <c r="V75" s="79">
        <v>3000</v>
      </c>
      <c r="W75" s="79">
        <v>15</v>
      </c>
      <c r="X75" s="79">
        <v>313</v>
      </c>
      <c r="Y75" s="79">
        <v>1252</v>
      </c>
      <c r="Z75" s="79">
        <v>1.95625</v>
      </c>
      <c r="AA75" s="79"/>
      <c r="AB75" s="79"/>
      <c r="AC75" s="79"/>
    </row>
    <row r="76" spans="1:29" x14ac:dyDescent="0.3">
      <c r="A76" s="79" t="s">
        <v>66</v>
      </c>
      <c r="B76" s="79">
        <v>34</v>
      </c>
      <c r="C76" s="79" t="s">
        <v>425</v>
      </c>
      <c r="D76" s="79" t="s">
        <v>388</v>
      </c>
      <c r="E76" s="79">
        <v>1</v>
      </c>
      <c r="F76" s="79" t="s">
        <v>388</v>
      </c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>
        <v>1813</v>
      </c>
      <c r="R76" s="79">
        <v>4252</v>
      </c>
      <c r="S76" s="79">
        <v>16.956250000000001</v>
      </c>
      <c r="T76" s="79">
        <v>0</v>
      </c>
      <c r="U76" s="79">
        <v>1500</v>
      </c>
      <c r="V76" s="79">
        <v>3000</v>
      </c>
      <c r="W76" s="79">
        <v>15</v>
      </c>
      <c r="X76" s="79">
        <v>313</v>
      </c>
      <c r="Y76" s="79">
        <v>1252</v>
      </c>
      <c r="Z76" s="79">
        <v>1.95625</v>
      </c>
      <c r="AA76" s="79"/>
      <c r="AB76" s="79"/>
      <c r="AC76" s="79"/>
    </row>
    <row r="77" spans="1:29" x14ac:dyDescent="0.3">
      <c r="A77" s="79" t="s">
        <v>66</v>
      </c>
      <c r="B77" s="79">
        <v>35</v>
      </c>
      <c r="C77" s="79" t="s">
        <v>426</v>
      </c>
      <c r="D77" s="79" t="s">
        <v>388</v>
      </c>
      <c r="E77" s="79">
        <v>1</v>
      </c>
      <c r="F77" s="79" t="s">
        <v>388</v>
      </c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>
        <v>1813</v>
      </c>
      <c r="R77" s="79">
        <v>4252</v>
      </c>
      <c r="S77" s="79">
        <v>16.956250000000001</v>
      </c>
      <c r="T77" s="79">
        <v>0</v>
      </c>
      <c r="U77" s="79">
        <v>1500</v>
      </c>
      <c r="V77" s="79">
        <v>3000</v>
      </c>
      <c r="W77" s="79">
        <v>15</v>
      </c>
      <c r="X77" s="79">
        <v>313</v>
      </c>
      <c r="Y77" s="79">
        <v>1252</v>
      </c>
      <c r="Z77" s="79">
        <v>1.95625</v>
      </c>
      <c r="AA77" s="79"/>
      <c r="AB77" s="79"/>
      <c r="AC77" s="79"/>
    </row>
    <row r="78" spans="1:29" x14ac:dyDescent="0.3">
      <c r="A78" s="79" t="s">
        <v>427</v>
      </c>
      <c r="B78" s="79">
        <v>2</v>
      </c>
      <c r="C78" s="79" t="s">
        <v>389</v>
      </c>
      <c r="D78" s="79" t="s">
        <v>388</v>
      </c>
      <c r="E78" s="79">
        <v>1</v>
      </c>
      <c r="F78" s="79" t="s">
        <v>388</v>
      </c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>
        <v>236</v>
      </c>
      <c r="R78" s="79">
        <v>472</v>
      </c>
      <c r="S78" s="79">
        <v>1.4750000000000001</v>
      </c>
      <c r="T78" s="79">
        <v>0</v>
      </c>
      <c r="U78" s="79"/>
      <c r="V78" s="79"/>
      <c r="W78" s="79"/>
      <c r="X78" s="79"/>
      <c r="Y78" s="79"/>
      <c r="Z78" s="79"/>
      <c r="AA78" s="79">
        <v>236</v>
      </c>
      <c r="AB78" s="79">
        <v>472</v>
      </c>
      <c r="AC78" s="79">
        <v>1.4750000000000001</v>
      </c>
    </row>
    <row r="79" spans="1:29" x14ac:dyDescent="0.3">
      <c r="A79" s="79" t="s">
        <v>427</v>
      </c>
      <c r="B79" s="79">
        <v>3</v>
      </c>
      <c r="C79" s="79" t="s">
        <v>390</v>
      </c>
      <c r="D79" s="79" t="s">
        <v>388</v>
      </c>
      <c r="E79" s="79">
        <v>1</v>
      </c>
      <c r="F79" s="79" t="s">
        <v>388</v>
      </c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>
        <v>150</v>
      </c>
      <c r="R79" s="79">
        <v>300</v>
      </c>
      <c r="S79" s="79">
        <v>0.9375</v>
      </c>
      <c r="T79" s="79">
        <v>0</v>
      </c>
      <c r="U79" s="79"/>
      <c r="V79" s="79"/>
      <c r="W79" s="79"/>
      <c r="X79" s="79"/>
      <c r="Y79" s="79"/>
      <c r="Z79" s="79"/>
      <c r="AA79" s="79">
        <v>150</v>
      </c>
      <c r="AB79" s="79">
        <v>300</v>
      </c>
      <c r="AC79" s="79">
        <v>0.9375</v>
      </c>
    </row>
    <row r="80" spans="1:29" x14ac:dyDescent="0.3">
      <c r="A80" s="79" t="s">
        <v>427</v>
      </c>
      <c r="B80" s="79">
        <v>4</v>
      </c>
      <c r="C80" s="79" t="s">
        <v>393</v>
      </c>
      <c r="D80" s="79" t="s">
        <v>388</v>
      </c>
      <c r="E80" s="79">
        <v>1</v>
      </c>
      <c r="F80" s="79" t="s">
        <v>388</v>
      </c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>
        <v>349</v>
      </c>
      <c r="R80" s="79">
        <v>698</v>
      </c>
      <c r="S80" s="79">
        <v>2.1812499999999999</v>
      </c>
      <c r="T80" s="79">
        <v>0</v>
      </c>
      <c r="U80" s="79"/>
      <c r="V80" s="79"/>
      <c r="W80" s="79"/>
      <c r="X80" s="79"/>
      <c r="Y80" s="79"/>
      <c r="Z80" s="79"/>
      <c r="AA80" s="79">
        <v>349</v>
      </c>
      <c r="AB80" s="79">
        <v>698</v>
      </c>
      <c r="AC80" s="79">
        <v>2.1812499999999999</v>
      </c>
    </row>
    <row r="81" spans="1:29" x14ac:dyDescent="0.3">
      <c r="A81" s="79" t="s">
        <v>427</v>
      </c>
      <c r="B81" s="79">
        <v>6</v>
      </c>
      <c r="C81" s="79" t="s">
        <v>395</v>
      </c>
      <c r="D81" s="79" t="s">
        <v>388</v>
      </c>
      <c r="E81" s="79">
        <v>1</v>
      </c>
      <c r="F81" s="79" t="s">
        <v>388</v>
      </c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>
        <v>150</v>
      </c>
      <c r="R81" s="79">
        <v>300</v>
      </c>
      <c r="S81" s="79">
        <v>0.9375</v>
      </c>
      <c r="T81" s="79">
        <v>0</v>
      </c>
      <c r="U81" s="79"/>
      <c r="V81" s="79"/>
      <c r="W81" s="79"/>
      <c r="X81" s="79"/>
      <c r="Y81" s="79"/>
      <c r="Z81" s="79"/>
      <c r="AA81" s="79">
        <v>150</v>
      </c>
      <c r="AB81" s="79">
        <v>300</v>
      </c>
      <c r="AC81" s="79">
        <v>0.9375</v>
      </c>
    </row>
    <row r="82" spans="1:29" x14ac:dyDescent="0.3">
      <c r="A82" s="79" t="s">
        <v>427</v>
      </c>
      <c r="B82" s="79">
        <v>9</v>
      </c>
      <c r="C82" s="79" t="s">
        <v>400</v>
      </c>
      <c r="D82" s="79" t="s">
        <v>388</v>
      </c>
      <c r="E82" s="79">
        <v>1</v>
      </c>
      <c r="F82" s="79" t="s">
        <v>388</v>
      </c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>
        <v>150</v>
      </c>
      <c r="R82" s="79">
        <v>300</v>
      </c>
      <c r="S82" s="79">
        <v>0.9375</v>
      </c>
      <c r="T82" s="79">
        <v>0</v>
      </c>
      <c r="U82" s="79"/>
      <c r="V82" s="79"/>
      <c r="W82" s="79"/>
      <c r="X82" s="79"/>
      <c r="Y82" s="79"/>
      <c r="Z82" s="79"/>
      <c r="AA82" s="79">
        <v>150</v>
      </c>
      <c r="AB82" s="79">
        <v>300</v>
      </c>
      <c r="AC82" s="79">
        <v>0.9375</v>
      </c>
    </row>
    <row r="83" spans="1:29" x14ac:dyDescent="0.3">
      <c r="A83" s="79" t="s">
        <v>427</v>
      </c>
      <c r="B83" s="79">
        <v>11</v>
      </c>
      <c r="C83" s="79" t="s">
        <v>402</v>
      </c>
      <c r="D83" s="79" t="s">
        <v>388</v>
      </c>
      <c r="E83" s="79">
        <v>1</v>
      </c>
      <c r="F83" s="79" t="s">
        <v>388</v>
      </c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>
        <v>350</v>
      </c>
      <c r="R83" s="79">
        <v>700</v>
      </c>
      <c r="S83" s="79">
        <v>2.1875</v>
      </c>
      <c r="T83" s="79">
        <v>0</v>
      </c>
      <c r="U83" s="79"/>
      <c r="V83" s="79"/>
      <c r="W83" s="79"/>
      <c r="X83" s="79"/>
      <c r="Y83" s="79"/>
      <c r="Z83" s="79"/>
      <c r="AA83" s="79">
        <v>350</v>
      </c>
      <c r="AB83" s="79">
        <v>700</v>
      </c>
      <c r="AC83" s="79">
        <v>2.1875</v>
      </c>
    </row>
    <row r="84" spans="1:29" x14ac:dyDescent="0.3">
      <c r="A84" s="79" t="s">
        <v>427</v>
      </c>
      <c r="B84" s="79">
        <v>12</v>
      </c>
      <c r="C84" s="79" t="s">
        <v>403</v>
      </c>
      <c r="D84" s="79" t="s">
        <v>388</v>
      </c>
      <c r="E84" s="79">
        <v>1</v>
      </c>
      <c r="F84" s="79" t="s">
        <v>388</v>
      </c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>
        <v>150</v>
      </c>
      <c r="R84" s="79">
        <v>300</v>
      </c>
      <c r="S84" s="79">
        <v>0.9375</v>
      </c>
      <c r="T84" s="79">
        <v>0</v>
      </c>
      <c r="U84" s="79"/>
      <c r="V84" s="79"/>
      <c r="W84" s="79"/>
      <c r="X84" s="79"/>
      <c r="Y84" s="79"/>
      <c r="Z84" s="79"/>
      <c r="AA84" s="79">
        <v>150</v>
      </c>
      <c r="AB84" s="79">
        <v>300</v>
      </c>
      <c r="AC84" s="79">
        <v>0.9375</v>
      </c>
    </row>
    <row r="85" spans="1:29" x14ac:dyDescent="0.3">
      <c r="A85" s="79" t="s">
        <v>427</v>
      </c>
      <c r="B85" s="79">
        <v>13</v>
      </c>
      <c r="C85" s="79" t="s">
        <v>404</v>
      </c>
      <c r="D85" s="79" t="s">
        <v>388</v>
      </c>
      <c r="E85" s="79">
        <v>1</v>
      </c>
      <c r="F85" s="79" t="s">
        <v>388</v>
      </c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>
        <v>150</v>
      </c>
      <c r="R85" s="79">
        <v>300</v>
      </c>
      <c r="S85" s="79">
        <v>0.9375</v>
      </c>
      <c r="T85" s="79">
        <v>0</v>
      </c>
      <c r="U85" s="79"/>
      <c r="V85" s="79"/>
      <c r="W85" s="79"/>
      <c r="X85" s="79"/>
      <c r="Y85" s="79"/>
      <c r="Z85" s="79"/>
      <c r="AA85" s="79">
        <v>150</v>
      </c>
      <c r="AB85" s="79">
        <v>300</v>
      </c>
      <c r="AC85" s="79">
        <v>0.9375</v>
      </c>
    </row>
    <row r="86" spans="1:29" x14ac:dyDescent="0.3">
      <c r="A86" s="79" t="s">
        <v>427</v>
      </c>
      <c r="B86" s="79">
        <v>14</v>
      </c>
      <c r="C86" s="79" t="s">
        <v>405</v>
      </c>
      <c r="D86" s="79" t="s">
        <v>388</v>
      </c>
      <c r="E86" s="79">
        <v>1</v>
      </c>
      <c r="F86" s="79" t="s">
        <v>388</v>
      </c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>
        <v>150</v>
      </c>
      <c r="R86" s="79">
        <v>300</v>
      </c>
      <c r="S86" s="79">
        <v>0.9375</v>
      </c>
      <c r="T86" s="79">
        <v>0</v>
      </c>
      <c r="U86" s="79"/>
      <c r="V86" s="79"/>
      <c r="W86" s="79"/>
      <c r="X86" s="79"/>
      <c r="Y86" s="79"/>
      <c r="Z86" s="79"/>
      <c r="AA86" s="79">
        <v>150</v>
      </c>
      <c r="AB86" s="79">
        <v>300</v>
      </c>
      <c r="AC86" s="79">
        <v>0.9375</v>
      </c>
    </row>
    <row r="87" spans="1:29" x14ac:dyDescent="0.3">
      <c r="A87" s="79" t="s">
        <v>427</v>
      </c>
      <c r="B87" s="79">
        <v>17</v>
      </c>
      <c r="C87" s="79" t="s">
        <v>408</v>
      </c>
      <c r="D87" s="79" t="s">
        <v>388</v>
      </c>
      <c r="E87" s="79">
        <v>1</v>
      </c>
      <c r="F87" s="79" t="s">
        <v>388</v>
      </c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>
        <v>150</v>
      </c>
      <c r="R87" s="79">
        <v>300</v>
      </c>
      <c r="S87" s="79">
        <v>0.9375</v>
      </c>
      <c r="T87" s="79">
        <v>0</v>
      </c>
      <c r="U87" s="79"/>
      <c r="V87" s="79"/>
      <c r="W87" s="79"/>
      <c r="X87" s="79"/>
      <c r="Y87" s="79"/>
      <c r="Z87" s="79"/>
      <c r="AA87" s="79">
        <v>150</v>
      </c>
      <c r="AB87" s="79">
        <v>300</v>
      </c>
      <c r="AC87" s="79">
        <v>0.9375</v>
      </c>
    </row>
    <row r="88" spans="1:29" x14ac:dyDescent="0.3">
      <c r="A88" s="79" t="s">
        <v>427</v>
      </c>
      <c r="B88" s="79">
        <v>20</v>
      </c>
      <c r="C88" s="79" t="s">
        <v>411</v>
      </c>
      <c r="D88" s="79" t="s">
        <v>388</v>
      </c>
      <c r="E88" s="79">
        <v>1</v>
      </c>
      <c r="F88" s="79" t="s">
        <v>388</v>
      </c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>
        <v>150</v>
      </c>
      <c r="R88" s="79">
        <v>300</v>
      </c>
      <c r="S88" s="79">
        <v>0.9375</v>
      </c>
      <c r="T88" s="79">
        <v>0</v>
      </c>
      <c r="U88" s="79"/>
      <c r="V88" s="79"/>
      <c r="W88" s="79"/>
      <c r="X88" s="79"/>
      <c r="Y88" s="79"/>
      <c r="Z88" s="79"/>
      <c r="AA88" s="79">
        <v>150</v>
      </c>
      <c r="AB88" s="79">
        <v>300</v>
      </c>
      <c r="AC88" s="79">
        <v>0.9375</v>
      </c>
    </row>
    <row r="89" spans="1:29" x14ac:dyDescent="0.3">
      <c r="A89" s="79" t="s">
        <v>427</v>
      </c>
      <c r="B89" s="79">
        <v>24</v>
      </c>
      <c r="C89" s="79" t="s">
        <v>415</v>
      </c>
      <c r="D89" s="79" t="s">
        <v>388</v>
      </c>
      <c r="E89" s="79">
        <v>1</v>
      </c>
      <c r="F89" s="79" t="s">
        <v>388</v>
      </c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>
        <v>150</v>
      </c>
      <c r="R89" s="79">
        <v>300</v>
      </c>
      <c r="S89" s="79">
        <v>0.9375</v>
      </c>
      <c r="T89" s="79">
        <v>0</v>
      </c>
      <c r="U89" s="79"/>
      <c r="V89" s="79"/>
      <c r="W89" s="79"/>
      <c r="X89" s="79"/>
      <c r="Y89" s="79"/>
      <c r="Z89" s="79"/>
      <c r="AA89" s="79">
        <v>150</v>
      </c>
      <c r="AB89" s="79">
        <v>300</v>
      </c>
      <c r="AC89" s="79">
        <v>0.9375</v>
      </c>
    </row>
    <row r="90" spans="1:29" x14ac:dyDescent="0.3">
      <c r="A90" s="79" t="s">
        <v>427</v>
      </c>
      <c r="B90" s="79">
        <v>29</v>
      </c>
      <c r="C90" s="79" t="s">
        <v>420</v>
      </c>
      <c r="D90" s="79" t="s">
        <v>388</v>
      </c>
      <c r="E90" s="79">
        <v>1</v>
      </c>
      <c r="F90" s="79" t="s">
        <v>388</v>
      </c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>
        <v>150</v>
      </c>
      <c r="R90" s="79">
        <v>300</v>
      </c>
      <c r="S90" s="79">
        <v>0.9375</v>
      </c>
      <c r="T90" s="79">
        <v>0</v>
      </c>
      <c r="U90" s="79"/>
      <c r="V90" s="79"/>
      <c r="W90" s="79"/>
      <c r="X90" s="79"/>
      <c r="Y90" s="79"/>
      <c r="Z90" s="79"/>
      <c r="AA90" s="79">
        <v>150</v>
      </c>
      <c r="AB90" s="79">
        <v>300</v>
      </c>
      <c r="AC90" s="79">
        <v>0.9375</v>
      </c>
    </row>
    <row r="91" spans="1:29" x14ac:dyDescent="0.3">
      <c r="A91" s="79" t="s">
        <v>427</v>
      </c>
      <c r="B91" s="79">
        <v>33</v>
      </c>
      <c r="C91" s="79" t="s">
        <v>424</v>
      </c>
      <c r="D91" s="79" t="s">
        <v>388</v>
      </c>
      <c r="E91" s="79">
        <v>1</v>
      </c>
      <c r="F91" s="79" t="s">
        <v>388</v>
      </c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>
        <v>150</v>
      </c>
      <c r="R91" s="79">
        <v>300</v>
      </c>
      <c r="S91" s="79">
        <v>0.9375</v>
      </c>
      <c r="T91" s="79">
        <v>0</v>
      </c>
      <c r="U91" s="79"/>
      <c r="V91" s="79"/>
      <c r="W91" s="79"/>
      <c r="X91" s="79"/>
      <c r="Y91" s="79"/>
      <c r="Z91" s="79"/>
      <c r="AA91" s="79">
        <v>150</v>
      </c>
      <c r="AB91" s="79">
        <v>300</v>
      </c>
      <c r="AC91" s="79">
        <v>0.9375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106"/>
  <sheetViews>
    <sheetView topLeftCell="Q1" zoomScale="55" workbookViewId="0">
      <selection activeCell="C12" sqref="C12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78" t="s">
        <v>154</v>
      </c>
      <c r="B1" s="78" t="s">
        <v>0</v>
      </c>
      <c r="C1" s="78" t="s">
        <v>360</v>
      </c>
      <c r="D1" s="78" t="s">
        <v>366</v>
      </c>
      <c r="E1" s="78" t="s">
        <v>365</v>
      </c>
      <c r="F1" s="78" t="s">
        <v>367</v>
      </c>
      <c r="G1" s="78" t="s">
        <v>428</v>
      </c>
      <c r="H1" s="78" t="s">
        <v>429</v>
      </c>
      <c r="I1" s="78" t="s">
        <v>430</v>
      </c>
      <c r="J1" s="78" t="s">
        <v>369</v>
      </c>
      <c r="K1" s="78" t="s">
        <v>368</v>
      </c>
      <c r="L1" s="78" t="s">
        <v>370</v>
      </c>
      <c r="M1" s="78" t="s">
        <v>431</v>
      </c>
      <c r="N1" s="78" t="s">
        <v>432</v>
      </c>
      <c r="O1" s="78" t="s">
        <v>433</v>
      </c>
      <c r="P1" s="78" t="s">
        <v>372</v>
      </c>
      <c r="Q1" s="78" t="s">
        <v>371</v>
      </c>
      <c r="R1" s="78" t="s">
        <v>373</v>
      </c>
      <c r="S1" s="78" t="s">
        <v>434</v>
      </c>
      <c r="T1" s="78" t="s">
        <v>435</v>
      </c>
      <c r="U1" s="78" t="s">
        <v>436</v>
      </c>
      <c r="V1" s="78" t="s">
        <v>437</v>
      </c>
      <c r="W1" s="78" t="s">
        <v>438</v>
      </c>
      <c r="X1" s="78" t="s">
        <v>439</v>
      </c>
      <c r="Y1" s="78" t="s">
        <v>440</v>
      </c>
      <c r="Z1" s="78" t="s">
        <v>441</v>
      </c>
      <c r="AA1" s="78" t="s">
        <v>377</v>
      </c>
      <c r="AB1" s="78" t="s">
        <v>442</v>
      </c>
      <c r="AC1" s="78" t="s">
        <v>443</v>
      </c>
      <c r="AD1" s="78" t="s">
        <v>444</v>
      </c>
      <c r="AE1" s="78" t="s">
        <v>445</v>
      </c>
      <c r="AF1" s="78" t="s">
        <v>379</v>
      </c>
      <c r="AG1" s="78" t="s">
        <v>378</v>
      </c>
      <c r="AH1" s="78" t="s">
        <v>380</v>
      </c>
      <c r="AI1" s="78" t="s">
        <v>446</v>
      </c>
      <c r="AJ1" s="78" t="s">
        <v>447</v>
      </c>
      <c r="AK1" s="78" t="s">
        <v>448</v>
      </c>
      <c r="AL1" s="78" t="s">
        <v>382</v>
      </c>
      <c r="AM1" s="78" t="s">
        <v>381</v>
      </c>
      <c r="AN1" s="78" t="s">
        <v>383</v>
      </c>
      <c r="AO1" s="78" t="s">
        <v>449</v>
      </c>
      <c r="AP1" s="78" t="s">
        <v>450</v>
      </c>
      <c r="AQ1" s="78" t="s">
        <v>451</v>
      </c>
      <c r="AR1" s="78" t="s">
        <v>385</v>
      </c>
      <c r="AS1" s="78" t="s">
        <v>384</v>
      </c>
      <c r="AT1" s="78" t="s">
        <v>386</v>
      </c>
      <c r="AU1" s="78" t="s">
        <v>452</v>
      </c>
      <c r="AV1" s="78" t="s">
        <v>453</v>
      </c>
      <c r="AW1" s="78" t="s">
        <v>454</v>
      </c>
    </row>
    <row r="2" spans="1:49" x14ac:dyDescent="0.3">
      <c r="A2" s="79" t="s">
        <v>54</v>
      </c>
      <c r="B2" s="79">
        <v>1</v>
      </c>
      <c r="C2" s="79" t="s">
        <v>387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79">
        <v>0</v>
      </c>
      <c r="J2" s="79">
        <v>0</v>
      </c>
      <c r="K2" s="79">
        <v>0</v>
      </c>
      <c r="L2" s="79">
        <v>0</v>
      </c>
      <c r="M2" s="79">
        <v>0</v>
      </c>
      <c r="N2" s="79">
        <v>0</v>
      </c>
      <c r="O2" s="79">
        <v>0</v>
      </c>
      <c r="P2" s="79">
        <v>588</v>
      </c>
      <c r="Q2" s="79">
        <v>74</v>
      </c>
      <c r="R2" s="79">
        <v>0.578125</v>
      </c>
      <c r="S2" s="79">
        <v>74</v>
      </c>
      <c r="T2" s="79">
        <v>592</v>
      </c>
      <c r="U2" s="79">
        <v>0.578125</v>
      </c>
      <c r="V2" s="79">
        <v>0.578125</v>
      </c>
      <c r="W2" s="79">
        <v>0</v>
      </c>
      <c r="X2" s="79">
        <v>0</v>
      </c>
      <c r="Y2" s="79">
        <v>0.578125</v>
      </c>
      <c r="Z2" s="79">
        <v>0.578125</v>
      </c>
      <c r="AA2" s="79">
        <v>0</v>
      </c>
      <c r="AB2" s="79">
        <v>0</v>
      </c>
      <c r="AC2" s="79">
        <v>0</v>
      </c>
      <c r="AD2" s="79">
        <v>115.62</v>
      </c>
      <c r="AE2" s="79">
        <v>115.62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</row>
    <row r="3" spans="1:49" x14ac:dyDescent="0.3">
      <c r="A3" s="79" t="s">
        <v>66</v>
      </c>
      <c r="B3" s="79">
        <v>1</v>
      </c>
      <c r="C3" s="79" t="s">
        <v>387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>
        <v>0</v>
      </c>
      <c r="W3" s="79">
        <v>0</v>
      </c>
      <c r="X3" s="79">
        <v>0</v>
      </c>
      <c r="Y3" s="79">
        <v>0</v>
      </c>
      <c r="Z3" s="79">
        <v>0</v>
      </c>
      <c r="AA3" s="79">
        <v>0</v>
      </c>
      <c r="AB3" s="79">
        <v>0</v>
      </c>
      <c r="AC3" s="79">
        <v>0</v>
      </c>
      <c r="AD3" s="79">
        <v>0</v>
      </c>
      <c r="AE3" s="79">
        <v>0</v>
      </c>
      <c r="AF3" s="79">
        <v>0</v>
      </c>
      <c r="AG3" s="79">
        <v>0</v>
      </c>
      <c r="AH3" s="79">
        <v>0</v>
      </c>
      <c r="AI3" s="79">
        <v>0</v>
      </c>
      <c r="AJ3" s="79">
        <v>0</v>
      </c>
      <c r="AK3" s="79">
        <v>0</v>
      </c>
      <c r="AL3" s="79">
        <v>0</v>
      </c>
      <c r="AM3" s="79">
        <v>0</v>
      </c>
      <c r="AN3" s="79">
        <v>0</v>
      </c>
      <c r="AO3" s="79">
        <v>0</v>
      </c>
      <c r="AP3" s="79">
        <v>0</v>
      </c>
      <c r="AQ3" s="79">
        <v>0</v>
      </c>
      <c r="AR3" s="79"/>
      <c r="AS3" s="79"/>
      <c r="AT3" s="79"/>
      <c r="AU3" s="79"/>
      <c r="AV3" s="79"/>
      <c r="AW3" s="79"/>
    </row>
    <row r="4" spans="1:49" x14ac:dyDescent="0.3">
      <c r="A4" s="79" t="s">
        <v>427</v>
      </c>
      <c r="B4" s="79">
        <v>1</v>
      </c>
      <c r="C4" s="79" t="s">
        <v>387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>
        <v>0</v>
      </c>
      <c r="W4" s="79">
        <v>0</v>
      </c>
      <c r="X4" s="79">
        <v>0</v>
      </c>
      <c r="Y4" s="79">
        <v>0</v>
      </c>
      <c r="Z4" s="79">
        <v>0</v>
      </c>
      <c r="AA4" s="79">
        <v>0</v>
      </c>
      <c r="AB4" s="79">
        <v>0</v>
      </c>
      <c r="AC4" s="79">
        <v>0</v>
      </c>
      <c r="AD4" s="79">
        <v>0</v>
      </c>
      <c r="AE4" s="79">
        <v>0</v>
      </c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>
        <v>0</v>
      </c>
      <c r="AS4" s="79">
        <v>0</v>
      </c>
      <c r="AT4" s="79">
        <v>0</v>
      </c>
      <c r="AU4" s="79">
        <v>0</v>
      </c>
      <c r="AV4" s="79">
        <v>0</v>
      </c>
      <c r="AW4" s="79">
        <v>0</v>
      </c>
    </row>
    <row r="5" spans="1:49" x14ac:dyDescent="0.3">
      <c r="A5" s="79" t="s">
        <v>54</v>
      </c>
      <c r="B5" s="79">
        <v>2</v>
      </c>
      <c r="C5" s="79" t="s">
        <v>389</v>
      </c>
      <c r="D5" s="79">
        <v>684</v>
      </c>
      <c r="E5" s="79">
        <v>171</v>
      </c>
      <c r="F5" s="79">
        <v>1.71</v>
      </c>
      <c r="G5" s="79">
        <v>171</v>
      </c>
      <c r="H5" s="79">
        <v>684</v>
      </c>
      <c r="I5" s="79">
        <v>1.71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4028</v>
      </c>
      <c r="Q5" s="79">
        <v>504</v>
      </c>
      <c r="R5" s="79">
        <v>3.9375</v>
      </c>
      <c r="S5" s="79">
        <v>504</v>
      </c>
      <c r="T5" s="79">
        <v>4032</v>
      </c>
      <c r="U5" s="79">
        <v>3.9375</v>
      </c>
      <c r="V5" s="79">
        <v>5.6475</v>
      </c>
      <c r="W5" s="79">
        <v>0</v>
      </c>
      <c r="X5" s="79">
        <v>0</v>
      </c>
      <c r="Y5" s="79">
        <v>5.6475</v>
      </c>
      <c r="Z5" s="79">
        <v>5.6475</v>
      </c>
      <c r="AA5" s="79">
        <v>0</v>
      </c>
      <c r="AB5" s="79">
        <v>0</v>
      </c>
      <c r="AC5" s="79">
        <v>0</v>
      </c>
      <c r="AD5" s="79">
        <v>1129.5</v>
      </c>
      <c r="AE5" s="79">
        <v>1129.5</v>
      </c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</row>
    <row r="6" spans="1:49" x14ac:dyDescent="0.3">
      <c r="A6" s="79" t="s">
        <v>66</v>
      </c>
      <c r="B6" s="79">
        <v>2</v>
      </c>
      <c r="C6" s="79" t="s">
        <v>389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>
        <v>0</v>
      </c>
      <c r="W6" s="79">
        <v>0</v>
      </c>
      <c r="X6" s="79">
        <v>0</v>
      </c>
      <c r="Y6" s="79">
        <v>0</v>
      </c>
      <c r="Z6" s="79">
        <v>0</v>
      </c>
      <c r="AA6" s="79">
        <v>0</v>
      </c>
      <c r="AB6" s="79">
        <v>0</v>
      </c>
      <c r="AC6" s="79">
        <v>0</v>
      </c>
      <c r="AD6" s="79">
        <v>0</v>
      </c>
      <c r="AE6" s="79">
        <v>0</v>
      </c>
      <c r="AF6" s="79">
        <v>0</v>
      </c>
      <c r="AG6" s="79">
        <v>0</v>
      </c>
      <c r="AH6" s="79">
        <v>0</v>
      </c>
      <c r="AI6" s="79">
        <v>0</v>
      </c>
      <c r="AJ6" s="79">
        <v>0</v>
      </c>
      <c r="AK6" s="79">
        <v>0</v>
      </c>
      <c r="AL6" s="79">
        <v>0</v>
      </c>
      <c r="AM6" s="79">
        <v>0</v>
      </c>
      <c r="AN6" s="79">
        <v>0</v>
      </c>
      <c r="AO6" s="79">
        <v>0</v>
      </c>
      <c r="AP6" s="79">
        <v>0</v>
      </c>
      <c r="AQ6" s="79">
        <v>0</v>
      </c>
      <c r="AR6" s="79"/>
      <c r="AS6" s="79"/>
      <c r="AT6" s="79"/>
      <c r="AU6" s="79"/>
      <c r="AV6" s="79"/>
      <c r="AW6" s="79"/>
    </row>
    <row r="7" spans="1:49" x14ac:dyDescent="0.3">
      <c r="A7" s="79" t="s">
        <v>427</v>
      </c>
      <c r="B7" s="79">
        <v>2</v>
      </c>
      <c r="C7" s="79" t="s">
        <v>389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>
        <v>1.4750000000000001</v>
      </c>
      <c r="W7" s="79">
        <v>0</v>
      </c>
      <c r="X7" s="79">
        <v>0</v>
      </c>
      <c r="Y7" s="79">
        <v>1.4750000000000001</v>
      </c>
      <c r="Z7" s="79">
        <v>1.4750000000000001</v>
      </c>
      <c r="AA7" s="79">
        <v>0</v>
      </c>
      <c r="AB7" s="79">
        <v>0</v>
      </c>
      <c r="AC7" s="79">
        <v>0</v>
      </c>
      <c r="AD7" s="79">
        <v>51.62</v>
      </c>
      <c r="AE7" s="79">
        <v>51.62</v>
      </c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v>472</v>
      </c>
      <c r="AS7" s="79">
        <v>236</v>
      </c>
      <c r="AT7" s="79">
        <v>1.4750000000000001</v>
      </c>
      <c r="AU7" s="79">
        <v>236</v>
      </c>
      <c r="AV7" s="79">
        <v>472</v>
      </c>
      <c r="AW7" s="79">
        <v>1.4750000000000001</v>
      </c>
    </row>
    <row r="8" spans="1:49" x14ac:dyDescent="0.3">
      <c r="A8" s="79" t="s">
        <v>54</v>
      </c>
      <c r="B8" s="79">
        <v>3</v>
      </c>
      <c r="C8" s="79" t="s">
        <v>390</v>
      </c>
      <c r="D8" s="79">
        <v>20000</v>
      </c>
      <c r="E8" s="79">
        <v>5000</v>
      </c>
      <c r="F8" s="79">
        <v>50</v>
      </c>
      <c r="G8" s="79">
        <v>0</v>
      </c>
      <c r="H8" s="79">
        <v>0</v>
      </c>
      <c r="I8" s="79">
        <v>0</v>
      </c>
      <c r="J8" s="79">
        <v>5502</v>
      </c>
      <c r="K8" s="79">
        <v>1376</v>
      </c>
      <c r="L8" s="79">
        <v>8.6</v>
      </c>
      <c r="M8" s="79">
        <v>0</v>
      </c>
      <c r="N8" s="79">
        <v>0</v>
      </c>
      <c r="O8" s="79">
        <v>0</v>
      </c>
      <c r="P8" s="79">
        <v>4200</v>
      </c>
      <c r="Q8" s="79">
        <v>525</v>
      </c>
      <c r="R8" s="79">
        <v>4.1015620000000004</v>
      </c>
      <c r="S8" s="79">
        <v>0</v>
      </c>
      <c r="T8" s="79">
        <v>0</v>
      </c>
      <c r="U8" s="79">
        <v>0</v>
      </c>
      <c r="V8" s="79">
        <v>62.701563</v>
      </c>
      <c r="W8" s="79">
        <v>1</v>
      </c>
      <c r="X8" s="79">
        <v>0</v>
      </c>
      <c r="Y8" s="79">
        <v>0</v>
      </c>
      <c r="Z8" s="79">
        <v>65</v>
      </c>
      <c r="AA8" s="79">
        <v>2.2984369999999998</v>
      </c>
      <c r="AB8" s="79">
        <v>5200</v>
      </c>
      <c r="AC8" s="79">
        <v>0</v>
      </c>
      <c r="AD8" s="79">
        <v>0</v>
      </c>
      <c r="AE8" s="79">
        <v>5200</v>
      </c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</row>
    <row r="9" spans="1:49" x14ac:dyDescent="0.3">
      <c r="A9" s="79" t="s">
        <v>66</v>
      </c>
      <c r="B9" s="79">
        <v>3</v>
      </c>
      <c r="C9" s="79" t="s">
        <v>390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>
        <v>25.4</v>
      </c>
      <c r="W9" s="79">
        <v>0</v>
      </c>
      <c r="X9" s="79">
        <v>0</v>
      </c>
      <c r="Y9" s="79">
        <v>25.4</v>
      </c>
      <c r="Z9" s="79">
        <v>25.4</v>
      </c>
      <c r="AA9" s="79">
        <v>0</v>
      </c>
      <c r="AB9" s="79">
        <v>0</v>
      </c>
      <c r="AC9" s="79">
        <v>0</v>
      </c>
      <c r="AD9" s="79">
        <v>1778</v>
      </c>
      <c r="AE9" s="79">
        <v>1778</v>
      </c>
      <c r="AF9" s="79">
        <v>4320</v>
      </c>
      <c r="AG9" s="79">
        <v>2160</v>
      </c>
      <c r="AH9" s="79">
        <v>21.6</v>
      </c>
      <c r="AI9" s="79">
        <v>2160</v>
      </c>
      <c r="AJ9" s="79">
        <v>4320</v>
      </c>
      <c r="AK9" s="79">
        <v>21.6</v>
      </c>
      <c r="AL9" s="79">
        <v>2430</v>
      </c>
      <c r="AM9" s="79">
        <v>608</v>
      </c>
      <c r="AN9" s="79">
        <v>3.8</v>
      </c>
      <c r="AO9" s="79">
        <v>608</v>
      </c>
      <c r="AP9" s="79">
        <v>2432</v>
      </c>
      <c r="AQ9" s="79">
        <v>3.8</v>
      </c>
      <c r="AR9" s="79"/>
      <c r="AS9" s="79"/>
      <c r="AT9" s="79"/>
      <c r="AU9" s="79"/>
      <c r="AV9" s="79"/>
      <c r="AW9" s="79"/>
    </row>
    <row r="10" spans="1:49" x14ac:dyDescent="0.3">
      <c r="A10" s="79" t="s">
        <v>427</v>
      </c>
      <c r="B10" s="79">
        <v>3</v>
      </c>
      <c r="C10" s="79" t="s">
        <v>390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>
        <v>0.9375</v>
      </c>
      <c r="W10" s="79">
        <v>0</v>
      </c>
      <c r="X10" s="79">
        <v>0</v>
      </c>
      <c r="Y10" s="79">
        <v>0.9375</v>
      </c>
      <c r="Z10" s="79">
        <v>0.9375</v>
      </c>
      <c r="AA10" s="79">
        <v>0</v>
      </c>
      <c r="AB10" s="79">
        <v>0</v>
      </c>
      <c r="AC10" s="79">
        <v>0</v>
      </c>
      <c r="AD10" s="79">
        <v>32.81</v>
      </c>
      <c r="AE10" s="79">
        <v>32.81</v>
      </c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v>300</v>
      </c>
      <c r="AS10" s="79">
        <v>150</v>
      </c>
      <c r="AT10" s="79">
        <v>0.9375</v>
      </c>
      <c r="AU10" s="79">
        <v>150</v>
      </c>
      <c r="AV10" s="79">
        <v>300</v>
      </c>
      <c r="AW10" s="79">
        <v>0.9375</v>
      </c>
    </row>
    <row r="11" spans="1:49" x14ac:dyDescent="0.3">
      <c r="A11" s="79" t="s">
        <v>54</v>
      </c>
      <c r="B11" s="79">
        <v>4</v>
      </c>
      <c r="C11" s="79" t="s">
        <v>393</v>
      </c>
      <c r="D11" s="79">
        <v>20000</v>
      </c>
      <c r="E11" s="79">
        <v>5000</v>
      </c>
      <c r="F11" s="79">
        <v>50</v>
      </c>
      <c r="G11" s="79">
        <v>950</v>
      </c>
      <c r="H11" s="79">
        <v>3800</v>
      </c>
      <c r="I11" s="79">
        <v>9.5</v>
      </c>
      <c r="J11" s="79">
        <v>15658</v>
      </c>
      <c r="K11" s="79">
        <v>3915</v>
      </c>
      <c r="L11" s="79">
        <v>24.46875</v>
      </c>
      <c r="M11" s="79">
        <v>0</v>
      </c>
      <c r="N11" s="79">
        <v>0</v>
      </c>
      <c r="O11" s="79">
        <v>0</v>
      </c>
      <c r="P11" s="79">
        <v>3802</v>
      </c>
      <c r="Q11" s="79">
        <v>476</v>
      </c>
      <c r="R11" s="79">
        <v>3.71875</v>
      </c>
      <c r="S11" s="79">
        <v>472</v>
      </c>
      <c r="T11" s="79">
        <v>3776</v>
      </c>
      <c r="U11" s="79">
        <v>3.6875</v>
      </c>
      <c r="V11" s="79">
        <v>78.1875</v>
      </c>
      <c r="W11" s="79">
        <v>1</v>
      </c>
      <c r="X11" s="79">
        <v>0</v>
      </c>
      <c r="Y11" s="79">
        <v>13.1875</v>
      </c>
      <c r="Z11" s="79">
        <v>78.1875</v>
      </c>
      <c r="AA11" s="79">
        <v>0</v>
      </c>
      <c r="AB11" s="79">
        <v>5200</v>
      </c>
      <c r="AC11" s="79">
        <v>0</v>
      </c>
      <c r="AD11" s="79">
        <v>2637.5</v>
      </c>
      <c r="AE11" s="79">
        <v>7837.5</v>
      </c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</row>
    <row r="12" spans="1:49" x14ac:dyDescent="0.3">
      <c r="A12" s="79" t="s">
        <v>66</v>
      </c>
      <c r="B12" s="79">
        <v>4</v>
      </c>
      <c r="C12" s="79" t="s">
        <v>393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>
        <v>57.462499999999999</v>
      </c>
      <c r="W12" s="79">
        <v>0</v>
      </c>
      <c r="X12" s="79">
        <v>0</v>
      </c>
      <c r="Y12" s="79">
        <v>57.462499999999999</v>
      </c>
      <c r="Z12" s="79">
        <v>57.462499999999999</v>
      </c>
      <c r="AA12" s="79">
        <v>0</v>
      </c>
      <c r="AB12" s="79">
        <v>0</v>
      </c>
      <c r="AC12" s="79">
        <v>0</v>
      </c>
      <c r="AD12" s="79">
        <v>4022.38</v>
      </c>
      <c r="AE12" s="79">
        <v>4022.38</v>
      </c>
      <c r="AF12" s="79">
        <v>8370</v>
      </c>
      <c r="AG12" s="79">
        <v>4185</v>
      </c>
      <c r="AH12" s="79">
        <v>41.85</v>
      </c>
      <c r="AI12" s="79">
        <v>4185</v>
      </c>
      <c r="AJ12" s="79">
        <v>8370</v>
      </c>
      <c r="AK12" s="79">
        <v>41.85</v>
      </c>
      <c r="AL12" s="79">
        <v>9990</v>
      </c>
      <c r="AM12" s="79">
        <v>2498</v>
      </c>
      <c r="AN12" s="79">
        <v>15.612500000000001</v>
      </c>
      <c r="AO12" s="79">
        <v>2498</v>
      </c>
      <c r="AP12" s="79">
        <v>9992</v>
      </c>
      <c r="AQ12" s="79">
        <v>15.612500000000001</v>
      </c>
      <c r="AR12" s="79"/>
      <c r="AS12" s="79"/>
      <c r="AT12" s="79"/>
      <c r="AU12" s="79"/>
      <c r="AV12" s="79"/>
      <c r="AW12" s="79"/>
    </row>
    <row r="13" spans="1:49" x14ac:dyDescent="0.3">
      <c r="A13" s="79" t="s">
        <v>427</v>
      </c>
      <c r="B13" s="79">
        <v>4</v>
      </c>
      <c r="C13" s="79" t="s">
        <v>393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>
        <v>2.1812499999999999</v>
      </c>
      <c r="W13" s="79">
        <v>0</v>
      </c>
      <c r="X13" s="79">
        <v>0</v>
      </c>
      <c r="Y13" s="79">
        <v>2.1812499999999999</v>
      </c>
      <c r="Z13" s="79">
        <v>2.1812499999999999</v>
      </c>
      <c r="AA13" s="79">
        <v>0</v>
      </c>
      <c r="AB13" s="79">
        <v>0</v>
      </c>
      <c r="AC13" s="79">
        <v>0</v>
      </c>
      <c r="AD13" s="79">
        <v>76.34</v>
      </c>
      <c r="AE13" s="79">
        <v>76.34</v>
      </c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v>698</v>
      </c>
      <c r="AS13" s="79">
        <v>349</v>
      </c>
      <c r="AT13" s="79">
        <v>2.1812499999999999</v>
      </c>
      <c r="AU13" s="79">
        <v>349</v>
      </c>
      <c r="AV13" s="79">
        <v>698</v>
      </c>
      <c r="AW13" s="79">
        <v>2.1812499999999999</v>
      </c>
    </row>
    <row r="14" spans="1:49" x14ac:dyDescent="0.3">
      <c r="A14" s="79" t="s">
        <v>54</v>
      </c>
      <c r="B14" s="79">
        <v>5</v>
      </c>
      <c r="C14" s="79" t="s">
        <v>394</v>
      </c>
      <c r="D14" s="79">
        <v>11000</v>
      </c>
      <c r="E14" s="79">
        <v>2750</v>
      </c>
      <c r="F14" s="79">
        <v>27.5</v>
      </c>
      <c r="G14" s="79">
        <v>0</v>
      </c>
      <c r="H14" s="79">
        <v>0</v>
      </c>
      <c r="I14" s="79">
        <v>0</v>
      </c>
      <c r="J14" s="79">
        <v>8865</v>
      </c>
      <c r="K14" s="79">
        <v>2217</v>
      </c>
      <c r="L14" s="79">
        <v>13.856249999999999</v>
      </c>
      <c r="M14" s="79">
        <v>0</v>
      </c>
      <c r="N14" s="79">
        <v>0</v>
      </c>
      <c r="O14" s="79">
        <v>0</v>
      </c>
      <c r="P14" s="79">
        <v>4500</v>
      </c>
      <c r="Q14" s="79">
        <v>563</v>
      </c>
      <c r="R14" s="79">
        <v>4.3984379999999996</v>
      </c>
      <c r="S14" s="79">
        <v>0</v>
      </c>
      <c r="T14" s="79">
        <v>0</v>
      </c>
      <c r="U14" s="79">
        <v>0</v>
      </c>
      <c r="V14" s="79">
        <v>45.754688000000002</v>
      </c>
      <c r="W14" s="79">
        <v>1</v>
      </c>
      <c r="X14" s="79">
        <v>0</v>
      </c>
      <c r="Y14" s="79">
        <v>0</v>
      </c>
      <c r="Z14" s="79">
        <v>65</v>
      </c>
      <c r="AA14" s="79">
        <v>19.245311999999998</v>
      </c>
      <c r="AB14" s="79">
        <v>5200</v>
      </c>
      <c r="AC14" s="79">
        <v>0</v>
      </c>
      <c r="AD14" s="79">
        <v>0</v>
      </c>
      <c r="AE14" s="79">
        <v>5200</v>
      </c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</row>
    <row r="15" spans="1:49" x14ac:dyDescent="0.3">
      <c r="A15" s="79" t="s">
        <v>66</v>
      </c>
      <c r="B15" s="79">
        <v>5</v>
      </c>
      <c r="C15" s="79" t="s">
        <v>394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>
        <v>68.034999999999997</v>
      </c>
      <c r="W15" s="79">
        <v>1</v>
      </c>
      <c r="X15" s="79">
        <v>0</v>
      </c>
      <c r="Y15" s="79">
        <v>3.04</v>
      </c>
      <c r="Z15" s="79">
        <v>68.040000000000006</v>
      </c>
      <c r="AA15" s="79">
        <v>5.0000000000000001E-3</v>
      </c>
      <c r="AB15" s="79">
        <v>4200</v>
      </c>
      <c r="AC15" s="79">
        <v>0</v>
      </c>
      <c r="AD15" s="79">
        <v>212.8</v>
      </c>
      <c r="AE15" s="79">
        <v>4412.8</v>
      </c>
      <c r="AF15" s="79">
        <v>11782</v>
      </c>
      <c r="AG15" s="79">
        <v>5891</v>
      </c>
      <c r="AH15" s="79">
        <v>58.91</v>
      </c>
      <c r="AI15" s="79">
        <v>304</v>
      </c>
      <c r="AJ15" s="79">
        <v>608</v>
      </c>
      <c r="AK15" s="79">
        <v>3.04</v>
      </c>
      <c r="AL15" s="79">
        <v>5840</v>
      </c>
      <c r="AM15" s="79">
        <v>1460</v>
      </c>
      <c r="AN15" s="79">
        <v>9.125</v>
      </c>
      <c r="AO15" s="79">
        <v>0</v>
      </c>
      <c r="AP15" s="79">
        <v>0</v>
      </c>
      <c r="AQ15" s="79">
        <v>0</v>
      </c>
      <c r="AR15" s="79"/>
      <c r="AS15" s="79"/>
      <c r="AT15" s="79"/>
      <c r="AU15" s="79"/>
      <c r="AV15" s="79"/>
      <c r="AW15" s="79"/>
    </row>
    <row r="16" spans="1:49" x14ac:dyDescent="0.3">
      <c r="A16" s="79" t="s">
        <v>427</v>
      </c>
      <c r="B16" s="79">
        <v>5</v>
      </c>
      <c r="C16" s="79" t="s">
        <v>394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>
        <v>0</v>
      </c>
      <c r="W16" s="79">
        <v>0</v>
      </c>
      <c r="X16" s="79">
        <v>0</v>
      </c>
      <c r="Y16" s="79">
        <v>0</v>
      </c>
      <c r="Z16" s="79">
        <v>0</v>
      </c>
      <c r="AA16" s="79">
        <v>0</v>
      </c>
      <c r="AB16" s="79">
        <v>0</v>
      </c>
      <c r="AC16" s="79">
        <v>0</v>
      </c>
      <c r="AD16" s="79">
        <v>0</v>
      </c>
      <c r="AE16" s="79">
        <v>0</v>
      </c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v>0</v>
      </c>
      <c r="AS16" s="79">
        <v>0</v>
      </c>
      <c r="AT16" s="79">
        <v>0</v>
      </c>
      <c r="AU16" s="79">
        <v>0</v>
      </c>
      <c r="AV16" s="79">
        <v>0</v>
      </c>
      <c r="AW16" s="79">
        <v>0</v>
      </c>
    </row>
    <row r="17" spans="1:49" x14ac:dyDescent="0.3">
      <c r="A17" s="79" t="s">
        <v>54</v>
      </c>
      <c r="B17" s="79">
        <v>6</v>
      </c>
      <c r="C17" s="79" t="s">
        <v>395</v>
      </c>
      <c r="D17" s="79">
        <v>13000</v>
      </c>
      <c r="E17" s="79">
        <v>3250</v>
      </c>
      <c r="F17" s="79">
        <v>32.5</v>
      </c>
      <c r="G17" s="79">
        <v>0</v>
      </c>
      <c r="H17" s="79">
        <v>0</v>
      </c>
      <c r="I17" s="79">
        <v>0</v>
      </c>
      <c r="J17" s="79">
        <v>2146</v>
      </c>
      <c r="K17" s="79">
        <v>537</v>
      </c>
      <c r="L17" s="79">
        <v>3.3562500000000002</v>
      </c>
      <c r="M17" s="79">
        <v>0</v>
      </c>
      <c r="N17" s="79">
        <v>0</v>
      </c>
      <c r="O17" s="79">
        <v>0</v>
      </c>
      <c r="P17" s="79">
        <v>4200</v>
      </c>
      <c r="Q17" s="79">
        <v>525</v>
      </c>
      <c r="R17" s="79">
        <v>4.1015620000000004</v>
      </c>
      <c r="S17" s="79">
        <v>0</v>
      </c>
      <c r="T17" s="79">
        <v>0</v>
      </c>
      <c r="U17" s="79">
        <v>0</v>
      </c>
      <c r="V17" s="79">
        <v>39.957813000000002</v>
      </c>
      <c r="W17" s="79">
        <v>1</v>
      </c>
      <c r="X17" s="79">
        <v>0</v>
      </c>
      <c r="Y17" s="79">
        <v>0</v>
      </c>
      <c r="Z17" s="79">
        <v>65</v>
      </c>
      <c r="AA17" s="79">
        <v>25.042186999999998</v>
      </c>
      <c r="AB17" s="79">
        <v>5200</v>
      </c>
      <c r="AC17" s="79">
        <v>0</v>
      </c>
      <c r="AD17" s="79">
        <v>0</v>
      </c>
      <c r="AE17" s="79">
        <v>5200</v>
      </c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</row>
    <row r="18" spans="1:49" x14ac:dyDescent="0.3">
      <c r="A18" s="79" t="s">
        <v>66</v>
      </c>
      <c r="B18" s="79">
        <v>6</v>
      </c>
      <c r="C18" s="79" t="s">
        <v>395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>
        <v>65.276250000000005</v>
      </c>
      <c r="W18" s="79">
        <v>1</v>
      </c>
      <c r="X18" s="79">
        <v>0</v>
      </c>
      <c r="Y18" s="79">
        <v>0.27625</v>
      </c>
      <c r="Z18" s="79">
        <v>65.276250000000005</v>
      </c>
      <c r="AA18" s="79">
        <v>0</v>
      </c>
      <c r="AB18" s="79">
        <v>4200</v>
      </c>
      <c r="AC18" s="79">
        <v>0</v>
      </c>
      <c r="AD18" s="79">
        <v>19.34</v>
      </c>
      <c r="AE18" s="79">
        <v>4219.34</v>
      </c>
      <c r="AF18" s="79">
        <v>10524</v>
      </c>
      <c r="AG18" s="79">
        <v>5262</v>
      </c>
      <c r="AH18" s="79">
        <v>52.62</v>
      </c>
      <c r="AI18" s="79">
        <v>27</v>
      </c>
      <c r="AJ18" s="79">
        <v>54</v>
      </c>
      <c r="AK18" s="79">
        <v>0.27</v>
      </c>
      <c r="AL18" s="79">
        <v>8100</v>
      </c>
      <c r="AM18" s="79">
        <v>2025</v>
      </c>
      <c r="AN18" s="79">
        <v>12.65625</v>
      </c>
      <c r="AO18" s="79">
        <v>1</v>
      </c>
      <c r="AP18" s="79">
        <v>4</v>
      </c>
      <c r="AQ18" s="79">
        <v>6.2500000000000003E-3</v>
      </c>
      <c r="AR18" s="79"/>
      <c r="AS18" s="79"/>
      <c r="AT18" s="79"/>
      <c r="AU18" s="79"/>
      <c r="AV18" s="79"/>
      <c r="AW18" s="79"/>
    </row>
    <row r="19" spans="1:49" x14ac:dyDescent="0.3">
      <c r="A19" s="79" t="s">
        <v>427</v>
      </c>
      <c r="B19" s="79">
        <v>6</v>
      </c>
      <c r="C19" s="79" t="s">
        <v>395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>
        <v>0.9375</v>
      </c>
      <c r="W19" s="79">
        <v>0</v>
      </c>
      <c r="X19" s="79">
        <v>0</v>
      </c>
      <c r="Y19" s="79">
        <v>0.9375</v>
      </c>
      <c r="Z19" s="79">
        <v>0.9375</v>
      </c>
      <c r="AA19" s="79">
        <v>0</v>
      </c>
      <c r="AB19" s="79">
        <v>0</v>
      </c>
      <c r="AC19" s="79">
        <v>0</v>
      </c>
      <c r="AD19" s="79">
        <v>32.81</v>
      </c>
      <c r="AE19" s="79">
        <v>32.81</v>
      </c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v>300</v>
      </c>
      <c r="AS19" s="79">
        <v>150</v>
      </c>
      <c r="AT19" s="79">
        <v>0.9375</v>
      </c>
      <c r="AU19" s="79">
        <v>150</v>
      </c>
      <c r="AV19" s="79">
        <v>300</v>
      </c>
      <c r="AW19" s="79">
        <v>0.9375</v>
      </c>
    </row>
    <row r="20" spans="1:49" x14ac:dyDescent="0.3">
      <c r="A20" s="79" t="s">
        <v>54</v>
      </c>
      <c r="B20" s="79">
        <v>7</v>
      </c>
      <c r="C20" s="79" t="s">
        <v>396</v>
      </c>
      <c r="D20" s="79">
        <v>13773</v>
      </c>
      <c r="E20" s="79">
        <v>3444</v>
      </c>
      <c r="F20" s="79">
        <v>34.44</v>
      </c>
      <c r="G20" s="79">
        <v>0</v>
      </c>
      <c r="H20" s="79">
        <v>0</v>
      </c>
      <c r="I20" s="79">
        <v>0</v>
      </c>
      <c r="J20" s="79">
        <v>7123</v>
      </c>
      <c r="K20" s="79">
        <v>1781</v>
      </c>
      <c r="L20" s="79">
        <v>11.13125</v>
      </c>
      <c r="M20" s="79">
        <v>0</v>
      </c>
      <c r="N20" s="79">
        <v>0</v>
      </c>
      <c r="O20" s="79">
        <v>0</v>
      </c>
      <c r="P20" s="79">
        <v>4500</v>
      </c>
      <c r="Q20" s="79">
        <v>563</v>
      </c>
      <c r="R20" s="79">
        <v>4.3984379999999996</v>
      </c>
      <c r="S20" s="79">
        <v>0</v>
      </c>
      <c r="T20" s="79">
        <v>0</v>
      </c>
      <c r="U20" s="79">
        <v>0</v>
      </c>
      <c r="V20" s="79">
        <v>49.969687</v>
      </c>
      <c r="W20" s="79">
        <v>1</v>
      </c>
      <c r="X20" s="79">
        <v>0</v>
      </c>
      <c r="Y20" s="79">
        <v>0</v>
      </c>
      <c r="Z20" s="79">
        <v>65</v>
      </c>
      <c r="AA20" s="79">
        <v>15.030313</v>
      </c>
      <c r="AB20" s="79">
        <v>5200</v>
      </c>
      <c r="AC20" s="79">
        <v>0</v>
      </c>
      <c r="AD20" s="79">
        <v>0</v>
      </c>
      <c r="AE20" s="79">
        <v>5200</v>
      </c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</row>
    <row r="21" spans="1:49" x14ac:dyDescent="0.3">
      <c r="A21" s="79" t="s">
        <v>66</v>
      </c>
      <c r="B21" s="79">
        <v>7</v>
      </c>
      <c r="C21" s="79" t="s">
        <v>396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>
        <v>17.768750000000001</v>
      </c>
      <c r="W21" s="79">
        <v>0</v>
      </c>
      <c r="X21" s="79">
        <v>0</v>
      </c>
      <c r="Y21" s="79">
        <v>17.768750000000001</v>
      </c>
      <c r="Z21" s="79">
        <v>17.768750000000001</v>
      </c>
      <c r="AA21" s="79">
        <v>0</v>
      </c>
      <c r="AB21" s="79">
        <v>0</v>
      </c>
      <c r="AC21" s="79">
        <v>0</v>
      </c>
      <c r="AD21" s="79">
        <v>1243.81</v>
      </c>
      <c r="AE21" s="79">
        <v>1243.81</v>
      </c>
      <c r="AF21" s="79">
        <v>3240</v>
      </c>
      <c r="AG21" s="79">
        <v>1620</v>
      </c>
      <c r="AH21" s="79">
        <v>16.2</v>
      </c>
      <c r="AI21" s="79">
        <v>1620</v>
      </c>
      <c r="AJ21" s="79">
        <v>3240</v>
      </c>
      <c r="AK21" s="79">
        <v>16.2</v>
      </c>
      <c r="AL21" s="79">
        <v>1001</v>
      </c>
      <c r="AM21" s="79">
        <v>251</v>
      </c>
      <c r="AN21" s="79">
        <v>1.5687500000000001</v>
      </c>
      <c r="AO21" s="79">
        <v>251</v>
      </c>
      <c r="AP21" s="79">
        <v>1004</v>
      </c>
      <c r="AQ21" s="79">
        <v>1.5687500000000001</v>
      </c>
      <c r="AR21" s="79"/>
      <c r="AS21" s="79"/>
      <c r="AT21" s="79"/>
      <c r="AU21" s="79"/>
      <c r="AV21" s="79"/>
      <c r="AW21" s="79"/>
    </row>
    <row r="22" spans="1:49" x14ac:dyDescent="0.3">
      <c r="A22" s="79" t="s">
        <v>427</v>
      </c>
      <c r="B22" s="79">
        <v>7</v>
      </c>
      <c r="C22" s="79" t="s">
        <v>396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>
        <v>0</v>
      </c>
      <c r="W22" s="79">
        <v>0</v>
      </c>
      <c r="X22" s="79">
        <v>0</v>
      </c>
      <c r="Y22" s="79">
        <v>0</v>
      </c>
      <c r="Z22" s="79">
        <v>0</v>
      </c>
      <c r="AA22" s="79">
        <v>0</v>
      </c>
      <c r="AB22" s="79">
        <v>0</v>
      </c>
      <c r="AC22" s="79">
        <v>0</v>
      </c>
      <c r="AD22" s="79">
        <v>0</v>
      </c>
      <c r="AE22" s="79">
        <v>0</v>
      </c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v>0</v>
      </c>
      <c r="AS22" s="79">
        <v>0</v>
      </c>
      <c r="AT22" s="79">
        <v>0</v>
      </c>
      <c r="AU22" s="79">
        <v>0</v>
      </c>
      <c r="AV22" s="79">
        <v>0</v>
      </c>
      <c r="AW22" s="79">
        <v>0</v>
      </c>
    </row>
    <row r="23" spans="1:49" x14ac:dyDescent="0.3">
      <c r="A23" s="79" t="s">
        <v>54</v>
      </c>
      <c r="B23" s="79">
        <v>8</v>
      </c>
      <c r="C23" s="79" t="s">
        <v>397</v>
      </c>
      <c r="D23" s="79">
        <v>7058</v>
      </c>
      <c r="E23" s="79">
        <v>1765</v>
      </c>
      <c r="F23" s="79">
        <v>17.649999999999999</v>
      </c>
      <c r="G23" s="79">
        <v>0</v>
      </c>
      <c r="H23" s="79">
        <v>0</v>
      </c>
      <c r="I23" s="79">
        <v>0</v>
      </c>
      <c r="J23" s="79">
        <v>5309</v>
      </c>
      <c r="K23" s="79">
        <v>1328</v>
      </c>
      <c r="L23" s="79">
        <v>8.3000000000000007</v>
      </c>
      <c r="M23" s="79">
        <v>376</v>
      </c>
      <c r="N23" s="79">
        <v>1504</v>
      </c>
      <c r="O23" s="79">
        <v>2.35</v>
      </c>
      <c r="P23" s="79">
        <v>4500</v>
      </c>
      <c r="Q23" s="79">
        <v>563</v>
      </c>
      <c r="R23" s="79">
        <v>4.3984379999999996</v>
      </c>
      <c r="S23" s="79">
        <v>0</v>
      </c>
      <c r="T23" s="79">
        <v>0</v>
      </c>
      <c r="U23" s="79">
        <v>0</v>
      </c>
      <c r="V23" s="79">
        <v>30.348438000000002</v>
      </c>
      <c r="W23" s="79">
        <v>0</v>
      </c>
      <c r="X23" s="79">
        <v>1</v>
      </c>
      <c r="Y23" s="79">
        <v>2.35</v>
      </c>
      <c r="Z23" s="79">
        <v>30.35</v>
      </c>
      <c r="AA23" s="79">
        <v>1.562E-3</v>
      </c>
      <c r="AB23" s="79">
        <v>0</v>
      </c>
      <c r="AC23" s="79">
        <v>3000</v>
      </c>
      <c r="AD23" s="79">
        <v>470</v>
      </c>
      <c r="AE23" s="79">
        <v>3470</v>
      </c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</row>
    <row r="24" spans="1:49" x14ac:dyDescent="0.3">
      <c r="A24" s="79" t="s">
        <v>66</v>
      </c>
      <c r="B24" s="79">
        <v>8</v>
      </c>
      <c r="C24" s="79" t="s">
        <v>397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>
        <v>36.072499999999998</v>
      </c>
      <c r="W24" s="79">
        <v>0</v>
      </c>
      <c r="X24" s="79">
        <v>0</v>
      </c>
      <c r="Y24" s="79">
        <v>36.072499999999998</v>
      </c>
      <c r="Z24" s="79">
        <v>36.072499999999998</v>
      </c>
      <c r="AA24" s="79">
        <v>0</v>
      </c>
      <c r="AB24" s="79">
        <v>0</v>
      </c>
      <c r="AC24" s="79">
        <v>0</v>
      </c>
      <c r="AD24" s="79">
        <v>2525.0700000000002</v>
      </c>
      <c r="AE24" s="79">
        <v>2525.0700000000002</v>
      </c>
      <c r="AF24" s="79">
        <v>6442</v>
      </c>
      <c r="AG24" s="79">
        <v>3221</v>
      </c>
      <c r="AH24" s="79">
        <v>32.21</v>
      </c>
      <c r="AI24" s="79">
        <v>3221</v>
      </c>
      <c r="AJ24" s="79">
        <v>6442</v>
      </c>
      <c r="AK24" s="79">
        <v>32.21</v>
      </c>
      <c r="AL24" s="79">
        <v>2471</v>
      </c>
      <c r="AM24" s="79">
        <v>618</v>
      </c>
      <c r="AN24" s="79">
        <v>3.8624999999999998</v>
      </c>
      <c r="AO24" s="79">
        <v>618</v>
      </c>
      <c r="AP24" s="79">
        <v>2472</v>
      </c>
      <c r="AQ24" s="79">
        <v>3.8624999999999998</v>
      </c>
      <c r="AR24" s="79"/>
      <c r="AS24" s="79"/>
      <c r="AT24" s="79"/>
      <c r="AU24" s="79"/>
      <c r="AV24" s="79"/>
      <c r="AW24" s="79"/>
    </row>
    <row r="25" spans="1:49" x14ac:dyDescent="0.3">
      <c r="A25" s="79" t="s">
        <v>427</v>
      </c>
      <c r="B25" s="79">
        <v>8</v>
      </c>
      <c r="C25" s="79" t="s">
        <v>397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>
        <v>0</v>
      </c>
      <c r="W25" s="79">
        <v>0</v>
      </c>
      <c r="X25" s="79">
        <v>0</v>
      </c>
      <c r="Y25" s="79">
        <v>0</v>
      </c>
      <c r="Z25" s="79">
        <v>0</v>
      </c>
      <c r="AA25" s="79">
        <v>0</v>
      </c>
      <c r="AB25" s="79">
        <v>0</v>
      </c>
      <c r="AC25" s="79">
        <v>0</v>
      </c>
      <c r="AD25" s="79">
        <v>0</v>
      </c>
      <c r="AE25" s="79">
        <v>0</v>
      </c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v>0</v>
      </c>
      <c r="AS25" s="79">
        <v>0</v>
      </c>
      <c r="AT25" s="79">
        <v>0</v>
      </c>
      <c r="AU25" s="79">
        <v>0</v>
      </c>
      <c r="AV25" s="79">
        <v>0</v>
      </c>
      <c r="AW25" s="79">
        <v>0</v>
      </c>
    </row>
    <row r="26" spans="1:49" x14ac:dyDescent="0.3">
      <c r="A26" s="79" t="s">
        <v>54</v>
      </c>
      <c r="B26" s="79">
        <v>9</v>
      </c>
      <c r="C26" s="79" t="s">
        <v>400</v>
      </c>
      <c r="D26" s="79">
        <v>2040</v>
      </c>
      <c r="E26" s="79">
        <v>510</v>
      </c>
      <c r="F26" s="79">
        <v>5.0999999999999996</v>
      </c>
      <c r="G26" s="79">
        <v>0</v>
      </c>
      <c r="H26" s="79">
        <v>0</v>
      </c>
      <c r="I26" s="79">
        <v>0</v>
      </c>
      <c r="J26" s="79">
        <v>5309</v>
      </c>
      <c r="K26" s="79">
        <v>1328</v>
      </c>
      <c r="L26" s="79">
        <v>8.3000000000000007</v>
      </c>
      <c r="M26" s="79">
        <v>0</v>
      </c>
      <c r="N26" s="79">
        <v>0</v>
      </c>
      <c r="O26" s="79">
        <v>0</v>
      </c>
      <c r="P26" s="79">
        <v>2200</v>
      </c>
      <c r="Q26" s="79">
        <v>275</v>
      </c>
      <c r="R26" s="79">
        <v>2.1484380000000001</v>
      </c>
      <c r="S26" s="79">
        <v>0</v>
      </c>
      <c r="T26" s="79">
        <v>0</v>
      </c>
      <c r="U26" s="79">
        <v>0</v>
      </c>
      <c r="V26" s="79">
        <v>15.548438000000001</v>
      </c>
      <c r="W26" s="79">
        <v>0</v>
      </c>
      <c r="X26" s="79">
        <v>1</v>
      </c>
      <c r="Y26" s="79">
        <v>0</v>
      </c>
      <c r="Z26" s="79">
        <v>28</v>
      </c>
      <c r="AA26" s="79">
        <v>12.451561999999999</v>
      </c>
      <c r="AB26" s="79">
        <v>0</v>
      </c>
      <c r="AC26" s="79">
        <v>3000</v>
      </c>
      <c r="AD26" s="79">
        <v>0</v>
      </c>
      <c r="AE26" s="79">
        <v>3000</v>
      </c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</row>
    <row r="27" spans="1:49" x14ac:dyDescent="0.3">
      <c r="A27" s="79" t="s">
        <v>66</v>
      </c>
      <c r="B27" s="79">
        <v>9</v>
      </c>
      <c r="C27" s="79" t="s">
        <v>400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>
        <v>49.416249999999998</v>
      </c>
      <c r="W27" s="79">
        <v>0</v>
      </c>
      <c r="X27" s="79">
        <v>0</v>
      </c>
      <c r="Y27" s="79">
        <v>49.416249999999998</v>
      </c>
      <c r="Z27" s="79">
        <v>49.416249999999998</v>
      </c>
      <c r="AA27" s="79">
        <v>0</v>
      </c>
      <c r="AB27" s="79">
        <v>0</v>
      </c>
      <c r="AC27" s="79">
        <v>0</v>
      </c>
      <c r="AD27" s="79">
        <v>3459.14</v>
      </c>
      <c r="AE27" s="79">
        <v>3459.14</v>
      </c>
      <c r="AF27" s="79">
        <v>8802</v>
      </c>
      <c r="AG27" s="79">
        <v>4401</v>
      </c>
      <c r="AH27" s="79">
        <v>44.01</v>
      </c>
      <c r="AI27" s="79">
        <v>4401</v>
      </c>
      <c r="AJ27" s="79">
        <v>8802</v>
      </c>
      <c r="AK27" s="79">
        <v>44.01</v>
      </c>
      <c r="AL27" s="79">
        <v>3458</v>
      </c>
      <c r="AM27" s="79">
        <v>865</v>
      </c>
      <c r="AN27" s="79">
        <v>5.40625</v>
      </c>
      <c r="AO27" s="79">
        <v>865</v>
      </c>
      <c r="AP27" s="79">
        <v>3460</v>
      </c>
      <c r="AQ27" s="79">
        <v>5.40625</v>
      </c>
      <c r="AR27" s="79"/>
      <c r="AS27" s="79"/>
      <c r="AT27" s="79"/>
      <c r="AU27" s="79"/>
      <c r="AV27" s="79"/>
      <c r="AW27" s="79"/>
    </row>
    <row r="28" spans="1:49" x14ac:dyDescent="0.3">
      <c r="A28" s="79" t="s">
        <v>427</v>
      </c>
      <c r="B28" s="79">
        <v>9</v>
      </c>
      <c r="C28" s="79" t="s">
        <v>400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>
        <v>0.9375</v>
      </c>
      <c r="W28" s="79">
        <v>0</v>
      </c>
      <c r="X28" s="79">
        <v>0</v>
      </c>
      <c r="Y28" s="79">
        <v>0.9375</v>
      </c>
      <c r="Z28" s="79">
        <v>0.9375</v>
      </c>
      <c r="AA28" s="79">
        <v>0</v>
      </c>
      <c r="AB28" s="79">
        <v>0</v>
      </c>
      <c r="AC28" s="79">
        <v>0</v>
      </c>
      <c r="AD28" s="79">
        <v>32.81</v>
      </c>
      <c r="AE28" s="79">
        <v>32.81</v>
      </c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v>300</v>
      </c>
      <c r="AS28" s="79">
        <v>150</v>
      </c>
      <c r="AT28" s="79">
        <v>0.9375</v>
      </c>
      <c r="AU28" s="79">
        <v>150</v>
      </c>
      <c r="AV28" s="79">
        <v>300</v>
      </c>
      <c r="AW28" s="79">
        <v>0.9375</v>
      </c>
    </row>
    <row r="29" spans="1:49" x14ac:dyDescent="0.3">
      <c r="A29" s="79" t="s">
        <v>54</v>
      </c>
      <c r="B29" s="79">
        <v>10</v>
      </c>
      <c r="C29" s="79" t="s">
        <v>401</v>
      </c>
      <c r="D29" s="79">
        <v>3541</v>
      </c>
      <c r="E29" s="79">
        <v>886</v>
      </c>
      <c r="F29" s="79">
        <v>8.86</v>
      </c>
      <c r="G29" s="79">
        <v>0</v>
      </c>
      <c r="H29" s="79">
        <v>0</v>
      </c>
      <c r="I29" s="79">
        <v>0</v>
      </c>
      <c r="J29" s="79">
        <v>3000</v>
      </c>
      <c r="K29" s="79">
        <v>750</v>
      </c>
      <c r="L29" s="79">
        <v>4.6875</v>
      </c>
      <c r="M29" s="79">
        <v>0</v>
      </c>
      <c r="N29" s="79">
        <v>0</v>
      </c>
      <c r="O29" s="79">
        <v>0</v>
      </c>
      <c r="P29" s="79">
        <v>5000</v>
      </c>
      <c r="Q29" s="79">
        <v>625</v>
      </c>
      <c r="R29" s="79">
        <v>4.8828120000000004</v>
      </c>
      <c r="S29" s="79">
        <v>0</v>
      </c>
      <c r="T29" s="79">
        <v>0</v>
      </c>
      <c r="U29" s="79">
        <v>0</v>
      </c>
      <c r="V29" s="79">
        <v>18.430312000000001</v>
      </c>
      <c r="W29" s="79">
        <v>0</v>
      </c>
      <c r="X29" s="79">
        <v>1</v>
      </c>
      <c r="Y29" s="79">
        <v>0</v>
      </c>
      <c r="Z29" s="79">
        <v>28</v>
      </c>
      <c r="AA29" s="79">
        <v>9.5696879999999993</v>
      </c>
      <c r="AB29" s="79">
        <v>0</v>
      </c>
      <c r="AC29" s="79">
        <v>3000</v>
      </c>
      <c r="AD29" s="79">
        <v>0</v>
      </c>
      <c r="AE29" s="79">
        <v>3000</v>
      </c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</row>
    <row r="30" spans="1:49" x14ac:dyDescent="0.3">
      <c r="A30" s="79" t="s">
        <v>66</v>
      </c>
      <c r="B30" s="79">
        <v>10</v>
      </c>
      <c r="C30" s="79" t="s">
        <v>401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>
        <v>39.261249999999997</v>
      </c>
      <c r="W30" s="79">
        <v>0</v>
      </c>
      <c r="X30" s="79">
        <v>0</v>
      </c>
      <c r="Y30" s="79">
        <v>39.261249999999997</v>
      </c>
      <c r="Z30" s="79">
        <v>39.261249999999997</v>
      </c>
      <c r="AA30" s="79">
        <v>0</v>
      </c>
      <c r="AB30" s="79">
        <v>0</v>
      </c>
      <c r="AC30" s="79">
        <v>0</v>
      </c>
      <c r="AD30" s="79">
        <v>2748.29</v>
      </c>
      <c r="AE30" s="79">
        <v>2748.29</v>
      </c>
      <c r="AF30" s="79">
        <v>7695</v>
      </c>
      <c r="AG30" s="79">
        <v>3848</v>
      </c>
      <c r="AH30" s="79">
        <v>38.479999999999997</v>
      </c>
      <c r="AI30" s="79">
        <v>3848</v>
      </c>
      <c r="AJ30" s="79">
        <v>7696</v>
      </c>
      <c r="AK30" s="79">
        <v>38.479999999999997</v>
      </c>
      <c r="AL30" s="79">
        <v>500</v>
      </c>
      <c r="AM30" s="79">
        <v>125</v>
      </c>
      <c r="AN30" s="79">
        <v>0.78125</v>
      </c>
      <c r="AO30" s="79">
        <v>125</v>
      </c>
      <c r="AP30" s="79">
        <v>500</v>
      </c>
      <c r="AQ30" s="79">
        <v>0.78125</v>
      </c>
      <c r="AR30" s="79"/>
      <c r="AS30" s="79"/>
      <c r="AT30" s="79"/>
      <c r="AU30" s="79"/>
      <c r="AV30" s="79"/>
      <c r="AW30" s="79"/>
    </row>
    <row r="31" spans="1:49" x14ac:dyDescent="0.3">
      <c r="A31" s="79" t="s">
        <v>427</v>
      </c>
      <c r="B31" s="79">
        <v>10</v>
      </c>
      <c r="C31" s="79" t="s">
        <v>401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79">
        <v>0</v>
      </c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v>0</v>
      </c>
      <c r="AS31" s="79">
        <v>0</v>
      </c>
      <c r="AT31" s="79">
        <v>0</v>
      </c>
      <c r="AU31" s="79">
        <v>0</v>
      </c>
      <c r="AV31" s="79">
        <v>0</v>
      </c>
      <c r="AW31" s="79">
        <v>0</v>
      </c>
    </row>
    <row r="32" spans="1:49" x14ac:dyDescent="0.3">
      <c r="A32" s="79" t="s">
        <v>54</v>
      </c>
      <c r="B32" s="79">
        <v>11</v>
      </c>
      <c r="C32" s="79" t="s">
        <v>402</v>
      </c>
      <c r="D32" s="79">
        <v>12041</v>
      </c>
      <c r="E32" s="79">
        <v>3011</v>
      </c>
      <c r="F32" s="79">
        <v>30.11</v>
      </c>
      <c r="G32" s="79">
        <v>0</v>
      </c>
      <c r="H32" s="79">
        <v>0</v>
      </c>
      <c r="I32" s="79">
        <v>0</v>
      </c>
      <c r="J32" s="79">
        <v>3000</v>
      </c>
      <c r="K32" s="79">
        <v>750</v>
      </c>
      <c r="L32" s="79">
        <v>4.6875</v>
      </c>
      <c r="M32" s="79">
        <v>0</v>
      </c>
      <c r="N32" s="79">
        <v>0</v>
      </c>
      <c r="O32" s="79">
        <v>0</v>
      </c>
      <c r="P32" s="79">
        <v>4300</v>
      </c>
      <c r="Q32" s="79">
        <v>538</v>
      </c>
      <c r="R32" s="79">
        <v>4.203125</v>
      </c>
      <c r="S32" s="79">
        <v>0</v>
      </c>
      <c r="T32" s="79">
        <v>0</v>
      </c>
      <c r="U32" s="79">
        <v>0</v>
      </c>
      <c r="V32" s="79">
        <v>39.000624999999999</v>
      </c>
      <c r="W32" s="79">
        <v>1</v>
      </c>
      <c r="X32" s="79">
        <v>0</v>
      </c>
      <c r="Y32" s="79">
        <v>0</v>
      </c>
      <c r="Z32" s="79">
        <v>65</v>
      </c>
      <c r="AA32" s="79">
        <v>25.999375000000001</v>
      </c>
      <c r="AB32" s="79">
        <v>5200</v>
      </c>
      <c r="AC32" s="79">
        <v>0</v>
      </c>
      <c r="AD32" s="79">
        <v>0</v>
      </c>
      <c r="AE32" s="79">
        <v>5200</v>
      </c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</row>
    <row r="33" spans="1:49" x14ac:dyDescent="0.3">
      <c r="A33" s="79" t="s">
        <v>66</v>
      </c>
      <c r="B33" s="79">
        <v>11</v>
      </c>
      <c r="C33" s="79" t="s">
        <v>402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>
        <v>13.28125</v>
      </c>
      <c r="W33" s="79">
        <v>0</v>
      </c>
      <c r="X33" s="79">
        <v>0</v>
      </c>
      <c r="Y33" s="79">
        <v>13.28125</v>
      </c>
      <c r="Z33" s="79">
        <v>13.28125</v>
      </c>
      <c r="AA33" s="79">
        <v>0</v>
      </c>
      <c r="AB33" s="79">
        <v>0</v>
      </c>
      <c r="AC33" s="79">
        <v>0</v>
      </c>
      <c r="AD33" s="79">
        <v>929.69</v>
      </c>
      <c r="AE33" s="79">
        <v>929.69</v>
      </c>
      <c r="AF33" s="79">
        <v>2500</v>
      </c>
      <c r="AG33" s="79">
        <v>1250</v>
      </c>
      <c r="AH33" s="79">
        <v>12.5</v>
      </c>
      <c r="AI33" s="79">
        <v>1250</v>
      </c>
      <c r="AJ33" s="79">
        <v>2500</v>
      </c>
      <c r="AK33" s="79">
        <v>12.5</v>
      </c>
      <c r="AL33" s="79">
        <v>500</v>
      </c>
      <c r="AM33" s="79">
        <v>125</v>
      </c>
      <c r="AN33" s="79">
        <v>0.78125</v>
      </c>
      <c r="AO33" s="79">
        <v>125</v>
      </c>
      <c r="AP33" s="79">
        <v>500</v>
      </c>
      <c r="AQ33" s="79">
        <v>0.78125</v>
      </c>
      <c r="AR33" s="79"/>
      <c r="AS33" s="79"/>
      <c r="AT33" s="79"/>
      <c r="AU33" s="79"/>
      <c r="AV33" s="79"/>
      <c r="AW33" s="79"/>
    </row>
    <row r="34" spans="1:49" x14ac:dyDescent="0.3">
      <c r="A34" s="79" t="s">
        <v>427</v>
      </c>
      <c r="B34" s="79">
        <v>11</v>
      </c>
      <c r="C34" s="79" t="s">
        <v>402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>
        <v>2.1875</v>
      </c>
      <c r="W34" s="79">
        <v>0</v>
      </c>
      <c r="X34" s="79">
        <v>0</v>
      </c>
      <c r="Y34" s="79">
        <v>2.1875</v>
      </c>
      <c r="Z34" s="79">
        <v>2.1875</v>
      </c>
      <c r="AA34" s="79">
        <v>0</v>
      </c>
      <c r="AB34" s="79">
        <v>0</v>
      </c>
      <c r="AC34" s="79">
        <v>0</v>
      </c>
      <c r="AD34" s="79">
        <v>76.56</v>
      </c>
      <c r="AE34" s="79">
        <v>76.56</v>
      </c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v>700</v>
      </c>
      <c r="AS34" s="79">
        <v>350</v>
      </c>
      <c r="AT34" s="79">
        <v>2.1875</v>
      </c>
      <c r="AU34" s="79">
        <v>350</v>
      </c>
      <c r="AV34" s="79">
        <v>700</v>
      </c>
      <c r="AW34" s="79">
        <v>2.1875</v>
      </c>
    </row>
    <row r="35" spans="1:49" x14ac:dyDescent="0.3">
      <c r="A35" s="79" t="s">
        <v>54</v>
      </c>
      <c r="B35" s="79">
        <v>12</v>
      </c>
      <c r="C35" s="79" t="s">
        <v>403</v>
      </c>
      <c r="D35" s="79">
        <v>12040</v>
      </c>
      <c r="E35" s="79">
        <v>3010</v>
      </c>
      <c r="F35" s="79">
        <v>30.1</v>
      </c>
      <c r="G35" s="79">
        <v>0</v>
      </c>
      <c r="H35" s="79">
        <v>0</v>
      </c>
      <c r="I35" s="79">
        <v>0</v>
      </c>
      <c r="J35" s="79">
        <v>3000</v>
      </c>
      <c r="K35" s="79">
        <v>750</v>
      </c>
      <c r="L35" s="79">
        <v>4.6875</v>
      </c>
      <c r="M35" s="79">
        <v>0</v>
      </c>
      <c r="N35" s="79">
        <v>0</v>
      </c>
      <c r="O35" s="79">
        <v>0</v>
      </c>
      <c r="P35" s="79">
        <v>4700</v>
      </c>
      <c r="Q35" s="79">
        <v>588</v>
      </c>
      <c r="R35" s="79">
        <v>4.59375</v>
      </c>
      <c r="S35" s="79">
        <v>0</v>
      </c>
      <c r="T35" s="79">
        <v>0</v>
      </c>
      <c r="U35" s="79">
        <v>0</v>
      </c>
      <c r="V35" s="79">
        <v>39.381250000000001</v>
      </c>
      <c r="W35" s="79">
        <v>1</v>
      </c>
      <c r="X35" s="79">
        <v>0</v>
      </c>
      <c r="Y35" s="79">
        <v>0</v>
      </c>
      <c r="Z35" s="79">
        <v>65</v>
      </c>
      <c r="AA35" s="79">
        <v>25.618749999999999</v>
      </c>
      <c r="AB35" s="79">
        <v>5200</v>
      </c>
      <c r="AC35" s="79">
        <v>0</v>
      </c>
      <c r="AD35" s="79">
        <v>0</v>
      </c>
      <c r="AE35" s="79">
        <v>5200</v>
      </c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</row>
    <row r="36" spans="1:49" x14ac:dyDescent="0.3">
      <c r="A36" s="79" t="s">
        <v>66</v>
      </c>
      <c r="B36" s="79">
        <v>12</v>
      </c>
      <c r="C36" s="79" t="s">
        <v>403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>
        <v>13.28125</v>
      </c>
      <c r="W36" s="79">
        <v>0</v>
      </c>
      <c r="X36" s="79">
        <v>0</v>
      </c>
      <c r="Y36" s="79">
        <v>13.28125</v>
      </c>
      <c r="Z36" s="79">
        <v>13.28125</v>
      </c>
      <c r="AA36" s="79">
        <v>0</v>
      </c>
      <c r="AB36" s="79">
        <v>0</v>
      </c>
      <c r="AC36" s="79">
        <v>0</v>
      </c>
      <c r="AD36" s="79">
        <v>929.69</v>
      </c>
      <c r="AE36" s="79">
        <v>929.69</v>
      </c>
      <c r="AF36" s="79">
        <v>2500</v>
      </c>
      <c r="AG36" s="79">
        <v>1250</v>
      </c>
      <c r="AH36" s="79">
        <v>12.5</v>
      </c>
      <c r="AI36" s="79">
        <v>1250</v>
      </c>
      <c r="AJ36" s="79">
        <v>2500</v>
      </c>
      <c r="AK36" s="79">
        <v>12.5</v>
      </c>
      <c r="AL36" s="79">
        <v>500</v>
      </c>
      <c r="AM36" s="79">
        <v>125</v>
      </c>
      <c r="AN36" s="79">
        <v>0.78125</v>
      </c>
      <c r="AO36" s="79">
        <v>125</v>
      </c>
      <c r="AP36" s="79">
        <v>500</v>
      </c>
      <c r="AQ36" s="79">
        <v>0.78125</v>
      </c>
      <c r="AR36" s="79"/>
      <c r="AS36" s="79"/>
      <c r="AT36" s="79"/>
      <c r="AU36" s="79"/>
      <c r="AV36" s="79"/>
      <c r="AW36" s="79"/>
    </row>
    <row r="37" spans="1:49" x14ac:dyDescent="0.3">
      <c r="A37" s="79" t="s">
        <v>427</v>
      </c>
      <c r="B37" s="79">
        <v>12</v>
      </c>
      <c r="C37" s="79" t="s">
        <v>403</v>
      </c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>
        <v>0.9375</v>
      </c>
      <c r="W37" s="79">
        <v>0</v>
      </c>
      <c r="X37" s="79">
        <v>0</v>
      </c>
      <c r="Y37" s="79">
        <v>0.9375</v>
      </c>
      <c r="Z37" s="79">
        <v>0.9375</v>
      </c>
      <c r="AA37" s="79">
        <v>0</v>
      </c>
      <c r="AB37" s="79">
        <v>0</v>
      </c>
      <c r="AC37" s="79">
        <v>0</v>
      </c>
      <c r="AD37" s="79">
        <v>32.81</v>
      </c>
      <c r="AE37" s="79">
        <v>32.81</v>
      </c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v>300</v>
      </c>
      <c r="AS37" s="79">
        <v>150</v>
      </c>
      <c r="AT37" s="79">
        <v>0.9375</v>
      </c>
      <c r="AU37" s="79">
        <v>150</v>
      </c>
      <c r="AV37" s="79">
        <v>300</v>
      </c>
      <c r="AW37" s="79">
        <v>0.9375</v>
      </c>
    </row>
    <row r="38" spans="1:49" x14ac:dyDescent="0.3">
      <c r="A38" s="79" t="s">
        <v>54</v>
      </c>
      <c r="B38" s="79">
        <v>13</v>
      </c>
      <c r="C38" s="79" t="s">
        <v>404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3000</v>
      </c>
      <c r="K38" s="79">
        <v>750</v>
      </c>
      <c r="L38" s="79">
        <v>4.6875</v>
      </c>
      <c r="M38" s="79">
        <v>750</v>
      </c>
      <c r="N38" s="79">
        <v>3000</v>
      </c>
      <c r="O38" s="79">
        <v>4.6875</v>
      </c>
      <c r="P38" s="79">
        <v>4746</v>
      </c>
      <c r="Q38" s="79">
        <v>594</v>
      </c>
      <c r="R38" s="79">
        <v>4.640625</v>
      </c>
      <c r="S38" s="79">
        <v>594</v>
      </c>
      <c r="T38" s="79">
        <v>4752</v>
      </c>
      <c r="U38" s="79">
        <v>4.640625</v>
      </c>
      <c r="V38" s="79">
        <v>9.328125</v>
      </c>
      <c r="W38" s="79">
        <v>0</v>
      </c>
      <c r="X38" s="79">
        <v>0</v>
      </c>
      <c r="Y38" s="79">
        <v>9.328125</v>
      </c>
      <c r="Z38" s="79">
        <v>9.328125</v>
      </c>
      <c r="AA38" s="79">
        <v>0</v>
      </c>
      <c r="AB38" s="79">
        <v>0</v>
      </c>
      <c r="AC38" s="79">
        <v>0</v>
      </c>
      <c r="AD38" s="79">
        <v>1865.62</v>
      </c>
      <c r="AE38" s="79">
        <v>1865.62</v>
      </c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</row>
    <row r="39" spans="1:49" x14ac:dyDescent="0.3">
      <c r="A39" s="79" t="s">
        <v>66</v>
      </c>
      <c r="B39" s="79">
        <v>13</v>
      </c>
      <c r="C39" s="79" t="s">
        <v>404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>
        <v>13.28125</v>
      </c>
      <c r="W39" s="79">
        <v>0</v>
      </c>
      <c r="X39" s="79">
        <v>0</v>
      </c>
      <c r="Y39" s="79">
        <v>13.28125</v>
      </c>
      <c r="Z39" s="79">
        <v>13.28125</v>
      </c>
      <c r="AA39" s="79">
        <v>0</v>
      </c>
      <c r="AB39" s="79">
        <v>0</v>
      </c>
      <c r="AC39" s="79">
        <v>0</v>
      </c>
      <c r="AD39" s="79">
        <v>929.69</v>
      </c>
      <c r="AE39" s="79">
        <v>929.69</v>
      </c>
      <c r="AF39" s="79">
        <v>2500</v>
      </c>
      <c r="AG39" s="79">
        <v>1250</v>
      </c>
      <c r="AH39" s="79">
        <v>12.5</v>
      </c>
      <c r="AI39" s="79">
        <v>1250</v>
      </c>
      <c r="AJ39" s="79">
        <v>2500</v>
      </c>
      <c r="AK39" s="79">
        <v>12.5</v>
      </c>
      <c r="AL39" s="79">
        <v>500</v>
      </c>
      <c r="AM39" s="79">
        <v>125</v>
      </c>
      <c r="AN39" s="79">
        <v>0.78125</v>
      </c>
      <c r="AO39" s="79">
        <v>125</v>
      </c>
      <c r="AP39" s="79">
        <v>500</v>
      </c>
      <c r="AQ39" s="79">
        <v>0.78125</v>
      </c>
      <c r="AR39" s="79"/>
      <c r="AS39" s="79"/>
      <c r="AT39" s="79"/>
      <c r="AU39" s="79"/>
      <c r="AV39" s="79"/>
      <c r="AW39" s="79"/>
    </row>
    <row r="40" spans="1:49" x14ac:dyDescent="0.3">
      <c r="A40" s="79" t="s">
        <v>427</v>
      </c>
      <c r="B40" s="79">
        <v>13</v>
      </c>
      <c r="C40" s="79" t="s">
        <v>404</v>
      </c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>
        <v>0.9375</v>
      </c>
      <c r="W40" s="79">
        <v>0</v>
      </c>
      <c r="X40" s="79">
        <v>0</v>
      </c>
      <c r="Y40" s="79">
        <v>0.9375</v>
      </c>
      <c r="Z40" s="79">
        <v>0.9375</v>
      </c>
      <c r="AA40" s="79">
        <v>0</v>
      </c>
      <c r="AB40" s="79">
        <v>0</v>
      </c>
      <c r="AC40" s="79">
        <v>0</v>
      </c>
      <c r="AD40" s="79">
        <v>32.81</v>
      </c>
      <c r="AE40" s="79">
        <v>32.81</v>
      </c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v>300</v>
      </c>
      <c r="AS40" s="79">
        <v>150</v>
      </c>
      <c r="AT40" s="79">
        <v>0.9375</v>
      </c>
      <c r="AU40" s="79">
        <v>150</v>
      </c>
      <c r="AV40" s="79">
        <v>300</v>
      </c>
      <c r="AW40" s="79">
        <v>0.9375</v>
      </c>
    </row>
    <row r="41" spans="1:49" x14ac:dyDescent="0.3">
      <c r="A41" s="79" t="s">
        <v>54</v>
      </c>
      <c r="B41" s="79">
        <v>14</v>
      </c>
      <c r="C41" s="79" t="s">
        <v>405</v>
      </c>
      <c r="D41" s="79">
        <v>0</v>
      </c>
      <c r="E41" s="79">
        <v>0</v>
      </c>
      <c r="F41" s="79">
        <v>0</v>
      </c>
      <c r="G41" s="79">
        <v>0</v>
      </c>
      <c r="H41" s="79">
        <v>0</v>
      </c>
      <c r="I41" s="79">
        <v>0</v>
      </c>
      <c r="J41" s="79">
        <v>2400</v>
      </c>
      <c r="K41" s="79">
        <v>600</v>
      </c>
      <c r="L41" s="79">
        <v>3.75</v>
      </c>
      <c r="M41" s="79">
        <v>600</v>
      </c>
      <c r="N41" s="79">
        <v>2400</v>
      </c>
      <c r="O41" s="79">
        <v>3.75</v>
      </c>
      <c r="P41" s="79">
        <v>4300</v>
      </c>
      <c r="Q41" s="79">
        <v>538</v>
      </c>
      <c r="R41" s="79">
        <v>4.203125</v>
      </c>
      <c r="S41" s="79">
        <v>538</v>
      </c>
      <c r="T41" s="79">
        <v>4304</v>
      </c>
      <c r="U41" s="79">
        <v>4.203125</v>
      </c>
      <c r="V41" s="79">
        <v>7.953125</v>
      </c>
      <c r="W41" s="79">
        <v>0</v>
      </c>
      <c r="X41" s="79">
        <v>0</v>
      </c>
      <c r="Y41" s="79">
        <v>7.953125</v>
      </c>
      <c r="Z41" s="79">
        <v>7.953125</v>
      </c>
      <c r="AA41" s="79">
        <v>0</v>
      </c>
      <c r="AB41" s="79">
        <v>0</v>
      </c>
      <c r="AC41" s="79">
        <v>0</v>
      </c>
      <c r="AD41" s="79">
        <v>1590.62</v>
      </c>
      <c r="AE41" s="79">
        <v>1590.62</v>
      </c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</row>
    <row r="42" spans="1:49" x14ac:dyDescent="0.3">
      <c r="A42" s="79" t="s">
        <v>66</v>
      </c>
      <c r="B42" s="79">
        <v>14</v>
      </c>
      <c r="C42" s="79" t="s">
        <v>405</v>
      </c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>
        <v>5</v>
      </c>
      <c r="W42" s="79">
        <v>0</v>
      </c>
      <c r="X42" s="79">
        <v>0</v>
      </c>
      <c r="Y42" s="79">
        <v>5</v>
      </c>
      <c r="Z42" s="79">
        <v>5</v>
      </c>
      <c r="AA42" s="79">
        <v>0</v>
      </c>
      <c r="AB42" s="79">
        <v>0</v>
      </c>
      <c r="AC42" s="79">
        <v>0</v>
      </c>
      <c r="AD42" s="79">
        <v>350</v>
      </c>
      <c r="AE42" s="79">
        <v>350</v>
      </c>
      <c r="AF42" s="79">
        <v>1000</v>
      </c>
      <c r="AG42" s="79">
        <v>500</v>
      </c>
      <c r="AH42" s="79">
        <v>5</v>
      </c>
      <c r="AI42" s="79">
        <v>500</v>
      </c>
      <c r="AJ42" s="79">
        <v>1000</v>
      </c>
      <c r="AK42" s="79">
        <v>5</v>
      </c>
      <c r="AL42" s="79">
        <v>0</v>
      </c>
      <c r="AM42" s="79">
        <v>0</v>
      </c>
      <c r="AN42" s="79">
        <v>0</v>
      </c>
      <c r="AO42" s="79">
        <v>0</v>
      </c>
      <c r="AP42" s="79">
        <v>0</v>
      </c>
      <c r="AQ42" s="79">
        <v>0</v>
      </c>
      <c r="AR42" s="79"/>
      <c r="AS42" s="79"/>
      <c r="AT42" s="79"/>
      <c r="AU42" s="79"/>
      <c r="AV42" s="79"/>
      <c r="AW42" s="79"/>
    </row>
    <row r="43" spans="1:49" x14ac:dyDescent="0.3">
      <c r="A43" s="79" t="s">
        <v>427</v>
      </c>
      <c r="B43" s="79">
        <v>14</v>
      </c>
      <c r="C43" s="79" t="s">
        <v>405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>
        <v>0.9375</v>
      </c>
      <c r="W43" s="79">
        <v>0</v>
      </c>
      <c r="X43" s="79">
        <v>0</v>
      </c>
      <c r="Y43" s="79">
        <v>0.9375</v>
      </c>
      <c r="Z43" s="79">
        <v>0.9375</v>
      </c>
      <c r="AA43" s="79">
        <v>0</v>
      </c>
      <c r="AB43" s="79">
        <v>0</v>
      </c>
      <c r="AC43" s="79">
        <v>0</v>
      </c>
      <c r="AD43" s="79">
        <v>32.81</v>
      </c>
      <c r="AE43" s="79">
        <v>32.81</v>
      </c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v>300</v>
      </c>
      <c r="AS43" s="79">
        <v>150</v>
      </c>
      <c r="AT43" s="79">
        <v>0.9375</v>
      </c>
      <c r="AU43" s="79">
        <v>150</v>
      </c>
      <c r="AV43" s="79">
        <v>300</v>
      </c>
      <c r="AW43" s="79">
        <v>0.9375</v>
      </c>
    </row>
    <row r="44" spans="1:49" x14ac:dyDescent="0.3">
      <c r="A44" s="79" t="s">
        <v>54</v>
      </c>
      <c r="B44" s="79">
        <v>15</v>
      </c>
      <c r="C44" s="79" t="s">
        <v>406</v>
      </c>
      <c r="D44" s="79">
        <v>27760</v>
      </c>
      <c r="E44" s="79">
        <v>6940</v>
      </c>
      <c r="F44" s="79">
        <v>69.400000000000006</v>
      </c>
      <c r="G44" s="79">
        <v>440</v>
      </c>
      <c r="H44" s="79">
        <v>1760</v>
      </c>
      <c r="I44" s="79">
        <v>4.4000000000000004</v>
      </c>
      <c r="J44" s="79">
        <v>2400</v>
      </c>
      <c r="K44" s="79">
        <v>600</v>
      </c>
      <c r="L44" s="79">
        <v>3.75</v>
      </c>
      <c r="M44" s="79">
        <v>600</v>
      </c>
      <c r="N44" s="79">
        <v>2400</v>
      </c>
      <c r="O44" s="79">
        <v>3.75</v>
      </c>
      <c r="P44" s="79">
        <v>476</v>
      </c>
      <c r="Q44" s="79">
        <v>60</v>
      </c>
      <c r="R44" s="79">
        <v>0.46875</v>
      </c>
      <c r="S44" s="79">
        <v>60</v>
      </c>
      <c r="T44" s="79">
        <v>480</v>
      </c>
      <c r="U44" s="79">
        <v>0.46875</v>
      </c>
      <c r="V44" s="79">
        <v>73.618750000000006</v>
      </c>
      <c r="W44" s="79">
        <v>1</v>
      </c>
      <c r="X44" s="79">
        <v>0</v>
      </c>
      <c r="Y44" s="79">
        <v>8.6187500000000004</v>
      </c>
      <c r="Z44" s="79">
        <v>73.618750000000006</v>
      </c>
      <c r="AA44" s="79">
        <v>0</v>
      </c>
      <c r="AB44" s="79">
        <v>5200</v>
      </c>
      <c r="AC44" s="79">
        <v>0</v>
      </c>
      <c r="AD44" s="79">
        <v>1723.75</v>
      </c>
      <c r="AE44" s="79">
        <v>6923.75</v>
      </c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</row>
    <row r="45" spans="1:49" x14ac:dyDescent="0.3">
      <c r="A45" s="79" t="s">
        <v>66</v>
      </c>
      <c r="B45" s="79">
        <v>15</v>
      </c>
      <c r="C45" s="79" t="s">
        <v>406</v>
      </c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>
        <v>5</v>
      </c>
      <c r="W45" s="79">
        <v>0</v>
      </c>
      <c r="X45" s="79">
        <v>0</v>
      </c>
      <c r="Y45" s="79">
        <v>5</v>
      </c>
      <c r="Z45" s="79">
        <v>5</v>
      </c>
      <c r="AA45" s="79">
        <v>0</v>
      </c>
      <c r="AB45" s="79">
        <v>0</v>
      </c>
      <c r="AC45" s="79">
        <v>0</v>
      </c>
      <c r="AD45" s="79">
        <v>350</v>
      </c>
      <c r="AE45" s="79">
        <v>350</v>
      </c>
      <c r="AF45" s="79">
        <v>1000</v>
      </c>
      <c r="AG45" s="79">
        <v>500</v>
      </c>
      <c r="AH45" s="79">
        <v>5</v>
      </c>
      <c r="AI45" s="79">
        <v>500</v>
      </c>
      <c r="AJ45" s="79">
        <v>1000</v>
      </c>
      <c r="AK45" s="79">
        <v>5</v>
      </c>
      <c r="AL45" s="79">
        <v>0</v>
      </c>
      <c r="AM45" s="79">
        <v>0</v>
      </c>
      <c r="AN45" s="79">
        <v>0</v>
      </c>
      <c r="AO45" s="79">
        <v>0</v>
      </c>
      <c r="AP45" s="79">
        <v>0</v>
      </c>
      <c r="AQ45" s="79">
        <v>0</v>
      </c>
      <c r="AR45" s="79"/>
      <c r="AS45" s="79"/>
      <c r="AT45" s="79"/>
      <c r="AU45" s="79"/>
      <c r="AV45" s="79"/>
      <c r="AW45" s="79"/>
    </row>
    <row r="46" spans="1:49" x14ac:dyDescent="0.3">
      <c r="A46" s="79" t="s">
        <v>427</v>
      </c>
      <c r="B46" s="79">
        <v>15</v>
      </c>
      <c r="C46" s="79" t="s">
        <v>406</v>
      </c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>
        <v>0</v>
      </c>
      <c r="W46" s="79">
        <v>0</v>
      </c>
      <c r="X46" s="79">
        <v>0</v>
      </c>
      <c r="Y46" s="79">
        <v>0</v>
      </c>
      <c r="Z46" s="79">
        <v>0</v>
      </c>
      <c r="AA46" s="79">
        <v>0</v>
      </c>
      <c r="AB46" s="79">
        <v>0</v>
      </c>
      <c r="AC46" s="79">
        <v>0</v>
      </c>
      <c r="AD46" s="79">
        <v>0</v>
      </c>
      <c r="AE46" s="79">
        <v>0</v>
      </c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v>0</v>
      </c>
      <c r="AS46" s="79">
        <v>0</v>
      </c>
      <c r="AT46" s="79">
        <v>0</v>
      </c>
      <c r="AU46" s="79">
        <v>0</v>
      </c>
      <c r="AV46" s="79">
        <v>0</v>
      </c>
      <c r="AW46" s="79">
        <v>0</v>
      </c>
    </row>
    <row r="47" spans="1:49" x14ac:dyDescent="0.3">
      <c r="A47" s="79" t="s">
        <v>54</v>
      </c>
      <c r="B47" s="79">
        <v>16</v>
      </c>
      <c r="C47" s="79" t="s">
        <v>407</v>
      </c>
      <c r="D47" s="79">
        <v>26486</v>
      </c>
      <c r="E47" s="79">
        <v>6622</v>
      </c>
      <c r="F47" s="79">
        <v>66.22</v>
      </c>
      <c r="G47" s="79">
        <v>122</v>
      </c>
      <c r="H47" s="79">
        <v>488</v>
      </c>
      <c r="I47" s="79">
        <v>1.22</v>
      </c>
      <c r="J47" s="79">
        <v>0</v>
      </c>
      <c r="K47" s="79">
        <v>0</v>
      </c>
      <c r="L47" s="79">
        <v>0</v>
      </c>
      <c r="M47" s="79">
        <v>0</v>
      </c>
      <c r="N47" s="79">
        <v>0</v>
      </c>
      <c r="O47" s="79">
        <v>0</v>
      </c>
      <c r="P47" s="79">
        <v>1298</v>
      </c>
      <c r="Q47" s="79">
        <v>163</v>
      </c>
      <c r="R47" s="79">
        <v>1.2734380000000001</v>
      </c>
      <c r="S47" s="79">
        <v>163</v>
      </c>
      <c r="T47" s="79">
        <v>1304</v>
      </c>
      <c r="U47" s="79">
        <v>1.2734380000000001</v>
      </c>
      <c r="V47" s="79">
        <v>67.493437</v>
      </c>
      <c r="W47" s="79">
        <v>1</v>
      </c>
      <c r="X47" s="79">
        <v>0</v>
      </c>
      <c r="Y47" s="79">
        <v>2.4934370000000001</v>
      </c>
      <c r="Z47" s="79">
        <v>67.493437</v>
      </c>
      <c r="AA47" s="79">
        <v>0</v>
      </c>
      <c r="AB47" s="79">
        <v>5200</v>
      </c>
      <c r="AC47" s="79">
        <v>0</v>
      </c>
      <c r="AD47" s="79">
        <v>498.69</v>
      </c>
      <c r="AE47" s="79">
        <v>5698.69</v>
      </c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</row>
    <row r="48" spans="1:49" x14ac:dyDescent="0.3">
      <c r="A48" s="79" t="s">
        <v>66</v>
      </c>
      <c r="B48" s="79">
        <v>16</v>
      </c>
      <c r="C48" s="79" t="s">
        <v>407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>
        <v>5.625</v>
      </c>
      <c r="W48" s="79">
        <v>0</v>
      </c>
      <c r="X48" s="79">
        <v>0</v>
      </c>
      <c r="Y48" s="79">
        <v>5.625</v>
      </c>
      <c r="Z48" s="79">
        <v>5.625</v>
      </c>
      <c r="AA48" s="79">
        <v>0</v>
      </c>
      <c r="AB48" s="79">
        <v>0</v>
      </c>
      <c r="AC48" s="79">
        <v>0</v>
      </c>
      <c r="AD48" s="79">
        <v>393.75</v>
      </c>
      <c r="AE48" s="79">
        <v>393.75</v>
      </c>
      <c r="AF48" s="79">
        <v>1000</v>
      </c>
      <c r="AG48" s="79">
        <v>500</v>
      </c>
      <c r="AH48" s="79">
        <v>5</v>
      </c>
      <c r="AI48" s="79">
        <v>500</v>
      </c>
      <c r="AJ48" s="79">
        <v>1000</v>
      </c>
      <c r="AK48" s="79">
        <v>5</v>
      </c>
      <c r="AL48" s="79">
        <v>400</v>
      </c>
      <c r="AM48" s="79">
        <v>100</v>
      </c>
      <c r="AN48" s="79">
        <v>0.625</v>
      </c>
      <c r="AO48" s="79">
        <v>100</v>
      </c>
      <c r="AP48" s="79">
        <v>400</v>
      </c>
      <c r="AQ48" s="79">
        <v>0.625</v>
      </c>
      <c r="AR48" s="79"/>
      <c r="AS48" s="79"/>
      <c r="AT48" s="79"/>
      <c r="AU48" s="79"/>
      <c r="AV48" s="79"/>
      <c r="AW48" s="79"/>
    </row>
    <row r="49" spans="1:49" x14ac:dyDescent="0.3">
      <c r="A49" s="79" t="s">
        <v>427</v>
      </c>
      <c r="B49" s="79">
        <v>16</v>
      </c>
      <c r="C49" s="79" t="s">
        <v>407</v>
      </c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9">
        <v>0</v>
      </c>
      <c r="AB49" s="79">
        <v>0</v>
      </c>
      <c r="AC49" s="79">
        <v>0</v>
      </c>
      <c r="AD49" s="79">
        <v>0</v>
      </c>
      <c r="AE49" s="79">
        <v>0</v>
      </c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v>0</v>
      </c>
      <c r="AS49" s="79">
        <v>0</v>
      </c>
      <c r="AT49" s="79">
        <v>0</v>
      </c>
      <c r="AU49" s="79">
        <v>0</v>
      </c>
      <c r="AV49" s="79">
        <v>0</v>
      </c>
      <c r="AW49" s="79">
        <v>0</v>
      </c>
    </row>
    <row r="50" spans="1:49" x14ac:dyDescent="0.3">
      <c r="A50" s="79" t="s">
        <v>54</v>
      </c>
      <c r="B50" s="79">
        <v>17</v>
      </c>
      <c r="C50" s="79" t="s">
        <v>408</v>
      </c>
      <c r="D50" s="79">
        <v>4248</v>
      </c>
      <c r="E50" s="79">
        <v>1062</v>
      </c>
      <c r="F50" s="79">
        <v>10.62</v>
      </c>
      <c r="G50" s="79">
        <v>0</v>
      </c>
      <c r="H50" s="79">
        <v>0</v>
      </c>
      <c r="I50" s="79">
        <v>0</v>
      </c>
      <c r="J50" s="79">
        <v>2400</v>
      </c>
      <c r="K50" s="79">
        <v>600</v>
      </c>
      <c r="L50" s="79">
        <v>3.75</v>
      </c>
      <c r="M50" s="79">
        <v>0</v>
      </c>
      <c r="N50" s="79">
        <v>0</v>
      </c>
      <c r="O50" s="79">
        <v>0</v>
      </c>
      <c r="P50" s="79">
        <v>1300</v>
      </c>
      <c r="Q50" s="79">
        <v>163</v>
      </c>
      <c r="R50" s="79">
        <v>1.2734380000000001</v>
      </c>
      <c r="S50" s="79">
        <v>0</v>
      </c>
      <c r="T50" s="79">
        <v>0</v>
      </c>
      <c r="U50" s="79">
        <v>0</v>
      </c>
      <c r="V50" s="79">
        <v>15.643438</v>
      </c>
      <c r="W50" s="79">
        <v>0</v>
      </c>
      <c r="X50" s="79">
        <v>1</v>
      </c>
      <c r="Y50" s="79">
        <v>0</v>
      </c>
      <c r="Z50" s="79">
        <v>28</v>
      </c>
      <c r="AA50" s="79">
        <v>12.356562</v>
      </c>
      <c r="AB50" s="79">
        <v>0</v>
      </c>
      <c r="AC50" s="79">
        <v>3000</v>
      </c>
      <c r="AD50" s="79">
        <v>0</v>
      </c>
      <c r="AE50" s="79">
        <v>3000</v>
      </c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</row>
    <row r="51" spans="1:49" x14ac:dyDescent="0.3">
      <c r="A51" s="79" t="s">
        <v>66</v>
      </c>
      <c r="B51" s="79">
        <v>17</v>
      </c>
      <c r="C51" s="79" t="s">
        <v>408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>
        <v>5</v>
      </c>
      <c r="W51" s="79">
        <v>0</v>
      </c>
      <c r="X51" s="79">
        <v>0</v>
      </c>
      <c r="Y51" s="79">
        <v>5</v>
      </c>
      <c r="Z51" s="79">
        <v>5</v>
      </c>
      <c r="AA51" s="79">
        <v>0</v>
      </c>
      <c r="AB51" s="79">
        <v>0</v>
      </c>
      <c r="AC51" s="79">
        <v>0</v>
      </c>
      <c r="AD51" s="79">
        <v>350</v>
      </c>
      <c r="AE51" s="79">
        <v>350</v>
      </c>
      <c r="AF51" s="79">
        <v>1000</v>
      </c>
      <c r="AG51" s="79">
        <v>500</v>
      </c>
      <c r="AH51" s="79">
        <v>5</v>
      </c>
      <c r="AI51" s="79">
        <v>500</v>
      </c>
      <c r="AJ51" s="79">
        <v>1000</v>
      </c>
      <c r="AK51" s="79">
        <v>5</v>
      </c>
      <c r="AL51" s="79">
        <v>0</v>
      </c>
      <c r="AM51" s="79">
        <v>0</v>
      </c>
      <c r="AN51" s="79">
        <v>0</v>
      </c>
      <c r="AO51" s="79">
        <v>0</v>
      </c>
      <c r="AP51" s="79">
        <v>0</v>
      </c>
      <c r="AQ51" s="79">
        <v>0</v>
      </c>
      <c r="AR51" s="79"/>
      <c r="AS51" s="79"/>
      <c r="AT51" s="79"/>
      <c r="AU51" s="79"/>
      <c r="AV51" s="79"/>
      <c r="AW51" s="79"/>
    </row>
    <row r="52" spans="1:49" x14ac:dyDescent="0.3">
      <c r="A52" s="79" t="s">
        <v>427</v>
      </c>
      <c r="B52" s="79">
        <v>17</v>
      </c>
      <c r="C52" s="79" t="s">
        <v>408</v>
      </c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>
        <v>0.9375</v>
      </c>
      <c r="W52" s="79">
        <v>0</v>
      </c>
      <c r="X52" s="79">
        <v>0</v>
      </c>
      <c r="Y52" s="79">
        <v>0.9375</v>
      </c>
      <c r="Z52" s="79">
        <v>0.9375</v>
      </c>
      <c r="AA52" s="79">
        <v>0</v>
      </c>
      <c r="AB52" s="79">
        <v>0</v>
      </c>
      <c r="AC52" s="79">
        <v>0</v>
      </c>
      <c r="AD52" s="79">
        <v>32.81</v>
      </c>
      <c r="AE52" s="79">
        <v>32.81</v>
      </c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v>300</v>
      </c>
      <c r="AS52" s="79">
        <v>150</v>
      </c>
      <c r="AT52" s="79">
        <v>0.9375</v>
      </c>
      <c r="AU52" s="79">
        <v>150</v>
      </c>
      <c r="AV52" s="79">
        <v>300</v>
      </c>
      <c r="AW52" s="79">
        <v>0.9375</v>
      </c>
    </row>
    <row r="53" spans="1:49" x14ac:dyDescent="0.3">
      <c r="A53" s="79" t="s">
        <v>54</v>
      </c>
      <c r="B53" s="79">
        <v>18</v>
      </c>
      <c r="C53" s="79" t="s">
        <v>409</v>
      </c>
      <c r="D53" s="79">
        <v>4248</v>
      </c>
      <c r="E53" s="79">
        <v>1062</v>
      </c>
      <c r="F53" s="79">
        <v>10.62</v>
      </c>
      <c r="G53" s="79">
        <v>0</v>
      </c>
      <c r="H53" s="79">
        <v>0</v>
      </c>
      <c r="I53" s="79">
        <v>0</v>
      </c>
      <c r="J53" s="79">
        <v>2400</v>
      </c>
      <c r="K53" s="79">
        <v>600</v>
      </c>
      <c r="L53" s="79">
        <v>3.75</v>
      </c>
      <c r="M53" s="79">
        <v>0</v>
      </c>
      <c r="N53" s="79">
        <v>0</v>
      </c>
      <c r="O53" s="79">
        <v>0</v>
      </c>
      <c r="P53" s="79">
        <v>1298</v>
      </c>
      <c r="Q53" s="79">
        <v>163</v>
      </c>
      <c r="R53" s="79">
        <v>1.2734380000000001</v>
      </c>
      <c r="S53" s="79">
        <v>0</v>
      </c>
      <c r="T53" s="79">
        <v>0</v>
      </c>
      <c r="U53" s="79">
        <v>0</v>
      </c>
      <c r="V53" s="79">
        <v>15.643438</v>
      </c>
      <c r="W53" s="79">
        <v>0</v>
      </c>
      <c r="X53" s="79">
        <v>1</v>
      </c>
      <c r="Y53" s="79">
        <v>0</v>
      </c>
      <c r="Z53" s="79">
        <v>28</v>
      </c>
      <c r="AA53" s="79">
        <v>12.356562</v>
      </c>
      <c r="AB53" s="79">
        <v>0</v>
      </c>
      <c r="AC53" s="79">
        <v>3000</v>
      </c>
      <c r="AD53" s="79">
        <v>0</v>
      </c>
      <c r="AE53" s="79">
        <v>3000</v>
      </c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</row>
    <row r="54" spans="1:49" x14ac:dyDescent="0.3">
      <c r="A54" s="79" t="s">
        <v>66</v>
      </c>
      <c r="B54" s="79">
        <v>18</v>
      </c>
      <c r="C54" s="79" t="s">
        <v>409</v>
      </c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>
        <v>5</v>
      </c>
      <c r="W54" s="79">
        <v>0</v>
      </c>
      <c r="X54" s="79">
        <v>0</v>
      </c>
      <c r="Y54" s="79">
        <v>5</v>
      </c>
      <c r="Z54" s="79">
        <v>5</v>
      </c>
      <c r="AA54" s="79">
        <v>0</v>
      </c>
      <c r="AB54" s="79">
        <v>0</v>
      </c>
      <c r="AC54" s="79">
        <v>0</v>
      </c>
      <c r="AD54" s="79">
        <v>350</v>
      </c>
      <c r="AE54" s="79">
        <v>350</v>
      </c>
      <c r="AF54" s="79">
        <v>1000</v>
      </c>
      <c r="AG54" s="79">
        <v>500</v>
      </c>
      <c r="AH54" s="79">
        <v>5</v>
      </c>
      <c r="AI54" s="79">
        <v>500</v>
      </c>
      <c r="AJ54" s="79">
        <v>1000</v>
      </c>
      <c r="AK54" s="79">
        <v>5</v>
      </c>
      <c r="AL54" s="79">
        <v>0</v>
      </c>
      <c r="AM54" s="79">
        <v>0</v>
      </c>
      <c r="AN54" s="79">
        <v>0</v>
      </c>
      <c r="AO54" s="79">
        <v>0</v>
      </c>
      <c r="AP54" s="79">
        <v>0</v>
      </c>
      <c r="AQ54" s="79">
        <v>0</v>
      </c>
      <c r="AR54" s="79"/>
      <c r="AS54" s="79"/>
      <c r="AT54" s="79"/>
      <c r="AU54" s="79"/>
      <c r="AV54" s="79"/>
      <c r="AW54" s="79"/>
    </row>
    <row r="55" spans="1:49" x14ac:dyDescent="0.3">
      <c r="A55" s="79" t="s">
        <v>427</v>
      </c>
      <c r="B55" s="79">
        <v>18</v>
      </c>
      <c r="C55" s="79" t="s">
        <v>409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>
        <v>0</v>
      </c>
      <c r="W55" s="79">
        <v>0</v>
      </c>
      <c r="X55" s="79">
        <v>0</v>
      </c>
      <c r="Y55" s="79">
        <v>0</v>
      </c>
      <c r="Z55" s="79">
        <v>0</v>
      </c>
      <c r="AA55" s="79">
        <v>0</v>
      </c>
      <c r="AB55" s="79">
        <v>0</v>
      </c>
      <c r="AC55" s="79">
        <v>0</v>
      </c>
      <c r="AD55" s="79">
        <v>0</v>
      </c>
      <c r="AE55" s="79">
        <v>0</v>
      </c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v>0</v>
      </c>
      <c r="AS55" s="79">
        <v>0</v>
      </c>
      <c r="AT55" s="79">
        <v>0</v>
      </c>
      <c r="AU55" s="79">
        <v>0</v>
      </c>
      <c r="AV55" s="79">
        <v>0</v>
      </c>
      <c r="AW55" s="79">
        <v>0</v>
      </c>
    </row>
    <row r="56" spans="1:49" x14ac:dyDescent="0.3">
      <c r="A56" s="79" t="s">
        <v>54</v>
      </c>
      <c r="B56" s="79">
        <v>19</v>
      </c>
      <c r="C56" s="79" t="s">
        <v>410</v>
      </c>
      <c r="D56" s="79">
        <v>4249</v>
      </c>
      <c r="E56" s="79">
        <v>1063</v>
      </c>
      <c r="F56" s="79">
        <v>10.63</v>
      </c>
      <c r="G56" s="79">
        <v>0</v>
      </c>
      <c r="H56" s="79">
        <v>0</v>
      </c>
      <c r="I56" s="79">
        <v>0</v>
      </c>
      <c r="J56" s="79">
        <v>3750</v>
      </c>
      <c r="K56" s="79">
        <v>938</v>
      </c>
      <c r="L56" s="79">
        <v>5.8624999999999998</v>
      </c>
      <c r="M56" s="79">
        <v>0</v>
      </c>
      <c r="N56" s="79">
        <v>0</v>
      </c>
      <c r="O56" s="79">
        <v>0</v>
      </c>
      <c r="P56" s="79">
        <v>1506</v>
      </c>
      <c r="Q56" s="79">
        <v>189</v>
      </c>
      <c r="R56" s="79">
        <v>1.4765619999999999</v>
      </c>
      <c r="S56" s="79">
        <v>0</v>
      </c>
      <c r="T56" s="79">
        <v>0</v>
      </c>
      <c r="U56" s="79">
        <v>0</v>
      </c>
      <c r="V56" s="79">
        <v>17.969062000000001</v>
      </c>
      <c r="W56" s="79">
        <v>0</v>
      </c>
      <c r="X56" s="79">
        <v>1</v>
      </c>
      <c r="Y56" s="79">
        <v>0</v>
      </c>
      <c r="Z56" s="79">
        <v>28</v>
      </c>
      <c r="AA56" s="79">
        <v>10.030938000000001</v>
      </c>
      <c r="AB56" s="79">
        <v>0</v>
      </c>
      <c r="AC56" s="79">
        <v>3000</v>
      </c>
      <c r="AD56" s="79">
        <v>0</v>
      </c>
      <c r="AE56" s="79">
        <v>3000</v>
      </c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</row>
    <row r="57" spans="1:49" x14ac:dyDescent="0.3">
      <c r="A57" s="79" t="s">
        <v>66</v>
      </c>
      <c r="B57" s="79">
        <v>19</v>
      </c>
      <c r="C57" s="79" t="s">
        <v>410</v>
      </c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>
        <v>4.375</v>
      </c>
      <c r="W57" s="79">
        <v>0</v>
      </c>
      <c r="X57" s="79">
        <v>0</v>
      </c>
      <c r="Y57" s="79">
        <v>4.375</v>
      </c>
      <c r="Z57" s="79">
        <v>4.375</v>
      </c>
      <c r="AA57" s="79">
        <v>0</v>
      </c>
      <c r="AB57" s="79">
        <v>0</v>
      </c>
      <c r="AC57" s="79">
        <v>0</v>
      </c>
      <c r="AD57" s="79">
        <v>306.25</v>
      </c>
      <c r="AE57" s="79">
        <v>306.25</v>
      </c>
      <c r="AF57" s="79">
        <v>750</v>
      </c>
      <c r="AG57" s="79">
        <v>375</v>
      </c>
      <c r="AH57" s="79">
        <v>3.75</v>
      </c>
      <c r="AI57" s="79">
        <v>375</v>
      </c>
      <c r="AJ57" s="79">
        <v>750</v>
      </c>
      <c r="AK57" s="79">
        <v>3.75</v>
      </c>
      <c r="AL57" s="79">
        <v>400</v>
      </c>
      <c r="AM57" s="79">
        <v>100</v>
      </c>
      <c r="AN57" s="79">
        <v>0.625</v>
      </c>
      <c r="AO57" s="79">
        <v>100</v>
      </c>
      <c r="AP57" s="79">
        <v>400</v>
      </c>
      <c r="AQ57" s="79">
        <v>0.625</v>
      </c>
      <c r="AR57" s="79"/>
      <c r="AS57" s="79"/>
      <c r="AT57" s="79"/>
      <c r="AU57" s="79"/>
      <c r="AV57" s="79"/>
      <c r="AW57" s="79"/>
    </row>
    <row r="58" spans="1:49" x14ac:dyDescent="0.3">
      <c r="A58" s="79" t="s">
        <v>427</v>
      </c>
      <c r="B58" s="79">
        <v>19</v>
      </c>
      <c r="C58" s="79" t="s">
        <v>410</v>
      </c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>
        <v>0</v>
      </c>
      <c r="W58" s="79">
        <v>0</v>
      </c>
      <c r="X58" s="79">
        <v>0</v>
      </c>
      <c r="Y58" s="79">
        <v>0</v>
      </c>
      <c r="Z58" s="79">
        <v>0</v>
      </c>
      <c r="AA58" s="79">
        <v>0</v>
      </c>
      <c r="AB58" s="79">
        <v>0</v>
      </c>
      <c r="AC58" s="79">
        <v>0</v>
      </c>
      <c r="AD58" s="79">
        <v>0</v>
      </c>
      <c r="AE58" s="79">
        <v>0</v>
      </c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v>0</v>
      </c>
      <c r="AS58" s="79">
        <v>0</v>
      </c>
      <c r="AT58" s="79">
        <v>0</v>
      </c>
      <c r="AU58" s="79">
        <v>0</v>
      </c>
      <c r="AV58" s="79">
        <v>0</v>
      </c>
      <c r="AW58" s="79">
        <v>0</v>
      </c>
    </row>
    <row r="59" spans="1:49" x14ac:dyDescent="0.3">
      <c r="A59" s="79" t="s">
        <v>54</v>
      </c>
      <c r="B59" s="79">
        <v>20</v>
      </c>
      <c r="C59" s="79" t="s">
        <v>411</v>
      </c>
      <c r="D59" s="79">
        <v>4248</v>
      </c>
      <c r="E59" s="79">
        <v>1062</v>
      </c>
      <c r="F59" s="79">
        <v>10.62</v>
      </c>
      <c r="G59" s="79">
        <v>0</v>
      </c>
      <c r="H59" s="79">
        <v>0</v>
      </c>
      <c r="I59" s="79">
        <v>0</v>
      </c>
      <c r="J59" s="79">
        <v>3750</v>
      </c>
      <c r="K59" s="79">
        <v>938</v>
      </c>
      <c r="L59" s="79">
        <v>5.8624999999999998</v>
      </c>
      <c r="M59" s="79">
        <v>0</v>
      </c>
      <c r="N59" s="79">
        <v>0</v>
      </c>
      <c r="O59" s="79">
        <v>0</v>
      </c>
      <c r="P59" s="79">
        <v>1506</v>
      </c>
      <c r="Q59" s="79">
        <v>189</v>
      </c>
      <c r="R59" s="79">
        <v>1.4765619999999999</v>
      </c>
      <c r="S59" s="79">
        <v>0</v>
      </c>
      <c r="T59" s="79">
        <v>0</v>
      </c>
      <c r="U59" s="79">
        <v>0</v>
      </c>
      <c r="V59" s="79">
        <v>17.959063</v>
      </c>
      <c r="W59" s="79">
        <v>0</v>
      </c>
      <c r="X59" s="79">
        <v>1</v>
      </c>
      <c r="Y59" s="79">
        <v>0</v>
      </c>
      <c r="Z59" s="79">
        <v>28</v>
      </c>
      <c r="AA59" s="79">
        <v>10.040937</v>
      </c>
      <c r="AB59" s="79">
        <v>0</v>
      </c>
      <c r="AC59" s="79">
        <v>3000</v>
      </c>
      <c r="AD59" s="79">
        <v>0</v>
      </c>
      <c r="AE59" s="79">
        <v>3000</v>
      </c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</row>
    <row r="60" spans="1:49" x14ac:dyDescent="0.3">
      <c r="A60" s="79" t="s">
        <v>66</v>
      </c>
      <c r="B60" s="79">
        <v>20</v>
      </c>
      <c r="C60" s="79" t="s">
        <v>411</v>
      </c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>
        <v>3.75</v>
      </c>
      <c r="W60" s="79">
        <v>0</v>
      </c>
      <c r="X60" s="79">
        <v>0</v>
      </c>
      <c r="Y60" s="79">
        <v>3.75</v>
      </c>
      <c r="Z60" s="79">
        <v>3.75</v>
      </c>
      <c r="AA60" s="79">
        <v>0</v>
      </c>
      <c r="AB60" s="79">
        <v>0</v>
      </c>
      <c r="AC60" s="79">
        <v>0</v>
      </c>
      <c r="AD60" s="79">
        <v>262.5</v>
      </c>
      <c r="AE60" s="79">
        <v>262.5</v>
      </c>
      <c r="AF60" s="79">
        <v>750</v>
      </c>
      <c r="AG60" s="79">
        <v>375</v>
      </c>
      <c r="AH60" s="79">
        <v>3.75</v>
      </c>
      <c r="AI60" s="79">
        <v>375</v>
      </c>
      <c r="AJ60" s="79">
        <v>750</v>
      </c>
      <c r="AK60" s="79">
        <v>3.75</v>
      </c>
      <c r="AL60" s="79">
        <v>0</v>
      </c>
      <c r="AM60" s="79">
        <v>0</v>
      </c>
      <c r="AN60" s="79">
        <v>0</v>
      </c>
      <c r="AO60" s="79">
        <v>0</v>
      </c>
      <c r="AP60" s="79">
        <v>0</v>
      </c>
      <c r="AQ60" s="79">
        <v>0</v>
      </c>
      <c r="AR60" s="79"/>
      <c r="AS60" s="79"/>
      <c r="AT60" s="79"/>
      <c r="AU60" s="79"/>
      <c r="AV60" s="79"/>
      <c r="AW60" s="79"/>
    </row>
    <row r="61" spans="1:49" x14ac:dyDescent="0.3">
      <c r="A61" s="79" t="s">
        <v>427</v>
      </c>
      <c r="B61" s="79">
        <v>20</v>
      </c>
      <c r="C61" s="79" t="s">
        <v>411</v>
      </c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>
        <v>0.9375</v>
      </c>
      <c r="W61" s="79">
        <v>0</v>
      </c>
      <c r="X61" s="79">
        <v>0</v>
      </c>
      <c r="Y61" s="79">
        <v>0.9375</v>
      </c>
      <c r="Z61" s="79">
        <v>0.9375</v>
      </c>
      <c r="AA61" s="79">
        <v>0</v>
      </c>
      <c r="AB61" s="79">
        <v>0</v>
      </c>
      <c r="AC61" s="79">
        <v>0</v>
      </c>
      <c r="AD61" s="79">
        <v>32.81</v>
      </c>
      <c r="AE61" s="79">
        <v>32.81</v>
      </c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v>300</v>
      </c>
      <c r="AS61" s="79">
        <v>150</v>
      </c>
      <c r="AT61" s="79">
        <v>0.9375</v>
      </c>
      <c r="AU61" s="79">
        <v>150</v>
      </c>
      <c r="AV61" s="79">
        <v>300</v>
      </c>
      <c r="AW61" s="79">
        <v>0.9375</v>
      </c>
    </row>
    <row r="62" spans="1:49" x14ac:dyDescent="0.3">
      <c r="A62" s="79" t="s">
        <v>54</v>
      </c>
      <c r="B62" s="79">
        <v>21</v>
      </c>
      <c r="C62" s="79" t="s">
        <v>412</v>
      </c>
      <c r="D62" s="79">
        <v>2391</v>
      </c>
      <c r="E62" s="79">
        <v>598</v>
      </c>
      <c r="F62" s="79">
        <v>5.98</v>
      </c>
      <c r="G62" s="79">
        <v>598</v>
      </c>
      <c r="H62" s="79">
        <v>2392</v>
      </c>
      <c r="I62" s="79">
        <v>5.98</v>
      </c>
      <c r="J62" s="79">
        <v>3750</v>
      </c>
      <c r="K62" s="79">
        <v>938</v>
      </c>
      <c r="L62" s="79">
        <v>5.8624999999999998</v>
      </c>
      <c r="M62" s="79">
        <v>938</v>
      </c>
      <c r="N62" s="79">
        <v>3752</v>
      </c>
      <c r="O62" s="79">
        <v>5.8624999999999998</v>
      </c>
      <c r="P62" s="79">
        <v>1506</v>
      </c>
      <c r="Q62" s="79">
        <v>189</v>
      </c>
      <c r="R62" s="79">
        <v>1.4765619999999999</v>
      </c>
      <c r="S62" s="79">
        <v>189</v>
      </c>
      <c r="T62" s="79">
        <v>1512</v>
      </c>
      <c r="U62" s="79">
        <v>1.4765619999999999</v>
      </c>
      <c r="V62" s="79">
        <v>13.319063</v>
      </c>
      <c r="W62" s="79">
        <v>0</v>
      </c>
      <c r="X62" s="79">
        <v>0</v>
      </c>
      <c r="Y62" s="79">
        <v>13.319063</v>
      </c>
      <c r="Z62" s="79">
        <v>13.319063</v>
      </c>
      <c r="AA62" s="79">
        <v>0</v>
      </c>
      <c r="AB62" s="79">
        <v>0</v>
      </c>
      <c r="AC62" s="79">
        <v>0</v>
      </c>
      <c r="AD62" s="79">
        <v>2663.81</v>
      </c>
      <c r="AE62" s="79">
        <v>2663.81</v>
      </c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</row>
    <row r="63" spans="1:49" x14ac:dyDescent="0.3">
      <c r="A63" s="79" t="s">
        <v>66</v>
      </c>
      <c r="B63" s="79">
        <v>21</v>
      </c>
      <c r="C63" s="79" t="s">
        <v>412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>
        <v>4.375</v>
      </c>
      <c r="W63" s="79">
        <v>0</v>
      </c>
      <c r="X63" s="79">
        <v>0</v>
      </c>
      <c r="Y63" s="79">
        <v>4.375</v>
      </c>
      <c r="Z63" s="79">
        <v>4.375</v>
      </c>
      <c r="AA63" s="79">
        <v>0</v>
      </c>
      <c r="AB63" s="79">
        <v>0</v>
      </c>
      <c r="AC63" s="79">
        <v>0</v>
      </c>
      <c r="AD63" s="79">
        <v>306.25</v>
      </c>
      <c r="AE63" s="79">
        <v>306.25</v>
      </c>
      <c r="AF63" s="79">
        <v>750</v>
      </c>
      <c r="AG63" s="79">
        <v>375</v>
      </c>
      <c r="AH63" s="79">
        <v>3.75</v>
      </c>
      <c r="AI63" s="79">
        <v>375</v>
      </c>
      <c r="AJ63" s="79">
        <v>750</v>
      </c>
      <c r="AK63" s="79">
        <v>3.75</v>
      </c>
      <c r="AL63" s="79">
        <v>400</v>
      </c>
      <c r="AM63" s="79">
        <v>100</v>
      </c>
      <c r="AN63" s="79">
        <v>0.625</v>
      </c>
      <c r="AO63" s="79">
        <v>100</v>
      </c>
      <c r="AP63" s="79">
        <v>400</v>
      </c>
      <c r="AQ63" s="79">
        <v>0.625</v>
      </c>
      <c r="AR63" s="79"/>
      <c r="AS63" s="79"/>
      <c r="AT63" s="79"/>
      <c r="AU63" s="79"/>
      <c r="AV63" s="79"/>
      <c r="AW63" s="79"/>
    </row>
    <row r="64" spans="1:49" x14ac:dyDescent="0.3">
      <c r="A64" s="79" t="s">
        <v>427</v>
      </c>
      <c r="B64" s="79">
        <v>21</v>
      </c>
      <c r="C64" s="79" t="s">
        <v>412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9">
        <v>0</v>
      </c>
      <c r="AC64" s="79">
        <v>0</v>
      </c>
      <c r="AD64" s="79">
        <v>0</v>
      </c>
      <c r="AE64" s="79">
        <v>0</v>
      </c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v>0</v>
      </c>
      <c r="AS64" s="79">
        <v>0</v>
      </c>
      <c r="AT64" s="79">
        <v>0</v>
      </c>
      <c r="AU64" s="79">
        <v>0</v>
      </c>
      <c r="AV64" s="79">
        <v>0</v>
      </c>
      <c r="AW64" s="79">
        <v>0</v>
      </c>
    </row>
    <row r="65" spans="1:49" x14ac:dyDescent="0.3">
      <c r="A65" s="79" t="s">
        <v>54</v>
      </c>
      <c r="B65" s="79">
        <v>22</v>
      </c>
      <c r="C65" s="79" t="s">
        <v>413</v>
      </c>
      <c r="D65" s="79">
        <v>2392</v>
      </c>
      <c r="E65" s="79">
        <v>598</v>
      </c>
      <c r="F65" s="79">
        <v>5.98</v>
      </c>
      <c r="G65" s="79">
        <v>598</v>
      </c>
      <c r="H65" s="79">
        <v>2392</v>
      </c>
      <c r="I65" s="79">
        <v>5.98</v>
      </c>
      <c r="J65" s="79">
        <v>3750</v>
      </c>
      <c r="K65" s="79">
        <v>938</v>
      </c>
      <c r="L65" s="79">
        <v>5.8624999999999998</v>
      </c>
      <c r="M65" s="79">
        <v>938</v>
      </c>
      <c r="N65" s="79">
        <v>3752</v>
      </c>
      <c r="O65" s="79">
        <v>5.8624999999999998</v>
      </c>
      <c r="P65" s="79">
        <v>1506</v>
      </c>
      <c r="Q65" s="79">
        <v>189</v>
      </c>
      <c r="R65" s="79">
        <v>1.4765619999999999</v>
      </c>
      <c r="S65" s="79">
        <v>189</v>
      </c>
      <c r="T65" s="79">
        <v>1512</v>
      </c>
      <c r="U65" s="79">
        <v>1.4765619999999999</v>
      </c>
      <c r="V65" s="79">
        <v>13.319063</v>
      </c>
      <c r="W65" s="79">
        <v>0</v>
      </c>
      <c r="X65" s="79">
        <v>0</v>
      </c>
      <c r="Y65" s="79">
        <v>13.319063</v>
      </c>
      <c r="Z65" s="79">
        <v>13.319063</v>
      </c>
      <c r="AA65" s="79">
        <v>0</v>
      </c>
      <c r="AB65" s="79">
        <v>0</v>
      </c>
      <c r="AC65" s="79">
        <v>0</v>
      </c>
      <c r="AD65" s="79">
        <v>2663.81</v>
      </c>
      <c r="AE65" s="79">
        <v>2663.81</v>
      </c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</row>
    <row r="66" spans="1:49" x14ac:dyDescent="0.3">
      <c r="A66" s="79" t="s">
        <v>66</v>
      </c>
      <c r="B66" s="79">
        <v>22</v>
      </c>
      <c r="C66" s="79" t="s">
        <v>413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>
        <v>3.75</v>
      </c>
      <c r="W66" s="79">
        <v>0</v>
      </c>
      <c r="X66" s="79">
        <v>0</v>
      </c>
      <c r="Y66" s="79">
        <v>3.75</v>
      </c>
      <c r="Z66" s="79">
        <v>3.75</v>
      </c>
      <c r="AA66" s="79">
        <v>0</v>
      </c>
      <c r="AB66" s="79">
        <v>0</v>
      </c>
      <c r="AC66" s="79">
        <v>0</v>
      </c>
      <c r="AD66" s="79">
        <v>262.5</v>
      </c>
      <c r="AE66" s="79">
        <v>262.5</v>
      </c>
      <c r="AF66" s="79">
        <v>750</v>
      </c>
      <c r="AG66" s="79">
        <v>375</v>
      </c>
      <c r="AH66" s="79">
        <v>3.75</v>
      </c>
      <c r="AI66" s="79">
        <v>375</v>
      </c>
      <c r="AJ66" s="79">
        <v>750</v>
      </c>
      <c r="AK66" s="79">
        <v>3.75</v>
      </c>
      <c r="AL66" s="79">
        <v>0</v>
      </c>
      <c r="AM66" s="79">
        <v>0</v>
      </c>
      <c r="AN66" s="79">
        <v>0</v>
      </c>
      <c r="AO66" s="79">
        <v>0</v>
      </c>
      <c r="AP66" s="79">
        <v>0</v>
      </c>
      <c r="AQ66" s="79">
        <v>0</v>
      </c>
      <c r="AR66" s="79"/>
      <c r="AS66" s="79"/>
      <c r="AT66" s="79"/>
      <c r="AU66" s="79"/>
      <c r="AV66" s="79"/>
      <c r="AW66" s="79"/>
    </row>
    <row r="67" spans="1:49" x14ac:dyDescent="0.3">
      <c r="A67" s="79" t="s">
        <v>427</v>
      </c>
      <c r="B67" s="79">
        <v>22</v>
      </c>
      <c r="C67" s="79" t="s">
        <v>413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>
        <v>0</v>
      </c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79">
        <v>0</v>
      </c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v>0</v>
      </c>
      <c r="AS67" s="79">
        <v>0</v>
      </c>
      <c r="AT67" s="79">
        <v>0</v>
      </c>
      <c r="AU67" s="79">
        <v>0</v>
      </c>
      <c r="AV67" s="79">
        <v>0</v>
      </c>
      <c r="AW67" s="79">
        <v>0</v>
      </c>
    </row>
    <row r="68" spans="1:49" x14ac:dyDescent="0.3">
      <c r="A68" s="79" t="s">
        <v>54</v>
      </c>
      <c r="B68" s="79">
        <v>23</v>
      </c>
      <c r="C68" s="79" t="s">
        <v>414</v>
      </c>
      <c r="D68" s="79">
        <v>2391</v>
      </c>
      <c r="E68" s="79">
        <v>598</v>
      </c>
      <c r="F68" s="79">
        <v>5.98</v>
      </c>
      <c r="G68" s="79">
        <v>598</v>
      </c>
      <c r="H68" s="79">
        <v>2392</v>
      </c>
      <c r="I68" s="79">
        <v>5.98</v>
      </c>
      <c r="J68" s="79">
        <v>3000</v>
      </c>
      <c r="K68" s="79">
        <v>750</v>
      </c>
      <c r="L68" s="79">
        <v>4.6875</v>
      </c>
      <c r="M68" s="79">
        <v>750</v>
      </c>
      <c r="N68" s="79">
        <v>3000</v>
      </c>
      <c r="O68" s="79">
        <v>4.6875</v>
      </c>
      <c r="P68" s="79">
        <v>1446</v>
      </c>
      <c r="Q68" s="79">
        <v>181</v>
      </c>
      <c r="R68" s="79">
        <v>1.4140619999999999</v>
      </c>
      <c r="S68" s="79">
        <v>181</v>
      </c>
      <c r="T68" s="79">
        <v>1448</v>
      </c>
      <c r="U68" s="79">
        <v>1.4140619999999999</v>
      </c>
      <c r="V68" s="79">
        <v>12.081562999999999</v>
      </c>
      <c r="W68" s="79">
        <v>0</v>
      </c>
      <c r="X68" s="79">
        <v>0</v>
      </c>
      <c r="Y68" s="79">
        <v>12.081562999999999</v>
      </c>
      <c r="Z68" s="79">
        <v>12.081562999999999</v>
      </c>
      <c r="AA68" s="79">
        <v>0</v>
      </c>
      <c r="AB68" s="79">
        <v>0</v>
      </c>
      <c r="AC68" s="79">
        <v>0</v>
      </c>
      <c r="AD68" s="79">
        <v>2416.31</v>
      </c>
      <c r="AE68" s="79">
        <v>2416.31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</row>
    <row r="69" spans="1:49" x14ac:dyDescent="0.3">
      <c r="A69" s="79" t="s">
        <v>66</v>
      </c>
      <c r="B69" s="79">
        <v>23</v>
      </c>
      <c r="C69" s="79" t="s">
        <v>414</v>
      </c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>
        <v>3.5625</v>
      </c>
      <c r="W69" s="79">
        <v>0</v>
      </c>
      <c r="X69" s="79">
        <v>0</v>
      </c>
      <c r="Y69" s="79">
        <v>3.5625</v>
      </c>
      <c r="Z69" s="79">
        <v>3.5625</v>
      </c>
      <c r="AA69" s="79">
        <v>0</v>
      </c>
      <c r="AB69" s="79">
        <v>0</v>
      </c>
      <c r="AC69" s="79">
        <v>0</v>
      </c>
      <c r="AD69" s="79">
        <v>249.38</v>
      </c>
      <c r="AE69" s="79">
        <v>249.38</v>
      </c>
      <c r="AF69" s="79">
        <v>600</v>
      </c>
      <c r="AG69" s="79">
        <v>300</v>
      </c>
      <c r="AH69" s="79">
        <v>3</v>
      </c>
      <c r="AI69" s="79">
        <v>300</v>
      </c>
      <c r="AJ69" s="79">
        <v>600</v>
      </c>
      <c r="AK69" s="79">
        <v>3</v>
      </c>
      <c r="AL69" s="79">
        <v>360</v>
      </c>
      <c r="AM69" s="79">
        <v>90</v>
      </c>
      <c r="AN69" s="79">
        <v>0.5625</v>
      </c>
      <c r="AO69" s="79">
        <v>90</v>
      </c>
      <c r="AP69" s="79">
        <v>360</v>
      </c>
      <c r="AQ69" s="79">
        <v>0.5625</v>
      </c>
      <c r="AR69" s="79"/>
      <c r="AS69" s="79"/>
      <c r="AT69" s="79"/>
      <c r="AU69" s="79"/>
      <c r="AV69" s="79"/>
      <c r="AW69" s="79"/>
    </row>
    <row r="70" spans="1:49" x14ac:dyDescent="0.3">
      <c r="A70" s="79" t="s">
        <v>427</v>
      </c>
      <c r="B70" s="79">
        <v>23</v>
      </c>
      <c r="C70" s="79" t="s">
        <v>414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v>0</v>
      </c>
      <c r="AS70" s="79">
        <v>0</v>
      </c>
      <c r="AT70" s="79">
        <v>0</v>
      </c>
      <c r="AU70" s="79">
        <v>0</v>
      </c>
      <c r="AV70" s="79">
        <v>0</v>
      </c>
      <c r="AW70" s="79">
        <v>0</v>
      </c>
    </row>
    <row r="71" spans="1:49" x14ac:dyDescent="0.3">
      <c r="A71" s="79" t="s">
        <v>54</v>
      </c>
      <c r="B71" s="79">
        <v>24</v>
      </c>
      <c r="C71" s="79" t="s">
        <v>415</v>
      </c>
      <c r="D71" s="79">
        <v>2392</v>
      </c>
      <c r="E71" s="79">
        <v>598</v>
      </c>
      <c r="F71" s="79">
        <v>5.98</v>
      </c>
      <c r="G71" s="79">
        <v>598</v>
      </c>
      <c r="H71" s="79">
        <v>2392</v>
      </c>
      <c r="I71" s="79">
        <v>5.98</v>
      </c>
      <c r="J71" s="79">
        <v>3000</v>
      </c>
      <c r="K71" s="79">
        <v>750</v>
      </c>
      <c r="L71" s="79">
        <v>4.6875</v>
      </c>
      <c r="M71" s="79">
        <v>750</v>
      </c>
      <c r="N71" s="79">
        <v>3000</v>
      </c>
      <c r="O71" s="79">
        <v>4.6875</v>
      </c>
      <c r="P71" s="79">
        <v>0</v>
      </c>
      <c r="Q71" s="79">
        <v>0</v>
      </c>
      <c r="R71" s="79">
        <v>0</v>
      </c>
      <c r="S71" s="79">
        <v>0</v>
      </c>
      <c r="T71" s="79">
        <v>0</v>
      </c>
      <c r="U71" s="79">
        <v>0</v>
      </c>
      <c r="V71" s="79">
        <v>10.6675</v>
      </c>
      <c r="W71" s="79">
        <v>0</v>
      </c>
      <c r="X71" s="79">
        <v>0</v>
      </c>
      <c r="Y71" s="79">
        <v>10.6675</v>
      </c>
      <c r="Z71" s="79">
        <v>10.6675</v>
      </c>
      <c r="AA71" s="79">
        <v>0</v>
      </c>
      <c r="AB71" s="79">
        <v>0</v>
      </c>
      <c r="AC71" s="79">
        <v>0</v>
      </c>
      <c r="AD71" s="79">
        <v>2133.5</v>
      </c>
      <c r="AE71" s="79">
        <v>2133.5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</row>
    <row r="72" spans="1:49" x14ac:dyDescent="0.3">
      <c r="A72" s="79" t="s">
        <v>66</v>
      </c>
      <c r="B72" s="79">
        <v>24</v>
      </c>
      <c r="C72" s="79" t="s">
        <v>415</v>
      </c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>
        <v>3.5625</v>
      </c>
      <c r="W72" s="79">
        <v>0</v>
      </c>
      <c r="X72" s="79">
        <v>0</v>
      </c>
      <c r="Y72" s="79">
        <v>3.5625</v>
      </c>
      <c r="Z72" s="79">
        <v>3.5625</v>
      </c>
      <c r="AA72" s="79">
        <v>0</v>
      </c>
      <c r="AB72" s="79">
        <v>0</v>
      </c>
      <c r="AC72" s="79">
        <v>0</v>
      </c>
      <c r="AD72" s="79">
        <v>249.38</v>
      </c>
      <c r="AE72" s="79">
        <v>249.38</v>
      </c>
      <c r="AF72" s="79">
        <v>600</v>
      </c>
      <c r="AG72" s="79">
        <v>300</v>
      </c>
      <c r="AH72" s="79">
        <v>3</v>
      </c>
      <c r="AI72" s="79">
        <v>300</v>
      </c>
      <c r="AJ72" s="79">
        <v>600</v>
      </c>
      <c r="AK72" s="79">
        <v>3</v>
      </c>
      <c r="AL72" s="79">
        <v>360</v>
      </c>
      <c r="AM72" s="79">
        <v>90</v>
      </c>
      <c r="AN72" s="79">
        <v>0.5625</v>
      </c>
      <c r="AO72" s="79">
        <v>90</v>
      </c>
      <c r="AP72" s="79">
        <v>360</v>
      </c>
      <c r="AQ72" s="79">
        <v>0.5625</v>
      </c>
      <c r="AR72" s="79"/>
      <c r="AS72" s="79"/>
      <c r="AT72" s="79"/>
      <c r="AU72" s="79"/>
      <c r="AV72" s="79"/>
      <c r="AW72" s="79"/>
    </row>
    <row r="73" spans="1:49" x14ac:dyDescent="0.3">
      <c r="A73" s="79" t="s">
        <v>427</v>
      </c>
      <c r="B73" s="79">
        <v>24</v>
      </c>
      <c r="C73" s="79" t="s">
        <v>415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>
        <v>0.9375</v>
      </c>
      <c r="W73" s="79">
        <v>0</v>
      </c>
      <c r="X73" s="79">
        <v>0</v>
      </c>
      <c r="Y73" s="79">
        <v>0.9375</v>
      </c>
      <c r="Z73" s="79">
        <v>0.9375</v>
      </c>
      <c r="AA73" s="79">
        <v>0</v>
      </c>
      <c r="AB73" s="79">
        <v>0</v>
      </c>
      <c r="AC73" s="79">
        <v>0</v>
      </c>
      <c r="AD73" s="79">
        <v>32.81</v>
      </c>
      <c r="AE73" s="79">
        <v>32.81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v>300</v>
      </c>
      <c r="AS73" s="79">
        <v>150</v>
      </c>
      <c r="AT73" s="79">
        <v>0.9375</v>
      </c>
      <c r="AU73" s="79">
        <v>150</v>
      </c>
      <c r="AV73" s="79">
        <v>300</v>
      </c>
      <c r="AW73" s="79">
        <v>0.9375</v>
      </c>
    </row>
    <row r="74" spans="1:49" x14ac:dyDescent="0.3">
      <c r="A74" s="79" t="s">
        <v>54</v>
      </c>
      <c r="B74" s="79">
        <v>25</v>
      </c>
      <c r="C74" s="79" t="s">
        <v>416</v>
      </c>
      <c r="D74" s="79">
        <v>16017</v>
      </c>
      <c r="E74" s="79">
        <v>4005</v>
      </c>
      <c r="F74" s="79">
        <v>40.049999999999997</v>
      </c>
      <c r="G74" s="79">
        <v>0</v>
      </c>
      <c r="H74" s="79">
        <v>0</v>
      </c>
      <c r="I74" s="79">
        <v>0</v>
      </c>
      <c r="J74" s="79">
        <v>3000</v>
      </c>
      <c r="K74" s="79">
        <v>750</v>
      </c>
      <c r="L74" s="79">
        <v>4.6875</v>
      </c>
      <c r="M74" s="79">
        <v>0</v>
      </c>
      <c r="N74" s="79">
        <v>0</v>
      </c>
      <c r="O74" s="79">
        <v>0</v>
      </c>
      <c r="P74" s="79">
        <v>0</v>
      </c>
      <c r="Q74" s="79">
        <v>0</v>
      </c>
      <c r="R74" s="79">
        <v>0</v>
      </c>
      <c r="S74" s="79">
        <v>0</v>
      </c>
      <c r="T74" s="79">
        <v>0</v>
      </c>
      <c r="U74" s="79">
        <v>0</v>
      </c>
      <c r="V74" s="79">
        <v>44.737499999999997</v>
      </c>
      <c r="W74" s="79">
        <v>1</v>
      </c>
      <c r="X74" s="79">
        <v>0</v>
      </c>
      <c r="Y74" s="79">
        <v>0</v>
      </c>
      <c r="Z74" s="79">
        <v>65</v>
      </c>
      <c r="AA74" s="79">
        <v>20.262499999999999</v>
      </c>
      <c r="AB74" s="79">
        <v>5200</v>
      </c>
      <c r="AC74" s="79">
        <v>0</v>
      </c>
      <c r="AD74" s="79">
        <v>0</v>
      </c>
      <c r="AE74" s="79">
        <v>5200</v>
      </c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</row>
    <row r="75" spans="1:49" x14ac:dyDescent="0.3">
      <c r="A75" s="79" t="s">
        <v>66</v>
      </c>
      <c r="B75" s="79">
        <v>25</v>
      </c>
      <c r="C75" s="79" t="s">
        <v>416</v>
      </c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>
        <v>3.5625</v>
      </c>
      <c r="W75" s="79">
        <v>0</v>
      </c>
      <c r="X75" s="79">
        <v>0</v>
      </c>
      <c r="Y75" s="79">
        <v>3.5625</v>
      </c>
      <c r="Z75" s="79">
        <v>3.5625</v>
      </c>
      <c r="AA75" s="79">
        <v>0</v>
      </c>
      <c r="AB75" s="79">
        <v>0</v>
      </c>
      <c r="AC75" s="79">
        <v>0</v>
      </c>
      <c r="AD75" s="79">
        <v>249.38</v>
      </c>
      <c r="AE75" s="79">
        <v>249.38</v>
      </c>
      <c r="AF75" s="79">
        <v>600</v>
      </c>
      <c r="AG75" s="79">
        <v>300</v>
      </c>
      <c r="AH75" s="79">
        <v>3</v>
      </c>
      <c r="AI75" s="79">
        <v>300</v>
      </c>
      <c r="AJ75" s="79">
        <v>600</v>
      </c>
      <c r="AK75" s="79">
        <v>3</v>
      </c>
      <c r="AL75" s="79">
        <v>360</v>
      </c>
      <c r="AM75" s="79">
        <v>90</v>
      </c>
      <c r="AN75" s="79">
        <v>0.5625</v>
      </c>
      <c r="AO75" s="79">
        <v>90</v>
      </c>
      <c r="AP75" s="79">
        <v>360</v>
      </c>
      <c r="AQ75" s="79">
        <v>0.5625</v>
      </c>
      <c r="AR75" s="79"/>
      <c r="AS75" s="79"/>
      <c r="AT75" s="79"/>
      <c r="AU75" s="79"/>
      <c r="AV75" s="79"/>
      <c r="AW75" s="79"/>
    </row>
    <row r="76" spans="1:49" x14ac:dyDescent="0.3">
      <c r="A76" s="79" t="s">
        <v>427</v>
      </c>
      <c r="B76" s="79">
        <v>25</v>
      </c>
      <c r="C76" s="79" t="s">
        <v>416</v>
      </c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v>0</v>
      </c>
      <c r="AS76" s="79">
        <v>0</v>
      </c>
      <c r="AT76" s="79">
        <v>0</v>
      </c>
      <c r="AU76" s="79">
        <v>0</v>
      </c>
      <c r="AV76" s="79">
        <v>0</v>
      </c>
      <c r="AW76" s="79">
        <v>0</v>
      </c>
    </row>
    <row r="77" spans="1:49" x14ac:dyDescent="0.3">
      <c r="A77" s="79" t="s">
        <v>54</v>
      </c>
      <c r="B77" s="79">
        <v>26</v>
      </c>
      <c r="C77" s="79" t="s">
        <v>417</v>
      </c>
      <c r="D77" s="79">
        <v>16017</v>
      </c>
      <c r="E77" s="79">
        <v>4005</v>
      </c>
      <c r="F77" s="79">
        <v>40.049999999999997</v>
      </c>
      <c r="G77" s="79">
        <v>0</v>
      </c>
      <c r="H77" s="79">
        <v>0</v>
      </c>
      <c r="I77" s="79">
        <v>0</v>
      </c>
      <c r="J77" s="79">
        <v>3000</v>
      </c>
      <c r="K77" s="79">
        <v>750</v>
      </c>
      <c r="L77" s="79">
        <v>4.6875</v>
      </c>
      <c r="M77" s="79">
        <v>0</v>
      </c>
      <c r="N77" s="79">
        <v>0</v>
      </c>
      <c r="O77" s="79">
        <v>0</v>
      </c>
      <c r="P77" s="79">
        <v>1448</v>
      </c>
      <c r="Q77" s="79">
        <v>181</v>
      </c>
      <c r="R77" s="79">
        <v>1.4140619999999999</v>
      </c>
      <c r="S77" s="79">
        <v>0</v>
      </c>
      <c r="T77" s="79">
        <v>0</v>
      </c>
      <c r="U77" s="79">
        <v>0</v>
      </c>
      <c r="V77" s="79">
        <v>46.151563000000003</v>
      </c>
      <c r="W77" s="79">
        <v>1</v>
      </c>
      <c r="X77" s="79">
        <v>0</v>
      </c>
      <c r="Y77" s="79">
        <v>0</v>
      </c>
      <c r="Z77" s="79">
        <v>65</v>
      </c>
      <c r="AA77" s="79">
        <v>18.848437000000001</v>
      </c>
      <c r="AB77" s="79">
        <v>5200</v>
      </c>
      <c r="AC77" s="79">
        <v>0</v>
      </c>
      <c r="AD77" s="79">
        <v>0</v>
      </c>
      <c r="AE77" s="79">
        <v>5200</v>
      </c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</row>
    <row r="78" spans="1:49" x14ac:dyDescent="0.3">
      <c r="A78" s="79" t="s">
        <v>66</v>
      </c>
      <c r="B78" s="79">
        <v>26</v>
      </c>
      <c r="C78" s="79" t="s">
        <v>417</v>
      </c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>
        <v>3.5625</v>
      </c>
      <c r="W78" s="79">
        <v>0</v>
      </c>
      <c r="X78" s="79">
        <v>0</v>
      </c>
      <c r="Y78" s="79">
        <v>3.5625</v>
      </c>
      <c r="Z78" s="79">
        <v>3.5625</v>
      </c>
      <c r="AA78" s="79">
        <v>0</v>
      </c>
      <c r="AB78" s="79">
        <v>0</v>
      </c>
      <c r="AC78" s="79">
        <v>0</v>
      </c>
      <c r="AD78" s="79">
        <v>249.38</v>
      </c>
      <c r="AE78" s="79">
        <v>249.38</v>
      </c>
      <c r="AF78" s="79">
        <v>600</v>
      </c>
      <c r="AG78" s="79">
        <v>300</v>
      </c>
      <c r="AH78" s="79">
        <v>3</v>
      </c>
      <c r="AI78" s="79">
        <v>300</v>
      </c>
      <c r="AJ78" s="79">
        <v>600</v>
      </c>
      <c r="AK78" s="79">
        <v>3</v>
      </c>
      <c r="AL78" s="79">
        <v>360</v>
      </c>
      <c r="AM78" s="79">
        <v>90</v>
      </c>
      <c r="AN78" s="79">
        <v>0.5625</v>
      </c>
      <c r="AO78" s="79">
        <v>90</v>
      </c>
      <c r="AP78" s="79">
        <v>360</v>
      </c>
      <c r="AQ78" s="79">
        <v>0.5625</v>
      </c>
      <c r="AR78" s="79"/>
      <c r="AS78" s="79"/>
      <c r="AT78" s="79"/>
      <c r="AU78" s="79"/>
      <c r="AV78" s="79"/>
      <c r="AW78" s="79"/>
    </row>
    <row r="79" spans="1:49" x14ac:dyDescent="0.3">
      <c r="A79" s="79" t="s">
        <v>427</v>
      </c>
      <c r="B79" s="79">
        <v>26</v>
      </c>
      <c r="C79" s="79" t="s">
        <v>417</v>
      </c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>
        <v>0</v>
      </c>
      <c r="W79" s="79">
        <v>0</v>
      </c>
      <c r="X79" s="79">
        <v>0</v>
      </c>
      <c r="Y79" s="79">
        <v>0</v>
      </c>
      <c r="Z79" s="79">
        <v>0</v>
      </c>
      <c r="AA79" s="79">
        <v>0</v>
      </c>
      <c r="AB79" s="79">
        <v>0</v>
      </c>
      <c r="AC79" s="79">
        <v>0</v>
      </c>
      <c r="AD79" s="79">
        <v>0</v>
      </c>
      <c r="AE79" s="79">
        <v>0</v>
      </c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v>0</v>
      </c>
      <c r="AS79" s="79">
        <v>0</v>
      </c>
      <c r="AT79" s="79">
        <v>0</v>
      </c>
      <c r="AU79" s="79">
        <v>0</v>
      </c>
      <c r="AV79" s="79">
        <v>0</v>
      </c>
      <c r="AW79" s="79">
        <v>0</v>
      </c>
    </row>
    <row r="80" spans="1:49" x14ac:dyDescent="0.3">
      <c r="A80" s="79" t="s">
        <v>54</v>
      </c>
      <c r="B80" s="79">
        <v>27</v>
      </c>
      <c r="C80" s="79" t="s">
        <v>418</v>
      </c>
      <c r="D80" s="79">
        <v>16016</v>
      </c>
      <c r="E80" s="79">
        <v>4004</v>
      </c>
      <c r="F80" s="79">
        <v>40.04</v>
      </c>
      <c r="G80" s="79">
        <v>0</v>
      </c>
      <c r="H80" s="79">
        <v>0</v>
      </c>
      <c r="I80" s="79">
        <v>0</v>
      </c>
      <c r="J80" s="79">
        <v>3000</v>
      </c>
      <c r="K80" s="79">
        <v>750</v>
      </c>
      <c r="L80" s="79">
        <v>4.6875</v>
      </c>
      <c r="M80" s="79">
        <v>0</v>
      </c>
      <c r="N80" s="79">
        <v>0</v>
      </c>
      <c r="O80" s="79">
        <v>0</v>
      </c>
      <c r="P80" s="79">
        <v>1448</v>
      </c>
      <c r="Q80" s="79">
        <v>181</v>
      </c>
      <c r="R80" s="79">
        <v>1.4140619999999999</v>
      </c>
      <c r="S80" s="79">
        <v>0</v>
      </c>
      <c r="T80" s="79">
        <v>0</v>
      </c>
      <c r="U80" s="79">
        <v>0</v>
      </c>
      <c r="V80" s="79">
        <v>46.141562</v>
      </c>
      <c r="W80" s="79">
        <v>1</v>
      </c>
      <c r="X80" s="79">
        <v>0</v>
      </c>
      <c r="Y80" s="79">
        <v>0</v>
      </c>
      <c r="Z80" s="79">
        <v>65</v>
      </c>
      <c r="AA80" s="79">
        <v>18.858438</v>
      </c>
      <c r="AB80" s="79">
        <v>5200</v>
      </c>
      <c r="AC80" s="79">
        <v>0</v>
      </c>
      <c r="AD80" s="79">
        <v>0</v>
      </c>
      <c r="AE80" s="79">
        <v>5200</v>
      </c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</row>
    <row r="81" spans="1:49" x14ac:dyDescent="0.3">
      <c r="A81" s="79" t="s">
        <v>66</v>
      </c>
      <c r="B81" s="79">
        <v>27</v>
      </c>
      <c r="C81" s="79" t="s">
        <v>418</v>
      </c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>
        <v>3.5625</v>
      </c>
      <c r="W81" s="79">
        <v>0</v>
      </c>
      <c r="X81" s="79">
        <v>0</v>
      </c>
      <c r="Y81" s="79">
        <v>3.5625</v>
      </c>
      <c r="Z81" s="79">
        <v>3.5625</v>
      </c>
      <c r="AA81" s="79">
        <v>0</v>
      </c>
      <c r="AB81" s="79">
        <v>0</v>
      </c>
      <c r="AC81" s="79">
        <v>0</v>
      </c>
      <c r="AD81" s="79">
        <v>249.38</v>
      </c>
      <c r="AE81" s="79">
        <v>249.38</v>
      </c>
      <c r="AF81" s="79">
        <v>600</v>
      </c>
      <c r="AG81" s="79">
        <v>300</v>
      </c>
      <c r="AH81" s="79">
        <v>3</v>
      </c>
      <c r="AI81" s="79">
        <v>300</v>
      </c>
      <c r="AJ81" s="79">
        <v>600</v>
      </c>
      <c r="AK81" s="79">
        <v>3</v>
      </c>
      <c r="AL81" s="79">
        <v>360</v>
      </c>
      <c r="AM81" s="79">
        <v>90</v>
      </c>
      <c r="AN81" s="79">
        <v>0.5625</v>
      </c>
      <c r="AO81" s="79">
        <v>90</v>
      </c>
      <c r="AP81" s="79">
        <v>360</v>
      </c>
      <c r="AQ81" s="79">
        <v>0.5625</v>
      </c>
      <c r="AR81" s="79"/>
      <c r="AS81" s="79"/>
      <c r="AT81" s="79"/>
      <c r="AU81" s="79"/>
      <c r="AV81" s="79"/>
      <c r="AW81" s="79"/>
    </row>
    <row r="82" spans="1:49" x14ac:dyDescent="0.3">
      <c r="A82" s="79" t="s">
        <v>427</v>
      </c>
      <c r="B82" s="79">
        <v>27</v>
      </c>
      <c r="C82" s="79" t="s">
        <v>418</v>
      </c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>
        <v>0</v>
      </c>
      <c r="W82" s="79">
        <v>0</v>
      </c>
      <c r="X82" s="79">
        <v>0</v>
      </c>
      <c r="Y82" s="79">
        <v>0</v>
      </c>
      <c r="Z82" s="79">
        <v>0</v>
      </c>
      <c r="AA82" s="79">
        <v>0</v>
      </c>
      <c r="AB82" s="79">
        <v>0</v>
      </c>
      <c r="AC82" s="79">
        <v>0</v>
      </c>
      <c r="AD82" s="79">
        <v>0</v>
      </c>
      <c r="AE82" s="79">
        <v>0</v>
      </c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v>0</v>
      </c>
      <c r="AS82" s="79">
        <v>0</v>
      </c>
      <c r="AT82" s="79">
        <v>0</v>
      </c>
      <c r="AU82" s="79">
        <v>0</v>
      </c>
      <c r="AV82" s="79">
        <v>0</v>
      </c>
      <c r="AW82" s="79">
        <v>0</v>
      </c>
    </row>
    <row r="83" spans="1:49" x14ac:dyDescent="0.3">
      <c r="A83" s="79" t="s">
        <v>54</v>
      </c>
      <c r="B83" s="79">
        <v>28</v>
      </c>
      <c r="C83" s="79" t="s">
        <v>419</v>
      </c>
      <c r="D83" s="79">
        <v>16017</v>
      </c>
      <c r="E83" s="79">
        <v>4005</v>
      </c>
      <c r="F83" s="79">
        <v>40.049999999999997</v>
      </c>
      <c r="G83" s="79">
        <v>0</v>
      </c>
      <c r="H83" s="79">
        <v>0</v>
      </c>
      <c r="I83" s="79">
        <v>0</v>
      </c>
      <c r="J83" s="79">
        <v>6250</v>
      </c>
      <c r="K83" s="79">
        <v>1563</v>
      </c>
      <c r="L83" s="79">
        <v>9.7687500000000007</v>
      </c>
      <c r="M83" s="79">
        <v>0</v>
      </c>
      <c r="N83" s="79">
        <v>0</v>
      </c>
      <c r="O83" s="79">
        <v>0</v>
      </c>
      <c r="P83" s="79">
        <v>1448</v>
      </c>
      <c r="Q83" s="79">
        <v>181</v>
      </c>
      <c r="R83" s="79">
        <v>1.4140619999999999</v>
      </c>
      <c r="S83" s="79">
        <v>0</v>
      </c>
      <c r="T83" s="79">
        <v>0</v>
      </c>
      <c r="U83" s="79">
        <v>0</v>
      </c>
      <c r="V83" s="79">
        <v>51.232813</v>
      </c>
      <c r="W83" s="79">
        <v>1</v>
      </c>
      <c r="X83" s="79">
        <v>0</v>
      </c>
      <c r="Y83" s="79">
        <v>0</v>
      </c>
      <c r="Z83" s="79">
        <v>65</v>
      </c>
      <c r="AA83" s="79">
        <v>13.767187</v>
      </c>
      <c r="AB83" s="79">
        <v>5200</v>
      </c>
      <c r="AC83" s="79">
        <v>0</v>
      </c>
      <c r="AD83" s="79">
        <v>0</v>
      </c>
      <c r="AE83" s="79">
        <v>5200</v>
      </c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</row>
    <row r="84" spans="1:49" x14ac:dyDescent="0.3">
      <c r="A84" s="79" t="s">
        <v>66</v>
      </c>
      <c r="B84" s="79">
        <v>28</v>
      </c>
      <c r="C84" s="79" t="s">
        <v>419</v>
      </c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>
        <v>4.0625</v>
      </c>
      <c r="W84" s="79">
        <v>0</v>
      </c>
      <c r="X84" s="79">
        <v>0</v>
      </c>
      <c r="Y84" s="79">
        <v>4.0625</v>
      </c>
      <c r="Z84" s="79">
        <v>4.0625</v>
      </c>
      <c r="AA84" s="79">
        <v>0</v>
      </c>
      <c r="AB84" s="79">
        <v>0</v>
      </c>
      <c r="AC84" s="79">
        <v>0</v>
      </c>
      <c r="AD84" s="79">
        <v>284.38</v>
      </c>
      <c r="AE84" s="79">
        <v>284.38</v>
      </c>
      <c r="AF84" s="79">
        <v>500</v>
      </c>
      <c r="AG84" s="79">
        <v>250</v>
      </c>
      <c r="AH84" s="79">
        <v>2.5</v>
      </c>
      <c r="AI84" s="79">
        <v>250</v>
      </c>
      <c r="AJ84" s="79">
        <v>500</v>
      </c>
      <c r="AK84" s="79">
        <v>2.5</v>
      </c>
      <c r="AL84" s="79">
        <v>1000</v>
      </c>
      <c r="AM84" s="79">
        <v>250</v>
      </c>
      <c r="AN84" s="79">
        <v>1.5625</v>
      </c>
      <c r="AO84" s="79">
        <v>250</v>
      </c>
      <c r="AP84" s="79">
        <v>1000</v>
      </c>
      <c r="AQ84" s="79">
        <v>1.5625</v>
      </c>
      <c r="AR84" s="79"/>
      <c r="AS84" s="79"/>
      <c r="AT84" s="79"/>
      <c r="AU84" s="79"/>
      <c r="AV84" s="79"/>
      <c r="AW84" s="79"/>
    </row>
    <row r="85" spans="1:49" x14ac:dyDescent="0.3">
      <c r="A85" s="79" t="s">
        <v>427</v>
      </c>
      <c r="B85" s="79">
        <v>28</v>
      </c>
      <c r="C85" s="79" t="s">
        <v>419</v>
      </c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>
        <v>0</v>
      </c>
      <c r="W85" s="79">
        <v>0</v>
      </c>
      <c r="X85" s="79">
        <v>0</v>
      </c>
      <c r="Y85" s="79">
        <v>0</v>
      </c>
      <c r="Z85" s="79">
        <v>0</v>
      </c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v>0</v>
      </c>
      <c r="AS85" s="79">
        <v>0</v>
      </c>
      <c r="AT85" s="79">
        <v>0</v>
      </c>
      <c r="AU85" s="79">
        <v>0</v>
      </c>
      <c r="AV85" s="79">
        <v>0</v>
      </c>
      <c r="AW85" s="79">
        <v>0</v>
      </c>
    </row>
    <row r="86" spans="1:49" x14ac:dyDescent="0.3">
      <c r="A86" s="79" t="s">
        <v>54</v>
      </c>
      <c r="B86" s="79">
        <v>29</v>
      </c>
      <c r="C86" s="79" t="s">
        <v>420</v>
      </c>
      <c r="D86" s="79">
        <v>4281</v>
      </c>
      <c r="E86" s="79">
        <v>1071</v>
      </c>
      <c r="F86" s="79">
        <v>10.71</v>
      </c>
      <c r="G86" s="79">
        <v>0</v>
      </c>
      <c r="H86" s="79">
        <v>0</v>
      </c>
      <c r="I86" s="79">
        <v>0</v>
      </c>
      <c r="J86" s="79">
        <v>6250</v>
      </c>
      <c r="K86" s="79">
        <v>1563</v>
      </c>
      <c r="L86" s="79">
        <v>9.7687500000000007</v>
      </c>
      <c r="M86" s="79">
        <v>0</v>
      </c>
      <c r="N86" s="79">
        <v>0</v>
      </c>
      <c r="O86" s="79">
        <v>0</v>
      </c>
      <c r="P86" s="79">
        <v>1754</v>
      </c>
      <c r="Q86" s="79">
        <v>220</v>
      </c>
      <c r="R86" s="79">
        <v>1.71875</v>
      </c>
      <c r="S86" s="79">
        <v>0</v>
      </c>
      <c r="T86" s="79">
        <v>0</v>
      </c>
      <c r="U86" s="79">
        <v>0</v>
      </c>
      <c r="V86" s="79">
        <v>22.197500000000002</v>
      </c>
      <c r="W86" s="79">
        <v>0</v>
      </c>
      <c r="X86" s="79">
        <v>1</v>
      </c>
      <c r="Y86" s="79">
        <v>0</v>
      </c>
      <c r="Z86" s="79">
        <v>28</v>
      </c>
      <c r="AA86" s="79">
        <v>5.8025000000000002</v>
      </c>
      <c r="AB86" s="79">
        <v>0</v>
      </c>
      <c r="AC86" s="79">
        <v>3000</v>
      </c>
      <c r="AD86" s="79">
        <v>0</v>
      </c>
      <c r="AE86" s="79">
        <v>3000</v>
      </c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</row>
    <row r="87" spans="1:49" x14ac:dyDescent="0.3">
      <c r="A87" s="79" t="s">
        <v>66</v>
      </c>
      <c r="B87" s="79">
        <v>29</v>
      </c>
      <c r="C87" s="79" t="s">
        <v>420</v>
      </c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>
        <v>4.0625</v>
      </c>
      <c r="W87" s="79">
        <v>0</v>
      </c>
      <c r="X87" s="79">
        <v>0</v>
      </c>
      <c r="Y87" s="79">
        <v>4.0625</v>
      </c>
      <c r="Z87" s="79">
        <v>4.0625</v>
      </c>
      <c r="AA87" s="79">
        <v>0</v>
      </c>
      <c r="AB87" s="79">
        <v>0</v>
      </c>
      <c r="AC87" s="79">
        <v>0</v>
      </c>
      <c r="AD87" s="79">
        <v>284.38</v>
      </c>
      <c r="AE87" s="79">
        <v>284.38</v>
      </c>
      <c r="AF87" s="79">
        <v>500</v>
      </c>
      <c r="AG87" s="79">
        <v>250</v>
      </c>
      <c r="AH87" s="79">
        <v>2.5</v>
      </c>
      <c r="AI87" s="79">
        <v>250</v>
      </c>
      <c r="AJ87" s="79">
        <v>500</v>
      </c>
      <c r="AK87" s="79">
        <v>2.5</v>
      </c>
      <c r="AL87" s="79">
        <v>1000</v>
      </c>
      <c r="AM87" s="79">
        <v>250</v>
      </c>
      <c r="AN87" s="79">
        <v>1.5625</v>
      </c>
      <c r="AO87" s="79">
        <v>250</v>
      </c>
      <c r="AP87" s="79">
        <v>1000</v>
      </c>
      <c r="AQ87" s="79">
        <v>1.5625</v>
      </c>
      <c r="AR87" s="79"/>
      <c r="AS87" s="79"/>
      <c r="AT87" s="79"/>
      <c r="AU87" s="79"/>
      <c r="AV87" s="79"/>
      <c r="AW87" s="79"/>
    </row>
    <row r="88" spans="1:49" x14ac:dyDescent="0.3">
      <c r="A88" s="79" t="s">
        <v>427</v>
      </c>
      <c r="B88" s="79">
        <v>29</v>
      </c>
      <c r="C88" s="79" t="s">
        <v>420</v>
      </c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>
        <v>0.9375</v>
      </c>
      <c r="W88" s="79">
        <v>0</v>
      </c>
      <c r="X88" s="79">
        <v>0</v>
      </c>
      <c r="Y88" s="79">
        <v>0.9375</v>
      </c>
      <c r="Z88" s="79">
        <v>0.9375</v>
      </c>
      <c r="AA88" s="79">
        <v>0</v>
      </c>
      <c r="AB88" s="79">
        <v>0</v>
      </c>
      <c r="AC88" s="79">
        <v>0</v>
      </c>
      <c r="AD88" s="79">
        <v>32.81</v>
      </c>
      <c r="AE88" s="79">
        <v>32.81</v>
      </c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v>300</v>
      </c>
      <c r="AS88" s="79">
        <v>150</v>
      </c>
      <c r="AT88" s="79">
        <v>0.9375</v>
      </c>
      <c r="AU88" s="79">
        <v>150</v>
      </c>
      <c r="AV88" s="79">
        <v>300</v>
      </c>
      <c r="AW88" s="79">
        <v>0.9375</v>
      </c>
    </row>
    <row r="89" spans="1:49" x14ac:dyDescent="0.3">
      <c r="A89" s="79" t="s">
        <v>54</v>
      </c>
      <c r="B89" s="79">
        <v>30</v>
      </c>
      <c r="C89" s="79" t="s">
        <v>421</v>
      </c>
      <c r="D89" s="79">
        <v>4282</v>
      </c>
      <c r="E89" s="79">
        <v>1071</v>
      </c>
      <c r="F89" s="79">
        <v>10.71</v>
      </c>
      <c r="G89" s="79">
        <v>0</v>
      </c>
      <c r="H89" s="79">
        <v>0</v>
      </c>
      <c r="I89" s="79">
        <v>0</v>
      </c>
      <c r="J89" s="79">
        <v>6250</v>
      </c>
      <c r="K89" s="79">
        <v>1563</v>
      </c>
      <c r="L89" s="79">
        <v>9.7687500000000007</v>
      </c>
      <c r="M89" s="79">
        <v>0</v>
      </c>
      <c r="N89" s="79">
        <v>0</v>
      </c>
      <c r="O89" s="79">
        <v>0</v>
      </c>
      <c r="P89" s="79">
        <v>1756</v>
      </c>
      <c r="Q89" s="79">
        <v>220</v>
      </c>
      <c r="R89" s="79">
        <v>1.71875</v>
      </c>
      <c r="S89" s="79">
        <v>0</v>
      </c>
      <c r="T89" s="79">
        <v>0</v>
      </c>
      <c r="U89" s="79">
        <v>0</v>
      </c>
      <c r="V89" s="79">
        <v>22.197500000000002</v>
      </c>
      <c r="W89" s="79">
        <v>0</v>
      </c>
      <c r="X89" s="79">
        <v>1</v>
      </c>
      <c r="Y89" s="79">
        <v>0</v>
      </c>
      <c r="Z89" s="79">
        <v>28</v>
      </c>
      <c r="AA89" s="79">
        <v>5.8025000000000002</v>
      </c>
      <c r="AB89" s="79">
        <v>0</v>
      </c>
      <c r="AC89" s="79">
        <v>3000</v>
      </c>
      <c r="AD89" s="79">
        <v>0</v>
      </c>
      <c r="AE89" s="79">
        <v>3000</v>
      </c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</row>
    <row r="90" spans="1:49" x14ac:dyDescent="0.3">
      <c r="A90" s="79" t="s">
        <v>66</v>
      </c>
      <c r="B90" s="79">
        <v>30</v>
      </c>
      <c r="C90" s="79" t="s">
        <v>421</v>
      </c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>
        <v>4.0625</v>
      </c>
      <c r="W90" s="79">
        <v>0</v>
      </c>
      <c r="X90" s="79">
        <v>0</v>
      </c>
      <c r="Y90" s="79">
        <v>4.0625</v>
      </c>
      <c r="Z90" s="79">
        <v>4.0625</v>
      </c>
      <c r="AA90" s="79">
        <v>0</v>
      </c>
      <c r="AB90" s="79">
        <v>0</v>
      </c>
      <c r="AC90" s="79">
        <v>0</v>
      </c>
      <c r="AD90" s="79">
        <v>284.38</v>
      </c>
      <c r="AE90" s="79">
        <v>284.38</v>
      </c>
      <c r="AF90" s="79">
        <v>500</v>
      </c>
      <c r="AG90" s="79">
        <v>250</v>
      </c>
      <c r="AH90" s="79">
        <v>2.5</v>
      </c>
      <c r="AI90" s="79">
        <v>250</v>
      </c>
      <c r="AJ90" s="79">
        <v>500</v>
      </c>
      <c r="AK90" s="79">
        <v>2.5</v>
      </c>
      <c r="AL90" s="79">
        <v>1000</v>
      </c>
      <c r="AM90" s="79">
        <v>250</v>
      </c>
      <c r="AN90" s="79">
        <v>1.5625</v>
      </c>
      <c r="AO90" s="79">
        <v>250</v>
      </c>
      <c r="AP90" s="79">
        <v>1000</v>
      </c>
      <c r="AQ90" s="79">
        <v>1.5625</v>
      </c>
      <c r="AR90" s="79"/>
      <c r="AS90" s="79"/>
      <c r="AT90" s="79"/>
      <c r="AU90" s="79"/>
      <c r="AV90" s="79"/>
      <c r="AW90" s="79"/>
    </row>
    <row r="91" spans="1:49" x14ac:dyDescent="0.3">
      <c r="A91" s="79" t="s">
        <v>427</v>
      </c>
      <c r="B91" s="79">
        <v>30</v>
      </c>
      <c r="C91" s="79" t="s">
        <v>421</v>
      </c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>
        <v>0</v>
      </c>
      <c r="W91" s="79">
        <v>0</v>
      </c>
      <c r="X91" s="79">
        <v>0</v>
      </c>
      <c r="Y91" s="79">
        <v>0</v>
      </c>
      <c r="Z91" s="79">
        <v>0</v>
      </c>
      <c r="AA91" s="79">
        <v>0</v>
      </c>
      <c r="AB91" s="79">
        <v>0</v>
      </c>
      <c r="AC91" s="79">
        <v>0</v>
      </c>
      <c r="AD91" s="79">
        <v>0</v>
      </c>
      <c r="AE91" s="79">
        <v>0</v>
      </c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v>0</v>
      </c>
      <c r="AS91" s="79">
        <v>0</v>
      </c>
      <c r="AT91" s="79">
        <v>0</v>
      </c>
      <c r="AU91" s="79">
        <v>0</v>
      </c>
      <c r="AV91" s="79">
        <v>0</v>
      </c>
      <c r="AW91" s="79">
        <v>0</v>
      </c>
    </row>
    <row r="92" spans="1:49" x14ac:dyDescent="0.3">
      <c r="A92" s="79" t="s">
        <v>54</v>
      </c>
      <c r="B92" s="79">
        <v>31</v>
      </c>
      <c r="C92" s="79" t="s">
        <v>422</v>
      </c>
      <c r="D92" s="79">
        <v>4281</v>
      </c>
      <c r="E92" s="79">
        <v>1071</v>
      </c>
      <c r="F92" s="79">
        <v>10.71</v>
      </c>
      <c r="G92" s="79">
        <v>0</v>
      </c>
      <c r="H92" s="79">
        <v>0</v>
      </c>
      <c r="I92" s="79">
        <v>0</v>
      </c>
      <c r="J92" s="79">
        <v>6250</v>
      </c>
      <c r="K92" s="79">
        <v>1563</v>
      </c>
      <c r="L92" s="79">
        <v>9.7687500000000007</v>
      </c>
      <c r="M92" s="79">
        <v>0</v>
      </c>
      <c r="N92" s="79">
        <v>0</v>
      </c>
      <c r="O92" s="79">
        <v>0</v>
      </c>
      <c r="P92" s="79">
        <v>1756</v>
      </c>
      <c r="Q92" s="79">
        <v>220</v>
      </c>
      <c r="R92" s="79">
        <v>1.71875</v>
      </c>
      <c r="S92" s="79">
        <v>0</v>
      </c>
      <c r="T92" s="79">
        <v>0</v>
      </c>
      <c r="U92" s="79">
        <v>0</v>
      </c>
      <c r="V92" s="79">
        <v>22.197500000000002</v>
      </c>
      <c r="W92" s="79">
        <v>0</v>
      </c>
      <c r="X92" s="79">
        <v>1</v>
      </c>
      <c r="Y92" s="79">
        <v>0</v>
      </c>
      <c r="Z92" s="79">
        <v>28</v>
      </c>
      <c r="AA92" s="79">
        <v>5.8025000000000002</v>
      </c>
      <c r="AB92" s="79">
        <v>0</v>
      </c>
      <c r="AC92" s="79">
        <v>3000</v>
      </c>
      <c r="AD92" s="79">
        <v>0</v>
      </c>
      <c r="AE92" s="79">
        <v>3000</v>
      </c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</row>
    <row r="93" spans="1:49" x14ac:dyDescent="0.3">
      <c r="A93" s="79" t="s">
        <v>66</v>
      </c>
      <c r="B93" s="79">
        <v>31</v>
      </c>
      <c r="C93" s="79" t="s">
        <v>422</v>
      </c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>
        <v>4.0625</v>
      </c>
      <c r="W93" s="79">
        <v>0</v>
      </c>
      <c r="X93" s="79">
        <v>0</v>
      </c>
      <c r="Y93" s="79">
        <v>4.0625</v>
      </c>
      <c r="Z93" s="79">
        <v>4.0625</v>
      </c>
      <c r="AA93" s="79">
        <v>0</v>
      </c>
      <c r="AB93" s="79">
        <v>0</v>
      </c>
      <c r="AC93" s="79">
        <v>0</v>
      </c>
      <c r="AD93" s="79">
        <v>284.38</v>
      </c>
      <c r="AE93" s="79">
        <v>284.38</v>
      </c>
      <c r="AF93" s="79">
        <v>500</v>
      </c>
      <c r="AG93" s="79">
        <v>250</v>
      </c>
      <c r="AH93" s="79">
        <v>2.5</v>
      </c>
      <c r="AI93" s="79">
        <v>250</v>
      </c>
      <c r="AJ93" s="79">
        <v>500</v>
      </c>
      <c r="AK93" s="79">
        <v>2.5</v>
      </c>
      <c r="AL93" s="79">
        <v>1000</v>
      </c>
      <c r="AM93" s="79">
        <v>250</v>
      </c>
      <c r="AN93" s="79">
        <v>1.5625</v>
      </c>
      <c r="AO93" s="79">
        <v>250</v>
      </c>
      <c r="AP93" s="79">
        <v>1000</v>
      </c>
      <c r="AQ93" s="79">
        <v>1.5625</v>
      </c>
      <c r="AR93" s="79"/>
      <c r="AS93" s="79"/>
      <c r="AT93" s="79"/>
      <c r="AU93" s="79"/>
      <c r="AV93" s="79"/>
      <c r="AW93" s="79"/>
    </row>
    <row r="94" spans="1:49" x14ac:dyDescent="0.3">
      <c r="A94" s="79" t="s">
        <v>427</v>
      </c>
      <c r="B94" s="79">
        <v>31</v>
      </c>
      <c r="C94" s="79" t="s">
        <v>422</v>
      </c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>
        <v>0</v>
      </c>
      <c r="W94" s="79">
        <v>0</v>
      </c>
      <c r="X94" s="79">
        <v>0</v>
      </c>
      <c r="Y94" s="79">
        <v>0</v>
      </c>
      <c r="Z94" s="79">
        <v>0</v>
      </c>
      <c r="AA94" s="79">
        <v>0</v>
      </c>
      <c r="AB94" s="79">
        <v>0</v>
      </c>
      <c r="AC94" s="79">
        <v>0</v>
      </c>
      <c r="AD94" s="79">
        <v>0</v>
      </c>
      <c r="AE94" s="79">
        <v>0</v>
      </c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v>0</v>
      </c>
      <c r="AS94" s="79">
        <v>0</v>
      </c>
      <c r="AT94" s="79">
        <v>0</v>
      </c>
      <c r="AU94" s="79">
        <v>0</v>
      </c>
      <c r="AV94" s="79">
        <v>0</v>
      </c>
      <c r="AW94" s="79">
        <v>0</v>
      </c>
    </row>
    <row r="95" spans="1:49" x14ac:dyDescent="0.3">
      <c r="A95" s="79" t="s">
        <v>54</v>
      </c>
      <c r="B95" s="79">
        <v>32</v>
      </c>
      <c r="C95" s="79" t="s">
        <v>423</v>
      </c>
      <c r="D95" s="79">
        <v>4282</v>
      </c>
      <c r="E95" s="79">
        <v>1071</v>
      </c>
      <c r="F95" s="79">
        <v>10.71</v>
      </c>
      <c r="G95" s="79">
        <v>0</v>
      </c>
      <c r="H95" s="79">
        <v>0</v>
      </c>
      <c r="I95" s="79">
        <v>0</v>
      </c>
      <c r="J95" s="79">
        <v>6250</v>
      </c>
      <c r="K95" s="79">
        <v>1563</v>
      </c>
      <c r="L95" s="79">
        <v>9.7687500000000007</v>
      </c>
      <c r="M95" s="79">
        <v>0</v>
      </c>
      <c r="N95" s="79">
        <v>0</v>
      </c>
      <c r="O95" s="79">
        <v>0</v>
      </c>
      <c r="P95" s="79">
        <v>1756</v>
      </c>
      <c r="Q95" s="79">
        <v>220</v>
      </c>
      <c r="R95" s="79">
        <v>1.71875</v>
      </c>
      <c r="S95" s="79">
        <v>0</v>
      </c>
      <c r="T95" s="79">
        <v>0</v>
      </c>
      <c r="U95" s="79">
        <v>0</v>
      </c>
      <c r="V95" s="79">
        <v>22.197500000000002</v>
      </c>
      <c r="W95" s="79">
        <v>0</v>
      </c>
      <c r="X95" s="79">
        <v>1</v>
      </c>
      <c r="Y95" s="79">
        <v>0</v>
      </c>
      <c r="Z95" s="79">
        <v>28</v>
      </c>
      <c r="AA95" s="79">
        <v>5.8025000000000002</v>
      </c>
      <c r="AB95" s="79">
        <v>0</v>
      </c>
      <c r="AC95" s="79">
        <v>3000</v>
      </c>
      <c r="AD95" s="79">
        <v>0</v>
      </c>
      <c r="AE95" s="79">
        <v>3000</v>
      </c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</row>
    <row r="96" spans="1:49" x14ac:dyDescent="0.3">
      <c r="A96" s="79" t="s">
        <v>66</v>
      </c>
      <c r="B96" s="79">
        <v>32</v>
      </c>
      <c r="C96" s="79" t="s">
        <v>423</v>
      </c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>
        <v>16.956250000000001</v>
      </c>
      <c r="W96" s="79">
        <v>0</v>
      </c>
      <c r="X96" s="79">
        <v>0</v>
      </c>
      <c r="Y96" s="79">
        <v>16.956250000000001</v>
      </c>
      <c r="Z96" s="79">
        <v>16.956250000000001</v>
      </c>
      <c r="AA96" s="79">
        <v>0</v>
      </c>
      <c r="AB96" s="79">
        <v>0</v>
      </c>
      <c r="AC96" s="79">
        <v>0</v>
      </c>
      <c r="AD96" s="79">
        <v>1186.94</v>
      </c>
      <c r="AE96" s="79">
        <v>1186.94</v>
      </c>
      <c r="AF96" s="79">
        <v>3000</v>
      </c>
      <c r="AG96" s="79">
        <v>1500</v>
      </c>
      <c r="AH96" s="79">
        <v>15</v>
      </c>
      <c r="AI96" s="79">
        <v>1500</v>
      </c>
      <c r="AJ96" s="79">
        <v>3000</v>
      </c>
      <c r="AK96" s="79">
        <v>15</v>
      </c>
      <c r="AL96" s="79">
        <v>1250</v>
      </c>
      <c r="AM96" s="79">
        <v>313</v>
      </c>
      <c r="AN96" s="79">
        <v>1.95625</v>
      </c>
      <c r="AO96" s="79">
        <v>313</v>
      </c>
      <c r="AP96" s="79">
        <v>1252</v>
      </c>
      <c r="AQ96" s="79">
        <v>1.95625</v>
      </c>
      <c r="AR96" s="79"/>
      <c r="AS96" s="79"/>
      <c r="AT96" s="79"/>
      <c r="AU96" s="79"/>
      <c r="AV96" s="79"/>
      <c r="AW96" s="79"/>
    </row>
    <row r="97" spans="1:49" x14ac:dyDescent="0.3">
      <c r="A97" s="79" t="s">
        <v>427</v>
      </c>
      <c r="B97" s="79">
        <v>32</v>
      </c>
      <c r="C97" s="79" t="s">
        <v>423</v>
      </c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>
        <v>0</v>
      </c>
      <c r="W97" s="79">
        <v>0</v>
      </c>
      <c r="X97" s="79">
        <v>0</v>
      </c>
      <c r="Y97" s="79">
        <v>0</v>
      </c>
      <c r="Z97" s="79">
        <v>0</v>
      </c>
      <c r="AA97" s="79">
        <v>0</v>
      </c>
      <c r="AB97" s="79">
        <v>0</v>
      </c>
      <c r="AC97" s="79">
        <v>0</v>
      </c>
      <c r="AD97" s="79">
        <v>0</v>
      </c>
      <c r="AE97" s="79">
        <v>0</v>
      </c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v>0</v>
      </c>
      <c r="AS97" s="79">
        <v>0</v>
      </c>
      <c r="AT97" s="79">
        <v>0</v>
      </c>
      <c r="AU97" s="79">
        <v>0</v>
      </c>
      <c r="AV97" s="79">
        <v>0</v>
      </c>
      <c r="AW97" s="79">
        <v>0</v>
      </c>
    </row>
    <row r="98" spans="1:49" x14ac:dyDescent="0.3">
      <c r="A98" s="79" t="s">
        <v>54</v>
      </c>
      <c r="B98" s="79">
        <v>33</v>
      </c>
      <c r="C98" s="79" t="s">
        <v>424</v>
      </c>
      <c r="D98" s="79">
        <v>4281</v>
      </c>
      <c r="E98" s="79">
        <v>1071</v>
      </c>
      <c r="F98" s="79">
        <v>10.71</v>
      </c>
      <c r="G98" s="79">
        <v>0</v>
      </c>
      <c r="H98" s="79">
        <v>0</v>
      </c>
      <c r="I98" s="79">
        <v>0</v>
      </c>
      <c r="J98" s="79">
        <v>6250</v>
      </c>
      <c r="K98" s="79">
        <v>1563</v>
      </c>
      <c r="L98" s="79">
        <v>9.7687500000000007</v>
      </c>
      <c r="M98" s="79">
        <v>0</v>
      </c>
      <c r="N98" s="79">
        <v>0</v>
      </c>
      <c r="O98" s="79">
        <v>0</v>
      </c>
      <c r="P98" s="79">
        <v>1928</v>
      </c>
      <c r="Q98" s="79">
        <v>241</v>
      </c>
      <c r="R98" s="79">
        <v>1.8828119999999999</v>
      </c>
      <c r="S98" s="79">
        <v>0</v>
      </c>
      <c r="T98" s="79">
        <v>0</v>
      </c>
      <c r="U98" s="79">
        <v>0</v>
      </c>
      <c r="V98" s="79">
        <v>22.361563</v>
      </c>
      <c r="W98" s="79">
        <v>0</v>
      </c>
      <c r="X98" s="79">
        <v>1</v>
      </c>
      <c r="Y98" s="79">
        <v>0</v>
      </c>
      <c r="Z98" s="79">
        <v>28</v>
      </c>
      <c r="AA98" s="79">
        <v>5.6384369999999997</v>
      </c>
      <c r="AB98" s="79">
        <v>0</v>
      </c>
      <c r="AC98" s="79">
        <v>3000</v>
      </c>
      <c r="AD98" s="79">
        <v>0</v>
      </c>
      <c r="AE98" s="79">
        <v>3000</v>
      </c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</row>
    <row r="99" spans="1:49" x14ac:dyDescent="0.3">
      <c r="A99" s="79" t="s">
        <v>66</v>
      </c>
      <c r="B99" s="79">
        <v>33</v>
      </c>
      <c r="C99" s="79" t="s">
        <v>424</v>
      </c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>
        <v>16.956250000000001</v>
      </c>
      <c r="W99" s="79">
        <v>0</v>
      </c>
      <c r="X99" s="79">
        <v>0</v>
      </c>
      <c r="Y99" s="79">
        <v>16.956250000000001</v>
      </c>
      <c r="Z99" s="79">
        <v>16.956250000000001</v>
      </c>
      <c r="AA99" s="79">
        <v>0</v>
      </c>
      <c r="AB99" s="79">
        <v>0</v>
      </c>
      <c r="AC99" s="79">
        <v>0</v>
      </c>
      <c r="AD99" s="79">
        <v>1186.94</v>
      </c>
      <c r="AE99" s="79">
        <v>1186.94</v>
      </c>
      <c r="AF99" s="79">
        <v>3000</v>
      </c>
      <c r="AG99" s="79">
        <v>1500</v>
      </c>
      <c r="AH99" s="79">
        <v>15</v>
      </c>
      <c r="AI99" s="79">
        <v>1500</v>
      </c>
      <c r="AJ99" s="79">
        <v>3000</v>
      </c>
      <c r="AK99" s="79">
        <v>15</v>
      </c>
      <c r="AL99" s="79">
        <v>1250</v>
      </c>
      <c r="AM99" s="79">
        <v>313</v>
      </c>
      <c r="AN99" s="79">
        <v>1.95625</v>
      </c>
      <c r="AO99" s="79">
        <v>313</v>
      </c>
      <c r="AP99" s="79">
        <v>1252</v>
      </c>
      <c r="AQ99" s="79">
        <v>1.95625</v>
      </c>
      <c r="AR99" s="79"/>
      <c r="AS99" s="79"/>
      <c r="AT99" s="79"/>
      <c r="AU99" s="79"/>
      <c r="AV99" s="79"/>
      <c r="AW99" s="79"/>
    </row>
    <row r="100" spans="1:49" x14ac:dyDescent="0.3">
      <c r="A100" s="79" t="s">
        <v>427</v>
      </c>
      <c r="B100" s="79">
        <v>33</v>
      </c>
      <c r="C100" s="79" t="s">
        <v>424</v>
      </c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>
        <v>0.9375</v>
      </c>
      <c r="W100" s="79">
        <v>0</v>
      </c>
      <c r="X100" s="79">
        <v>0</v>
      </c>
      <c r="Y100" s="79">
        <v>0.9375</v>
      </c>
      <c r="Z100" s="79">
        <v>0.9375</v>
      </c>
      <c r="AA100" s="79">
        <v>0</v>
      </c>
      <c r="AB100" s="79">
        <v>0</v>
      </c>
      <c r="AC100" s="79">
        <v>0</v>
      </c>
      <c r="AD100" s="79">
        <v>32.81</v>
      </c>
      <c r="AE100" s="79">
        <v>32.81</v>
      </c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v>300</v>
      </c>
      <c r="AS100" s="79">
        <v>150</v>
      </c>
      <c r="AT100" s="79">
        <v>0.9375</v>
      </c>
      <c r="AU100" s="79">
        <v>150</v>
      </c>
      <c r="AV100" s="79">
        <v>300</v>
      </c>
      <c r="AW100" s="79">
        <v>0.9375</v>
      </c>
    </row>
    <row r="101" spans="1:49" x14ac:dyDescent="0.3">
      <c r="A101" s="79" t="s">
        <v>54</v>
      </c>
      <c r="B101" s="79">
        <v>34</v>
      </c>
      <c r="C101" s="79" t="s">
        <v>425</v>
      </c>
      <c r="D101" s="79">
        <v>8326</v>
      </c>
      <c r="E101" s="79">
        <v>2082</v>
      </c>
      <c r="F101" s="79">
        <v>20.82</v>
      </c>
      <c r="G101" s="79">
        <v>0</v>
      </c>
      <c r="H101" s="79">
        <v>0</v>
      </c>
      <c r="I101" s="79">
        <v>0</v>
      </c>
      <c r="J101" s="79">
        <v>6250</v>
      </c>
      <c r="K101" s="79">
        <v>1563</v>
      </c>
      <c r="L101" s="79">
        <v>9.7687500000000007</v>
      </c>
      <c r="M101" s="79">
        <v>717</v>
      </c>
      <c r="N101" s="79">
        <v>2868</v>
      </c>
      <c r="O101" s="79">
        <v>4.4812500000000002</v>
      </c>
      <c r="P101" s="79">
        <v>1930</v>
      </c>
      <c r="Q101" s="79">
        <v>242</v>
      </c>
      <c r="R101" s="79">
        <v>1.890625</v>
      </c>
      <c r="S101" s="79">
        <v>0</v>
      </c>
      <c r="T101" s="79">
        <v>0</v>
      </c>
      <c r="U101" s="79">
        <v>0</v>
      </c>
      <c r="V101" s="79">
        <v>32.479374999999997</v>
      </c>
      <c r="W101" s="79">
        <v>0</v>
      </c>
      <c r="X101" s="79">
        <v>1</v>
      </c>
      <c r="Y101" s="79">
        <v>4.4812500000000002</v>
      </c>
      <c r="Z101" s="79">
        <v>32.481250000000003</v>
      </c>
      <c r="AA101" s="79">
        <v>1.8749999999999999E-3</v>
      </c>
      <c r="AB101" s="79">
        <v>0</v>
      </c>
      <c r="AC101" s="79">
        <v>3000</v>
      </c>
      <c r="AD101" s="79">
        <v>896.25</v>
      </c>
      <c r="AE101" s="79">
        <v>3896.25</v>
      </c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</row>
    <row r="102" spans="1:49" x14ac:dyDescent="0.3">
      <c r="A102" s="79" t="s">
        <v>66</v>
      </c>
      <c r="B102" s="79">
        <v>34</v>
      </c>
      <c r="C102" s="79" t="s">
        <v>425</v>
      </c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>
        <v>16.956250000000001</v>
      </c>
      <c r="W102" s="79">
        <v>0</v>
      </c>
      <c r="X102" s="79">
        <v>0</v>
      </c>
      <c r="Y102" s="79">
        <v>16.956250000000001</v>
      </c>
      <c r="Z102" s="79">
        <v>16.956250000000001</v>
      </c>
      <c r="AA102" s="79">
        <v>0</v>
      </c>
      <c r="AB102" s="79">
        <v>0</v>
      </c>
      <c r="AC102" s="79">
        <v>0</v>
      </c>
      <c r="AD102" s="79">
        <v>1186.94</v>
      </c>
      <c r="AE102" s="79">
        <v>1186.94</v>
      </c>
      <c r="AF102" s="79">
        <v>3000</v>
      </c>
      <c r="AG102" s="79">
        <v>1500</v>
      </c>
      <c r="AH102" s="79">
        <v>15</v>
      </c>
      <c r="AI102" s="79">
        <v>1500</v>
      </c>
      <c r="AJ102" s="79">
        <v>3000</v>
      </c>
      <c r="AK102" s="79">
        <v>15</v>
      </c>
      <c r="AL102" s="79">
        <v>1250</v>
      </c>
      <c r="AM102" s="79">
        <v>313</v>
      </c>
      <c r="AN102" s="79">
        <v>1.95625</v>
      </c>
      <c r="AO102" s="79">
        <v>313</v>
      </c>
      <c r="AP102" s="79">
        <v>1252</v>
      </c>
      <c r="AQ102" s="79">
        <v>1.95625</v>
      </c>
      <c r="AR102" s="79"/>
      <c r="AS102" s="79"/>
      <c r="AT102" s="79"/>
      <c r="AU102" s="79"/>
      <c r="AV102" s="79"/>
      <c r="AW102" s="79"/>
    </row>
    <row r="103" spans="1:49" x14ac:dyDescent="0.3">
      <c r="A103" s="79" t="s">
        <v>427</v>
      </c>
      <c r="B103" s="79">
        <v>34</v>
      </c>
      <c r="C103" s="79" t="s">
        <v>425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>
        <v>0</v>
      </c>
      <c r="W103" s="79">
        <v>0</v>
      </c>
      <c r="X103" s="79">
        <v>0</v>
      </c>
      <c r="Y103" s="79">
        <v>0</v>
      </c>
      <c r="Z103" s="79">
        <v>0</v>
      </c>
      <c r="AA103" s="79">
        <v>0</v>
      </c>
      <c r="AB103" s="79">
        <v>0</v>
      </c>
      <c r="AC103" s="79">
        <v>0</v>
      </c>
      <c r="AD103" s="79">
        <v>0</v>
      </c>
      <c r="AE103" s="79">
        <v>0</v>
      </c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v>0</v>
      </c>
      <c r="AS103" s="79">
        <v>0</v>
      </c>
      <c r="AT103" s="79">
        <v>0</v>
      </c>
      <c r="AU103" s="79">
        <v>0</v>
      </c>
      <c r="AV103" s="79">
        <v>0</v>
      </c>
      <c r="AW103" s="79">
        <v>0</v>
      </c>
    </row>
    <row r="104" spans="1:49" x14ac:dyDescent="0.3">
      <c r="A104" s="79" t="s">
        <v>54</v>
      </c>
      <c r="B104" s="79">
        <v>35</v>
      </c>
      <c r="C104" s="79" t="s">
        <v>426</v>
      </c>
      <c r="D104" s="79">
        <v>8325</v>
      </c>
      <c r="E104" s="79">
        <v>2082</v>
      </c>
      <c r="F104" s="79">
        <v>20.82</v>
      </c>
      <c r="G104" s="79">
        <v>33</v>
      </c>
      <c r="H104" s="79">
        <v>132</v>
      </c>
      <c r="I104" s="79">
        <v>0.33</v>
      </c>
      <c r="J104" s="79">
        <v>6250</v>
      </c>
      <c r="K104" s="79">
        <v>1563</v>
      </c>
      <c r="L104" s="79">
        <v>9.7687500000000007</v>
      </c>
      <c r="M104" s="79">
        <v>409</v>
      </c>
      <c r="N104" s="79">
        <v>1636</v>
      </c>
      <c r="O104" s="79">
        <v>2.5562499999999999</v>
      </c>
      <c r="P104" s="79">
        <v>1928</v>
      </c>
      <c r="Q104" s="79">
        <v>241</v>
      </c>
      <c r="R104" s="79">
        <v>1.8828119999999999</v>
      </c>
      <c r="S104" s="79">
        <v>203</v>
      </c>
      <c r="T104" s="79">
        <v>1624</v>
      </c>
      <c r="U104" s="79">
        <v>1.5859380000000001</v>
      </c>
      <c r="V104" s="79">
        <v>32.471563000000003</v>
      </c>
      <c r="W104" s="79">
        <v>0</v>
      </c>
      <c r="X104" s="79">
        <v>1</v>
      </c>
      <c r="Y104" s="79">
        <v>4.4721880000000001</v>
      </c>
      <c r="Z104" s="79">
        <v>32.472188000000003</v>
      </c>
      <c r="AA104" s="79">
        <v>6.2500000000000001E-4</v>
      </c>
      <c r="AB104" s="79">
        <v>0</v>
      </c>
      <c r="AC104" s="79">
        <v>3000</v>
      </c>
      <c r="AD104" s="79">
        <v>894.44</v>
      </c>
      <c r="AE104" s="79">
        <v>3894.44</v>
      </c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</row>
    <row r="105" spans="1:49" x14ac:dyDescent="0.3">
      <c r="A105" s="79" t="s">
        <v>66</v>
      </c>
      <c r="B105" s="79">
        <v>35</v>
      </c>
      <c r="C105" s="79" t="s">
        <v>426</v>
      </c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>
        <v>16.956250000000001</v>
      </c>
      <c r="W105" s="79">
        <v>0</v>
      </c>
      <c r="X105" s="79">
        <v>0</v>
      </c>
      <c r="Y105" s="79">
        <v>16.956250000000001</v>
      </c>
      <c r="Z105" s="79">
        <v>16.956250000000001</v>
      </c>
      <c r="AA105" s="79">
        <v>0</v>
      </c>
      <c r="AB105" s="79">
        <v>0</v>
      </c>
      <c r="AC105" s="79">
        <v>0</v>
      </c>
      <c r="AD105" s="79">
        <v>1186.94</v>
      </c>
      <c r="AE105" s="79">
        <v>1186.94</v>
      </c>
      <c r="AF105" s="79">
        <v>3000</v>
      </c>
      <c r="AG105" s="79">
        <v>1500</v>
      </c>
      <c r="AH105" s="79">
        <v>15</v>
      </c>
      <c r="AI105" s="79">
        <v>1500</v>
      </c>
      <c r="AJ105" s="79">
        <v>3000</v>
      </c>
      <c r="AK105" s="79">
        <v>15</v>
      </c>
      <c r="AL105" s="79">
        <v>1250</v>
      </c>
      <c r="AM105" s="79">
        <v>313</v>
      </c>
      <c r="AN105" s="79">
        <v>1.95625</v>
      </c>
      <c r="AO105" s="79">
        <v>313</v>
      </c>
      <c r="AP105" s="79">
        <v>1252</v>
      </c>
      <c r="AQ105" s="79">
        <v>1.95625</v>
      </c>
      <c r="AR105" s="79"/>
      <c r="AS105" s="79"/>
      <c r="AT105" s="79"/>
      <c r="AU105" s="79"/>
      <c r="AV105" s="79"/>
      <c r="AW105" s="79"/>
    </row>
    <row r="106" spans="1:49" x14ac:dyDescent="0.3">
      <c r="A106" s="79" t="s">
        <v>427</v>
      </c>
      <c r="B106" s="79">
        <v>35</v>
      </c>
      <c r="C106" s="79" t="s">
        <v>426</v>
      </c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>
        <v>0</v>
      </c>
      <c r="W106" s="79">
        <v>0</v>
      </c>
      <c r="X106" s="79">
        <v>0</v>
      </c>
      <c r="Y106" s="79">
        <v>0</v>
      </c>
      <c r="Z106" s="79">
        <v>0</v>
      </c>
      <c r="AA106" s="79">
        <v>0</v>
      </c>
      <c r="AB106" s="79">
        <v>0</v>
      </c>
      <c r="AC106" s="79">
        <v>0</v>
      </c>
      <c r="AD106" s="79">
        <v>0</v>
      </c>
      <c r="AE106" s="79">
        <v>0</v>
      </c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v>0</v>
      </c>
      <c r="AS106" s="79">
        <v>0</v>
      </c>
      <c r="AT106" s="79">
        <v>0</v>
      </c>
      <c r="AU106" s="79">
        <v>0</v>
      </c>
      <c r="AV106" s="79">
        <v>0</v>
      </c>
      <c r="AW106" s="7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"/>
  <sheetViews>
    <sheetView workbookViewId="0">
      <selection activeCell="H11" sqref="H11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78" t="s">
        <v>154</v>
      </c>
      <c r="B1" s="78" t="s">
        <v>455</v>
      </c>
      <c r="C1" s="78" t="s">
        <v>437</v>
      </c>
      <c r="D1" s="78" t="s">
        <v>456</v>
      </c>
      <c r="E1" s="78" t="s">
        <v>457</v>
      </c>
      <c r="F1" s="78" t="s">
        <v>458</v>
      </c>
      <c r="G1" s="78" t="s">
        <v>459</v>
      </c>
      <c r="H1" s="78" t="s">
        <v>460</v>
      </c>
      <c r="I1" s="78" t="s">
        <v>461</v>
      </c>
      <c r="J1" s="78" t="s">
        <v>462</v>
      </c>
      <c r="K1" s="78" t="s">
        <v>463</v>
      </c>
      <c r="L1" s="78" t="s">
        <v>464</v>
      </c>
    </row>
    <row r="2" spans="1:12" x14ac:dyDescent="0.3">
      <c r="A2" s="79" t="s">
        <v>427</v>
      </c>
      <c r="B2" s="79">
        <v>35</v>
      </c>
      <c r="C2" s="79">
        <v>16.15625</v>
      </c>
      <c r="D2" s="79">
        <v>0</v>
      </c>
      <c r="E2" s="79">
        <v>0</v>
      </c>
      <c r="F2" s="79">
        <v>16.15625</v>
      </c>
      <c r="G2" s="79">
        <v>16.15625</v>
      </c>
      <c r="H2" s="79">
        <v>0</v>
      </c>
      <c r="I2" s="79">
        <v>0</v>
      </c>
      <c r="J2" s="79">
        <v>0</v>
      </c>
      <c r="K2" s="79">
        <v>565.43000000000006</v>
      </c>
      <c r="L2" s="79">
        <v>565.43000000000006</v>
      </c>
    </row>
    <row r="3" spans="1:12" x14ac:dyDescent="0.3">
      <c r="A3" s="79" t="s">
        <v>66</v>
      </c>
      <c r="B3" s="79">
        <v>35</v>
      </c>
      <c r="C3" s="79">
        <v>542.29875000000004</v>
      </c>
      <c r="D3" s="79">
        <v>2</v>
      </c>
      <c r="E3" s="79">
        <v>0</v>
      </c>
      <c r="F3" s="79">
        <v>412.30374999999998</v>
      </c>
      <c r="G3" s="79">
        <v>542.30375000000004</v>
      </c>
      <c r="H3" s="79">
        <v>5.0000000000000001E-3</v>
      </c>
      <c r="I3" s="79">
        <v>8400</v>
      </c>
      <c r="J3" s="79">
        <v>0</v>
      </c>
      <c r="K3" s="79">
        <v>28861.33</v>
      </c>
      <c r="L3" s="79">
        <v>37261.33</v>
      </c>
    </row>
    <row r="4" spans="1:12" x14ac:dyDescent="0.3">
      <c r="A4" s="79" t="s">
        <v>54</v>
      </c>
      <c r="B4" s="79">
        <v>35</v>
      </c>
      <c r="C4" s="79">
        <v>1064.8675049999999</v>
      </c>
      <c r="D4" s="79">
        <v>13</v>
      </c>
      <c r="E4" s="79">
        <v>14</v>
      </c>
      <c r="F4" s="79">
        <v>108.49718900000001</v>
      </c>
      <c r="G4" s="79">
        <v>1345.4971889999999</v>
      </c>
      <c r="H4" s="79">
        <v>280.629684</v>
      </c>
      <c r="I4" s="79">
        <v>67600</v>
      </c>
      <c r="J4" s="79">
        <v>42000</v>
      </c>
      <c r="K4" s="79">
        <v>21699.42</v>
      </c>
      <c r="L4" s="79">
        <v>131299.42000000001</v>
      </c>
    </row>
    <row r="7" spans="1:12" x14ac:dyDescent="0.3">
      <c r="A7" s="78" t="s">
        <v>465</v>
      </c>
      <c r="B7" s="78" t="s">
        <v>455</v>
      </c>
      <c r="C7" s="78" t="s">
        <v>437</v>
      </c>
      <c r="D7" s="78" t="s">
        <v>456</v>
      </c>
      <c r="E7" s="78" t="s">
        <v>457</v>
      </c>
      <c r="F7" s="78" t="s">
        <v>458</v>
      </c>
      <c r="G7" s="78" t="s">
        <v>459</v>
      </c>
      <c r="H7" s="78" t="s">
        <v>460</v>
      </c>
      <c r="I7" s="78" t="s">
        <v>461</v>
      </c>
      <c r="J7" s="78" t="s">
        <v>462</v>
      </c>
      <c r="K7" s="78" t="s">
        <v>463</v>
      </c>
      <c r="L7" s="78" t="s">
        <v>464</v>
      </c>
    </row>
    <row r="8" spans="1:12" x14ac:dyDescent="0.3">
      <c r="A8" s="79">
        <v>3</v>
      </c>
      <c r="B8" s="79">
        <v>35</v>
      </c>
      <c r="C8" s="79">
        <v>1623.3225050000001</v>
      </c>
      <c r="D8" s="79">
        <v>15</v>
      </c>
      <c r="E8" s="79">
        <v>14</v>
      </c>
      <c r="F8" s="79">
        <v>536.95718899999997</v>
      </c>
      <c r="G8" s="79">
        <v>1903.957189</v>
      </c>
      <c r="H8" s="79">
        <v>280.63468399999999</v>
      </c>
      <c r="I8" s="79">
        <v>76000</v>
      </c>
      <c r="J8" s="79">
        <v>42000</v>
      </c>
      <c r="K8" s="79">
        <v>51126.18</v>
      </c>
      <c r="L8" s="79">
        <v>169126.18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5:M35"/>
  <sheetViews>
    <sheetView topLeftCell="A2" workbookViewId="0">
      <selection activeCell="C5" sqref="C5:M10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466</v>
      </c>
      <c r="D5" s="2" t="s">
        <v>467</v>
      </c>
      <c r="E5" s="14" t="s">
        <v>468</v>
      </c>
      <c r="F5" s="2" t="s">
        <v>120</v>
      </c>
      <c r="G5" s="2" t="s">
        <v>469</v>
      </c>
      <c r="H5" s="2" t="s">
        <v>470</v>
      </c>
      <c r="I5" s="15" t="s">
        <v>471</v>
      </c>
      <c r="J5" s="15" t="s">
        <v>472</v>
      </c>
      <c r="K5" s="15" t="s">
        <v>473</v>
      </c>
      <c r="L5" s="15" t="s">
        <v>474</v>
      </c>
      <c r="M5" s="15" t="s">
        <v>475</v>
      </c>
    </row>
    <row r="6" spans="3:13" x14ac:dyDescent="0.3">
      <c r="C6">
        <v>1</v>
      </c>
      <c r="D6" t="s">
        <v>1</v>
      </c>
      <c r="E6" t="s">
        <v>7</v>
      </c>
      <c r="F6" t="s">
        <v>476</v>
      </c>
      <c r="G6" t="s">
        <v>477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478</v>
      </c>
    </row>
    <row r="7" spans="3:13" x14ac:dyDescent="0.3">
      <c r="C7">
        <v>2</v>
      </c>
      <c r="D7" t="s">
        <v>1</v>
      </c>
      <c r="E7" t="s">
        <v>8</v>
      </c>
      <c r="F7" t="s">
        <v>479</v>
      </c>
      <c r="G7" t="s">
        <v>477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480</v>
      </c>
    </row>
    <row r="8" spans="3:13" x14ac:dyDescent="0.3">
      <c r="C8">
        <v>3</v>
      </c>
      <c r="D8" t="s">
        <v>1</v>
      </c>
      <c r="E8" t="s">
        <v>9</v>
      </c>
      <c r="F8" t="s">
        <v>481</v>
      </c>
      <c r="G8" t="s">
        <v>477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482</v>
      </c>
    </row>
    <row r="9" spans="3:13" x14ac:dyDescent="0.3">
      <c r="C9">
        <v>4</v>
      </c>
      <c r="D9" t="s">
        <v>1</v>
      </c>
      <c r="E9" t="s">
        <v>10</v>
      </c>
      <c r="F9" t="s">
        <v>483</v>
      </c>
      <c r="G9" t="s">
        <v>484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478</v>
      </c>
    </row>
    <row r="10" spans="3:13" x14ac:dyDescent="0.3">
      <c r="C10">
        <v>5</v>
      </c>
      <c r="D10" t="s">
        <v>1</v>
      </c>
      <c r="E10" t="s">
        <v>11</v>
      </c>
      <c r="F10" t="s">
        <v>485</v>
      </c>
      <c r="G10" t="s">
        <v>484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478</v>
      </c>
    </row>
    <row r="11" spans="3:13" x14ac:dyDescent="0.3">
      <c r="C11">
        <v>6</v>
      </c>
      <c r="D11" t="s">
        <v>2</v>
      </c>
      <c r="E11" t="s">
        <v>7</v>
      </c>
      <c r="F11" t="s">
        <v>476</v>
      </c>
      <c r="G11" t="s">
        <v>477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478</v>
      </c>
    </row>
    <row r="12" spans="3:13" x14ac:dyDescent="0.3">
      <c r="C12">
        <v>7</v>
      </c>
      <c r="D12" t="s">
        <v>2</v>
      </c>
      <c r="E12" t="s">
        <v>8</v>
      </c>
      <c r="F12" t="s">
        <v>479</v>
      </c>
      <c r="G12" t="s">
        <v>477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480</v>
      </c>
    </row>
    <row r="13" spans="3:13" x14ac:dyDescent="0.3">
      <c r="C13">
        <v>8</v>
      </c>
      <c r="D13" t="s">
        <v>2</v>
      </c>
      <c r="E13" t="s">
        <v>9</v>
      </c>
      <c r="F13" t="s">
        <v>481</v>
      </c>
      <c r="G13" t="s">
        <v>477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482</v>
      </c>
    </row>
    <row r="14" spans="3:13" x14ac:dyDescent="0.3">
      <c r="C14">
        <v>9</v>
      </c>
      <c r="D14" t="s">
        <v>2</v>
      </c>
      <c r="E14" t="s">
        <v>12</v>
      </c>
      <c r="F14" t="s">
        <v>486</v>
      </c>
      <c r="G14" t="s">
        <v>484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487</v>
      </c>
    </row>
    <row r="15" spans="3:13" x14ac:dyDescent="0.3">
      <c r="C15">
        <v>10</v>
      </c>
      <c r="D15" t="s">
        <v>2</v>
      </c>
      <c r="E15" t="s">
        <v>13</v>
      </c>
      <c r="F15" t="s">
        <v>488</v>
      </c>
      <c r="G15" t="s">
        <v>484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489</v>
      </c>
    </row>
    <row r="16" spans="3:13" x14ac:dyDescent="0.3">
      <c r="C16">
        <v>11</v>
      </c>
      <c r="D16" t="s">
        <v>3</v>
      </c>
      <c r="E16" t="s">
        <v>7</v>
      </c>
      <c r="F16" t="s">
        <v>476</v>
      </c>
      <c r="G16" t="s">
        <v>477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478</v>
      </c>
    </row>
    <row r="17" spans="3:13" x14ac:dyDescent="0.3">
      <c r="C17">
        <v>12</v>
      </c>
      <c r="D17" t="s">
        <v>3</v>
      </c>
      <c r="E17" t="s">
        <v>8</v>
      </c>
      <c r="F17" t="s">
        <v>479</v>
      </c>
      <c r="G17" t="s">
        <v>477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480</v>
      </c>
    </row>
    <row r="18" spans="3:13" x14ac:dyDescent="0.3">
      <c r="C18">
        <v>13</v>
      </c>
      <c r="D18" t="s">
        <v>3</v>
      </c>
      <c r="E18" t="s">
        <v>9</v>
      </c>
      <c r="F18" t="s">
        <v>481</v>
      </c>
      <c r="G18" t="s">
        <v>477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482</v>
      </c>
    </row>
    <row r="19" spans="3:13" x14ac:dyDescent="0.3">
      <c r="C19">
        <v>14</v>
      </c>
      <c r="D19" t="s">
        <v>3</v>
      </c>
      <c r="E19" t="s">
        <v>14</v>
      </c>
      <c r="F19" t="s">
        <v>490</v>
      </c>
      <c r="G19" t="s">
        <v>484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491</v>
      </c>
    </row>
    <row r="20" spans="3:13" x14ac:dyDescent="0.3">
      <c r="C20">
        <v>15</v>
      </c>
      <c r="D20" t="s">
        <v>3</v>
      </c>
      <c r="E20" t="s">
        <v>15</v>
      </c>
      <c r="F20" t="s">
        <v>492</v>
      </c>
      <c r="G20" t="s">
        <v>484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493</v>
      </c>
    </row>
    <row r="21" spans="3:13" x14ac:dyDescent="0.3">
      <c r="C21">
        <v>16</v>
      </c>
      <c r="D21" t="s">
        <v>4</v>
      </c>
      <c r="E21" t="s">
        <v>7</v>
      </c>
      <c r="F21" t="s">
        <v>476</v>
      </c>
      <c r="G21" t="s">
        <v>477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478</v>
      </c>
    </row>
    <row r="22" spans="3:13" x14ac:dyDescent="0.3">
      <c r="C22">
        <v>17</v>
      </c>
      <c r="D22" t="s">
        <v>4</v>
      </c>
      <c r="E22" t="s">
        <v>8</v>
      </c>
      <c r="F22" t="s">
        <v>479</v>
      </c>
      <c r="G22" t="s">
        <v>477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480</v>
      </c>
    </row>
    <row r="23" spans="3:13" x14ac:dyDescent="0.3">
      <c r="C23">
        <v>18</v>
      </c>
      <c r="D23" t="s">
        <v>4</v>
      </c>
      <c r="E23" t="s">
        <v>9</v>
      </c>
      <c r="F23" t="s">
        <v>481</v>
      </c>
      <c r="G23" t="s">
        <v>477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482</v>
      </c>
    </row>
    <row r="24" spans="3:13" x14ac:dyDescent="0.3">
      <c r="C24">
        <v>19</v>
      </c>
      <c r="D24" t="s">
        <v>4</v>
      </c>
      <c r="E24" t="s">
        <v>16</v>
      </c>
      <c r="F24" t="s">
        <v>494</v>
      </c>
      <c r="G24" t="s">
        <v>484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478</v>
      </c>
    </row>
    <row r="25" spans="3:13" x14ac:dyDescent="0.3">
      <c r="C25">
        <v>20</v>
      </c>
      <c r="D25" t="s">
        <v>4</v>
      </c>
      <c r="E25" t="s">
        <v>17</v>
      </c>
      <c r="F25" t="s">
        <v>495</v>
      </c>
      <c r="G25" t="s">
        <v>484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489</v>
      </c>
    </row>
    <row r="26" spans="3:13" x14ac:dyDescent="0.3">
      <c r="C26">
        <v>21</v>
      </c>
      <c r="D26" t="s">
        <v>5</v>
      </c>
      <c r="E26" t="s">
        <v>7</v>
      </c>
      <c r="F26" t="s">
        <v>476</v>
      </c>
      <c r="G26" t="s">
        <v>477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478</v>
      </c>
    </row>
    <row r="27" spans="3:13" x14ac:dyDescent="0.3">
      <c r="C27">
        <v>22</v>
      </c>
      <c r="D27" t="s">
        <v>5</v>
      </c>
      <c r="E27" t="s">
        <v>8</v>
      </c>
      <c r="F27" t="s">
        <v>479</v>
      </c>
      <c r="G27" t="s">
        <v>477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480</v>
      </c>
    </row>
    <row r="28" spans="3:13" x14ac:dyDescent="0.3">
      <c r="C28">
        <v>23</v>
      </c>
      <c r="D28" t="s">
        <v>5</v>
      </c>
      <c r="E28" t="s">
        <v>9</v>
      </c>
      <c r="F28" t="s">
        <v>481</v>
      </c>
      <c r="G28" t="s">
        <v>477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482</v>
      </c>
    </row>
    <row r="29" spans="3:13" x14ac:dyDescent="0.3">
      <c r="C29">
        <v>24</v>
      </c>
      <c r="D29" t="s">
        <v>5</v>
      </c>
      <c r="E29" t="s">
        <v>18</v>
      </c>
      <c r="F29" t="s">
        <v>496</v>
      </c>
      <c r="G29" t="s">
        <v>484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487</v>
      </c>
    </row>
    <row r="30" spans="3:13" x14ac:dyDescent="0.3">
      <c r="C30">
        <v>25</v>
      </c>
      <c r="D30" t="s">
        <v>5</v>
      </c>
      <c r="E30" t="s">
        <v>19</v>
      </c>
      <c r="F30" t="s">
        <v>497</v>
      </c>
      <c r="G30" t="s">
        <v>484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478</v>
      </c>
    </row>
    <row r="31" spans="3:13" x14ac:dyDescent="0.3">
      <c r="C31">
        <v>26</v>
      </c>
      <c r="D31" t="s">
        <v>6</v>
      </c>
      <c r="E31" t="s">
        <v>7</v>
      </c>
      <c r="F31" t="s">
        <v>476</v>
      </c>
      <c r="G31" t="s">
        <v>477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478</v>
      </c>
    </row>
    <row r="32" spans="3:13" x14ac:dyDescent="0.3">
      <c r="C32">
        <v>27</v>
      </c>
      <c r="D32" t="s">
        <v>6</v>
      </c>
      <c r="E32" t="s">
        <v>8</v>
      </c>
      <c r="F32" t="s">
        <v>479</v>
      </c>
      <c r="G32" t="s">
        <v>477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480</v>
      </c>
    </row>
    <row r="33" spans="3:13" x14ac:dyDescent="0.3">
      <c r="C33">
        <v>28</v>
      </c>
      <c r="D33" t="s">
        <v>6</v>
      </c>
      <c r="E33" t="s">
        <v>9</v>
      </c>
      <c r="F33" t="s">
        <v>481</v>
      </c>
      <c r="G33" t="s">
        <v>477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482</v>
      </c>
    </row>
    <row r="34" spans="3:13" x14ac:dyDescent="0.3">
      <c r="C34">
        <v>29</v>
      </c>
      <c r="D34" t="s">
        <v>6</v>
      </c>
      <c r="E34" t="s">
        <v>20</v>
      </c>
      <c r="F34" t="s">
        <v>498</v>
      </c>
      <c r="G34" t="s">
        <v>484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478</v>
      </c>
    </row>
    <row r="35" spans="3:13" x14ac:dyDescent="0.3">
      <c r="C35">
        <v>30</v>
      </c>
      <c r="D35" t="s">
        <v>6</v>
      </c>
      <c r="E35" t="s">
        <v>21</v>
      </c>
      <c r="F35" t="s">
        <v>499</v>
      </c>
      <c r="G35" t="s">
        <v>484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478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H26"/>
  <sheetViews>
    <sheetView workbookViewId="0">
      <selection activeCell="D7" sqref="D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customHeight="1" x14ac:dyDescent="0.3">
      <c r="B2" s="19" t="s">
        <v>44</v>
      </c>
      <c r="C2" s="19" t="s">
        <v>45</v>
      </c>
      <c r="D2" s="19" t="s">
        <v>77</v>
      </c>
      <c r="E2" s="19" t="s">
        <v>78</v>
      </c>
      <c r="F2" s="20" t="s">
        <v>500</v>
      </c>
      <c r="G2" t="s">
        <v>46</v>
      </c>
    </row>
    <row r="3" spans="2:8" x14ac:dyDescent="0.3">
      <c r="B3" s="18" t="s">
        <v>1</v>
      </c>
      <c r="C3" t="s">
        <v>57</v>
      </c>
      <c r="D3">
        <v>4</v>
      </c>
      <c r="E3" s="17">
        <v>1</v>
      </c>
      <c r="F3">
        <v>105</v>
      </c>
      <c r="G3" t="s">
        <v>54</v>
      </c>
      <c r="H3" s="21"/>
    </row>
    <row r="4" spans="2:8" x14ac:dyDescent="0.3">
      <c r="B4" s="18" t="s">
        <v>2</v>
      </c>
      <c r="C4" t="s">
        <v>63</v>
      </c>
      <c r="D4">
        <v>4</v>
      </c>
      <c r="E4" s="17">
        <v>0.625</v>
      </c>
      <c r="F4">
        <v>55</v>
      </c>
      <c r="G4" t="s">
        <v>54</v>
      </c>
      <c r="H4" s="21"/>
    </row>
    <row r="5" spans="2:8" x14ac:dyDescent="0.3">
      <c r="B5" s="18" t="s">
        <v>3</v>
      </c>
      <c r="C5" t="s">
        <v>65</v>
      </c>
      <c r="D5">
        <v>2</v>
      </c>
      <c r="E5" s="17">
        <v>1</v>
      </c>
      <c r="F5">
        <v>80</v>
      </c>
      <c r="G5" t="s">
        <v>66</v>
      </c>
      <c r="H5" s="21"/>
    </row>
    <row r="6" spans="2:8" x14ac:dyDescent="0.3">
      <c r="B6" s="18" t="s">
        <v>4</v>
      </c>
      <c r="C6" t="s">
        <v>69</v>
      </c>
      <c r="D6">
        <v>4</v>
      </c>
      <c r="E6" s="17">
        <v>0.625</v>
      </c>
      <c r="F6">
        <v>40</v>
      </c>
      <c r="G6" t="s">
        <v>66</v>
      </c>
      <c r="H6" s="21"/>
    </row>
    <row r="7" spans="2:8" x14ac:dyDescent="0.3">
      <c r="B7" s="18" t="s">
        <v>5</v>
      </c>
      <c r="C7" t="s">
        <v>60</v>
      </c>
      <c r="D7">
        <v>2</v>
      </c>
      <c r="E7" s="17">
        <v>0.625</v>
      </c>
      <c r="F7">
        <v>30</v>
      </c>
      <c r="G7" t="s">
        <v>501</v>
      </c>
      <c r="H7" s="21"/>
    </row>
    <row r="8" spans="2:8" x14ac:dyDescent="0.3">
      <c r="B8" s="18" t="s">
        <v>6</v>
      </c>
      <c r="C8" t="s">
        <v>53</v>
      </c>
      <c r="D8">
        <v>8</v>
      </c>
      <c r="E8" s="17">
        <v>0.78125</v>
      </c>
      <c r="F8">
        <v>90</v>
      </c>
      <c r="G8" t="s">
        <v>54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502</v>
      </c>
    </row>
    <row r="17" spans="2:6" ht="28.8" customHeight="1" x14ac:dyDescent="0.3">
      <c r="B17" s="23" t="s">
        <v>503</v>
      </c>
      <c r="C17" s="23" t="s">
        <v>54</v>
      </c>
      <c r="D17" s="23" t="s">
        <v>66</v>
      </c>
      <c r="E17" s="23" t="s">
        <v>427</v>
      </c>
      <c r="F17" s="28" t="s">
        <v>504</v>
      </c>
    </row>
    <row r="18" spans="2:6" x14ac:dyDescent="0.3">
      <c r="B18" s="24" t="s">
        <v>505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506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507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508</v>
      </c>
      <c r="C22" s="24"/>
      <c r="D22" s="24"/>
      <c r="E22" s="24"/>
      <c r="F22" s="24"/>
    </row>
    <row r="23" spans="2:6" x14ac:dyDescent="0.3">
      <c r="B23" s="24" t="s">
        <v>509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507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510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7"/>
  <sheetViews>
    <sheetView workbookViewId="0"/>
  </sheetViews>
  <sheetFormatPr defaultRowHeight="14.4" x14ac:dyDescent="0.3"/>
  <sheetData>
    <row r="1" spans="1:28" x14ac:dyDescent="0.3">
      <c r="A1" s="80" t="s">
        <v>92</v>
      </c>
      <c r="B1" s="80">
        <v>46127</v>
      </c>
      <c r="C1" s="80">
        <v>46128</v>
      </c>
      <c r="D1" s="80">
        <v>46129</v>
      </c>
      <c r="E1" s="80">
        <v>46130</v>
      </c>
      <c r="F1" s="80">
        <v>46132</v>
      </c>
      <c r="G1" s="80">
        <v>46133</v>
      </c>
      <c r="H1" s="80">
        <v>46134</v>
      </c>
      <c r="I1" s="80">
        <v>46135</v>
      </c>
      <c r="J1" s="80">
        <v>46136</v>
      </c>
      <c r="K1" s="80">
        <v>46137</v>
      </c>
      <c r="L1" s="80">
        <v>46139</v>
      </c>
      <c r="M1" s="80">
        <v>46140</v>
      </c>
      <c r="N1" s="80">
        <v>46141</v>
      </c>
      <c r="O1" s="80">
        <v>46142</v>
      </c>
      <c r="P1" s="80">
        <v>46143</v>
      </c>
      <c r="Q1" s="80">
        <v>46144</v>
      </c>
      <c r="R1" s="80">
        <v>46146</v>
      </c>
      <c r="S1" s="80">
        <v>46147</v>
      </c>
      <c r="T1" s="80">
        <v>46148</v>
      </c>
      <c r="U1" s="80">
        <v>46149</v>
      </c>
      <c r="V1" s="80">
        <v>46150</v>
      </c>
      <c r="W1" s="80">
        <v>46151</v>
      </c>
      <c r="X1" s="80">
        <v>46153</v>
      </c>
      <c r="Y1" s="80">
        <v>46154</v>
      </c>
      <c r="Z1" s="80">
        <v>46155</v>
      </c>
      <c r="AA1" s="80">
        <v>46156</v>
      </c>
      <c r="AB1" s="80">
        <v>46157</v>
      </c>
    </row>
    <row r="2" spans="1:28" x14ac:dyDescent="0.3">
      <c r="A2" s="87" t="s">
        <v>1</v>
      </c>
      <c r="B2" s="89">
        <f>SUMIF(Scenario_Result!$A:$A,$A2,Scenario_Result!$J:$J)</f>
        <v>0</v>
      </c>
      <c r="C2" s="89">
        <f>SUMIF(Scenario_Result!$A:$A,$A2,Scenario_Result!$K:$K)</f>
        <v>0</v>
      </c>
      <c r="D2" s="89">
        <f>SUMIF(Scenario_Result!$A:$A,$A2,Scenario_Result!$L:$L)</f>
        <v>0</v>
      </c>
      <c r="E2" s="89">
        <f>SUMIF(Scenario_Result!$A:$A,$A2,Scenario_Result!$M:$M)</f>
        <v>0</v>
      </c>
      <c r="F2" s="89">
        <f>SUMIF(Scenario_Result!$A:$A,$A2,Scenario_Result!$N:$N)</f>
        <v>510</v>
      </c>
      <c r="G2" s="89">
        <f>SUMIF(Scenario_Result!$A:$A,$A2,Scenario_Result!$O:$O)</f>
        <v>0</v>
      </c>
      <c r="H2" s="89">
        <f>SUMIF(Scenario_Result!$A:$A,$A2,Scenario_Result!$P:$P)</f>
        <v>2500</v>
      </c>
      <c r="I2" s="89">
        <f>SUMIF(Scenario_Result!$A:$A,$A2,Scenario_Result!$Q:$Q)</f>
        <v>0</v>
      </c>
      <c r="J2" s="89">
        <f>SUMIF(Scenario_Result!$A:$A,$A2,Scenario_Result!$R:$R)</f>
        <v>0</v>
      </c>
      <c r="K2" s="89">
        <f>SUMIF(Scenario_Result!$A:$A,$A2,Scenario_Result!$S:$S)</f>
        <v>2500</v>
      </c>
      <c r="L2" s="89">
        <f>SUMIF(Scenario_Result!$A:$A,$A2,Scenario_Result!$T:$T)</f>
        <v>2500</v>
      </c>
      <c r="M2" s="89">
        <f>SUMIF(Scenario_Result!$A:$A,$A2,Scenario_Result!$U:$U)</f>
        <v>0</v>
      </c>
      <c r="N2" s="89">
        <f>SUMIF(Scenario_Result!$A:$A,$A2,Scenario_Result!$V:$V)</f>
        <v>0</v>
      </c>
      <c r="O2" s="89">
        <f>SUMIF(Scenario_Result!$A:$A,$A2,Scenario_Result!$W:$W)</f>
        <v>0</v>
      </c>
      <c r="P2" s="89">
        <f>SUMIF(Scenario_Result!$A:$A,$A2,Scenario_Result!$X:$X)</f>
        <v>2500</v>
      </c>
      <c r="Q2" s="89">
        <f>SUMIF(Scenario_Result!$A:$A,$A2,Scenario_Result!$Y:$Y)</f>
        <v>2000</v>
      </c>
      <c r="R2" s="89">
        <f>SUMIF(Scenario_Result!$A:$A,$A2,Scenario_Result!$Z:$Z)</f>
        <v>2500</v>
      </c>
      <c r="S2" s="89">
        <f>SUMIF(Scenario_Result!$A:$A,$A2,Scenario_Result!$AA:$AA)</f>
        <v>2500</v>
      </c>
      <c r="T2" s="89">
        <f>SUMIF(Scenario_Result!$A:$A,$A2,Scenario_Result!$AB:$AB)</f>
        <v>2500</v>
      </c>
      <c r="U2" s="89">
        <f>SUMIF(Scenario_Result!$A:$A,$A2,Scenario_Result!$AC:$AC)</f>
        <v>2500</v>
      </c>
      <c r="V2" s="89">
        <f>SUMIF(Scenario_Result!$A:$A,$A2,Scenario_Result!$AD:$AD)</f>
        <v>2500</v>
      </c>
      <c r="W2" s="89">
        <f>SUMIF(Scenario_Result!$A:$A,$A2,Scenario_Result!$AE:$AE)</f>
        <v>2500</v>
      </c>
      <c r="X2" s="89">
        <f>SUMIF(Scenario_Result!$A:$A,$A2,Scenario_Result!$AF:$AF)</f>
        <v>2500</v>
      </c>
      <c r="Y2" s="89">
        <f>SUMIF(Scenario_Result!$A:$A,$A2,Scenario_Result!$AG:$AG)</f>
        <v>2500</v>
      </c>
      <c r="Z2" s="89">
        <f>SUMIF(Scenario_Result!$A:$A,$A2,Scenario_Result!$AH:$AH)</f>
        <v>2500</v>
      </c>
      <c r="AA2" s="89">
        <f>SUMIF(Scenario_Result!$A:$A,$A2,Scenario_Result!$AI:$AI)</f>
        <v>2500</v>
      </c>
      <c r="AB2" s="89">
        <f>SUMIF(Scenario_Result!$A:$A,$A2,Scenario_Result!$AJ:$AJ)</f>
        <v>2500</v>
      </c>
    </row>
    <row r="3" spans="1:28" x14ac:dyDescent="0.3">
      <c r="A3" s="87" t="s">
        <v>2</v>
      </c>
      <c r="B3" s="89">
        <f>SUMIF(Scenario_Result!$A:$A,$A3,Scenario_Result!$J:$J)</f>
        <v>2500</v>
      </c>
      <c r="C3" s="89">
        <f>SUMIF(Scenario_Result!$A:$A,$A3,Scenario_Result!$K:$K)</f>
        <v>2500</v>
      </c>
      <c r="D3" s="89">
        <f>SUMIF(Scenario_Result!$A:$A,$A3,Scenario_Result!$L:$L)</f>
        <v>2500</v>
      </c>
      <c r="E3" s="89">
        <f>SUMIF(Scenario_Result!$A:$A,$A3,Scenario_Result!$M:$M)</f>
        <v>2500</v>
      </c>
      <c r="F3" s="89">
        <f>SUMIF(Scenario_Result!$A:$A,$A3,Scenario_Result!$N:$N)</f>
        <v>1990</v>
      </c>
      <c r="G3" s="89">
        <f>SUMIF(Scenario_Result!$A:$A,$A3,Scenario_Result!$O:$O)</f>
        <v>2500</v>
      </c>
      <c r="H3" s="89">
        <f>SUMIF(Scenario_Result!$A:$A,$A3,Scenario_Result!$P:$P)</f>
        <v>0</v>
      </c>
      <c r="I3" s="89">
        <f>SUMIF(Scenario_Result!$A:$A,$A3,Scenario_Result!$Q:$Q)</f>
        <v>2500</v>
      </c>
      <c r="J3" s="89">
        <f>SUMIF(Scenario_Result!$A:$A,$A3,Scenario_Result!$R:$R)</f>
        <v>2500</v>
      </c>
      <c r="K3" s="89">
        <f>SUMIF(Scenario_Result!$A:$A,$A3,Scenario_Result!$S:$S)</f>
        <v>0</v>
      </c>
      <c r="L3" s="89">
        <f>SUMIF(Scenario_Result!$A:$A,$A3,Scenario_Result!$T:$T)</f>
        <v>0</v>
      </c>
      <c r="M3" s="89">
        <f>SUMIF(Scenario_Result!$A:$A,$A3,Scenario_Result!$U:$U)</f>
        <v>2500</v>
      </c>
      <c r="N3" s="89">
        <f>SUMIF(Scenario_Result!$A:$A,$A3,Scenario_Result!$V:$V)</f>
        <v>2500</v>
      </c>
      <c r="O3" s="89">
        <f>SUMIF(Scenario_Result!$A:$A,$A3,Scenario_Result!$W:$W)</f>
        <v>2500</v>
      </c>
      <c r="P3" s="89">
        <f>SUMIF(Scenario_Result!$A:$A,$A3,Scenario_Result!$X:$X)</f>
        <v>0</v>
      </c>
      <c r="Q3" s="89">
        <f>SUMIF(Scenario_Result!$A:$A,$A3,Scenario_Result!$Y:$Y)</f>
        <v>500</v>
      </c>
      <c r="R3" s="89">
        <f>SUMIF(Scenario_Result!$A:$A,$A3,Scenario_Result!$Z:$Z)</f>
        <v>0</v>
      </c>
      <c r="S3" s="89">
        <f>SUMIF(Scenario_Result!$A:$A,$A3,Scenario_Result!$AA:$AA)</f>
        <v>0</v>
      </c>
      <c r="T3" s="89">
        <f>SUMIF(Scenario_Result!$A:$A,$A3,Scenario_Result!$AB:$AB)</f>
        <v>0</v>
      </c>
      <c r="U3" s="89">
        <f>SUMIF(Scenario_Result!$A:$A,$A3,Scenario_Result!$AC:$AC)</f>
        <v>0</v>
      </c>
      <c r="V3" s="89">
        <f>SUMIF(Scenario_Result!$A:$A,$A3,Scenario_Result!$AD:$AD)</f>
        <v>0</v>
      </c>
      <c r="W3" s="89">
        <f>SUMIF(Scenario_Result!$A:$A,$A3,Scenario_Result!$AE:$AE)</f>
        <v>0</v>
      </c>
      <c r="X3" s="89">
        <f>SUMIF(Scenario_Result!$A:$A,$A3,Scenario_Result!$AF:$AF)</f>
        <v>0</v>
      </c>
      <c r="Y3" s="89">
        <f>SUMIF(Scenario_Result!$A:$A,$A3,Scenario_Result!$AG:$AG)</f>
        <v>0</v>
      </c>
      <c r="Z3" s="89">
        <f>SUMIF(Scenario_Result!$A:$A,$A3,Scenario_Result!$AH:$AH)</f>
        <v>0</v>
      </c>
      <c r="AA3" s="89">
        <f>SUMIF(Scenario_Result!$A:$A,$A3,Scenario_Result!$AI:$AI)</f>
        <v>0</v>
      </c>
      <c r="AB3" s="89">
        <f>SUMIF(Scenario_Result!$A:$A,$A3,Scenario_Result!$AJ:$AJ)</f>
        <v>0</v>
      </c>
    </row>
    <row r="4" spans="1:28" x14ac:dyDescent="0.3">
      <c r="A4" s="87" t="s">
        <v>3</v>
      </c>
      <c r="B4" s="89">
        <f>SUMIF(Scenario_Result!$A:$A,$A4,Scenario_Result!$J:$J)</f>
        <v>833</v>
      </c>
      <c r="C4" s="89">
        <f>SUMIF(Scenario_Result!$A:$A,$A4,Scenario_Result!$K:$K)</f>
        <v>833</v>
      </c>
      <c r="D4" s="89">
        <f>SUMIF(Scenario_Result!$A:$A,$A4,Scenario_Result!$L:$L)</f>
        <v>833</v>
      </c>
      <c r="E4" s="89">
        <f>SUMIF(Scenario_Result!$A:$A,$A4,Scenario_Result!$M:$M)</f>
        <v>833</v>
      </c>
      <c r="F4" s="89">
        <f>SUMIF(Scenario_Result!$A:$A,$A4,Scenario_Result!$N:$N)</f>
        <v>833</v>
      </c>
      <c r="G4" s="89">
        <f>SUMIF(Scenario_Result!$A:$A,$A4,Scenario_Result!$O:$O)</f>
        <v>833</v>
      </c>
      <c r="H4" s="89">
        <f>SUMIF(Scenario_Result!$A:$A,$A4,Scenario_Result!$P:$P)</f>
        <v>833</v>
      </c>
      <c r="I4" s="89">
        <f>SUMIF(Scenario_Result!$A:$A,$A4,Scenario_Result!$Q:$Q)</f>
        <v>833</v>
      </c>
      <c r="J4" s="89">
        <f>SUMIF(Scenario_Result!$A:$A,$A4,Scenario_Result!$R:$R)</f>
        <v>833</v>
      </c>
      <c r="K4" s="89">
        <f>SUMIF(Scenario_Result!$A:$A,$A4,Scenario_Result!$S:$S)</f>
        <v>833</v>
      </c>
      <c r="L4" s="89">
        <f>SUMIF(Scenario_Result!$A:$A,$A4,Scenario_Result!$T:$T)</f>
        <v>833</v>
      </c>
      <c r="M4" s="89">
        <f>SUMIF(Scenario_Result!$A:$A,$A4,Scenario_Result!$U:$U)</f>
        <v>833</v>
      </c>
      <c r="N4" s="89">
        <f>SUMIF(Scenario_Result!$A:$A,$A4,Scenario_Result!$V:$V)</f>
        <v>833</v>
      </c>
      <c r="O4" s="89">
        <f>SUMIF(Scenario_Result!$A:$A,$A4,Scenario_Result!$W:$W)</f>
        <v>833</v>
      </c>
      <c r="P4" s="89">
        <f>SUMIF(Scenario_Result!$A:$A,$A4,Scenario_Result!$X:$X)</f>
        <v>833</v>
      </c>
      <c r="Q4" s="89">
        <f>SUMIF(Scenario_Result!$A:$A,$A4,Scenario_Result!$Y:$Y)</f>
        <v>833</v>
      </c>
      <c r="R4" s="89">
        <f>SUMIF(Scenario_Result!$A:$A,$A4,Scenario_Result!$Z:$Z)</f>
        <v>833</v>
      </c>
      <c r="S4" s="89">
        <f>SUMIF(Scenario_Result!$A:$A,$A4,Scenario_Result!$AA:$AA)</f>
        <v>833</v>
      </c>
      <c r="T4" s="89">
        <f>SUMIF(Scenario_Result!$A:$A,$A4,Scenario_Result!$AB:$AB)</f>
        <v>833</v>
      </c>
      <c r="U4" s="89">
        <f>SUMIF(Scenario_Result!$A:$A,$A4,Scenario_Result!$AC:$AC)</f>
        <v>833</v>
      </c>
      <c r="V4" s="89">
        <f>SUMIF(Scenario_Result!$A:$A,$A4,Scenario_Result!$AD:$AD)</f>
        <v>833</v>
      </c>
      <c r="W4" s="89">
        <f>SUMIF(Scenario_Result!$A:$A,$A4,Scenario_Result!$AE:$AE)</f>
        <v>833</v>
      </c>
      <c r="X4" s="89">
        <f>SUMIF(Scenario_Result!$A:$A,$A4,Scenario_Result!$AF:$AF)</f>
        <v>833</v>
      </c>
      <c r="Y4" s="89">
        <f>SUMIF(Scenario_Result!$A:$A,$A4,Scenario_Result!$AG:$AG)</f>
        <v>833</v>
      </c>
      <c r="Z4" s="89">
        <f>SUMIF(Scenario_Result!$A:$A,$A4,Scenario_Result!$AH:$AH)</f>
        <v>833</v>
      </c>
      <c r="AA4" s="89">
        <f>SUMIF(Scenario_Result!$A:$A,$A4,Scenario_Result!$AI:$AI)</f>
        <v>833</v>
      </c>
      <c r="AB4" s="89">
        <f>SUMIF(Scenario_Result!$A:$A,$A4,Scenario_Result!$AJ:$AJ)</f>
        <v>833</v>
      </c>
    </row>
    <row r="5" spans="1:28" x14ac:dyDescent="0.3">
      <c r="A5" s="87" t="s">
        <v>4</v>
      </c>
      <c r="B5" s="89">
        <f>SUMIF(Scenario_Result!$A:$A,$A5,Scenario_Result!$J:$J)</f>
        <v>0</v>
      </c>
      <c r="C5" s="89">
        <f>SUMIF(Scenario_Result!$A:$A,$A5,Scenario_Result!$K:$K)</f>
        <v>0</v>
      </c>
      <c r="D5" s="89">
        <f>SUMIF(Scenario_Result!$A:$A,$A5,Scenario_Result!$L:$L)</f>
        <v>0</v>
      </c>
      <c r="E5" s="89">
        <f>SUMIF(Scenario_Result!$A:$A,$A5,Scenario_Result!$M:$M)</f>
        <v>0</v>
      </c>
      <c r="F5" s="89">
        <f>SUMIF(Scenario_Result!$A:$A,$A5,Scenario_Result!$N:$N)</f>
        <v>0</v>
      </c>
      <c r="G5" s="89">
        <f>SUMIF(Scenario_Result!$A:$A,$A5,Scenario_Result!$O:$O)</f>
        <v>0</v>
      </c>
      <c r="H5" s="89">
        <f>SUMIF(Scenario_Result!$A:$A,$A5,Scenario_Result!$P:$P)</f>
        <v>0</v>
      </c>
      <c r="I5" s="89">
        <f>SUMIF(Scenario_Result!$A:$A,$A5,Scenario_Result!$Q:$Q)</f>
        <v>0</v>
      </c>
      <c r="J5" s="89">
        <f>SUMIF(Scenario_Result!$A:$A,$A5,Scenario_Result!$R:$R)</f>
        <v>0</v>
      </c>
      <c r="K5" s="89">
        <f>SUMIF(Scenario_Result!$A:$A,$A5,Scenario_Result!$S:$S)</f>
        <v>0</v>
      </c>
      <c r="L5" s="89">
        <f>SUMIF(Scenario_Result!$A:$A,$A5,Scenario_Result!$T:$T)</f>
        <v>0</v>
      </c>
      <c r="M5" s="89">
        <f>SUMIF(Scenario_Result!$A:$A,$A5,Scenario_Result!$U:$U)</f>
        <v>0</v>
      </c>
      <c r="N5" s="89">
        <f>SUMIF(Scenario_Result!$A:$A,$A5,Scenario_Result!$V:$V)</f>
        <v>0</v>
      </c>
      <c r="O5" s="89">
        <f>SUMIF(Scenario_Result!$A:$A,$A5,Scenario_Result!$W:$W)</f>
        <v>0</v>
      </c>
      <c r="P5" s="89">
        <f>SUMIF(Scenario_Result!$A:$A,$A5,Scenario_Result!$X:$X)</f>
        <v>0</v>
      </c>
      <c r="Q5" s="89">
        <f>SUMIF(Scenario_Result!$A:$A,$A5,Scenario_Result!$Y:$Y)</f>
        <v>0</v>
      </c>
      <c r="R5" s="89">
        <f>SUMIF(Scenario_Result!$A:$A,$A5,Scenario_Result!$Z:$Z)</f>
        <v>0</v>
      </c>
      <c r="S5" s="89">
        <f>SUMIF(Scenario_Result!$A:$A,$A5,Scenario_Result!$AA:$AA)</f>
        <v>0</v>
      </c>
      <c r="T5" s="89">
        <f>SUMIF(Scenario_Result!$A:$A,$A5,Scenario_Result!$AB:$AB)</f>
        <v>0</v>
      </c>
      <c r="U5" s="89">
        <f>SUMIF(Scenario_Result!$A:$A,$A5,Scenario_Result!$AC:$AC)</f>
        <v>0</v>
      </c>
      <c r="V5" s="89">
        <f>SUMIF(Scenario_Result!$A:$A,$A5,Scenario_Result!$AD:$AD)</f>
        <v>0</v>
      </c>
      <c r="W5" s="89">
        <f>SUMIF(Scenario_Result!$A:$A,$A5,Scenario_Result!$AE:$AE)</f>
        <v>0</v>
      </c>
      <c r="X5" s="89">
        <f>SUMIF(Scenario_Result!$A:$A,$A5,Scenario_Result!$AF:$AF)</f>
        <v>0</v>
      </c>
      <c r="Y5" s="89">
        <f>SUMIF(Scenario_Result!$A:$A,$A5,Scenario_Result!$AG:$AG)</f>
        <v>0</v>
      </c>
      <c r="Z5" s="89">
        <f>SUMIF(Scenario_Result!$A:$A,$A5,Scenario_Result!$AH:$AH)</f>
        <v>0</v>
      </c>
      <c r="AA5" s="89">
        <f>SUMIF(Scenario_Result!$A:$A,$A5,Scenario_Result!$AI:$AI)</f>
        <v>0</v>
      </c>
      <c r="AB5" s="89">
        <f>SUMIF(Scenario_Result!$A:$A,$A5,Scenario_Result!$AJ:$AJ)</f>
        <v>0</v>
      </c>
    </row>
    <row r="6" spans="1:28" x14ac:dyDescent="0.3">
      <c r="A6" s="87" t="s">
        <v>5</v>
      </c>
      <c r="B6" s="89">
        <f>SUMIF(Scenario_Result!$A:$A,$A6,Scenario_Result!$J:$J)</f>
        <v>0</v>
      </c>
      <c r="C6" s="89">
        <f>SUMIF(Scenario_Result!$A:$A,$A6,Scenario_Result!$K:$K)</f>
        <v>0</v>
      </c>
      <c r="D6" s="89">
        <f>SUMIF(Scenario_Result!$A:$A,$A6,Scenario_Result!$L:$L)</f>
        <v>0</v>
      </c>
      <c r="E6" s="89">
        <f>SUMIF(Scenario_Result!$A:$A,$A6,Scenario_Result!$M:$M)</f>
        <v>0</v>
      </c>
      <c r="F6" s="89">
        <f>SUMIF(Scenario_Result!$A:$A,$A6,Scenario_Result!$N:$N)</f>
        <v>0</v>
      </c>
      <c r="G6" s="89">
        <f>SUMIF(Scenario_Result!$A:$A,$A6,Scenario_Result!$O:$O)</f>
        <v>0</v>
      </c>
      <c r="H6" s="89">
        <f>SUMIF(Scenario_Result!$A:$A,$A6,Scenario_Result!$P:$P)</f>
        <v>500</v>
      </c>
      <c r="I6" s="89">
        <f>SUMIF(Scenario_Result!$A:$A,$A6,Scenario_Result!$Q:$Q)</f>
        <v>0</v>
      </c>
      <c r="J6" s="89">
        <f>SUMIF(Scenario_Result!$A:$A,$A6,Scenario_Result!$R:$R)</f>
        <v>0</v>
      </c>
      <c r="K6" s="89">
        <f>SUMIF(Scenario_Result!$A:$A,$A6,Scenario_Result!$S:$S)</f>
        <v>0</v>
      </c>
      <c r="L6" s="89">
        <f>SUMIF(Scenario_Result!$A:$A,$A6,Scenario_Result!$T:$T)</f>
        <v>0</v>
      </c>
      <c r="M6" s="89">
        <f>SUMIF(Scenario_Result!$A:$A,$A6,Scenario_Result!$U:$U)</f>
        <v>0</v>
      </c>
      <c r="N6" s="89">
        <f>SUMIF(Scenario_Result!$A:$A,$A6,Scenario_Result!$V:$V)</f>
        <v>470</v>
      </c>
      <c r="O6" s="89">
        <f>SUMIF(Scenario_Result!$A:$A,$A6,Scenario_Result!$W:$W)</f>
        <v>0</v>
      </c>
      <c r="P6" s="89">
        <f>SUMIF(Scenario_Result!$A:$A,$A6,Scenario_Result!$X:$X)</f>
        <v>500</v>
      </c>
      <c r="Q6" s="89">
        <f>SUMIF(Scenario_Result!$A:$A,$A6,Scenario_Result!$Y:$Y)</f>
        <v>0</v>
      </c>
      <c r="R6" s="89">
        <f>SUMIF(Scenario_Result!$A:$A,$A6,Scenario_Result!$Z:$Z)</f>
        <v>0</v>
      </c>
      <c r="S6" s="89">
        <f>SUMIF(Scenario_Result!$A:$A,$A6,Scenario_Result!$AA:$AA)</f>
        <v>0</v>
      </c>
      <c r="T6" s="89">
        <f>SUMIF(Scenario_Result!$A:$A,$A6,Scenario_Result!$AB:$AB)</f>
        <v>0</v>
      </c>
      <c r="U6" s="89">
        <f>SUMIF(Scenario_Result!$A:$A,$A6,Scenario_Result!$AC:$AC)</f>
        <v>0</v>
      </c>
      <c r="V6" s="89">
        <f>SUMIF(Scenario_Result!$A:$A,$A6,Scenario_Result!$AD:$AD)</f>
        <v>0</v>
      </c>
      <c r="W6" s="89">
        <f>SUMIF(Scenario_Result!$A:$A,$A6,Scenario_Result!$AE:$AE)</f>
        <v>0</v>
      </c>
      <c r="X6" s="89">
        <f>SUMIF(Scenario_Result!$A:$A,$A6,Scenario_Result!$AF:$AF)</f>
        <v>0</v>
      </c>
      <c r="Y6" s="89">
        <f>SUMIF(Scenario_Result!$A:$A,$A6,Scenario_Result!$AG:$AG)</f>
        <v>0</v>
      </c>
      <c r="Z6" s="89">
        <f>SUMIF(Scenario_Result!$A:$A,$A6,Scenario_Result!$AH:$AH)</f>
        <v>0</v>
      </c>
      <c r="AA6" s="89">
        <f>SUMIF(Scenario_Result!$A:$A,$A6,Scenario_Result!$AI:$AI)</f>
        <v>0</v>
      </c>
      <c r="AB6" s="89">
        <f>SUMIF(Scenario_Result!$A:$A,$A6,Scenario_Result!$AJ:$AJ)</f>
        <v>0</v>
      </c>
    </row>
    <row r="7" spans="1:28" x14ac:dyDescent="0.3">
      <c r="A7" s="87" t="s">
        <v>6</v>
      </c>
      <c r="B7" s="89">
        <f>SUMIF(Scenario_Result!$A:$A,$A7,Scenario_Result!$J:$J)</f>
        <v>500</v>
      </c>
      <c r="C7" s="89">
        <f>SUMIF(Scenario_Result!$A:$A,$A7,Scenario_Result!$K:$K)</f>
        <v>500</v>
      </c>
      <c r="D7" s="89">
        <f>SUMIF(Scenario_Result!$A:$A,$A7,Scenario_Result!$L:$L)</f>
        <v>500</v>
      </c>
      <c r="E7" s="89">
        <f>SUMIF(Scenario_Result!$A:$A,$A7,Scenario_Result!$M:$M)</f>
        <v>500</v>
      </c>
      <c r="F7" s="89">
        <f>SUMIF(Scenario_Result!$A:$A,$A7,Scenario_Result!$N:$N)</f>
        <v>500</v>
      </c>
      <c r="G7" s="89">
        <f>SUMIF(Scenario_Result!$A:$A,$A7,Scenario_Result!$O:$O)</f>
        <v>500</v>
      </c>
      <c r="H7" s="89">
        <f>SUMIF(Scenario_Result!$A:$A,$A7,Scenario_Result!$P:$P)</f>
        <v>0</v>
      </c>
      <c r="I7" s="89">
        <f>SUMIF(Scenario_Result!$A:$A,$A7,Scenario_Result!$Q:$Q)</f>
        <v>500</v>
      </c>
      <c r="J7" s="89">
        <f>SUMIF(Scenario_Result!$A:$A,$A7,Scenario_Result!$R:$R)</f>
        <v>500</v>
      </c>
      <c r="K7" s="89">
        <f>SUMIF(Scenario_Result!$A:$A,$A7,Scenario_Result!$S:$S)</f>
        <v>500</v>
      </c>
      <c r="L7" s="89">
        <f>SUMIF(Scenario_Result!$A:$A,$A7,Scenario_Result!$T:$T)</f>
        <v>500</v>
      </c>
      <c r="M7" s="89">
        <f>SUMIF(Scenario_Result!$A:$A,$A7,Scenario_Result!$U:$U)</f>
        <v>500</v>
      </c>
      <c r="N7" s="89">
        <f>SUMIF(Scenario_Result!$A:$A,$A7,Scenario_Result!$V:$V)</f>
        <v>30</v>
      </c>
      <c r="O7" s="89">
        <f>SUMIF(Scenario_Result!$A:$A,$A7,Scenario_Result!$W:$W)</f>
        <v>500</v>
      </c>
      <c r="P7" s="89">
        <f>SUMIF(Scenario_Result!$A:$A,$A7,Scenario_Result!$X:$X)</f>
        <v>0</v>
      </c>
      <c r="Q7" s="89">
        <f>SUMIF(Scenario_Result!$A:$A,$A7,Scenario_Result!$Y:$Y)</f>
        <v>500</v>
      </c>
      <c r="R7" s="89">
        <f>SUMIF(Scenario_Result!$A:$A,$A7,Scenario_Result!$Z:$Z)</f>
        <v>500</v>
      </c>
      <c r="S7" s="89">
        <f>SUMIF(Scenario_Result!$A:$A,$A7,Scenario_Result!$AA:$AA)</f>
        <v>500</v>
      </c>
      <c r="T7" s="89">
        <f>SUMIF(Scenario_Result!$A:$A,$A7,Scenario_Result!$AB:$AB)</f>
        <v>500</v>
      </c>
      <c r="U7" s="89">
        <f>SUMIF(Scenario_Result!$A:$A,$A7,Scenario_Result!$AC:$AC)</f>
        <v>500</v>
      </c>
      <c r="V7" s="89">
        <f>SUMIF(Scenario_Result!$A:$A,$A7,Scenario_Result!$AD:$AD)</f>
        <v>500</v>
      </c>
      <c r="W7" s="89">
        <f>SUMIF(Scenario_Result!$A:$A,$A7,Scenario_Result!$AE:$AE)</f>
        <v>500</v>
      </c>
      <c r="X7" s="89">
        <f>SUMIF(Scenario_Result!$A:$A,$A7,Scenario_Result!$AF:$AF)</f>
        <v>500</v>
      </c>
      <c r="Y7" s="89">
        <f>SUMIF(Scenario_Result!$A:$A,$A7,Scenario_Result!$AG:$AG)</f>
        <v>500</v>
      </c>
      <c r="Z7" s="89">
        <f>SUMIF(Scenario_Result!$A:$A,$A7,Scenario_Result!$AH:$AH)</f>
        <v>500</v>
      </c>
      <c r="AA7" s="89">
        <f>SUMIF(Scenario_Result!$A:$A,$A7,Scenario_Result!$AI:$AI)</f>
        <v>500</v>
      </c>
      <c r="AB7" s="89">
        <f>SUMIF(Scenario_Result!$A:$A,$A7,Scenario_Result!$AJ:$AJ)</f>
        <v>500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"/>
  <sheetViews>
    <sheetView workbookViewId="0"/>
  </sheetViews>
  <sheetFormatPr defaultRowHeight="14.4" x14ac:dyDescent="0.3"/>
  <sheetData>
    <row r="1" spans="1:3" x14ac:dyDescent="0.3">
      <c r="A1" s="80" t="s">
        <v>0</v>
      </c>
      <c r="B1" s="80" t="s">
        <v>511</v>
      </c>
      <c r="C1" s="80" t="s">
        <v>512</v>
      </c>
    </row>
    <row r="2" spans="1:3" x14ac:dyDescent="0.3">
      <c r="A2" s="101">
        <v>46125</v>
      </c>
      <c r="B2" s="89">
        <f ca="1">IFERROR(_xludf.MAXIFS(PCBA_Supply_Timeline!$G:$G,PCBA_Supply_Timeline!$B:$B,"&gt;="&amp;A2,PCBA_Supply_Timeline!$B:$B,"&lt;"&amp;A2+7),0)</f>
        <v>0</v>
      </c>
      <c r="C2" s="89">
        <f ca="1">B2</f>
        <v>0</v>
      </c>
    </row>
    <row r="3" spans="1:3" x14ac:dyDescent="0.3">
      <c r="A3" s="101">
        <v>46132</v>
      </c>
      <c r="B3" s="89">
        <f ca="1">IFERROR(_xludf.MAXIFS(PCBA_Supply_Timeline!$G:$G,PCBA_Supply_Timeline!$B:$B,"&gt;="&amp;A3,PCBA_Supply_Timeline!$B:$B,"&lt;"&amp;A3+7),0)</f>
        <v>0</v>
      </c>
      <c r="C3" s="89">
        <f ca="1">MAX(B3-B2,0)</f>
        <v>0</v>
      </c>
    </row>
    <row r="4" spans="1:3" x14ac:dyDescent="0.3">
      <c r="A4" s="101">
        <v>46139</v>
      </c>
      <c r="B4" s="89">
        <f ca="1">IFERROR(_xludf.MAXIFS(PCBA_Supply_Timeline!$G:$G,PCBA_Supply_Timeline!$B:$B,"&gt;="&amp;A4,PCBA_Supply_Timeline!$B:$B,"&lt;"&amp;A4+7),0)</f>
        <v>0</v>
      </c>
      <c r="C4" s="89">
        <f ca="1">MAX(B4-B3,0)</f>
        <v>0</v>
      </c>
    </row>
    <row r="5" spans="1:3" x14ac:dyDescent="0.3">
      <c r="A5" s="101">
        <v>46146</v>
      </c>
      <c r="B5" s="89">
        <f ca="1">IFERROR(_xludf.MAXIFS(PCBA_Supply_Timeline!$G:$G,PCBA_Supply_Timeline!$B:$B,"&gt;="&amp;A5,PCBA_Supply_Timeline!$B:$B,"&lt;"&amp;A5+7),0)</f>
        <v>0</v>
      </c>
      <c r="C5" s="89">
        <f ca="1">MAX(B5-B4,0)</f>
        <v>0</v>
      </c>
    </row>
    <row r="6" spans="1:3" x14ac:dyDescent="0.3">
      <c r="A6" s="101">
        <v>46153</v>
      </c>
      <c r="B6" s="89">
        <f ca="1">IFERROR(_xludf.MAXIFS(PCBA_Supply_Timeline!$G:$G,PCBA_Supply_Timeline!$B:$B,"&gt;="&amp;A6,PCBA_Supply_Timeline!$B:$B,"&lt;"&amp;A6+7),0)</f>
        <v>0</v>
      </c>
      <c r="C6" s="89">
        <f ca="1">MAX(B6-B5,0)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Overall Case Study</vt:lpstr>
      <vt:lpstr>Demand</vt:lpstr>
      <vt:lpstr>Demand_</vt:lpstr>
      <vt:lpstr>weekly_demand</vt:lpstr>
      <vt:lpstr>demand_matrix</vt:lpstr>
      <vt:lpstr>sumary</vt:lpstr>
      <vt:lpstr>input</vt:lpstr>
      <vt:lpstr>MPS</vt:lpstr>
      <vt:lpstr>MPS_Scenario</vt:lpstr>
      <vt:lpstr>BOM_demand</vt:lpstr>
      <vt:lpstr>BOM_demand_Scenario</vt:lpstr>
      <vt:lpstr>MRP</vt:lpstr>
      <vt:lpstr>MRP_Scenario</vt:lpstr>
      <vt:lpstr>Scenario_Result</vt:lpstr>
      <vt:lpstr>Scenario_Weekly_Plan</vt:lpstr>
      <vt:lpstr>PCBA_Supply_Timeline</vt:lpstr>
      <vt:lpstr>Recovery_Analysis</vt:lpstr>
      <vt:lpstr>Recovery_Summary</vt:lpstr>
      <vt:lpstr>Cost_Analysis</vt:lpstr>
      <vt:lpstr>KPI_Summary</vt:lpstr>
      <vt:lpstr>Production_plan</vt:lpstr>
      <vt:lpstr>All_Load_Detail</vt:lpstr>
      <vt:lpstr>Weekly_All_Markets</vt:lpstr>
      <vt:lpstr>Summary_All</vt:lpstr>
      <vt:lpstr>BOM &amp; Inventory</vt:lpstr>
      <vt:lpstr>FGs &amp; Log information </vt:lpstr>
      <vt:lpstr>Scenario_Daily_Agg</vt:lpstr>
      <vt:lpstr>Scenario_Weekly_PCBA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Tran Huu Thong (VN.OP-PMC)</dc:creator>
  <cp:lastModifiedBy>HÒA Tân</cp:lastModifiedBy>
  <dcterms:created xsi:type="dcterms:W3CDTF">2026-04-02T02:37:40Z</dcterms:created>
  <dcterms:modified xsi:type="dcterms:W3CDTF">2026-04-15T09:54:11Z</dcterms:modified>
</cp:coreProperties>
</file>