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Logistics_Cost" sheetId="1" state="visible" r:id="rId1"/>
    <sheet xmlns:r="http://schemas.openxmlformats.org/officeDocument/2006/relationships" name="Weekly_Detail" sheetId="2" state="visible" r:id="rId2"/>
    <sheet xmlns:r="http://schemas.openxmlformats.org/officeDocument/2006/relationships" name="Summary_by_Market" sheetId="3" state="visible" r:id="rId3"/>
    <sheet xmlns:r="http://schemas.openxmlformats.org/officeDocument/2006/relationships" name="Scenario_Cost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897B"/>
      </patternFill>
    </fill>
    <fill>
      <patternFill patternType="solid">
        <fgColor rgb="00E65100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1" fillId="3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4" borderId="1" applyAlignment="1" pivotButton="0" quotePrefix="0" xfId="0">
      <alignment horizontal="center" wrapText="1"/>
    </xf>
    <xf numFmtId="165" fontId="0" fillId="0" borderId="1" pivotButton="0" quotePrefix="0" xfId="0"/>
    <xf numFmtId="0" fontId="1" fillId="3" borderId="1" applyAlignment="1" pivotButton="0" quotePrefix="0" xfId="0">
      <alignment horizontal="center" wrapText="1"/>
    </xf>
    <xf numFmtId="0" fontId="2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1" customWidth="1" min="10" max="10"/>
    <col width="13" customWidth="1" min="11" max="11"/>
    <col width="12" customWidth="1" min="12" max="12"/>
  </cols>
  <sheetData>
    <row r="1">
      <c r="A1" s="1" t="inlineStr">
        <is>
          <t>Month</t>
        </is>
      </c>
      <c r="B1" s="1" t="inlineStr">
        <is>
          <t>Market</t>
        </is>
      </c>
      <c r="C1" s="1" t="inlineStr">
        <is>
          <t>Weeks</t>
        </is>
      </c>
      <c r="D1" s="1" t="inlineStr">
        <is>
          <t>Total CBM</t>
        </is>
      </c>
      <c r="E1" s="1" t="inlineStr">
        <is>
          <t>40ft Ctnr</t>
        </is>
      </c>
      <c r="F1" s="1" t="inlineStr">
        <is>
          <t>20ft Ctnr</t>
        </is>
      </c>
      <c r="G1" s="1" t="inlineStr">
        <is>
          <t>LCL CBM</t>
        </is>
      </c>
      <c r="H1" s="1" t="inlineStr">
        <is>
          <t>Cost 40ft</t>
        </is>
      </c>
      <c r="I1" s="1" t="inlineStr">
        <is>
          <t>Cost 20ft</t>
        </is>
      </c>
      <c r="J1" s="1" t="inlineStr">
        <is>
          <t>Cost LCL</t>
        </is>
      </c>
      <c r="K1" s="1" t="inlineStr">
        <is>
          <t>Total Cost</t>
        </is>
      </c>
    </row>
    <row r="2">
      <c r="A2" s="2" t="inlineStr">
        <is>
          <t>2026-04</t>
        </is>
      </c>
      <c r="B2" s="2" t="inlineStr">
        <is>
          <t>US</t>
        </is>
      </c>
      <c r="C2" s="2" t="n">
        <v>1</v>
      </c>
      <c r="D2" s="3" t="n">
        <v>28.61</v>
      </c>
      <c r="E2" s="2" t="n">
        <v>0</v>
      </c>
      <c r="F2" s="2" t="n">
        <v>1</v>
      </c>
      <c r="G2" s="3" t="n">
        <v>0.61</v>
      </c>
      <c r="H2" s="4" t="n">
        <v>0</v>
      </c>
      <c r="I2" s="4" t="n">
        <v>3000</v>
      </c>
      <c r="J2" s="4" t="n">
        <v>122.25</v>
      </c>
      <c r="K2" s="4" t="n">
        <v>3122.25</v>
      </c>
    </row>
    <row r="3">
      <c r="A3" s="2" t="inlineStr">
        <is>
          <t>2026-05</t>
        </is>
      </c>
      <c r="B3" s="2" t="inlineStr">
        <is>
          <t>US</t>
        </is>
      </c>
      <c r="C3" s="2" t="n">
        <v>4</v>
      </c>
      <c r="D3" s="3" t="n">
        <v>132.5</v>
      </c>
      <c r="E3" s="2" t="n">
        <v>0</v>
      </c>
      <c r="F3" s="2" t="n">
        <v>4</v>
      </c>
      <c r="G3" s="3" t="n">
        <v>20.5</v>
      </c>
      <c r="H3" s="4" t="n">
        <v>0</v>
      </c>
      <c r="I3" s="4" t="n">
        <v>12000</v>
      </c>
      <c r="J3" s="4" t="n">
        <v>4100</v>
      </c>
      <c r="K3" s="4" t="n">
        <v>16100</v>
      </c>
    </row>
    <row r="4">
      <c r="A4" s="2" t="inlineStr">
        <is>
          <t>2026-06</t>
        </is>
      </c>
      <c r="B4" s="2" t="inlineStr">
        <is>
          <t>US</t>
        </is>
      </c>
      <c r="C4" s="2" t="n">
        <v>5</v>
      </c>
      <c r="D4" s="3" t="n">
        <v>125.01</v>
      </c>
      <c r="E4" s="2" t="n">
        <v>0</v>
      </c>
      <c r="F4" s="2" t="n">
        <v>3</v>
      </c>
      <c r="G4" s="3" t="n">
        <v>43.06</v>
      </c>
      <c r="H4" s="4" t="n">
        <v>0</v>
      </c>
      <c r="I4" s="4" t="n">
        <v>9000</v>
      </c>
      <c r="J4" s="4" t="n">
        <v>8612.5</v>
      </c>
      <c r="K4" s="4" t="n">
        <v>17612.5</v>
      </c>
    </row>
    <row r="5">
      <c r="A5" s="2" t="inlineStr">
        <is>
          <t>2026-07</t>
        </is>
      </c>
      <c r="B5" s="2" t="inlineStr">
        <is>
          <t>US</t>
        </is>
      </c>
      <c r="C5" s="2" t="n">
        <v>4</v>
      </c>
      <c r="D5" s="3" t="n">
        <v>119.16</v>
      </c>
      <c r="E5" s="2" t="n">
        <v>0</v>
      </c>
      <c r="F5" s="2" t="n">
        <v>4</v>
      </c>
      <c r="G5" s="3" t="n">
        <v>13.46</v>
      </c>
      <c r="H5" s="4" t="n">
        <v>0</v>
      </c>
      <c r="I5" s="4" t="n">
        <v>12000</v>
      </c>
      <c r="J5" s="4" t="n">
        <v>2692</v>
      </c>
      <c r="K5" s="4" t="n">
        <v>14692</v>
      </c>
    </row>
    <row r="6">
      <c r="A6" s="2" t="inlineStr">
        <is>
          <t>2026-08</t>
        </is>
      </c>
      <c r="B6" s="2" t="inlineStr">
        <is>
          <t>US</t>
        </is>
      </c>
      <c r="C6" s="2" t="n">
        <v>5</v>
      </c>
      <c r="D6" s="3" t="n">
        <v>120.23</v>
      </c>
      <c r="E6" s="2" t="n">
        <v>0</v>
      </c>
      <c r="F6" s="2" t="n">
        <v>3</v>
      </c>
      <c r="G6" s="3" t="n">
        <v>47.74</v>
      </c>
      <c r="H6" s="4" t="n">
        <v>0</v>
      </c>
      <c r="I6" s="4" t="n">
        <v>9000</v>
      </c>
      <c r="J6" s="4" t="n">
        <v>9548</v>
      </c>
      <c r="K6" s="4" t="n">
        <v>18548</v>
      </c>
    </row>
    <row r="7">
      <c r="A7" s="2" t="inlineStr">
        <is>
          <t>2026-09</t>
        </is>
      </c>
      <c r="B7" s="2" t="inlineStr">
        <is>
          <t>US</t>
        </is>
      </c>
      <c r="C7" s="2" t="n">
        <v>4</v>
      </c>
      <c r="D7" s="3" t="n">
        <v>66.01000000000001</v>
      </c>
      <c r="E7" s="2" t="n">
        <v>0</v>
      </c>
      <c r="F7" s="2" t="n">
        <v>2</v>
      </c>
      <c r="G7" s="3" t="n">
        <v>23.84</v>
      </c>
      <c r="H7" s="4" t="n">
        <v>0</v>
      </c>
      <c r="I7" s="4" t="n">
        <v>6000</v>
      </c>
      <c r="J7" s="4" t="n">
        <v>4768.25</v>
      </c>
      <c r="K7" s="4" t="n">
        <v>10768.25</v>
      </c>
    </row>
    <row r="8">
      <c r="A8" s="2" t="inlineStr">
        <is>
          <t>2026-10</t>
        </is>
      </c>
      <c r="B8" s="2" t="inlineStr">
        <is>
          <t>US</t>
        </is>
      </c>
      <c r="C8" s="2" t="n">
        <v>4</v>
      </c>
      <c r="D8" s="3" t="n">
        <v>141.61</v>
      </c>
      <c r="E8" s="2" t="n">
        <v>0</v>
      </c>
      <c r="F8" s="2" t="n">
        <v>4</v>
      </c>
      <c r="G8" s="3" t="n">
        <v>29.61</v>
      </c>
      <c r="H8" s="4" t="n">
        <v>0</v>
      </c>
      <c r="I8" s="4" t="n">
        <v>12000</v>
      </c>
      <c r="J8" s="4" t="n">
        <v>5921.25</v>
      </c>
      <c r="K8" s="4" t="n">
        <v>17921.25</v>
      </c>
    </row>
    <row r="9">
      <c r="A9" s="2" t="inlineStr">
        <is>
          <t>2026-11</t>
        </is>
      </c>
      <c r="B9" s="2" t="inlineStr">
        <is>
          <t>US</t>
        </is>
      </c>
      <c r="C9" s="2" t="n">
        <v>5</v>
      </c>
      <c r="D9" s="3" t="n">
        <v>119.42</v>
      </c>
      <c r="E9" s="2" t="n">
        <v>0</v>
      </c>
      <c r="F9" s="2" t="n">
        <v>5</v>
      </c>
      <c r="G9" s="3" t="n">
        <v>9.5</v>
      </c>
      <c r="H9" s="4" t="n">
        <v>0</v>
      </c>
      <c r="I9" s="4" t="n">
        <v>15000</v>
      </c>
      <c r="J9" s="4" t="n">
        <v>1900</v>
      </c>
      <c r="K9" s="4" t="n">
        <v>16900</v>
      </c>
    </row>
    <row r="10">
      <c r="A10" s="2" t="inlineStr">
        <is>
          <t>2026-12</t>
        </is>
      </c>
      <c r="B10" s="2" t="inlineStr">
        <is>
          <t>US</t>
        </is>
      </c>
      <c r="C10" s="2" t="n">
        <v>3</v>
      </c>
      <c r="D10" s="3" t="n">
        <v>81.66</v>
      </c>
      <c r="E10" s="2" t="n">
        <v>0</v>
      </c>
      <c r="F10" s="2" t="n">
        <v>3</v>
      </c>
      <c r="G10" s="3" t="n">
        <v>5.18</v>
      </c>
      <c r="H10" s="4" t="n">
        <v>0</v>
      </c>
      <c r="I10" s="4" t="n">
        <v>9000</v>
      </c>
      <c r="J10" s="4" t="n">
        <v>1035.5</v>
      </c>
      <c r="K10" s="4" t="n">
        <v>10035.5</v>
      </c>
    </row>
    <row r="11">
      <c r="A11" s="5" t="inlineStr">
        <is>
          <t>GRAND TOTAL</t>
        </is>
      </c>
      <c r="B11" s="6" t="inlineStr"/>
      <c r="C11" s="6" t="inlineStr"/>
      <c r="D11" s="6" t="n">
        <v>35</v>
      </c>
      <c r="E11" s="6" t="n">
        <v>934.2</v>
      </c>
      <c r="F11" s="6" t="n">
        <v>0</v>
      </c>
      <c r="G11" s="6" t="n">
        <v>29</v>
      </c>
      <c r="H11" s="7" t="n">
        <v>193.5</v>
      </c>
      <c r="I11" s="7" t="n">
        <v>0</v>
      </c>
      <c r="J11" s="7" t="n">
        <v>87000</v>
      </c>
      <c r="K11" s="7" t="n">
        <v>38699.75</v>
      </c>
      <c r="L11" s="7" t="n">
        <v>125699.75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>
      <c r="A1" s="8" t="inlineStr">
        <is>
          <t>Month</t>
        </is>
      </c>
      <c r="B1" s="8" t="inlineStr">
        <is>
          <t>Market</t>
        </is>
      </c>
      <c r="C1" s="8" t="inlineStr">
        <is>
          <t>Week</t>
        </is>
      </c>
      <c r="D1" s="8" t="inlineStr">
        <is>
          <t>Week_Date</t>
        </is>
      </c>
      <c r="E1" s="8" t="inlineStr">
        <is>
          <t>Total_Demand_CBM</t>
        </is>
      </c>
      <c r="F1" s="8" t="inlineStr">
        <is>
          <t>n40</t>
        </is>
      </c>
      <c r="G1" s="8" t="inlineStr">
        <is>
          <t>n20</t>
        </is>
      </c>
      <c r="H1" s="8" t="inlineStr">
        <is>
          <t>LCL_CBM</t>
        </is>
      </c>
      <c r="I1" s="8" t="inlineStr">
        <is>
          <t>Cost_40</t>
        </is>
      </c>
      <c r="J1" s="8" t="inlineStr">
        <is>
          <t>Cost_20</t>
        </is>
      </c>
      <c r="K1" s="8" t="inlineStr">
        <is>
          <t>Cost_LCL</t>
        </is>
      </c>
      <c r="L1" s="8" t="inlineStr">
        <is>
          <t>Cost</t>
        </is>
      </c>
    </row>
    <row r="2">
      <c r="A2" s="2" t="inlineStr">
        <is>
          <t>2026-04</t>
        </is>
      </c>
      <c r="B2" s="2" t="inlineStr">
        <is>
          <t>US</t>
        </is>
      </c>
      <c r="C2" s="2" t="n">
        <v>1</v>
      </c>
      <c r="D2" s="2" t="inlineStr">
        <is>
          <t>2026-04-27</t>
        </is>
      </c>
      <c r="E2" s="9" t="n">
        <v>28.61125</v>
      </c>
      <c r="F2" s="2" t="n">
        <v>0</v>
      </c>
      <c r="G2" s="2" t="n">
        <v>1</v>
      </c>
      <c r="H2" s="9" t="n">
        <v>0.61125</v>
      </c>
      <c r="I2" s="4" t="n">
        <v>0</v>
      </c>
      <c r="J2" s="4" t="n">
        <v>3000</v>
      </c>
      <c r="K2" s="4" t="n">
        <v>122.25</v>
      </c>
      <c r="L2" s="4" t="n">
        <v>3122.25</v>
      </c>
    </row>
    <row r="3">
      <c r="A3" s="2" t="inlineStr">
        <is>
          <t>2026-05</t>
        </is>
      </c>
      <c r="B3" s="2" t="inlineStr">
        <is>
          <t>US</t>
        </is>
      </c>
      <c r="C3" s="2" t="n">
        <v>2</v>
      </c>
      <c r="D3" s="2" t="inlineStr">
        <is>
          <t>2026-05-04</t>
        </is>
      </c>
      <c r="E3" s="9" t="n">
        <v>30</v>
      </c>
      <c r="F3" s="2" t="n">
        <v>0</v>
      </c>
      <c r="G3" s="2" t="n">
        <v>1</v>
      </c>
      <c r="H3" s="9" t="n">
        <v>2</v>
      </c>
      <c r="I3" s="4" t="n">
        <v>0</v>
      </c>
      <c r="J3" s="4" t="n">
        <v>3000</v>
      </c>
      <c r="K3" s="4" t="n">
        <v>400</v>
      </c>
      <c r="L3" s="4" t="n">
        <v>3400</v>
      </c>
    </row>
    <row r="4">
      <c r="A4" s="2" t="inlineStr">
        <is>
          <t>2026-05</t>
        </is>
      </c>
      <c r="B4" s="2" t="inlineStr">
        <is>
          <t>US</t>
        </is>
      </c>
      <c r="C4" s="2" t="n">
        <v>3</v>
      </c>
      <c r="D4" s="2" t="inlineStr">
        <is>
          <t>2026-05-11</t>
        </is>
      </c>
      <c r="E4" s="9" t="n">
        <v>37.5</v>
      </c>
      <c r="F4" s="2" t="n">
        <v>0</v>
      </c>
      <c r="G4" s="2" t="n">
        <v>1</v>
      </c>
      <c r="H4" s="9" t="n">
        <v>9.5</v>
      </c>
      <c r="I4" s="4" t="n">
        <v>0</v>
      </c>
      <c r="J4" s="4" t="n">
        <v>3000</v>
      </c>
      <c r="K4" s="4" t="n">
        <v>1900</v>
      </c>
      <c r="L4" s="4" t="n">
        <v>4900</v>
      </c>
    </row>
    <row r="5">
      <c r="A5" s="2" t="inlineStr">
        <is>
          <t>2026-05</t>
        </is>
      </c>
      <c r="B5" s="2" t="inlineStr">
        <is>
          <t>US</t>
        </is>
      </c>
      <c r="C5" s="2" t="n">
        <v>4</v>
      </c>
      <c r="D5" s="2" t="inlineStr">
        <is>
          <t>2026-05-18</t>
        </is>
      </c>
      <c r="E5" s="9" t="n">
        <v>31.25</v>
      </c>
      <c r="F5" s="2" t="n">
        <v>0</v>
      </c>
      <c r="G5" s="2" t="n">
        <v>1</v>
      </c>
      <c r="H5" s="9" t="n">
        <v>3.25</v>
      </c>
      <c r="I5" s="4" t="n">
        <v>0</v>
      </c>
      <c r="J5" s="4" t="n">
        <v>3000</v>
      </c>
      <c r="K5" s="4" t="n">
        <v>650</v>
      </c>
      <c r="L5" s="4" t="n">
        <v>3650</v>
      </c>
    </row>
    <row r="6">
      <c r="A6" s="2" t="inlineStr">
        <is>
          <t>2026-05</t>
        </is>
      </c>
      <c r="B6" s="2" t="inlineStr">
        <is>
          <t>US</t>
        </is>
      </c>
      <c r="C6" s="2" t="n">
        <v>5</v>
      </c>
      <c r="D6" s="2" t="inlineStr">
        <is>
          <t>2026-05-25</t>
        </is>
      </c>
      <c r="E6" s="9" t="n">
        <v>33.75</v>
      </c>
      <c r="F6" s="2" t="n">
        <v>0</v>
      </c>
      <c r="G6" s="2" t="n">
        <v>1</v>
      </c>
      <c r="H6" s="9" t="n">
        <v>5.75</v>
      </c>
      <c r="I6" s="4" t="n">
        <v>0</v>
      </c>
      <c r="J6" s="4" t="n">
        <v>3000</v>
      </c>
      <c r="K6" s="4" t="n">
        <v>1150</v>
      </c>
      <c r="L6" s="4" t="n">
        <v>4150</v>
      </c>
    </row>
    <row r="7">
      <c r="A7" s="2" t="inlineStr">
        <is>
          <t>2026-06</t>
        </is>
      </c>
      <c r="B7" s="2" t="inlineStr">
        <is>
          <t>US</t>
        </is>
      </c>
      <c r="C7" s="2" t="n">
        <v>6</v>
      </c>
      <c r="D7" s="2" t="inlineStr">
        <is>
          <t>2026-06-01</t>
        </is>
      </c>
      <c r="E7" s="9" t="n">
        <v>35.625</v>
      </c>
      <c r="F7" s="2" t="n">
        <v>0</v>
      </c>
      <c r="G7" s="2" t="n">
        <v>1</v>
      </c>
      <c r="H7" s="9" t="n">
        <v>7.625</v>
      </c>
      <c r="I7" s="4" t="n">
        <v>0</v>
      </c>
      <c r="J7" s="4" t="n">
        <v>3000</v>
      </c>
      <c r="K7" s="4" t="n">
        <v>1525</v>
      </c>
      <c r="L7" s="4" t="n">
        <v>4525</v>
      </c>
    </row>
    <row r="8">
      <c r="A8" s="2" t="inlineStr">
        <is>
          <t>2026-06</t>
        </is>
      </c>
      <c r="B8" s="2" t="inlineStr">
        <is>
          <t>US</t>
        </is>
      </c>
      <c r="C8" s="2" t="n">
        <v>7</v>
      </c>
      <c r="D8" s="2" t="inlineStr">
        <is>
          <t>2026-06-08</t>
        </is>
      </c>
      <c r="E8" s="9" t="n">
        <v>36.35875</v>
      </c>
      <c r="F8" s="2" t="n">
        <v>0</v>
      </c>
      <c r="G8" s="2" t="n">
        <v>1</v>
      </c>
      <c r="H8" s="9" t="n">
        <v>8.358750000000001</v>
      </c>
      <c r="I8" s="4" t="n">
        <v>0</v>
      </c>
      <c r="J8" s="4" t="n">
        <v>3000</v>
      </c>
      <c r="K8" s="4" t="n">
        <v>1671.75</v>
      </c>
      <c r="L8" s="4" t="n">
        <v>4671.75</v>
      </c>
    </row>
    <row r="9">
      <c r="A9" s="2" t="inlineStr">
        <is>
          <t>2026-06</t>
        </is>
      </c>
      <c r="B9" s="2" t="inlineStr">
        <is>
          <t>US</t>
        </is>
      </c>
      <c r="C9" s="2" t="n">
        <v>8</v>
      </c>
      <c r="D9" s="2" t="inlineStr">
        <is>
          <t>2026-06-15</t>
        </is>
      </c>
      <c r="E9" s="9" t="n">
        <v>25.95</v>
      </c>
      <c r="F9" s="2" t="n">
        <v>0</v>
      </c>
      <c r="G9" s="2" t="n">
        <v>1</v>
      </c>
      <c r="H9" s="9" t="n">
        <v>0</v>
      </c>
      <c r="I9" s="4" t="n">
        <v>0</v>
      </c>
      <c r="J9" s="4" t="n">
        <v>3000</v>
      </c>
      <c r="K9" s="4" t="n">
        <v>0</v>
      </c>
      <c r="L9" s="4" t="n">
        <v>3000</v>
      </c>
    </row>
    <row r="10">
      <c r="A10" s="2" t="inlineStr">
        <is>
          <t>2026-06</t>
        </is>
      </c>
      <c r="B10" s="2" t="inlineStr">
        <is>
          <t>US</t>
        </is>
      </c>
      <c r="C10" s="2" t="n">
        <v>9</v>
      </c>
      <c r="D10" s="2" t="inlineStr">
        <is>
          <t>2026-06-22</t>
        </is>
      </c>
      <c r="E10" s="9" t="n">
        <v>13.4</v>
      </c>
      <c r="F10" s="2" t="n">
        <v>0</v>
      </c>
      <c r="G10" s="2" t="n">
        <v>0</v>
      </c>
      <c r="H10" s="9" t="n">
        <v>13.4</v>
      </c>
      <c r="I10" s="4" t="n">
        <v>0</v>
      </c>
      <c r="J10" s="4" t="n">
        <v>0</v>
      </c>
      <c r="K10" s="4" t="n">
        <v>2680</v>
      </c>
      <c r="L10" s="4" t="n">
        <v>2680</v>
      </c>
    </row>
    <row r="11">
      <c r="A11" s="2" t="inlineStr">
        <is>
          <t>2026-06</t>
        </is>
      </c>
      <c r="B11" s="2" t="inlineStr">
        <is>
          <t>US</t>
        </is>
      </c>
      <c r="C11" s="2" t="n">
        <v>10</v>
      </c>
      <c r="D11" s="2" t="inlineStr">
        <is>
          <t>2026-06-29</t>
        </is>
      </c>
      <c r="E11" s="9" t="n">
        <v>13.67875</v>
      </c>
      <c r="F11" s="2" t="n">
        <v>0</v>
      </c>
      <c r="G11" s="2" t="n">
        <v>0</v>
      </c>
      <c r="H11" s="9" t="n">
        <v>13.67875</v>
      </c>
      <c r="I11" s="4" t="n">
        <v>0</v>
      </c>
      <c r="J11" s="4" t="n">
        <v>0</v>
      </c>
      <c r="K11" s="4" t="n">
        <v>2735.75</v>
      </c>
      <c r="L11" s="4" t="n">
        <v>2735.75</v>
      </c>
    </row>
    <row r="12">
      <c r="A12" s="2" t="inlineStr">
        <is>
          <t>2026-07</t>
        </is>
      </c>
      <c r="B12" s="2" t="inlineStr">
        <is>
          <t>US</t>
        </is>
      </c>
      <c r="C12" s="2" t="n">
        <v>11</v>
      </c>
      <c r="D12" s="2" t="inlineStr">
        <is>
          <t>2026-07-06</t>
        </is>
      </c>
      <c r="E12" s="9" t="n">
        <v>34.735</v>
      </c>
      <c r="F12" s="2" t="n">
        <v>0</v>
      </c>
      <c r="G12" s="2" t="n">
        <v>1</v>
      </c>
      <c r="H12" s="9" t="n">
        <v>6.735</v>
      </c>
      <c r="I12" s="4" t="n">
        <v>0</v>
      </c>
      <c r="J12" s="4" t="n">
        <v>3000</v>
      </c>
      <c r="K12" s="4" t="n">
        <v>1347</v>
      </c>
      <c r="L12" s="4" t="n">
        <v>4347</v>
      </c>
    </row>
    <row r="13">
      <c r="A13" s="2" t="inlineStr">
        <is>
          <t>2026-07</t>
        </is>
      </c>
      <c r="B13" s="2" t="inlineStr">
        <is>
          <t>US</t>
        </is>
      </c>
      <c r="C13" s="2" t="n">
        <v>12</v>
      </c>
      <c r="D13" s="2" t="inlineStr">
        <is>
          <t>2026-07-13</t>
        </is>
      </c>
      <c r="E13" s="9" t="n">
        <v>34.725</v>
      </c>
      <c r="F13" s="2" t="n">
        <v>0</v>
      </c>
      <c r="G13" s="2" t="n">
        <v>1</v>
      </c>
      <c r="H13" s="9" t="n">
        <v>6.725</v>
      </c>
      <c r="I13" s="4" t="n">
        <v>0</v>
      </c>
      <c r="J13" s="4" t="n">
        <v>3000</v>
      </c>
      <c r="K13" s="4" t="n">
        <v>1345</v>
      </c>
      <c r="L13" s="4" t="n">
        <v>4345</v>
      </c>
    </row>
    <row r="14">
      <c r="A14" s="2" t="inlineStr">
        <is>
          <t>2026-07</t>
        </is>
      </c>
      <c r="B14" s="2" t="inlineStr">
        <is>
          <t>US</t>
        </is>
      </c>
      <c r="C14" s="2" t="n">
        <v>13</v>
      </c>
      <c r="D14" s="2" t="inlineStr">
        <is>
          <t>2026-07-20</t>
        </is>
      </c>
      <c r="E14" s="9" t="n">
        <v>27.8075</v>
      </c>
      <c r="F14" s="2" t="n">
        <v>0</v>
      </c>
      <c r="G14" s="2" t="n">
        <v>1</v>
      </c>
      <c r="H14" s="9" t="n">
        <v>0</v>
      </c>
      <c r="I14" s="4" t="n">
        <v>0</v>
      </c>
      <c r="J14" s="4" t="n">
        <v>3000</v>
      </c>
      <c r="K14" s="4" t="n">
        <v>0</v>
      </c>
      <c r="L14" s="4" t="n">
        <v>3000</v>
      </c>
    </row>
    <row r="15">
      <c r="A15" s="2" t="inlineStr">
        <is>
          <t>2026-07</t>
        </is>
      </c>
      <c r="B15" s="2" t="inlineStr">
        <is>
          <t>US</t>
        </is>
      </c>
      <c r="C15" s="2" t="n">
        <v>14</v>
      </c>
      <c r="D15" s="2" t="inlineStr">
        <is>
          <t>2026-07-27</t>
        </is>
      </c>
      <c r="E15" s="9" t="n">
        <v>21.89</v>
      </c>
      <c r="F15" s="2" t="n">
        <v>0</v>
      </c>
      <c r="G15" s="2" t="n">
        <v>1</v>
      </c>
      <c r="H15" s="9" t="n">
        <v>0</v>
      </c>
      <c r="I15" s="4" t="n">
        <v>0</v>
      </c>
      <c r="J15" s="4" t="n">
        <v>3000</v>
      </c>
      <c r="K15" s="4" t="n">
        <v>0</v>
      </c>
      <c r="L15" s="4" t="n">
        <v>3000</v>
      </c>
    </row>
    <row r="16">
      <c r="A16" s="2" t="inlineStr">
        <is>
          <t>2026-08</t>
        </is>
      </c>
      <c r="B16" s="2" t="inlineStr">
        <is>
          <t>US</t>
        </is>
      </c>
      <c r="C16" s="2" t="n">
        <v>15</v>
      </c>
      <c r="D16" s="2" t="inlineStr">
        <is>
          <t>2026-08-03</t>
        </is>
      </c>
      <c r="E16" s="9" t="n">
        <v>37.5</v>
      </c>
      <c r="F16" s="2" t="n">
        <v>0</v>
      </c>
      <c r="G16" s="2" t="n">
        <v>1</v>
      </c>
      <c r="H16" s="9" t="n">
        <v>9.5</v>
      </c>
      <c r="I16" s="4" t="n">
        <v>0</v>
      </c>
      <c r="J16" s="4" t="n">
        <v>3000</v>
      </c>
      <c r="K16" s="4" t="n">
        <v>1900</v>
      </c>
      <c r="L16" s="4" t="n">
        <v>4900</v>
      </c>
    </row>
    <row r="17">
      <c r="A17" s="2" t="inlineStr">
        <is>
          <t>2026-08</t>
        </is>
      </c>
      <c r="B17" s="2" t="inlineStr">
        <is>
          <t>US</t>
        </is>
      </c>
      <c r="C17" s="2" t="n">
        <v>16</v>
      </c>
      <c r="D17" s="2" t="inlineStr">
        <is>
          <t>2026-08-10</t>
        </is>
      </c>
      <c r="E17" s="9" t="n">
        <v>37.5</v>
      </c>
      <c r="F17" s="2" t="n">
        <v>0</v>
      </c>
      <c r="G17" s="2" t="n">
        <v>1</v>
      </c>
      <c r="H17" s="9" t="n">
        <v>9.5</v>
      </c>
      <c r="I17" s="4" t="n">
        <v>0</v>
      </c>
      <c r="J17" s="4" t="n">
        <v>3000</v>
      </c>
      <c r="K17" s="4" t="n">
        <v>1900</v>
      </c>
      <c r="L17" s="4" t="n">
        <v>4900</v>
      </c>
    </row>
    <row r="18">
      <c r="A18" s="2" t="inlineStr">
        <is>
          <t>2026-08</t>
        </is>
      </c>
      <c r="B18" s="2" t="inlineStr">
        <is>
          <t>US</t>
        </is>
      </c>
      <c r="C18" s="2" t="n">
        <v>17</v>
      </c>
      <c r="D18" s="2" t="inlineStr">
        <is>
          <t>2026-08-17</t>
        </is>
      </c>
      <c r="E18" s="9" t="n">
        <v>14.37</v>
      </c>
      <c r="F18" s="2" t="n">
        <v>0</v>
      </c>
      <c r="G18" s="2" t="n">
        <v>0</v>
      </c>
      <c r="H18" s="9" t="n">
        <v>14.37</v>
      </c>
      <c r="I18" s="4" t="n">
        <v>0</v>
      </c>
      <c r="J18" s="4" t="n">
        <v>0</v>
      </c>
      <c r="K18" s="4" t="n">
        <v>2874</v>
      </c>
      <c r="L18" s="4" t="n">
        <v>2874</v>
      </c>
    </row>
    <row r="19">
      <c r="A19" s="2" t="inlineStr">
        <is>
          <t>2026-08</t>
        </is>
      </c>
      <c r="B19" s="2" t="inlineStr">
        <is>
          <t>US</t>
        </is>
      </c>
      <c r="C19" s="2" t="n">
        <v>18</v>
      </c>
      <c r="D19" s="2" t="inlineStr">
        <is>
          <t>2026-08-24</t>
        </is>
      </c>
      <c r="E19" s="9" t="n">
        <v>14.37</v>
      </c>
      <c r="F19" s="2" t="n">
        <v>0</v>
      </c>
      <c r="G19" s="2" t="n">
        <v>0</v>
      </c>
      <c r="H19" s="9" t="n">
        <v>14.37</v>
      </c>
      <c r="I19" s="4" t="n">
        <v>0</v>
      </c>
      <c r="J19" s="4" t="n">
        <v>0</v>
      </c>
      <c r="K19" s="4" t="n">
        <v>2874</v>
      </c>
      <c r="L19" s="4" t="n">
        <v>2874</v>
      </c>
    </row>
    <row r="20">
      <c r="A20" s="2" t="inlineStr">
        <is>
          <t>2026-08</t>
        </is>
      </c>
      <c r="B20" s="2" t="inlineStr">
        <is>
          <t>US</t>
        </is>
      </c>
      <c r="C20" s="2" t="n">
        <v>19</v>
      </c>
      <c r="D20" s="2" t="inlineStr">
        <is>
          <t>2026-08-31</t>
        </is>
      </c>
      <c r="E20" s="9" t="n">
        <v>16.4925</v>
      </c>
      <c r="F20" s="2" t="n">
        <v>0</v>
      </c>
      <c r="G20" s="2" t="n">
        <v>1</v>
      </c>
      <c r="H20" s="9" t="n">
        <v>0</v>
      </c>
      <c r="I20" s="4" t="n">
        <v>0</v>
      </c>
      <c r="J20" s="4" t="n">
        <v>3000</v>
      </c>
      <c r="K20" s="4" t="n">
        <v>0</v>
      </c>
      <c r="L20" s="4" t="n">
        <v>3000</v>
      </c>
    </row>
    <row r="21">
      <c r="A21" s="2" t="inlineStr">
        <is>
          <t>2026-09</t>
        </is>
      </c>
      <c r="B21" s="2" t="inlineStr">
        <is>
          <t>US</t>
        </is>
      </c>
      <c r="C21" s="2" t="n">
        <v>20</v>
      </c>
      <c r="D21" s="2" t="inlineStr">
        <is>
          <t>2026-09-07</t>
        </is>
      </c>
      <c r="E21" s="9" t="n">
        <v>16.4825</v>
      </c>
      <c r="F21" s="2" t="n">
        <v>0</v>
      </c>
      <c r="G21" s="2" t="n">
        <v>1</v>
      </c>
      <c r="H21" s="9" t="n">
        <v>0</v>
      </c>
      <c r="I21" s="4" t="n">
        <v>0</v>
      </c>
      <c r="J21" s="4" t="n">
        <v>3000</v>
      </c>
      <c r="K21" s="4" t="n">
        <v>0</v>
      </c>
      <c r="L21" s="4" t="n">
        <v>3000</v>
      </c>
    </row>
    <row r="22">
      <c r="A22" s="2" t="inlineStr">
        <is>
          <t>2026-09</t>
        </is>
      </c>
      <c r="B22" s="2" t="inlineStr">
        <is>
          <t>US</t>
        </is>
      </c>
      <c r="C22" s="2" t="n">
        <v>21</v>
      </c>
      <c r="D22" s="2" t="inlineStr">
        <is>
          <t>2026-09-14</t>
        </is>
      </c>
      <c r="E22" s="9" t="n">
        <v>11.8425</v>
      </c>
      <c r="F22" s="2" t="n">
        <v>0</v>
      </c>
      <c r="G22" s="2" t="n">
        <v>0</v>
      </c>
      <c r="H22" s="9" t="n">
        <v>11.8425</v>
      </c>
      <c r="I22" s="4" t="n">
        <v>0</v>
      </c>
      <c r="J22" s="4" t="n">
        <v>0</v>
      </c>
      <c r="K22" s="4" t="n">
        <v>2368.5</v>
      </c>
      <c r="L22" s="4" t="n">
        <v>2368.5</v>
      </c>
    </row>
    <row r="23">
      <c r="A23" s="2" t="inlineStr">
        <is>
          <t>2026-09</t>
        </is>
      </c>
      <c r="B23" s="2" t="inlineStr">
        <is>
          <t>US</t>
        </is>
      </c>
      <c r="C23" s="2" t="n">
        <v>22</v>
      </c>
      <c r="D23" s="2" t="inlineStr">
        <is>
          <t>2026-09-21</t>
        </is>
      </c>
      <c r="E23" s="9" t="n">
        <v>11.99875</v>
      </c>
      <c r="F23" s="2" t="n">
        <v>0</v>
      </c>
      <c r="G23" s="2" t="n">
        <v>0</v>
      </c>
      <c r="H23" s="9" t="n">
        <v>11.99875</v>
      </c>
      <c r="I23" s="4" t="n">
        <v>0</v>
      </c>
      <c r="J23" s="4" t="n">
        <v>0</v>
      </c>
      <c r="K23" s="4" t="n">
        <v>2399.75</v>
      </c>
      <c r="L23" s="4" t="n">
        <v>2399.75</v>
      </c>
    </row>
    <row r="24">
      <c r="A24" s="2" t="inlineStr">
        <is>
          <t>2026-09</t>
        </is>
      </c>
      <c r="B24" s="2" t="inlineStr">
        <is>
          <t>US</t>
        </is>
      </c>
      <c r="C24" s="2" t="n">
        <v>23</v>
      </c>
      <c r="D24" s="2" t="inlineStr">
        <is>
          <t>2026-09-28</t>
        </is>
      </c>
      <c r="E24" s="9" t="n">
        <v>25.68625</v>
      </c>
      <c r="F24" s="2" t="n">
        <v>0</v>
      </c>
      <c r="G24" s="2" t="n">
        <v>1</v>
      </c>
      <c r="H24" s="9" t="n">
        <v>0</v>
      </c>
      <c r="I24" s="4" t="n">
        <v>0</v>
      </c>
      <c r="J24" s="4" t="n">
        <v>3000</v>
      </c>
      <c r="K24" s="4" t="n">
        <v>0</v>
      </c>
      <c r="L24" s="4" t="n">
        <v>3000</v>
      </c>
    </row>
    <row r="25">
      <c r="A25" s="2" t="inlineStr">
        <is>
          <t>2026-10</t>
        </is>
      </c>
      <c r="B25" s="2" t="inlineStr">
        <is>
          <t>US</t>
        </is>
      </c>
      <c r="C25" s="2" t="n">
        <v>24</v>
      </c>
      <c r="D25" s="2" t="inlineStr">
        <is>
          <t>2026-10-05</t>
        </is>
      </c>
      <c r="E25" s="9" t="n">
        <v>29.10625</v>
      </c>
      <c r="F25" s="2" t="n">
        <v>0</v>
      </c>
      <c r="G25" s="2" t="n">
        <v>1</v>
      </c>
      <c r="H25" s="9" t="n">
        <v>1.10625</v>
      </c>
      <c r="I25" s="4" t="n">
        <v>0</v>
      </c>
      <c r="J25" s="4" t="n">
        <v>3000</v>
      </c>
      <c r="K25" s="4" t="n">
        <v>221.25</v>
      </c>
      <c r="L25" s="4" t="n">
        <v>3221.25</v>
      </c>
    </row>
    <row r="26">
      <c r="A26" s="2" t="inlineStr">
        <is>
          <t>2026-10</t>
        </is>
      </c>
      <c r="B26" s="2" t="inlineStr">
        <is>
          <t>US</t>
        </is>
      </c>
      <c r="C26" s="2" t="n">
        <v>25</v>
      </c>
      <c r="D26" s="2" t="inlineStr">
        <is>
          <t>2026-10-12</t>
        </is>
      </c>
      <c r="E26" s="9" t="n">
        <v>37.5</v>
      </c>
      <c r="F26" s="2" t="n">
        <v>0</v>
      </c>
      <c r="G26" s="2" t="n">
        <v>1</v>
      </c>
      <c r="H26" s="9" t="n">
        <v>9.5</v>
      </c>
      <c r="I26" s="4" t="n">
        <v>0</v>
      </c>
      <c r="J26" s="4" t="n">
        <v>3000</v>
      </c>
      <c r="K26" s="4" t="n">
        <v>1900</v>
      </c>
      <c r="L26" s="4" t="n">
        <v>4900</v>
      </c>
    </row>
    <row r="27">
      <c r="A27" s="2" t="inlineStr">
        <is>
          <t>2026-10</t>
        </is>
      </c>
      <c r="B27" s="2" t="inlineStr">
        <is>
          <t>US</t>
        </is>
      </c>
      <c r="C27" s="2" t="n">
        <v>26</v>
      </c>
      <c r="D27" s="2" t="inlineStr">
        <is>
          <t>2026-10-19</t>
        </is>
      </c>
      <c r="E27" s="9" t="n">
        <v>37.5</v>
      </c>
      <c r="F27" s="2" t="n">
        <v>0</v>
      </c>
      <c r="G27" s="2" t="n">
        <v>1</v>
      </c>
      <c r="H27" s="9" t="n">
        <v>9.5</v>
      </c>
      <c r="I27" s="4" t="n">
        <v>0</v>
      </c>
      <c r="J27" s="4" t="n">
        <v>3000</v>
      </c>
      <c r="K27" s="4" t="n">
        <v>1900</v>
      </c>
      <c r="L27" s="4" t="n">
        <v>4900</v>
      </c>
    </row>
    <row r="28">
      <c r="A28" s="2" t="inlineStr">
        <is>
          <t>2026-10</t>
        </is>
      </c>
      <c r="B28" s="2" t="inlineStr">
        <is>
          <t>US</t>
        </is>
      </c>
      <c r="C28" s="2" t="n">
        <v>27</v>
      </c>
      <c r="D28" s="2" t="inlineStr">
        <is>
          <t>2026-10-26</t>
        </is>
      </c>
      <c r="E28" s="9" t="n">
        <v>37.5</v>
      </c>
      <c r="F28" s="2" t="n">
        <v>0</v>
      </c>
      <c r="G28" s="2" t="n">
        <v>1</v>
      </c>
      <c r="H28" s="9" t="n">
        <v>9.5</v>
      </c>
      <c r="I28" s="4" t="n">
        <v>0</v>
      </c>
      <c r="J28" s="4" t="n">
        <v>3000</v>
      </c>
      <c r="K28" s="4" t="n">
        <v>1900</v>
      </c>
      <c r="L28" s="4" t="n">
        <v>4900</v>
      </c>
    </row>
    <row r="29">
      <c r="A29" s="2" t="inlineStr">
        <is>
          <t>2026-11</t>
        </is>
      </c>
      <c r="B29" s="2" t="inlineStr">
        <is>
          <t>US</t>
        </is>
      </c>
      <c r="C29" s="2" t="n">
        <v>28</v>
      </c>
      <c r="D29" s="2" t="inlineStr">
        <is>
          <t>2026-11-02</t>
        </is>
      </c>
      <c r="E29" s="9" t="n">
        <v>37.5</v>
      </c>
      <c r="F29" s="2" t="n">
        <v>0</v>
      </c>
      <c r="G29" s="2" t="n">
        <v>1</v>
      </c>
      <c r="H29" s="9" t="n">
        <v>9.5</v>
      </c>
      <c r="I29" s="4" t="n">
        <v>0</v>
      </c>
      <c r="J29" s="4" t="n">
        <v>3000</v>
      </c>
      <c r="K29" s="4" t="n">
        <v>1900</v>
      </c>
      <c r="L29" s="4" t="n">
        <v>4900</v>
      </c>
    </row>
    <row r="30">
      <c r="A30" s="2" t="inlineStr">
        <is>
          <t>2026-11</t>
        </is>
      </c>
      <c r="B30" s="2" t="inlineStr">
        <is>
          <t>US</t>
        </is>
      </c>
      <c r="C30" s="2" t="n">
        <v>29</v>
      </c>
      <c r="D30" s="2" t="inlineStr">
        <is>
          <t>2026-11-09</t>
        </is>
      </c>
      <c r="E30" s="9" t="n">
        <v>20.47875</v>
      </c>
      <c r="F30" s="2" t="n">
        <v>0</v>
      </c>
      <c r="G30" s="2" t="n">
        <v>1</v>
      </c>
      <c r="H30" s="9" t="n">
        <v>0</v>
      </c>
      <c r="I30" s="4" t="n">
        <v>0</v>
      </c>
      <c r="J30" s="4" t="n">
        <v>3000</v>
      </c>
      <c r="K30" s="4" t="n">
        <v>0</v>
      </c>
      <c r="L30" s="4" t="n">
        <v>3000</v>
      </c>
    </row>
    <row r="31">
      <c r="A31" s="2" t="inlineStr">
        <is>
          <t>2026-11</t>
        </is>
      </c>
      <c r="B31" s="2" t="inlineStr">
        <is>
          <t>US</t>
        </is>
      </c>
      <c r="C31" s="2" t="n">
        <v>30</v>
      </c>
      <c r="D31" s="2" t="inlineStr">
        <is>
          <t>2026-11-16</t>
        </is>
      </c>
      <c r="E31" s="9" t="n">
        <v>20.47875</v>
      </c>
      <c r="F31" s="2" t="n">
        <v>0</v>
      </c>
      <c r="G31" s="2" t="n">
        <v>1</v>
      </c>
      <c r="H31" s="9" t="n">
        <v>0</v>
      </c>
      <c r="I31" s="4" t="n">
        <v>0</v>
      </c>
      <c r="J31" s="4" t="n">
        <v>3000</v>
      </c>
      <c r="K31" s="4" t="n">
        <v>0</v>
      </c>
      <c r="L31" s="4" t="n">
        <v>3000</v>
      </c>
    </row>
    <row r="32">
      <c r="A32" s="2" t="inlineStr">
        <is>
          <t>2026-11</t>
        </is>
      </c>
      <c r="B32" s="2" t="inlineStr">
        <is>
          <t>US</t>
        </is>
      </c>
      <c r="C32" s="2" t="n">
        <v>31</v>
      </c>
      <c r="D32" s="2" t="inlineStr">
        <is>
          <t>2026-11-23</t>
        </is>
      </c>
      <c r="E32" s="9" t="n">
        <v>20.47875</v>
      </c>
      <c r="F32" s="2" t="n">
        <v>0</v>
      </c>
      <c r="G32" s="2" t="n">
        <v>1</v>
      </c>
      <c r="H32" s="9" t="n">
        <v>0</v>
      </c>
      <c r="I32" s="4" t="n">
        <v>0</v>
      </c>
      <c r="J32" s="4" t="n">
        <v>3000</v>
      </c>
      <c r="K32" s="4" t="n">
        <v>0</v>
      </c>
      <c r="L32" s="4" t="n">
        <v>3000</v>
      </c>
    </row>
    <row r="33">
      <c r="A33" s="2" t="inlineStr">
        <is>
          <t>2026-11</t>
        </is>
      </c>
      <c r="B33" s="2" t="inlineStr">
        <is>
          <t>US</t>
        </is>
      </c>
      <c r="C33" s="2" t="n">
        <v>32</v>
      </c>
      <c r="D33" s="2" t="inlineStr">
        <is>
          <t>2026-11-30</t>
        </is>
      </c>
      <c r="E33" s="9" t="n">
        <v>20.47875</v>
      </c>
      <c r="F33" s="2" t="n">
        <v>0</v>
      </c>
      <c r="G33" s="2" t="n">
        <v>1</v>
      </c>
      <c r="H33" s="9" t="n">
        <v>0</v>
      </c>
      <c r="I33" s="4" t="n">
        <v>0</v>
      </c>
      <c r="J33" s="4" t="n">
        <v>3000</v>
      </c>
      <c r="K33" s="4" t="n">
        <v>0</v>
      </c>
      <c r="L33" s="4" t="n">
        <v>3000</v>
      </c>
    </row>
    <row r="34">
      <c r="A34" s="2" t="inlineStr">
        <is>
          <t>2026-12</t>
        </is>
      </c>
      <c r="B34" s="2" t="inlineStr">
        <is>
          <t>US</t>
        </is>
      </c>
      <c r="C34" s="2" t="n">
        <v>33</v>
      </c>
      <c r="D34" s="2" t="inlineStr">
        <is>
          <t>2026-12-07</t>
        </is>
      </c>
      <c r="E34" s="9" t="n">
        <v>20.47875</v>
      </c>
      <c r="F34" s="2" t="n">
        <v>0</v>
      </c>
      <c r="G34" s="2" t="n">
        <v>1</v>
      </c>
      <c r="H34" s="9" t="n">
        <v>0</v>
      </c>
      <c r="I34" s="4" t="n">
        <v>0</v>
      </c>
      <c r="J34" s="4" t="n">
        <v>3000</v>
      </c>
      <c r="K34" s="4" t="n">
        <v>0</v>
      </c>
      <c r="L34" s="4" t="n">
        <v>3000</v>
      </c>
    </row>
    <row r="35">
      <c r="A35" s="2" t="inlineStr">
        <is>
          <t>2026-12</t>
        </is>
      </c>
      <c r="B35" s="2" t="inlineStr">
        <is>
          <t>US</t>
        </is>
      </c>
      <c r="C35" s="2" t="n">
        <v>34</v>
      </c>
      <c r="D35" s="2" t="inlineStr">
        <is>
          <t>2026-12-14</t>
        </is>
      </c>
      <c r="E35" s="9" t="n">
        <v>30.58875</v>
      </c>
      <c r="F35" s="2" t="n">
        <v>0</v>
      </c>
      <c r="G35" s="2" t="n">
        <v>1</v>
      </c>
      <c r="H35" s="9" t="n">
        <v>2.58875</v>
      </c>
      <c r="I35" s="4" t="n">
        <v>0</v>
      </c>
      <c r="J35" s="4" t="n">
        <v>3000</v>
      </c>
      <c r="K35" s="4" t="n">
        <v>517.75</v>
      </c>
      <c r="L35" s="4" t="n">
        <v>3517.75</v>
      </c>
    </row>
    <row r="36">
      <c r="A36" s="2" t="inlineStr">
        <is>
          <t>2026-12</t>
        </is>
      </c>
      <c r="B36" s="2" t="inlineStr">
        <is>
          <t>US</t>
        </is>
      </c>
      <c r="C36" s="2" t="n">
        <v>35</v>
      </c>
      <c r="D36" s="2" t="inlineStr">
        <is>
          <t>2026-12-21</t>
        </is>
      </c>
      <c r="E36" s="9" t="n">
        <v>30.58875</v>
      </c>
      <c r="F36" s="2" t="n">
        <v>0</v>
      </c>
      <c r="G36" s="2" t="n">
        <v>1</v>
      </c>
      <c r="H36" s="9" t="n">
        <v>2.58875</v>
      </c>
      <c r="I36" s="4" t="n">
        <v>0</v>
      </c>
      <c r="J36" s="4" t="n">
        <v>3000</v>
      </c>
      <c r="K36" s="4" t="n">
        <v>517.75</v>
      </c>
      <c r="L36" s="4" t="n">
        <v>3517.75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7" customWidth="1" min="8" max="8"/>
    <col width="13" customWidth="1" min="9" max="9"/>
  </cols>
  <sheetData>
    <row r="1">
      <c r="A1" s="10" t="inlineStr">
        <is>
          <t>Market</t>
        </is>
      </c>
      <c r="B1" s="10" t="inlineStr">
        <is>
          <t>Total_CBM</t>
        </is>
      </c>
      <c r="C1" s="10" t="inlineStr">
        <is>
          <t>Total_n40</t>
        </is>
      </c>
      <c r="D1" s="10" t="inlineStr">
        <is>
          <t>Total_n20</t>
        </is>
      </c>
      <c r="E1" s="10" t="inlineStr">
        <is>
          <t>Total_LCL_CBM</t>
        </is>
      </c>
      <c r="F1" s="10" t="inlineStr">
        <is>
          <t>Total_Cost_40</t>
        </is>
      </c>
      <c r="G1" s="10" t="inlineStr">
        <is>
          <t>Total_Cost_20</t>
        </is>
      </c>
      <c r="H1" s="10" t="inlineStr">
        <is>
          <t>Total_Cost_LCL</t>
        </is>
      </c>
      <c r="I1" s="10" t="inlineStr">
        <is>
          <t>Total_Cost</t>
        </is>
      </c>
    </row>
    <row r="2">
      <c r="A2" s="2" t="inlineStr">
        <is>
          <t>US</t>
        </is>
      </c>
      <c r="B2" s="2" t="n">
        <v>934.20125</v>
      </c>
      <c r="C2" s="2" t="n">
        <v>0</v>
      </c>
      <c r="D2" s="2" t="n">
        <v>29</v>
      </c>
      <c r="E2" s="2" t="n">
        <v>193.49875</v>
      </c>
      <c r="F2" s="4" t="n">
        <v>0</v>
      </c>
      <c r="G2" s="4" t="n">
        <v>87000</v>
      </c>
      <c r="H2" s="4" t="n">
        <v>38699.75</v>
      </c>
      <c r="I2" s="4" t="n">
        <v>125699.75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7" customWidth="1" min="3" max="3"/>
  </cols>
  <sheetData>
    <row r="1">
      <c r="A1" s="1" t="inlineStr">
        <is>
          <t>Cost Category</t>
        </is>
      </c>
      <c r="B1" s="1" t="inlineStr">
        <is>
          <t>Amount (USD)</t>
        </is>
      </c>
      <c r="C1" s="1" t="inlineStr">
        <is>
          <t>Notes</t>
        </is>
      </c>
    </row>
    <row r="2">
      <c r="A2" s="11" t="inlineStr">
        <is>
          <t>--- Ocean Freight (FG Shipment) ---</t>
        </is>
      </c>
      <c r="B2" s="11" t="inlineStr"/>
      <c r="C2" s="11" t="inlineStr"/>
    </row>
    <row r="3">
      <c r="A3" s="2" t="inlineStr">
        <is>
          <t xml:space="preserve">  40ft Container cost</t>
        </is>
      </c>
      <c r="B3" s="2" t="n">
        <v>0</v>
      </c>
      <c r="C3" s="2" t="inlineStr">
        <is>
          <t>A+B US market</t>
        </is>
      </c>
    </row>
    <row r="4">
      <c r="A4" s="2" t="inlineStr">
        <is>
          <t xml:space="preserve">  20ft Container cost</t>
        </is>
      </c>
      <c r="B4" s="4" t="n">
        <v>87000</v>
      </c>
      <c r="C4" s="2" t="inlineStr">
        <is>
          <t>A+B US market</t>
        </is>
      </c>
    </row>
    <row r="5">
      <c r="A5" s="2" t="inlineStr">
        <is>
          <t xml:space="preserve">  LCL cost</t>
        </is>
      </c>
      <c r="B5" s="2" t="n">
        <v>0</v>
      </c>
      <c r="C5" s="2" t="inlineStr">
        <is>
          <t>If any overflow</t>
        </is>
      </c>
    </row>
    <row r="6">
      <c r="A6" s="2" t="inlineStr">
        <is>
          <t xml:space="preserve">  Total Ocean Freight</t>
        </is>
      </c>
      <c r="B6" s="4" t="n">
        <v>125699.75</v>
      </c>
      <c r="C6" s="2" t="inlineStr">
        <is>
          <t>Sum of all containers</t>
        </is>
      </c>
    </row>
    <row r="7">
      <c r="A7" s="2" t="inlineStr"/>
      <c r="B7" s="2" t="inlineStr"/>
      <c r="C7" s="2" t="inlineStr"/>
    </row>
    <row r="8">
      <c r="A8" s="11" t="inlineStr">
        <is>
          <t>--- PCBA Inbound Air Freight (Scenario) ---</t>
        </is>
      </c>
      <c r="B8" s="11" t="inlineStr"/>
      <c r="C8" s="11" t="inlineStr"/>
    </row>
    <row r="9">
      <c r="A9" s="2" t="inlineStr">
        <is>
          <t xml:space="preserve">  PCBA units shipped by air</t>
        </is>
      </c>
      <c r="B9" s="4" t="n">
        <v>35020</v>
      </c>
      <c r="C9" s="2">
        <f> 60% recovery</f>
        <v/>
      </c>
    </row>
    <row r="10">
      <c r="A10" s="2" t="inlineStr">
        <is>
          <t xml:space="preserve">  Air premium per PCBA</t>
        </is>
      </c>
      <c r="B10" s="4" t="n">
        <v>2</v>
      </c>
      <c r="C10" s="2" t="inlineStr">
        <is>
          <t>$2.00 / unit</t>
        </is>
      </c>
    </row>
    <row r="11">
      <c r="A11" s="2" t="inlineStr">
        <is>
          <t xml:space="preserve">  Total PCBA Air Freight</t>
        </is>
      </c>
      <c r="B11" s="4" t="n">
        <v>70040</v>
      </c>
      <c r="C11" s="2">
        <f> 35,020 × $2</f>
        <v/>
      </c>
    </row>
    <row r="12">
      <c r="A12" s="2" t="inlineStr"/>
      <c r="B12" s="2" t="inlineStr"/>
      <c r="C12" s="2" t="inlineStr"/>
    </row>
    <row r="13">
      <c r="A13" s="11" t="inlineStr">
        <is>
          <t>--- Total Scenario Logistics Cost ---</t>
        </is>
      </c>
      <c r="B13" s="11" t="inlineStr"/>
      <c r="C13" s="11" t="inlineStr"/>
    </row>
    <row r="14">
      <c r="A14" s="2" t="inlineStr">
        <is>
          <t xml:space="preserve">  Ocean Freight</t>
        </is>
      </c>
      <c r="B14" s="4" t="n">
        <v>125699.75</v>
      </c>
      <c r="C14" s="2" t="inlineStr">
        <is>
          <t>FG delivery to customers</t>
        </is>
      </c>
    </row>
    <row r="15">
      <c r="A15" s="2" t="inlineStr">
        <is>
          <t xml:space="preserve">  PCBA Air Freight</t>
        </is>
      </c>
      <c r="B15" s="4" t="n">
        <v>70040</v>
      </c>
      <c r="C15" s="2" t="inlineStr">
        <is>
          <t>Component inbound</t>
        </is>
      </c>
    </row>
    <row r="16">
      <c r="A16" s="11" t="inlineStr">
        <is>
          <t xml:space="preserve">  GRAND TOTAL</t>
        </is>
      </c>
      <c r="B16" s="12" t="n">
        <v>195739.75</v>
      </c>
      <c r="C16" s="11" t="inlineStr">
        <is>
          <t>Full scenario logistics cost</t>
        </is>
      </c>
    </row>
    <row r="17">
      <c r="A17" s="2" t="inlineStr"/>
      <c r="B17" s="2" t="inlineStr"/>
      <c r="C17" s="2" t="inlineStr"/>
    </row>
    <row r="18">
      <c r="A18" s="11" t="inlineStr">
        <is>
          <t>--- Baseline Comparison ---</t>
        </is>
      </c>
      <c r="B18" s="11" t="inlineStr"/>
      <c r="C18" s="11" t="inlineStr"/>
    </row>
    <row r="19">
      <c r="A19" s="2" t="inlineStr">
        <is>
          <t xml:space="preserve">  Baseline ocean freight</t>
        </is>
      </c>
      <c r="B19" s="4" t="n">
        <v>125699.75</v>
      </c>
      <c r="C19" s="2" t="inlineStr">
        <is>
          <t>Same (no change in shipping lanes)</t>
        </is>
      </c>
    </row>
    <row r="20">
      <c r="A20" s="2" t="inlineStr">
        <is>
          <t xml:space="preserve">  Baseline PCBA air</t>
        </is>
      </c>
      <c r="B20" s="2" t="n">
        <v>0</v>
      </c>
      <c r="C20" s="2" t="inlineStr">
        <is>
          <t>No air freight in baseline</t>
        </is>
      </c>
    </row>
    <row r="21">
      <c r="A21" s="2" t="inlineStr">
        <is>
          <t xml:space="preserve">  Baseline total</t>
        </is>
      </c>
      <c r="B21" s="4" t="n">
        <v>125699.75</v>
      </c>
      <c r="C21" s="2" t="inlineStr"/>
    </row>
    <row r="22">
      <c r="A22" s="11" t="inlineStr">
        <is>
          <t xml:space="preserve">  ADDITIONAL cost vs baseline</t>
        </is>
      </c>
      <c r="B22" s="12" t="n">
        <v>70040</v>
      </c>
      <c r="C22" s="11">
        <f> Scenario impact</f>
        <v/>
      </c>
    </row>
    <row r="23">
      <c r="A23" s="2" t="inlineStr">
        <is>
          <t xml:space="preserve">  Additional cost %</t>
        </is>
      </c>
      <c r="B23" s="2" t="inlineStr">
        <is>
          <t>55.7%</t>
        </is>
      </c>
      <c r="C2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2026-04-15T10:29:01Z</dcterms:created>
  <dcterms:modified xmlns:dcterms="http://purl.org/dc/terms/" xmlns:xsi="http://www.w3.org/2001/XMLSchema-instance" xsi:type="dcterms:W3CDTF">2026-04-15T10:29:01Z</dcterms:modified>
</cp:coreProperties>
</file>