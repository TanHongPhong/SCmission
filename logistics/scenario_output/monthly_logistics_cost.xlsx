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Logistics_Cost" sheetId="1" state="visible" r:id="rId1"/>
    <sheet name="Weekly_Detail" sheetId="2" state="visible" r:id="rId2"/>
    <sheet name="Summary_by_Market" sheetId="3" state="visible" r:id="rId3"/>
    <sheet name="Scenario_Cost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00897B"/>
      </patternFill>
    </fill>
    <fill>
      <patternFill patternType="solid">
        <fgColor rgb="00E65100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1" fillId="3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4" borderId="1" applyAlignment="1" pivotButton="0" quotePrefix="0" xfId="0">
      <alignment horizontal="center" wrapText="1"/>
    </xf>
    <xf numFmtId="165" fontId="0" fillId="0" borderId="1" pivotButton="0" quotePrefix="0" xfId="0"/>
    <xf numFmtId="0" fontId="1" fillId="3" borderId="1" applyAlignment="1" pivotButton="0" quotePrefix="0" xfId="0">
      <alignment horizontal="center" wrapText="1"/>
    </xf>
    <xf numFmtId="0" fontId="2" fillId="5" borderId="1" pivotButton="0" quotePrefix="0" xfId="0"/>
    <xf numFmtId="164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1" customWidth="1" min="10" max="10"/>
    <col width="13" customWidth="1" min="11" max="11"/>
    <col width="12" customWidth="1" min="12" max="12"/>
  </cols>
  <sheetData>
    <row r="1">
      <c r="A1" s="1" t="inlineStr">
        <is>
          <t>Month</t>
        </is>
      </c>
      <c r="B1" s="1" t="inlineStr">
        <is>
          <t>Market</t>
        </is>
      </c>
      <c r="C1" s="1" t="inlineStr">
        <is>
          <t>Weeks</t>
        </is>
      </c>
      <c r="D1" s="1" t="inlineStr">
        <is>
          <t>Total CBM</t>
        </is>
      </c>
      <c r="E1" s="1" t="inlineStr">
        <is>
          <t>40ft Ctnr</t>
        </is>
      </c>
      <c r="F1" s="1" t="inlineStr">
        <is>
          <t>20ft Ctnr</t>
        </is>
      </c>
      <c r="G1" s="1" t="inlineStr">
        <is>
          <t>LCL CBM</t>
        </is>
      </c>
      <c r="H1" s="1" t="inlineStr">
        <is>
          <t>Cost 40ft</t>
        </is>
      </c>
      <c r="I1" s="1" t="inlineStr">
        <is>
          <t>Cost 20ft</t>
        </is>
      </c>
      <c r="J1" s="1" t="inlineStr">
        <is>
          <t>Cost LCL</t>
        </is>
      </c>
      <c r="K1" s="1" t="inlineStr">
        <is>
          <t>Total Cost</t>
        </is>
      </c>
    </row>
    <row r="2">
      <c r="A2" s="2" t="inlineStr">
        <is>
          <t>2026-04</t>
        </is>
      </c>
      <c r="B2" s="2" t="inlineStr">
        <is>
          <t>AU</t>
        </is>
      </c>
      <c r="C2" s="2" t="n">
        <v>3</v>
      </c>
      <c r="D2" s="3" t="n">
        <v>4.59</v>
      </c>
      <c r="E2" s="2" t="n">
        <v>0</v>
      </c>
      <c r="F2" s="2" t="n">
        <v>0</v>
      </c>
      <c r="G2" s="3" t="n">
        <v>4.59</v>
      </c>
      <c r="H2" s="4" t="n">
        <v>0</v>
      </c>
      <c r="I2" s="4" t="n">
        <v>0</v>
      </c>
      <c r="J2" s="4" t="n">
        <v>160.78</v>
      </c>
      <c r="K2" s="4" t="n">
        <v>160.78</v>
      </c>
    </row>
    <row r="3">
      <c r="A3" s="2" t="inlineStr">
        <is>
          <t>2026-04</t>
        </is>
      </c>
      <c r="B3" s="2" t="inlineStr">
        <is>
          <t>UK</t>
        </is>
      </c>
      <c r="C3" s="2" t="n">
        <v>3</v>
      </c>
      <c r="D3" s="3" t="n">
        <v>66.64</v>
      </c>
      <c r="E3" s="2" t="n">
        <v>0</v>
      </c>
      <c r="F3" s="2" t="n">
        <v>0</v>
      </c>
      <c r="G3" s="3" t="n">
        <v>66.64</v>
      </c>
      <c r="H3" s="4" t="n">
        <v>0</v>
      </c>
      <c r="I3" s="4" t="n">
        <v>0</v>
      </c>
      <c r="J3" s="4" t="n">
        <v>4664.8</v>
      </c>
      <c r="K3" s="4" t="n">
        <v>4664.8</v>
      </c>
    </row>
    <row r="4">
      <c r="A4" s="2" t="inlineStr">
        <is>
          <t>2026-04</t>
        </is>
      </c>
      <c r="B4" s="2" t="inlineStr">
        <is>
          <t>US</t>
        </is>
      </c>
      <c r="C4" s="2" t="n">
        <v>3</v>
      </c>
      <c r="D4" s="3" t="n">
        <v>80.62</v>
      </c>
      <c r="E4" s="2" t="n">
        <v>0</v>
      </c>
      <c r="F4" s="2" t="n">
        <v>3</v>
      </c>
      <c r="G4" s="3" t="n">
        <v>7.04</v>
      </c>
      <c r="H4" s="4" t="n">
        <v>0</v>
      </c>
      <c r="I4" s="4" t="n">
        <v>9000</v>
      </c>
      <c r="J4" s="4" t="n">
        <v>1408.19</v>
      </c>
      <c r="K4" s="4" t="n">
        <v>10408.19</v>
      </c>
    </row>
    <row r="5">
      <c r="A5" s="2" t="inlineStr">
        <is>
          <t>2026-05</t>
        </is>
      </c>
      <c r="B5" s="2" t="inlineStr">
        <is>
          <t>AU</t>
        </is>
      </c>
      <c r="C5" s="2" t="n">
        <v>4</v>
      </c>
      <c r="D5" s="3" t="n">
        <v>0.9399999999999999</v>
      </c>
      <c r="E5" s="2" t="n">
        <v>0</v>
      </c>
      <c r="F5" s="2" t="n">
        <v>0</v>
      </c>
      <c r="G5" s="3" t="n">
        <v>0.9399999999999999</v>
      </c>
      <c r="H5" s="4" t="n">
        <v>0</v>
      </c>
      <c r="I5" s="4" t="n">
        <v>0</v>
      </c>
      <c r="J5" s="4" t="n">
        <v>32.81</v>
      </c>
      <c r="K5" s="4" t="n">
        <v>32.81</v>
      </c>
    </row>
    <row r="6">
      <c r="A6" s="2" t="inlineStr">
        <is>
          <t>2026-05</t>
        </is>
      </c>
      <c r="B6" s="2" t="inlineStr">
        <is>
          <t>UK</t>
        </is>
      </c>
      <c r="C6" s="2" t="n">
        <v>4</v>
      </c>
      <c r="D6" s="3" t="n">
        <v>95.81999999999999</v>
      </c>
      <c r="E6" s="2" t="n">
        <v>0</v>
      </c>
      <c r="F6" s="2" t="n">
        <v>0</v>
      </c>
      <c r="G6" s="3" t="n">
        <v>95.81999999999999</v>
      </c>
      <c r="H6" s="4" t="n">
        <v>0</v>
      </c>
      <c r="I6" s="4" t="n">
        <v>0</v>
      </c>
      <c r="J6" s="4" t="n">
        <v>6707.4</v>
      </c>
      <c r="K6" s="4" t="n">
        <v>6707.4</v>
      </c>
    </row>
    <row r="7">
      <c r="A7" s="2" t="inlineStr">
        <is>
          <t>2026-05</t>
        </is>
      </c>
      <c r="B7" s="2" t="inlineStr">
        <is>
          <t>US</t>
        </is>
      </c>
      <c r="C7" s="2" t="n">
        <v>4</v>
      </c>
      <c r="D7" s="3" t="n">
        <v>149.07</v>
      </c>
      <c r="E7" s="2" t="n">
        <v>1</v>
      </c>
      <c r="F7" s="2" t="n">
        <v>3</v>
      </c>
      <c r="G7" s="3" t="n">
        <v>24.64</v>
      </c>
      <c r="H7" s="4" t="n">
        <v>5200</v>
      </c>
      <c r="I7" s="4" t="n">
        <v>9000</v>
      </c>
      <c r="J7" s="4" t="n">
        <v>4928.18</v>
      </c>
      <c r="K7" s="4" t="n">
        <v>19128.18</v>
      </c>
    </row>
    <row r="8">
      <c r="A8" s="2" t="inlineStr">
        <is>
          <t>2026-06</t>
        </is>
      </c>
      <c r="B8" s="2" t="inlineStr">
        <is>
          <t>AU</t>
        </is>
      </c>
      <c r="C8" s="2" t="n">
        <v>5</v>
      </c>
      <c r="D8" s="3" t="n">
        <v>3.12</v>
      </c>
      <c r="E8" s="2" t="n">
        <v>0</v>
      </c>
      <c r="F8" s="2" t="n">
        <v>0</v>
      </c>
      <c r="G8" s="3" t="n">
        <v>3.12</v>
      </c>
      <c r="H8" s="4" t="n">
        <v>0</v>
      </c>
      <c r="I8" s="4" t="n">
        <v>0</v>
      </c>
      <c r="J8" s="4" t="n">
        <v>109.37</v>
      </c>
      <c r="K8" s="4" t="n">
        <v>109.37</v>
      </c>
    </row>
    <row r="9">
      <c r="A9" s="2" t="inlineStr">
        <is>
          <t>2026-06</t>
        </is>
      </c>
      <c r="B9" s="2" t="inlineStr">
        <is>
          <t>UK</t>
        </is>
      </c>
      <c r="C9" s="2" t="n">
        <v>5</v>
      </c>
      <c r="D9" s="3" t="n">
        <v>113.28</v>
      </c>
      <c r="E9" s="2" t="n">
        <v>0</v>
      </c>
      <c r="F9" s="2" t="n">
        <v>0</v>
      </c>
      <c r="G9" s="3" t="n">
        <v>113.28</v>
      </c>
      <c r="H9" s="4" t="n">
        <v>0</v>
      </c>
      <c r="I9" s="4" t="n">
        <v>0</v>
      </c>
      <c r="J9" s="4" t="n">
        <v>7929.69</v>
      </c>
      <c r="K9" s="4" t="n">
        <v>7929.69</v>
      </c>
    </row>
    <row r="10">
      <c r="A10" s="2" t="inlineStr">
        <is>
          <t>2026-06</t>
        </is>
      </c>
      <c r="B10" s="2" t="inlineStr">
        <is>
          <t>US</t>
        </is>
      </c>
      <c r="C10" s="2" t="n">
        <v>5</v>
      </c>
      <c r="D10" s="3" t="n">
        <v>137.8</v>
      </c>
      <c r="E10" s="2" t="n">
        <v>1</v>
      </c>
      <c r="F10" s="2" t="n">
        <v>4</v>
      </c>
      <c r="G10" s="3" t="n">
        <v>9.869999999999999</v>
      </c>
      <c r="H10" s="4" t="n">
        <v>5200</v>
      </c>
      <c r="I10" s="4" t="n">
        <v>12000</v>
      </c>
      <c r="J10" s="4" t="n">
        <v>1973.25</v>
      </c>
      <c r="K10" s="4" t="n">
        <v>19173.25</v>
      </c>
    </row>
    <row r="11">
      <c r="A11" s="2" t="inlineStr">
        <is>
          <t>2026-07</t>
        </is>
      </c>
      <c r="B11" s="2" t="inlineStr">
        <is>
          <t>AU</t>
        </is>
      </c>
      <c r="C11" s="2" t="n">
        <v>4</v>
      </c>
      <c r="D11" s="3" t="n">
        <v>2.81</v>
      </c>
      <c r="E11" s="2" t="n">
        <v>0</v>
      </c>
      <c r="F11" s="2" t="n">
        <v>0</v>
      </c>
      <c r="G11" s="3" t="n">
        <v>2.81</v>
      </c>
      <c r="H11" s="4" t="n">
        <v>0</v>
      </c>
      <c r="I11" s="4" t="n">
        <v>0</v>
      </c>
      <c r="J11" s="4" t="n">
        <v>98.43000000000001</v>
      </c>
      <c r="K11" s="4" t="n">
        <v>98.43000000000001</v>
      </c>
    </row>
    <row r="12">
      <c r="A12" s="2" t="inlineStr">
        <is>
          <t>2026-07</t>
        </is>
      </c>
      <c r="B12" s="2" t="inlineStr">
        <is>
          <t>UK</t>
        </is>
      </c>
      <c r="C12" s="2" t="n">
        <v>4</v>
      </c>
      <c r="D12" s="3" t="n">
        <v>36.56</v>
      </c>
      <c r="E12" s="2" t="n">
        <v>0</v>
      </c>
      <c r="F12" s="2" t="n">
        <v>0</v>
      </c>
      <c r="G12" s="3" t="n">
        <v>36.56</v>
      </c>
      <c r="H12" s="4" t="n">
        <v>0</v>
      </c>
      <c r="I12" s="4" t="n">
        <v>0</v>
      </c>
      <c r="J12" s="4" t="n">
        <v>2559.38</v>
      </c>
      <c r="K12" s="4" t="n">
        <v>2559.38</v>
      </c>
    </row>
    <row r="13">
      <c r="A13" s="2" t="inlineStr">
        <is>
          <t>2026-07</t>
        </is>
      </c>
      <c r="B13" s="2" t="inlineStr">
        <is>
          <t>US</t>
        </is>
      </c>
      <c r="C13" s="2" t="n">
        <v>4</v>
      </c>
      <c r="D13" s="3" t="n">
        <v>130.31</v>
      </c>
      <c r="E13" s="2" t="n">
        <v>0</v>
      </c>
      <c r="F13" s="2" t="n">
        <v>4</v>
      </c>
      <c r="G13" s="3" t="n">
        <v>21.78</v>
      </c>
      <c r="H13" s="4" t="n">
        <v>0</v>
      </c>
      <c r="I13" s="4" t="n">
        <v>12000</v>
      </c>
      <c r="J13" s="4" t="n">
        <v>4356.49</v>
      </c>
      <c r="K13" s="4" t="n">
        <v>16356.49</v>
      </c>
    </row>
    <row r="14">
      <c r="A14" s="2" t="inlineStr">
        <is>
          <t>2026-08</t>
        </is>
      </c>
      <c r="B14" s="2" t="inlineStr">
        <is>
          <t>AU</t>
        </is>
      </c>
      <c r="C14" s="2" t="n">
        <v>5</v>
      </c>
      <c r="D14" s="3" t="n">
        <v>1.88</v>
      </c>
      <c r="E14" s="2" t="n">
        <v>0</v>
      </c>
      <c r="F14" s="2" t="n">
        <v>0</v>
      </c>
      <c r="G14" s="3" t="n">
        <v>1.88</v>
      </c>
      <c r="H14" s="4" t="n">
        <v>0</v>
      </c>
      <c r="I14" s="4" t="n">
        <v>0</v>
      </c>
      <c r="J14" s="4" t="n">
        <v>65.62</v>
      </c>
      <c r="K14" s="4" t="n">
        <v>65.62</v>
      </c>
    </row>
    <row r="15">
      <c r="A15" s="2" t="inlineStr">
        <is>
          <t>2026-08</t>
        </is>
      </c>
      <c r="B15" s="2" t="inlineStr">
        <is>
          <t>UK</t>
        </is>
      </c>
      <c r="C15" s="2" t="n">
        <v>5</v>
      </c>
      <c r="D15" s="3" t="n">
        <v>23.75</v>
      </c>
      <c r="E15" s="2" t="n">
        <v>0</v>
      </c>
      <c r="F15" s="2" t="n">
        <v>0</v>
      </c>
      <c r="G15" s="3" t="n">
        <v>23.75</v>
      </c>
      <c r="H15" s="4" t="n">
        <v>0</v>
      </c>
      <c r="I15" s="4" t="n">
        <v>0</v>
      </c>
      <c r="J15" s="4" t="n">
        <v>1662.5</v>
      </c>
      <c r="K15" s="4" t="n">
        <v>1662.5</v>
      </c>
    </row>
    <row r="16">
      <c r="A16" s="2" t="inlineStr">
        <is>
          <t>2026-08</t>
        </is>
      </c>
      <c r="B16" s="2" t="inlineStr">
        <is>
          <t>US</t>
        </is>
      </c>
      <c r="C16" s="2" t="n">
        <v>5</v>
      </c>
      <c r="D16" s="3" t="n">
        <v>105.99</v>
      </c>
      <c r="E16" s="2" t="n">
        <v>0</v>
      </c>
      <c r="F16" s="2" t="n">
        <v>5</v>
      </c>
      <c r="G16" s="3" t="n">
        <v>10.77</v>
      </c>
      <c r="H16" s="4" t="n">
        <v>0</v>
      </c>
      <c r="I16" s="4" t="n">
        <v>15000</v>
      </c>
      <c r="J16" s="4" t="n">
        <v>2154.69</v>
      </c>
      <c r="K16" s="4" t="n">
        <v>17154.69</v>
      </c>
    </row>
    <row r="17">
      <c r="A17" s="2" t="inlineStr">
        <is>
          <t>2026-09</t>
        </is>
      </c>
      <c r="B17" s="2" t="inlineStr">
        <is>
          <t>AU</t>
        </is>
      </c>
      <c r="C17" s="2" t="n">
        <v>4</v>
      </c>
      <c r="D17" s="3" t="n">
        <v>0.9399999999999999</v>
      </c>
      <c r="E17" s="2" t="n">
        <v>0</v>
      </c>
      <c r="F17" s="2" t="n">
        <v>0</v>
      </c>
      <c r="G17" s="3" t="n">
        <v>0.9399999999999999</v>
      </c>
      <c r="H17" s="4" t="n">
        <v>0</v>
      </c>
      <c r="I17" s="4" t="n">
        <v>0</v>
      </c>
      <c r="J17" s="4" t="n">
        <v>32.81</v>
      </c>
      <c r="K17" s="4" t="n">
        <v>32.81</v>
      </c>
    </row>
    <row r="18">
      <c r="A18" s="2" t="inlineStr">
        <is>
          <t>2026-09</t>
        </is>
      </c>
      <c r="B18" s="2" t="inlineStr">
        <is>
          <t>UK</t>
        </is>
      </c>
      <c r="C18" s="2" t="n">
        <v>4</v>
      </c>
      <c r="D18" s="3" t="n">
        <v>15.25</v>
      </c>
      <c r="E18" s="2" t="n">
        <v>0</v>
      </c>
      <c r="F18" s="2" t="n">
        <v>0</v>
      </c>
      <c r="G18" s="3" t="n">
        <v>15.25</v>
      </c>
      <c r="H18" s="4" t="n">
        <v>0</v>
      </c>
      <c r="I18" s="4" t="n">
        <v>0</v>
      </c>
      <c r="J18" s="4" t="n">
        <v>1067.51</v>
      </c>
      <c r="K18" s="4" t="n">
        <v>1067.51</v>
      </c>
    </row>
    <row r="19">
      <c r="A19" s="2" t="inlineStr">
        <is>
          <t>2026-09</t>
        </is>
      </c>
      <c r="B19" s="2" t="inlineStr">
        <is>
          <t>US</t>
        </is>
      </c>
      <c r="C19" s="2" t="n">
        <v>4</v>
      </c>
      <c r="D19" s="3" t="n">
        <v>83</v>
      </c>
      <c r="E19" s="2" t="n">
        <v>0</v>
      </c>
      <c r="F19" s="2" t="n">
        <v>2</v>
      </c>
      <c r="G19" s="3" t="n">
        <v>27.9</v>
      </c>
      <c r="H19" s="4" t="n">
        <v>0</v>
      </c>
      <c r="I19" s="4" t="n">
        <v>6000</v>
      </c>
      <c r="J19" s="4" t="n">
        <v>5580.12</v>
      </c>
      <c r="K19" s="4" t="n">
        <v>11580.12</v>
      </c>
    </row>
    <row r="20">
      <c r="A20" s="2" t="inlineStr">
        <is>
          <t>2026-10</t>
        </is>
      </c>
      <c r="B20" s="2" t="inlineStr">
        <is>
          <t>AU</t>
        </is>
      </c>
      <c r="C20" s="2" t="n">
        <v>4</v>
      </c>
      <c r="D20" s="3" t="n">
        <v>0</v>
      </c>
      <c r="E20" s="2" t="n">
        <v>0</v>
      </c>
      <c r="F20" s="2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2" t="inlineStr">
        <is>
          <t>2026-10</t>
        </is>
      </c>
      <c r="B21" s="2" t="inlineStr">
        <is>
          <t>UK</t>
        </is>
      </c>
      <c r="C21" s="2" t="n">
        <v>4</v>
      </c>
      <c r="D21" s="3" t="n">
        <v>14.75</v>
      </c>
      <c r="E21" s="2" t="n">
        <v>0</v>
      </c>
      <c r="F21" s="2" t="n">
        <v>0</v>
      </c>
      <c r="G21" s="3" t="n">
        <v>14.75</v>
      </c>
      <c r="H21" s="4" t="n">
        <v>0</v>
      </c>
      <c r="I21" s="4" t="n">
        <v>0</v>
      </c>
      <c r="J21" s="4" t="n">
        <v>1032.52</v>
      </c>
      <c r="K21" s="4" t="n">
        <v>1032.52</v>
      </c>
    </row>
    <row r="22">
      <c r="A22" s="2" t="inlineStr">
        <is>
          <t>2026-10</t>
        </is>
      </c>
      <c r="B22" s="2" t="inlineStr">
        <is>
          <t>US</t>
        </is>
      </c>
      <c r="C22" s="2" t="n">
        <v>4</v>
      </c>
      <c r="D22" s="3" t="n">
        <v>154.24</v>
      </c>
      <c r="E22" s="2" t="n">
        <v>0</v>
      </c>
      <c r="F22" s="2" t="n">
        <v>4</v>
      </c>
      <c r="G22" s="3" t="n">
        <v>42.24</v>
      </c>
      <c r="H22" s="4" t="n">
        <v>0</v>
      </c>
      <c r="I22" s="4" t="n">
        <v>12000</v>
      </c>
      <c r="J22" s="4" t="n">
        <v>8448.43</v>
      </c>
      <c r="K22" s="4" t="n">
        <v>20448.43</v>
      </c>
    </row>
    <row r="23">
      <c r="A23" s="2" t="inlineStr">
        <is>
          <t>2026-11</t>
        </is>
      </c>
      <c r="B23" s="2" t="inlineStr">
        <is>
          <t>AU</t>
        </is>
      </c>
      <c r="C23" s="2" t="n">
        <v>5</v>
      </c>
      <c r="D23" s="3" t="n">
        <v>1.88</v>
      </c>
      <c r="E23" s="2" t="n">
        <v>0</v>
      </c>
      <c r="F23" s="2" t="n">
        <v>0</v>
      </c>
      <c r="G23" s="3" t="n">
        <v>1.88</v>
      </c>
      <c r="H23" s="4" t="n">
        <v>0</v>
      </c>
      <c r="I23" s="4" t="n">
        <v>0</v>
      </c>
      <c r="J23" s="4" t="n">
        <v>65.62</v>
      </c>
      <c r="K23" s="4" t="n">
        <v>65.62</v>
      </c>
    </row>
    <row r="24">
      <c r="A24" s="2" t="inlineStr">
        <is>
          <t>2026-11</t>
        </is>
      </c>
      <c r="B24" s="2" t="inlineStr">
        <is>
          <t>UK</t>
        </is>
      </c>
      <c r="C24" s="2" t="n">
        <v>5</v>
      </c>
      <c r="D24" s="3" t="n">
        <v>46.1</v>
      </c>
      <c r="E24" s="2" t="n">
        <v>0</v>
      </c>
      <c r="F24" s="2" t="n">
        <v>0</v>
      </c>
      <c r="G24" s="3" t="n">
        <v>46.1</v>
      </c>
      <c r="H24" s="4" t="n">
        <v>0</v>
      </c>
      <c r="I24" s="4" t="n">
        <v>0</v>
      </c>
      <c r="J24" s="4" t="n">
        <v>3227.02</v>
      </c>
      <c r="K24" s="4" t="n">
        <v>3227.02</v>
      </c>
    </row>
    <row r="25">
      <c r="A25" s="2" t="inlineStr">
        <is>
          <t>2026-11</t>
        </is>
      </c>
      <c r="B25" s="2" t="inlineStr">
        <is>
          <t>US</t>
        </is>
      </c>
      <c r="C25" s="2" t="n">
        <v>5</v>
      </c>
      <c r="D25" s="3" t="n">
        <v>111.15</v>
      </c>
      <c r="E25" s="2" t="n">
        <v>0</v>
      </c>
      <c r="F25" s="2" t="n">
        <v>5</v>
      </c>
      <c r="G25" s="3" t="n">
        <v>0</v>
      </c>
      <c r="H25" s="4" t="n">
        <v>0</v>
      </c>
      <c r="I25" s="4" t="n">
        <v>15000</v>
      </c>
      <c r="J25" s="4" t="n">
        <v>0</v>
      </c>
      <c r="K25" s="4" t="n">
        <v>15000</v>
      </c>
    </row>
    <row r="26">
      <c r="A26" s="2" t="inlineStr">
        <is>
          <t>2026-12</t>
        </is>
      </c>
      <c r="B26" s="2" t="inlineStr">
        <is>
          <t>AU</t>
        </is>
      </c>
      <c r="C26" s="2" t="n">
        <v>2</v>
      </c>
      <c r="D26" s="3" t="n">
        <v>0</v>
      </c>
      <c r="E26" s="2" t="n">
        <v>0</v>
      </c>
      <c r="F26" s="2" t="n">
        <v>0</v>
      </c>
      <c r="G26" s="3" t="n">
        <v>0</v>
      </c>
      <c r="H26" s="4" t="n">
        <v>0</v>
      </c>
      <c r="I26" s="4" t="n">
        <v>0</v>
      </c>
      <c r="J26" s="4" t="n">
        <v>0</v>
      </c>
      <c r="K26" s="4" t="n">
        <v>0</v>
      </c>
    </row>
    <row r="27">
      <c r="A27" s="2" t="inlineStr">
        <is>
          <t>2026-12</t>
        </is>
      </c>
      <c r="B27" s="2" t="inlineStr">
        <is>
          <t>UK</t>
        </is>
      </c>
      <c r="C27" s="2" t="n">
        <v>2</v>
      </c>
      <c r="D27" s="3" t="n">
        <v>33.91</v>
      </c>
      <c r="E27" s="2" t="n">
        <v>0</v>
      </c>
      <c r="F27" s="2" t="n">
        <v>0</v>
      </c>
      <c r="G27" s="3" t="n">
        <v>33.91</v>
      </c>
      <c r="H27" s="4" t="n">
        <v>0</v>
      </c>
      <c r="I27" s="4" t="n">
        <v>0</v>
      </c>
      <c r="J27" s="4" t="n">
        <v>2373.88</v>
      </c>
      <c r="K27" s="4" t="n">
        <v>2373.88</v>
      </c>
    </row>
    <row r="28">
      <c r="A28" s="2" t="inlineStr">
        <is>
          <t>2026-12</t>
        </is>
      </c>
      <c r="B28" s="2" t="inlineStr">
        <is>
          <t>US</t>
        </is>
      </c>
      <c r="C28" s="2" t="n">
        <v>2</v>
      </c>
      <c r="D28" s="3" t="n">
        <v>64.95</v>
      </c>
      <c r="E28" s="2" t="n">
        <v>0</v>
      </c>
      <c r="F28" s="2" t="n">
        <v>2</v>
      </c>
      <c r="G28" s="3" t="n">
        <v>8.949999999999999</v>
      </c>
      <c r="H28" s="4" t="n">
        <v>0</v>
      </c>
      <c r="I28" s="4" t="n">
        <v>6000</v>
      </c>
      <c r="J28" s="4" t="n">
        <v>1790.56</v>
      </c>
      <c r="K28" s="4" t="n">
        <v>7790.56</v>
      </c>
    </row>
    <row r="29">
      <c r="A29" s="5" t="inlineStr">
        <is>
          <t>GRAND TOTAL</t>
        </is>
      </c>
      <c r="B29" s="6" t="inlineStr"/>
      <c r="C29" s="6" t="inlineStr"/>
      <c r="D29" s="6" t="n">
        <v>108</v>
      </c>
      <c r="E29" s="6" t="n">
        <v>1479.36</v>
      </c>
      <c r="F29" s="6" t="n">
        <v>2</v>
      </c>
      <c r="G29" s="6" t="n">
        <v>32</v>
      </c>
      <c r="H29" s="7" t="n">
        <v>615.42</v>
      </c>
      <c r="I29" s="7" t="n">
        <v>10400</v>
      </c>
      <c r="J29" s="7" t="n">
        <v>96000</v>
      </c>
      <c r="K29" s="7" t="n">
        <v>62430.05</v>
      </c>
      <c r="L29" s="7" t="n">
        <v>168830.05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9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>
      <c r="A1" s="8" t="inlineStr">
        <is>
          <t>Month</t>
        </is>
      </c>
      <c r="B1" s="8" t="inlineStr">
        <is>
          <t>Market</t>
        </is>
      </c>
      <c r="C1" s="8" t="inlineStr">
        <is>
          <t>Week</t>
        </is>
      </c>
      <c r="D1" s="8" t="inlineStr">
        <is>
          <t>Week_Date</t>
        </is>
      </c>
      <c r="E1" s="8" t="inlineStr">
        <is>
          <t>Total_Demand_CBM</t>
        </is>
      </c>
      <c r="F1" s="8" t="inlineStr">
        <is>
          <t>n40</t>
        </is>
      </c>
      <c r="G1" s="8" t="inlineStr">
        <is>
          <t>n20</t>
        </is>
      </c>
      <c r="H1" s="8" t="inlineStr">
        <is>
          <t>LCL_CBM</t>
        </is>
      </c>
      <c r="I1" s="8" t="inlineStr">
        <is>
          <t>Cost_40</t>
        </is>
      </c>
      <c r="J1" s="8" t="inlineStr">
        <is>
          <t>Cost_20</t>
        </is>
      </c>
      <c r="K1" s="8" t="inlineStr">
        <is>
          <t>Cost_LCL</t>
        </is>
      </c>
      <c r="L1" s="8" t="inlineStr">
        <is>
          <t>Cost</t>
        </is>
      </c>
    </row>
    <row r="2">
      <c r="A2" s="2" t="inlineStr">
        <is>
          <t>2026-04</t>
        </is>
      </c>
      <c r="B2" s="2" t="inlineStr">
        <is>
          <t>US</t>
        </is>
      </c>
      <c r="C2" s="2" t="n">
        <v>1</v>
      </c>
      <c r="D2" s="2" t="inlineStr">
        <is>
          <t>2026-04-13</t>
        </is>
      </c>
      <c r="E2" s="9" t="n">
        <v>17.578125</v>
      </c>
      <c r="F2" s="2" t="n">
        <v>0</v>
      </c>
      <c r="G2" s="2" t="n">
        <v>1</v>
      </c>
      <c r="H2" s="9" t="n">
        <v>0</v>
      </c>
      <c r="I2" s="4" t="n">
        <v>0</v>
      </c>
      <c r="J2" s="4" t="n">
        <v>3000</v>
      </c>
      <c r="K2" s="4" t="n">
        <v>0</v>
      </c>
      <c r="L2" s="4" t="n">
        <v>3000</v>
      </c>
    </row>
    <row r="3">
      <c r="A3" s="2" t="inlineStr">
        <is>
          <t>2026-04</t>
        </is>
      </c>
      <c r="B3" s="2" t="inlineStr">
        <is>
          <t>UK</t>
        </is>
      </c>
      <c r="C3" s="2" t="n">
        <v>1</v>
      </c>
      <c r="D3" s="2" t="inlineStr">
        <is>
          <t>2026-04-13</t>
        </is>
      </c>
      <c r="E3" s="9" t="n">
        <v>16.66</v>
      </c>
      <c r="F3" s="2" t="n">
        <v>0</v>
      </c>
      <c r="G3" s="2" t="n">
        <v>0</v>
      </c>
      <c r="H3" s="9" t="n">
        <v>16.66</v>
      </c>
      <c r="I3" s="4" t="n">
        <v>0</v>
      </c>
      <c r="J3" s="4" t="n">
        <v>0</v>
      </c>
      <c r="K3" s="4" t="n">
        <v>1166.2</v>
      </c>
      <c r="L3" s="4" t="n">
        <v>1166.2</v>
      </c>
    </row>
    <row r="4">
      <c r="A4" s="2" t="inlineStr">
        <is>
          <t>2026-04</t>
        </is>
      </c>
      <c r="B4" s="2" t="inlineStr">
        <is>
          <t>AU</t>
        </is>
      </c>
      <c r="C4" s="2" t="n">
        <v>1</v>
      </c>
      <c r="D4" s="2" t="inlineStr">
        <is>
          <t>2026-04-13</t>
        </is>
      </c>
      <c r="E4" s="9" t="n">
        <v>0</v>
      </c>
      <c r="F4" s="2" t="n">
        <v>0</v>
      </c>
      <c r="G4" s="2" t="n">
        <v>0</v>
      </c>
      <c r="H4" s="9" t="n">
        <v>0</v>
      </c>
      <c r="I4" s="4" t="n">
        <v>0</v>
      </c>
      <c r="J4" s="4" t="n">
        <v>0</v>
      </c>
      <c r="K4" s="4" t="n">
        <v>0</v>
      </c>
      <c r="L4" s="4" t="n">
        <v>0</v>
      </c>
    </row>
    <row r="5">
      <c r="A5" s="2" t="inlineStr">
        <is>
          <t>2026-04</t>
        </is>
      </c>
      <c r="B5" s="2" t="inlineStr">
        <is>
          <t>US</t>
        </is>
      </c>
      <c r="C5" s="2" t="n">
        <v>2</v>
      </c>
      <c r="D5" s="2" t="inlineStr">
        <is>
          <t>2026-04-20</t>
        </is>
      </c>
      <c r="E5" s="9" t="n">
        <v>31.056563</v>
      </c>
      <c r="F5" s="2" t="n">
        <v>0</v>
      </c>
      <c r="G5" s="2" t="n">
        <v>1</v>
      </c>
      <c r="H5" s="9" t="n">
        <v>3.056563</v>
      </c>
      <c r="I5" s="4" t="n">
        <v>0</v>
      </c>
      <c r="J5" s="4" t="n">
        <v>3000</v>
      </c>
      <c r="K5" s="4" t="n">
        <v>611.3099999999999</v>
      </c>
      <c r="L5" s="4" t="n">
        <v>3611.31</v>
      </c>
    </row>
    <row r="6">
      <c r="A6" s="2" t="inlineStr">
        <is>
          <t>2026-04</t>
        </is>
      </c>
      <c r="B6" s="2" t="inlineStr">
        <is>
          <t>UK</t>
        </is>
      </c>
      <c r="C6" s="2" t="n">
        <v>2</v>
      </c>
      <c r="D6" s="2" t="inlineStr">
        <is>
          <t>2026-04-20</t>
        </is>
      </c>
      <c r="E6" s="9" t="n">
        <v>24.99</v>
      </c>
      <c r="F6" s="2" t="n">
        <v>0</v>
      </c>
      <c r="G6" s="2" t="n">
        <v>0</v>
      </c>
      <c r="H6" s="9" t="n">
        <v>24.99</v>
      </c>
      <c r="I6" s="4" t="n">
        <v>0</v>
      </c>
      <c r="J6" s="4" t="n">
        <v>0</v>
      </c>
      <c r="K6" s="4" t="n">
        <v>1749.3</v>
      </c>
      <c r="L6" s="4" t="n">
        <v>1749.3</v>
      </c>
    </row>
    <row r="7">
      <c r="A7" s="2" t="inlineStr">
        <is>
          <t>2026-04</t>
        </is>
      </c>
      <c r="B7" s="2" t="inlineStr">
        <is>
          <t>AU</t>
        </is>
      </c>
      <c r="C7" s="2" t="n">
        <v>2</v>
      </c>
      <c r="D7" s="2" t="inlineStr">
        <is>
          <t>2026-04-20</t>
        </is>
      </c>
      <c r="E7" s="9" t="n">
        <v>1.5625</v>
      </c>
      <c r="F7" s="2" t="n">
        <v>0</v>
      </c>
      <c r="G7" s="2" t="n">
        <v>0</v>
      </c>
      <c r="H7" s="9" t="n">
        <v>1.5625</v>
      </c>
      <c r="I7" s="4" t="n">
        <v>0</v>
      </c>
      <c r="J7" s="4" t="n">
        <v>0</v>
      </c>
      <c r="K7" s="4" t="n">
        <v>54.69</v>
      </c>
      <c r="L7" s="4" t="n">
        <v>54.69</v>
      </c>
    </row>
    <row r="8">
      <c r="A8" s="2" t="inlineStr">
        <is>
          <t>2026-04</t>
        </is>
      </c>
      <c r="B8" s="2" t="inlineStr">
        <is>
          <t>US</t>
        </is>
      </c>
      <c r="C8" s="2" t="n">
        <v>3</v>
      </c>
      <c r="D8" s="2" t="inlineStr">
        <is>
          <t>2026-04-27</t>
        </is>
      </c>
      <c r="E8" s="9" t="n">
        <v>31.984375</v>
      </c>
      <c r="F8" s="2" t="n">
        <v>0</v>
      </c>
      <c r="G8" s="2" t="n">
        <v>1</v>
      </c>
      <c r="H8" s="9" t="n">
        <v>3.984375</v>
      </c>
      <c r="I8" s="4" t="n">
        <v>0</v>
      </c>
      <c r="J8" s="4" t="n">
        <v>3000</v>
      </c>
      <c r="K8" s="4" t="n">
        <v>796.88</v>
      </c>
      <c r="L8" s="4" t="n">
        <v>3796.88</v>
      </c>
    </row>
    <row r="9">
      <c r="A9" s="2" t="inlineStr">
        <is>
          <t>2026-04</t>
        </is>
      </c>
      <c r="B9" s="2" t="inlineStr">
        <is>
          <t>UK</t>
        </is>
      </c>
      <c r="C9" s="2" t="n">
        <v>3</v>
      </c>
      <c r="D9" s="2" t="inlineStr">
        <is>
          <t>2026-04-27</t>
        </is>
      </c>
      <c r="E9" s="9" t="n">
        <v>24.99</v>
      </c>
      <c r="F9" s="2" t="n">
        <v>0</v>
      </c>
      <c r="G9" s="2" t="n">
        <v>0</v>
      </c>
      <c r="H9" s="9" t="n">
        <v>24.99</v>
      </c>
      <c r="I9" s="4" t="n">
        <v>0</v>
      </c>
      <c r="J9" s="4" t="n">
        <v>0</v>
      </c>
      <c r="K9" s="4" t="n">
        <v>1749.3</v>
      </c>
      <c r="L9" s="4" t="n">
        <v>1749.3</v>
      </c>
    </row>
    <row r="10">
      <c r="A10" s="2" t="inlineStr">
        <is>
          <t>2026-04</t>
        </is>
      </c>
      <c r="B10" s="2" t="inlineStr">
        <is>
          <t>AU</t>
        </is>
      </c>
      <c r="C10" s="2" t="n">
        <v>3</v>
      </c>
      <c r="D10" s="2" t="inlineStr">
        <is>
          <t>2026-04-27</t>
        </is>
      </c>
      <c r="E10" s="9" t="n">
        <v>3.03125</v>
      </c>
      <c r="F10" s="2" t="n">
        <v>0</v>
      </c>
      <c r="G10" s="2" t="n">
        <v>0</v>
      </c>
      <c r="H10" s="9" t="n">
        <v>3.03125</v>
      </c>
      <c r="I10" s="4" t="n">
        <v>0</v>
      </c>
      <c r="J10" s="4" t="n">
        <v>0</v>
      </c>
      <c r="K10" s="4" t="n">
        <v>106.09</v>
      </c>
      <c r="L10" s="4" t="n">
        <v>106.09</v>
      </c>
    </row>
    <row r="11">
      <c r="A11" s="2" t="inlineStr">
        <is>
          <t>2026-05</t>
        </is>
      </c>
      <c r="B11" s="2" t="inlineStr">
        <is>
          <t>US</t>
        </is>
      </c>
      <c r="C11" s="2" t="n">
        <v>4</v>
      </c>
      <c r="D11" s="2" t="inlineStr">
        <is>
          <t>2026-05-04</t>
        </is>
      </c>
      <c r="E11" s="9" t="n">
        <v>40.429688</v>
      </c>
      <c r="F11" s="2" t="n">
        <v>1</v>
      </c>
      <c r="G11" s="2" t="n">
        <v>0</v>
      </c>
      <c r="H11" s="9" t="n">
        <v>0</v>
      </c>
      <c r="I11" s="4" t="n">
        <v>5200</v>
      </c>
      <c r="J11" s="4" t="n">
        <v>0</v>
      </c>
      <c r="K11" s="4" t="n">
        <v>0</v>
      </c>
      <c r="L11" s="4" t="n">
        <v>5200</v>
      </c>
    </row>
    <row r="12">
      <c r="A12" s="2" t="inlineStr">
        <is>
          <t>2026-05</t>
        </is>
      </c>
      <c r="B12" s="2" t="inlineStr">
        <is>
          <t>UK</t>
        </is>
      </c>
      <c r="C12" s="2" t="n">
        <v>4</v>
      </c>
      <c r="D12" s="2" t="inlineStr">
        <is>
          <t>2026-05-04</t>
        </is>
      </c>
      <c r="E12" s="9" t="n">
        <v>24.99</v>
      </c>
      <c r="F12" s="2" t="n">
        <v>0</v>
      </c>
      <c r="G12" s="2" t="n">
        <v>0</v>
      </c>
      <c r="H12" s="9" t="n">
        <v>24.99</v>
      </c>
      <c r="I12" s="4" t="n">
        <v>0</v>
      </c>
      <c r="J12" s="4" t="n">
        <v>0</v>
      </c>
      <c r="K12" s="4" t="n">
        <v>1749.3</v>
      </c>
      <c r="L12" s="4" t="n">
        <v>1749.3</v>
      </c>
    </row>
    <row r="13">
      <c r="A13" s="2" t="inlineStr">
        <is>
          <t>2026-05</t>
        </is>
      </c>
      <c r="B13" s="2" t="inlineStr">
        <is>
          <t>AU</t>
        </is>
      </c>
      <c r="C13" s="2" t="n">
        <v>4</v>
      </c>
      <c r="D13" s="2" t="inlineStr">
        <is>
          <t>2026-05-04</t>
        </is>
      </c>
      <c r="E13" s="9" t="n">
        <v>0</v>
      </c>
      <c r="F13" s="2" t="n">
        <v>0</v>
      </c>
      <c r="G13" s="2" t="n">
        <v>0</v>
      </c>
      <c r="H13" s="9" t="n">
        <v>0</v>
      </c>
      <c r="I13" s="4" t="n">
        <v>0</v>
      </c>
      <c r="J13" s="4" t="n">
        <v>0</v>
      </c>
      <c r="K13" s="4" t="n">
        <v>0</v>
      </c>
      <c r="L13" s="4" t="n">
        <v>0</v>
      </c>
    </row>
    <row r="14">
      <c r="A14" s="2" t="inlineStr">
        <is>
          <t>2026-05</t>
        </is>
      </c>
      <c r="B14" s="2" t="inlineStr">
        <is>
          <t>US</t>
        </is>
      </c>
      <c r="C14" s="2" t="n">
        <v>5</v>
      </c>
      <c r="D14" s="2" t="inlineStr">
        <is>
          <t>2026-05-11</t>
        </is>
      </c>
      <c r="E14" s="9" t="n">
        <v>33.695312</v>
      </c>
      <c r="F14" s="2" t="n">
        <v>0</v>
      </c>
      <c r="G14" s="2" t="n">
        <v>1</v>
      </c>
      <c r="H14" s="9" t="n">
        <v>5.695312</v>
      </c>
      <c r="I14" s="4" t="n">
        <v>0</v>
      </c>
      <c r="J14" s="4" t="n">
        <v>3000</v>
      </c>
      <c r="K14" s="4" t="n">
        <v>1139.06</v>
      </c>
      <c r="L14" s="4" t="n">
        <v>4139.06</v>
      </c>
    </row>
    <row r="15">
      <c r="A15" s="2" t="inlineStr">
        <is>
          <t>2026-05</t>
        </is>
      </c>
      <c r="B15" s="2" t="inlineStr">
        <is>
          <t>UK</t>
        </is>
      </c>
      <c r="C15" s="2" t="n">
        <v>5</v>
      </c>
      <c r="D15" s="2" t="inlineStr">
        <is>
          <t>2026-05-11</t>
        </is>
      </c>
      <c r="E15" s="9" t="n">
        <v>20.83</v>
      </c>
      <c r="F15" s="2" t="n">
        <v>0</v>
      </c>
      <c r="G15" s="2" t="n">
        <v>0</v>
      </c>
      <c r="H15" s="9" t="n">
        <v>20.83</v>
      </c>
      <c r="I15" s="4" t="n">
        <v>0</v>
      </c>
      <c r="J15" s="4" t="n">
        <v>0</v>
      </c>
      <c r="K15" s="4" t="n">
        <v>1458.1</v>
      </c>
      <c r="L15" s="4" t="n">
        <v>1458.1</v>
      </c>
    </row>
    <row r="16">
      <c r="A16" s="2" t="inlineStr">
        <is>
          <t>2026-05</t>
        </is>
      </c>
      <c r="B16" s="2" t="inlineStr">
        <is>
          <t>AU</t>
        </is>
      </c>
      <c r="C16" s="2" t="n">
        <v>5</v>
      </c>
      <c r="D16" s="2" t="inlineStr">
        <is>
          <t>2026-05-11</t>
        </is>
      </c>
      <c r="E16" s="9" t="n">
        <v>0</v>
      </c>
      <c r="F16" s="2" t="n">
        <v>0</v>
      </c>
      <c r="G16" s="2" t="n">
        <v>0</v>
      </c>
      <c r="H16" s="9" t="n">
        <v>0</v>
      </c>
      <c r="I16" s="4" t="n">
        <v>0</v>
      </c>
      <c r="J16" s="4" t="n">
        <v>0</v>
      </c>
      <c r="K16" s="4" t="n">
        <v>0</v>
      </c>
      <c r="L16" s="4" t="n">
        <v>0</v>
      </c>
    </row>
    <row r="17">
      <c r="A17" s="2" t="inlineStr">
        <is>
          <t>2026-05</t>
        </is>
      </c>
      <c r="B17" s="2" t="inlineStr">
        <is>
          <t>US</t>
        </is>
      </c>
      <c r="C17" s="2" t="n">
        <v>6</v>
      </c>
      <c r="D17" s="2" t="inlineStr">
        <is>
          <t>2026-05-18</t>
        </is>
      </c>
      <c r="E17" s="9" t="n">
        <v>36.679688</v>
      </c>
      <c r="F17" s="2" t="n">
        <v>0</v>
      </c>
      <c r="G17" s="2" t="n">
        <v>1</v>
      </c>
      <c r="H17" s="9" t="n">
        <v>8.68</v>
      </c>
      <c r="I17" s="4" t="n">
        <v>0</v>
      </c>
      <c r="J17" s="4" t="n">
        <v>3000</v>
      </c>
      <c r="K17" s="4" t="n">
        <v>1736</v>
      </c>
      <c r="L17" s="4" t="n">
        <v>4736</v>
      </c>
    </row>
    <row r="18">
      <c r="A18" s="2" t="inlineStr">
        <is>
          <t>2026-05</t>
        </is>
      </c>
      <c r="B18" s="2" t="inlineStr">
        <is>
          <t>UK</t>
        </is>
      </c>
      <c r="C18" s="2" t="n">
        <v>6</v>
      </c>
      <c r="D18" s="2" t="inlineStr">
        <is>
          <t>2026-05-18</t>
        </is>
      </c>
      <c r="E18" s="9" t="n">
        <v>25</v>
      </c>
      <c r="F18" s="2" t="n">
        <v>0</v>
      </c>
      <c r="G18" s="2" t="n">
        <v>0</v>
      </c>
      <c r="H18" s="9" t="n">
        <v>25</v>
      </c>
      <c r="I18" s="4" t="n">
        <v>0</v>
      </c>
      <c r="J18" s="4" t="n">
        <v>0</v>
      </c>
      <c r="K18" s="4" t="n">
        <v>1750</v>
      </c>
      <c r="L18" s="4" t="n">
        <v>1750</v>
      </c>
    </row>
    <row r="19">
      <c r="A19" s="2" t="inlineStr">
        <is>
          <t>2026-05</t>
        </is>
      </c>
      <c r="B19" s="2" t="inlineStr">
        <is>
          <t>AU</t>
        </is>
      </c>
      <c r="C19" s="2" t="n">
        <v>6</v>
      </c>
      <c r="D19" s="2" t="inlineStr">
        <is>
          <t>2026-05-18</t>
        </is>
      </c>
      <c r="E19" s="9" t="n">
        <v>0</v>
      </c>
      <c r="F19" s="2" t="n">
        <v>0</v>
      </c>
      <c r="G19" s="2" t="n">
        <v>0</v>
      </c>
      <c r="H19" s="9" t="n">
        <v>0</v>
      </c>
      <c r="I19" s="4" t="n">
        <v>0</v>
      </c>
      <c r="J19" s="4" t="n">
        <v>0</v>
      </c>
      <c r="K19" s="4" t="n">
        <v>0</v>
      </c>
      <c r="L19" s="4" t="n">
        <v>0</v>
      </c>
    </row>
    <row r="20">
      <c r="A20" s="2" t="inlineStr">
        <is>
          <t>2026-05</t>
        </is>
      </c>
      <c r="B20" s="2" t="inlineStr">
        <is>
          <t>US</t>
        </is>
      </c>
      <c r="C20" s="2" t="n">
        <v>7</v>
      </c>
      <c r="D20" s="2" t="inlineStr">
        <is>
          <t>2026-05-25</t>
        </is>
      </c>
      <c r="E20" s="9" t="n">
        <v>38.265625</v>
      </c>
      <c r="F20" s="2" t="n">
        <v>0</v>
      </c>
      <c r="G20" s="2" t="n">
        <v>1</v>
      </c>
      <c r="H20" s="9" t="n">
        <v>10.265625</v>
      </c>
      <c r="I20" s="4" t="n">
        <v>0</v>
      </c>
      <c r="J20" s="4" t="n">
        <v>3000</v>
      </c>
      <c r="K20" s="4" t="n">
        <v>2053.12</v>
      </c>
      <c r="L20" s="4" t="n">
        <v>5053.12</v>
      </c>
    </row>
    <row r="21">
      <c r="A21" s="2" t="inlineStr">
        <is>
          <t>2026-05</t>
        </is>
      </c>
      <c r="B21" s="2" t="inlineStr">
        <is>
          <t>UK</t>
        </is>
      </c>
      <c r="C21" s="2" t="n">
        <v>7</v>
      </c>
      <c r="D21" s="2" t="inlineStr">
        <is>
          <t>2026-05-25</t>
        </is>
      </c>
      <c r="E21" s="9" t="n">
        <v>25</v>
      </c>
      <c r="F21" s="2" t="n">
        <v>0</v>
      </c>
      <c r="G21" s="2" t="n">
        <v>0</v>
      </c>
      <c r="H21" s="9" t="n">
        <v>25</v>
      </c>
      <c r="I21" s="4" t="n">
        <v>0</v>
      </c>
      <c r="J21" s="4" t="n">
        <v>0</v>
      </c>
      <c r="K21" s="4" t="n">
        <v>1750</v>
      </c>
      <c r="L21" s="4" t="n">
        <v>1750</v>
      </c>
    </row>
    <row r="22">
      <c r="A22" s="2" t="inlineStr">
        <is>
          <t>2026-05</t>
        </is>
      </c>
      <c r="B22" s="2" t="inlineStr">
        <is>
          <t>AU</t>
        </is>
      </c>
      <c r="C22" s="2" t="n">
        <v>7</v>
      </c>
      <c r="D22" s="2" t="inlineStr">
        <is>
          <t>2026-05-25</t>
        </is>
      </c>
      <c r="E22" s="9" t="n">
        <v>0.9375</v>
      </c>
      <c r="F22" s="2" t="n">
        <v>0</v>
      </c>
      <c r="G22" s="2" t="n">
        <v>0</v>
      </c>
      <c r="H22" s="9" t="n">
        <v>0.9375</v>
      </c>
      <c r="I22" s="4" t="n">
        <v>0</v>
      </c>
      <c r="J22" s="4" t="n">
        <v>0</v>
      </c>
      <c r="K22" s="4" t="n">
        <v>32.81</v>
      </c>
      <c r="L22" s="4" t="n">
        <v>32.81</v>
      </c>
    </row>
    <row r="23">
      <c r="A23" s="2" t="inlineStr">
        <is>
          <t>2026-06</t>
        </is>
      </c>
      <c r="B23" s="2" t="inlineStr">
        <is>
          <t>US</t>
        </is>
      </c>
      <c r="C23" s="2" t="n">
        <v>8</v>
      </c>
      <c r="D23" s="2" t="inlineStr">
        <is>
          <t>2026-06-01</t>
        </is>
      </c>
      <c r="E23" s="9" t="n">
        <v>39.288438</v>
      </c>
      <c r="F23" s="2" t="n">
        <v>1</v>
      </c>
      <c r="G23" s="2" t="n">
        <v>0</v>
      </c>
      <c r="H23" s="9" t="n">
        <v>0</v>
      </c>
      <c r="I23" s="4" t="n">
        <v>5200</v>
      </c>
      <c r="J23" s="4" t="n">
        <v>0</v>
      </c>
      <c r="K23" s="4" t="n">
        <v>0</v>
      </c>
      <c r="L23" s="4" t="n">
        <v>5200</v>
      </c>
    </row>
    <row r="24">
      <c r="A24" s="2" t="inlineStr">
        <is>
          <t>2026-06</t>
        </is>
      </c>
      <c r="B24" s="2" t="inlineStr">
        <is>
          <t>UK</t>
        </is>
      </c>
      <c r="C24" s="2" t="n">
        <v>8</v>
      </c>
      <c r="D24" s="2" t="inlineStr">
        <is>
          <t>2026-06-01</t>
        </is>
      </c>
      <c r="E24" s="9" t="n">
        <v>25</v>
      </c>
      <c r="F24" s="2" t="n">
        <v>0</v>
      </c>
      <c r="G24" s="2" t="n">
        <v>0</v>
      </c>
      <c r="H24" s="9" t="n">
        <v>25</v>
      </c>
      <c r="I24" s="4" t="n">
        <v>0</v>
      </c>
      <c r="J24" s="4" t="n">
        <v>0</v>
      </c>
      <c r="K24" s="4" t="n">
        <v>1750</v>
      </c>
      <c r="L24" s="4" t="n">
        <v>1750</v>
      </c>
    </row>
    <row r="25">
      <c r="A25" s="2" t="inlineStr">
        <is>
          <t>2026-06</t>
        </is>
      </c>
      <c r="B25" s="2" t="inlineStr">
        <is>
          <t>AU</t>
        </is>
      </c>
      <c r="C25" s="2" t="n">
        <v>8</v>
      </c>
      <c r="D25" s="2" t="inlineStr">
        <is>
          <t>2026-06-01</t>
        </is>
      </c>
      <c r="E25" s="9" t="n">
        <v>0</v>
      </c>
      <c r="F25" s="2" t="n">
        <v>0</v>
      </c>
      <c r="G25" s="2" t="n">
        <v>0</v>
      </c>
      <c r="H25" s="9" t="n">
        <v>0</v>
      </c>
      <c r="I25" s="4" t="n">
        <v>0</v>
      </c>
      <c r="J25" s="4" t="n">
        <v>0</v>
      </c>
      <c r="K25" s="4" t="n">
        <v>0</v>
      </c>
      <c r="L25" s="4" t="n">
        <v>0</v>
      </c>
    </row>
    <row r="26">
      <c r="A26" s="2" t="inlineStr">
        <is>
          <t>2026-06</t>
        </is>
      </c>
      <c r="B26" s="2" t="inlineStr">
        <is>
          <t>US</t>
        </is>
      </c>
      <c r="C26" s="2" t="n">
        <v>9</v>
      </c>
      <c r="D26" s="2" t="inlineStr">
        <is>
          <t>2026-06-08</t>
        </is>
      </c>
      <c r="E26" s="9" t="n">
        <v>28.879688</v>
      </c>
      <c r="F26" s="2" t="n">
        <v>0</v>
      </c>
      <c r="G26" s="2" t="n">
        <v>1</v>
      </c>
      <c r="H26" s="9" t="n">
        <v>0.88125</v>
      </c>
      <c r="I26" s="4" t="n">
        <v>0</v>
      </c>
      <c r="J26" s="4" t="n">
        <v>3000</v>
      </c>
      <c r="K26" s="4" t="n">
        <v>176.25</v>
      </c>
      <c r="L26" s="4" t="n">
        <v>3176.25</v>
      </c>
    </row>
    <row r="27">
      <c r="A27" s="2" t="inlineStr">
        <is>
          <t>2026-06</t>
        </is>
      </c>
      <c r="B27" s="2" t="inlineStr">
        <is>
          <t>UK</t>
        </is>
      </c>
      <c r="C27" s="2" t="n">
        <v>9</v>
      </c>
      <c r="D27" s="2" t="inlineStr">
        <is>
          <t>2026-06-08</t>
        </is>
      </c>
      <c r="E27" s="9" t="n">
        <v>25</v>
      </c>
      <c r="F27" s="2" t="n">
        <v>0</v>
      </c>
      <c r="G27" s="2" t="n">
        <v>0</v>
      </c>
      <c r="H27" s="9" t="n">
        <v>25</v>
      </c>
      <c r="I27" s="4" t="n">
        <v>0</v>
      </c>
      <c r="J27" s="4" t="n">
        <v>0</v>
      </c>
      <c r="K27" s="4" t="n">
        <v>1750</v>
      </c>
      <c r="L27" s="4" t="n">
        <v>1750</v>
      </c>
    </row>
    <row r="28">
      <c r="A28" s="2" t="inlineStr">
        <is>
          <t>2026-06</t>
        </is>
      </c>
      <c r="B28" s="2" t="inlineStr">
        <is>
          <t>AU</t>
        </is>
      </c>
      <c r="C28" s="2" t="n">
        <v>9</v>
      </c>
      <c r="D28" s="2" t="inlineStr">
        <is>
          <t>2026-06-08</t>
        </is>
      </c>
      <c r="E28" s="9" t="n">
        <v>0</v>
      </c>
      <c r="F28" s="2" t="n">
        <v>0</v>
      </c>
      <c r="G28" s="2" t="n">
        <v>0</v>
      </c>
      <c r="H28" s="9" t="n">
        <v>0</v>
      </c>
      <c r="I28" s="4" t="n">
        <v>0</v>
      </c>
      <c r="J28" s="4" t="n">
        <v>0</v>
      </c>
      <c r="K28" s="4" t="n">
        <v>0</v>
      </c>
      <c r="L28" s="4" t="n">
        <v>0</v>
      </c>
    </row>
    <row r="29">
      <c r="A29" s="2" t="inlineStr">
        <is>
          <t>2026-06</t>
        </is>
      </c>
      <c r="B29" s="2" t="inlineStr">
        <is>
          <t>US</t>
        </is>
      </c>
      <c r="C29" s="2" t="n">
        <v>10</v>
      </c>
      <c r="D29" s="2" t="inlineStr">
        <is>
          <t>2026-06-15</t>
        </is>
      </c>
      <c r="E29" s="9" t="n">
        <v>16.040625</v>
      </c>
      <c r="F29" s="2" t="n">
        <v>0</v>
      </c>
      <c r="G29" s="2" t="n">
        <v>1</v>
      </c>
      <c r="H29" s="9" t="n">
        <v>0</v>
      </c>
      <c r="I29" s="4" t="n">
        <v>0</v>
      </c>
      <c r="J29" s="4" t="n">
        <v>3000</v>
      </c>
      <c r="K29" s="4" t="n">
        <v>0</v>
      </c>
      <c r="L29" s="4" t="n">
        <v>3000</v>
      </c>
    </row>
    <row r="30">
      <c r="A30" s="2" t="inlineStr">
        <is>
          <t>2026-06</t>
        </is>
      </c>
      <c r="B30" s="2" t="inlineStr">
        <is>
          <t>UK</t>
        </is>
      </c>
      <c r="C30" s="2" t="n">
        <v>10</v>
      </c>
      <c r="D30" s="2" t="inlineStr">
        <is>
          <t>2026-06-15</t>
        </is>
      </c>
      <c r="E30" s="9" t="n">
        <v>25</v>
      </c>
      <c r="F30" s="2" t="n">
        <v>0</v>
      </c>
      <c r="G30" s="2" t="n">
        <v>0</v>
      </c>
      <c r="H30" s="9" t="n">
        <v>25</v>
      </c>
      <c r="I30" s="4" t="n">
        <v>0</v>
      </c>
      <c r="J30" s="4" t="n">
        <v>0</v>
      </c>
      <c r="K30" s="4" t="n">
        <v>1750</v>
      </c>
      <c r="L30" s="4" t="n">
        <v>1750</v>
      </c>
    </row>
    <row r="31">
      <c r="A31" s="2" t="inlineStr">
        <is>
          <t>2026-06</t>
        </is>
      </c>
      <c r="B31" s="2" t="inlineStr">
        <is>
          <t>AU</t>
        </is>
      </c>
      <c r="C31" s="2" t="n">
        <v>10</v>
      </c>
      <c r="D31" s="2" t="inlineStr">
        <is>
          <t>2026-06-15</t>
        </is>
      </c>
      <c r="E31" s="9" t="n">
        <v>0.9375</v>
      </c>
      <c r="F31" s="2" t="n">
        <v>0</v>
      </c>
      <c r="G31" s="2" t="n">
        <v>0</v>
      </c>
      <c r="H31" s="9" t="n">
        <v>0.9375</v>
      </c>
      <c r="I31" s="4" t="n">
        <v>0</v>
      </c>
      <c r="J31" s="4" t="n">
        <v>0</v>
      </c>
      <c r="K31" s="4" t="n">
        <v>32.81</v>
      </c>
      <c r="L31" s="4" t="n">
        <v>32.81</v>
      </c>
    </row>
    <row r="32">
      <c r="A32" s="2" t="inlineStr">
        <is>
          <t>2026-06</t>
        </is>
      </c>
      <c r="B32" s="2" t="inlineStr">
        <is>
          <t>US</t>
        </is>
      </c>
      <c r="C32" s="2" t="n">
        <v>11</v>
      </c>
      <c r="D32" s="2" t="inlineStr">
        <is>
          <t>2026-06-22</t>
        </is>
      </c>
      <c r="E32" s="9" t="n">
        <v>16.608438</v>
      </c>
      <c r="F32" s="2" t="n">
        <v>0</v>
      </c>
      <c r="G32" s="2" t="n">
        <v>1</v>
      </c>
      <c r="H32" s="9" t="n">
        <v>0</v>
      </c>
      <c r="I32" s="4" t="n">
        <v>0</v>
      </c>
      <c r="J32" s="4" t="n">
        <v>3000</v>
      </c>
      <c r="K32" s="4" t="n">
        <v>0</v>
      </c>
      <c r="L32" s="4" t="n">
        <v>3000</v>
      </c>
    </row>
    <row r="33">
      <c r="A33" s="2" t="inlineStr">
        <is>
          <t>2026-06</t>
        </is>
      </c>
      <c r="B33" s="2" t="inlineStr">
        <is>
          <t>UK</t>
        </is>
      </c>
      <c r="C33" s="2" t="n">
        <v>11</v>
      </c>
      <c r="D33" s="2" t="inlineStr">
        <is>
          <t>2026-06-22</t>
        </is>
      </c>
      <c r="E33" s="9" t="n">
        <v>25</v>
      </c>
      <c r="F33" s="2" t="n">
        <v>0</v>
      </c>
      <c r="G33" s="2" t="n">
        <v>0</v>
      </c>
      <c r="H33" s="9" t="n">
        <v>25</v>
      </c>
      <c r="I33" s="4" t="n">
        <v>0</v>
      </c>
      <c r="J33" s="4" t="n">
        <v>0</v>
      </c>
      <c r="K33" s="4" t="n">
        <v>1750</v>
      </c>
      <c r="L33" s="4" t="n">
        <v>1750</v>
      </c>
    </row>
    <row r="34">
      <c r="A34" s="2" t="inlineStr">
        <is>
          <t>2026-06</t>
        </is>
      </c>
      <c r="B34" s="2" t="inlineStr">
        <is>
          <t>AU</t>
        </is>
      </c>
      <c r="C34" s="2" t="n">
        <v>11</v>
      </c>
      <c r="D34" s="2" t="inlineStr">
        <is>
          <t>2026-06-22</t>
        </is>
      </c>
      <c r="E34" s="9" t="n">
        <v>0</v>
      </c>
      <c r="F34" s="2" t="n">
        <v>0</v>
      </c>
      <c r="G34" s="2" t="n">
        <v>0</v>
      </c>
      <c r="H34" s="9" t="n">
        <v>0</v>
      </c>
      <c r="I34" s="4" t="n">
        <v>0</v>
      </c>
      <c r="J34" s="4" t="n">
        <v>0</v>
      </c>
      <c r="K34" s="4" t="n">
        <v>0</v>
      </c>
      <c r="L34" s="4" t="n">
        <v>0</v>
      </c>
    </row>
    <row r="35">
      <c r="A35" s="2" t="inlineStr">
        <is>
          <t>2026-06</t>
        </is>
      </c>
      <c r="B35" s="2" t="inlineStr">
        <is>
          <t>US</t>
        </is>
      </c>
      <c r="C35" s="2" t="n">
        <v>12</v>
      </c>
      <c r="D35" s="2" t="inlineStr">
        <is>
          <t>2026-06-29</t>
        </is>
      </c>
      <c r="E35" s="9" t="n">
        <v>36.985</v>
      </c>
      <c r="F35" s="2" t="n">
        <v>0</v>
      </c>
      <c r="G35" s="2" t="n">
        <v>1</v>
      </c>
      <c r="H35" s="9" t="n">
        <v>8.984999999999999</v>
      </c>
      <c r="I35" s="4" t="n">
        <v>0</v>
      </c>
      <c r="J35" s="4" t="n">
        <v>3000</v>
      </c>
      <c r="K35" s="4" t="n">
        <v>1797</v>
      </c>
      <c r="L35" s="4" t="n">
        <v>4797</v>
      </c>
    </row>
    <row r="36">
      <c r="A36" s="2" t="inlineStr">
        <is>
          <t>2026-06</t>
        </is>
      </c>
      <c r="B36" s="2" t="inlineStr">
        <is>
          <t>UK</t>
        </is>
      </c>
      <c r="C36" s="2" t="n">
        <v>12</v>
      </c>
      <c r="D36" s="2" t="inlineStr">
        <is>
          <t>2026-06-29</t>
        </is>
      </c>
      <c r="E36" s="9" t="n">
        <v>13.28125</v>
      </c>
      <c r="F36" s="2" t="n">
        <v>0</v>
      </c>
      <c r="G36" s="2" t="n">
        <v>0</v>
      </c>
      <c r="H36" s="9" t="n">
        <v>13.28125</v>
      </c>
      <c r="I36" s="4" t="n">
        <v>0</v>
      </c>
      <c r="J36" s="4" t="n">
        <v>0</v>
      </c>
      <c r="K36" s="4" t="n">
        <v>929.6900000000001</v>
      </c>
      <c r="L36" s="4" t="n">
        <v>929.6900000000001</v>
      </c>
    </row>
    <row r="37">
      <c r="A37" s="2" t="inlineStr">
        <is>
          <t>2026-06</t>
        </is>
      </c>
      <c r="B37" s="2" t="inlineStr">
        <is>
          <t>AU</t>
        </is>
      </c>
      <c r="C37" s="2" t="n">
        <v>12</v>
      </c>
      <c r="D37" s="2" t="inlineStr">
        <is>
          <t>2026-06-29</t>
        </is>
      </c>
      <c r="E37" s="9" t="n">
        <v>2.1875</v>
      </c>
      <c r="F37" s="2" t="n">
        <v>0</v>
      </c>
      <c r="G37" s="2" t="n">
        <v>0</v>
      </c>
      <c r="H37" s="9" t="n">
        <v>2.1875</v>
      </c>
      <c r="I37" s="4" t="n">
        <v>0</v>
      </c>
      <c r="J37" s="4" t="n">
        <v>0</v>
      </c>
      <c r="K37" s="4" t="n">
        <v>76.56</v>
      </c>
      <c r="L37" s="4" t="n">
        <v>76.56</v>
      </c>
    </row>
    <row r="38">
      <c r="A38" s="2" t="inlineStr">
        <is>
          <t>2026-07</t>
        </is>
      </c>
      <c r="B38" s="2" t="inlineStr">
        <is>
          <t>US</t>
        </is>
      </c>
      <c r="C38" s="2" t="n">
        <v>13</v>
      </c>
      <c r="D38" s="2" t="inlineStr">
        <is>
          <t>2026-07-06</t>
        </is>
      </c>
      <c r="E38" s="9" t="n">
        <v>37.365625</v>
      </c>
      <c r="F38" s="2" t="n">
        <v>0</v>
      </c>
      <c r="G38" s="2" t="n">
        <v>1</v>
      </c>
      <c r="H38" s="9" t="n">
        <v>9.365625</v>
      </c>
      <c r="I38" s="4" t="n">
        <v>0</v>
      </c>
      <c r="J38" s="4" t="n">
        <v>3000</v>
      </c>
      <c r="K38" s="4" t="n">
        <v>1873.12</v>
      </c>
      <c r="L38" s="4" t="n">
        <v>4873.12</v>
      </c>
    </row>
    <row r="39">
      <c r="A39" s="2" t="inlineStr">
        <is>
          <t>2026-07</t>
        </is>
      </c>
      <c r="B39" s="2" t="inlineStr">
        <is>
          <t>UK</t>
        </is>
      </c>
      <c r="C39" s="2" t="n">
        <v>13</v>
      </c>
      <c r="D39" s="2" t="inlineStr">
        <is>
          <t>2026-07-06</t>
        </is>
      </c>
      <c r="E39" s="9" t="n">
        <v>13.28125</v>
      </c>
      <c r="F39" s="2" t="n">
        <v>0</v>
      </c>
      <c r="G39" s="2" t="n">
        <v>0</v>
      </c>
      <c r="H39" s="9" t="n">
        <v>13.28125</v>
      </c>
      <c r="I39" s="4" t="n">
        <v>0</v>
      </c>
      <c r="J39" s="4" t="n">
        <v>0</v>
      </c>
      <c r="K39" s="4" t="n">
        <v>929.6900000000001</v>
      </c>
      <c r="L39" s="4" t="n">
        <v>929.6900000000001</v>
      </c>
    </row>
    <row r="40">
      <c r="A40" s="2" t="inlineStr">
        <is>
          <t>2026-07</t>
        </is>
      </c>
      <c r="B40" s="2" t="inlineStr">
        <is>
          <t>AU</t>
        </is>
      </c>
      <c r="C40" s="2" t="n">
        <v>13</v>
      </c>
      <c r="D40" s="2" t="inlineStr">
        <is>
          <t>2026-07-06</t>
        </is>
      </c>
      <c r="E40" s="9" t="n">
        <v>0.9375</v>
      </c>
      <c r="F40" s="2" t="n">
        <v>0</v>
      </c>
      <c r="G40" s="2" t="n">
        <v>0</v>
      </c>
      <c r="H40" s="9" t="n">
        <v>0.9375</v>
      </c>
      <c r="I40" s="4" t="n">
        <v>0</v>
      </c>
      <c r="J40" s="4" t="n">
        <v>0</v>
      </c>
      <c r="K40" s="4" t="n">
        <v>32.81</v>
      </c>
      <c r="L40" s="4" t="n">
        <v>32.81</v>
      </c>
    </row>
    <row r="41">
      <c r="A41" s="2" t="inlineStr">
        <is>
          <t>2026-07</t>
        </is>
      </c>
      <c r="B41" s="2" t="inlineStr">
        <is>
          <t>US</t>
        </is>
      </c>
      <c r="C41" s="2" t="n">
        <v>14</v>
      </c>
      <c r="D41" s="2" t="inlineStr">
        <is>
          <t>2026-07-13</t>
        </is>
      </c>
      <c r="E41" s="9" t="n">
        <v>30.448125</v>
      </c>
      <c r="F41" s="2" t="n">
        <v>0</v>
      </c>
      <c r="G41" s="2" t="n">
        <v>1</v>
      </c>
      <c r="H41" s="9" t="n">
        <v>2.448125</v>
      </c>
      <c r="I41" s="4" t="n">
        <v>0</v>
      </c>
      <c r="J41" s="4" t="n">
        <v>3000</v>
      </c>
      <c r="K41" s="4" t="n">
        <v>489.62</v>
      </c>
      <c r="L41" s="4" t="n">
        <v>3489.62</v>
      </c>
    </row>
    <row r="42">
      <c r="A42" s="2" t="inlineStr">
        <is>
          <t>2026-07</t>
        </is>
      </c>
      <c r="B42" s="2" t="inlineStr">
        <is>
          <t>UK</t>
        </is>
      </c>
      <c r="C42" s="2" t="n">
        <v>14</v>
      </c>
      <c r="D42" s="2" t="inlineStr">
        <is>
          <t>2026-07-13</t>
        </is>
      </c>
      <c r="E42" s="9" t="n">
        <v>13.28125</v>
      </c>
      <c r="F42" s="2" t="n">
        <v>0</v>
      </c>
      <c r="G42" s="2" t="n">
        <v>0</v>
      </c>
      <c r="H42" s="9" t="n">
        <v>13.28125</v>
      </c>
      <c r="I42" s="4" t="n">
        <v>0</v>
      </c>
      <c r="J42" s="4" t="n">
        <v>0</v>
      </c>
      <c r="K42" s="4" t="n">
        <v>929.6900000000001</v>
      </c>
      <c r="L42" s="4" t="n">
        <v>929.6900000000001</v>
      </c>
    </row>
    <row r="43">
      <c r="A43" s="2" t="inlineStr">
        <is>
          <t>2026-07</t>
        </is>
      </c>
      <c r="B43" s="2" t="inlineStr">
        <is>
          <t>AU</t>
        </is>
      </c>
      <c r="C43" s="2" t="n">
        <v>14</v>
      </c>
      <c r="D43" s="2" t="inlineStr">
        <is>
          <t>2026-07-13</t>
        </is>
      </c>
      <c r="E43" s="9" t="n">
        <v>0.9375</v>
      </c>
      <c r="F43" s="2" t="n">
        <v>0</v>
      </c>
      <c r="G43" s="2" t="n">
        <v>0</v>
      </c>
      <c r="H43" s="9" t="n">
        <v>0.9375</v>
      </c>
      <c r="I43" s="4" t="n">
        <v>0</v>
      </c>
      <c r="J43" s="4" t="n">
        <v>0</v>
      </c>
      <c r="K43" s="4" t="n">
        <v>32.81</v>
      </c>
      <c r="L43" s="4" t="n">
        <v>32.81</v>
      </c>
    </row>
    <row r="44">
      <c r="A44" s="2" t="inlineStr">
        <is>
          <t>2026-07</t>
        </is>
      </c>
      <c r="B44" s="2" t="inlineStr">
        <is>
          <t>US</t>
        </is>
      </c>
      <c r="C44" s="2" t="n">
        <v>15</v>
      </c>
      <c r="D44" s="2" t="inlineStr">
        <is>
          <t>2026-07-20</t>
        </is>
      </c>
      <c r="E44" s="9" t="n">
        <v>24.530625</v>
      </c>
      <c r="F44" s="2" t="n">
        <v>0</v>
      </c>
      <c r="G44" s="2" t="n">
        <v>1</v>
      </c>
      <c r="H44" s="9" t="n">
        <v>0</v>
      </c>
      <c r="I44" s="4" t="n">
        <v>0</v>
      </c>
      <c r="J44" s="4" t="n">
        <v>3000</v>
      </c>
      <c r="K44" s="4" t="n">
        <v>0</v>
      </c>
      <c r="L44" s="4" t="n">
        <v>3000</v>
      </c>
    </row>
    <row r="45">
      <c r="A45" s="2" t="inlineStr">
        <is>
          <t>2026-07</t>
        </is>
      </c>
      <c r="B45" s="2" t="inlineStr">
        <is>
          <t>UK</t>
        </is>
      </c>
      <c r="C45" s="2" t="n">
        <v>15</v>
      </c>
      <c r="D45" s="2" t="inlineStr">
        <is>
          <t>2026-07-20</t>
        </is>
      </c>
      <c r="E45" s="9" t="n">
        <v>5</v>
      </c>
      <c r="F45" s="2" t="n">
        <v>0</v>
      </c>
      <c r="G45" s="2" t="n">
        <v>0</v>
      </c>
      <c r="H45" s="9" t="n">
        <v>5</v>
      </c>
      <c r="I45" s="4" t="n">
        <v>0</v>
      </c>
      <c r="J45" s="4" t="n">
        <v>0</v>
      </c>
      <c r="K45" s="4" t="n">
        <v>350</v>
      </c>
      <c r="L45" s="4" t="n">
        <v>350</v>
      </c>
    </row>
    <row r="46">
      <c r="A46" s="2" t="inlineStr">
        <is>
          <t>2026-07</t>
        </is>
      </c>
      <c r="B46" s="2" t="inlineStr">
        <is>
          <t>AU</t>
        </is>
      </c>
      <c r="C46" s="2" t="n">
        <v>15</v>
      </c>
      <c r="D46" s="2" t="inlineStr">
        <is>
          <t>2026-07-20</t>
        </is>
      </c>
      <c r="E46" s="9" t="n">
        <v>0.9375</v>
      </c>
      <c r="F46" s="2" t="n">
        <v>0</v>
      </c>
      <c r="G46" s="2" t="n">
        <v>0</v>
      </c>
      <c r="H46" s="9" t="n">
        <v>0.9375</v>
      </c>
      <c r="I46" s="4" t="n">
        <v>0</v>
      </c>
      <c r="J46" s="4" t="n">
        <v>0</v>
      </c>
      <c r="K46" s="4" t="n">
        <v>32.81</v>
      </c>
      <c r="L46" s="4" t="n">
        <v>32.81</v>
      </c>
    </row>
    <row r="47">
      <c r="A47" s="2" t="inlineStr">
        <is>
          <t>2026-07</t>
        </is>
      </c>
      <c r="B47" s="2" t="inlineStr">
        <is>
          <t>US</t>
        </is>
      </c>
      <c r="C47" s="2" t="n">
        <v>16</v>
      </c>
      <c r="D47" s="2" t="inlineStr">
        <is>
          <t>2026-07-27</t>
        </is>
      </c>
      <c r="E47" s="9" t="n">
        <v>37.96875</v>
      </c>
      <c r="F47" s="2" t="n">
        <v>0</v>
      </c>
      <c r="G47" s="2" t="n">
        <v>1</v>
      </c>
      <c r="H47" s="9" t="n">
        <v>9.96875</v>
      </c>
      <c r="I47" s="4" t="n">
        <v>0</v>
      </c>
      <c r="J47" s="4" t="n">
        <v>3000</v>
      </c>
      <c r="K47" s="4" t="n">
        <v>1993.75</v>
      </c>
      <c r="L47" s="4" t="n">
        <v>4993.75</v>
      </c>
    </row>
    <row r="48">
      <c r="A48" s="2" t="inlineStr">
        <is>
          <t>2026-07</t>
        </is>
      </c>
      <c r="B48" s="2" t="inlineStr">
        <is>
          <t>UK</t>
        </is>
      </c>
      <c r="C48" s="2" t="n">
        <v>16</v>
      </c>
      <c r="D48" s="2" t="inlineStr">
        <is>
          <t>2026-07-27</t>
        </is>
      </c>
      <c r="E48" s="9" t="n">
        <v>5</v>
      </c>
      <c r="F48" s="2" t="n">
        <v>0</v>
      </c>
      <c r="G48" s="2" t="n">
        <v>0</v>
      </c>
      <c r="H48" s="9" t="n">
        <v>5</v>
      </c>
      <c r="I48" s="4" t="n">
        <v>0</v>
      </c>
      <c r="J48" s="4" t="n">
        <v>0</v>
      </c>
      <c r="K48" s="4" t="n">
        <v>350</v>
      </c>
      <c r="L48" s="4" t="n">
        <v>350</v>
      </c>
    </row>
    <row r="49">
      <c r="A49" s="2" t="inlineStr">
        <is>
          <t>2026-07</t>
        </is>
      </c>
      <c r="B49" s="2" t="inlineStr">
        <is>
          <t>AU</t>
        </is>
      </c>
      <c r="C49" s="2" t="n">
        <v>16</v>
      </c>
      <c r="D49" s="2" t="inlineStr">
        <is>
          <t>2026-07-27</t>
        </is>
      </c>
      <c r="E49" s="9" t="n">
        <v>0</v>
      </c>
      <c r="F49" s="2" t="n">
        <v>0</v>
      </c>
      <c r="G49" s="2" t="n">
        <v>0</v>
      </c>
      <c r="H49" s="9" t="n">
        <v>0</v>
      </c>
      <c r="I49" s="4" t="n">
        <v>0</v>
      </c>
      <c r="J49" s="4" t="n">
        <v>0</v>
      </c>
      <c r="K49" s="4" t="n">
        <v>0</v>
      </c>
      <c r="L49" s="4" t="n">
        <v>0</v>
      </c>
    </row>
    <row r="50">
      <c r="A50" s="2" t="inlineStr">
        <is>
          <t>2026-08</t>
        </is>
      </c>
      <c r="B50" s="2" t="inlineStr">
        <is>
          <t>US</t>
        </is>
      </c>
      <c r="C50" s="2" t="n">
        <v>17</v>
      </c>
      <c r="D50" s="2" t="inlineStr">
        <is>
          <t>2026-08-03</t>
        </is>
      </c>
      <c r="E50" s="9" t="n">
        <v>38.773438</v>
      </c>
      <c r="F50" s="2" t="n">
        <v>0</v>
      </c>
      <c r="G50" s="2" t="n">
        <v>1</v>
      </c>
      <c r="H50" s="9" t="n">
        <v>10.773438</v>
      </c>
      <c r="I50" s="4" t="n">
        <v>0</v>
      </c>
      <c r="J50" s="4" t="n">
        <v>3000</v>
      </c>
      <c r="K50" s="4" t="n">
        <v>2154.69</v>
      </c>
      <c r="L50" s="4" t="n">
        <v>5154.69</v>
      </c>
    </row>
    <row r="51">
      <c r="A51" s="2" t="inlineStr">
        <is>
          <t>2026-08</t>
        </is>
      </c>
      <c r="B51" s="2" t="inlineStr">
        <is>
          <t>UK</t>
        </is>
      </c>
      <c r="C51" s="2" t="n">
        <v>17</v>
      </c>
      <c r="D51" s="2" t="inlineStr">
        <is>
          <t>2026-08-03</t>
        </is>
      </c>
      <c r="E51" s="9" t="n">
        <v>5.625</v>
      </c>
      <c r="F51" s="2" t="n">
        <v>0</v>
      </c>
      <c r="G51" s="2" t="n">
        <v>0</v>
      </c>
      <c r="H51" s="9" t="n">
        <v>5.625</v>
      </c>
      <c r="I51" s="4" t="n">
        <v>0</v>
      </c>
      <c r="J51" s="4" t="n">
        <v>0</v>
      </c>
      <c r="K51" s="4" t="n">
        <v>393.75</v>
      </c>
      <c r="L51" s="4" t="n">
        <v>393.75</v>
      </c>
    </row>
    <row r="52">
      <c r="A52" s="2" t="inlineStr">
        <is>
          <t>2026-08</t>
        </is>
      </c>
      <c r="B52" s="2" t="inlineStr">
        <is>
          <t>AU</t>
        </is>
      </c>
      <c r="C52" s="2" t="n">
        <v>17</v>
      </c>
      <c r="D52" s="2" t="inlineStr">
        <is>
          <t>2026-08-03</t>
        </is>
      </c>
      <c r="E52" s="9" t="n">
        <v>0</v>
      </c>
      <c r="F52" s="2" t="n">
        <v>0</v>
      </c>
      <c r="G52" s="2" t="n">
        <v>0</v>
      </c>
      <c r="H52" s="9" t="n">
        <v>0</v>
      </c>
      <c r="I52" s="4" t="n">
        <v>0</v>
      </c>
      <c r="J52" s="4" t="n">
        <v>0</v>
      </c>
      <c r="K52" s="4" t="n">
        <v>0</v>
      </c>
      <c r="L52" s="4" t="n">
        <v>0</v>
      </c>
    </row>
    <row r="53">
      <c r="A53" s="2" t="inlineStr">
        <is>
          <t>2026-08</t>
        </is>
      </c>
      <c r="B53" s="2" t="inlineStr">
        <is>
          <t>US</t>
        </is>
      </c>
      <c r="C53" s="2" t="n">
        <v>18</v>
      </c>
      <c r="D53" s="2" t="inlineStr">
        <is>
          <t>2026-08-10</t>
        </is>
      </c>
      <c r="E53" s="9" t="n">
        <v>15.643438</v>
      </c>
      <c r="F53" s="2" t="n">
        <v>0</v>
      </c>
      <c r="G53" s="2" t="n">
        <v>1</v>
      </c>
      <c r="H53" s="9" t="n">
        <v>0</v>
      </c>
      <c r="I53" s="4" t="n">
        <v>0</v>
      </c>
      <c r="J53" s="4" t="n">
        <v>3000</v>
      </c>
      <c r="K53" s="4" t="n">
        <v>0</v>
      </c>
      <c r="L53" s="4" t="n">
        <v>3000</v>
      </c>
    </row>
    <row r="54">
      <c r="A54" s="2" t="inlineStr">
        <is>
          <t>2026-08</t>
        </is>
      </c>
      <c r="B54" s="2" t="inlineStr">
        <is>
          <t>UK</t>
        </is>
      </c>
      <c r="C54" s="2" t="n">
        <v>18</v>
      </c>
      <c r="D54" s="2" t="inlineStr">
        <is>
          <t>2026-08-10</t>
        </is>
      </c>
      <c r="E54" s="9" t="n">
        <v>5</v>
      </c>
      <c r="F54" s="2" t="n">
        <v>0</v>
      </c>
      <c r="G54" s="2" t="n">
        <v>0</v>
      </c>
      <c r="H54" s="9" t="n">
        <v>5</v>
      </c>
      <c r="I54" s="4" t="n">
        <v>0</v>
      </c>
      <c r="J54" s="4" t="n">
        <v>0</v>
      </c>
      <c r="K54" s="4" t="n">
        <v>350</v>
      </c>
      <c r="L54" s="4" t="n">
        <v>350</v>
      </c>
    </row>
    <row r="55">
      <c r="A55" s="2" t="inlineStr">
        <is>
          <t>2026-08</t>
        </is>
      </c>
      <c r="B55" s="2" t="inlineStr">
        <is>
          <t>AU</t>
        </is>
      </c>
      <c r="C55" s="2" t="n">
        <v>18</v>
      </c>
      <c r="D55" s="2" t="inlineStr">
        <is>
          <t>2026-08-10</t>
        </is>
      </c>
      <c r="E55" s="9" t="n">
        <v>0.9375</v>
      </c>
      <c r="F55" s="2" t="n">
        <v>0</v>
      </c>
      <c r="G55" s="2" t="n">
        <v>0</v>
      </c>
      <c r="H55" s="9" t="n">
        <v>0.9375</v>
      </c>
      <c r="I55" s="4" t="n">
        <v>0</v>
      </c>
      <c r="J55" s="4" t="n">
        <v>0</v>
      </c>
      <c r="K55" s="4" t="n">
        <v>32.81</v>
      </c>
      <c r="L55" s="4" t="n">
        <v>32.81</v>
      </c>
    </row>
    <row r="56">
      <c r="A56" s="2" t="inlineStr">
        <is>
          <t>2026-08</t>
        </is>
      </c>
      <c r="B56" s="2" t="inlineStr">
        <is>
          <t>US</t>
        </is>
      </c>
      <c r="C56" s="2" t="n">
        <v>19</v>
      </c>
      <c r="D56" s="2" t="inlineStr">
        <is>
          <t>2026-08-17</t>
        </is>
      </c>
      <c r="E56" s="9" t="n">
        <v>15.643438</v>
      </c>
      <c r="F56" s="2" t="n">
        <v>0</v>
      </c>
      <c r="G56" s="2" t="n">
        <v>1</v>
      </c>
      <c r="H56" s="9" t="n">
        <v>0</v>
      </c>
      <c r="I56" s="4" t="n">
        <v>0</v>
      </c>
      <c r="J56" s="4" t="n">
        <v>3000</v>
      </c>
      <c r="K56" s="4" t="n">
        <v>0</v>
      </c>
      <c r="L56" s="4" t="n">
        <v>3000</v>
      </c>
    </row>
    <row r="57">
      <c r="A57" s="2" t="inlineStr">
        <is>
          <t>2026-08</t>
        </is>
      </c>
      <c r="B57" s="2" t="inlineStr">
        <is>
          <t>UK</t>
        </is>
      </c>
      <c r="C57" s="2" t="n">
        <v>19</v>
      </c>
      <c r="D57" s="2" t="inlineStr">
        <is>
          <t>2026-08-17</t>
        </is>
      </c>
      <c r="E57" s="9" t="n">
        <v>5</v>
      </c>
      <c r="F57" s="2" t="n">
        <v>0</v>
      </c>
      <c r="G57" s="2" t="n">
        <v>0</v>
      </c>
      <c r="H57" s="9" t="n">
        <v>5</v>
      </c>
      <c r="I57" s="4" t="n">
        <v>0</v>
      </c>
      <c r="J57" s="4" t="n">
        <v>0</v>
      </c>
      <c r="K57" s="4" t="n">
        <v>350</v>
      </c>
      <c r="L57" s="4" t="n">
        <v>350</v>
      </c>
    </row>
    <row r="58">
      <c r="A58" s="2" t="inlineStr">
        <is>
          <t>2026-08</t>
        </is>
      </c>
      <c r="B58" s="2" t="inlineStr">
        <is>
          <t>AU</t>
        </is>
      </c>
      <c r="C58" s="2" t="n">
        <v>19</v>
      </c>
      <c r="D58" s="2" t="inlineStr">
        <is>
          <t>2026-08-17</t>
        </is>
      </c>
      <c r="E58" s="9" t="n">
        <v>0</v>
      </c>
      <c r="F58" s="2" t="n">
        <v>0</v>
      </c>
      <c r="G58" s="2" t="n">
        <v>0</v>
      </c>
      <c r="H58" s="9" t="n">
        <v>0</v>
      </c>
      <c r="I58" s="4" t="n">
        <v>0</v>
      </c>
      <c r="J58" s="4" t="n">
        <v>0</v>
      </c>
      <c r="K58" s="4" t="n">
        <v>0</v>
      </c>
      <c r="L58" s="4" t="n">
        <v>0</v>
      </c>
    </row>
    <row r="59">
      <c r="A59" s="2" t="inlineStr">
        <is>
          <t>2026-08</t>
        </is>
      </c>
      <c r="B59" s="2" t="inlineStr">
        <is>
          <t>US</t>
        </is>
      </c>
      <c r="C59" s="2" t="n">
        <v>20</v>
      </c>
      <c r="D59" s="2" t="inlineStr">
        <is>
          <t>2026-08-24</t>
        </is>
      </c>
      <c r="E59" s="9" t="n">
        <v>17.969062</v>
      </c>
      <c r="F59" s="2" t="n">
        <v>0</v>
      </c>
      <c r="G59" s="2" t="n">
        <v>1</v>
      </c>
      <c r="H59" s="9" t="n">
        <v>0</v>
      </c>
      <c r="I59" s="4" t="n">
        <v>0</v>
      </c>
      <c r="J59" s="4" t="n">
        <v>3000</v>
      </c>
      <c r="K59" s="4" t="n">
        <v>0</v>
      </c>
      <c r="L59" s="4" t="n">
        <v>3000</v>
      </c>
    </row>
    <row r="60">
      <c r="A60" s="2" t="inlineStr">
        <is>
          <t>2026-08</t>
        </is>
      </c>
      <c r="B60" s="2" t="inlineStr">
        <is>
          <t>UK</t>
        </is>
      </c>
      <c r="C60" s="2" t="n">
        <v>20</v>
      </c>
      <c r="D60" s="2" t="inlineStr">
        <is>
          <t>2026-08-24</t>
        </is>
      </c>
      <c r="E60" s="9" t="n">
        <v>4.375</v>
      </c>
      <c r="F60" s="2" t="n">
        <v>0</v>
      </c>
      <c r="G60" s="2" t="n">
        <v>0</v>
      </c>
      <c r="H60" s="9" t="n">
        <v>4.375</v>
      </c>
      <c r="I60" s="4" t="n">
        <v>0</v>
      </c>
      <c r="J60" s="4" t="n">
        <v>0</v>
      </c>
      <c r="K60" s="4" t="n">
        <v>306.25</v>
      </c>
      <c r="L60" s="4" t="n">
        <v>306.25</v>
      </c>
    </row>
    <row r="61">
      <c r="A61" s="2" t="inlineStr">
        <is>
          <t>2026-08</t>
        </is>
      </c>
      <c r="B61" s="2" t="inlineStr">
        <is>
          <t>AU</t>
        </is>
      </c>
      <c r="C61" s="2" t="n">
        <v>20</v>
      </c>
      <c r="D61" s="2" t="inlineStr">
        <is>
          <t>2026-08-24</t>
        </is>
      </c>
      <c r="E61" s="9" t="n">
        <v>0</v>
      </c>
      <c r="F61" s="2" t="n">
        <v>0</v>
      </c>
      <c r="G61" s="2" t="n">
        <v>0</v>
      </c>
      <c r="H61" s="9" t="n">
        <v>0</v>
      </c>
      <c r="I61" s="4" t="n">
        <v>0</v>
      </c>
      <c r="J61" s="4" t="n">
        <v>0</v>
      </c>
      <c r="K61" s="4" t="n">
        <v>0</v>
      </c>
      <c r="L61" s="4" t="n">
        <v>0</v>
      </c>
    </row>
    <row r="62">
      <c r="A62" s="2" t="inlineStr">
        <is>
          <t>2026-08</t>
        </is>
      </c>
      <c r="B62" s="2" t="inlineStr">
        <is>
          <t>US</t>
        </is>
      </c>
      <c r="C62" s="2" t="n">
        <v>21</v>
      </c>
      <c r="D62" s="2" t="inlineStr">
        <is>
          <t>2026-08-31</t>
        </is>
      </c>
      <c r="E62" s="9" t="n">
        <v>17.959063</v>
      </c>
      <c r="F62" s="2" t="n">
        <v>0</v>
      </c>
      <c r="G62" s="2" t="n">
        <v>1</v>
      </c>
      <c r="H62" s="9" t="n">
        <v>0</v>
      </c>
      <c r="I62" s="4" t="n">
        <v>0</v>
      </c>
      <c r="J62" s="4" t="n">
        <v>3000</v>
      </c>
      <c r="K62" s="4" t="n">
        <v>0</v>
      </c>
      <c r="L62" s="4" t="n">
        <v>3000</v>
      </c>
    </row>
    <row r="63">
      <c r="A63" s="2" t="inlineStr">
        <is>
          <t>2026-08</t>
        </is>
      </c>
      <c r="B63" s="2" t="inlineStr">
        <is>
          <t>UK</t>
        </is>
      </c>
      <c r="C63" s="2" t="n">
        <v>21</v>
      </c>
      <c r="D63" s="2" t="inlineStr">
        <is>
          <t>2026-08-31</t>
        </is>
      </c>
      <c r="E63" s="9" t="n">
        <v>3.75</v>
      </c>
      <c r="F63" s="2" t="n">
        <v>0</v>
      </c>
      <c r="G63" s="2" t="n">
        <v>0</v>
      </c>
      <c r="H63" s="9" t="n">
        <v>3.75</v>
      </c>
      <c r="I63" s="4" t="n">
        <v>0</v>
      </c>
      <c r="J63" s="4" t="n">
        <v>0</v>
      </c>
      <c r="K63" s="4" t="n">
        <v>262.5</v>
      </c>
      <c r="L63" s="4" t="n">
        <v>262.5</v>
      </c>
    </row>
    <row r="64">
      <c r="A64" s="2" t="inlineStr">
        <is>
          <t>2026-08</t>
        </is>
      </c>
      <c r="B64" s="2" t="inlineStr">
        <is>
          <t>AU</t>
        </is>
      </c>
      <c r="C64" s="2" t="n">
        <v>21</v>
      </c>
      <c r="D64" s="2" t="inlineStr">
        <is>
          <t>2026-08-31</t>
        </is>
      </c>
      <c r="E64" s="9" t="n">
        <v>0.9375</v>
      </c>
      <c r="F64" s="2" t="n">
        <v>0</v>
      </c>
      <c r="G64" s="2" t="n">
        <v>0</v>
      </c>
      <c r="H64" s="9" t="n">
        <v>0.9375</v>
      </c>
      <c r="I64" s="4" t="n">
        <v>0</v>
      </c>
      <c r="J64" s="4" t="n">
        <v>0</v>
      </c>
      <c r="K64" s="4" t="n">
        <v>32.81</v>
      </c>
      <c r="L64" s="4" t="n">
        <v>32.81</v>
      </c>
    </row>
    <row r="65">
      <c r="A65" s="2" t="inlineStr">
        <is>
          <t>2026-09</t>
        </is>
      </c>
      <c r="B65" s="2" t="inlineStr">
        <is>
          <t>US</t>
        </is>
      </c>
      <c r="C65" s="2" t="n">
        <v>22</v>
      </c>
      <c r="D65" s="2" t="inlineStr">
        <is>
          <t>2026-09-07</t>
        </is>
      </c>
      <c r="E65" s="9" t="n">
        <v>13.319063</v>
      </c>
      <c r="F65" s="2" t="n">
        <v>0</v>
      </c>
      <c r="G65" s="2" t="n">
        <v>0</v>
      </c>
      <c r="H65" s="9" t="n">
        <v>13.319063</v>
      </c>
      <c r="I65" s="4" t="n">
        <v>0</v>
      </c>
      <c r="J65" s="4" t="n">
        <v>0</v>
      </c>
      <c r="K65" s="4" t="n">
        <v>2663.81</v>
      </c>
      <c r="L65" s="4" t="n">
        <v>2663.81</v>
      </c>
    </row>
    <row r="66">
      <c r="A66" s="2" t="inlineStr">
        <is>
          <t>2026-09</t>
        </is>
      </c>
      <c r="B66" s="2" t="inlineStr">
        <is>
          <t>UK</t>
        </is>
      </c>
      <c r="C66" s="2" t="n">
        <v>22</v>
      </c>
      <c r="D66" s="2" t="inlineStr">
        <is>
          <t>2026-09-07</t>
        </is>
      </c>
      <c r="E66" s="9" t="n">
        <v>4.375</v>
      </c>
      <c r="F66" s="2" t="n">
        <v>0</v>
      </c>
      <c r="G66" s="2" t="n">
        <v>0</v>
      </c>
      <c r="H66" s="9" t="n">
        <v>4.375</v>
      </c>
      <c r="I66" s="4" t="n">
        <v>0</v>
      </c>
      <c r="J66" s="4" t="n">
        <v>0</v>
      </c>
      <c r="K66" s="4" t="n">
        <v>306.25</v>
      </c>
      <c r="L66" s="4" t="n">
        <v>306.25</v>
      </c>
    </row>
    <row r="67">
      <c r="A67" s="2" t="inlineStr">
        <is>
          <t>2026-09</t>
        </is>
      </c>
      <c r="B67" s="2" t="inlineStr">
        <is>
          <t>AU</t>
        </is>
      </c>
      <c r="C67" s="2" t="n">
        <v>22</v>
      </c>
      <c r="D67" s="2" t="inlineStr">
        <is>
          <t>2026-09-07</t>
        </is>
      </c>
      <c r="E67" s="9" t="n">
        <v>0</v>
      </c>
      <c r="F67" s="2" t="n">
        <v>0</v>
      </c>
      <c r="G67" s="2" t="n">
        <v>0</v>
      </c>
      <c r="H67" s="9" t="n">
        <v>0</v>
      </c>
      <c r="I67" s="4" t="n">
        <v>0</v>
      </c>
      <c r="J67" s="4" t="n">
        <v>0</v>
      </c>
      <c r="K67" s="4" t="n">
        <v>0</v>
      </c>
      <c r="L67" s="4" t="n">
        <v>0</v>
      </c>
    </row>
    <row r="68">
      <c r="A68" s="2" t="inlineStr">
        <is>
          <t>2026-09</t>
        </is>
      </c>
      <c r="B68" s="2" t="inlineStr">
        <is>
          <t>US</t>
        </is>
      </c>
      <c r="C68" s="2" t="n">
        <v>23</v>
      </c>
      <c r="D68" s="2" t="inlineStr">
        <is>
          <t>2026-09-14</t>
        </is>
      </c>
      <c r="E68" s="9" t="n">
        <v>13.475313</v>
      </c>
      <c r="F68" s="2" t="n">
        <v>0</v>
      </c>
      <c r="G68" s="2" t="n">
        <v>0</v>
      </c>
      <c r="H68" s="9" t="n">
        <v>13.475313</v>
      </c>
      <c r="I68" s="4" t="n">
        <v>0</v>
      </c>
      <c r="J68" s="4" t="n">
        <v>0</v>
      </c>
      <c r="K68" s="4" t="n">
        <v>2695.06</v>
      </c>
      <c r="L68" s="4" t="n">
        <v>2695.06</v>
      </c>
    </row>
    <row r="69">
      <c r="A69" s="2" t="inlineStr">
        <is>
          <t>2026-09</t>
        </is>
      </c>
      <c r="B69" s="2" t="inlineStr">
        <is>
          <t>UK</t>
        </is>
      </c>
      <c r="C69" s="2" t="n">
        <v>23</v>
      </c>
      <c r="D69" s="2" t="inlineStr">
        <is>
          <t>2026-09-14</t>
        </is>
      </c>
      <c r="E69" s="9" t="n">
        <v>3.75</v>
      </c>
      <c r="F69" s="2" t="n">
        <v>0</v>
      </c>
      <c r="G69" s="2" t="n">
        <v>0</v>
      </c>
      <c r="H69" s="9" t="n">
        <v>3.75</v>
      </c>
      <c r="I69" s="4" t="n">
        <v>0</v>
      </c>
      <c r="J69" s="4" t="n">
        <v>0</v>
      </c>
      <c r="K69" s="4" t="n">
        <v>262.5</v>
      </c>
      <c r="L69" s="4" t="n">
        <v>262.5</v>
      </c>
    </row>
    <row r="70">
      <c r="A70" s="2" t="inlineStr">
        <is>
          <t>2026-09</t>
        </is>
      </c>
      <c r="B70" s="2" t="inlineStr">
        <is>
          <t>AU</t>
        </is>
      </c>
      <c r="C70" s="2" t="n">
        <v>23</v>
      </c>
      <c r="D70" s="2" t="inlineStr">
        <is>
          <t>2026-09-14</t>
        </is>
      </c>
      <c r="E70" s="9" t="n">
        <v>0</v>
      </c>
      <c r="F70" s="2" t="n">
        <v>0</v>
      </c>
      <c r="G70" s="2" t="n">
        <v>0</v>
      </c>
      <c r="H70" s="9" t="n">
        <v>0</v>
      </c>
      <c r="I70" s="4" t="n">
        <v>0</v>
      </c>
      <c r="J70" s="4" t="n">
        <v>0</v>
      </c>
      <c r="K70" s="4" t="n">
        <v>0</v>
      </c>
      <c r="L70" s="4" t="n">
        <v>0</v>
      </c>
    </row>
    <row r="71">
      <c r="A71" s="2" t="inlineStr">
        <is>
          <t>2026-09</t>
        </is>
      </c>
      <c r="B71" s="2" t="inlineStr">
        <is>
          <t>US</t>
        </is>
      </c>
      <c r="C71" s="2" t="n">
        <v>24</v>
      </c>
      <c r="D71" s="2" t="inlineStr">
        <is>
          <t>2026-09-21</t>
        </is>
      </c>
      <c r="E71" s="9" t="n">
        <v>27.100313</v>
      </c>
      <c r="F71" s="2" t="n">
        <v>0</v>
      </c>
      <c r="G71" s="2" t="n">
        <v>1</v>
      </c>
      <c r="H71" s="9" t="n">
        <v>0</v>
      </c>
      <c r="I71" s="4" t="n">
        <v>0</v>
      </c>
      <c r="J71" s="4" t="n">
        <v>3000</v>
      </c>
      <c r="K71" s="4" t="n">
        <v>0</v>
      </c>
      <c r="L71" s="4" t="n">
        <v>3000</v>
      </c>
    </row>
    <row r="72">
      <c r="A72" s="2" t="inlineStr">
        <is>
          <t>2026-09</t>
        </is>
      </c>
      <c r="B72" s="2" t="inlineStr">
        <is>
          <t>UK</t>
        </is>
      </c>
      <c r="C72" s="2" t="n">
        <v>24</v>
      </c>
      <c r="D72" s="2" t="inlineStr">
        <is>
          <t>2026-09-21</t>
        </is>
      </c>
      <c r="E72" s="9" t="n">
        <v>3.5625</v>
      </c>
      <c r="F72" s="2" t="n">
        <v>0</v>
      </c>
      <c r="G72" s="2" t="n">
        <v>0</v>
      </c>
      <c r="H72" s="9" t="n">
        <v>3.5625</v>
      </c>
      <c r="I72" s="4" t="n">
        <v>0</v>
      </c>
      <c r="J72" s="4" t="n">
        <v>0</v>
      </c>
      <c r="K72" s="4" t="n">
        <v>249.38</v>
      </c>
      <c r="L72" s="4" t="n">
        <v>249.38</v>
      </c>
    </row>
    <row r="73">
      <c r="A73" s="2" t="inlineStr">
        <is>
          <t>2026-09</t>
        </is>
      </c>
      <c r="B73" s="2" t="inlineStr">
        <is>
          <t>AU</t>
        </is>
      </c>
      <c r="C73" s="2" t="n">
        <v>24</v>
      </c>
      <c r="D73" s="2" t="inlineStr">
        <is>
          <t>2026-09-21</t>
        </is>
      </c>
      <c r="E73" s="9" t="n">
        <v>0</v>
      </c>
      <c r="F73" s="2" t="n">
        <v>0</v>
      </c>
      <c r="G73" s="2" t="n">
        <v>0</v>
      </c>
      <c r="H73" s="9" t="n">
        <v>0</v>
      </c>
      <c r="I73" s="4" t="n">
        <v>0</v>
      </c>
      <c r="J73" s="4" t="n">
        <v>0</v>
      </c>
      <c r="K73" s="4" t="n">
        <v>0</v>
      </c>
      <c r="L73" s="4" t="n">
        <v>0</v>
      </c>
    </row>
    <row r="74">
      <c r="A74" s="2" t="inlineStr">
        <is>
          <t>2026-09</t>
        </is>
      </c>
      <c r="B74" s="2" t="inlineStr">
        <is>
          <t>US</t>
        </is>
      </c>
      <c r="C74" s="2" t="n">
        <v>25</v>
      </c>
      <c r="D74" s="2" t="inlineStr">
        <is>
          <t>2026-09-28</t>
        </is>
      </c>
      <c r="E74" s="9" t="n">
        <v>29.10625</v>
      </c>
      <c r="F74" s="2" t="n">
        <v>0</v>
      </c>
      <c r="G74" s="2" t="n">
        <v>1</v>
      </c>
      <c r="H74" s="9" t="n">
        <v>1.10625</v>
      </c>
      <c r="I74" s="4" t="n">
        <v>0</v>
      </c>
      <c r="J74" s="4" t="n">
        <v>3000</v>
      </c>
      <c r="K74" s="4" t="n">
        <v>221.25</v>
      </c>
      <c r="L74" s="4" t="n">
        <v>3221.25</v>
      </c>
    </row>
    <row r="75">
      <c r="A75" s="2" t="inlineStr">
        <is>
          <t>2026-09</t>
        </is>
      </c>
      <c r="B75" s="2" t="inlineStr">
        <is>
          <t>UK</t>
        </is>
      </c>
      <c r="C75" s="2" t="n">
        <v>25</v>
      </c>
      <c r="D75" s="2" t="inlineStr">
        <is>
          <t>2026-09-28</t>
        </is>
      </c>
      <c r="E75" s="9" t="n">
        <v>3.5625</v>
      </c>
      <c r="F75" s="2" t="n">
        <v>0</v>
      </c>
      <c r="G75" s="2" t="n">
        <v>0</v>
      </c>
      <c r="H75" s="9" t="n">
        <v>3.5625</v>
      </c>
      <c r="I75" s="4" t="n">
        <v>0</v>
      </c>
      <c r="J75" s="4" t="n">
        <v>0</v>
      </c>
      <c r="K75" s="4" t="n">
        <v>249.38</v>
      </c>
      <c r="L75" s="4" t="n">
        <v>249.38</v>
      </c>
    </row>
    <row r="76">
      <c r="A76" s="2" t="inlineStr">
        <is>
          <t>2026-09</t>
        </is>
      </c>
      <c r="B76" s="2" t="inlineStr">
        <is>
          <t>AU</t>
        </is>
      </c>
      <c r="C76" s="2" t="n">
        <v>25</v>
      </c>
      <c r="D76" s="2" t="inlineStr">
        <is>
          <t>2026-09-28</t>
        </is>
      </c>
      <c r="E76" s="9" t="n">
        <v>0.9375</v>
      </c>
      <c r="F76" s="2" t="n">
        <v>0</v>
      </c>
      <c r="G76" s="2" t="n">
        <v>0</v>
      </c>
      <c r="H76" s="9" t="n">
        <v>0.9375</v>
      </c>
      <c r="I76" s="4" t="n">
        <v>0</v>
      </c>
      <c r="J76" s="4" t="n">
        <v>0</v>
      </c>
      <c r="K76" s="4" t="n">
        <v>32.81</v>
      </c>
      <c r="L76" s="4" t="n">
        <v>32.81</v>
      </c>
    </row>
    <row r="77">
      <c r="A77" s="2" t="inlineStr">
        <is>
          <t>2026-10</t>
        </is>
      </c>
      <c r="B77" s="2" t="inlineStr">
        <is>
          <t>US</t>
        </is>
      </c>
      <c r="C77" s="2" t="n">
        <v>26</v>
      </c>
      <c r="D77" s="2" t="inlineStr">
        <is>
          <t>2026-10-05</t>
        </is>
      </c>
      <c r="E77" s="9" t="n">
        <v>37.5</v>
      </c>
      <c r="F77" s="2" t="n">
        <v>0</v>
      </c>
      <c r="G77" s="2" t="n">
        <v>1</v>
      </c>
      <c r="H77" s="9" t="n">
        <v>9.5</v>
      </c>
      <c r="I77" s="4" t="n">
        <v>0</v>
      </c>
      <c r="J77" s="4" t="n">
        <v>3000</v>
      </c>
      <c r="K77" s="4" t="n">
        <v>1900</v>
      </c>
      <c r="L77" s="4" t="n">
        <v>4900</v>
      </c>
    </row>
    <row r="78">
      <c r="A78" s="2" t="inlineStr">
        <is>
          <t>2026-10</t>
        </is>
      </c>
      <c r="B78" s="2" t="inlineStr">
        <is>
          <t>UK</t>
        </is>
      </c>
      <c r="C78" s="2" t="n">
        <v>26</v>
      </c>
      <c r="D78" s="2" t="inlineStr">
        <is>
          <t>2026-10-05</t>
        </is>
      </c>
      <c r="E78" s="9" t="n">
        <v>3.5625</v>
      </c>
      <c r="F78" s="2" t="n">
        <v>0</v>
      </c>
      <c r="G78" s="2" t="n">
        <v>0</v>
      </c>
      <c r="H78" s="9" t="n">
        <v>3.5625</v>
      </c>
      <c r="I78" s="4" t="n">
        <v>0</v>
      </c>
      <c r="J78" s="4" t="n">
        <v>0</v>
      </c>
      <c r="K78" s="4" t="n">
        <v>249.38</v>
      </c>
      <c r="L78" s="4" t="n">
        <v>249.38</v>
      </c>
    </row>
    <row r="79">
      <c r="A79" s="2" t="inlineStr">
        <is>
          <t>2026-10</t>
        </is>
      </c>
      <c r="B79" s="2" t="inlineStr">
        <is>
          <t>AU</t>
        </is>
      </c>
      <c r="C79" s="2" t="n">
        <v>26</v>
      </c>
      <c r="D79" s="2" t="inlineStr">
        <is>
          <t>2026-10-05</t>
        </is>
      </c>
      <c r="E79" s="9" t="n">
        <v>0</v>
      </c>
      <c r="F79" s="2" t="n">
        <v>0</v>
      </c>
      <c r="G79" s="2" t="n">
        <v>0</v>
      </c>
      <c r="H79" s="9" t="n">
        <v>0</v>
      </c>
      <c r="I79" s="4" t="n">
        <v>0</v>
      </c>
      <c r="J79" s="4" t="n">
        <v>0</v>
      </c>
      <c r="K79" s="4" t="n">
        <v>0</v>
      </c>
      <c r="L79" s="4" t="n">
        <v>0</v>
      </c>
    </row>
    <row r="80">
      <c r="A80" s="2" t="inlineStr">
        <is>
          <t>2026-10</t>
        </is>
      </c>
      <c r="B80" s="2" t="inlineStr">
        <is>
          <t>US</t>
        </is>
      </c>
      <c r="C80" s="2" t="n">
        <v>27</v>
      </c>
      <c r="D80" s="2" t="inlineStr">
        <is>
          <t>2026-10-12</t>
        </is>
      </c>
      <c r="E80" s="9" t="n">
        <v>38.914062</v>
      </c>
      <c r="F80" s="2" t="n">
        <v>0</v>
      </c>
      <c r="G80" s="2" t="n">
        <v>1</v>
      </c>
      <c r="H80" s="9" t="n">
        <v>10.914062</v>
      </c>
      <c r="I80" s="4" t="n">
        <v>0</v>
      </c>
      <c r="J80" s="4" t="n">
        <v>3000</v>
      </c>
      <c r="K80" s="4" t="n">
        <v>2182.81</v>
      </c>
      <c r="L80" s="4" t="n">
        <v>5182.81</v>
      </c>
    </row>
    <row r="81">
      <c r="A81" s="2" t="inlineStr">
        <is>
          <t>2026-10</t>
        </is>
      </c>
      <c r="B81" s="2" t="inlineStr">
        <is>
          <t>UK</t>
        </is>
      </c>
      <c r="C81" s="2" t="n">
        <v>27</v>
      </c>
      <c r="D81" s="2" t="inlineStr">
        <is>
          <t>2026-10-12</t>
        </is>
      </c>
      <c r="E81" s="9" t="n">
        <v>3.5625</v>
      </c>
      <c r="F81" s="2" t="n">
        <v>0</v>
      </c>
      <c r="G81" s="2" t="n">
        <v>0</v>
      </c>
      <c r="H81" s="9" t="n">
        <v>3.5625</v>
      </c>
      <c r="I81" s="4" t="n">
        <v>0</v>
      </c>
      <c r="J81" s="4" t="n">
        <v>0</v>
      </c>
      <c r="K81" s="4" t="n">
        <v>249.38</v>
      </c>
      <c r="L81" s="4" t="n">
        <v>249.38</v>
      </c>
    </row>
    <row r="82">
      <c r="A82" s="2" t="inlineStr">
        <is>
          <t>2026-10</t>
        </is>
      </c>
      <c r="B82" s="2" t="inlineStr">
        <is>
          <t>AU</t>
        </is>
      </c>
      <c r="C82" s="2" t="n">
        <v>27</v>
      </c>
      <c r="D82" s="2" t="inlineStr">
        <is>
          <t>2026-10-12</t>
        </is>
      </c>
      <c r="E82" s="9" t="n">
        <v>0</v>
      </c>
      <c r="F82" s="2" t="n">
        <v>0</v>
      </c>
      <c r="G82" s="2" t="n">
        <v>0</v>
      </c>
      <c r="H82" s="9" t="n">
        <v>0</v>
      </c>
      <c r="I82" s="4" t="n">
        <v>0</v>
      </c>
      <c r="J82" s="4" t="n">
        <v>0</v>
      </c>
      <c r="K82" s="4" t="n">
        <v>0</v>
      </c>
      <c r="L82" s="4" t="n">
        <v>0</v>
      </c>
    </row>
    <row r="83">
      <c r="A83" s="2" t="inlineStr">
        <is>
          <t>2026-10</t>
        </is>
      </c>
      <c r="B83" s="2" t="inlineStr">
        <is>
          <t>US</t>
        </is>
      </c>
      <c r="C83" s="2" t="n">
        <v>28</v>
      </c>
      <c r="D83" s="2" t="inlineStr">
        <is>
          <t>2026-10-19</t>
        </is>
      </c>
      <c r="E83" s="9" t="n">
        <v>38.914062</v>
      </c>
      <c r="F83" s="2" t="n">
        <v>0</v>
      </c>
      <c r="G83" s="2" t="n">
        <v>1</v>
      </c>
      <c r="H83" s="9" t="n">
        <v>10.914062</v>
      </c>
      <c r="I83" s="4" t="n">
        <v>0</v>
      </c>
      <c r="J83" s="4" t="n">
        <v>3000</v>
      </c>
      <c r="K83" s="4" t="n">
        <v>2182.81</v>
      </c>
      <c r="L83" s="4" t="n">
        <v>5182.81</v>
      </c>
    </row>
    <row r="84">
      <c r="A84" s="2" t="inlineStr">
        <is>
          <t>2026-10</t>
        </is>
      </c>
      <c r="B84" s="2" t="inlineStr">
        <is>
          <t>UK</t>
        </is>
      </c>
      <c r="C84" s="2" t="n">
        <v>28</v>
      </c>
      <c r="D84" s="2" t="inlineStr">
        <is>
          <t>2026-10-19</t>
        </is>
      </c>
      <c r="E84" s="9" t="n">
        <v>3.5625</v>
      </c>
      <c r="F84" s="2" t="n">
        <v>0</v>
      </c>
      <c r="G84" s="2" t="n">
        <v>0</v>
      </c>
      <c r="H84" s="9" t="n">
        <v>3.5625</v>
      </c>
      <c r="I84" s="4" t="n">
        <v>0</v>
      </c>
      <c r="J84" s="4" t="n">
        <v>0</v>
      </c>
      <c r="K84" s="4" t="n">
        <v>249.38</v>
      </c>
      <c r="L84" s="4" t="n">
        <v>249.38</v>
      </c>
    </row>
    <row r="85">
      <c r="A85" s="2" t="inlineStr">
        <is>
          <t>2026-10</t>
        </is>
      </c>
      <c r="B85" s="2" t="inlineStr">
        <is>
          <t>AU</t>
        </is>
      </c>
      <c r="C85" s="2" t="n">
        <v>28</v>
      </c>
      <c r="D85" s="2" t="inlineStr">
        <is>
          <t>2026-10-19</t>
        </is>
      </c>
      <c r="E85" s="9" t="n">
        <v>0</v>
      </c>
      <c r="F85" s="2" t="n">
        <v>0</v>
      </c>
      <c r="G85" s="2" t="n">
        <v>0</v>
      </c>
      <c r="H85" s="9" t="n">
        <v>0</v>
      </c>
      <c r="I85" s="4" t="n">
        <v>0</v>
      </c>
      <c r="J85" s="4" t="n">
        <v>0</v>
      </c>
      <c r="K85" s="4" t="n">
        <v>0</v>
      </c>
      <c r="L85" s="4" t="n">
        <v>0</v>
      </c>
    </row>
    <row r="86">
      <c r="A86" s="2" t="inlineStr">
        <is>
          <t>2026-10</t>
        </is>
      </c>
      <c r="B86" s="2" t="inlineStr">
        <is>
          <t>US</t>
        </is>
      </c>
      <c r="C86" s="2" t="n">
        <v>29</v>
      </c>
      <c r="D86" s="2" t="inlineStr">
        <is>
          <t>2026-10-26</t>
        </is>
      </c>
      <c r="E86" s="9" t="n">
        <v>38.914062</v>
      </c>
      <c r="F86" s="2" t="n">
        <v>0</v>
      </c>
      <c r="G86" s="2" t="n">
        <v>1</v>
      </c>
      <c r="H86" s="9" t="n">
        <v>10.914062</v>
      </c>
      <c r="I86" s="4" t="n">
        <v>0</v>
      </c>
      <c r="J86" s="4" t="n">
        <v>3000</v>
      </c>
      <c r="K86" s="4" t="n">
        <v>2182.81</v>
      </c>
      <c r="L86" s="4" t="n">
        <v>5182.81</v>
      </c>
    </row>
    <row r="87">
      <c r="A87" s="2" t="inlineStr">
        <is>
          <t>2026-10</t>
        </is>
      </c>
      <c r="B87" s="2" t="inlineStr">
        <is>
          <t>UK</t>
        </is>
      </c>
      <c r="C87" s="2" t="n">
        <v>29</v>
      </c>
      <c r="D87" s="2" t="inlineStr">
        <is>
          <t>2026-10-26</t>
        </is>
      </c>
      <c r="E87" s="9" t="n">
        <v>4.0625</v>
      </c>
      <c r="F87" s="2" t="n">
        <v>0</v>
      </c>
      <c r="G87" s="2" t="n">
        <v>0</v>
      </c>
      <c r="H87" s="9" t="n">
        <v>4.0625</v>
      </c>
      <c r="I87" s="4" t="n">
        <v>0</v>
      </c>
      <c r="J87" s="4" t="n">
        <v>0</v>
      </c>
      <c r="K87" s="4" t="n">
        <v>284.38</v>
      </c>
      <c r="L87" s="4" t="n">
        <v>284.38</v>
      </c>
    </row>
    <row r="88">
      <c r="A88" s="2" t="inlineStr">
        <is>
          <t>2026-10</t>
        </is>
      </c>
      <c r="B88" s="2" t="inlineStr">
        <is>
          <t>AU</t>
        </is>
      </c>
      <c r="C88" s="2" t="n">
        <v>29</v>
      </c>
      <c r="D88" s="2" t="inlineStr">
        <is>
          <t>2026-10-26</t>
        </is>
      </c>
      <c r="E88" s="9" t="n">
        <v>0</v>
      </c>
      <c r="F88" s="2" t="n">
        <v>0</v>
      </c>
      <c r="G88" s="2" t="n">
        <v>0</v>
      </c>
      <c r="H88" s="9" t="n">
        <v>0</v>
      </c>
      <c r="I88" s="4" t="n">
        <v>0</v>
      </c>
      <c r="J88" s="4" t="n">
        <v>0</v>
      </c>
      <c r="K88" s="4" t="n">
        <v>0</v>
      </c>
      <c r="L88" s="4" t="n">
        <v>0</v>
      </c>
    </row>
    <row r="89">
      <c r="A89" s="2" t="inlineStr">
        <is>
          <t>2026-11</t>
        </is>
      </c>
      <c r="B89" s="2" t="inlineStr">
        <is>
          <t>US</t>
        </is>
      </c>
      <c r="C89" s="2" t="n">
        <v>30</v>
      </c>
      <c r="D89" s="2" t="inlineStr">
        <is>
          <t>2026-11-02</t>
        </is>
      </c>
      <c r="E89" s="9" t="n">
        <v>22.1975</v>
      </c>
      <c r="F89" s="2" t="n">
        <v>0</v>
      </c>
      <c r="G89" s="2" t="n">
        <v>1</v>
      </c>
      <c r="H89" s="9" t="n">
        <v>0</v>
      </c>
      <c r="I89" s="4" t="n">
        <v>0</v>
      </c>
      <c r="J89" s="4" t="n">
        <v>3000</v>
      </c>
      <c r="K89" s="4" t="n">
        <v>0</v>
      </c>
      <c r="L89" s="4" t="n">
        <v>3000</v>
      </c>
    </row>
    <row r="90">
      <c r="A90" s="2" t="inlineStr">
        <is>
          <t>2026-11</t>
        </is>
      </c>
      <c r="B90" s="2" t="inlineStr">
        <is>
          <t>UK</t>
        </is>
      </c>
      <c r="C90" s="2" t="n">
        <v>30</v>
      </c>
      <c r="D90" s="2" t="inlineStr">
        <is>
          <t>2026-11-02</t>
        </is>
      </c>
      <c r="E90" s="9" t="n">
        <v>4.0625</v>
      </c>
      <c r="F90" s="2" t="n">
        <v>0</v>
      </c>
      <c r="G90" s="2" t="n">
        <v>0</v>
      </c>
      <c r="H90" s="9" t="n">
        <v>4.0625</v>
      </c>
      <c r="I90" s="4" t="n">
        <v>0</v>
      </c>
      <c r="J90" s="4" t="n">
        <v>0</v>
      </c>
      <c r="K90" s="4" t="n">
        <v>284.38</v>
      </c>
      <c r="L90" s="4" t="n">
        <v>284.38</v>
      </c>
    </row>
    <row r="91">
      <c r="A91" s="2" t="inlineStr">
        <is>
          <t>2026-11</t>
        </is>
      </c>
      <c r="B91" s="2" t="inlineStr">
        <is>
          <t>AU</t>
        </is>
      </c>
      <c r="C91" s="2" t="n">
        <v>30</v>
      </c>
      <c r="D91" s="2" t="inlineStr">
        <is>
          <t>2026-11-02</t>
        </is>
      </c>
      <c r="E91" s="9" t="n">
        <v>0.9375</v>
      </c>
      <c r="F91" s="2" t="n">
        <v>0</v>
      </c>
      <c r="G91" s="2" t="n">
        <v>0</v>
      </c>
      <c r="H91" s="9" t="n">
        <v>0.9375</v>
      </c>
      <c r="I91" s="4" t="n">
        <v>0</v>
      </c>
      <c r="J91" s="4" t="n">
        <v>0</v>
      </c>
      <c r="K91" s="4" t="n">
        <v>32.81</v>
      </c>
      <c r="L91" s="4" t="n">
        <v>32.81</v>
      </c>
    </row>
    <row r="92">
      <c r="A92" s="2" t="inlineStr">
        <is>
          <t>2026-11</t>
        </is>
      </c>
      <c r="B92" s="2" t="inlineStr">
        <is>
          <t>US</t>
        </is>
      </c>
      <c r="C92" s="2" t="n">
        <v>31</v>
      </c>
      <c r="D92" s="2" t="inlineStr">
        <is>
          <t>2026-11-09</t>
        </is>
      </c>
      <c r="E92" s="9" t="n">
        <v>22.1975</v>
      </c>
      <c r="F92" s="2" t="n">
        <v>0</v>
      </c>
      <c r="G92" s="2" t="n">
        <v>1</v>
      </c>
      <c r="H92" s="9" t="n">
        <v>0</v>
      </c>
      <c r="I92" s="4" t="n">
        <v>0</v>
      </c>
      <c r="J92" s="4" t="n">
        <v>3000</v>
      </c>
      <c r="K92" s="4" t="n">
        <v>0</v>
      </c>
      <c r="L92" s="4" t="n">
        <v>3000</v>
      </c>
    </row>
    <row r="93">
      <c r="A93" s="2" t="inlineStr">
        <is>
          <t>2026-11</t>
        </is>
      </c>
      <c r="B93" s="2" t="inlineStr">
        <is>
          <t>UK</t>
        </is>
      </c>
      <c r="C93" s="2" t="n">
        <v>31</v>
      </c>
      <c r="D93" s="2" t="inlineStr">
        <is>
          <t>2026-11-09</t>
        </is>
      </c>
      <c r="E93" s="9" t="n">
        <v>4.0625</v>
      </c>
      <c r="F93" s="2" t="n">
        <v>0</v>
      </c>
      <c r="G93" s="2" t="n">
        <v>0</v>
      </c>
      <c r="H93" s="9" t="n">
        <v>4.0625</v>
      </c>
      <c r="I93" s="4" t="n">
        <v>0</v>
      </c>
      <c r="J93" s="4" t="n">
        <v>0</v>
      </c>
      <c r="K93" s="4" t="n">
        <v>284.38</v>
      </c>
      <c r="L93" s="4" t="n">
        <v>284.38</v>
      </c>
    </row>
    <row r="94">
      <c r="A94" s="2" t="inlineStr">
        <is>
          <t>2026-11</t>
        </is>
      </c>
      <c r="B94" s="2" t="inlineStr">
        <is>
          <t>AU</t>
        </is>
      </c>
      <c r="C94" s="2" t="n">
        <v>31</v>
      </c>
      <c r="D94" s="2" t="inlineStr">
        <is>
          <t>2026-11-09</t>
        </is>
      </c>
      <c r="E94" s="9" t="n">
        <v>0</v>
      </c>
      <c r="F94" s="2" t="n">
        <v>0</v>
      </c>
      <c r="G94" s="2" t="n">
        <v>0</v>
      </c>
      <c r="H94" s="9" t="n">
        <v>0</v>
      </c>
      <c r="I94" s="4" t="n">
        <v>0</v>
      </c>
      <c r="J94" s="4" t="n">
        <v>0</v>
      </c>
      <c r="K94" s="4" t="n">
        <v>0</v>
      </c>
      <c r="L94" s="4" t="n">
        <v>0</v>
      </c>
    </row>
    <row r="95">
      <c r="A95" s="2" t="inlineStr">
        <is>
          <t>2026-11</t>
        </is>
      </c>
      <c r="B95" s="2" t="inlineStr">
        <is>
          <t>US</t>
        </is>
      </c>
      <c r="C95" s="2" t="n">
        <v>32</v>
      </c>
      <c r="D95" s="2" t="inlineStr">
        <is>
          <t>2026-11-16</t>
        </is>
      </c>
      <c r="E95" s="9" t="n">
        <v>22.1975</v>
      </c>
      <c r="F95" s="2" t="n">
        <v>0</v>
      </c>
      <c r="G95" s="2" t="n">
        <v>1</v>
      </c>
      <c r="H95" s="9" t="n">
        <v>0</v>
      </c>
      <c r="I95" s="4" t="n">
        <v>0</v>
      </c>
      <c r="J95" s="4" t="n">
        <v>3000</v>
      </c>
      <c r="K95" s="4" t="n">
        <v>0</v>
      </c>
      <c r="L95" s="4" t="n">
        <v>3000</v>
      </c>
    </row>
    <row r="96">
      <c r="A96" s="2" t="inlineStr">
        <is>
          <t>2026-11</t>
        </is>
      </c>
      <c r="B96" s="2" t="inlineStr">
        <is>
          <t>UK</t>
        </is>
      </c>
      <c r="C96" s="2" t="n">
        <v>32</v>
      </c>
      <c r="D96" s="2" t="inlineStr">
        <is>
          <t>2026-11-16</t>
        </is>
      </c>
      <c r="E96" s="9" t="n">
        <v>4.0625</v>
      </c>
      <c r="F96" s="2" t="n">
        <v>0</v>
      </c>
      <c r="G96" s="2" t="n">
        <v>0</v>
      </c>
      <c r="H96" s="9" t="n">
        <v>4.0625</v>
      </c>
      <c r="I96" s="4" t="n">
        <v>0</v>
      </c>
      <c r="J96" s="4" t="n">
        <v>0</v>
      </c>
      <c r="K96" s="4" t="n">
        <v>284.38</v>
      </c>
      <c r="L96" s="4" t="n">
        <v>284.38</v>
      </c>
    </row>
    <row r="97">
      <c r="A97" s="2" t="inlineStr">
        <is>
          <t>2026-11</t>
        </is>
      </c>
      <c r="B97" s="2" t="inlineStr">
        <is>
          <t>AU</t>
        </is>
      </c>
      <c r="C97" s="2" t="n">
        <v>32</v>
      </c>
      <c r="D97" s="2" t="inlineStr">
        <is>
          <t>2026-11-16</t>
        </is>
      </c>
      <c r="E97" s="9" t="n">
        <v>0</v>
      </c>
      <c r="F97" s="2" t="n">
        <v>0</v>
      </c>
      <c r="G97" s="2" t="n">
        <v>0</v>
      </c>
      <c r="H97" s="9" t="n">
        <v>0</v>
      </c>
      <c r="I97" s="4" t="n">
        <v>0</v>
      </c>
      <c r="J97" s="4" t="n">
        <v>0</v>
      </c>
      <c r="K97" s="4" t="n">
        <v>0</v>
      </c>
      <c r="L97" s="4" t="n">
        <v>0</v>
      </c>
    </row>
    <row r="98">
      <c r="A98" s="2" t="inlineStr">
        <is>
          <t>2026-11</t>
        </is>
      </c>
      <c r="B98" s="2" t="inlineStr">
        <is>
          <t>US</t>
        </is>
      </c>
      <c r="C98" s="2" t="n">
        <v>33</v>
      </c>
      <c r="D98" s="2" t="inlineStr">
        <is>
          <t>2026-11-23</t>
        </is>
      </c>
      <c r="E98" s="9" t="n">
        <v>22.1975</v>
      </c>
      <c r="F98" s="2" t="n">
        <v>0</v>
      </c>
      <c r="G98" s="2" t="n">
        <v>1</v>
      </c>
      <c r="H98" s="9" t="n">
        <v>0</v>
      </c>
      <c r="I98" s="4" t="n">
        <v>0</v>
      </c>
      <c r="J98" s="4" t="n">
        <v>3000</v>
      </c>
      <c r="K98" s="4" t="n">
        <v>0</v>
      </c>
      <c r="L98" s="4" t="n">
        <v>3000</v>
      </c>
    </row>
    <row r="99">
      <c r="A99" s="2" t="inlineStr">
        <is>
          <t>2026-11</t>
        </is>
      </c>
      <c r="B99" s="2" t="inlineStr">
        <is>
          <t>UK</t>
        </is>
      </c>
      <c r="C99" s="2" t="n">
        <v>33</v>
      </c>
      <c r="D99" s="2" t="inlineStr">
        <is>
          <t>2026-11-23</t>
        </is>
      </c>
      <c r="E99" s="9" t="n">
        <v>16.95625</v>
      </c>
      <c r="F99" s="2" t="n">
        <v>0</v>
      </c>
      <c r="G99" s="2" t="n">
        <v>0</v>
      </c>
      <c r="H99" s="9" t="n">
        <v>16.95625</v>
      </c>
      <c r="I99" s="4" t="n">
        <v>0</v>
      </c>
      <c r="J99" s="4" t="n">
        <v>0</v>
      </c>
      <c r="K99" s="4" t="n">
        <v>1186.94</v>
      </c>
      <c r="L99" s="4" t="n">
        <v>1186.94</v>
      </c>
    </row>
    <row r="100">
      <c r="A100" s="2" t="inlineStr">
        <is>
          <t>2026-11</t>
        </is>
      </c>
      <c r="B100" s="2" t="inlineStr">
        <is>
          <t>AU</t>
        </is>
      </c>
      <c r="C100" s="2" t="n">
        <v>33</v>
      </c>
      <c r="D100" s="2" t="inlineStr">
        <is>
          <t>2026-11-23</t>
        </is>
      </c>
      <c r="E100" s="9" t="n">
        <v>0</v>
      </c>
      <c r="F100" s="2" t="n">
        <v>0</v>
      </c>
      <c r="G100" s="2" t="n">
        <v>0</v>
      </c>
      <c r="H100" s="9" t="n">
        <v>0</v>
      </c>
      <c r="I100" s="4" t="n">
        <v>0</v>
      </c>
      <c r="J100" s="4" t="n">
        <v>0</v>
      </c>
      <c r="K100" s="4" t="n">
        <v>0</v>
      </c>
      <c r="L100" s="4" t="n">
        <v>0</v>
      </c>
    </row>
    <row r="101">
      <c r="A101" s="2" t="inlineStr">
        <is>
          <t>2026-11</t>
        </is>
      </c>
      <c r="B101" s="2" t="inlineStr">
        <is>
          <t>US</t>
        </is>
      </c>
      <c r="C101" s="2" t="n">
        <v>34</v>
      </c>
      <c r="D101" s="2" t="inlineStr">
        <is>
          <t>2026-11-30</t>
        </is>
      </c>
      <c r="E101" s="9" t="n">
        <v>22.361563</v>
      </c>
      <c r="F101" s="2" t="n">
        <v>0</v>
      </c>
      <c r="G101" s="2" t="n">
        <v>1</v>
      </c>
      <c r="H101" s="9" t="n">
        <v>0</v>
      </c>
      <c r="I101" s="4" t="n">
        <v>0</v>
      </c>
      <c r="J101" s="4" t="n">
        <v>3000</v>
      </c>
      <c r="K101" s="4" t="n">
        <v>0</v>
      </c>
      <c r="L101" s="4" t="n">
        <v>3000</v>
      </c>
    </row>
    <row r="102">
      <c r="A102" s="2" t="inlineStr">
        <is>
          <t>2026-11</t>
        </is>
      </c>
      <c r="B102" s="2" t="inlineStr">
        <is>
          <t>UK</t>
        </is>
      </c>
      <c r="C102" s="2" t="n">
        <v>34</v>
      </c>
      <c r="D102" s="2" t="inlineStr">
        <is>
          <t>2026-11-30</t>
        </is>
      </c>
      <c r="E102" s="9" t="n">
        <v>16.95625</v>
      </c>
      <c r="F102" s="2" t="n">
        <v>0</v>
      </c>
      <c r="G102" s="2" t="n">
        <v>0</v>
      </c>
      <c r="H102" s="9" t="n">
        <v>16.95625</v>
      </c>
      <c r="I102" s="4" t="n">
        <v>0</v>
      </c>
      <c r="J102" s="4" t="n">
        <v>0</v>
      </c>
      <c r="K102" s="4" t="n">
        <v>1186.94</v>
      </c>
      <c r="L102" s="4" t="n">
        <v>1186.94</v>
      </c>
    </row>
    <row r="103">
      <c r="A103" s="2" t="inlineStr">
        <is>
          <t>2026-11</t>
        </is>
      </c>
      <c r="B103" s="2" t="inlineStr">
        <is>
          <t>AU</t>
        </is>
      </c>
      <c r="C103" s="2" t="n">
        <v>34</v>
      </c>
      <c r="D103" s="2" t="inlineStr">
        <is>
          <t>2026-11-30</t>
        </is>
      </c>
      <c r="E103" s="9" t="n">
        <v>0.9375</v>
      </c>
      <c r="F103" s="2" t="n">
        <v>0</v>
      </c>
      <c r="G103" s="2" t="n">
        <v>0</v>
      </c>
      <c r="H103" s="9" t="n">
        <v>0.9375</v>
      </c>
      <c r="I103" s="4" t="n">
        <v>0</v>
      </c>
      <c r="J103" s="4" t="n">
        <v>0</v>
      </c>
      <c r="K103" s="4" t="n">
        <v>32.81</v>
      </c>
      <c r="L103" s="4" t="n">
        <v>32.81</v>
      </c>
    </row>
    <row r="104">
      <c r="A104" s="2" t="inlineStr">
        <is>
          <t>2026-12</t>
        </is>
      </c>
      <c r="B104" s="2" t="inlineStr">
        <is>
          <t>US</t>
        </is>
      </c>
      <c r="C104" s="2" t="n">
        <v>35</v>
      </c>
      <c r="D104" s="2" t="inlineStr">
        <is>
          <t>2026-12-07</t>
        </is>
      </c>
      <c r="E104" s="9" t="n">
        <v>32.479375</v>
      </c>
      <c r="F104" s="2" t="n">
        <v>0</v>
      </c>
      <c r="G104" s="2" t="n">
        <v>1</v>
      </c>
      <c r="H104" s="9" t="n">
        <v>4.48125</v>
      </c>
      <c r="I104" s="4" t="n">
        <v>0</v>
      </c>
      <c r="J104" s="4" t="n">
        <v>3000</v>
      </c>
      <c r="K104" s="4" t="n">
        <v>896.25</v>
      </c>
      <c r="L104" s="4" t="n">
        <v>3896.25</v>
      </c>
    </row>
    <row r="105">
      <c r="A105" s="2" t="inlineStr">
        <is>
          <t>2026-12</t>
        </is>
      </c>
      <c r="B105" s="2" t="inlineStr">
        <is>
          <t>UK</t>
        </is>
      </c>
      <c r="C105" s="2" t="n">
        <v>35</v>
      </c>
      <c r="D105" s="2" t="inlineStr">
        <is>
          <t>2026-12-07</t>
        </is>
      </c>
      <c r="E105" s="9" t="n">
        <v>16.95625</v>
      </c>
      <c r="F105" s="2" t="n">
        <v>0</v>
      </c>
      <c r="G105" s="2" t="n">
        <v>0</v>
      </c>
      <c r="H105" s="9" t="n">
        <v>16.95625</v>
      </c>
      <c r="I105" s="4" t="n">
        <v>0</v>
      </c>
      <c r="J105" s="4" t="n">
        <v>0</v>
      </c>
      <c r="K105" s="4" t="n">
        <v>1186.94</v>
      </c>
      <c r="L105" s="4" t="n">
        <v>1186.94</v>
      </c>
    </row>
    <row r="106">
      <c r="A106" s="2" t="inlineStr">
        <is>
          <t>2026-12</t>
        </is>
      </c>
      <c r="B106" s="2" t="inlineStr">
        <is>
          <t>AU</t>
        </is>
      </c>
      <c r="C106" s="2" t="n">
        <v>35</v>
      </c>
      <c r="D106" s="2" t="inlineStr">
        <is>
          <t>2026-12-07</t>
        </is>
      </c>
      <c r="E106" s="9" t="n">
        <v>0</v>
      </c>
      <c r="F106" s="2" t="n">
        <v>0</v>
      </c>
      <c r="G106" s="2" t="n">
        <v>0</v>
      </c>
      <c r="H106" s="9" t="n">
        <v>0</v>
      </c>
      <c r="I106" s="4" t="n">
        <v>0</v>
      </c>
      <c r="J106" s="4" t="n">
        <v>0</v>
      </c>
      <c r="K106" s="4" t="n">
        <v>0</v>
      </c>
      <c r="L106" s="4" t="n">
        <v>0</v>
      </c>
    </row>
    <row r="107">
      <c r="A107" s="2" t="inlineStr">
        <is>
          <t>2026-12</t>
        </is>
      </c>
      <c r="B107" s="2" t="inlineStr">
        <is>
          <t>US</t>
        </is>
      </c>
      <c r="C107" s="2" t="n">
        <v>36</v>
      </c>
      <c r="D107" s="2" t="inlineStr">
        <is>
          <t>2026-12-14</t>
        </is>
      </c>
      <c r="E107" s="9" t="n">
        <v>32.471563</v>
      </c>
      <c r="F107" s="2" t="n">
        <v>0</v>
      </c>
      <c r="G107" s="2" t="n">
        <v>1</v>
      </c>
      <c r="H107" s="9" t="n">
        <v>4.471563</v>
      </c>
      <c r="I107" s="4" t="n">
        <v>0</v>
      </c>
      <c r="J107" s="4" t="n">
        <v>3000</v>
      </c>
      <c r="K107" s="4" t="n">
        <v>894.3099999999999</v>
      </c>
      <c r="L107" s="4" t="n">
        <v>3894.31</v>
      </c>
    </row>
    <row r="108">
      <c r="A108" s="2" t="inlineStr">
        <is>
          <t>2026-12</t>
        </is>
      </c>
      <c r="B108" s="2" t="inlineStr">
        <is>
          <t>UK</t>
        </is>
      </c>
      <c r="C108" s="2" t="n">
        <v>36</v>
      </c>
      <c r="D108" s="2" t="inlineStr">
        <is>
          <t>2026-12-14</t>
        </is>
      </c>
      <c r="E108" s="9" t="n">
        <v>16.95625</v>
      </c>
      <c r="F108" s="2" t="n">
        <v>0</v>
      </c>
      <c r="G108" s="2" t="n">
        <v>0</v>
      </c>
      <c r="H108" s="9" t="n">
        <v>16.95625</v>
      </c>
      <c r="I108" s="4" t="n">
        <v>0</v>
      </c>
      <c r="J108" s="4" t="n">
        <v>0</v>
      </c>
      <c r="K108" s="4" t="n">
        <v>1186.94</v>
      </c>
      <c r="L108" s="4" t="n">
        <v>1186.94</v>
      </c>
    </row>
    <row r="109">
      <c r="A109" s="2" t="inlineStr">
        <is>
          <t>2026-12</t>
        </is>
      </c>
      <c r="B109" s="2" t="inlineStr">
        <is>
          <t>AU</t>
        </is>
      </c>
      <c r="C109" s="2" t="n">
        <v>36</v>
      </c>
      <c r="D109" s="2" t="inlineStr">
        <is>
          <t>2026-12-14</t>
        </is>
      </c>
      <c r="E109" s="9" t="n">
        <v>0</v>
      </c>
      <c r="F109" s="2" t="n">
        <v>0</v>
      </c>
      <c r="G109" s="2" t="n">
        <v>0</v>
      </c>
      <c r="H109" s="9" t="n">
        <v>0</v>
      </c>
      <c r="I109" s="4" t="n">
        <v>0</v>
      </c>
      <c r="J109" s="4" t="n">
        <v>0</v>
      </c>
      <c r="K109" s="4" t="n">
        <v>0</v>
      </c>
      <c r="L10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2" customWidth="1" min="4" max="4"/>
    <col width="21" customWidth="1" min="5" max="5"/>
    <col width="16" customWidth="1" min="6" max="6"/>
    <col width="16" customWidth="1" min="7" max="7"/>
    <col width="17" customWidth="1" min="8" max="8"/>
    <col width="13" customWidth="1" min="9" max="9"/>
  </cols>
  <sheetData>
    <row r="1">
      <c r="A1" s="10" t="inlineStr">
        <is>
          <t>Market</t>
        </is>
      </c>
      <c r="B1" s="10" t="inlineStr">
        <is>
          <t>Total_CBM</t>
        </is>
      </c>
      <c r="C1" s="10" t="inlineStr">
        <is>
          <t>Total_n40</t>
        </is>
      </c>
      <c r="D1" s="10" t="inlineStr">
        <is>
          <t>Total_n20</t>
        </is>
      </c>
      <c r="E1" s="10" t="inlineStr">
        <is>
          <t>Total_LCL_CBM</t>
        </is>
      </c>
      <c r="F1" s="10" t="inlineStr">
        <is>
          <t>Total_Cost_40</t>
        </is>
      </c>
      <c r="G1" s="10" t="inlineStr">
        <is>
          <t>Total_Cost_20</t>
        </is>
      </c>
      <c r="H1" s="10" t="inlineStr">
        <is>
          <t>Total_Cost_LCL</t>
        </is>
      </c>
      <c r="I1" s="10" t="inlineStr">
        <is>
          <t>Total_Cost</t>
        </is>
      </c>
    </row>
    <row r="2">
      <c r="A2" s="2" t="inlineStr">
        <is>
          <t>AU</t>
        </is>
      </c>
      <c r="B2" s="2" t="n">
        <v>16.15625</v>
      </c>
      <c r="C2" s="2" t="n">
        <v>0</v>
      </c>
      <c r="D2" s="2" t="n">
        <v>0</v>
      </c>
      <c r="E2" s="2" t="n">
        <v>16.15625</v>
      </c>
      <c r="F2" s="4" t="n">
        <v>0</v>
      </c>
      <c r="G2" s="4" t="n">
        <v>0</v>
      </c>
      <c r="H2" s="4" t="n">
        <v>565.4400000000001</v>
      </c>
      <c r="I2" s="4" t="n">
        <v>565.4400000000001</v>
      </c>
    </row>
    <row r="3">
      <c r="A3" s="2" t="inlineStr">
        <is>
          <t>UK</t>
        </is>
      </c>
      <c r="B3" s="2" t="n">
        <v>446.06625</v>
      </c>
      <c r="C3" s="2" t="n">
        <v>0</v>
      </c>
      <c r="D3" s="2" t="n">
        <v>0</v>
      </c>
      <c r="E3" s="2" t="n">
        <v>446.06625</v>
      </c>
      <c r="F3" s="4" t="n">
        <v>0</v>
      </c>
      <c r="G3" s="4" t="n">
        <v>0</v>
      </c>
      <c r="H3" s="4" t="n">
        <v>31224.7</v>
      </c>
      <c r="I3" s="4" t="n">
        <v>31224.7</v>
      </c>
    </row>
    <row r="4">
      <c r="A4" s="2" t="inlineStr">
        <is>
          <t>US</t>
        </is>
      </c>
      <c r="B4" s="2" t="n">
        <v>1017.138755</v>
      </c>
      <c r="C4" s="2" t="n">
        <v>2</v>
      </c>
      <c r="D4" s="2" t="n">
        <v>32</v>
      </c>
      <c r="E4" s="2" t="n">
        <v>153.199688</v>
      </c>
      <c r="F4" s="4" t="n">
        <v>10400</v>
      </c>
      <c r="G4" s="4" t="n">
        <v>96000</v>
      </c>
      <c r="H4" s="4" t="n">
        <v>30639.91</v>
      </c>
      <c r="I4" s="4" t="n">
        <v>137039.91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36" customWidth="1" min="3" max="3"/>
  </cols>
  <sheetData>
    <row r="1">
      <c r="A1" s="1" t="inlineStr">
        <is>
          <t>Cost Category</t>
        </is>
      </c>
      <c r="B1" s="1" t="inlineStr">
        <is>
          <t>Amount (USD)</t>
        </is>
      </c>
      <c r="C1" s="1" t="inlineStr">
        <is>
          <t>Notes</t>
        </is>
      </c>
    </row>
    <row r="2">
      <c r="A2" s="11" t="inlineStr">
        <is>
          <t>--- Ocean Freight (FG Shipment) ---</t>
        </is>
      </c>
      <c r="B2" s="11" t="inlineStr"/>
      <c r="C2" s="11" t="inlineStr"/>
    </row>
    <row r="3">
      <c r="A3" s="2" t="inlineStr">
        <is>
          <t xml:space="preserve">  US market (A+B+F)</t>
        </is>
      </c>
      <c r="B3" s="4" t="n">
        <v>137039.91</v>
      </c>
      <c r="C3" s="2" t="inlineStr">
        <is>
          <t>Containers + LCL</t>
        </is>
      </c>
    </row>
    <row r="4">
      <c r="A4" s="2" t="inlineStr">
        <is>
          <t xml:space="preserve">  UK market (C+D)</t>
        </is>
      </c>
      <c r="B4" s="4" t="n">
        <v>31224.7</v>
      </c>
      <c r="C4" s="2" t="inlineStr">
        <is>
          <t>Containers + LCL</t>
        </is>
      </c>
    </row>
    <row r="5">
      <c r="A5" s="2" t="inlineStr">
        <is>
          <t xml:space="preserve">  AU market (E)</t>
        </is>
      </c>
      <c r="B5" s="4" t="n">
        <v>565.4400000000001</v>
      </c>
      <c r="C5" s="2" t="inlineStr">
        <is>
          <t>Containers + LCL</t>
        </is>
      </c>
    </row>
    <row r="6">
      <c r="A6" s="2" t="inlineStr">
        <is>
          <t xml:space="preserve">  Total Ocean Freight</t>
        </is>
      </c>
      <c r="B6" s="4" t="n">
        <v>168830.05</v>
      </c>
      <c r="C6" s="2" t="inlineStr">
        <is>
          <t>Sum of all markets</t>
        </is>
      </c>
    </row>
    <row r="7">
      <c r="A7" s="2" t="inlineStr"/>
      <c r="B7" s="2" t="inlineStr"/>
      <c r="C7" s="2" t="inlineStr"/>
    </row>
    <row r="8">
      <c r="A8" s="11" t="inlineStr">
        <is>
          <t>--- PCBA Inbound Air Freight (Scenario) ---</t>
        </is>
      </c>
      <c r="B8" s="11" t="inlineStr"/>
      <c r="C8" s="11" t="inlineStr"/>
    </row>
    <row r="9">
      <c r="A9" s="2" t="inlineStr">
        <is>
          <t xml:space="preserve">  PCBA units shipped by air</t>
        </is>
      </c>
      <c r="B9" s="4" t="n">
        <v>35020</v>
      </c>
      <c r="C9" s="2">
        <f> 60% recovery</f>
        <v/>
      </c>
    </row>
    <row r="10">
      <c r="A10" s="2" t="inlineStr">
        <is>
          <t xml:space="preserve">  Air premium per PCBA</t>
        </is>
      </c>
      <c r="B10" s="4" t="n">
        <v>2</v>
      </c>
      <c r="C10" s="2" t="inlineStr">
        <is>
          <t>$2.00 / unit</t>
        </is>
      </c>
    </row>
    <row r="11">
      <c r="A11" s="2" t="inlineStr">
        <is>
          <t xml:space="preserve">  Total PCBA Air Freight</t>
        </is>
      </c>
      <c r="B11" s="4" t="n">
        <v>70040</v>
      </c>
      <c r="C11" s="2">
        <f> 35,020 × $2</f>
        <v/>
      </c>
    </row>
    <row r="12">
      <c r="A12" s="2" t="inlineStr"/>
      <c r="B12" s="2" t="inlineStr"/>
      <c r="C12" s="2" t="inlineStr"/>
    </row>
    <row r="13">
      <c r="A13" s="11" t="inlineStr">
        <is>
          <t>--- Total Scenario Logistics Cost ---</t>
        </is>
      </c>
      <c r="B13" s="11" t="inlineStr"/>
      <c r="C13" s="11" t="inlineStr"/>
    </row>
    <row r="14">
      <c r="A14" s="2" t="inlineStr">
        <is>
          <t xml:space="preserve">  Ocean Freight</t>
        </is>
      </c>
      <c r="B14" s="4" t="n">
        <v>168830.05</v>
      </c>
      <c r="C14" s="2" t="inlineStr">
        <is>
          <t>FG delivery to customers</t>
        </is>
      </c>
    </row>
    <row r="15">
      <c r="A15" s="2" t="inlineStr">
        <is>
          <t xml:space="preserve">  PCBA Air Freight</t>
        </is>
      </c>
      <c r="B15" s="4" t="n">
        <v>70040</v>
      </c>
      <c r="C15" s="2" t="inlineStr">
        <is>
          <t>Component inbound (scenario only)</t>
        </is>
      </c>
    </row>
    <row r="16">
      <c r="A16" s="11" t="inlineStr">
        <is>
          <t xml:space="preserve">  GRAND TOTAL</t>
        </is>
      </c>
      <c r="B16" s="12" t="n">
        <v>238870.05</v>
      </c>
      <c r="C16" s="11" t="inlineStr">
        <is>
          <t>Full scenario logistics cost</t>
        </is>
      </c>
    </row>
    <row r="17">
      <c r="A17" s="2" t="inlineStr"/>
      <c r="B17" s="2" t="inlineStr"/>
      <c r="C17" s="2" t="inlineStr"/>
    </row>
    <row r="18">
      <c r="A18" s="11" t="inlineStr">
        <is>
          <t>--- Baseline Comparison ---</t>
        </is>
      </c>
      <c r="B18" s="11" t="inlineStr"/>
      <c r="C18" s="11" t="inlineStr"/>
    </row>
    <row r="19">
      <c r="A19" s="2" t="inlineStr">
        <is>
          <t xml:space="preserve">  Baseline ocean freight (from solver.xlsx)</t>
        </is>
      </c>
      <c r="B19" s="2" t="inlineStr"/>
      <c r="C19" s="2" t="inlineStr">
        <is>
          <t>Run baseline MILP separately</t>
        </is>
      </c>
    </row>
    <row r="20">
      <c r="A20" s="11" t="inlineStr">
        <is>
          <t xml:space="preserve">  Additional PCBA air cost</t>
        </is>
      </c>
      <c r="B20" s="12" t="n">
        <v>70040</v>
      </c>
      <c r="C20" s="11">
        <f> Scenario-only cost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2026-04-27T07:44:22Z</dcterms:created>
  <dcterms:modified xsi:type="dcterms:W3CDTF">2026-04-27T07:44:22Z</dcterms:modified>
</cp:coreProperties>
</file>