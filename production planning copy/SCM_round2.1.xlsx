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duction planning\"/>
    </mc:Choice>
  </mc:AlternateContent>
  <xr:revisionPtr revIDLastSave="0" documentId="13_ncr:1_{44144369-6068-4C53-9416-A4B8580D98F1}" xr6:coauthVersionLast="47" xr6:coauthVersionMax="47" xr10:uidLastSave="{00000000-0000-0000-0000-000000000000}"/>
  <bookViews>
    <workbookView xWindow="-108" yWindow="-108" windowWidth="23256" windowHeight="12456" firstSheet="9" activeTab="14" xr2:uid="{DECBD699-FE84-4F0A-AC5A-69530E3CA708}"/>
  </bookViews>
  <sheets>
    <sheet name="Overall Case Study" sheetId="1" state="hidden" r:id="rId1"/>
    <sheet name="Demand" sheetId="2" state="hidden" r:id="rId2"/>
    <sheet name="Demand_" sheetId="5" r:id="rId3"/>
    <sheet name="weekly_demand" sheetId="6" state="hidden" r:id="rId4"/>
    <sheet name="demand_matrix" sheetId="10" r:id="rId5"/>
    <sheet name="MPS" sheetId="9" r:id="rId6"/>
    <sheet name="BOM_demand" sheetId="8" r:id="rId7"/>
    <sheet name="MRP" sheetId="7" r:id="rId8"/>
    <sheet name="All_Load_Detail" sheetId="12" r:id="rId9"/>
    <sheet name="Weekly_All_Markets" sheetId="13" r:id="rId10"/>
    <sheet name="Summary_All" sheetId="14" r:id="rId11"/>
    <sheet name="BOM &amp; Inventory" sheetId="3" r:id="rId12"/>
    <sheet name="Demand for Production Plan" sheetId="15" state="hidden" r:id="rId13"/>
    <sheet name="Production Plan" sheetId="16" r:id="rId14"/>
    <sheet name="Production Plan_new scenario" sheetId="17" r:id="rId15"/>
    <sheet name="FGs &amp; Log information " sheetId="4" state="hidden" r:id="rId16"/>
  </sheets>
  <externalReferences>
    <externalReference r:id="rId17"/>
    <externalReference r:id="rId18"/>
  </externalReferences>
  <definedNames>
    <definedName name="_xlnm._FilterDatabase" localSheetId="11" hidden="1">'BOM &amp; Inventory'!$C$5:$I$35</definedName>
    <definedName name="_xlnm._FilterDatabase" localSheetId="1" hidden="1">Demand!$A$1:$E$466</definedName>
    <definedName name="_xlnm._FilterDatabase" localSheetId="3" hidden="1">weekly_demand!$A$2:$I$2</definedName>
    <definedName name="solver_eng" localSheetId="10" hidden="1">1</definedName>
    <definedName name="solver_neg" localSheetId="10" hidden="1">1</definedName>
    <definedName name="solver_num" localSheetId="10" hidden="1">0</definedName>
    <definedName name="solver_opt" localSheetId="10" hidden="1">Summary_All!$K$3</definedName>
    <definedName name="solver_typ" localSheetId="10" hidden="1">1</definedName>
    <definedName name="solver_val" localSheetId="10" hidden="1">0</definedName>
    <definedName name="solver_ver" localSheetId="10" hidden="1">3</definedName>
    <definedName name="Type" localSheetId="14">#REF!</definedName>
    <definedName name="Typ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43" i="17" l="1"/>
  <c r="AM43" i="17" s="1"/>
  <c r="AL44" i="17"/>
  <c r="AM44" i="17" s="1"/>
  <c r="AL45" i="17"/>
  <c r="AM45" i="17" s="1"/>
  <c r="AL46" i="17"/>
  <c r="AM46" i="17" s="1"/>
  <c r="AL47" i="17"/>
  <c r="AM47" i="17" s="1"/>
  <c r="AL48" i="17"/>
  <c r="AM48" i="17" s="1"/>
  <c r="AL49" i="17"/>
  <c r="AM49" i="17" s="1"/>
  <c r="AL50" i="17"/>
  <c r="AM50" i="17" s="1"/>
  <c r="AL51" i="17"/>
  <c r="AM51" i="17" s="1"/>
  <c r="AL52" i="17"/>
  <c r="AM52" i="17" s="1"/>
  <c r="AL53" i="17"/>
  <c r="AM53" i="17" s="1"/>
  <c r="AL54" i="17"/>
  <c r="AM54" i="17" s="1"/>
  <c r="AL55" i="17"/>
  <c r="AM55" i="17" s="1"/>
  <c r="AL56" i="17"/>
  <c r="AM56" i="17" s="1"/>
  <c r="AL57" i="17"/>
  <c r="AM57" i="17" s="1"/>
  <c r="AL58" i="17"/>
  <c r="AM58" i="17" s="1"/>
  <c r="AL59" i="17"/>
  <c r="AM59" i="17" s="1"/>
  <c r="AL60" i="17"/>
  <c r="AM60" i="17" s="1"/>
  <c r="AL61" i="17"/>
  <c r="AM61" i="17" s="1"/>
  <c r="AL62" i="17"/>
  <c r="AM62" i="17" s="1"/>
  <c r="AL63" i="17"/>
  <c r="AM63" i="17" s="1"/>
  <c r="AE5" i="17"/>
  <c r="AE7" i="17" s="1"/>
  <c r="AE4" i="17"/>
  <c r="AE6" i="17" s="1"/>
  <c r="X2" i="17"/>
  <c r="V2" i="17"/>
  <c r="S6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17" i="17"/>
  <c r="J63" i="17"/>
  <c r="AO63" i="17" s="1"/>
  <c r="I63" i="17"/>
  <c r="J62" i="17"/>
  <c r="AO62" i="17" s="1"/>
  <c r="I62" i="17"/>
  <c r="J61" i="17"/>
  <c r="AO61" i="17" s="1"/>
  <c r="I61" i="17"/>
  <c r="J60" i="17"/>
  <c r="AO60" i="17" s="1"/>
  <c r="I60" i="17"/>
  <c r="J59" i="17"/>
  <c r="AO59" i="17" s="1"/>
  <c r="I59" i="17"/>
  <c r="J58" i="17"/>
  <c r="AO58" i="17" s="1"/>
  <c r="I58" i="17"/>
  <c r="J57" i="17"/>
  <c r="AO57" i="17" s="1"/>
  <c r="I57" i="17"/>
  <c r="J56" i="17"/>
  <c r="AO56" i="17" s="1"/>
  <c r="I56" i="17"/>
  <c r="J55" i="17"/>
  <c r="AO55" i="17" s="1"/>
  <c r="I55" i="17"/>
  <c r="J54" i="17"/>
  <c r="AO54" i="17" s="1"/>
  <c r="I54" i="17"/>
  <c r="J53" i="17"/>
  <c r="AO53" i="17" s="1"/>
  <c r="I53" i="17"/>
  <c r="J52" i="17"/>
  <c r="AO52" i="17" s="1"/>
  <c r="I52" i="17"/>
  <c r="J51" i="17"/>
  <c r="AO51" i="17" s="1"/>
  <c r="I51" i="17"/>
  <c r="J50" i="17"/>
  <c r="AO50" i="17" s="1"/>
  <c r="I50" i="17"/>
  <c r="J49" i="17"/>
  <c r="AO49" i="17" s="1"/>
  <c r="I49" i="17"/>
  <c r="J48" i="17"/>
  <c r="AO48" i="17" s="1"/>
  <c r="I48" i="17"/>
  <c r="J47" i="17"/>
  <c r="AO47" i="17" s="1"/>
  <c r="I47" i="17"/>
  <c r="J46" i="17"/>
  <c r="AO46" i="17" s="1"/>
  <c r="I46" i="17"/>
  <c r="J45" i="17"/>
  <c r="AO45" i="17" s="1"/>
  <c r="I45" i="17"/>
  <c r="J44" i="17"/>
  <c r="AO44" i="17" s="1"/>
  <c r="I44" i="17"/>
  <c r="V32" i="17"/>
  <c r="U32" i="17"/>
  <c r="J43" i="17"/>
  <c r="AO43" i="17" s="1"/>
  <c r="I43" i="17"/>
  <c r="V31" i="17"/>
  <c r="U31" i="17"/>
  <c r="V30" i="17"/>
  <c r="U30" i="17"/>
  <c r="V29" i="17"/>
  <c r="U29" i="17"/>
  <c r="V28" i="17"/>
  <c r="U28" i="17"/>
  <c r="V27" i="17"/>
  <c r="U27" i="17"/>
  <c r="V26" i="17"/>
  <c r="U26" i="17"/>
  <c r="J37" i="17"/>
  <c r="I37" i="17"/>
  <c r="V25" i="17"/>
  <c r="U25" i="17"/>
  <c r="J36" i="17"/>
  <c r="I36" i="17"/>
  <c r="V24" i="17"/>
  <c r="U24" i="17"/>
  <c r="J35" i="17"/>
  <c r="I35" i="17"/>
  <c r="V23" i="17"/>
  <c r="U23" i="17"/>
  <c r="J34" i="17"/>
  <c r="I34" i="17"/>
  <c r="V22" i="17"/>
  <c r="U22" i="17"/>
  <c r="J33" i="17"/>
  <c r="I33" i="17"/>
  <c r="V21" i="17"/>
  <c r="U21" i="17"/>
  <c r="J32" i="17"/>
  <c r="I32" i="17"/>
  <c r="V20" i="17"/>
  <c r="U20" i="17"/>
  <c r="J31" i="17"/>
  <c r="I31" i="17"/>
  <c r="V19" i="17"/>
  <c r="U19" i="17"/>
  <c r="J30" i="17"/>
  <c r="I30" i="17"/>
  <c r="V18" i="17"/>
  <c r="U18" i="17"/>
  <c r="J29" i="17"/>
  <c r="I29" i="17"/>
  <c r="V17" i="17"/>
  <c r="U17" i="17"/>
  <c r="J28" i="17"/>
  <c r="I28" i="17"/>
  <c r="V16" i="17"/>
  <c r="U16" i="17"/>
  <c r="J27" i="17"/>
  <c r="I27" i="17"/>
  <c r="V15" i="17"/>
  <c r="U15" i="17"/>
  <c r="J26" i="17"/>
  <c r="I26" i="17"/>
  <c r="V14" i="17"/>
  <c r="U14" i="17"/>
  <c r="J25" i="17"/>
  <c r="I25" i="17"/>
  <c r="V13" i="17"/>
  <c r="U13" i="17"/>
  <c r="J24" i="17"/>
  <c r="I24" i="17"/>
  <c r="V12" i="17"/>
  <c r="U12" i="17"/>
  <c r="J23" i="17"/>
  <c r="I23" i="17"/>
  <c r="V11" i="17"/>
  <c r="U11" i="17"/>
  <c r="J22" i="17"/>
  <c r="I22" i="17"/>
  <c r="V10" i="17"/>
  <c r="U10" i="17"/>
  <c r="J21" i="17"/>
  <c r="I21" i="17"/>
  <c r="V9" i="17"/>
  <c r="U9" i="17"/>
  <c r="J20" i="17"/>
  <c r="I20" i="17"/>
  <c r="V8" i="17"/>
  <c r="U8" i="17"/>
  <c r="J19" i="17"/>
  <c r="I19" i="17"/>
  <c r="V7" i="17"/>
  <c r="U7" i="17"/>
  <c r="J18" i="17"/>
  <c r="I18" i="17"/>
  <c r="Z6" i="17"/>
  <c r="V6" i="17"/>
  <c r="U6" i="17"/>
  <c r="J17" i="17"/>
  <c r="I17" i="17"/>
  <c r="X3" i="17"/>
  <c r="V3" i="17"/>
  <c r="B12" i="17"/>
  <c r="B11" i="17"/>
  <c r="L7" i="17"/>
  <c r="L3" i="17"/>
  <c r="K4" i="17" s="1"/>
  <c r="L4" i="17" s="1"/>
  <c r="K3" i="17"/>
  <c r="M16" i="16"/>
  <c r="M17" i="16"/>
  <c r="M15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17" i="16"/>
  <c r="AL63" i="16"/>
  <c r="AM63" i="16" s="1"/>
  <c r="J63" i="16"/>
  <c r="AO63" i="16" s="1"/>
  <c r="I63" i="16"/>
  <c r="AL62" i="16"/>
  <c r="AM62" i="16" s="1"/>
  <c r="J62" i="16"/>
  <c r="AO62" i="16" s="1"/>
  <c r="I62" i="16"/>
  <c r="AL61" i="16"/>
  <c r="AM61" i="16" s="1"/>
  <c r="J61" i="16"/>
  <c r="AO61" i="16" s="1"/>
  <c r="I61" i="16"/>
  <c r="AL60" i="16"/>
  <c r="AM60" i="16" s="1"/>
  <c r="J60" i="16"/>
  <c r="AO60" i="16" s="1"/>
  <c r="I60" i="16"/>
  <c r="AL59" i="16"/>
  <c r="AM59" i="16" s="1"/>
  <c r="J59" i="16"/>
  <c r="AO59" i="16" s="1"/>
  <c r="I59" i="16"/>
  <c r="AL58" i="16"/>
  <c r="AM58" i="16" s="1"/>
  <c r="J58" i="16"/>
  <c r="AO58" i="16" s="1"/>
  <c r="I58" i="16"/>
  <c r="AL57" i="16"/>
  <c r="AM57" i="16" s="1"/>
  <c r="J57" i="16"/>
  <c r="AO57" i="16" s="1"/>
  <c r="I57" i="16"/>
  <c r="AL56" i="16"/>
  <c r="AM56" i="16" s="1"/>
  <c r="J56" i="16"/>
  <c r="AO56" i="16" s="1"/>
  <c r="I56" i="16"/>
  <c r="AL55" i="16"/>
  <c r="AM55" i="16" s="1"/>
  <c r="J55" i="16"/>
  <c r="AO55" i="16" s="1"/>
  <c r="I55" i="16"/>
  <c r="AL54" i="16"/>
  <c r="AM54" i="16" s="1"/>
  <c r="J54" i="16"/>
  <c r="AO54" i="16" s="1"/>
  <c r="I54" i="16"/>
  <c r="AL53" i="16"/>
  <c r="AM53" i="16" s="1"/>
  <c r="J53" i="16"/>
  <c r="I53" i="16"/>
  <c r="AL52" i="16"/>
  <c r="AM52" i="16" s="1"/>
  <c r="J52" i="16"/>
  <c r="AO52" i="16" s="1"/>
  <c r="I52" i="16"/>
  <c r="AL51" i="16"/>
  <c r="AM51" i="16" s="1"/>
  <c r="J51" i="16"/>
  <c r="AO51" i="16" s="1"/>
  <c r="I51" i="16"/>
  <c r="AL50" i="16"/>
  <c r="AM50" i="16" s="1"/>
  <c r="J50" i="16"/>
  <c r="AO50" i="16" s="1"/>
  <c r="I50" i="16"/>
  <c r="AL49" i="16"/>
  <c r="AM49" i="16" s="1"/>
  <c r="J49" i="16"/>
  <c r="AO49" i="16" s="1"/>
  <c r="I49" i="16"/>
  <c r="AL48" i="16"/>
  <c r="AM48" i="16" s="1"/>
  <c r="J48" i="16"/>
  <c r="AO48" i="16" s="1"/>
  <c r="I48" i="16"/>
  <c r="AL47" i="16"/>
  <c r="AM47" i="16" s="1"/>
  <c r="J47" i="16"/>
  <c r="AO47" i="16" s="1"/>
  <c r="I47" i="16"/>
  <c r="AL46" i="16"/>
  <c r="AM46" i="16" s="1"/>
  <c r="J46" i="16"/>
  <c r="AO46" i="16" s="1"/>
  <c r="I46" i="16"/>
  <c r="AL45" i="16"/>
  <c r="AM45" i="16" s="1"/>
  <c r="J45" i="16"/>
  <c r="AO45" i="16" s="1"/>
  <c r="I45" i="16"/>
  <c r="AL44" i="16"/>
  <c r="AM44" i="16" s="1"/>
  <c r="J44" i="16"/>
  <c r="AO44" i="16" s="1"/>
  <c r="I44" i="16"/>
  <c r="AL43" i="16"/>
  <c r="AM43" i="16" s="1"/>
  <c r="J43" i="16"/>
  <c r="AO43" i="16" s="1"/>
  <c r="I43" i="16"/>
  <c r="J37" i="16"/>
  <c r="I37" i="16"/>
  <c r="J36" i="16"/>
  <c r="I36" i="16"/>
  <c r="J35" i="16"/>
  <c r="I35" i="16"/>
  <c r="J34" i="16"/>
  <c r="I34" i="16"/>
  <c r="J33" i="16"/>
  <c r="I33" i="16"/>
  <c r="J32" i="16"/>
  <c r="I32" i="16"/>
  <c r="J31" i="16"/>
  <c r="I31" i="16"/>
  <c r="J30" i="16"/>
  <c r="I30" i="16"/>
  <c r="J29" i="16"/>
  <c r="I29" i="16"/>
  <c r="J28" i="16"/>
  <c r="I28" i="16"/>
  <c r="J27" i="16"/>
  <c r="I27" i="16"/>
  <c r="J26" i="16"/>
  <c r="I26" i="16"/>
  <c r="J25" i="16"/>
  <c r="I25" i="16"/>
  <c r="J24" i="16"/>
  <c r="I24" i="16"/>
  <c r="J23" i="16"/>
  <c r="I23" i="16"/>
  <c r="J22" i="16"/>
  <c r="I22" i="16"/>
  <c r="J21" i="16"/>
  <c r="I21" i="16"/>
  <c r="J20" i="16"/>
  <c r="I20" i="16"/>
  <c r="J19" i="16"/>
  <c r="I19" i="16"/>
  <c r="J18" i="16"/>
  <c r="I18" i="16"/>
  <c r="J17" i="16"/>
  <c r="I17" i="16"/>
  <c r="B12" i="16"/>
  <c r="B11" i="16"/>
  <c r="L7" i="16"/>
  <c r="L3" i="16"/>
  <c r="K4" i="16" s="1"/>
  <c r="L4" i="16" s="1"/>
  <c r="K3" i="16"/>
  <c r="AE8" i="17" l="1"/>
  <c r="AE3" i="17"/>
  <c r="AE2" i="17"/>
  <c r="AP60" i="16"/>
  <c r="AN60" i="16" s="1"/>
  <c r="AP43" i="17"/>
  <c r="AN43" i="17" s="1"/>
  <c r="AP47" i="17"/>
  <c r="AN47" i="17" s="1"/>
  <c r="AP58" i="16"/>
  <c r="AN58" i="16" s="1"/>
  <c r="AP57" i="16"/>
  <c r="AN57" i="16" s="1"/>
  <c r="AP61" i="16"/>
  <c r="AN61" i="16" s="1"/>
  <c r="AP43" i="16"/>
  <c r="AN43" i="16" s="1"/>
  <c r="AP45" i="17"/>
  <c r="AN45" i="17" s="1"/>
  <c r="AP49" i="17"/>
  <c r="AN49" i="17" s="1"/>
  <c r="AP53" i="17"/>
  <c r="AN53" i="17" s="1"/>
  <c r="AP57" i="17"/>
  <c r="AN57" i="17" s="1"/>
  <c r="AP61" i="17"/>
  <c r="AN61" i="17" s="1"/>
  <c r="AP44" i="17"/>
  <c r="AN44" i="17" s="1"/>
  <c r="AP48" i="17"/>
  <c r="AN48" i="17" s="1"/>
  <c r="AP52" i="17"/>
  <c r="AN52" i="17" s="1"/>
  <c r="AP56" i="17"/>
  <c r="AN56" i="17" s="1"/>
  <c r="AP60" i="17"/>
  <c r="AN60" i="17" s="1"/>
  <c r="AP46" i="17"/>
  <c r="AN46" i="17" s="1"/>
  <c r="AP50" i="17"/>
  <c r="AN50" i="17" s="1"/>
  <c r="AP54" i="17"/>
  <c r="AN54" i="17" s="1"/>
  <c r="AP58" i="17"/>
  <c r="AN58" i="17" s="1"/>
  <c r="AP62" i="17"/>
  <c r="AN62" i="17" s="1"/>
  <c r="AP51" i="17"/>
  <c r="AN51" i="17" s="1"/>
  <c r="AP55" i="17"/>
  <c r="AN55" i="17" s="1"/>
  <c r="AP59" i="17"/>
  <c r="AN59" i="17" s="1"/>
  <c r="AP63" i="17"/>
  <c r="AN63" i="17" s="1"/>
  <c r="AP44" i="16"/>
  <c r="AN44" i="16" s="1"/>
  <c r="AP63" i="16"/>
  <c r="AN63" i="16" s="1"/>
  <c r="AP50" i="16"/>
  <c r="AN50" i="16" s="1"/>
  <c r="AP54" i="16"/>
  <c r="AN54" i="16" s="1"/>
  <c r="AP52" i="16"/>
  <c r="AN52" i="16" s="1"/>
  <c r="AP56" i="16"/>
  <c r="AN56" i="16" s="1"/>
  <c r="AP49" i="16"/>
  <c r="AN49" i="16" s="1"/>
  <c r="AP47" i="16"/>
  <c r="AN47" i="16" s="1"/>
  <c r="AP51" i="16"/>
  <c r="AN51" i="16" s="1"/>
  <c r="AP55" i="16"/>
  <c r="AN55" i="16" s="1"/>
  <c r="AP62" i="16"/>
  <c r="AN62" i="16" s="1"/>
  <c r="AP46" i="16"/>
  <c r="AN46" i="16" s="1"/>
  <c r="AP45" i="16"/>
  <c r="AN45" i="16" s="1"/>
  <c r="AP48" i="16"/>
  <c r="AN48" i="16" s="1"/>
  <c r="AP59" i="16"/>
  <c r="AN59" i="16" s="1"/>
  <c r="M3" i="16"/>
  <c r="N17" i="16" s="1"/>
  <c r="M3" i="17"/>
  <c r="AP53" i="16"/>
  <c r="Y6" i="17"/>
  <c r="AA6" i="17" s="1"/>
  <c r="Y7" i="17"/>
  <c r="V4" i="17"/>
  <c r="K5" i="17"/>
  <c r="L5" i="17" s="1"/>
  <c r="M4" i="17"/>
  <c r="K5" i="16"/>
  <c r="L5" i="16" s="1"/>
  <c r="M4" i="16"/>
  <c r="O16" i="16" s="1"/>
  <c r="AO53" i="16"/>
  <c r="N15" i="16" l="1"/>
  <c r="N16" i="16"/>
  <c r="O15" i="16"/>
  <c r="O17" i="16"/>
  <c r="AN53" i="16"/>
  <c r="Y8" i="17"/>
  <c r="Y9" i="17" s="1"/>
  <c r="AB6" i="17"/>
  <c r="Z7" i="17"/>
  <c r="AA7" i="17" s="1"/>
  <c r="K6" i="17"/>
  <c r="L6" i="17" s="1"/>
  <c r="M5" i="17"/>
  <c r="M5" i="16"/>
  <c r="K6" i="16"/>
  <c r="L6" i="16" s="1"/>
  <c r="Y10" i="17" l="1"/>
  <c r="AB7" i="17"/>
  <c r="Z8" i="17"/>
  <c r="AA8" i="17" s="1"/>
  <c r="M6" i="17"/>
  <c r="K7" i="17"/>
  <c r="M7" i="17" s="1"/>
  <c r="K7" i="16"/>
  <c r="M7" i="16" s="1"/>
  <c r="M6" i="16"/>
  <c r="P17" i="16"/>
  <c r="P15" i="16"/>
  <c r="P16" i="16"/>
  <c r="Y11" i="17" l="1"/>
  <c r="Z9" i="17"/>
  <c r="AA9" i="17" s="1"/>
  <c r="AB8" i="17"/>
  <c r="Q17" i="16"/>
  <c r="Q15" i="16"/>
  <c r="Q16" i="16"/>
  <c r="R16" i="16"/>
  <c r="R17" i="16"/>
  <c r="R15" i="16"/>
  <c r="S15" i="16" l="1"/>
  <c r="S17" i="16"/>
  <c r="S16" i="16"/>
  <c r="Y12" i="17"/>
  <c r="Y13" i="17" s="1"/>
  <c r="Y14" i="17" s="1"/>
  <c r="AB9" i="17"/>
  <c r="Z10" i="17"/>
  <c r="AA10" i="17" s="1"/>
  <c r="Y15" i="17" l="1"/>
  <c r="AB10" i="17"/>
  <c r="Z11" i="17"/>
  <c r="AA11" i="17" s="1"/>
  <c r="Y16" i="17" l="1"/>
  <c r="Y17" i="17"/>
  <c r="Y18" i="17" s="1"/>
  <c r="Y19" i="17" s="1"/>
  <c r="Y20" i="17" s="1"/>
  <c r="Y21" i="17" s="1"/>
  <c r="Y22" i="17" s="1"/>
  <c r="Y23" i="17" s="1"/>
  <c r="Z12" i="17"/>
  <c r="AA12" i="17" s="1"/>
  <c r="AB11" i="17"/>
  <c r="Y24" i="17" l="1"/>
  <c r="Y25" i="17" s="1"/>
  <c r="Z13" i="17"/>
  <c r="AA13" i="17" s="1"/>
  <c r="AB12" i="17"/>
  <c r="Y26" i="17" l="1"/>
  <c r="AB13" i="17"/>
  <c r="Z14" i="17"/>
  <c r="AA14" i="17" s="1"/>
  <c r="Y27" i="17" l="1"/>
  <c r="Y28" i="17" s="1"/>
  <c r="Y29" i="17" s="1"/>
  <c r="Z15" i="17"/>
  <c r="AA15" i="17" s="1"/>
  <c r="AB14" i="17"/>
  <c r="Y30" i="17" l="1"/>
  <c r="Y31" i="17" s="1"/>
  <c r="Y32" i="17" s="1"/>
  <c r="Z16" i="17"/>
  <c r="AA16" i="17" s="1"/>
  <c r="AB15" i="17"/>
  <c r="Z17" i="17" l="1"/>
  <c r="AA17" i="17" s="1"/>
  <c r="AB16" i="17"/>
  <c r="AB17" i="17" l="1"/>
  <c r="Z18" i="17"/>
  <c r="AA18" i="17" s="1"/>
  <c r="Z19" i="17" l="1"/>
  <c r="AA19" i="17" s="1"/>
  <c r="AB18" i="17"/>
  <c r="Z20" i="17" l="1"/>
  <c r="AA20" i="17" s="1"/>
  <c r="AB19" i="17"/>
  <c r="Z21" i="17" l="1"/>
  <c r="AA21" i="17" s="1"/>
  <c r="AB20" i="17"/>
  <c r="AB21" i="17" l="1"/>
  <c r="Z22" i="17"/>
  <c r="AA22" i="17" s="1"/>
  <c r="Z23" i="17" l="1"/>
  <c r="AA23" i="17" s="1"/>
  <c r="AB22" i="17"/>
  <c r="Z24" i="17" l="1"/>
  <c r="AA24" i="17" s="1"/>
  <c r="AB23" i="17"/>
  <c r="Z25" i="17" l="1"/>
  <c r="AA25" i="17" s="1"/>
  <c r="AB24" i="17"/>
  <c r="AB25" i="17" l="1"/>
  <c r="Z26" i="17"/>
  <c r="AA26" i="17" s="1"/>
  <c r="Z27" i="17" l="1"/>
  <c r="AA27" i="17" s="1"/>
  <c r="AB26" i="17"/>
  <c r="Z28" i="17" l="1"/>
  <c r="AA28" i="17" s="1"/>
  <c r="AB27" i="17"/>
  <c r="Z29" i="17" l="1"/>
  <c r="AA29" i="17" s="1"/>
  <c r="AB28" i="17"/>
  <c r="AB29" i="17" l="1"/>
  <c r="Z30" i="17"/>
  <c r="AA30" i="17" s="1"/>
  <c r="Z31" i="17" l="1"/>
  <c r="AA31" i="17" s="1"/>
  <c r="AB30" i="17"/>
  <c r="Z32" i="17" l="1"/>
  <c r="AA32" i="17" s="1"/>
  <c r="AB32" i="17" s="1"/>
  <c r="AB31" i="17"/>
  <c r="G173" i="9" l="1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H178" i="9"/>
  <c r="I178" i="9"/>
  <c r="L178" i="9"/>
  <c r="M178" i="9"/>
  <c r="N178" i="9"/>
  <c r="H179" i="9"/>
  <c r="I179" i="9"/>
  <c r="L179" i="9"/>
  <c r="M179" i="9"/>
  <c r="N179" i="9"/>
  <c r="H173" i="9"/>
  <c r="I173" i="9"/>
  <c r="L173" i="9"/>
  <c r="M173" i="9"/>
  <c r="N173" i="9"/>
  <c r="H174" i="9"/>
  <c r="I174" i="9"/>
  <c r="L174" i="9"/>
  <c r="M174" i="9"/>
  <c r="N174" i="9"/>
  <c r="H175" i="9"/>
  <c r="I175" i="9"/>
  <c r="L175" i="9"/>
  <c r="M175" i="9"/>
  <c r="N175" i="9"/>
  <c r="H176" i="9"/>
  <c r="I176" i="9"/>
  <c r="L176" i="9"/>
  <c r="M176" i="9"/>
  <c r="N176" i="9"/>
  <c r="H177" i="9"/>
  <c r="I177" i="9"/>
  <c r="L177" i="9"/>
  <c r="M177" i="9"/>
  <c r="N177" i="9"/>
  <c r="H180" i="9"/>
  <c r="I180" i="9"/>
  <c r="L180" i="9"/>
  <c r="M180" i="9"/>
  <c r="N180" i="9"/>
  <c r="H181" i="9"/>
  <c r="I181" i="9"/>
  <c r="L181" i="9"/>
  <c r="M181" i="9"/>
  <c r="N181" i="9"/>
  <c r="H182" i="9"/>
  <c r="I182" i="9"/>
  <c r="L182" i="9"/>
  <c r="M182" i="9"/>
  <c r="N182" i="9"/>
  <c r="H183" i="9"/>
  <c r="I183" i="9"/>
  <c r="L183" i="9"/>
  <c r="M183" i="9"/>
  <c r="N183" i="9"/>
  <c r="H184" i="9"/>
  <c r="I184" i="9"/>
  <c r="L184" i="9"/>
  <c r="M184" i="9"/>
  <c r="N184" i="9"/>
  <c r="H185" i="9"/>
  <c r="I185" i="9"/>
  <c r="L185" i="9"/>
  <c r="M185" i="9"/>
  <c r="N185" i="9"/>
  <c r="H186" i="9"/>
  <c r="I186" i="9"/>
  <c r="L186" i="9"/>
  <c r="M186" i="9"/>
  <c r="N186" i="9"/>
  <c r="C38" i="7" l="1"/>
  <c r="C156" i="7" a="1"/>
  <c r="C156" i="7" s="1"/>
  <c r="C146" i="7" a="1"/>
  <c r="C146" i="7" s="1"/>
  <c r="C136" i="7" a="1"/>
  <c r="C136" i="7" s="1"/>
  <c r="C126" i="7" a="1"/>
  <c r="C126" i="7" s="1"/>
  <c r="C116" i="7" a="1"/>
  <c r="C116" i="7" s="1"/>
  <c r="C106" i="7" a="1"/>
  <c r="C106" i="7" s="1"/>
  <c r="C96" i="7" a="1"/>
  <c r="C96" i="7" s="1"/>
  <c r="C86" i="7" a="1"/>
  <c r="C86" i="7" s="1"/>
  <c r="C76" i="7" a="1"/>
  <c r="C76" i="7" s="1"/>
  <c r="C66" i="7" a="1"/>
  <c r="C66" i="7" s="1"/>
  <c r="C56" i="7" a="1"/>
  <c r="C56" i="7" s="1"/>
  <c r="C46" i="7" a="1"/>
  <c r="C46" i="7" s="1"/>
  <c r="C36" i="7" a="1"/>
  <c r="C36" i="7" s="1"/>
  <c r="C26" i="7" a="1"/>
  <c r="C26" i="7" s="1"/>
  <c r="C16" i="7" a="1"/>
  <c r="C16" i="7" s="1"/>
  <c r="G200" i="10"/>
  <c r="F200" i="10"/>
  <c r="E200" i="10"/>
  <c r="D200" i="10"/>
  <c r="C200" i="10"/>
  <c r="B200" i="10"/>
  <c r="G199" i="10"/>
  <c r="F199" i="10"/>
  <c r="E199" i="10"/>
  <c r="D199" i="10"/>
  <c r="C199" i="10"/>
  <c r="B199" i="10"/>
  <c r="G198" i="10"/>
  <c r="F198" i="10"/>
  <c r="E198" i="10"/>
  <c r="D198" i="10"/>
  <c r="C198" i="10"/>
  <c r="B198" i="10"/>
  <c r="G197" i="10"/>
  <c r="F197" i="10"/>
  <c r="E197" i="10"/>
  <c r="D197" i="10"/>
  <c r="C197" i="10"/>
  <c r="B197" i="10"/>
  <c r="G196" i="10"/>
  <c r="F196" i="10"/>
  <c r="E196" i="10"/>
  <c r="D196" i="10"/>
  <c r="C196" i="10"/>
  <c r="B196" i="10"/>
  <c r="G195" i="10"/>
  <c r="F195" i="10"/>
  <c r="E195" i="10"/>
  <c r="D195" i="10"/>
  <c r="C195" i="10"/>
  <c r="B195" i="10"/>
  <c r="G194" i="10"/>
  <c r="F194" i="10"/>
  <c r="E194" i="10"/>
  <c r="D194" i="10"/>
  <c r="C194" i="10"/>
  <c r="B194" i="10"/>
  <c r="G193" i="10"/>
  <c r="F193" i="10"/>
  <c r="E193" i="10"/>
  <c r="D193" i="10"/>
  <c r="C193" i="10"/>
  <c r="B193" i="10"/>
  <c r="G192" i="10"/>
  <c r="F192" i="10"/>
  <c r="E192" i="10"/>
  <c r="D192" i="10"/>
  <c r="C192" i="10"/>
  <c r="B192" i="10"/>
  <c r="G191" i="10"/>
  <c r="F191" i="10"/>
  <c r="E191" i="10"/>
  <c r="D191" i="10"/>
  <c r="C191" i="10"/>
  <c r="B191" i="10"/>
  <c r="G190" i="10"/>
  <c r="F190" i="10"/>
  <c r="E190" i="10"/>
  <c r="D190" i="10"/>
  <c r="C190" i="10"/>
  <c r="B190" i="10"/>
  <c r="G189" i="10"/>
  <c r="F189" i="10"/>
  <c r="E189" i="10"/>
  <c r="D189" i="10"/>
  <c r="C189" i="10"/>
  <c r="B189" i="10"/>
  <c r="G188" i="10"/>
  <c r="F188" i="10"/>
  <c r="E188" i="10"/>
  <c r="D188" i="10"/>
  <c r="C188" i="10"/>
  <c r="B188" i="10"/>
  <c r="G187" i="10"/>
  <c r="F187" i="10"/>
  <c r="E187" i="10"/>
  <c r="D187" i="10"/>
  <c r="C187" i="10"/>
  <c r="B187" i="10"/>
  <c r="G186" i="10"/>
  <c r="F186" i="10"/>
  <c r="E186" i="10"/>
  <c r="D186" i="10"/>
  <c r="C186" i="10"/>
  <c r="B186" i="10"/>
  <c r="G185" i="10"/>
  <c r="F185" i="10"/>
  <c r="E185" i="10"/>
  <c r="D185" i="10"/>
  <c r="C185" i="10"/>
  <c r="B185" i="10"/>
  <c r="G184" i="10"/>
  <c r="F184" i="10"/>
  <c r="E184" i="10"/>
  <c r="D184" i="10"/>
  <c r="C184" i="10"/>
  <c r="B184" i="10"/>
  <c r="G183" i="10"/>
  <c r="F183" i="10"/>
  <c r="E183" i="10"/>
  <c r="D183" i="10"/>
  <c r="C183" i="10"/>
  <c r="B183" i="10"/>
  <c r="G182" i="10"/>
  <c r="F182" i="10"/>
  <c r="E182" i="10"/>
  <c r="D182" i="10"/>
  <c r="C182" i="10"/>
  <c r="B182" i="10"/>
  <c r="G181" i="10"/>
  <c r="F181" i="10"/>
  <c r="E181" i="10"/>
  <c r="D181" i="10"/>
  <c r="C181" i="10"/>
  <c r="B181" i="10"/>
  <c r="G180" i="10"/>
  <c r="F180" i="10"/>
  <c r="E180" i="10"/>
  <c r="D180" i="10"/>
  <c r="C180" i="10"/>
  <c r="B180" i="10"/>
  <c r="G179" i="10"/>
  <c r="F179" i="10"/>
  <c r="E179" i="10"/>
  <c r="D179" i="10"/>
  <c r="C179" i="10"/>
  <c r="B179" i="10"/>
  <c r="G178" i="10"/>
  <c r="F178" i="10"/>
  <c r="E178" i="10"/>
  <c r="D178" i="10"/>
  <c r="C178" i="10"/>
  <c r="B178" i="10"/>
  <c r="G177" i="10"/>
  <c r="F177" i="10"/>
  <c r="E177" i="10"/>
  <c r="D177" i="10"/>
  <c r="C177" i="10"/>
  <c r="B177" i="10"/>
  <c r="G176" i="10"/>
  <c r="F176" i="10"/>
  <c r="E176" i="10"/>
  <c r="D176" i="10"/>
  <c r="C176" i="10"/>
  <c r="B176" i="10"/>
  <c r="G175" i="10"/>
  <c r="F175" i="10"/>
  <c r="E175" i="10"/>
  <c r="D175" i="10"/>
  <c r="C175" i="10"/>
  <c r="B175" i="10"/>
  <c r="G174" i="10"/>
  <c r="F174" i="10"/>
  <c r="E174" i="10"/>
  <c r="D174" i="10"/>
  <c r="C174" i="10"/>
  <c r="B174" i="10"/>
  <c r="G173" i="10"/>
  <c r="F173" i="10"/>
  <c r="E173" i="10"/>
  <c r="D173" i="10"/>
  <c r="C173" i="10"/>
  <c r="B173" i="10"/>
  <c r="G172" i="10"/>
  <c r="F172" i="10"/>
  <c r="E172" i="10"/>
  <c r="D172" i="10"/>
  <c r="C172" i="10"/>
  <c r="B172" i="10"/>
  <c r="G171" i="10"/>
  <c r="F171" i="10"/>
  <c r="E171" i="10"/>
  <c r="D171" i="10"/>
  <c r="C171" i="10"/>
  <c r="B171" i="10"/>
  <c r="G170" i="10"/>
  <c r="F170" i="10"/>
  <c r="E170" i="10"/>
  <c r="D170" i="10"/>
  <c r="C170" i="10"/>
  <c r="B170" i="10"/>
  <c r="G169" i="10"/>
  <c r="F169" i="10"/>
  <c r="E169" i="10"/>
  <c r="D169" i="10"/>
  <c r="C169" i="10"/>
  <c r="B169" i="10"/>
  <c r="G168" i="10"/>
  <c r="F168" i="10"/>
  <c r="E168" i="10"/>
  <c r="D168" i="10"/>
  <c r="C168" i="10"/>
  <c r="B168" i="10"/>
  <c r="G167" i="10"/>
  <c r="F167" i="10"/>
  <c r="E167" i="10"/>
  <c r="D167" i="10"/>
  <c r="C167" i="10"/>
  <c r="B167" i="10"/>
  <c r="G166" i="10"/>
  <c r="F166" i="10"/>
  <c r="E166" i="10"/>
  <c r="D166" i="10"/>
  <c r="C166" i="10"/>
  <c r="B166" i="10"/>
  <c r="G165" i="10"/>
  <c r="F165" i="10"/>
  <c r="E165" i="10"/>
  <c r="D165" i="10"/>
  <c r="C165" i="10"/>
  <c r="B165" i="10"/>
  <c r="G164" i="10"/>
  <c r="F164" i="10"/>
  <c r="E164" i="10"/>
  <c r="D164" i="10"/>
  <c r="C164" i="10"/>
  <c r="B164" i="10"/>
  <c r="G163" i="10"/>
  <c r="F163" i="10"/>
  <c r="E163" i="10"/>
  <c r="D163" i="10"/>
  <c r="C163" i="10"/>
  <c r="B163" i="10"/>
  <c r="G162" i="10"/>
  <c r="F162" i="10"/>
  <c r="E162" i="10"/>
  <c r="D162" i="10"/>
  <c r="C162" i="10"/>
  <c r="B162" i="10"/>
  <c r="G161" i="10"/>
  <c r="F161" i="10"/>
  <c r="E161" i="10"/>
  <c r="D161" i="10"/>
  <c r="C161" i="10"/>
  <c r="B161" i="10"/>
  <c r="G160" i="10"/>
  <c r="F160" i="10"/>
  <c r="E160" i="10"/>
  <c r="D160" i="10"/>
  <c r="C160" i="10"/>
  <c r="B160" i="10"/>
  <c r="G159" i="10"/>
  <c r="F159" i="10"/>
  <c r="E159" i="10"/>
  <c r="D159" i="10"/>
  <c r="C159" i="10"/>
  <c r="B159" i="10"/>
  <c r="G158" i="10"/>
  <c r="F158" i="10"/>
  <c r="E158" i="10"/>
  <c r="D158" i="10"/>
  <c r="C158" i="10"/>
  <c r="B158" i="10"/>
  <c r="G157" i="10"/>
  <c r="F157" i="10"/>
  <c r="E157" i="10"/>
  <c r="D157" i="10"/>
  <c r="C157" i="10"/>
  <c r="B157" i="10"/>
  <c r="G156" i="10"/>
  <c r="F156" i="10"/>
  <c r="E156" i="10"/>
  <c r="D156" i="10"/>
  <c r="C156" i="10"/>
  <c r="B156" i="10"/>
  <c r="G155" i="10"/>
  <c r="F155" i="10"/>
  <c r="E155" i="10"/>
  <c r="D155" i="10"/>
  <c r="C155" i="10"/>
  <c r="B155" i="10"/>
  <c r="G154" i="10"/>
  <c r="F154" i="10"/>
  <c r="E154" i="10"/>
  <c r="D154" i="10"/>
  <c r="C154" i="10"/>
  <c r="B154" i="10"/>
  <c r="G153" i="10"/>
  <c r="F153" i="10"/>
  <c r="E153" i="10"/>
  <c r="D153" i="10"/>
  <c r="C153" i="10"/>
  <c r="B153" i="10"/>
  <c r="G152" i="10"/>
  <c r="F152" i="10"/>
  <c r="E152" i="10"/>
  <c r="D152" i="10"/>
  <c r="C152" i="10"/>
  <c r="B152" i="10"/>
  <c r="G151" i="10"/>
  <c r="F151" i="10"/>
  <c r="E151" i="10"/>
  <c r="D151" i="10"/>
  <c r="C151" i="10"/>
  <c r="B151" i="10"/>
  <c r="G150" i="10"/>
  <c r="F150" i="10"/>
  <c r="E150" i="10"/>
  <c r="D150" i="10"/>
  <c r="C150" i="10"/>
  <c r="B150" i="10"/>
  <c r="G149" i="10"/>
  <c r="F149" i="10"/>
  <c r="E149" i="10"/>
  <c r="D149" i="10"/>
  <c r="C149" i="10"/>
  <c r="B149" i="10"/>
  <c r="G148" i="10"/>
  <c r="F148" i="10"/>
  <c r="E148" i="10"/>
  <c r="D148" i="10"/>
  <c r="C148" i="10"/>
  <c r="B148" i="10"/>
  <c r="G147" i="10"/>
  <c r="F147" i="10"/>
  <c r="E147" i="10"/>
  <c r="D147" i="10"/>
  <c r="C147" i="10"/>
  <c r="B147" i="10"/>
  <c r="G146" i="10"/>
  <c r="F146" i="10"/>
  <c r="E146" i="10"/>
  <c r="D146" i="10"/>
  <c r="C146" i="10"/>
  <c r="B146" i="10"/>
  <c r="G145" i="10"/>
  <c r="F145" i="10"/>
  <c r="E145" i="10"/>
  <c r="D145" i="10"/>
  <c r="C145" i="10"/>
  <c r="B145" i="10"/>
  <c r="G144" i="10"/>
  <c r="F144" i="10"/>
  <c r="E144" i="10"/>
  <c r="D144" i="10"/>
  <c r="C144" i="10"/>
  <c r="B144" i="10"/>
  <c r="G143" i="10"/>
  <c r="F143" i="10"/>
  <c r="E143" i="10"/>
  <c r="D143" i="10"/>
  <c r="C143" i="10"/>
  <c r="B143" i="10"/>
  <c r="G142" i="10"/>
  <c r="F142" i="10"/>
  <c r="E142" i="10"/>
  <c r="D142" i="10"/>
  <c r="C142" i="10"/>
  <c r="B142" i="10"/>
  <c r="G141" i="10"/>
  <c r="F141" i="10"/>
  <c r="E141" i="10"/>
  <c r="D141" i="10"/>
  <c r="C141" i="10"/>
  <c r="B141" i="10"/>
  <c r="G140" i="10"/>
  <c r="F140" i="10"/>
  <c r="E140" i="10"/>
  <c r="D140" i="10"/>
  <c r="C140" i="10"/>
  <c r="B140" i="10"/>
  <c r="G139" i="10"/>
  <c r="F139" i="10"/>
  <c r="E139" i="10"/>
  <c r="D139" i="10"/>
  <c r="C139" i="10"/>
  <c r="B139" i="10"/>
  <c r="G138" i="10"/>
  <c r="F138" i="10"/>
  <c r="E138" i="10"/>
  <c r="D138" i="10"/>
  <c r="C138" i="10"/>
  <c r="B138" i="10"/>
  <c r="G137" i="10"/>
  <c r="F137" i="10"/>
  <c r="E137" i="10"/>
  <c r="D137" i="10"/>
  <c r="C137" i="10"/>
  <c r="B137" i="10"/>
  <c r="G136" i="10"/>
  <c r="F136" i="10"/>
  <c r="E136" i="10"/>
  <c r="D136" i="10"/>
  <c r="C136" i="10"/>
  <c r="B136" i="10"/>
  <c r="G135" i="10"/>
  <c r="F135" i="10"/>
  <c r="E135" i="10"/>
  <c r="D135" i="10"/>
  <c r="C135" i="10"/>
  <c r="B135" i="10"/>
  <c r="G134" i="10"/>
  <c r="F134" i="10"/>
  <c r="E134" i="10"/>
  <c r="D134" i="10"/>
  <c r="C134" i="10"/>
  <c r="B134" i="10"/>
  <c r="G133" i="10"/>
  <c r="F133" i="10"/>
  <c r="E133" i="10"/>
  <c r="D133" i="10"/>
  <c r="C133" i="10"/>
  <c r="B133" i="10"/>
  <c r="G132" i="10"/>
  <c r="F132" i="10"/>
  <c r="E132" i="10"/>
  <c r="D132" i="10"/>
  <c r="C132" i="10"/>
  <c r="B132" i="10"/>
  <c r="G131" i="10"/>
  <c r="F131" i="10"/>
  <c r="E131" i="10"/>
  <c r="D131" i="10"/>
  <c r="C131" i="10"/>
  <c r="B131" i="10"/>
  <c r="G130" i="10"/>
  <c r="F130" i="10"/>
  <c r="E130" i="10"/>
  <c r="D130" i="10"/>
  <c r="C130" i="10"/>
  <c r="B130" i="10"/>
  <c r="G129" i="10"/>
  <c r="F129" i="10"/>
  <c r="E129" i="10"/>
  <c r="D129" i="10"/>
  <c r="C129" i="10"/>
  <c r="B129" i="10"/>
  <c r="G128" i="10"/>
  <c r="F128" i="10"/>
  <c r="E128" i="10"/>
  <c r="D128" i="10"/>
  <c r="C128" i="10"/>
  <c r="B128" i="10"/>
  <c r="G127" i="10"/>
  <c r="F127" i="10"/>
  <c r="E127" i="10"/>
  <c r="D127" i="10"/>
  <c r="C127" i="10"/>
  <c r="B127" i="10"/>
  <c r="G126" i="10"/>
  <c r="F126" i="10"/>
  <c r="E126" i="10"/>
  <c r="D126" i="10"/>
  <c r="C126" i="10"/>
  <c r="B126" i="10"/>
  <c r="G125" i="10"/>
  <c r="F125" i="10"/>
  <c r="E125" i="10"/>
  <c r="D125" i="10"/>
  <c r="C125" i="10"/>
  <c r="B125" i="10"/>
  <c r="G124" i="10"/>
  <c r="F124" i="10"/>
  <c r="E124" i="10"/>
  <c r="D124" i="10"/>
  <c r="C124" i="10"/>
  <c r="B124" i="10"/>
  <c r="G123" i="10"/>
  <c r="F123" i="10"/>
  <c r="E123" i="10"/>
  <c r="D123" i="10"/>
  <c r="C123" i="10"/>
  <c r="B123" i="10"/>
  <c r="G122" i="10"/>
  <c r="F122" i="10"/>
  <c r="E122" i="10"/>
  <c r="D122" i="10"/>
  <c r="C122" i="10"/>
  <c r="B122" i="10"/>
  <c r="G121" i="10"/>
  <c r="F121" i="10"/>
  <c r="E121" i="10"/>
  <c r="D121" i="10"/>
  <c r="C121" i="10"/>
  <c r="B121" i="10"/>
  <c r="G120" i="10"/>
  <c r="F120" i="10"/>
  <c r="E120" i="10"/>
  <c r="D120" i="10"/>
  <c r="C120" i="10"/>
  <c r="B120" i="10"/>
  <c r="G119" i="10"/>
  <c r="F119" i="10"/>
  <c r="E119" i="10"/>
  <c r="D119" i="10"/>
  <c r="C119" i="10"/>
  <c r="B119" i="10"/>
  <c r="G118" i="10"/>
  <c r="F118" i="10"/>
  <c r="E118" i="10"/>
  <c r="D118" i="10"/>
  <c r="C118" i="10"/>
  <c r="B118" i="10"/>
  <c r="G117" i="10"/>
  <c r="F117" i="10"/>
  <c r="E117" i="10"/>
  <c r="D117" i="10"/>
  <c r="C117" i="10"/>
  <c r="B117" i="10"/>
  <c r="G116" i="10"/>
  <c r="F116" i="10"/>
  <c r="E116" i="10"/>
  <c r="D116" i="10"/>
  <c r="C116" i="10"/>
  <c r="B116" i="10"/>
  <c r="G115" i="10"/>
  <c r="F115" i="10"/>
  <c r="E115" i="10"/>
  <c r="D115" i="10"/>
  <c r="C115" i="10"/>
  <c r="B115" i="10"/>
  <c r="G114" i="10"/>
  <c r="F114" i="10"/>
  <c r="E114" i="10"/>
  <c r="D114" i="10"/>
  <c r="C114" i="10"/>
  <c r="B114" i="10"/>
  <c r="G113" i="10"/>
  <c r="F113" i="10"/>
  <c r="E113" i="10"/>
  <c r="D113" i="10"/>
  <c r="C113" i="10"/>
  <c r="B113" i="10"/>
  <c r="G112" i="10"/>
  <c r="F112" i="10"/>
  <c r="E112" i="10"/>
  <c r="D112" i="10"/>
  <c r="C112" i="10"/>
  <c r="B112" i="10"/>
  <c r="G111" i="10"/>
  <c r="F111" i="10"/>
  <c r="E111" i="10"/>
  <c r="D111" i="10"/>
  <c r="C111" i="10"/>
  <c r="B111" i="10"/>
  <c r="G110" i="10"/>
  <c r="F110" i="10"/>
  <c r="E110" i="10"/>
  <c r="D110" i="10"/>
  <c r="C110" i="10"/>
  <c r="B110" i="10"/>
  <c r="G109" i="10"/>
  <c r="F109" i="10"/>
  <c r="E109" i="10"/>
  <c r="D109" i="10"/>
  <c r="C109" i="10"/>
  <c r="B109" i="10"/>
  <c r="G108" i="10"/>
  <c r="F108" i="10"/>
  <c r="E108" i="10"/>
  <c r="D108" i="10"/>
  <c r="C108" i="10"/>
  <c r="B108" i="10"/>
  <c r="G107" i="10"/>
  <c r="F107" i="10"/>
  <c r="E107" i="10"/>
  <c r="D107" i="10"/>
  <c r="C107" i="10"/>
  <c r="B107" i="10"/>
  <c r="G106" i="10"/>
  <c r="F106" i="10"/>
  <c r="E106" i="10"/>
  <c r="D106" i="10"/>
  <c r="C106" i="10"/>
  <c r="B106" i="10"/>
  <c r="G105" i="10"/>
  <c r="F105" i="10"/>
  <c r="E105" i="10"/>
  <c r="D105" i="10"/>
  <c r="C105" i="10"/>
  <c r="B105" i="10"/>
  <c r="G104" i="10"/>
  <c r="F104" i="10"/>
  <c r="E104" i="10"/>
  <c r="D104" i="10"/>
  <c r="C104" i="10"/>
  <c r="B104" i="10"/>
  <c r="G103" i="10"/>
  <c r="F103" i="10"/>
  <c r="E103" i="10"/>
  <c r="D103" i="10"/>
  <c r="C103" i="10"/>
  <c r="B103" i="10"/>
  <c r="G102" i="10"/>
  <c r="F102" i="10"/>
  <c r="E102" i="10"/>
  <c r="D102" i="10"/>
  <c r="C102" i="10"/>
  <c r="B102" i="10"/>
  <c r="G101" i="10"/>
  <c r="F101" i="10"/>
  <c r="E101" i="10"/>
  <c r="D101" i="10"/>
  <c r="C101" i="10"/>
  <c r="B101" i="10"/>
  <c r="G100" i="10"/>
  <c r="F100" i="10"/>
  <c r="E100" i="10"/>
  <c r="D100" i="10"/>
  <c r="C100" i="10"/>
  <c r="B100" i="10"/>
  <c r="G99" i="10"/>
  <c r="F99" i="10"/>
  <c r="E99" i="10"/>
  <c r="D99" i="10"/>
  <c r="C99" i="10"/>
  <c r="B99" i="10"/>
  <c r="G98" i="10"/>
  <c r="F98" i="10"/>
  <c r="E98" i="10"/>
  <c r="D98" i="10"/>
  <c r="C98" i="10"/>
  <c r="B98" i="10"/>
  <c r="G97" i="10"/>
  <c r="F97" i="10"/>
  <c r="E97" i="10"/>
  <c r="D97" i="10"/>
  <c r="C97" i="10"/>
  <c r="B97" i="10"/>
  <c r="G96" i="10"/>
  <c r="F96" i="10"/>
  <c r="E96" i="10"/>
  <c r="D96" i="10"/>
  <c r="C96" i="10"/>
  <c r="B96" i="10"/>
  <c r="G95" i="10"/>
  <c r="F95" i="10"/>
  <c r="E95" i="10"/>
  <c r="D95" i="10"/>
  <c r="C95" i="10"/>
  <c r="B95" i="10"/>
  <c r="G94" i="10"/>
  <c r="F94" i="10"/>
  <c r="E94" i="10"/>
  <c r="D94" i="10"/>
  <c r="C94" i="10"/>
  <c r="B94" i="10"/>
  <c r="G93" i="10"/>
  <c r="F93" i="10"/>
  <c r="E93" i="10"/>
  <c r="D93" i="10"/>
  <c r="C93" i="10"/>
  <c r="B93" i="10"/>
  <c r="G92" i="10"/>
  <c r="F92" i="10"/>
  <c r="E92" i="10"/>
  <c r="D92" i="10"/>
  <c r="C92" i="10"/>
  <c r="B92" i="10"/>
  <c r="G91" i="10"/>
  <c r="F91" i="10"/>
  <c r="E91" i="10"/>
  <c r="D91" i="10"/>
  <c r="C91" i="10"/>
  <c r="B91" i="10"/>
  <c r="G90" i="10"/>
  <c r="F90" i="10"/>
  <c r="E90" i="10"/>
  <c r="D90" i="10"/>
  <c r="C90" i="10"/>
  <c r="B90" i="10"/>
  <c r="G89" i="10"/>
  <c r="F89" i="10"/>
  <c r="E89" i="10"/>
  <c r="D89" i="10"/>
  <c r="C89" i="10"/>
  <c r="B89" i="10"/>
  <c r="G88" i="10"/>
  <c r="F88" i="10"/>
  <c r="E88" i="10"/>
  <c r="D88" i="10"/>
  <c r="C88" i="10"/>
  <c r="B88" i="10"/>
  <c r="G87" i="10"/>
  <c r="F87" i="10"/>
  <c r="E87" i="10"/>
  <c r="D87" i="10"/>
  <c r="C87" i="10"/>
  <c r="B87" i="10"/>
  <c r="G86" i="10"/>
  <c r="F86" i="10"/>
  <c r="E86" i="10"/>
  <c r="D86" i="10"/>
  <c r="C86" i="10"/>
  <c r="B86" i="10"/>
  <c r="G85" i="10"/>
  <c r="F85" i="10"/>
  <c r="E85" i="10"/>
  <c r="D85" i="10"/>
  <c r="C85" i="10"/>
  <c r="B85" i="10"/>
  <c r="G84" i="10"/>
  <c r="F84" i="10"/>
  <c r="E84" i="10"/>
  <c r="D84" i="10"/>
  <c r="C84" i="10"/>
  <c r="B84" i="10"/>
  <c r="G83" i="10"/>
  <c r="F83" i="10"/>
  <c r="E83" i="10"/>
  <c r="D83" i="10"/>
  <c r="C83" i="10"/>
  <c r="B83" i="10"/>
  <c r="G82" i="10"/>
  <c r="F82" i="10"/>
  <c r="E82" i="10"/>
  <c r="D82" i="10"/>
  <c r="C82" i="10"/>
  <c r="B82" i="10"/>
  <c r="G81" i="10"/>
  <c r="F81" i="10"/>
  <c r="E81" i="10"/>
  <c r="D81" i="10"/>
  <c r="C81" i="10"/>
  <c r="B81" i="10"/>
  <c r="G80" i="10"/>
  <c r="F80" i="10"/>
  <c r="E80" i="10"/>
  <c r="D80" i="10"/>
  <c r="C80" i="10"/>
  <c r="B80" i="10"/>
  <c r="G79" i="10"/>
  <c r="F79" i="10"/>
  <c r="E79" i="10"/>
  <c r="D79" i="10"/>
  <c r="C79" i="10"/>
  <c r="B79" i="10"/>
  <c r="G78" i="10"/>
  <c r="F78" i="10"/>
  <c r="E78" i="10"/>
  <c r="D78" i="10"/>
  <c r="C78" i="10"/>
  <c r="B78" i="10"/>
  <c r="G77" i="10"/>
  <c r="F77" i="10"/>
  <c r="E77" i="10"/>
  <c r="D77" i="10"/>
  <c r="C77" i="10"/>
  <c r="B77" i="10"/>
  <c r="G76" i="10"/>
  <c r="F76" i="10"/>
  <c r="E76" i="10"/>
  <c r="D76" i="10"/>
  <c r="C76" i="10"/>
  <c r="B76" i="10"/>
  <c r="G75" i="10"/>
  <c r="F75" i="10"/>
  <c r="E75" i="10"/>
  <c r="D75" i="10"/>
  <c r="C75" i="10"/>
  <c r="B75" i="10"/>
  <c r="G74" i="10"/>
  <c r="F74" i="10"/>
  <c r="E74" i="10"/>
  <c r="D74" i="10"/>
  <c r="C74" i="10"/>
  <c r="B74" i="10"/>
  <c r="G73" i="10"/>
  <c r="F73" i="10"/>
  <c r="E73" i="10"/>
  <c r="D73" i="10"/>
  <c r="C73" i="10"/>
  <c r="B73" i="10"/>
  <c r="G72" i="10"/>
  <c r="F72" i="10"/>
  <c r="E72" i="10"/>
  <c r="D72" i="10"/>
  <c r="C72" i="10"/>
  <c r="B72" i="10"/>
  <c r="G71" i="10"/>
  <c r="F71" i="10"/>
  <c r="E71" i="10"/>
  <c r="D71" i="10"/>
  <c r="C71" i="10"/>
  <c r="B71" i="10"/>
  <c r="G70" i="10"/>
  <c r="F70" i="10"/>
  <c r="E70" i="10"/>
  <c r="D70" i="10"/>
  <c r="C70" i="10"/>
  <c r="B70" i="10"/>
  <c r="G69" i="10"/>
  <c r="F69" i="10"/>
  <c r="E69" i="10"/>
  <c r="D69" i="10"/>
  <c r="C69" i="10"/>
  <c r="B69" i="10"/>
  <c r="G68" i="10"/>
  <c r="F68" i="10"/>
  <c r="E68" i="10"/>
  <c r="D68" i="10"/>
  <c r="C68" i="10"/>
  <c r="B68" i="10"/>
  <c r="G67" i="10"/>
  <c r="F67" i="10"/>
  <c r="E67" i="10"/>
  <c r="D67" i="10"/>
  <c r="C67" i="10"/>
  <c r="B67" i="10"/>
  <c r="G66" i="10"/>
  <c r="F66" i="10"/>
  <c r="E66" i="10"/>
  <c r="D66" i="10"/>
  <c r="C66" i="10"/>
  <c r="B66" i="10"/>
  <c r="G65" i="10"/>
  <c r="F65" i="10"/>
  <c r="E65" i="10"/>
  <c r="D65" i="10"/>
  <c r="C65" i="10"/>
  <c r="B65" i="10"/>
  <c r="G64" i="10"/>
  <c r="F64" i="10"/>
  <c r="E64" i="10"/>
  <c r="D64" i="10"/>
  <c r="C64" i="10"/>
  <c r="B64" i="10"/>
  <c r="G63" i="10"/>
  <c r="F63" i="10"/>
  <c r="E63" i="10"/>
  <c r="D63" i="10"/>
  <c r="C63" i="10"/>
  <c r="B63" i="10"/>
  <c r="G62" i="10"/>
  <c r="F62" i="10"/>
  <c r="E62" i="10"/>
  <c r="D62" i="10"/>
  <c r="C62" i="10"/>
  <c r="B62" i="10"/>
  <c r="G61" i="10"/>
  <c r="F61" i="10"/>
  <c r="E61" i="10"/>
  <c r="D61" i="10"/>
  <c r="C61" i="10"/>
  <c r="B61" i="10"/>
  <c r="G60" i="10"/>
  <c r="F60" i="10"/>
  <c r="E60" i="10"/>
  <c r="D60" i="10"/>
  <c r="C60" i="10"/>
  <c r="B60" i="10"/>
  <c r="G59" i="10"/>
  <c r="F59" i="10"/>
  <c r="E59" i="10"/>
  <c r="D59" i="10"/>
  <c r="C59" i="10"/>
  <c r="B59" i="10"/>
  <c r="G58" i="10"/>
  <c r="F58" i="10"/>
  <c r="E58" i="10"/>
  <c r="D58" i="10"/>
  <c r="C58" i="10"/>
  <c r="B58" i="10"/>
  <c r="G57" i="10"/>
  <c r="F57" i="10"/>
  <c r="E57" i="10"/>
  <c r="D57" i="10"/>
  <c r="C57" i="10"/>
  <c r="B57" i="10"/>
  <c r="G56" i="10"/>
  <c r="F56" i="10"/>
  <c r="E56" i="10"/>
  <c r="D56" i="10"/>
  <c r="C56" i="10"/>
  <c r="B56" i="10"/>
  <c r="G55" i="10"/>
  <c r="F55" i="10"/>
  <c r="E55" i="10"/>
  <c r="D55" i="10"/>
  <c r="C55" i="10"/>
  <c r="B55" i="10"/>
  <c r="G54" i="10"/>
  <c r="F54" i="10"/>
  <c r="E54" i="10"/>
  <c r="D54" i="10"/>
  <c r="C54" i="10"/>
  <c r="B54" i="10"/>
  <c r="G53" i="10"/>
  <c r="F53" i="10"/>
  <c r="E53" i="10"/>
  <c r="D53" i="10"/>
  <c r="C53" i="10"/>
  <c r="B53" i="10"/>
  <c r="G52" i="10"/>
  <c r="F52" i="10"/>
  <c r="E52" i="10"/>
  <c r="D52" i="10"/>
  <c r="C52" i="10"/>
  <c r="B52" i="10"/>
  <c r="G51" i="10"/>
  <c r="F51" i="10"/>
  <c r="E51" i="10"/>
  <c r="D51" i="10"/>
  <c r="C51" i="10"/>
  <c r="B51" i="10"/>
  <c r="G50" i="10"/>
  <c r="F50" i="10"/>
  <c r="E50" i="10"/>
  <c r="D50" i="10"/>
  <c r="C50" i="10"/>
  <c r="B50" i="10"/>
  <c r="G49" i="10"/>
  <c r="F49" i="10"/>
  <c r="E49" i="10"/>
  <c r="D49" i="10"/>
  <c r="C49" i="10"/>
  <c r="B49" i="10"/>
  <c r="G48" i="10"/>
  <c r="F48" i="10"/>
  <c r="E48" i="10"/>
  <c r="D48" i="10"/>
  <c r="C48" i="10"/>
  <c r="B48" i="10"/>
  <c r="G47" i="10"/>
  <c r="F47" i="10"/>
  <c r="E47" i="10"/>
  <c r="D47" i="10"/>
  <c r="C47" i="10"/>
  <c r="B47" i="10"/>
  <c r="G46" i="10"/>
  <c r="F46" i="10"/>
  <c r="E46" i="10"/>
  <c r="D46" i="10"/>
  <c r="C46" i="10"/>
  <c r="B46" i="10"/>
  <c r="G45" i="10"/>
  <c r="F45" i="10"/>
  <c r="E45" i="10"/>
  <c r="D45" i="10"/>
  <c r="C45" i="10"/>
  <c r="B45" i="10"/>
  <c r="G44" i="10"/>
  <c r="F44" i="10"/>
  <c r="E44" i="10"/>
  <c r="D44" i="10"/>
  <c r="C44" i="10"/>
  <c r="B44" i="10"/>
  <c r="G43" i="10"/>
  <c r="F43" i="10"/>
  <c r="E43" i="10"/>
  <c r="D43" i="10"/>
  <c r="C43" i="10"/>
  <c r="B43" i="10"/>
  <c r="G42" i="10"/>
  <c r="F42" i="10"/>
  <c r="E42" i="10"/>
  <c r="D42" i="10"/>
  <c r="C42" i="10"/>
  <c r="B42" i="10"/>
  <c r="G41" i="10"/>
  <c r="F41" i="10"/>
  <c r="E41" i="10"/>
  <c r="D41" i="10"/>
  <c r="C41" i="10"/>
  <c r="B41" i="10"/>
  <c r="G40" i="10"/>
  <c r="F40" i="10"/>
  <c r="E40" i="10"/>
  <c r="D40" i="10"/>
  <c r="C40" i="10"/>
  <c r="B40" i="10"/>
  <c r="G39" i="10"/>
  <c r="F39" i="10"/>
  <c r="E39" i="10"/>
  <c r="D39" i="10"/>
  <c r="C39" i="10"/>
  <c r="B39" i="10"/>
  <c r="G38" i="10"/>
  <c r="F38" i="10"/>
  <c r="E38" i="10"/>
  <c r="D38" i="10"/>
  <c r="C38" i="10"/>
  <c r="B38" i="10"/>
  <c r="G37" i="10"/>
  <c r="F37" i="10"/>
  <c r="E37" i="10"/>
  <c r="D37" i="10"/>
  <c r="C37" i="10"/>
  <c r="B37" i="10"/>
  <c r="V200" i="8"/>
  <c r="U200" i="8"/>
  <c r="T200" i="8"/>
  <c r="S200" i="8"/>
  <c r="R200" i="8"/>
  <c r="Q200" i="8"/>
  <c r="P200" i="8"/>
  <c r="O200" i="8"/>
  <c r="N200" i="8"/>
  <c r="M200" i="8"/>
  <c r="L200" i="8"/>
  <c r="K200" i="8"/>
  <c r="J200" i="8"/>
  <c r="I200" i="8"/>
  <c r="H200" i="8"/>
  <c r="G200" i="8"/>
  <c r="F200" i="8"/>
  <c r="E200" i="8"/>
  <c r="D200" i="8"/>
  <c r="C200" i="8"/>
  <c r="B200" i="8"/>
  <c r="V199" i="8"/>
  <c r="U199" i="8"/>
  <c r="T199" i="8"/>
  <c r="S199" i="8"/>
  <c r="R199" i="8"/>
  <c r="Q199" i="8"/>
  <c r="P199" i="8"/>
  <c r="O199" i="8"/>
  <c r="N199" i="8"/>
  <c r="M199" i="8"/>
  <c r="L199" i="8"/>
  <c r="K199" i="8"/>
  <c r="J199" i="8"/>
  <c r="I199" i="8"/>
  <c r="H199" i="8"/>
  <c r="G199" i="8"/>
  <c r="F199" i="8"/>
  <c r="E199" i="8"/>
  <c r="D199" i="8"/>
  <c r="C199" i="8"/>
  <c r="B199" i="8"/>
  <c r="V198" i="8"/>
  <c r="U198" i="8"/>
  <c r="T198" i="8"/>
  <c r="S198" i="8"/>
  <c r="R198" i="8"/>
  <c r="Q198" i="8"/>
  <c r="P198" i="8"/>
  <c r="O198" i="8"/>
  <c r="N198" i="8"/>
  <c r="M198" i="8"/>
  <c r="L198" i="8"/>
  <c r="K198" i="8"/>
  <c r="J198" i="8"/>
  <c r="I198" i="8"/>
  <c r="H198" i="8"/>
  <c r="G198" i="8"/>
  <c r="F198" i="8"/>
  <c r="E198" i="8"/>
  <c r="D198" i="8"/>
  <c r="C198" i="8"/>
  <c r="B198" i="8"/>
  <c r="V197" i="8"/>
  <c r="U197" i="8"/>
  <c r="T197" i="8"/>
  <c r="S197" i="8"/>
  <c r="R197" i="8"/>
  <c r="Q197" i="8"/>
  <c r="P197" i="8"/>
  <c r="O197" i="8"/>
  <c r="N197" i="8"/>
  <c r="M197" i="8"/>
  <c r="L197" i="8"/>
  <c r="K197" i="8"/>
  <c r="J197" i="8"/>
  <c r="I197" i="8"/>
  <c r="H197" i="8"/>
  <c r="G197" i="8"/>
  <c r="F197" i="8"/>
  <c r="E197" i="8"/>
  <c r="D197" i="8"/>
  <c r="C197" i="8"/>
  <c r="B197" i="8"/>
  <c r="V196" i="8"/>
  <c r="U196" i="8"/>
  <c r="T196" i="8"/>
  <c r="S196" i="8"/>
  <c r="R196" i="8"/>
  <c r="Q196" i="8"/>
  <c r="P196" i="8"/>
  <c r="O196" i="8"/>
  <c r="N196" i="8"/>
  <c r="M196" i="8"/>
  <c r="L196" i="8"/>
  <c r="K196" i="8"/>
  <c r="J196" i="8"/>
  <c r="I196" i="8"/>
  <c r="H196" i="8"/>
  <c r="G196" i="8"/>
  <c r="F196" i="8"/>
  <c r="E196" i="8"/>
  <c r="D196" i="8"/>
  <c r="C196" i="8"/>
  <c r="B196" i="8"/>
  <c r="V195" i="8"/>
  <c r="U195" i="8"/>
  <c r="T195" i="8"/>
  <c r="S195" i="8"/>
  <c r="R195" i="8"/>
  <c r="Q195" i="8"/>
  <c r="P195" i="8"/>
  <c r="O195" i="8"/>
  <c r="N195" i="8"/>
  <c r="M195" i="8"/>
  <c r="L195" i="8"/>
  <c r="K195" i="8"/>
  <c r="J195" i="8"/>
  <c r="I195" i="8"/>
  <c r="H195" i="8"/>
  <c r="G195" i="8"/>
  <c r="F195" i="8"/>
  <c r="E195" i="8"/>
  <c r="D195" i="8"/>
  <c r="C195" i="8"/>
  <c r="B195" i="8"/>
  <c r="V194" i="8"/>
  <c r="U194" i="8"/>
  <c r="T194" i="8"/>
  <c r="S194" i="8"/>
  <c r="R194" i="8"/>
  <c r="Q194" i="8"/>
  <c r="P194" i="8"/>
  <c r="O194" i="8"/>
  <c r="N194" i="8"/>
  <c r="M194" i="8"/>
  <c r="L194" i="8"/>
  <c r="K194" i="8"/>
  <c r="J194" i="8"/>
  <c r="I194" i="8"/>
  <c r="H194" i="8"/>
  <c r="G194" i="8"/>
  <c r="F194" i="8"/>
  <c r="E194" i="8"/>
  <c r="D194" i="8"/>
  <c r="C194" i="8"/>
  <c r="B194" i="8"/>
  <c r="V193" i="8"/>
  <c r="U193" i="8"/>
  <c r="T193" i="8"/>
  <c r="S193" i="8"/>
  <c r="R193" i="8"/>
  <c r="Q193" i="8"/>
  <c r="P193" i="8"/>
  <c r="O193" i="8"/>
  <c r="N193" i="8"/>
  <c r="M193" i="8"/>
  <c r="L193" i="8"/>
  <c r="K193" i="8"/>
  <c r="J193" i="8"/>
  <c r="I193" i="8"/>
  <c r="H193" i="8"/>
  <c r="G193" i="8"/>
  <c r="F193" i="8"/>
  <c r="E193" i="8"/>
  <c r="D193" i="8"/>
  <c r="C193" i="8"/>
  <c r="B193" i="8"/>
  <c r="V192" i="8"/>
  <c r="U192" i="8"/>
  <c r="T192" i="8"/>
  <c r="S192" i="8"/>
  <c r="R192" i="8"/>
  <c r="Q192" i="8"/>
  <c r="P192" i="8"/>
  <c r="O192" i="8"/>
  <c r="N192" i="8"/>
  <c r="M192" i="8"/>
  <c r="L192" i="8"/>
  <c r="K192" i="8"/>
  <c r="J192" i="8"/>
  <c r="I192" i="8"/>
  <c r="H192" i="8"/>
  <c r="G192" i="8"/>
  <c r="F192" i="8"/>
  <c r="E192" i="8"/>
  <c r="D192" i="8"/>
  <c r="C192" i="8"/>
  <c r="B192" i="8"/>
  <c r="V191" i="8"/>
  <c r="U191" i="8"/>
  <c r="T191" i="8"/>
  <c r="S191" i="8"/>
  <c r="R191" i="8"/>
  <c r="Q191" i="8"/>
  <c r="P191" i="8"/>
  <c r="O191" i="8"/>
  <c r="N191" i="8"/>
  <c r="M191" i="8"/>
  <c r="L191" i="8"/>
  <c r="K191" i="8"/>
  <c r="J191" i="8"/>
  <c r="I191" i="8"/>
  <c r="H191" i="8"/>
  <c r="G191" i="8"/>
  <c r="F191" i="8"/>
  <c r="E191" i="8"/>
  <c r="D191" i="8"/>
  <c r="C191" i="8"/>
  <c r="B191" i="8"/>
  <c r="V190" i="8"/>
  <c r="U190" i="8"/>
  <c r="T190" i="8"/>
  <c r="S190" i="8"/>
  <c r="R190" i="8"/>
  <c r="Q190" i="8"/>
  <c r="P190" i="8"/>
  <c r="O190" i="8"/>
  <c r="N190" i="8"/>
  <c r="M190" i="8"/>
  <c r="L190" i="8"/>
  <c r="K190" i="8"/>
  <c r="J190" i="8"/>
  <c r="I190" i="8"/>
  <c r="H190" i="8"/>
  <c r="G190" i="8"/>
  <c r="F190" i="8"/>
  <c r="E190" i="8"/>
  <c r="D190" i="8"/>
  <c r="C190" i="8"/>
  <c r="B190" i="8"/>
  <c r="V189" i="8"/>
  <c r="U189" i="8"/>
  <c r="T189" i="8"/>
  <c r="S189" i="8"/>
  <c r="R189" i="8"/>
  <c r="Q189" i="8"/>
  <c r="P189" i="8"/>
  <c r="O189" i="8"/>
  <c r="N189" i="8"/>
  <c r="M189" i="8"/>
  <c r="L189" i="8"/>
  <c r="K189" i="8"/>
  <c r="J189" i="8"/>
  <c r="I189" i="8"/>
  <c r="H189" i="8"/>
  <c r="G189" i="8"/>
  <c r="F189" i="8"/>
  <c r="E189" i="8"/>
  <c r="D189" i="8"/>
  <c r="C189" i="8"/>
  <c r="B189" i="8"/>
  <c r="V188" i="8"/>
  <c r="U188" i="8"/>
  <c r="T188" i="8"/>
  <c r="S188" i="8"/>
  <c r="R188" i="8"/>
  <c r="Q188" i="8"/>
  <c r="P188" i="8"/>
  <c r="O188" i="8"/>
  <c r="N188" i="8"/>
  <c r="M188" i="8"/>
  <c r="L188" i="8"/>
  <c r="K188" i="8"/>
  <c r="J188" i="8"/>
  <c r="I188" i="8"/>
  <c r="H188" i="8"/>
  <c r="G188" i="8"/>
  <c r="F188" i="8"/>
  <c r="E188" i="8"/>
  <c r="D188" i="8"/>
  <c r="C188" i="8"/>
  <c r="B188" i="8"/>
  <c r="V187" i="8"/>
  <c r="U187" i="8"/>
  <c r="T187" i="8"/>
  <c r="S187" i="8"/>
  <c r="R187" i="8"/>
  <c r="Q187" i="8"/>
  <c r="P187" i="8"/>
  <c r="O187" i="8"/>
  <c r="N187" i="8"/>
  <c r="M187" i="8"/>
  <c r="L187" i="8"/>
  <c r="K187" i="8"/>
  <c r="J187" i="8"/>
  <c r="I187" i="8"/>
  <c r="H187" i="8"/>
  <c r="G187" i="8"/>
  <c r="F187" i="8"/>
  <c r="E187" i="8"/>
  <c r="D187" i="8"/>
  <c r="C187" i="8"/>
  <c r="B187" i="8"/>
  <c r="V186" i="8"/>
  <c r="U186" i="8"/>
  <c r="T186" i="8"/>
  <c r="S186" i="8"/>
  <c r="R186" i="8"/>
  <c r="Q186" i="8"/>
  <c r="P186" i="8"/>
  <c r="O186" i="8"/>
  <c r="N186" i="8"/>
  <c r="M186" i="8"/>
  <c r="L186" i="8"/>
  <c r="K186" i="8"/>
  <c r="J186" i="8"/>
  <c r="I186" i="8"/>
  <c r="H186" i="8"/>
  <c r="G186" i="8"/>
  <c r="F186" i="8"/>
  <c r="E186" i="8"/>
  <c r="D186" i="8"/>
  <c r="C186" i="8"/>
  <c r="B186" i="8"/>
  <c r="V185" i="8"/>
  <c r="U185" i="8"/>
  <c r="T185" i="8"/>
  <c r="S185" i="8"/>
  <c r="R185" i="8"/>
  <c r="Q185" i="8"/>
  <c r="P185" i="8"/>
  <c r="O185" i="8"/>
  <c r="N185" i="8"/>
  <c r="M185" i="8"/>
  <c r="L185" i="8"/>
  <c r="K185" i="8"/>
  <c r="J185" i="8"/>
  <c r="I185" i="8"/>
  <c r="H185" i="8"/>
  <c r="G185" i="8"/>
  <c r="F185" i="8"/>
  <c r="E185" i="8"/>
  <c r="D185" i="8"/>
  <c r="C185" i="8"/>
  <c r="B185" i="8"/>
  <c r="V184" i="8"/>
  <c r="U184" i="8"/>
  <c r="T184" i="8"/>
  <c r="S184" i="8"/>
  <c r="R184" i="8"/>
  <c r="Q184" i="8"/>
  <c r="P184" i="8"/>
  <c r="O184" i="8"/>
  <c r="N184" i="8"/>
  <c r="M184" i="8"/>
  <c r="L184" i="8"/>
  <c r="K184" i="8"/>
  <c r="J184" i="8"/>
  <c r="I184" i="8"/>
  <c r="H184" i="8"/>
  <c r="G184" i="8"/>
  <c r="F184" i="8"/>
  <c r="E184" i="8"/>
  <c r="D184" i="8"/>
  <c r="C184" i="8"/>
  <c r="B184" i="8"/>
  <c r="V183" i="8"/>
  <c r="U183" i="8"/>
  <c r="T183" i="8"/>
  <c r="S183" i="8"/>
  <c r="R183" i="8"/>
  <c r="Q183" i="8"/>
  <c r="P183" i="8"/>
  <c r="O183" i="8"/>
  <c r="N183" i="8"/>
  <c r="M183" i="8"/>
  <c r="L183" i="8"/>
  <c r="K183" i="8"/>
  <c r="J183" i="8"/>
  <c r="I183" i="8"/>
  <c r="H183" i="8"/>
  <c r="G183" i="8"/>
  <c r="F183" i="8"/>
  <c r="E183" i="8"/>
  <c r="D183" i="8"/>
  <c r="C183" i="8"/>
  <c r="B183" i="8"/>
  <c r="V182" i="8"/>
  <c r="U182" i="8"/>
  <c r="T182" i="8"/>
  <c r="S182" i="8"/>
  <c r="R182" i="8"/>
  <c r="Q182" i="8"/>
  <c r="P182" i="8"/>
  <c r="O182" i="8"/>
  <c r="N182" i="8"/>
  <c r="M182" i="8"/>
  <c r="L182" i="8"/>
  <c r="K182" i="8"/>
  <c r="J182" i="8"/>
  <c r="I182" i="8"/>
  <c r="H182" i="8"/>
  <c r="G182" i="8"/>
  <c r="F182" i="8"/>
  <c r="E182" i="8"/>
  <c r="D182" i="8"/>
  <c r="C182" i="8"/>
  <c r="B182" i="8"/>
  <c r="V181" i="8"/>
  <c r="U181" i="8"/>
  <c r="T181" i="8"/>
  <c r="S181" i="8"/>
  <c r="R181" i="8"/>
  <c r="Q181" i="8"/>
  <c r="P181" i="8"/>
  <c r="O181" i="8"/>
  <c r="N181" i="8"/>
  <c r="M181" i="8"/>
  <c r="L181" i="8"/>
  <c r="K181" i="8"/>
  <c r="J181" i="8"/>
  <c r="I181" i="8"/>
  <c r="H181" i="8"/>
  <c r="G181" i="8"/>
  <c r="F181" i="8"/>
  <c r="E181" i="8"/>
  <c r="D181" i="8"/>
  <c r="C181" i="8"/>
  <c r="B181" i="8"/>
  <c r="V180" i="8"/>
  <c r="U180" i="8"/>
  <c r="T180" i="8"/>
  <c r="S180" i="8"/>
  <c r="R180" i="8"/>
  <c r="Q180" i="8"/>
  <c r="P180" i="8"/>
  <c r="O180" i="8"/>
  <c r="N180" i="8"/>
  <c r="M180" i="8"/>
  <c r="L180" i="8"/>
  <c r="K180" i="8"/>
  <c r="J180" i="8"/>
  <c r="I180" i="8"/>
  <c r="H180" i="8"/>
  <c r="G180" i="8"/>
  <c r="F180" i="8"/>
  <c r="E180" i="8"/>
  <c r="D180" i="8"/>
  <c r="C180" i="8"/>
  <c r="B180" i="8"/>
  <c r="V179" i="8"/>
  <c r="U179" i="8"/>
  <c r="T179" i="8"/>
  <c r="S179" i="8"/>
  <c r="R179" i="8"/>
  <c r="Q179" i="8"/>
  <c r="P179" i="8"/>
  <c r="O179" i="8"/>
  <c r="N179" i="8"/>
  <c r="M179" i="8"/>
  <c r="L179" i="8"/>
  <c r="K179" i="8"/>
  <c r="J179" i="8"/>
  <c r="I179" i="8"/>
  <c r="H179" i="8"/>
  <c r="G179" i="8"/>
  <c r="F179" i="8"/>
  <c r="E179" i="8"/>
  <c r="D179" i="8"/>
  <c r="C179" i="8"/>
  <c r="B179" i="8"/>
  <c r="V178" i="8"/>
  <c r="U178" i="8"/>
  <c r="T178" i="8"/>
  <c r="S178" i="8"/>
  <c r="R178" i="8"/>
  <c r="Q178" i="8"/>
  <c r="P178" i="8"/>
  <c r="O178" i="8"/>
  <c r="N178" i="8"/>
  <c r="M178" i="8"/>
  <c r="L178" i="8"/>
  <c r="K178" i="8"/>
  <c r="J178" i="8"/>
  <c r="I178" i="8"/>
  <c r="H178" i="8"/>
  <c r="G178" i="8"/>
  <c r="F178" i="8"/>
  <c r="E178" i="8"/>
  <c r="D178" i="8"/>
  <c r="C178" i="8"/>
  <c r="B178" i="8"/>
  <c r="V177" i="8"/>
  <c r="U177" i="8"/>
  <c r="T177" i="8"/>
  <c r="S177" i="8"/>
  <c r="R177" i="8"/>
  <c r="Q177" i="8"/>
  <c r="P177" i="8"/>
  <c r="O177" i="8"/>
  <c r="N177" i="8"/>
  <c r="M177" i="8"/>
  <c r="L177" i="8"/>
  <c r="K177" i="8"/>
  <c r="J177" i="8"/>
  <c r="I177" i="8"/>
  <c r="H177" i="8"/>
  <c r="G177" i="8"/>
  <c r="F177" i="8"/>
  <c r="E177" i="8"/>
  <c r="D177" i="8"/>
  <c r="C177" i="8"/>
  <c r="B177" i="8"/>
  <c r="V176" i="8"/>
  <c r="U176" i="8"/>
  <c r="T176" i="8"/>
  <c r="S176" i="8"/>
  <c r="R176" i="8"/>
  <c r="Q176" i="8"/>
  <c r="P176" i="8"/>
  <c r="O176" i="8"/>
  <c r="N176" i="8"/>
  <c r="M176" i="8"/>
  <c r="L176" i="8"/>
  <c r="K176" i="8"/>
  <c r="J176" i="8"/>
  <c r="I176" i="8"/>
  <c r="H176" i="8"/>
  <c r="G176" i="8"/>
  <c r="F176" i="8"/>
  <c r="E176" i="8"/>
  <c r="D176" i="8"/>
  <c r="C176" i="8"/>
  <c r="B176" i="8"/>
  <c r="V175" i="8"/>
  <c r="U175" i="8"/>
  <c r="T175" i="8"/>
  <c r="S175" i="8"/>
  <c r="R175" i="8"/>
  <c r="Q175" i="8"/>
  <c r="P175" i="8"/>
  <c r="O175" i="8"/>
  <c r="N175" i="8"/>
  <c r="M175" i="8"/>
  <c r="L175" i="8"/>
  <c r="K175" i="8"/>
  <c r="J175" i="8"/>
  <c r="I175" i="8"/>
  <c r="H175" i="8"/>
  <c r="G175" i="8"/>
  <c r="F175" i="8"/>
  <c r="E175" i="8"/>
  <c r="D175" i="8"/>
  <c r="C175" i="8"/>
  <c r="B175" i="8"/>
  <c r="V174" i="8"/>
  <c r="U174" i="8"/>
  <c r="T174" i="8"/>
  <c r="S174" i="8"/>
  <c r="R174" i="8"/>
  <c r="Q174" i="8"/>
  <c r="P174" i="8"/>
  <c r="O174" i="8"/>
  <c r="N174" i="8"/>
  <c r="M174" i="8"/>
  <c r="L174" i="8"/>
  <c r="K174" i="8"/>
  <c r="J174" i="8"/>
  <c r="I174" i="8"/>
  <c r="H174" i="8"/>
  <c r="G174" i="8"/>
  <c r="F174" i="8"/>
  <c r="E174" i="8"/>
  <c r="D174" i="8"/>
  <c r="C174" i="8"/>
  <c r="B174" i="8"/>
  <c r="V173" i="8"/>
  <c r="U173" i="8"/>
  <c r="T173" i="8"/>
  <c r="S173" i="8"/>
  <c r="R173" i="8"/>
  <c r="Q173" i="8"/>
  <c r="P173" i="8"/>
  <c r="O173" i="8"/>
  <c r="N173" i="8"/>
  <c r="M173" i="8"/>
  <c r="L173" i="8"/>
  <c r="K173" i="8"/>
  <c r="J173" i="8"/>
  <c r="I173" i="8"/>
  <c r="H173" i="8"/>
  <c r="G173" i="8"/>
  <c r="F173" i="8"/>
  <c r="E173" i="8"/>
  <c r="D173" i="8"/>
  <c r="C173" i="8"/>
  <c r="B173" i="8"/>
  <c r="V172" i="8"/>
  <c r="U172" i="8"/>
  <c r="T172" i="8"/>
  <c r="S172" i="8"/>
  <c r="R172" i="8"/>
  <c r="Q172" i="8"/>
  <c r="P172" i="8"/>
  <c r="O172" i="8"/>
  <c r="N172" i="8"/>
  <c r="M172" i="8"/>
  <c r="L172" i="8"/>
  <c r="K172" i="8"/>
  <c r="J172" i="8"/>
  <c r="I172" i="8"/>
  <c r="H172" i="8"/>
  <c r="G172" i="8"/>
  <c r="F172" i="8"/>
  <c r="E172" i="8"/>
  <c r="D172" i="8"/>
  <c r="C172" i="8"/>
  <c r="B172" i="8"/>
  <c r="V171" i="8"/>
  <c r="U171" i="8"/>
  <c r="T171" i="8"/>
  <c r="S171" i="8"/>
  <c r="R171" i="8"/>
  <c r="Q171" i="8"/>
  <c r="P171" i="8"/>
  <c r="O171" i="8"/>
  <c r="N171" i="8"/>
  <c r="M171" i="8"/>
  <c r="L171" i="8"/>
  <c r="K171" i="8"/>
  <c r="J171" i="8"/>
  <c r="I171" i="8"/>
  <c r="H171" i="8"/>
  <c r="G171" i="8"/>
  <c r="F171" i="8"/>
  <c r="E171" i="8"/>
  <c r="D171" i="8"/>
  <c r="C171" i="8"/>
  <c r="B171" i="8"/>
  <c r="V170" i="8"/>
  <c r="U170" i="8"/>
  <c r="T170" i="8"/>
  <c r="S170" i="8"/>
  <c r="R170" i="8"/>
  <c r="Q170" i="8"/>
  <c r="P170" i="8"/>
  <c r="O170" i="8"/>
  <c r="N170" i="8"/>
  <c r="M170" i="8"/>
  <c r="L170" i="8"/>
  <c r="K170" i="8"/>
  <c r="J170" i="8"/>
  <c r="I170" i="8"/>
  <c r="H170" i="8"/>
  <c r="G170" i="8"/>
  <c r="F170" i="8"/>
  <c r="E170" i="8"/>
  <c r="D170" i="8"/>
  <c r="C170" i="8"/>
  <c r="B170" i="8"/>
  <c r="V169" i="8"/>
  <c r="U169" i="8"/>
  <c r="T169" i="8"/>
  <c r="S169" i="8"/>
  <c r="R169" i="8"/>
  <c r="Q169" i="8"/>
  <c r="P169" i="8"/>
  <c r="O169" i="8"/>
  <c r="N169" i="8"/>
  <c r="M169" i="8"/>
  <c r="L169" i="8"/>
  <c r="K169" i="8"/>
  <c r="J169" i="8"/>
  <c r="I169" i="8"/>
  <c r="H169" i="8"/>
  <c r="G169" i="8"/>
  <c r="F169" i="8"/>
  <c r="E169" i="8"/>
  <c r="D169" i="8"/>
  <c r="C169" i="8"/>
  <c r="B169" i="8"/>
  <c r="V168" i="8"/>
  <c r="U168" i="8"/>
  <c r="T168" i="8"/>
  <c r="S168" i="8"/>
  <c r="R168" i="8"/>
  <c r="Q168" i="8"/>
  <c r="P168" i="8"/>
  <c r="O168" i="8"/>
  <c r="N168" i="8"/>
  <c r="M168" i="8"/>
  <c r="L168" i="8"/>
  <c r="K168" i="8"/>
  <c r="J168" i="8"/>
  <c r="I168" i="8"/>
  <c r="H168" i="8"/>
  <c r="G168" i="8"/>
  <c r="F168" i="8"/>
  <c r="E168" i="8"/>
  <c r="D168" i="8"/>
  <c r="C168" i="8"/>
  <c r="B168" i="8"/>
  <c r="V167" i="8"/>
  <c r="U167" i="8"/>
  <c r="T167" i="8"/>
  <c r="S167" i="8"/>
  <c r="R167" i="8"/>
  <c r="Q167" i="8"/>
  <c r="P167" i="8"/>
  <c r="O167" i="8"/>
  <c r="N167" i="8"/>
  <c r="M167" i="8"/>
  <c r="L167" i="8"/>
  <c r="K167" i="8"/>
  <c r="J167" i="8"/>
  <c r="I167" i="8"/>
  <c r="H167" i="8"/>
  <c r="G167" i="8"/>
  <c r="F167" i="8"/>
  <c r="E167" i="8"/>
  <c r="D167" i="8"/>
  <c r="C167" i="8"/>
  <c r="B167" i="8"/>
  <c r="V166" i="8"/>
  <c r="U166" i="8"/>
  <c r="T166" i="8"/>
  <c r="S166" i="8"/>
  <c r="R166" i="8"/>
  <c r="Q166" i="8"/>
  <c r="P166" i="8"/>
  <c r="O166" i="8"/>
  <c r="N166" i="8"/>
  <c r="M166" i="8"/>
  <c r="L166" i="8"/>
  <c r="K166" i="8"/>
  <c r="J166" i="8"/>
  <c r="I166" i="8"/>
  <c r="H166" i="8"/>
  <c r="G166" i="8"/>
  <c r="F166" i="8"/>
  <c r="E166" i="8"/>
  <c r="D166" i="8"/>
  <c r="C166" i="8"/>
  <c r="B166" i="8"/>
  <c r="V165" i="8"/>
  <c r="U165" i="8"/>
  <c r="T165" i="8"/>
  <c r="S165" i="8"/>
  <c r="R165" i="8"/>
  <c r="Q165" i="8"/>
  <c r="P165" i="8"/>
  <c r="O165" i="8"/>
  <c r="N165" i="8"/>
  <c r="M165" i="8"/>
  <c r="L165" i="8"/>
  <c r="K165" i="8"/>
  <c r="J165" i="8"/>
  <c r="I165" i="8"/>
  <c r="H165" i="8"/>
  <c r="G165" i="8"/>
  <c r="F165" i="8"/>
  <c r="E165" i="8"/>
  <c r="D165" i="8"/>
  <c r="C165" i="8"/>
  <c r="B165" i="8"/>
  <c r="V164" i="8"/>
  <c r="U164" i="8"/>
  <c r="T164" i="8"/>
  <c r="S164" i="8"/>
  <c r="R164" i="8"/>
  <c r="Q164" i="8"/>
  <c r="P164" i="8"/>
  <c r="O164" i="8"/>
  <c r="N164" i="8"/>
  <c r="M164" i="8"/>
  <c r="L164" i="8"/>
  <c r="K164" i="8"/>
  <c r="J164" i="8"/>
  <c r="I164" i="8"/>
  <c r="H164" i="8"/>
  <c r="G164" i="8"/>
  <c r="F164" i="8"/>
  <c r="E164" i="8"/>
  <c r="D164" i="8"/>
  <c r="C164" i="8"/>
  <c r="B164" i="8"/>
  <c r="V163" i="8"/>
  <c r="U163" i="8"/>
  <c r="T163" i="8"/>
  <c r="S163" i="8"/>
  <c r="R163" i="8"/>
  <c r="Q163" i="8"/>
  <c r="P163" i="8"/>
  <c r="O163" i="8"/>
  <c r="N163" i="8"/>
  <c r="M163" i="8"/>
  <c r="L163" i="8"/>
  <c r="K163" i="8"/>
  <c r="J163" i="8"/>
  <c r="I163" i="8"/>
  <c r="H163" i="8"/>
  <c r="G163" i="8"/>
  <c r="F163" i="8"/>
  <c r="E163" i="8"/>
  <c r="D163" i="8"/>
  <c r="C163" i="8"/>
  <c r="B163" i="8"/>
  <c r="V162" i="8"/>
  <c r="U162" i="8"/>
  <c r="T162" i="8"/>
  <c r="S162" i="8"/>
  <c r="R162" i="8"/>
  <c r="Q162" i="8"/>
  <c r="P162" i="8"/>
  <c r="O162" i="8"/>
  <c r="N162" i="8"/>
  <c r="M162" i="8"/>
  <c r="L162" i="8"/>
  <c r="K162" i="8"/>
  <c r="J162" i="8"/>
  <c r="I162" i="8"/>
  <c r="H162" i="8"/>
  <c r="G162" i="8"/>
  <c r="F162" i="8"/>
  <c r="E162" i="8"/>
  <c r="D162" i="8"/>
  <c r="C162" i="8"/>
  <c r="B162" i="8"/>
  <c r="V161" i="8"/>
  <c r="U161" i="8"/>
  <c r="T161" i="8"/>
  <c r="S161" i="8"/>
  <c r="R161" i="8"/>
  <c r="Q161" i="8"/>
  <c r="P161" i="8"/>
  <c r="O161" i="8"/>
  <c r="N161" i="8"/>
  <c r="M161" i="8"/>
  <c r="L161" i="8"/>
  <c r="K161" i="8"/>
  <c r="J161" i="8"/>
  <c r="I161" i="8"/>
  <c r="H161" i="8"/>
  <c r="G161" i="8"/>
  <c r="F161" i="8"/>
  <c r="E161" i="8"/>
  <c r="D161" i="8"/>
  <c r="C161" i="8"/>
  <c r="B161" i="8"/>
  <c r="V160" i="8"/>
  <c r="U160" i="8"/>
  <c r="T160" i="8"/>
  <c r="S160" i="8"/>
  <c r="R160" i="8"/>
  <c r="Q160" i="8"/>
  <c r="P160" i="8"/>
  <c r="O160" i="8"/>
  <c r="N160" i="8"/>
  <c r="M160" i="8"/>
  <c r="L160" i="8"/>
  <c r="K160" i="8"/>
  <c r="J160" i="8"/>
  <c r="I160" i="8"/>
  <c r="H160" i="8"/>
  <c r="G160" i="8"/>
  <c r="F160" i="8"/>
  <c r="E160" i="8"/>
  <c r="D160" i="8"/>
  <c r="C160" i="8"/>
  <c r="B160" i="8"/>
  <c r="V159" i="8"/>
  <c r="U159" i="8"/>
  <c r="T159" i="8"/>
  <c r="S159" i="8"/>
  <c r="R159" i="8"/>
  <c r="Q159" i="8"/>
  <c r="P159" i="8"/>
  <c r="O159" i="8"/>
  <c r="N159" i="8"/>
  <c r="M159" i="8"/>
  <c r="L159" i="8"/>
  <c r="K159" i="8"/>
  <c r="J159" i="8"/>
  <c r="I159" i="8"/>
  <c r="H159" i="8"/>
  <c r="G159" i="8"/>
  <c r="F159" i="8"/>
  <c r="E159" i="8"/>
  <c r="D159" i="8"/>
  <c r="C159" i="8"/>
  <c r="B159" i="8"/>
  <c r="V158" i="8"/>
  <c r="U158" i="8"/>
  <c r="T158" i="8"/>
  <c r="S158" i="8"/>
  <c r="R158" i="8"/>
  <c r="Q158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D158" i="8"/>
  <c r="C158" i="8"/>
  <c r="B158" i="8"/>
  <c r="V157" i="8"/>
  <c r="U157" i="8"/>
  <c r="T157" i="8"/>
  <c r="S157" i="8"/>
  <c r="R157" i="8"/>
  <c r="Q157" i="8"/>
  <c r="P157" i="8"/>
  <c r="O157" i="8"/>
  <c r="N157" i="8"/>
  <c r="M157" i="8"/>
  <c r="L157" i="8"/>
  <c r="K157" i="8"/>
  <c r="J157" i="8"/>
  <c r="I157" i="8"/>
  <c r="H157" i="8"/>
  <c r="G157" i="8"/>
  <c r="F157" i="8"/>
  <c r="E157" i="8"/>
  <c r="D157" i="8"/>
  <c r="C157" i="8"/>
  <c r="B157" i="8"/>
  <c r="V156" i="8"/>
  <c r="U156" i="8"/>
  <c r="T156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D156" i="8"/>
  <c r="C156" i="8"/>
  <c r="B156" i="8"/>
  <c r="V155" i="8"/>
  <c r="U155" i="8"/>
  <c r="T155" i="8"/>
  <c r="S155" i="8"/>
  <c r="R155" i="8"/>
  <c r="Q155" i="8"/>
  <c r="P155" i="8"/>
  <c r="O155" i="8"/>
  <c r="N155" i="8"/>
  <c r="M155" i="8"/>
  <c r="L155" i="8"/>
  <c r="K155" i="8"/>
  <c r="J155" i="8"/>
  <c r="I155" i="8"/>
  <c r="H155" i="8"/>
  <c r="G155" i="8"/>
  <c r="F155" i="8"/>
  <c r="E155" i="8"/>
  <c r="D155" i="8"/>
  <c r="C155" i="8"/>
  <c r="B155" i="8"/>
  <c r="V154" i="8"/>
  <c r="U154" i="8"/>
  <c r="T154" i="8"/>
  <c r="S154" i="8"/>
  <c r="R154" i="8"/>
  <c r="Q154" i="8"/>
  <c r="P154" i="8"/>
  <c r="O154" i="8"/>
  <c r="N154" i="8"/>
  <c r="M154" i="8"/>
  <c r="L154" i="8"/>
  <c r="K154" i="8"/>
  <c r="J154" i="8"/>
  <c r="I154" i="8"/>
  <c r="H154" i="8"/>
  <c r="G154" i="8"/>
  <c r="F154" i="8"/>
  <c r="E154" i="8"/>
  <c r="D154" i="8"/>
  <c r="C154" i="8"/>
  <c r="B154" i="8"/>
  <c r="V153" i="8"/>
  <c r="U153" i="8"/>
  <c r="T153" i="8"/>
  <c r="S153" i="8"/>
  <c r="R153" i="8"/>
  <c r="Q153" i="8"/>
  <c r="P153" i="8"/>
  <c r="O153" i="8"/>
  <c r="N153" i="8"/>
  <c r="M153" i="8"/>
  <c r="L153" i="8"/>
  <c r="K153" i="8"/>
  <c r="J153" i="8"/>
  <c r="I153" i="8"/>
  <c r="H153" i="8"/>
  <c r="G153" i="8"/>
  <c r="F153" i="8"/>
  <c r="E153" i="8"/>
  <c r="D153" i="8"/>
  <c r="C153" i="8"/>
  <c r="B153" i="8"/>
  <c r="V152" i="8"/>
  <c r="U152" i="8"/>
  <c r="T152" i="8"/>
  <c r="S152" i="8"/>
  <c r="R152" i="8"/>
  <c r="Q152" i="8"/>
  <c r="P152" i="8"/>
  <c r="O152" i="8"/>
  <c r="N152" i="8"/>
  <c r="M152" i="8"/>
  <c r="L152" i="8"/>
  <c r="K152" i="8"/>
  <c r="J152" i="8"/>
  <c r="I152" i="8"/>
  <c r="H152" i="8"/>
  <c r="G152" i="8"/>
  <c r="F152" i="8"/>
  <c r="E152" i="8"/>
  <c r="D152" i="8"/>
  <c r="C152" i="8"/>
  <c r="B152" i="8"/>
  <c r="V151" i="8"/>
  <c r="U151" i="8"/>
  <c r="T151" i="8"/>
  <c r="S151" i="8"/>
  <c r="R151" i="8"/>
  <c r="Q151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D151" i="8"/>
  <c r="C151" i="8"/>
  <c r="B151" i="8"/>
  <c r="V150" i="8"/>
  <c r="U150" i="8"/>
  <c r="T150" i="8"/>
  <c r="S150" i="8"/>
  <c r="R150" i="8"/>
  <c r="Q150" i="8"/>
  <c r="P150" i="8"/>
  <c r="O150" i="8"/>
  <c r="N150" i="8"/>
  <c r="M150" i="8"/>
  <c r="L150" i="8"/>
  <c r="K150" i="8"/>
  <c r="J150" i="8"/>
  <c r="I150" i="8"/>
  <c r="H150" i="8"/>
  <c r="G150" i="8"/>
  <c r="F150" i="8"/>
  <c r="E150" i="8"/>
  <c r="D150" i="8"/>
  <c r="C150" i="8"/>
  <c r="B150" i="8"/>
  <c r="V149" i="8"/>
  <c r="U149" i="8"/>
  <c r="T149" i="8"/>
  <c r="S149" i="8"/>
  <c r="R149" i="8"/>
  <c r="Q149" i="8"/>
  <c r="P149" i="8"/>
  <c r="O149" i="8"/>
  <c r="N149" i="8"/>
  <c r="M149" i="8"/>
  <c r="L149" i="8"/>
  <c r="K149" i="8"/>
  <c r="J149" i="8"/>
  <c r="I149" i="8"/>
  <c r="H149" i="8"/>
  <c r="G149" i="8"/>
  <c r="F149" i="8"/>
  <c r="E149" i="8"/>
  <c r="D149" i="8"/>
  <c r="C149" i="8"/>
  <c r="B149" i="8"/>
  <c r="V148" i="8"/>
  <c r="U148" i="8"/>
  <c r="T148" i="8"/>
  <c r="S148" i="8"/>
  <c r="R148" i="8"/>
  <c r="Q148" i="8"/>
  <c r="P148" i="8"/>
  <c r="O148" i="8"/>
  <c r="N148" i="8"/>
  <c r="M148" i="8"/>
  <c r="L148" i="8"/>
  <c r="K148" i="8"/>
  <c r="J148" i="8"/>
  <c r="I148" i="8"/>
  <c r="H148" i="8"/>
  <c r="G148" i="8"/>
  <c r="F148" i="8"/>
  <c r="E148" i="8"/>
  <c r="D148" i="8"/>
  <c r="C148" i="8"/>
  <c r="B148" i="8"/>
  <c r="V147" i="8"/>
  <c r="U147" i="8"/>
  <c r="T147" i="8"/>
  <c r="S147" i="8"/>
  <c r="R147" i="8"/>
  <c r="Q147" i="8"/>
  <c r="P147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C147" i="8"/>
  <c r="B147" i="8"/>
  <c r="V146" i="8"/>
  <c r="U146" i="8"/>
  <c r="T146" i="8"/>
  <c r="S146" i="8"/>
  <c r="R146" i="8"/>
  <c r="Q146" i="8"/>
  <c r="P146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C146" i="8"/>
  <c r="B146" i="8"/>
  <c r="V145" i="8"/>
  <c r="U145" i="8"/>
  <c r="T145" i="8"/>
  <c r="S145" i="8"/>
  <c r="R145" i="8"/>
  <c r="Q145" i="8"/>
  <c r="P145" i="8"/>
  <c r="O145" i="8"/>
  <c r="N145" i="8"/>
  <c r="M145" i="8"/>
  <c r="L145" i="8"/>
  <c r="K145" i="8"/>
  <c r="J145" i="8"/>
  <c r="I145" i="8"/>
  <c r="H145" i="8"/>
  <c r="G145" i="8"/>
  <c r="F145" i="8"/>
  <c r="E145" i="8"/>
  <c r="D145" i="8"/>
  <c r="C145" i="8"/>
  <c r="B145" i="8"/>
  <c r="V144" i="8"/>
  <c r="U144" i="8"/>
  <c r="T144" i="8"/>
  <c r="S144" i="8"/>
  <c r="R144" i="8"/>
  <c r="Q144" i="8"/>
  <c r="P144" i="8"/>
  <c r="O144" i="8"/>
  <c r="N144" i="8"/>
  <c r="M144" i="8"/>
  <c r="L144" i="8"/>
  <c r="K144" i="8"/>
  <c r="J144" i="8"/>
  <c r="I144" i="8"/>
  <c r="H144" i="8"/>
  <c r="G144" i="8"/>
  <c r="F144" i="8"/>
  <c r="E144" i="8"/>
  <c r="D144" i="8"/>
  <c r="C144" i="8"/>
  <c r="B144" i="8"/>
  <c r="V143" i="8"/>
  <c r="U143" i="8"/>
  <c r="T143" i="8"/>
  <c r="S143" i="8"/>
  <c r="R143" i="8"/>
  <c r="Q143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D143" i="8"/>
  <c r="C143" i="8"/>
  <c r="B143" i="8"/>
  <c r="V142" i="8"/>
  <c r="U142" i="8"/>
  <c r="T142" i="8"/>
  <c r="S142" i="8"/>
  <c r="R142" i="8"/>
  <c r="Q142" i="8"/>
  <c r="P142" i="8"/>
  <c r="O142" i="8"/>
  <c r="N142" i="8"/>
  <c r="M142" i="8"/>
  <c r="L142" i="8"/>
  <c r="K142" i="8"/>
  <c r="J142" i="8"/>
  <c r="I142" i="8"/>
  <c r="H142" i="8"/>
  <c r="G142" i="8"/>
  <c r="F142" i="8"/>
  <c r="E142" i="8"/>
  <c r="D142" i="8"/>
  <c r="C142" i="8"/>
  <c r="B142" i="8"/>
  <c r="V141" i="8"/>
  <c r="U141" i="8"/>
  <c r="T141" i="8"/>
  <c r="S141" i="8"/>
  <c r="R141" i="8"/>
  <c r="Q141" i="8"/>
  <c r="P141" i="8"/>
  <c r="O141" i="8"/>
  <c r="N141" i="8"/>
  <c r="M141" i="8"/>
  <c r="L141" i="8"/>
  <c r="K141" i="8"/>
  <c r="J141" i="8"/>
  <c r="I141" i="8"/>
  <c r="H141" i="8"/>
  <c r="G141" i="8"/>
  <c r="F141" i="8"/>
  <c r="E141" i="8"/>
  <c r="D141" i="8"/>
  <c r="C141" i="8"/>
  <c r="B141" i="8"/>
  <c r="V140" i="8"/>
  <c r="U140" i="8"/>
  <c r="T140" i="8"/>
  <c r="S140" i="8"/>
  <c r="R140" i="8"/>
  <c r="Q140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D140" i="8"/>
  <c r="C140" i="8"/>
  <c r="B140" i="8"/>
  <c r="V139" i="8"/>
  <c r="U139" i="8"/>
  <c r="T139" i="8"/>
  <c r="S139" i="8"/>
  <c r="R139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C139" i="8"/>
  <c r="B139" i="8"/>
  <c r="V138" i="8"/>
  <c r="U138" i="8"/>
  <c r="T138" i="8"/>
  <c r="S138" i="8"/>
  <c r="R138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C138" i="8"/>
  <c r="B138" i="8"/>
  <c r="V137" i="8"/>
  <c r="U137" i="8"/>
  <c r="T137" i="8"/>
  <c r="S137" i="8"/>
  <c r="R137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C137" i="8"/>
  <c r="B137" i="8"/>
  <c r="V136" i="8"/>
  <c r="U136" i="8"/>
  <c r="T136" i="8"/>
  <c r="S136" i="8"/>
  <c r="R136" i="8"/>
  <c r="Q136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C136" i="8"/>
  <c r="B136" i="8"/>
  <c r="V135" i="8"/>
  <c r="U135" i="8"/>
  <c r="T135" i="8"/>
  <c r="S135" i="8"/>
  <c r="R135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C135" i="8"/>
  <c r="B135" i="8"/>
  <c r="V134" i="8"/>
  <c r="U134" i="8"/>
  <c r="T134" i="8"/>
  <c r="S134" i="8"/>
  <c r="R134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C134" i="8"/>
  <c r="B134" i="8"/>
  <c r="V133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B133" i="8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C132" i="8"/>
  <c r="B132" i="8"/>
  <c r="V131" i="8"/>
  <c r="U131" i="8"/>
  <c r="T131" i="8"/>
  <c r="S131" i="8"/>
  <c r="R131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C131" i="8"/>
  <c r="B131" i="8"/>
  <c r="V130" i="8"/>
  <c r="U130" i="8"/>
  <c r="T130" i="8"/>
  <c r="S130" i="8"/>
  <c r="R130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B130" i="8"/>
  <c r="V129" i="8"/>
  <c r="U129" i="8"/>
  <c r="T129" i="8"/>
  <c r="S129" i="8"/>
  <c r="R129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C129" i="8"/>
  <c r="B129" i="8"/>
  <c r="V128" i="8"/>
  <c r="U128" i="8"/>
  <c r="T128" i="8"/>
  <c r="S128" i="8"/>
  <c r="R128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B128" i="8"/>
  <c r="V127" i="8"/>
  <c r="U127" i="8"/>
  <c r="T127" i="8"/>
  <c r="S127" i="8"/>
  <c r="R127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B127" i="8"/>
  <c r="V126" i="8"/>
  <c r="U126" i="8"/>
  <c r="T126" i="8"/>
  <c r="S126" i="8"/>
  <c r="R126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C126" i="8"/>
  <c r="B126" i="8"/>
  <c r="V125" i="8"/>
  <c r="U125" i="8"/>
  <c r="T125" i="8"/>
  <c r="S125" i="8"/>
  <c r="R125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C125" i="8"/>
  <c r="B125" i="8"/>
  <c r="V124" i="8"/>
  <c r="U124" i="8"/>
  <c r="T124" i="8"/>
  <c r="S124" i="8"/>
  <c r="R124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C124" i="8"/>
  <c r="B124" i="8"/>
  <c r="V123" i="8"/>
  <c r="U123" i="8"/>
  <c r="T123" i="8"/>
  <c r="S123" i="8"/>
  <c r="R123" i="8"/>
  <c r="Q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B123" i="8"/>
  <c r="V122" i="8"/>
  <c r="U122" i="8"/>
  <c r="T122" i="8"/>
  <c r="S122" i="8"/>
  <c r="R122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B122" i="8"/>
  <c r="V121" i="8"/>
  <c r="U121" i="8"/>
  <c r="T121" i="8"/>
  <c r="S121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B121" i="8"/>
  <c r="V120" i="8"/>
  <c r="U120" i="8"/>
  <c r="T120" i="8"/>
  <c r="S120" i="8"/>
  <c r="R120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B120" i="8"/>
  <c r="V119" i="8"/>
  <c r="U119" i="8"/>
  <c r="T119" i="8"/>
  <c r="S119" i="8"/>
  <c r="R119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B119" i="8"/>
  <c r="V118" i="8"/>
  <c r="U118" i="8"/>
  <c r="T118" i="8"/>
  <c r="S118" i="8"/>
  <c r="R118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B118" i="8"/>
  <c r="V117" i="8"/>
  <c r="U117" i="8"/>
  <c r="T117" i="8"/>
  <c r="S117" i="8"/>
  <c r="R117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B117" i="8"/>
  <c r="V116" i="8"/>
  <c r="U116" i="8"/>
  <c r="T116" i="8"/>
  <c r="S116" i="8"/>
  <c r="R116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B116" i="8"/>
  <c r="V115" i="8"/>
  <c r="U115" i="8"/>
  <c r="T115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B115" i="8"/>
  <c r="V114" i="8"/>
  <c r="U114" i="8"/>
  <c r="T114" i="8"/>
  <c r="S114" i="8"/>
  <c r="R114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B114" i="8"/>
  <c r="V113" i="8"/>
  <c r="U113" i="8"/>
  <c r="T113" i="8"/>
  <c r="S113" i="8"/>
  <c r="R113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B113" i="8"/>
  <c r="V112" i="8"/>
  <c r="U112" i="8"/>
  <c r="T112" i="8"/>
  <c r="S112" i="8"/>
  <c r="R112" i="8"/>
  <c r="Q112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B112" i="8"/>
  <c r="V111" i="8"/>
  <c r="U111" i="8"/>
  <c r="T111" i="8"/>
  <c r="S111" i="8"/>
  <c r="R111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B111" i="8"/>
  <c r="V110" i="8"/>
  <c r="U110" i="8"/>
  <c r="T110" i="8"/>
  <c r="S110" i="8"/>
  <c r="R110" i="8"/>
  <c r="Q110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C110" i="8"/>
  <c r="B110" i="8"/>
  <c r="V109" i="8"/>
  <c r="U109" i="8"/>
  <c r="T109" i="8"/>
  <c r="S109" i="8"/>
  <c r="R109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V108" i="8"/>
  <c r="U108" i="8"/>
  <c r="T108" i="8"/>
  <c r="S108" i="8"/>
  <c r="R108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B108" i="8"/>
  <c r="V107" i="8"/>
  <c r="U107" i="8"/>
  <c r="T107" i="8"/>
  <c r="S107" i="8"/>
  <c r="R107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V106" i="8"/>
  <c r="U106" i="8"/>
  <c r="T106" i="8"/>
  <c r="S106" i="8"/>
  <c r="R106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V105" i="8"/>
  <c r="U105" i="8"/>
  <c r="T105" i="8"/>
  <c r="S105" i="8"/>
  <c r="R105" i="8"/>
  <c r="Q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B105" i="8"/>
  <c r="V104" i="8"/>
  <c r="U104" i="8"/>
  <c r="T104" i="8"/>
  <c r="S104" i="8"/>
  <c r="R104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B104" i="8"/>
  <c r="V103" i="8"/>
  <c r="U103" i="8"/>
  <c r="T103" i="8"/>
  <c r="S103" i="8"/>
  <c r="R103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B103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B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B101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B100" i="8"/>
  <c r="V99" i="8"/>
  <c r="U99" i="8"/>
  <c r="T99" i="8"/>
  <c r="S99" i="8"/>
  <c r="R99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B99" i="8"/>
  <c r="V98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B98" i="8"/>
  <c r="V97" i="8"/>
  <c r="U97" i="8"/>
  <c r="T97" i="8"/>
  <c r="S97" i="8"/>
  <c r="R97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B97" i="8"/>
  <c r="V96" i="8"/>
  <c r="U96" i="8"/>
  <c r="T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B96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B95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B94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B93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B92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B91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B90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B89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B88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B87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B86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B85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B84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B83" i="8"/>
  <c r="V82" i="8"/>
  <c r="U82" i="8"/>
  <c r="T82" i="8"/>
  <c r="S82" i="8"/>
  <c r="R82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B82" i="8"/>
  <c r="V81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B81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B80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B79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B78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B77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B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B74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B73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B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B70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B69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B68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B67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B65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B61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B59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B55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B50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B49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A1000" i="9" l="1"/>
  <c r="A999" i="9"/>
  <c r="A998" i="9"/>
  <c r="A997" i="9"/>
  <c r="A996" i="9"/>
  <c r="A995" i="9"/>
  <c r="A994" i="9"/>
  <c r="A993" i="9"/>
  <c r="A992" i="9"/>
  <c r="A991" i="9"/>
  <c r="A990" i="9"/>
  <c r="A989" i="9"/>
  <c r="A988" i="9"/>
  <c r="A987" i="9"/>
  <c r="A986" i="9"/>
  <c r="A985" i="9"/>
  <c r="A984" i="9"/>
  <c r="A983" i="9"/>
  <c r="A982" i="9"/>
  <c r="A981" i="9"/>
  <c r="A980" i="9"/>
  <c r="A979" i="9"/>
  <c r="A978" i="9"/>
  <c r="A977" i="9"/>
  <c r="A976" i="9"/>
  <c r="A975" i="9"/>
  <c r="A974" i="9"/>
  <c r="A973" i="9"/>
  <c r="A972" i="9"/>
  <c r="A971" i="9"/>
  <c r="A970" i="9"/>
  <c r="A969" i="9"/>
  <c r="A968" i="9"/>
  <c r="A967" i="9"/>
  <c r="A966" i="9"/>
  <c r="A965" i="9"/>
  <c r="A964" i="9"/>
  <c r="A963" i="9"/>
  <c r="A962" i="9"/>
  <c r="A961" i="9"/>
  <c r="A960" i="9"/>
  <c r="A959" i="9"/>
  <c r="A958" i="9"/>
  <c r="A957" i="9"/>
  <c r="A956" i="9"/>
  <c r="A955" i="9"/>
  <c r="A954" i="9"/>
  <c r="A953" i="9"/>
  <c r="A952" i="9"/>
  <c r="A951" i="9"/>
  <c r="A950" i="9"/>
  <c r="A949" i="9"/>
  <c r="A948" i="9"/>
  <c r="A947" i="9"/>
  <c r="A946" i="9"/>
  <c r="A945" i="9"/>
  <c r="A944" i="9"/>
  <c r="A943" i="9"/>
  <c r="A942" i="9"/>
  <c r="A941" i="9"/>
  <c r="A940" i="9"/>
  <c r="A939" i="9"/>
  <c r="A938" i="9"/>
  <c r="A937" i="9"/>
  <c r="A936" i="9"/>
  <c r="A935" i="9"/>
  <c r="A934" i="9"/>
  <c r="A933" i="9"/>
  <c r="A932" i="9"/>
  <c r="A931" i="9"/>
  <c r="A930" i="9"/>
  <c r="A929" i="9"/>
  <c r="A928" i="9"/>
  <c r="A927" i="9"/>
  <c r="A926" i="9"/>
  <c r="A925" i="9"/>
  <c r="A924" i="9"/>
  <c r="A923" i="9"/>
  <c r="A922" i="9"/>
  <c r="A921" i="9"/>
  <c r="A920" i="9"/>
  <c r="A919" i="9"/>
  <c r="A918" i="9"/>
  <c r="A917" i="9"/>
  <c r="A916" i="9"/>
  <c r="A915" i="9"/>
  <c r="A914" i="9"/>
  <c r="A913" i="9"/>
  <c r="A912" i="9"/>
  <c r="A911" i="9"/>
  <c r="A910" i="9"/>
  <c r="A909" i="9"/>
  <c r="A908" i="9"/>
  <c r="A907" i="9"/>
  <c r="A906" i="9"/>
  <c r="A905" i="9"/>
  <c r="A904" i="9"/>
  <c r="A903" i="9"/>
  <c r="A902" i="9"/>
  <c r="A901" i="9"/>
  <c r="A900" i="9"/>
  <c r="A899" i="9"/>
  <c r="A898" i="9"/>
  <c r="A897" i="9"/>
  <c r="A896" i="9"/>
  <c r="A895" i="9"/>
  <c r="A894" i="9"/>
  <c r="A893" i="9"/>
  <c r="A892" i="9"/>
  <c r="A891" i="9"/>
  <c r="A890" i="9"/>
  <c r="A889" i="9"/>
  <c r="A888" i="9"/>
  <c r="A887" i="9"/>
  <c r="A886" i="9"/>
  <c r="A885" i="9"/>
  <c r="A884" i="9"/>
  <c r="A883" i="9"/>
  <c r="A882" i="9"/>
  <c r="A881" i="9"/>
  <c r="A880" i="9"/>
  <c r="A879" i="9"/>
  <c r="A878" i="9"/>
  <c r="A877" i="9"/>
  <c r="A876" i="9"/>
  <c r="A875" i="9"/>
  <c r="A874" i="9"/>
  <c r="A873" i="9"/>
  <c r="A872" i="9"/>
  <c r="A871" i="9"/>
  <c r="A870" i="9"/>
  <c r="A869" i="9"/>
  <c r="A868" i="9"/>
  <c r="A867" i="9"/>
  <c r="A866" i="9"/>
  <c r="A865" i="9"/>
  <c r="A864" i="9"/>
  <c r="A863" i="9"/>
  <c r="A862" i="9"/>
  <c r="A861" i="9"/>
  <c r="A860" i="9"/>
  <c r="A859" i="9"/>
  <c r="A858" i="9"/>
  <c r="A857" i="9"/>
  <c r="A856" i="9"/>
  <c r="A855" i="9"/>
  <c r="A854" i="9"/>
  <c r="A853" i="9"/>
  <c r="A852" i="9"/>
  <c r="A851" i="9"/>
  <c r="A850" i="9"/>
  <c r="A849" i="9"/>
  <c r="A848" i="9"/>
  <c r="A847" i="9"/>
  <c r="A846" i="9"/>
  <c r="A845" i="9"/>
  <c r="A844" i="9"/>
  <c r="A843" i="9"/>
  <c r="A842" i="9"/>
  <c r="A841" i="9"/>
  <c r="A840" i="9"/>
  <c r="A839" i="9"/>
  <c r="A838" i="9"/>
  <c r="A837" i="9"/>
  <c r="A836" i="9"/>
  <c r="A835" i="9"/>
  <c r="A834" i="9"/>
  <c r="A833" i="9"/>
  <c r="A832" i="9"/>
  <c r="A831" i="9"/>
  <c r="A830" i="9"/>
  <c r="A829" i="9"/>
  <c r="A828" i="9"/>
  <c r="A827" i="9"/>
  <c r="A826" i="9"/>
  <c r="A825" i="9"/>
  <c r="A824" i="9"/>
  <c r="A823" i="9"/>
  <c r="A822" i="9"/>
  <c r="A821" i="9"/>
  <c r="A820" i="9"/>
  <c r="A819" i="9"/>
  <c r="A818" i="9"/>
  <c r="A817" i="9"/>
  <c r="A816" i="9"/>
  <c r="A815" i="9"/>
  <c r="A814" i="9"/>
  <c r="A813" i="9"/>
  <c r="A812" i="9"/>
  <c r="A811" i="9"/>
  <c r="A810" i="9"/>
  <c r="A809" i="9"/>
  <c r="A808" i="9"/>
  <c r="A807" i="9"/>
  <c r="A806" i="9"/>
  <c r="A805" i="9"/>
  <c r="A804" i="9"/>
  <c r="A803" i="9"/>
  <c r="A802" i="9"/>
  <c r="A801" i="9"/>
  <c r="A800" i="9"/>
  <c r="A799" i="9"/>
  <c r="A798" i="9"/>
  <c r="A797" i="9"/>
  <c r="A796" i="9"/>
  <c r="A795" i="9"/>
  <c r="A794" i="9"/>
  <c r="A793" i="9"/>
  <c r="A792" i="9"/>
  <c r="A791" i="9"/>
  <c r="A790" i="9"/>
  <c r="A789" i="9"/>
  <c r="A788" i="9"/>
  <c r="A787" i="9"/>
  <c r="A786" i="9"/>
  <c r="A785" i="9"/>
  <c r="A784" i="9"/>
  <c r="A783" i="9"/>
  <c r="A782" i="9"/>
  <c r="A781" i="9"/>
  <c r="A780" i="9"/>
  <c r="A779" i="9"/>
  <c r="A778" i="9"/>
  <c r="A777" i="9"/>
  <c r="A776" i="9"/>
  <c r="A775" i="9"/>
  <c r="A774" i="9"/>
  <c r="A773" i="9"/>
  <c r="A772" i="9"/>
  <c r="A771" i="9"/>
  <c r="A770" i="9"/>
  <c r="A769" i="9"/>
  <c r="A768" i="9"/>
  <c r="A767" i="9"/>
  <c r="A766" i="9"/>
  <c r="A765" i="9"/>
  <c r="A764" i="9"/>
  <c r="A763" i="9"/>
  <c r="A762" i="9"/>
  <c r="A761" i="9"/>
  <c r="A760" i="9"/>
  <c r="A759" i="9"/>
  <c r="A758" i="9"/>
  <c r="A757" i="9"/>
  <c r="A756" i="9"/>
  <c r="A755" i="9"/>
  <c r="A754" i="9"/>
  <c r="A753" i="9"/>
  <c r="A752" i="9"/>
  <c r="A751" i="9"/>
  <c r="A750" i="9"/>
  <c r="A749" i="9"/>
  <c r="A748" i="9"/>
  <c r="A747" i="9"/>
  <c r="A746" i="9"/>
  <c r="A745" i="9"/>
  <c r="A744" i="9"/>
  <c r="A743" i="9"/>
  <c r="A742" i="9"/>
  <c r="A741" i="9"/>
  <c r="A740" i="9"/>
  <c r="A739" i="9"/>
  <c r="A738" i="9"/>
  <c r="A737" i="9"/>
  <c r="A736" i="9"/>
  <c r="A735" i="9"/>
  <c r="A734" i="9"/>
  <c r="A733" i="9"/>
  <c r="A732" i="9"/>
  <c r="A731" i="9"/>
  <c r="A730" i="9"/>
  <c r="A729" i="9"/>
  <c r="A728" i="9"/>
  <c r="A727" i="9"/>
  <c r="A726" i="9"/>
  <c r="A725" i="9"/>
  <c r="A724" i="9"/>
  <c r="A723" i="9"/>
  <c r="A722" i="9"/>
  <c r="A721" i="9"/>
  <c r="A720" i="9"/>
  <c r="A719" i="9"/>
  <c r="A718" i="9"/>
  <c r="A717" i="9"/>
  <c r="A716" i="9"/>
  <c r="A715" i="9"/>
  <c r="A714" i="9"/>
  <c r="A713" i="9"/>
  <c r="A712" i="9"/>
  <c r="A711" i="9"/>
  <c r="A710" i="9"/>
  <c r="A709" i="9"/>
  <c r="A708" i="9"/>
  <c r="A707" i="9"/>
  <c r="A706" i="9"/>
  <c r="A705" i="9"/>
  <c r="A704" i="9"/>
  <c r="A703" i="9"/>
  <c r="A702" i="9"/>
  <c r="A701" i="9"/>
  <c r="A700" i="9"/>
  <c r="A699" i="9"/>
  <c r="A698" i="9"/>
  <c r="A697" i="9"/>
  <c r="A696" i="9"/>
  <c r="A695" i="9"/>
  <c r="A694" i="9"/>
  <c r="A693" i="9"/>
  <c r="A692" i="9"/>
  <c r="A691" i="9"/>
  <c r="A690" i="9"/>
  <c r="A689" i="9"/>
  <c r="A688" i="9"/>
  <c r="A687" i="9"/>
  <c r="A686" i="9"/>
  <c r="A685" i="9"/>
  <c r="A684" i="9"/>
  <c r="A683" i="9"/>
  <c r="A682" i="9"/>
  <c r="A681" i="9"/>
  <c r="A680" i="9"/>
  <c r="A679" i="9"/>
  <c r="A678" i="9"/>
  <c r="A677" i="9"/>
  <c r="A676" i="9"/>
  <c r="A675" i="9"/>
  <c r="A674" i="9"/>
  <c r="A673" i="9"/>
  <c r="A672" i="9"/>
  <c r="A671" i="9"/>
  <c r="A670" i="9"/>
  <c r="A669" i="9"/>
  <c r="A668" i="9"/>
  <c r="A667" i="9"/>
  <c r="A666" i="9"/>
  <c r="A665" i="9"/>
  <c r="A664" i="9"/>
  <c r="A663" i="9"/>
  <c r="A662" i="9"/>
  <c r="A661" i="9"/>
  <c r="A660" i="9"/>
  <c r="A659" i="9"/>
  <c r="A658" i="9"/>
  <c r="A657" i="9"/>
  <c r="A656" i="9"/>
  <c r="A655" i="9"/>
  <c r="A654" i="9"/>
  <c r="A653" i="9"/>
  <c r="A652" i="9"/>
  <c r="A651" i="9"/>
  <c r="A650" i="9"/>
  <c r="A649" i="9"/>
  <c r="A648" i="9"/>
  <c r="A647" i="9"/>
  <c r="A646" i="9"/>
  <c r="A645" i="9"/>
  <c r="A644" i="9"/>
  <c r="A643" i="9"/>
  <c r="A642" i="9"/>
  <c r="A641" i="9"/>
  <c r="A640" i="9"/>
  <c r="A639" i="9"/>
  <c r="A638" i="9"/>
  <c r="A637" i="9"/>
  <c r="A636" i="9"/>
  <c r="A635" i="9"/>
  <c r="A634" i="9"/>
  <c r="A633" i="9"/>
  <c r="A632" i="9"/>
  <c r="A631" i="9"/>
  <c r="A630" i="9"/>
  <c r="A629" i="9"/>
  <c r="A628" i="9"/>
  <c r="A627" i="9"/>
  <c r="A626" i="9"/>
  <c r="A625" i="9"/>
  <c r="A624" i="9"/>
  <c r="A623" i="9"/>
  <c r="A622" i="9"/>
  <c r="A621" i="9"/>
  <c r="A620" i="9"/>
  <c r="A619" i="9"/>
  <c r="A618" i="9"/>
  <c r="A617" i="9"/>
  <c r="A616" i="9"/>
  <c r="A615" i="9"/>
  <c r="A614" i="9"/>
  <c r="A613" i="9"/>
  <c r="A612" i="9"/>
  <c r="A611" i="9"/>
  <c r="A610" i="9"/>
  <c r="A609" i="9"/>
  <c r="A608" i="9"/>
  <c r="A607" i="9"/>
  <c r="A606" i="9"/>
  <c r="A605" i="9"/>
  <c r="A604" i="9"/>
  <c r="A603" i="9"/>
  <c r="A602" i="9"/>
  <c r="A601" i="9"/>
  <c r="A600" i="9"/>
  <c r="A599" i="9"/>
  <c r="A598" i="9"/>
  <c r="A597" i="9"/>
  <c r="A596" i="9"/>
  <c r="A595" i="9"/>
  <c r="A594" i="9"/>
  <c r="A593" i="9"/>
  <c r="A592" i="9"/>
  <c r="A591" i="9"/>
  <c r="A590" i="9"/>
  <c r="A589" i="9"/>
  <c r="A588" i="9"/>
  <c r="A587" i="9"/>
  <c r="A586" i="9"/>
  <c r="A585" i="9"/>
  <c r="A584" i="9"/>
  <c r="A583" i="9"/>
  <c r="A582" i="9"/>
  <c r="A581" i="9"/>
  <c r="A580" i="9"/>
  <c r="A579" i="9"/>
  <c r="A578" i="9"/>
  <c r="A577" i="9"/>
  <c r="A576" i="9"/>
  <c r="A575" i="9"/>
  <c r="A574" i="9"/>
  <c r="A573" i="9"/>
  <c r="A572" i="9"/>
  <c r="A571" i="9"/>
  <c r="A570" i="9"/>
  <c r="A569" i="9"/>
  <c r="A568" i="9"/>
  <c r="A567" i="9"/>
  <c r="A566" i="9"/>
  <c r="A565" i="9"/>
  <c r="A564" i="9"/>
  <c r="A563" i="9"/>
  <c r="A562" i="9"/>
  <c r="A561" i="9"/>
  <c r="A560" i="9"/>
  <c r="A559" i="9"/>
  <c r="A558" i="9"/>
  <c r="A557" i="9"/>
  <c r="A556" i="9"/>
  <c r="A555" i="9"/>
  <c r="A554" i="9"/>
  <c r="A553" i="9"/>
  <c r="A552" i="9"/>
  <c r="A551" i="9"/>
  <c r="A550" i="9"/>
  <c r="A549" i="9"/>
  <c r="A548" i="9"/>
  <c r="A547" i="9"/>
  <c r="A546" i="9"/>
  <c r="A545" i="9"/>
  <c r="A544" i="9"/>
  <c r="A543" i="9"/>
  <c r="A542" i="9"/>
  <c r="A541" i="9"/>
  <c r="A540" i="9"/>
  <c r="A539" i="9"/>
  <c r="A538" i="9"/>
  <c r="A537" i="9"/>
  <c r="A536" i="9"/>
  <c r="A535" i="9"/>
  <c r="A534" i="9"/>
  <c r="A533" i="9"/>
  <c r="A532" i="9"/>
  <c r="A531" i="9"/>
  <c r="A530" i="9"/>
  <c r="A529" i="9"/>
  <c r="A528" i="9"/>
  <c r="A527" i="9"/>
  <c r="A526" i="9"/>
  <c r="A525" i="9"/>
  <c r="A524" i="9"/>
  <c r="A523" i="9"/>
  <c r="A522" i="9"/>
  <c r="A521" i="9"/>
  <c r="A520" i="9"/>
  <c r="A519" i="9"/>
  <c r="A518" i="9"/>
  <c r="A517" i="9"/>
  <c r="A516" i="9"/>
  <c r="A515" i="9"/>
  <c r="A514" i="9"/>
  <c r="A513" i="9"/>
  <c r="A512" i="9"/>
  <c r="A511" i="9"/>
  <c r="A510" i="9"/>
  <c r="A509" i="9"/>
  <c r="A508" i="9"/>
  <c r="A507" i="9"/>
  <c r="A506" i="9"/>
  <c r="A505" i="9"/>
  <c r="A504" i="9"/>
  <c r="A503" i="9"/>
  <c r="A502" i="9"/>
  <c r="A501" i="9"/>
  <c r="A500" i="9"/>
  <c r="A499" i="9"/>
  <c r="A498" i="9"/>
  <c r="A497" i="9"/>
  <c r="A496" i="9"/>
  <c r="A495" i="9"/>
  <c r="A494" i="9"/>
  <c r="A493" i="9"/>
  <c r="A492" i="9"/>
  <c r="A491" i="9"/>
  <c r="A490" i="9"/>
  <c r="A489" i="9"/>
  <c r="A488" i="9"/>
  <c r="A487" i="9"/>
  <c r="A486" i="9"/>
  <c r="A485" i="9"/>
  <c r="A484" i="9"/>
  <c r="A483" i="9"/>
  <c r="A482" i="9"/>
  <c r="A481" i="9"/>
  <c r="A480" i="9"/>
  <c r="A479" i="9"/>
  <c r="A478" i="9"/>
  <c r="A477" i="9"/>
  <c r="A476" i="9"/>
  <c r="A475" i="9"/>
  <c r="A474" i="9"/>
  <c r="A473" i="9"/>
  <c r="A472" i="9"/>
  <c r="A471" i="9"/>
  <c r="A470" i="9"/>
  <c r="A469" i="9"/>
  <c r="A468" i="9"/>
  <c r="A467" i="9"/>
  <c r="A466" i="9"/>
  <c r="A465" i="9"/>
  <c r="A464" i="9"/>
  <c r="A463" i="9"/>
  <c r="A462" i="9"/>
  <c r="A461" i="9"/>
  <c r="A460" i="9"/>
  <c r="A459" i="9"/>
  <c r="A458" i="9"/>
  <c r="A457" i="9"/>
  <c r="A456" i="9"/>
  <c r="A455" i="9"/>
  <c r="A454" i="9"/>
  <c r="A453" i="9"/>
  <c r="A452" i="9"/>
  <c r="A451" i="9"/>
  <c r="A450" i="9"/>
  <c r="A449" i="9"/>
  <c r="A448" i="9"/>
  <c r="A447" i="9"/>
  <c r="A446" i="9"/>
  <c r="A445" i="9"/>
  <c r="A444" i="9"/>
  <c r="A443" i="9"/>
  <c r="A442" i="9"/>
  <c r="A441" i="9"/>
  <c r="A440" i="9"/>
  <c r="A439" i="9"/>
  <c r="A438" i="9"/>
  <c r="A437" i="9"/>
  <c r="A436" i="9"/>
  <c r="A435" i="9"/>
  <c r="A434" i="9"/>
  <c r="A433" i="9"/>
  <c r="A432" i="9"/>
  <c r="A431" i="9"/>
  <c r="A430" i="9"/>
  <c r="A429" i="9"/>
  <c r="A428" i="9"/>
  <c r="A427" i="9"/>
  <c r="A426" i="9"/>
  <c r="A425" i="9"/>
  <c r="A424" i="9"/>
  <c r="A423" i="9"/>
  <c r="A422" i="9"/>
  <c r="A421" i="9"/>
  <c r="A420" i="9"/>
  <c r="A419" i="9"/>
  <c r="A418" i="9"/>
  <c r="A417" i="9"/>
  <c r="A416" i="9"/>
  <c r="A415" i="9"/>
  <c r="A414" i="9"/>
  <c r="A413" i="9"/>
  <c r="A412" i="9"/>
  <c r="A411" i="9"/>
  <c r="A410" i="9"/>
  <c r="A409" i="9"/>
  <c r="A408" i="9"/>
  <c r="A407" i="9"/>
  <c r="A406" i="9"/>
  <c r="A405" i="9"/>
  <c r="A404" i="9"/>
  <c r="A403" i="9"/>
  <c r="A402" i="9"/>
  <c r="A401" i="9"/>
  <c r="A400" i="9"/>
  <c r="A399" i="9"/>
  <c r="A398" i="9"/>
  <c r="A397" i="9"/>
  <c r="A396" i="9"/>
  <c r="A395" i="9"/>
  <c r="A394" i="9"/>
  <c r="A393" i="9"/>
  <c r="A392" i="9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N255" i="9"/>
  <c r="M255" i="9"/>
  <c r="L255" i="9"/>
  <c r="I255" i="9"/>
  <c r="H255" i="9"/>
  <c r="N254" i="9"/>
  <c r="M254" i="9"/>
  <c r="L254" i="9"/>
  <c r="I254" i="9"/>
  <c r="H254" i="9"/>
  <c r="N253" i="9"/>
  <c r="M253" i="9"/>
  <c r="L253" i="9"/>
  <c r="I253" i="9"/>
  <c r="H253" i="9"/>
  <c r="N252" i="9"/>
  <c r="M252" i="9"/>
  <c r="L252" i="9"/>
  <c r="I252" i="9"/>
  <c r="H252" i="9"/>
  <c r="N251" i="9"/>
  <c r="M251" i="9"/>
  <c r="L251" i="9"/>
  <c r="I251" i="9"/>
  <c r="H251" i="9"/>
  <c r="N250" i="9"/>
  <c r="M250" i="9"/>
  <c r="L250" i="9"/>
  <c r="I250" i="9"/>
  <c r="H250" i="9"/>
  <c r="N249" i="9"/>
  <c r="M249" i="9"/>
  <c r="L249" i="9"/>
  <c r="I249" i="9"/>
  <c r="H249" i="9"/>
  <c r="N248" i="9"/>
  <c r="M248" i="9"/>
  <c r="L248" i="9"/>
  <c r="I248" i="9"/>
  <c r="H248" i="9"/>
  <c r="N247" i="9"/>
  <c r="M247" i="9"/>
  <c r="L247" i="9"/>
  <c r="I247" i="9"/>
  <c r="H247" i="9"/>
  <c r="N246" i="9"/>
  <c r="M246" i="9"/>
  <c r="L246" i="9"/>
  <c r="I246" i="9"/>
  <c r="H246" i="9"/>
  <c r="N245" i="9"/>
  <c r="M245" i="9"/>
  <c r="L245" i="9"/>
  <c r="I245" i="9"/>
  <c r="H245" i="9"/>
  <c r="N244" i="9"/>
  <c r="M244" i="9"/>
  <c r="L244" i="9"/>
  <c r="I244" i="9"/>
  <c r="H244" i="9"/>
  <c r="N243" i="9"/>
  <c r="M243" i="9"/>
  <c r="L243" i="9"/>
  <c r="I243" i="9"/>
  <c r="H243" i="9"/>
  <c r="N242" i="9"/>
  <c r="M242" i="9"/>
  <c r="L242" i="9"/>
  <c r="I242" i="9"/>
  <c r="H242" i="9"/>
  <c r="N241" i="9"/>
  <c r="M241" i="9"/>
  <c r="L241" i="9"/>
  <c r="I241" i="9"/>
  <c r="H241" i="9"/>
  <c r="N240" i="9"/>
  <c r="M240" i="9"/>
  <c r="L240" i="9"/>
  <c r="I240" i="9"/>
  <c r="H240" i="9"/>
  <c r="N239" i="9"/>
  <c r="M239" i="9"/>
  <c r="L239" i="9"/>
  <c r="I239" i="9"/>
  <c r="H239" i="9"/>
  <c r="N238" i="9"/>
  <c r="M238" i="9"/>
  <c r="L238" i="9"/>
  <c r="I238" i="9"/>
  <c r="H238" i="9"/>
  <c r="N237" i="9"/>
  <c r="M237" i="9"/>
  <c r="L237" i="9"/>
  <c r="I237" i="9"/>
  <c r="H237" i="9"/>
  <c r="N236" i="9"/>
  <c r="M236" i="9"/>
  <c r="L236" i="9"/>
  <c r="I236" i="9"/>
  <c r="H236" i="9"/>
  <c r="N235" i="9"/>
  <c r="M235" i="9"/>
  <c r="L235" i="9"/>
  <c r="I235" i="9"/>
  <c r="H235" i="9"/>
  <c r="N234" i="9"/>
  <c r="M234" i="9"/>
  <c r="L234" i="9"/>
  <c r="I234" i="9"/>
  <c r="H234" i="9"/>
  <c r="N233" i="9"/>
  <c r="M233" i="9"/>
  <c r="L233" i="9"/>
  <c r="I233" i="9"/>
  <c r="H233" i="9"/>
  <c r="N232" i="9"/>
  <c r="M232" i="9"/>
  <c r="L232" i="9"/>
  <c r="I232" i="9"/>
  <c r="H232" i="9"/>
  <c r="N231" i="9"/>
  <c r="M231" i="9"/>
  <c r="L231" i="9"/>
  <c r="I231" i="9"/>
  <c r="H231" i="9"/>
  <c r="N230" i="9"/>
  <c r="M230" i="9"/>
  <c r="L230" i="9"/>
  <c r="I230" i="9"/>
  <c r="H230" i="9"/>
  <c r="N229" i="9"/>
  <c r="M229" i="9"/>
  <c r="L229" i="9"/>
  <c r="I229" i="9"/>
  <c r="H229" i="9"/>
  <c r="N228" i="9"/>
  <c r="M228" i="9"/>
  <c r="L228" i="9"/>
  <c r="I228" i="9"/>
  <c r="H228" i="9"/>
  <c r="N227" i="9"/>
  <c r="M227" i="9"/>
  <c r="L227" i="9"/>
  <c r="I227" i="9"/>
  <c r="H227" i="9"/>
  <c r="N226" i="9"/>
  <c r="M226" i="9"/>
  <c r="L226" i="9"/>
  <c r="I226" i="9"/>
  <c r="H226" i="9"/>
  <c r="N225" i="9"/>
  <c r="M225" i="9"/>
  <c r="L225" i="9"/>
  <c r="I225" i="9"/>
  <c r="H225" i="9"/>
  <c r="N224" i="9"/>
  <c r="M224" i="9"/>
  <c r="L224" i="9"/>
  <c r="I224" i="9"/>
  <c r="H224" i="9"/>
  <c r="N223" i="9"/>
  <c r="M223" i="9"/>
  <c r="L223" i="9"/>
  <c r="I223" i="9"/>
  <c r="H223" i="9"/>
  <c r="N222" i="9"/>
  <c r="M222" i="9"/>
  <c r="L222" i="9"/>
  <c r="I222" i="9"/>
  <c r="H222" i="9"/>
  <c r="N221" i="9"/>
  <c r="M221" i="9"/>
  <c r="L221" i="9"/>
  <c r="I221" i="9"/>
  <c r="H221" i="9"/>
  <c r="N220" i="9"/>
  <c r="M220" i="9"/>
  <c r="L220" i="9"/>
  <c r="I220" i="9"/>
  <c r="H220" i="9"/>
  <c r="N219" i="9"/>
  <c r="M219" i="9"/>
  <c r="L219" i="9"/>
  <c r="I219" i="9"/>
  <c r="H219" i="9"/>
  <c r="N218" i="9"/>
  <c r="M218" i="9"/>
  <c r="L218" i="9"/>
  <c r="I218" i="9"/>
  <c r="H218" i="9"/>
  <c r="N217" i="9"/>
  <c r="M217" i="9"/>
  <c r="L217" i="9"/>
  <c r="I217" i="9"/>
  <c r="H217" i="9"/>
  <c r="N216" i="9"/>
  <c r="M216" i="9"/>
  <c r="L216" i="9"/>
  <c r="I216" i="9"/>
  <c r="H216" i="9"/>
  <c r="N215" i="9"/>
  <c r="M215" i="9"/>
  <c r="L215" i="9"/>
  <c r="I215" i="9"/>
  <c r="H215" i="9"/>
  <c r="N214" i="9"/>
  <c r="M214" i="9"/>
  <c r="L214" i="9"/>
  <c r="I214" i="9"/>
  <c r="H214" i="9"/>
  <c r="N213" i="9"/>
  <c r="M213" i="9"/>
  <c r="L213" i="9"/>
  <c r="I213" i="9"/>
  <c r="H213" i="9"/>
  <c r="N212" i="9"/>
  <c r="M212" i="9"/>
  <c r="L212" i="9"/>
  <c r="I212" i="9"/>
  <c r="H212" i="9"/>
  <c r="N211" i="9"/>
  <c r="M211" i="9"/>
  <c r="L211" i="9"/>
  <c r="I211" i="9"/>
  <c r="H211" i="9"/>
  <c r="N210" i="9"/>
  <c r="M210" i="9"/>
  <c r="L210" i="9"/>
  <c r="I210" i="9"/>
  <c r="H210" i="9"/>
  <c r="N209" i="9"/>
  <c r="M209" i="9"/>
  <c r="L209" i="9"/>
  <c r="I209" i="9"/>
  <c r="H209" i="9"/>
  <c r="N208" i="9"/>
  <c r="M208" i="9"/>
  <c r="L208" i="9"/>
  <c r="I208" i="9"/>
  <c r="H208" i="9"/>
  <c r="N207" i="9"/>
  <c r="M207" i="9"/>
  <c r="L207" i="9"/>
  <c r="I207" i="9"/>
  <c r="H207" i="9"/>
  <c r="N206" i="9"/>
  <c r="M206" i="9"/>
  <c r="L206" i="9"/>
  <c r="I206" i="9"/>
  <c r="H206" i="9"/>
  <c r="N205" i="9"/>
  <c r="M205" i="9"/>
  <c r="L205" i="9"/>
  <c r="I205" i="9"/>
  <c r="H205" i="9"/>
  <c r="N204" i="9"/>
  <c r="M204" i="9"/>
  <c r="L204" i="9"/>
  <c r="I204" i="9"/>
  <c r="H204" i="9"/>
  <c r="N203" i="9"/>
  <c r="M203" i="9"/>
  <c r="L203" i="9"/>
  <c r="I203" i="9"/>
  <c r="H203" i="9"/>
  <c r="N202" i="9"/>
  <c r="M202" i="9"/>
  <c r="L202" i="9"/>
  <c r="I202" i="9"/>
  <c r="H202" i="9"/>
  <c r="N201" i="9"/>
  <c r="M201" i="9"/>
  <c r="L201" i="9"/>
  <c r="I201" i="9"/>
  <c r="H201" i="9"/>
  <c r="N200" i="9"/>
  <c r="M200" i="9"/>
  <c r="L200" i="9"/>
  <c r="I200" i="9"/>
  <c r="H200" i="9"/>
  <c r="N199" i="9"/>
  <c r="M199" i="9"/>
  <c r="L199" i="9"/>
  <c r="I199" i="9"/>
  <c r="H199" i="9"/>
  <c r="N198" i="9"/>
  <c r="M198" i="9"/>
  <c r="L198" i="9"/>
  <c r="I198" i="9"/>
  <c r="H198" i="9"/>
  <c r="N197" i="9"/>
  <c r="M197" i="9"/>
  <c r="L197" i="9"/>
  <c r="I197" i="9"/>
  <c r="H197" i="9"/>
  <c r="N196" i="9"/>
  <c r="M196" i="9"/>
  <c r="L196" i="9"/>
  <c r="I196" i="9"/>
  <c r="H196" i="9"/>
  <c r="N195" i="9"/>
  <c r="M195" i="9"/>
  <c r="L195" i="9"/>
  <c r="I195" i="9"/>
  <c r="H195" i="9"/>
  <c r="N194" i="9"/>
  <c r="M194" i="9"/>
  <c r="L194" i="9"/>
  <c r="I194" i="9"/>
  <c r="H194" i="9"/>
  <c r="N193" i="9"/>
  <c r="M193" i="9"/>
  <c r="L193" i="9"/>
  <c r="I193" i="9"/>
  <c r="H193" i="9"/>
  <c r="N192" i="9"/>
  <c r="M192" i="9"/>
  <c r="L192" i="9"/>
  <c r="I192" i="9"/>
  <c r="H192" i="9"/>
  <c r="N191" i="9"/>
  <c r="M191" i="9"/>
  <c r="L191" i="9"/>
  <c r="I191" i="9"/>
  <c r="H191" i="9"/>
  <c r="N190" i="9"/>
  <c r="M190" i="9"/>
  <c r="L190" i="9"/>
  <c r="I190" i="9"/>
  <c r="H190" i="9"/>
  <c r="N189" i="9"/>
  <c r="M189" i="9"/>
  <c r="L189" i="9"/>
  <c r="I189" i="9"/>
  <c r="H189" i="9"/>
  <c r="N188" i="9"/>
  <c r="M188" i="9"/>
  <c r="L188" i="9"/>
  <c r="I188" i="9"/>
  <c r="H188" i="9"/>
  <c r="N187" i="9"/>
  <c r="M187" i="9"/>
  <c r="L187" i="9"/>
  <c r="I187" i="9"/>
  <c r="H187" i="9"/>
  <c r="AK163" i="7"/>
  <c r="AJ163" i="7"/>
  <c r="AI163" i="7"/>
  <c r="AH163" i="7"/>
  <c r="AG163" i="7"/>
  <c r="AF163" i="7"/>
  <c r="AE163" i="7"/>
  <c r="B160" i="7"/>
  <c r="AK158" i="7"/>
  <c r="AJ158" i="7"/>
  <c r="AI158" i="7"/>
  <c r="AH158" i="7"/>
  <c r="AG158" i="7"/>
  <c r="AF158" i="7"/>
  <c r="AE158" i="7"/>
  <c r="AD158" i="7"/>
  <c r="AC158" i="7"/>
  <c r="AB158" i="7"/>
  <c r="AA158" i="7"/>
  <c r="Z158" i="7"/>
  <c r="Y158" i="7"/>
  <c r="X158" i="7"/>
  <c r="W158" i="7"/>
  <c r="V158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B156" i="7"/>
  <c r="AK153" i="7"/>
  <c r="AJ153" i="7"/>
  <c r="AI153" i="7"/>
  <c r="AH153" i="7"/>
  <c r="AG153" i="7"/>
  <c r="AF153" i="7"/>
  <c r="AE153" i="7"/>
  <c r="AD153" i="7"/>
  <c r="AC153" i="7"/>
  <c r="B150" i="7"/>
  <c r="AK148" i="7"/>
  <c r="AJ148" i="7"/>
  <c r="AI148" i="7"/>
  <c r="AH148" i="7"/>
  <c r="AG148" i="7"/>
  <c r="AF148" i="7"/>
  <c r="AE148" i="7"/>
  <c r="AD148" i="7"/>
  <c r="AC148" i="7"/>
  <c r="AB148" i="7"/>
  <c r="AA148" i="7"/>
  <c r="Z148" i="7"/>
  <c r="Y148" i="7"/>
  <c r="X148" i="7"/>
  <c r="W148" i="7"/>
  <c r="V148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B146" i="7"/>
  <c r="AK143" i="7"/>
  <c r="AJ143" i="7"/>
  <c r="AI143" i="7"/>
  <c r="AH143" i="7"/>
  <c r="AG143" i="7"/>
  <c r="B140" i="7"/>
  <c r="AK138" i="7"/>
  <c r="AJ138" i="7"/>
  <c r="AI138" i="7"/>
  <c r="AH138" i="7"/>
  <c r="AG138" i="7"/>
  <c r="AF138" i="7"/>
  <c r="AE138" i="7"/>
  <c r="AD138" i="7"/>
  <c r="AC138" i="7"/>
  <c r="AB138" i="7"/>
  <c r="AA138" i="7"/>
  <c r="Z138" i="7"/>
  <c r="Y138" i="7"/>
  <c r="X138" i="7"/>
  <c r="W138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B136" i="7"/>
  <c r="AK133" i="7"/>
  <c r="AJ133" i="7"/>
  <c r="AI133" i="7"/>
  <c r="AH133" i="7"/>
  <c r="AG133" i="7"/>
  <c r="AF133" i="7"/>
  <c r="AE133" i="7"/>
  <c r="AD133" i="7"/>
  <c r="B130" i="7"/>
  <c r="AK128" i="7"/>
  <c r="AJ128" i="7"/>
  <c r="AI128" i="7"/>
  <c r="AH128" i="7"/>
  <c r="AG128" i="7"/>
  <c r="AF128" i="7"/>
  <c r="AE128" i="7"/>
  <c r="AD128" i="7"/>
  <c r="AC128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B126" i="7"/>
  <c r="AK123" i="7"/>
  <c r="AJ123" i="7"/>
  <c r="AI123" i="7"/>
  <c r="B120" i="7"/>
  <c r="AK118" i="7"/>
  <c r="AJ118" i="7"/>
  <c r="AI118" i="7"/>
  <c r="AH118" i="7"/>
  <c r="AG118" i="7"/>
  <c r="AF118" i="7"/>
  <c r="AE118" i="7"/>
  <c r="AD118" i="7"/>
  <c r="AC118" i="7"/>
  <c r="AB118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B116" i="7"/>
  <c r="AK113" i="7"/>
  <c r="AJ113" i="7"/>
  <c r="AI113" i="7"/>
  <c r="AH113" i="7"/>
  <c r="AG113" i="7"/>
  <c r="AF113" i="7"/>
  <c r="AE113" i="7"/>
  <c r="AD113" i="7"/>
  <c r="AC113" i="7"/>
  <c r="AB113" i="7"/>
  <c r="AA113" i="7"/>
  <c r="B110" i="7"/>
  <c r="AK108" i="7"/>
  <c r="AJ108" i="7"/>
  <c r="AI108" i="7"/>
  <c r="AH108" i="7"/>
  <c r="AG108" i="7"/>
  <c r="AF108" i="7"/>
  <c r="AE108" i="7"/>
  <c r="AD108" i="7"/>
  <c r="AC108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B106" i="7"/>
  <c r="AK103" i="7"/>
  <c r="AJ103" i="7"/>
  <c r="AI103" i="7"/>
  <c r="AH103" i="7"/>
  <c r="B100" i="7"/>
  <c r="AK98" i="7"/>
  <c r="AJ98" i="7"/>
  <c r="AI98" i="7"/>
  <c r="AH98" i="7"/>
  <c r="AG98" i="7"/>
  <c r="AF98" i="7"/>
  <c r="AE98" i="7"/>
  <c r="AD98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B96" i="7"/>
  <c r="AK93" i="7"/>
  <c r="AJ93" i="7"/>
  <c r="AI93" i="7"/>
  <c r="AH93" i="7"/>
  <c r="AG93" i="7"/>
  <c r="AF93" i="7"/>
  <c r="AE93" i="7"/>
  <c r="AD93" i="7"/>
  <c r="AC93" i="7"/>
  <c r="B90" i="7"/>
  <c r="AK88" i="7"/>
  <c r="AJ88" i="7"/>
  <c r="AI88" i="7"/>
  <c r="AH88" i="7"/>
  <c r="AG88" i="7"/>
  <c r="AF88" i="7"/>
  <c r="AE88" i="7"/>
  <c r="AD88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B86" i="7"/>
  <c r="AK83" i="7"/>
  <c r="AJ83" i="7"/>
  <c r="AI83" i="7"/>
  <c r="AH83" i="7"/>
  <c r="AG83" i="7"/>
  <c r="AF83" i="7"/>
  <c r="B80" i="7"/>
  <c r="AK78" i="7"/>
  <c r="AJ78" i="7"/>
  <c r="AI78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6" i="7"/>
  <c r="AK73" i="7"/>
  <c r="AJ73" i="7"/>
  <c r="AI73" i="7"/>
  <c r="AH73" i="7"/>
  <c r="AG73" i="7"/>
  <c r="B70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B66" i="7"/>
  <c r="AK63" i="7"/>
  <c r="AJ63" i="7"/>
  <c r="AI63" i="7"/>
  <c r="AH63" i="7"/>
  <c r="AG63" i="7"/>
  <c r="AF63" i="7"/>
  <c r="AE63" i="7"/>
  <c r="AD63" i="7"/>
  <c r="AC63" i="7"/>
  <c r="AB63" i="7"/>
  <c r="B60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6" i="7"/>
  <c r="AK53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B50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6" i="7"/>
  <c r="AK43" i="7"/>
  <c r="AJ43" i="7"/>
  <c r="AI43" i="7"/>
  <c r="B40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B36" i="7"/>
  <c r="AK33" i="7"/>
  <c r="AJ33" i="7"/>
  <c r="B30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6" i="7"/>
  <c r="AK23" i="7"/>
  <c r="B20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6" i="7"/>
  <c r="G257" i="9" l="1"/>
  <c r="F257" i="9"/>
  <c r="G265" i="9"/>
  <c r="F265" i="9"/>
  <c r="G273" i="9"/>
  <c r="F273" i="9"/>
  <c r="G281" i="9"/>
  <c r="F281" i="9"/>
  <c r="G289" i="9"/>
  <c r="F289" i="9"/>
  <c r="G297" i="9"/>
  <c r="F297" i="9"/>
  <c r="G305" i="9"/>
  <c r="F305" i="9"/>
  <c r="F313" i="9"/>
  <c r="G313" i="9"/>
  <c r="G321" i="9"/>
  <c r="F321" i="9"/>
  <c r="G329" i="9"/>
  <c r="F329" i="9"/>
  <c r="G337" i="9"/>
  <c r="F337" i="9"/>
  <c r="G345" i="9"/>
  <c r="F345" i="9"/>
  <c r="G353" i="9"/>
  <c r="F353" i="9"/>
  <c r="G361" i="9"/>
  <c r="F361" i="9"/>
  <c r="G369" i="9"/>
  <c r="F369" i="9"/>
  <c r="G377" i="9"/>
  <c r="F377" i="9"/>
  <c r="G385" i="9"/>
  <c r="F385" i="9"/>
  <c r="G393" i="9"/>
  <c r="F393" i="9"/>
  <c r="G401" i="9"/>
  <c r="F401" i="9"/>
  <c r="G409" i="9"/>
  <c r="F409" i="9"/>
  <c r="G417" i="9"/>
  <c r="F417" i="9"/>
  <c r="G425" i="9"/>
  <c r="F425" i="9"/>
  <c r="G433" i="9"/>
  <c r="F433" i="9"/>
  <c r="G441" i="9"/>
  <c r="F441" i="9"/>
  <c r="G449" i="9"/>
  <c r="F449" i="9"/>
  <c r="G457" i="9"/>
  <c r="F457" i="9"/>
  <c r="F465" i="9"/>
  <c r="G465" i="9"/>
  <c r="G473" i="9"/>
  <c r="F473" i="9"/>
  <c r="G481" i="9"/>
  <c r="F481" i="9"/>
  <c r="G489" i="9"/>
  <c r="F489" i="9"/>
  <c r="G497" i="9"/>
  <c r="F497" i="9"/>
  <c r="G505" i="9"/>
  <c r="F505" i="9"/>
  <c r="F513" i="9"/>
  <c r="G513" i="9"/>
  <c r="G521" i="9"/>
  <c r="F521" i="9"/>
  <c r="F529" i="9"/>
  <c r="G529" i="9"/>
  <c r="G537" i="9"/>
  <c r="F537" i="9"/>
  <c r="G545" i="9"/>
  <c r="F545" i="9"/>
  <c r="G553" i="9"/>
  <c r="F553" i="9"/>
  <c r="G561" i="9"/>
  <c r="F561" i="9"/>
  <c r="G569" i="9"/>
  <c r="F569" i="9"/>
  <c r="F577" i="9"/>
  <c r="G577" i="9"/>
  <c r="G585" i="9"/>
  <c r="F585" i="9"/>
  <c r="F593" i="9"/>
  <c r="G593" i="9"/>
  <c r="G601" i="9"/>
  <c r="F601" i="9"/>
  <c r="G609" i="9"/>
  <c r="F609" i="9"/>
  <c r="G617" i="9"/>
  <c r="F617" i="9"/>
  <c r="G625" i="9"/>
  <c r="F625" i="9"/>
  <c r="F633" i="9"/>
  <c r="G633" i="9"/>
  <c r="F641" i="9"/>
  <c r="G641" i="9"/>
  <c r="G649" i="9"/>
  <c r="F649" i="9"/>
  <c r="G657" i="9"/>
  <c r="F657" i="9"/>
  <c r="G665" i="9"/>
  <c r="F665" i="9"/>
  <c r="G673" i="9"/>
  <c r="F673" i="9"/>
  <c r="G681" i="9"/>
  <c r="F681" i="9"/>
  <c r="G689" i="9"/>
  <c r="F689" i="9"/>
  <c r="F697" i="9"/>
  <c r="G697" i="9"/>
  <c r="F705" i="9"/>
  <c r="G705" i="9"/>
  <c r="G713" i="9"/>
  <c r="F713" i="9"/>
  <c r="G721" i="9"/>
  <c r="F721" i="9"/>
  <c r="G729" i="9"/>
  <c r="F729" i="9"/>
  <c r="G737" i="9"/>
  <c r="F737" i="9"/>
  <c r="G745" i="9"/>
  <c r="F745" i="9"/>
  <c r="G753" i="9"/>
  <c r="F753" i="9"/>
  <c r="G761" i="9"/>
  <c r="F761" i="9"/>
  <c r="G769" i="9"/>
  <c r="F769" i="9"/>
  <c r="F777" i="9"/>
  <c r="G777" i="9"/>
  <c r="G785" i="9"/>
  <c r="F785" i="9"/>
  <c r="F793" i="9"/>
  <c r="G793" i="9"/>
  <c r="G801" i="9"/>
  <c r="F801" i="9"/>
  <c r="F809" i="9"/>
  <c r="G809" i="9"/>
  <c r="G817" i="9"/>
  <c r="F817" i="9"/>
  <c r="G825" i="9"/>
  <c r="F825" i="9"/>
  <c r="G833" i="9"/>
  <c r="F833" i="9"/>
  <c r="G841" i="9"/>
  <c r="F841" i="9"/>
  <c r="G849" i="9"/>
  <c r="F849" i="9"/>
  <c r="F857" i="9"/>
  <c r="G857" i="9"/>
  <c r="G865" i="9"/>
  <c r="F865" i="9"/>
  <c r="G873" i="9"/>
  <c r="F873" i="9"/>
  <c r="G881" i="9"/>
  <c r="F881" i="9"/>
  <c r="G889" i="9"/>
  <c r="F889" i="9"/>
  <c r="G897" i="9"/>
  <c r="F897" i="9"/>
  <c r="F905" i="9"/>
  <c r="G905" i="9"/>
  <c r="G913" i="9"/>
  <c r="F913" i="9"/>
  <c r="F921" i="9"/>
  <c r="G921" i="9"/>
  <c r="G929" i="9"/>
  <c r="F929" i="9"/>
  <c r="G937" i="9"/>
  <c r="F937" i="9"/>
  <c r="G945" i="9"/>
  <c r="F945" i="9"/>
  <c r="G953" i="9"/>
  <c r="F953" i="9"/>
  <c r="G961" i="9"/>
  <c r="F961" i="9"/>
  <c r="G969" i="9"/>
  <c r="F969" i="9"/>
  <c r="G977" i="9"/>
  <c r="F977" i="9"/>
  <c r="F985" i="9"/>
  <c r="G985" i="9"/>
  <c r="G993" i="9"/>
  <c r="F993" i="9"/>
  <c r="G258" i="9"/>
  <c r="F258" i="9"/>
  <c r="G266" i="9"/>
  <c r="F266" i="9"/>
  <c r="G274" i="9"/>
  <c r="F274" i="9"/>
  <c r="G282" i="9"/>
  <c r="F282" i="9"/>
  <c r="G290" i="9"/>
  <c r="F290" i="9"/>
  <c r="G298" i="9"/>
  <c r="F298" i="9"/>
  <c r="G306" i="9"/>
  <c r="F306" i="9"/>
  <c r="G314" i="9"/>
  <c r="F314" i="9"/>
  <c r="G322" i="9"/>
  <c r="F322" i="9"/>
  <c r="G330" i="9"/>
  <c r="F330" i="9"/>
  <c r="G338" i="9"/>
  <c r="F338" i="9"/>
  <c r="G346" i="9"/>
  <c r="F346" i="9"/>
  <c r="G354" i="9"/>
  <c r="F354" i="9"/>
  <c r="F362" i="9"/>
  <c r="G362" i="9"/>
  <c r="G370" i="9"/>
  <c r="F370" i="9"/>
  <c r="G378" i="9"/>
  <c r="F378" i="9"/>
  <c r="G386" i="9"/>
  <c r="F386" i="9"/>
  <c r="G394" i="9"/>
  <c r="F394" i="9"/>
  <c r="G402" i="9"/>
  <c r="F402" i="9"/>
  <c r="G410" i="9"/>
  <c r="F410" i="9"/>
  <c r="G418" i="9"/>
  <c r="F418" i="9"/>
  <c r="G426" i="9"/>
  <c r="F426" i="9"/>
  <c r="G434" i="9"/>
  <c r="F434" i="9"/>
  <c r="G442" i="9"/>
  <c r="F442" i="9"/>
  <c r="G450" i="9"/>
  <c r="F450" i="9"/>
  <c r="G458" i="9"/>
  <c r="F458" i="9"/>
  <c r="G466" i="9"/>
  <c r="F466" i="9"/>
  <c r="G474" i="9"/>
  <c r="F474" i="9"/>
  <c r="F482" i="9"/>
  <c r="G482" i="9"/>
  <c r="G490" i="9"/>
  <c r="F490" i="9"/>
  <c r="G498" i="9"/>
  <c r="F498" i="9"/>
  <c r="G506" i="9"/>
  <c r="F506" i="9"/>
  <c r="G514" i="9"/>
  <c r="F514" i="9"/>
  <c r="G522" i="9"/>
  <c r="F522" i="9"/>
  <c r="G530" i="9"/>
  <c r="F530" i="9"/>
  <c r="G538" i="9"/>
  <c r="F538" i="9"/>
  <c r="G546" i="9"/>
  <c r="F546" i="9"/>
  <c r="G554" i="9"/>
  <c r="F554" i="9"/>
  <c r="G562" i="9"/>
  <c r="F562" i="9"/>
  <c r="G570" i="9"/>
  <c r="F570" i="9"/>
  <c r="G578" i="9"/>
  <c r="F578" i="9"/>
  <c r="G586" i="9"/>
  <c r="F586" i="9"/>
  <c r="G594" i="9"/>
  <c r="F594" i="9"/>
  <c r="G602" i="9"/>
  <c r="F602" i="9"/>
  <c r="G610" i="9"/>
  <c r="F610" i="9"/>
  <c r="G618" i="9"/>
  <c r="F618" i="9"/>
  <c r="G626" i="9"/>
  <c r="F626" i="9"/>
  <c r="G634" i="9"/>
  <c r="F634" i="9"/>
  <c r="G642" i="9"/>
  <c r="F642" i="9"/>
  <c r="G650" i="9"/>
  <c r="F650" i="9"/>
  <c r="G658" i="9"/>
  <c r="F658" i="9"/>
  <c r="G666" i="9"/>
  <c r="F666" i="9"/>
  <c r="G674" i="9"/>
  <c r="F674" i="9"/>
  <c r="G682" i="9"/>
  <c r="F682" i="9"/>
  <c r="G690" i="9"/>
  <c r="F690" i="9"/>
  <c r="G698" i="9"/>
  <c r="F698" i="9"/>
  <c r="G706" i="9"/>
  <c r="F706" i="9"/>
  <c r="G714" i="9"/>
  <c r="F714" i="9"/>
  <c r="G722" i="9"/>
  <c r="F722" i="9"/>
  <c r="G730" i="9"/>
  <c r="F730" i="9"/>
  <c r="G738" i="9"/>
  <c r="F738" i="9"/>
  <c r="G746" i="9"/>
  <c r="F746" i="9"/>
  <c r="F754" i="9"/>
  <c r="G754" i="9"/>
  <c r="G762" i="9"/>
  <c r="F762" i="9"/>
  <c r="G770" i="9"/>
  <c r="F770" i="9"/>
  <c r="G778" i="9"/>
  <c r="F778" i="9"/>
  <c r="G786" i="9"/>
  <c r="F786" i="9"/>
  <c r="G794" i="9"/>
  <c r="F794" i="9"/>
  <c r="G802" i="9"/>
  <c r="F802" i="9"/>
  <c r="G810" i="9"/>
  <c r="F810" i="9"/>
  <c r="G818" i="9"/>
  <c r="F818" i="9"/>
  <c r="G826" i="9"/>
  <c r="F826" i="9"/>
  <c r="G834" i="9"/>
  <c r="F834" i="9"/>
  <c r="G842" i="9"/>
  <c r="F842" i="9"/>
  <c r="G850" i="9"/>
  <c r="F850" i="9"/>
  <c r="G858" i="9"/>
  <c r="F858" i="9"/>
  <c r="G866" i="9"/>
  <c r="F866" i="9"/>
  <c r="G874" i="9"/>
  <c r="F874" i="9"/>
  <c r="G882" i="9"/>
  <c r="F882" i="9"/>
  <c r="G890" i="9"/>
  <c r="F890" i="9"/>
  <c r="G898" i="9"/>
  <c r="F898" i="9"/>
  <c r="G906" i="9"/>
  <c r="F906" i="9"/>
  <c r="G914" i="9"/>
  <c r="F914" i="9"/>
  <c r="G922" i="9"/>
  <c r="F922" i="9"/>
  <c r="G930" i="9"/>
  <c r="F930" i="9"/>
  <c r="G938" i="9"/>
  <c r="F938" i="9"/>
  <c r="G946" i="9"/>
  <c r="F946" i="9"/>
  <c r="G954" i="9"/>
  <c r="F954" i="9"/>
  <c r="G962" i="9"/>
  <c r="F962" i="9"/>
  <c r="G970" i="9"/>
  <c r="F970" i="9"/>
  <c r="G978" i="9"/>
  <c r="F978" i="9"/>
  <c r="G986" i="9"/>
  <c r="F986" i="9"/>
  <c r="G994" i="9"/>
  <c r="F994" i="9"/>
  <c r="G259" i="9"/>
  <c r="F259" i="9"/>
  <c r="G267" i="9"/>
  <c r="F267" i="9"/>
  <c r="G275" i="9"/>
  <c r="F275" i="9"/>
  <c r="G283" i="9"/>
  <c r="F283" i="9"/>
  <c r="G291" i="9"/>
  <c r="F291" i="9"/>
  <c r="G299" i="9"/>
  <c r="F299" i="9"/>
  <c r="G307" i="9"/>
  <c r="F307" i="9"/>
  <c r="G315" i="9"/>
  <c r="F315" i="9"/>
  <c r="G323" i="9"/>
  <c r="F323" i="9"/>
  <c r="G331" i="9"/>
  <c r="F331" i="9"/>
  <c r="G339" i="9"/>
  <c r="F339" i="9"/>
  <c r="G347" i="9"/>
  <c r="F347" i="9"/>
  <c r="G355" i="9"/>
  <c r="F355" i="9"/>
  <c r="G363" i="9"/>
  <c r="F363" i="9"/>
  <c r="G371" i="9"/>
  <c r="F371" i="9"/>
  <c r="G379" i="9"/>
  <c r="F379" i="9"/>
  <c r="G387" i="9"/>
  <c r="F387" i="9"/>
  <c r="G395" i="9"/>
  <c r="F395" i="9"/>
  <c r="G403" i="9"/>
  <c r="F403" i="9"/>
  <c r="G411" i="9"/>
  <c r="F411" i="9"/>
  <c r="G419" i="9"/>
  <c r="F419" i="9"/>
  <c r="G427" i="9"/>
  <c r="F427" i="9"/>
  <c r="G435" i="9"/>
  <c r="F435" i="9"/>
  <c r="G443" i="9"/>
  <c r="F443" i="9"/>
  <c r="G451" i="9"/>
  <c r="F451" i="9"/>
  <c r="G459" i="9"/>
  <c r="F459" i="9"/>
  <c r="G467" i="9"/>
  <c r="F467" i="9"/>
  <c r="G475" i="9"/>
  <c r="F475" i="9"/>
  <c r="G483" i="9"/>
  <c r="F483" i="9"/>
  <c r="G491" i="9"/>
  <c r="F491" i="9"/>
  <c r="G499" i="9"/>
  <c r="F499" i="9"/>
  <c r="G507" i="9"/>
  <c r="F507" i="9"/>
  <c r="G515" i="9"/>
  <c r="F515" i="9"/>
  <c r="G523" i="9"/>
  <c r="F523" i="9"/>
  <c r="G531" i="9"/>
  <c r="F531" i="9"/>
  <c r="G539" i="9"/>
  <c r="F539" i="9"/>
  <c r="G547" i="9"/>
  <c r="F547" i="9"/>
  <c r="G555" i="9"/>
  <c r="F555" i="9"/>
  <c r="G563" i="9"/>
  <c r="F563" i="9"/>
  <c r="G571" i="9"/>
  <c r="F571" i="9"/>
  <c r="G579" i="9"/>
  <c r="F579" i="9"/>
  <c r="G587" i="9"/>
  <c r="F587" i="9"/>
  <c r="G595" i="9"/>
  <c r="F595" i="9"/>
  <c r="G603" i="9"/>
  <c r="F603" i="9"/>
  <c r="G611" i="9"/>
  <c r="F611" i="9"/>
  <c r="G619" i="9"/>
  <c r="F619" i="9"/>
  <c r="G627" i="9"/>
  <c r="F627" i="9"/>
  <c r="G635" i="9"/>
  <c r="F635" i="9"/>
  <c r="G643" i="9"/>
  <c r="F643" i="9"/>
  <c r="G651" i="9"/>
  <c r="F651" i="9"/>
  <c r="G659" i="9"/>
  <c r="F659" i="9"/>
  <c r="G667" i="9"/>
  <c r="F667" i="9"/>
  <c r="G675" i="9"/>
  <c r="F675" i="9"/>
  <c r="G683" i="9"/>
  <c r="F683" i="9"/>
  <c r="G691" i="9"/>
  <c r="F691" i="9"/>
  <c r="G699" i="9"/>
  <c r="F699" i="9"/>
  <c r="G707" i="9"/>
  <c r="F707" i="9"/>
  <c r="G715" i="9"/>
  <c r="F715" i="9"/>
  <c r="G723" i="9"/>
  <c r="F723" i="9"/>
  <c r="G731" i="9"/>
  <c r="F731" i="9"/>
  <c r="G739" i="9"/>
  <c r="F739" i="9"/>
  <c r="G747" i="9"/>
  <c r="F747" i="9"/>
  <c r="G755" i="9"/>
  <c r="F755" i="9"/>
  <c r="G763" i="9"/>
  <c r="F763" i="9"/>
  <c r="G771" i="9"/>
  <c r="F771" i="9"/>
  <c r="G779" i="9"/>
  <c r="F779" i="9"/>
  <c r="G787" i="9"/>
  <c r="F787" i="9"/>
  <c r="G795" i="9"/>
  <c r="F795" i="9"/>
  <c r="G803" i="9"/>
  <c r="F803" i="9"/>
  <c r="G811" i="9"/>
  <c r="F811" i="9"/>
  <c r="G819" i="9"/>
  <c r="F819" i="9"/>
  <c r="G827" i="9"/>
  <c r="F827" i="9"/>
  <c r="G835" i="9"/>
  <c r="F835" i="9"/>
  <c r="G843" i="9"/>
  <c r="F843" i="9"/>
  <c r="G851" i="9"/>
  <c r="F851" i="9"/>
  <c r="G859" i="9"/>
  <c r="F859" i="9"/>
  <c r="G867" i="9"/>
  <c r="F867" i="9"/>
  <c r="G875" i="9"/>
  <c r="F875" i="9"/>
  <c r="G883" i="9"/>
  <c r="F883" i="9"/>
  <c r="G891" i="9"/>
  <c r="F891" i="9"/>
  <c r="G899" i="9"/>
  <c r="F899" i="9"/>
  <c r="G907" i="9"/>
  <c r="F907" i="9"/>
  <c r="G915" i="9"/>
  <c r="F915" i="9"/>
  <c r="G923" i="9"/>
  <c r="F923" i="9"/>
  <c r="G931" i="9"/>
  <c r="F931" i="9"/>
  <c r="G939" i="9"/>
  <c r="F939" i="9"/>
  <c r="G947" i="9"/>
  <c r="F947" i="9"/>
  <c r="G955" i="9"/>
  <c r="F955" i="9"/>
  <c r="G963" i="9"/>
  <c r="F963" i="9"/>
  <c r="G971" i="9"/>
  <c r="F971" i="9"/>
  <c r="G979" i="9"/>
  <c r="F979" i="9"/>
  <c r="G987" i="9"/>
  <c r="F987" i="9"/>
  <c r="G995" i="9"/>
  <c r="F995" i="9"/>
  <c r="G260" i="9"/>
  <c r="F260" i="9"/>
  <c r="G268" i="9"/>
  <c r="F268" i="9"/>
  <c r="G276" i="9"/>
  <c r="F276" i="9"/>
  <c r="G284" i="9"/>
  <c r="F284" i="9"/>
  <c r="G292" i="9"/>
  <c r="F292" i="9"/>
  <c r="G300" i="9"/>
  <c r="F300" i="9"/>
  <c r="G308" i="9"/>
  <c r="F308" i="9"/>
  <c r="G316" i="9"/>
  <c r="F316" i="9"/>
  <c r="G324" i="9"/>
  <c r="F324" i="9"/>
  <c r="G332" i="9"/>
  <c r="F332" i="9"/>
  <c r="G340" i="9"/>
  <c r="F340" i="9"/>
  <c r="G348" i="9"/>
  <c r="F348" i="9"/>
  <c r="G356" i="9"/>
  <c r="F356" i="9"/>
  <c r="G364" i="9"/>
  <c r="F364" i="9"/>
  <c r="G372" i="9"/>
  <c r="F372" i="9"/>
  <c r="G380" i="9"/>
  <c r="F380" i="9"/>
  <c r="G388" i="9"/>
  <c r="F388" i="9"/>
  <c r="G396" i="9"/>
  <c r="F396" i="9"/>
  <c r="G404" i="9"/>
  <c r="F404" i="9"/>
  <c r="G412" i="9"/>
  <c r="F412" i="9"/>
  <c r="G420" i="9"/>
  <c r="F420" i="9"/>
  <c r="G428" i="9"/>
  <c r="F428" i="9"/>
  <c r="G436" i="9"/>
  <c r="F436" i="9"/>
  <c r="G444" i="9"/>
  <c r="F444" i="9"/>
  <c r="G452" i="9"/>
  <c r="F452" i="9"/>
  <c r="G460" i="9"/>
  <c r="F460" i="9"/>
  <c r="G468" i="9"/>
  <c r="F468" i="9"/>
  <c r="G476" i="9"/>
  <c r="F476" i="9"/>
  <c r="G484" i="9"/>
  <c r="F484" i="9"/>
  <c r="G492" i="9"/>
  <c r="F492" i="9"/>
  <c r="G500" i="9"/>
  <c r="F500" i="9"/>
  <c r="G508" i="9"/>
  <c r="F508" i="9"/>
  <c r="G516" i="9"/>
  <c r="F516" i="9"/>
  <c r="G524" i="9"/>
  <c r="F524" i="9"/>
  <c r="G532" i="9"/>
  <c r="F532" i="9"/>
  <c r="G540" i="9"/>
  <c r="F540" i="9"/>
  <c r="G548" i="9"/>
  <c r="F548" i="9"/>
  <c r="G556" i="9"/>
  <c r="F556" i="9"/>
  <c r="G564" i="9"/>
  <c r="F564" i="9"/>
  <c r="G572" i="9"/>
  <c r="F572" i="9"/>
  <c r="G580" i="9"/>
  <c r="F580" i="9"/>
  <c r="G588" i="9"/>
  <c r="F588" i="9"/>
  <c r="G596" i="9"/>
  <c r="F596" i="9"/>
  <c r="G604" i="9"/>
  <c r="F604" i="9"/>
  <c r="G612" i="9"/>
  <c r="F612" i="9"/>
  <c r="G620" i="9"/>
  <c r="F620" i="9"/>
  <c r="G628" i="9"/>
  <c r="F628" i="9"/>
  <c r="G636" i="9"/>
  <c r="F636" i="9"/>
  <c r="G644" i="9"/>
  <c r="F644" i="9"/>
  <c r="G652" i="9"/>
  <c r="F652" i="9"/>
  <c r="G660" i="9"/>
  <c r="F660" i="9"/>
  <c r="G668" i="9"/>
  <c r="F668" i="9"/>
  <c r="G676" i="9"/>
  <c r="F676" i="9"/>
  <c r="G684" i="9"/>
  <c r="F684" i="9"/>
  <c r="G692" i="9"/>
  <c r="F692" i="9"/>
  <c r="G700" i="9"/>
  <c r="F700" i="9"/>
  <c r="G708" i="9"/>
  <c r="F708" i="9"/>
  <c r="G716" i="9"/>
  <c r="F716" i="9"/>
  <c r="G724" i="9"/>
  <c r="F724" i="9"/>
  <c r="G732" i="9"/>
  <c r="F732" i="9"/>
  <c r="G740" i="9"/>
  <c r="F740" i="9"/>
  <c r="G748" i="9"/>
  <c r="F748" i="9"/>
  <c r="G756" i="9"/>
  <c r="F756" i="9"/>
  <c r="G764" i="9"/>
  <c r="F764" i="9"/>
  <c r="G772" i="9"/>
  <c r="F772" i="9"/>
  <c r="G780" i="9"/>
  <c r="F780" i="9"/>
  <c r="G788" i="9"/>
  <c r="F788" i="9"/>
  <c r="G796" i="9"/>
  <c r="F796" i="9"/>
  <c r="G804" i="9"/>
  <c r="F804" i="9"/>
  <c r="G812" i="9"/>
  <c r="F812" i="9"/>
  <c r="G820" i="9"/>
  <c r="F820" i="9"/>
  <c r="G828" i="9"/>
  <c r="F828" i="9"/>
  <c r="G836" i="9"/>
  <c r="F836" i="9"/>
  <c r="G844" i="9"/>
  <c r="F844" i="9"/>
  <c r="G852" i="9"/>
  <c r="F852" i="9"/>
  <c r="G860" i="9"/>
  <c r="F860" i="9"/>
  <c r="G868" i="9"/>
  <c r="F868" i="9"/>
  <c r="G876" i="9"/>
  <c r="F876" i="9"/>
  <c r="G884" i="9"/>
  <c r="F884" i="9"/>
  <c r="G892" i="9"/>
  <c r="F892" i="9"/>
  <c r="G900" i="9"/>
  <c r="F900" i="9"/>
  <c r="G908" i="9"/>
  <c r="F908" i="9"/>
  <c r="G916" i="9"/>
  <c r="F916" i="9"/>
  <c r="G924" i="9"/>
  <c r="F924" i="9"/>
  <c r="G932" i="9"/>
  <c r="F932" i="9"/>
  <c r="G940" i="9"/>
  <c r="F940" i="9"/>
  <c r="G948" i="9"/>
  <c r="F948" i="9"/>
  <c r="G956" i="9"/>
  <c r="F956" i="9"/>
  <c r="G964" i="9"/>
  <c r="F964" i="9"/>
  <c r="G972" i="9"/>
  <c r="F972" i="9"/>
  <c r="G980" i="9"/>
  <c r="F980" i="9"/>
  <c r="G988" i="9"/>
  <c r="F988" i="9"/>
  <c r="G996" i="9"/>
  <c r="F996" i="9"/>
  <c r="G261" i="9"/>
  <c r="F261" i="9"/>
  <c r="G269" i="9"/>
  <c r="F269" i="9"/>
  <c r="G277" i="9"/>
  <c r="F277" i="9"/>
  <c r="G285" i="9"/>
  <c r="F285" i="9"/>
  <c r="F293" i="9"/>
  <c r="G293" i="9"/>
  <c r="G301" i="9"/>
  <c r="F301" i="9"/>
  <c r="G309" i="9"/>
  <c r="F309" i="9"/>
  <c r="G317" i="9"/>
  <c r="F317" i="9"/>
  <c r="G325" i="9"/>
  <c r="F325" i="9"/>
  <c r="G333" i="9"/>
  <c r="F333" i="9"/>
  <c r="F341" i="9"/>
  <c r="G341" i="9"/>
  <c r="G349" i="9"/>
  <c r="F349" i="9"/>
  <c r="F357" i="9"/>
  <c r="G357" i="9"/>
  <c r="G365" i="9"/>
  <c r="F365" i="9"/>
  <c r="G373" i="9"/>
  <c r="F373" i="9"/>
  <c r="G381" i="9"/>
  <c r="F381" i="9"/>
  <c r="G389" i="9"/>
  <c r="F389" i="9"/>
  <c r="G397" i="9"/>
  <c r="F397" i="9"/>
  <c r="F405" i="9"/>
  <c r="G405" i="9"/>
  <c r="G413" i="9"/>
  <c r="F413" i="9"/>
  <c r="F421" i="9"/>
  <c r="G421" i="9"/>
  <c r="G429" i="9"/>
  <c r="F429" i="9"/>
  <c r="G437" i="9"/>
  <c r="F437" i="9"/>
  <c r="G445" i="9"/>
  <c r="F445" i="9"/>
  <c r="G453" i="9"/>
  <c r="F453" i="9"/>
  <c r="G461" i="9"/>
  <c r="F461" i="9"/>
  <c r="G469" i="9"/>
  <c r="F469" i="9"/>
  <c r="G477" i="9"/>
  <c r="F477" i="9"/>
  <c r="G485" i="9"/>
  <c r="F485" i="9"/>
  <c r="G493" i="9"/>
  <c r="F493" i="9"/>
  <c r="G501" i="9"/>
  <c r="F501" i="9"/>
  <c r="G509" i="9"/>
  <c r="F509" i="9"/>
  <c r="G517" i="9"/>
  <c r="F517" i="9"/>
  <c r="G525" i="9"/>
  <c r="F525" i="9"/>
  <c r="G533" i="9"/>
  <c r="F533" i="9"/>
  <c r="G541" i="9"/>
  <c r="F541" i="9"/>
  <c r="G549" i="9"/>
  <c r="F549" i="9"/>
  <c r="G557" i="9"/>
  <c r="F557" i="9"/>
  <c r="G565" i="9"/>
  <c r="F565" i="9"/>
  <c r="G573" i="9"/>
  <c r="F573" i="9"/>
  <c r="G581" i="9"/>
  <c r="F581" i="9"/>
  <c r="G589" i="9"/>
  <c r="F589" i="9"/>
  <c r="G597" i="9"/>
  <c r="F597" i="9"/>
  <c r="G605" i="9"/>
  <c r="F605" i="9"/>
  <c r="G613" i="9"/>
  <c r="F613" i="9"/>
  <c r="G621" i="9"/>
  <c r="F621" i="9"/>
  <c r="G629" i="9"/>
  <c r="F629" i="9"/>
  <c r="G637" i="9"/>
  <c r="F637" i="9"/>
  <c r="G645" i="9"/>
  <c r="F645" i="9"/>
  <c r="F653" i="9"/>
  <c r="G653" i="9"/>
  <c r="G661" i="9"/>
  <c r="F661" i="9"/>
  <c r="G669" i="9"/>
  <c r="F669" i="9"/>
  <c r="G677" i="9"/>
  <c r="F677" i="9"/>
  <c r="G685" i="9"/>
  <c r="F685" i="9"/>
  <c r="G693" i="9"/>
  <c r="F693" i="9"/>
  <c r="G701" i="9"/>
  <c r="F701" i="9"/>
  <c r="G709" i="9"/>
  <c r="F709" i="9"/>
  <c r="G717" i="9"/>
  <c r="F717" i="9"/>
  <c r="G725" i="9"/>
  <c r="F725" i="9"/>
  <c r="G733" i="9"/>
  <c r="F733" i="9"/>
  <c r="G741" i="9"/>
  <c r="F741" i="9"/>
  <c r="G749" i="9"/>
  <c r="F749" i="9"/>
  <c r="G757" i="9"/>
  <c r="F757" i="9"/>
  <c r="G765" i="9"/>
  <c r="F765" i="9"/>
  <c r="G773" i="9"/>
  <c r="F773" i="9"/>
  <c r="G781" i="9"/>
  <c r="F781" i="9"/>
  <c r="G789" i="9"/>
  <c r="F789" i="9"/>
  <c r="G797" i="9"/>
  <c r="F797" i="9"/>
  <c r="G805" i="9"/>
  <c r="F805" i="9"/>
  <c r="G813" i="9"/>
  <c r="F813" i="9"/>
  <c r="G821" i="9"/>
  <c r="F821" i="9"/>
  <c r="G829" i="9"/>
  <c r="F829" i="9"/>
  <c r="G837" i="9"/>
  <c r="F837" i="9"/>
  <c r="G845" i="9"/>
  <c r="F845" i="9"/>
  <c r="G853" i="9"/>
  <c r="F853" i="9"/>
  <c r="G861" i="9"/>
  <c r="F861" i="9"/>
  <c r="G869" i="9"/>
  <c r="F869" i="9"/>
  <c r="G877" i="9"/>
  <c r="F877" i="9"/>
  <c r="G885" i="9"/>
  <c r="F885" i="9"/>
  <c r="G893" i="9"/>
  <c r="F893" i="9"/>
  <c r="G901" i="9"/>
  <c r="F901" i="9"/>
  <c r="G909" i="9"/>
  <c r="F909" i="9"/>
  <c r="G917" i="9"/>
  <c r="F917" i="9"/>
  <c r="G925" i="9"/>
  <c r="F925" i="9"/>
  <c r="G933" i="9"/>
  <c r="F933" i="9"/>
  <c r="G941" i="9"/>
  <c r="F941" i="9"/>
  <c r="G949" i="9"/>
  <c r="F949" i="9"/>
  <c r="G957" i="9"/>
  <c r="F957" i="9"/>
  <c r="G965" i="9"/>
  <c r="F965" i="9"/>
  <c r="G973" i="9"/>
  <c r="F973" i="9"/>
  <c r="G981" i="9"/>
  <c r="F981" i="9"/>
  <c r="G989" i="9"/>
  <c r="F989" i="9"/>
  <c r="G997" i="9"/>
  <c r="F997" i="9"/>
  <c r="G262" i="9"/>
  <c r="F262" i="9"/>
  <c r="G270" i="9"/>
  <c r="F270" i="9"/>
  <c r="G278" i="9"/>
  <c r="F278" i="9"/>
  <c r="G286" i="9"/>
  <c r="F286" i="9"/>
  <c r="G294" i="9"/>
  <c r="F294" i="9"/>
  <c r="G302" i="9"/>
  <c r="F302" i="9"/>
  <c r="G310" i="9"/>
  <c r="F310" i="9"/>
  <c r="G318" i="9"/>
  <c r="F318" i="9"/>
  <c r="G326" i="9"/>
  <c r="F326" i="9"/>
  <c r="G334" i="9"/>
  <c r="F334" i="9"/>
  <c r="G342" i="9"/>
  <c r="F342" i="9"/>
  <c r="G350" i="9"/>
  <c r="F350" i="9"/>
  <c r="G358" i="9"/>
  <c r="F358" i="9"/>
  <c r="G366" i="9"/>
  <c r="F366" i="9"/>
  <c r="G374" i="9"/>
  <c r="F374" i="9"/>
  <c r="G382" i="9"/>
  <c r="F382" i="9"/>
  <c r="G390" i="9"/>
  <c r="F390" i="9"/>
  <c r="G398" i="9"/>
  <c r="F398" i="9"/>
  <c r="G406" i="9"/>
  <c r="F406" i="9"/>
  <c r="G414" i="9"/>
  <c r="F414" i="9"/>
  <c r="G422" i="9"/>
  <c r="F422" i="9"/>
  <c r="G430" i="9"/>
  <c r="F430" i="9"/>
  <c r="G438" i="9"/>
  <c r="F438" i="9"/>
  <c r="G446" i="9"/>
  <c r="F446" i="9"/>
  <c r="G454" i="9"/>
  <c r="F454" i="9"/>
  <c r="G462" i="9"/>
  <c r="F462" i="9"/>
  <c r="G470" i="9"/>
  <c r="F470" i="9"/>
  <c r="G478" i="9"/>
  <c r="F478" i="9"/>
  <c r="G486" i="9"/>
  <c r="F486" i="9"/>
  <c r="G494" i="9"/>
  <c r="F494" i="9"/>
  <c r="G502" i="9"/>
  <c r="F502" i="9"/>
  <c r="G510" i="9"/>
  <c r="F510" i="9"/>
  <c r="G518" i="9"/>
  <c r="F518" i="9"/>
  <c r="G526" i="9"/>
  <c r="F526" i="9"/>
  <c r="G534" i="9"/>
  <c r="F534" i="9"/>
  <c r="G542" i="9"/>
  <c r="F542" i="9"/>
  <c r="G550" i="9"/>
  <c r="F550" i="9"/>
  <c r="G558" i="9"/>
  <c r="F558" i="9"/>
  <c r="G566" i="9"/>
  <c r="F566" i="9"/>
  <c r="G574" i="9"/>
  <c r="F574" i="9"/>
  <c r="G582" i="9"/>
  <c r="F582" i="9"/>
  <c r="G590" i="9"/>
  <c r="F590" i="9"/>
  <c r="G598" i="9"/>
  <c r="F598" i="9"/>
  <c r="G606" i="9"/>
  <c r="F606" i="9"/>
  <c r="G614" i="9"/>
  <c r="F614" i="9"/>
  <c r="G622" i="9"/>
  <c r="F622" i="9"/>
  <c r="G630" i="9"/>
  <c r="F630" i="9"/>
  <c r="G638" i="9"/>
  <c r="F638" i="9"/>
  <c r="G646" i="9"/>
  <c r="F646" i="9"/>
  <c r="G654" i="9"/>
  <c r="F654" i="9"/>
  <c r="G662" i="9"/>
  <c r="F662" i="9"/>
  <c r="G670" i="9"/>
  <c r="F670" i="9"/>
  <c r="G678" i="9"/>
  <c r="F678" i="9"/>
  <c r="G686" i="9"/>
  <c r="F686" i="9"/>
  <c r="G694" i="9"/>
  <c r="F694" i="9"/>
  <c r="G702" i="9"/>
  <c r="F702" i="9"/>
  <c r="G710" i="9"/>
  <c r="F710" i="9"/>
  <c r="G718" i="9"/>
  <c r="F718" i="9"/>
  <c r="G726" i="9"/>
  <c r="F726" i="9"/>
  <c r="G734" i="9"/>
  <c r="F734" i="9"/>
  <c r="G742" i="9"/>
  <c r="F742" i="9"/>
  <c r="G750" i="9"/>
  <c r="F750" i="9"/>
  <c r="G758" i="9"/>
  <c r="F758" i="9"/>
  <c r="G766" i="9"/>
  <c r="F766" i="9"/>
  <c r="G774" i="9"/>
  <c r="F774" i="9"/>
  <c r="G782" i="9"/>
  <c r="F782" i="9"/>
  <c r="G790" i="9"/>
  <c r="F790" i="9"/>
  <c r="G798" i="9"/>
  <c r="F798" i="9"/>
  <c r="G806" i="9"/>
  <c r="F806" i="9"/>
  <c r="G814" i="9"/>
  <c r="F814" i="9"/>
  <c r="G822" i="9"/>
  <c r="F822" i="9"/>
  <c r="G830" i="9"/>
  <c r="F830" i="9"/>
  <c r="G838" i="9"/>
  <c r="F838" i="9"/>
  <c r="G846" i="9"/>
  <c r="F846" i="9"/>
  <c r="G854" i="9"/>
  <c r="F854" i="9"/>
  <c r="G862" i="9"/>
  <c r="F862" i="9"/>
  <c r="G870" i="9"/>
  <c r="F870" i="9"/>
  <c r="G878" i="9"/>
  <c r="F878" i="9"/>
  <c r="G886" i="9"/>
  <c r="F886" i="9"/>
  <c r="G894" i="9"/>
  <c r="F894" i="9"/>
  <c r="G902" i="9"/>
  <c r="F902" i="9"/>
  <c r="G910" i="9"/>
  <c r="F910" i="9"/>
  <c r="G918" i="9"/>
  <c r="F918" i="9"/>
  <c r="G926" i="9"/>
  <c r="F926" i="9"/>
  <c r="G934" i="9"/>
  <c r="F934" i="9"/>
  <c r="G942" i="9"/>
  <c r="F942" i="9"/>
  <c r="G950" i="9"/>
  <c r="F950" i="9"/>
  <c r="G958" i="9"/>
  <c r="F958" i="9"/>
  <c r="G966" i="9"/>
  <c r="F966" i="9"/>
  <c r="G974" i="9"/>
  <c r="F974" i="9"/>
  <c r="G982" i="9"/>
  <c r="F982" i="9"/>
  <c r="G990" i="9"/>
  <c r="F990" i="9"/>
  <c r="G998" i="9"/>
  <c r="F998" i="9"/>
  <c r="G263" i="9"/>
  <c r="F263" i="9"/>
  <c r="G271" i="9"/>
  <c r="F271" i="9"/>
  <c r="G279" i="9"/>
  <c r="F279" i="9"/>
  <c r="G287" i="9"/>
  <c r="F287" i="9"/>
  <c r="G295" i="9"/>
  <c r="F295" i="9"/>
  <c r="G303" i="9"/>
  <c r="F303" i="9"/>
  <c r="G311" i="9"/>
  <c r="F311" i="9"/>
  <c r="G319" i="9"/>
  <c r="F319" i="9"/>
  <c r="G327" i="9"/>
  <c r="F327" i="9"/>
  <c r="G335" i="9"/>
  <c r="F335" i="9"/>
  <c r="G343" i="9"/>
  <c r="F343" i="9"/>
  <c r="G351" i="9"/>
  <c r="F351" i="9"/>
  <c r="G359" i="9"/>
  <c r="F359" i="9"/>
  <c r="G367" i="9"/>
  <c r="F367" i="9"/>
  <c r="G375" i="9"/>
  <c r="F375" i="9"/>
  <c r="G383" i="9"/>
  <c r="F383" i="9"/>
  <c r="G391" i="9"/>
  <c r="F391" i="9"/>
  <c r="G399" i="9"/>
  <c r="F399" i="9"/>
  <c r="G407" i="9"/>
  <c r="F407" i="9"/>
  <c r="G415" i="9"/>
  <c r="F415" i="9"/>
  <c r="G423" i="9"/>
  <c r="F423" i="9"/>
  <c r="G431" i="9"/>
  <c r="F431" i="9"/>
  <c r="G439" i="9"/>
  <c r="F439" i="9"/>
  <c r="G447" i="9"/>
  <c r="F447" i="9"/>
  <c r="G455" i="9"/>
  <c r="F455" i="9"/>
  <c r="G463" i="9"/>
  <c r="F463" i="9"/>
  <c r="G471" i="9"/>
  <c r="F471" i="9"/>
  <c r="G479" i="9"/>
  <c r="F479" i="9"/>
  <c r="G487" i="9"/>
  <c r="F487" i="9"/>
  <c r="G495" i="9"/>
  <c r="F495" i="9"/>
  <c r="G503" i="9"/>
  <c r="F503" i="9"/>
  <c r="G511" i="9"/>
  <c r="F511" i="9"/>
  <c r="G519" i="9"/>
  <c r="F519" i="9"/>
  <c r="G527" i="9"/>
  <c r="F527" i="9"/>
  <c r="G535" i="9"/>
  <c r="F535" i="9"/>
  <c r="G543" i="9"/>
  <c r="F543" i="9"/>
  <c r="G551" i="9"/>
  <c r="F551" i="9"/>
  <c r="G559" i="9"/>
  <c r="F559" i="9"/>
  <c r="G567" i="9"/>
  <c r="F567" i="9"/>
  <c r="G575" i="9"/>
  <c r="F575" i="9"/>
  <c r="G583" i="9"/>
  <c r="F583" i="9"/>
  <c r="G591" i="9"/>
  <c r="F591" i="9"/>
  <c r="G599" i="9"/>
  <c r="F599" i="9"/>
  <c r="G607" i="9"/>
  <c r="F607" i="9"/>
  <c r="G615" i="9"/>
  <c r="F615" i="9"/>
  <c r="G623" i="9"/>
  <c r="F623" i="9"/>
  <c r="G631" i="9"/>
  <c r="F631" i="9"/>
  <c r="G639" i="9"/>
  <c r="F639" i="9"/>
  <c r="G647" i="9"/>
  <c r="F647" i="9"/>
  <c r="G655" i="9"/>
  <c r="F655" i="9"/>
  <c r="G663" i="9"/>
  <c r="F663" i="9"/>
  <c r="G671" i="9"/>
  <c r="F671" i="9"/>
  <c r="G679" i="9"/>
  <c r="F679" i="9"/>
  <c r="G687" i="9"/>
  <c r="F687" i="9"/>
  <c r="G695" i="9"/>
  <c r="F695" i="9"/>
  <c r="G703" i="9"/>
  <c r="F703" i="9"/>
  <c r="G711" i="9"/>
  <c r="F711" i="9"/>
  <c r="G719" i="9"/>
  <c r="F719" i="9"/>
  <c r="G727" i="9"/>
  <c r="F727" i="9"/>
  <c r="G735" i="9"/>
  <c r="F735" i="9"/>
  <c r="G743" i="9"/>
  <c r="F743" i="9"/>
  <c r="G751" i="9"/>
  <c r="F751" i="9"/>
  <c r="G759" i="9"/>
  <c r="F759" i="9"/>
  <c r="G767" i="9"/>
  <c r="F767" i="9"/>
  <c r="G775" i="9"/>
  <c r="F775" i="9"/>
  <c r="G783" i="9"/>
  <c r="F783" i="9"/>
  <c r="G791" i="9"/>
  <c r="F791" i="9"/>
  <c r="G799" i="9"/>
  <c r="F799" i="9"/>
  <c r="G807" i="9"/>
  <c r="F807" i="9"/>
  <c r="G815" i="9"/>
  <c r="F815" i="9"/>
  <c r="G823" i="9"/>
  <c r="F823" i="9"/>
  <c r="G831" i="9"/>
  <c r="F831" i="9"/>
  <c r="G839" i="9"/>
  <c r="F839" i="9"/>
  <c r="G847" i="9"/>
  <c r="F847" i="9"/>
  <c r="G855" i="9"/>
  <c r="F855" i="9"/>
  <c r="G863" i="9"/>
  <c r="F863" i="9"/>
  <c r="G871" i="9"/>
  <c r="F871" i="9"/>
  <c r="G879" i="9"/>
  <c r="F879" i="9"/>
  <c r="G887" i="9"/>
  <c r="F887" i="9"/>
  <c r="G895" i="9"/>
  <c r="F895" i="9"/>
  <c r="G903" i="9"/>
  <c r="F903" i="9"/>
  <c r="G911" i="9"/>
  <c r="F911" i="9"/>
  <c r="G919" i="9"/>
  <c r="F919" i="9"/>
  <c r="G927" i="9"/>
  <c r="F927" i="9"/>
  <c r="G935" i="9"/>
  <c r="F935" i="9"/>
  <c r="G943" i="9"/>
  <c r="F943" i="9"/>
  <c r="G951" i="9"/>
  <c r="F951" i="9"/>
  <c r="G959" i="9"/>
  <c r="F959" i="9"/>
  <c r="G967" i="9"/>
  <c r="F967" i="9"/>
  <c r="G975" i="9"/>
  <c r="F975" i="9"/>
  <c r="G983" i="9"/>
  <c r="F983" i="9"/>
  <c r="G991" i="9"/>
  <c r="F991" i="9"/>
  <c r="G999" i="9"/>
  <c r="F999" i="9"/>
  <c r="G256" i="9"/>
  <c r="F256" i="9"/>
  <c r="G264" i="9"/>
  <c r="F264" i="9"/>
  <c r="G272" i="9"/>
  <c r="F272" i="9"/>
  <c r="G280" i="9"/>
  <c r="F280" i="9"/>
  <c r="G288" i="9"/>
  <c r="F288" i="9"/>
  <c r="G296" i="9"/>
  <c r="F296" i="9"/>
  <c r="G304" i="9"/>
  <c r="F304" i="9"/>
  <c r="G312" i="9"/>
  <c r="F312" i="9"/>
  <c r="G320" i="9"/>
  <c r="F320" i="9"/>
  <c r="G328" i="9"/>
  <c r="F328" i="9"/>
  <c r="G336" i="9"/>
  <c r="F336" i="9"/>
  <c r="G344" i="9"/>
  <c r="F344" i="9"/>
  <c r="G352" i="9"/>
  <c r="F352" i="9"/>
  <c r="G360" i="9"/>
  <c r="F360" i="9"/>
  <c r="G368" i="9"/>
  <c r="F368" i="9"/>
  <c r="G376" i="9"/>
  <c r="F376" i="9"/>
  <c r="G384" i="9"/>
  <c r="F384" i="9"/>
  <c r="G392" i="9"/>
  <c r="F392" i="9"/>
  <c r="G400" i="9"/>
  <c r="F400" i="9"/>
  <c r="G408" i="9"/>
  <c r="F408" i="9"/>
  <c r="G416" i="9"/>
  <c r="F416" i="9"/>
  <c r="G424" i="9"/>
  <c r="F424" i="9"/>
  <c r="G432" i="9"/>
  <c r="F432" i="9"/>
  <c r="G440" i="9"/>
  <c r="F440" i="9"/>
  <c r="G448" i="9"/>
  <c r="F448" i="9"/>
  <c r="G456" i="9"/>
  <c r="F456" i="9"/>
  <c r="G464" i="9"/>
  <c r="F464" i="9"/>
  <c r="G472" i="9"/>
  <c r="F472" i="9"/>
  <c r="G480" i="9"/>
  <c r="F480" i="9"/>
  <c r="G488" i="9"/>
  <c r="F488" i="9"/>
  <c r="G496" i="9"/>
  <c r="F496" i="9"/>
  <c r="G504" i="9"/>
  <c r="F504" i="9"/>
  <c r="G512" i="9"/>
  <c r="F512" i="9"/>
  <c r="G520" i="9"/>
  <c r="F520" i="9"/>
  <c r="G528" i="9"/>
  <c r="F528" i="9"/>
  <c r="G536" i="9"/>
  <c r="F536" i="9"/>
  <c r="G544" i="9"/>
  <c r="F544" i="9"/>
  <c r="G552" i="9"/>
  <c r="F552" i="9"/>
  <c r="G560" i="9"/>
  <c r="F560" i="9"/>
  <c r="G568" i="9"/>
  <c r="F568" i="9"/>
  <c r="G576" i="9"/>
  <c r="F576" i="9"/>
  <c r="G584" i="9"/>
  <c r="F584" i="9"/>
  <c r="G592" i="9"/>
  <c r="F592" i="9"/>
  <c r="G600" i="9"/>
  <c r="F600" i="9"/>
  <c r="G608" i="9"/>
  <c r="F608" i="9"/>
  <c r="G616" i="9"/>
  <c r="F616" i="9"/>
  <c r="G624" i="9"/>
  <c r="F624" i="9"/>
  <c r="G632" i="9"/>
  <c r="F632" i="9"/>
  <c r="G640" i="9"/>
  <c r="F640" i="9"/>
  <c r="G648" i="9"/>
  <c r="F648" i="9"/>
  <c r="G656" i="9"/>
  <c r="F656" i="9"/>
  <c r="G664" i="9"/>
  <c r="F664" i="9"/>
  <c r="G672" i="9"/>
  <c r="F672" i="9"/>
  <c r="G680" i="9"/>
  <c r="F680" i="9"/>
  <c r="G688" i="9"/>
  <c r="F688" i="9"/>
  <c r="G696" i="9"/>
  <c r="F696" i="9"/>
  <c r="G704" i="9"/>
  <c r="F704" i="9"/>
  <c r="G712" i="9"/>
  <c r="F712" i="9"/>
  <c r="G720" i="9"/>
  <c r="F720" i="9"/>
  <c r="G728" i="9"/>
  <c r="F728" i="9"/>
  <c r="G736" i="9"/>
  <c r="F736" i="9"/>
  <c r="G744" i="9"/>
  <c r="F744" i="9"/>
  <c r="G752" i="9"/>
  <c r="F752" i="9"/>
  <c r="G760" i="9"/>
  <c r="F760" i="9"/>
  <c r="G768" i="9"/>
  <c r="F768" i="9"/>
  <c r="G776" i="9"/>
  <c r="F776" i="9"/>
  <c r="G784" i="9"/>
  <c r="F784" i="9"/>
  <c r="G792" i="9"/>
  <c r="F792" i="9"/>
  <c r="G800" i="9"/>
  <c r="F800" i="9"/>
  <c r="G808" i="9"/>
  <c r="F808" i="9"/>
  <c r="G816" i="9"/>
  <c r="F816" i="9"/>
  <c r="G824" i="9"/>
  <c r="F824" i="9"/>
  <c r="G832" i="9"/>
  <c r="F832" i="9"/>
  <c r="G840" i="9"/>
  <c r="F840" i="9"/>
  <c r="G848" i="9"/>
  <c r="F848" i="9"/>
  <c r="G856" i="9"/>
  <c r="F856" i="9"/>
  <c r="G864" i="9"/>
  <c r="F864" i="9"/>
  <c r="G872" i="9"/>
  <c r="F872" i="9"/>
  <c r="G880" i="9"/>
  <c r="F880" i="9"/>
  <c r="G888" i="9"/>
  <c r="F888" i="9"/>
  <c r="G896" i="9"/>
  <c r="F896" i="9"/>
  <c r="G904" i="9"/>
  <c r="F904" i="9"/>
  <c r="G912" i="9"/>
  <c r="F912" i="9"/>
  <c r="G920" i="9"/>
  <c r="F920" i="9"/>
  <c r="G928" i="9"/>
  <c r="F928" i="9"/>
  <c r="G936" i="9"/>
  <c r="F936" i="9"/>
  <c r="G944" i="9"/>
  <c r="F944" i="9"/>
  <c r="G952" i="9"/>
  <c r="F952" i="9"/>
  <c r="G960" i="9"/>
  <c r="F960" i="9"/>
  <c r="G968" i="9"/>
  <c r="F968" i="9"/>
  <c r="G976" i="9"/>
  <c r="F976" i="9"/>
  <c r="G984" i="9"/>
  <c r="F984" i="9"/>
  <c r="G992" i="9"/>
  <c r="F992" i="9"/>
  <c r="G1000" i="9"/>
  <c r="F1000" i="9"/>
  <c r="J257" i="9"/>
  <c r="K257" i="9"/>
  <c r="J265" i="9"/>
  <c r="K265" i="9"/>
  <c r="J273" i="9"/>
  <c r="K273" i="9"/>
  <c r="J281" i="9"/>
  <c r="K281" i="9"/>
  <c r="J289" i="9"/>
  <c r="K289" i="9"/>
  <c r="J297" i="9"/>
  <c r="K297" i="9"/>
  <c r="J305" i="9"/>
  <c r="K305" i="9"/>
  <c r="J313" i="9"/>
  <c r="K313" i="9"/>
  <c r="J321" i="9"/>
  <c r="K321" i="9"/>
  <c r="J329" i="9"/>
  <c r="K329" i="9"/>
  <c r="J337" i="9"/>
  <c r="K337" i="9"/>
  <c r="J345" i="9"/>
  <c r="K345" i="9"/>
  <c r="J353" i="9"/>
  <c r="K353" i="9"/>
  <c r="J361" i="9"/>
  <c r="K361" i="9"/>
  <c r="J369" i="9"/>
  <c r="K369" i="9"/>
  <c r="J377" i="9"/>
  <c r="K377" i="9"/>
  <c r="J385" i="9"/>
  <c r="K385" i="9"/>
  <c r="J393" i="9"/>
  <c r="K393" i="9"/>
  <c r="K401" i="9"/>
  <c r="J409" i="9"/>
  <c r="K409" i="9"/>
  <c r="K417" i="9"/>
  <c r="J425" i="9"/>
  <c r="K425" i="9"/>
  <c r="J433" i="9"/>
  <c r="K433" i="9"/>
  <c r="J441" i="9"/>
  <c r="K441" i="9"/>
  <c r="J449" i="9"/>
  <c r="K449" i="9"/>
  <c r="K457" i="9"/>
  <c r="J465" i="9"/>
  <c r="K465" i="9"/>
  <c r="J473" i="9"/>
  <c r="K473" i="9"/>
  <c r="J481" i="9"/>
  <c r="K481" i="9"/>
  <c r="J489" i="9"/>
  <c r="K489" i="9"/>
  <c r="J497" i="9"/>
  <c r="K497" i="9"/>
  <c r="J505" i="9"/>
  <c r="K505" i="9"/>
  <c r="K513" i="9"/>
  <c r="J521" i="9"/>
  <c r="K521" i="9"/>
  <c r="K529" i="9"/>
  <c r="K537" i="9"/>
  <c r="J545" i="9"/>
  <c r="K545" i="9"/>
  <c r="J553" i="9"/>
  <c r="K553" i="9"/>
  <c r="K561" i="9"/>
  <c r="K569" i="9"/>
  <c r="K577" i="9"/>
  <c r="J585" i="9"/>
  <c r="K585" i="9"/>
  <c r="J593" i="9"/>
  <c r="K593" i="9"/>
  <c r="K601" i="9"/>
  <c r="K609" i="9"/>
  <c r="K617" i="9"/>
  <c r="J625" i="9"/>
  <c r="K625" i="9"/>
  <c r="K633" i="9"/>
  <c r="K641" i="9"/>
  <c r="J649" i="9"/>
  <c r="K649" i="9"/>
  <c r="J657" i="9"/>
  <c r="K657" i="9"/>
  <c r="K665" i="9"/>
  <c r="K673" i="9"/>
  <c r="J681" i="9"/>
  <c r="K681" i="9"/>
  <c r="J689" i="9"/>
  <c r="K689" i="9"/>
  <c r="K697" i="9"/>
  <c r="J705" i="9"/>
  <c r="K705" i="9"/>
  <c r="K713" i="9"/>
  <c r="J721" i="9"/>
  <c r="K721" i="9"/>
  <c r="J729" i="9"/>
  <c r="K729" i="9"/>
  <c r="K737" i="9"/>
  <c r="J745" i="9"/>
  <c r="K745" i="9"/>
  <c r="J753" i="9"/>
  <c r="K753" i="9"/>
  <c r="K761" i="9"/>
  <c r="K769" i="9"/>
  <c r="K777" i="9"/>
  <c r="K785" i="9"/>
  <c r="J793" i="9"/>
  <c r="K793" i="9"/>
  <c r="K801" i="9"/>
  <c r="J809" i="9"/>
  <c r="K809" i="9"/>
  <c r="J817" i="9"/>
  <c r="K817" i="9"/>
  <c r="J825" i="9"/>
  <c r="K825" i="9"/>
  <c r="J833" i="9"/>
  <c r="K833" i="9"/>
  <c r="J841" i="9"/>
  <c r="K841" i="9"/>
  <c r="J849" i="9"/>
  <c r="K849" i="9"/>
  <c r="J857" i="9"/>
  <c r="K857" i="9"/>
  <c r="K865" i="9"/>
  <c r="J873" i="9"/>
  <c r="K873" i="9"/>
  <c r="J881" i="9"/>
  <c r="K881" i="9"/>
  <c r="K889" i="9"/>
  <c r="J897" i="9"/>
  <c r="K897" i="9"/>
  <c r="K905" i="9"/>
  <c r="K913" i="9"/>
  <c r="J921" i="9"/>
  <c r="K921" i="9"/>
  <c r="J929" i="9"/>
  <c r="K929" i="9"/>
  <c r="K937" i="9"/>
  <c r="J945" i="9"/>
  <c r="K945" i="9"/>
  <c r="J953" i="9"/>
  <c r="K953" i="9"/>
  <c r="J961" i="9"/>
  <c r="K961" i="9"/>
  <c r="K969" i="9"/>
  <c r="K977" i="9"/>
  <c r="J985" i="9"/>
  <c r="K985" i="9"/>
  <c r="J993" i="9"/>
  <c r="K993" i="9"/>
  <c r="J258" i="9"/>
  <c r="K258" i="9"/>
  <c r="J266" i="9"/>
  <c r="K266" i="9"/>
  <c r="J274" i="9"/>
  <c r="K274" i="9"/>
  <c r="J282" i="9"/>
  <c r="K282" i="9"/>
  <c r="J290" i="9"/>
  <c r="K290" i="9"/>
  <c r="J298" i="9"/>
  <c r="K298" i="9"/>
  <c r="J306" i="9"/>
  <c r="K306" i="9"/>
  <c r="J314" i="9"/>
  <c r="K314" i="9"/>
  <c r="J322" i="9"/>
  <c r="K322" i="9"/>
  <c r="J330" i="9"/>
  <c r="K330" i="9"/>
  <c r="J338" i="9"/>
  <c r="K338" i="9"/>
  <c r="J346" i="9"/>
  <c r="K346" i="9"/>
  <c r="J354" i="9"/>
  <c r="K354" i="9"/>
  <c r="J362" i="9"/>
  <c r="K362" i="9"/>
  <c r="J370" i="9"/>
  <c r="K370" i="9"/>
  <c r="J378" i="9"/>
  <c r="K378" i="9"/>
  <c r="K386" i="9"/>
  <c r="J394" i="9"/>
  <c r="K394" i="9"/>
  <c r="J402" i="9"/>
  <c r="K402" i="9"/>
  <c r="K410" i="9"/>
  <c r="J418" i="9"/>
  <c r="K418" i="9"/>
  <c r="J426" i="9"/>
  <c r="K426" i="9"/>
  <c r="J434" i="9"/>
  <c r="K434" i="9"/>
  <c r="K442" i="9"/>
  <c r="K450" i="9"/>
  <c r="J458" i="9"/>
  <c r="K458" i="9"/>
  <c r="J466" i="9"/>
  <c r="K466" i="9"/>
  <c r="J474" i="9"/>
  <c r="K474" i="9"/>
  <c r="K482" i="9"/>
  <c r="J490" i="9"/>
  <c r="K490" i="9"/>
  <c r="J498" i="9"/>
  <c r="K498" i="9"/>
  <c r="K506" i="9"/>
  <c r="J514" i="9"/>
  <c r="K514" i="9"/>
  <c r="K522" i="9"/>
  <c r="K530" i="9"/>
  <c r="K538" i="9"/>
  <c r="K546" i="9"/>
  <c r="K554" i="9"/>
  <c r="K562" i="9"/>
  <c r="J570" i="9"/>
  <c r="K570" i="9"/>
  <c r="K578" i="9"/>
  <c r="K586" i="9"/>
  <c r="J594" i="9"/>
  <c r="K594" i="9"/>
  <c r="K602" i="9"/>
  <c r="J610" i="9"/>
  <c r="K610" i="9"/>
  <c r="J618" i="9"/>
  <c r="K618" i="9"/>
  <c r="K626" i="9"/>
  <c r="J634" i="9"/>
  <c r="K634" i="9"/>
  <c r="J642" i="9"/>
  <c r="K642" i="9"/>
  <c r="J650" i="9"/>
  <c r="K650" i="9"/>
  <c r="K658" i="9"/>
  <c r="K666" i="9"/>
  <c r="J674" i="9"/>
  <c r="K674" i="9"/>
  <c r="K682" i="9"/>
  <c r="J690" i="9"/>
  <c r="K690" i="9"/>
  <c r="K698" i="9"/>
  <c r="J706" i="9"/>
  <c r="K706" i="9"/>
  <c r="K714" i="9"/>
  <c r="J722" i="9"/>
  <c r="K722" i="9"/>
  <c r="K730" i="9"/>
  <c r="J738" i="9"/>
  <c r="K738" i="9"/>
  <c r="J746" i="9"/>
  <c r="K746" i="9"/>
  <c r="J754" i="9"/>
  <c r="K754" i="9"/>
  <c r="K762" i="9"/>
  <c r="J770" i="9"/>
  <c r="K770" i="9"/>
  <c r="J778" i="9"/>
  <c r="K778" i="9"/>
  <c r="K786" i="9"/>
  <c r="K794" i="9"/>
  <c r="J802" i="9"/>
  <c r="K802" i="9"/>
  <c r="J810" i="9"/>
  <c r="K810" i="9"/>
  <c r="K818" i="9"/>
  <c r="K826" i="9"/>
  <c r="J834" i="9"/>
  <c r="K834" i="9"/>
  <c r="K842" i="9"/>
  <c r="K850" i="9"/>
  <c r="J858" i="9"/>
  <c r="K858" i="9"/>
  <c r="K866" i="9"/>
  <c r="J874" i="9"/>
  <c r="K874" i="9"/>
  <c r="J882" i="9"/>
  <c r="K882" i="9"/>
  <c r="K890" i="9"/>
  <c r="J898" i="9"/>
  <c r="K898" i="9"/>
  <c r="J906" i="9"/>
  <c r="K906" i="9"/>
  <c r="K914" i="9"/>
  <c r="J922" i="9"/>
  <c r="K922" i="9"/>
  <c r="J930" i="9"/>
  <c r="K930" i="9"/>
  <c r="J938" i="9"/>
  <c r="K938" i="9"/>
  <c r="J946" i="9"/>
  <c r="K946" i="9"/>
  <c r="K954" i="9"/>
  <c r="J962" i="9"/>
  <c r="K962" i="9"/>
  <c r="K970" i="9"/>
  <c r="J978" i="9"/>
  <c r="K978" i="9"/>
  <c r="J986" i="9"/>
  <c r="K986" i="9"/>
  <c r="K994" i="9"/>
  <c r="K259" i="9"/>
  <c r="K267" i="9"/>
  <c r="J275" i="9"/>
  <c r="K275" i="9"/>
  <c r="J283" i="9"/>
  <c r="K283" i="9"/>
  <c r="J291" i="9"/>
  <c r="K291" i="9"/>
  <c r="K299" i="9"/>
  <c r="J307" i="9"/>
  <c r="K307" i="9"/>
  <c r="J315" i="9"/>
  <c r="K315" i="9"/>
  <c r="J323" i="9"/>
  <c r="K323" i="9"/>
  <c r="J331" i="9"/>
  <c r="K331" i="9"/>
  <c r="J339" i="9"/>
  <c r="K339" i="9"/>
  <c r="K347" i="9"/>
  <c r="J355" i="9"/>
  <c r="K355" i="9"/>
  <c r="J363" i="9"/>
  <c r="K363" i="9"/>
  <c r="J371" i="9"/>
  <c r="K371" i="9"/>
  <c r="J379" i="9"/>
  <c r="K379" i="9"/>
  <c r="K387" i="9"/>
  <c r="J395" i="9"/>
  <c r="K395" i="9"/>
  <c r="J403" i="9"/>
  <c r="K403" i="9"/>
  <c r="J411" i="9"/>
  <c r="K411" i="9"/>
  <c r="K419" i="9"/>
  <c r="K427" i="9"/>
  <c r="J435" i="9"/>
  <c r="K435" i="9"/>
  <c r="J443" i="9"/>
  <c r="K443" i="9"/>
  <c r="J451" i="9"/>
  <c r="K451" i="9"/>
  <c r="J459" i="9"/>
  <c r="K459" i="9"/>
  <c r="J467" i="9"/>
  <c r="K467" i="9"/>
  <c r="J475" i="9"/>
  <c r="K475" i="9"/>
  <c r="J483" i="9"/>
  <c r="K483" i="9"/>
  <c r="J491" i="9"/>
  <c r="K491" i="9"/>
  <c r="J499" i="9"/>
  <c r="K499" i="9"/>
  <c r="K507" i="9"/>
  <c r="K515" i="9"/>
  <c r="J523" i="9"/>
  <c r="K523" i="9"/>
  <c r="K531" i="9"/>
  <c r="J539" i="9"/>
  <c r="K539" i="9"/>
  <c r="K547" i="9"/>
  <c r="J555" i="9"/>
  <c r="K555" i="9"/>
  <c r="K563" i="9"/>
  <c r="J571" i="9"/>
  <c r="K571" i="9"/>
  <c r="K579" i="9"/>
  <c r="J587" i="9"/>
  <c r="K587" i="9"/>
  <c r="J595" i="9"/>
  <c r="K595" i="9"/>
  <c r="J603" i="9"/>
  <c r="K603" i="9"/>
  <c r="K611" i="9"/>
  <c r="J619" i="9"/>
  <c r="K619" i="9"/>
  <c r="K627" i="9"/>
  <c r="J635" i="9"/>
  <c r="K635" i="9"/>
  <c r="J643" i="9"/>
  <c r="K643" i="9"/>
  <c r="J651" i="9"/>
  <c r="K651" i="9"/>
  <c r="J659" i="9"/>
  <c r="K659" i="9"/>
  <c r="J667" i="9"/>
  <c r="K667" i="9"/>
  <c r="K675" i="9"/>
  <c r="J683" i="9"/>
  <c r="K683" i="9"/>
  <c r="K691" i="9"/>
  <c r="K699" i="9"/>
  <c r="K707" i="9"/>
  <c r="J715" i="9"/>
  <c r="K715" i="9"/>
  <c r="J723" i="9"/>
  <c r="K723" i="9"/>
  <c r="J731" i="9"/>
  <c r="K731" i="9"/>
  <c r="J739" i="9"/>
  <c r="K739" i="9"/>
  <c r="K747" i="9"/>
  <c r="J755" i="9"/>
  <c r="K755" i="9"/>
  <c r="K763" i="9"/>
  <c r="J771" i="9"/>
  <c r="K771" i="9"/>
  <c r="K779" i="9"/>
  <c r="J787" i="9"/>
  <c r="K787" i="9"/>
  <c r="K795" i="9"/>
  <c r="K803" i="9"/>
  <c r="K811" i="9"/>
  <c r="K819" i="9"/>
  <c r="K827" i="9"/>
  <c r="K835" i="9"/>
  <c r="J843" i="9"/>
  <c r="K843" i="9"/>
  <c r="J851" i="9"/>
  <c r="K851" i="9"/>
  <c r="K859" i="9"/>
  <c r="K867" i="9"/>
  <c r="J875" i="9"/>
  <c r="K875" i="9"/>
  <c r="J883" i="9"/>
  <c r="K883" i="9"/>
  <c r="K891" i="9"/>
  <c r="K899" i="9"/>
  <c r="K907" i="9"/>
  <c r="K915" i="9"/>
  <c r="J923" i="9"/>
  <c r="K923" i="9"/>
  <c r="J931" i="9"/>
  <c r="K931" i="9"/>
  <c r="K939" i="9"/>
  <c r="K947" i="9"/>
  <c r="K955" i="9"/>
  <c r="K963" i="9"/>
  <c r="K971" i="9"/>
  <c r="J979" i="9"/>
  <c r="K979" i="9"/>
  <c r="K987" i="9"/>
  <c r="J995" i="9"/>
  <c r="K995" i="9"/>
  <c r="J260" i="9"/>
  <c r="K260" i="9"/>
  <c r="J268" i="9"/>
  <c r="K268" i="9"/>
  <c r="J276" i="9"/>
  <c r="K276" i="9"/>
  <c r="J284" i="9"/>
  <c r="K284" i="9"/>
  <c r="J292" i="9"/>
  <c r="K292" i="9"/>
  <c r="J300" i="9"/>
  <c r="K300" i="9"/>
  <c r="J308" i="9"/>
  <c r="K308" i="9"/>
  <c r="J316" i="9"/>
  <c r="K316" i="9"/>
  <c r="J324" i="9"/>
  <c r="K324" i="9"/>
  <c r="J332" i="9"/>
  <c r="K332" i="9"/>
  <c r="J340" i="9"/>
  <c r="K340" i="9"/>
  <c r="J348" i="9"/>
  <c r="K348" i="9"/>
  <c r="K356" i="9"/>
  <c r="J364" i="9"/>
  <c r="K364" i="9"/>
  <c r="K372" i="9"/>
  <c r="J380" i="9"/>
  <c r="K380" i="9"/>
  <c r="K388" i="9"/>
  <c r="J396" i="9"/>
  <c r="K396" i="9"/>
  <c r="J404" i="9"/>
  <c r="K404" i="9"/>
  <c r="K412" i="9"/>
  <c r="K420" i="9"/>
  <c r="J428" i="9"/>
  <c r="K428" i="9"/>
  <c r="K436" i="9"/>
  <c r="K444" i="9"/>
  <c r="J452" i="9"/>
  <c r="K452" i="9"/>
  <c r="K460" i="9"/>
  <c r="K468" i="9"/>
  <c r="K476" i="9"/>
  <c r="J484" i="9"/>
  <c r="K484" i="9"/>
  <c r="J492" i="9"/>
  <c r="K492" i="9"/>
  <c r="J500" i="9"/>
  <c r="K500" i="9"/>
  <c r="K508" i="9"/>
  <c r="J516" i="9"/>
  <c r="K516" i="9"/>
  <c r="K524" i="9"/>
  <c r="J532" i="9"/>
  <c r="K532" i="9"/>
  <c r="J540" i="9"/>
  <c r="K540" i="9"/>
  <c r="K548" i="9"/>
  <c r="J556" i="9"/>
  <c r="K556" i="9"/>
  <c r="J564" i="9"/>
  <c r="K564" i="9"/>
  <c r="J572" i="9"/>
  <c r="K572" i="9"/>
  <c r="J580" i="9"/>
  <c r="K580" i="9"/>
  <c r="K588" i="9"/>
  <c r="K596" i="9"/>
  <c r="K604" i="9"/>
  <c r="K612" i="9"/>
  <c r="J620" i="9"/>
  <c r="K620" i="9"/>
  <c r="K628" i="9"/>
  <c r="K636" i="9"/>
  <c r="J644" i="9"/>
  <c r="K644" i="9"/>
  <c r="K652" i="9"/>
  <c r="K660" i="9"/>
  <c r="J668" i="9"/>
  <c r="K668" i="9"/>
  <c r="J676" i="9"/>
  <c r="K676" i="9"/>
  <c r="J684" i="9"/>
  <c r="K684" i="9"/>
  <c r="J692" i="9"/>
  <c r="K692" i="9"/>
  <c r="K700" i="9"/>
  <c r="J708" i="9"/>
  <c r="K708" i="9"/>
  <c r="K716" i="9"/>
  <c r="K724" i="9"/>
  <c r="K732" i="9"/>
  <c r="J740" i="9"/>
  <c r="K740" i="9"/>
  <c r="K748" i="9"/>
  <c r="J756" i="9"/>
  <c r="K756" i="9"/>
  <c r="K764" i="9"/>
  <c r="K772" i="9"/>
  <c r="J780" i="9"/>
  <c r="K780" i="9"/>
  <c r="J788" i="9"/>
  <c r="K788" i="9"/>
  <c r="K796" i="9"/>
  <c r="K804" i="9"/>
  <c r="J812" i="9"/>
  <c r="K812" i="9"/>
  <c r="J820" i="9"/>
  <c r="K820" i="9"/>
  <c r="J828" i="9"/>
  <c r="K828" i="9"/>
  <c r="J836" i="9"/>
  <c r="K836" i="9"/>
  <c r="J844" i="9"/>
  <c r="K844" i="9"/>
  <c r="J852" i="9"/>
  <c r="K852" i="9"/>
  <c r="J860" i="9"/>
  <c r="K860" i="9"/>
  <c r="K868" i="9"/>
  <c r="K876" i="9"/>
  <c r="K884" i="9"/>
  <c r="K892" i="9"/>
  <c r="K900" i="9"/>
  <c r="J908" i="9"/>
  <c r="K908" i="9"/>
  <c r="K916" i="9"/>
  <c r="K924" i="9"/>
  <c r="K932" i="9"/>
  <c r="J940" i="9"/>
  <c r="K940" i="9"/>
  <c r="K948" i="9"/>
  <c r="K956" i="9"/>
  <c r="K964" i="9"/>
  <c r="J972" i="9"/>
  <c r="K972" i="9"/>
  <c r="J980" i="9"/>
  <c r="K980" i="9"/>
  <c r="J988" i="9"/>
  <c r="K988" i="9"/>
  <c r="K996" i="9"/>
  <c r="J261" i="9"/>
  <c r="K261" i="9"/>
  <c r="J269" i="9"/>
  <c r="K269" i="9"/>
  <c r="J277" i="9"/>
  <c r="K277" i="9"/>
  <c r="J285" i="9"/>
  <c r="K285" i="9"/>
  <c r="J293" i="9"/>
  <c r="K293" i="9"/>
  <c r="J301" i="9"/>
  <c r="K301" i="9"/>
  <c r="J309" i="9"/>
  <c r="K309" i="9"/>
  <c r="J317" i="9"/>
  <c r="K317" i="9"/>
  <c r="J325" i="9"/>
  <c r="K325" i="9"/>
  <c r="J333" i="9"/>
  <c r="K333" i="9"/>
  <c r="J341" i="9"/>
  <c r="K341" i="9"/>
  <c r="K349" i="9"/>
  <c r="J357" i="9"/>
  <c r="K357" i="9"/>
  <c r="K365" i="9"/>
  <c r="K373" i="9"/>
  <c r="J381" i="9"/>
  <c r="K381" i="9"/>
  <c r="K389" i="9"/>
  <c r="K397" i="9"/>
  <c r="J405" i="9"/>
  <c r="K405" i="9"/>
  <c r="J413" i="9"/>
  <c r="K413" i="9"/>
  <c r="J421" i="9"/>
  <c r="K421" i="9"/>
  <c r="J429" i="9"/>
  <c r="K429" i="9"/>
  <c r="J437" i="9"/>
  <c r="K437" i="9"/>
  <c r="K445" i="9"/>
  <c r="J453" i="9"/>
  <c r="K453" i="9"/>
  <c r="J461" i="9"/>
  <c r="K461" i="9"/>
  <c r="J469" i="9"/>
  <c r="K469" i="9"/>
  <c r="J477" i="9"/>
  <c r="K477" i="9"/>
  <c r="J485" i="9"/>
  <c r="K485" i="9"/>
  <c r="J493" i="9"/>
  <c r="K493" i="9"/>
  <c r="J501" i="9"/>
  <c r="K501" i="9"/>
  <c r="K509" i="9"/>
  <c r="J517" i="9"/>
  <c r="K517" i="9"/>
  <c r="J525" i="9"/>
  <c r="K525" i="9"/>
  <c r="J533" i="9"/>
  <c r="K533" i="9"/>
  <c r="J541" i="9"/>
  <c r="K541" i="9"/>
  <c r="K549" i="9"/>
  <c r="K557" i="9"/>
  <c r="K565" i="9"/>
  <c r="K573" i="9"/>
  <c r="K581" i="9"/>
  <c r="K589" i="9"/>
  <c r="J597" i="9"/>
  <c r="K597" i="9"/>
  <c r="J605" i="9"/>
  <c r="K605" i="9"/>
  <c r="J613" i="9"/>
  <c r="K613" i="9"/>
  <c r="K621" i="9"/>
  <c r="K629" i="9"/>
  <c r="K637" i="9"/>
  <c r="K645" i="9"/>
  <c r="J653" i="9"/>
  <c r="K653" i="9"/>
  <c r="K661" i="9"/>
  <c r="K669" i="9"/>
  <c r="J677" i="9"/>
  <c r="K677" i="9"/>
  <c r="J685" i="9"/>
  <c r="K685" i="9"/>
  <c r="J693" i="9"/>
  <c r="K693" i="9"/>
  <c r="J701" i="9"/>
  <c r="K701" i="9"/>
  <c r="J709" i="9"/>
  <c r="K709" i="9"/>
  <c r="J717" i="9"/>
  <c r="K717" i="9"/>
  <c r="J725" i="9"/>
  <c r="K725" i="9"/>
  <c r="J733" i="9"/>
  <c r="K733" i="9"/>
  <c r="K741" i="9"/>
  <c r="J749" i="9"/>
  <c r="K749" i="9"/>
  <c r="K757" i="9"/>
  <c r="J765" i="9"/>
  <c r="K765" i="9"/>
  <c r="J773" i="9"/>
  <c r="K773" i="9"/>
  <c r="K781" i="9"/>
  <c r="K789" i="9"/>
  <c r="K797" i="9"/>
  <c r="J805" i="9"/>
  <c r="K805" i="9"/>
  <c r="J813" i="9"/>
  <c r="K813" i="9"/>
  <c r="J821" i="9"/>
  <c r="K821" i="9"/>
  <c r="J829" i="9"/>
  <c r="K829" i="9"/>
  <c r="J837" i="9"/>
  <c r="K837" i="9"/>
  <c r="K845" i="9"/>
  <c r="J853" i="9"/>
  <c r="K853" i="9"/>
  <c r="J861" i="9"/>
  <c r="K861" i="9"/>
  <c r="J869" i="9"/>
  <c r="K869" i="9"/>
  <c r="J877" i="9"/>
  <c r="K877" i="9"/>
  <c r="J885" i="9"/>
  <c r="K885" i="9"/>
  <c r="J893" i="9"/>
  <c r="K893" i="9"/>
  <c r="J901" i="9"/>
  <c r="K901" i="9"/>
  <c r="K909" i="9"/>
  <c r="J917" i="9"/>
  <c r="K917" i="9"/>
  <c r="K925" i="9"/>
  <c r="J933" i="9"/>
  <c r="K933" i="9"/>
  <c r="K941" i="9"/>
  <c r="K949" i="9"/>
  <c r="J957" i="9"/>
  <c r="K957" i="9"/>
  <c r="K965" i="9"/>
  <c r="J973" i="9"/>
  <c r="K973" i="9"/>
  <c r="J981" i="9"/>
  <c r="K981" i="9"/>
  <c r="K989" i="9"/>
  <c r="K997" i="9"/>
  <c r="J262" i="9"/>
  <c r="K262" i="9"/>
  <c r="J270" i="9"/>
  <c r="K270" i="9"/>
  <c r="K278" i="9"/>
  <c r="K286" i="9"/>
  <c r="K294" i="9"/>
  <c r="K302" i="9"/>
  <c r="K310" i="9"/>
  <c r="K318" i="9"/>
  <c r="J326" i="9"/>
  <c r="K326" i="9"/>
  <c r="J334" i="9"/>
  <c r="K334" i="9"/>
  <c r="J342" i="9"/>
  <c r="K342" i="9"/>
  <c r="J350" i="9"/>
  <c r="K350" i="9"/>
  <c r="J358" i="9"/>
  <c r="K358" i="9"/>
  <c r="J366" i="9"/>
  <c r="K366" i="9"/>
  <c r="J374" i="9"/>
  <c r="K374" i="9"/>
  <c r="K382" i="9"/>
  <c r="J390" i="9"/>
  <c r="K390" i="9"/>
  <c r="J398" i="9"/>
  <c r="K398" i="9"/>
  <c r="J406" i="9"/>
  <c r="K406" i="9"/>
  <c r="K414" i="9"/>
  <c r="J422" i="9"/>
  <c r="K422" i="9"/>
  <c r="J430" i="9"/>
  <c r="K430" i="9"/>
  <c r="J438" i="9"/>
  <c r="K438" i="9"/>
  <c r="K446" i="9"/>
  <c r="J454" i="9"/>
  <c r="K454" i="9"/>
  <c r="K462" i="9"/>
  <c r="K470" i="9"/>
  <c r="K478" i="9"/>
  <c r="K486" i="9"/>
  <c r="K494" i="9"/>
  <c r="K502" i="9"/>
  <c r="K510" i="9"/>
  <c r="K518" i="9"/>
  <c r="K526" i="9"/>
  <c r="K534" i="9"/>
  <c r="K542" i="9"/>
  <c r="K550" i="9"/>
  <c r="J558" i="9"/>
  <c r="K558" i="9"/>
  <c r="K566" i="9"/>
  <c r="J574" i="9"/>
  <c r="K574" i="9"/>
  <c r="J582" i="9"/>
  <c r="K582" i="9"/>
  <c r="J590" i="9"/>
  <c r="K590" i="9"/>
  <c r="K598" i="9"/>
  <c r="K606" i="9"/>
  <c r="J614" i="9"/>
  <c r="K614" i="9"/>
  <c r="K622" i="9"/>
  <c r="J630" i="9"/>
  <c r="K630" i="9"/>
  <c r="J638" i="9"/>
  <c r="K638" i="9"/>
  <c r="K646" i="9"/>
  <c r="J654" i="9"/>
  <c r="K654" i="9"/>
  <c r="K662" i="9"/>
  <c r="K670" i="9"/>
  <c r="J678" i="9"/>
  <c r="K678" i="9"/>
  <c r="J686" i="9"/>
  <c r="K686" i="9"/>
  <c r="K694" i="9"/>
  <c r="J702" i="9"/>
  <c r="K702" i="9"/>
  <c r="K710" i="9"/>
  <c r="K718" i="9"/>
  <c r="J726" i="9"/>
  <c r="K726" i="9"/>
  <c r="J734" i="9"/>
  <c r="K734" i="9"/>
  <c r="K742" i="9"/>
  <c r="J750" i="9"/>
  <c r="K750" i="9"/>
  <c r="J758" i="9"/>
  <c r="K758" i="9"/>
  <c r="K766" i="9"/>
  <c r="J774" i="9"/>
  <c r="K774" i="9"/>
  <c r="J782" i="9"/>
  <c r="K782" i="9"/>
  <c r="J790" i="9"/>
  <c r="K790" i="9"/>
  <c r="J798" i="9"/>
  <c r="K798" i="9"/>
  <c r="J806" i="9"/>
  <c r="K806" i="9"/>
  <c r="J814" i="9"/>
  <c r="K814" i="9"/>
  <c r="J822" i="9"/>
  <c r="K822" i="9"/>
  <c r="K830" i="9"/>
  <c r="K838" i="9"/>
  <c r="J846" i="9"/>
  <c r="K846" i="9"/>
  <c r="J854" i="9"/>
  <c r="K854" i="9"/>
  <c r="K862" i="9"/>
  <c r="J870" i="9"/>
  <c r="K870" i="9"/>
  <c r="J878" i="9"/>
  <c r="K878" i="9"/>
  <c r="K886" i="9"/>
  <c r="K894" i="9"/>
  <c r="J902" i="9"/>
  <c r="K902" i="9"/>
  <c r="J910" i="9"/>
  <c r="K910" i="9"/>
  <c r="K918" i="9"/>
  <c r="K926" i="9"/>
  <c r="K934" i="9"/>
  <c r="K942" i="9"/>
  <c r="K950" i="9"/>
  <c r="J958" i="9"/>
  <c r="K958" i="9"/>
  <c r="K966" i="9"/>
  <c r="K974" i="9"/>
  <c r="J982" i="9"/>
  <c r="K982" i="9"/>
  <c r="K990" i="9"/>
  <c r="J998" i="9"/>
  <c r="K998" i="9"/>
  <c r="J263" i="9"/>
  <c r="K263" i="9"/>
  <c r="J271" i="9"/>
  <c r="K271" i="9"/>
  <c r="J279" i="9"/>
  <c r="K279" i="9"/>
  <c r="J287" i="9"/>
  <c r="K287" i="9"/>
  <c r="J295" i="9"/>
  <c r="K295" i="9"/>
  <c r="J303" i="9"/>
  <c r="K303" i="9"/>
  <c r="K311" i="9"/>
  <c r="J319" i="9"/>
  <c r="K319" i="9"/>
  <c r="J327" i="9"/>
  <c r="K327" i="9"/>
  <c r="J335" i="9"/>
  <c r="K335" i="9"/>
  <c r="J343" i="9"/>
  <c r="K343" i="9"/>
  <c r="J351" i="9"/>
  <c r="K351" i="9"/>
  <c r="J359" i="9"/>
  <c r="K359" i="9"/>
  <c r="J367" i="9"/>
  <c r="K367" i="9"/>
  <c r="J375" i="9"/>
  <c r="K375" i="9"/>
  <c r="K383" i="9"/>
  <c r="J391" i="9"/>
  <c r="K391" i="9"/>
  <c r="J399" i="9"/>
  <c r="K399" i="9"/>
  <c r="J407" i="9"/>
  <c r="K407" i="9"/>
  <c r="J415" i="9"/>
  <c r="K415" i="9"/>
  <c r="J423" i="9"/>
  <c r="K423" i="9"/>
  <c r="J431" i="9"/>
  <c r="K431" i="9"/>
  <c r="J439" i="9"/>
  <c r="K439" i="9"/>
  <c r="J447" i="9"/>
  <c r="K447" i="9"/>
  <c r="J455" i="9"/>
  <c r="K455" i="9"/>
  <c r="K463" i="9"/>
  <c r="J471" i="9"/>
  <c r="K471" i="9"/>
  <c r="J479" i="9"/>
  <c r="K479" i="9"/>
  <c r="J487" i="9"/>
  <c r="K487" i="9"/>
  <c r="J495" i="9"/>
  <c r="K495" i="9"/>
  <c r="K503" i="9"/>
  <c r="J511" i="9"/>
  <c r="K511" i="9"/>
  <c r="J519" i="9"/>
  <c r="K519" i="9"/>
  <c r="J527" i="9"/>
  <c r="K527" i="9"/>
  <c r="J535" i="9"/>
  <c r="K535" i="9"/>
  <c r="K543" i="9"/>
  <c r="J551" i="9"/>
  <c r="K551" i="9"/>
  <c r="J559" i="9"/>
  <c r="K559" i="9"/>
  <c r="K567" i="9"/>
  <c r="K575" i="9"/>
  <c r="J583" i="9"/>
  <c r="K583" i="9"/>
  <c r="K591" i="9"/>
  <c r="J599" i="9"/>
  <c r="K599" i="9"/>
  <c r="J607" i="9"/>
  <c r="K607" i="9"/>
  <c r="K615" i="9"/>
  <c r="K623" i="9"/>
  <c r="K631" i="9"/>
  <c r="K639" i="9"/>
  <c r="J647" i="9"/>
  <c r="K647" i="9"/>
  <c r="J655" i="9"/>
  <c r="K655" i="9"/>
  <c r="K663" i="9"/>
  <c r="J671" i="9"/>
  <c r="K671" i="9"/>
  <c r="K679" i="9"/>
  <c r="J687" i="9"/>
  <c r="K687" i="9"/>
  <c r="J695" i="9"/>
  <c r="K695" i="9"/>
  <c r="J703" i="9"/>
  <c r="K703" i="9"/>
  <c r="K711" i="9"/>
  <c r="K719" i="9"/>
  <c r="K727" i="9"/>
  <c r="J735" i="9"/>
  <c r="K735" i="9"/>
  <c r="K743" i="9"/>
  <c r="J751" i="9"/>
  <c r="K751" i="9"/>
  <c r="J759" i="9"/>
  <c r="K759" i="9"/>
  <c r="K767" i="9"/>
  <c r="K775" i="9"/>
  <c r="K783" i="9"/>
  <c r="J791" i="9"/>
  <c r="K791" i="9"/>
  <c r="K799" i="9"/>
  <c r="J807" i="9"/>
  <c r="K807" i="9"/>
  <c r="J815" i="9"/>
  <c r="K815" i="9"/>
  <c r="J823" i="9"/>
  <c r="K823" i="9"/>
  <c r="J831" i="9"/>
  <c r="K831" i="9"/>
  <c r="K839" i="9"/>
  <c r="J847" i="9"/>
  <c r="K847" i="9"/>
  <c r="K855" i="9"/>
  <c r="J863" i="9"/>
  <c r="K863" i="9"/>
  <c r="K871" i="9"/>
  <c r="K879" i="9"/>
  <c r="K887" i="9"/>
  <c r="J895" i="9"/>
  <c r="K895" i="9"/>
  <c r="K903" i="9"/>
  <c r="K911" i="9"/>
  <c r="J919" i="9"/>
  <c r="K919" i="9"/>
  <c r="J927" i="9"/>
  <c r="K927" i="9"/>
  <c r="J935" i="9"/>
  <c r="K935" i="9"/>
  <c r="K943" i="9"/>
  <c r="K951" i="9"/>
  <c r="J959" i="9"/>
  <c r="K959" i="9"/>
  <c r="K967" i="9"/>
  <c r="K975" i="9"/>
  <c r="J983" i="9"/>
  <c r="K983" i="9"/>
  <c r="J991" i="9"/>
  <c r="K991" i="9"/>
  <c r="J999" i="9"/>
  <c r="K999" i="9"/>
  <c r="K256" i="9"/>
  <c r="J264" i="9"/>
  <c r="K264" i="9"/>
  <c r="J272" i="9"/>
  <c r="K272" i="9"/>
  <c r="J280" i="9"/>
  <c r="K280" i="9"/>
  <c r="J288" i="9"/>
  <c r="K288" i="9"/>
  <c r="J296" i="9"/>
  <c r="K296" i="9"/>
  <c r="J304" i="9"/>
  <c r="K304" i="9"/>
  <c r="J312" i="9"/>
  <c r="K312" i="9"/>
  <c r="J320" i="9"/>
  <c r="K320" i="9"/>
  <c r="J328" i="9"/>
  <c r="K328" i="9"/>
  <c r="K336" i="9"/>
  <c r="J344" i="9"/>
  <c r="K344" i="9"/>
  <c r="J352" i="9"/>
  <c r="K352" i="9"/>
  <c r="K360" i="9"/>
  <c r="J368" i="9"/>
  <c r="K368" i="9"/>
  <c r="J376" i="9"/>
  <c r="K376" i="9"/>
  <c r="J384" i="9"/>
  <c r="K384" i="9"/>
  <c r="J392" i="9"/>
  <c r="K392" i="9"/>
  <c r="J400" i="9"/>
  <c r="K400" i="9"/>
  <c r="J408" i="9"/>
  <c r="K408" i="9"/>
  <c r="J416" i="9"/>
  <c r="K416" i="9"/>
  <c r="K424" i="9"/>
  <c r="J432" i="9"/>
  <c r="K432" i="9"/>
  <c r="K440" i="9"/>
  <c r="K448" i="9"/>
  <c r="J456" i="9"/>
  <c r="K456" i="9"/>
  <c r="J464" i="9"/>
  <c r="K464" i="9"/>
  <c r="J472" i="9"/>
  <c r="K472" i="9"/>
  <c r="K480" i="9"/>
  <c r="K488" i="9"/>
  <c r="J496" i="9"/>
  <c r="K496" i="9"/>
  <c r="J504" i="9"/>
  <c r="K504" i="9"/>
  <c r="J512" i="9"/>
  <c r="K512" i="9"/>
  <c r="K520" i="9"/>
  <c r="K528" i="9"/>
  <c r="J536" i="9"/>
  <c r="K536" i="9"/>
  <c r="K544" i="9"/>
  <c r="J552" i="9"/>
  <c r="K552" i="9"/>
  <c r="K560" i="9"/>
  <c r="J568" i="9"/>
  <c r="K568" i="9"/>
  <c r="J576" i="9"/>
  <c r="K576" i="9"/>
  <c r="K584" i="9"/>
  <c r="K592" i="9"/>
  <c r="J600" i="9"/>
  <c r="K600" i="9"/>
  <c r="J608" i="9"/>
  <c r="K608" i="9"/>
  <c r="J616" i="9"/>
  <c r="K616" i="9"/>
  <c r="K624" i="9"/>
  <c r="K632" i="9"/>
  <c r="J640" i="9"/>
  <c r="K640" i="9"/>
  <c r="J648" i="9"/>
  <c r="K648" i="9"/>
  <c r="J656" i="9"/>
  <c r="K656" i="9"/>
  <c r="J664" i="9"/>
  <c r="K664" i="9"/>
  <c r="K672" i="9"/>
  <c r="J680" i="9"/>
  <c r="K680" i="9"/>
  <c r="K688" i="9"/>
  <c r="J696" i="9"/>
  <c r="K696" i="9"/>
  <c r="J704" i="9"/>
  <c r="K704" i="9"/>
  <c r="K712" i="9"/>
  <c r="J720" i="9"/>
  <c r="K720" i="9"/>
  <c r="J728" i="9"/>
  <c r="K728" i="9"/>
  <c r="J736" i="9"/>
  <c r="K736" i="9"/>
  <c r="K744" i="9"/>
  <c r="J752" i="9"/>
  <c r="K752" i="9"/>
  <c r="J760" i="9"/>
  <c r="K760" i="9"/>
  <c r="K768" i="9"/>
  <c r="J776" i="9"/>
  <c r="K776" i="9"/>
  <c r="J784" i="9"/>
  <c r="K784" i="9"/>
  <c r="J792" i="9"/>
  <c r="K792" i="9"/>
  <c r="K800" i="9"/>
  <c r="K808" i="9"/>
  <c r="K816" i="9"/>
  <c r="J824" i="9"/>
  <c r="K824" i="9"/>
  <c r="J832" i="9"/>
  <c r="K832" i="9"/>
  <c r="J840" i="9"/>
  <c r="K840" i="9"/>
  <c r="J848" i="9"/>
  <c r="K848" i="9"/>
  <c r="J856" i="9"/>
  <c r="K856" i="9"/>
  <c r="J864" i="9"/>
  <c r="K864" i="9"/>
  <c r="J872" i="9"/>
  <c r="K872" i="9"/>
  <c r="K880" i="9"/>
  <c r="K888" i="9"/>
  <c r="K896" i="9"/>
  <c r="K904" i="9"/>
  <c r="J912" i="9"/>
  <c r="K912" i="9"/>
  <c r="K920" i="9"/>
  <c r="K928" i="9"/>
  <c r="K936" i="9"/>
  <c r="J944" i="9"/>
  <c r="K944" i="9"/>
  <c r="J952" i="9"/>
  <c r="K952" i="9"/>
  <c r="J960" i="9"/>
  <c r="K960" i="9"/>
  <c r="J968" i="9"/>
  <c r="K968" i="9"/>
  <c r="J976" i="9"/>
  <c r="K976" i="9"/>
  <c r="J984" i="9"/>
  <c r="K984" i="9"/>
  <c r="J992" i="9"/>
  <c r="K992" i="9"/>
  <c r="K1000" i="9"/>
  <c r="J401" i="9"/>
  <c r="J417" i="9"/>
  <c r="J457" i="9"/>
  <c r="J513" i="9"/>
  <c r="J529" i="9"/>
  <c r="J537" i="9"/>
  <c r="J561" i="9"/>
  <c r="J569" i="9"/>
  <c r="J577" i="9"/>
  <c r="J601" i="9"/>
  <c r="J609" i="9"/>
  <c r="J617" i="9"/>
  <c r="J633" i="9"/>
  <c r="J641" i="9"/>
  <c r="J665" i="9"/>
  <c r="J673" i="9"/>
  <c r="J697" i="9"/>
  <c r="J713" i="9"/>
  <c r="J737" i="9"/>
  <c r="J761" i="9"/>
  <c r="J769" i="9"/>
  <c r="J777" i="9"/>
  <c r="J785" i="9"/>
  <c r="J801" i="9"/>
  <c r="J865" i="9"/>
  <c r="J889" i="9"/>
  <c r="J905" i="9"/>
  <c r="J913" i="9"/>
  <c r="J937" i="9"/>
  <c r="J969" i="9"/>
  <c r="J977" i="9"/>
  <c r="J386" i="9"/>
  <c r="J410" i="9"/>
  <c r="J442" i="9"/>
  <c r="J450" i="9"/>
  <c r="J482" i="9"/>
  <c r="J506" i="9"/>
  <c r="J522" i="9"/>
  <c r="J530" i="9"/>
  <c r="J538" i="9"/>
  <c r="J546" i="9"/>
  <c r="J554" i="9"/>
  <c r="J562" i="9"/>
  <c r="J578" i="9"/>
  <c r="J586" i="9"/>
  <c r="J602" i="9"/>
  <c r="J626" i="9"/>
  <c r="J658" i="9"/>
  <c r="J666" i="9"/>
  <c r="J682" i="9"/>
  <c r="J698" i="9"/>
  <c r="J714" i="9"/>
  <c r="J730" i="9"/>
  <c r="J762" i="9"/>
  <c r="J786" i="9"/>
  <c r="J794" i="9"/>
  <c r="J818" i="9"/>
  <c r="J826" i="9"/>
  <c r="J842" i="9"/>
  <c r="J850" i="9"/>
  <c r="J866" i="9"/>
  <c r="J890" i="9"/>
  <c r="J914" i="9"/>
  <c r="J954" i="9"/>
  <c r="J970" i="9"/>
  <c r="J994" i="9"/>
  <c r="J259" i="9"/>
  <c r="J267" i="9"/>
  <c r="J299" i="9"/>
  <c r="J347" i="9"/>
  <c r="J387" i="9"/>
  <c r="J419" i="9"/>
  <c r="J427" i="9"/>
  <c r="J507" i="9"/>
  <c r="J515" i="9"/>
  <c r="J531" i="9"/>
  <c r="J547" i="9"/>
  <c r="J563" i="9"/>
  <c r="J579" i="9"/>
  <c r="J611" i="9"/>
  <c r="J627" i="9"/>
  <c r="J675" i="9"/>
  <c r="J691" i="9"/>
  <c r="J699" i="9"/>
  <c r="J707" i="9"/>
  <c r="J747" i="9"/>
  <c r="J763" i="9"/>
  <c r="J779" i="9"/>
  <c r="J795" i="9"/>
  <c r="J803" i="9"/>
  <c r="J811" i="9"/>
  <c r="J819" i="9"/>
  <c r="J827" i="9"/>
  <c r="J835" i="9"/>
  <c r="J859" i="9"/>
  <c r="J867" i="9"/>
  <c r="J891" i="9"/>
  <c r="J899" i="9"/>
  <c r="J907" i="9"/>
  <c r="J915" i="9"/>
  <c r="J939" i="9"/>
  <c r="J947" i="9"/>
  <c r="J955" i="9"/>
  <c r="J963" i="9"/>
  <c r="J971" i="9"/>
  <c r="J987" i="9"/>
  <c r="J356" i="9"/>
  <c r="J372" i="9"/>
  <c r="J388" i="9"/>
  <c r="J412" i="9"/>
  <c r="J420" i="9"/>
  <c r="J436" i="9"/>
  <c r="J444" i="9"/>
  <c r="J460" i="9"/>
  <c r="J468" i="9"/>
  <c r="J476" i="9"/>
  <c r="J508" i="9"/>
  <c r="J524" i="9"/>
  <c r="J548" i="9"/>
  <c r="J588" i="9"/>
  <c r="J596" i="9"/>
  <c r="J604" i="9"/>
  <c r="J612" i="9"/>
  <c r="J628" i="9"/>
  <c r="J636" i="9"/>
  <c r="J652" i="9"/>
  <c r="J660" i="9"/>
  <c r="J700" i="9"/>
  <c r="J716" i="9"/>
  <c r="J724" i="9"/>
  <c r="J732" i="9"/>
  <c r="J748" i="9"/>
  <c r="J764" i="9"/>
  <c r="J772" i="9"/>
  <c r="J796" i="9"/>
  <c r="J804" i="9"/>
  <c r="J868" i="9"/>
  <c r="J876" i="9"/>
  <c r="J884" i="9"/>
  <c r="J892" i="9"/>
  <c r="J900" i="9"/>
  <c r="J916" i="9"/>
  <c r="J924" i="9"/>
  <c r="J932" i="9"/>
  <c r="J948" i="9"/>
  <c r="J956" i="9"/>
  <c r="J964" i="9"/>
  <c r="J996" i="9"/>
  <c r="J349" i="9"/>
  <c r="J365" i="9"/>
  <c r="J373" i="9"/>
  <c r="J389" i="9"/>
  <c r="J397" i="9"/>
  <c r="J445" i="9"/>
  <c r="J509" i="9"/>
  <c r="J549" i="9"/>
  <c r="J557" i="9"/>
  <c r="J565" i="9"/>
  <c r="J573" i="9"/>
  <c r="J581" i="9"/>
  <c r="J589" i="9"/>
  <c r="J621" i="9"/>
  <c r="J629" i="9"/>
  <c r="J637" i="9"/>
  <c r="J645" i="9"/>
  <c r="J661" i="9"/>
  <c r="J669" i="9"/>
  <c r="J741" i="9"/>
  <c r="J757" i="9"/>
  <c r="J781" i="9"/>
  <c r="J789" i="9"/>
  <c r="J797" i="9"/>
  <c r="J845" i="9"/>
  <c r="J909" i="9"/>
  <c r="J925" i="9"/>
  <c r="J941" i="9"/>
  <c r="J949" i="9"/>
  <c r="J965" i="9"/>
  <c r="J989" i="9"/>
  <c r="J997" i="9"/>
  <c r="J278" i="9"/>
  <c r="J286" i="9"/>
  <c r="J294" i="9"/>
  <c r="J302" i="9"/>
  <c r="J310" i="9"/>
  <c r="J318" i="9"/>
  <c r="J382" i="9"/>
  <c r="J414" i="9"/>
  <c r="J446" i="9"/>
  <c r="J462" i="9"/>
  <c r="J470" i="9"/>
  <c r="J478" i="9"/>
  <c r="J486" i="9"/>
  <c r="J494" i="9"/>
  <c r="J502" i="9"/>
  <c r="J510" i="9"/>
  <c r="J518" i="9"/>
  <c r="J526" i="9"/>
  <c r="J534" i="9"/>
  <c r="J542" i="9"/>
  <c r="J550" i="9"/>
  <c r="J566" i="9"/>
  <c r="J598" i="9"/>
  <c r="J606" i="9"/>
  <c r="J622" i="9"/>
  <c r="J646" i="9"/>
  <c r="J662" i="9"/>
  <c r="J670" i="9"/>
  <c r="J694" i="9"/>
  <c r="J710" i="9"/>
  <c r="J718" i="9"/>
  <c r="J742" i="9"/>
  <c r="J766" i="9"/>
  <c r="J830" i="9"/>
  <c r="J838" i="9"/>
  <c r="J862" i="9"/>
  <c r="J886" i="9"/>
  <c r="J894" i="9"/>
  <c r="J918" i="9"/>
  <c r="J926" i="9"/>
  <c r="J934" i="9"/>
  <c r="J942" i="9"/>
  <c r="J950" i="9"/>
  <c r="J966" i="9"/>
  <c r="J974" i="9"/>
  <c r="J990" i="9"/>
  <c r="J311" i="9"/>
  <c r="J383" i="9"/>
  <c r="J463" i="9"/>
  <c r="J503" i="9"/>
  <c r="J543" i="9"/>
  <c r="J567" i="9"/>
  <c r="J575" i="9"/>
  <c r="J591" i="9"/>
  <c r="J615" i="9"/>
  <c r="J623" i="9"/>
  <c r="J631" i="9"/>
  <c r="J639" i="9"/>
  <c r="J663" i="9"/>
  <c r="J679" i="9"/>
  <c r="J711" i="9"/>
  <c r="J719" i="9"/>
  <c r="J727" i="9"/>
  <c r="J743" i="9"/>
  <c r="J767" i="9"/>
  <c r="J775" i="9"/>
  <c r="J783" i="9"/>
  <c r="J799" i="9"/>
  <c r="J839" i="9"/>
  <c r="J855" i="9"/>
  <c r="J871" i="9"/>
  <c r="J879" i="9"/>
  <c r="J887" i="9"/>
  <c r="J903" i="9"/>
  <c r="J911" i="9"/>
  <c r="J943" i="9"/>
  <c r="J951" i="9"/>
  <c r="J967" i="9"/>
  <c r="J975" i="9"/>
  <c r="J256" i="9"/>
  <c r="J336" i="9"/>
  <c r="J360" i="9"/>
  <c r="J424" i="9"/>
  <c r="J440" i="9"/>
  <c r="J448" i="9"/>
  <c r="J480" i="9"/>
  <c r="J488" i="9"/>
  <c r="J520" i="9"/>
  <c r="J528" i="9"/>
  <c r="J544" i="9"/>
  <c r="J560" i="9"/>
  <c r="J584" i="9"/>
  <c r="J592" i="9"/>
  <c r="J624" i="9"/>
  <c r="J632" i="9"/>
  <c r="J672" i="9"/>
  <c r="J688" i="9"/>
  <c r="J712" i="9"/>
  <c r="J744" i="9"/>
  <c r="J768" i="9"/>
  <c r="J800" i="9"/>
  <c r="J808" i="9"/>
  <c r="J816" i="9"/>
  <c r="J880" i="9"/>
  <c r="J888" i="9"/>
  <c r="J896" i="9"/>
  <c r="J904" i="9"/>
  <c r="J920" i="9"/>
  <c r="J928" i="9"/>
  <c r="J936" i="9"/>
  <c r="J1000" i="9"/>
  <c r="I324" i="9"/>
  <c r="H275" i="9"/>
  <c r="M283" i="9"/>
  <c r="C291" i="9"/>
  <c r="H307" i="9"/>
  <c r="L315" i="9"/>
  <c r="M323" i="9"/>
  <c r="H355" i="9"/>
  <c r="N363" i="9"/>
  <c r="N371" i="9"/>
  <c r="L395" i="9"/>
  <c r="B403" i="9"/>
  <c r="L411" i="9"/>
  <c r="L435" i="9"/>
  <c r="N451" i="9"/>
  <c r="N459" i="9"/>
  <c r="N467" i="9"/>
  <c r="N475" i="9"/>
  <c r="N483" i="9"/>
  <c r="C491" i="9"/>
  <c r="N499" i="9"/>
  <c r="N523" i="9"/>
  <c r="N539" i="9"/>
  <c r="I555" i="9"/>
  <c r="I571" i="9"/>
  <c r="L587" i="9"/>
  <c r="M595" i="9"/>
  <c r="M603" i="9"/>
  <c r="L619" i="9"/>
  <c r="D635" i="9"/>
  <c r="L651" i="9"/>
  <c r="H771" i="9"/>
  <c r="H931" i="9"/>
  <c r="N979" i="9"/>
  <c r="N995" i="9"/>
  <c r="I276" i="9"/>
  <c r="N404" i="9"/>
  <c r="N668" i="9"/>
  <c r="I780" i="9"/>
  <c r="N828" i="9"/>
  <c r="D277" i="9"/>
  <c r="H285" i="9"/>
  <c r="N293" i="9"/>
  <c r="H301" i="9"/>
  <c r="D309" i="9"/>
  <c r="H317" i="9"/>
  <c r="N325" i="9"/>
  <c r="M341" i="9"/>
  <c r="M357" i="9"/>
  <c r="N381" i="9"/>
  <c r="E405" i="9"/>
  <c r="N413" i="9"/>
  <c r="L421" i="9"/>
  <c r="N429" i="9"/>
  <c r="N437" i="9"/>
  <c r="N453" i="9"/>
  <c r="N461" i="9"/>
  <c r="N469" i="9"/>
  <c r="N477" i="9"/>
  <c r="L485" i="9"/>
  <c r="N493" i="9"/>
  <c r="L501" i="9"/>
  <c r="L517" i="9"/>
  <c r="E525" i="9"/>
  <c r="H533" i="9"/>
  <c r="D541" i="9"/>
  <c r="L597" i="9"/>
  <c r="N613" i="9"/>
  <c r="N653" i="9"/>
  <c r="C677" i="9"/>
  <c r="L685" i="9"/>
  <c r="N693" i="9"/>
  <c r="N749" i="9"/>
  <c r="M805" i="9"/>
  <c r="M813" i="9"/>
  <c r="M821" i="9"/>
  <c r="M829" i="9"/>
  <c r="N837" i="9"/>
  <c r="M853" i="9"/>
  <c r="B861" i="9"/>
  <c r="M869" i="9"/>
  <c r="D877" i="9"/>
  <c r="L885" i="9"/>
  <c r="H893" i="9"/>
  <c r="L901" i="9"/>
  <c r="L917" i="9"/>
  <c r="M933" i="9"/>
  <c r="L957" i="9"/>
  <c r="L973" i="9"/>
  <c r="I284" i="9"/>
  <c r="M788" i="9"/>
  <c r="D836" i="9"/>
  <c r="N908" i="9"/>
  <c r="H262" i="9"/>
  <c r="H270" i="9"/>
  <c r="C334" i="9"/>
  <c r="M366" i="9"/>
  <c r="H374" i="9"/>
  <c r="L390" i="9"/>
  <c r="H398" i="9"/>
  <c r="H406" i="9"/>
  <c r="C422" i="9"/>
  <c r="H430" i="9"/>
  <c r="H558" i="9"/>
  <c r="D590" i="9"/>
  <c r="C614" i="9"/>
  <c r="E630" i="9"/>
  <c r="C638" i="9"/>
  <c r="I654" i="9"/>
  <c r="L686" i="9"/>
  <c r="N726" i="9"/>
  <c r="D774" i="9"/>
  <c r="M782" i="9"/>
  <c r="C790" i="9"/>
  <c r="C806" i="9"/>
  <c r="L854" i="9"/>
  <c r="L870" i="9"/>
  <c r="I902" i="9"/>
  <c r="I910" i="9"/>
  <c r="L982" i="9"/>
  <c r="H998" i="9"/>
  <c r="I308" i="9"/>
  <c r="D852" i="9"/>
  <c r="N335" i="9"/>
  <c r="N343" i="9"/>
  <c r="N359" i="9"/>
  <c r="D375" i="9"/>
  <c r="C391" i="9"/>
  <c r="H399" i="9"/>
  <c r="L407" i="9"/>
  <c r="L415" i="9"/>
  <c r="I431" i="9"/>
  <c r="M439" i="9"/>
  <c r="D471" i="9"/>
  <c r="M487" i="9"/>
  <c r="B535" i="9"/>
  <c r="H551" i="9"/>
  <c r="N583" i="9"/>
  <c r="M607" i="9"/>
  <c r="D647" i="9"/>
  <c r="I655" i="9"/>
  <c r="L671" i="9"/>
  <c r="C687" i="9"/>
  <c r="L695" i="9"/>
  <c r="L703" i="9"/>
  <c r="L735" i="9"/>
  <c r="L751" i="9"/>
  <c r="D791" i="9"/>
  <c r="N807" i="9"/>
  <c r="B815" i="9"/>
  <c r="N823" i="9"/>
  <c r="B831" i="9"/>
  <c r="N847" i="9"/>
  <c r="L863" i="9"/>
  <c r="L895" i="9"/>
  <c r="D919" i="9"/>
  <c r="N927" i="9"/>
  <c r="L935" i="9"/>
  <c r="B959" i="9"/>
  <c r="E991" i="9"/>
  <c r="N999" i="9"/>
  <c r="I316" i="9"/>
  <c r="L452" i="9"/>
  <c r="C756" i="9"/>
  <c r="M812" i="9"/>
  <c r="E988" i="9"/>
  <c r="N264" i="9"/>
  <c r="I280" i="9"/>
  <c r="I296" i="9"/>
  <c r="I312" i="9"/>
  <c r="I328" i="9"/>
  <c r="I352" i="9"/>
  <c r="N368" i="9"/>
  <c r="N376" i="9"/>
  <c r="N384" i="9"/>
  <c r="N392" i="9"/>
  <c r="N400" i="9"/>
  <c r="E408" i="9"/>
  <c r="N416" i="9"/>
  <c r="N432" i="9"/>
  <c r="M456" i="9"/>
  <c r="M464" i="9"/>
  <c r="H472" i="9"/>
  <c r="M496" i="9"/>
  <c r="M504" i="9"/>
  <c r="M512" i="9"/>
  <c r="E536" i="9"/>
  <c r="H552" i="9"/>
  <c r="H568" i="9"/>
  <c r="H576" i="9"/>
  <c r="L600" i="9"/>
  <c r="C616" i="9"/>
  <c r="C648" i="9"/>
  <c r="L680" i="9"/>
  <c r="D696" i="9"/>
  <c r="B736" i="9"/>
  <c r="N784" i="9"/>
  <c r="M792" i="9"/>
  <c r="H824" i="9"/>
  <c r="N832" i="9"/>
  <c r="I840" i="9"/>
  <c r="N864" i="9"/>
  <c r="N872" i="9"/>
  <c r="N912" i="9"/>
  <c r="I944" i="9"/>
  <c r="C952" i="9"/>
  <c r="N968" i="9"/>
  <c r="I976" i="9"/>
  <c r="N984" i="9"/>
  <c r="I300" i="9"/>
  <c r="C340" i="9"/>
  <c r="N396" i="9"/>
  <c r="M844" i="9"/>
  <c r="N940" i="9"/>
  <c r="I257" i="9"/>
  <c r="I265" i="9"/>
  <c r="H273" i="9"/>
  <c r="H281" i="9"/>
  <c r="H289" i="9"/>
  <c r="H297" i="9"/>
  <c r="H305" i="9"/>
  <c r="H313" i="9"/>
  <c r="H321" i="9"/>
  <c r="C345" i="9"/>
  <c r="M361" i="9"/>
  <c r="M369" i="9"/>
  <c r="M377" i="9"/>
  <c r="M385" i="9"/>
  <c r="D409" i="9"/>
  <c r="H449" i="9"/>
  <c r="H465" i="9"/>
  <c r="H473" i="9"/>
  <c r="H481" i="9"/>
  <c r="D489" i="9"/>
  <c r="H497" i="9"/>
  <c r="H505" i="9"/>
  <c r="H521" i="9"/>
  <c r="M585" i="9"/>
  <c r="N625" i="9"/>
  <c r="D649" i="9"/>
  <c r="D657" i="9"/>
  <c r="N681" i="9"/>
  <c r="E689" i="9"/>
  <c r="H705" i="9"/>
  <c r="H745" i="9"/>
  <c r="L793" i="9"/>
  <c r="N817" i="9"/>
  <c r="N825" i="9"/>
  <c r="D841" i="9"/>
  <c r="C857" i="9"/>
  <c r="I921" i="9"/>
  <c r="D945" i="9"/>
  <c r="M953" i="9"/>
  <c r="C985" i="9"/>
  <c r="B993" i="9"/>
  <c r="I292" i="9"/>
  <c r="L820" i="9"/>
  <c r="N860" i="9"/>
  <c r="L258" i="9"/>
  <c r="L266" i="9"/>
  <c r="E378" i="9"/>
  <c r="M394" i="9"/>
  <c r="C402" i="9"/>
  <c r="N418" i="9"/>
  <c r="H426" i="9"/>
  <c r="N434" i="9"/>
  <c r="N458" i="9"/>
  <c r="H474" i="9"/>
  <c r="L570" i="9"/>
  <c r="L594" i="9"/>
  <c r="M618" i="9"/>
  <c r="B642" i="9"/>
  <c r="D674" i="9"/>
  <c r="M690" i="9"/>
  <c r="B706" i="9"/>
  <c r="H770" i="9"/>
  <c r="C802" i="9"/>
  <c r="H810" i="9"/>
  <c r="N834" i="9"/>
  <c r="E858" i="9"/>
  <c r="M874" i="9"/>
  <c r="C882" i="9"/>
  <c r="M898" i="9"/>
  <c r="M906" i="9"/>
  <c r="H922" i="9"/>
  <c r="N930" i="9"/>
  <c r="B938" i="9"/>
  <c r="M978" i="9"/>
  <c r="N256" i="9"/>
  <c r="I421" i="9"/>
  <c r="D755" i="9"/>
  <c r="H755" i="9"/>
  <c r="C720" i="9"/>
  <c r="I605" i="9"/>
  <c r="C723" i="9"/>
  <c r="M760" i="9"/>
  <c r="M445" i="9"/>
  <c r="E593" i="9"/>
  <c r="C962" i="9"/>
  <c r="E962" i="9"/>
  <c r="B449" i="9"/>
  <c r="B479" i="9"/>
  <c r="M449" i="9"/>
  <c r="C335" i="9"/>
  <c r="L760" i="9"/>
  <c r="I485" i="9"/>
  <c r="D616" i="9"/>
  <c r="H708" i="9"/>
  <c r="B715" i="9"/>
  <c r="M815" i="9"/>
  <c r="H354" i="9"/>
  <c r="B616" i="9"/>
  <c r="D821" i="9"/>
  <c r="H438" i="9"/>
  <c r="B465" i="9"/>
  <c r="D702" i="9"/>
  <c r="I837" i="9"/>
  <c r="D988" i="9"/>
  <c r="N895" i="9"/>
  <c r="N402" i="9"/>
  <c r="I465" i="9"/>
  <c r="L558" i="9"/>
  <c r="N277" i="9"/>
  <c r="I453" i="9"/>
  <c r="B739" i="9"/>
  <c r="D812" i="9"/>
  <c r="B833" i="9"/>
  <c r="C643" i="9"/>
  <c r="D739" i="9"/>
  <c r="H455" i="9"/>
  <c r="M465" i="9"/>
  <c r="D479" i="9"/>
  <c r="L483" i="9"/>
  <c r="H495" i="9"/>
  <c r="N498" i="9"/>
  <c r="D505" i="9"/>
  <c r="H519" i="9"/>
  <c r="E634" i="9"/>
  <c r="H676" i="9"/>
  <c r="E717" i="9"/>
  <c r="C740" i="9"/>
  <c r="B755" i="9"/>
  <c r="N809" i="9"/>
  <c r="I259" i="9"/>
  <c r="E289" i="9"/>
  <c r="L455" i="9"/>
  <c r="N495" i="9"/>
  <c r="C576" i="9"/>
  <c r="D986" i="9"/>
  <c r="B605" i="9"/>
  <c r="H610" i="9"/>
  <c r="N642" i="9"/>
  <c r="E755" i="9"/>
  <c r="C782" i="9"/>
  <c r="L814" i="9"/>
  <c r="M820" i="9"/>
  <c r="N833" i="9"/>
  <c r="H848" i="9"/>
  <c r="M945" i="9"/>
  <c r="E981" i="9"/>
  <c r="E986" i="9"/>
  <c r="E354" i="9"/>
  <c r="D485" i="9"/>
  <c r="L599" i="9"/>
  <c r="H986" i="9"/>
  <c r="I337" i="9"/>
  <c r="B351" i="9"/>
  <c r="I354" i="9"/>
  <c r="E399" i="9"/>
  <c r="E458" i="9"/>
  <c r="M485" i="9"/>
  <c r="C498" i="9"/>
  <c r="E553" i="9"/>
  <c r="H587" i="9"/>
  <c r="N618" i="9"/>
  <c r="C709" i="9"/>
  <c r="E898" i="9"/>
  <c r="D962" i="9"/>
  <c r="N337" i="9"/>
  <c r="C351" i="9"/>
  <c r="I483" i="9"/>
  <c r="H498" i="9"/>
  <c r="B539" i="9"/>
  <c r="L574" i="9"/>
  <c r="I739" i="9"/>
  <c r="C809" i="9"/>
  <c r="D813" i="9"/>
  <c r="L841" i="9"/>
  <c r="H846" i="9"/>
  <c r="B878" i="9"/>
  <c r="B921" i="9"/>
  <c r="M935" i="9"/>
  <c r="I351" i="9"/>
  <c r="D455" i="9"/>
  <c r="I459" i="9"/>
  <c r="L498" i="9"/>
  <c r="I619" i="9"/>
  <c r="D634" i="9"/>
  <c r="D676" i="9"/>
  <c r="D690" i="9"/>
  <c r="C717" i="9"/>
  <c r="H809" i="9"/>
  <c r="I813" i="9"/>
  <c r="D837" i="9"/>
  <c r="M841" i="9"/>
  <c r="L846" i="9"/>
  <c r="D985" i="9"/>
  <c r="L757" i="9"/>
  <c r="M762" i="9"/>
  <c r="I762" i="9"/>
  <c r="M839" i="9"/>
  <c r="N839" i="9"/>
  <c r="E965" i="9"/>
  <c r="D965" i="9"/>
  <c r="L263" i="9"/>
  <c r="H330" i="9"/>
  <c r="B335" i="9"/>
  <c r="L351" i="9"/>
  <c r="I374" i="9"/>
  <c r="M421" i="9"/>
  <c r="I449" i="9"/>
  <c r="E453" i="9"/>
  <c r="I455" i="9"/>
  <c r="C458" i="9"/>
  <c r="L459" i="9"/>
  <c r="D465" i="9"/>
  <c r="E485" i="9"/>
  <c r="H542" i="9"/>
  <c r="L591" i="9"/>
  <c r="M736" i="9"/>
  <c r="N757" i="9"/>
  <c r="E932" i="9"/>
  <c r="N932" i="9"/>
  <c r="C974" i="9"/>
  <c r="I577" i="9"/>
  <c r="H786" i="9"/>
  <c r="H298" i="9"/>
  <c r="B475" i="9"/>
  <c r="I497" i="9"/>
  <c r="D273" i="9"/>
  <c r="H278" i="9"/>
  <c r="M335" i="9"/>
  <c r="E375" i="9"/>
  <c r="D441" i="9"/>
  <c r="E456" i="9"/>
  <c r="M766" i="9"/>
  <c r="L865" i="9"/>
  <c r="N865" i="9"/>
  <c r="E321" i="9"/>
  <c r="H352" i="9"/>
  <c r="I724" i="9"/>
  <c r="I772" i="9"/>
  <c r="E772" i="9"/>
  <c r="M260" i="9"/>
  <c r="N321" i="9"/>
  <c r="H338" i="9"/>
  <c r="H395" i="9"/>
  <c r="M429" i="9"/>
  <c r="L447" i="9"/>
  <c r="B451" i="9"/>
  <c r="H456" i="9"/>
  <c r="C459" i="9"/>
  <c r="L475" i="9"/>
  <c r="H479" i="9"/>
  <c r="M970" i="9"/>
  <c r="H970" i="9"/>
  <c r="B380" i="9"/>
  <c r="N394" i="9"/>
  <c r="M565" i="9"/>
  <c r="H737" i="9"/>
  <c r="B334" i="9"/>
  <c r="I338" i="9"/>
  <c r="N456" i="9"/>
  <c r="H466" i="9"/>
  <c r="E472" i="9"/>
  <c r="L554" i="9"/>
  <c r="H560" i="9"/>
  <c r="D560" i="9"/>
  <c r="D744" i="9"/>
  <c r="L879" i="9"/>
  <c r="M879" i="9"/>
  <c r="N909" i="9"/>
  <c r="M909" i="9"/>
  <c r="B909" i="9"/>
  <c r="L543" i="9"/>
  <c r="D335" i="9"/>
  <c r="E337" i="9"/>
  <c r="L338" i="9"/>
  <c r="C354" i="9"/>
  <c r="E391" i="9"/>
  <c r="H459" i="9"/>
  <c r="N466" i="9"/>
  <c r="L495" i="9"/>
  <c r="I880" i="9"/>
  <c r="I909" i="9"/>
  <c r="E739" i="9"/>
  <c r="N935" i="9"/>
  <c r="H898" i="9"/>
  <c r="H921" i="9"/>
  <c r="H981" i="9"/>
  <c r="H985" i="9"/>
  <c r="D527" i="9"/>
  <c r="E832" i="9"/>
  <c r="D944" i="9"/>
  <c r="M976" i="9"/>
  <c r="N981" i="9"/>
  <c r="L527" i="9"/>
  <c r="H539" i="9"/>
  <c r="L557" i="9"/>
  <c r="C605" i="9"/>
  <c r="H608" i="9"/>
  <c r="D643" i="9"/>
  <c r="E676" i="9"/>
  <c r="M702" i="9"/>
  <c r="I708" i="9"/>
  <c r="I723" i="9"/>
  <c r="C752" i="9"/>
  <c r="D809" i="9"/>
  <c r="I821" i="9"/>
  <c r="B837" i="9"/>
  <c r="H878" i="9"/>
  <c r="I545" i="9"/>
  <c r="E605" i="9"/>
  <c r="H619" i="9"/>
  <c r="C671" i="9"/>
  <c r="N708" i="9"/>
  <c r="L728" i="9"/>
  <c r="D746" i="9"/>
  <c r="M752" i="9"/>
  <c r="E809" i="9"/>
  <c r="L833" i="9"/>
  <c r="L878" i="9"/>
  <c r="C890" i="9"/>
  <c r="D908" i="9"/>
  <c r="N929" i="9"/>
  <c r="I945" i="9"/>
  <c r="N309" i="9"/>
  <c r="N327" i="9"/>
  <c r="D341" i="9"/>
  <c r="I346" i="9"/>
  <c r="L419" i="9"/>
  <c r="I419" i="9"/>
  <c r="I434" i="9"/>
  <c r="L460" i="9"/>
  <c r="I467" i="9"/>
  <c r="N496" i="9"/>
  <c r="I601" i="9"/>
  <c r="H601" i="9"/>
  <c r="D609" i="9"/>
  <c r="M779" i="9"/>
  <c r="N797" i="9"/>
  <c r="I797" i="9"/>
  <c r="H797" i="9"/>
  <c r="L825" i="9"/>
  <c r="B260" i="9"/>
  <c r="I269" i="9"/>
  <c r="H282" i="9"/>
  <c r="M316" i="9"/>
  <c r="I330" i="9"/>
  <c r="I355" i="9"/>
  <c r="M386" i="9"/>
  <c r="N386" i="9"/>
  <c r="C419" i="9"/>
  <c r="L467" i="9"/>
  <c r="L533" i="9"/>
  <c r="N533" i="9"/>
  <c r="I533" i="9"/>
  <c r="E533" i="9"/>
  <c r="H537" i="9"/>
  <c r="M537" i="9"/>
  <c r="B656" i="9"/>
  <c r="M682" i="9"/>
  <c r="D682" i="9"/>
  <c r="M696" i="9"/>
  <c r="L696" i="9"/>
  <c r="M767" i="9"/>
  <c r="D797" i="9"/>
  <c r="H804" i="9"/>
  <c r="E804" i="9"/>
  <c r="D804" i="9"/>
  <c r="L913" i="9"/>
  <c r="I913" i="9"/>
  <c r="H913" i="9"/>
  <c r="E913" i="9"/>
  <c r="I397" i="9"/>
  <c r="E397" i="9"/>
  <c r="N507" i="9"/>
  <c r="H507" i="9"/>
  <c r="C256" i="9"/>
  <c r="E276" i="9"/>
  <c r="C307" i="9"/>
  <c r="B327" i="9"/>
  <c r="B343" i="9"/>
  <c r="L388" i="9"/>
  <c r="D397" i="9"/>
  <c r="H462" i="9"/>
  <c r="D474" i="9"/>
  <c r="N501" i="9"/>
  <c r="L598" i="9"/>
  <c r="E598" i="9"/>
  <c r="B604" i="9"/>
  <c r="L604" i="9"/>
  <c r="I604" i="9"/>
  <c r="E691" i="9"/>
  <c r="E271" i="9"/>
  <c r="I302" i="9"/>
  <c r="I307" i="9"/>
  <c r="H323" i="9"/>
  <c r="C327" i="9"/>
  <c r="I370" i="9"/>
  <c r="B388" i="9"/>
  <c r="N397" i="9"/>
  <c r="H418" i="9"/>
  <c r="E418" i="9"/>
  <c r="C418" i="9"/>
  <c r="N463" i="9"/>
  <c r="I463" i="9"/>
  <c r="H470" i="9"/>
  <c r="E474" i="9"/>
  <c r="N535" i="9"/>
  <c r="L535" i="9"/>
  <c r="E535" i="9"/>
  <c r="C535" i="9"/>
  <c r="H604" i="9"/>
  <c r="N612" i="9"/>
  <c r="C612" i="9"/>
  <c r="D691" i="9"/>
  <c r="M742" i="9"/>
  <c r="L742" i="9"/>
  <c r="I742" i="9"/>
  <c r="I763" i="9"/>
  <c r="D763" i="9"/>
  <c r="N845" i="9"/>
  <c r="I845" i="9"/>
  <c r="H845" i="9"/>
  <c r="B845" i="9"/>
  <c r="L855" i="9"/>
  <c r="M855" i="9"/>
  <c r="E855" i="9"/>
  <c r="L881" i="9"/>
  <c r="N916" i="9"/>
  <c r="M916" i="9"/>
  <c r="D916" i="9"/>
  <c r="N410" i="9"/>
  <c r="I410" i="9"/>
  <c r="M714" i="9"/>
  <c r="I774" i="9"/>
  <c r="H774" i="9"/>
  <c r="E774" i="9"/>
  <c r="B268" i="9"/>
  <c r="H277" i="9"/>
  <c r="I323" i="9"/>
  <c r="D327" i="9"/>
  <c r="D330" i="9"/>
  <c r="I333" i="9"/>
  <c r="E352" i="9"/>
  <c r="C364" i="9"/>
  <c r="C388" i="9"/>
  <c r="H529" i="9"/>
  <c r="M529" i="9"/>
  <c r="E742" i="9"/>
  <c r="M783" i="9"/>
  <c r="N801" i="9"/>
  <c r="M801" i="9"/>
  <c r="I801" i="9"/>
  <c r="C801" i="9"/>
  <c r="C474" i="9"/>
  <c r="I277" i="9"/>
  <c r="E303" i="9"/>
  <c r="E308" i="9"/>
  <c r="E314" i="9"/>
  <c r="E327" i="9"/>
  <c r="E330" i="9"/>
  <c r="C399" i="9"/>
  <c r="M399" i="9"/>
  <c r="D407" i="9"/>
  <c r="L413" i="9"/>
  <c r="M413" i="9"/>
  <c r="I413" i="9"/>
  <c r="L418" i="9"/>
  <c r="L458" i="9"/>
  <c r="H458" i="9"/>
  <c r="M472" i="9"/>
  <c r="N472" i="9"/>
  <c r="L474" i="9"/>
  <c r="L525" i="9"/>
  <c r="B525" i="9"/>
  <c r="D535" i="9"/>
  <c r="L575" i="9"/>
  <c r="I575" i="9"/>
  <c r="B575" i="9"/>
  <c r="C668" i="9"/>
  <c r="N700" i="9"/>
  <c r="I700" i="9"/>
  <c r="H721" i="9"/>
  <c r="E783" i="9"/>
  <c r="B801" i="9"/>
  <c r="M849" i="9"/>
  <c r="I934" i="9"/>
  <c r="B934" i="9"/>
  <c r="M434" i="9"/>
  <c r="D434" i="9"/>
  <c r="M536" i="9"/>
  <c r="N536" i="9"/>
  <c r="M707" i="9"/>
  <c r="I707" i="9"/>
  <c r="C707" i="9"/>
  <c r="H825" i="9"/>
  <c r="E825" i="9"/>
  <c r="D825" i="9"/>
  <c r="C825" i="9"/>
  <c r="B825" i="9"/>
  <c r="L831" i="9"/>
  <c r="H906" i="9"/>
  <c r="N925" i="9"/>
  <c r="M925" i="9"/>
  <c r="I925" i="9"/>
  <c r="N989" i="9"/>
  <c r="H989" i="9"/>
  <c r="E989" i="9"/>
  <c r="H994" i="9"/>
  <c r="L559" i="9"/>
  <c r="B573" i="9"/>
  <c r="N605" i="9"/>
  <c r="C620" i="9"/>
  <c r="M643" i="9"/>
  <c r="M664" i="9"/>
  <c r="N723" i="9"/>
  <c r="H731" i="9"/>
  <c r="B738" i="9"/>
  <c r="N739" i="9"/>
  <c r="L744" i="9"/>
  <c r="L771" i="9"/>
  <c r="L813" i="9"/>
  <c r="E863" i="9"/>
  <c r="M901" i="9"/>
  <c r="H951" i="9"/>
  <c r="I951" i="9"/>
  <c r="B951" i="9"/>
  <c r="D989" i="9"/>
  <c r="N545" i="9"/>
  <c r="B565" i="9"/>
  <c r="B570" i="9"/>
  <c r="I573" i="9"/>
  <c r="D620" i="9"/>
  <c r="N643" i="9"/>
  <c r="D683" i="9"/>
  <c r="I731" i="9"/>
  <c r="D738" i="9"/>
  <c r="B762" i="9"/>
  <c r="C784" i="9"/>
  <c r="B809" i="9"/>
  <c r="M922" i="9"/>
  <c r="L927" i="9"/>
  <c r="B927" i="9"/>
  <c r="B931" i="9"/>
  <c r="D967" i="9"/>
  <c r="E967" i="9"/>
  <c r="B967" i="9"/>
  <c r="B497" i="9"/>
  <c r="L499" i="9"/>
  <c r="H526" i="9"/>
  <c r="C560" i="9"/>
  <c r="D565" i="9"/>
  <c r="D570" i="9"/>
  <c r="L573" i="9"/>
  <c r="B591" i="9"/>
  <c r="L595" i="9"/>
  <c r="D610" i="9"/>
  <c r="E620" i="9"/>
  <c r="D654" i="9"/>
  <c r="I678" i="9"/>
  <c r="E683" i="9"/>
  <c r="L704" i="9"/>
  <c r="C715" i="9"/>
  <c r="B720" i="9"/>
  <c r="M722" i="9"/>
  <c r="E724" i="9"/>
  <c r="C736" i="9"/>
  <c r="B740" i="9"/>
  <c r="D760" i="9"/>
  <c r="D762" i="9"/>
  <c r="D768" i="9"/>
  <c r="D772" i="9"/>
  <c r="D860" i="9"/>
  <c r="E874" i="9"/>
  <c r="D895" i="9"/>
  <c r="B910" i="9"/>
  <c r="E922" i="9"/>
  <c r="M927" i="9"/>
  <c r="B958" i="9"/>
  <c r="M991" i="9"/>
  <c r="B991" i="9"/>
  <c r="M704" i="9"/>
  <c r="M863" i="9"/>
  <c r="H943" i="9"/>
  <c r="C943" i="9"/>
  <c r="B943" i="9"/>
  <c r="D354" i="9"/>
  <c r="E455" i="9"/>
  <c r="L466" i="9"/>
  <c r="I475" i="9"/>
  <c r="E479" i="9"/>
  <c r="H483" i="9"/>
  <c r="I495" i="9"/>
  <c r="D517" i="9"/>
  <c r="B527" i="9"/>
  <c r="H553" i="9"/>
  <c r="E576" i="9"/>
  <c r="H582" i="9"/>
  <c r="N610" i="9"/>
  <c r="N620" i="9"/>
  <c r="B643" i="9"/>
  <c r="I690" i="9"/>
  <c r="E702" i="9"/>
  <c r="M720" i="9"/>
  <c r="B723" i="9"/>
  <c r="H724" i="9"/>
  <c r="M728" i="9"/>
  <c r="C739" i="9"/>
  <c r="B752" i="9"/>
  <c r="C755" i="9"/>
  <c r="E757" i="9"/>
  <c r="L768" i="9"/>
  <c r="B786" i="9"/>
  <c r="L802" i="9"/>
  <c r="C833" i="9"/>
  <c r="C837" i="9"/>
  <c r="N848" i="9"/>
  <c r="L853" i="9"/>
  <c r="H874" i="9"/>
  <c r="C878" i="9"/>
  <c r="N880" i="9"/>
  <c r="M895" i="9"/>
  <c r="N970" i="9"/>
  <c r="B970" i="9"/>
  <c r="I980" i="9"/>
  <c r="M938" i="9"/>
  <c r="H938" i="9"/>
  <c r="H962" i="9"/>
  <c r="L965" i="9"/>
  <c r="B962" i="9"/>
  <c r="C965" i="9"/>
  <c r="H984" i="9"/>
  <c r="H929" i="9"/>
  <c r="N482" i="9"/>
  <c r="L482" i="9"/>
  <c r="H482" i="9"/>
  <c r="C482" i="9"/>
  <c r="M503" i="9"/>
  <c r="E503" i="9"/>
  <c r="C503" i="9"/>
  <c r="N515" i="9"/>
  <c r="L515" i="9"/>
  <c r="I515" i="9"/>
  <c r="H515" i="9"/>
  <c r="B515" i="9"/>
  <c r="M528" i="9"/>
  <c r="N528" i="9"/>
  <c r="E528" i="9"/>
  <c r="M581" i="9"/>
  <c r="H581" i="9"/>
  <c r="E581" i="9"/>
  <c r="D581" i="9"/>
  <c r="B581" i="9"/>
  <c r="C711" i="9"/>
  <c r="L711" i="9"/>
  <c r="N716" i="9"/>
  <c r="I716" i="9"/>
  <c r="H716" i="9"/>
  <c r="D716" i="9"/>
  <c r="L884" i="9"/>
  <c r="N884" i="9"/>
  <c r="C884" i="9"/>
  <c r="L911" i="9"/>
  <c r="N911" i="9"/>
  <c r="B911" i="9"/>
  <c r="N924" i="9"/>
  <c r="M924" i="9"/>
  <c r="D924" i="9"/>
  <c r="N260" i="9"/>
  <c r="C264" i="9"/>
  <c r="H268" i="9"/>
  <c r="H269" i="9"/>
  <c r="E279" i="9"/>
  <c r="N289" i="9"/>
  <c r="H293" i="9"/>
  <c r="H314" i="9"/>
  <c r="C332" i="9"/>
  <c r="L335" i="9"/>
  <c r="H335" i="9"/>
  <c r="E335" i="9"/>
  <c r="H347" i="9"/>
  <c r="C367" i="9"/>
  <c r="H371" i="9"/>
  <c r="C380" i="9"/>
  <c r="H392" i="9"/>
  <c r="L403" i="9"/>
  <c r="H403" i="9"/>
  <c r="C403" i="9"/>
  <c r="E482" i="9"/>
  <c r="M488" i="9"/>
  <c r="H488" i="9"/>
  <c r="L509" i="9"/>
  <c r="M509" i="9"/>
  <c r="I509" i="9"/>
  <c r="E509" i="9"/>
  <c r="D509" i="9"/>
  <c r="C515" i="9"/>
  <c r="E558" i="9"/>
  <c r="D558" i="9"/>
  <c r="N558" i="9"/>
  <c r="C558" i="9"/>
  <c r="M558" i="9"/>
  <c r="B558" i="9"/>
  <c r="I558" i="9"/>
  <c r="I561" i="9"/>
  <c r="C581" i="9"/>
  <c r="L630" i="9"/>
  <c r="N630" i="9"/>
  <c r="I630" i="9"/>
  <c r="D630" i="9"/>
  <c r="N635" i="9"/>
  <c r="I635" i="9"/>
  <c r="H635" i="9"/>
  <c r="E635" i="9"/>
  <c r="C635" i="9"/>
  <c r="M648" i="9"/>
  <c r="H648" i="9"/>
  <c r="D648" i="9"/>
  <c r="B648" i="9"/>
  <c r="N657" i="9"/>
  <c r="B657" i="9"/>
  <c r="L662" i="9"/>
  <c r="M668" i="9"/>
  <c r="L668" i="9"/>
  <c r="E668" i="9"/>
  <c r="D668" i="9"/>
  <c r="B668" i="9"/>
  <c r="L672" i="9"/>
  <c r="D672" i="9"/>
  <c r="C672" i="9"/>
  <c r="B672" i="9"/>
  <c r="M712" i="9"/>
  <c r="E716" i="9"/>
  <c r="M756" i="9"/>
  <c r="L756" i="9"/>
  <c r="I756" i="9"/>
  <c r="H756" i="9"/>
  <c r="B756" i="9"/>
  <c r="M911" i="9"/>
  <c r="C964" i="9"/>
  <c r="E964" i="9"/>
  <c r="D964" i="9"/>
  <c r="I996" i="9"/>
  <c r="N996" i="9"/>
  <c r="B996" i="9"/>
  <c r="M417" i="9"/>
  <c r="I417" i="9"/>
  <c r="B417" i="9"/>
  <c r="M544" i="9"/>
  <c r="N544" i="9"/>
  <c r="H544" i="9"/>
  <c r="E544" i="9"/>
  <c r="E567" i="9"/>
  <c r="I567" i="9"/>
  <c r="N741" i="9"/>
  <c r="L741" i="9"/>
  <c r="C741" i="9"/>
  <c r="N808" i="9"/>
  <c r="M808" i="9"/>
  <c r="I808" i="9"/>
  <c r="H808" i="9"/>
  <c r="D808" i="9"/>
  <c r="E261" i="9"/>
  <c r="M268" i="9"/>
  <c r="M269" i="9"/>
  <c r="M291" i="9"/>
  <c r="I291" i="9"/>
  <c r="H291" i="9"/>
  <c r="H310" i="9"/>
  <c r="N332" i="9"/>
  <c r="E343" i="9"/>
  <c r="D343" i="9"/>
  <c r="C343" i="9"/>
  <c r="B345" i="9"/>
  <c r="B359" i="9"/>
  <c r="M367" i="9"/>
  <c r="M378" i="9"/>
  <c r="I378" i="9"/>
  <c r="H378" i="9"/>
  <c r="N389" i="9"/>
  <c r="I389" i="9"/>
  <c r="E389" i="9"/>
  <c r="D389" i="9"/>
  <c r="N408" i="9"/>
  <c r="H408" i="9"/>
  <c r="D417" i="9"/>
  <c r="L541" i="9"/>
  <c r="I541" i="9"/>
  <c r="H541" i="9"/>
  <c r="E541" i="9"/>
  <c r="B541" i="9"/>
  <c r="N649" i="9"/>
  <c r="E649" i="9"/>
  <c r="B649" i="9"/>
  <c r="M674" i="9"/>
  <c r="H674" i="9"/>
  <c r="B674" i="9"/>
  <c r="L677" i="9"/>
  <c r="B677" i="9"/>
  <c r="H700" i="9"/>
  <c r="E700" i="9"/>
  <c r="D700" i="9"/>
  <c r="C700" i="9"/>
  <c r="M700" i="9"/>
  <c r="E741" i="9"/>
  <c r="E808" i="9"/>
  <c r="M866" i="9"/>
  <c r="L866" i="9"/>
  <c r="H866" i="9"/>
  <c r="B866" i="9"/>
  <c r="N896" i="9"/>
  <c r="I896" i="9"/>
  <c r="E372" i="9"/>
  <c r="N581" i="9"/>
  <c r="I686" i="9"/>
  <c r="E686" i="9"/>
  <c r="D686" i="9"/>
  <c r="C686" i="9"/>
  <c r="N269" i="9"/>
  <c r="H284" i="9"/>
  <c r="E311" i="9"/>
  <c r="C359" i="9"/>
  <c r="H383" i="9"/>
  <c r="E383" i="9"/>
  <c r="D383" i="9"/>
  <c r="C383" i="9"/>
  <c r="L387" i="9"/>
  <c r="C387" i="9"/>
  <c r="L450" i="9"/>
  <c r="H450" i="9"/>
  <c r="E450" i="9"/>
  <c r="D450" i="9"/>
  <c r="C450" i="9"/>
  <c r="N530" i="9"/>
  <c r="M530" i="9"/>
  <c r="L530" i="9"/>
  <c r="E530" i="9"/>
  <c r="C530" i="9"/>
  <c r="M550" i="9"/>
  <c r="E550" i="9"/>
  <c r="C550" i="9"/>
  <c r="H578" i="9"/>
  <c r="L578" i="9"/>
  <c r="I578" i="9"/>
  <c r="B578" i="9"/>
  <c r="M592" i="9"/>
  <c r="E592" i="9"/>
  <c r="D592" i="9"/>
  <c r="B592" i="9"/>
  <c r="I747" i="9"/>
  <c r="H747" i="9"/>
  <c r="E747" i="9"/>
  <c r="D747" i="9"/>
  <c r="C747" i="9"/>
  <c r="N747" i="9"/>
  <c r="L785" i="9"/>
  <c r="C785" i="9"/>
  <c r="I888" i="9"/>
  <c r="L264" i="9"/>
  <c r="I345" i="9"/>
  <c r="M345" i="9"/>
  <c r="E345" i="9"/>
  <c r="N471" i="9"/>
  <c r="L471" i="9"/>
  <c r="I471" i="9"/>
  <c r="B471" i="9"/>
  <c r="C260" i="9"/>
  <c r="E266" i="9"/>
  <c r="C269" i="9"/>
  <c r="C275" i="9"/>
  <c r="D291" i="9"/>
  <c r="H343" i="9"/>
  <c r="D345" i="9"/>
  <c r="M359" i="9"/>
  <c r="B383" i="9"/>
  <c r="B387" i="9"/>
  <c r="M391" i="9"/>
  <c r="I391" i="9"/>
  <c r="H391" i="9"/>
  <c r="N450" i="9"/>
  <c r="M480" i="9"/>
  <c r="E480" i="9"/>
  <c r="I506" i="9"/>
  <c r="D506" i="9"/>
  <c r="N531" i="9"/>
  <c r="B531" i="9"/>
  <c r="M538" i="9"/>
  <c r="L538" i="9"/>
  <c r="H538" i="9"/>
  <c r="E538" i="9"/>
  <c r="C538" i="9"/>
  <c r="N541" i="9"/>
  <c r="I588" i="9"/>
  <c r="B588" i="9"/>
  <c r="N592" i="9"/>
  <c r="N597" i="9"/>
  <c r="E597" i="9"/>
  <c r="D597" i="9"/>
  <c r="C597" i="9"/>
  <c r="B597" i="9"/>
  <c r="N600" i="9"/>
  <c r="M600" i="9"/>
  <c r="B600" i="9"/>
  <c r="I627" i="9"/>
  <c r="H627" i="9"/>
  <c r="E627" i="9"/>
  <c r="D627" i="9"/>
  <c r="C627" i="9"/>
  <c r="N627" i="9"/>
  <c r="M660" i="9"/>
  <c r="L660" i="9"/>
  <c r="E660" i="9"/>
  <c r="D660" i="9"/>
  <c r="B660" i="9"/>
  <c r="M670" i="9"/>
  <c r="E670" i="9"/>
  <c r="D670" i="9"/>
  <c r="C670" i="9"/>
  <c r="C688" i="9"/>
  <c r="B688" i="9"/>
  <c r="E769" i="9"/>
  <c r="D769" i="9"/>
  <c r="N769" i="9"/>
  <c r="C769" i="9"/>
  <c r="M769" i="9"/>
  <c r="B769" i="9"/>
  <c r="I769" i="9"/>
  <c r="C794" i="9"/>
  <c r="N819" i="9"/>
  <c r="B819" i="9"/>
  <c r="N888" i="9"/>
  <c r="I926" i="9"/>
  <c r="L926" i="9"/>
  <c r="B926" i="9"/>
  <c r="B939" i="9"/>
  <c r="M1000" i="9"/>
  <c r="N1000" i="9"/>
  <c r="I1000" i="9"/>
  <c r="D1000" i="9"/>
  <c r="H367" i="9"/>
  <c r="H457" i="9"/>
  <c r="M457" i="9"/>
  <c r="I457" i="9"/>
  <c r="B457" i="9"/>
  <c r="M520" i="9"/>
  <c r="H520" i="9"/>
  <c r="H256" i="9"/>
  <c r="D260" i="9"/>
  <c r="D263" i="9"/>
  <c r="D269" i="9"/>
  <c r="I275" i="9"/>
  <c r="E282" i="9"/>
  <c r="M284" i="9"/>
  <c r="D289" i="9"/>
  <c r="E328" i="9"/>
  <c r="I334" i="9"/>
  <c r="H334" i="9"/>
  <c r="D334" i="9"/>
  <c r="L343" i="9"/>
  <c r="E356" i="9"/>
  <c r="N365" i="9"/>
  <c r="I365" i="9"/>
  <c r="M375" i="9"/>
  <c r="L383" i="9"/>
  <c r="M402" i="9"/>
  <c r="I402" i="9"/>
  <c r="E402" i="9"/>
  <c r="D402" i="9"/>
  <c r="D405" i="9"/>
  <c r="E442" i="9"/>
  <c r="N480" i="9"/>
  <c r="H531" i="9"/>
  <c r="N538" i="9"/>
  <c r="I546" i="9"/>
  <c r="H546" i="9"/>
  <c r="D546" i="9"/>
  <c r="B546" i="9"/>
  <c r="L611" i="9"/>
  <c r="I611" i="9"/>
  <c r="H611" i="9"/>
  <c r="E611" i="9"/>
  <c r="C660" i="9"/>
  <c r="N666" i="9"/>
  <c r="H666" i="9"/>
  <c r="C727" i="9"/>
  <c r="L727" i="9"/>
  <c r="N748" i="9"/>
  <c r="M748" i="9"/>
  <c r="I748" i="9"/>
  <c r="D748" i="9"/>
  <c r="C748" i="9"/>
  <c r="H769" i="9"/>
  <c r="H790" i="9"/>
  <c r="E790" i="9"/>
  <c r="B790" i="9"/>
  <c r="D795" i="9"/>
  <c r="M795" i="9"/>
  <c r="L359" i="9"/>
  <c r="I359" i="9"/>
  <c r="E359" i="9"/>
  <c r="D359" i="9"/>
  <c r="L562" i="9"/>
  <c r="I562" i="9"/>
  <c r="B562" i="9"/>
  <c r="H699" i="9"/>
  <c r="E269" i="9"/>
  <c r="H336" i="9"/>
  <c r="I341" i="9"/>
  <c r="H341" i="9"/>
  <c r="E341" i="9"/>
  <c r="M343" i="9"/>
  <c r="N383" i="9"/>
  <c r="L420" i="9"/>
  <c r="N420" i="9"/>
  <c r="M448" i="9"/>
  <c r="N448" i="9"/>
  <c r="H448" i="9"/>
  <c r="E448" i="9"/>
  <c r="L546" i="9"/>
  <c r="N590" i="9"/>
  <c r="I590" i="9"/>
  <c r="E590" i="9"/>
  <c r="C590" i="9"/>
  <c r="M612" i="9"/>
  <c r="L612" i="9"/>
  <c r="E612" i="9"/>
  <c r="D612" i="9"/>
  <c r="B612" i="9"/>
  <c r="L622" i="9"/>
  <c r="C622" i="9"/>
  <c r="N628" i="9"/>
  <c r="E628" i="9"/>
  <c r="L647" i="9"/>
  <c r="I647" i="9"/>
  <c r="H647" i="9"/>
  <c r="C647" i="9"/>
  <c r="N660" i="9"/>
  <c r="L749" i="9"/>
  <c r="L769" i="9"/>
  <c r="N941" i="9"/>
  <c r="M941" i="9"/>
  <c r="I941" i="9"/>
  <c r="H941" i="9"/>
  <c r="B941" i="9"/>
  <c r="D941" i="9"/>
  <c r="C941" i="9"/>
  <c r="N447" i="9"/>
  <c r="L463" i="9"/>
  <c r="N527" i="9"/>
  <c r="N543" i="9"/>
  <c r="M549" i="9"/>
  <c r="I574" i="9"/>
  <c r="L801" i="9"/>
  <c r="M833" i="9"/>
  <c r="M842" i="9"/>
  <c r="H842" i="9"/>
  <c r="B842" i="9"/>
  <c r="N933" i="9"/>
  <c r="I933" i="9"/>
  <c r="D933" i="9"/>
  <c r="B933" i="9"/>
  <c r="N944" i="9"/>
  <c r="M944" i="9"/>
  <c r="C944" i="9"/>
  <c r="M975" i="9"/>
  <c r="B975" i="9"/>
  <c r="C980" i="9"/>
  <c r="N980" i="9"/>
  <c r="D980" i="9"/>
  <c r="M574" i="9"/>
  <c r="M850" i="9"/>
  <c r="H850" i="9"/>
  <c r="L889" i="9"/>
  <c r="I889" i="9"/>
  <c r="H889" i="9"/>
  <c r="B889" i="9"/>
  <c r="L997" i="9"/>
  <c r="I997" i="9"/>
  <c r="H997" i="9"/>
  <c r="B997" i="9"/>
  <c r="N338" i="9"/>
  <c r="B396" i="9"/>
  <c r="L428" i="9"/>
  <c r="D433" i="9"/>
  <c r="B447" i="9"/>
  <c r="I451" i="9"/>
  <c r="B463" i="9"/>
  <c r="E464" i="9"/>
  <c r="I469" i="9"/>
  <c r="B473" i="9"/>
  <c r="B481" i="9"/>
  <c r="H494" i="9"/>
  <c r="M497" i="9"/>
  <c r="B499" i="9"/>
  <c r="D501" i="9"/>
  <c r="M517" i="9"/>
  <c r="H525" i="9"/>
  <c r="E527" i="9"/>
  <c r="I539" i="9"/>
  <c r="B543" i="9"/>
  <c r="B549" i="9"/>
  <c r="E560" i="9"/>
  <c r="E565" i="9"/>
  <c r="B574" i="9"/>
  <c r="N574" i="9"/>
  <c r="I576" i="9"/>
  <c r="C583" i="9"/>
  <c r="E603" i="9"/>
  <c r="N604" i="9"/>
  <c r="H620" i="9"/>
  <c r="H634" i="9"/>
  <c r="E644" i="9"/>
  <c r="B653" i="9"/>
  <c r="I676" i="9"/>
  <c r="C678" i="9"/>
  <c r="D681" i="9"/>
  <c r="H683" i="9"/>
  <c r="H691" i="9"/>
  <c r="I695" i="9"/>
  <c r="B701" i="9"/>
  <c r="C703" i="9"/>
  <c r="N707" i="9"/>
  <c r="I715" i="9"/>
  <c r="M723" i="9"/>
  <c r="N724" i="9"/>
  <c r="D736" i="9"/>
  <c r="H739" i="9"/>
  <c r="H740" i="9"/>
  <c r="M744" i="9"/>
  <c r="C750" i="9"/>
  <c r="D752" i="9"/>
  <c r="D754" i="9"/>
  <c r="I755" i="9"/>
  <c r="I758" i="9"/>
  <c r="N765" i="9"/>
  <c r="N772" i="9"/>
  <c r="C780" i="9"/>
  <c r="D787" i="9"/>
  <c r="B793" i="9"/>
  <c r="M797" i="9"/>
  <c r="D801" i="9"/>
  <c r="D833" i="9"/>
  <c r="L834" i="9"/>
  <c r="H837" i="9"/>
  <c r="L842" i="9"/>
  <c r="L847" i="9"/>
  <c r="M847" i="9"/>
  <c r="B847" i="9"/>
  <c r="E850" i="9"/>
  <c r="M858" i="9"/>
  <c r="N861" i="9"/>
  <c r="M861" i="9"/>
  <c r="N877" i="9"/>
  <c r="I877" i="9"/>
  <c r="H877" i="9"/>
  <c r="M882" i="9"/>
  <c r="L882" i="9"/>
  <c r="H882" i="9"/>
  <c r="M890" i="9"/>
  <c r="L890" i="9"/>
  <c r="H890" i="9"/>
  <c r="E997" i="9"/>
  <c r="D305" i="9"/>
  <c r="H309" i="9"/>
  <c r="C323" i="9"/>
  <c r="H325" i="9"/>
  <c r="H327" i="9"/>
  <c r="E329" i="9"/>
  <c r="L330" i="9"/>
  <c r="E333" i="9"/>
  <c r="C338" i="9"/>
  <c r="E344" i="9"/>
  <c r="M351" i="9"/>
  <c r="L354" i="9"/>
  <c r="C386" i="9"/>
  <c r="C396" i="9"/>
  <c r="L398" i="9"/>
  <c r="H400" i="9"/>
  <c r="D413" i="9"/>
  <c r="E415" i="9"/>
  <c r="D421" i="9"/>
  <c r="H439" i="9"/>
  <c r="D447" i="9"/>
  <c r="L451" i="9"/>
  <c r="N455" i="9"/>
  <c r="C463" i="9"/>
  <c r="H464" i="9"/>
  <c r="C466" i="9"/>
  <c r="B467" i="9"/>
  <c r="I473" i="9"/>
  <c r="N474" i="9"/>
  <c r="I479" i="9"/>
  <c r="I481" i="9"/>
  <c r="D490" i="9"/>
  <c r="B523" i="9"/>
  <c r="I535" i="9"/>
  <c r="B537" i="9"/>
  <c r="D543" i="9"/>
  <c r="D549" i="9"/>
  <c r="B554" i="9"/>
  <c r="B557" i="9"/>
  <c r="H565" i="9"/>
  <c r="C574" i="9"/>
  <c r="N576" i="9"/>
  <c r="E583" i="9"/>
  <c r="D587" i="9"/>
  <c r="I594" i="9"/>
  <c r="L603" i="9"/>
  <c r="B610" i="9"/>
  <c r="B618" i="9"/>
  <c r="M619" i="9"/>
  <c r="I620" i="9"/>
  <c r="I634" i="9"/>
  <c r="I644" i="9"/>
  <c r="L676" i="9"/>
  <c r="D678" i="9"/>
  <c r="E681" i="9"/>
  <c r="I683" i="9"/>
  <c r="I691" i="9"/>
  <c r="H697" i="9"/>
  <c r="C701" i="9"/>
  <c r="I703" i="9"/>
  <c r="I740" i="9"/>
  <c r="D750" i="9"/>
  <c r="I754" i="9"/>
  <c r="I793" i="9"/>
  <c r="E801" i="9"/>
  <c r="L821" i="9"/>
  <c r="M831" i="9"/>
  <c r="E833" i="9"/>
  <c r="N869" i="9"/>
  <c r="I869" i="9"/>
  <c r="H869" i="9"/>
  <c r="D869" i="9"/>
  <c r="L887" i="9"/>
  <c r="N887" i="9"/>
  <c r="M887" i="9"/>
  <c r="E928" i="9"/>
  <c r="B950" i="9"/>
  <c r="H977" i="9"/>
  <c r="H296" i="9"/>
  <c r="I309" i="9"/>
  <c r="H316" i="9"/>
  <c r="D323" i="9"/>
  <c r="I327" i="9"/>
  <c r="N330" i="9"/>
  <c r="C337" i="9"/>
  <c r="D338" i="9"/>
  <c r="N354" i="9"/>
  <c r="C363" i="9"/>
  <c r="I366" i="9"/>
  <c r="I381" i="9"/>
  <c r="D386" i="9"/>
  <c r="E413" i="9"/>
  <c r="E421" i="9"/>
  <c r="B455" i="9"/>
  <c r="B459" i="9"/>
  <c r="D463" i="9"/>
  <c r="N464" i="9"/>
  <c r="D466" i="9"/>
  <c r="C467" i="9"/>
  <c r="M473" i="9"/>
  <c r="H478" i="9"/>
  <c r="L479" i="9"/>
  <c r="B495" i="9"/>
  <c r="E496" i="9"/>
  <c r="I499" i="9"/>
  <c r="I501" i="9"/>
  <c r="D514" i="9"/>
  <c r="N525" i="9"/>
  <c r="H527" i="9"/>
  <c r="B529" i="9"/>
  <c r="H534" i="9"/>
  <c r="D537" i="9"/>
  <c r="H549" i="9"/>
  <c r="D554" i="9"/>
  <c r="H557" i="9"/>
  <c r="B559" i="9"/>
  <c r="I560" i="9"/>
  <c r="I565" i="9"/>
  <c r="D574" i="9"/>
  <c r="E587" i="9"/>
  <c r="L620" i="9"/>
  <c r="C656" i="9"/>
  <c r="E659" i="9"/>
  <c r="B664" i="9"/>
  <c r="E667" i="9"/>
  <c r="B676" i="9"/>
  <c r="M676" i="9"/>
  <c r="E678" i="9"/>
  <c r="N697" i="9"/>
  <c r="N701" i="9"/>
  <c r="D708" i="9"/>
  <c r="E709" i="9"/>
  <c r="M715" i="9"/>
  <c r="C725" i="9"/>
  <c r="D728" i="9"/>
  <c r="D731" i="9"/>
  <c r="L740" i="9"/>
  <c r="B744" i="9"/>
  <c r="L750" i="9"/>
  <c r="M755" i="9"/>
  <c r="E763" i="9"/>
  <c r="D766" i="9"/>
  <c r="E768" i="9"/>
  <c r="I770" i="9"/>
  <c r="M773" i="9"/>
  <c r="M784" i="9"/>
  <c r="C786" i="9"/>
  <c r="B797" i="9"/>
  <c r="L809" i="9"/>
  <c r="I812" i="9"/>
  <c r="E817" i="9"/>
  <c r="C820" i="9"/>
  <c r="M825" i="9"/>
  <c r="C829" i="9"/>
  <c r="N831" i="9"/>
  <c r="M837" i="9"/>
  <c r="I843" i="9"/>
  <c r="I861" i="9"/>
  <c r="B869" i="9"/>
  <c r="E882" i="9"/>
  <c r="D887" i="9"/>
  <c r="E890" i="9"/>
  <c r="B902" i="9"/>
  <c r="L921" i="9"/>
  <c r="H950" i="9"/>
  <c r="E970" i="9"/>
  <c r="D970" i="9"/>
  <c r="C970" i="9"/>
  <c r="B977" i="9"/>
  <c r="M988" i="9"/>
  <c r="I988" i="9"/>
  <c r="B988" i="9"/>
  <c r="D321" i="9"/>
  <c r="M327" i="9"/>
  <c r="C330" i="9"/>
  <c r="H333" i="9"/>
  <c r="D337" i="9"/>
  <c r="E338" i="9"/>
  <c r="D340" i="9"/>
  <c r="D346" i="9"/>
  <c r="B352" i="9"/>
  <c r="D370" i="9"/>
  <c r="I386" i="9"/>
  <c r="E394" i="9"/>
  <c r="D418" i="9"/>
  <c r="I447" i="9"/>
  <c r="E466" i="9"/>
  <c r="N479" i="9"/>
  <c r="M481" i="9"/>
  <c r="B483" i="9"/>
  <c r="D495" i="9"/>
  <c r="H496" i="9"/>
  <c r="E498" i="9"/>
  <c r="M501" i="9"/>
  <c r="C507" i="9"/>
  <c r="H514" i="9"/>
  <c r="I523" i="9"/>
  <c r="I527" i="9"/>
  <c r="I529" i="9"/>
  <c r="B533" i="9"/>
  <c r="M535" i="9"/>
  <c r="I537" i="9"/>
  <c r="I543" i="9"/>
  <c r="B545" i="9"/>
  <c r="I549" i="9"/>
  <c r="I551" i="9"/>
  <c r="I557" i="9"/>
  <c r="I559" i="9"/>
  <c r="N560" i="9"/>
  <c r="E574" i="9"/>
  <c r="I583" i="9"/>
  <c r="H595" i="9"/>
  <c r="E610" i="9"/>
  <c r="B620" i="9"/>
  <c r="M620" i="9"/>
  <c r="N634" i="9"/>
  <c r="C654" i="9"/>
  <c r="D656" i="9"/>
  <c r="C664" i="9"/>
  <c r="C676" i="9"/>
  <c r="N676" i="9"/>
  <c r="B682" i="9"/>
  <c r="D704" i="9"/>
  <c r="B707" i="9"/>
  <c r="E708" i="9"/>
  <c r="N715" i="9"/>
  <c r="L720" i="9"/>
  <c r="D724" i="9"/>
  <c r="E725" i="9"/>
  <c r="E731" i="9"/>
  <c r="I734" i="9"/>
  <c r="L736" i="9"/>
  <c r="M739" i="9"/>
  <c r="M740" i="9"/>
  <c r="C744" i="9"/>
  <c r="M750" i="9"/>
  <c r="L752" i="9"/>
  <c r="N755" i="9"/>
  <c r="C760" i="9"/>
  <c r="H763" i="9"/>
  <c r="E766" i="9"/>
  <c r="I768" i="9"/>
  <c r="E786" i="9"/>
  <c r="C797" i="9"/>
  <c r="H801" i="9"/>
  <c r="M809" i="9"/>
  <c r="E820" i="9"/>
  <c r="H833" i="9"/>
  <c r="H858" i="9"/>
  <c r="C869" i="9"/>
  <c r="E887" i="9"/>
  <c r="L950" i="9"/>
  <c r="N963" i="9"/>
  <c r="H963" i="9"/>
  <c r="L922" i="9"/>
  <c r="L934" i="9"/>
  <c r="E943" i="9"/>
  <c r="H965" i="9"/>
  <c r="M845" i="9"/>
  <c r="C849" i="9"/>
  <c r="N856" i="9"/>
  <c r="E879" i="9"/>
  <c r="B881" i="9"/>
  <c r="M986" i="9"/>
  <c r="I849" i="9"/>
  <c r="C854" i="9"/>
  <c r="I875" i="9"/>
  <c r="H881" i="9"/>
  <c r="E895" i="9"/>
  <c r="B922" i="9"/>
  <c r="B923" i="9"/>
  <c r="D929" i="9"/>
  <c r="B935" i="9"/>
  <c r="C938" i="9"/>
  <c r="I943" i="9"/>
  <c r="B956" i="9"/>
  <c r="M962" i="9"/>
  <c r="M965" i="9"/>
  <c r="B972" i="9"/>
  <c r="N983" i="9"/>
  <c r="B986" i="9"/>
  <c r="N986" i="9"/>
  <c r="D991" i="9"/>
  <c r="D994" i="9"/>
  <c r="C846" i="9"/>
  <c r="I881" i="9"/>
  <c r="E906" i="9"/>
  <c r="L910" i="9"/>
  <c r="B913" i="9"/>
  <c r="C922" i="9"/>
  <c r="B925" i="9"/>
  <c r="E929" i="9"/>
  <c r="E935" i="9"/>
  <c r="E938" i="9"/>
  <c r="E940" i="9"/>
  <c r="L943" i="9"/>
  <c r="H945" i="9"/>
  <c r="N962" i="9"/>
  <c r="B965" i="9"/>
  <c r="N965" i="9"/>
  <c r="N967" i="9"/>
  <c r="D981" i="9"/>
  <c r="C986" i="9"/>
  <c r="E994" i="9"/>
  <c r="M423" i="9"/>
  <c r="D258" i="9"/>
  <c r="L260" i="9"/>
  <c r="I262" i="9"/>
  <c r="M263" i="9"/>
  <c r="H267" i="9"/>
  <c r="I268" i="9"/>
  <c r="I272" i="9"/>
  <c r="H276" i="9"/>
  <c r="C280" i="9"/>
  <c r="I285" i="9"/>
  <c r="B287" i="9"/>
  <c r="L287" i="9"/>
  <c r="B292" i="9"/>
  <c r="N292" i="9"/>
  <c r="C294" i="9"/>
  <c r="B295" i="9"/>
  <c r="L295" i="9"/>
  <c r="B301" i="9"/>
  <c r="I304" i="9"/>
  <c r="H308" i="9"/>
  <c r="C312" i="9"/>
  <c r="I317" i="9"/>
  <c r="B319" i="9"/>
  <c r="L319" i="9"/>
  <c r="B324" i="9"/>
  <c r="N324" i="9"/>
  <c r="C326" i="9"/>
  <c r="C339" i="9"/>
  <c r="E340" i="9"/>
  <c r="N345" i="9"/>
  <c r="L346" i="9"/>
  <c r="I347" i="9"/>
  <c r="H351" i="9"/>
  <c r="C362" i="9"/>
  <c r="N362" i="9"/>
  <c r="L363" i="9"/>
  <c r="L364" i="9"/>
  <c r="I367" i="9"/>
  <c r="L370" i="9"/>
  <c r="I371" i="9"/>
  <c r="H379" i="9"/>
  <c r="E388" i="9"/>
  <c r="L397" i="9"/>
  <c r="M397" i="9"/>
  <c r="N399" i="9"/>
  <c r="D399" i="9"/>
  <c r="L399" i="9"/>
  <c r="B399" i="9"/>
  <c r="L404" i="9"/>
  <c r="L410" i="9"/>
  <c r="H415" i="9"/>
  <c r="H417" i="9"/>
  <c r="B423" i="9"/>
  <c r="N423" i="9"/>
  <c r="N426" i="9"/>
  <c r="C426" i="9"/>
  <c r="L426" i="9"/>
  <c r="B427" i="9"/>
  <c r="L429" i="9"/>
  <c r="I429" i="9"/>
  <c r="E429" i="9"/>
  <c r="C431" i="9"/>
  <c r="H432" i="9"/>
  <c r="B443" i="9"/>
  <c r="E461" i="9"/>
  <c r="E477" i="9"/>
  <c r="N775" i="9"/>
  <c r="M775" i="9"/>
  <c r="H775" i="9"/>
  <c r="E775" i="9"/>
  <c r="D775" i="9"/>
  <c r="B775" i="9"/>
  <c r="H409" i="9"/>
  <c r="I409" i="9"/>
  <c r="B409" i="9"/>
  <c r="H905" i="9"/>
  <c r="E905" i="9"/>
  <c r="N905" i="9"/>
  <c r="D905" i="9"/>
  <c r="L905" i="9"/>
  <c r="B905" i="9"/>
  <c r="M905" i="9"/>
  <c r="I905" i="9"/>
  <c r="C905" i="9"/>
  <c r="E258" i="9"/>
  <c r="H261" i="9"/>
  <c r="N263" i="9"/>
  <c r="I267" i="9"/>
  <c r="H271" i="9"/>
  <c r="L275" i="9"/>
  <c r="M278" i="9"/>
  <c r="H279" i="9"/>
  <c r="E280" i="9"/>
  <c r="C287" i="9"/>
  <c r="M287" i="9"/>
  <c r="C292" i="9"/>
  <c r="D294" i="9"/>
  <c r="C295" i="9"/>
  <c r="M295" i="9"/>
  <c r="N296" i="9"/>
  <c r="D301" i="9"/>
  <c r="H303" i="9"/>
  <c r="L307" i="9"/>
  <c r="M310" i="9"/>
  <c r="H311" i="9"/>
  <c r="E312" i="9"/>
  <c r="C319" i="9"/>
  <c r="M319" i="9"/>
  <c r="C324" i="9"/>
  <c r="D326" i="9"/>
  <c r="I339" i="9"/>
  <c r="M346" i="9"/>
  <c r="D362" i="9"/>
  <c r="M370" i="9"/>
  <c r="L375" i="9"/>
  <c r="B375" i="9"/>
  <c r="I375" i="9"/>
  <c r="N375" i="9"/>
  <c r="I394" i="9"/>
  <c r="E407" i="9"/>
  <c r="M407" i="9"/>
  <c r="C407" i="9"/>
  <c r="N407" i="9"/>
  <c r="M410" i="9"/>
  <c r="L414" i="9"/>
  <c r="H414" i="9"/>
  <c r="C423" i="9"/>
  <c r="M424" i="9"/>
  <c r="N424" i="9"/>
  <c r="E424" i="9"/>
  <c r="D426" i="9"/>
  <c r="C427" i="9"/>
  <c r="D429" i="9"/>
  <c r="E431" i="9"/>
  <c r="L436" i="9"/>
  <c r="C436" i="9"/>
  <c r="L439" i="9"/>
  <c r="L442" i="9"/>
  <c r="H442" i="9"/>
  <c r="N442" i="9"/>
  <c r="C442" i="9"/>
  <c r="C443" i="9"/>
  <c r="I461" i="9"/>
  <c r="I477" i="9"/>
  <c r="N569" i="9"/>
  <c r="I569" i="9"/>
  <c r="H569" i="9"/>
  <c r="E569" i="9"/>
  <c r="D569" i="9"/>
  <c r="M624" i="9"/>
  <c r="D624" i="9"/>
  <c r="C624" i="9"/>
  <c r="B624" i="9"/>
  <c r="M292" i="9"/>
  <c r="M324" i="9"/>
  <c r="M432" i="9"/>
  <c r="E432" i="9"/>
  <c r="I261" i="9"/>
  <c r="C263" i="9"/>
  <c r="D266" i="9"/>
  <c r="L268" i="9"/>
  <c r="I270" i="9"/>
  <c r="I271" i="9"/>
  <c r="B275" i="9"/>
  <c r="M275" i="9"/>
  <c r="L276" i="9"/>
  <c r="N278" i="9"/>
  <c r="I279" i="9"/>
  <c r="M285" i="9"/>
  <c r="D287" i="9"/>
  <c r="N287" i="9"/>
  <c r="D292" i="9"/>
  <c r="D293" i="9"/>
  <c r="E294" i="9"/>
  <c r="D295" i="9"/>
  <c r="N295" i="9"/>
  <c r="C300" i="9"/>
  <c r="E301" i="9"/>
  <c r="I303" i="9"/>
  <c r="B307" i="9"/>
  <c r="M307" i="9"/>
  <c r="L308" i="9"/>
  <c r="N310" i="9"/>
  <c r="I311" i="9"/>
  <c r="M317" i="9"/>
  <c r="D319" i="9"/>
  <c r="N319" i="9"/>
  <c r="D324" i="9"/>
  <c r="D325" i="9"/>
  <c r="H326" i="9"/>
  <c r="B328" i="9"/>
  <c r="D329" i="9"/>
  <c r="C346" i="9"/>
  <c r="N346" i="9"/>
  <c r="N356" i="9"/>
  <c r="E362" i="9"/>
  <c r="B363" i="9"/>
  <c r="B364" i="9"/>
  <c r="B367" i="9"/>
  <c r="L367" i="9"/>
  <c r="C370" i="9"/>
  <c r="N370" i="9"/>
  <c r="L371" i="9"/>
  <c r="L372" i="9"/>
  <c r="C375" i="9"/>
  <c r="L380" i="9"/>
  <c r="L386" i="9"/>
  <c r="H386" i="9"/>
  <c r="N387" i="9"/>
  <c r="I387" i="9"/>
  <c r="M393" i="9"/>
  <c r="D393" i="9"/>
  <c r="E396" i="9"/>
  <c r="L405" i="9"/>
  <c r="M405" i="9"/>
  <c r="B407" i="9"/>
  <c r="M409" i="9"/>
  <c r="D423" i="9"/>
  <c r="H424" i="9"/>
  <c r="E426" i="9"/>
  <c r="H433" i="9"/>
  <c r="I433" i="9"/>
  <c r="B433" i="9"/>
  <c r="M433" i="9"/>
  <c r="D442" i="9"/>
  <c r="H443" i="9"/>
  <c r="H489" i="9"/>
  <c r="M489" i="9"/>
  <c r="I489" i="9"/>
  <c r="B489" i="9"/>
  <c r="L493" i="9"/>
  <c r="M493" i="9"/>
  <c r="I493" i="9"/>
  <c r="E493" i="9"/>
  <c r="D493" i="9"/>
  <c r="I511" i="9"/>
  <c r="H511" i="9"/>
  <c r="E511" i="9"/>
  <c r="N511" i="9"/>
  <c r="D511" i="9"/>
  <c r="M511" i="9"/>
  <c r="C511" i="9"/>
  <c r="L511" i="9"/>
  <c r="B511" i="9"/>
  <c r="N301" i="9"/>
  <c r="M362" i="9"/>
  <c r="N427" i="9"/>
  <c r="L427" i="9"/>
  <c r="I427" i="9"/>
  <c r="M258" i="9"/>
  <c r="M276" i="9"/>
  <c r="H280" i="9"/>
  <c r="N285" i="9"/>
  <c r="E287" i="9"/>
  <c r="E292" i="9"/>
  <c r="H294" i="9"/>
  <c r="E295" i="9"/>
  <c r="M308" i="9"/>
  <c r="H312" i="9"/>
  <c r="N317" i="9"/>
  <c r="E319" i="9"/>
  <c r="E324" i="9"/>
  <c r="I326" i="9"/>
  <c r="N373" i="9"/>
  <c r="H410" i="9"/>
  <c r="E410" i="9"/>
  <c r="N411" i="9"/>
  <c r="B411" i="9"/>
  <c r="I415" i="9"/>
  <c r="M415" i="9"/>
  <c r="E423" i="9"/>
  <c r="H425" i="9"/>
  <c r="M425" i="9"/>
  <c r="H427" i="9"/>
  <c r="H431" i="9"/>
  <c r="L437" i="9"/>
  <c r="M437" i="9"/>
  <c r="D437" i="9"/>
  <c r="N439" i="9"/>
  <c r="D439" i="9"/>
  <c r="I439" i="9"/>
  <c r="M440" i="9"/>
  <c r="E440" i="9"/>
  <c r="N440" i="9"/>
  <c r="I566" i="9"/>
  <c r="H566" i="9"/>
  <c r="E566" i="9"/>
  <c r="N566" i="9"/>
  <c r="D566" i="9"/>
  <c r="M566" i="9"/>
  <c r="C566" i="9"/>
  <c r="L566" i="9"/>
  <c r="B566" i="9"/>
  <c r="I636" i="9"/>
  <c r="H636" i="9"/>
  <c r="M636" i="9"/>
  <c r="C636" i="9"/>
  <c r="L636" i="9"/>
  <c r="B636" i="9"/>
  <c r="N636" i="9"/>
  <c r="E636" i="9"/>
  <c r="D636" i="9"/>
  <c r="N491" i="9"/>
  <c r="L491" i="9"/>
  <c r="I491" i="9"/>
  <c r="H491" i="9"/>
  <c r="B491" i="9"/>
  <c r="E675" i="9"/>
  <c r="D675" i="9"/>
  <c r="N675" i="9"/>
  <c r="C675" i="9"/>
  <c r="M675" i="9"/>
  <c r="B675" i="9"/>
  <c r="I675" i="9"/>
  <c r="L675" i="9"/>
  <c r="H675" i="9"/>
  <c r="I256" i="9"/>
  <c r="N258" i="9"/>
  <c r="E260" i="9"/>
  <c r="B261" i="9"/>
  <c r="L261" i="9"/>
  <c r="E263" i="9"/>
  <c r="C268" i="9"/>
  <c r="N268" i="9"/>
  <c r="B271" i="9"/>
  <c r="L271" i="9"/>
  <c r="E273" i="9"/>
  <c r="D275" i="9"/>
  <c r="B276" i="9"/>
  <c r="N276" i="9"/>
  <c r="C278" i="9"/>
  <c r="B279" i="9"/>
  <c r="L279" i="9"/>
  <c r="B285" i="9"/>
  <c r="I288" i="9"/>
  <c r="H292" i="9"/>
  <c r="I293" i="9"/>
  <c r="C296" i="9"/>
  <c r="H300" i="9"/>
  <c r="I301" i="9"/>
  <c r="B303" i="9"/>
  <c r="L303" i="9"/>
  <c r="E305" i="9"/>
  <c r="D307" i="9"/>
  <c r="B308" i="9"/>
  <c r="N308" i="9"/>
  <c r="C310" i="9"/>
  <c r="B311" i="9"/>
  <c r="L311" i="9"/>
  <c r="B317" i="9"/>
  <c r="I320" i="9"/>
  <c r="H324" i="9"/>
  <c r="I325" i="9"/>
  <c r="I329" i="9"/>
  <c r="M340" i="9"/>
  <c r="E346" i="9"/>
  <c r="B347" i="9"/>
  <c r="D348" i="9"/>
  <c r="H362" i="9"/>
  <c r="E364" i="9"/>
  <c r="D367" i="9"/>
  <c r="N367" i="9"/>
  <c r="E370" i="9"/>
  <c r="B371" i="9"/>
  <c r="B372" i="9"/>
  <c r="I373" i="9"/>
  <c r="N379" i="9"/>
  <c r="L379" i="9"/>
  <c r="I379" i="9"/>
  <c r="M382" i="9"/>
  <c r="H382" i="9"/>
  <c r="H390" i="9"/>
  <c r="L394" i="9"/>
  <c r="H394" i="9"/>
  <c r="N395" i="9"/>
  <c r="I395" i="9"/>
  <c r="M401" i="9"/>
  <c r="D401" i="9"/>
  <c r="E404" i="9"/>
  <c r="C410" i="9"/>
  <c r="C411" i="9"/>
  <c r="B415" i="9"/>
  <c r="N415" i="9"/>
  <c r="C420" i="9"/>
  <c r="H423" i="9"/>
  <c r="B425" i="9"/>
  <c r="N435" i="9"/>
  <c r="B435" i="9"/>
  <c r="I435" i="9"/>
  <c r="E437" i="9"/>
  <c r="B439" i="9"/>
  <c r="H440" i="9"/>
  <c r="I487" i="9"/>
  <c r="H487" i="9"/>
  <c r="E487" i="9"/>
  <c r="N487" i="9"/>
  <c r="D487" i="9"/>
  <c r="L487" i="9"/>
  <c r="B487" i="9"/>
  <c r="M522" i="9"/>
  <c r="L522" i="9"/>
  <c r="I522" i="9"/>
  <c r="H522" i="9"/>
  <c r="E522" i="9"/>
  <c r="D522" i="9"/>
  <c r="C522" i="9"/>
  <c r="I548" i="9"/>
  <c r="N431" i="9"/>
  <c r="D431" i="9"/>
  <c r="L431" i="9"/>
  <c r="B431" i="9"/>
  <c r="N443" i="9"/>
  <c r="I443" i="9"/>
  <c r="L443" i="9"/>
  <c r="L461" i="9"/>
  <c r="M461" i="9"/>
  <c r="D461" i="9"/>
  <c r="L477" i="9"/>
  <c r="D477" i="9"/>
  <c r="M477" i="9"/>
  <c r="L256" i="9"/>
  <c r="H260" i="9"/>
  <c r="C261" i="9"/>
  <c r="M261" i="9"/>
  <c r="H264" i="9"/>
  <c r="M266" i="9"/>
  <c r="D268" i="9"/>
  <c r="C271" i="9"/>
  <c r="M271" i="9"/>
  <c r="C276" i="9"/>
  <c r="D278" i="9"/>
  <c r="C279" i="9"/>
  <c r="M279" i="9"/>
  <c r="N280" i="9"/>
  <c r="D285" i="9"/>
  <c r="I286" i="9"/>
  <c r="H287" i="9"/>
  <c r="L291" i="9"/>
  <c r="M294" i="9"/>
  <c r="H295" i="9"/>
  <c r="E296" i="9"/>
  <c r="E298" i="9"/>
  <c r="C303" i="9"/>
  <c r="M303" i="9"/>
  <c r="C308" i="9"/>
  <c r="D310" i="9"/>
  <c r="C311" i="9"/>
  <c r="M311" i="9"/>
  <c r="N312" i="9"/>
  <c r="D317" i="9"/>
  <c r="I318" i="9"/>
  <c r="H319" i="9"/>
  <c r="L323" i="9"/>
  <c r="H328" i="9"/>
  <c r="M330" i="9"/>
  <c r="M333" i="9"/>
  <c r="M334" i="9"/>
  <c r="I335" i="9"/>
  <c r="I336" i="9"/>
  <c r="M338" i="9"/>
  <c r="B340" i="9"/>
  <c r="N340" i="9"/>
  <c r="I343" i="9"/>
  <c r="H344" i="9"/>
  <c r="C347" i="9"/>
  <c r="E348" i="9"/>
  <c r="D351" i="9"/>
  <c r="N351" i="9"/>
  <c r="C356" i="9"/>
  <c r="I362" i="9"/>
  <c r="H363" i="9"/>
  <c r="E367" i="9"/>
  <c r="C371" i="9"/>
  <c r="C372" i="9"/>
  <c r="N378" i="9"/>
  <c r="C378" i="9"/>
  <c r="L378" i="9"/>
  <c r="B379" i="9"/>
  <c r="E380" i="9"/>
  <c r="I382" i="9"/>
  <c r="E386" i="9"/>
  <c r="H387" i="9"/>
  <c r="N388" i="9"/>
  <c r="C394" i="9"/>
  <c r="B395" i="9"/>
  <c r="I399" i="9"/>
  <c r="B404" i="9"/>
  <c r="I405" i="9"/>
  <c r="H407" i="9"/>
  <c r="D410" i="9"/>
  <c r="H411" i="9"/>
  <c r="C415" i="9"/>
  <c r="E416" i="9"/>
  <c r="N419" i="9"/>
  <c r="H419" i="9"/>
  <c r="E420" i="9"/>
  <c r="D425" i="9"/>
  <c r="I426" i="9"/>
  <c r="H434" i="9"/>
  <c r="E434" i="9"/>
  <c r="L434" i="9"/>
  <c r="C435" i="9"/>
  <c r="C439" i="9"/>
  <c r="H441" i="9"/>
  <c r="M441" i="9"/>
  <c r="I441" i="9"/>
  <c r="I442" i="9"/>
  <c r="L445" i="9"/>
  <c r="I445" i="9"/>
  <c r="E445" i="9"/>
  <c r="N445" i="9"/>
  <c r="L469" i="9"/>
  <c r="M469" i="9"/>
  <c r="D469" i="9"/>
  <c r="C487" i="9"/>
  <c r="H513" i="9"/>
  <c r="M513" i="9"/>
  <c r="I513" i="9"/>
  <c r="D513" i="9"/>
  <c r="B513" i="9"/>
  <c r="N522" i="9"/>
  <c r="N602" i="9"/>
  <c r="E602" i="9"/>
  <c r="H602" i="9"/>
  <c r="D602" i="9"/>
  <c r="B602" i="9"/>
  <c r="M694" i="9"/>
  <c r="L694" i="9"/>
  <c r="I694" i="9"/>
  <c r="E694" i="9"/>
  <c r="D694" i="9"/>
  <c r="C694" i="9"/>
  <c r="N694" i="9"/>
  <c r="I423" i="9"/>
  <c r="H259" i="9"/>
  <c r="I260" i="9"/>
  <c r="D261" i="9"/>
  <c r="N261" i="9"/>
  <c r="I263" i="9"/>
  <c r="I264" i="9"/>
  <c r="N266" i="9"/>
  <c r="E268" i="9"/>
  <c r="B269" i="9"/>
  <c r="L269" i="9"/>
  <c r="D271" i="9"/>
  <c r="N271" i="9"/>
  <c r="N273" i="9"/>
  <c r="D276" i="9"/>
  <c r="E278" i="9"/>
  <c r="D279" i="9"/>
  <c r="N279" i="9"/>
  <c r="C284" i="9"/>
  <c r="E285" i="9"/>
  <c r="I287" i="9"/>
  <c r="B291" i="9"/>
  <c r="L292" i="9"/>
  <c r="N294" i="9"/>
  <c r="I295" i="9"/>
  <c r="M300" i="9"/>
  <c r="M301" i="9"/>
  <c r="D303" i="9"/>
  <c r="N303" i="9"/>
  <c r="N305" i="9"/>
  <c r="D308" i="9"/>
  <c r="E310" i="9"/>
  <c r="D311" i="9"/>
  <c r="N311" i="9"/>
  <c r="C316" i="9"/>
  <c r="E317" i="9"/>
  <c r="I319" i="9"/>
  <c r="B323" i="9"/>
  <c r="L324" i="9"/>
  <c r="L327" i="9"/>
  <c r="I344" i="9"/>
  <c r="H346" i="9"/>
  <c r="E351" i="9"/>
  <c r="M354" i="9"/>
  <c r="D356" i="9"/>
  <c r="H359" i="9"/>
  <c r="L362" i="9"/>
  <c r="I363" i="9"/>
  <c r="H366" i="9"/>
  <c r="H370" i="9"/>
  <c r="M374" i="9"/>
  <c r="H375" i="9"/>
  <c r="D378" i="9"/>
  <c r="C379" i="9"/>
  <c r="I383" i="9"/>
  <c r="M383" i="9"/>
  <c r="L389" i="9"/>
  <c r="M389" i="9"/>
  <c r="N391" i="9"/>
  <c r="D391" i="9"/>
  <c r="L391" i="9"/>
  <c r="B391" i="9"/>
  <c r="D394" i="9"/>
  <c r="C395" i="9"/>
  <c r="L396" i="9"/>
  <c r="L402" i="9"/>
  <c r="H402" i="9"/>
  <c r="N403" i="9"/>
  <c r="I403" i="9"/>
  <c r="C404" i="9"/>
  <c r="N405" i="9"/>
  <c r="I407" i="9"/>
  <c r="I411" i="9"/>
  <c r="D415" i="9"/>
  <c r="H416" i="9"/>
  <c r="B419" i="9"/>
  <c r="L423" i="9"/>
  <c r="I425" i="9"/>
  <c r="M426" i="9"/>
  <c r="M431" i="9"/>
  <c r="C434" i="9"/>
  <c r="H435" i="9"/>
  <c r="I437" i="9"/>
  <c r="E439" i="9"/>
  <c r="B441" i="9"/>
  <c r="M442" i="9"/>
  <c r="D445" i="9"/>
  <c r="L453" i="9"/>
  <c r="D453" i="9"/>
  <c r="M453" i="9"/>
  <c r="E469" i="9"/>
  <c r="H518" i="9"/>
  <c r="I586" i="9"/>
  <c r="H586" i="9"/>
  <c r="D586" i="9"/>
  <c r="C586" i="9"/>
  <c r="H447" i="9"/>
  <c r="M450" i="9"/>
  <c r="I458" i="9"/>
  <c r="H471" i="9"/>
  <c r="M474" i="9"/>
  <c r="I482" i="9"/>
  <c r="E490" i="9"/>
  <c r="M498" i="9"/>
  <c r="D503" i="9"/>
  <c r="N503" i="9"/>
  <c r="I505" i="9"/>
  <c r="H506" i="9"/>
  <c r="E514" i="9"/>
  <c r="I519" i="9"/>
  <c r="N520" i="9"/>
  <c r="M525" i="9"/>
  <c r="D550" i="9"/>
  <c r="N550" i="9"/>
  <c r="H567" i="9"/>
  <c r="I582" i="9"/>
  <c r="H598" i="9"/>
  <c r="I603" i="9"/>
  <c r="E622" i="9"/>
  <c r="D622" i="9"/>
  <c r="E652" i="9"/>
  <c r="N652" i="9"/>
  <c r="D652" i="9"/>
  <c r="M652" i="9"/>
  <c r="C652" i="9"/>
  <c r="L652" i="9"/>
  <c r="B652" i="9"/>
  <c r="I652" i="9"/>
  <c r="H652" i="9"/>
  <c r="M726" i="9"/>
  <c r="L726" i="9"/>
  <c r="I726" i="9"/>
  <c r="E726" i="9"/>
  <c r="D726" i="9"/>
  <c r="C726" i="9"/>
  <c r="I781" i="9"/>
  <c r="B915" i="9"/>
  <c r="L551" i="9"/>
  <c r="L615" i="9"/>
  <c r="I615" i="9"/>
  <c r="E661" i="9"/>
  <c r="C661" i="9"/>
  <c r="B661" i="9"/>
  <c r="M718" i="9"/>
  <c r="L718" i="9"/>
  <c r="I718" i="9"/>
  <c r="E718" i="9"/>
  <c r="D718" i="9"/>
  <c r="C718" i="9"/>
  <c r="I777" i="9"/>
  <c r="H777" i="9"/>
  <c r="E777" i="9"/>
  <c r="D777" i="9"/>
  <c r="N777" i="9"/>
  <c r="C777" i="9"/>
  <c r="M777" i="9"/>
  <c r="B777" i="9"/>
  <c r="M458" i="9"/>
  <c r="M463" i="9"/>
  <c r="H480" i="9"/>
  <c r="M482" i="9"/>
  <c r="H490" i="9"/>
  <c r="D498" i="9"/>
  <c r="E504" i="9"/>
  <c r="M505" i="9"/>
  <c r="L506" i="9"/>
  <c r="I507" i="9"/>
  <c r="I514" i="9"/>
  <c r="E517" i="9"/>
  <c r="B519" i="9"/>
  <c r="L519" i="9"/>
  <c r="B521" i="9"/>
  <c r="C523" i="9"/>
  <c r="D525" i="9"/>
  <c r="H528" i="9"/>
  <c r="M533" i="9"/>
  <c r="C543" i="9"/>
  <c r="M543" i="9"/>
  <c r="D545" i="9"/>
  <c r="L549" i="9"/>
  <c r="B551" i="9"/>
  <c r="N551" i="9"/>
  <c r="I553" i="9"/>
  <c r="E555" i="9"/>
  <c r="H559" i="9"/>
  <c r="D562" i="9"/>
  <c r="H573" i="9"/>
  <c r="D576" i="9"/>
  <c r="B582" i="9"/>
  <c r="L582" i="9"/>
  <c r="H583" i="9"/>
  <c r="D585" i="9"/>
  <c r="E600" i="9"/>
  <c r="C600" i="9"/>
  <c r="B609" i="9"/>
  <c r="N609" i="9"/>
  <c r="C615" i="9"/>
  <c r="I622" i="9"/>
  <c r="D625" i="9"/>
  <c r="B625" i="9"/>
  <c r="E629" i="9"/>
  <c r="C629" i="9"/>
  <c r="B629" i="9"/>
  <c r="I629" i="9"/>
  <c r="L655" i="9"/>
  <c r="H655" i="9"/>
  <c r="D655" i="9"/>
  <c r="C655" i="9"/>
  <c r="I661" i="9"/>
  <c r="N673" i="9"/>
  <c r="E673" i="9"/>
  <c r="D673" i="9"/>
  <c r="N718" i="9"/>
  <c r="L777" i="9"/>
  <c r="N789" i="9"/>
  <c r="C789" i="9"/>
  <c r="M789" i="9"/>
  <c r="B789" i="9"/>
  <c r="L789" i="9"/>
  <c r="I789" i="9"/>
  <c r="H789" i="9"/>
  <c r="D789" i="9"/>
  <c r="I490" i="9"/>
  <c r="H503" i="9"/>
  <c r="H504" i="9"/>
  <c r="M506" i="9"/>
  <c r="L514" i="9"/>
  <c r="C519" i="9"/>
  <c r="M519" i="9"/>
  <c r="D521" i="9"/>
  <c r="H550" i="9"/>
  <c r="C551" i="9"/>
  <c r="N553" i="9"/>
  <c r="H555" i="9"/>
  <c r="I564" i="9"/>
  <c r="L567" i="9"/>
  <c r="C582" i="9"/>
  <c r="M582" i="9"/>
  <c r="E589" i="9"/>
  <c r="E595" i="9"/>
  <c r="N595" i="9"/>
  <c r="C595" i="9"/>
  <c r="I598" i="9"/>
  <c r="M598" i="9"/>
  <c r="H603" i="9"/>
  <c r="N603" i="9"/>
  <c r="M606" i="9"/>
  <c r="D606" i="9"/>
  <c r="D615" i="9"/>
  <c r="N617" i="9"/>
  <c r="E641" i="9"/>
  <c r="D641" i="9"/>
  <c r="N641" i="9"/>
  <c r="N645" i="9"/>
  <c r="C645" i="9"/>
  <c r="B645" i="9"/>
  <c r="N661" i="9"/>
  <c r="L669" i="9"/>
  <c r="I669" i="9"/>
  <c r="E669" i="9"/>
  <c r="C669" i="9"/>
  <c r="B669" i="9"/>
  <c r="I732" i="9"/>
  <c r="H732" i="9"/>
  <c r="E732" i="9"/>
  <c r="N732" i="9"/>
  <c r="D732" i="9"/>
  <c r="M732" i="9"/>
  <c r="C732" i="9"/>
  <c r="L732" i="9"/>
  <c r="B732" i="9"/>
  <c r="I764" i="9"/>
  <c r="H764" i="9"/>
  <c r="E764" i="9"/>
  <c r="N764" i="9"/>
  <c r="D764" i="9"/>
  <c r="M764" i="9"/>
  <c r="C764" i="9"/>
  <c r="L764" i="9"/>
  <c r="B764" i="9"/>
  <c r="M826" i="9"/>
  <c r="E826" i="9"/>
  <c r="B826" i="9"/>
  <c r="N826" i="9"/>
  <c r="L826" i="9"/>
  <c r="H826" i="9"/>
  <c r="C826" i="9"/>
  <c r="I418" i="9"/>
  <c r="N421" i="9"/>
  <c r="C447" i="9"/>
  <c r="M447" i="9"/>
  <c r="D449" i="9"/>
  <c r="C451" i="9"/>
  <c r="D458" i="9"/>
  <c r="E463" i="9"/>
  <c r="I466" i="9"/>
  <c r="H467" i="9"/>
  <c r="C471" i="9"/>
  <c r="M471" i="9"/>
  <c r="D473" i="9"/>
  <c r="C475" i="9"/>
  <c r="D482" i="9"/>
  <c r="N485" i="9"/>
  <c r="E488" i="9"/>
  <c r="L490" i="9"/>
  <c r="C495" i="9"/>
  <c r="M495" i="9"/>
  <c r="D497" i="9"/>
  <c r="C499" i="9"/>
  <c r="H502" i="9"/>
  <c r="I503" i="9"/>
  <c r="N504" i="9"/>
  <c r="C506" i="9"/>
  <c r="N506" i="9"/>
  <c r="L507" i="9"/>
  <c r="N509" i="9"/>
  <c r="E512" i="9"/>
  <c r="M514" i="9"/>
  <c r="I517" i="9"/>
  <c r="D519" i="9"/>
  <c r="N519" i="9"/>
  <c r="I521" i="9"/>
  <c r="H523" i="9"/>
  <c r="D530" i="9"/>
  <c r="D533" i="9"/>
  <c r="H535" i="9"/>
  <c r="H536" i="9"/>
  <c r="M541" i="9"/>
  <c r="E543" i="9"/>
  <c r="L545" i="9"/>
  <c r="C549" i="9"/>
  <c r="N549" i="9"/>
  <c r="I550" i="9"/>
  <c r="E551" i="9"/>
  <c r="I552" i="9"/>
  <c r="M560" i="9"/>
  <c r="H562" i="9"/>
  <c r="L565" i="9"/>
  <c r="B567" i="9"/>
  <c r="N567" i="9"/>
  <c r="E571" i="9"/>
  <c r="H574" i="9"/>
  <c r="H575" i="9"/>
  <c r="D578" i="9"/>
  <c r="I581" i="9"/>
  <c r="D582" i="9"/>
  <c r="N582" i="9"/>
  <c r="H585" i="9"/>
  <c r="L592" i="9"/>
  <c r="N593" i="9"/>
  <c r="I593" i="9"/>
  <c r="B595" i="9"/>
  <c r="B598" i="9"/>
  <c r="N598" i="9"/>
  <c r="D600" i="9"/>
  <c r="B603" i="9"/>
  <c r="M604" i="9"/>
  <c r="C604" i="9"/>
  <c r="E606" i="9"/>
  <c r="E609" i="9"/>
  <c r="B617" i="9"/>
  <c r="N622" i="9"/>
  <c r="L631" i="9"/>
  <c r="D631" i="9"/>
  <c r="C631" i="9"/>
  <c r="E637" i="9"/>
  <c r="C637" i="9"/>
  <c r="B637" i="9"/>
  <c r="N637" i="9"/>
  <c r="I637" i="9"/>
  <c r="B641" i="9"/>
  <c r="E645" i="9"/>
  <c r="I684" i="9"/>
  <c r="H684" i="9"/>
  <c r="E684" i="9"/>
  <c r="N684" i="9"/>
  <c r="D684" i="9"/>
  <c r="M684" i="9"/>
  <c r="C684" i="9"/>
  <c r="L684" i="9"/>
  <c r="B684" i="9"/>
  <c r="I692" i="9"/>
  <c r="H692" i="9"/>
  <c r="E692" i="9"/>
  <c r="N692" i="9"/>
  <c r="D692" i="9"/>
  <c r="M692" i="9"/>
  <c r="C692" i="9"/>
  <c r="L692" i="9"/>
  <c r="B692" i="9"/>
  <c r="M730" i="9"/>
  <c r="D730" i="9"/>
  <c r="B730" i="9"/>
  <c r="M490" i="9"/>
  <c r="H512" i="9"/>
  <c r="N514" i="9"/>
  <c r="E519" i="9"/>
  <c r="C567" i="9"/>
  <c r="H571" i="9"/>
  <c r="I580" i="9"/>
  <c r="E582" i="9"/>
  <c r="L583" i="9"/>
  <c r="I585" i="9"/>
  <c r="M587" i="9"/>
  <c r="B587" i="9"/>
  <c r="N587" i="9"/>
  <c r="H590" i="9"/>
  <c r="L590" i="9"/>
  <c r="D595" i="9"/>
  <c r="C598" i="9"/>
  <c r="I599" i="9"/>
  <c r="B599" i="9"/>
  <c r="C603" i="9"/>
  <c r="N606" i="9"/>
  <c r="H615" i="9"/>
  <c r="D617" i="9"/>
  <c r="E619" i="9"/>
  <c r="D619" i="9"/>
  <c r="N619" i="9"/>
  <c r="C619" i="9"/>
  <c r="L623" i="9"/>
  <c r="D623" i="9"/>
  <c r="C623" i="9"/>
  <c r="I623" i="9"/>
  <c r="I628" i="9"/>
  <c r="H628" i="9"/>
  <c r="M628" i="9"/>
  <c r="C628" i="9"/>
  <c r="L628" i="9"/>
  <c r="B628" i="9"/>
  <c r="N629" i="9"/>
  <c r="C632" i="9"/>
  <c r="B632" i="9"/>
  <c r="H641" i="9"/>
  <c r="I651" i="9"/>
  <c r="H651" i="9"/>
  <c r="E651" i="9"/>
  <c r="N651" i="9"/>
  <c r="C651" i="9"/>
  <c r="M651" i="9"/>
  <c r="B651" i="9"/>
  <c r="M710" i="9"/>
  <c r="L710" i="9"/>
  <c r="I710" i="9"/>
  <c r="E710" i="9"/>
  <c r="D710" i="9"/>
  <c r="C710" i="9"/>
  <c r="M418" i="9"/>
  <c r="E447" i="9"/>
  <c r="I450" i="9"/>
  <c r="H451" i="9"/>
  <c r="C455" i="9"/>
  <c r="M455" i="9"/>
  <c r="D457" i="9"/>
  <c r="H463" i="9"/>
  <c r="M466" i="9"/>
  <c r="E471" i="9"/>
  <c r="I474" i="9"/>
  <c r="H475" i="9"/>
  <c r="C479" i="9"/>
  <c r="M479" i="9"/>
  <c r="D481" i="9"/>
  <c r="C483" i="9"/>
  <c r="H486" i="9"/>
  <c r="N488" i="9"/>
  <c r="C490" i="9"/>
  <c r="N490" i="9"/>
  <c r="E495" i="9"/>
  <c r="I498" i="9"/>
  <c r="H499" i="9"/>
  <c r="E501" i="9"/>
  <c r="B503" i="9"/>
  <c r="L503" i="9"/>
  <c r="B505" i="9"/>
  <c r="E506" i="9"/>
  <c r="B507" i="9"/>
  <c r="H510" i="9"/>
  <c r="N512" i="9"/>
  <c r="C514" i="9"/>
  <c r="N517" i="9"/>
  <c r="E520" i="9"/>
  <c r="M521" i="9"/>
  <c r="I525" i="9"/>
  <c r="C527" i="9"/>
  <c r="M527" i="9"/>
  <c r="D529" i="9"/>
  <c r="H530" i="9"/>
  <c r="I531" i="9"/>
  <c r="D538" i="9"/>
  <c r="H543" i="9"/>
  <c r="E549" i="9"/>
  <c r="B550" i="9"/>
  <c r="L550" i="9"/>
  <c r="D553" i="9"/>
  <c r="C565" i="9"/>
  <c r="N565" i="9"/>
  <c r="I568" i="9"/>
  <c r="M576" i="9"/>
  <c r="L581" i="9"/>
  <c r="B583" i="9"/>
  <c r="C587" i="9"/>
  <c r="B590" i="9"/>
  <c r="M590" i="9"/>
  <c r="C592" i="9"/>
  <c r="H593" i="9"/>
  <c r="D598" i="9"/>
  <c r="H599" i="9"/>
  <c r="D603" i="9"/>
  <c r="E604" i="9"/>
  <c r="H609" i="9"/>
  <c r="D611" i="9"/>
  <c r="N611" i="9"/>
  <c r="C611" i="9"/>
  <c r="M611" i="9"/>
  <c r="B611" i="9"/>
  <c r="B613" i="9"/>
  <c r="M616" i="9"/>
  <c r="H616" i="9"/>
  <c r="E617" i="9"/>
  <c r="B619" i="9"/>
  <c r="H623" i="9"/>
  <c r="D628" i="9"/>
  <c r="M632" i="9"/>
  <c r="L638" i="9"/>
  <c r="N638" i="9"/>
  <c r="E638" i="9"/>
  <c r="D638" i="9"/>
  <c r="H642" i="9"/>
  <c r="E642" i="9"/>
  <c r="D642" i="9"/>
  <c r="D651" i="9"/>
  <c r="L663" i="9"/>
  <c r="D663" i="9"/>
  <c r="C663" i="9"/>
  <c r="L679" i="9"/>
  <c r="C679" i="9"/>
  <c r="N710" i="9"/>
  <c r="N811" i="9"/>
  <c r="I811" i="9"/>
  <c r="E811" i="9"/>
  <c r="L643" i="9"/>
  <c r="L654" i="9"/>
  <c r="H659" i="9"/>
  <c r="I662" i="9"/>
  <c r="I666" i="9"/>
  <c r="H667" i="9"/>
  <c r="N670" i="9"/>
  <c r="I699" i="9"/>
  <c r="N702" i="9"/>
  <c r="L733" i="9"/>
  <c r="L734" i="9"/>
  <c r="L758" i="9"/>
  <c r="N766" i="9"/>
  <c r="N771" i="9"/>
  <c r="N783" i="9"/>
  <c r="H805" i="9"/>
  <c r="M810" i="9"/>
  <c r="E810" i="9"/>
  <c r="M818" i="9"/>
  <c r="H818" i="9"/>
  <c r="E818" i="9"/>
  <c r="H873" i="9"/>
  <c r="E873" i="9"/>
  <c r="N873" i="9"/>
  <c r="D873" i="9"/>
  <c r="L873" i="9"/>
  <c r="B873" i="9"/>
  <c r="L886" i="9"/>
  <c r="C886" i="9"/>
  <c r="N892" i="9"/>
  <c r="H897" i="9"/>
  <c r="E897" i="9"/>
  <c r="N897" i="9"/>
  <c r="D897" i="9"/>
  <c r="L897" i="9"/>
  <c r="B897" i="9"/>
  <c r="I918" i="9"/>
  <c r="H918" i="9"/>
  <c r="C918" i="9"/>
  <c r="B918" i="9"/>
  <c r="M930" i="9"/>
  <c r="H930" i="9"/>
  <c r="E930" i="9"/>
  <c r="B930" i="9"/>
  <c r="I953" i="9"/>
  <c r="H953" i="9"/>
  <c r="D953" i="9"/>
  <c r="C953" i="9"/>
  <c r="I957" i="9"/>
  <c r="H957" i="9"/>
  <c r="E957" i="9"/>
  <c r="N957" i="9"/>
  <c r="D957" i="9"/>
  <c r="M957" i="9"/>
  <c r="C957" i="9"/>
  <c r="I987" i="9"/>
  <c r="H987" i="9"/>
  <c r="E987" i="9"/>
  <c r="B987" i="9"/>
  <c r="H644" i="9"/>
  <c r="N654" i="9"/>
  <c r="I659" i="9"/>
  <c r="N662" i="9"/>
  <c r="I667" i="9"/>
  <c r="C695" i="9"/>
  <c r="C702" i="9"/>
  <c r="L707" i="9"/>
  <c r="B709" i="9"/>
  <c r="L712" i="9"/>
  <c r="L715" i="9"/>
  <c r="B717" i="9"/>
  <c r="L723" i="9"/>
  <c r="B725" i="9"/>
  <c r="N733" i="9"/>
  <c r="M734" i="9"/>
  <c r="B746" i="9"/>
  <c r="B748" i="9"/>
  <c r="L748" i="9"/>
  <c r="N750" i="9"/>
  <c r="B754" i="9"/>
  <c r="M758" i="9"/>
  <c r="C766" i="9"/>
  <c r="L770" i="9"/>
  <c r="C773" i="9"/>
  <c r="I782" i="9"/>
  <c r="N782" i="9"/>
  <c r="B783" i="9"/>
  <c r="I784" i="9"/>
  <c r="E785" i="9"/>
  <c r="N785" i="9"/>
  <c r="D785" i="9"/>
  <c r="M785" i="9"/>
  <c r="L805" i="9"/>
  <c r="B810" i="9"/>
  <c r="M817" i="9"/>
  <c r="C817" i="9"/>
  <c r="L817" i="9"/>
  <c r="B817" i="9"/>
  <c r="I817" i="9"/>
  <c r="B818" i="9"/>
  <c r="M824" i="9"/>
  <c r="N824" i="9"/>
  <c r="I824" i="9"/>
  <c r="N829" i="9"/>
  <c r="I829" i="9"/>
  <c r="H829" i="9"/>
  <c r="D829" i="9"/>
  <c r="N840" i="9"/>
  <c r="H840" i="9"/>
  <c r="C873" i="9"/>
  <c r="D892" i="9"/>
  <c r="C897" i="9"/>
  <c r="L918" i="9"/>
  <c r="C930" i="9"/>
  <c r="B953" i="9"/>
  <c r="B957" i="9"/>
  <c r="E960" i="9"/>
  <c r="E971" i="9"/>
  <c r="L699" i="9"/>
  <c r="N734" i="9"/>
  <c r="N758" i="9"/>
  <c r="N770" i="9"/>
  <c r="B782" i="9"/>
  <c r="D783" i="9"/>
  <c r="B784" i="9"/>
  <c r="B785" i="9"/>
  <c r="N793" i="9"/>
  <c r="D793" i="9"/>
  <c r="M793" i="9"/>
  <c r="C793" i="9"/>
  <c r="C798" i="9"/>
  <c r="C810" i="9"/>
  <c r="E815" i="9"/>
  <c r="D815" i="9"/>
  <c r="D817" i="9"/>
  <c r="C818" i="9"/>
  <c r="E824" i="9"/>
  <c r="B829" i="9"/>
  <c r="E840" i="9"/>
  <c r="L852" i="9"/>
  <c r="N852" i="9"/>
  <c r="M852" i="9"/>
  <c r="E852" i="9"/>
  <c r="C852" i="9"/>
  <c r="H857" i="9"/>
  <c r="E857" i="9"/>
  <c r="N857" i="9"/>
  <c r="D857" i="9"/>
  <c r="L857" i="9"/>
  <c r="B857" i="9"/>
  <c r="I873" i="9"/>
  <c r="N893" i="9"/>
  <c r="D893" i="9"/>
  <c r="C893" i="9"/>
  <c r="M893" i="9"/>
  <c r="B893" i="9"/>
  <c r="I897" i="9"/>
  <c r="L919" i="9"/>
  <c r="M919" i="9"/>
  <c r="E919" i="9"/>
  <c r="B919" i="9"/>
  <c r="L930" i="9"/>
  <c r="N948" i="9"/>
  <c r="L948" i="9"/>
  <c r="H948" i="9"/>
  <c r="E948" i="9"/>
  <c r="D948" i="9"/>
  <c r="B948" i="9"/>
  <c r="L953" i="9"/>
  <c r="L659" i="9"/>
  <c r="L667" i="9"/>
  <c r="B680" i="9"/>
  <c r="B699" i="9"/>
  <c r="M699" i="9"/>
  <c r="C734" i="9"/>
  <c r="C751" i="9"/>
  <c r="C758" i="9"/>
  <c r="B770" i="9"/>
  <c r="H779" i="9"/>
  <c r="N779" i="9"/>
  <c r="N805" i="9"/>
  <c r="I805" i="9"/>
  <c r="M834" i="9"/>
  <c r="E834" i="9"/>
  <c r="B834" i="9"/>
  <c r="L871" i="9"/>
  <c r="E871" i="9"/>
  <c r="D871" i="9"/>
  <c r="B871" i="9"/>
  <c r="N871" i="9"/>
  <c r="L903" i="9"/>
  <c r="N903" i="9"/>
  <c r="M903" i="9"/>
  <c r="D903" i="9"/>
  <c r="M914" i="9"/>
  <c r="L914" i="9"/>
  <c r="H914" i="9"/>
  <c r="C914" i="9"/>
  <c r="E937" i="9"/>
  <c r="N937" i="9"/>
  <c r="D937" i="9"/>
  <c r="M937" i="9"/>
  <c r="C937" i="9"/>
  <c r="L937" i="9"/>
  <c r="B937" i="9"/>
  <c r="I937" i="9"/>
  <c r="M942" i="9"/>
  <c r="L942" i="9"/>
  <c r="H942" i="9"/>
  <c r="B942" i="9"/>
  <c r="I949" i="9"/>
  <c r="H949" i="9"/>
  <c r="E949" i="9"/>
  <c r="N949" i="9"/>
  <c r="D949" i="9"/>
  <c r="M949" i="9"/>
  <c r="C949" i="9"/>
  <c r="H612" i="9"/>
  <c r="L627" i="9"/>
  <c r="L635" i="9"/>
  <c r="E643" i="9"/>
  <c r="B644" i="9"/>
  <c r="L644" i="9"/>
  <c r="B650" i="9"/>
  <c r="E654" i="9"/>
  <c r="B659" i="9"/>
  <c r="M659" i="9"/>
  <c r="H660" i="9"/>
  <c r="C662" i="9"/>
  <c r="B666" i="9"/>
  <c r="B667" i="9"/>
  <c r="M667" i="9"/>
  <c r="H668" i="9"/>
  <c r="H671" i="9"/>
  <c r="E677" i="9"/>
  <c r="L678" i="9"/>
  <c r="C680" i="9"/>
  <c r="L683" i="9"/>
  <c r="C685" i="9"/>
  <c r="L691" i="9"/>
  <c r="C693" i="9"/>
  <c r="C699" i="9"/>
  <c r="N699" i="9"/>
  <c r="E701" i="9"/>
  <c r="D707" i="9"/>
  <c r="B712" i="9"/>
  <c r="D715" i="9"/>
  <c r="D720" i="9"/>
  <c r="D723" i="9"/>
  <c r="L731" i="9"/>
  <c r="B733" i="9"/>
  <c r="D734" i="9"/>
  <c r="D740" i="9"/>
  <c r="N740" i="9"/>
  <c r="N742" i="9"/>
  <c r="M746" i="9"/>
  <c r="E748" i="9"/>
  <c r="E750" i="9"/>
  <c r="D756" i="9"/>
  <c r="N756" i="9"/>
  <c r="D758" i="9"/>
  <c r="L763" i="9"/>
  <c r="C765" i="9"/>
  <c r="M768" i="9"/>
  <c r="C770" i="9"/>
  <c r="B771" i="9"/>
  <c r="L774" i="9"/>
  <c r="C779" i="9"/>
  <c r="E780" i="9"/>
  <c r="D782" i="9"/>
  <c r="D784" i="9"/>
  <c r="E793" i="9"/>
  <c r="M803" i="9"/>
  <c r="B805" i="9"/>
  <c r="N813" i="9"/>
  <c r="H813" i="9"/>
  <c r="C814" i="9"/>
  <c r="L818" i="9"/>
  <c r="C834" i="9"/>
  <c r="L839" i="9"/>
  <c r="D839" i="9"/>
  <c r="I841" i="9"/>
  <c r="H841" i="9"/>
  <c r="E841" i="9"/>
  <c r="N841" i="9"/>
  <c r="N853" i="9"/>
  <c r="I853" i="9"/>
  <c r="H853" i="9"/>
  <c r="C853" i="9"/>
  <c r="I857" i="9"/>
  <c r="I865" i="9"/>
  <c r="H865" i="9"/>
  <c r="E865" i="9"/>
  <c r="M865" i="9"/>
  <c r="C865" i="9"/>
  <c r="M873" i="9"/>
  <c r="N885" i="9"/>
  <c r="I885" i="9"/>
  <c r="H885" i="9"/>
  <c r="D885" i="9"/>
  <c r="M885" i="9"/>
  <c r="B885" i="9"/>
  <c r="I893" i="9"/>
  <c r="M897" i="9"/>
  <c r="N901" i="9"/>
  <c r="I901" i="9"/>
  <c r="H901" i="9"/>
  <c r="C901" i="9"/>
  <c r="B903" i="9"/>
  <c r="B914" i="9"/>
  <c r="N917" i="9"/>
  <c r="I917" i="9"/>
  <c r="H917" i="9"/>
  <c r="D917" i="9"/>
  <c r="M917" i="9"/>
  <c r="B917" i="9"/>
  <c r="N919" i="9"/>
  <c r="C942" i="9"/>
  <c r="B949" i="9"/>
  <c r="I973" i="9"/>
  <c r="H973" i="9"/>
  <c r="E973" i="9"/>
  <c r="N973" i="9"/>
  <c r="D973" i="9"/>
  <c r="M973" i="9"/>
  <c r="C973" i="9"/>
  <c r="H978" i="9"/>
  <c r="E978" i="9"/>
  <c r="D978" i="9"/>
  <c r="N978" i="9"/>
  <c r="C978" i="9"/>
  <c r="I990" i="9"/>
  <c r="H990" i="9"/>
  <c r="C990" i="9"/>
  <c r="B990" i="9"/>
  <c r="M993" i="9"/>
  <c r="I993" i="9"/>
  <c r="I612" i="9"/>
  <c r="B627" i="9"/>
  <c r="M627" i="9"/>
  <c r="C630" i="9"/>
  <c r="B634" i="9"/>
  <c r="B635" i="9"/>
  <c r="M635" i="9"/>
  <c r="H643" i="9"/>
  <c r="C644" i="9"/>
  <c r="M644" i="9"/>
  <c r="D650" i="9"/>
  <c r="M656" i="9"/>
  <c r="C659" i="9"/>
  <c r="N659" i="9"/>
  <c r="I660" i="9"/>
  <c r="D662" i="9"/>
  <c r="D666" i="9"/>
  <c r="C667" i="9"/>
  <c r="N667" i="9"/>
  <c r="I668" i="9"/>
  <c r="I670" i="9"/>
  <c r="I677" i="9"/>
  <c r="M678" i="9"/>
  <c r="D680" i="9"/>
  <c r="B683" i="9"/>
  <c r="M683" i="9"/>
  <c r="E685" i="9"/>
  <c r="M686" i="9"/>
  <c r="B691" i="9"/>
  <c r="M691" i="9"/>
  <c r="B696" i="9"/>
  <c r="E697" i="9"/>
  <c r="D699" i="9"/>
  <c r="I702" i="9"/>
  <c r="B704" i="9"/>
  <c r="E707" i="9"/>
  <c r="B708" i="9"/>
  <c r="L708" i="9"/>
  <c r="L709" i="9"/>
  <c r="C712" i="9"/>
  <c r="B714" i="9"/>
  <c r="E715" i="9"/>
  <c r="B716" i="9"/>
  <c r="L716" i="9"/>
  <c r="L717" i="9"/>
  <c r="B722" i="9"/>
  <c r="E723" i="9"/>
  <c r="B724" i="9"/>
  <c r="L724" i="9"/>
  <c r="L725" i="9"/>
  <c r="B728" i="9"/>
  <c r="H729" i="9"/>
  <c r="B731" i="9"/>
  <c r="M731" i="9"/>
  <c r="C733" i="9"/>
  <c r="E734" i="9"/>
  <c r="M738" i="9"/>
  <c r="E740" i="9"/>
  <c r="C742" i="9"/>
  <c r="L747" i="9"/>
  <c r="C749" i="9"/>
  <c r="M754" i="9"/>
  <c r="E756" i="9"/>
  <c r="E758" i="9"/>
  <c r="B763" i="9"/>
  <c r="M763" i="9"/>
  <c r="E765" i="9"/>
  <c r="I766" i="9"/>
  <c r="B768" i="9"/>
  <c r="N768" i="9"/>
  <c r="E770" i="9"/>
  <c r="D771" i="9"/>
  <c r="H772" i="9"/>
  <c r="B774" i="9"/>
  <c r="M774" i="9"/>
  <c r="D779" i="9"/>
  <c r="H783" i="9"/>
  <c r="E784" i="9"/>
  <c r="H785" i="9"/>
  <c r="D788" i="9"/>
  <c r="I804" i="9"/>
  <c r="N804" i="9"/>
  <c r="L804" i="9"/>
  <c r="C805" i="9"/>
  <c r="L810" i="9"/>
  <c r="B813" i="9"/>
  <c r="B814" i="9"/>
  <c r="H817" i="9"/>
  <c r="N818" i="9"/>
  <c r="N821" i="9"/>
  <c r="H821" i="9"/>
  <c r="C821" i="9"/>
  <c r="H834" i="9"/>
  <c r="B839" i="9"/>
  <c r="B841" i="9"/>
  <c r="H849" i="9"/>
  <c r="E849" i="9"/>
  <c r="N849" i="9"/>
  <c r="D849" i="9"/>
  <c r="L849" i="9"/>
  <c r="B853" i="9"/>
  <c r="B865" i="9"/>
  <c r="M871" i="9"/>
  <c r="C885" i="9"/>
  <c r="L893" i="9"/>
  <c r="B901" i="9"/>
  <c r="E903" i="9"/>
  <c r="E914" i="9"/>
  <c r="C917" i="9"/>
  <c r="H937" i="9"/>
  <c r="I969" i="9"/>
  <c r="D969" i="9"/>
  <c r="B973" i="9"/>
  <c r="B978" i="9"/>
  <c r="I643" i="9"/>
  <c r="D644" i="9"/>
  <c r="N644" i="9"/>
  <c r="N650" i="9"/>
  <c r="D659" i="9"/>
  <c r="E662" i="9"/>
  <c r="E666" i="9"/>
  <c r="D667" i="9"/>
  <c r="L670" i="9"/>
  <c r="N678" i="9"/>
  <c r="C683" i="9"/>
  <c r="N683" i="9"/>
  <c r="N686" i="9"/>
  <c r="L688" i="9"/>
  <c r="C691" i="9"/>
  <c r="N691" i="9"/>
  <c r="C696" i="9"/>
  <c r="E699" i="9"/>
  <c r="B700" i="9"/>
  <c r="L700" i="9"/>
  <c r="L701" i="9"/>
  <c r="L702" i="9"/>
  <c r="C704" i="9"/>
  <c r="H707" i="9"/>
  <c r="C708" i="9"/>
  <c r="M708" i="9"/>
  <c r="N709" i="9"/>
  <c r="D712" i="9"/>
  <c r="D714" i="9"/>
  <c r="H715" i="9"/>
  <c r="C716" i="9"/>
  <c r="M716" i="9"/>
  <c r="N717" i="9"/>
  <c r="D722" i="9"/>
  <c r="H723" i="9"/>
  <c r="C724" i="9"/>
  <c r="M724" i="9"/>
  <c r="N725" i="9"/>
  <c r="C728" i="9"/>
  <c r="C731" i="9"/>
  <c r="N731" i="9"/>
  <c r="E733" i="9"/>
  <c r="L739" i="9"/>
  <c r="B741" i="9"/>
  <c r="D742" i="9"/>
  <c r="B747" i="9"/>
  <c r="M747" i="9"/>
  <c r="H748" i="9"/>
  <c r="E749" i="9"/>
  <c r="I750" i="9"/>
  <c r="L755" i="9"/>
  <c r="C757" i="9"/>
  <c r="B760" i="9"/>
  <c r="C763" i="9"/>
  <c r="N763" i="9"/>
  <c r="L765" i="9"/>
  <c r="L766" i="9"/>
  <c r="C768" i="9"/>
  <c r="C774" i="9"/>
  <c r="N774" i="9"/>
  <c r="E779" i="9"/>
  <c r="M780" i="9"/>
  <c r="L782" i="9"/>
  <c r="I783" i="9"/>
  <c r="L784" i="9"/>
  <c r="I785" i="9"/>
  <c r="H793" i="9"/>
  <c r="C804" i="9"/>
  <c r="D805" i="9"/>
  <c r="D807" i="9"/>
  <c r="N810" i="9"/>
  <c r="C813" i="9"/>
  <c r="H814" i="9"/>
  <c r="B821" i="9"/>
  <c r="L829" i="9"/>
  <c r="E839" i="9"/>
  <c r="C841" i="9"/>
  <c r="B849" i="9"/>
  <c r="D853" i="9"/>
  <c r="M857" i="9"/>
  <c r="D865" i="9"/>
  <c r="I872" i="9"/>
  <c r="H872" i="9"/>
  <c r="E872" i="9"/>
  <c r="N876" i="9"/>
  <c r="M876" i="9"/>
  <c r="D901" i="9"/>
  <c r="N914" i="9"/>
  <c r="H939" i="9"/>
  <c r="L949" i="9"/>
  <c r="N952" i="9"/>
  <c r="M952" i="9"/>
  <c r="I952" i="9"/>
  <c r="H952" i="9"/>
  <c r="D952" i="9"/>
  <c r="H959" i="9"/>
  <c r="M959" i="9"/>
  <c r="L959" i="9"/>
  <c r="I959" i="9"/>
  <c r="E959" i="9"/>
  <c r="C959" i="9"/>
  <c r="C969" i="9"/>
  <c r="L978" i="9"/>
  <c r="L861" i="9"/>
  <c r="L909" i="9"/>
  <c r="L925" i="9"/>
  <c r="L933" i="9"/>
  <c r="I964" i="9"/>
  <c r="I985" i="9"/>
  <c r="M996" i="9"/>
  <c r="N842" i="9"/>
  <c r="L845" i="9"/>
  <c r="L850" i="9"/>
  <c r="N855" i="9"/>
  <c r="L858" i="9"/>
  <c r="C861" i="9"/>
  <c r="N863" i="9"/>
  <c r="N866" i="9"/>
  <c r="L874" i="9"/>
  <c r="N879" i="9"/>
  <c r="C881" i="9"/>
  <c r="M881" i="9"/>
  <c r="D884" i="9"/>
  <c r="C889" i="9"/>
  <c r="M889" i="9"/>
  <c r="L898" i="9"/>
  <c r="C902" i="9"/>
  <c r="L906" i="9"/>
  <c r="C909" i="9"/>
  <c r="D911" i="9"/>
  <c r="C921" i="9"/>
  <c r="M921" i="9"/>
  <c r="C925" i="9"/>
  <c r="D927" i="9"/>
  <c r="N928" i="9"/>
  <c r="I929" i="9"/>
  <c r="C933" i="9"/>
  <c r="D935" i="9"/>
  <c r="C951" i="9"/>
  <c r="B961" i="9"/>
  <c r="M967" i="9"/>
  <c r="D976" i="9"/>
  <c r="D977" i="9"/>
  <c r="H979" i="9"/>
  <c r="I981" i="9"/>
  <c r="C983" i="9"/>
  <c r="I989" i="9"/>
  <c r="C996" i="9"/>
  <c r="N850" i="9"/>
  <c r="N858" i="9"/>
  <c r="D861" i="9"/>
  <c r="N874" i="9"/>
  <c r="L877" i="9"/>
  <c r="D881" i="9"/>
  <c r="N881" i="9"/>
  <c r="E884" i="9"/>
  <c r="D889" i="9"/>
  <c r="N889" i="9"/>
  <c r="N898" i="9"/>
  <c r="H902" i="9"/>
  <c r="N906" i="9"/>
  <c r="D909" i="9"/>
  <c r="E911" i="9"/>
  <c r="D921" i="9"/>
  <c r="N921" i="9"/>
  <c r="D925" i="9"/>
  <c r="E927" i="9"/>
  <c r="I961" i="9"/>
  <c r="M964" i="9"/>
  <c r="E976" i="9"/>
  <c r="D983" i="9"/>
  <c r="M985" i="9"/>
  <c r="L994" i="9"/>
  <c r="D996" i="9"/>
  <c r="N786" i="9"/>
  <c r="N790" i="9"/>
  <c r="I809" i="9"/>
  <c r="I825" i="9"/>
  <c r="D831" i="9"/>
  <c r="I832" i="9"/>
  <c r="I833" i="9"/>
  <c r="C842" i="9"/>
  <c r="B843" i="9"/>
  <c r="C845" i="9"/>
  <c r="D847" i="9"/>
  <c r="I848" i="9"/>
  <c r="B850" i="9"/>
  <c r="B855" i="9"/>
  <c r="E856" i="9"/>
  <c r="B858" i="9"/>
  <c r="B863" i="9"/>
  <c r="E864" i="9"/>
  <c r="C866" i="9"/>
  <c r="B874" i="9"/>
  <c r="B877" i="9"/>
  <c r="M877" i="9"/>
  <c r="B879" i="9"/>
  <c r="H880" i="9"/>
  <c r="E881" i="9"/>
  <c r="N882" i="9"/>
  <c r="E889" i="9"/>
  <c r="N890" i="9"/>
  <c r="B898" i="9"/>
  <c r="B906" i="9"/>
  <c r="C910" i="9"/>
  <c r="C913" i="9"/>
  <c r="M913" i="9"/>
  <c r="E916" i="9"/>
  <c r="E921" i="9"/>
  <c r="N922" i="9"/>
  <c r="E924" i="9"/>
  <c r="C926" i="9"/>
  <c r="B929" i="9"/>
  <c r="L929" i="9"/>
  <c r="C934" i="9"/>
  <c r="L938" i="9"/>
  <c r="M943" i="9"/>
  <c r="C945" i="9"/>
  <c r="E950" i="9"/>
  <c r="L951" i="9"/>
  <c r="H956" i="9"/>
  <c r="H958" i="9"/>
  <c r="M961" i="9"/>
  <c r="B964" i="9"/>
  <c r="N964" i="9"/>
  <c r="I965" i="9"/>
  <c r="C967" i="9"/>
  <c r="L970" i="9"/>
  <c r="I972" i="9"/>
  <c r="H976" i="9"/>
  <c r="I977" i="9"/>
  <c r="B981" i="9"/>
  <c r="L981" i="9"/>
  <c r="B985" i="9"/>
  <c r="L986" i="9"/>
  <c r="B989" i="9"/>
  <c r="L989" i="9"/>
  <c r="E992" i="9"/>
  <c r="B994" i="9"/>
  <c r="M994" i="9"/>
  <c r="E996" i="9"/>
  <c r="C997" i="9"/>
  <c r="M997" i="9"/>
  <c r="E1000" i="9"/>
  <c r="L797" i="9"/>
  <c r="D828" i="9"/>
  <c r="E831" i="9"/>
  <c r="L837" i="9"/>
  <c r="E842" i="9"/>
  <c r="D845" i="9"/>
  <c r="B846" i="9"/>
  <c r="E847" i="9"/>
  <c r="C850" i="9"/>
  <c r="D855" i="9"/>
  <c r="I856" i="9"/>
  <c r="C858" i="9"/>
  <c r="H861" i="9"/>
  <c r="D863" i="9"/>
  <c r="I864" i="9"/>
  <c r="E866" i="9"/>
  <c r="L869" i="9"/>
  <c r="C874" i="9"/>
  <c r="B875" i="9"/>
  <c r="C877" i="9"/>
  <c r="D879" i="9"/>
  <c r="B882" i="9"/>
  <c r="M884" i="9"/>
  <c r="B887" i="9"/>
  <c r="E888" i="9"/>
  <c r="B890" i="9"/>
  <c r="B895" i="9"/>
  <c r="E896" i="9"/>
  <c r="C898" i="9"/>
  <c r="L902" i="9"/>
  <c r="C906" i="9"/>
  <c r="H909" i="9"/>
  <c r="H910" i="9"/>
  <c r="D913" i="9"/>
  <c r="N913" i="9"/>
  <c r="H925" i="9"/>
  <c r="H926" i="9"/>
  <c r="C929" i="9"/>
  <c r="M929" i="9"/>
  <c r="H933" i="9"/>
  <c r="H934" i="9"/>
  <c r="N938" i="9"/>
  <c r="L941" i="9"/>
  <c r="M951" i="9"/>
  <c r="L956" i="9"/>
  <c r="L958" i="9"/>
  <c r="L962" i="9"/>
  <c r="H968" i="9"/>
  <c r="M972" i="9"/>
  <c r="M977" i="9"/>
  <c r="C981" i="9"/>
  <c r="M981" i="9"/>
  <c r="C989" i="9"/>
  <c r="M989" i="9"/>
  <c r="C994" i="9"/>
  <c r="N994" i="9"/>
  <c r="D997" i="9"/>
  <c r="N997" i="9"/>
  <c r="H1000" i="9"/>
  <c r="L349" i="9"/>
  <c r="C349" i="9"/>
  <c r="B349" i="9"/>
  <c r="M360" i="9"/>
  <c r="D360" i="9"/>
  <c r="L360" i="9"/>
  <c r="C360" i="9"/>
  <c r="I563" i="9"/>
  <c r="H563" i="9"/>
  <c r="E563" i="9"/>
  <c r="N563" i="9"/>
  <c r="D563" i="9"/>
  <c r="M563" i="9"/>
  <c r="C563" i="9"/>
  <c r="L563" i="9"/>
  <c r="B563" i="9"/>
  <c r="B257" i="9"/>
  <c r="B265" i="9"/>
  <c r="B274" i="9"/>
  <c r="L274" i="9"/>
  <c r="B283" i="9"/>
  <c r="L283" i="9"/>
  <c r="B290" i="9"/>
  <c r="L290" i="9"/>
  <c r="B299" i="9"/>
  <c r="L299" i="9"/>
  <c r="B306" i="9"/>
  <c r="L306" i="9"/>
  <c r="B315" i="9"/>
  <c r="B322" i="9"/>
  <c r="L322" i="9"/>
  <c r="B342" i="9"/>
  <c r="M342" i="9"/>
  <c r="D349" i="9"/>
  <c r="N350" i="9"/>
  <c r="E350" i="9"/>
  <c r="L350" i="9"/>
  <c r="B353" i="9"/>
  <c r="M353" i="9"/>
  <c r="L357" i="9"/>
  <c r="C357" i="9"/>
  <c r="B357" i="9"/>
  <c r="N357" i="9"/>
  <c r="B360" i="9"/>
  <c r="H361" i="9"/>
  <c r="L361" i="9"/>
  <c r="C361" i="9"/>
  <c r="N361" i="9"/>
  <c r="M368" i="9"/>
  <c r="D368" i="9"/>
  <c r="L368" i="9"/>
  <c r="C368" i="9"/>
  <c r="I368" i="9"/>
  <c r="H369" i="9"/>
  <c r="L369" i="9"/>
  <c r="C369" i="9"/>
  <c r="N369" i="9"/>
  <c r="M376" i="9"/>
  <c r="D376" i="9"/>
  <c r="L376" i="9"/>
  <c r="C376" i="9"/>
  <c r="I376" i="9"/>
  <c r="H377" i="9"/>
  <c r="L377" i="9"/>
  <c r="C377" i="9"/>
  <c r="N377" i="9"/>
  <c r="M384" i="9"/>
  <c r="D384" i="9"/>
  <c r="L384" i="9"/>
  <c r="C384" i="9"/>
  <c r="I384" i="9"/>
  <c r="H385" i="9"/>
  <c r="L385" i="9"/>
  <c r="C385" i="9"/>
  <c r="N385" i="9"/>
  <c r="I412" i="9"/>
  <c r="H412" i="9"/>
  <c r="M412" i="9"/>
  <c r="D412" i="9"/>
  <c r="B412" i="9"/>
  <c r="N422" i="9"/>
  <c r="E422" i="9"/>
  <c r="M422" i="9"/>
  <c r="D422" i="9"/>
  <c r="B422" i="9"/>
  <c r="I422" i="9"/>
  <c r="N430" i="9"/>
  <c r="E430" i="9"/>
  <c r="M430" i="9"/>
  <c r="D430" i="9"/>
  <c r="L430" i="9"/>
  <c r="C430" i="9"/>
  <c r="B430" i="9"/>
  <c r="I430" i="9"/>
  <c r="C452" i="9"/>
  <c r="I484" i="9"/>
  <c r="H484" i="9"/>
  <c r="N484" i="9"/>
  <c r="E484" i="9"/>
  <c r="M484" i="9"/>
  <c r="D484" i="9"/>
  <c r="L484" i="9"/>
  <c r="C484" i="9"/>
  <c r="B484" i="9"/>
  <c r="I540" i="9"/>
  <c r="H540" i="9"/>
  <c r="N540" i="9"/>
  <c r="E540" i="9"/>
  <c r="M540" i="9"/>
  <c r="D540" i="9"/>
  <c r="L540" i="9"/>
  <c r="C540" i="9"/>
  <c r="B540" i="9"/>
  <c r="B646" i="9"/>
  <c r="H646" i="9"/>
  <c r="L646" i="9"/>
  <c r="I646" i="9"/>
  <c r="E646" i="9"/>
  <c r="D646" i="9"/>
  <c r="N646" i="9"/>
  <c r="M646" i="9"/>
  <c r="C646" i="9"/>
  <c r="N315" i="9"/>
  <c r="E315" i="9"/>
  <c r="I862" i="9"/>
  <c r="N862" i="9"/>
  <c r="E862" i="9"/>
  <c r="M862" i="9"/>
  <c r="D862" i="9"/>
  <c r="L862" i="9"/>
  <c r="H862" i="9"/>
  <c r="C862" i="9"/>
  <c r="B862" i="9"/>
  <c r="C257" i="9"/>
  <c r="L257" i="9"/>
  <c r="B262" i="9"/>
  <c r="C265" i="9"/>
  <c r="L265" i="9"/>
  <c r="B270" i="9"/>
  <c r="M272" i="9"/>
  <c r="D272" i="9"/>
  <c r="C274" i="9"/>
  <c r="M274" i="9"/>
  <c r="B281" i="9"/>
  <c r="L281" i="9"/>
  <c r="C283" i="9"/>
  <c r="M288" i="9"/>
  <c r="D288" i="9"/>
  <c r="C290" i="9"/>
  <c r="M290" i="9"/>
  <c r="B297" i="9"/>
  <c r="L297" i="9"/>
  <c r="C299" i="9"/>
  <c r="M299" i="9"/>
  <c r="M304" i="9"/>
  <c r="D304" i="9"/>
  <c r="C306" i="9"/>
  <c r="M306" i="9"/>
  <c r="B313" i="9"/>
  <c r="L313" i="9"/>
  <c r="C315" i="9"/>
  <c r="M315" i="9"/>
  <c r="M320" i="9"/>
  <c r="D320" i="9"/>
  <c r="C322" i="9"/>
  <c r="M322" i="9"/>
  <c r="N331" i="9"/>
  <c r="E331" i="9"/>
  <c r="M331" i="9"/>
  <c r="D331" i="9"/>
  <c r="L331" i="9"/>
  <c r="C342" i="9"/>
  <c r="E349" i="9"/>
  <c r="B350" i="9"/>
  <c r="M350" i="9"/>
  <c r="C353" i="9"/>
  <c r="N353" i="9"/>
  <c r="D357" i="9"/>
  <c r="N358" i="9"/>
  <c r="E358" i="9"/>
  <c r="L358" i="9"/>
  <c r="E360" i="9"/>
  <c r="B361" i="9"/>
  <c r="B368" i="9"/>
  <c r="B369" i="9"/>
  <c r="B376" i="9"/>
  <c r="B377" i="9"/>
  <c r="B384" i="9"/>
  <c r="B385" i="9"/>
  <c r="C412" i="9"/>
  <c r="I444" i="9"/>
  <c r="H444" i="9"/>
  <c r="N444" i="9"/>
  <c r="E444" i="9"/>
  <c r="M444" i="9"/>
  <c r="D444" i="9"/>
  <c r="B444" i="9"/>
  <c r="I508" i="9"/>
  <c r="H508" i="9"/>
  <c r="N508" i="9"/>
  <c r="E508" i="9"/>
  <c r="M508" i="9"/>
  <c r="D508" i="9"/>
  <c r="L508" i="9"/>
  <c r="C508" i="9"/>
  <c r="B508" i="9"/>
  <c r="N596" i="9"/>
  <c r="E596" i="9"/>
  <c r="M596" i="9"/>
  <c r="D596" i="9"/>
  <c r="L596" i="9"/>
  <c r="C596" i="9"/>
  <c r="I596" i="9"/>
  <c r="H596" i="9"/>
  <c r="B596" i="9"/>
  <c r="N283" i="9"/>
  <c r="E283" i="9"/>
  <c r="L342" i="9"/>
  <c r="L353" i="9"/>
  <c r="D257" i="9"/>
  <c r="M257" i="9"/>
  <c r="H258" i="9"/>
  <c r="B259" i="9"/>
  <c r="C262" i="9"/>
  <c r="L262" i="9"/>
  <c r="D265" i="9"/>
  <c r="M265" i="9"/>
  <c r="H266" i="9"/>
  <c r="B267" i="9"/>
  <c r="C270" i="9"/>
  <c r="L270" i="9"/>
  <c r="B272" i="9"/>
  <c r="L272" i="9"/>
  <c r="I273" i="9"/>
  <c r="D274" i="9"/>
  <c r="N274" i="9"/>
  <c r="L277" i="9"/>
  <c r="C277" i="9"/>
  <c r="C281" i="9"/>
  <c r="M281" i="9"/>
  <c r="I282" i="9"/>
  <c r="D283" i="9"/>
  <c r="B286" i="9"/>
  <c r="L286" i="9"/>
  <c r="B288" i="9"/>
  <c r="L288" i="9"/>
  <c r="I289" i="9"/>
  <c r="D290" i="9"/>
  <c r="N290" i="9"/>
  <c r="L293" i="9"/>
  <c r="C293" i="9"/>
  <c r="C297" i="9"/>
  <c r="M297" i="9"/>
  <c r="I298" i="9"/>
  <c r="D299" i="9"/>
  <c r="B302" i="9"/>
  <c r="L302" i="9"/>
  <c r="B304" i="9"/>
  <c r="L304" i="9"/>
  <c r="I305" i="9"/>
  <c r="D306" i="9"/>
  <c r="N306" i="9"/>
  <c r="L309" i="9"/>
  <c r="C309" i="9"/>
  <c r="C313" i="9"/>
  <c r="M313" i="9"/>
  <c r="I314" i="9"/>
  <c r="D315" i="9"/>
  <c r="B318" i="9"/>
  <c r="L318" i="9"/>
  <c r="B320" i="9"/>
  <c r="L320" i="9"/>
  <c r="I321" i="9"/>
  <c r="D322" i="9"/>
  <c r="N322" i="9"/>
  <c r="L325" i="9"/>
  <c r="C325" i="9"/>
  <c r="B331" i="9"/>
  <c r="I332" i="9"/>
  <c r="H332" i="9"/>
  <c r="L332" i="9"/>
  <c r="N339" i="9"/>
  <c r="E339" i="9"/>
  <c r="M339" i="9"/>
  <c r="D339" i="9"/>
  <c r="L339" i="9"/>
  <c r="D342" i="9"/>
  <c r="C350" i="9"/>
  <c r="D353" i="9"/>
  <c r="E357" i="9"/>
  <c r="B358" i="9"/>
  <c r="M358" i="9"/>
  <c r="D361" i="9"/>
  <c r="M365" i="9"/>
  <c r="L366" i="9"/>
  <c r="E368" i="9"/>
  <c r="D369" i="9"/>
  <c r="M373" i="9"/>
  <c r="L374" i="9"/>
  <c r="E376" i="9"/>
  <c r="D377" i="9"/>
  <c r="M381" i="9"/>
  <c r="L382" i="9"/>
  <c r="E384" i="9"/>
  <c r="D385" i="9"/>
  <c r="N390" i="9"/>
  <c r="E390" i="9"/>
  <c r="M390" i="9"/>
  <c r="D390" i="9"/>
  <c r="B390" i="9"/>
  <c r="H393" i="9"/>
  <c r="N393" i="9"/>
  <c r="E393" i="9"/>
  <c r="L393" i="9"/>
  <c r="C393" i="9"/>
  <c r="N398" i="9"/>
  <c r="E398" i="9"/>
  <c r="M398" i="9"/>
  <c r="D398" i="9"/>
  <c r="B398" i="9"/>
  <c r="H401" i="9"/>
  <c r="N401" i="9"/>
  <c r="E401" i="9"/>
  <c r="L401" i="9"/>
  <c r="C401" i="9"/>
  <c r="N406" i="9"/>
  <c r="E406" i="9"/>
  <c r="M406" i="9"/>
  <c r="D406" i="9"/>
  <c r="B406" i="9"/>
  <c r="I406" i="9"/>
  <c r="E412" i="9"/>
  <c r="H422" i="9"/>
  <c r="C444" i="9"/>
  <c r="N454" i="9"/>
  <c r="E454" i="9"/>
  <c r="M454" i="9"/>
  <c r="D454" i="9"/>
  <c r="L454" i="9"/>
  <c r="C454" i="9"/>
  <c r="B454" i="9"/>
  <c r="I454" i="9"/>
  <c r="I468" i="9"/>
  <c r="H468" i="9"/>
  <c r="N468" i="9"/>
  <c r="E468" i="9"/>
  <c r="M468" i="9"/>
  <c r="D468" i="9"/>
  <c r="L468" i="9"/>
  <c r="C468" i="9"/>
  <c r="B468" i="9"/>
  <c r="I579" i="9"/>
  <c r="H579" i="9"/>
  <c r="E579" i="9"/>
  <c r="N579" i="9"/>
  <c r="D579" i="9"/>
  <c r="M579" i="9"/>
  <c r="C579" i="9"/>
  <c r="L579" i="9"/>
  <c r="B579" i="9"/>
  <c r="B256" i="9"/>
  <c r="E257" i="9"/>
  <c r="N257" i="9"/>
  <c r="I258" i="9"/>
  <c r="C259" i="9"/>
  <c r="L259" i="9"/>
  <c r="D262" i="9"/>
  <c r="M262" i="9"/>
  <c r="H263" i="9"/>
  <c r="B264" i="9"/>
  <c r="E265" i="9"/>
  <c r="N265" i="9"/>
  <c r="I266" i="9"/>
  <c r="C267" i="9"/>
  <c r="L267" i="9"/>
  <c r="D270" i="9"/>
  <c r="M270" i="9"/>
  <c r="C272" i="9"/>
  <c r="N272" i="9"/>
  <c r="E274" i="9"/>
  <c r="N275" i="9"/>
  <c r="E275" i="9"/>
  <c r="B277" i="9"/>
  <c r="M277" i="9"/>
  <c r="I278" i="9"/>
  <c r="D281" i="9"/>
  <c r="N281" i="9"/>
  <c r="B284" i="9"/>
  <c r="L284" i="9"/>
  <c r="C286" i="9"/>
  <c r="M286" i="9"/>
  <c r="C288" i="9"/>
  <c r="N288" i="9"/>
  <c r="E290" i="9"/>
  <c r="N291" i="9"/>
  <c r="E291" i="9"/>
  <c r="B293" i="9"/>
  <c r="M293" i="9"/>
  <c r="I294" i="9"/>
  <c r="D297" i="9"/>
  <c r="N297" i="9"/>
  <c r="B300" i="9"/>
  <c r="L300" i="9"/>
  <c r="C302" i="9"/>
  <c r="M302" i="9"/>
  <c r="C304" i="9"/>
  <c r="N304" i="9"/>
  <c r="E306" i="9"/>
  <c r="N307" i="9"/>
  <c r="E307" i="9"/>
  <c r="B309" i="9"/>
  <c r="M309" i="9"/>
  <c r="I310" i="9"/>
  <c r="D313" i="9"/>
  <c r="N313" i="9"/>
  <c r="B316" i="9"/>
  <c r="L316" i="9"/>
  <c r="C318" i="9"/>
  <c r="M318" i="9"/>
  <c r="C320" i="9"/>
  <c r="N320" i="9"/>
  <c r="E322" i="9"/>
  <c r="N323" i="9"/>
  <c r="E323" i="9"/>
  <c r="B325" i="9"/>
  <c r="M325" i="9"/>
  <c r="M328" i="9"/>
  <c r="D328" i="9"/>
  <c r="L328" i="9"/>
  <c r="C328" i="9"/>
  <c r="N328" i="9"/>
  <c r="C331" i="9"/>
  <c r="B332" i="9"/>
  <c r="M332" i="9"/>
  <c r="B339" i="9"/>
  <c r="I340" i="9"/>
  <c r="H340" i="9"/>
  <c r="L340" i="9"/>
  <c r="H342" i="9"/>
  <c r="N347" i="9"/>
  <c r="E347" i="9"/>
  <c r="M347" i="9"/>
  <c r="D347" i="9"/>
  <c r="L347" i="9"/>
  <c r="H349" i="9"/>
  <c r="D350" i="9"/>
  <c r="E353" i="9"/>
  <c r="C358" i="9"/>
  <c r="H360" i="9"/>
  <c r="E361" i="9"/>
  <c r="I364" i="9"/>
  <c r="H364" i="9"/>
  <c r="M364" i="9"/>
  <c r="D364" i="9"/>
  <c r="N364" i="9"/>
  <c r="E369" i="9"/>
  <c r="I372" i="9"/>
  <c r="H372" i="9"/>
  <c r="M372" i="9"/>
  <c r="D372" i="9"/>
  <c r="N372" i="9"/>
  <c r="E377" i="9"/>
  <c r="I380" i="9"/>
  <c r="H380" i="9"/>
  <c r="M380" i="9"/>
  <c r="D380" i="9"/>
  <c r="N380" i="9"/>
  <c r="E385" i="9"/>
  <c r="I388" i="9"/>
  <c r="H388" i="9"/>
  <c r="M388" i="9"/>
  <c r="D388" i="9"/>
  <c r="C390" i="9"/>
  <c r="B393" i="9"/>
  <c r="I396" i="9"/>
  <c r="H396" i="9"/>
  <c r="M396" i="9"/>
  <c r="D396" i="9"/>
  <c r="C398" i="9"/>
  <c r="B401" i="9"/>
  <c r="I404" i="9"/>
  <c r="H404" i="9"/>
  <c r="M404" i="9"/>
  <c r="D404" i="9"/>
  <c r="C406" i="9"/>
  <c r="M408" i="9"/>
  <c r="D408" i="9"/>
  <c r="L408" i="9"/>
  <c r="C408" i="9"/>
  <c r="B408" i="9"/>
  <c r="I408" i="9"/>
  <c r="I420" i="9"/>
  <c r="H420" i="9"/>
  <c r="M420" i="9"/>
  <c r="D420" i="9"/>
  <c r="B420" i="9"/>
  <c r="I436" i="9"/>
  <c r="H436" i="9"/>
  <c r="N436" i="9"/>
  <c r="E436" i="9"/>
  <c r="M436" i="9"/>
  <c r="D436" i="9"/>
  <c r="B436" i="9"/>
  <c r="H454" i="9"/>
  <c r="I492" i="9"/>
  <c r="H492" i="9"/>
  <c r="N492" i="9"/>
  <c r="E492" i="9"/>
  <c r="M492" i="9"/>
  <c r="D492" i="9"/>
  <c r="L492" i="9"/>
  <c r="C492" i="9"/>
  <c r="B492" i="9"/>
  <c r="I516" i="9"/>
  <c r="H516" i="9"/>
  <c r="N516" i="9"/>
  <c r="E516" i="9"/>
  <c r="M516" i="9"/>
  <c r="D516" i="9"/>
  <c r="L516" i="9"/>
  <c r="C516" i="9"/>
  <c r="B516" i="9"/>
  <c r="L556" i="9"/>
  <c r="C556" i="9"/>
  <c r="I556" i="9"/>
  <c r="H556" i="9"/>
  <c r="E556" i="9"/>
  <c r="N556" i="9"/>
  <c r="D556" i="9"/>
  <c r="M556" i="9"/>
  <c r="B556" i="9"/>
  <c r="N639" i="9"/>
  <c r="E639" i="9"/>
  <c r="B639" i="9"/>
  <c r="L639" i="9"/>
  <c r="I639" i="9"/>
  <c r="H639" i="9"/>
  <c r="D639" i="9"/>
  <c r="M639" i="9"/>
  <c r="C639" i="9"/>
  <c r="N299" i="9"/>
  <c r="E299" i="9"/>
  <c r="N349" i="9"/>
  <c r="D259" i="9"/>
  <c r="M259" i="9"/>
  <c r="E262" i="9"/>
  <c r="N262" i="9"/>
  <c r="D267" i="9"/>
  <c r="M267" i="9"/>
  <c r="E270" i="9"/>
  <c r="N270" i="9"/>
  <c r="E272" i="9"/>
  <c r="E281" i="9"/>
  <c r="B282" i="9"/>
  <c r="L282" i="9"/>
  <c r="H283" i="9"/>
  <c r="D286" i="9"/>
  <c r="N286" i="9"/>
  <c r="E288" i="9"/>
  <c r="E297" i="9"/>
  <c r="B298" i="9"/>
  <c r="L298" i="9"/>
  <c r="H299" i="9"/>
  <c r="D302" i="9"/>
  <c r="N302" i="9"/>
  <c r="E304" i="9"/>
  <c r="E313" i="9"/>
  <c r="B314" i="9"/>
  <c r="L314" i="9"/>
  <c r="H315" i="9"/>
  <c r="D318" i="9"/>
  <c r="N318" i="9"/>
  <c r="E320" i="9"/>
  <c r="H329" i="9"/>
  <c r="L329" i="9"/>
  <c r="M336" i="9"/>
  <c r="D336" i="9"/>
  <c r="L336" i="9"/>
  <c r="C336" i="9"/>
  <c r="N336" i="9"/>
  <c r="I342" i="9"/>
  <c r="I348" i="9"/>
  <c r="H348" i="9"/>
  <c r="L348" i="9"/>
  <c r="I349" i="9"/>
  <c r="H350" i="9"/>
  <c r="I353" i="9"/>
  <c r="N355" i="9"/>
  <c r="E355" i="9"/>
  <c r="M355" i="9"/>
  <c r="D355" i="9"/>
  <c r="L355" i="9"/>
  <c r="H357" i="9"/>
  <c r="D358" i="9"/>
  <c r="I360" i="9"/>
  <c r="I361" i="9"/>
  <c r="L365" i="9"/>
  <c r="C365" i="9"/>
  <c r="B365" i="9"/>
  <c r="H365" i="9"/>
  <c r="N366" i="9"/>
  <c r="E366" i="9"/>
  <c r="B366" i="9"/>
  <c r="H368" i="9"/>
  <c r="I369" i="9"/>
  <c r="L373" i="9"/>
  <c r="C373" i="9"/>
  <c r="B373" i="9"/>
  <c r="H373" i="9"/>
  <c r="N374" i="9"/>
  <c r="E374" i="9"/>
  <c r="B374" i="9"/>
  <c r="H376" i="9"/>
  <c r="I377" i="9"/>
  <c r="L381" i="9"/>
  <c r="C381" i="9"/>
  <c r="B381" i="9"/>
  <c r="H381" i="9"/>
  <c r="N382" i="9"/>
  <c r="E382" i="9"/>
  <c r="B382" i="9"/>
  <c r="H384" i="9"/>
  <c r="I385" i="9"/>
  <c r="M392" i="9"/>
  <c r="D392" i="9"/>
  <c r="L392" i="9"/>
  <c r="C392" i="9"/>
  <c r="B392" i="9"/>
  <c r="I392" i="9"/>
  <c r="M400" i="9"/>
  <c r="D400" i="9"/>
  <c r="L400" i="9"/>
  <c r="C400" i="9"/>
  <c r="B400" i="9"/>
  <c r="I400" i="9"/>
  <c r="L412" i="9"/>
  <c r="L422" i="9"/>
  <c r="L444" i="9"/>
  <c r="N446" i="9"/>
  <c r="E446" i="9"/>
  <c r="M446" i="9"/>
  <c r="D446" i="9"/>
  <c r="L446" i="9"/>
  <c r="C446" i="9"/>
  <c r="B446" i="9"/>
  <c r="I446" i="9"/>
  <c r="I524" i="9"/>
  <c r="H524" i="9"/>
  <c r="N524" i="9"/>
  <c r="E524" i="9"/>
  <c r="M524" i="9"/>
  <c r="D524" i="9"/>
  <c r="L524" i="9"/>
  <c r="C524" i="9"/>
  <c r="B524" i="9"/>
  <c r="I547" i="9"/>
  <c r="H547" i="9"/>
  <c r="E547" i="9"/>
  <c r="N547" i="9"/>
  <c r="D547" i="9"/>
  <c r="M547" i="9"/>
  <c r="C547" i="9"/>
  <c r="L547" i="9"/>
  <c r="B547" i="9"/>
  <c r="N360" i="9"/>
  <c r="D256" i="9"/>
  <c r="M256" i="9"/>
  <c r="H257" i="9"/>
  <c r="B258" i="9"/>
  <c r="E259" i="9"/>
  <c r="N259" i="9"/>
  <c r="D264" i="9"/>
  <c r="M264" i="9"/>
  <c r="H265" i="9"/>
  <c r="B266" i="9"/>
  <c r="E267" i="9"/>
  <c r="N267" i="9"/>
  <c r="B273" i="9"/>
  <c r="L273" i="9"/>
  <c r="H274" i="9"/>
  <c r="E277" i="9"/>
  <c r="M280" i="9"/>
  <c r="D280" i="9"/>
  <c r="C282" i="9"/>
  <c r="M282" i="9"/>
  <c r="I283" i="9"/>
  <c r="D284" i="9"/>
  <c r="N284" i="9"/>
  <c r="E286" i="9"/>
  <c r="B289" i="9"/>
  <c r="L289" i="9"/>
  <c r="H290" i="9"/>
  <c r="E293" i="9"/>
  <c r="M296" i="9"/>
  <c r="D296" i="9"/>
  <c r="C298" i="9"/>
  <c r="M298" i="9"/>
  <c r="I299" i="9"/>
  <c r="D300" i="9"/>
  <c r="N300" i="9"/>
  <c r="E302" i="9"/>
  <c r="B305" i="9"/>
  <c r="L305" i="9"/>
  <c r="H306" i="9"/>
  <c r="E309" i="9"/>
  <c r="M312" i="9"/>
  <c r="D312" i="9"/>
  <c r="C314" i="9"/>
  <c r="M314" i="9"/>
  <c r="I315" i="9"/>
  <c r="D316" i="9"/>
  <c r="N316" i="9"/>
  <c r="E318" i="9"/>
  <c r="B321" i="9"/>
  <c r="L321" i="9"/>
  <c r="H322" i="9"/>
  <c r="E325" i="9"/>
  <c r="N326" i="9"/>
  <c r="E326" i="9"/>
  <c r="L326" i="9"/>
  <c r="B329" i="9"/>
  <c r="M329" i="9"/>
  <c r="H331" i="9"/>
  <c r="D332" i="9"/>
  <c r="L333" i="9"/>
  <c r="C333" i="9"/>
  <c r="B333" i="9"/>
  <c r="N333" i="9"/>
  <c r="B336" i="9"/>
  <c r="H337" i="9"/>
  <c r="L337" i="9"/>
  <c r="M344" i="9"/>
  <c r="D344" i="9"/>
  <c r="L344" i="9"/>
  <c r="C344" i="9"/>
  <c r="N344" i="9"/>
  <c r="B348" i="9"/>
  <c r="M348" i="9"/>
  <c r="I350" i="9"/>
  <c r="B355" i="9"/>
  <c r="I356" i="9"/>
  <c r="H356" i="9"/>
  <c r="L356" i="9"/>
  <c r="I357" i="9"/>
  <c r="H358" i="9"/>
  <c r="D365" i="9"/>
  <c r="C366" i="9"/>
  <c r="D373" i="9"/>
  <c r="C374" i="9"/>
  <c r="D381" i="9"/>
  <c r="C382" i="9"/>
  <c r="I390" i="9"/>
  <c r="E392" i="9"/>
  <c r="I393" i="9"/>
  <c r="I398" i="9"/>
  <c r="E400" i="9"/>
  <c r="I401" i="9"/>
  <c r="N412" i="9"/>
  <c r="N414" i="9"/>
  <c r="E414" i="9"/>
  <c r="M414" i="9"/>
  <c r="D414" i="9"/>
  <c r="B414" i="9"/>
  <c r="I414" i="9"/>
  <c r="I428" i="9"/>
  <c r="H428" i="9"/>
  <c r="N428" i="9"/>
  <c r="E428" i="9"/>
  <c r="M428" i="9"/>
  <c r="D428" i="9"/>
  <c r="B428" i="9"/>
  <c r="H446" i="9"/>
  <c r="I460" i="9"/>
  <c r="H460" i="9"/>
  <c r="N460" i="9"/>
  <c r="E460" i="9"/>
  <c r="M460" i="9"/>
  <c r="D460" i="9"/>
  <c r="B460" i="9"/>
  <c r="I476" i="9"/>
  <c r="H476" i="9"/>
  <c r="N476" i="9"/>
  <c r="E476" i="9"/>
  <c r="M476" i="9"/>
  <c r="D476" i="9"/>
  <c r="L476" i="9"/>
  <c r="C476" i="9"/>
  <c r="B476" i="9"/>
  <c r="N342" i="9"/>
  <c r="E342" i="9"/>
  <c r="H353" i="9"/>
  <c r="I452" i="9"/>
  <c r="H452" i="9"/>
  <c r="N452" i="9"/>
  <c r="E452" i="9"/>
  <c r="M452" i="9"/>
  <c r="D452" i="9"/>
  <c r="B452" i="9"/>
  <c r="L626" i="9"/>
  <c r="C626" i="9"/>
  <c r="I626" i="9"/>
  <c r="H626" i="9"/>
  <c r="E626" i="9"/>
  <c r="D626" i="9"/>
  <c r="N626" i="9"/>
  <c r="B626" i="9"/>
  <c r="M626" i="9"/>
  <c r="L799" i="9"/>
  <c r="C799" i="9"/>
  <c r="H799" i="9"/>
  <c r="I799" i="9"/>
  <c r="E799" i="9"/>
  <c r="N799" i="9"/>
  <c r="B799" i="9"/>
  <c r="M799" i="9"/>
  <c r="D799" i="9"/>
  <c r="E256" i="9"/>
  <c r="C258" i="9"/>
  <c r="B263" i="9"/>
  <c r="E264" i="9"/>
  <c r="C266" i="9"/>
  <c r="H272" i="9"/>
  <c r="C273" i="9"/>
  <c r="M273" i="9"/>
  <c r="I274" i="9"/>
  <c r="B278" i="9"/>
  <c r="L278" i="9"/>
  <c r="B280" i="9"/>
  <c r="L280" i="9"/>
  <c r="I281" i="9"/>
  <c r="D282" i="9"/>
  <c r="N282" i="9"/>
  <c r="E284" i="9"/>
  <c r="L285" i="9"/>
  <c r="C285" i="9"/>
  <c r="H286" i="9"/>
  <c r="H288" i="9"/>
  <c r="C289" i="9"/>
  <c r="M289" i="9"/>
  <c r="I290" i="9"/>
  <c r="B294" i="9"/>
  <c r="L294" i="9"/>
  <c r="B296" i="9"/>
  <c r="L296" i="9"/>
  <c r="I297" i="9"/>
  <c r="D298" i="9"/>
  <c r="N298" i="9"/>
  <c r="E300" i="9"/>
  <c r="L301" i="9"/>
  <c r="C301" i="9"/>
  <c r="H302" i="9"/>
  <c r="H304" i="9"/>
  <c r="C305" i="9"/>
  <c r="M305" i="9"/>
  <c r="I306" i="9"/>
  <c r="B310" i="9"/>
  <c r="L310" i="9"/>
  <c r="B312" i="9"/>
  <c r="L312" i="9"/>
  <c r="I313" i="9"/>
  <c r="D314" i="9"/>
  <c r="N314" i="9"/>
  <c r="E316" i="9"/>
  <c r="L317" i="9"/>
  <c r="C317" i="9"/>
  <c r="H318" i="9"/>
  <c r="H320" i="9"/>
  <c r="C321" i="9"/>
  <c r="M321" i="9"/>
  <c r="I322" i="9"/>
  <c r="B326" i="9"/>
  <c r="M326" i="9"/>
  <c r="C329" i="9"/>
  <c r="N329" i="9"/>
  <c r="I331" i="9"/>
  <c r="E332" i="9"/>
  <c r="D333" i="9"/>
  <c r="N334" i="9"/>
  <c r="E334" i="9"/>
  <c r="L334" i="9"/>
  <c r="E336" i="9"/>
  <c r="B337" i="9"/>
  <c r="M337" i="9"/>
  <c r="H339" i="9"/>
  <c r="L341" i="9"/>
  <c r="C341" i="9"/>
  <c r="B341" i="9"/>
  <c r="N341" i="9"/>
  <c r="B344" i="9"/>
  <c r="H345" i="9"/>
  <c r="L345" i="9"/>
  <c r="C348" i="9"/>
  <c r="N348" i="9"/>
  <c r="M349" i="9"/>
  <c r="M352" i="9"/>
  <c r="D352" i="9"/>
  <c r="L352" i="9"/>
  <c r="C352" i="9"/>
  <c r="N352" i="9"/>
  <c r="C355" i="9"/>
  <c r="B356" i="9"/>
  <c r="M356" i="9"/>
  <c r="I358" i="9"/>
  <c r="E365" i="9"/>
  <c r="D366" i="9"/>
  <c r="E373" i="9"/>
  <c r="D374" i="9"/>
  <c r="E381" i="9"/>
  <c r="D382" i="9"/>
  <c r="L406" i="9"/>
  <c r="C414" i="9"/>
  <c r="M416" i="9"/>
  <c r="D416" i="9"/>
  <c r="L416" i="9"/>
  <c r="C416" i="9"/>
  <c r="B416" i="9"/>
  <c r="I416" i="9"/>
  <c r="C428" i="9"/>
  <c r="N438" i="9"/>
  <c r="E438" i="9"/>
  <c r="M438" i="9"/>
  <c r="D438" i="9"/>
  <c r="L438" i="9"/>
  <c r="C438" i="9"/>
  <c r="B438" i="9"/>
  <c r="I438" i="9"/>
  <c r="C460" i="9"/>
  <c r="I500" i="9"/>
  <c r="H500" i="9"/>
  <c r="N500" i="9"/>
  <c r="E500" i="9"/>
  <c r="M500" i="9"/>
  <c r="D500" i="9"/>
  <c r="L500" i="9"/>
  <c r="C500" i="9"/>
  <c r="B500" i="9"/>
  <c r="I532" i="9"/>
  <c r="H532" i="9"/>
  <c r="N532" i="9"/>
  <c r="E532" i="9"/>
  <c r="M532" i="9"/>
  <c r="D532" i="9"/>
  <c r="L532" i="9"/>
  <c r="C532" i="9"/>
  <c r="B532" i="9"/>
  <c r="L572" i="9"/>
  <c r="C572" i="9"/>
  <c r="I572" i="9"/>
  <c r="H572" i="9"/>
  <c r="E572" i="9"/>
  <c r="N572" i="9"/>
  <c r="D572" i="9"/>
  <c r="M572" i="9"/>
  <c r="B572" i="9"/>
  <c r="I462" i="9"/>
  <c r="I470" i="9"/>
  <c r="I478" i="9"/>
  <c r="I486" i="9"/>
  <c r="I494" i="9"/>
  <c r="I502" i="9"/>
  <c r="I510" i="9"/>
  <c r="I518" i="9"/>
  <c r="I526" i="9"/>
  <c r="I534" i="9"/>
  <c r="I542" i="9"/>
  <c r="H548" i="9"/>
  <c r="N554" i="9"/>
  <c r="E554" i="9"/>
  <c r="H564" i="9"/>
  <c r="N570" i="9"/>
  <c r="E570" i="9"/>
  <c r="H580" i="9"/>
  <c r="I589" i="9"/>
  <c r="I608" i="9"/>
  <c r="N608" i="9"/>
  <c r="E608" i="9"/>
  <c r="D608" i="9"/>
  <c r="C608" i="9"/>
  <c r="M608" i="9"/>
  <c r="B608" i="9"/>
  <c r="B614" i="9"/>
  <c r="H614" i="9"/>
  <c r="I614" i="9"/>
  <c r="E614" i="9"/>
  <c r="D614" i="9"/>
  <c r="B561" i="9"/>
  <c r="L561" i="9"/>
  <c r="B577" i="9"/>
  <c r="L577" i="9"/>
  <c r="I584" i="9"/>
  <c r="H584" i="9"/>
  <c r="L584" i="9"/>
  <c r="H621" i="9"/>
  <c r="M621" i="9"/>
  <c r="D621" i="9"/>
  <c r="I621" i="9"/>
  <c r="E621" i="9"/>
  <c r="C621" i="9"/>
  <c r="L633" i="9"/>
  <c r="C633" i="9"/>
  <c r="I633" i="9"/>
  <c r="H633" i="9"/>
  <c r="E633" i="9"/>
  <c r="D633" i="9"/>
  <c r="N633" i="9"/>
  <c r="B633" i="9"/>
  <c r="L658" i="9"/>
  <c r="C658" i="9"/>
  <c r="I658" i="9"/>
  <c r="H658" i="9"/>
  <c r="E658" i="9"/>
  <c r="D658" i="9"/>
  <c r="N658" i="9"/>
  <c r="B658" i="9"/>
  <c r="N761" i="9"/>
  <c r="E761" i="9"/>
  <c r="M761" i="9"/>
  <c r="D761" i="9"/>
  <c r="L761" i="9"/>
  <c r="C761" i="9"/>
  <c r="B761" i="9"/>
  <c r="I761" i="9"/>
  <c r="H761" i="9"/>
  <c r="B796" i="9"/>
  <c r="I796" i="9"/>
  <c r="H796" i="9"/>
  <c r="E796" i="9"/>
  <c r="D796" i="9"/>
  <c r="N796" i="9"/>
  <c r="C796" i="9"/>
  <c r="L796" i="9"/>
  <c r="M796" i="9"/>
  <c r="H389" i="9"/>
  <c r="H397" i="9"/>
  <c r="H405" i="9"/>
  <c r="C409" i="9"/>
  <c r="L409" i="9"/>
  <c r="H413" i="9"/>
  <c r="C417" i="9"/>
  <c r="L417" i="9"/>
  <c r="H421" i="9"/>
  <c r="I424" i="9"/>
  <c r="C425" i="9"/>
  <c r="L425" i="9"/>
  <c r="H429" i="9"/>
  <c r="I432" i="9"/>
  <c r="C433" i="9"/>
  <c r="L433" i="9"/>
  <c r="H437" i="9"/>
  <c r="I440" i="9"/>
  <c r="C441" i="9"/>
  <c r="L441" i="9"/>
  <c r="H445" i="9"/>
  <c r="I448" i="9"/>
  <c r="C449" i="9"/>
  <c r="L449" i="9"/>
  <c r="H453" i="9"/>
  <c r="I456" i="9"/>
  <c r="C457" i="9"/>
  <c r="L457" i="9"/>
  <c r="H461" i="9"/>
  <c r="B462" i="9"/>
  <c r="I464" i="9"/>
  <c r="C465" i="9"/>
  <c r="L465" i="9"/>
  <c r="H469" i="9"/>
  <c r="B470" i="9"/>
  <c r="I472" i="9"/>
  <c r="C473" i="9"/>
  <c r="L473" i="9"/>
  <c r="H477" i="9"/>
  <c r="B478" i="9"/>
  <c r="I480" i="9"/>
  <c r="C481" i="9"/>
  <c r="L481" i="9"/>
  <c r="H485" i="9"/>
  <c r="B486" i="9"/>
  <c r="I488" i="9"/>
  <c r="C489" i="9"/>
  <c r="L489" i="9"/>
  <c r="H493" i="9"/>
  <c r="B494" i="9"/>
  <c r="I496" i="9"/>
  <c r="C497" i="9"/>
  <c r="L497" i="9"/>
  <c r="H501" i="9"/>
  <c r="B502" i="9"/>
  <c r="I504" i="9"/>
  <c r="C505" i="9"/>
  <c r="L505" i="9"/>
  <c r="H509" i="9"/>
  <c r="B510" i="9"/>
  <c r="I512" i="9"/>
  <c r="C513" i="9"/>
  <c r="L513" i="9"/>
  <c r="H517" i="9"/>
  <c r="B518" i="9"/>
  <c r="I520" i="9"/>
  <c r="C521" i="9"/>
  <c r="L521" i="9"/>
  <c r="B526" i="9"/>
  <c r="I528" i="9"/>
  <c r="C529" i="9"/>
  <c r="L529" i="9"/>
  <c r="B534" i="9"/>
  <c r="I536" i="9"/>
  <c r="C537" i="9"/>
  <c r="L537" i="9"/>
  <c r="B542" i="9"/>
  <c r="I544" i="9"/>
  <c r="C545" i="9"/>
  <c r="M545" i="9"/>
  <c r="B552" i="9"/>
  <c r="L552" i="9"/>
  <c r="C554" i="9"/>
  <c r="M554" i="9"/>
  <c r="M559" i="9"/>
  <c r="D559" i="9"/>
  <c r="C561" i="9"/>
  <c r="M561" i="9"/>
  <c r="B568" i="9"/>
  <c r="L568" i="9"/>
  <c r="C570" i="9"/>
  <c r="M570" i="9"/>
  <c r="M575" i="9"/>
  <c r="D575" i="9"/>
  <c r="C577" i="9"/>
  <c r="M577" i="9"/>
  <c r="B584" i="9"/>
  <c r="M584" i="9"/>
  <c r="M588" i="9"/>
  <c r="D588" i="9"/>
  <c r="L588" i="9"/>
  <c r="C588" i="9"/>
  <c r="N588" i="9"/>
  <c r="N591" i="9"/>
  <c r="E591" i="9"/>
  <c r="M591" i="9"/>
  <c r="D591" i="9"/>
  <c r="H613" i="9"/>
  <c r="M613" i="9"/>
  <c r="D613" i="9"/>
  <c r="I613" i="9"/>
  <c r="B621" i="9"/>
  <c r="I640" i="9"/>
  <c r="N640" i="9"/>
  <c r="E640" i="9"/>
  <c r="H640" i="9"/>
  <c r="D640" i="9"/>
  <c r="C640" i="9"/>
  <c r="M640" i="9"/>
  <c r="B640" i="9"/>
  <c r="N687" i="9"/>
  <c r="E687" i="9"/>
  <c r="M687" i="9"/>
  <c r="D687" i="9"/>
  <c r="B687" i="9"/>
  <c r="L687" i="9"/>
  <c r="I687" i="9"/>
  <c r="H687" i="9"/>
  <c r="M689" i="9"/>
  <c r="D689" i="9"/>
  <c r="L689" i="9"/>
  <c r="C689" i="9"/>
  <c r="B689" i="9"/>
  <c r="I689" i="9"/>
  <c r="N689" i="9"/>
  <c r="H689" i="9"/>
  <c r="I706" i="9"/>
  <c r="H706" i="9"/>
  <c r="N706" i="9"/>
  <c r="E706" i="9"/>
  <c r="L706" i="9"/>
  <c r="C706" i="9"/>
  <c r="M706" i="9"/>
  <c r="D706" i="9"/>
  <c r="C462" i="9"/>
  <c r="L462" i="9"/>
  <c r="C470" i="9"/>
  <c r="L470" i="9"/>
  <c r="C478" i="9"/>
  <c r="L478" i="9"/>
  <c r="C486" i="9"/>
  <c r="L486" i="9"/>
  <c r="C494" i="9"/>
  <c r="L494" i="9"/>
  <c r="C502" i="9"/>
  <c r="L502" i="9"/>
  <c r="C510" i="9"/>
  <c r="L510" i="9"/>
  <c r="C518" i="9"/>
  <c r="L518" i="9"/>
  <c r="C526" i="9"/>
  <c r="L526" i="9"/>
  <c r="C534" i="9"/>
  <c r="L534" i="9"/>
  <c r="C542" i="9"/>
  <c r="L542" i="9"/>
  <c r="L548" i="9"/>
  <c r="C548" i="9"/>
  <c r="C552" i="9"/>
  <c r="M552" i="9"/>
  <c r="D561" i="9"/>
  <c r="N561" i="9"/>
  <c r="L564" i="9"/>
  <c r="C564" i="9"/>
  <c r="C568" i="9"/>
  <c r="M568" i="9"/>
  <c r="D577" i="9"/>
  <c r="N577" i="9"/>
  <c r="L580" i="9"/>
  <c r="C580" i="9"/>
  <c r="C584" i="9"/>
  <c r="N584" i="9"/>
  <c r="H589" i="9"/>
  <c r="L589" i="9"/>
  <c r="H594" i="9"/>
  <c r="N594" i="9"/>
  <c r="E594" i="9"/>
  <c r="M594" i="9"/>
  <c r="N607" i="9"/>
  <c r="E607" i="9"/>
  <c r="B607" i="9"/>
  <c r="I607" i="9"/>
  <c r="H607" i="9"/>
  <c r="D607" i="9"/>
  <c r="L614" i="9"/>
  <c r="M633" i="9"/>
  <c r="M658" i="9"/>
  <c r="L665" i="9"/>
  <c r="C665" i="9"/>
  <c r="I665" i="9"/>
  <c r="H665" i="9"/>
  <c r="E665" i="9"/>
  <c r="D665" i="9"/>
  <c r="N665" i="9"/>
  <c r="B665" i="9"/>
  <c r="I719" i="9"/>
  <c r="H719" i="9"/>
  <c r="N719" i="9"/>
  <c r="E719" i="9"/>
  <c r="M719" i="9"/>
  <c r="D719" i="9"/>
  <c r="B719" i="9"/>
  <c r="L719" i="9"/>
  <c r="E409" i="9"/>
  <c r="N409" i="9"/>
  <c r="E417" i="9"/>
  <c r="N417" i="9"/>
  <c r="B424" i="9"/>
  <c r="E425" i="9"/>
  <c r="N425" i="9"/>
  <c r="B432" i="9"/>
  <c r="E433" i="9"/>
  <c r="N433" i="9"/>
  <c r="B440" i="9"/>
  <c r="E441" i="9"/>
  <c r="N441" i="9"/>
  <c r="B448" i="9"/>
  <c r="E449" i="9"/>
  <c r="N449" i="9"/>
  <c r="B456" i="9"/>
  <c r="E457" i="9"/>
  <c r="N457" i="9"/>
  <c r="D462" i="9"/>
  <c r="M462" i="9"/>
  <c r="B464" i="9"/>
  <c r="E465" i="9"/>
  <c r="N465" i="9"/>
  <c r="D470" i="9"/>
  <c r="M470" i="9"/>
  <c r="B472" i="9"/>
  <c r="E473" i="9"/>
  <c r="N473" i="9"/>
  <c r="D478" i="9"/>
  <c r="M478" i="9"/>
  <c r="B480" i="9"/>
  <c r="E481" i="9"/>
  <c r="N481" i="9"/>
  <c r="D486" i="9"/>
  <c r="M486" i="9"/>
  <c r="B488" i="9"/>
  <c r="E489" i="9"/>
  <c r="N489" i="9"/>
  <c r="D494" i="9"/>
  <c r="M494" i="9"/>
  <c r="B496" i="9"/>
  <c r="E497" i="9"/>
  <c r="N497" i="9"/>
  <c r="D502" i="9"/>
  <c r="M502" i="9"/>
  <c r="B504" i="9"/>
  <c r="E505" i="9"/>
  <c r="N505" i="9"/>
  <c r="D510" i="9"/>
  <c r="M510" i="9"/>
  <c r="B512" i="9"/>
  <c r="E513" i="9"/>
  <c r="N513" i="9"/>
  <c r="D518" i="9"/>
  <c r="M518" i="9"/>
  <c r="B520" i="9"/>
  <c r="E521" i="9"/>
  <c r="N521" i="9"/>
  <c r="L523" i="9"/>
  <c r="D526" i="9"/>
  <c r="M526" i="9"/>
  <c r="B528" i="9"/>
  <c r="E529" i="9"/>
  <c r="N529" i="9"/>
  <c r="I530" i="9"/>
  <c r="C531" i="9"/>
  <c r="L531" i="9"/>
  <c r="D534" i="9"/>
  <c r="M534" i="9"/>
  <c r="B536" i="9"/>
  <c r="E537" i="9"/>
  <c r="N537" i="9"/>
  <c r="I538" i="9"/>
  <c r="C539" i="9"/>
  <c r="L539" i="9"/>
  <c r="D542" i="9"/>
  <c r="M542" i="9"/>
  <c r="B544" i="9"/>
  <c r="E545" i="9"/>
  <c r="N546" i="9"/>
  <c r="E546" i="9"/>
  <c r="B548" i="9"/>
  <c r="M548" i="9"/>
  <c r="D552" i="9"/>
  <c r="N552" i="9"/>
  <c r="B555" i="9"/>
  <c r="L555" i="9"/>
  <c r="C557" i="9"/>
  <c r="M557" i="9"/>
  <c r="C559" i="9"/>
  <c r="N559" i="9"/>
  <c r="E561" i="9"/>
  <c r="N562" i="9"/>
  <c r="E562" i="9"/>
  <c r="B564" i="9"/>
  <c r="M564" i="9"/>
  <c r="D568" i="9"/>
  <c r="N568" i="9"/>
  <c r="B571" i="9"/>
  <c r="L571" i="9"/>
  <c r="C573" i="9"/>
  <c r="M573" i="9"/>
  <c r="C575" i="9"/>
  <c r="N575" i="9"/>
  <c r="E577" i="9"/>
  <c r="N578" i="9"/>
  <c r="E578" i="9"/>
  <c r="B580" i="9"/>
  <c r="M580" i="9"/>
  <c r="D584" i="9"/>
  <c r="L585" i="9"/>
  <c r="C585" i="9"/>
  <c r="B585" i="9"/>
  <c r="N585" i="9"/>
  <c r="E588" i="9"/>
  <c r="B589" i="9"/>
  <c r="M589" i="9"/>
  <c r="C591" i="9"/>
  <c r="M593" i="9"/>
  <c r="D593" i="9"/>
  <c r="L593" i="9"/>
  <c r="C593" i="9"/>
  <c r="B593" i="9"/>
  <c r="B594" i="9"/>
  <c r="N599" i="9"/>
  <c r="E599" i="9"/>
  <c r="M599" i="9"/>
  <c r="D599" i="9"/>
  <c r="C607" i="9"/>
  <c r="L608" i="9"/>
  <c r="C613" i="9"/>
  <c r="M614" i="9"/>
  <c r="L618" i="9"/>
  <c r="C618" i="9"/>
  <c r="I618" i="9"/>
  <c r="H618" i="9"/>
  <c r="E618" i="9"/>
  <c r="L621" i="9"/>
  <c r="L640" i="9"/>
  <c r="H653" i="9"/>
  <c r="M653" i="9"/>
  <c r="D653" i="9"/>
  <c r="I653" i="9"/>
  <c r="E653" i="9"/>
  <c r="C653" i="9"/>
  <c r="H698" i="9"/>
  <c r="N698" i="9"/>
  <c r="E698" i="9"/>
  <c r="L698" i="9"/>
  <c r="C698" i="9"/>
  <c r="M698" i="9"/>
  <c r="I698" i="9"/>
  <c r="D698" i="9"/>
  <c r="B698" i="9"/>
  <c r="C719" i="9"/>
  <c r="D363" i="9"/>
  <c r="M363" i="9"/>
  <c r="D371" i="9"/>
  <c r="M371" i="9"/>
  <c r="D379" i="9"/>
  <c r="M379" i="9"/>
  <c r="D387" i="9"/>
  <c r="M387" i="9"/>
  <c r="B389" i="9"/>
  <c r="D395" i="9"/>
  <c r="M395" i="9"/>
  <c r="B397" i="9"/>
  <c r="D403" i="9"/>
  <c r="M403" i="9"/>
  <c r="B405" i="9"/>
  <c r="D411" i="9"/>
  <c r="M411" i="9"/>
  <c r="B413" i="9"/>
  <c r="D419" i="9"/>
  <c r="M419" i="9"/>
  <c r="B421" i="9"/>
  <c r="C424" i="9"/>
  <c r="L424" i="9"/>
  <c r="D427" i="9"/>
  <c r="M427" i="9"/>
  <c r="B429" i="9"/>
  <c r="C432" i="9"/>
  <c r="L432" i="9"/>
  <c r="D435" i="9"/>
  <c r="M435" i="9"/>
  <c r="B437" i="9"/>
  <c r="C440" i="9"/>
  <c r="L440" i="9"/>
  <c r="D443" i="9"/>
  <c r="M443" i="9"/>
  <c r="B445" i="9"/>
  <c r="C448" i="9"/>
  <c r="L448" i="9"/>
  <c r="D451" i="9"/>
  <c r="M451" i="9"/>
  <c r="B453" i="9"/>
  <c r="C456" i="9"/>
  <c r="L456" i="9"/>
  <c r="D459" i="9"/>
  <c r="M459" i="9"/>
  <c r="B461" i="9"/>
  <c r="E462" i="9"/>
  <c r="N462" i="9"/>
  <c r="C464" i="9"/>
  <c r="L464" i="9"/>
  <c r="D467" i="9"/>
  <c r="M467" i="9"/>
  <c r="B469" i="9"/>
  <c r="E470" i="9"/>
  <c r="N470" i="9"/>
  <c r="C472" i="9"/>
  <c r="L472" i="9"/>
  <c r="D475" i="9"/>
  <c r="M475" i="9"/>
  <c r="B477" i="9"/>
  <c r="E478" i="9"/>
  <c r="N478" i="9"/>
  <c r="C480" i="9"/>
  <c r="L480" i="9"/>
  <c r="D483" i="9"/>
  <c r="M483" i="9"/>
  <c r="B485" i="9"/>
  <c r="E486" i="9"/>
  <c r="N486" i="9"/>
  <c r="C488" i="9"/>
  <c r="L488" i="9"/>
  <c r="D491" i="9"/>
  <c r="M491" i="9"/>
  <c r="B493" i="9"/>
  <c r="E494" i="9"/>
  <c r="N494" i="9"/>
  <c r="C496" i="9"/>
  <c r="L496" i="9"/>
  <c r="D499" i="9"/>
  <c r="M499" i="9"/>
  <c r="B501" i="9"/>
  <c r="E502" i="9"/>
  <c r="N502" i="9"/>
  <c r="C504" i="9"/>
  <c r="L504" i="9"/>
  <c r="D507" i="9"/>
  <c r="M507" i="9"/>
  <c r="B509" i="9"/>
  <c r="E510" i="9"/>
  <c r="N510" i="9"/>
  <c r="C512" i="9"/>
  <c r="L512" i="9"/>
  <c r="D515" i="9"/>
  <c r="M515" i="9"/>
  <c r="B517" i="9"/>
  <c r="E518" i="9"/>
  <c r="N518" i="9"/>
  <c r="C520" i="9"/>
  <c r="L520" i="9"/>
  <c r="D523" i="9"/>
  <c r="M523" i="9"/>
  <c r="E526" i="9"/>
  <c r="N526" i="9"/>
  <c r="C528" i="9"/>
  <c r="L528" i="9"/>
  <c r="D531" i="9"/>
  <c r="M531" i="9"/>
  <c r="E534" i="9"/>
  <c r="N534" i="9"/>
  <c r="C536" i="9"/>
  <c r="L536" i="9"/>
  <c r="D539" i="9"/>
  <c r="M539" i="9"/>
  <c r="E542" i="9"/>
  <c r="N542" i="9"/>
  <c r="C544" i="9"/>
  <c r="L544" i="9"/>
  <c r="D548" i="9"/>
  <c r="N548" i="9"/>
  <c r="E552" i="9"/>
  <c r="B553" i="9"/>
  <c r="L553" i="9"/>
  <c r="H554" i="9"/>
  <c r="C555" i="9"/>
  <c r="M555" i="9"/>
  <c r="D557" i="9"/>
  <c r="N557" i="9"/>
  <c r="E559" i="9"/>
  <c r="D564" i="9"/>
  <c r="N564" i="9"/>
  <c r="E568" i="9"/>
  <c r="B569" i="9"/>
  <c r="L569" i="9"/>
  <c r="H570" i="9"/>
  <c r="C571" i="9"/>
  <c r="M571" i="9"/>
  <c r="D573" i="9"/>
  <c r="N573" i="9"/>
  <c r="E575" i="9"/>
  <c r="D580" i="9"/>
  <c r="N580" i="9"/>
  <c r="E584" i="9"/>
  <c r="N586" i="9"/>
  <c r="E586" i="9"/>
  <c r="L586" i="9"/>
  <c r="C589" i="9"/>
  <c r="N589" i="9"/>
  <c r="H591" i="9"/>
  <c r="C594" i="9"/>
  <c r="B606" i="9"/>
  <c r="H606" i="9"/>
  <c r="L606" i="9"/>
  <c r="I606" i="9"/>
  <c r="E613" i="9"/>
  <c r="N614" i="9"/>
  <c r="N621" i="9"/>
  <c r="M665" i="9"/>
  <c r="B330" i="9"/>
  <c r="B338" i="9"/>
  <c r="B346" i="9"/>
  <c r="B354" i="9"/>
  <c r="B362" i="9"/>
  <c r="E363" i="9"/>
  <c r="B370" i="9"/>
  <c r="E371" i="9"/>
  <c r="B378" i="9"/>
  <c r="E379" i="9"/>
  <c r="B386" i="9"/>
  <c r="E387" i="9"/>
  <c r="C389" i="9"/>
  <c r="B394" i="9"/>
  <c r="E395" i="9"/>
  <c r="C397" i="9"/>
  <c r="B402" i="9"/>
  <c r="E403" i="9"/>
  <c r="C405" i="9"/>
  <c r="B410" i="9"/>
  <c r="E411" i="9"/>
  <c r="C413" i="9"/>
  <c r="B418" i="9"/>
  <c r="E419" i="9"/>
  <c r="C421" i="9"/>
  <c r="D424" i="9"/>
  <c r="B426" i="9"/>
  <c r="E427" i="9"/>
  <c r="C429" i="9"/>
  <c r="D432" i="9"/>
  <c r="B434" i="9"/>
  <c r="E435" i="9"/>
  <c r="C437" i="9"/>
  <c r="D440" i="9"/>
  <c r="B442" i="9"/>
  <c r="E443" i="9"/>
  <c r="C445" i="9"/>
  <c r="D448" i="9"/>
  <c r="B450" i="9"/>
  <c r="E451" i="9"/>
  <c r="C453" i="9"/>
  <c r="D456" i="9"/>
  <c r="B458" i="9"/>
  <c r="E459" i="9"/>
  <c r="C461" i="9"/>
  <c r="D464" i="9"/>
  <c r="B466" i="9"/>
  <c r="E467" i="9"/>
  <c r="C469" i="9"/>
  <c r="D472" i="9"/>
  <c r="B474" i="9"/>
  <c r="E475" i="9"/>
  <c r="C477" i="9"/>
  <c r="D480" i="9"/>
  <c r="B482" i="9"/>
  <c r="E483" i="9"/>
  <c r="C485" i="9"/>
  <c r="D488" i="9"/>
  <c r="B490" i="9"/>
  <c r="E491" i="9"/>
  <c r="C493" i="9"/>
  <c r="D496" i="9"/>
  <c r="B498" i="9"/>
  <c r="E499" i="9"/>
  <c r="C501" i="9"/>
  <c r="D504" i="9"/>
  <c r="B506" i="9"/>
  <c r="E507" i="9"/>
  <c r="C509" i="9"/>
  <c r="D512" i="9"/>
  <c r="B514" i="9"/>
  <c r="E515" i="9"/>
  <c r="C517" i="9"/>
  <c r="D520" i="9"/>
  <c r="B522" i="9"/>
  <c r="E523" i="9"/>
  <c r="C525" i="9"/>
  <c r="D528" i="9"/>
  <c r="B530" i="9"/>
  <c r="E531" i="9"/>
  <c r="C533" i="9"/>
  <c r="D536" i="9"/>
  <c r="B538" i="9"/>
  <c r="E539" i="9"/>
  <c r="C541" i="9"/>
  <c r="D544" i="9"/>
  <c r="H545" i="9"/>
  <c r="C546" i="9"/>
  <c r="M546" i="9"/>
  <c r="E548" i="9"/>
  <c r="M551" i="9"/>
  <c r="D551" i="9"/>
  <c r="C553" i="9"/>
  <c r="M553" i="9"/>
  <c r="I554" i="9"/>
  <c r="D555" i="9"/>
  <c r="N555" i="9"/>
  <c r="E557" i="9"/>
  <c r="B560" i="9"/>
  <c r="L560" i="9"/>
  <c r="H561" i="9"/>
  <c r="C562" i="9"/>
  <c r="M562" i="9"/>
  <c r="E564" i="9"/>
  <c r="M567" i="9"/>
  <c r="D567" i="9"/>
  <c r="C569" i="9"/>
  <c r="M569" i="9"/>
  <c r="I570" i="9"/>
  <c r="D571" i="9"/>
  <c r="N571" i="9"/>
  <c r="E573" i="9"/>
  <c r="B576" i="9"/>
  <c r="L576" i="9"/>
  <c r="H577" i="9"/>
  <c r="C578" i="9"/>
  <c r="M578" i="9"/>
  <c r="E580" i="9"/>
  <c r="M583" i="9"/>
  <c r="D583" i="9"/>
  <c r="E585" i="9"/>
  <c r="B586" i="9"/>
  <c r="M586" i="9"/>
  <c r="H588" i="9"/>
  <c r="D589" i="9"/>
  <c r="I591" i="9"/>
  <c r="D594" i="9"/>
  <c r="I597" i="9"/>
  <c r="H597" i="9"/>
  <c r="M597" i="9"/>
  <c r="C599" i="9"/>
  <c r="L601" i="9"/>
  <c r="E601" i="9"/>
  <c r="N601" i="9"/>
  <c r="D601" i="9"/>
  <c r="M601" i="9"/>
  <c r="C601" i="9"/>
  <c r="B601" i="9"/>
  <c r="C606" i="9"/>
  <c r="L607" i="9"/>
  <c r="L613" i="9"/>
  <c r="D618" i="9"/>
  <c r="L653" i="9"/>
  <c r="N713" i="9"/>
  <c r="E713" i="9"/>
  <c r="M713" i="9"/>
  <c r="D713" i="9"/>
  <c r="L713" i="9"/>
  <c r="C713" i="9"/>
  <c r="B713" i="9"/>
  <c r="I713" i="9"/>
  <c r="H713" i="9"/>
  <c r="I743" i="9"/>
  <c r="H743" i="9"/>
  <c r="N743" i="9"/>
  <c r="E743" i="9"/>
  <c r="M743" i="9"/>
  <c r="D743" i="9"/>
  <c r="B743" i="9"/>
  <c r="H859" i="9"/>
  <c r="N859" i="9"/>
  <c r="E859" i="9"/>
  <c r="M859" i="9"/>
  <c r="D859" i="9"/>
  <c r="L859" i="9"/>
  <c r="C859" i="9"/>
  <c r="I859" i="9"/>
  <c r="B859" i="9"/>
  <c r="I894" i="9"/>
  <c r="N894" i="9"/>
  <c r="E894" i="9"/>
  <c r="M894" i="9"/>
  <c r="D894" i="9"/>
  <c r="L894" i="9"/>
  <c r="H894" i="9"/>
  <c r="C894" i="9"/>
  <c r="B894" i="9"/>
  <c r="I587" i="9"/>
  <c r="H592" i="9"/>
  <c r="I595" i="9"/>
  <c r="H600" i="9"/>
  <c r="I602" i="9"/>
  <c r="I610" i="9"/>
  <c r="N615" i="9"/>
  <c r="E615" i="9"/>
  <c r="B615" i="9"/>
  <c r="M615" i="9"/>
  <c r="H617" i="9"/>
  <c r="B622" i="9"/>
  <c r="H622" i="9"/>
  <c r="M622" i="9"/>
  <c r="H624" i="9"/>
  <c r="E625" i="9"/>
  <c r="H629" i="9"/>
  <c r="M629" i="9"/>
  <c r="D629" i="9"/>
  <c r="L629" i="9"/>
  <c r="H631" i="9"/>
  <c r="D632" i="9"/>
  <c r="I642" i="9"/>
  <c r="N647" i="9"/>
  <c r="E647" i="9"/>
  <c r="B647" i="9"/>
  <c r="M647" i="9"/>
  <c r="H649" i="9"/>
  <c r="E650" i="9"/>
  <c r="B654" i="9"/>
  <c r="H654" i="9"/>
  <c r="M654" i="9"/>
  <c r="H656" i="9"/>
  <c r="E657" i="9"/>
  <c r="H661" i="9"/>
  <c r="M661" i="9"/>
  <c r="D661" i="9"/>
  <c r="L661" i="9"/>
  <c r="H663" i="9"/>
  <c r="D664" i="9"/>
  <c r="I671" i="9"/>
  <c r="H673" i="9"/>
  <c r="I674" i="9"/>
  <c r="H679" i="9"/>
  <c r="H682" i="9"/>
  <c r="I685" i="9"/>
  <c r="D688" i="9"/>
  <c r="L693" i="9"/>
  <c r="N737" i="9"/>
  <c r="E737" i="9"/>
  <c r="M737" i="9"/>
  <c r="D737" i="9"/>
  <c r="L737" i="9"/>
  <c r="C737" i="9"/>
  <c r="B737" i="9"/>
  <c r="I737" i="9"/>
  <c r="C743" i="9"/>
  <c r="I751" i="9"/>
  <c r="H751" i="9"/>
  <c r="N751" i="9"/>
  <c r="E751" i="9"/>
  <c r="M751" i="9"/>
  <c r="D751" i="9"/>
  <c r="B751" i="9"/>
  <c r="M802" i="9"/>
  <c r="D802" i="9"/>
  <c r="I802" i="9"/>
  <c r="H802" i="9"/>
  <c r="E802" i="9"/>
  <c r="N802" i="9"/>
  <c r="B802" i="9"/>
  <c r="I806" i="9"/>
  <c r="N806" i="9"/>
  <c r="E806" i="9"/>
  <c r="M806" i="9"/>
  <c r="D806" i="9"/>
  <c r="L806" i="9"/>
  <c r="H806" i="9"/>
  <c r="B806" i="9"/>
  <c r="B868" i="9"/>
  <c r="I868" i="9"/>
  <c r="H868" i="9"/>
  <c r="N868" i="9"/>
  <c r="M868" i="9"/>
  <c r="L868" i="9"/>
  <c r="E868" i="9"/>
  <c r="D868" i="9"/>
  <c r="C868" i="9"/>
  <c r="I592" i="9"/>
  <c r="I600" i="9"/>
  <c r="L609" i="9"/>
  <c r="C609" i="9"/>
  <c r="I609" i="9"/>
  <c r="M609" i="9"/>
  <c r="I616" i="9"/>
  <c r="N616" i="9"/>
  <c r="E616" i="9"/>
  <c r="L616" i="9"/>
  <c r="I631" i="9"/>
  <c r="L634" i="9"/>
  <c r="C634" i="9"/>
  <c r="M634" i="9"/>
  <c r="I638" i="9"/>
  <c r="L641" i="9"/>
  <c r="C641" i="9"/>
  <c r="I641" i="9"/>
  <c r="M641" i="9"/>
  <c r="I645" i="9"/>
  <c r="I648" i="9"/>
  <c r="N648" i="9"/>
  <c r="E648" i="9"/>
  <c r="L648" i="9"/>
  <c r="H650" i="9"/>
  <c r="I663" i="9"/>
  <c r="L666" i="9"/>
  <c r="C666" i="9"/>
  <c r="M666" i="9"/>
  <c r="I679" i="9"/>
  <c r="H681" i="9"/>
  <c r="I682" i="9"/>
  <c r="M697" i="9"/>
  <c r="D697" i="9"/>
  <c r="L697" i="9"/>
  <c r="C697" i="9"/>
  <c r="B697" i="9"/>
  <c r="I697" i="9"/>
  <c r="I727" i="9"/>
  <c r="H727" i="9"/>
  <c r="N727" i="9"/>
  <c r="E727" i="9"/>
  <c r="M727" i="9"/>
  <c r="D727" i="9"/>
  <c r="B727" i="9"/>
  <c r="B788" i="9"/>
  <c r="L788" i="9"/>
  <c r="I788" i="9"/>
  <c r="H788" i="9"/>
  <c r="E788" i="9"/>
  <c r="N788" i="9"/>
  <c r="C788" i="9"/>
  <c r="B792" i="9"/>
  <c r="L792" i="9"/>
  <c r="I792" i="9"/>
  <c r="H792" i="9"/>
  <c r="E792" i="9"/>
  <c r="N792" i="9"/>
  <c r="C792" i="9"/>
  <c r="B800" i="9"/>
  <c r="I800" i="9"/>
  <c r="H800" i="9"/>
  <c r="E800" i="9"/>
  <c r="D800" i="9"/>
  <c r="N800" i="9"/>
  <c r="C800" i="9"/>
  <c r="L800" i="9"/>
  <c r="I838" i="9"/>
  <c r="N838" i="9"/>
  <c r="E838" i="9"/>
  <c r="M838" i="9"/>
  <c r="D838" i="9"/>
  <c r="H838" i="9"/>
  <c r="C838" i="9"/>
  <c r="B838" i="9"/>
  <c r="H891" i="9"/>
  <c r="N891" i="9"/>
  <c r="E891" i="9"/>
  <c r="M891" i="9"/>
  <c r="D891" i="9"/>
  <c r="L891" i="9"/>
  <c r="C891" i="9"/>
  <c r="I891" i="9"/>
  <c r="B891" i="9"/>
  <c r="B900" i="9"/>
  <c r="I900" i="9"/>
  <c r="H900" i="9"/>
  <c r="N900" i="9"/>
  <c r="M900" i="9"/>
  <c r="L900" i="9"/>
  <c r="E900" i="9"/>
  <c r="D900" i="9"/>
  <c r="C900" i="9"/>
  <c r="H605" i="9"/>
  <c r="M605" i="9"/>
  <c r="D605" i="9"/>
  <c r="L605" i="9"/>
  <c r="N623" i="9"/>
  <c r="E623" i="9"/>
  <c r="B623" i="9"/>
  <c r="M623" i="9"/>
  <c r="H625" i="9"/>
  <c r="B630" i="9"/>
  <c r="H630" i="9"/>
  <c r="M630" i="9"/>
  <c r="H632" i="9"/>
  <c r="H637" i="9"/>
  <c r="M637" i="9"/>
  <c r="D637" i="9"/>
  <c r="L637" i="9"/>
  <c r="I650" i="9"/>
  <c r="N655" i="9"/>
  <c r="E655" i="9"/>
  <c r="B655" i="9"/>
  <c r="M655" i="9"/>
  <c r="H657" i="9"/>
  <c r="B662" i="9"/>
  <c r="H662" i="9"/>
  <c r="M662" i="9"/>
  <c r="H664" i="9"/>
  <c r="H669" i="9"/>
  <c r="M669" i="9"/>
  <c r="D669" i="9"/>
  <c r="N669" i="9"/>
  <c r="M673" i="9"/>
  <c r="I693" i="9"/>
  <c r="H693" i="9"/>
  <c r="M693" i="9"/>
  <c r="D693" i="9"/>
  <c r="N705" i="9"/>
  <c r="E705" i="9"/>
  <c r="M705" i="9"/>
  <c r="D705" i="9"/>
  <c r="L705" i="9"/>
  <c r="C705" i="9"/>
  <c r="B705" i="9"/>
  <c r="I705" i="9"/>
  <c r="N721" i="9"/>
  <c r="E721" i="9"/>
  <c r="M721" i="9"/>
  <c r="D721" i="9"/>
  <c r="L721" i="9"/>
  <c r="C721" i="9"/>
  <c r="B721" i="9"/>
  <c r="I721" i="9"/>
  <c r="L743" i="9"/>
  <c r="I759" i="9"/>
  <c r="H759" i="9"/>
  <c r="N759" i="9"/>
  <c r="E759" i="9"/>
  <c r="M759" i="9"/>
  <c r="D759" i="9"/>
  <c r="B759" i="9"/>
  <c r="I776" i="9"/>
  <c r="H776" i="9"/>
  <c r="E776" i="9"/>
  <c r="N776" i="9"/>
  <c r="D776" i="9"/>
  <c r="L776" i="9"/>
  <c r="B776" i="9"/>
  <c r="M778" i="9"/>
  <c r="D778" i="9"/>
  <c r="I778" i="9"/>
  <c r="H778" i="9"/>
  <c r="E778" i="9"/>
  <c r="L778" i="9"/>
  <c r="B778" i="9"/>
  <c r="D792" i="9"/>
  <c r="L807" i="9"/>
  <c r="C807" i="9"/>
  <c r="I807" i="9"/>
  <c r="H807" i="9"/>
  <c r="M807" i="9"/>
  <c r="E807" i="9"/>
  <c r="B807" i="9"/>
  <c r="L816" i="9"/>
  <c r="C816" i="9"/>
  <c r="B816" i="9"/>
  <c r="I816" i="9"/>
  <c r="H816" i="9"/>
  <c r="E816" i="9"/>
  <c r="D816" i="9"/>
  <c r="N816" i="9"/>
  <c r="I830" i="9"/>
  <c r="N830" i="9"/>
  <c r="E830" i="9"/>
  <c r="M830" i="9"/>
  <c r="D830" i="9"/>
  <c r="L830" i="9"/>
  <c r="H830" i="9"/>
  <c r="B830" i="9"/>
  <c r="L838" i="9"/>
  <c r="M904" i="9"/>
  <c r="D904" i="9"/>
  <c r="L904" i="9"/>
  <c r="C904" i="9"/>
  <c r="B904" i="9"/>
  <c r="H904" i="9"/>
  <c r="N904" i="9"/>
  <c r="I904" i="9"/>
  <c r="E904" i="9"/>
  <c r="L602" i="9"/>
  <c r="C602" i="9"/>
  <c r="M602" i="9"/>
  <c r="L610" i="9"/>
  <c r="C610" i="9"/>
  <c r="M610" i="9"/>
  <c r="L617" i="9"/>
  <c r="C617" i="9"/>
  <c r="I617" i="9"/>
  <c r="M617" i="9"/>
  <c r="I624" i="9"/>
  <c r="N624" i="9"/>
  <c r="E624" i="9"/>
  <c r="L624" i="9"/>
  <c r="L642" i="9"/>
  <c r="C642" i="9"/>
  <c r="M642" i="9"/>
  <c r="L649" i="9"/>
  <c r="C649" i="9"/>
  <c r="I649" i="9"/>
  <c r="M649" i="9"/>
  <c r="I656" i="9"/>
  <c r="N656" i="9"/>
  <c r="E656" i="9"/>
  <c r="L656" i="9"/>
  <c r="I672" i="9"/>
  <c r="H672" i="9"/>
  <c r="N672" i="9"/>
  <c r="E672" i="9"/>
  <c r="M672" i="9"/>
  <c r="H677" i="9"/>
  <c r="M677" i="9"/>
  <c r="D677" i="9"/>
  <c r="N677" i="9"/>
  <c r="M681" i="9"/>
  <c r="B693" i="9"/>
  <c r="N695" i="9"/>
  <c r="E695" i="9"/>
  <c r="M695" i="9"/>
  <c r="D695" i="9"/>
  <c r="B695" i="9"/>
  <c r="I711" i="9"/>
  <c r="H711" i="9"/>
  <c r="N711" i="9"/>
  <c r="E711" i="9"/>
  <c r="M711" i="9"/>
  <c r="D711" i="9"/>
  <c r="B711" i="9"/>
  <c r="N745" i="9"/>
  <c r="E745" i="9"/>
  <c r="M745" i="9"/>
  <c r="D745" i="9"/>
  <c r="L745" i="9"/>
  <c r="C745" i="9"/>
  <c r="B745" i="9"/>
  <c r="I745" i="9"/>
  <c r="C759" i="9"/>
  <c r="C776" i="9"/>
  <c r="C778" i="9"/>
  <c r="N781" i="9"/>
  <c r="E781" i="9"/>
  <c r="H781" i="9"/>
  <c r="D781" i="9"/>
  <c r="M781" i="9"/>
  <c r="C781" i="9"/>
  <c r="L781" i="9"/>
  <c r="B781" i="9"/>
  <c r="H795" i="9"/>
  <c r="L795" i="9"/>
  <c r="C795" i="9"/>
  <c r="I795" i="9"/>
  <c r="E795" i="9"/>
  <c r="N795" i="9"/>
  <c r="B795" i="9"/>
  <c r="M800" i="9"/>
  <c r="H803" i="9"/>
  <c r="L803" i="9"/>
  <c r="C803" i="9"/>
  <c r="I803" i="9"/>
  <c r="E803" i="9"/>
  <c r="D803" i="9"/>
  <c r="N803" i="9"/>
  <c r="B803" i="9"/>
  <c r="M816" i="9"/>
  <c r="I822" i="9"/>
  <c r="N822" i="9"/>
  <c r="E822" i="9"/>
  <c r="M822" i="9"/>
  <c r="D822" i="9"/>
  <c r="H822" i="9"/>
  <c r="C822" i="9"/>
  <c r="B822" i="9"/>
  <c r="L822" i="9"/>
  <c r="H827" i="9"/>
  <c r="N827" i="9"/>
  <c r="E827" i="9"/>
  <c r="M827" i="9"/>
  <c r="D827" i="9"/>
  <c r="L827" i="9"/>
  <c r="C827" i="9"/>
  <c r="I827" i="9"/>
  <c r="B827" i="9"/>
  <c r="C830" i="9"/>
  <c r="B844" i="9"/>
  <c r="I844" i="9"/>
  <c r="H844" i="9"/>
  <c r="L844" i="9"/>
  <c r="E844" i="9"/>
  <c r="D844" i="9"/>
  <c r="C844" i="9"/>
  <c r="N844" i="9"/>
  <c r="N631" i="9"/>
  <c r="E631" i="9"/>
  <c r="B631" i="9"/>
  <c r="M631" i="9"/>
  <c r="B638" i="9"/>
  <c r="H638" i="9"/>
  <c r="M638" i="9"/>
  <c r="H645" i="9"/>
  <c r="M645" i="9"/>
  <c r="D645" i="9"/>
  <c r="L645" i="9"/>
  <c r="N663" i="9"/>
  <c r="E663" i="9"/>
  <c r="B663" i="9"/>
  <c r="M663" i="9"/>
  <c r="N671" i="9"/>
  <c r="E671" i="9"/>
  <c r="M671" i="9"/>
  <c r="D671" i="9"/>
  <c r="B671" i="9"/>
  <c r="L673" i="9"/>
  <c r="C673" i="9"/>
  <c r="B673" i="9"/>
  <c r="I673" i="9"/>
  <c r="N674" i="9"/>
  <c r="E674" i="9"/>
  <c r="L674" i="9"/>
  <c r="C674" i="9"/>
  <c r="I680" i="9"/>
  <c r="H680" i="9"/>
  <c r="N680" i="9"/>
  <c r="E680" i="9"/>
  <c r="M680" i="9"/>
  <c r="H685" i="9"/>
  <c r="M685" i="9"/>
  <c r="D685" i="9"/>
  <c r="N685" i="9"/>
  <c r="H690" i="9"/>
  <c r="N690" i="9"/>
  <c r="E690" i="9"/>
  <c r="L690" i="9"/>
  <c r="C690" i="9"/>
  <c r="I735" i="9"/>
  <c r="H735" i="9"/>
  <c r="N735" i="9"/>
  <c r="E735" i="9"/>
  <c r="M735" i="9"/>
  <c r="D735" i="9"/>
  <c r="B735" i="9"/>
  <c r="N753" i="9"/>
  <c r="E753" i="9"/>
  <c r="M753" i="9"/>
  <c r="D753" i="9"/>
  <c r="L753" i="9"/>
  <c r="C753" i="9"/>
  <c r="B753" i="9"/>
  <c r="I753" i="9"/>
  <c r="L767" i="9"/>
  <c r="I767" i="9"/>
  <c r="H767" i="9"/>
  <c r="E767" i="9"/>
  <c r="N767" i="9"/>
  <c r="D767" i="9"/>
  <c r="B767" i="9"/>
  <c r="H835" i="9"/>
  <c r="N835" i="9"/>
  <c r="E835" i="9"/>
  <c r="M835" i="9"/>
  <c r="D835" i="9"/>
  <c r="L835" i="9"/>
  <c r="C835" i="9"/>
  <c r="I835" i="9"/>
  <c r="B835" i="9"/>
  <c r="M936" i="9"/>
  <c r="D936" i="9"/>
  <c r="L936" i="9"/>
  <c r="C936" i="9"/>
  <c r="B936" i="9"/>
  <c r="I936" i="9"/>
  <c r="H936" i="9"/>
  <c r="N936" i="9"/>
  <c r="E936" i="9"/>
  <c r="L625" i="9"/>
  <c r="C625" i="9"/>
  <c r="I625" i="9"/>
  <c r="M625" i="9"/>
  <c r="I632" i="9"/>
  <c r="N632" i="9"/>
  <c r="E632" i="9"/>
  <c r="L632" i="9"/>
  <c r="L650" i="9"/>
  <c r="C650" i="9"/>
  <c r="M650" i="9"/>
  <c r="L657" i="9"/>
  <c r="C657" i="9"/>
  <c r="I657" i="9"/>
  <c r="M657" i="9"/>
  <c r="I664" i="9"/>
  <c r="N664" i="9"/>
  <c r="E664" i="9"/>
  <c r="L664" i="9"/>
  <c r="N679" i="9"/>
  <c r="E679" i="9"/>
  <c r="M679" i="9"/>
  <c r="D679" i="9"/>
  <c r="B679" i="9"/>
  <c r="L681" i="9"/>
  <c r="C681" i="9"/>
  <c r="B681" i="9"/>
  <c r="I681" i="9"/>
  <c r="N682" i="9"/>
  <c r="E682" i="9"/>
  <c r="L682" i="9"/>
  <c r="C682" i="9"/>
  <c r="B685" i="9"/>
  <c r="I688" i="9"/>
  <c r="H688" i="9"/>
  <c r="N688" i="9"/>
  <c r="E688" i="9"/>
  <c r="M688" i="9"/>
  <c r="B690" i="9"/>
  <c r="E693" i="9"/>
  <c r="H695" i="9"/>
  <c r="H703" i="9"/>
  <c r="N703" i="9"/>
  <c r="E703" i="9"/>
  <c r="M703" i="9"/>
  <c r="D703" i="9"/>
  <c r="B703" i="9"/>
  <c r="N729" i="9"/>
  <c r="E729" i="9"/>
  <c r="M729" i="9"/>
  <c r="D729" i="9"/>
  <c r="L729" i="9"/>
  <c r="C729" i="9"/>
  <c r="B729" i="9"/>
  <c r="I729" i="9"/>
  <c r="C735" i="9"/>
  <c r="H753" i="9"/>
  <c r="L759" i="9"/>
  <c r="C767" i="9"/>
  <c r="M776" i="9"/>
  <c r="N778" i="9"/>
  <c r="L823" i="9"/>
  <c r="C823" i="9"/>
  <c r="I823" i="9"/>
  <c r="H823" i="9"/>
  <c r="E823" i="9"/>
  <c r="D823" i="9"/>
  <c r="B823" i="9"/>
  <c r="M823" i="9"/>
  <c r="B836" i="9"/>
  <c r="I836" i="9"/>
  <c r="H836" i="9"/>
  <c r="N836" i="9"/>
  <c r="M836" i="9"/>
  <c r="L836" i="9"/>
  <c r="E836" i="9"/>
  <c r="C836" i="9"/>
  <c r="L955" i="9"/>
  <c r="C955" i="9"/>
  <c r="M955" i="9"/>
  <c r="B955" i="9"/>
  <c r="I955" i="9"/>
  <c r="H955" i="9"/>
  <c r="E955" i="9"/>
  <c r="N955" i="9"/>
  <c r="D955" i="9"/>
  <c r="H670" i="9"/>
  <c r="H678" i="9"/>
  <c r="H686" i="9"/>
  <c r="H694" i="9"/>
  <c r="E696" i="9"/>
  <c r="N696" i="9"/>
  <c r="D701" i="9"/>
  <c r="M701" i="9"/>
  <c r="H702" i="9"/>
  <c r="E704" i="9"/>
  <c r="N704" i="9"/>
  <c r="D709" i="9"/>
  <c r="M709" i="9"/>
  <c r="H710" i="9"/>
  <c r="E712" i="9"/>
  <c r="N712" i="9"/>
  <c r="C714" i="9"/>
  <c r="L714" i="9"/>
  <c r="D717" i="9"/>
  <c r="M717" i="9"/>
  <c r="H718" i="9"/>
  <c r="E720" i="9"/>
  <c r="N720" i="9"/>
  <c r="C722" i="9"/>
  <c r="L722" i="9"/>
  <c r="D725" i="9"/>
  <c r="M725" i="9"/>
  <c r="H726" i="9"/>
  <c r="E728" i="9"/>
  <c r="N728" i="9"/>
  <c r="C730" i="9"/>
  <c r="L730" i="9"/>
  <c r="D733" i="9"/>
  <c r="M733" i="9"/>
  <c r="H734" i="9"/>
  <c r="E736" i="9"/>
  <c r="N736" i="9"/>
  <c r="C738" i="9"/>
  <c r="L738" i="9"/>
  <c r="D741" i="9"/>
  <c r="M741" i="9"/>
  <c r="H742" i="9"/>
  <c r="E744" i="9"/>
  <c r="N744" i="9"/>
  <c r="C746" i="9"/>
  <c r="L746" i="9"/>
  <c r="D749" i="9"/>
  <c r="M749" i="9"/>
  <c r="H750" i="9"/>
  <c r="E752" i="9"/>
  <c r="N752" i="9"/>
  <c r="C754" i="9"/>
  <c r="L754" i="9"/>
  <c r="D757" i="9"/>
  <c r="M757" i="9"/>
  <c r="H758" i="9"/>
  <c r="E760" i="9"/>
  <c r="N760" i="9"/>
  <c r="C762" i="9"/>
  <c r="L762" i="9"/>
  <c r="D765" i="9"/>
  <c r="M765" i="9"/>
  <c r="H766" i="9"/>
  <c r="H768" i="9"/>
  <c r="C771" i="9"/>
  <c r="M771" i="9"/>
  <c r="D773" i="9"/>
  <c r="I779" i="9"/>
  <c r="D780" i="9"/>
  <c r="N780" i="9"/>
  <c r="E782" i="9"/>
  <c r="L783" i="9"/>
  <c r="C783" i="9"/>
  <c r="H784" i="9"/>
  <c r="E787" i="9"/>
  <c r="E791" i="9"/>
  <c r="E794" i="9"/>
  <c r="E798" i="9"/>
  <c r="L808" i="9"/>
  <c r="C808" i="9"/>
  <c r="B808" i="9"/>
  <c r="E812" i="9"/>
  <c r="I814" i="9"/>
  <c r="N814" i="9"/>
  <c r="E814" i="9"/>
  <c r="M814" i="9"/>
  <c r="D814" i="9"/>
  <c r="L815" i="9"/>
  <c r="C815" i="9"/>
  <c r="I815" i="9"/>
  <c r="H815" i="9"/>
  <c r="N815" i="9"/>
  <c r="E819" i="9"/>
  <c r="D820" i="9"/>
  <c r="E828" i="9"/>
  <c r="H832" i="9"/>
  <c r="M840" i="9"/>
  <c r="D840" i="9"/>
  <c r="L840" i="9"/>
  <c r="C840" i="9"/>
  <c r="B840" i="9"/>
  <c r="I851" i="9"/>
  <c r="H854" i="9"/>
  <c r="E860" i="9"/>
  <c r="H864" i="9"/>
  <c r="M872" i="9"/>
  <c r="D872" i="9"/>
  <c r="L872" i="9"/>
  <c r="C872" i="9"/>
  <c r="B872" i="9"/>
  <c r="I883" i="9"/>
  <c r="H886" i="9"/>
  <c r="E892" i="9"/>
  <c r="H896" i="9"/>
  <c r="E908" i="9"/>
  <c r="B924" i="9"/>
  <c r="I924" i="9"/>
  <c r="H924" i="9"/>
  <c r="L924" i="9"/>
  <c r="C924" i="9"/>
  <c r="L947" i="9"/>
  <c r="C947" i="9"/>
  <c r="H947" i="9"/>
  <c r="E947" i="9"/>
  <c r="N947" i="9"/>
  <c r="D947" i="9"/>
  <c r="M947" i="9"/>
  <c r="B947" i="9"/>
  <c r="I947" i="9"/>
  <c r="M963" i="9"/>
  <c r="D963" i="9"/>
  <c r="L963" i="9"/>
  <c r="C963" i="9"/>
  <c r="B963" i="9"/>
  <c r="I963" i="9"/>
  <c r="E963" i="9"/>
  <c r="H867" i="9"/>
  <c r="N867" i="9"/>
  <c r="E867" i="9"/>
  <c r="M867" i="9"/>
  <c r="D867" i="9"/>
  <c r="L867" i="9"/>
  <c r="C867" i="9"/>
  <c r="I870" i="9"/>
  <c r="N870" i="9"/>
  <c r="E870" i="9"/>
  <c r="M870" i="9"/>
  <c r="D870" i="9"/>
  <c r="B876" i="9"/>
  <c r="I876" i="9"/>
  <c r="H876" i="9"/>
  <c r="H899" i="9"/>
  <c r="N899" i="9"/>
  <c r="E899" i="9"/>
  <c r="M899" i="9"/>
  <c r="D899" i="9"/>
  <c r="L899" i="9"/>
  <c r="C899" i="9"/>
  <c r="H907" i="9"/>
  <c r="N907" i="9"/>
  <c r="E907" i="9"/>
  <c r="M907" i="9"/>
  <c r="D907" i="9"/>
  <c r="L907" i="9"/>
  <c r="C907" i="9"/>
  <c r="I907" i="9"/>
  <c r="M920" i="9"/>
  <c r="D920" i="9"/>
  <c r="L920" i="9"/>
  <c r="C920" i="9"/>
  <c r="B920" i="9"/>
  <c r="H920" i="9"/>
  <c r="N966" i="9"/>
  <c r="E966" i="9"/>
  <c r="M966" i="9"/>
  <c r="D966" i="9"/>
  <c r="B966" i="9"/>
  <c r="I966" i="9"/>
  <c r="C966" i="9"/>
  <c r="H696" i="9"/>
  <c r="H704" i="9"/>
  <c r="H712" i="9"/>
  <c r="E714" i="9"/>
  <c r="N714" i="9"/>
  <c r="H720" i="9"/>
  <c r="E722" i="9"/>
  <c r="N722" i="9"/>
  <c r="H728" i="9"/>
  <c r="E730" i="9"/>
  <c r="N730" i="9"/>
  <c r="H736" i="9"/>
  <c r="E738" i="9"/>
  <c r="N738" i="9"/>
  <c r="H744" i="9"/>
  <c r="E746" i="9"/>
  <c r="N746" i="9"/>
  <c r="H752" i="9"/>
  <c r="E754" i="9"/>
  <c r="N754" i="9"/>
  <c r="H760" i="9"/>
  <c r="E762" i="9"/>
  <c r="N762" i="9"/>
  <c r="E771" i="9"/>
  <c r="B772" i="9"/>
  <c r="L772" i="9"/>
  <c r="H773" i="9"/>
  <c r="I775" i="9"/>
  <c r="H782" i="9"/>
  <c r="I787" i="9"/>
  <c r="I791" i="9"/>
  <c r="H794" i="9"/>
  <c r="H798" i="9"/>
  <c r="I819" i="9"/>
  <c r="I820" i="9"/>
  <c r="L824" i="9"/>
  <c r="C824" i="9"/>
  <c r="B824" i="9"/>
  <c r="L828" i="9"/>
  <c r="M848" i="9"/>
  <c r="D848" i="9"/>
  <c r="L848" i="9"/>
  <c r="C848" i="9"/>
  <c r="B848" i="9"/>
  <c r="L860" i="9"/>
  <c r="B867" i="9"/>
  <c r="B870" i="9"/>
  <c r="C876" i="9"/>
  <c r="M880" i="9"/>
  <c r="D880" i="9"/>
  <c r="L880" i="9"/>
  <c r="C880" i="9"/>
  <c r="B880" i="9"/>
  <c r="L892" i="9"/>
  <c r="B899" i="9"/>
  <c r="B907" i="9"/>
  <c r="M908" i="9"/>
  <c r="E920" i="9"/>
  <c r="H966" i="9"/>
  <c r="N982" i="9"/>
  <c r="E982" i="9"/>
  <c r="M982" i="9"/>
  <c r="D982" i="9"/>
  <c r="I982" i="9"/>
  <c r="C982" i="9"/>
  <c r="B982" i="9"/>
  <c r="M995" i="9"/>
  <c r="D995" i="9"/>
  <c r="L995" i="9"/>
  <c r="C995" i="9"/>
  <c r="B995" i="9"/>
  <c r="I995" i="9"/>
  <c r="E995" i="9"/>
  <c r="D604" i="9"/>
  <c r="B670" i="9"/>
  <c r="B678" i="9"/>
  <c r="B686" i="9"/>
  <c r="B694" i="9"/>
  <c r="I696" i="9"/>
  <c r="H701" i="9"/>
  <c r="B702" i="9"/>
  <c r="I704" i="9"/>
  <c r="H709" i="9"/>
  <c r="B710" i="9"/>
  <c r="I712" i="9"/>
  <c r="H717" i="9"/>
  <c r="B718" i="9"/>
  <c r="I720" i="9"/>
  <c r="H725" i="9"/>
  <c r="B726" i="9"/>
  <c r="I728" i="9"/>
  <c r="H733" i="9"/>
  <c r="B734" i="9"/>
  <c r="I736" i="9"/>
  <c r="H741" i="9"/>
  <c r="B742" i="9"/>
  <c r="I744" i="9"/>
  <c r="H749" i="9"/>
  <c r="B750" i="9"/>
  <c r="I752" i="9"/>
  <c r="H757" i="9"/>
  <c r="B758" i="9"/>
  <c r="I760" i="9"/>
  <c r="H765" i="9"/>
  <c r="B766" i="9"/>
  <c r="M770" i="9"/>
  <c r="D770" i="9"/>
  <c r="C772" i="9"/>
  <c r="M772" i="9"/>
  <c r="I773" i="9"/>
  <c r="B779" i="9"/>
  <c r="L779" i="9"/>
  <c r="H780" i="9"/>
  <c r="M786" i="9"/>
  <c r="D786" i="9"/>
  <c r="I786" i="9"/>
  <c r="L786" i="9"/>
  <c r="I790" i="9"/>
  <c r="M790" i="9"/>
  <c r="D790" i="9"/>
  <c r="L790" i="9"/>
  <c r="B804" i="9"/>
  <c r="M804" i="9"/>
  <c r="L812" i="9"/>
  <c r="D824" i="9"/>
  <c r="M828" i="9"/>
  <c r="H843" i="9"/>
  <c r="N843" i="9"/>
  <c r="E843" i="9"/>
  <c r="M843" i="9"/>
  <c r="D843" i="9"/>
  <c r="L843" i="9"/>
  <c r="C843" i="9"/>
  <c r="I846" i="9"/>
  <c r="N846" i="9"/>
  <c r="E846" i="9"/>
  <c r="M846" i="9"/>
  <c r="D846" i="9"/>
  <c r="E848" i="9"/>
  <c r="B852" i="9"/>
  <c r="I852" i="9"/>
  <c r="H852" i="9"/>
  <c r="M860" i="9"/>
  <c r="C870" i="9"/>
  <c r="H875" i="9"/>
  <c r="N875" i="9"/>
  <c r="E875" i="9"/>
  <c r="M875" i="9"/>
  <c r="D875" i="9"/>
  <c r="L875" i="9"/>
  <c r="C875" i="9"/>
  <c r="D876" i="9"/>
  <c r="I878" i="9"/>
  <c r="N878" i="9"/>
  <c r="E878" i="9"/>
  <c r="M878" i="9"/>
  <c r="D878" i="9"/>
  <c r="E880" i="9"/>
  <c r="B884" i="9"/>
  <c r="I884" i="9"/>
  <c r="H884" i="9"/>
  <c r="M892" i="9"/>
  <c r="B916" i="9"/>
  <c r="I916" i="9"/>
  <c r="H916" i="9"/>
  <c r="L916" i="9"/>
  <c r="C916" i="9"/>
  <c r="I920" i="9"/>
  <c r="H923" i="9"/>
  <c r="N923" i="9"/>
  <c r="E923" i="9"/>
  <c r="M923" i="9"/>
  <c r="D923" i="9"/>
  <c r="L923" i="9"/>
  <c r="C923" i="9"/>
  <c r="I923" i="9"/>
  <c r="B932" i="9"/>
  <c r="I932" i="9"/>
  <c r="H932" i="9"/>
  <c r="M932" i="9"/>
  <c r="D932" i="9"/>
  <c r="L932" i="9"/>
  <c r="C932" i="9"/>
  <c r="L966" i="9"/>
  <c r="H982" i="9"/>
  <c r="H995" i="9"/>
  <c r="N998" i="9"/>
  <c r="E998" i="9"/>
  <c r="M998" i="9"/>
  <c r="D998" i="9"/>
  <c r="I998" i="9"/>
  <c r="B998" i="9"/>
  <c r="L998" i="9"/>
  <c r="C998" i="9"/>
  <c r="I701" i="9"/>
  <c r="I709" i="9"/>
  <c r="H714" i="9"/>
  <c r="I717" i="9"/>
  <c r="H722" i="9"/>
  <c r="I725" i="9"/>
  <c r="H730" i="9"/>
  <c r="I733" i="9"/>
  <c r="H738" i="9"/>
  <c r="I741" i="9"/>
  <c r="H746" i="9"/>
  <c r="I749" i="9"/>
  <c r="H754" i="9"/>
  <c r="I757" i="9"/>
  <c r="H762" i="9"/>
  <c r="I765" i="9"/>
  <c r="I771" i="9"/>
  <c r="L775" i="9"/>
  <c r="C775" i="9"/>
  <c r="M856" i="9"/>
  <c r="D856" i="9"/>
  <c r="L856" i="9"/>
  <c r="C856" i="9"/>
  <c r="B856" i="9"/>
  <c r="I867" i="9"/>
  <c r="H870" i="9"/>
  <c r="E876" i="9"/>
  <c r="M888" i="9"/>
  <c r="D888" i="9"/>
  <c r="L888" i="9"/>
  <c r="C888" i="9"/>
  <c r="B888" i="9"/>
  <c r="I899" i="9"/>
  <c r="M912" i="9"/>
  <c r="D912" i="9"/>
  <c r="L912" i="9"/>
  <c r="C912" i="9"/>
  <c r="B912" i="9"/>
  <c r="H912" i="9"/>
  <c r="B940" i="9"/>
  <c r="I940" i="9"/>
  <c r="H940" i="9"/>
  <c r="M940" i="9"/>
  <c r="D940" i="9"/>
  <c r="L940" i="9"/>
  <c r="C940" i="9"/>
  <c r="I954" i="9"/>
  <c r="N954" i="9"/>
  <c r="D954" i="9"/>
  <c r="M954" i="9"/>
  <c r="C954" i="9"/>
  <c r="L954" i="9"/>
  <c r="B954" i="9"/>
  <c r="H954" i="9"/>
  <c r="M979" i="9"/>
  <c r="D979" i="9"/>
  <c r="L979" i="9"/>
  <c r="C979" i="9"/>
  <c r="I979" i="9"/>
  <c r="E979" i="9"/>
  <c r="B979" i="9"/>
  <c r="L984" i="9"/>
  <c r="C984" i="9"/>
  <c r="B984" i="9"/>
  <c r="D984" i="9"/>
  <c r="M984" i="9"/>
  <c r="I984" i="9"/>
  <c r="E984" i="9"/>
  <c r="I714" i="9"/>
  <c r="I722" i="9"/>
  <c r="I730" i="9"/>
  <c r="I738" i="9"/>
  <c r="I746" i="9"/>
  <c r="N773" i="9"/>
  <c r="E773" i="9"/>
  <c r="H787" i="9"/>
  <c r="L787" i="9"/>
  <c r="C787" i="9"/>
  <c r="M787" i="9"/>
  <c r="L791" i="9"/>
  <c r="C791" i="9"/>
  <c r="H791" i="9"/>
  <c r="M791" i="9"/>
  <c r="M794" i="9"/>
  <c r="D794" i="9"/>
  <c r="I794" i="9"/>
  <c r="L794" i="9"/>
  <c r="I798" i="9"/>
  <c r="M798" i="9"/>
  <c r="D798" i="9"/>
  <c r="L798" i="9"/>
  <c r="H811" i="9"/>
  <c r="M811" i="9"/>
  <c r="D811" i="9"/>
  <c r="L811" i="9"/>
  <c r="C811" i="9"/>
  <c r="B812" i="9"/>
  <c r="H812" i="9"/>
  <c r="N812" i="9"/>
  <c r="B828" i="9"/>
  <c r="I828" i="9"/>
  <c r="H828" i="9"/>
  <c r="H851" i="9"/>
  <c r="N851" i="9"/>
  <c r="E851" i="9"/>
  <c r="M851" i="9"/>
  <c r="D851" i="9"/>
  <c r="L851" i="9"/>
  <c r="C851" i="9"/>
  <c r="I854" i="9"/>
  <c r="N854" i="9"/>
  <c r="E854" i="9"/>
  <c r="M854" i="9"/>
  <c r="D854" i="9"/>
  <c r="B860" i="9"/>
  <c r="I860" i="9"/>
  <c r="H860" i="9"/>
  <c r="H883" i="9"/>
  <c r="N883" i="9"/>
  <c r="E883" i="9"/>
  <c r="M883" i="9"/>
  <c r="D883" i="9"/>
  <c r="L883" i="9"/>
  <c r="C883" i="9"/>
  <c r="I886" i="9"/>
  <c r="N886" i="9"/>
  <c r="E886" i="9"/>
  <c r="M886" i="9"/>
  <c r="D886" i="9"/>
  <c r="B892" i="9"/>
  <c r="I892" i="9"/>
  <c r="H892" i="9"/>
  <c r="E912" i="9"/>
  <c r="N920" i="9"/>
  <c r="I946" i="9"/>
  <c r="L946" i="9"/>
  <c r="B946" i="9"/>
  <c r="H946" i="9"/>
  <c r="N946" i="9"/>
  <c r="D946" i="9"/>
  <c r="M946" i="9"/>
  <c r="C946" i="9"/>
  <c r="E954" i="9"/>
  <c r="I999" i="9"/>
  <c r="H999" i="9"/>
  <c r="L999" i="9"/>
  <c r="C999" i="9"/>
  <c r="B999" i="9"/>
  <c r="M999" i="9"/>
  <c r="E999" i="9"/>
  <c r="D999" i="9"/>
  <c r="B749" i="9"/>
  <c r="B757" i="9"/>
  <c r="B765" i="9"/>
  <c r="B773" i="9"/>
  <c r="L773" i="9"/>
  <c r="B780" i="9"/>
  <c r="L780" i="9"/>
  <c r="B787" i="9"/>
  <c r="N787" i="9"/>
  <c r="B791" i="9"/>
  <c r="N791" i="9"/>
  <c r="B794" i="9"/>
  <c r="N794" i="9"/>
  <c r="B798" i="9"/>
  <c r="N798" i="9"/>
  <c r="B811" i="9"/>
  <c r="C812" i="9"/>
  <c r="H819" i="9"/>
  <c r="M819" i="9"/>
  <c r="D819" i="9"/>
  <c r="L819" i="9"/>
  <c r="C819" i="9"/>
  <c r="B820" i="9"/>
  <c r="H820" i="9"/>
  <c r="N820" i="9"/>
  <c r="C828" i="9"/>
  <c r="M832" i="9"/>
  <c r="D832" i="9"/>
  <c r="L832" i="9"/>
  <c r="C832" i="9"/>
  <c r="B832" i="9"/>
  <c r="B851" i="9"/>
  <c r="B854" i="9"/>
  <c r="H856" i="9"/>
  <c r="C860" i="9"/>
  <c r="M864" i="9"/>
  <c r="D864" i="9"/>
  <c r="L864" i="9"/>
  <c r="C864" i="9"/>
  <c r="B864" i="9"/>
  <c r="L876" i="9"/>
  <c r="B883" i="9"/>
  <c r="B886" i="9"/>
  <c r="H888" i="9"/>
  <c r="C892" i="9"/>
  <c r="M896" i="9"/>
  <c r="D896" i="9"/>
  <c r="L896" i="9"/>
  <c r="C896" i="9"/>
  <c r="B896" i="9"/>
  <c r="B908" i="9"/>
  <c r="I908" i="9"/>
  <c r="H908" i="9"/>
  <c r="L908" i="9"/>
  <c r="C908" i="9"/>
  <c r="I912" i="9"/>
  <c r="H915" i="9"/>
  <c r="N915" i="9"/>
  <c r="E915" i="9"/>
  <c r="M915" i="9"/>
  <c r="D915" i="9"/>
  <c r="L915" i="9"/>
  <c r="C915" i="9"/>
  <c r="I915" i="9"/>
  <c r="M928" i="9"/>
  <c r="D928" i="9"/>
  <c r="L928" i="9"/>
  <c r="C928" i="9"/>
  <c r="B928" i="9"/>
  <c r="I928" i="9"/>
  <c r="H928" i="9"/>
  <c r="E946" i="9"/>
  <c r="L968" i="9"/>
  <c r="C968" i="9"/>
  <c r="B968" i="9"/>
  <c r="I968" i="9"/>
  <c r="E968" i="9"/>
  <c r="D968" i="9"/>
  <c r="M968" i="9"/>
  <c r="I931" i="9"/>
  <c r="I939" i="9"/>
  <c r="B944" i="9"/>
  <c r="L944" i="9"/>
  <c r="L960" i="9"/>
  <c r="C960" i="9"/>
  <c r="B960" i="9"/>
  <c r="N960" i="9"/>
  <c r="M971" i="9"/>
  <c r="D971" i="9"/>
  <c r="L971" i="9"/>
  <c r="C971" i="9"/>
  <c r="N971" i="9"/>
  <c r="N974" i="9"/>
  <c r="E974" i="9"/>
  <c r="M974" i="9"/>
  <c r="D974" i="9"/>
  <c r="L974" i="9"/>
  <c r="L992" i="9"/>
  <c r="C992" i="9"/>
  <c r="B992" i="9"/>
  <c r="N992" i="9"/>
  <c r="M958" i="9"/>
  <c r="D958" i="9"/>
  <c r="D960" i="9"/>
  <c r="N961" i="9"/>
  <c r="E961" i="9"/>
  <c r="L961" i="9"/>
  <c r="B971" i="9"/>
  <c r="H972" i="9"/>
  <c r="L972" i="9"/>
  <c r="B974" i="9"/>
  <c r="I975" i="9"/>
  <c r="H975" i="9"/>
  <c r="L975" i="9"/>
  <c r="D992" i="9"/>
  <c r="N993" i="9"/>
  <c r="E993" i="9"/>
  <c r="L993" i="9"/>
  <c r="I810" i="9"/>
  <c r="I818" i="9"/>
  <c r="I826" i="9"/>
  <c r="H831" i="9"/>
  <c r="I834" i="9"/>
  <c r="H839" i="9"/>
  <c r="I842" i="9"/>
  <c r="H847" i="9"/>
  <c r="I850" i="9"/>
  <c r="H855" i="9"/>
  <c r="I858" i="9"/>
  <c r="H863" i="9"/>
  <c r="I866" i="9"/>
  <c r="H871" i="9"/>
  <c r="I874" i="9"/>
  <c r="H879" i="9"/>
  <c r="I882" i="9"/>
  <c r="H887" i="9"/>
  <c r="I890" i="9"/>
  <c r="H895" i="9"/>
  <c r="I898" i="9"/>
  <c r="D902" i="9"/>
  <c r="M902" i="9"/>
  <c r="H903" i="9"/>
  <c r="I906" i="9"/>
  <c r="D910" i="9"/>
  <c r="M910" i="9"/>
  <c r="H911" i="9"/>
  <c r="I914" i="9"/>
  <c r="D918" i="9"/>
  <c r="M918" i="9"/>
  <c r="H919" i="9"/>
  <c r="I922" i="9"/>
  <c r="D926" i="9"/>
  <c r="M926" i="9"/>
  <c r="H927" i="9"/>
  <c r="I930" i="9"/>
  <c r="C931" i="9"/>
  <c r="L931" i="9"/>
  <c r="D934" i="9"/>
  <c r="M934" i="9"/>
  <c r="H935" i="9"/>
  <c r="I938" i="9"/>
  <c r="C939" i="9"/>
  <c r="L939" i="9"/>
  <c r="D942" i="9"/>
  <c r="N942" i="9"/>
  <c r="E944" i="9"/>
  <c r="N945" i="9"/>
  <c r="E945" i="9"/>
  <c r="I948" i="9"/>
  <c r="I950" i="9"/>
  <c r="D951" i="9"/>
  <c r="N951" i="9"/>
  <c r="C956" i="9"/>
  <c r="M956" i="9"/>
  <c r="C958" i="9"/>
  <c r="N958" i="9"/>
  <c r="C961" i="9"/>
  <c r="N969" i="9"/>
  <c r="E969" i="9"/>
  <c r="L969" i="9"/>
  <c r="C972" i="9"/>
  <c r="N972" i="9"/>
  <c r="C975" i="9"/>
  <c r="N975" i="9"/>
  <c r="H980" i="9"/>
  <c r="L980" i="9"/>
  <c r="I983" i="9"/>
  <c r="H983" i="9"/>
  <c r="L983" i="9"/>
  <c r="C993" i="9"/>
  <c r="I831" i="9"/>
  <c r="I839" i="9"/>
  <c r="I847" i="9"/>
  <c r="I855" i="9"/>
  <c r="I863" i="9"/>
  <c r="I871" i="9"/>
  <c r="I879" i="9"/>
  <c r="I887" i="9"/>
  <c r="I895" i="9"/>
  <c r="E902" i="9"/>
  <c r="N902" i="9"/>
  <c r="I903" i="9"/>
  <c r="E910" i="9"/>
  <c r="N910" i="9"/>
  <c r="I911" i="9"/>
  <c r="E918" i="9"/>
  <c r="N918" i="9"/>
  <c r="I919" i="9"/>
  <c r="E926" i="9"/>
  <c r="N926" i="9"/>
  <c r="I927" i="9"/>
  <c r="D931" i="9"/>
  <c r="M931" i="9"/>
  <c r="E934" i="9"/>
  <c r="N934" i="9"/>
  <c r="I935" i="9"/>
  <c r="D939" i="9"/>
  <c r="M939" i="9"/>
  <c r="E942" i="9"/>
  <c r="B945" i="9"/>
  <c r="L945" i="9"/>
  <c r="E951" i="9"/>
  <c r="B952" i="9"/>
  <c r="L952" i="9"/>
  <c r="D956" i="9"/>
  <c r="N956" i="9"/>
  <c r="E958" i="9"/>
  <c r="H960" i="9"/>
  <c r="D961" i="9"/>
  <c r="B969" i="9"/>
  <c r="M969" i="9"/>
  <c r="H971" i="9"/>
  <c r="D972" i="9"/>
  <c r="H974" i="9"/>
  <c r="D975" i="9"/>
  <c r="L976" i="9"/>
  <c r="C976" i="9"/>
  <c r="B976" i="9"/>
  <c r="N976" i="9"/>
  <c r="B980" i="9"/>
  <c r="M980" i="9"/>
  <c r="B983" i="9"/>
  <c r="M983" i="9"/>
  <c r="M987" i="9"/>
  <c r="D987" i="9"/>
  <c r="L987" i="9"/>
  <c r="C987" i="9"/>
  <c r="N987" i="9"/>
  <c r="N990" i="9"/>
  <c r="E990" i="9"/>
  <c r="M990" i="9"/>
  <c r="D990" i="9"/>
  <c r="L990" i="9"/>
  <c r="H992" i="9"/>
  <c r="D993" i="9"/>
  <c r="E931" i="9"/>
  <c r="N931" i="9"/>
  <c r="E939" i="9"/>
  <c r="N939" i="9"/>
  <c r="H944" i="9"/>
  <c r="M950" i="9"/>
  <c r="D950" i="9"/>
  <c r="E956" i="9"/>
  <c r="I960" i="9"/>
  <c r="H961" i="9"/>
  <c r="I971" i="9"/>
  <c r="E972" i="9"/>
  <c r="I974" i="9"/>
  <c r="E975" i="9"/>
  <c r="N977" i="9"/>
  <c r="E977" i="9"/>
  <c r="L977" i="9"/>
  <c r="H988" i="9"/>
  <c r="L988" i="9"/>
  <c r="I991" i="9"/>
  <c r="H991" i="9"/>
  <c r="L991" i="9"/>
  <c r="I992" i="9"/>
  <c r="H993" i="9"/>
  <c r="E789" i="9"/>
  <c r="E797" i="9"/>
  <c r="E805" i="9"/>
  <c r="D810" i="9"/>
  <c r="E813" i="9"/>
  <c r="D818" i="9"/>
  <c r="E821" i="9"/>
  <c r="D826" i="9"/>
  <c r="E829" i="9"/>
  <c r="C831" i="9"/>
  <c r="D834" i="9"/>
  <c r="E837" i="9"/>
  <c r="C839" i="9"/>
  <c r="D842" i="9"/>
  <c r="E845" i="9"/>
  <c r="C847" i="9"/>
  <c r="D850" i="9"/>
  <c r="E853" i="9"/>
  <c r="C855" i="9"/>
  <c r="D858" i="9"/>
  <c r="E861" i="9"/>
  <c r="C863" i="9"/>
  <c r="D866" i="9"/>
  <c r="E869" i="9"/>
  <c r="C871" i="9"/>
  <c r="D874" i="9"/>
  <c r="E877" i="9"/>
  <c r="C879" i="9"/>
  <c r="D882" i="9"/>
  <c r="E885" i="9"/>
  <c r="C887" i="9"/>
  <c r="D890" i="9"/>
  <c r="E893" i="9"/>
  <c r="C895" i="9"/>
  <c r="D898" i="9"/>
  <c r="E901" i="9"/>
  <c r="C903" i="9"/>
  <c r="D906" i="9"/>
  <c r="E909" i="9"/>
  <c r="C911" i="9"/>
  <c r="D914" i="9"/>
  <c r="E917" i="9"/>
  <c r="C919" i="9"/>
  <c r="D922" i="9"/>
  <c r="E925" i="9"/>
  <c r="C927" i="9"/>
  <c r="D930" i="9"/>
  <c r="E933" i="9"/>
  <c r="C935" i="9"/>
  <c r="D938" i="9"/>
  <c r="E941" i="9"/>
  <c r="I942" i="9"/>
  <c r="D943" i="9"/>
  <c r="N943" i="9"/>
  <c r="C948" i="9"/>
  <c r="M948" i="9"/>
  <c r="C950" i="9"/>
  <c r="N950" i="9"/>
  <c r="E952" i="9"/>
  <c r="N953" i="9"/>
  <c r="E953" i="9"/>
  <c r="I956" i="9"/>
  <c r="I958" i="9"/>
  <c r="D959" i="9"/>
  <c r="N959" i="9"/>
  <c r="M960" i="9"/>
  <c r="H964" i="9"/>
  <c r="L964" i="9"/>
  <c r="I967" i="9"/>
  <c r="H967" i="9"/>
  <c r="L967" i="9"/>
  <c r="H969" i="9"/>
  <c r="C977" i="9"/>
  <c r="E980" i="9"/>
  <c r="E983" i="9"/>
  <c r="N985" i="9"/>
  <c r="E985" i="9"/>
  <c r="L985" i="9"/>
  <c r="C988" i="9"/>
  <c r="N988" i="9"/>
  <c r="C991" i="9"/>
  <c r="N991" i="9"/>
  <c r="M992" i="9"/>
  <c r="H996" i="9"/>
  <c r="L996" i="9"/>
  <c r="L1000" i="9"/>
  <c r="C1000" i="9"/>
  <c r="B1000" i="9"/>
  <c r="I962" i="9"/>
  <c r="I970" i="9"/>
  <c r="I978" i="9"/>
  <c r="I986" i="9"/>
  <c r="I994" i="9"/>
  <c r="J2" i="5" l="1"/>
  <c r="J3" i="5"/>
  <c r="K3" i="5" s="1"/>
  <c r="J4" i="5"/>
  <c r="K4" i="5" s="1"/>
  <c r="J5" i="5"/>
  <c r="K5" i="5" s="1"/>
  <c r="J6" i="5"/>
  <c r="K6" i="5" s="1"/>
  <c r="J7" i="5"/>
  <c r="K7" i="5" s="1"/>
  <c r="J8" i="5"/>
  <c r="K8" i="5" s="1"/>
  <c r="J9" i="5"/>
  <c r="K9" i="5" s="1"/>
  <c r="J10" i="5"/>
  <c r="K10" i="5" s="1"/>
  <c r="J11" i="5"/>
  <c r="K11" i="5" s="1"/>
  <c r="J12" i="5"/>
  <c r="K12" i="5" s="1"/>
  <c r="J13" i="5"/>
  <c r="K13" i="5" s="1"/>
  <c r="J14" i="5"/>
  <c r="K14" i="5" s="1"/>
  <c r="J15" i="5"/>
  <c r="K15" i="5" s="1"/>
  <c r="J16" i="5"/>
  <c r="K16" i="5" s="1"/>
  <c r="J17" i="5"/>
  <c r="K17" i="5" s="1"/>
  <c r="J18" i="5"/>
  <c r="K18" i="5" s="1"/>
  <c r="J19" i="5"/>
  <c r="K19" i="5" s="1"/>
  <c r="J20" i="5"/>
  <c r="K20" i="5" s="1"/>
  <c r="J21" i="5"/>
  <c r="K21" i="5" s="1"/>
  <c r="J22" i="5"/>
  <c r="K22" i="5" s="1"/>
  <c r="J23" i="5"/>
  <c r="K23" i="5" s="1"/>
  <c r="J24" i="5"/>
  <c r="K24" i="5" s="1"/>
  <c r="J25" i="5"/>
  <c r="K25" i="5" s="1"/>
  <c r="J26" i="5"/>
  <c r="K26" i="5" s="1"/>
  <c r="J27" i="5"/>
  <c r="K27" i="5" s="1"/>
  <c r="J28" i="5"/>
  <c r="K28" i="5" s="1"/>
  <c r="J29" i="5"/>
  <c r="K29" i="5" s="1"/>
  <c r="J30" i="5"/>
  <c r="K30" i="5" s="1"/>
  <c r="J31" i="5"/>
  <c r="K31" i="5" s="1"/>
  <c r="J32" i="5"/>
  <c r="K32" i="5" s="1"/>
  <c r="J33" i="5"/>
  <c r="K33" i="5" s="1"/>
  <c r="J34" i="5"/>
  <c r="K34" i="5" s="1"/>
  <c r="J35" i="5"/>
  <c r="K35" i="5" s="1"/>
  <c r="J36" i="5"/>
  <c r="K36" i="5" s="1"/>
  <c r="J37" i="5"/>
  <c r="K37" i="5" s="1"/>
  <c r="J38" i="5"/>
  <c r="K38" i="5" s="1"/>
  <c r="J39" i="5"/>
  <c r="K39" i="5" s="1"/>
  <c r="J40" i="5"/>
  <c r="K40" i="5" s="1"/>
  <c r="J41" i="5"/>
  <c r="K41" i="5" s="1"/>
  <c r="J42" i="5"/>
  <c r="K42" i="5" s="1"/>
  <c r="J43" i="5"/>
  <c r="K43" i="5" s="1"/>
  <c r="J44" i="5"/>
  <c r="K44" i="5" s="1"/>
  <c r="J45" i="5"/>
  <c r="K45" i="5" s="1"/>
  <c r="J46" i="5"/>
  <c r="K46" i="5" s="1"/>
  <c r="J47" i="5"/>
  <c r="K47" i="5" s="1"/>
  <c r="J48" i="5"/>
  <c r="K48" i="5" s="1"/>
  <c r="J49" i="5"/>
  <c r="K49" i="5" s="1"/>
  <c r="J50" i="5"/>
  <c r="K50" i="5" s="1"/>
  <c r="J51" i="5"/>
  <c r="K51" i="5" s="1"/>
  <c r="J52" i="5"/>
  <c r="K52" i="5" s="1"/>
  <c r="J53" i="5"/>
  <c r="K53" i="5" s="1"/>
  <c r="J54" i="5"/>
  <c r="K54" i="5" s="1"/>
  <c r="J55" i="5"/>
  <c r="K55" i="5" s="1"/>
  <c r="J56" i="5"/>
  <c r="K56" i="5" s="1"/>
  <c r="J57" i="5"/>
  <c r="K57" i="5" s="1"/>
  <c r="J58" i="5"/>
  <c r="K58" i="5" s="1"/>
  <c r="J59" i="5"/>
  <c r="K59" i="5" s="1"/>
  <c r="J60" i="5"/>
  <c r="K60" i="5" s="1"/>
  <c r="J61" i="5"/>
  <c r="K61" i="5" s="1"/>
  <c r="J62" i="5"/>
  <c r="K62" i="5" s="1"/>
  <c r="J63" i="5"/>
  <c r="K63" i="5" s="1"/>
  <c r="J64" i="5"/>
  <c r="K64" i="5" s="1"/>
  <c r="J65" i="5"/>
  <c r="K65" i="5" s="1"/>
  <c r="J66" i="5"/>
  <c r="K66" i="5" s="1"/>
  <c r="J67" i="5"/>
  <c r="K67" i="5" s="1"/>
  <c r="J68" i="5"/>
  <c r="K68" i="5" s="1"/>
  <c r="J69" i="5"/>
  <c r="K69" i="5" s="1"/>
  <c r="J70" i="5"/>
  <c r="K70" i="5" s="1"/>
  <c r="J71" i="5"/>
  <c r="K71" i="5" s="1"/>
  <c r="J72" i="5"/>
  <c r="K72" i="5" s="1"/>
  <c r="J73" i="5"/>
  <c r="K73" i="5" s="1"/>
  <c r="J74" i="5"/>
  <c r="K74" i="5" s="1"/>
  <c r="J75" i="5"/>
  <c r="K75" i="5" s="1"/>
  <c r="J76" i="5"/>
  <c r="K76" i="5" s="1"/>
  <c r="J77" i="5"/>
  <c r="K77" i="5" s="1"/>
  <c r="J78" i="5"/>
  <c r="K78" i="5" s="1"/>
  <c r="J79" i="5"/>
  <c r="K79" i="5" s="1"/>
  <c r="J80" i="5"/>
  <c r="K80" i="5" s="1"/>
  <c r="J81" i="5"/>
  <c r="K81" i="5" s="1"/>
  <c r="J82" i="5"/>
  <c r="K82" i="5" s="1"/>
  <c r="J83" i="5"/>
  <c r="K83" i="5" s="1"/>
  <c r="J84" i="5"/>
  <c r="K84" i="5" s="1"/>
  <c r="J85" i="5"/>
  <c r="K85" i="5" s="1"/>
  <c r="J86" i="5"/>
  <c r="K86" i="5" s="1"/>
  <c r="J87" i="5"/>
  <c r="K87" i="5" s="1"/>
  <c r="J88" i="5"/>
  <c r="K88" i="5" s="1"/>
  <c r="J89" i="5"/>
  <c r="K89" i="5" s="1"/>
  <c r="J90" i="5"/>
  <c r="K90" i="5" s="1"/>
  <c r="J91" i="5"/>
  <c r="K91" i="5" s="1"/>
  <c r="J92" i="5"/>
  <c r="K92" i="5" s="1"/>
  <c r="J93" i="5"/>
  <c r="K93" i="5" s="1"/>
  <c r="J94" i="5"/>
  <c r="K94" i="5" s="1"/>
  <c r="J95" i="5"/>
  <c r="K95" i="5" s="1"/>
  <c r="J96" i="5"/>
  <c r="K96" i="5" s="1"/>
  <c r="J97" i="5"/>
  <c r="K97" i="5" s="1"/>
  <c r="J98" i="5"/>
  <c r="K98" i="5" s="1"/>
  <c r="J99" i="5"/>
  <c r="K99" i="5" s="1"/>
  <c r="J100" i="5"/>
  <c r="K100" i="5" s="1"/>
  <c r="J101" i="5"/>
  <c r="K101" i="5" s="1"/>
  <c r="J102" i="5"/>
  <c r="K102" i="5" s="1"/>
  <c r="J103" i="5"/>
  <c r="K103" i="5" s="1"/>
  <c r="J104" i="5"/>
  <c r="K104" i="5" s="1"/>
  <c r="J105" i="5"/>
  <c r="K105" i="5" s="1"/>
  <c r="J106" i="5"/>
  <c r="K106" i="5" s="1"/>
  <c r="J107" i="5"/>
  <c r="K107" i="5" s="1"/>
  <c r="J108" i="5"/>
  <c r="K108" i="5" s="1"/>
  <c r="J109" i="5"/>
  <c r="K109" i="5" s="1"/>
  <c r="J110" i="5"/>
  <c r="K110" i="5" s="1"/>
  <c r="J111" i="5"/>
  <c r="K111" i="5" s="1"/>
  <c r="J112" i="5"/>
  <c r="K112" i="5" s="1"/>
  <c r="J113" i="5"/>
  <c r="K113" i="5" s="1"/>
  <c r="J114" i="5"/>
  <c r="K114" i="5" s="1"/>
  <c r="J115" i="5"/>
  <c r="K115" i="5" s="1"/>
  <c r="J116" i="5"/>
  <c r="K116" i="5" s="1"/>
  <c r="J117" i="5"/>
  <c r="K117" i="5" s="1"/>
  <c r="J118" i="5"/>
  <c r="K118" i="5" s="1"/>
  <c r="J119" i="5"/>
  <c r="K119" i="5" s="1"/>
  <c r="J120" i="5"/>
  <c r="K120" i="5" s="1"/>
  <c r="J121" i="5"/>
  <c r="K121" i="5" s="1"/>
  <c r="J122" i="5"/>
  <c r="K122" i="5" s="1"/>
  <c r="J123" i="5"/>
  <c r="K123" i="5" s="1"/>
  <c r="J124" i="5"/>
  <c r="K124" i="5" s="1"/>
  <c r="J125" i="5"/>
  <c r="K125" i="5" s="1"/>
  <c r="J126" i="5"/>
  <c r="K126" i="5" s="1"/>
  <c r="J127" i="5"/>
  <c r="K127" i="5" s="1"/>
  <c r="J128" i="5"/>
  <c r="K128" i="5" s="1"/>
  <c r="J129" i="5"/>
  <c r="K129" i="5" s="1"/>
  <c r="J130" i="5"/>
  <c r="K130" i="5" s="1"/>
  <c r="J131" i="5"/>
  <c r="K131" i="5" s="1"/>
  <c r="J132" i="5"/>
  <c r="K132" i="5" s="1"/>
  <c r="J133" i="5"/>
  <c r="K133" i="5" s="1"/>
  <c r="J134" i="5"/>
  <c r="K134" i="5" s="1"/>
  <c r="J135" i="5"/>
  <c r="K135" i="5" s="1"/>
  <c r="J136" i="5"/>
  <c r="K136" i="5" s="1"/>
  <c r="J137" i="5"/>
  <c r="K137" i="5" s="1"/>
  <c r="J138" i="5"/>
  <c r="K138" i="5" s="1"/>
  <c r="J139" i="5"/>
  <c r="K139" i="5" s="1"/>
  <c r="J140" i="5"/>
  <c r="K140" i="5" s="1"/>
  <c r="J141" i="5"/>
  <c r="K141" i="5" s="1"/>
  <c r="J142" i="5"/>
  <c r="K142" i="5" s="1"/>
  <c r="J143" i="5"/>
  <c r="K143" i="5" s="1"/>
  <c r="J144" i="5"/>
  <c r="K144" i="5" s="1"/>
  <c r="J145" i="5"/>
  <c r="K145" i="5" s="1"/>
  <c r="J146" i="5"/>
  <c r="K146" i="5" s="1"/>
  <c r="J147" i="5"/>
  <c r="K147" i="5" s="1"/>
  <c r="J148" i="5"/>
  <c r="K148" i="5" s="1"/>
  <c r="J149" i="5"/>
  <c r="K149" i="5" s="1"/>
  <c r="J150" i="5"/>
  <c r="K150" i="5" s="1"/>
  <c r="J151" i="5"/>
  <c r="K151" i="5" s="1"/>
  <c r="J152" i="5"/>
  <c r="K152" i="5" s="1"/>
  <c r="J153" i="5"/>
  <c r="K153" i="5" s="1"/>
  <c r="J154" i="5"/>
  <c r="K154" i="5" s="1"/>
  <c r="J155" i="5"/>
  <c r="K155" i="5" s="1"/>
  <c r="J156" i="5"/>
  <c r="K156" i="5" s="1"/>
  <c r="J157" i="5"/>
  <c r="K157" i="5" s="1"/>
  <c r="J158" i="5"/>
  <c r="K158" i="5" s="1"/>
  <c r="J159" i="5"/>
  <c r="K159" i="5" s="1"/>
  <c r="J160" i="5"/>
  <c r="K160" i="5" s="1"/>
  <c r="J161" i="5"/>
  <c r="K161" i="5" s="1"/>
  <c r="J162" i="5"/>
  <c r="K162" i="5" s="1"/>
  <c r="J163" i="5"/>
  <c r="K163" i="5" s="1"/>
  <c r="J164" i="5"/>
  <c r="K164" i="5" s="1"/>
  <c r="J165" i="5"/>
  <c r="K165" i="5" s="1"/>
  <c r="J166" i="5"/>
  <c r="K166" i="5" s="1"/>
  <c r="J167" i="5"/>
  <c r="K167" i="5" s="1"/>
  <c r="J168" i="5"/>
  <c r="K168" i="5" s="1"/>
  <c r="J169" i="5"/>
  <c r="K169" i="5" s="1"/>
  <c r="J170" i="5"/>
  <c r="K170" i="5" s="1"/>
  <c r="J171" i="5"/>
  <c r="K171" i="5" s="1"/>
  <c r="J172" i="5"/>
  <c r="K172" i="5" s="1"/>
  <c r="J173" i="5"/>
  <c r="K173" i="5" s="1"/>
  <c r="J174" i="5"/>
  <c r="K174" i="5" s="1"/>
  <c r="J175" i="5"/>
  <c r="K175" i="5" s="1"/>
  <c r="J176" i="5"/>
  <c r="K176" i="5" s="1"/>
  <c r="J177" i="5"/>
  <c r="K177" i="5" s="1"/>
  <c r="J178" i="5"/>
  <c r="K178" i="5" s="1"/>
  <c r="J179" i="5"/>
  <c r="K179" i="5" s="1"/>
  <c r="J180" i="5"/>
  <c r="K180" i="5" s="1"/>
  <c r="J181" i="5"/>
  <c r="K181" i="5" s="1"/>
  <c r="J182" i="5"/>
  <c r="K182" i="5" s="1"/>
  <c r="J183" i="5"/>
  <c r="K183" i="5" s="1"/>
  <c r="J184" i="5"/>
  <c r="K184" i="5" s="1"/>
  <c r="J185" i="5"/>
  <c r="K185" i="5" s="1"/>
  <c r="J186" i="5"/>
  <c r="K186" i="5" s="1"/>
  <c r="J187" i="5"/>
  <c r="K187" i="5" s="1"/>
  <c r="J188" i="5"/>
  <c r="K188" i="5" s="1"/>
  <c r="J189" i="5"/>
  <c r="K189" i="5" s="1"/>
  <c r="J190" i="5"/>
  <c r="K190" i="5" s="1"/>
  <c r="J191" i="5"/>
  <c r="K191" i="5" s="1"/>
  <c r="J192" i="5"/>
  <c r="K192" i="5" s="1"/>
  <c r="J193" i="5"/>
  <c r="K193" i="5" s="1"/>
  <c r="J194" i="5"/>
  <c r="K194" i="5" s="1"/>
  <c r="J195" i="5"/>
  <c r="K195" i="5" s="1"/>
  <c r="J196" i="5"/>
  <c r="K196" i="5" s="1"/>
  <c r="J197" i="5"/>
  <c r="K197" i="5" s="1"/>
  <c r="J198" i="5"/>
  <c r="K198" i="5" s="1"/>
  <c r="J199" i="5"/>
  <c r="K199" i="5" s="1"/>
  <c r="J200" i="5"/>
  <c r="K200" i="5" s="1"/>
  <c r="J201" i="5"/>
  <c r="K201" i="5" s="1"/>
  <c r="J202" i="5"/>
  <c r="K202" i="5" s="1"/>
  <c r="J203" i="5"/>
  <c r="K203" i="5" s="1"/>
  <c r="J204" i="5"/>
  <c r="K204" i="5" s="1"/>
  <c r="J205" i="5"/>
  <c r="K205" i="5" s="1"/>
  <c r="J206" i="5"/>
  <c r="K206" i="5" s="1"/>
  <c r="J207" i="5"/>
  <c r="K207" i="5" s="1"/>
  <c r="J208" i="5"/>
  <c r="K208" i="5" s="1"/>
  <c r="J209" i="5"/>
  <c r="K209" i="5" s="1"/>
  <c r="J210" i="5"/>
  <c r="K210" i="5" s="1"/>
  <c r="J211" i="5"/>
  <c r="K211" i="5" s="1"/>
  <c r="J212" i="5"/>
  <c r="K212" i="5" s="1"/>
  <c r="J213" i="5"/>
  <c r="K213" i="5" s="1"/>
  <c r="J214" i="5"/>
  <c r="K214" i="5" s="1"/>
  <c r="J215" i="5"/>
  <c r="K215" i="5" s="1"/>
  <c r="J216" i="5"/>
  <c r="K216" i="5" s="1"/>
  <c r="J217" i="5"/>
  <c r="K217" i="5" s="1"/>
  <c r="J218" i="5"/>
  <c r="K218" i="5" s="1"/>
  <c r="J219" i="5"/>
  <c r="K219" i="5" s="1"/>
  <c r="J220" i="5"/>
  <c r="K220" i="5" s="1"/>
  <c r="J221" i="5"/>
  <c r="K221" i="5" s="1"/>
  <c r="J222" i="5"/>
  <c r="K222" i="5" s="1"/>
  <c r="J223" i="5"/>
  <c r="K223" i="5" s="1"/>
  <c r="J224" i="5"/>
  <c r="K224" i="5" s="1"/>
  <c r="J225" i="5"/>
  <c r="K225" i="5" s="1"/>
  <c r="J226" i="5"/>
  <c r="K226" i="5" s="1"/>
  <c r="J227" i="5"/>
  <c r="K227" i="5" s="1"/>
  <c r="J228" i="5"/>
  <c r="K228" i="5" s="1"/>
  <c r="J229" i="5"/>
  <c r="K229" i="5" s="1"/>
  <c r="J230" i="5"/>
  <c r="K230" i="5" s="1"/>
  <c r="J231" i="5"/>
  <c r="K231" i="5" s="1"/>
  <c r="J232" i="5"/>
  <c r="K232" i="5" s="1"/>
  <c r="J233" i="5"/>
  <c r="K233" i="5" s="1"/>
  <c r="J234" i="5"/>
  <c r="K234" i="5" s="1"/>
  <c r="J235" i="5"/>
  <c r="K235" i="5" s="1"/>
  <c r="J236" i="5"/>
  <c r="K236" i="5" s="1"/>
  <c r="J237" i="5"/>
  <c r="K237" i="5" s="1"/>
  <c r="J238" i="5"/>
  <c r="K238" i="5" s="1"/>
  <c r="J239" i="5"/>
  <c r="K239" i="5" s="1"/>
  <c r="J240" i="5"/>
  <c r="K240" i="5" s="1"/>
  <c r="J241" i="5"/>
  <c r="K241" i="5" s="1"/>
  <c r="J242" i="5"/>
  <c r="K242" i="5" s="1"/>
  <c r="J243" i="5"/>
  <c r="K243" i="5" s="1"/>
  <c r="J244" i="5"/>
  <c r="K244" i="5" s="1"/>
  <c r="J245" i="5"/>
  <c r="K245" i="5" s="1"/>
  <c r="J246" i="5"/>
  <c r="K246" i="5" s="1"/>
  <c r="J247" i="5"/>
  <c r="K247" i="5" s="1"/>
  <c r="J248" i="5"/>
  <c r="K248" i="5" s="1"/>
  <c r="J249" i="5"/>
  <c r="K249" i="5" s="1"/>
  <c r="J250" i="5"/>
  <c r="K250" i="5" s="1"/>
  <c r="J251" i="5"/>
  <c r="K251" i="5" s="1"/>
  <c r="J252" i="5"/>
  <c r="K252" i="5" s="1"/>
  <c r="J253" i="5"/>
  <c r="K253" i="5" s="1"/>
  <c r="J254" i="5"/>
  <c r="K254" i="5" s="1"/>
  <c r="J255" i="5"/>
  <c r="K255" i="5" s="1"/>
  <c r="J256" i="5"/>
  <c r="K256" i="5" s="1"/>
  <c r="J257" i="5"/>
  <c r="K257" i="5" s="1"/>
  <c r="J258" i="5"/>
  <c r="K258" i="5" s="1"/>
  <c r="J259" i="5"/>
  <c r="K259" i="5" s="1"/>
  <c r="J260" i="5"/>
  <c r="K260" i="5" s="1"/>
  <c r="J261" i="5"/>
  <c r="K261" i="5" s="1"/>
  <c r="J262" i="5"/>
  <c r="K262" i="5" s="1"/>
  <c r="J263" i="5"/>
  <c r="K263" i="5" s="1"/>
  <c r="J264" i="5"/>
  <c r="K264" i="5" s="1"/>
  <c r="J265" i="5"/>
  <c r="K265" i="5" s="1"/>
  <c r="J266" i="5"/>
  <c r="K266" i="5" s="1"/>
  <c r="J267" i="5"/>
  <c r="K267" i="5" s="1"/>
  <c r="J268" i="5"/>
  <c r="K268" i="5" s="1"/>
  <c r="J269" i="5"/>
  <c r="K269" i="5" s="1"/>
  <c r="J270" i="5"/>
  <c r="K270" i="5" s="1"/>
  <c r="J271" i="5"/>
  <c r="K271" i="5" s="1"/>
  <c r="J272" i="5"/>
  <c r="K272" i="5" s="1"/>
  <c r="J273" i="5"/>
  <c r="K273" i="5" s="1"/>
  <c r="J274" i="5"/>
  <c r="K274" i="5" s="1"/>
  <c r="J275" i="5"/>
  <c r="K275" i="5" s="1"/>
  <c r="J276" i="5"/>
  <c r="K276" i="5" s="1"/>
  <c r="J277" i="5"/>
  <c r="K277" i="5" s="1"/>
  <c r="J278" i="5"/>
  <c r="K278" i="5" s="1"/>
  <c r="J279" i="5"/>
  <c r="K279" i="5" s="1"/>
  <c r="J280" i="5"/>
  <c r="K280" i="5" s="1"/>
  <c r="J281" i="5"/>
  <c r="K281" i="5" s="1"/>
  <c r="J282" i="5"/>
  <c r="K282" i="5" s="1"/>
  <c r="J283" i="5"/>
  <c r="K283" i="5" s="1"/>
  <c r="J284" i="5"/>
  <c r="K284" i="5" s="1"/>
  <c r="J285" i="5"/>
  <c r="K285" i="5" s="1"/>
  <c r="J286" i="5"/>
  <c r="K286" i="5" s="1"/>
  <c r="J287" i="5"/>
  <c r="K287" i="5" s="1"/>
  <c r="J288" i="5"/>
  <c r="K288" i="5" s="1"/>
  <c r="J289" i="5"/>
  <c r="K289" i="5" s="1"/>
  <c r="J290" i="5"/>
  <c r="K290" i="5" s="1"/>
  <c r="J291" i="5"/>
  <c r="K291" i="5" s="1"/>
  <c r="J292" i="5"/>
  <c r="K292" i="5" s="1"/>
  <c r="J293" i="5"/>
  <c r="K293" i="5" s="1"/>
  <c r="J294" i="5"/>
  <c r="K294" i="5" s="1"/>
  <c r="J295" i="5"/>
  <c r="K295" i="5" s="1"/>
  <c r="J296" i="5"/>
  <c r="K296" i="5" s="1"/>
  <c r="J297" i="5"/>
  <c r="K297" i="5" s="1"/>
  <c r="J298" i="5"/>
  <c r="K298" i="5" s="1"/>
  <c r="J299" i="5"/>
  <c r="K299" i="5" s="1"/>
  <c r="J300" i="5"/>
  <c r="K300" i="5" s="1"/>
  <c r="J301" i="5"/>
  <c r="K301" i="5" s="1"/>
  <c r="J302" i="5"/>
  <c r="K302" i="5" s="1"/>
  <c r="J303" i="5"/>
  <c r="K303" i="5" s="1"/>
  <c r="J304" i="5"/>
  <c r="K304" i="5" s="1"/>
  <c r="J305" i="5"/>
  <c r="K305" i="5" s="1"/>
  <c r="J306" i="5"/>
  <c r="K306" i="5" s="1"/>
  <c r="J307" i="5"/>
  <c r="K307" i="5" s="1"/>
  <c r="J308" i="5"/>
  <c r="K308" i="5" s="1"/>
  <c r="J309" i="5"/>
  <c r="K309" i="5" s="1"/>
  <c r="J310" i="5"/>
  <c r="K310" i="5" s="1"/>
  <c r="J311" i="5"/>
  <c r="K311" i="5" s="1"/>
  <c r="J312" i="5"/>
  <c r="K312" i="5" s="1"/>
  <c r="J313" i="5"/>
  <c r="K313" i="5" s="1"/>
  <c r="J314" i="5"/>
  <c r="K314" i="5" s="1"/>
  <c r="J315" i="5"/>
  <c r="K315" i="5" s="1"/>
  <c r="J316" i="5"/>
  <c r="K316" i="5" s="1"/>
  <c r="J317" i="5"/>
  <c r="K317" i="5" s="1"/>
  <c r="J318" i="5"/>
  <c r="K318" i="5" s="1"/>
  <c r="J319" i="5"/>
  <c r="K319" i="5" s="1"/>
  <c r="J320" i="5"/>
  <c r="K320" i="5" s="1"/>
  <c r="J321" i="5"/>
  <c r="K321" i="5" s="1"/>
  <c r="J322" i="5"/>
  <c r="K322" i="5" s="1"/>
  <c r="J323" i="5"/>
  <c r="K323" i="5" s="1"/>
  <c r="J324" i="5"/>
  <c r="K324" i="5" s="1"/>
  <c r="J325" i="5"/>
  <c r="K325" i="5" s="1"/>
  <c r="J326" i="5"/>
  <c r="K326" i="5" s="1"/>
  <c r="J327" i="5"/>
  <c r="K327" i="5" s="1"/>
  <c r="J328" i="5"/>
  <c r="K328" i="5" s="1"/>
  <c r="J329" i="5"/>
  <c r="K329" i="5" s="1"/>
  <c r="J330" i="5"/>
  <c r="K330" i="5" s="1"/>
  <c r="J331" i="5"/>
  <c r="K331" i="5" s="1"/>
  <c r="J332" i="5"/>
  <c r="K332" i="5" s="1"/>
  <c r="J333" i="5"/>
  <c r="K333" i="5" s="1"/>
  <c r="J334" i="5"/>
  <c r="K334" i="5" s="1"/>
  <c r="J335" i="5"/>
  <c r="K335" i="5" s="1"/>
  <c r="J336" i="5"/>
  <c r="K336" i="5" s="1"/>
  <c r="J337" i="5"/>
  <c r="K337" i="5" s="1"/>
  <c r="J338" i="5"/>
  <c r="K338" i="5" s="1"/>
  <c r="J339" i="5"/>
  <c r="K339" i="5" s="1"/>
  <c r="J340" i="5"/>
  <c r="K340" i="5" s="1"/>
  <c r="J341" i="5"/>
  <c r="K341" i="5" s="1"/>
  <c r="J342" i="5"/>
  <c r="K342" i="5" s="1"/>
  <c r="J343" i="5"/>
  <c r="K343" i="5" s="1"/>
  <c r="J344" i="5"/>
  <c r="K344" i="5" s="1"/>
  <c r="J345" i="5"/>
  <c r="K345" i="5" s="1"/>
  <c r="J346" i="5"/>
  <c r="K346" i="5" s="1"/>
  <c r="J347" i="5"/>
  <c r="K347" i="5" s="1"/>
  <c r="J348" i="5"/>
  <c r="K348" i="5" s="1"/>
  <c r="J349" i="5"/>
  <c r="K349" i="5" s="1"/>
  <c r="J350" i="5"/>
  <c r="K350" i="5" s="1"/>
  <c r="J351" i="5"/>
  <c r="K351" i="5" s="1"/>
  <c r="J352" i="5"/>
  <c r="K352" i="5" s="1"/>
  <c r="J353" i="5"/>
  <c r="K353" i="5" s="1"/>
  <c r="J354" i="5"/>
  <c r="K354" i="5" s="1"/>
  <c r="J355" i="5"/>
  <c r="K355" i="5" s="1"/>
  <c r="J356" i="5"/>
  <c r="K356" i="5" s="1"/>
  <c r="J357" i="5"/>
  <c r="K357" i="5" s="1"/>
  <c r="J358" i="5"/>
  <c r="K358" i="5" s="1"/>
  <c r="J359" i="5"/>
  <c r="K359" i="5" s="1"/>
  <c r="J360" i="5"/>
  <c r="K360" i="5" s="1"/>
  <c r="J361" i="5"/>
  <c r="K361" i="5" s="1"/>
  <c r="J362" i="5"/>
  <c r="K362" i="5" s="1"/>
  <c r="J363" i="5"/>
  <c r="K363" i="5" s="1"/>
  <c r="J364" i="5"/>
  <c r="K364" i="5" s="1"/>
  <c r="J365" i="5"/>
  <c r="K365" i="5" s="1"/>
  <c r="J366" i="5"/>
  <c r="K366" i="5" s="1"/>
  <c r="J367" i="5"/>
  <c r="K367" i="5" s="1"/>
  <c r="J368" i="5"/>
  <c r="K368" i="5" s="1"/>
  <c r="J369" i="5"/>
  <c r="K369" i="5" s="1"/>
  <c r="J370" i="5"/>
  <c r="K370" i="5" s="1"/>
  <c r="J371" i="5"/>
  <c r="K371" i="5" s="1"/>
  <c r="J372" i="5"/>
  <c r="K372" i="5" s="1"/>
  <c r="J373" i="5"/>
  <c r="K373" i="5" s="1"/>
  <c r="J374" i="5"/>
  <c r="K374" i="5" s="1"/>
  <c r="J375" i="5"/>
  <c r="K375" i="5" s="1"/>
  <c r="J376" i="5"/>
  <c r="K376" i="5" s="1"/>
  <c r="J377" i="5"/>
  <c r="K377" i="5" s="1"/>
  <c r="J378" i="5"/>
  <c r="K378" i="5" s="1"/>
  <c r="J379" i="5"/>
  <c r="K379" i="5" s="1"/>
  <c r="J380" i="5"/>
  <c r="K380" i="5" s="1"/>
  <c r="J381" i="5"/>
  <c r="K381" i="5" s="1"/>
  <c r="J382" i="5"/>
  <c r="K382" i="5" s="1"/>
  <c r="J383" i="5"/>
  <c r="K383" i="5" s="1"/>
  <c r="J384" i="5"/>
  <c r="K384" i="5" s="1"/>
  <c r="J385" i="5"/>
  <c r="K385" i="5" s="1"/>
  <c r="J386" i="5"/>
  <c r="K386" i="5" s="1"/>
  <c r="J387" i="5"/>
  <c r="K387" i="5" s="1"/>
  <c r="J388" i="5"/>
  <c r="K388" i="5" s="1"/>
  <c r="J389" i="5"/>
  <c r="K389" i="5" s="1"/>
  <c r="J390" i="5"/>
  <c r="K390" i="5" s="1"/>
  <c r="J391" i="5"/>
  <c r="K391" i="5" s="1"/>
  <c r="J392" i="5"/>
  <c r="K392" i="5" s="1"/>
  <c r="J393" i="5"/>
  <c r="K393" i="5" s="1"/>
  <c r="J394" i="5"/>
  <c r="K394" i="5" s="1"/>
  <c r="J395" i="5"/>
  <c r="K395" i="5" s="1"/>
  <c r="J396" i="5"/>
  <c r="K396" i="5" s="1"/>
  <c r="J397" i="5"/>
  <c r="K397" i="5" s="1"/>
  <c r="J398" i="5"/>
  <c r="K398" i="5" s="1"/>
  <c r="J399" i="5"/>
  <c r="K399" i="5" s="1"/>
  <c r="J400" i="5"/>
  <c r="K400" i="5" s="1"/>
  <c r="J401" i="5"/>
  <c r="K401" i="5" s="1"/>
  <c r="J402" i="5"/>
  <c r="K402" i="5" s="1"/>
  <c r="J403" i="5"/>
  <c r="K403" i="5" s="1"/>
  <c r="J404" i="5"/>
  <c r="K404" i="5" s="1"/>
  <c r="J405" i="5"/>
  <c r="K405" i="5" s="1"/>
  <c r="J406" i="5"/>
  <c r="K406" i="5" s="1"/>
  <c r="J407" i="5"/>
  <c r="K407" i="5" s="1"/>
  <c r="J408" i="5"/>
  <c r="K408" i="5" s="1"/>
  <c r="J409" i="5"/>
  <c r="K409" i="5" s="1"/>
  <c r="J410" i="5"/>
  <c r="K410" i="5" s="1"/>
  <c r="J411" i="5"/>
  <c r="K411" i="5" s="1"/>
  <c r="J412" i="5"/>
  <c r="K412" i="5" s="1"/>
  <c r="J413" i="5"/>
  <c r="K413" i="5" s="1"/>
  <c r="J414" i="5"/>
  <c r="K414" i="5" s="1"/>
  <c r="J415" i="5"/>
  <c r="K415" i="5" s="1"/>
  <c r="J416" i="5"/>
  <c r="K416" i="5" s="1"/>
  <c r="J417" i="5"/>
  <c r="K417" i="5" s="1"/>
  <c r="J418" i="5"/>
  <c r="K418" i="5" s="1"/>
  <c r="J419" i="5"/>
  <c r="K419" i="5" s="1"/>
  <c r="J420" i="5"/>
  <c r="K420" i="5" s="1"/>
  <c r="J421" i="5"/>
  <c r="K421" i="5" s="1"/>
  <c r="J422" i="5"/>
  <c r="K422" i="5" s="1"/>
  <c r="J423" i="5"/>
  <c r="K423" i="5" s="1"/>
  <c r="J424" i="5"/>
  <c r="K424" i="5" s="1"/>
  <c r="J425" i="5"/>
  <c r="K425" i="5" s="1"/>
  <c r="J426" i="5"/>
  <c r="K426" i="5" s="1"/>
  <c r="J427" i="5"/>
  <c r="K427" i="5" s="1"/>
  <c r="J428" i="5"/>
  <c r="K428" i="5" s="1"/>
  <c r="J429" i="5"/>
  <c r="K429" i="5" s="1"/>
  <c r="J430" i="5"/>
  <c r="K430" i="5" s="1"/>
  <c r="J431" i="5"/>
  <c r="K431" i="5" s="1"/>
  <c r="J432" i="5"/>
  <c r="K432" i="5" s="1"/>
  <c r="J433" i="5"/>
  <c r="K433" i="5" s="1"/>
  <c r="J434" i="5"/>
  <c r="K434" i="5" s="1"/>
  <c r="J435" i="5"/>
  <c r="K435" i="5" s="1"/>
  <c r="J436" i="5"/>
  <c r="K436" i="5" s="1"/>
  <c r="J437" i="5"/>
  <c r="K437" i="5" s="1"/>
  <c r="J438" i="5"/>
  <c r="K438" i="5" s="1"/>
  <c r="J439" i="5"/>
  <c r="K439" i="5" s="1"/>
  <c r="J440" i="5"/>
  <c r="K440" i="5" s="1"/>
  <c r="J441" i="5"/>
  <c r="K441" i="5" s="1"/>
  <c r="J442" i="5"/>
  <c r="K442" i="5" s="1"/>
  <c r="J443" i="5"/>
  <c r="K443" i="5" s="1"/>
  <c r="J444" i="5"/>
  <c r="K444" i="5" s="1"/>
  <c r="J445" i="5"/>
  <c r="K445" i="5" s="1"/>
  <c r="J446" i="5"/>
  <c r="K446" i="5" s="1"/>
  <c r="J447" i="5"/>
  <c r="K447" i="5" s="1"/>
  <c r="J448" i="5"/>
  <c r="K448" i="5" s="1"/>
  <c r="J449" i="5"/>
  <c r="K449" i="5" s="1"/>
  <c r="J450" i="5"/>
  <c r="K450" i="5" s="1"/>
  <c r="J451" i="5"/>
  <c r="K451" i="5" s="1"/>
  <c r="J452" i="5"/>
  <c r="K452" i="5" s="1"/>
  <c r="J453" i="5"/>
  <c r="K453" i="5" s="1"/>
  <c r="J454" i="5"/>
  <c r="K454" i="5" s="1"/>
  <c r="J455" i="5"/>
  <c r="K455" i="5" s="1"/>
  <c r="J456" i="5"/>
  <c r="K456" i="5" s="1"/>
  <c r="J457" i="5"/>
  <c r="K457" i="5" s="1"/>
  <c r="J458" i="5"/>
  <c r="K458" i="5" s="1"/>
  <c r="J459" i="5"/>
  <c r="K459" i="5" s="1"/>
  <c r="J460" i="5"/>
  <c r="K460" i="5" s="1"/>
  <c r="J461" i="5"/>
  <c r="K461" i="5" s="1"/>
  <c r="J462" i="5"/>
  <c r="K462" i="5" s="1"/>
  <c r="J463" i="5"/>
  <c r="K463" i="5" s="1"/>
  <c r="J464" i="5"/>
  <c r="K464" i="5" s="1"/>
  <c r="J465" i="5"/>
  <c r="K465" i="5" s="1"/>
  <c r="J466" i="5"/>
  <c r="K466" i="5" s="1"/>
  <c r="K2" i="5" l="1"/>
  <c r="L410" i="5"/>
  <c r="L466" i="5"/>
  <c r="L418" i="5"/>
  <c r="L426" i="5"/>
  <c r="L442" i="5"/>
  <c r="L434" i="5"/>
  <c r="L450" i="5"/>
  <c r="L458" i="5"/>
  <c r="L394" i="5"/>
  <c r="L274" i="5"/>
  <c r="L82" i="5"/>
  <c r="L378" i="5"/>
  <c r="L74" i="5"/>
  <c r="L402" i="5"/>
  <c r="L266" i="5"/>
  <c r="L250" i="5"/>
  <c r="L386" i="5"/>
  <c r="L242" i="5"/>
  <c r="L258" i="5"/>
  <c r="L382" i="5"/>
  <c r="L370" i="5"/>
  <c r="L234" i="5"/>
  <c r="L66" i="5"/>
  <c r="L34" i="5"/>
  <c r="L58" i="5"/>
  <c r="L42" i="5"/>
  <c r="L446" i="5"/>
  <c r="L362" i="5"/>
  <c r="L322" i="5"/>
  <c r="L226" i="5"/>
  <c r="L178" i="5"/>
  <c r="L130" i="5"/>
  <c r="L106" i="5"/>
  <c r="L26" i="5"/>
  <c r="L425" i="5"/>
  <c r="L409" i="5"/>
  <c r="L401" i="5"/>
  <c r="L393" i="5"/>
  <c r="L385" i="5"/>
  <c r="L338" i="5"/>
  <c r="L290" i="5"/>
  <c r="L282" i="5"/>
  <c r="L218" i="5"/>
  <c r="L162" i="5"/>
  <c r="L50" i="5"/>
  <c r="L433" i="5"/>
  <c r="L440" i="5"/>
  <c r="L408" i="5"/>
  <c r="L384" i="5"/>
  <c r="L272" i="5"/>
  <c r="L264" i="5"/>
  <c r="L256" i="5"/>
  <c r="L248" i="5"/>
  <c r="L240" i="5"/>
  <c r="L80" i="5"/>
  <c r="L40" i="5"/>
  <c r="L330" i="5"/>
  <c r="L202" i="5"/>
  <c r="L146" i="5"/>
  <c r="L449" i="5"/>
  <c r="L448" i="5"/>
  <c r="L306" i="5"/>
  <c r="L186" i="5"/>
  <c r="L122" i="5"/>
  <c r="L98" i="5"/>
  <c r="L90" i="5"/>
  <c r="L465" i="5"/>
  <c r="L464" i="5"/>
  <c r="L424" i="5"/>
  <c r="L376" i="5"/>
  <c r="L462" i="5"/>
  <c r="L422" i="5"/>
  <c r="L286" i="5"/>
  <c r="L354" i="5"/>
  <c r="L210" i="5"/>
  <c r="L154" i="5"/>
  <c r="L457" i="5"/>
  <c r="L417" i="5"/>
  <c r="L432" i="5"/>
  <c r="L400" i="5"/>
  <c r="L280" i="5"/>
  <c r="L314" i="5"/>
  <c r="L194" i="5"/>
  <c r="L138" i="5"/>
  <c r="L441" i="5"/>
  <c r="L456" i="5"/>
  <c r="L416" i="5"/>
  <c r="L392" i="5"/>
  <c r="L346" i="5"/>
  <c r="L298" i="5"/>
  <c r="L170" i="5"/>
  <c r="L114" i="5"/>
  <c r="L18" i="5"/>
  <c r="L10" i="5"/>
  <c r="L318" i="5"/>
  <c r="L377" i="5"/>
  <c r="L369" i="5"/>
  <c r="L361" i="5"/>
  <c r="L353" i="5"/>
  <c r="L345" i="5"/>
  <c r="L337" i="5"/>
  <c r="L329" i="5"/>
  <c r="L321" i="5"/>
  <c r="L313" i="5"/>
  <c r="L305" i="5"/>
  <c r="L297" i="5"/>
  <c r="L289" i="5"/>
  <c r="L281" i="5"/>
  <c r="L273" i="5"/>
  <c r="L265" i="5"/>
  <c r="L257" i="5"/>
  <c r="L249" i="5"/>
  <c r="L241" i="5"/>
  <c r="L233" i="5"/>
  <c r="L225" i="5"/>
  <c r="L217" i="5"/>
  <c r="L209" i="5"/>
  <c r="L201" i="5"/>
  <c r="L193" i="5"/>
  <c r="L185" i="5"/>
  <c r="L177" i="5"/>
  <c r="L169" i="5"/>
  <c r="L161" i="5"/>
  <c r="L153" i="5"/>
  <c r="L145" i="5"/>
  <c r="L137" i="5"/>
  <c r="L129" i="5"/>
  <c r="L121" i="5"/>
  <c r="L113" i="5"/>
  <c r="L105" i="5"/>
  <c r="L97" i="5"/>
  <c r="L89" i="5"/>
  <c r="L81" i="5"/>
  <c r="L73" i="5"/>
  <c r="L65" i="5"/>
  <c r="L57" i="5"/>
  <c r="L49" i="5"/>
  <c r="L41" i="5"/>
  <c r="L33" i="5"/>
  <c r="L25" i="5"/>
  <c r="L17" i="5"/>
  <c r="L9" i="5"/>
  <c r="L438" i="5"/>
  <c r="L374" i="5"/>
  <c r="L310" i="5"/>
  <c r="L328" i="5"/>
  <c r="L232" i="5"/>
  <c r="L208" i="5"/>
  <c r="L184" i="5"/>
  <c r="L176" i="5"/>
  <c r="L168" i="5"/>
  <c r="L160" i="5"/>
  <c r="L152" i="5"/>
  <c r="L144" i="5"/>
  <c r="L136" i="5"/>
  <c r="L128" i="5"/>
  <c r="L120" i="5"/>
  <c r="L112" i="5"/>
  <c r="L104" i="5"/>
  <c r="L96" i="5"/>
  <c r="L107" i="5"/>
  <c r="L131" i="5"/>
  <c r="L179" i="5"/>
  <c r="L203" i="5"/>
  <c r="L243" i="5"/>
  <c r="L86" i="5"/>
  <c r="L94" i="5"/>
  <c r="L102" i="5"/>
  <c r="L110" i="5"/>
  <c r="L118" i="5"/>
  <c r="L126" i="5"/>
  <c r="L134" i="5"/>
  <c r="L142" i="5"/>
  <c r="L150" i="5"/>
  <c r="L158" i="5"/>
  <c r="L166" i="5"/>
  <c r="L174" i="5"/>
  <c r="L182" i="5"/>
  <c r="L190" i="5"/>
  <c r="L198" i="5"/>
  <c r="L214" i="5"/>
  <c r="L230" i="5"/>
  <c r="L246" i="5"/>
  <c r="L206" i="5"/>
  <c r="L222" i="5"/>
  <c r="L238" i="5"/>
  <c r="L254" i="5"/>
  <c r="L155" i="5"/>
  <c r="L227" i="5"/>
  <c r="L267" i="5"/>
  <c r="L88" i="5"/>
  <c r="L147" i="5"/>
  <c r="L211" i="5"/>
  <c r="L259" i="5"/>
  <c r="L99" i="5"/>
  <c r="L123" i="5"/>
  <c r="L163" i="5"/>
  <c r="L187" i="5"/>
  <c r="L219" i="5"/>
  <c r="L251" i="5"/>
  <c r="L91" i="5"/>
  <c r="L115" i="5"/>
  <c r="L139" i="5"/>
  <c r="L171" i="5"/>
  <c r="L195" i="5"/>
  <c r="L235" i="5"/>
  <c r="L275" i="5"/>
  <c r="L72" i="5"/>
  <c r="L64" i="5"/>
  <c r="L56" i="5"/>
  <c r="L48" i="5"/>
  <c r="L32" i="5"/>
  <c r="L24" i="5"/>
  <c r="L16" i="5"/>
  <c r="L8" i="5"/>
  <c r="L430" i="5"/>
  <c r="L366" i="5"/>
  <c r="L302" i="5"/>
  <c r="L368" i="5"/>
  <c r="L320" i="5"/>
  <c r="L288" i="5"/>
  <c r="L216" i="5"/>
  <c r="L192" i="5"/>
  <c r="L455" i="5"/>
  <c r="L439" i="5"/>
  <c r="L423" i="5"/>
  <c r="L399" i="5"/>
  <c r="L383" i="5"/>
  <c r="L367" i="5"/>
  <c r="L351" i="5"/>
  <c r="L335" i="5"/>
  <c r="L319" i="5"/>
  <c r="L303" i="5"/>
  <c r="L287" i="5"/>
  <c r="L271" i="5"/>
  <c r="L247" i="5"/>
  <c r="L231" i="5"/>
  <c r="L215" i="5"/>
  <c r="L199" i="5"/>
  <c r="L183" i="5"/>
  <c r="L167" i="5"/>
  <c r="L151" i="5"/>
  <c r="L135" i="5"/>
  <c r="L119" i="5"/>
  <c r="L103" i="5"/>
  <c r="L87" i="5"/>
  <c r="L71" i="5"/>
  <c r="L47" i="5"/>
  <c r="L39" i="5"/>
  <c r="L23" i="5"/>
  <c r="L358" i="5"/>
  <c r="L294" i="5"/>
  <c r="L352" i="5"/>
  <c r="L304" i="5"/>
  <c r="L224" i="5"/>
  <c r="L200" i="5"/>
  <c r="L463" i="5"/>
  <c r="L447" i="5"/>
  <c r="L431" i="5"/>
  <c r="L415" i="5"/>
  <c r="L407" i="5"/>
  <c r="L391" i="5"/>
  <c r="L375" i="5"/>
  <c r="L359" i="5"/>
  <c r="L343" i="5"/>
  <c r="L327" i="5"/>
  <c r="L311" i="5"/>
  <c r="L295" i="5"/>
  <c r="L279" i="5"/>
  <c r="L263" i="5"/>
  <c r="L255" i="5"/>
  <c r="L239" i="5"/>
  <c r="L223" i="5"/>
  <c r="L207" i="5"/>
  <c r="L191" i="5"/>
  <c r="L175" i="5"/>
  <c r="L159" i="5"/>
  <c r="L143" i="5"/>
  <c r="L127" i="5"/>
  <c r="L111" i="5"/>
  <c r="L95" i="5"/>
  <c r="L79" i="5"/>
  <c r="L63" i="5"/>
  <c r="L55" i="5"/>
  <c r="L31" i="5"/>
  <c r="L15" i="5"/>
  <c r="L7" i="5"/>
  <c r="L414" i="5"/>
  <c r="L350" i="5"/>
  <c r="L336" i="5"/>
  <c r="L296" i="5"/>
  <c r="L453" i="5"/>
  <c r="L413" i="5"/>
  <c r="L397" i="5"/>
  <c r="L381" i="5"/>
  <c r="L373" i="5"/>
  <c r="L365" i="5"/>
  <c r="L357" i="5"/>
  <c r="L349" i="5"/>
  <c r="L341" i="5"/>
  <c r="L333" i="5"/>
  <c r="L325" i="5"/>
  <c r="L317" i="5"/>
  <c r="L309" i="5"/>
  <c r="L301" i="5"/>
  <c r="L293" i="5"/>
  <c r="L283" i="5"/>
  <c r="L323" i="5"/>
  <c r="L379" i="5"/>
  <c r="L285" i="5"/>
  <c r="L307" i="5"/>
  <c r="L347" i="5"/>
  <c r="L387" i="5"/>
  <c r="L291" i="5"/>
  <c r="L339" i="5"/>
  <c r="L371" i="5"/>
  <c r="L403" i="5"/>
  <c r="L299" i="5"/>
  <c r="L331" i="5"/>
  <c r="L363" i="5"/>
  <c r="L411" i="5"/>
  <c r="L315" i="5"/>
  <c r="L355" i="5"/>
  <c r="L395" i="5"/>
  <c r="L277" i="5"/>
  <c r="L269" i="5"/>
  <c r="L261" i="5"/>
  <c r="L253" i="5"/>
  <c r="L245" i="5"/>
  <c r="L237" i="5"/>
  <c r="L229" i="5"/>
  <c r="L221" i="5"/>
  <c r="L213" i="5"/>
  <c r="L205" i="5"/>
  <c r="L197" i="5"/>
  <c r="L189" i="5"/>
  <c r="L181" i="5"/>
  <c r="L173" i="5"/>
  <c r="L165" i="5"/>
  <c r="L157" i="5"/>
  <c r="L149" i="5"/>
  <c r="L141" i="5"/>
  <c r="L133" i="5"/>
  <c r="L125" i="5"/>
  <c r="L117" i="5"/>
  <c r="L109" i="5"/>
  <c r="L101" i="5"/>
  <c r="L93" i="5"/>
  <c r="L85" i="5"/>
  <c r="L77" i="5"/>
  <c r="L69" i="5"/>
  <c r="L61" i="5"/>
  <c r="L53" i="5"/>
  <c r="L51" i="5"/>
  <c r="L37" i="5"/>
  <c r="L29" i="5"/>
  <c r="L21" i="5"/>
  <c r="L13" i="5"/>
  <c r="L3" i="5"/>
  <c r="L406" i="5"/>
  <c r="L342" i="5"/>
  <c r="L278" i="5"/>
  <c r="L344" i="5"/>
  <c r="L461" i="5"/>
  <c r="L429" i="5"/>
  <c r="L419" i="5"/>
  <c r="L421" i="5"/>
  <c r="L427" i="5"/>
  <c r="L389" i="5"/>
  <c r="L452" i="5"/>
  <c r="L436" i="5"/>
  <c r="L420" i="5"/>
  <c r="L404" i="5"/>
  <c r="L388" i="5"/>
  <c r="L372" i="5"/>
  <c r="L356" i="5"/>
  <c r="L340" i="5"/>
  <c r="L324" i="5"/>
  <c r="L308" i="5"/>
  <c r="L292" i="5"/>
  <c r="L276" i="5"/>
  <c r="L260" i="5"/>
  <c r="L236" i="5"/>
  <c r="L220" i="5"/>
  <c r="L204" i="5"/>
  <c r="L188" i="5"/>
  <c r="L172" i="5"/>
  <c r="L156" i="5"/>
  <c r="L140" i="5"/>
  <c r="L124" i="5"/>
  <c r="L108" i="5"/>
  <c r="L92" i="5"/>
  <c r="L76" i="5"/>
  <c r="L60" i="5"/>
  <c r="L44" i="5"/>
  <c r="L28" i="5"/>
  <c r="L20" i="5"/>
  <c r="L4" i="5"/>
  <c r="L398" i="5"/>
  <c r="L334" i="5"/>
  <c r="L270" i="5"/>
  <c r="L360" i="5"/>
  <c r="L312" i="5"/>
  <c r="L445" i="5"/>
  <c r="L459" i="5"/>
  <c r="L437" i="5"/>
  <c r="L451" i="5"/>
  <c r="L443" i="5"/>
  <c r="L435" i="5"/>
  <c r="L405" i="5"/>
  <c r="L460" i="5"/>
  <c r="L444" i="5"/>
  <c r="L428" i="5"/>
  <c r="L412" i="5"/>
  <c r="L396" i="5"/>
  <c r="L380" i="5"/>
  <c r="L364" i="5"/>
  <c r="L348" i="5"/>
  <c r="L332" i="5"/>
  <c r="L316" i="5"/>
  <c r="L300" i="5"/>
  <c r="L284" i="5"/>
  <c r="L268" i="5"/>
  <c r="L252" i="5"/>
  <c r="L244" i="5"/>
  <c r="L228" i="5"/>
  <c r="L212" i="5"/>
  <c r="L196" i="5"/>
  <c r="L180" i="5"/>
  <c r="L164" i="5"/>
  <c r="L148" i="5"/>
  <c r="L132" i="5"/>
  <c r="L116" i="5"/>
  <c r="L100" i="5"/>
  <c r="L84" i="5"/>
  <c r="L68" i="5"/>
  <c r="L52" i="5"/>
  <c r="L36" i="5"/>
  <c r="L12" i="5"/>
  <c r="L454" i="5"/>
  <c r="L390" i="5"/>
  <c r="L326" i="5"/>
  <c r="L262" i="5"/>
  <c r="L67" i="5"/>
  <c r="L43" i="5"/>
  <c r="L11" i="5"/>
  <c r="L83" i="5"/>
  <c r="L59" i="5"/>
  <c r="L19" i="5"/>
  <c r="L14" i="5"/>
  <c r="L45" i="5"/>
  <c r="L5" i="5"/>
  <c r="L78" i="5"/>
  <c r="L70" i="5"/>
  <c r="L62" i="5"/>
  <c r="L54" i="5"/>
  <c r="L46" i="5"/>
  <c r="L38" i="5"/>
  <c r="L30" i="5"/>
  <c r="L22" i="5"/>
  <c r="L6" i="5"/>
  <c r="L75" i="5"/>
  <c r="L35" i="5"/>
  <c r="L27" i="5"/>
  <c r="L2" i="5"/>
  <c r="A2" i="9" l="1" a="1"/>
  <c r="A2" i="6" a="1"/>
  <c r="G3" i="9" l="1"/>
  <c r="G11" i="9"/>
  <c r="G19" i="9"/>
  <c r="G27" i="9"/>
  <c r="G35" i="9"/>
  <c r="G43" i="9"/>
  <c r="G51" i="9"/>
  <c r="G59" i="9"/>
  <c r="G67" i="9"/>
  <c r="G75" i="9"/>
  <c r="G83" i="9"/>
  <c r="G91" i="9"/>
  <c r="G99" i="9"/>
  <c r="G107" i="9"/>
  <c r="G115" i="9"/>
  <c r="G123" i="9"/>
  <c r="G131" i="9"/>
  <c r="G139" i="9"/>
  <c r="G147" i="9"/>
  <c r="G155" i="9"/>
  <c r="G163" i="9"/>
  <c r="G171" i="9"/>
  <c r="G4" i="9"/>
  <c r="G12" i="9"/>
  <c r="G20" i="9"/>
  <c r="G28" i="9"/>
  <c r="G36" i="9"/>
  <c r="G44" i="9"/>
  <c r="G52" i="9"/>
  <c r="G60" i="9"/>
  <c r="G68" i="9"/>
  <c r="G76" i="9"/>
  <c r="G84" i="9"/>
  <c r="G92" i="9"/>
  <c r="G100" i="9"/>
  <c r="G108" i="9"/>
  <c r="G116" i="9"/>
  <c r="G124" i="9"/>
  <c r="G132" i="9"/>
  <c r="G140" i="9"/>
  <c r="G148" i="9"/>
  <c r="G156" i="9"/>
  <c r="G164" i="9"/>
  <c r="G172" i="9"/>
  <c r="G5" i="9"/>
  <c r="G6" i="9"/>
  <c r="G14" i="9"/>
  <c r="G22" i="9"/>
  <c r="G30" i="9"/>
  <c r="G38" i="9"/>
  <c r="G46" i="9"/>
  <c r="G54" i="9"/>
  <c r="G62" i="9"/>
  <c r="G70" i="9"/>
  <c r="G78" i="9"/>
  <c r="G86" i="9"/>
  <c r="G94" i="9"/>
  <c r="G102" i="9"/>
  <c r="G110" i="9"/>
  <c r="G118" i="9"/>
  <c r="G126" i="9"/>
  <c r="G134" i="9"/>
  <c r="G142" i="9"/>
  <c r="G150" i="9"/>
  <c r="G158" i="9"/>
  <c r="G166" i="9"/>
  <c r="G7" i="9"/>
  <c r="G15" i="9"/>
  <c r="G23" i="9"/>
  <c r="G31" i="9"/>
  <c r="G39" i="9"/>
  <c r="G47" i="9"/>
  <c r="G55" i="9"/>
  <c r="G63" i="9"/>
  <c r="G71" i="9"/>
  <c r="G79" i="9"/>
  <c r="G87" i="9"/>
  <c r="G95" i="9"/>
  <c r="G103" i="9"/>
  <c r="G111" i="9"/>
  <c r="G119" i="9"/>
  <c r="G127" i="9"/>
  <c r="G135" i="9"/>
  <c r="G143" i="9"/>
  <c r="G151" i="9"/>
  <c r="G159" i="9"/>
  <c r="G167" i="9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9" i="9"/>
  <c r="G29" i="9"/>
  <c r="G50" i="9"/>
  <c r="G73" i="9"/>
  <c r="G93" i="9"/>
  <c r="G114" i="9"/>
  <c r="G137" i="9"/>
  <c r="G157" i="9"/>
  <c r="F126" i="9"/>
  <c r="G10" i="9"/>
  <c r="G33" i="9"/>
  <c r="G53" i="9"/>
  <c r="G74" i="9"/>
  <c r="G97" i="9"/>
  <c r="G117" i="9"/>
  <c r="G138" i="9"/>
  <c r="G161" i="9"/>
  <c r="G13" i="9"/>
  <c r="G34" i="9"/>
  <c r="G57" i="9"/>
  <c r="G77" i="9"/>
  <c r="G98" i="9"/>
  <c r="G121" i="9"/>
  <c r="G141" i="9"/>
  <c r="G162" i="9"/>
  <c r="G17" i="9"/>
  <c r="G37" i="9"/>
  <c r="G58" i="9"/>
  <c r="G81" i="9"/>
  <c r="G101" i="9"/>
  <c r="G122" i="9"/>
  <c r="G145" i="9"/>
  <c r="G165" i="9"/>
  <c r="G18" i="9"/>
  <c r="G41" i="9"/>
  <c r="G61" i="9"/>
  <c r="G82" i="9"/>
  <c r="G105" i="9"/>
  <c r="G125" i="9"/>
  <c r="G146" i="9"/>
  <c r="G169" i="9"/>
  <c r="G21" i="9"/>
  <c r="G42" i="9"/>
  <c r="G65" i="9"/>
  <c r="G85" i="9"/>
  <c r="G106" i="9"/>
  <c r="G129" i="9"/>
  <c r="G149" i="9"/>
  <c r="G170" i="9"/>
  <c r="F34" i="9"/>
  <c r="G25" i="9"/>
  <c r="G109" i="9"/>
  <c r="F66" i="9"/>
  <c r="G26" i="9"/>
  <c r="G113" i="9"/>
  <c r="F99" i="9"/>
  <c r="G45" i="9"/>
  <c r="G130" i="9"/>
  <c r="F140" i="9"/>
  <c r="G49" i="9"/>
  <c r="G133" i="9"/>
  <c r="G66" i="9"/>
  <c r="G153" i="9"/>
  <c r="G69" i="9"/>
  <c r="G154" i="9"/>
  <c r="G89" i="9"/>
  <c r="G90" i="9"/>
  <c r="A2" i="9"/>
  <c r="A2" i="6"/>
  <c r="E3" i="6"/>
  <c r="F3" i="6" s="1"/>
  <c r="E11" i="6"/>
  <c r="F11" i="6" s="1"/>
  <c r="E19" i="6"/>
  <c r="F19" i="6" s="1"/>
  <c r="E27" i="6"/>
  <c r="F27" i="6" s="1"/>
  <c r="E35" i="6"/>
  <c r="F35" i="6" s="1"/>
  <c r="E43" i="6"/>
  <c r="F43" i="6" s="1"/>
  <c r="E51" i="6"/>
  <c r="F51" i="6" s="1"/>
  <c r="E59" i="6"/>
  <c r="F59" i="6" s="1"/>
  <c r="E67" i="6"/>
  <c r="F67" i="6" s="1"/>
  <c r="E75" i="6"/>
  <c r="F75" i="6" s="1"/>
  <c r="E83" i="6"/>
  <c r="F83" i="6" s="1"/>
  <c r="E91" i="6"/>
  <c r="F91" i="6" s="1"/>
  <c r="E99" i="6"/>
  <c r="F99" i="6" s="1"/>
  <c r="E107" i="6"/>
  <c r="F107" i="6" s="1"/>
  <c r="E115" i="6"/>
  <c r="F115" i="6" s="1"/>
  <c r="E123" i="6"/>
  <c r="F123" i="6" s="1"/>
  <c r="E131" i="6"/>
  <c r="F131" i="6" s="1"/>
  <c r="E139" i="6"/>
  <c r="F139" i="6" s="1"/>
  <c r="E147" i="6"/>
  <c r="F147" i="6" s="1"/>
  <c r="E155" i="6"/>
  <c r="F155" i="6" s="1"/>
  <c r="E163" i="6"/>
  <c r="F163" i="6" s="1"/>
  <c r="E171" i="6"/>
  <c r="F171" i="6" s="1"/>
  <c r="E34" i="6"/>
  <c r="F34" i="6" s="1"/>
  <c r="E146" i="6"/>
  <c r="F146" i="6" s="1"/>
  <c r="E4" i="6"/>
  <c r="F4" i="6" s="1"/>
  <c r="E12" i="6"/>
  <c r="F12" i="6" s="1"/>
  <c r="E20" i="6"/>
  <c r="F20" i="6" s="1"/>
  <c r="E28" i="6"/>
  <c r="F28" i="6" s="1"/>
  <c r="E36" i="6"/>
  <c r="F36" i="6" s="1"/>
  <c r="E44" i="6"/>
  <c r="F44" i="6" s="1"/>
  <c r="E52" i="6"/>
  <c r="F52" i="6" s="1"/>
  <c r="E60" i="6"/>
  <c r="F60" i="6" s="1"/>
  <c r="E68" i="6"/>
  <c r="F68" i="6" s="1"/>
  <c r="E76" i="6"/>
  <c r="F76" i="6" s="1"/>
  <c r="E84" i="6"/>
  <c r="F84" i="6" s="1"/>
  <c r="E92" i="6"/>
  <c r="F92" i="6" s="1"/>
  <c r="E100" i="6"/>
  <c r="F100" i="6" s="1"/>
  <c r="E108" i="6"/>
  <c r="F108" i="6" s="1"/>
  <c r="E116" i="6"/>
  <c r="F116" i="6" s="1"/>
  <c r="E124" i="6"/>
  <c r="F124" i="6" s="1"/>
  <c r="E132" i="6"/>
  <c r="F132" i="6" s="1"/>
  <c r="E140" i="6"/>
  <c r="F140" i="6" s="1"/>
  <c r="E148" i="6"/>
  <c r="F148" i="6" s="1"/>
  <c r="E156" i="6"/>
  <c r="F156" i="6" s="1"/>
  <c r="E164" i="6"/>
  <c r="F164" i="6" s="1"/>
  <c r="E172" i="6"/>
  <c r="F172" i="6" s="1"/>
  <c r="E26" i="6"/>
  <c r="F26" i="6" s="1"/>
  <c r="E5" i="6"/>
  <c r="F5" i="6" s="1"/>
  <c r="E13" i="6"/>
  <c r="F13" i="6" s="1"/>
  <c r="E21" i="6"/>
  <c r="F21" i="6" s="1"/>
  <c r="E29" i="6"/>
  <c r="F29" i="6" s="1"/>
  <c r="E37" i="6"/>
  <c r="F37" i="6" s="1"/>
  <c r="E45" i="6"/>
  <c r="F45" i="6" s="1"/>
  <c r="E53" i="6"/>
  <c r="F53" i="6" s="1"/>
  <c r="E61" i="6"/>
  <c r="F61" i="6" s="1"/>
  <c r="E69" i="6"/>
  <c r="F69" i="6" s="1"/>
  <c r="E77" i="6"/>
  <c r="F77" i="6" s="1"/>
  <c r="E85" i="6"/>
  <c r="F85" i="6" s="1"/>
  <c r="E93" i="6"/>
  <c r="F93" i="6" s="1"/>
  <c r="E101" i="6"/>
  <c r="F101" i="6" s="1"/>
  <c r="E109" i="6"/>
  <c r="F109" i="6" s="1"/>
  <c r="E117" i="6"/>
  <c r="F117" i="6" s="1"/>
  <c r="E125" i="6"/>
  <c r="F125" i="6" s="1"/>
  <c r="E133" i="6"/>
  <c r="F133" i="6" s="1"/>
  <c r="E141" i="6"/>
  <c r="F141" i="6" s="1"/>
  <c r="E149" i="6"/>
  <c r="F149" i="6" s="1"/>
  <c r="E157" i="6"/>
  <c r="F157" i="6" s="1"/>
  <c r="E165" i="6"/>
  <c r="F165" i="6" s="1"/>
  <c r="E10" i="6"/>
  <c r="F10" i="6" s="1"/>
  <c r="E6" i="6"/>
  <c r="F6" i="6" s="1"/>
  <c r="E14" i="6"/>
  <c r="F14" i="6" s="1"/>
  <c r="E22" i="6"/>
  <c r="F22" i="6" s="1"/>
  <c r="E30" i="6"/>
  <c r="F30" i="6" s="1"/>
  <c r="E38" i="6"/>
  <c r="F38" i="6" s="1"/>
  <c r="E46" i="6"/>
  <c r="F46" i="6" s="1"/>
  <c r="E54" i="6"/>
  <c r="F54" i="6" s="1"/>
  <c r="E62" i="6"/>
  <c r="F62" i="6" s="1"/>
  <c r="E70" i="6"/>
  <c r="F70" i="6" s="1"/>
  <c r="E78" i="6"/>
  <c r="F78" i="6" s="1"/>
  <c r="E86" i="6"/>
  <c r="F86" i="6" s="1"/>
  <c r="E94" i="6"/>
  <c r="F94" i="6" s="1"/>
  <c r="E102" i="6"/>
  <c r="F102" i="6" s="1"/>
  <c r="E110" i="6"/>
  <c r="F110" i="6" s="1"/>
  <c r="E118" i="6"/>
  <c r="F118" i="6" s="1"/>
  <c r="E126" i="6"/>
  <c r="F126" i="6" s="1"/>
  <c r="E134" i="6"/>
  <c r="F134" i="6" s="1"/>
  <c r="E142" i="6"/>
  <c r="F142" i="6" s="1"/>
  <c r="E150" i="6"/>
  <c r="F150" i="6" s="1"/>
  <c r="E158" i="6"/>
  <c r="F158" i="6" s="1"/>
  <c r="E166" i="6"/>
  <c r="F166" i="6" s="1"/>
  <c r="E58" i="6"/>
  <c r="F58" i="6" s="1"/>
  <c r="E66" i="6"/>
  <c r="F66" i="6" s="1"/>
  <c r="E74" i="6"/>
  <c r="F74" i="6" s="1"/>
  <c r="E90" i="6"/>
  <c r="F90" i="6" s="1"/>
  <c r="E98" i="6"/>
  <c r="F98" i="6" s="1"/>
  <c r="E106" i="6"/>
  <c r="F106" i="6" s="1"/>
  <c r="E130" i="6"/>
  <c r="F130" i="6" s="1"/>
  <c r="E154" i="6"/>
  <c r="F154" i="6" s="1"/>
  <c r="E170" i="6"/>
  <c r="F170" i="6" s="1"/>
  <c r="E7" i="6"/>
  <c r="F7" i="6" s="1"/>
  <c r="E15" i="6"/>
  <c r="F15" i="6" s="1"/>
  <c r="E23" i="6"/>
  <c r="F23" i="6" s="1"/>
  <c r="E31" i="6"/>
  <c r="F31" i="6" s="1"/>
  <c r="E39" i="6"/>
  <c r="F39" i="6" s="1"/>
  <c r="E47" i="6"/>
  <c r="F47" i="6" s="1"/>
  <c r="E55" i="6"/>
  <c r="F55" i="6" s="1"/>
  <c r="E63" i="6"/>
  <c r="F63" i="6" s="1"/>
  <c r="E71" i="6"/>
  <c r="F71" i="6" s="1"/>
  <c r="E79" i="6"/>
  <c r="F79" i="6" s="1"/>
  <c r="E87" i="6"/>
  <c r="F87" i="6" s="1"/>
  <c r="E95" i="6"/>
  <c r="F95" i="6" s="1"/>
  <c r="E103" i="6"/>
  <c r="F103" i="6" s="1"/>
  <c r="E111" i="6"/>
  <c r="F111" i="6" s="1"/>
  <c r="E119" i="6"/>
  <c r="F119" i="6" s="1"/>
  <c r="E127" i="6"/>
  <c r="F127" i="6" s="1"/>
  <c r="E135" i="6"/>
  <c r="F135" i="6" s="1"/>
  <c r="E143" i="6"/>
  <c r="F143" i="6" s="1"/>
  <c r="E151" i="6"/>
  <c r="F151" i="6" s="1"/>
  <c r="E159" i="6"/>
  <c r="F159" i="6" s="1"/>
  <c r="E167" i="6"/>
  <c r="F167" i="6" s="1"/>
  <c r="E18" i="6"/>
  <c r="F18" i="6" s="1"/>
  <c r="E8" i="6"/>
  <c r="F8" i="6" s="1"/>
  <c r="E16" i="6"/>
  <c r="F16" i="6" s="1"/>
  <c r="E24" i="6"/>
  <c r="F24" i="6" s="1"/>
  <c r="E32" i="6"/>
  <c r="F32" i="6" s="1"/>
  <c r="E40" i="6"/>
  <c r="F40" i="6" s="1"/>
  <c r="E48" i="6"/>
  <c r="F48" i="6" s="1"/>
  <c r="E56" i="6"/>
  <c r="F56" i="6" s="1"/>
  <c r="E64" i="6"/>
  <c r="F64" i="6" s="1"/>
  <c r="E72" i="6"/>
  <c r="F72" i="6" s="1"/>
  <c r="E80" i="6"/>
  <c r="F80" i="6" s="1"/>
  <c r="E88" i="6"/>
  <c r="F88" i="6" s="1"/>
  <c r="E96" i="6"/>
  <c r="F96" i="6" s="1"/>
  <c r="E104" i="6"/>
  <c r="F104" i="6" s="1"/>
  <c r="E112" i="6"/>
  <c r="F112" i="6" s="1"/>
  <c r="E120" i="6"/>
  <c r="F120" i="6" s="1"/>
  <c r="E128" i="6"/>
  <c r="F128" i="6" s="1"/>
  <c r="E136" i="6"/>
  <c r="F136" i="6" s="1"/>
  <c r="E144" i="6"/>
  <c r="F144" i="6" s="1"/>
  <c r="E152" i="6"/>
  <c r="F152" i="6" s="1"/>
  <c r="E160" i="6"/>
  <c r="F160" i="6" s="1"/>
  <c r="E168" i="6"/>
  <c r="F168" i="6" s="1"/>
  <c r="E50" i="6"/>
  <c r="F50" i="6" s="1"/>
  <c r="E9" i="6"/>
  <c r="F9" i="6" s="1"/>
  <c r="E17" i="6"/>
  <c r="F17" i="6" s="1"/>
  <c r="E25" i="6"/>
  <c r="F25" i="6" s="1"/>
  <c r="E33" i="6"/>
  <c r="F33" i="6" s="1"/>
  <c r="E41" i="6"/>
  <c r="F41" i="6" s="1"/>
  <c r="E49" i="6"/>
  <c r="F49" i="6" s="1"/>
  <c r="E57" i="6"/>
  <c r="F57" i="6" s="1"/>
  <c r="E65" i="6"/>
  <c r="F65" i="6" s="1"/>
  <c r="E73" i="6"/>
  <c r="F73" i="6" s="1"/>
  <c r="E81" i="6"/>
  <c r="F81" i="6" s="1"/>
  <c r="E89" i="6"/>
  <c r="F89" i="6" s="1"/>
  <c r="E97" i="6"/>
  <c r="F97" i="6" s="1"/>
  <c r="E105" i="6"/>
  <c r="F105" i="6" s="1"/>
  <c r="E113" i="6"/>
  <c r="F113" i="6" s="1"/>
  <c r="E121" i="6"/>
  <c r="F121" i="6" s="1"/>
  <c r="E129" i="6"/>
  <c r="F129" i="6" s="1"/>
  <c r="E137" i="6"/>
  <c r="F137" i="6" s="1"/>
  <c r="E145" i="6"/>
  <c r="F145" i="6" s="1"/>
  <c r="E153" i="6"/>
  <c r="F153" i="6" s="1"/>
  <c r="E161" i="6"/>
  <c r="F161" i="6" s="1"/>
  <c r="E169" i="6"/>
  <c r="F169" i="6" s="1"/>
  <c r="E42" i="6"/>
  <c r="F42" i="6" s="1"/>
  <c r="E82" i="6"/>
  <c r="F82" i="6" s="1"/>
  <c r="E114" i="6"/>
  <c r="F114" i="6" s="1"/>
  <c r="E122" i="6"/>
  <c r="F122" i="6" s="1"/>
  <c r="E138" i="6"/>
  <c r="F138" i="6" s="1"/>
  <c r="E162" i="6"/>
  <c r="F162" i="6" s="1"/>
  <c r="G2" i="9" l="1"/>
  <c r="F2" i="9"/>
  <c r="F29" i="8"/>
  <c r="F20" i="8"/>
  <c r="E23" i="8"/>
  <c r="G25" i="8"/>
  <c r="E21" i="8"/>
  <c r="F33" i="8"/>
  <c r="F24" i="8"/>
  <c r="F11" i="8"/>
  <c r="C17" i="8"/>
  <c r="G26" i="8"/>
  <c r="E16" i="8"/>
  <c r="F28" i="8"/>
  <c r="F19" i="8"/>
  <c r="E18" i="8"/>
  <c r="F2" i="8"/>
  <c r="C3" i="8"/>
  <c r="F32" i="8"/>
  <c r="F23" i="8"/>
  <c r="D2" i="8"/>
  <c r="B2" i="8"/>
  <c r="D3" i="8"/>
  <c r="F36" i="8"/>
  <c r="F27" i="8"/>
  <c r="F6" i="8"/>
  <c r="F9" i="8"/>
  <c r="F8" i="8"/>
  <c r="E3" i="8"/>
  <c r="F31" i="8"/>
  <c r="F22" i="8"/>
  <c r="B15" i="8"/>
  <c r="B14" i="8"/>
  <c r="E15" i="8"/>
  <c r="F35" i="8"/>
  <c r="F26" i="8"/>
  <c r="F17" i="8"/>
  <c r="F16" i="8"/>
  <c r="E19" i="8"/>
  <c r="C2" i="8"/>
  <c r="E2" i="8"/>
  <c r="G36" i="10"/>
  <c r="E35" i="10"/>
  <c r="C34" i="10"/>
  <c r="G32" i="10"/>
  <c r="E31" i="10"/>
  <c r="C30" i="10"/>
  <c r="G28" i="10"/>
  <c r="E27" i="10"/>
  <c r="C26" i="10"/>
  <c r="G24" i="10"/>
  <c r="E23" i="10"/>
  <c r="C22" i="10"/>
  <c r="G20" i="10"/>
  <c r="E19" i="10"/>
  <c r="C18" i="10"/>
  <c r="G16" i="10"/>
  <c r="E15" i="10"/>
  <c r="C14" i="10"/>
  <c r="G12" i="10"/>
  <c r="E11" i="10"/>
  <c r="C10" i="10"/>
  <c r="G8" i="10"/>
  <c r="E7" i="10"/>
  <c r="C6" i="10"/>
  <c r="G4" i="10"/>
  <c r="E3" i="10"/>
  <c r="C2" i="10"/>
  <c r="F36" i="10"/>
  <c r="D35" i="10"/>
  <c r="B34" i="10"/>
  <c r="F32" i="10"/>
  <c r="D31" i="10"/>
  <c r="B30" i="10"/>
  <c r="F28" i="10"/>
  <c r="D27" i="10"/>
  <c r="B26" i="10"/>
  <c r="F24" i="10"/>
  <c r="D23" i="10"/>
  <c r="B22" i="10"/>
  <c r="F20" i="10"/>
  <c r="D19" i="10"/>
  <c r="B18" i="10"/>
  <c r="F16" i="10"/>
  <c r="D15" i="10"/>
  <c r="B14" i="10"/>
  <c r="F12" i="10"/>
  <c r="D11" i="10"/>
  <c r="B10" i="10"/>
  <c r="F8" i="10"/>
  <c r="D7" i="10"/>
  <c r="B6" i="10"/>
  <c r="F4" i="10"/>
  <c r="D3" i="10"/>
  <c r="B2" i="10"/>
  <c r="E36" i="10"/>
  <c r="C35" i="10"/>
  <c r="G33" i="10"/>
  <c r="E32" i="10"/>
  <c r="C31" i="10"/>
  <c r="G29" i="10"/>
  <c r="E28" i="10"/>
  <c r="C27" i="10"/>
  <c r="G25" i="10"/>
  <c r="E24" i="10"/>
  <c r="C23" i="10"/>
  <c r="G21" i="10"/>
  <c r="E20" i="10"/>
  <c r="C19" i="10"/>
  <c r="G17" i="10"/>
  <c r="E16" i="10"/>
  <c r="C15" i="10"/>
  <c r="G13" i="10"/>
  <c r="E12" i="10"/>
  <c r="C11" i="10"/>
  <c r="G9" i="10"/>
  <c r="E8" i="10"/>
  <c r="C7" i="10"/>
  <c r="G5" i="10"/>
  <c r="E4" i="10"/>
  <c r="C3" i="10"/>
  <c r="D36" i="10"/>
  <c r="B35" i="10"/>
  <c r="F33" i="10"/>
  <c r="D32" i="10"/>
  <c r="B31" i="10"/>
  <c r="C36" i="10"/>
  <c r="E33" i="10"/>
  <c r="G30" i="10"/>
  <c r="B29" i="10"/>
  <c r="F26" i="10"/>
  <c r="D24" i="10"/>
  <c r="E22" i="10"/>
  <c r="C20" i="10"/>
  <c r="D18" i="10"/>
  <c r="B16" i="10"/>
  <c r="F13" i="10"/>
  <c r="G11" i="10"/>
  <c r="E9" i="10"/>
  <c r="F7" i="10"/>
  <c r="D5" i="10"/>
  <c r="B3" i="10"/>
  <c r="G35" i="10"/>
  <c r="C33" i="10"/>
  <c r="E30" i="10"/>
  <c r="C28" i="10"/>
  <c r="D26" i="10"/>
  <c r="B24" i="10"/>
  <c r="F21" i="10"/>
  <c r="G19" i="10"/>
  <c r="E17" i="10"/>
  <c r="F15" i="10"/>
  <c r="D13" i="10"/>
  <c r="B11" i="10"/>
  <c r="C9" i="10"/>
  <c r="G6" i="10"/>
  <c r="B5" i="10"/>
  <c r="F2" i="10"/>
  <c r="F35" i="10"/>
  <c r="B33" i="10"/>
  <c r="D30" i="10"/>
  <c r="B28" i="10"/>
  <c r="F25" i="10"/>
  <c r="G23" i="10"/>
  <c r="E21" i="10"/>
  <c r="F19" i="10"/>
  <c r="D17" i="10"/>
  <c r="B15" i="10"/>
  <c r="C13" i="10"/>
  <c r="G10" i="10"/>
  <c r="B9" i="10"/>
  <c r="F6" i="10"/>
  <c r="D4" i="10"/>
  <c r="E2" i="10"/>
  <c r="G34" i="10"/>
  <c r="F29" i="10"/>
  <c r="G27" i="10"/>
  <c r="E25" i="10"/>
  <c r="F23" i="10"/>
  <c r="D21" i="10"/>
  <c r="B19" i="10"/>
  <c r="C17" i="10"/>
  <c r="G14" i="10"/>
  <c r="B13" i="10"/>
  <c r="F10" i="10"/>
  <c r="D8" i="10"/>
  <c r="E6" i="10"/>
  <c r="C4" i="10"/>
  <c r="D2" i="10"/>
  <c r="F34" i="10"/>
  <c r="B32" i="10"/>
  <c r="E29" i="10"/>
  <c r="D25" i="10"/>
  <c r="B23" i="10"/>
  <c r="C21" i="10"/>
  <c r="G18" i="10"/>
  <c r="B17" i="10"/>
  <c r="F14" i="10"/>
  <c r="D12" i="10"/>
  <c r="E10" i="10"/>
  <c r="C8" i="10"/>
  <c r="D6" i="10"/>
  <c r="B4" i="10"/>
  <c r="E34" i="10"/>
  <c r="G31" i="10"/>
  <c r="B27" i="10"/>
  <c r="C25" i="10"/>
  <c r="G22" i="10"/>
  <c r="B21" i="10"/>
  <c r="E14" i="10"/>
  <c r="C12" i="10"/>
  <c r="B8" i="10"/>
  <c r="G3" i="10"/>
  <c r="F31" i="10"/>
  <c r="G26" i="10"/>
  <c r="F22" i="10"/>
  <c r="E18" i="10"/>
  <c r="D14" i="10"/>
  <c r="G7" i="10"/>
  <c r="B36" i="10"/>
  <c r="D33" i="10"/>
  <c r="F30" i="10"/>
  <c r="D28" i="10"/>
  <c r="E26" i="10"/>
  <c r="C24" i="10"/>
  <c r="D22" i="10"/>
  <c r="B20" i="10"/>
  <c r="F17" i="10"/>
  <c r="G15" i="10"/>
  <c r="E13" i="10"/>
  <c r="F11" i="10"/>
  <c r="D9" i="10"/>
  <c r="B7" i="10"/>
  <c r="C5" i="10"/>
  <c r="G2" i="10"/>
  <c r="C32" i="10"/>
  <c r="F27" i="10"/>
  <c r="D29" i="10"/>
  <c r="F18" i="10"/>
  <c r="D16" i="10"/>
  <c r="D10" i="10"/>
  <c r="F5" i="10"/>
  <c r="D34" i="10"/>
  <c r="C29" i="10"/>
  <c r="B25" i="10"/>
  <c r="D20" i="10"/>
  <c r="C16" i="10"/>
  <c r="B12" i="10"/>
  <c r="F9" i="10"/>
  <c r="E5" i="10"/>
  <c r="F3" i="10"/>
  <c r="E2" i="6"/>
  <c r="F2" i="6" s="1"/>
  <c r="H65" i="9"/>
  <c r="H64" i="9" s="1"/>
  <c r="H63" i="9" s="1"/>
  <c r="H62" i="9" s="1"/>
  <c r="H61" i="9" s="1"/>
  <c r="H60" i="9" s="1"/>
  <c r="H59" i="9" s="1"/>
  <c r="H58" i="9" s="1"/>
  <c r="H57" i="9" s="1"/>
  <c r="H56" i="9" s="1"/>
  <c r="H55" i="9" s="1"/>
  <c r="H54" i="9" s="1"/>
  <c r="H53" i="9" s="1"/>
  <c r="H52" i="9" s="1"/>
  <c r="H51" i="9" s="1"/>
  <c r="H50" i="9" s="1"/>
  <c r="H49" i="9" s="1"/>
  <c r="H48" i="9" s="1"/>
  <c r="H47" i="9" s="1"/>
  <c r="H46" i="9" s="1"/>
  <c r="H45" i="9" s="1"/>
  <c r="H44" i="9" s="1"/>
  <c r="H43" i="9" s="1"/>
  <c r="H42" i="9" s="1"/>
  <c r="H41" i="9" s="1"/>
  <c r="H40" i="9" s="1"/>
  <c r="H39" i="9" s="1"/>
  <c r="H38" i="9" s="1"/>
  <c r="H37" i="9" s="1"/>
  <c r="H36" i="9" s="1"/>
  <c r="H35" i="9" s="1"/>
  <c r="H34" i="9" s="1"/>
  <c r="H125" i="9"/>
  <c r="H124" i="9" s="1"/>
  <c r="H123" i="9" s="1"/>
  <c r="H122" i="9" s="1"/>
  <c r="H121" i="9" s="1"/>
  <c r="H120" i="9" s="1"/>
  <c r="H119" i="9" s="1"/>
  <c r="H118" i="9" s="1"/>
  <c r="H117" i="9" s="1"/>
  <c r="H116" i="9" s="1"/>
  <c r="H115" i="9" s="1"/>
  <c r="H114" i="9" s="1"/>
  <c r="H113" i="9" s="1"/>
  <c r="H112" i="9" s="1"/>
  <c r="H111" i="9" s="1"/>
  <c r="H110" i="9" s="1"/>
  <c r="H109" i="9" s="1"/>
  <c r="H108" i="9" s="1"/>
  <c r="H107" i="9" s="1"/>
  <c r="H106" i="9" s="1"/>
  <c r="H105" i="9" s="1"/>
  <c r="H104" i="9" s="1"/>
  <c r="H103" i="9" s="1"/>
  <c r="H102" i="9" s="1"/>
  <c r="H101" i="9" s="1"/>
  <c r="H100" i="9" s="1"/>
  <c r="H99" i="9" s="1"/>
  <c r="H172" i="9"/>
  <c r="H171" i="9" s="1"/>
  <c r="H170" i="9" s="1"/>
  <c r="H169" i="9" s="1"/>
  <c r="H33" i="9"/>
  <c r="H32" i="9" s="1"/>
  <c r="H31" i="9" s="1"/>
  <c r="H30" i="9" s="1"/>
  <c r="H29" i="9" s="1"/>
  <c r="H28" i="9" s="1"/>
  <c r="H27" i="9" s="1"/>
  <c r="H26" i="9" s="1"/>
  <c r="H25" i="9" s="1"/>
  <c r="H24" i="9" s="1"/>
  <c r="H23" i="9" s="1"/>
  <c r="H22" i="9" s="1"/>
  <c r="H21" i="9" s="1"/>
  <c r="H20" i="9" s="1"/>
  <c r="H19" i="9" s="1"/>
  <c r="H18" i="9" s="1"/>
  <c r="H17" i="9" s="1"/>
  <c r="H16" i="9" s="1"/>
  <c r="H15" i="9" s="1"/>
  <c r="H14" i="9" s="1"/>
  <c r="H13" i="9" s="1"/>
  <c r="H12" i="9" s="1"/>
  <c r="H11" i="9" s="1"/>
  <c r="H10" i="9" s="1"/>
  <c r="H9" i="9" s="1"/>
  <c r="H8" i="9" s="1"/>
  <c r="H7" i="9" s="1"/>
  <c r="H6" i="9" s="1"/>
  <c r="H5" i="9" s="1"/>
  <c r="H4" i="9" s="1"/>
  <c r="H3" i="9" s="1"/>
  <c r="H2" i="9" s="1"/>
  <c r="H98" i="9"/>
  <c r="H139" i="9"/>
  <c r="H138" i="9" s="1"/>
  <c r="H137" i="9" s="1"/>
  <c r="H136" i="9" s="1"/>
  <c r="H135" i="9" s="1"/>
  <c r="H134" i="9" s="1"/>
  <c r="H133" i="9" s="1"/>
  <c r="H132" i="9" s="1"/>
  <c r="H131" i="9" s="1"/>
  <c r="I99" i="9" l="1"/>
  <c r="J99" i="9" s="1"/>
  <c r="K99" i="9" s="1"/>
  <c r="F100" i="9" s="1"/>
  <c r="I2" i="9"/>
  <c r="J2" i="9" s="1"/>
  <c r="K2" i="9" s="1"/>
  <c r="F3" i="9" s="1"/>
  <c r="I34" i="9"/>
  <c r="J34" i="9" s="1"/>
  <c r="K34" i="9" s="1"/>
  <c r="F35" i="9" s="1"/>
  <c r="H130" i="9"/>
  <c r="H129" i="9" s="1"/>
  <c r="H168" i="9"/>
  <c r="H167" i="9" s="1"/>
  <c r="H166" i="9" s="1"/>
  <c r="H97" i="9"/>
  <c r="H96" i="9" s="1"/>
  <c r="N2" i="9" l="1"/>
  <c r="B3" i="8"/>
  <c r="C4" i="8"/>
  <c r="M99" i="9"/>
  <c r="E4" i="8"/>
  <c r="N99" i="9"/>
  <c r="L99" i="9"/>
  <c r="M2" i="9"/>
  <c r="L2" i="9"/>
  <c r="H95" i="9"/>
  <c r="H165" i="9"/>
  <c r="N34" i="9"/>
  <c r="L34" i="9"/>
  <c r="M34" i="9"/>
  <c r="H128" i="9"/>
  <c r="I100" i="9" l="1"/>
  <c r="I35" i="9"/>
  <c r="I3" i="9"/>
  <c r="J3" i="9" s="1"/>
  <c r="K3" i="9" s="1"/>
  <c r="F4" i="9" s="1"/>
  <c r="H94" i="9"/>
  <c r="H127" i="9"/>
  <c r="H164" i="9"/>
  <c r="J100" i="9" l="1"/>
  <c r="L100" i="9" s="1"/>
  <c r="J35" i="9"/>
  <c r="L3" i="9"/>
  <c r="B4" i="8"/>
  <c r="M3" i="9"/>
  <c r="N3" i="9"/>
  <c r="H163" i="9"/>
  <c r="H93" i="9"/>
  <c r="H126" i="9"/>
  <c r="I126" i="9" s="1"/>
  <c r="N100" i="9" l="1"/>
  <c r="L35" i="9"/>
  <c r="K35" i="9"/>
  <c r="F36" i="9" s="1"/>
  <c r="I36" i="9" s="1"/>
  <c r="E5" i="8"/>
  <c r="K100" i="9"/>
  <c r="F101" i="9" s="1"/>
  <c r="I101" i="9" s="1"/>
  <c r="J101" i="9" s="1"/>
  <c r="K101" i="9" s="1"/>
  <c r="F102" i="9" s="1"/>
  <c r="N35" i="9"/>
  <c r="C5" i="8"/>
  <c r="J126" i="9"/>
  <c r="F3" i="8" s="1"/>
  <c r="M35" i="9"/>
  <c r="M100" i="9"/>
  <c r="I4" i="9"/>
  <c r="J4" i="9" s="1"/>
  <c r="K4" i="9" s="1"/>
  <c r="F5" i="9" s="1"/>
  <c r="H92" i="9"/>
  <c r="H162" i="9"/>
  <c r="H161" i="9" s="1"/>
  <c r="H160" i="9" s="1"/>
  <c r="M126" i="9" l="1"/>
  <c r="K126" i="9"/>
  <c r="F127" i="9" s="1"/>
  <c r="E6" i="8"/>
  <c r="L101" i="9"/>
  <c r="N101" i="9"/>
  <c r="M101" i="9"/>
  <c r="L126" i="9"/>
  <c r="N126" i="9"/>
  <c r="J36" i="9"/>
  <c r="K36" i="9" s="1"/>
  <c r="F37" i="9" s="1"/>
  <c r="M4" i="9"/>
  <c r="N4" i="9"/>
  <c r="L4" i="9"/>
  <c r="B5" i="8"/>
  <c r="H91" i="9"/>
  <c r="H159" i="9"/>
  <c r="H158" i="9" s="1"/>
  <c r="I102" i="9" l="1"/>
  <c r="J102" i="9" s="1"/>
  <c r="N102" i="9" s="1"/>
  <c r="C6" i="8"/>
  <c r="L36" i="9"/>
  <c r="M36" i="9"/>
  <c r="N36" i="9"/>
  <c r="I5" i="9"/>
  <c r="J5" i="9" s="1"/>
  <c r="K5" i="9" s="1"/>
  <c r="F6" i="9" s="1"/>
  <c r="H90" i="9"/>
  <c r="H157" i="9"/>
  <c r="K102" i="9" l="1"/>
  <c r="F103" i="9" s="1"/>
  <c r="I127" i="9"/>
  <c r="J127" i="9" s="1"/>
  <c r="K127" i="9" s="1"/>
  <c r="F128" i="9" s="1"/>
  <c r="I128" i="9" s="1"/>
  <c r="J128" i="9" s="1"/>
  <c r="I37" i="9"/>
  <c r="J37" i="9" s="1"/>
  <c r="K37" i="9" s="1"/>
  <c r="F38" i="9" s="1"/>
  <c r="E7" i="8"/>
  <c r="L102" i="9"/>
  <c r="M102" i="9"/>
  <c r="N5" i="9"/>
  <c r="B6" i="8"/>
  <c r="L5" i="9"/>
  <c r="M5" i="9"/>
  <c r="H89" i="9"/>
  <c r="H156" i="9"/>
  <c r="F4" i="8" l="1"/>
  <c r="M127" i="9"/>
  <c r="N127" i="9"/>
  <c r="L127" i="9"/>
  <c r="K128" i="9"/>
  <c r="F129" i="9" s="1"/>
  <c r="L37" i="9"/>
  <c r="M37" i="9"/>
  <c r="I103" i="9"/>
  <c r="I38" i="9"/>
  <c r="C7" i="8"/>
  <c r="N37" i="9"/>
  <c r="I6" i="9"/>
  <c r="N128" i="9"/>
  <c r="F5" i="8"/>
  <c r="M128" i="9"/>
  <c r="H155" i="9"/>
  <c r="H88" i="9"/>
  <c r="H87" i="9" s="1"/>
  <c r="L128" i="9"/>
  <c r="J38" i="9" l="1"/>
  <c r="K38" i="9" s="1"/>
  <c r="F39" i="9" s="1"/>
  <c r="J6" i="9"/>
  <c r="K6" i="9" s="1"/>
  <c r="F7" i="9" s="1"/>
  <c r="J103" i="9"/>
  <c r="K103" i="9" s="1"/>
  <c r="F104" i="9" s="1"/>
  <c r="H154" i="9"/>
  <c r="H86" i="9"/>
  <c r="H85" i="9" s="1"/>
  <c r="I129" i="9"/>
  <c r="J129" i="9" s="1"/>
  <c r="K129" i="9" s="1"/>
  <c r="F130" i="9" s="1"/>
  <c r="C8" i="8" l="1"/>
  <c r="M38" i="9"/>
  <c r="L38" i="9"/>
  <c r="L6" i="9"/>
  <c r="B7" i="8"/>
  <c r="M6" i="9"/>
  <c r="N38" i="9"/>
  <c r="E8" i="8"/>
  <c r="N103" i="9"/>
  <c r="M103" i="9"/>
  <c r="L103" i="9"/>
  <c r="N6" i="9"/>
  <c r="N129" i="9"/>
  <c r="F7" i="8"/>
  <c r="L129" i="9"/>
  <c r="H153" i="9"/>
  <c r="M129" i="9"/>
  <c r="H84" i="9"/>
  <c r="H83" i="9" s="1"/>
  <c r="H82" i="9" s="1"/>
  <c r="I7" i="9" l="1"/>
  <c r="J7" i="9" s="1"/>
  <c r="K7" i="9" s="1"/>
  <c r="F8" i="9" s="1"/>
  <c r="I104" i="9"/>
  <c r="J104" i="9" s="1"/>
  <c r="K104" i="9" s="1"/>
  <c r="F105" i="9" s="1"/>
  <c r="I39" i="9"/>
  <c r="H81" i="9"/>
  <c r="I130" i="9"/>
  <c r="J130" i="9" s="1"/>
  <c r="K130" i="9" s="1"/>
  <c r="F131" i="9" s="1"/>
  <c r="H152" i="9"/>
  <c r="E9" i="8" l="1"/>
  <c r="M104" i="9"/>
  <c r="L104" i="9"/>
  <c r="M7" i="9"/>
  <c r="L7" i="9"/>
  <c r="N7" i="9"/>
  <c r="B8" i="8"/>
  <c r="N104" i="9"/>
  <c r="J39" i="9"/>
  <c r="K39" i="9" s="1"/>
  <c r="F40" i="9" s="1"/>
  <c r="N130" i="9"/>
  <c r="F10" i="8"/>
  <c r="H151" i="9"/>
  <c r="H80" i="9"/>
  <c r="M130" i="9"/>
  <c r="L130" i="9"/>
  <c r="I8" i="9" l="1"/>
  <c r="J8" i="9" s="1"/>
  <c r="K8" i="9" s="1"/>
  <c r="F9" i="9" s="1"/>
  <c r="I105" i="9"/>
  <c r="J105" i="9" s="1"/>
  <c r="K105" i="9" s="1"/>
  <c r="F106" i="9" s="1"/>
  <c r="C9" i="8"/>
  <c r="M39" i="9"/>
  <c r="L39" i="9"/>
  <c r="N39" i="9"/>
  <c r="I131" i="9"/>
  <c r="J131" i="9" s="1"/>
  <c r="K131" i="9" s="1"/>
  <c r="F132" i="9" s="1"/>
  <c r="H79" i="9"/>
  <c r="H150" i="9"/>
  <c r="H149" i="9" s="1"/>
  <c r="N105" i="9" l="1"/>
  <c r="E10" i="8"/>
  <c r="L105" i="9"/>
  <c r="M105" i="9"/>
  <c r="B9" i="8"/>
  <c r="N8" i="9"/>
  <c r="M8" i="9"/>
  <c r="L8" i="9"/>
  <c r="I40" i="9"/>
  <c r="J40" i="9" s="1"/>
  <c r="K40" i="9" s="1"/>
  <c r="F41" i="9" s="1"/>
  <c r="N131" i="9"/>
  <c r="F12" i="8"/>
  <c r="H148" i="9"/>
  <c r="H78" i="9"/>
  <c r="L131" i="9"/>
  <c r="M131" i="9"/>
  <c r="L40" i="9" l="1"/>
  <c r="M40" i="9"/>
  <c r="N40" i="9"/>
  <c r="C10" i="8"/>
  <c r="I41" i="9"/>
  <c r="J41" i="9" s="1"/>
  <c r="I106" i="9"/>
  <c r="J106" i="9" s="1"/>
  <c r="K106" i="9" s="1"/>
  <c r="F107" i="9" s="1"/>
  <c r="I9" i="9"/>
  <c r="J9" i="9" s="1"/>
  <c r="K9" i="9" s="1"/>
  <c r="F10" i="9" s="1"/>
  <c r="H77" i="9"/>
  <c r="I132" i="9"/>
  <c r="J132" i="9" s="1"/>
  <c r="K132" i="9" s="1"/>
  <c r="F133" i="9" s="1"/>
  <c r="H147" i="9"/>
  <c r="H146" i="9" s="1"/>
  <c r="K41" i="9" l="1"/>
  <c r="F42" i="9" s="1"/>
  <c r="E11" i="8"/>
  <c r="N106" i="9"/>
  <c r="L106" i="9"/>
  <c r="M106" i="9"/>
  <c r="B10" i="8"/>
  <c r="N9" i="9"/>
  <c r="L9" i="9"/>
  <c r="M9" i="9"/>
  <c r="N41" i="9"/>
  <c r="C11" i="8"/>
  <c r="M41" i="9"/>
  <c r="L41" i="9"/>
  <c r="N132" i="9"/>
  <c r="F13" i="8"/>
  <c r="M132" i="9"/>
  <c r="L132" i="9"/>
  <c r="H145" i="9"/>
  <c r="H144" i="9" s="1"/>
  <c r="H76" i="9"/>
  <c r="I10" i="9" l="1"/>
  <c r="J10" i="9" s="1"/>
  <c r="K10" i="9" s="1"/>
  <c r="F11" i="9" s="1"/>
  <c r="I42" i="9"/>
  <c r="J42" i="9" s="1"/>
  <c r="K42" i="9" s="1"/>
  <c r="F43" i="9" s="1"/>
  <c r="I107" i="9"/>
  <c r="J107" i="9" s="1"/>
  <c r="K107" i="9" s="1"/>
  <c r="F108" i="9" s="1"/>
  <c r="H143" i="9"/>
  <c r="H75" i="9"/>
  <c r="I133" i="9"/>
  <c r="J133" i="9" s="1"/>
  <c r="K133" i="9" s="1"/>
  <c r="F134" i="9" s="1"/>
  <c r="M10" i="9" l="1"/>
  <c r="N107" i="9"/>
  <c r="E12" i="8"/>
  <c r="M107" i="9"/>
  <c r="L107" i="9"/>
  <c r="N42" i="9"/>
  <c r="C12" i="8"/>
  <c r="L42" i="9"/>
  <c r="M42" i="9"/>
  <c r="N10" i="9"/>
  <c r="B11" i="8"/>
  <c r="L10" i="9"/>
  <c r="N133" i="9"/>
  <c r="F14" i="8"/>
  <c r="M133" i="9"/>
  <c r="L133" i="9"/>
  <c r="H74" i="9"/>
  <c r="H142" i="9"/>
  <c r="I43" i="9" l="1"/>
  <c r="J43" i="9" s="1"/>
  <c r="K43" i="9" s="1"/>
  <c r="F44" i="9" s="1"/>
  <c r="I11" i="9"/>
  <c r="I108" i="9"/>
  <c r="J108" i="9" s="1"/>
  <c r="K108" i="9" s="1"/>
  <c r="F109" i="9" s="1"/>
  <c r="I134" i="9"/>
  <c r="H141" i="9"/>
  <c r="H73" i="9"/>
  <c r="N108" i="9" l="1"/>
  <c r="E13" i="8"/>
  <c r="L108" i="9"/>
  <c r="M108" i="9"/>
  <c r="C13" i="8"/>
  <c r="N43" i="9"/>
  <c r="M43" i="9"/>
  <c r="L43" i="9"/>
  <c r="J11" i="9"/>
  <c r="K11" i="9" s="1"/>
  <c r="F12" i="9" s="1"/>
  <c r="J134" i="9"/>
  <c r="H140" i="9"/>
  <c r="I140" i="9" s="1"/>
  <c r="H72" i="9"/>
  <c r="F15" i="8" l="1"/>
  <c r="K134" i="9"/>
  <c r="F135" i="9" s="1"/>
  <c r="L134" i="9"/>
  <c r="M134" i="9"/>
  <c r="J140" i="9"/>
  <c r="K140" i="9" s="1"/>
  <c r="F141" i="9" s="1"/>
  <c r="B12" i="8"/>
  <c r="M11" i="9"/>
  <c r="L11" i="9"/>
  <c r="N134" i="9"/>
  <c r="I109" i="9"/>
  <c r="J109" i="9" s="1"/>
  <c r="M109" i="9" s="1"/>
  <c r="N11" i="9"/>
  <c r="I44" i="9"/>
  <c r="J44" i="9" s="1"/>
  <c r="K44" i="9" s="1"/>
  <c r="F45" i="9" s="1"/>
  <c r="H71" i="9"/>
  <c r="G2" i="8" l="1"/>
  <c r="M2" i="8" s="1"/>
  <c r="L140" i="9"/>
  <c r="M140" i="9"/>
  <c r="K109" i="9"/>
  <c r="F110" i="9" s="1"/>
  <c r="N140" i="9"/>
  <c r="C14" i="8"/>
  <c r="N44" i="9"/>
  <c r="I12" i="9"/>
  <c r="J12" i="9" s="1"/>
  <c r="K12" i="9" s="1"/>
  <c r="F13" i="9" s="1"/>
  <c r="L109" i="9"/>
  <c r="M44" i="9"/>
  <c r="L44" i="9"/>
  <c r="N109" i="9"/>
  <c r="E14" i="8"/>
  <c r="I141" i="9"/>
  <c r="J141" i="9" s="1"/>
  <c r="K141" i="9" s="1"/>
  <c r="F142" i="9" s="1"/>
  <c r="H70" i="9"/>
  <c r="H69" i="9" s="1"/>
  <c r="P2" i="8" l="1"/>
  <c r="R2" i="8"/>
  <c r="N2" i="8"/>
  <c r="O2" i="8"/>
  <c r="K2" i="8"/>
  <c r="U2" i="8"/>
  <c r="L2" i="8"/>
  <c r="I2" i="8"/>
  <c r="T2" i="8"/>
  <c r="H2" i="8"/>
  <c r="J2" i="8"/>
  <c r="V2" i="8"/>
  <c r="Q2" i="8"/>
  <c r="S2" i="8"/>
  <c r="I135" i="9"/>
  <c r="J135" i="9" s="1"/>
  <c r="K135" i="9" s="1"/>
  <c r="F136" i="9" s="1"/>
  <c r="N12" i="9"/>
  <c r="B13" i="8"/>
  <c r="M12" i="9"/>
  <c r="L12" i="9"/>
  <c r="I110" i="9"/>
  <c r="J110" i="9" s="1"/>
  <c r="K110" i="9" s="1"/>
  <c r="F111" i="9" s="1"/>
  <c r="I45" i="9"/>
  <c r="J45" i="9" s="1"/>
  <c r="K45" i="9" s="1"/>
  <c r="F46" i="9" s="1"/>
  <c r="N141" i="9"/>
  <c r="G3" i="8"/>
  <c r="H68" i="9"/>
  <c r="L141" i="9"/>
  <c r="M141" i="9"/>
  <c r="N135" i="9" l="1"/>
  <c r="F18" i="8"/>
  <c r="L135" i="9"/>
  <c r="M135" i="9"/>
  <c r="N45" i="9"/>
  <c r="C15" i="8"/>
  <c r="M45" i="9"/>
  <c r="L45" i="9"/>
  <c r="N110" i="9"/>
  <c r="E17" i="8"/>
  <c r="I13" i="9"/>
  <c r="J13" i="9" s="1"/>
  <c r="K13" i="9" s="1"/>
  <c r="F14" i="9" s="1"/>
  <c r="L110" i="9"/>
  <c r="M110" i="9"/>
  <c r="U3" i="8"/>
  <c r="S3" i="8"/>
  <c r="T3" i="8"/>
  <c r="J3" i="8"/>
  <c r="Q3" i="8"/>
  <c r="L3" i="8"/>
  <c r="M3" i="8"/>
  <c r="R3" i="8"/>
  <c r="N3" i="8"/>
  <c r="I3" i="8"/>
  <c r="P3" i="8"/>
  <c r="O3" i="8"/>
  <c r="K3" i="8"/>
  <c r="H3" i="8"/>
  <c r="V3" i="8"/>
  <c r="H67" i="9"/>
  <c r="I142" i="9"/>
  <c r="J142" i="9" s="1"/>
  <c r="K142" i="9" s="1"/>
  <c r="F143" i="9" s="1"/>
  <c r="I136" i="9" l="1"/>
  <c r="J136" i="9" s="1"/>
  <c r="K136" i="9" s="1"/>
  <c r="F137" i="9" s="1"/>
  <c r="I111" i="9"/>
  <c r="M13" i="9"/>
  <c r="I46" i="9"/>
  <c r="J46" i="9" s="1"/>
  <c r="K46" i="9" s="1"/>
  <c r="F47" i="9" s="1"/>
  <c r="L13" i="9"/>
  <c r="N13" i="9"/>
  <c r="B16" i="8"/>
  <c r="N142" i="9"/>
  <c r="G4" i="8"/>
  <c r="L142" i="9"/>
  <c r="M142" i="9"/>
  <c r="H66" i="9"/>
  <c r="I66" i="9" s="1"/>
  <c r="M136" i="9" l="1"/>
  <c r="L136" i="9"/>
  <c r="I137" i="9"/>
  <c r="J137" i="9" s="1"/>
  <c r="K137" i="9" s="1"/>
  <c r="F138" i="9" s="1"/>
  <c r="I138" i="9" s="1"/>
  <c r="F21" i="8"/>
  <c r="N136" i="9"/>
  <c r="C16" i="8"/>
  <c r="M46" i="9"/>
  <c r="L46" i="9"/>
  <c r="I14" i="9"/>
  <c r="J14" i="9" s="1"/>
  <c r="K14" i="9" s="1"/>
  <c r="F15" i="9" s="1"/>
  <c r="J111" i="9"/>
  <c r="K111" i="9" s="1"/>
  <c r="F112" i="9" s="1"/>
  <c r="J66" i="9"/>
  <c r="D4" i="8" s="1"/>
  <c r="I4" i="8" s="1"/>
  <c r="N46" i="9"/>
  <c r="I143" i="9"/>
  <c r="J143" i="9" s="1"/>
  <c r="K143" i="9" s="1"/>
  <c r="F144" i="9" s="1"/>
  <c r="L137" i="9" l="1"/>
  <c r="J138" i="9"/>
  <c r="M138" i="9" s="1"/>
  <c r="N66" i="9"/>
  <c r="K66" i="9"/>
  <c r="F67" i="9" s="1"/>
  <c r="F25" i="8"/>
  <c r="N137" i="9"/>
  <c r="M137" i="9"/>
  <c r="L66" i="9"/>
  <c r="M66" i="9"/>
  <c r="N14" i="9"/>
  <c r="B17" i="8"/>
  <c r="M14" i="9"/>
  <c r="L14" i="9"/>
  <c r="K4" i="8"/>
  <c r="V4" i="8"/>
  <c r="R4" i="8"/>
  <c r="T4" i="8"/>
  <c r="L4" i="8"/>
  <c r="N4" i="8"/>
  <c r="M4" i="8"/>
  <c r="Q4" i="8"/>
  <c r="O4" i="8"/>
  <c r="E20" i="8"/>
  <c r="N111" i="9"/>
  <c r="M111" i="9"/>
  <c r="P4" i="8"/>
  <c r="U4" i="8"/>
  <c r="J4" i="8"/>
  <c r="L111" i="9"/>
  <c r="I47" i="9"/>
  <c r="J47" i="9" s="1"/>
  <c r="C18" i="8" s="1"/>
  <c r="S4" i="8"/>
  <c r="H4" i="8"/>
  <c r="N143" i="9"/>
  <c r="G5" i="8"/>
  <c r="M143" i="9"/>
  <c r="L143" i="9"/>
  <c r="F30" i="8" l="1"/>
  <c r="K138" i="9"/>
  <c r="F139" i="9" s="1"/>
  <c r="I139" i="9" s="1"/>
  <c r="J139" i="9" s="1"/>
  <c r="N139" i="9" s="1"/>
  <c r="N138" i="9"/>
  <c r="L138" i="9"/>
  <c r="I67" i="9"/>
  <c r="J67" i="9" s="1"/>
  <c r="K67" i="9" s="1"/>
  <c r="F68" i="9" s="1"/>
  <c r="K47" i="9"/>
  <c r="F48" i="9" s="1"/>
  <c r="F34" i="8"/>
  <c r="I15" i="9"/>
  <c r="J15" i="9" s="1"/>
  <c r="K15" i="9" s="1"/>
  <c r="F16" i="9" s="1"/>
  <c r="M47" i="9"/>
  <c r="I112" i="9"/>
  <c r="L47" i="9"/>
  <c r="N47" i="9"/>
  <c r="I144" i="9"/>
  <c r="J144" i="9" s="1"/>
  <c r="K144" i="9" s="1"/>
  <c r="F145" i="9" s="1"/>
  <c r="L139" i="9" l="1"/>
  <c r="K139" i="9"/>
  <c r="M139" i="9"/>
  <c r="D5" i="8"/>
  <c r="S5" i="8" s="1"/>
  <c r="M67" i="9"/>
  <c r="N67" i="9"/>
  <c r="L67" i="9"/>
  <c r="N15" i="9"/>
  <c r="B18" i="8"/>
  <c r="M15" i="9"/>
  <c r="I48" i="9"/>
  <c r="J48" i="9" s="1"/>
  <c r="M48" i="9" s="1"/>
  <c r="L15" i="9"/>
  <c r="J112" i="9"/>
  <c r="K112" i="9" s="1"/>
  <c r="F113" i="9" s="1"/>
  <c r="I68" i="9"/>
  <c r="N144" i="9"/>
  <c r="G6" i="8"/>
  <c r="L144" i="9"/>
  <c r="M144" i="9"/>
  <c r="J5" i="8" l="1"/>
  <c r="Q5" i="8"/>
  <c r="O5" i="8"/>
  <c r="L5" i="8"/>
  <c r="M5" i="8"/>
  <c r="U5" i="8"/>
  <c r="P5" i="8"/>
  <c r="I5" i="8"/>
  <c r="H5" i="8"/>
  <c r="T5" i="8"/>
  <c r="K5" i="8"/>
  <c r="R5" i="8"/>
  <c r="V5" i="8"/>
  <c r="N5" i="8"/>
  <c r="K48" i="9"/>
  <c r="F49" i="9" s="1"/>
  <c r="I16" i="9"/>
  <c r="J16" i="9" s="1"/>
  <c r="M16" i="9" s="1"/>
  <c r="E22" i="8"/>
  <c r="N112" i="9"/>
  <c r="M112" i="9"/>
  <c r="J68" i="9"/>
  <c r="K68" i="9" s="1"/>
  <c r="F69" i="9" s="1"/>
  <c r="C19" i="8"/>
  <c r="N48" i="9"/>
  <c r="L112" i="9"/>
  <c r="L48" i="9"/>
  <c r="I145" i="9"/>
  <c r="J145" i="9" s="1"/>
  <c r="K145" i="9" s="1"/>
  <c r="F146" i="9" s="1"/>
  <c r="L16" i="9" l="1"/>
  <c r="K16" i="9"/>
  <c r="F17" i="9" s="1"/>
  <c r="I17" i="9" s="1"/>
  <c r="M68" i="9"/>
  <c r="D6" i="8"/>
  <c r="L68" i="9"/>
  <c r="I49" i="9"/>
  <c r="J49" i="9" s="1"/>
  <c r="K49" i="9" s="1"/>
  <c r="F50" i="9" s="1"/>
  <c r="N16" i="9"/>
  <c r="B19" i="8"/>
  <c r="I113" i="9"/>
  <c r="J113" i="9" s="1"/>
  <c r="K113" i="9" s="1"/>
  <c r="F114" i="9" s="1"/>
  <c r="N68" i="9"/>
  <c r="N145" i="9"/>
  <c r="G7" i="8"/>
  <c r="M145" i="9"/>
  <c r="L145" i="9"/>
  <c r="J17" i="9" l="1"/>
  <c r="L17" i="9" s="1"/>
  <c r="N113" i="9"/>
  <c r="E24" i="8"/>
  <c r="L113" i="9"/>
  <c r="M113" i="9"/>
  <c r="N49" i="9"/>
  <c r="C20" i="8"/>
  <c r="M49" i="9"/>
  <c r="L49" i="9"/>
  <c r="U6" i="8"/>
  <c r="R6" i="8"/>
  <c r="H6" i="8"/>
  <c r="I6" i="8"/>
  <c r="S6" i="8"/>
  <c r="K6" i="8"/>
  <c r="M6" i="8"/>
  <c r="O6" i="8"/>
  <c r="N6" i="8"/>
  <c r="T6" i="8"/>
  <c r="V6" i="8"/>
  <c r="L6" i="8"/>
  <c r="P6" i="8"/>
  <c r="J6" i="8"/>
  <c r="Q6" i="8"/>
  <c r="B20" i="8"/>
  <c r="I69" i="9"/>
  <c r="J69" i="9" s="1"/>
  <c r="K69" i="9" s="1"/>
  <c r="F70" i="9" s="1"/>
  <c r="I146" i="9"/>
  <c r="N17" i="9" l="1"/>
  <c r="K17" i="9"/>
  <c r="F18" i="9" s="1"/>
  <c r="I18" i="9" s="1"/>
  <c r="M17" i="9"/>
  <c r="I114" i="9"/>
  <c r="J114" i="9" s="1"/>
  <c r="K114" i="9" s="1"/>
  <c r="F115" i="9" s="1"/>
  <c r="N69" i="9"/>
  <c r="D7" i="8"/>
  <c r="L69" i="9"/>
  <c r="M69" i="9"/>
  <c r="J146" i="9"/>
  <c r="I50" i="9"/>
  <c r="J50" i="9" s="1"/>
  <c r="L50" i="9" s="1"/>
  <c r="J18" i="9" l="1"/>
  <c r="K18" i="9" s="1"/>
  <c r="F19" i="9" s="1"/>
  <c r="G8" i="8"/>
  <c r="K146" i="9"/>
  <c r="F147" i="9" s="1"/>
  <c r="K50" i="9"/>
  <c r="F51" i="9" s="1"/>
  <c r="I51" i="9" s="1"/>
  <c r="M146" i="9"/>
  <c r="N114" i="9"/>
  <c r="E25" i="8"/>
  <c r="M114" i="9"/>
  <c r="L114" i="9"/>
  <c r="M50" i="9"/>
  <c r="N146" i="9"/>
  <c r="L146" i="9"/>
  <c r="I70" i="9"/>
  <c r="J70" i="9" s="1"/>
  <c r="K70" i="9" s="1"/>
  <c r="F71" i="9" s="1"/>
  <c r="N50" i="9"/>
  <c r="C21" i="8"/>
  <c r="S7" i="8"/>
  <c r="J7" i="8"/>
  <c r="Q7" i="8"/>
  <c r="O7" i="8"/>
  <c r="V7" i="8"/>
  <c r="M7" i="8"/>
  <c r="U7" i="8"/>
  <c r="H7" i="8"/>
  <c r="L7" i="8"/>
  <c r="K7" i="8"/>
  <c r="R7" i="8"/>
  <c r="P7" i="8"/>
  <c r="I7" i="8"/>
  <c r="T7" i="8"/>
  <c r="N7" i="8"/>
  <c r="B21" i="8" l="1"/>
  <c r="N18" i="9"/>
  <c r="L18" i="9"/>
  <c r="M18" i="9"/>
  <c r="N70" i="9"/>
  <c r="D8" i="8"/>
  <c r="M70" i="9"/>
  <c r="L70" i="9"/>
  <c r="I115" i="9"/>
  <c r="J115" i="9" s="1"/>
  <c r="K115" i="9" s="1"/>
  <c r="F116" i="9" s="1"/>
  <c r="I19" i="9"/>
  <c r="I147" i="9"/>
  <c r="J147" i="9" s="1"/>
  <c r="K147" i="9" s="1"/>
  <c r="F148" i="9" s="1"/>
  <c r="J51" i="9"/>
  <c r="M51" i="9" l="1"/>
  <c r="K51" i="9"/>
  <c r="F52" i="9" s="1"/>
  <c r="M147" i="9"/>
  <c r="G9" i="8"/>
  <c r="N147" i="9"/>
  <c r="E26" i="8"/>
  <c r="N115" i="9"/>
  <c r="I71" i="9"/>
  <c r="J71" i="9" s="1"/>
  <c r="D9" i="8" s="1"/>
  <c r="C22" i="8"/>
  <c r="N51" i="9"/>
  <c r="L51" i="9"/>
  <c r="J19" i="9"/>
  <c r="K19" i="9" s="1"/>
  <c r="F20" i="9" s="1"/>
  <c r="L115" i="9"/>
  <c r="H8" i="8"/>
  <c r="V8" i="8"/>
  <c r="K8" i="8"/>
  <c r="Q8" i="8"/>
  <c r="O8" i="8"/>
  <c r="J8" i="8"/>
  <c r="R8" i="8"/>
  <c r="N8" i="8"/>
  <c r="T8" i="8"/>
  <c r="S8" i="8"/>
  <c r="I8" i="8"/>
  <c r="M8" i="8"/>
  <c r="L8" i="8"/>
  <c r="U8" i="8"/>
  <c r="P8" i="8"/>
  <c r="L147" i="9"/>
  <c r="M115" i="9"/>
  <c r="K71" i="9" l="1"/>
  <c r="F72" i="9" s="1"/>
  <c r="M71" i="9"/>
  <c r="I148" i="9"/>
  <c r="I116" i="9"/>
  <c r="J116" i="9" s="1"/>
  <c r="K116" i="9" s="1"/>
  <c r="F117" i="9" s="1"/>
  <c r="L71" i="9"/>
  <c r="P9" i="8"/>
  <c r="O9" i="8"/>
  <c r="J9" i="8"/>
  <c r="H9" i="8"/>
  <c r="Q9" i="8"/>
  <c r="L9" i="8"/>
  <c r="V9" i="8"/>
  <c r="S9" i="8"/>
  <c r="I9" i="8"/>
  <c r="N9" i="8"/>
  <c r="U9" i="8"/>
  <c r="M9" i="8"/>
  <c r="K9" i="8"/>
  <c r="R9" i="8"/>
  <c r="T9" i="8"/>
  <c r="B22" i="8"/>
  <c r="N19" i="9"/>
  <c r="L19" i="9"/>
  <c r="M19" i="9"/>
  <c r="I52" i="9"/>
  <c r="J52" i="9" s="1"/>
  <c r="K52" i="9" s="1"/>
  <c r="F53" i="9" s="1"/>
  <c r="N71" i="9"/>
  <c r="N116" i="9" l="1"/>
  <c r="E27" i="8"/>
  <c r="M116" i="9"/>
  <c r="L116" i="9"/>
  <c r="N52" i="9"/>
  <c r="C23" i="8"/>
  <c r="L52" i="9"/>
  <c r="M52" i="9"/>
  <c r="I20" i="9"/>
  <c r="I72" i="9"/>
  <c r="J72" i="9" s="1"/>
  <c r="D10" i="8" s="1"/>
  <c r="J148" i="9"/>
  <c r="K148" i="9" s="1"/>
  <c r="F149" i="9" s="1"/>
  <c r="K72" i="9" l="1"/>
  <c r="F73" i="9" s="1"/>
  <c r="G10" i="8"/>
  <c r="R10" i="8" s="1"/>
  <c r="N148" i="9"/>
  <c r="L148" i="9"/>
  <c r="M148" i="9"/>
  <c r="I117" i="9"/>
  <c r="J117" i="9" s="1"/>
  <c r="K117" i="9" s="1"/>
  <c r="F118" i="9" s="1"/>
  <c r="I53" i="9"/>
  <c r="J53" i="9" s="1"/>
  <c r="K53" i="9" s="1"/>
  <c r="F54" i="9" s="1"/>
  <c r="L72" i="9"/>
  <c r="N72" i="9"/>
  <c r="J20" i="9"/>
  <c r="K20" i="9" s="1"/>
  <c r="F21" i="9" s="1"/>
  <c r="M72" i="9"/>
  <c r="N20" i="9" l="1"/>
  <c r="E28" i="8"/>
  <c r="N117" i="9"/>
  <c r="M117" i="9"/>
  <c r="L117" i="9"/>
  <c r="N53" i="9"/>
  <c r="C24" i="8"/>
  <c r="L53" i="9"/>
  <c r="M53" i="9"/>
  <c r="I10" i="8"/>
  <c r="L10" i="8"/>
  <c r="I73" i="9"/>
  <c r="J73" i="9" s="1"/>
  <c r="K73" i="9" s="1"/>
  <c r="F74" i="9" s="1"/>
  <c r="V10" i="8"/>
  <c r="M10" i="8"/>
  <c r="N10" i="8"/>
  <c r="U10" i="8"/>
  <c r="H10" i="8"/>
  <c r="Q10" i="8"/>
  <c r="O10" i="8"/>
  <c r="J10" i="8"/>
  <c r="P10" i="8"/>
  <c r="K10" i="8"/>
  <c r="B23" i="8"/>
  <c r="M20" i="9"/>
  <c r="L20" i="9"/>
  <c r="I149" i="9"/>
  <c r="J149" i="9" s="1"/>
  <c r="K149" i="9" s="1"/>
  <c r="F150" i="9" s="1"/>
  <c r="T10" i="8"/>
  <c r="S10" i="8"/>
  <c r="N73" i="9" l="1"/>
  <c r="D11" i="8"/>
  <c r="L73" i="9"/>
  <c r="M73" i="9"/>
  <c r="G11" i="8"/>
  <c r="N149" i="9"/>
  <c r="M149" i="9"/>
  <c r="L149" i="9"/>
  <c r="I21" i="9"/>
  <c r="J21" i="9" s="1"/>
  <c r="K21" i="9" s="1"/>
  <c r="F22" i="9" s="1"/>
  <c r="I118" i="9"/>
  <c r="J118" i="9" s="1"/>
  <c r="K118" i="9" s="1"/>
  <c r="F119" i="9" s="1"/>
  <c r="I54" i="9"/>
  <c r="J54" i="9" s="1"/>
  <c r="K54" i="9" s="1"/>
  <c r="F55" i="9" s="1"/>
  <c r="M21" i="9" l="1"/>
  <c r="C25" i="8"/>
  <c r="N54" i="9"/>
  <c r="L54" i="9"/>
  <c r="M54" i="9"/>
  <c r="N118" i="9"/>
  <c r="E29" i="8"/>
  <c r="L21" i="9"/>
  <c r="B24" i="8"/>
  <c r="N21" i="9"/>
  <c r="I74" i="9"/>
  <c r="J74" i="9" s="1"/>
  <c r="K74" i="9" s="1"/>
  <c r="F75" i="9" s="1"/>
  <c r="S11" i="8"/>
  <c r="J11" i="8"/>
  <c r="N11" i="8"/>
  <c r="K11" i="8"/>
  <c r="H11" i="8"/>
  <c r="P11" i="8"/>
  <c r="I11" i="8"/>
  <c r="V11" i="8"/>
  <c r="T11" i="8"/>
  <c r="L11" i="8"/>
  <c r="U11" i="8"/>
  <c r="M11" i="8"/>
  <c r="R11" i="8"/>
  <c r="Q11" i="8"/>
  <c r="O11" i="8"/>
  <c r="M118" i="9"/>
  <c r="I150" i="9"/>
  <c r="J150" i="9" s="1"/>
  <c r="K150" i="9" s="1"/>
  <c r="F151" i="9" s="1"/>
  <c r="L118" i="9"/>
  <c r="G12" i="8" l="1"/>
  <c r="N150" i="9"/>
  <c r="L150" i="9"/>
  <c r="M150" i="9"/>
  <c r="N74" i="9"/>
  <c r="D12" i="8"/>
  <c r="M74" i="9"/>
  <c r="L74" i="9"/>
  <c r="I22" i="9"/>
  <c r="I119" i="9"/>
  <c r="J119" i="9" s="1"/>
  <c r="L119" i="9" s="1"/>
  <c r="I55" i="9"/>
  <c r="K119" i="9" l="1"/>
  <c r="F120" i="9" s="1"/>
  <c r="I120" i="9" s="1"/>
  <c r="I75" i="9"/>
  <c r="J75" i="9" s="1"/>
  <c r="K75" i="9" s="1"/>
  <c r="F76" i="9" s="1"/>
  <c r="P12" i="8"/>
  <c r="N12" i="8"/>
  <c r="V12" i="8"/>
  <c r="M12" i="8"/>
  <c r="Q12" i="8"/>
  <c r="T12" i="8"/>
  <c r="L12" i="8"/>
  <c r="K12" i="8"/>
  <c r="I12" i="8"/>
  <c r="R12" i="8"/>
  <c r="J12" i="8"/>
  <c r="S12" i="8"/>
  <c r="O12" i="8"/>
  <c r="U12" i="8"/>
  <c r="H12" i="8"/>
  <c r="N119" i="9"/>
  <c r="E30" i="8"/>
  <c r="J55" i="9"/>
  <c r="K55" i="9" s="1"/>
  <c r="F56" i="9" s="1"/>
  <c r="I151" i="9"/>
  <c r="J151" i="9" s="1"/>
  <c r="K151" i="9" s="1"/>
  <c r="F152" i="9" s="1"/>
  <c r="M119" i="9"/>
  <c r="J22" i="9"/>
  <c r="K22" i="9" s="1"/>
  <c r="F23" i="9" s="1"/>
  <c r="N75" i="9" l="1"/>
  <c r="D13" i="8"/>
  <c r="M75" i="9"/>
  <c r="L75" i="9"/>
  <c r="N151" i="9"/>
  <c r="G13" i="8"/>
  <c r="L151" i="9"/>
  <c r="M151" i="9"/>
  <c r="C26" i="8"/>
  <c r="L55" i="9"/>
  <c r="M55" i="9"/>
  <c r="B25" i="8"/>
  <c r="N22" i="9"/>
  <c r="L22" i="9"/>
  <c r="M22" i="9"/>
  <c r="N55" i="9"/>
  <c r="J120" i="9"/>
  <c r="K120" i="9" s="1"/>
  <c r="F121" i="9" s="1"/>
  <c r="N120" i="9" l="1"/>
  <c r="I152" i="9"/>
  <c r="J152" i="9" s="1"/>
  <c r="K152" i="9" s="1"/>
  <c r="F153" i="9" s="1"/>
  <c r="E31" i="8"/>
  <c r="M120" i="9"/>
  <c r="L120" i="9"/>
  <c r="I56" i="9"/>
  <c r="J56" i="9" s="1"/>
  <c r="K56" i="9" s="1"/>
  <c r="F57" i="9" s="1"/>
  <c r="I76" i="9"/>
  <c r="J76" i="9" s="1"/>
  <c r="D14" i="8" s="1"/>
  <c r="I23" i="9"/>
  <c r="P13" i="8"/>
  <c r="T13" i="8"/>
  <c r="S13" i="8"/>
  <c r="K13" i="8"/>
  <c r="R13" i="8"/>
  <c r="Q13" i="8"/>
  <c r="I13" i="8"/>
  <c r="M13" i="8"/>
  <c r="O13" i="8"/>
  <c r="V13" i="8"/>
  <c r="L13" i="8"/>
  <c r="N13" i="8"/>
  <c r="J13" i="8"/>
  <c r="U13" i="8"/>
  <c r="H13" i="8"/>
  <c r="K76" i="9" l="1"/>
  <c r="F77" i="9" s="1"/>
  <c r="C27" i="8"/>
  <c r="N56" i="9"/>
  <c r="M56" i="9"/>
  <c r="L56" i="9"/>
  <c r="N152" i="9"/>
  <c r="G14" i="8"/>
  <c r="T14" i="8" s="1"/>
  <c r="L152" i="9"/>
  <c r="M152" i="9"/>
  <c r="L76" i="9"/>
  <c r="J23" i="9"/>
  <c r="K23" i="9" s="1"/>
  <c r="F24" i="9" s="1"/>
  <c r="M76" i="9"/>
  <c r="N76" i="9"/>
  <c r="I121" i="9"/>
  <c r="J121" i="9" s="1"/>
  <c r="K121" i="9" s="1"/>
  <c r="F122" i="9" s="1"/>
  <c r="N121" i="9" l="1"/>
  <c r="E32" i="8"/>
  <c r="M121" i="9"/>
  <c r="L121" i="9"/>
  <c r="J14" i="8"/>
  <c r="P14" i="8"/>
  <c r="S14" i="8"/>
  <c r="I14" i="8"/>
  <c r="O14" i="8"/>
  <c r="M14" i="8"/>
  <c r="N23" i="9"/>
  <c r="B26" i="8"/>
  <c r="M23" i="9"/>
  <c r="I57" i="9"/>
  <c r="J57" i="9" s="1"/>
  <c r="K57" i="9" s="1"/>
  <c r="F58" i="9" s="1"/>
  <c r="L14" i="8"/>
  <c r="R14" i="8"/>
  <c r="L23" i="9"/>
  <c r="U14" i="8"/>
  <c r="V14" i="8"/>
  <c r="I77" i="9"/>
  <c r="J77" i="9" s="1"/>
  <c r="K77" i="9" s="1"/>
  <c r="F78" i="9" s="1"/>
  <c r="K14" i="8"/>
  <c r="Q14" i="8"/>
  <c r="H14" i="8"/>
  <c r="N14" i="8"/>
  <c r="I153" i="9"/>
  <c r="J153" i="9" s="1"/>
  <c r="M153" i="9" s="1"/>
  <c r="K153" i="9" l="1"/>
  <c r="F154" i="9" s="1"/>
  <c r="L153" i="9"/>
  <c r="N57" i="9"/>
  <c r="C28" i="8"/>
  <c r="I24" i="9"/>
  <c r="N77" i="9"/>
  <c r="D15" i="8"/>
  <c r="L77" i="9"/>
  <c r="M77" i="9"/>
  <c r="M57" i="9"/>
  <c r="G15" i="8"/>
  <c r="N153" i="9"/>
  <c r="L57" i="9"/>
  <c r="I122" i="9"/>
  <c r="J122" i="9" s="1"/>
  <c r="L122" i="9" s="1"/>
  <c r="I154" i="9" l="1"/>
  <c r="J154" i="9" s="1"/>
  <c r="K122" i="9"/>
  <c r="F123" i="9" s="1"/>
  <c r="I123" i="9" s="1"/>
  <c r="J123" i="9" s="1"/>
  <c r="K123" i="9" s="1"/>
  <c r="F124" i="9" s="1"/>
  <c r="I58" i="9"/>
  <c r="J58" i="9" s="1"/>
  <c r="K58" i="9" s="1"/>
  <c r="F59" i="9" s="1"/>
  <c r="E33" i="8"/>
  <c r="N122" i="9"/>
  <c r="I78" i="9"/>
  <c r="J78" i="9" s="1"/>
  <c r="K78" i="9" s="1"/>
  <c r="F79" i="9" s="1"/>
  <c r="Q15" i="8"/>
  <c r="O15" i="8"/>
  <c r="S15" i="8"/>
  <c r="U15" i="8"/>
  <c r="K15" i="8"/>
  <c r="R15" i="8"/>
  <c r="V15" i="8"/>
  <c r="M15" i="8"/>
  <c r="H15" i="8"/>
  <c r="P15" i="8"/>
  <c r="L15" i="8"/>
  <c r="N15" i="8"/>
  <c r="J15" i="8"/>
  <c r="I15" i="8"/>
  <c r="T15" i="8"/>
  <c r="J24" i="9"/>
  <c r="K24" i="9" s="1"/>
  <c r="F25" i="9" s="1"/>
  <c r="M122" i="9"/>
  <c r="K154" i="9" l="1"/>
  <c r="F155" i="9" s="1"/>
  <c r="G16" i="8"/>
  <c r="N78" i="9"/>
  <c r="D16" i="8"/>
  <c r="L78" i="9"/>
  <c r="M78" i="9"/>
  <c r="N58" i="9"/>
  <c r="C29" i="8"/>
  <c r="M58" i="9"/>
  <c r="L58" i="9"/>
  <c r="N123" i="9"/>
  <c r="E34" i="8"/>
  <c r="M123" i="9"/>
  <c r="L123" i="9"/>
  <c r="N154" i="9"/>
  <c r="M154" i="9"/>
  <c r="L154" i="9"/>
  <c r="B27" i="8"/>
  <c r="N24" i="9"/>
  <c r="M24" i="9"/>
  <c r="L24" i="9"/>
  <c r="I59" i="9" l="1"/>
  <c r="J59" i="9" s="1"/>
  <c r="K59" i="9" s="1"/>
  <c r="F60" i="9" s="1"/>
  <c r="I25" i="9"/>
  <c r="J25" i="9" s="1"/>
  <c r="B28" i="8" s="1"/>
  <c r="I124" i="9"/>
  <c r="J124" i="9" s="1"/>
  <c r="K124" i="9" s="1"/>
  <c r="F125" i="9" s="1"/>
  <c r="I155" i="9"/>
  <c r="J155" i="9" s="1"/>
  <c r="K155" i="9" s="1"/>
  <c r="F156" i="9" s="1"/>
  <c r="I79" i="9"/>
  <c r="J79" i="9" s="1"/>
  <c r="K79" i="9" s="1"/>
  <c r="F80" i="9" s="1"/>
  <c r="M16" i="8"/>
  <c r="U16" i="8"/>
  <c r="J16" i="8"/>
  <c r="V16" i="8"/>
  <c r="I16" i="8"/>
  <c r="O16" i="8"/>
  <c r="S16" i="8"/>
  <c r="T16" i="8"/>
  <c r="K16" i="8"/>
  <c r="N16" i="8"/>
  <c r="Q16" i="8"/>
  <c r="R16" i="8"/>
  <c r="P16" i="8"/>
  <c r="H16" i="8"/>
  <c r="L16" i="8"/>
  <c r="K25" i="9" l="1"/>
  <c r="F26" i="9" s="1"/>
  <c r="L59" i="9"/>
  <c r="M59" i="9"/>
  <c r="N124" i="9"/>
  <c r="E35" i="8"/>
  <c r="M124" i="9"/>
  <c r="L124" i="9"/>
  <c r="D17" i="8"/>
  <c r="N79" i="9"/>
  <c r="L79" i="9"/>
  <c r="M79" i="9"/>
  <c r="N155" i="9"/>
  <c r="G17" i="8"/>
  <c r="N25" i="9"/>
  <c r="M155" i="9"/>
  <c r="L155" i="9"/>
  <c r="M25" i="9"/>
  <c r="L25" i="9"/>
  <c r="C30" i="8"/>
  <c r="N59" i="9"/>
  <c r="I60" i="9" l="1"/>
  <c r="J60" i="9" s="1"/>
  <c r="L60" i="9" s="1"/>
  <c r="I156" i="9"/>
  <c r="J156" i="9" s="1"/>
  <c r="K156" i="9" s="1"/>
  <c r="F157" i="9" s="1"/>
  <c r="I80" i="9"/>
  <c r="J80" i="9" s="1"/>
  <c r="K80" i="9" s="1"/>
  <c r="F81" i="9" s="1"/>
  <c r="I17" i="8"/>
  <c r="L17" i="8"/>
  <c r="U17" i="8"/>
  <c r="J17" i="8"/>
  <c r="R17" i="8"/>
  <c r="O17" i="8"/>
  <c r="K17" i="8"/>
  <c r="T17" i="8"/>
  <c r="N17" i="8"/>
  <c r="P17" i="8"/>
  <c r="M17" i="8"/>
  <c r="V17" i="8"/>
  <c r="S17" i="8"/>
  <c r="H17" i="8"/>
  <c r="Q17" i="8"/>
  <c r="I26" i="9"/>
  <c r="I125" i="9"/>
  <c r="J125" i="9" s="1"/>
  <c r="K125" i="9" s="1"/>
  <c r="C31" i="8" l="1"/>
  <c r="N60" i="9"/>
  <c r="M60" i="9"/>
  <c r="K60" i="9"/>
  <c r="F61" i="9" s="1"/>
  <c r="I61" i="9" s="1"/>
  <c r="J61" i="9" s="1"/>
  <c r="K61" i="9" s="1"/>
  <c r="F62" i="9" s="1"/>
  <c r="G18" i="8"/>
  <c r="M156" i="9"/>
  <c r="J26" i="9"/>
  <c r="B29" i="8" s="1"/>
  <c r="E36" i="8"/>
  <c r="N125" i="9"/>
  <c r="M125" i="9"/>
  <c r="L125" i="9"/>
  <c r="N80" i="9"/>
  <c r="D18" i="8"/>
  <c r="M80" i="9"/>
  <c r="L80" i="9"/>
  <c r="L156" i="9"/>
  <c r="N156" i="9"/>
  <c r="L26" i="9" l="1"/>
  <c r="K26" i="9"/>
  <c r="F27" i="9" s="1"/>
  <c r="M26" i="9"/>
  <c r="N26" i="9"/>
  <c r="N61" i="9"/>
  <c r="C32" i="8"/>
  <c r="M61" i="9"/>
  <c r="L61" i="9"/>
  <c r="U18" i="8"/>
  <c r="T18" i="8"/>
  <c r="J18" i="8"/>
  <c r="V18" i="8"/>
  <c r="R18" i="8"/>
  <c r="Q18" i="8"/>
  <c r="P18" i="8"/>
  <c r="H18" i="8"/>
  <c r="M18" i="8"/>
  <c r="L18" i="8"/>
  <c r="K18" i="8"/>
  <c r="N18" i="8"/>
  <c r="O18" i="8"/>
  <c r="S18" i="8"/>
  <c r="I18" i="8"/>
  <c r="I157" i="9"/>
  <c r="J157" i="9" s="1"/>
  <c r="M157" i="9" s="1"/>
  <c r="I81" i="9"/>
  <c r="J81" i="9" s="1"/>
  <c r="N81" i="9" s="1"/>
  <c r="K81" i="9" l="1"/>
  <c r="F82" i="9" s="1"/>
  <c r="K157" i="9"/>
  <c r="F158" i="9" s="1"/>
  <c r="I27" i="9"/>
  <c r="J27" i="9" s="1"/>
  <c r="D19" i="8"/>
  <c r="L157" i="9"/>
  <c r="I62" i="9"/>
  <c r="J62" i="9" s="1"/>
  <c r="K62" i="9" s="1"/>
  <c r="F63" i="9" s="1"/>
  <c r="M81" i="9"/>
  <c r="N157" i="9"/>
  <c r="G19" i="8"/>
  <c r="L81" i="9"/>
  <c r="K19" i="8" l="1"/>
  <c r="M27" i="9"/>
  <c r="N27" i="9"/>
  <c r="B30" i="8"/>
  <c r="L27" i="9"/>
  <c r="K27" i="9"/>
  <c r="F28" i="9" s="1"/>
  <c r="C33" i="8"/>
  <c r="N62" i="9"/>
  <c r="L62" i="9"/>
  <c r="M62" i="9"/>
  <c r="I82" i="9"/>
  <c r="J82" i="9" s="1"/>
  <c r="K82" i="9" s="1"/>
  <c r="F83" i="9" s="1"/>
  <c r="U19" i="8"/>
  <c r="Q19" i="8"/>
  <c r="L19" i="8"/>
  <c r="V19" i="8"/>
  <c r="S19" i="8"/>
  <c r="J19" i="8"/>
  <c r="R19" i="8"/>
  <c r="P19" i="8"/>
  <c r="H19" i="8"/>
  <c r="T19" i="8"/>
  <c r="I19" i="8"/>
  <c r="M19" i="8"/>
  <c r="O19" i="8"/>
  <c r="I158" i="9"/>
  <c r="J158" i="9" s="1"/>
  <c r="K158" i="9" s="1"/>
  <c r="F159" i="9" s="1"/>
  <c r="N19" i="8"/>
  <c r="I28" i="9" l="1"/>
  <c r="J28" i="9" s="1"/>
  <c r="N82" i="9"/>
  <c r="D20" i="8"/>
  <c r="M82" i="9"/>
  <c r="L82" i="9"/>
  <c r="G20" i="8"/>
  <c r="N158" i="9"/>
  <c r="M158" i="9"/>
  <c r="L158" i="9"/>
  <c r="I63" i="9"/>
  <c r="J63" i="9" s="1"/>
  <c r="K63" i="9" s="1"/>
  <c r="F64" i="9" s="1"/>
  <c r="B31" i="8" l="1"/>
  <c r="N28" i="9"/>
  <c r="K28" i="9"/>
  <c r="F29" i="9" s="1"/>
  <c r="L28" i="9"/>
  <c r="M28" i="9"/>
  <c r="C34" i="8"/>
  <c r="N63" i="9"/>
  <c r="I83" i="9"/>
  <c r="J83" i="9" s="1"/>
  <c r="M83" i="9" s="1"/>
  <c r="P20" i="8"/>
  <c r="R20" i="8"/>
  <c r="J20" i="8"/>
  <c r="T20" i="8"/>
  <c r="U20" i="8"/>
  <c r="I20" i="8"/>
  <c r="L20" i="8"/>
  <c r="S20" i="8"/>
  <c r="M20" i="8"/>
  <c r="V20" i="8"/>
  <c r="K20" i="8"/>
  <c r="H20" i="8"/>
  <c r="Q20" i="8"/>
  <c r="O20" i="8"/>
  <c r="N20" i="8"/>
  <c r="M63" i="9"/>
  <c r="L63" i="9"/>
  <c r="I159" i="9"/>
  <c r="J159" i="9" s="1"/>
  <c r="K159" i="9" s="1"/>
  <c r="F160" i="9" s="1"/>
  <c r="K83" i="9" l="1"/>
  <c r="F84" i="9" s="1"/>
  <c r="I29" i="9"/>
  <c r="J29" i="9" s="1"/>
  <c r="M29" i="9" s="1"/>
  <c r="D21" i="8"/>
  <c r="N83" i="9"/>
  <c r="N159" i="9"/>
  <c r="G21" i="8"/>
  <c r="I64" i="9"/>
  <c r="L83" i="9"/>
  <c r="L159" i="9"/>
  <c r="M159" i="9"/>
  <c r="L29" i="9" l="1"/>
  <c r="B32" i="8"/>
  <c r="N29" i="9"/>
  <c r="K29" i="9"/>
  <c r="F30" i="9" s="1"/>
  <c r="J64" i="9"/>
  <c r="C35" i="8" s="1"/>
  <c r="I160" i="9"/>
  <c r="I84" i="9"/>
  <c r="J84" i="9" s="1"/>
  <c r="K84" i="9" s="1"/>
  <c r="F85" i="9" s="1"/>
  <c r="Q21" i="8"/>
  <c r="T21" i="8"/>
  <c r="H21" i="8"/>
  <c r="M21" i="8"/>
  <c r="V21" i="8"/>
  <c r="P21" i="8"/>
  <c r="L21" i="8"/>
  <c r="S21" i="8"/>
  <c r="J21" i="8"/>
  <c r="O21" i="8"/>
  <c r="N21" i="8"/>
  <c r="I21" i="8"/>
  <c r="R21" i="8"/>
  <c r="K21" i="8"/>
  <c r="U21" i="8"/>
  <c r="I30" i="9" l="1"/>
  <c r="J30" i="9" s="1"/>
  <c r="K30" i="9" s="1"/>
  <c r="F31" i="9" s="1"/>
  <c r="I31" i="9" s="1"/>
  <c r="J31" i="9" s="1"/>
  <c r="K31" i="9" s="1"/>
  <c r="F32" i="9" s="1"/>
  <c r="M64" i="9"/>
  <c r="K64" i="9"/>
  <c r="F65" i="9" s="1"/>
  <c r="N64" i="9"/>
  <c r="L64" i="9"/>
  <c r="D22" i="8"/>
  <c r="N84" i="9"/>
  <c r="L84" i="9"/>
  <c r="J160" i="9"/>
  <c r="K160" i="9" s="1"/>
  <c r="F161" i="9" s="1"/>
  <c r="M84" i="9"/>
  <c r="B33" i="8" l="1"/>
  <c r="L30" i="9"/>
  <c r="M30" i="9"/>
  <c r="N30" i="9"/>
  <c r="L31" i="9"/>
  <c r="G22" i="8"/>
  <c r="I22" i="8" s="1"/>
  <c r="M160" i="9"/>
  <c r="L160" i="9"/>
  <c r="I85" i="9"/>
  <c r="J85" i="9" s="1"/>
  <c r="K85" i="9" s="1"/>
  <c r="F86" i="9" s="1"/>
  <c r="M31" i="9"/>
  <c r="N31" i="9"/>
  <c r="B34" i="8"/>
  <c r="N160" i="9"/>
  <c r="I65" i="9" l="1"/>
  <c r="J65" i="9" s="1"/>
  <c r="K65" i="9" s="1"/>
  <c r="N85" i="9"/>
  <c r="D23" i="8"/>
  <c r="M85" i="9"/>
  <c r="L85" i="9"/>
  <c r="K22" i="8"/>
  <c r="J22" i="8"/>
  <c r="U22" i="8"/>
  <c r="N22" i="8"/>
  <c r="P22" i="8"/>
  <c r="O22" i="8"/>
  <c r="R22" i="8"/>
  <c r="Q22" i="8"/>
  <c r="S22" i="8"/>
  <c r="M22" i="8"/>
  <c r="I161" i="9"/>
  <c r="J161" i="9" s="1"/>
  <c r="K161" i="9" s="1"/>
  <c r="F162" i="9" s="1"/>
  <c r="T22" i="8"/>
  <c r="V22" i="8"/>
  <c r="L22" i="8"/>
  <c r="H22" i="8"/>
  <c r="I32" i="9" l="1"/>
  <c r="J32" i="9" s="1"/>
  <c r="K32" i="9" s="1"/>
  <c r="F33" i="9" s="1"/>
  <c r="N65" i="9"/>
  <c r="C36" i="8"/>
  <c r="L65" i="9"/>
  <c r="M65" i="9"/>
  <c r="N161" i="9"/>
  <c r="G23" i="8"/>
  <c r="I23" i="8" s="1"/>
  <c r="L161" i="9"/>
  <c r="M161" i="9"/>
  <c r="I86" i="9"/>
  <c r="J86" i="9" s="1"/>
  <c r="K86" i="9" s="1"/>
  <c r="F87" i="9" s="1"/>
  <c r="B35" i="8" l="1"/>
  <c r="L32" i="9"/>
  <c r="N32" i="9"/>
  <c r="M32" i="9"/>
  <c r="I33" i="9"/>
  <c r="J33" i="9" s="1"/>
  <c r="K33" i="9" s="1"/>
  <c r="N86" i="9"/>
  <c r="D24" i="8"/>
  <c r="L86" i="9"/>
  <c r="M86" i="9"/>
  <c r="K23" i="8"/>
  <c r="S23" i="8"/>
  <c r="R23" i="8"/>
  <c r="H23" i="8"/>
  <c r="V23" i="8"/>
  <c r="L23" i="8"/>
  <c r="O23" i="8"/>
  <c r="T23" i="8"/>
  <c r="P23" i="8"/>
  <c r="J23" i="8"/>
  <c r="Q23" i="8"/>
  <c r="N23" i="8"/>
  <c r="I162" i="9"/>
  <c r="U23" i="8"/>
  <c r="M23" i="8"/>
  <c r="B36" i="8" l="1"/>
  <c r="N33" i="9"/>
  <c r="M33" i="9"/>
  <c r="L33" i="9"/>
  <c r="G24" i="8"/>
  <c r="I24" i="8" s="1"/>
  <c r="J162" i="9"/>
  <c r="K162" i="9" s="1"/>
  <c r="F163" i="9" s="1"/>
  <c r="I87" i="9"/>
  <c r="J24" i="8" l="1"/>
  <c r="V24" i="8"/>
  <c r="M24" i="8"/>
  <c r="S24" i="8"/>
  <c r="R24" i="8"/>
  <c r="N24" i="8"/>
  <c r="Q24" i="8"/>
  <c r="T24" i="8"/>
  <c r="H24" i="8"/>
  <c r="L24" i="8"/>
  <c r="U24" i="8"/>
  <c r="P24" i="8"/>
  <c r="K24" i="8"/>
  <c r="J87" i="9"/>
  <c r="K87" i="9" s="1"/>
  <c r="F88" i="9" s="1"/>
  <c r="O24" i="8"/>
  <c r="N162" i="9"/>
  <c r="M162" i="9"/>
  <c r="L162" i="9"/>
  <c r="D25" i="8" l="1"/>
  <c r="L87" i="9"/>
  <c r="M87" i="9"/>
  <c r="I163" i="9"/>
  <c r="J163" i="9" s="1"/>
  <c r="L163" i="9" s="1"/>
  <c r="N87" i="9"/>
  <c r="K163" i="9" l="1"/>
  <c r="F164" i="9" s="1"/>
  <c r="I164" i="9" s="1"/>
  <c r="J164" i="9" s="1"/>
  <c r="K164" i="9" s="1"/>
  <c r="F165" i="9" s="1"/>
  <c r="M163" i="9"/>
  <c r="G27" i="8"/>
  <c r="N163" i="9"/>
  <c r="I88" i="9"/>
  <c r="J88" i="9" s="1"/>
  <c r="K88" i="9" s="1"/>
  <c r="F89" i="9" s="1"/>
  <c r="H25" i="8"/>
  <c r="Q25" i="8"/>
  <c r="S25" i="8"/>
  <c r="L25" i="8"/>
  <c r="O25" i="8"/>
  <c r="V25" i="8"/>
  <c r="N25" i="8"/>
  <c r="P25" i="8"/>
  <c r="R25" i="8"/>
  <c r="J25" i="8"/>
  <c r="K25" i="8"/>
  <c r="M25" i="8"/>
  <c r="T25" i="8"/>
  <c r="I25" i="8"/>
  <c r="U25" i="8"/>
  <c r="N164" i="9" l="1"/>
  <c r="G28" i="8"/>
  <c r="L164" i="9"/>
  <c r="M164" i="9"/>
  <c r="N88" i="9"/>
  <c r="D26" i="8"/>
  <c r="L88" i="9"/>
  <c r="M88" i="9"/>
  <c r="R26" i="8" l="1"/>
  <c r="M26" i="8"/>
  <c r="K26" i="8"/>
  <c r="V26" i="8"/>
  <c r="J26" i="8"/>
  <c r="P26" i="8"/>
  <c r="Q26" i="8"/>
  <c r="I26" i="8"/>
  <c r="T26" i="8"/>
  <c r="O26" i="8"/>
  <c r="L26" i="8"/>
  <c r="H26" i="8"/>
  <c r="U26" i="8"/>
  <c r="N26" i="8"/>
  <c r="S26" i="8"/>
  <c r="I165" i="9"/>
  <c r="J165" i="9" s="1"/>
  <c r="K165" i="9" s="1"/>
  <c r="F166" i="9" s="1"/>
  <c r="I89" i="9"/>
  <c r="J89" i="9" s="1"/>
  <c r="K89" i="9" s="1"/>
  <c r="F90" i="9" s="1"/>
  <c r="N89" i="9" l="1"/>
  <c r="D27" i="8"/>
  <c r="L89" i="9"/>
  <c r="M89" i="9"/>
  <c r="N165" i="9"/>
  <c r="G29" i="8"/>
  <c r="L165" i="9"/>
  <c r="M165" i="9"/>
  <c r="I90" i="9" l="1"/>
  <c r="J90" i="9" s="1"/>
  <c r="K90" i="9" s="1"/>
  <c r="F91" i="9" s="1"/>
  <c r="J27" i="8"/>
  <c r="I27" i="8"/>
  <c r="T27" i="8"/>
  <c r="O27" i="8"/>
  <c r="M27" i="8"/>
  <c r="K27" i="8"/>
  <c r="L27" i="8"/>
  <c r="Q27" i="8"/>
  <c r="S27" i="8"/>
  <c r="P27" i="8"/>
  <c r="N27" i="8"/>
  <c r="H27" i="8"/>
  <c r="V27" i="8"/>
  <c r="U27" i="8"/>
  <c r="R27" i="8"/>
  <c r="I166" i="9"/>
  <c r="J166" i="9" s="1"/>
  <c r="K166" i="9" s="1"/>
  <c r="F167" i="9" s="1"/>
  <c r="G30" i="8" l="1"/>
  <c r="N166" i="9"/>
  <c r="M166" i="9"/>
  <c r="L166" i="9"/>
  <c r="D28" i="8"/>
  <c r="N90" i="9"/>
  <c r="L90" i="9"/>
  <c r="M90" i="9"/>
  <c r="I91" i="9" l="1"/>
  <c r="J91" i="9" s="1"/>
  <c r="K91" i="9" s="1"/>
  <c r="F92" i="9" s="1"/>
  <c r="S28" i="8"/>
  <c r="Q28" i="8"/>
  <c r="I28" i="8"/>
  <c r="H28" i="8"/>
  <c r="N28" i="8"/>
  <c r="V28" i="8"/>
  <c r="T28" i="8"/>
  <c r="L28" i="8"/>
  <c r="O28" i="8"/>
  <c r="K28" i="8"/>
  <c r="P28" i="8"/>
  <c r="U28" i="8"/>
  <c r="J28" i="8"/>
  <c r="M28" i="8"/>
  <c r="R28" i="8"/>
  <c r="I167" i="9"/>
  <c r="J167" i="9" s="1"/>
  <c r="K167" i="9" s="1"/>
  <c r="F168" i="9" s="1"/>
  <c r="G31" i="8" l="1"/>
  <c r="N167" i="9"/>
  <c r="L167" i="9"/>
  <c r="M167" i="9"/>
  <c r="N91" i="9"/>
  <c r="D29" i="8"/>
  <c r="L91" i="9"/>
  <c r="M91" i="9"/>
  <c r="I92" i="9" l="1"/>
  <c r="J92" i="9" s="1"/>
  <c r="K92" i="9" s="1"/>
  <c r="F93" i="9" s="1"/>
  <c r="I168" i="9"/>
  <c r="O29" i="8"/>
  <c r="T29" i="8"/>
  <c r="N29" i="8"/>
  <c r="Q29" i="8"/>
  <c r="V29" i="8"/>
  <c r="P29" i="8"/>
  <c r="K29" i="8"/>
  <c r="H29" i="8"/>
  <c r="L29" i="8"/>
  <c r="M29" i="8"/>
  <c r="U29" i="8"/>
  <c r="R29" i="8"/>
  <c r="I29" i="8"/>
  <c r="S29" i="8"/>
  <c r="J29" i="8"/>
  <c r="N92" i="9" l="1"/>
  <c r="D30" i="8"/>
  <c r="L92" i="9"/>
  <c r="M92" i="9"/>
  <c r="J168" i="9"/>
  <c r="K168" i="9" s="1"/>
  <c r="F169" i="9" s="1"/>
  <c r="G32" i="8" l="1"/>
  <c r="N168" i="9"/>
  <c r="L168" i="9"/>
  <c r="M168" i="9"/>
  <c r="I93" i="9"/>
  <c r="J93" i="9" s="1"/>
  <c r="K93" i="9" s="1"/>
  <c r="F94" i="9" s="1"/>
  <c r="L30" i="8"/>
  <c r="V30" i="8"/>
  <c r="N30" i="8"/>
  <c r="Q30" i="8"/>
  <c r="J30" i="8"/>
  <c r="I30" i="8"/>
  <c r="H30" i="8"/>
  <c r="T30" i="8"/>
  <c r="R30" i="8"/>
  <c r="M30" i="8"/>
  <c r="S30" i="8"/>
  <c r="O30" i="8"/>
  <c r="U30" i="8"/>
  <c r="P30" i="8"/>
  <c r="K30" i="8"/>
  <c r="N93" i="9" l="1"/>
  <c r="D31" i="8"/>
  <c r="L93" i="9"/>
  <c r="M93" i="9"/>
  <c r="I169" i="9"/>
  <c r="J169" i="9" l="1"/>
  <c r="K169" i="9" s="1"/>
  <c r="F170" i="9" s="1"/>
  <c r="I94" i="9"/>
  <c r="J94" i="9" s="1"/>
  <c r="K94" i="9" s="1"/>
  <c r="F95" i="9" s="1"/>
  <c r="M31" i="8"/>
  <c r="Q31" i="8"/>
  <c r="R31" i="8"/>
  <c r="U31" i="8"/>
  <c r="J31" i="8"/>
  <c r="I31" i="8"/>
  <c r="S31" i="8"/>
  <c r="K31" i="8"/>
  <c r="N31" i="8"/>
  <c r="P31" i="8"/>
  <c r="T31" i="8"/>
  <c r="O31" i="8"/>
  <c r="V31" i="8"/>
  <c r="H31" i="8"/>
  <c r="L31" i="8"/>
  <c r="G33" i="8" l="1"/>
  <c r="L169" i="9"/>
  <c r="N169" i="9"/>
  <c r="M169" i="9"/>
  <c r="N94" i="9"/>
  <c r="D32" i="8"/>
  <c r="M94" i="9"/>
  <c r="L94" i="9"/>
  <c r="I170" i="9"/>
  <c r="J170" i="9" s="1"/>
  <c r="K170" i="9" s="1"/>
  <c r="F171" i="9" s="1"/>
  <c r="G34" i="8" l="1"/>
  <c r="N170" i="9"/>
  <c r="L170" i="9"/>
  <c r="M170" i="9"/>
  <c r="I95" i="9"/>
  <c r="J95" i="9" s="1"/>
  <c r="K95" i="9" s="1"/>
  <c r="F96" i="9" s="1"/>
  <c r="N32" i="8"/>
  <c r="I32" i="8"/>
  <c r="P32" i="8"/>
  <c r="S32" i="8"/>
  <c r="L32" i="8"/>
  <c r="U32" i="8"/>
  <c r="J32" i="8"/>
  <c r="T32" i="8"/>
  <c r="H32" i="8"/>
  <c r="V32" i="8"/>
  <c r="K32" i="8"/>
  <c r="O32" i="8"/>
  <c r="Q32" i="8"/>
  <c r="M32" i="8"/>
  <c r="R32" i="8"/>
  <c r="L95" i="9" l="1"/>
  <c r="M95" i="9"/>
  <c r="I96" i="9"/>
  <c r="J96" i="9" s="1"/>
  <c r="N95" i="9"/>
  <c r="D33" i="8"/>
  <c r="I171" i="9"/>
  <c r="J171" i="9" s="1"/>
  <c r="K171" i="9" s="1"/>
  <c r="F172" i="9" s="1"/>
  <c r="K96" i="9" l="1"/>
  <c r="F97" i="9" s="1"/>
  <c r="N171" i="9"/>
  <c r="G35" i="8"/>
  <c r="L171" i="9"/>
  <c r="M171" i="9"/>
  <c r="D34" i="8"/>
  <c r="N96" i="9"/>
  <c r="L96" i="9"/>
  <c r="M96" i="9"/>
  <c r="Q33" i="8"/>
  <c r="H33" i="8"/>
  <c r="K33" i="8"/>
  <c r="S33" i="8"/>
  <c r="M33" i="8"/>
  <c r="P33" i="8"/>
  <c r="U33" i="8"/>
  <c r="L33" i="8"/>
  <c r="V33" i="8"/>
  <c r="R33" i="8"/>
  <c r="J33" i="8"/>
  <c r="N33" i="8"/>
  <c r="T33" i="8"/>
  <c r="I33" i="8"/>
  <c r="O33" i="8"/>
  <c r="I97" i="9" l="1"/>
  <c r="J97" i="9" s="1"/>
  <c r="K97" i="9" s="1"/>
  <c r="F98" i="9" s="1"/>
  <c r="U34" i="8"/>
  <c r="M34" i="8"/>
  <c r="Q34" i="8"/>
  <c r="R34" i="8"/>
  <c r="S34" i="8"/>
  <c r="H34" i="8"/>
  <c r="I34" i="8"/>
  <c r="J34" i="8"/>
  <c r="V34" i="8"/>
  <c r="T34" i="8"/>
  <c r="K34" i="8"/>
  <c r="L34" i="8"/>
  <c r="P34" i="8"/>
  <c r="N34" i="8"/>
  <c r="O34" i="8"/>
  <c r="I172" i="9"/>
  <c r="J172" i="9" s="1"/>
  <c r="K172" i="9" s="1"/>
  <c r="N172" i="9" l="1"/>
  <c r="G36" i="8"/>
  <c r="M172" i="9"/>
  <c r="L172" i="9"/>
  <c r="N97" i="9"/>
  <c r="D35" i="8"/>
  <c r="M97" i="9"/>
  <c r="L97" i="9"/>
  <c r="I98" i="9" l="1"/>
  <c r="J98" i="9" s="1"/>
  <c r="K98" i="9" s="1"/>
  <c r="U35" i="8"/>
  <c r="R35" i="8"/>
  <c r="O35" i="8"/>
  <c r="K35" i="8"/>
  <c r="H35" i="8"/>
  <c r="J35" i="8"/>
  <c r="N35" i="8"/>
  <c r="I35" i="8"/>
  <c r="M35" i="8"/>
  <c r="P35" i="8"/>
  <c r="L35" i="8"/>
  <c r="V35" i="8"/>
  <c r="Q35" i="8"/>
  <c r="S35" i="8"/>
  <c r="T35" i="8"/>
  <c r="N98" i="9" l="1"/>
  <c r="D36" i="8"/>
  <c r="M98" i="9"/>
  <c r="L98" i="9"/>
  <c r="V36" i="8" l="1"/>
  <c r="O36" i="8"/>
  <c r="R36" i="8"/>
  <c r="J36" i="8"/>
  <c r="U36" i="8"/>
  <c r="T36" i="8"/>
  <c r="M36" i="8"/>
  <c r="I36" i="8"/>
  <c r="K36" i="8"/>
  <c r="S36" i="8"/>
  <c r="P36" i="8"/>
  <c r="H36" i="8"/>
  <c r="L36" i="8"/>
  <c r="Q36" i="8"/>
  <c r="N36" i="8"/>
  <c r="I8" i="7" l="1"/>
  <c r="B29" i="7" s="1"/>
  <c r="C27" i="7" a="1"/>
  <c r="C137" i="7" a="1"/>
  <c r="T8" i="7"/>
  <c r="B139" i="7" s="1"/>
  <c r="U8" i="7"/>
  <c r="B149" i="7" s="1"/>
  <c r="C147" i="7" a="1"/>
  <c r="C107" i="7" a="1"/>
  <c r="Q8" i="7"/>
  <c r="B109" i="7" s="1"/>
  <c r="J8" i="7"/>
  <c r="B39" i="7" s="1"/>
  <c r="C37" i="7" a="1"/>
  <c r="C57" i="7" a="1"/>
  <c r="L8" i="7"/>
  <c r="B59" i="7" s="1"/>
  <c r="C97" i="7" a="1"/>
  <c r="P8" i="7"/>
  <c r="B99" i="7" s="1"/>
  <c r="R8" i="7"/>
  <c r="B119" i="7" s="1"/>
  <c r="C117" i="7" a="1"/>
  <c r="C67" i="7" a="1"/>
  <c r="M8" i="7"/>
  <c r="B69" i="7" s="1"/>
  <c r="C127" i="7" a="1"/>
  <c r="S8" i="7"/>
  <c r="B129" i="7" s="1"/>
  <c r="C87" i="7" a="1"/>
  <c r="O8" i="7"/>
  <c r="B89" i="7" s="1"/>
  <c r="N8" i="7"/>
  <c r="B79" i="7" s="1"/>
  <c r="C77" i="7" a="1"/>
  <c r="H8" i="7"/>
  <c r="B19" i="7" s="1"/>
  <c r="C17" i="7" a="1"/>
  <c r="K8" i="7"/>
  <c r="B49" i="7" s="1"/>
  <c r="C47" i="7" a="1"/>
  <c r="V8" i="7"/>
  <c r="B159" i="7" s="1"/>
  <c r="C157" i="7" a="1"/>
  <c r="C77" i="7" l="1"/>
  <c r="C117" i="7"/>
  <c r="H109" i="7"/>
  <c r="J109" i="7"/>
  <c r="N109" i="7"/>
  <c r="I109" i="7"/>
  <c r="E109" i="7"/>
  <c r="F109" i="7"/>
  <c r="K109" i="7"/>
  <c r="T109" i="7"/>
  <c r="L109" i="7"/>
  <c r="R109" i="7"/>
  <c r="AA109" i="7"/>
  <c r="Q109" i="7"/>
  <c r="U109" i="7"/>
  <c r="G109" i="7"/>
  <c r="O109" i="7"/>
  <c r="AG109" i="7"/>
  <c r="AF109" i="7"/>
  <c r="AE109" i="7"/>
  <c r="D109" i="7"/>
  <c r="M109" i="7"/>
  <c r="AB109" i="7"/>
  <c r="AJ109" i="7"/>
  <c r="X109" i="7"/>
  <c r="AD109" i="7"/>
  <c r="Z109" i="7"/>
  <c r="Y109" i="7"/>
  <c r="V109" i="7"/>
  <c r="AC109" i="7"/>
  <c r="P109" i="7"/>
  <c r="AK109" i="7"/>
  <c r="W109" i="7"/>
  <c r="AI109" i="7"/>
  <c r="S109" i="7"/>
  <c r="C109" i="7"/>
  <c r="AH109" i="7"/>
  <c r="Y79" i="7"/>
  <c r="F79" i="7"/>
  <c r="U79" i="7"/>
  <c r="P79" i="7"/>
  <c r="AD79" i="7"/>
  <c r="AG79" i="7"/>
  <c r="AA79" i="7"/>
  <c r="AC79" i="7"/>
  <c r="AF79" i="7"/>
  <c r="AB79" i="7"/>
  <c r="Z79" i="7"/>
  <c r="AI79" i="7"/>
  <c r="D79" i="7"/>
  <c r="O79" i="7"/>
  <c r="W79" i="7"/>
  <c r="AK79" i="7"/>
  <c r="I79" i="7"/>
  <c r="K79" i="7"/>
  <c r="G79" i="7"/>
  <c r="N79" i="7"/>
  <c r="L79" i="7"/>
  <c r="S79" i="7"/>
  <c r="M79" i="7"/>
  <c r="AJ79" i="7"/>
  <c r="AH79" i="7"/>
  <c r="Q79" i="7"/>
  <c r="AE79" i="7"/>
  <c r="E79" i="7"/>
  <c r="J79" i="7"/>
  <c r="C79" i="7"/>
  <c r="T79" i="7"/>
  <c r="V79" i="7"/>
  <c r="X79" i="7"/>
  <c r="R79" i="7"/>
  <c r="H79" i="7"/>
  <c r="O119" i="7"/>
  <c r="AD119" i="7"/>
  <c r="T119" i="7"/>
  <c r="G119" i="7"/>
  <c r="L119" i="7"/>
  <c r="AH119" i="7"/>
  <c r="R119" i="7"/>
  <c r="AA119" i="7"/>
  <c r="V119" i="7"/>
  <c r="Q119" i="7"/>
  <c r="AF119" i="7"/>
  <c r="P119" i="7"/>
  <c r="AJ119" i="7"/>
  <c r="K119" i="7"/>
  <c r="N119" i="7"/>
  <c r="C119" i="7"/>
  <c r="AK119" i="7"/>
  <c r="AI119" i="7"/>
  <c r="J119" i="7"/>
  <c r="U119" i="7"/>
  <c r="AC119" i="7"/>
  <c r="W119" i="7"/>
  <c r="S119" i="7"/>
  <c r="H119" i="7"/>
  <c r="D119" i="7"/>
  <c r="Z119" i="7"/>
  <c r="AB119" i="7"/>
  <c r="M119" i="7"/>
  <c r="I119" i="7"/>
  <c r="Y119" i="7"/>
  <c r="X119" i="7"/>
  <c r="AG119" i="7"/>
  <c r="E119" i="7"/>
  <c r="F119" i="7"/>
  <c r="AE119" i="7"/>
  <c r="C107" i="7"/>
  <c r="C157" i="7"/>
  <c r="AF89" i="7"/>
  <c r="K89" i="7"/>
  <c r="H89" i="7"/>
  <c r="M89" i="7"/>
  <c r="T89" i="7"/>
  <c r="AG89" i="7"/>
  <c r="O89" i="7"/>
  <c r="Z89" i="7"/>
  <c r="P89" i="7"/>
  <c r="AH89" i="7"/>
  <c r="S89" i="7"/>
  <c r="I89" i="7"/>
  <c r="F89" i="7"/>
  <c r="J89" i="7"/>
  <c r="L89" i="7"/>
  <c r="U89" i="7"/>
  <c r="AB89" i="7"/>
  <c r="X89" i="7"/>
  <c r="N89" i="7"/>
  <c r="G89" i="7"/>
  <c r="AC89" i="7"/>
  <c r="C89" i="7"/>
  <c r="D89" i="7"/>
  <c r="AK89" i="7"/>
  <c r="E89" i="7"/>
  <c r="W89" i="7"/>
  <c r="AE89" i="7"/>
  <c r="R89" i="7"/>
  <c r="V89" i="7"/>
  <c r="Q89" i="7"/>
  <c r="AA89" i="7"/>
  <c r="AJ89" i="7"/>
  <c r="Y89" i="7"/>
  <c r="AD89" i="7"/>
  <c r="AI89" i="7"/>
  <c r="AA99" i="7"/>
  <c r="G99" i="7"/>
  <c r="F99" i="7"/>
  <c r="AE99" i="7"/>
  <c r="T99" i="7"/>
  <c r="AG99" i="7"/>
  <c r="O99" i="7"/>
  <c r="E99" i="7"/>
  <c r="U99" i="7"/>
  <c r="J99" i="7"/>
  <c r="AD99" i="7"/>
  <c r="K99" i="7"/>
  <c r="Z99" i="7"/>
  <c r="AJ99" i="7"/>
  <c r="H99" i="7"/>
  <c r="AC99" i="7"/>
  <c r="Q99" i="7"/>
  <c r="X99" i="7"/>
  <c r="AF99" i="7"/>
  <c r="AK99" i="7"/>
  <c r="N99" i="7"/>
  <c r="M99" i="7"/>
  <c r="L99" i="7"/>
  <c r="S99" i="7"/>
  <c r="AB99" i="7"/>
  <c r="D99" i="7"/>
  <c r="W99" i="7"/>
  <c r="Y99" i="7"/>
  <c r="C99" i="7"/>
  <c r="R99" i="7"/>
  <c r="AH99" i="7"/>
  <c r="V99" i="7"/>
  <c r="I99" i="7"/>
  <c r="P99" i="7"/>
  <c r="AI99" i="7"/>
  <c r="C147" i="7"/>
  <c r="I159" i="7"/>
  <c r="D159" i="7"/>
  <c r="N159" i="7"/>
  <c r="AE159" i="7"/>
  <c r="G159" i="7"/>
  <c r="E159" i="7"/>
  <c r="J159" i="7"/>
  <c r="AJ159" i="7"/>
  <c r="Q159" i="7"/>
  <c r="L159" i="7"/>
  <c r="AI159" i="7"/>
  <c r="H159" i="7"/>
  <c r="AC159" i="7"/>
  <c r="O159" i="7"/>
  <c r="M159" i="7"/>
  <c r="Z159" i="7"/>
  <c r="F159" i="7"/>
  <c r="Y159" i="7"/>
  <c r="T159" i="7"/>
  <c r="R159" i="7"/>
  <c r="X159" i="7"/>
  <c r="C159" i="7"/>
  <c r="AB159" i="7"/>
  <c r="S159" i="7"/>
  <c r="AH159" i="7"/>
  <c r="V159" i="7"/>
  <c r="W159" i="7"/>
  <c r="P159" i="7"/>
  <c r="AF159" i="7"/>
  <c r="K159" i="7"/>
  <c r="AA159" i="7"/>
  <c r="U159" i="7"/>
  <c r="AD159" i="7"/>
  <c r="AK159" i="7"/>
  <c r="AG159" i="7"/>
  <c r="C87" i="7"/>
  <c r="C97" i="7"/>
  <c r="AA149" i="7"/>
  <c r="AC149" i="7"/>
  <c r="AD149" i="7"/>
  <c r="AE149" i="7"/>
  <c r="AG149" i="7"/>
  <c r="AH149" i="7"/>
  <c r="AI149" i="7"/>
  <c r="AK149" i="7"/>
  <c r="F149" i="7"/>
  <c r="AF149" i="7"/>
  <c r="P149" i="7"/>
  <c r="J149" i="7"/>
  <c r="O149" i="7"/>
  <c r="C149" i="7"/>
  <c r="E149" i="7"/>
  <c r="AB149" i="7"/>
  <c r="AJ149" i="7"/>
  <c r="H149" i="7"/>
  <c r="L149" i="7"/>
  <c r="K149" i="7"/>
  <c r="G149" i="7"/>
  <c r="D149" i="7"/>
  <c r="T149" i="7"/>
  <c r="I149" i="7"/>
  <c r="Q149" i="7"/>
  <c r="Z149" i="7"/>
  <c r="V149" i="7"/>
  <c r="S149" i="7"/>
  <c r="U149" i="7"/>
  <c r="X149" i="7"/>
  <c r="M149" i="7"/>
  <c r="Y149" i="7"/>
  <c r="N149" i="7"/>
  <c r="W149" i="7"/>
  <c r="R149" i="7"/>
  <c r="K129" i="7"/>
  <c r="AF129" i="7"/>
  <c r="I129" i="7"/>
  <c r="M129" i="7"/>
  <c r="F129" i="7"/>
  <c r="R129" i="7"/>
  <c r="S129" i="7"/>
  <c r="H129" i="7"/>
  <c r="AG129" i="7"/>
  <c r="AD129" i="7"/>
  <c r="Y129" i="7"/>
  <c r="AC129" i="7"/>
  <c r="P129" i="7"/>
  <c r="AE129" i="7"/>
  <c r="AA129" i="7"/>
  <c r="N129" i="7"/>
  <c r="Q129" i="7"/>
  <c r="C129" i="7"/>
  <c r="AB129" i="7"/>
  <c r="D129" i="7"/>
  <c r="W129" i="7"/>
  <c r="U129" i="7"/>
  <c r="J129" i="7"/>
  <c r="X129" i="7"/>
  <c r="Z129" i="7"/>
  <c r="AK129" i="7"/>
  <c r="E129" i="7"/>
  <c r="AH129" i="7"/>
  <c r="L129" i="7"/>
  <c r="G129" i="7"/>
  <c r="O129" i="7"/>
  <c r="AJ129" i="7"/>
  <c r="V129" i="7"/>
  <c r="AI129" i="7"/>
  <c r="T129" i="7"/>
  <c r="H59" i="7"/>
  <c r="V59" i="7"/>
  <c r="R59" i="7"/>
  <c r="AH59" i="7"/>
  <c r="AC59" i="7"/>
  <c r="E59" i="7"/>
  <c r="F59" i="7"/>
  <c r="P59" i="7"/>
  <c r="AD59" i="7"/>
  <c r="Q59" i="7"/>
  <c r="AG59" i="7"/>
  <c r="W59" i="7"/>
  <c r="L59" i="7"/>
  <c r="AA59" i="7"/>
  <c r="I59" i="7"/>
  <c r="AB59" i="7"/>
  <c r="D59" i="7"/>
  <c r="Z59" i="7"/>
  <c r="AE59" i="7"/>
  <c r="Y59" i="7"/>
  <c r="G59" i="7"/>
  <c r="X59" i="7"/>
  <c r="J59" i="7"/>
  <c r="U59" i="7"/>
  <c r="C59" i="7"/>
  <c r="T59" i="7"/>
  <c r="AJ59" i="7"/>
  <c r="M59" i="7"/>
  <c r="AI59" i="7"/>
  <c r="N59" i="7"/>
  <c r="S59" i="7"/>
  <c r="AF59" i="7"/>
  <c r="O59" i="7"/>
  <c r="AK59" i="7"/>
  <c r="K59" i="7"/>
  <c r="C139" i="7"/>
  <c r="Z139" i="7"/>
  <c r="AA139" i="7"/>
  <c r="X139" i="7"/>
  <c r="K139" i="7"/>
  <c r="I139" i="7"/>
  <c r="AG139" i="7"/>
  <c r="AF139" i="7"/>
  <c r="AE139" i="7"/>
  <c r="AK139" i="7"/>
  <c r="AC139" i="7"/>
  <c r="Q139" i="7"/>
  <c r="D139" i="7"/>
  <c r="AB139" i="7"/>
  <c r="M139" i="7"/>
  <c r="H139" i="7"/>
  <c r="G139" i="7"/>
  <c r="AH139" i="7"/>
  <c r="R139" i="7"/>
  <c r="L139" i="7"/>
  <c r="E139" i="7"/>
  <c r="V139" i="7"/>
  <c r="AD139" i="7"/>
  <c r="N139" i="7"/>
  <c r="S139" i="7"/>
  <c r="AI139" i="7"/>
  <c r="P139" i="7"/>
  <c r="O139" i="7"/>
  <c r="Y139" i="7"/>
  <c r="T139" i="7"/>
  <c r="J139" i="7"/>
  <c r="AJ139" i="7"/>
  <c r="W139" i="7"/>
  <c r="U139" i="7"/>
  <c r="F139" i="7"/>
  <c r="C47" i="7"/>
  <c r="Y49" i="7"/>
  <c r="AK49" i="7"/>
  <c r="Z49" i="7"/>
  <c r="P49" i="7"/>
  <c r="W49" i="7"/>
  <c r="AH49" i="7"/>
  <c r="X49" i="7"/>
  <c r="N49" i="7"/>
  <c r="AB49" i="7"/>
  <c r="D49" i="7"/>
  <c r="V49" i="7"/>
  <c r="AA49" i="7"/>
  <c r="AG49" i="7"/>
  <c r="C49" i="7"/>
  <c r="I49" i="7"/>
  <c r="AI49" i="7"/>
  <c r="E49" i="7"/>
  <c r="AE49" i="7"/>
  <c r="U49" i="7"/>
  <c r="G49" i="7"/>
  <c r="M49" i="7"/>
  <c r="J49" i="7"/>
  <c r="AJ49" i="7"/>
  <c r="Q49" i="7"/>
  <c r="L49" i="7"/>
  <c r="H49" i="7"/>
  <c r="F49" i="7"/>
  <c r="K49" i="7"/>
  <c r="O49" i="7"/>
  <c r="AC49" i="7"/>
  <c r="S49" i="7"/>
  <c r="AD49" i="7"/>
  <c r="T49" i="7"/>
  <c r="AF49" i="7"/>
  <c r="R49" i="7"/>
  <c r="C127" i="7"/>
  <c r="C57" i="7"/>
  <c r="C137" i="7"/>
  <c r="C17" i="7"/>
  <c r="AB69" i="7"/>
  <c r="AG69" i="7"/>
  <c r="AI69" i="7"/>
  <c r="G69" i="7"/>
  <c r="AH69" i="7"/>
  <c r="AF69" i="7"/>
  <c r="AA69" i="7"/>
  <c r="O69" i="7"/>
  <c r="AE69" i="7"/>
  <c r="AC69" i="7"/>
  <c r="D69" i="7"/>
  <c r="AD69" i="7"/>
  <c r="W69" i="7"/>
  <c r="K69" i="7"/>
  <c r="X69" i="7"/>
  <c r="C69" i="7"/>
  <c r="I69" i="7"/>
  <c r="E69" i="7"/>
  <c r="P69" i="7"/>
  <c r="AJ69" i="7"/>
  <c r="T69" i="7"/>
  <c r="J69" i="7"/>
  <c r="R69" i="7"/>
  <c r="L69" i="7"/>
  <c r="AK69" i="7"/>
  <c r="U69" i="7"/>
  <c r="Y69" i="7"/>
  <c r="M69" i="7"/>
  <c r="Q69" i="7"/>
  <c r="F69" i="7"/>
  <c r="N69" i="7"/>
  <c r="V69" i="7"/>
  <c r="Z69" i="7"/>
  <c r="H69" i="7"/>
  <c r="S69" i="7"/>
  <c r="C37" i="7"/>
  <c r="C27" i="7"/>
  <c r="F19" i="7"/>
  <c r="AH19" i="7"/>
  <c r="U19" i="7"/>
  <c r="H19" i="7"/>
  <c r="AJ19" i="7"/>
  <c r="AB19" i="7"/>
  <c r="R19" i="7"/>
  <c r="D19" i="7"/>
  <c r="C19" i="7"/>
  <c r="O19" i="7"/>
  <c r="X19" i="7"/>
  <c r="J19" i="7"/>
  <c r="M19" i="7"/>
  <c r="AC19" i="7"/>
  <c r="P19" i="7"/>
  <c r="S19" i="7"/>
  <c r="I19" i="7"/>
  <c r="L19" i="7"/>
  <c r="AD19" i="7"/>
  <c r="Y19" i="7"/>
  <c r="W19" i="7"/>
  <c r="AI19" i="7"/>
  <c r="E19" i="7"/>
  <c r="Z19" i="7"/>
  <c r="Q19" i="7"/>
  <c r="AK19" i="7"/>
  <c r="AF19" i="7"/>
  <c r="AA19" i="7"/>
  <c r="K19" i="7"/>
  <c r="AE19" i="7"/>
  <c r="T19" i="7"/>
  <c r="G19" i="7"/>
  <c r="AG19" i="7"/>
  <c r="N19" i="7"/>
  <c r="V19" i="7"/>
  <c r="C67" i="7"/>
  <c r="M39" i="7"/>
  <c r="I39" i="7"/>
  <c r="Q39" i="7"/>
  <c r="P39" i="7"/>
  <c r="AB39" i="7"/>
  <c r="S39" i="7"/>
  <c r="O39" i="7"/>
  <c r="U39" i="7"/>
  <c r="F39" i="7"/>
  <c r="Y39" i="7"/>
  <c r="N39" i="7"/>
  <c r="AD39" i="7"/>
  <c r="AA39" i="7"/>
  <c r="W39" i="7"/>
  <c r="C39" i="7"/>
  <c r="Z39" i="7"/>
  <c r="AG39" i="7"/>
  <c r="L39" i="7"/>
  <c r="AH39" i="7"/>
  <c r="X39" i="7"/>
  <c r="AI39" i="7"/>
  <c r="AE39" i="7"/>
  <c r="T39" i="7"/>
  <c r="AF39" i="7"/>
  <c r="AC39" i="7"/>
  <c r="J39" i="7"/>
  <c r="E39" i="7"/>
  <c r="G39" i="7"/>
  <c r="AK39" i="7"/>
  <c r="D39" i="7"/>
  <c r="H39" i="7"/>
  <c r="V39" i="7"/>
  <c r="K39" i="7"/>
  <c r="AJ39" i="7"/>
  <c r="R39" i="7"/>
  <c r="J29" i="7"/>
  <c r="N29" i="7"/>
  <c r="AK29" i="7"/>
  <c r="O29" i="7"/>
  <c r="U29" i="7"/>
  <c r="AJ29" i="7"/>
  <c r="P29" i="7"/>
  <c r="S29" i="7"/>
  <c r="W29" i="7"/>
  <c r="D29" i="7"/>
  <c r="AE29" i="7"/>
  <c r="V29" i="7"/>
  <c r="T29" i="7"/>
  <c r="AC29" i="7"/>
  <c r="Z29" i="7"/>
  <c r="X29" i="7"/>
  <c r="Y29" i="7"/>
  <c r="Q29" i="7"/>
  <c r="L29" i="7"/>
  <c r="AF29" i="7"/>
  <c r="AD29" i="7"/>
  <c r="AA29" i="7"/>
  <c r="F29" i="7"/>
  <c r="AH29" i="7"/>
  <c r="G29" i="7"/>
  <c r="E29" i="7"/>
  <c r="AG29" i="7"/>
  <c r="AB29" i="7"/>
  <c r="M29" i="7"/>
  <c r="I29" i="7"/>
  <c r="AI29" i="7"/>
  <c r="H29" i="7"/>
  <c r="K29" i="7"/>
  <c r="R29" i="7"/>
  <c r="C29" i="7"/>
  <c r="C111" i="7" l="1"/>
  <c r="C112" i="7" s="1"/>
  <c r="C110" i="7" s="1"/>
  <c r="D111" i="7" s="1"/>
  <c r="D112" i="7" s="1"/>
  <c r="D110" i="7" s="1"/>
  <c r="E111" i="7" s="1"/>
  <c r="E112" i="7" s="1"/>
  <c r="E110" i="7" s="1"/>
  <c r="F111" i="7" s="1"/>
  <c r="F112" i="7" s="1"/>
  <c r="F110" i="7" s="1"/>
  <c r="G111" i="7" s="1"/>
  <c r="G112" i="7" s="1"/>
  <c r="G110" i="7" s="1"/>
  <c r="H111" i="7" s="1"/>
  <c r="H112" i="7" s="1"/>
  <c r="H110" i="7" s="1"/>
  <c r="I111" i="7" s="1"/>
  <c r="I112" i="7" s="1"/>
  <c r="I110" i="7" s="1"/>
  <c r="J111" i="7" s="1"/>
  <c r="J112" i="7" s="1"/>
  <c r="J110" i="7" s="1"/>
  <c r="K111" i="7" s="1"/>
  <c r="K112" i="7" s="1"/>
  <c r="K110" i="7" s="1"/>
  <c r="L111" i="7" s="1"/>
  <c r="L112" i="7" s="1"/>
  <c r="L110" i="7" s="1"/>
  <c r="M111" i="7" s="1"/>
  <c r="M112" i="7" s="1"/>
  <c r="M110" i="7" s="1"/>
  <c r="C131" i="7"/>
  <c r="C132" i="7" s="1"/>
  <c r="C130" i="7" s="1"/>
  <c r="D131" i="7" s="1"/>
  <c r="D132" i="7" s="1"/>
  <c r="D130" i="7" s="1"/>
  <c r="E131" i="7" s="1"/>
  <c r="E132" i="7" s="1"/>
  <c r="E130" i="7" s="1"/>
  <c r="F131" i="7" s="1"/>
  <c r="F132" i="7" s="1"/>
  <c r="F130" i="7" s="1"/>
  <c r="G131" i="7" s="1"/>
  <c r="G132" i="7" s="1"/>
  <c r="G130" i="7" s="1"/>
  <c r="H131" i="7" s="1"/>
  <c r="H132" i="7" s="1"/>
  <c r="H130" i="7" s="1"/>
  <c r="I131" i="7" s="1"/>
  <c r="I132" i="7" s="1"/>
  <c r="I130" i="7" s="1"/>
  <c r="J131" i="7" s="1"/>
  <c r="J132" i="7" s="1"/>
  <c r="J130" i="7" s="1"/>
  <c r="K131" i="7" s="1"/>
  <c r="K132" i="7" s="1"/>
  <c r="C133" i="7" s="1"/>
  <c r="C141" i="7"/>
  <c r="C142" i="7" s="1"/>
  <c r="C140" i="7" s="1"/>
  <c r="D141" i="7" s="1"/>
  <c r="D142" i="7" s="1"/>
  <c r="D140" i="7" s="1"/>
  <c r="E141" i="7" s="1"/>
  <c r="E142" i="7" s="1"/>
  <c r="E140" i="7" s="1"/>
  <c r="F141" i="7" s="1"/>
  <c r="F142" i="7" s="1"/>
  <c r="F140" i="7" s="1"/>
  <c r="G141" i="7" s="1"/>
  <c r="G142" i="7" s="1"/>
  <c r="G140" i="7" s="1"/>
  <c r="H141" i="7" s="1"/>
  <c r="H142" i="7" s="1"/>
  <c r="C143" i="7" s="1"/>
  <c r="C161" i="7"/>
  <c r="C162" i="7" s="1"/>
  <c r="C160" i="7" s="1"/>
  <c r="D161" i="7" s="1"/>
  <c r="D162" i="7" s="1"/>
  <c r="D160" i="7" s="1"/>
  <c r="E161" i="7" s="1"/>
  <c r="E162" i="7" s="1"/>
  <c r="E160" i="7" s="1"/>
  <c r="F161" i="7" s="1"/>
  <c r="F162" i="7" s="1"/>
  <c r="F160" i="7" s="1"/>
  <c r="G161" i="7" s="1"/>
  <c r="G162" i="7" s="1"/>
  <c r="G160" i="7" s="1"/>
  <c r="H161" i="7" s="1"/>
  <c r="H162" i="7" s="1"/>
  <c r="H160" i="7" s="1"/>
  <c r="I161" i="7" s="1"/>
  <c r="I162" i="7" s="1"/>
  <c r="I160" i="7" s="1"/>
  <c r="J161" i="7" s="1"/>
  <c r="J162" i="7" s="1"/>
  <c r="C163" i="7" s="1"/>
  <c r="C71" i="7"/>
  <c r="C72" i="7" s="1"/>
  <c r="C70" i="7" s="1"/>
  <c r="D71" i="7" s="1"/>
  <c r="D72" i="7" s="1"/>
  <c r="D70" i="7" s="1"/>
  <c r="E71" i="7" s="1"/>
  <c r="E72" i="7" s="1"/>
  <c r="E70" i="7" s="1"/>
  <c r="F71" i="7" s="1"/>
  <c r="F72" i="7" s="1"/>
  <c r="F70" i="7" s="1"/>
  <c r="G71" i="7" s="1"/>
  <c r="G72" i="7" s="1"/>
  <c r="G70" i="7" s="1"/>
  <c r="C61" i="7"/>
  <c r="C62" i="7" s="1"/>
  <c r="C60" i="7" s="1"/>
  <c r="D61" i="7" s="1"/>
  <c r="D62" i="7" s="1"/>
  <c r="D60" i="7" s="1"/>
  <c r="E61" i="7" s="1"/>
  <c r="E62" i="7" s="1"/>
  <c r="E60" i="7" s="1"/>
  <c r="F61" i="7" s="1"/>
  <c r="F62" i="7" s="1"/>
  <c r="F60" i="7" s="1"/>
  <c r="G61" i="7" s="1"/>
  <c r="G62" i="7" s="1"/>
  <c r="G60" i="7" s="1"/>
  <c r="H61" i="7" s="1"/>
  <c r="H62" i="7" s="1"/>
  <c r="H60" i="7" s="1"/>
  <c r="I61" i="7" s="1"/>
  <c r="I62" i="7" s="1"/>
  <c r="I60" i="7" s="1"/>
  <c r="J61" i="7" s="1"/>
  <c r="J62" i="7" s="1"/>
  <c r="J60" i="7" s="1"/>
  <c r="K61" i="7" s="1"/>
  <c r="K62" i="7" s="1"/>
  <c r="K60" i="7" s="1"/>
  <c r="L61" i="7" s="1"/>
  <c r="L62" i="7" s="1"/>
  <c r="L60" i="7" s="1"/>
  <c r="M61" i="7" s="1"/>
  <c r="M62" i="7" s="1"/>
  <c r="C63" i="7" s="1"/>
  <c r="C41" i="7"/>
  <c r="C42" i="7" s="1"/>
  <c r="C40" i="7" s="1"/>
  <c r="D41" i="7" s="1"/>
  <c r="D42" i="7" s="1"/>
  <c r="D40" i="7" s="1"/>
  <c r="E41" i="7" s="1"/>
  <c r="E42" i="7" s="1"/>
  <c r="E40" i="7" s="1"/>
  <c r="F41" i="7" s="1"/>
  <c r="F42" i="7" s="1"/>
  <c r="C101" i="7"/>
  <c r="C102" i="7" s="1"/>
  <c r="C100" i="7" s="1"/>
  <c r="D101" i="7" s="1"/>
  <c r="D102" i="7" s="1"/>
  <c r="D100" i="7" s="1"/>
  <c r="E101" i="7" s="1"/>
  <c r="E102" i="7" s="1"/>
  <c r="E100" i="7" s="1"/>
  <c r="F101" i="7" s="1"/>
  <c r="F102" i="7" s="1"/>
  <c r="F100" i="7" s="1"/>
  <c r="C91" i="7"/>
  <c r="C92" i="7" s="1"/>
  <c r="C90" i="7" s="1"/>
  <c r="D91" i="7" s="1"/>
  <c r="D92" i="7" s="1"/>
  <c r="D90" i="7" s="1"/>
  <c r="E91" i="7" s="1"/>
  <c r="E92" i="7" s="1"/>
  <c r="E90" i="7" s="1"/>
  <c r="F91" i="7" s="1"/>
  <c r="F92" i="7" s="1"/>
  <c r="F90" i="7" s="1"/>
  <c r="G91" i="7" s="1"/>
  <c r="G92" i="7" s="1"/>
  <c r="G90" i="7" s="1"/>
  <c r="H91" i="7" s="1"/>
  <c r="H92" i="7" s="1"/>
  <c r="H90" i="7" s="1"/>
  <c r="I91" i="7" s="1"/>
  <c r="I92" i="7" s="1"/>
  <c r="I90" i="7" s="1"/>
  <c r="J91" i="7" s="1"/>
  <c r="J92" i="7" s="1"/>
  <c r="J90" i="7" s="1"/>
  <c r="K91" i="7" s="1"/>
  <c r="K92" i="7" s="1"/>
  <c r="K90" i="7" s="1"/>
  <c r="C121" i="7"/>
  <c r="C122" i="7" s="1"/>
  <c r="C120" i="7" s="1"/>
  <c r="D121" i="7" s="1"/>
  <c r="D122" i="7" s="1"/>
  <c r="D120" i="7" s="1"/>
  <c r="E121" i="7" s="1"/>
  <c r="E122" i="7" s="1"/>
  <c r="E120" i="7" s="1"/>
  <c r="C51" i="7"/>
  <c r="C52" i="7" s="1"/>
  <c r="C50" i="7" s="1"/>
  <c r="D51" i="7" s="1"/>
  <c r="D52" i="7" s="1"/>
  <c r="D50" i="7" s="1"/>
  <c r="E51" i="7" s="1"/>
  <c r="E52" i="7" s="1"/>
  <c r="E50" i="7" s="1"/>
  <c r="F51" i="7" s="1"/>
  <c r="F52" i="7" s="1"/>
  <c r="F50" i="7" s="1"/>
  <c r="G51" i="7" s="1"/>
  <c r="G52" i="7" s="1"/>
  <c r="G50" i="7" s="1"/>
  <c r="H51" i="7" s="1"/>
  <c r="H52" i="7" s="1"/>
  <c r="H50" i="7" s="1"/>
  <c r="I51" i="7" s="1"/>
  <c r="I52" i="7" s="1"/>
  <c r="I50" i="7" s="1"/>
  <c r="J51" i="7" s="1"/>
  <c r="J52" i="7" s="1"/>
  <c r="J50" i="7" s="1"/>
  <c r="K51" i="7" s="1"/>
  <c r="K52" i="7" s="1"/>
  <c r="K50" i="7" s="1"/>
  <c r="L51" i="7" s="1"/>
  <c r="L52" i="7" s="1"/>
  <c r="L50" i="7" s="1"/>
  <c r="M51" i="7" s="1"/>
  <c r="M52" i="7" s="1"/>
  <c r="M50" i="7" s="1"/>
  <c r="N51" i="7" s="1"/>
  <c r="N52" i="7" s="1"/>
  <c r="N50" i="7" s="1"/>
  <c r="O51" i="7" s="1"/>
  <c r="O52" i="7" s="1"/>
  <c r="O50" i="7" s="1"/>
  <c r="P51" i="7" s="1"/>
  <c r="P52" i="7" s="1"/>
  <c r="P50" i="7" s="1"/>
  <c r="Q51" i="7" s="1"/>
  <c r="Q52" i="7" s="1"/>
  <c r="Q50" i="7" s="1"/>
  <c r="R51" i="7" s="1"/>
  <c r="R52" i="7" s="1"/>
  <c r="R50" i="7" s="1"/>
  <c r="S51" i="7" s="1"/>
  <c r="S52" i="7" s="1"/>
  <c r="S50" i="7" s="1"/>
  <c r="T51" i="7" s="1"/>
  <c r="T52" i="7" s="1"/>
  <c r="T50" i="7" s="1"/>
  <c r="U51" i="7" s="1"/>
  <c r="U52" i="7" s="1"/>
  <c r="U50" i="7" s="1"/>
  <c r="V51" i="7" s="1"/>
  <c r="V52" i="7" s="1"/>
  <c r="V50" i="7" s="1"/>
  <c r="C31" i="7"/>
  <c r="C32" i="7" s="1"/>
  <c r="C30" i="7" s="1"/>
  <c r="D31" i="7" s="1"/>
  <c r="D32" i="7" s="1"/>
  <c r="D30" i="7" s="1"/>
  <c r="E31" i="7" s="1"/>
  <c r="E32" i="7" s="1"/>
  <c r="C33" i="7" s="1"/>
  <c r="C21" i="7"/>
  <c r="C22" i="7" s="1"/>
  <c r="C20" i="7" s="1"/>
  <c r="C151" i="7"/>
  <c r="C152" i="7" s="1"/>
  <c r="C150" i="7" s="1"/>
  <c r="D151" i="7" s="1"/>
  <c r="D152" i="7" s="1"/>
  <c r="D150" i="7" s="1"/>
  <c r="E151" i="7" s="1"/>
  <c r="E152" i="7" s="1"/>
  <c r="E150" i="7" s="1"/>
  <c r="F151" i="7" s="1"/>
  <c r="F152" i="7" s="1"/>
  <c r="F150" i="7" s="1"/>
  <c r="G151" i="7" s="1"/>
  <c r="G152" i="7" s="1"/>
  <c r="G150" i="7" s="1"/>
  <c r="H151" i="7" s="1"/>
  <c r="H152" i="7" s="1"/>
  <c r="H150" i="7" s="1"/>
  <c r="I151" i="7" s="1"/>
  <c r="I152" i="7" s="1"/>
  <c r="I150" i="7" s="1"/>
  <c r="J151" i="7" s="1"/>
  <c r="J152" i="7" s="1"/>
  <c r="J150" i="7" s="1"/>
  <c r="K151" i="7" s="1"/>
  <c r="K152" i="7" s="1"/>
  <c r="K150" i="7" s="1"/>
  <c r="C81" i="7"/>
  <c r="C82" i="7" s="1"/>
  <c r="C80" i="7" s="1"/>
  <c r="D81" i="7" s="1"/>
  <c r="D82" i="7" s="1"/>
  <c r="D80" i="7" s="1"/>
  <c r="E81" i="7" s="1"/>
  <c r="E82" i="7" s="1"/>
  <c r="E80" i="7" s="1"/>
  <c r="F81" i="7" s="1"/>
  <c r="F82" i="7" s="1"/>
  <c r="F80" i="7" s="1"/>
  <c r="G81" i="7" s="1"/>
  <c r="G82" i="7" s="1"/>
  <c r="G80" i="7" s="1"/>
  <c r="H81" i="7" s="1"/>
  <c r="H82" i="7" s="1"/>
  <c r="H80" i="7" s="1"/>
  <c r="I81" i="7" s="1"/>
  <c r="I82" i="7" s="1"/>
  <c r="C83" i="7" s="1"/>
  <c r="H140" i="7" l="1"/>
  <c r="I141" i="7" s="1"/>
  <c r="I142" i="7" s="1"/>
  <c r="D143" i="7" s="1"/>
  <c r="M60" i="7"/>
  <c r="N61" i="7" s="1"/>
  <c r="N62" i="7" s="1"/>
  <c r="D63" i="7" s="1"/>
  <c r="C43" i="7"/>
  <c r="F40" i="7"/>
  <c r="G41" i="7" s="1"/>
  <c r="G42" i="7" s="1"/>
  <c r="D43" i="7" s="1"/>
  <c r="L91" i="7"/>
  <c r="L92" i="7" s="1"/>
  <c r="C93" i="7" s="1"/>
  <c r="L151" i="7"/>
  <c r="L152" i="7" s="1"/>
  <c r="C153" i="7" s="1"/>
  <c r="F121" i="7"/>
  <c r="F122" i="7" s="1"/>
  <c r="C123" i="7" s="1"/>
  <c r="E30" i="7"/>
  <c r="J160" i="7"/>
  <c r="N111" i="7"/>
  <c r="N112" i="7" s="1"/>
  <c r="C113" i="7" s="1"/>
  <c r="H71" i="7"/>
  <c r="H72" i="7" s="1"/>
  <c r="C73" i="7" s="1"/>
  <c r="G101" i="7"/>
  <c r="G102" i="7" s="1"/>
  <c r="C103" i="7" s="1"/>
  <c r="D21" i="7"/>
  <c r="D22" i="7" s="1"/>
  <c r="C23" i="7" s="1"/>
  <c r="K130" i="7"/>
  <c r="W51" i="7"/>
  <c r="W52" i="7" s="1"/>
  <c r="C53" i="7" s="1"/>
  <c r="I80" i="7"/>
  <c r="N60" i="7" l="1"/>
  <c r="I140" i="7"/>
  <c r="J141" i="7" s="1"/>
  <c r="J142" i="7" s="1"/>
  <c r="E143" i="7" s="1"/>
  <c r="G40" i="7"/>
  <c r="H41" i="7" s="1"/>
  <c r="H42" i="7" s="1"/>
  <c r="E43" i="7" s="1"/>
  <c r="F120" i="7"/>
  <c r="G121" i="7" s="1"/>
  <c r="G122" i="7" s="1"/>
  <c r="D123" i="7" s="1"/>
  <c r="H70" i="7"/>
  <c r="I71" i="7" s="1"/>
  <c r="I72" i="7" s="1"/>
  <c r="D73" i="7" s="1"/>
  <c r="W50" i="7"/>
  <c r="X51" i="7" s="1"/>
  <c r="X52" i="7" s="1"/>
  <c r="D53" i="7" s="1"/>
  <c r="L90" i="7"/>
  <c r="K161" i="7"/>
  <c r="K162" i="7" s="1"/>
  <c r="D163" i="7" s="1"/>
  <c r="O61" i="7"/>
  <c r="O62" i="7" s="1"/>
  <c r="E63" i="7" s="1"/>
  <c r="F31" i="7"/>
  <c r="F32" i="7" s="1"/>
  <c r="D33" i="7" s="1"/>
  <c r="L131" i="7"/>
  <c r="L132" i="7" s="1"/>
  <c r="D133" i="7" s="1"/>
  <c r="G100" i="7"/>
  <c r="J81" i="7"/>
  <c r="J82" i="7" s="1"/>
  <c r="D83" i="7" s="1"/>
  <c r="D20" i="7"/>
  <c r="N110" i="7"/>
  <c r="L150" i="7"/>
  <c r="F30" i="7" l="1"/>
  <c r="G31" i="7" s="1"/>
  <c r="G32" i="7" s="1"/>
  <c r="E33" i="7" s="1"/>
  <c r="L130" i="7"/>
  <c r="M131" i="7" s="1"/>
  <c r="M132" i="7" s="1"/>
  <c r="E133" i="7" s="1"/>
  <c r="M91" i="7"/>
  <c r="M92" i="7" s="1"/>
  <c r="D93" i="7" s="1"/>
  <c r="J140" i="7"/>
  <c r="X50" i="7"/>
  <c r="E21" i="7"/>
  <c r="E22" i="7" s="1"/>
  <c r="D23" i="7" s="1"/>
  <c r="J80" i="7"/>
  <c r="O60" i="7"/>
  <c r="G120" i="7"/>
  <c r="H40" i="7"/>
  <c r="H101" i="7"/>
  <c r="H102" i="7" s="1"/>
  <c r="D103" i="7" s="1"/>
  <c r="M151" i="7"/>
  <c r="M152" i="7" s="1"/>
  <c r="D153" i="7" s="1"/>
  <c r="O111" i="7"/>
  <c r="O112" i="7" s="1"/>
  <c r="D113" i="7" s="1"/>
  <c r="I70" i="7"/>
  <c r="K160" i="7"/>
  <c r="O110" i="7" l="1"/>
  <c r="P111" i="7" s="1"/>
  <c r="P112" i="7" s="1"/>
  <c r="E113" i="7" s="1"/>
  <c r="M150" i="7"/>
  <c r="N151" i="7" s="1"/>
  <c r="N152" i="7" s="1"/>
  <c r="E153" i="7" s="1"/>
  <c r="M90" i="7"/>
  <c r="H121" i="7"/>
  <c r="H122" i="7" s="1"/>
  <c r="E123" i="7" s="1"/>
  <c r="K81" i="7"/>
  <c r="K82" i="7" s="1"/>
  <c r="E83" i="7" s="1"/>
  <c r="H100" i="7"/>
  <c r="J71" i="7"/>
  <c r="J72" i="7" s="1"/>
  <c r="E73" i="7" s="1"/>
  <c r="M130" i="7"/>
  <c r="E20" i="7"/>
  <c r="I41" i="7"/>
  <c r="I42" i="7" s="1"/>
  <c r="F43" i="7" s="1"/>
  <c r="Y51" i="7"/>
  <c r="Y52" i="7" s="1"/>
  <c r="E53" i="7" s="1"/>
  <c r="P61" i="7"/>
  <c r="P62" i="7" s="1"/>
  <c r="F63" i="7" s="1"/>
  <c r="L161" i="7"/>
  <c r="L162" i="7" s="1"/>
  <c r="E163" i="7" s="1"/>
  <c r="K141" i="7"/>
  <c r="K142" i="7" s="1"/>
  <c r="F143" i="7" s="1"/>
  <c r="G30" i="7"/>
  <c r="K140" i="7" l="1"/>
  <c r="L141" i="7" s="1"/>
  <c r="L142" i="7" s="1"/>
  <c r="G143" i="7" s="1"/>
  <c r="N91" i="7"/>
  <c r="N92" i="7" s="1"/>
  <c r="E93" i="7" s="1"/>
  <c r="I40" i="7"/>
  <c r="J41" i="7" s="1"/>
  <c r="J42" i="7" s="1"/>
  <c r="G43" i="7" s="1"/>
  <c r="N150" i="7"/>
  <c r="O151" i="7" s="1"/>
  <c r="O152" i="7" s="1"/>
  <c r="N131" i="7"/>
  <c r="N132" i="7" s="1"/>
  <c r="F133" i="7" s="1"/>
  <c r="Y50" i="7"/>
  <c r="J70" i="7"/>
  <c r="I101" i="7"/>
  <c r="I102" i="7" s="1"/>
  <c r="E103" i="7" s="1"/>
  <c r="H31" i="7"/>
  <c r="H32" i="7" s="1"/>
  <c r="F33" i="7" s="1"/>
  <c r="K80" i="7"/>
  <c r="P110" i="7"/>
  <c r="L160" i="7"/>
  <c r="P60" i="7"/>
  <c r="F21" i="7"/>
  <c r="F22" i="7" s="1"/>
  <c r="E23" i="7" s="1"/>
  <c r="H120" i="7"/>
  <c r="L140" i="7" l="1"/>
  <c r="M141" i="7" s="1"/>
  <c r="M142" i="7" s="1"/>
  <c r="H143" i="7" s="1"/>
  <c r="N90" i="7"/>
  <c r="O91" i="7" s="1"/>
  <c r="O92" i="7" s="1"/>
  <c r="F93" i="7" s="1"/>
  <c r="F153" i="7"/>
  <c r="O150" i="7"/>
  <c r="P151" i="7" s="1"/>
  <c r="P152" i="7" s="1"/>
  <c r="G153" i="7" s="1"/>
  <c r="J40" i="7"/>
  <c r="K41" i="7" s="1"/>
  <c r="K42" i="7" s="1"/>
  <c r="H43" i="7" s="1"/>
  <c r="H30" i="7"/>
  <c r="I31" i="7" s="1"/>
  <c r="I32" i="7" s="1"/>
  <c r="G33" i="7" s="1"/>
  <c r="Q111" i="7"/>
  <c r="Q112" i="7" s="1"/>
  <c r="F113" i="7" s="1"/>
  <c r="I100" i="7"/>
  <c r="F20" i="7"/>
  <c r="L81" i="7"/>
  <c r="L82" i="7" s="1"/>
  <c r="F83" i="7" s="1"/>
  <c r="Q61" i="7"/>
  <c r="Q62" i="7" s="1"/>
  <c r="G63" i="7" s="1"/>
  <c r="K71" i="7"/>
  <c r="K72" i="7" s="1"/>
  <c r="F73" i="7" s="1"/>
  <c r="I121" i="7"/>
  <c r="I122" i="7" s="1"/>
  <c r="F123" i="7" s="1"/>
  <c r="Z51" i="7"/>
  <c r="Z52" i="7" s="1"/>
  <c r="F53" i="7" s="1"/>
  <c r="M161" i="7"/>
  <c r="M162" i="7" s="1"/>
  <c r="F163" i="7" s="1"/>
  <c r="N130" i="7"/>
  <c r="Q110" i="7" l="1"/>
  <c r="R111" i="7" s="1"/>
  <c r="R112" i="7" s="1"/>
  <c r="G113" i="7" s="1"/>
  <c r="P150" i="7"/>
  <c r="Q151" i="7" s="1"/>
  <c r="Q152" i="7" s="1"/>
  <c r="H153" i="7" s="1"/>
  <c r="I30" i="7"/>
  <c r="J31" i="7" s="1"/>
  <c r="J32" i="7" s="1"/>
  <c r="H33" i="7" s="1"/>
  <c r="O90" i="7"/>
  <c r="Q60" i="7"/>
  <c r="R61" i="7" s="1"/>
  <c r="R62" i="7" s="1"/>
  <c r="G21" i="7"/>
  <c r="G22" i="7" s="1"/>
  <c r="F23" i="7" s="1"/>
  <c r="K70" i="7"/>
  <c r="J101" i="7"/>
  <c r="J102" i="7" s="1"/>
  <c r="F103" i="7" s="1"/>
  <c r="M160" i="7"/>
  <c r="K40" i="7"/>
  <c r="O131" i="7"/>
  <c r="O132" i="7" s="1"/>
  <c r="G133" i="7" s="1"/>
  <c r="Z50" i="7"/>
  <c r="M140" i="7"/>
  <c r="I120" i="7"/>
  <c r="L80" i="7"/>
  <c r="H63" i="7" l="1"/>
  <c r="R60" i="7"/>
  <c r="S61" i="7" s="1"/>
  <c r="S62" i="7" s="1"/>
  <c r="I63" i="7" s="1"/>
  <c r="R110" i="7"/>
  <c r="J100" i="7"/>
  <c r="K101" i="7" s="1"/>
  <c r="K102" i="7" s="1"/>
  <c r="G103" i="7" s="1"/>
  <c r="P91" i="7"/>
  <c r="P92" i="7" s="1"/>
  <c r="G93" i="7" s="1"/>
  <c r="J30" i="7"/>
  <c r="K31" i="7" s="1"/>
  <c r="K32" i="7" s="1"/>
  <c r="I33" i="7" s="1"/>
  <c r="Q150" i="7"/>
  <c r="R151" i="7" s="1"/>
  <c r="R152" i="7" s="1"/>
  <c r="I153" i="7" s="1"/>
  <c r="N161" i="7"/>
  <c r="N162" i="7" s="1"/>
  <c r="G163" i="7" s="1"/>
  <c r="M81" i="7"/>
  <c r="M82" i="7" s="1"/>
  <c r="G83" i="7" s="1"/>
  <c r="N141" i="7"/>
  <c r="N142" i="7" s="1"/>
  <c r="I143" i="7" s="1"/>
  <c r="S111" i="7"/>
  <c r="S112" i="7" s="1"/>
  <c r="H113" i="7" s="1"/>
  <c r="L71" i="7"/>
  <c r="L72" i="7" s="1"/>
  <c r="G73" i="7" s="1"/>
  <c r="J121" i="7"/>
  <c r="J122" i="7" s="1"/>
  <c r="G123" i="7" s="1"/>
  <c r="AA51" i="7"/>
  <c r="AA52" i="7" s="1"/>
  <c r="G53" i="7" s="1"/>
  <c r="O130" i="7"/>
  <c r="L41" i="7"/>
  <c r="L42" i="7" s="1"/>
  <c r="I43" i="7" s="1"/>
  <c r="G20" i="7"/>
  <c r="S60" i="7" l="1"/>
  <c r="T61" i="7" s="1"/>
  <c r="T62" i="7" s="1"/>
  <c r="J63" i="7" s="1"/>
  <c r="P90" i="7"/>
  <c r="AA50" i="7"/>
  <c r="AB51" i="7" s="1"/>
  <c r="AB52" i="7" s="1"/>
  <c r="H53" i="7" s="1"/>
  <c r="S110" i="7"/>
  <c r="T111" i="7" s="1"/>
  <c r="T112" i="7" s="1"/>
  <c r="I113" i="7" s="1"/>
  <c r="R150" i="7"/>
  <c r="S151" i="7" s="1"/>
  <c r="S152" i="7" s="1"/>
  <c r="J153" i="7" s="1"/>
  <c r="N160" i="7"/>
  <c r="O161" i="7" s="1"/>
  <c r="O162" i="7" s="1"/>
  <c r="H163" i="7" s="1"/>
  <c r="L70" i="7"/>
  <c r="M71" i="7" s="1"/>
  <c r="M72" i="7" s="1"/>
  <c r="H73" i="7" s="1"/>
  <c r="Q91" i="7"/>
  <c r="Q92" i="7" s="1"/>
  <c r="H93" i="7" s="1"/>
  <c r="K30" i="7"/>
  <c r="M80" i="7"/>
  <c r="P131" i="7"/>
  <c r="P132" i="7" s="1"/>
  <c r="H133" i="7" s="1"/>
  <c r="H21" i="7"/>
  <c r="H22" i="7" s="1"/>
  <c r="G23" i="7" s="1"/>
  <c r="L40" i="7"/>
  <c r="J120" i="7"/>
  <c r="N140" i="7"/>
  <c r="K100" i="7"/>
  <c r="T60" i="7" l="1"/>
  <c r="U61" i="7" s="1"/>
  <c r="U62" i="7" s="1"/>
  <c r="K63" i="7" s="1"/>
  <c r="O160" i="7"/>
  <c r="P161" i="7" s="1"/>
  <c r="P162" i="7" s="1"/>
  <c r="I163" i="7" s="1"/>
  <c r="Q90" i="7"/>
  <c r="R91" i="7" s="1"/>
  <c r="R92" i="7" s="1"/>
  <c r="I93" i="7" s="1"/>
  <c r="T110" i="7"/>
  <c r="U111" i="7" s="1"/>
  <c r="U112" i="7" s="1"/>
  <c r="J113" i="7" s="1"/>
  <c r="AB50" i="7"/>
  <c r="AC51" i="7" s="1"/>
  <c r="AC52" i="7" s="1"/>
  <c r="I53" i="7" s="1"/>
  <c r="H20" i="7"/>
  <c r="I21" i="7" s="1"/>
  <c r="I22" i="7" s="1"/>
  <c r="H23" i="7" s="1"/>
  <c r="P130" i="7"/>
  <c r="M70" i="7"/>
  <c r="M41" i="7"/>
  <c r="M42" i="7" s="1"/>
  <c r="J43" i="7" s="1"/>
  <c r="L101" i="7"/>
  <c r="L102" i="7" s="1"/>
  <c r="H103" i="7" s="1"/>
  <c r="K121" i="7"/>
  <c r="K122" i="7" s="1"/>
  <c r="H123" i="7" s="1"/>
  <c r="S150" i="7"/>
  <c r="N81" i="7"/>
  <c r="N82" i="7" s="1"/>
  <c r="H83" i="7" s="1"/>
  <c r="O141" i="7"/>
  <c r="O142" i="7" s="1"/>
  <c r="J143" i="7" s="1"/>
  <c r="L31" i="7"/>
  <c r="L32" i="7" s="1"/>
  <c r="J33" i="7" s="1"/>
  <c r="U60" i="7" l="1"/>
  <c r="V61" i="7" s="1"/>
  <c r="V62" i="7" s="1"/>
  <c r="L63" i="7" s="1"/>
  <c r="L100" i="7"/>
  <c r="M101" i="7" s="1"/>
  <c r="M102" i="7" s="1"/>
  <c r="I103" i="7" s="1"/>
  <c r="Q131" i="7"/>
  <c r="Q132" i="7" s="1"/>
  <c r="I133" i="7" s="1"/>
  <c r="I20" i="7"/>
  <c r="J21" i="7" s="1"/>
  <c r="J22" i="7" s="1"/>
  <c r="I23" i="7" s="1"/>
  <c r="U110" i="7"/>
  <c r="V111" i="7" s="1"/>
  <c r="V112" i="7" s="1"/>
  <c r="K113" i="7" s="1"/>
  <c r="K120" i="7"/>
  <c r="N80" i="7"/>
  <c r="O81" i="7" s="1"/>
  <c r="O82" i="7" s="1"/>
  <c r="I83" i="7" s="1"/>
  <c r="R90" i="7"/>
  <c r="S91" i="7" s="1"/>
  <c r="S92" i="7" s="1"/>
  <c r="J93" i="7" s="1"/>
  <c r="L30" i="7"/>
  <c r="M31" i="7" s="1"/>
  <c r="M32" i="7" s="1"/>
  <c r="K33" i="7" s="1"/>
  <c r="P160" i="7"/>
  <c r="Q161" i="7" s="1"/>
  <c r="Q162" i="7" s="1"/>
  <c r="J163" i="7" s="1"/>
  <c r="M40" i="7"/>
  <c r="AC50" i="7"/>
  <c r="AD51" i="7" s="1"/>
  <c r="AD52" i="7" s="1"/>
  <c r="J53" i="7" s="1"/>
  <c r="O140" i="7"/>
  <c r="T151" i="7"/>
  <c r="T152" i="7" s="1"/>
  <c r="K153" i="7" s="1"/>
  <c r="N71" i="7"/>
  <c r="N72" i="7" s="1"/>
  <c r="I73" i="7" s="1"/>
  <c r="V60" i="7" l="1"/>
  <c r="W61" i="7" s="1"/>
  <c r="W62" i="7" s="1"/>
  <c r="M63" i="7" s="1"/>
  <c r="V110" i="7"/>
  <c r="W111" i="7" s="1"/>
  <c r="W112" i="7" s="1"/>
  <c r="L113" i="7" s="1"/>
  <c r="L121" i="7"/>
  <c r="L122" i="7" s="1"/>
  <c r="I123" i="7" s="1"/>
  <c r="Q130" i="7"/>
  <c r="R131" i="7" s="1"/>
  <c r="R132" i="7" s="1"/>
  <c r="J133" i="7" s="1"/>
  <c r="N41" i="7"/>
  <c r="N42" i="7" s="1"/>
  <c r="K43" i="7" s="1"/>
  <c r="S90" i="7"/>
  <c r="T91" i="7" s="1"/>
  <c r="T92" i="7" s="1"/>
  <c r="K93" i="7" s="1"/>
  <c r="M30" i="7"/>
  <c r="N31" i="7" s="1"/>
  <c r="N32" i="7" s="1"/>
  <c r="L33" i="7" s="1"/>
  <c r="J20" i="7"/>
  <c r="K21" i="7" s="1"/>
  <c r="K22" i="7" s="1"/>
  <c r="J23" i="7" s="1"/>
  <c r="O80" i="7"/>
  <c r="P81" i="7" s="1"/>
  <c r="P82" i="7" s="1"/>
  <c r="J83" i="7" s="1"/>
  <c r="Q160" i="7"/>
  <c r="R161" i="7" s="1"/>
  <c r="R162" i="7" s="1"/>
  <c r="K163" i="7" s="1"/>
  <c r="N70" i="7"/>
  <c r="P141" i="7"/>
  <c r="P142" i="7" s="1"/>
  <c r="K143" i="7" s="1"/>
  <c r="M100" i="7"/>
  <c r="AD50" i="7"/>
  <c r="T150" i="7"/>
  <c r="W60" i="7" l="1"/>
  <c r="X61" i="7" s="1"/>
  <c r="X62" i="7" s="1"/>
  <c r="N63" i="7" s="1"/>
  <c r="R130" i="7"/>
  <c r="S131" i="7" s="1"/>
  <c r="S132" i="7" s="1"/>
  <c r="K133" i="7" s="1"/>
  <c r="T90" i="7"/>
  <c r="U91" i="7" s="1"/>
  <c r="U92" i="7" s="1"/>
  <c r="L93" i="7" s="1"/>
  <c r="L120" i="7"/>
  <c r="N40" i="7"/>
  <c r="R160" i="7"/>
  <c r="S161" i="7" s="1"/>
  <c r="S162" i="7" s="1"/>
  <c r="L163" i="7" s="1"/>
  <c r="N30" i="7"/>
  <c r="O31" i="7" s="1"/>
  <c r="O32" i="7" s="1"/>
  <c r="P140" i="7"/>
  <c r="Q141" i="7" s="1"/>
  <c r="Q142" i="7" s="1"/>
  <c r="K20" i="7"/>
  <c r="P80" i="7"/>
  <c r="N101" i="7"/>
  <c r="N102" i="7" s="1"/>
  <c r="J103" i="7" s="1"/>
  <c r="U151" i="7"/>
  <c r="U152" i="7" s="1"/>
  <c r="L153" i="7" s="1"/>
  <c r="AE51" i="7"/>
  <c r="AE52" i="7" s="1"/>
  <c r="K53" i="7" s="1"/>
  <c r="O71" i="7"/>
  <c r="O72" i="7" s="1"/>
  <c r="J73" i="7" s="1"/>
  <c r="W110" i="7"/>
  <c r="M33" i="7" l="1"/>
  <c r="O30" i="7"/>
  <c r="P31" i="7" s="1"/>
  <c r="P32" i="7" s="1"/>
  <c r="N33" i="7" s="1"/>
  <c r="U90" i="7"/>
  <c r="V91" i="7" s="1"/>
  <c r="V92" i="7" s="1"/>
  <c r="M93" i="7" s="1"/>
  <c r="S130" i="7"/>
  <c r="T131" i="7" s="1"/>
  <c r="T132" i="7" s="1"/>
  <c r="L133" i="7" s="1"/>
  <c r="M121" i="7"/>
  <c r="M122" i="7" s="1"/>
  <c r="J123" i="7" s="1"/>
  <c r="O41" i="7"/>
  <c r="O42" i="7" s="1"/>
  <c r="L43" i="7" s="1"/>
  <c r="AE50" i="7"/>
  <c r="AF51" i="7" s="1"/>
  <c r="AF52" i="7" s="1"/>
  <c r="L53" i="7" s="1"/>
  <c r="S160" i="7"/>
  <c r="T161" i="7" s="1"/>
  <c r="T162" i="7" s="1"/>
  <c r="M163" i="7" s="1"/>
  <c r="L143" i="7"/>
  <c r="Q140" i="7"/>
  <c r="R141" i="7" s="1"/>
  <c r="R142" i="7" s="1"/>
  <c r="M143" i="7" s="1"/>
  <c r="U150" i="7"/>
  <c r="V151" i="7" s="1"/>
  <c r="V152" i="7" s="1"/>
  <c r="M153" i="7" s="1"/>
  <c r="N100" i="7"/>
  <c r="O101" i="7" s="1"/>
  <c r="O102" i="7" s="1"/>
  <c r="K103" i="7" s="1"/>
  <c r="O70" i="7"/>
  <c r="Q81" i="7"/>
  <c r="Q82" i="7" s="1"/>
  <c r="K83" i="7" s="1"/>
  <c r="L21" i="7"/>
  <c r="L22" i="7" s="1"/>
  <c r="K23" i="7" s="1"/>
  <c r="X60" i="7"/>
  <c r="Y61" i="7" s="1"/>
  <c r="Y62" i="7" s="1"/>
  <c r="O63" i="7" s="1"/>
  <c r="X111" i="7"/>
  <c r="X112" i="7" s="1"/>
  <c r="M113" i="7" s="1"/>
  <c r="V90" i="7" l="1"/>
  <c r="W91" i="7" s="1"/>
  <c r="W92" i="7" s="1"/>
  <c r="N93" i="7" s="1"/>
  <c r="T130" i="7"/>
  <c r="U131" i="7" s="1"/>
  <c r="U132" i="7" s="1"/>
  <c r="M133" i="7" s="1"/>
  <c r="M120" i="7"/>
  <c r="T160" i="7"/>
  <c r="U161" i="7" s="1"/>
  <c r="U162" i="7" s="1"/>
  <c r="N163" i="7" s="1"/>
  <c r="O40" i="7"/>
  <c r="P30" i="7"/>
  <c r="Q31" i="7" s="1"/>
  <c r="Q32" i="7" s="1"/>
  <c r="O33" i="7" s="1"/>
  <c r="Q80" i="7"/>
  <c r="R81" i="7" s="1"/>
  <c r="R82" i="7" s="1"/>
  <c r="L83" i="7" s="1"/>
  <c r="L20" i="7"/>
  <c r="M21" i="7" s="1"/>
  <c r="M22" i="7" s="1"/>
  <c r="L23" i="7" s="1"/>
  <c r="V150" i="7"/>
  <c r="R140" i="7"/>
  <c r="P71" i="7"/>
  <c r="P72" i="7" s="1"/>
  <c r="K73" i="7" s="1"/>
  <c r="AF50" i="7"/>
  <c r="O100" i="7"/>
  <c r="X110" i="7"/>
  <c r="Y111" i="7" s="1"/>
  <c r="Y112" i="7" s="1"/>
  <c r="N113" i="7" s="1"/>
  <c r="Y60" i="7"/>
  <c r="W90" i="7" l="1"/>
  <c r="U130" i="7"/>
  <c r="V131" i="7" s="1"/>
  <c r="V132" i="7" s="1"/>
  <c r="N133" i="7" s="1"/>
  <c r="Q30" i="7"/>
  <c r="R31" i="7" s="1"/>
  <c r="R32" i="7" s="1"/>
  <c r="P33" i="7" s="1"/>
  <c r="N121" i="7"/>
  <c r="N122" i="7" s="1"/>
  <c r="K123" i="7" s="1"/>
  <c r="P41" i="7"/>
  <c r="P42" i="7" s="1"/>
  <c r="M43" i="7" s="1"/>
  <c r="P70" i="7"/>
  <c r="Q71" i="7" s="1"/>
  <c r="Q72" i="7" s="1"/>
  <c r="L73" i="7" s="1"/>
  <c r="R80" i="7"/>
  <c r="S81" i="7" s="1"/>
  <c r="S82" i="7" s="1"/>
  <c r="AG51" i="7"/>
  <c r="AG52" i="7" s="1"/>
  <c r="M53" i="7" s="1"/>
  <c r="P101" i="7"/>
  <c r="P102" i="7" s="1"/>
  <c r="L103" i="7" s="1"/>
  <c r="S141" i="7"/>
  <c r="S142" i="7" s="1"/>
  <c r="N143" i="7" s="1"/>
  <c r="M20" i="7"/>
  <c r="W151" i="7"/>
  <c r="W152" i="7" s="1"/>
  <c r="N153" i="7" s="1"/>
  <c r="Y110" i="7"/>
  <c r="X91" i="7"/>
  <c r="X92" i="7" s="1"/>
  <c r="O93" i="7" s="1"/>
  <c r="Z61" i="7"/>
  <c r="Z62" i="7" s="1"/>
  <c r="P63" i="7" s="1"/>
  <c r="U160" i="7"/>
  <c r="R30" i="7" l="1"/>
  <c r="S31" i="7" s="1"/>
  <c r="S32" i="7" s="1"/>
  <c r="Q33" i="7" s="1"/>
  <c r="N120" i="7"/>
  <c r="O121" i="7" s="1"/>
  <c r="O122" i="7" s="1"/>
  <c r="L123" i="7" s="1"/>
  <c r="P40" i="7"/>
  <c r="Q41" i="7" s="1"/>
  <c r="Q42" i="7" s="1"/>
  <c r="N43" i="7" s="1"/>
  <c r="M83" i="7"/>
  <c r="S80" i="7"/>
  <c r="T81" i="7" s="1"/>
  <c r="T82" i="7" s="1"/>
  <c r="N83" i="7" s="1"/>
  <c r="V130" i="7"/>
  <c r="W131" i="7" s="1"/>
  <c r="W132" i="7" s="1"/>
  <c r="O133" i="7" s="1"/>
  <c r="Q70" i="7"/>
  <c r="R71" i="7" s="1"/>
  <c r="R72" i="7" s="1"/>
  <c r="M73" i="7" s="1"/>
  <c r="P100" i="7"/>
  <c r="Q101" i="7" s="1"/>
  <c r="Q102" i="7" s="1"/>
  <c r="M103" i="7" s="1"/>
  <c r="N21" i="7"/>
  <c r="N22" i="7" s="1"/>
  <c r="M23" i="7" s="1"/>
  <c r="S140" i="7"/>
  <c r="AG50" i="7"/>
  <c r="W150" i="7"/>
  <c r="Z60" i="7"/>
  <c r="X90" i="7"/>
  <c r="V161" i="7"/>
  <c r="V162" i="7" s="1"/>
  <c r="O163" i="7" s="1"/>
  <c r="Z111" i="7"/>
  <c r="Z112" i="7" s="1"/>
  <c r="O113" i="7" s="1"/>
  <c r="Q40" i="7" l="1"/>
  <c r="R41" i="7" s="1"/>
  <c r="R42" i="7" s="1"/>
  <c r="O43" i="7" s="1"/>
  <c r="O120" i="7"/>
  <c r="R70" i="7"/>
  <c r="S71" i="7" s="1"/>
  <c r="S72" i="7" s="1"/>
  <c r="N73" i="7" s="1"/>
  <c r="T80" i="7"/>
  <c r="U81" i="7" s="1"/>
  <c r="U82" i="7" s="1"/>
  <c r="O83" i="7" s="1"/>
  <c r="Q100" i="7"/>
  <c r="R101" i="7" s="1"/>
  <c r="R102" i="7" s="1"/>
  <c r="N103" i="7" s="1"/>
  <c r="AH51" i="7"/>
  <c r="AH52" i="7" s="1"/>
  <c r="N53" i="7" s="1"/>
  <c r="X151" i="7"/>
  <c r="X152" i="7" s="1"/>
  <c r="O153" i="7" s="1"/>
  <c r="T141" i="7"/>
  <c r="T142" i="7" s="1"/>
  <c r="O143" i="7" s="1"/>
  <c r="W130" i="7"/>
  <c r="N20" i="7"/>
  <c r="V160" i="7"/>
  <c r="W161" i="7" s="1"/>
  <c r="W162" i="7" s="1"/>
  <c r="P163" i="7" s="1"/>
  <c r="Y91" i="7"/>
  <c r="Y92" i="7" s="1"/>
  <c r="P93" i="7" s="1"/>
  <c r="Z110" i="7"/>
  <c r="AA61" i="7"/>
  <c r="AA62" i="7" s="1"/>
  <c r="Q63" i="7" s="1"/>
  <c r="S30" i="7"/>
  <c r="R40" i="7" l="1"/>
  <c r="P121" i="7"/>
  <c r="P122" i="7" s="1"/>
  <c r="M123" i="7" s="1"/>
  <c r="AH50" i="7"/>
  <c r="AI51" i="7" s="1"/>
  <c r="AI52" i="7" s="1"/>
  <c r="O53" i="7" s="1"/>
  <c r="S41" i="7"/>
  <c r="S42" i="7" s="1"/>
  <c r="P43" i="7" s="1"/>
  <c r="S70" i="7"/>
  <c r="T71" i="7" s="1"/>
  <c r="T72" i="7" s="1"/>
  <c r="O73" i="7" s="1"/>
  <c r="U80" i="7"/>
  <c r="V81" i="7" s="1"/>
  <c r="V82" i="7" s="1"/>
  <c r="P83" i="7" s="1"/>
  <c r="T140" i="7"/>
  <c r="U141" i="7" s="1"/>
  <c r="U142" i="7" s="1"/>
  <c r="P143" i="7" s="1"/>
  <c r="O21" i="7"/>
  <c r="O22" i="7" s="1"/>
  <c r="N23" i="7" s="1"/>
  <c r="R100" i="7"/>
  <c r="X131" i="7"/>
  <c r="X132" i="7" s="1"/>
  <c r="P133" i="7" s="1"/>
  <c r="X150" i="7"/>
  <c r="Y90" i="7"/>
  <c r="W160" i="7"/>
  <c r="X161" i="7" s="1"/>
  <c r="X162" i="7" s="1"/>
  <c r="Q163" i="7" s="1"/>
  <c r="AA111" i="7"/>
  <c r="AA112" i="7" s="1"/>
  <c r="P113" i="7" s="1"/>
  <c r="AA60" i="7"/>
  <c r="T31" i="7"/>
  <c r="T32" i="7" s="1"/>
  <c r="R33" i="7" s="1"/>
  <c r="P120" i="7" l="1"/>
  <c r="Q121" i="7" s="1"/>
  <c r="Q122" i="7" s="1"/>
  <c r="N123" i="7" s="1"/>
  <c r="S40" i="7"/>
  <c r="V80" i="7"/>
  <c r="W81" i="7" s="1"/>
  <c r="W82" i="7" s="1"/>
  <c r="Q83" i="7" s="1"/>
  <c r="O20" i="7"/>
  <c r="P21" i="7" s="1"/>
  <c r="P22" i="7" s="1"/>
  <c r="O23" i="7" s="1"/>
  <c r="U140" i="7"/>
  <c r="V141" i="7" s="1"/>
  <c r="V142" i="7" s="1"/>
  <c r="AI50" i="7"/>
  <c r="X130" i="7"/>
  <c r="Y151" i="7"/>
  <c r="Y152" i="7" s="1"/>
  <c r="P153" i="7" s="1"/>
  <c r="S101" i="7"/>
  <c r="S102" i="7" s="1"/>
  <c r="O103" i="7" s="1"/>
  <c r="T70" i="7"/>
  <c r="AA110" i="7"/>
  <c r="AB111" i="7" s="1"/>
  <c r="AB112" i="7" s="1"/>
  <c r="Q113" i="7" s="1"/>
  <c r="Z91" i="7"/>
  <c r="Z92" i="7" s="1"/>
  <c r="Q93" i="7" s="1"/>
  <c r="T30" i="7"/>
  <c r="U31" i="7" s="1"/>
  <c r="U32" i="7" s="1"/>
  <c r="S33" i="7" s="1"/>
  <c r="AB61" i="7"/>
  <c r="AB62" i="7" s="1"/>
  <c r="R63" i="7" s="1"/>
  <c r="X160" i="7"/>
  <c r="Q120" i="7" l="1"/>
  <c r="R121" i="7" s="1"/>
  <c r="R122" i="7" s="1"/>
  <c r="O123" i="7" s="1"/>
  <c r="W80" i="7"/>
  <c r="X81" i="7" s="1"/>
  <c r="X82" i="7" s="1"/>
  <c r="R83" i="7" s="1"/>
  <c r="T41" i="7"/>
  <c r="T42" i="7" s="1"/>
  <c r="Q43" i="7" s="1"/>
  <c r="Q143" i="7"/>
  <c r="V140" i="7"/>
  <c r="W141" i="7" s="1"/>
  <c r="W142" i="7" s="1"/>
  <c r="R143" i="7" s="1"/>
  <c r="S100" i="7"/>
  <c r="T101" i="7" s="1"/>
  <c r="T102" i="7" s="1"/>
  <c r="P103" i="7" s="1"/>
  <c r="Y150" i="7"/>
  <c r="Z151" i="7" s="1"/>
  <c r="Z152" i="7" s="1"/>
  <c r="Q153" i="7" s="1"/>
  <c r="Y131" i="7"/>
  <c r="Y132" i="7" s="1"/>
  <c r="Q133" i="7" s="1"/>
  <c r="U71" i="7"/>
  <c r="U72" i="7" s="1"/>
  <c r="P73" i="7" s="1"/>
  <c r="AJ51" i="7"/>
  <c r="AJ52" i="7" s="1"/>
  <c r="P53" i="7" s="1"/>
  <c r="P20" i="7"/>
  <c r="U30" i="7"/>
  <c r="V31" i="7" s="1"/>
  <c r="V32" i="7" s="1"/>
  <c r="T33" i="7" s="1"/>
  <c r="AB60" i="7"/>
  <c r="AC61" i="7" s="1"/>
  <c r="AC62" i="7" s="1"/>
  <c r="S63" i="7" s="1"/>
  <c r="Z90" i="7"/>
  <c r="AA91" i="7" s="1"/>
  <c r="AA92" i="7" s="1"/>
  <c r="R93" i="7" s="1"/>
  <c r="Y161" i="7"/>
  <c r="Y162" i="7" s="1"/>
  <c r="R163" i="7" s="1"/>
  <c r="AB110" i="7"/>
  <c r="T40" i="7" l="1"/>
  <c r="U41" i="7" s="1"/>
  <c r="U42" i="7" s="1"/>
  <c r="R43" i="7" s="1"/>
  <c r="R120" i="7"/>
  <c r="S121" i="7" s="1"/>
  <c r="S122" i="7" s="1"/>
  <c r="P123" i="7" s="1"/>
  <c r="W140" i="7"/>
  <c r="X141" i="7" s="1"/>
  <c r="X142" i="7" s="1"/>
  <c r="S143" i="7" s="1"/>
  <c r="Z150" i="7"/>
  <c r="Y130" i="7"/>
  <c r="Z131" i="7" s="1"/>
  <c r="Z132" i="7" s="1"/>
  <c r="R133" i="7" s="1"/>
  <c r="U70" i="7"/>
  <c r="V71" i="7" s="1"/>
  <c r="V72" i="7" s="1"/>
  <c r="Q73" i="7" s="1"/>
  <c r="Q21" i="7"/>
  <c r="Q22" i="7" s="1"/>
  <c r="P23" i="7" s="1"/>
  <c r="AJ50" i="7"/>
  <c r="T100" i="7"/>
  <c r="AA90" i="7"/>
  <c r="AB91" i="7" s="1"/>
  <c r="AB92" i="7" s="1"/>
  <c r="S93" i="7" s="1"/>
  <c r="Y160" i="7"/>
  <c r="Z161" i="7" s="1"/>
  <c r="Z162" i="7" s="1"/>
  <c r="S163" i="7" s="1"/>
  <c r="AC60" i="7"/>
  <c r="AD61" i="7" s="1"/>
  <c r="AD62" i="7" s="1"/>
  <c r="T63" i="7" s="1"/>
  <c r="AC111" i="7"/>
  <c r="AC112" i="7" s="1"/>
  <c r="R113" i="7" s="1"/>
  <c r="V30" i="7"/>
  <c r="X80" i="7"/>
  <c r="U40" i="7" l="1"/>
  <c r="V41" i="7" s="1"/>
  <c r="V42" i="7" s="1"/>
  <c r="S43" i="7" s="1"/>
  <c r="V70" i="7"/>
  <c r="W71" i="7" s="1"/>
  <c r="W72" i="7" s="1"/>
  <c r="R73" i="7" s="1"/>
  <c r="S120" i="7"/>
  <c r="X140" i="7"/>
  <c r="AA151" i="7"/>
  <c r="AA152" i="7" s="1"/>
  <c r="R153" i="7" s="1"/>
  <c r="Q20" i="7"/>
  <c r="R21" i="7" s="1"/>
  <c r="R22" i="7" s="1"/>
  <c r="Q23" i="7" s="1"/>
  <c r="U101" i="7"/>
  <c r="U102" i="7" s="1"/>
  <c r="Q103" i="7" s="1"/>
  <c r="AK51" i="7"/>
  <c r="AK52" i="7" s="1"/>
  <c r="Q53" i="7" s="1"/>
  <c r="Z130" i="7"/>
  <c r="AC110" i="7"/>
  <c r="AD111" i="7" s="1"/>
  <c r="AD112" i="7" s="1"/>
  <c r="S113" i="7" s="1"/>
  <c r="Z160" i="7"/>
  <c r="AA161" i="7" s="1"/>
  <c r="AA162" i="7" s="1"/>
  <c r="T163" i="7" s="1"/>
  <c r="AB90" i="7"/>
  <c r="AC91" i="7" s="1"/>
  <c r="AC92" i="7" s="1"/>
  <c r="T93" i="7" s="1"/>
  <c r="V40" i="7"/>
  <c r="W31" i="7"/>
  <c r="W32" i="7" s="1"/>
  <c r="U33" i="7" s="1"/>
  <c r="AD60" i="7"/>
  <c r="Y81" i="7"/>
  <c r="Y82" i="7" s="1"/>
  <c r="S83" i="7" s="1"/>
  <c r="U100" i="7" l="1"/>
  <c r="V101" i="7" s="1"/>
  <c r="V102" i="7" s="1"/>
  <c r="R103" i="7" s="1"/>
  <c r="T121" i="7"/>
  <c r="T122" i="7" s="1"/>
  <c r="Q123" i="7" s="1"/>
  <c r="Y141" i="7"/>
  <c r="Y142" i="7" s="1"/>
  <c r="T143" i="7" s="1"/>
  <c r="AA150" i="7"/>
  <c r="AK50" i="7"/>
  <c r="W70" i="7"/>
  <c r="R20" i="7"/>
  <c r="AA131" i="7"/>
  <c r="AA132" i="7" s="1"/>
  <c r="S133" i="7" s="1"/>
  <c r="Y80" i="7"/>
  <c r="Z81" i="7" s="1"/>
  <c r="Z82" i="7" s="1"/>
  <c r="T83" i="7" s="1"/>
  <c r="W30" i="7"/>
  <c r="X31" i="7" s="1"/>
  <c r="X32" i="7" s="1"/>
  <c r="V33" i="7" s="1"/>
  <c r="W41" i="7"/>
  <c r="W42" i="7" s="1"/>
  <c r="T43" i="7" s="1"/>
  <c r="AD110" i="7"/>
  <c r="AA160" i="7"/>
  <c r="AE61" i="7"/>
  <c r="AE62" i="7" s="1"/>
  <c r="U63" i="7" s="1"/>
  <c r="AC90" i="7"/>
  <c r="T120" i="7" l="1"/>
  <c r="U121" i="7" s="1"/>
  <c r="U122" i="7" s="1"/>
  <c r="R123" i="7" s="1"/>
  <c r="Y140" i="7"/>
  <c r="Z141" i="7" s="1"/>
  <c r="Z142" i="7" s="1"/>
  <c r="U143" i="7" s="1"/>
  <c r="V100" i="7"/>
  <c r="W101" i="7" s="1"/>
  <c r="W102" i="7" s="1"/>
  <c r="S103" i="7" s="1"/>
  <c r="AB151" i="7"/>
  <c r="AB152" i="7" s="1"/>
  <c r="S153" i="7" s="1"/>
  <c r="AA130" i="7"/>
  <c r="S21" i="7"/>
  <c r="S22" i="7" s="1"/>
  <c r="R23" i="7" s="1"/>
  <c r="X71" i="7"/>
  <c r="X72" i="7" s="1"/>
  <c r="S73" i="7" s="1"/>
  <c r="AE60" i="7"/>
  <c r="AF61" i="7" s="1"/>
  <c r="AF62" i="7" s="1"/>
  <c r="V63" i="7" s="1"/>
  <c r="Z80" i="7"/>
  <c r="AE111" i="7"/>
  <c r="AE112" i="7" s="1"/>
  <c r="T113" i="7" s="1"/>
  <c r="AD91" i="7"/>
  <c r="AD92" i="7" s="1"/>
  <c r="U93" i="7" s="1"/>
  <c r="W40" i="7"/>
  <c r="AB161" i="7"/>
  <c r="AB162" i="7" s="1"/>
  <c r="U163" i="7" s="1"/>
  <c r="X30" i="7"/>
  <c r="AB150" i="7" l="1"/>
  <c r="Z140" i="7"/>
  <c r="U120" i="7"/>
  <c r="X70" i="7"/>
  <c r="Y71" i="7" s="1"/>
  <c r="Y72" i="7" s="1"/>
  <c r="T73" i="7" s="1"/>
  <c r="W100" i="7"/>
  <c r="X101" i="7" s="1"/>
  <c r="X102" i="7" s="1"/>
  <c r="T103" i="7" s="1"/>
  <c r="AC151" i="7"/>
  <c r="AC152" i="7" s="1"/>
  <c r="T153" i="7" s="1"/>
  <c r="S20" i="7"/>
  <c r="T21" i="7" s="1"/>
  <c r="T22" i="7" s="1"/>
  <c r="S23" i="7" s="1"/>
  <c r="AB131" i="7"/>
  <c r="AB132" i="7" s="1"/>
  <c r="T133" i="7" s="1"/>
  <c r="AD90" i="7"/>
  <c r="AE91" i="7" s="1"/>
  <c r="AE92" i="7" s="1"/>
  <c r="V93" i="7" s="1"/>
  <c r="AB160" i="7"/>
  <c r="AC161" i="7" s="1"/>
  <c r="AC162" i="7" s="1"/>
  <c r="V163" i="7" s="1"/>
  <c r="X41" i="7"/>
  <c r="X42" i="7" s="1"/>
  <c r="U43" i="7" s="1"/>
  <c r="Y31" i="7"/>
  <c r="Y32" i="7" s="1"/>
  <c r="W33" i="7" s="1"/>
  <c r="AF60" i="7"/>
  <c r="AE110" i="7"/>
  <c r="AA81" i="7"/>
  <c r="AA82" i="7" s="1"/>
  <c r="U83" i="7" s="1"/>
  <c r="AC150" i="7" l="1"/>
  <c r="AD151" i="7" s="1"/>
  <c r="AD152" i="7" s="1"/>
  <c r="U153" i="7" s="1"/>
  <c r="V121" i="7"/>
  <c r="V122" i="7" s="1"/>
  <c r="S123" i="7" s="1"/>
  <c r="AA141" i="7"/>
  <c r="AA142" i="7" s="1"/>
  <c r="V143" i="7" s="1"/>
  <c r="T20" i="7"/>
  <c r="U21" i="7" s="1"/>
  <c r="U22" i="7" s="1"/>
  <c r="T23" i="7" s="1"/>
  <c r="Y70" i="7"/>
  <c r="Z71" i="7" s="1"/>
  <c r="Z72" i="7" s="1"/>
  <c r="U73" i="7" s="1"/>
  <c r="AB130" i="7"/>
  <c r="X100" i="7"/>
  <c r="AC160" i="7"/>
  <c r="AA80" i="7"/>
  <c r="AE90" i="7"/>
  <c r="AG61" i="7"/>
  <c r="AG62" i="7" s="1"/>
  <c r="W63" i="7" s="1"/>
  <c r="Y30" i="7"/>
  <c r="X40" i="7"/>
  <c r="AF111" i="7"/>
  <c r="AF112" i="7" s="1"/>
  <c r="U113" i="7" s="1"/>
  <c r="AA140" i="7" l="1"/>
  <c r="AB141" i="7" s="1"/>
  <c r="AB142" i="7" s="1"/>
  <c r="W143" i="7" s="1"/>
  <c r="V120" i="7"/>
  <c r="W121" i="7" s="1"/>
  <c r="W122" i="7" s="1"/>
  <c r="T123" i="7" s="1"/>
  <c r="U20" i="7"/>
  <c r="V21" i="7" s="1"/>
  <c r="V22" i="7" s="1"/>
  <c r="U23" i="7" s="1"/>
  <c r="Z70" i="7"/>
  <c r="AD150" i="7"/>
  <c r="Y101" i="7"/>
  <c r="Y102" i="7" s="1"/>
  <c r="U103" i="7" s="1"/>
  <c r="AC131" i="7"/>
  <c r="AC132" i="7" s="1"/>
  <c r="U133" i="7" s="1"/>
  <c r="AF110" i="7"/>
  <c r="AG111" i="7" s="1"/>
  <c r="AG112" i="7" s="1"/>
  <c r="V113" i="7" s="1"/>
  <c r="Y41" i="7"/>
  <c r="Y42" i="7" s="1"/>
  <c r="V43" i="7" s="1"/>
  <c r="Z31" i="7"/>
  <c r="Z32" i="7" s="1"/>
  <c r="X33" i="7" s="1"/>
  <c r="AG60" i="7"/>
  <c r="AB81" i="7"/>
  <c r="AB82" i="7" s="1"/>
  <c r="V83" i="7" s="1"/>
  <c r="AF91" i="7"/>
  <c r="AF92" i="7" s="1"/>
  <c r="W93" i="7" s="1"/>
  <c r="AD161" i="7"/>
  <c r="AD162" i="7" s="1"/>
  <c r="W163" i="7" s="1"/>
  <c r="AB140" i="7" l="1"/>
  <c r="AC141" i="7" s="1"/>
  <c r="AC142" i="7" s="1"/>
  <c r="X143" i="7" s="1"/>
  <c r="W120" i="7"/>
  <c r="X121" i="7" s="1"/>
  <c r="X122" i="7" s="1"/>
  <c r="U123" i="7" s="1"/>
  <c r="V20" i="7"/>
  <c r="W21" i="7" s="1"/>
  <c r="W22" i="7" s="1"/>
  <c r="V23" i="7" s="1"/>
  <c r="AA71" i="7"/>
  <c r="AA72" i="7" s="1"/>
  <c r="V73" i="7" s="1"/>
  <c r="Y100" i="7"/>
  <c r="Z101" i="7" s="1"/>
  <c r="Z102" i="7" s="1"/>
  <c r="V103" i="7" s="1"/>
  <c r="AE151" i="7"/>
  <c r="AE152" i="7" s="1"/>
  <c r="V153" i="7" s="1"/>
  <c r="AC130" i="7"/>
  <c r="AD131" i="7" s="1"/>
  <c r="AD132" i="7" s="1"/>
  <c r="V133" i="7" s="1"/>
  <c r="AG110" i="7"/>
  <c r="AH111" i="7" s="1"/>
  <c r="AH112" i="7" s="1"/>
  <c r="W113" i="7" s="1"/>
  <c r="Y40" i="7"/>
  <c r="Z41" i="7" s="1"/>
  <c r="Z42" i="7" s="1"/>
  <c r="W43" i="7" s="1"/>
  <c r="AF90" i="7"/>
  <c r="AH61" i="7"/>
  <c r="AH62" i="7" s="1"/>
  <c r="X63" i="7" s="1"/>
  <c r="Z30" i="7"/>
  <c r="AD160" i="7"/>
  <c r="AB80" i="7"/>
  <c r="AC140" i="7" l="1"/>
  <c r="AD141" i="7" s="1"/>
  <c r="AD142" i="7" s="1"/>
  <c r="Y143" i="7" s="1"/>
  <c r="Z100" i="7"/>
  <c r="AA101" i="7" s="1"/>
  <c r="AA102" i="7" s="1"/>
  <c r="W103" i="7" s="1"/>
  <c r="X120" i="7"/>
  <c r="AE150" i="7"/>
  <c r="AF151" i="7" s="1"/>
  <c r="AF152" i="7" s="1"/>
  <c r="W153" i="7" s="1"/>
  <c r="AA70" i="7"/>
  <c r="W20" i="7"/>
  <c r="X21" i="7" s="1"/>
  <c r="X22" i="7" s="1"/>
  <c r="W23" i="7" s="1"/>
  <c r="AD130" i="7"/>
  <c r="AE131" i="7" s="1"/>
  <c r="AE132" i="7" s="1"/>
  <c r="W133" i="7" s="1"/>
  <c r="Z40" i="7"/>
  <c r="AE161" i="7"/>
  <c r="AE162" i="7" s="1"/>
  <c r="X163" i="7" s="1"/>
  <c r="AG91" i="7"/>
  <c r="AG92" i="7" s="1"/>
  <c r="X93" i="7" s="1"/>
  <c r="AC81" i="7"/>
  <c r="AC82" i="7" s="1"/>
  <c r="W83" i="7" s="1"/>
  <c r="AA31" i="7"/>
  <c r="AA32" i="7" s="1"/>
  <c r="Y33" i="7" s="1"/>
  <c r="AH60" i="7"/>
  <c r="AH110" i="7"/>
  <c r="AD140" i="7" l="1"/>
  <c r="AE141" i="7" s="1"/>
  <c r="AE142" i="7" s="1"/>
  <c r="Z143" i="7" s="1"/>
  <c r="AA100" i="7"/>
  <c r="AB101" i="7" s="1"/>
  <c r="AB102" i="7" s="1"/>
  <c r="X103" i="7" s="1"/>
  <c r="Y121" i="7"/>
  <c r="Y122" i="7" s="1"/>
  <c r="V123" i="7" s="1"/>
  <c r="AF150" i="7"/>
  <c r="X20" i="7"/>
  <c r="Y21" i="7" s="1"/>
  <c r="Y22" i="7" s="1"/>
  <c r="X23" i="7" s="1"/>
  <c r="AB71" i="7"/>
  <c r="AB72" i="7" s="1"/>
  <c r="W73" i="7" s="1"/>
  <c r="AE130" i="7"/>
  <c r="AF131" i="7" s="1"/>
  <c r="AF132" i="7" s="1"/>
  <c r="X133" i="7" s="1"/>
  <c r="AG90" i="7"/>
  <c r="AH91" i="7" s="1"/>
  <c r="AH92" i="7" s="1"/>
  <c r="Y93" i="7" s="1"/>
  <c r="AA30" i="7"/>
  <c r="AB31" i="7" s="1"/>
  <c r="AB32" i="7" s="1"/>
  <c r="Z33" i="7" s="1"/>
  <c r="AC80" i="7"/>
  <c r="AA41" i="7"/>
  <c r="AA42" i="7" s="1"/>
  <c r="X43" i="7" s="1"/>
  <c r="AI61" i="7"/>
  <c r="AI62" i="7" s="1"/>
  <c r="Y63" i="7" s="1"/>
  <c r="AE160" i="7"/>
  <c r="AI111" i="7"/>
  <c r="AI112" i="7" s="1"/>
  <c r="X113" i="7" s="1"/>
  <c r="AE140" i="7" l="1"/>
  <c r="AF141" i="7" s="1"/>
  <c r="AF142" i="7" s="1"/>
  <c r="AA143" i="7" s="1"/>
  <c r="AB100" i="7"/>
  <c r="AC101" i="7" s="1"/>
  <c r="AC102" i="7" s="1"/>
  <c r="Y103" i="7" s="1"/>
  <c r="Y120" i="7"/>
  <c r="Z121" i="7" s="1"/>
  <c r="Z122" i="7" s="1"/>
  <c r="W123" i="7" s="1"/>
  <c r="AB70" i="7"/>
  <c r="AG151" i="7"/>
  <c r="AG152" i="7" s="1"/>
  <c r="X153" i="7" s="1"/>
  <c r="Y20" i="7"/>
  <c r="Z21" i="7" s="1"/>
  <c r="Z22" i="7" s="1"/>
  <c r="Y23" i="7" s="1"/>
  <c r="AF130" i="7"/>
  <c r="AG131" i="7" s="1"/>
  <c r="AG132" i="7" s="1"/>
  <c r="Y133" i="7" s="1"/>
  <c r="AB30" i="7"/>
  <c r="AC31" i="7" s="1"/>
  <c r="AC32" i="7" s="1"/>
  <c r="AA33" i="7" s="1"/>
  <c r="AI60" i="7"/>
  <c r="AJ61" i="7" s="1"/>
  <c r="AJ62" i="7" s="1"/>
  <c r="Z63" i="7" s="1"/>
  <c r="AA40" i="7"/>
  <c r="AB41" i="7" s="1"/>
  <c r="AB42" i="7" s="1"/>
  <c r="Y43" i="7" s="1"/>
  <c r="AH90" i="7"/>
  <c r="AI91" i="7" s="1"/>
  <c r="AI92" i="7" s="1"/>
  <c r="Z93" i="7" s="1"/>
  <c r="AF140" i="7"/>
  <c r="AG141" i="7" s="1"/>
  <c r="AG142" i="7" s="1"/>
  <c r="AB143" i="7" s="1"/>
  <c r="AD81" i="7"/>
  <c r="AD82" i="7" s="1"/>
  <c r="X83" i="7" s="1"/>
  <c r="AI110" i="7"/>
  <c r="AF161" i="7"/>
  <c r="AF162" i="7" s="1"/>
  <c r="Y163" i="7" s="1"/>
  <c r="AC100" i="7" l="1"/>
  <c r="Z120" i="7"/>
  <c r="AA121" i="7" s="1"/>
  <c r="AA122" i="7" s="1"/>
  <c r="X123" i="7" s="1"/>
  <c r="AG150" i="7"/>
  <c r="AG130" i="7"/>
  <c r="AH131" i="7" s="1"/>
  <c r="AH132" i="7" s="1"/>
  <c r="Z133" i="7" s="1"/>
  <c r="AC71" i="7"/>
  <c r="AC72" i="7" s="1"/>
  <c r="X73" i="7" s="1"/>
  <c r="Z20" i="7"/>
  <c r="AF160" i="7"/>
  <c r="AG161" i="7" s="1"/>
  <c r="AG162" i="7" s="1"/>
  <c r="Z163" i="7" s="1"/>
  <c r="AD80" i="7"/>
  <c r="AE81" i="7" s="1"/>
  <c r="AE82" i="7" s="1"/>
  <c r="Y83" i="7" s="1"/>
  <c r="AJ60" i="7"/>
  <c r="AK61" i="7" s="1"/>
  <c r="AK62" i="7" s="1"/>
  <c r="AA63" i="7" s="1"/>
  <c r="AB40" i="7"/>
  <c r="AJ111" i="7"/>
  <c r="AJ112" i="7" s="1"/>
  <c r="Y113" i="7" s="1"/>
  <c r="AC30" i="7"/>
  <c r="AI90" i="7"/>
  <c r="AD101" i="7"/>
  <c r="AD102" i="7" s="1"/>
  <c r="Z103" i="7" s="1"/>
  <c r="AG140" i="7"/>
  <c r="AA120" i="7" l="1"/>
  <c r="AB121" i="7" s="1"/>
  <c r="AB122" i="7" s="1"/>
  <c r="Y123" i="7" s="1"/>
  <c r="AC70" i="7"/>
  <c r="AD71" i="7" s="1"/>
  <c r="AD72" i="7" s="1"/>
  <c r="Y73" i="7" s="1"/>
  <c r="AH151" i="7"/>
  <c r="AH152" i="7" s="1"/>
  <c r="Y153" i="7" s="1"/>
  <c r="AH130" i="7"/>
  <c r="AI131" i="7" s="1"/>
  <c r="AI132" i="7" s="1"/>
  <c r="AA133" i="7" s="1"/>
  <c r="AA21" i="7"/>
  <c r="AA22" i="7" s="1"/>
  <c r="Z23" i="7" s="1"/>
  <c r="AG160" i="7"/>
  <c r="AH161" i="7" s="1"/>
  <c r="AH162" i="7" s="1"/>
  <c r="AA163" i="7" s="1"/>
  <c r="AJ110" i="7"/>
  <c r="AK111" i="7" s="1"/>
  <c r="AK112" i="7" s="1"/>
  <c r="Z113" i="7" s="1"/>
  <c r="AD100" i="7"/>
  <c r="AE101" i="7" s="1"/>
  <c r="AE102" i="7" s="1"/>
  <c r="AA103" i="7" s="1"/>
  <c r="AH141" i="7"/>
  <c r="AH142" i="7" s="1"/>
  <c r="AC143" i="7" s="1"/>
  <c r="AD31" i="7"/>
  <c r="AD32" i="7" s="1"/>
  <c r="AB33" i="7" s="1"/>
  <c r="AE80" i="7"/>
  <c r="AC41" i="7"/>
  <c r="AC42" i="7" s="1"/>
  <c r="Z43" i="7" s="1"/>
  <c r="AK60" i="7"/>
  <c r="AJ91" i="7"/>
  <c r="AJ92" i="7" s="1"/>
  <c r="AA93" i="7" s="1"/>
  <c r="AB120" i="7" l="1"/>
  <c r="AD70" i="7"/>
  <c r="AE71" i="7" s="1"/>
  <c r="AE72" i="7" s="1"/>
  <c r="Z73" i="7" s="1"/>
  <c r="AH150" i="7"/>
  <c r="AA20" i="7"/>
  <c r="AB21" i="7" s="1"/>
  <c r="AB22" i="7" s="1"/>
  <c r="AA23" i="7" s="1"/>
  <c r="AI130" i="7"/>
  <c r="AH140" i="7"/>
  <c r="AI141" i="7" s="1"/>
  <c r="AI142" i="7" s="1"/>
  <c r="AD143" i="7" s="1"/>
  <c r="AC40" i="7"/>
  <c r="AD41" i="7" s="1"/>
  <c r="AD42" i="7" s="1"/>
  <c r="AA43" i="7" s="1"/>
  <c r="AJ90" i="7"/>
  <c r="AK91" i="7" s="1"/>
  <c r="AK92" i="7" s="1"/>
  <c r="AB93" i="7" s="1"/>
  <c r="AH160" i="7"/>
  <c r="AK110" i="7"/>
  <c r="AD30" i="7"/>
  <c r="AE100" i="7"/>
  <c r="AF81" i="7"/>
  <c r="AF82" i="7" s="1"/>
  <c r="Z83" i="7" s="1"/>
  <c r="AE70" i="7" l="1"/>
  <c r="AF71" i="7" s="1"/>
  <c r="AF72" i="7" s="1"/>
  <c r="AA73" i="7" s="1"/>
  <c r="AC121" i="7"/>
  <c r="AC122" i="7" s="1"/>
  <c r="Z123" i="7" s="1"/>
  <c r="AI151" i="7"/>
  <c r="AI152" i="7" s="1"/>
  <c r="Z153" i="7" s="1"/>
  <c r="AB20" i="7"/>
  <c r="AC21" i="7" s="1"/>
  <c r="AC22" i="7" s="1"/>
  <c r="AB23" i="7" s="1"/>
  <c r="AJ131" i="7"/>
  <c r="AJ132" i="7" s="1"/>
  <c r="AB133" i="7" s="1"/>
  <c r="AF101" i="7"/>
  <c r="AF102" i="7" s="1"/>
  <c r="AB103" i="7" s="1"/>
  <c r="AE31" i="7"/>
  <c r="AE32" i="7" s="1"/>
  <c r="AC33" i="7" s="1"/>
  <c r="AD40" i="7"/>
  <c r="AF80" i="7"/>
  <c r="AI140" i="7"/>
  <c r="AK90" i="7"/>
  <c r="AI161" i="7"/>
  <c r="AI162" i="7" s="1"/>
  <c r="AB163" i="7" s="1"/>
  <c r="AF70" i="7" l="1"/>
  <c r="AG71" i="7" s="1"/>
  <c r="AG72" i="7" s="1"/>
  <c r="AB73" i="7" s="1"/>
  <c r="AI150" i="7"/>
  <c r="AC20" i="7"/>
  <c r="AD21" i="7" s="1"/>
  <c r="AD22" i="7" s="1"/>
  <c r="AC23" i="7" s="1"/>
  <c r="AC120" i="7"/>
  <c r="AD121" i="7" s="1"/>
  <c r="AD122" i="7" s="1"/>
  <c r="AA123" i="7" s="1"/>
  <c r="AJ130" i="7"/>
  <c r="AK131" i="7" s="1"/>
  <c r="AK132" i="7" s="1"/>
  <c r="AC133" i="7" s="1"/>
  <c r="AI160" i="7"/>
  <c r="AJ161" i="7" s="1"/>
  <c r="AJ162" i="7" s="1"/>
  <c r="AC163" i="7" s="1"/>
  <c r="AJ141" i="7"/>
  <c r="AJ142" i="7" s="1"/>
  <c r="AE143" i="7" s="1"/>
  <c r="AE30" i="7"/>
  <c r="AG81" i="7"/>
  <c r="AG82" i="7" s="1"/>
  <c r="AA83" i="7" s="1"/>
  <c r="AE41" i="7"/>
  <c r="AE42" i="7" s="1"/>
  <c r="AB43" i="7" s="1"/>
  <c r="AF100" i="7"/>
  <c r="AD20" i="7" l="1"/>
  <c r="AE21" i="7" s="1"/>
  <c r="AE22" i="7" s="1"/>
  <c r="AD23" i="7" s="1"/>
  <c r="AG70" i="7"/>
  <c r="AH71" i="7" s="1"/>
  <c r="AH72" i="7" s="1"/>
  <c r="AC73" i="7" s="1"/>
  <c r="AJ151" i="7"/>
  <c r="AJ152" i="7" s="1"/>
  <c r="AA153" i="7" s="1"/>
  <c r="AK130" i="7"/>
  <c r="AD120" i="7"/>
  <c r="AE20" i="7"/>
  <c r="AF21" i="7" s="1"/>
  <c r="AF22" i="7" s="1"/>
  <c r="AE23" i="7" s="1"/>
  <c r="AH70" i="7"/>
  <c r="AI71" i="7" s="1"/>
  <c r="AI72" i="7" s="1"/>
  <c r="AD73" i="7" s="1"/>
  <c r="AE40" i="7"/>
  <c r="AF41" i="7" s="1"/>
  <c r="AF42" i="7" s="1"/>
  <c r="AC43" i="7" s="1"/>
  <c r="AG80" i="7"/>
  <c r="AJ140" i="7"/>
  <c r="AF31" i="7"/>
  <c r="AF32" i="7" s="1"/>
  <c r="AD33" i="7" s="1"/>
  <c r="AG101" i="7"/>
  <c r="AG102" i="7" s="1"/>
  <c r="AC103" i="7" s="1"/>
  <c r="AJ160" i="7"/>
  <c r="AJ150" i="7" l="1"/>
  <c r="AE121" i="7"/>
  <c r="AE122" i="7" s="1"/>
  <c r="AB123" i="7" s="1"/>
  <c r="AF40" i="7"/>
  <c r="AK141" i="7"/>
  <c r="AK142" i="7" s="1"/>
  <c r="AF143" i="7" s="1"/>
  <c r="AF20" i="7"/>
  <c r="AK161" i="7"/>
  <c r="AK162" i="7" s="1"/>
  <c r="AD163" i="7" s="1"/>
  <c r="AH81" i="7"/>
  <c r="AH82" i="7" s="1"/>
  <c r="AB83" i="7" s="1"/>
  <c r="AF30" i="7"/>
  <c r="AG41" i="7"/>
  <c r="AG42" i="7" s="1"/>
  <c r="AD43" i="7" s="1"/>
  <c r="AG100" i="7"/>
  <c r="AI70" i="7"/>
  <c r="AK151" i="7" l="1"/>
  <c r="AK152" i="7" s="1"/>
  <c r="AB153" i="7" s="1"/>
  <c r="AE120" i="7"/>
  <c r="AK140" i="7"/>
  <c r="AK160" i="7"/>
  <c r="AH80" i="7"/>
  <c r="AG21" i="7"/>
  <c r="AG22" i="7" s="1"/>
  <c r="AF23" i="7" s="1"/>
  <c r="AI81" i="7"/>
  <c r="AI82" i="7" s="1"/>
  <c r="AC83" i="7" s="1"/>
  <c r="AG40" i="7"/>
  <c r="AJ71" i="7"/>
  <c r="AJ72" i="7" s="1"/>
  <c r="AE73" i="7" s="1"/>
  <c r="AH101" i="7"/>
  <c r="AH102" i="7" s="1"/>
  <c r="AD103" i="7" s="1"/>
  <c r="AG31" i="7"/>
  <c r="AG32" i="7" s="1"/>
  <c r="AE33" i="7" s="1"/>
  <c r="AK150" i="7" l="1"/>
  <c r="AF121" i="7"/>
  <c r="AF122" i="7" s="1"/>
  <c r="AC123" i="7" s="1"/>
  <c r="AG20" i="7"/>
  <c r="AH21" i="7" s="1"/>
  <c r="AH22" i="7" s="1"/>
  <c r="AG23" i="7" s="1"/>
  <c r="AH100" i="7"/>
  <c r="AH41" i="7"/>
  <c r="AH42" i="7" s="1"/>
  <c r="AE43" i="7" s="1"/>
  <c r="AI80" i="7"/>
  <c r="AG30" i="7"/>
  <c r="AI101" i="7"/>
  <c r="AI102" i="7" s="1"/>
  <c r="AE103" i="7" s="1"/>
  <c r="AJ70" i="7"/>
  <c r="AF120" i="7" l="1"/>
  <c r="AH20" i="7"/>
  <c r="AI100" i="7"/>
  <c r="AH31" i="7"/>
  <c r="AH32" i="7" s="1"/>
  <c r="AF33" i="7" s="1"/>
  <c r="AJ81" i="7"/>
  <c r="AJ82" i="7" s="1"/>
  <c r="AD83" i="7" s="1"/>
  <c r="AI21" i="7"/>
  <c r="AI22" i="7" s="1"/>
  <c r="AH23" i="7" s="1"/>
  <c r="AJ101" i="7"/>
  <c r="AJ102" i="7" s="1"/>
  <c r="AF103" i="7" s="1"/>
  <c r="AK71" i="7"/>
  <c r="AK72" i="7" s="1"/>
  <c r="AF73" i="7" s="1"/>
  <c r="AH40" i="7"/>
  <c r="AG121" i="7" l="1"/>
  <c r="AG122" i="7" s="1"/>
  <c r="AD123" i="7" s="1"/>
  <c r="AJ100" i="7"/>
  <c r="AK70" i="7"/>
  <c r="AJ80" i="7"/>
  <c r="AI41" i="7"/>
  <c r="AI42" i="7" s="1"/>
  <c r="AF43" i="7" s="1"/>
  <c r="AI20" i="7"/>
  <c r="AH30" i="7"/>
  <c r="AG120" i="7" l="1"/>
  <c r="AI31" i="7"/>
  <c r="AI32" i="7" s="1"/>
  <c r="AG33" i="7" s="1"/>
  <c r="AJ21" i="7"/>
  <c r="AJ22" i="7" s="1"/>
  <c r="AI23" i="7" s="1"/>
  <c r="AI40" i="7"/>
  <c r="AK81" i="7"/>
  <c r="AK82" i="7" s="1"/>
  <c r="AE83" i="7" s="1"/>
  <c r="AK101" i="7"/>
  <c r="AK102" i="7" s="1"/>
  <c r="AG103" i="7" s="1"/>
  <c r="AH121" i="7" l="1"/>
  <c r="AH122" i="7" s="1"/>
  <c r="AE123" i="7" s="1"/>
  <c r="AI30" i="7"/>
  <c r="AJ31" i="7" s="1"/>
  <c r="AJ32" i="7" s="1"/>
  <c r="AH33" i="7" s="1"/>
  <c r="AK80" i="7"/>
  <c r="AK100" i="7"/>
  <c r="AJ41" i="7"/>
  <c r="AJ42" i="7" s="1"/>
  <c r="AG43" i="7" s="1"/>
  <c r="AJ20" i="7"/>
  <c r="AH120" i="7" l="1"/>
  <c r="AJ30" i="7"/>
  <c r="AK31" i="7" s="1"/>
  <c r="AK32" i="7" s="1"/>
  <c r="AI33" i="7" s="1"/>
  <c r="AK21" i="7"/>
  <c r="AK22" i="7" s="1"/>
  <c r="AJ23" i="7" s="1"/>
  <c r="AJ40" i="7"/>
  <c r="AI121" i="7" l="1"/>
  <c r="AI122" i="7" s="1"/>
  <c r="AF123" i="7" s="1"/>
  <c r="AK41" i="7"/>
  <c r="AK42" i="7" s="1"/>
  <c r="AH43" i="7" s="1"/>
  <c r="AK30" i="7"/>
  <c r="AK20" i="7"/>
  <c r="AI120" i="7" l="1"/>
  <c r="AJ121" i="7" s="1"/>
  <c r="AJ122" i="7" s="1"/>
  <c r="AG123" i="7" s="1"/>
  <c r="AK40" i="7"/>
  <c r="AJ120" i="7" l="1"/>
  <c r="AK121" i="7" l="1"/>
  <c r="AK122" i="7" s="1"/>
  <c r="AH123" i="7" s="1"/>
  <c r="AK120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<sst xmlns="http://schemas.openxmlformats.org/spreadsheetml/2006/main" count="8869" uniqueCount="402">
  <si>
    <t>Context</t>
  </si>
  <si>
    <t>A toy company is facing troubles with planning and data visualization</t>
  </si>
  <si>
    <t>Problems:</t>
  </si>
  <si>
    <t>1. Need to visualize master data</t>
  </si>
  <si>
    <t>2. Need to balance demand &amp; create master production scheduling (MPS) with inhouse capacity constraints</t>
  </si>
  <si>
    <t>3. Need to create material requirement planning (MRP) then determine reorder point based on leadtime (LT)</t>
  </si>
  <si>
    <t>No</t>
  </si>
  <si>
    <t>Question</t>
  </si>
  <si>
    <t>Requirement</t>
  </si>
  <si>
    <t>Visualize demand of 6 SKUs</t>
  </si>
  <si>
    <t>By Regions, Category, Total Value</t>
  </si>
  <si>
    <t>Create master production scheduling (MPS)</t>
  </si>
  <si>
    <t>Generate a master production planning for whole year</t>
  </si>
  <si>
    <t>Balance demand</t>
  </si>
  <si>
    <t>Based on current fixture set and weekly capacity to balance and suggest solution if over
1. Leverage demand
2. Buy more fixture</t>
  </si>
  <si>
    <t>Create Material requirment Planning (MRP)</t>
  </si>
  <si>
    <t>Generate a material requirement planning following 6 SKUs' demand and BOM usage</t>
  </si>
  <si>
    <t>Determine supply plan</t>
  </si>
  <si>
    <t>Based on leadtime, current stock on hand and pending PO to find out reorder point and fill out/ layout supply plan</t>
  </si>
  <si>
    <t>Figure out safety stock strategy</t>
  </si>
  <si>
    <t>Based on vendor location to define stock on hand level by week or day or hour (local and oversea)</t>
  </si>
  <si>
    <t>Item name</t>
  </si>
  <si>
    <t>Des</t>
  </si>
  <si>
    <t xml:space="preserve">Market </t>
  </si>
  <si>
    <t>Price ($)</t>
  </si>
  <si>
    <t>Product group</t>
  </si>
  <si>
    <t>Fixture</t>
  </si>
  <si>
    <t>Weekly Capcity</t>
  </si>
  <si>
    <t>Shipment Request</t>
  </si>
  <si>
    <t>Demand Quantity</t>
  </si>
  <si>
    <t>A</t>
  </si>
  <si>
    <t>2026 Automatic Robot ver</t>
  </si>
  <si>
    <t>US</t>
  </si>
  <si>
    <t>Electronic Toy</t>
  </si>
  <si>
    <t>123AB</t>
  </si>
  <si>
    <t>B</t>
  </si>
  <si>
    <t>2025 Barbie ver colorful</t>
  </si>
  <si>
    <t>Doll</t>
  </si>
  <si>
    <t>C</t>
  </si>
  <si>
    <t>2026 Castle &amp; Farm Blocks</t>
  </si>
  <si>
    <t>UK</t>
  </si>
  <si>
    <t>Building &amp; Construction Toy</t>
  </si>
  <si>
    <t>456CD</t>
  </si>
  <si>
    <t>D</t>
  </si>
  <si>
    <t>2026 Animal Animation Book</t>
  </si>
  <si>
    <t>Educational Toy</t>
  </si>
  <si>
    <t>E</t>
  </si>
  <si>
    <t>2026 Scooter ver</t>
  </si>
  <si>
    <t>Australia</t>
  </si>
  <si>
    <t>Outdoor &amp; Sports Toy</t>
  </si>
  <si>
    <t>789EF</t>
  </si>
  <si>
    <t>F</t>
  </si>
  <si>
    <t>2025 Fantasy Spaceship Model DIY kits</t>
  </si>
  <si>
    <t>Arts &amp; Crafts Toy</t>
  </si>
  <si>
    <t>No.</t>
  </si>
  <si>
    <t>Model number</t>
  </si>
  <si>
    <t>Component number</t>
  </si>
  <si>
    <t>Description</t>
  </si>
  <si>
    <t>Vendor location</t>
  </si>
  <si>
    <t>BOM usage</t>
  </si>
  <si>
    <t>Leadtime</t>
  </si>
  <si>
    <t>Stock</t>
  </si>
  <si>
    <t>Pending PO</t>
  </si>
  <si>
    <t>U/P (USD/ uom)</t>
  </si>
  <si>
    <t>UOM</t>
  </si>
  <si>
    <t>RM01</t>
  </si>
  <si>
    <t>Packaging label</t>
  </si>
  <si>
    <t>Local</t>
  </si>
  <si>
    <t>pc</t>
  </si>
  <si>
    <t>RM02</t>
  </si>
  <si>
    <t>Packaging carton</t>
  </si>
  <si>
    <t>Pc</t>
  </si>
  <si>
    <t>RM03</t>
  </si>
  <si>
    <t>Common plastic</t>
  </si>
  <si>
    <t>Kg</t>
  </si>
  <si>
    <t>RM04</t>
  </si>
  <si>
    <t>PCBA</t>
  </si>
  <si>
    <t>Oversea</t>
  </si>
  <si>
    <t>RM05</t>
  </si>
  <si>
    <t>Charger</t>
  </si>
  <si>
    <t>RM06</t>
  </si>
  <si>
    <t>Fabric</t>
  </si>
  <si>
    <t>m</t>
  </si>
  <si>
    <t>RM07</t>
  </si>
  <si>
    <t>Industrial color</t>
  </si>
  <si>
    <t>gr</t>
  </si>
  <si>
    <t>RM08</t>
  </si>
  <si>
    <t>Special Resin</t>
  </si>
  <si>
    <t>kg</t>
  </si>
  <si>
    <t>RM09</t>
  </si>
  <si>
    <t>Wooden</t>
  </si>
  <si>
    <t>Cbm</t>
  </si>
  <si>
    <t>RM10</t>
  </si>
  <si>
    <t>Battery</t>
  </si>
  <si>
    <t>RM11</t>
  </si>
  <si>
    <t>Glue</t>
  </si>
  <si>
    <t>RM12</t>
  </si>
  <si>
    <t>Steel metal</t>
  </si>
  <si>
    <t>RM13</t>
  </si>
  <si>
    <t>Wheel</t>
  </si>
  <si>
    <t>RM14</t>
  </si>
  <si>
    <t>Solar pannel</t>
  </si>
  <si>
    <t>RM15</t>
  </si>
  <si>
    <t>Cell</t>
  </si>
  <si>
    <t>Packing size (pcs/ carton)</t>
  </si>
  <si>
    <t xml:space="preserve"> CBM (100 cartons) </t>
  </si>
  <si>
    <t>Ex. Work price (Usd/ pc)</t>
  </si>
  <si>
    <t xml:space="preserve">Australia </t>
  </si>
  <si>
    <t>Coporate Ocean frieght charge</t>
  </si>
  <si>
    <t xml:space="preserve">FCL </t>
  </si>
  <si>
    <t>AU</t>
  </si>
  <si>
    <t xml:space="preserve">40" </t>
  </si>
  <si>
    <t xml:space="preserve">20" </t>
  </si>
  <si>
    <t>LT (day)</t>
  </si>
  <si>
    <t xml:space="preserve">LCL </t>
  </si>
  <si>
    <t>per CBM</t>
  </si>
  <si>
    <t xml:space="preserve">Airfreigh , follow forwarder website at demand date </t>
  </si>
  <si>
    <t xml:space="preserve">Max load CBM / container </t>
  </si>
  <si>
    <t>Total Demand by SKU-Week</t>
  </si>
  <si>
    <t>week first day</t>
  </si>
  <si>
    <t>production day</t>
  </si>
  <si>
    <t>market</t>
  </si>
  <si>
    <t>carton</t>
  </si>
  <si>
    <t>volume</t>
  </si>
  <si>
    <t>Items</t>
  </si>
  <si>
    <t>Lot size</t>
  </si>
  <si>
    <t>Lead time</t>
  </si>
  <si>
    <t>1-2 weeks</t>
  </si>
  <si>
    <t>Beginning inventory</t>
  </si>
  <si>
    <t>Scheduled receipts</t>
  </si>
  <si>
    <t>Week</t>
  </si>
  <si>
    <t>Lot size: L4L</t>
  </si>
  <si>
    <t>Gross requirement</t>
  </si>
  <si>
    <t>Projected on hand</t>
  </si>
  <si>
    <t>Planned order receipts</t>
  </si>
  <si>
    <t>Planned order releases</t>
  </si>
  <si>
    <t>BOM usage helper</t>
  </si>
  <si>
    <t>Safety stock</t>
  </si>
  <si>
    <t>Local=1 wk avg demand; Oversea=2 wks avg demand</t>
  </si>
  <si>
    <t>Item RM01</t>
  </si>
  <si>
    <t>LLC: 1</t>
  </si>
  <si>
    <t>Net requirements</t>
  </si>
  <si>
    <t>Item RM02</t>
  </si>
  <si>
    <t>Item RM03</t>
  </si>
  <si>
    <t>Item RM04</t>
  </si>
  <si>
    <t>Item RM05</t>
  </si>
  <si>
    <t>Item RM06</t>
  </si>
  <si>
    <t>Item RM07</t>
  </si>
  <si>
    <t>Item RM08</t>
  </si>
  <si>
    <t>Item RM09</t>
  </si>
  <si>
    <t>Item RM10</t>
  </si>
  <si>
    <t>Item RM11</t>
  </si>
  <si>
    <t>Item RM12</t>
  </si>
  <si>
    <t>Item RM13</t>
  </si>
  <si>
    <t>Item RM14</t>
  </si>
  <si>
    <t>Item RM15</t>
  </si>
  <si>
    <t>SKU</t>
  </si>
  <si>
    <t>Weekly Capacity</t>
  </si>
  <si>
    <t>Total Demand</t>
  </si>
  <si>
    <t>Beginning FG Inv</t>
  </si>
  <si>
    <t>Carryover Needed</t>
  </si>
  <si>
    <t>Net Required</t>
  </si>
  <si>
    <t>Planned Production</t>
  </si>
  <si>
    <t>Ending FG Inv</t>
  </si>
  <si>
    <t>Shortage</t>
  </si>
  <si>
    <t>ATP</t>
  </si>
  <si>
    <t>Capacity Load %</t>
  </si>
  <si>
    <t>Planner Note</t>
  </si>
  <si>
    <t>Logic</t>
  </si>
  <si>
    <t>Carryover Needed = lượng tồn phải build trước để cover tuần sau bị quá tải.</t>
  </si>
  <si>
    <t>Nếu Fixture_Capacity_Input có dữ liệu cho fixture-week, MPS sẽ dùng capacity đó.</t>
  </si>
  <si>
    <t>Nếu Fixture_Capacity_Input trống, MPS dùng Weekly Capacity từ weekly_demand.</t>
  </si>
  <si>
    <t xml:space="preserve">Production Planning </t>
  </si>
  <si>
    <t>Calendar Buckets &amp; Available Capacity (6 workdays/week, Sunday off)</t>
  </si>
  <si>
    <t>Bucket</t>
  </si>
  <si>
    <t>Start</t>
  </si>
  <si>
    <t>End</t>
  </si>
  <si>
    <t>Workdays</t>
  </si>
  <si>
    <t>Workdays/6</t>
  </si>
  <si>
    <t>Notes</t>
  </si>
  <si>
    <t>Start date</t>
  </si>
  <si>
    <t xml:space="preserve">B1 </t>
  </si>
  <si>
    <t>Mon–Sat; Sunday off</t>
  </si>
  <si>
    <t>End date</t>
  </si>
  <si>
    <t xml:space="preserve">B2 </t>
  </si>
  <si>
    <t>Workdays / week</t>
  </si>
  <si>
    <t>B3</t>
  </si>
  <si>
    <t>Shifts / day</t>
  </si>
  <si>
    <t>B4</t>
  </si>
  <si>
    <t>Lead time min (days)</t>
  </si>
  <si>
    <t>B5</t>
  </si>
  <si>
    <t>Lead time max (days)</t>
  </si>
  <si>
    <t>Note</t>
  </si>
  <si>
    <t>Factory runs 2 shifts/day, 6 days/week (Sunday off). Plan buckets follow Mon–Sat weeks.</t>
  </si>
  <si>
    <t>Overall</t>
  </si>
  <si>
    <t>Total workdays in horizon</t>
  </si>
  <si>
    <t>Theoretical shipment request estimated by lead time</t>
  </si>
  <si>
    <t>Demand Aggregated for Production Horizon (15.4-15.5)</t>
  </si>
  <si>
    <t>Weekly capacity</t>
  </si>
  <si>
    <t>B1</t>
  </si>
  <si>
    <t>B2</t>
  </si>
  <si>
    <t>Total capacity (horizon)</t>
  </si>
  <si>
    <t>Market</t>
  </si>
  <si>
    <t>Ship request</t>
  </si>
  <si>
    <t>Demand quantity</t>
  </si>
  <si>
    <t>Earliest production date (Ship-LeadMax)</t>
  </si>
  <si>
    <t>Latest production date (Ship-LeadMin)</t>
  </si>
  <si>
    <t>Production Plan (Daily workday view)</t>
  </si>
  <si>
    <t>Weekly cap</t>
  </si>
  <si>
    <t>Earliest production date</t>
  </si>
  <si>
    <t>Latest production date</t>
  </si>
  <si>
    <t>Week 1</t>
  </si>
  <si>
    <t>Week 2</t>
  </si>
  <si>
    <t>Week 3</t>
  </si>
  <si>
    <t>Week 4</t>
  </si>
  <si>
    <t>Week 5</t>
  </si>
  <si>
    <t>Planned total</t>
  </si>
  <si>
    <t>Risk</t>
  </si>
  <si>
    <t>Horizon status</t>
  </si>
  <si>
    <t>Week_Date</t>
  </si>
  <si>
    <t>Load_Type</t>
  </si>
  <si>
    <t>Load_Index</t>
  </si>
  <si>
    <t>Load_ID</t>
  </si>
  <si>
    <t>Capacity_CBM</t>
  </si>
  <si>
    <t>Boxes_A</t>
  </si>
  <si>
    <t>Units_A</t>
  </si>
  <si>
    <t>CBM_A</t>
  </si>
  <si>
    <t>Boxes_B</t>
  </si>
  <si>
    <t>Units_B</t>
  </si>
  <si>
    <t>CBM_B</t>
  </si>
  <si>
    <t>Boxes_F</t>
  </si>
  <si>
    <t>Units_F</t>
  </si>
  <si>
    <t>CBM_F</t>
  </si>
  <si>
    <t>Total_Boxes</t>
  </si>
  <si>
    <t>Total_Units</t>
  </si>
  <si>
    <t>Used_CBM</t>
  </si>
  <si>
    <t>Slack_CBM</t>
  </si>
  <si>
    <t>Boxes_C</t>
  </si>
  <si>
    <t>Units_C</t>
  </si>
  <si>
    <t>CBM_C</t>
  </si>
  <si>
    <t>Boxes_D</t>
  </si>
  <si>
    <t>Units_D</t>
  </si>
  <si>
    <t>CBM_D</t>
  </si>
  <si>
    <t>Boxes_E</t>
  </si>
  <si>
    <t>Units_E</t>
  </si>
  <si>
    <t>CBM_E</t>
  </si>
  <si>
    <t>2026-04-20</t>
  </si>
  <si>
    <t>LCL</t>
  </si>
  <si>
    <t>2026-04-27</t>
  </si>
  <si>
    <t>2026-05-04</t>
  </si>
  <si>
    <t>40</t>
  </si>
  <si>
    <t>40_1</t>
  </si>
  <si>
    <t>2026-05-11</t>
  </si>
  <si>
    <t>2026-05-18</t>
  </si>
  <si>
    <t>2026-05-25</t>
  </si>
  <si>
    <t>2026-06-01</t>
  </si>
  <si>
    <t>2026-06-08</t>
  </si>
  <si>
    <t>20</t>
  </si>
  <si>
    <t>20_1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</si>
  <si>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</si>
  <si>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</si>
  <si>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</si>
  <si>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</si>
  <si>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</si>
  <si>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</si>
  <si>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</si>
  <si>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</si>
  <si>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</si>
  <si>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</si>
  <si>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</si>
  <si>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2026-08-31</t>
  </si>
  <si>
    <t>2026-09-07</t>
  </si>
  <si>
    <t>2026-09-14</t>
  </si>
  <si>
    <t>2026-09-21</t>
  </si>
  <si>
    <t>2026-09-28</t>
  </si>
  <si>
    <t>2026-10-05</t>
  </si>
  <si>
    <t>2026-10-12</t>
  </si>
  <si>
    <t>2026-10-19</t>
  </si>
  <si>
    <t>2026-10-26</t>
  </si>
  <si>
    <t>2026-11-02</t>
  </si>
  <si>
    <t>2026-11-09</t>
  </si>
  <si>
    <t>2026-11-16</t>
  </si>
  <si>
    <t>2026-11-23</t>
  </si>
  <si>
    <t>2026-11-30</t>
  </si>
  <si>
    <t>2026-12-07</t>
  </si>
  <si>
    <t>2026-12-14</t>
  </si>
  <si>
    <t>LCL_Boxes_A</t>
  </si>
  <si>
    <t>LCL_Units_A</t>
  </si>
  <si>
    <t>LCL_CBM_A</t>
  </si>
  <si>
    <t>LCL_Boxes_B</t>
  </si>
  <si>
    <t>LCL_Units_B</t>
  </si>
  <si>
    <t>LCL_CBM_B</t>
  </si>
  <si>
    <t>LCL_Boxes_F</t>
  </si>
  <si>
    <t>LCL_Units_F</t>
  </si>
  <si>
    <t>LCL_CBM_F</t>
  </si>
  <si>
    <t>Total_Demand_CBM</t>
  </si>
  <si>
    <t>n40</t>
  </si>
  <si>
    <t>n20</t>
  </si>
  <si>
    <t>LCL_CBM</t>
  </si>
  <si>
    <t>Coverage_CBM</t>
  </si>
  <si>
    <t>Cost_40</t>
  </si>
  <si>
    <t>Cost_20</t>
  </si>
  <si>
    <t>Cost_LCL</t>
  </si>
  <si>
    <t>Cost</t>
  </si>
  <si>
    <t>LCL_Boxes_C</t>
  </si>
  <si>
    <t>LCL_Units_C</t>
  </si>
  <si>
    <t>LCL_CBM_C</t>
  </si>
  <si>
    <t>LCL_Boxes_D</t>
  </si>
  <si>
    <t>LCL_Units_D</t>
  </si>
  <si>
    <t>LCL_CBM_D</t>
  </si>
  <si>
    <t>LCL_Boxes_E</t>
  </si>
  <si>
    <t>LCL_Units_E</t>
  </si>
  <si>
    <t>LCL_CBM_E</t>
  </si>
  <si>
    <t>Weeks</t>
  </si>
  <si>
    <t>Total_n40</t>
  </si>
  <si>
    <t>Total_n20</t>
  </si>
  <si>
    <t>Total_LCL_CBM</t>
  </si>
  <si>
    <t>Total_Coverage_CBM</t>
  </si>
  <si>
    <t>Total_Slack_CBM</t>
  </si>
  <si>
    <t>Total_Cost_40</t>
  </si>
  <si>
    <t>Total_Cost_20</t>
  </si>
  <si>
    <t>Total_Cost_LCL</t>
  </si>
  <si>
    <t>Total_Cost</t>
  </si>
  <si>
    <t>Markets</t>
  </si>
  <si>
    <t>Opening FG</t>
  </si>
  <si>
    <t>Storage Cap</t>
  </si>
  <si>
    <t>Fixture capacity by bucket</t>
  </si>
  <si>
    <t>PCBA Supply Scenario (Robotic A)</t>
  </si>
  <si>
    <t>Affected SKU</t>
  </si>
  <si>
    <t>PCBA per FG (pcs)</t>
  </si>
  <si>
    <t>On-hand GOOD PCBA in VN (pcs)</t>
  </si>
  <si>
    <t>Vendor held DEFECT PCBA (pcs)</t>
  </si>
  <si>
    <t>Reflash equipment available date</t>
  </si>
  <si>
    <t>Reflash capacity (pcs/day)</t>
  </si>
  <si>
    <t>Supplier new PCBA capacity (pcs/day)</t>
  </si>
  <si>
    <t>Air lead time (days)</t>
  </si>
  <si>
    <t>Sea lead time (days)</t>
  </si>
  <si>
    <t>Air freight cost (USD/pc)</t>
  </si>
  <si>
    <t>Sea freight cost (USD/pc)</t>
  </si>
  <si>
    <t>PCBA logistics cost &amp; inventory check (SKU A)</t>
  </si>
  <si>
    <t>Air units</t>
  </si>
  <si>
    <t>Air cost/pc</t>
  </si>
  <si>
    <t>Sea units</t>
  </si>
  <si>
    <t>Sea cost/pc</t>
  </si>
  <si>
    <t>Total cost</t>
  </si>
  <si>
    <t>Date</t>
  </si>
  <si>
    <t>Prod(A)</t>
  </si>
  <si>
    <t>Air arr</t>
  </si>
  <si>
    <t>Sea arr</t>
  </si>
  <si>
    <t>Reflash arr</t>
  </si>
  <si>
    <t>Beg Inv</t>
  </si>
  <si>
    <t>End Inv</t>
  </si>
  <si>
    <t>Flag</t>
  </si>
  <si>
    <t>(Scenario update) SKU A constrained by corrected PCBA availability; see PCBA balance table on the right.</t>
  </si>
  <si>
    <t>Air cost per piece</t>
  </si>
  <si>
    <t>Chi phí vận chuyển hàng không trên mỗi đơn vị PCBA.</t>
  </si>
  <si>
    <t>Sea cost per piece</t>
  </si>
  <si>
    <t>Chi phí vận chuyển đường biển trên mỗi đơn vị PCBA.</t>
  </si>
  <si>
    <t>Total logistics cost</t>
  </si>
  <si>
    <t>Tổng chi phí logistics phát sinh từ phương án air/sea cho PCBA.</t>
  </si>
  <si>
    <t>Production quantity of SKU A</t>
  </si>
  <si>
    <t>Số lượng SKU A được sản xuất trong ngày; cũng là lượng PCBA bị tiêu hao trong ngày nếu 1 sản phẩm dùng 1 PCBA.</t>
  </si>
  <si>
    <t>Air arrival</t>
  </si>
  <si>
    <t>Số lượng PCBA thực nhận trong ngày từ phương án vận chuyển air.</t>
  </si>
  <si>
    <t>Sea arrival</t>
  </si>
  <si>
    <t>Số lượng PCBA thực nhận trong ngày từ phương án vận chuyển sea.</t>
  </si>
  <si>
    <t>Reflash arrival / recovered usable PCBA arrival</t>
  </si>
  <si>
    <t>Số lượng PCBA bổ sung trong ngày từ nguồn reflash/rework/phục hồi nội bộ.</t>
  </si>
  <si>
    <t>Beginning Inventory</t>
  </si>
  <si>
    <t>Tồn kho đầu ngày của PCBA.</t>
  </si>
  <si>
    <t>Ending Inventory</t>
  </si>
  <si>
    <t>Tồn kho cuối ngày của PCBA sau khi cộng arrival và trừ lượng dùng cho sản xuất.</t>
  </si>
  <si>
    <t>Inv</t>
  </si>
  <si>
    <t>Inventory</t>
  </si>
  <si>
    <t>Tồn kho.</t>
  </si>
  <si>
    <t>Status flag</t>
  </si>
  <si>
    <t>Cờ cảnh báo tình trạng tồn kho trong ngày.</t>
  </si>
  <si>
    <t>OK</t>
  </si>
  <si>
    <t>OK / Inventory feasible</t>
  </si>
  <si>
    <t>Tồn kho không âm, ngày đó khả thi về mặt vật tư.</t>
  </si>
  <si>
    <t>NEG_INV</t>
  </si>
  <si>
    <t>Negative Inventory</t>
  </si>
  <si>
    <t>Tồn kho âm, nghĩa là kế hoạch sản xuất ngày đó không khả thi nếu không có thêm PCBA.</t>
  </si>
  <si>
    <t>units</t>
  </si>
  <si>
    <t>Units / quantity</t>
  </si>
  <si>
    <t>Số đơn vị, số lượng.</t>
  </si>
  <si>
    <t>piece</t>
  </si>
  <si>
    <t>Một đơn vị/cái.</t>
  </si>
  <si>
    <t>NOTE</t>
  </si>
  <si>
    <t>Late quantity</t>
  </si>
  <si>
    <t>Production (A)</t>
  </si>
  <si>
    <t>Shipment assumptions</t>
  </si>
  <si>
    <t>Air shipment capacity per trip (PCBA units)</t>
  </si>
  <si>
    <t>Sea shipment capacity per trip (PCBA units)</t>
  </si>
  <si>
    <t>Scenario KPI Summary</t>
  </si>
  <si>
    <t>Total shortage</t>
  </si>
  <si>
    <t>Total late qty</t>
  </si>
  <si>
    <t>Total air units</t>
  </si>
  <si>
    <t>Total sea units</t>
  </si>
  <si>
    <t>Estimated number of sea shipments</t>
  </si>
  <si>
    <t>Estimated number of air shipments</t>
  </si>
  <si>
    <t>Total logistics cost (USD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</si>
</sst>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&quot;$&quot;* #,##0_);_(&quot;$&quot;* \(#,##0\);_(&quot;$&quot;* &quot;-&quot;??_);_(@_)"/>
    <numFmt numFmtId="168" formatCode="0.##"/>
    <numFmt numFmtId="169" formatCode="0.###"/>
    <numFmt numFmtId="170" formatCode="0.0%"/>
    <numFmt numFmtId="171" formatCode="dd/mm"/>
    <numFmt numFmtId="172" formatCode="m/d/yyyy"/>
    <numFmt numFmtId="173" formatCode="_(* #,##0_);_(* \(#,##0\);_(* \-??_);_(@_)"/>
  </numFmts>
  <fonts count="42" x14ac:knownFonts="1">
    <font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b/>
      <sz val="11"/>
      <name val="Aptos Narrow"/>
      <family val="2"/>
    </font>
    <font>
      <sz val="11"/>
      <color theme="4" tint="-0.249977111117893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rgb="FF242424"/>
      <name val="Aptos Narrow"/>
      <family val="2"/>
      <charset val="1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11"/>
      <color theme="1"/>
      <name val="Aptos Narrow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charset val="1"/>
    </font>
    <font>
      <b/>
      <sz val="16"/>
      <color theme="0"/>
      <name val="Times New Roman"/>
      <family val="1"/>
      <charset val="1"/>
    </font>
    <font>
      <b/>
      <sz val="13"/>
      <color theme="0"/>
      <name val="Times New Roman"/>
      <family val="1"/>
      <charset val="1"/>
    </font>
    <font>
      <b/>
      <sz val="13"/>
      <color rgb="FF2E75B5"/>
      <name val="Times New Roman"/>
      <family val="1"/>
      <charset val="1"/>
    </font>
    <font>
      <sz val="13"/>
      <color rgb="FF000000"/>
      <name val="Times New Roman"/>
      <family val="1"/>
      <charset val="1"/>
    </font>
    <font>
      <b/>
      <sz val="13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b/>
      <sz val="15"/>
      <color theme="0"/>
      <name val="Times New Roman"/>
      <family val="1"/>
      <charset val="1"/>
    </font>
    <font>
      <b/>
      <sz val="13"/>
      <color rgb="FF000000"/>
      <name val="Times New Roman"/>
      <family val="1"/>
      <charset val="1"/>
    </font>
    <font>
      <sz val="12"/>
      <color theme="1"/>
      <name val="Aptos Narrow"/>
      <family val="2"/>
    </font>
    <font>
      <sz val="13"/>
      <color rgb="FF0000FF"/>
      <name val="Times New Roman"/>
      <family val="1"/>
      <charset val="1"/>
    </font>
    <font>
      <b/>
      <sz val="11"/>
      <color rgb="FFFFFFFF"/>
      <name val="Calibri"/>
      <family val="2"/>
    </font>
    <font>
      <sz val="11"/>
      <color rgb="FF000000"/>
      <name val="Aptos Narrow"/>
      <family val="2"/>
    </font>
    <font>
      <sz val="11"/>
      <color rgb="FF0000FF"/>
      <name val="Aptos Narrow"/>
      <family val="2"/>
    </font>
    <font>
      <i/>
      <sz val="11"/>
      <color rgb="FF7F7F7F"/>
      <name val="Aptos Narrow"/>
      <family val="2"/>
    </font>
    <font>
      <b/>
      <sz val="14"/>
      <color theme="0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0000FF"/>
      <name val="Times New Roman"/>
      <family val="1"/>
    </font>
    <font>
      <b/>
      <sz val="13"/>
      <color rgb="FFFFFFFF"/>
      <name val="Times New Roman"/>
      <family val="1"/>
    </font>
    <font>
      <sz val="13"/>
      <color theme="1"/>
      <name val="Times New Roman"/>
      <family val="1"/>
    </font>
    <font>
      <b/>
      <sz val="13"/>
      <color theme="0"/>
      <name val="Times New Roman"/>
      <family val="1"/>
    </font>
    <font>
      <b/>
      <sz val="13"/>
      <color theme="4"/>
      <name val="Times New Roman"/>
      <family val="1"/>
    </font>
    <font>
      <sz val="13"/>
      <color indexed="12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F4E78"/>
      </patternFill>
    </fill>
    <fill>
      <patternFill patternType="solid">
        <fgColor rgb="FF808080"/>
      </patternFill>
    </fill>
    <fill>
      <patternFill patternType="solid">
        <fgColor rgb="FFD9EAD3"/>
      </patternFill>
    </fill>
    <fill>
      <patternFill patternType="solid">
        <fgColor theme="4" tint="0.79989013336588644"/>
        <bgColor rgb="FFCAEEFB"/>
      </patternFill>
    </fill>
    <fill>
      <patternFill patternType="solid">
        <fgColor rgb="FFB3E5A1"/>
        <bgColor rgb="FFC1F0C8"/>
      </patternFill>
    </fill>
    <fill>
      <patternFill patternType="solid">
        <fgColor rgb="FFC1F0C8"/>
        <bgColor rgb="FFD9EAD3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887081514938816E-2"/>
        <bgColor rgb="FF084F6B"/>
      </patternFill>
    </fill>
    <fill>
      <patternFill patternType="solid">
        <fgColor theme="3" tint="0.49989318521683401"/>
        <bgColor rgb="FF46B1E1"/>
      </patternFill>
    </fill>
    <fill>
      <patternFill patternType="solid">
        <fgColor theme="4" tint="0.39988402966399123"/>
        <bgColor rgb="FF4E95D9"/>
      </patternFill>
    </fill>
    <fill>
      <patternFill patternType="solid">
        <fgColor rgb="FFDEEAF6"/>
        <bgColor rgb="FFEAEEF3"/>
      </patternFill>
    </fill>
    <fill>
      <patternFill patternType="solid">
        <fgColor rgb="FFEAEEF3"/>
        <bgColor rgb="FFE8E8E8"/>
      </patternFill>
    </fill>
    <fill>
      <patternFill patternType="solid">
        <fgColor theme="2"/>
        <bgColor rgb="FFEAEEF3"/>
      </patternFill>
    </fill>
    <fill>
      <patternFill patternType="solid">
        <fgColor theme="3" tint="0.24988555558946501"/>
        <bgColor rgb="FF2E75B5"/>
      </patternFill>
    </fill>
    <fill>
      <patternFill patternType="solid">
        <fgColor theme="7" tint="-0.499984740745262"/>
        <bgColor rgb="FF163E64"/>
      </patternFill>
    </fill>
    <fill>
      <patternFill patternType="solid">
        <fgColor rgb="FF0070C0"/>
        <bgColor rgb="FF00808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89013336588644"/>
        <bgColor rgb="FFDEEAF6"/>
      </patternFill>
    </fill>
    <fill>
      <patternFill patternType="solid">
        <fgColor rgb="FF1F4E5F"/>
      </patternFill>
    </fill>
    <fill>
      <patternFill patternType="solid">
        <fgColor rgb="FFD9E1E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0D7DE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C9C9C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rgb="FF95A5A6"/>
      </left>
      <right style="thin">
        <color rgb="FF95A5A6"/>
      </right>
      <top style="thin">
        <color rgb="FF95A5A6"/>
      </top>
      <bottom style="thin">
        <color rgb="FF95A5A6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95A5A6"/>
      </left>
      <right/>
      <top style="thin">
        <color rgb="FF95A5A6"/>
      </top>
      <bottom style="thin">
        <color rgb="FF95A5A6"/>
      </bottom>
      <diagonal/>
    </border>
    <border>
      <left/>
      <right/>
      <top style="thin">
        <color rgb="FF95A5A6"/>
      </top>
      <bottom style="thin">
        <color rgb="FF95A5A6"/>
      </bottom>
      <diagonal/>
    </border>
    <border>
      <left/>
      <right style="thin">
        <color rgb="FF95A5A6"/>
      </right>
      <top style="thin">
        <color rgb="FF95A5A6"/>
      </top>
      <bottom style="thin">
        <color rgb="FF95A5A6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6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8" fillId="0" borderId="0"/>
    <xf numFmtId="0" fontId="27" fillId="0" borderId="0"/>
    <xf numFmtId="41" fontId="3" fillId="0" borderId="0" applyFont="0" applyFill="0" applyBorder="0" applyAlignment="0" applyProtection="0"/>
  </cellStyleXfs>
  <cellXfs count="19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/>
    <xf numFmtId="0" fontId="0" fillId="3" borderId="2" xfId="0" applyFill="1" applyBorder="1"/>
    <xf numFmtId="14" fontId="0" fillId="0" borderId="1" xfId="0" applyNumberFormat="1" applyBorder="1"/>
    <xf numFmtId="0" fontId="0" fillId="0" borderId="1" xfId="0" applyBorder="1"/>
    <xf numFmtId="166" fontId="0" fillId="0" borderId="1" xfId="0" applyNumberFormat="1" applyBorder="1"/>
    <xf numFmtId="14" fontId="0" fillId="0" borderId="3" xfId="0" applyNumberFormat="1" applyBorder="1"/>
    <xf numFmtId="166" fontId="0" fillId="0" borderId="3" xfId="0" applyNumberFormat="1" applyBorder="1"/>
    <xf numFmtId="14" fontId="0" fillId="0" borderId="4" xfId="0" applyNumberFormat="1" applyBorder="1"/>
    <xf numFmtId="166" fontId="0" fillId="0" borderId="4" xfId="0" applyNumberFormat="1" applyBorder="1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166" fontId="0" fillId="0" borderId="0" xfId="0" applyNumberFormat="1"/>
    <xf numFmtId="165" fontId="0" fillId="0" borderId="0" xfId="1" applyFont="1"/>
    <xf numFmtId="0" fontId="0" fillId="0" borderId="0" xfId="0" applyAlignment="1">
      <alignment horizontal="left"/>
    </xf>
    <xf numFmtId="0" fontId="0" fillId="4" borderId="0" xfId="0" applyFill="1"/>
    <xf numFmtId="165" fontId="0" fillId="4" borderId="0" xfId="1" applyFont="1" applyFill="1" applyAlignment="1">
      <alignment wrapText="1"/>
    </xf>
    <xf numFmtId="165" fontId="0" fillId="0" borderId="0" xfId="0" applyNumberFormat="1"/>
    <xf numFmtId="0" fontId="4" fillId="0" borderId="0" xfId="0" applyFont="1"/>
    <xf numFmtId="0" fontId="0" fillId="0" borderId="5" xfId="0" applyBorder="1"/>
    <xf numFmtId="0" fontId="0" fillId="0" borderId="6" xfId="0" applyBorder="1"/>
    <xf numFmtId="167" fontId="0" fillId="0" borderId="6" xfId="2" applyNumberFormat="1" applyFont="1" applyBorder="1"/>
    <xf numFmtId="0" fontId="0" fillId="0" borderId="7" xfId="0" applyBorder="1"/>
    <xf numFmtId="0" fontId="4" fillId="0" borderId="6" xfId="0" applyFont="1" applyBorder="1"/>
    <xf numFmtId="0" fontId="0" fillId="0" borderId="5" xfId="0" applyBorder="1" applyAlignment="1">
      <alignment wrapText="1"/>
    </xf>
    <xf numFmtId="166" fontId="0" fillId="0" borderId="6" xfId="1" applyNumberFormat="1" applyFont="1" applyBorder="1"/>
    <xf numFmtId="0" fontId="0" fillId="5" borderId="0" xfId="0" applyFill="1"/>
    <xf numFmtId="14" fontId="0" fillId="0" borderId="0" xfId="0" applyNumberFormat="1"/>
    <xf numFmtId="14" fontId="0" fillId="3" borderId="2" xfId="0" applyNumberFormat="1" applyFill="1" applyBorder="1"/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wrapText="1"/>
    </xf>
    <xf numFmtId="0" fontId="5" fillId="6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4" fontId="0" fillId="0" borderId="12" xfId="0" applyNumberFormat="1" applyBorder="1"/>
    <xf numFmtId="168" fontId="0" fillId="0" borderId="12" xfId="0" applyNumberFormat="1" applyBorder="1"/>
    <xf numFmtId="0" fontId="7" fillId="8" borderId="0" xfId="0" applyFont="1" applyFill="1" applyAlignment="1">
      <alignment horizontal="center"/>
    </xf>
    <xf numFmtId="169" fontId="0" fillId="0" borderId="0" xfId="0" applyNumberFormat="1"/>
    <xf numFmtId="0" fontId="8" fillId="9" borderId="0" xfId="0" applyFont="1" applyFill="1"/>
    <xf numFmtId="0" fontId="8" fillId="0" borderId="0" xfId="0" applyFont="1"/>
    <xf numFmtId="0" fontId="9" fillId="1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11" xfId="0" applyBorder="1"/>
    <xf numFmtId="0" fontId="9" fillId="11" borderId="1" xfId="0" applyFont="1" applyFill="1" applyBorder="1" applyAlignment="1">
      <alignment wrapText="1"/>
    </xf>
    <xf numFmtId="14" fontId="9" fillId="11" borderId="1" xfId="0" applyNumberFormat="1" applyFont="1" applyFill="1" applyBorder="1" applyAlignment="1">
      <alignment horizontal="right" wrapText="1"/>
    </xf>
    <xf numFmtId="14" fontId="9" fillId="11" borderId="9" xfId="0" applyNumberFormat="1" applyFont="1" applyFill="1" applyBorder="1" applyAlignment="1">
      <alignment horizontal="right" wrapText="1"/>
    </xf>
    <xf numFmtId="14" fontId="9" fillId="0" borderId="0" xfId="0" applyNumberFormat="1" applyFont="1" applyAlignment="1">
      <alignment horizontal="right" wrapText="1"/>
    </xf>
    <xf numFmtId="0" fontId="10" fillId="0" borderId="1" xfId="0" applyFont="1" applyBorder="1" applyAlignment="1">
      <alignment wrapText="1"/>
    </xf>
    <xf numFmtId="0" fontId="11" fillId="6" borderId="13" xfId="0" applyFont="1" applyFill="1" applyBorder="1" applyAlignment="1">
      <alignment horizontal="center" vertical="center" wrapText="1"/>
    </xf>
    <xf numFmtId="0" fontId="12" fillId="12" borderId="13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vertical="top" wrapText="1"/>
    </xf>
    <xf numFmtId="0" fontId="13" fillId="0" borderId="13" xfId="0" applyFont="1" applyBorder="1"/>
    <xf numFmtId="14" fontId="13" fillId="0" borderId="13" xfId="0" applyNumberFormat="1" applyFont="1" applyBorder="1"/>
    <xf numFmtId="3" fontId="13" fillId="0" borderId="13" xfId="0" applyNumberFormat="1" applyFont="1" applyBorder="1" applyAlignment="1">
      <alignment vertical="top" wrapText="1"/>
    </xf>
    <xf numFmtId="3" fontId="13" fillId="0" borderId="13" xfId="0" applyNumberFormat="1" applyFont="1" applyBorder="1"/>
    <xf numFmtId="170" fontId="13" fillId="0" borderId="13" xfId="0" applyNumberFormat="1" applyFont="1" applyBorder="1"/>
    <xf numFmtId="0" fontId="14" fillId="13" borderId="0" xfId="0" applyFont="1" applyFill="1"/>
    <xf numFmtId="0" fontId="0" fillId="0" borderId="13" xfId="0" applyBorder="1" applyAlignment="1">
      <alignment vertical="top" wrapText="1"/>
    </xf>
    <xf numFmtId="0" fontId="0" fillId="0" borderId="9" xfId="0" applyBorder="1" applyAlignment="1">
      <alignment wrapText="1"/>
    </xf>
    <xf numFmtId="0" fontId="0" fillId="0" borderId="9" xfId="0" applyBorder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68" fontId="15" fillId="0" borderId="12" xfId="0" applyNumberFormat="1" applyFont="1" applyBorder="1"/>
    <xf numFmtId="0" fontId="16" fillId="14" borderId="1" xfId="0" applyFont="1" applyFill="1" applyBorder="1"/>
    <xf numFmtId="14" fontId="17" fillId="14" borderId="0" xfId="0" applyNumberFormat="1" applyFont="1" applyFill="1"/>
    <xf numFmtId="14" fontId="16" fillId="14" borderId="8" xfId="0" applyNumberFormat="1" applyFont="1" applyFill="1" applyBorder="1"/>
    <xf numFmtId="0" fontId="17" fillId="14" borderId="0" xfId="0" applyFont="1" applyFill="1"/>
    <xf numFmtId="0" fontId="18" fillId="0" borderId="0" xfId="3"/>
    <xf numFmtId="0" fontId="20" fillId="17" borderId="1" xfId="3" applyFont="1" applyFill="1" applyBorder="1" applyAlignment="1">
      <alignment horizontal="center" vertical="center" wrapText="1"/>
    </xf>
    <xf numFmtId="0" fontId="21" fillId="18" borderId="14" xfId="3" applyFont="1" applyFill="1" applyBorder="1" applyAlignment="1">
      <alignment horizontal="left" vertical="center"/>
    </xf>
    <xf numFmtId="0" fontId="23" fillId="20" borderId="1" xfId="3" applyFont="1" applyFill="1" applyBorder="1" applyAlignment="1">
      <alignment vertical="center" wrapText="1"/>
    </xf>
    <xf numFmtId="14" fontId="24" fillId="20" borderId="1" xfId="3" applyNumberFormat="1" applyFont="1" applyFill="1" applyBorder="1" applyAlignment="1">
      <alignment horizontal="right" vertical="center" wrapText="1"/>
    </xf>
    <xf numFmtId="0" fontId="24" fillId="20" borderId="1" xfId="3" applyFont="1" applyFill="1" applyBorder="1" applyAlignment="1">
      <alignment horizontal="center" vertical="center" wrapText="1"/>
    </xf>
    <xf numFmtId="0" fontId="24" fillId="20" borderId="1" xfId="3" applyFont="1" applyFill="1" applyBorder="1" applyAlignment="1">
      <alignment vertical="center" wrapText="1"/>
    </xf>
    <xf numFmtId="0" fontId="21" fillId="18" borderId="14" xfId="3" applyFont="1" applyFill="1" applyBorder="1" applyAlignment="1">
      <alignment horizontal="left"/>
    </xf>
    <xf numFmtId="0" fontId="21" fillId="18" borderId="14" xfId="3" applyFont="1" applyFill="1" applyBorder="1" applyAlignment="1">
      <alignment horizontal="left" vertical="center" wrapText="1"/>
    </xf>
    <xf numFmtId="0" fontId="21" fillId="18" borderId="1" xfId="3" applyFont="1" applyFill="1" applyBorder="1" applyAlignment="1">
      <alignment horizontal="center" vertical="center" wrapText="1"/>
    </xf>
    <xf numFmtId="0" fontId="26" fillId="19" borderId="1" xfId="3" applyFont="1" applyFill="1" applyBorder="1" applyAlignment="1">
      <alignment horizontal="left" vertical="center" wrapText="1"/>
    </xf>
    <xf numFmtId="3" fontId="26" fillId="19" borderId="1" xfId="3" applyNumberFormat="1" applyFont="1" applyFill="1" applyBorder="1" applyAlignment="1">
      <alignment horizontal="center" vertical="center"/>
    </xf>
    <xf numFmtId="3" fontId="22" fillId="19" borderId="1" xfId="3" applyNumberFormat="1" applyFont="1" applyFill="1" applyBorder="1" applyAlignment="1">
      <alignment horizontal="right" vertical="center"/>
    </xf>
    <xf numFmtId="3" fontId="26" fillId="19" borderId="1" xfId="3" applyNumberFormat="1" applyFont="1" applyFill="1" applyBorder="1" applyAlignment="1">
      <alignment horizontal="right" vertical="center" wrapText="1"/>
    </xf>
    <xf numFmtId="0" fontId="22" fillId="19" borderId="1" xfId="3" applyFont="1" applyFill="1" applyBorder="1" applyAlignment="1">
      <alignment horizontal="center" vertical="center" wrapText="1"/>
    </xf>
    <xf numFmtId="0" fontId="22" fillId="19" borderId="1" xfId="3" applyFont="1" applyFill="1" applyBorder="1" applyAlignment="1">
      <alignment horizontal="left" vertical="center" wrapText="1"/>
    </xf>
    <xf numFmtId="14" fontId="22" fillId="19" borderId="1" xfId="3" applyNumberFormat="1" applyFont="1" applyFill="1" applyBorder="1" applyAlignment="1">
      <alignment horizontal="right" vertical="center"/>
    </xf>
    <xf numFmtId="171" fontId="21" fillId="18" borderId="16" xfId="4" applyNumberFormat="1" applyFont="1" applyFill="1" applyBorder="1" applyAlignment="1">
      <alignment horizontal="center" vertical="center"/>
    </xf>
    <xf numFmtId="0" fontId="22" fillId="19" borderId="16" xfId="4" applyFont="1" applyFill="1" applyBorder="1" applyAlignment="1">
      <alignment horizontal="center" vertical="center" wrapText="1"/>
    </xf>
    <xf numFmtId="0" fontId="22" fillId="19" borderId="16" xfId="4" applyFont="1" applyFill="1" applyBorder="1" applyAlignment="1">
      <alignment horizontal="left" vertical="center" wrapText="1"/>
    </xf>
    <xf numFmtId="3" fontId="22" fillId="19" borderId="16" xfId="4" applyNumberFormat="1" applyFont="1" applyFill="1" applyBorder="1" applyAlignment="1">
      <alignment horizontal="right"/>
    </xf>
    <xf numFmtId="14" fontId="22" fillId="19" borderId="16" xfId="4" applyNumberFormat="1" applyFont="1" applyFill="1" applyBorder="1" applyAlignment="1">
      <alignment horizontal="center"/>
    </xf>
    <xf numFmtId="3" fontId="28" fillId="19" borderId="16" xfId="4" applyNumberFormat="1" applyFont="1" applyFill="1" applyBorder="1" applyAlignment="1">
      <alignment horizontal="right"/>
    </xf>
    <xf numFmtId="3" fontId="22" fillId="19" borderId="16" xfId="4" applyNumberFormat="1" applyFont="1" applyFill="1" applyBorder="1" applyAlignment="1">
      <alignment horizontal="center" vertical="center" wrapText="1"/>
    </xf>
    <xf numFmtId="3" fontId="22" fillId="19" borderId="16" xfId="4" applyNumberFormat="1" applyFont="1" applyFill="1" applyBorder="1" applyAlignment="1">
      <alignment horizontal="center"/>
    </xf>
    <xf numFmtId="49" fontId="22" fillId="19" borderId="16" xfId="4" applyNumberFormat="1" applyFont="1" applyFill="1" applyBorder="1" applyAlignment="1">
      <alignment horizontal="center" vertical="center"/>
    </xf>
    <xf numFmtId="3" fontId="22" fillId="19" borderId="16" xfId="4" applyNumberFormat="1" applyFont="1" applyFill="1" applyBorder="1" applyAlignment="1">
      <alignment horizontal="center" vertical="center"/>
    </xf>
    <xf numFmtId="0" fontId="29" fillId="6" borderId="0" xfId="0" applyFont="1" applyFill="1" applyAlignment="1">
      <alignment horizontal="center" vertical="center"/>
    </xf>
    <xf numFmtId="0" fontId="0" fillId="0" borderId="18" xfId="0" applyBorder="1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24" borderId="0" xfId="0" applyFill="1" applyAlignment="1">
      <alignment vertical="center" wrapText="1"/>
    </xf>
    <xf numFmtId="0" fontId="0" fillId="24" borderId="0" xfId="0" applyFill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14" fillId="0" borderId="0" xfId="0" applyFont="1"/>
    <xf numFmtId="0" fontId="18" fillId="25" borderId="1" xfId="3" applyFill="1" applyBorder="1"/>
    <xf numFmtId="0" fontId="18" fillId="25" borderId="2" xfId="3" applyFill="1" applyBorder="1"/>
    <xf numFmtId="0" fontId="18" fillId="0" borderId="1" xfId="3" applyBorder="1"/>
    <xf numFmtId="173" fontId="18" fillId="0" borderId="1" xfId="3" applyNumberFormat="1" applyBorder="1"/>
    <xf numFmtId="172" fontId="18" fillId="0" borderId="3" xfId="3" applyNumberFormat="1" applyBorder="1"/>
    <xf numFmtId="173" fontId="18" fillId="0" borderId="3" xfId="3" applyNumberFormat="1" applyBorder="1"/>
    <xf numFmtId="172" fontId="18" fillId="0" borderId="1" xfId="3" applyNumberFormat="1" applyBorder="1"/>
    <xf numFmtId="172" fontId="18" fillId="0" borderId="4" xfId="3" applyNumberFormat="1" applyBorder="1"/>
    <xf numFmtId="173" fontId="18" fillId="0" borderId="4" xfId="3" applyNumberFormat="1" applyBorder="1"/>
    <xf numFmtId="0" fontId="19" fillId="0" borderId="0" xfId="3" applyFont="1" applyAlignment="1">
      <alignment vertical="center" wrapText="1"/>
    </xf>
    <xf numFmtId="0" fontId="21" fillId="0" borderId="0" xfId="3" applyFont="1" applyAlignment="1">
      <alignment horizontal="center" vertical="center" wrapText="1"/>
    </xf>
    <xf numFmtId="0" fontId="26" fillId="0" borderId="0" xfId="3" applyFont="1" applyAlignment="1">
      <alignment horizontal="left" vertical="center" wrapText="1"/>
    </xf>
    <xf numFmtId="3" fontId="22" fillId="0" borderId="0" xfId="3" applyNumberFormat="1" applyFont="1" applyAlignment="1">
      <alignment horizontal="right" vertical="center"/>
    </xf>
    <xf numFmtId="0" fontId="30" fillId="0" borderId="0" xfId="0" applyFont="1" applyAlignment="1">
      <alignment vertical="center" wrapText="1"/>
    </xf>
    <xf numFmtId="0" fontId="3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4" fillId="27" borderId="1" xfId="0" applyFont="1" applyFill="1" applyBorder="1" applyAlignment="1">
      <alignment vertical="center" wrapText="1"/>
    </xf>
    <xf numFmtId="0" fontId="35" fillId="0" borderId="1" xfId="0" applyFont="1" applyBorder="1" applyAlignment="1">
      <alignment horizontal="left" vertical="center" wrapText="1"/>
    </xf>
    <xf numFmtId="14" fontId="35" fillId="0" borderId="1" xfId="0" applyNumberFormat="1" applyFont="1" applyBorder="1" applyAlignment="1">
      <alignment horizontal="left" vertical="center" wrapText="1"/>
    </xf>
    <xf numFmtId="0" fontId="38" fillId="0" borderId="0" xfId="0" applyFont="1"/>
    <xf numFmtId="0" fontId="34" fillId="27" borderId="25" xfId="0" applyFont="1" applyFill="1" applyBorder="1" applyAlignment="1">
      <alignment horizontal="left" vertical="center" wrapText="1"/>
    </xf>
    <xf numFmtId="0" fontId="38" fillId="0" borderId="25" xfId="0" applyFont="1" applyBorder="1" applyAlignment="1">
      <alignment horizontal="center" vertical="center" wrapText="1"/>
    </xf>
    <xf numFmtId="0" fontId="37" fillId="26" borderId="25" xfId="0" applyFont="1" applyFill="1" applyBorder="1" applyAlignment="1">
      <alignment horizontal="center" vertical="center" wrapText="1"/>
    </xf>
    <xf numFmtId="14" fontId="38" fillId="0" borderId="25" xfId="0" applyNumberFormat="1" applyFont="1" applyBorder="1" applyAlignment="1">
      <alignment horizontal="center" vertical="center" wrapText="1"/>
    </xf>
    <xf numFmtId="0" fontId="36" fillId="0" borderId="25" xfId="0" applyFont="1" applyBorder="1" applyAlignment="1">
      <alignment horizontal="center" vertical="center" wrapText="1"/>
    </xf>
    <xf numFmtId="171" fontId="21" fillId="18" borderId="1" xfId="4" applyNumberFormat="1" applyFont="1" applyFill="1" applyBorder="1" applyAlignment="1">
      <alignment horizontal="center" vertical="center"/>
    </xf>
    <xf numFmtId="0" fontId="22" fillId="19" borderId="1" xfId="4" applyFont="1" applyFill="1" applyBorder="1" applyAlignment="1">
      <alignment horizontal="center" vertical="center" wrapText="1"/>
    </xf>
    <xf numFmtId="0" fontId="22" fillId="19" borderId="1" xfId="4" applyFont="1" applyFill="1" applyBorder="1" applyAlignment="1">
      <alignment horizontal="left" vertical="center" wrapText="1"/>
    </xf>
    <xf numFmtId="3" fontId="22" fillId="19" borderId="1" xfId="4" applyNumberFormat="1" applyFont="1" applyFill="1" applyBorder="1" applyAlignment="1">
      <alignment horizontal="right"/>
    </xf>
    <xf numFmtId="14" fontId="22" fillId="19" borderId="1" xfId="4" applyNumberFormat="1" applyFont="1" applyFill="1" applyBorder="1" applyAlignment="1">
      <alignment horizontal="center"/>
    </xf>
    <xf numFmtId="3" fontId="28" fillId="19" borderId="1" xfId="4" applyNumberFormat="1" applyFont="1" applyFill="1" applyBorder="1" applyAlignment="1">
      <alignment horizontal="right"/>
    </xf>
    <xf numFmtId="3" fontId="22" fillId="19" borderId="1" xfId="4" applyNumberFormat="1" applyFont="1" applyFill="1" applyBorder="1" applyAlignment="1">
      <alignment horizontal="center" vertical="center" wrapText="1"/>
    </xf>
    <xf numFmtId="3" fontId="22" fillId="19" borderId="1" xfId="4" applyNumberFormat="1" applyFont="1" applyFill="1" applyBorder="1" applyAlignment="1">
      <alignment horizontal="center"/>
    </xf>
    <xf numFmtId="0" fontId="38" fillId="28" borderId="1" xfId="0" applyFont="1" applyFill="1" applyBorder="1" applyAlignment="1">
      <alignment vertical="center" wrapText="1"/>
    </xf>
    <xf numFmtId="0" fontId="36" fillId="29" borderId="1" xfId="0" applyFont="1" applyFill="1" applyBorder="1" applyAlignment="1">
      <alignment horizontal="left" vertical="center" wrapText="1"/>
    </xf>
    <xf numFmtId="3" fontId="36" fillId="29" borderId="1" xfId="0" applyNumberFormat="1" applyFont="1" applyFill="1" applyBorder="1" applyAlignment="1">
      <alignment horizontal="left" vertical="center" wrapText="1"/>
    </xf>
    <xf numFmtId="0" fontId="40" fillId="31" borderId="1" xfId="0" applyFont="1" applyFill="1" applyBorder="1" applyAlignment="1">
      <alignment vertical="center" wrapText="1"/>
    </xf>
    <xf numFmtId="41" fontId="34" fillId="32" borderId="1" xfId="5" applyFont="1" applyFill="1" applyBorder="1" applyAlignment="1">
      <alignment vertical="center" wrapText="1"/>
    </xf>
    <xf numFmtId="0" fontId="41" fillId="0" borderId="25" xfId="0" applyFont="1" applyBorder="1" applyAlignment="1">
      <alignment horizontal="center" vertical="center" wrapText="1"/>
    </xf>
    <xf numFmtId="0" fontId="22" fillId="19" borderId="14" xfId="3" applyFont="1" applyFill="1" applyBorder="1" applyAlignment="1">
      <alignment horizontal="left" vertical="center" wrapText="1"/>
    </xf>
    <xf numFmtId="0" fontId="0" fillId="0" borderId="26" xfId="0" applyBorder="1"/>
    <xf numFmtId="0" fontId="0" fillId="0" borderId="27" xfId="0" applyBorder="1"/>
    <xf numFmtId="14" fontId="22" fillId="19" borderId="14" xfId="3" applyNumberFormat="1" applyFont="1" applyFill="1" applyBorder="1" applyAlignment="1">
      <alignment horizontal="left" vertical="center" wrapText="1"/>
    </xf>
    <xf numFmtId="0" fontId="19" fillId="15" borderId="14" xfId="3" applyFont="1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9" fillId="16" borderId="1" xfId="3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25" fillId="22" borderId="1" xfId="3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19" xfId="0" applyBorder="1"/>
    <xf numFmtId="0" fontId="0" fillId="0" borderId="15" xfId="0" applyBorder="1"/>
    <xf numFmtId="0" fontId="0" fillId="0" borderId="30" xfId="0" applyBorder="1"/>
    <xf numFmtId="0" fontId="38" fillId="0" borderId="25" xfId="0" applyFont="1" applyBorder="1" applyAlignment="1">
      <alignment horizontal="center" vertical="center" wrapText="1"/>
    </xf>
    <xf numFmtId="0" fontId="19" fillId="23" borderId="1" xfId="3" applyFont="1" applyFill="1" applyBorder="1" applyAlignment="1">
      <alignment horizontal="center" vertical="center"/>
    </xf>
    <xf numFmtId="0" fontId="32" fillId="0" borderId="34" xfId="0" applyFont="1" applyBorder="1"/>
    <xf numFmtId="0" fontId="0" fillId="0" borderId="0" xfId="0"/>
    <xf numFmtId="0" fontId="0" fillId="0" borderId="35" xfId="0" applyBorder="1"/>
    <xf numFmtId="0" fontId="21" fillId="18" borderId="1" xfId="4" applyFont="1" applyFill="1" applyBorder="1" applyAlignment="1">
      <alignment horizontal="center" vertical="center" wrapText="1"/>
    </xf>
    <xf numFmtId="0" fontId="0" fillId="0" borderId="1" xfId="0" applyBorder="1"/>
    <xf numFmtId="172" fontId="22" fillId="19" borderId="14" xfId="3" applyNumberFormat="1" applyFont="1" applyFill="1" applyBorder="1" applyAlignment="1">
      <alignment horizontal="left" vertical="center"/>
    </xf>
    <xf numFmtId="0" fontId="19" fillId="21" borderId="14" xfId="3" applyFont="1" applyFill="1" applyBorder="1" applyAlignment="1">
      <alignment horizontal="center" vertical="center"/>
    </xf>
    <xf numFmtId="1" fontId="22" fillId="19" borderId="14" xfId="3" applyNumberFormat="1" applyFont="1" applyFill="1" applyBorder="1" applyAlignment="1">
      <alignment horizontal="left"/>
    </xf>
    <xf numFmtId="0" fontId="21" fillId="18" borderId="1" xfId="4" applyFont="1" applyFill="1" applyBorder="1" applyAlignment="1">
      <alignment horizontal="center" vertical="center"/>
    </xf>
    <xf numFmtId="0" fontId="33" fillId="14" borderId="0" xfId="3" applyFont="1" applyFill="1" applyAlignment="1">
      <alignment horizontal="center" vertical="center"/>
    </xf>
    <xf numFmtId="0" fontId="37" fillId="26" borderId="31" xfId="0" applyFont="1" applyFill="1" applyBorder="1" applyAlignment="1">
      <alignment horizontal="center" vertical="center" wrapText="1"/>
    </xf>
    <xf numFmtId="0" fontId="37" fillId="26" borderId="32" xfId="0" applyFont="1" applyFill="1" applyBorder="1" applyAlignment="1">
      <alignment horizontal="center" vertical="center" wrapText="1"/>
    </xf>
    <xf numFmtId="0" fontId="37" fillId="26" borderId="33" xfId="0" applyFont="1" applyFill="1" applyBorder="1" applyAlignment="1">
      <alignment horizontal="center" vertical="center" wrapText="1"/>
    </xf>
    <xf numFmtId="0" fontId="39" fillId="14" borderId="9" xfId="0" applyFont="1" applyFill="1" applyBorder="1" applyAlignment="1">
      <alignment horizontal="center" vertical="center" wrapText="1"/>
    </xf>
    <xf numFmtId="0" fontId="39" fillId="14" borderId="10" xfId="0" applyFont="1" applyFill="1" applyBorder="1" applyAlignment="1">
      <alignment horizontal="center" vertical="center" wrapText="1"/>
    </xf>
    <xf numFmtId="0" fontId="39" fillId="14" borderId="11" xfId="0" applyFont="1" applyFill="1" applyBorder="1" applyAlignment="1">
      <alignment horizontal="center" vertical="center" wrapText="1"/>
    </xf>
    <xf numFmtId="0" fontId="21" fillId="18" borderId="36" xfId="4" applyFont="1" applyFill="1" applyBorder="1" applyAlignment="1">
      <alignment horizontal="center" vertical="center" wrapText="1"/>
    </xf>
    <xf numFmtId="0" fontId="21" fillId="18" borderId="17" xfId="4" applyFont="1" applyFill="1" applyBorder="1" applyAlignment="1">
      <alignment horizontal="center" vertical="center" wrapText="1"/>
    </xf>
    <xf numFmtId="0" fontId="21" fillId="18" borderId="16" xfId="4" applyFont="1" applyFill="1" applyBorder="1" applyAlignment="1">
      <alignment horizontal="center" vertical="center" wrapText="1"/>
    </xf>
    <xf numFmtId="0" fontId="39" fillId="3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9" fillId="11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1" fillId="18" borderId="16" xfId="4" applyFont="1" applyFill="1" applyBorder="1" applyAlignment="1">
      <alignment horizontal="center" vertical="center"/>
    </xf>
    <xf numFmtId="0" fontId="19" fillId="16" borderId="19" xfId="3" applyFont="1" applyFill="1" applyBorder="1" applyAlignment="1">
      <alignment horizontal="center" vertical="center" wrapText="1"/>
    </xf>
    <xf numFmtId="0" fontId="19" fillId="16" borderId="15" xfId="3" applyFont="1" applyFill="1" applyBorder="1" applyAlignment="1">
      <alignment horizontal="center" vertical="center" wrapText="1"/>
    </xf>
  </cellXfs>
  <cellStyles count="6">
    <cellStyle name="Comma" xfId="1" builtinId="3"/>
    <cellStyle name="Comma [0]" xfId="5" builtinId="6"/>
    <cellStyle name="Currency" xfId="2" builtinId="4"/>
    <cellStyle name="Normal" xfId="0" builtinId="0"/>
    <cellStyle name="Normal 2" xfId="3" xr:uid="{29FF4A44-CCD5-48D1-B3C9-2EAE9373C17D}"/>
    <cellStyle name="Normal 2 2" xfId="4" xr:uid="{994D23B6-65AA-4A85-94E9-A4E14AE96DB3}"/>
  </cellStyles>
  <dxfs count="42">
    <dxf>
      <font>
        <color rgb="FF404040"/>
      </font>
      <fill>
        <patternFill>
          <bgColor rgb="FFD9E1F2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04040"/>
      </font>
      <fill>
        <patternFill>
          <bgColor rgb="FFD9E1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65911"/>
      </font>
      <fill>
        <patternFill>
          <bgColor rgb="FFFCE4D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04040"/>
      </font>
      <fill>
        <patternFill>
          <bgColor rgb="FFD9E1F2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04040"/>
      </font>
      <fill>
        <patternFill>
          <bgColor rgb="FFD9E1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65911"/>
      </font>
      <fill>
        <patternFill>
          <bgColor rgb="FFFCE4D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0070C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72" formatCode="m/d/yyyy"/>
    </dxf>
    <dxf>
      <numFmt numFmtId="172" formatCode="m/d/yyyy"/>
    </dxf>
    <dxf>
      <numFmt numFmtId="166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4" formatCode="mm/d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4" formatCode="mm/d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SCM26_BOM_demand_formula.xlsx" TargetMode="External"/><Relationship Id="rId1" Type="http://schemas.openxmlformats.org/officeDocument/2006/relationships/externalLinkPath" Target="file:///C:\Users\DELL\Downloads\SCM26_BOM_demand_formul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MPS_Template_for_Import.xlsx" TargetMode="External"/><Relationship Id="rId1" Type="http://schemas.openxmlformats.org/officeDocument/2006/relationships/externalLinkPath" Target="file:///C:\Users\DELL\Downloads\MPS_Template_for_Im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 Case Study"/>
      <sheetName val="Demand"/>
      <sheetName val="Sheet1"/>
      <sheetName val="weekly_demand"/>
      <sheetName val="BOM_demand"/>
      <sheetName val="MRP"/>
      <sheetName val="BOM &amp; Inventory"/>
      <sheetName val="FGs &amp; Log information 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Item name</v>
          </cell>
          <cell r="C1" t="str">
            <v>week first day</v>
          </cell>
          <cell r="D1" t="str">
            <v>Total Demand by SKU-Week</v>
          </cell>
        </row>
        <row r="2">
          <cell r="A2" t="str">
            <v>A</v>
          </cell>
          <cell r="C2">
            <v>46139</v>
          </cell>
          <cell r="D2">
            <v>684</v>
          </cell>
        </row>
        <row r="3">
          <cell r="A3" t="str">
            <v>A</v>
          </cell>
          <cell r="C3">
            <v>46146</v>
          </cell>
          <cell r="D3">
            <v>20000</v>
          </cell>
        </row>
        <row r="4">
          <cell r="A4" t="str">
            <v>A</v>
          </cell>
          <cell r="C4">
            <v>46153</v>
          </cell>
          <cell r="D4">
            <v>20000</v>
          </cell>
        </row>
        <row r="5">
          <cell r="A5" t="str">
            <v>A</v>
          </cell>
          <cell r="C5">
            <v>46160</v>
          </cell>
          <cell r="D5">
            <v>11000</v>
          </cell>
        </row>
        <row r="6">
          <cell r="A6" t="str">
            <v>A</v>
          </cell>
          <cell r="C6">
            <v>46167</v>
          </cell>
          <cell r="D6">
            <v>13000</v>
          </cell>
        </row>
        <row r="7">
          <cell r="A7" t="str">
            <v>A</v>
          </cell>
          <cell r="C7">
            <v>46174</v>
          </cell>
          <cell r="D7">
            <v>13773</v>
          </cell>
        </row>
        <row r="8">
          <cell r="A8" t="str">
            <v>A</v>
          </cell>
          <cell r="C8">
            <v>46181</v>
          </cell>
          <cell r="D8">
            <v>7058</v>
          </cell>
        </row>
        <row r="9">
          <cell r="A9" t="str">
            <v>A</v>
          </cell>
          <cell r="C9">
            <v>46188</v>
          </cell>
          <cell r="D9">
            <v>2040</v>
          </cell>
        </row>
        <row r="10">
          <cell r="A10" t="str">
            <v>A</v>
          </cell>
          <cell r="C10">
            <v>46195</v>
          </cell>
          <cell r="D10">
            <v>3541</v>
          </cell>
        </row>
        <row r="11">
          <cell r="A11" t="str">
            <v>A</v>
          </cell>
          <cell r="C11">
            <v>46202</v>
          </cell>
          <cell r="D11">
            <v>12041</v>
          </cell>
        </row>
        <row r="12">
          <cell r="A12" t="str">
            <v>A</v>
          </cell>
          <cell r="C12">
            <v>46209</v>
          </cell>
          <cell r="D12">
            <v>12040</v>
          </cell>
        </row>
        <row r="13">
          <cell r="A13" t="str">
            <v>A</v>
          </cell>
          <cell r="C13">
            <v>46230</v>
          </cell>
          <cell r="D13">
            <v>27760</v>
          </cell>
        </row>
        <row r="14">
          <cell r="A14" t="str">
            <v>A</v>
          </cell>
          <cell r="C14">
            <v>46237</v>
          </cell>
          <cell r="D14">
            <v>26486</v>
          </cell>
        </row>
        <row r="15">
          <cell r="A15" t="str">
            <v>A</v>
          </cell>
          <cell r="C15">
            <v>46244</v>
          </cell>
          <cell r="D15">
            <v>4248</v>
          </cell>
        </row>
        <row r="16">
          <cell r="A16" t="str">
            <v>A</v>
          </cell>
          <cell r="C16">
            <v>46251</v>
          </cell>
          <cell r="D16">
            <v>4248</v>
          </cell>
        </row>
        <row r="17">
          <cell r="A17" t="str">
            <v>A</v>
          </cell>
          <cell r="C17">
            <v>46258</v>
          </cell>
          <cell r="D17">
            <v>4249</v>
          </cell>
        </row>
        <row r="18">
          <cell r="A18" t="str">
            <v>A</v>
          </cell>
          <cell r="C18">
            <v>46265</v>
          </cell>
          <cell r="D18">
            <v>4248</v>
          </cell>
        </row>
        <row r="19">
          <cell r="A19" t="str">
            <v>A</v>
          </cell>
          <cell r="C19">
            <v>46272</v>
          </cell>
          <cell r="D19">
            <v>2391</v>
          </cell>
        </row>
        <row r="20">
          <cell r="A20" t="str">
            <v>A</v>
          </cell>
          <cell r="C20">
            <v>46279</v>
          </cell>
          <cell r="D20">
            <v>2392</v>
          </cell>
        </row>
        <row r="21">
          <cell r="A21" t="str">
            <v>A</v>
          </cell>
          <cell r="C21">
            <v>46286</v>
          </cell>
          <cell r="D21">
            <v>2391</v>
          </cell>
        </row>
        <row r="22">
          <cell r="A22" t="str">
            <v>A</v>
          </cell>
          <cell r="C22">
            <v>46293</v>
          </cell>
          <cell r="D22">
            <v>2392</v>
          </cell>
        </row>
        <row r="23">
          <cell r="A23" t="str">
            <v>A</v>
          </cell>
          <cell r="C23">
            <v>46300</v>
          </cell>
          <cell r="D23">
            <v>16017</v>
          </cell>
        </row>
        <row r="24">
          <cell r="A24" t="str">
            <v>A</v>
          </cell>
          <cell r="C24">
            <v>46307</v>
          </cell>
          <cell r="D24">
            <v>16017</v>
          </cell>
        </row>
        <row r="25">
          <cell r="A25" t="str">
            <v>A</v>
          </cell>
          <cell r="C25">
            <v>46314</v>
          </cell>
          <cell r="D25">
            <v>16016</v>
          </cell>
        </row>
        <row r="26">
          <cell r="A26" t="str">
            <v>A</v>
          </cell>
          <cell r="C26">
            <v>46321</v>
          </cell>
          <cell r="D26">
            <v>16017</v>
          </cell>
        </row>
        <row r="27">
          <cell r="A27" t="str">
            <v>A</v>
          </cell>
          <cell r="C27">
            <v>46328</v>
          </cell>
          <cell r="D27">
            <v>4281</v>
          </cell>
        </row>
        <row r="28">
          <cell r="A28" t="str">
            <v>A</v>
          </cell>
          <cell r="C28">
            <v>46335</v>
          </cell>
          <cell r="D28">
            <v>4282</v>
          </cell>
        </row>
        <row r="29">
          <cell r="A29" t="str">
            <v>A</v>
          </cell>
          <cell r="C29">
            <v>46342</v>
          </cell>
          <cell r="D29">
            <v>4281</v>
          </cell>
        </row>
        <row r="30">
          <cell r="A30" t="str">
            <v>A</v>
          </cell>
          <cell r="C30">
            <v>46349</v>
          </cell>
          <cell r="D30">
            <v>4282</v>
          </cell>
        </row>
        <row r="31">
          <cell r="A31" t="str">
            <v>A</v>
          </cell>
          <cell r="C31">
            <v>46356</v>
          </cell>
          <cell r="D31">
            <v>4281</v>
          </cell>
        </row>
        <row r="32">
          <cell r="A32" t="str">
            <v>A</v>
          </cell>
          <cell r="C32">
            <v>46363</v>
          </cell>
          <cell r="D32">
            <v>8326</v>
          </cell>
        </row>
        <row r="33">
          <cell r="A33" t="str">
            <v>A</v>
          </cell>
          <cell r="C33">
            <v>46370</v>
          </cell>
          <cell r="D33">
            <v>8325</v>
          </cell>
        </row>
        <row r="34">
          <cell r="A34" t="str">
            <v>B</v>
          </cell>
          <cell r="C34">
            <v>46146</v>
          </cell>
          <cell r="D34">
            <v>5502</v>
          </cell>
        </row>
        <row r="35">
          <cell r="A35" t="str">
            <v>B</v>
          </cell>
          <cell r="C35">
            <v>46153</v>
          </cell>
          <cell r="D35">
            <v>15658</v>
          </cell>
        </row>
        <row r="36">
          <cell r="A36" t="str">
            <v>B</v>
          </cell>
          <cell r="C36">
            <v>46160</v>
          </cell>
          <cell r="D36">
            <v>8865</v>
          </cell>
        </row>
        <row r="37">
          <cell r="A37" t="str">
            <v>B</v>
          </cell>
          <cell r="C37">
            <v>46167</v>
          </cell>
          <cell r="D37">
            <v>2146</v>
          </cell>
        </row>
        <row r="38">
          <cell r="A38" t="str">
            <v>B</v>
          </cell>
          <cell r="C38">
            <v>46174</v>
          </cell>
          <cell r="D38">
            <v>7123</v>
          </cell>
        </row>
        <row r="39">
          <cell r="A39" t="str">
            <v>B</v>
          </cell>
          <cell r="C39">
            <v>46181</v>
          </cell>
          <cell r="D39">
            <v>5309</v>
          </cell>
        </row>
        <row r="40">
          <cell r="A40" t="str">
            <v>B</v>
          </cell>
          <cell r="C40">
            <v>46188</v>
          </cell>
          <cell r="D40">
            <v>5309</v>
          </cell>
        </row>
        <row r="41">
          <cell r="A41" t="str">
            <v>B</v>
          </cell>
          <cell r="C41">
            <v>46195</v>
          </cell>
          <cell r="D41">
            <v>3000</v>
          </cell>
        </row>
        <row r="42">
          <cell r="A42" t="str">
            <v>B</v>
          </cell>
          <cell r="C42">
            <v>46202</v>
          </cell>
          <cell r="D42">
            <v>3000</v>
          </cell>
        </row>
        <row r="43">
          <cell r="A43" t="str">
            <v>B</v>
          </cell>
          <cell r="C43">
            <v>46209</v>
          </cell>
          <cell r="D43">
            <v>3000</v>
          </cell>
        </row>
        <row r="44">
          <cell r="A44" t="str">
            <v>B</v>
          </cell>
          <cell r="C44">
            <v>46216</v>
          </cell>
          <cell r="D44">
            <v>3000</v>
          </cell>
        </row>
        <row r="45">
          <cell r="A45" t="str">
            <v>B</v>
          </cell>
          <cell r="C45">
            <v>46223</v>
          </cell>
          <cell r="D45">
            <v>2400</v>
          </cell>
        </row>
        <row r="46">
          <cell r="A46" t="str">
            <v>B</v>
          </cell>
          <cell r="C46">
            <v>46230</v>
          </cell>
          <cell r="D46">
            <v>2400</v>
          </cell>
        </row>
        <row r="47">
          <cell r="A47" t="str">
            <v>B</v>
          </cell>
          <cell r="C47">
            <v>46244</v>
          </cell>
          <cell r="D47">
            <v>2400</v>
          </cell>
        </row>
        <row r="48">
          <cell r="A48" t="str">
            <v>B</v>
          </cell>
          <cell r="C48">
            <v>46251</v>
          </cell>
          <cell r="D48">
            <v>2400</v>
          </cell>
        </row>
        <row r="49">
          <cell r="A49" t="str">
            <v>B</v>
          </cell>
          <cell r="C49">
            <v>46258</v>
          </cell>
          <cell r="D49">
            <v>3750</v>
          </cell>
        </row>
        <row r="50">
          <cell r="A50" t="str">
            <v>B</v>
          </cell>
          <cell r="C50">
            <v>46265</v>
          </cell>
          <cell r="D50">
            <v>3750</v>
          </cell>
        </row>
        <row r="51">
          <cell r="A51" t="str">
            <v>B</v>
          </cell>
          <cell r="C51">
            <v>46272</v>
          </cell>
          <cell r="D51">
            <v>3750</v>
          </cell>
        </row>
        <row r="52">
          <cell r="A52" t="str">
            <v>B</v>
          </cell>
          <cell r="C52">
            <v>46279</v>
          </cell>
          <cell r="D52">
            <v>3750</v>
          </cell>
        </row>
        <row r="53">
          <cell r="A53" t="str">
            <v>B</v>
          </cell>
          <cell r="C53">
            <v>46286</v>
          </cell>
          <cell r="D53">
            <v>3000</v>
          </cell>
        </row>
        <row r="54">
          <cell r="A54" t="str">
            <v>B</v>
          </cell>
          <cell r="C54">
            <v>46293</v>
          </cell>
          <cell r="D54">
            <v>3000</v>
          </cell>
        </row>
        <row r="55">
          <cell r="A55" t="str">
            <v>B</v>
          </cell>
          <cell r="C55">
            <v>46300</v>
          </cell>
          <cell r="D55">
            <v>3000</v>
          </cell>
        </row>
        <row r="56">
          <cell r="A56" t="str">
            <v>B</v>
          </cell>
          <cell r="C56">
            <v>46307</v>
          </cell>
          <cell r="D56">
            <v>3000</v>
          </cell>
        </row>
        <row r="57">
          <cell r="A57" t="str">
            <v>B</v>
          </cell>
          <cell r="C57">
            <v>46314</v>
          </cell>
          <cell r="D57">
            <v>3000</v>
          </cell>
        </row>
        <row r="58">
          <cell r="A58" t="str">
            <v>B</v>
          </cell>
          <cell r="C58">
            <v>46321</v>
          </cell>
          <cell r="D58">
            <v>6250</v>
          </cell>
        </row>
        <row r="59">
          <cell r="A59" t="str">
            <v>B</v>
          </cell>
          <cell r="C59">
            <v>46328</v>
          </cell>
          <cell r="D59">
            <v>6250</v>
          </cell>
        </row>
        <row r="60">
          <cell r="A60" t="str">
            <v>B</v>
          </cell>
          <cell r="C60">
            <v>46335</v>
          </cell>
          <cell r="D60">
            <v>6250</v>
          </cell>
        </row>
        <row r="61">
          <cell r="A61" t="str">
            <v>B</v>
          </cell>
          <cell r="C61">
            <v>46342</v>
          </cell>
          <cell r="D61">
            <v>6250</v>
          </cell>
        </row>
        <row r="62">
          <cell r="A62" t="str">
            <v>B</v>
          </cell>
          <cell r="C62">
            <v>46349</v>
          </cell>
          <cell r="D62">
            <v>6250</v>
          </cell>
        </row>
        <row r="63">
          <cell r="A63" t="str">
            <v>B</v>
          </cell>
          <cell r="C63">
            <v>46356</v>
          </cell>
          <cell r="D63">
            <v>6250</v>
          </cell>
        </row>
        <row r="64">
          <cell r="A64" t="str">
            <v>B</v>
          </cell>
          <cell r="C64">
            <v>46363</v>
          </cell>
          <cell r="D64">
            <v>6250</v>
          </cell>
        </row>
        <row r="65">
          <cell r="A65" t="str">
            <v>B</v>
          </cell>
          <cell r="C65">
            <v>46370</v>
          </cell>
          <cell r="D65">
            <v>6250</v>
          </cell>
        </row>
        <row r="66">
          <cell r="A66" t="str">
            <v>C</v>
          </cell>
          <cell r="C66">
            <v>46146</v>
          </cell>
          <cell r="D66">
            <v>4320</v>
          </cell>
        </row>
        <row r="67">
          <cell r="A67" t="str">
            <v>C</v>
          </cell>
          <cell r="C67">
            <v>46153</v>
          </cell>
          <cell r="D67">
            <v>8370</v>
          </cell>
        </row>
        <row r="68">
          <cell r="A68" t="str">
            <v>C</v>
          </cell>
          <cell r="C68">
            <v>46160</v>
          </cell>
          <cell r="D68">
            <v>11782</v>
          </cell>
        </row>
        <row r="69">
          <cell r="A69" t="str">
            <v>C</v>
          </cell>
          <cell r="C69">
            <v>46167</v>
          </cell>
          <cell r="D69">
            <v>10524</v>
          </cell>
        </row>
        <row r="70">
          <cell r="A70" t="str">
            <v>C</v>
          </cell>
          <cell r="C70">
            <v>46174</v>
          </cell>
          <cell r="D70">
            <v>3240</v>
          </cell>
        </row>
        <row r="71">
          <cell r="A71" t="str">
            <v>C</v>
          </cell>
          <cell r="C71">
            <v>46181</v>
          </cell>
          <cell r="D71">
            <v>6442</v>
          </cell>
        </row>
        <row r="72">
          <cell r="A72" t="str">
            <v>C</v>
          </cell>
          <cell r="C72">
            <v>46188</v>
          </cell>
          <cell r="D72">
            <v>8802</v>
          </cell>
        </row>
        <row r="73">
          <cell r="A73" t="str">
            <v>C</v>
          </cell>
          <cell r="C73">
            <v>46195</v>
          </cell>
          <cell r="D73">
            <v>7695</v>
          </cell>
        </row>
        <row r="74">
          <cell r="A74" t="str">
            <v>C</v>
          </cell>
          <cell r="C74">
            <v>46202</v>
          </cell>
          <cell r="D74">
            <v>2500</v>
          </cell>
        </row>
        <row r="75">
          <cell r="A75" t="str">
            <v>C</v>
          </cell>
          <cell r="C75">
            <v>46209</v>
          </cell>
          <cell r="D75">
            <v>2500</v>
          </cell>
        </row>
        <row r="76">
          <cell r="A76" t="str">
            <v>C</v>
          </cell>
          <cell r="C76">
            <v>46216</v>
          </cell>
          <cell r="D76">
            <v>2500</v>
          </cell>
        </row>
        <row r="77">
          <cell r="A77" t="str">
            <v>C</v>
          </cell>
          <cell r="C77">
            <v>46223</v>
          </cell>
          <cell r="D77">
            <v>1000</v>
          </cell>
        </row>
        <row r="78">
          <cell r="A78" t="str">
            <v>C</v>
          </cell>
          <cell r="C78">
            <v>46230</v>
          </cell>
          <cell r="D78">
            <v>1000</v>
          </cell>
        </row>
        <row r="79">
          <cell r="A79" t="str">
            <v>C</v>
          </cell>
          <cell r="C79">
            <v>46237</v>
          </cell>
          <cell r="D79">
            <v>1000</v>
          </cell>
        </row>
        <row r="80">
          <cell r="A80" t="str">
            <v>C</v>
          </cell>
          <cell r="C80">
            <v>46244</v>
          </cell>
          <cell r="D80">
            <v>1000</v>
          </cell>
        </row>
        <row r="81">
          <cell r="A81" t="str">
            <v>C</v>
          </cell>
          <cell r="C81">
            <v>46251</v>
          </cell>
          <cell r="D81">
            <v>1000</v>
          </cell>
        </row>
        <row r="82">
          <cell r="A82" t="str">
            <v>C</v>
          </cell>
          <cell r="C82">
            <v>46258</v>
          </cell>
          <cell r="D82">
            <v>750</v>
          </cell>
        </row>
        <row r="83">
          <cell r="A83" t="str">
            <v>C</v>
          </cell>
          <cell r="C83">
            <v>46265</v>
          </cell>
          <cell r="D83">
            <v>750</v>
          </cell>
        </row>
        <row r="84">
          <cell r="A84" t="str">
            <v>C</v>
          </cell>
          <cell r="C84">
            <v>46272</v>
          </cell>
          <cell r="D84">
            <v>750</v>
          </cell>
        </row>
        <row r="85">
          <cell r="A85" t="str">
            <v>C</v>
          </cell>
          <cell r="C85">
            <v>46279</v>
          </cell>
          <cell r="D85">
            <v>750</v>
          </cell>
        </row>
        <row r="86">
          <cell r="A86" t="str">
            <v>C</v>
          </cell>
          <cell r="C86">
            <v>46286</v>
          </cell>
          <cell r="D86">
            <v>600</v>
          </cell>
        </row>
        <row r="87">
          <cell r="A87" t="str">
            <v>C</v>
          </cell>
          <cell r="C87">
            <v>46293</v>
          </cell>
          <cell r="D87">
            <v>600</v>
          </cell>
        </row>
        <row r="88">
          <cell r="A88" t="str">
            <v>C</v>
          </cell>
          <cell r="C88">
            <v>46300</v>
          </cell>
          <cell r="D88">
            <v>600</v>
          </cell>
        </row>
        <row r="89">
          <cell r="A89" t="str">
            <v>C</v>
          </cell>
          <cell r="C89">
            <v>46307</v>
          </cell>
          <cell r="D89">
            <v>600</v>
          </cell>
        </row>
        <row r="90">
          <cell r="A90" t="str">
            <v>C</v>
          </cell>
          <cell r="C90">
            <v>46314</v>
          </cell>
          <cell r="D90">
            <v>600</v>
          </cell>
        </row>
        <row r="91">
          <cell r="A91" t="str">
            <v>C</v>
          </cell>
          <cell r="C91">
            <v>46321</v>
          </cell>
          <cell r="D91">
            <v>500</v>
          </cell>
        </row>
        <row r="92">
          <cell r="A92" t="str">
            <v>C</v>
          </cell>
          <cell r="C92">
            <v>46328</v>
          </cell>
          <cell r="D92">
            <v>500</v>
          </cell>
        </row>
        <row r="93">
          <cell r="A93" t="str">
            <v>C</v>
          </cell>
          <cell r="C93">
            <v>46335</v>
          </cell>
          <cell r="D93">
            <v>500</v>
          </cell>
        </row>
        <row r="94">
          <cell r="A94" t="str">
            <v>C</v>
          </cell>
          <cell r="C94">
            <v>46342</v>
          </cell>
          <cell r="D94">
            <v>500</v>
          </cell>
        </row>
        <row r="95">
          <cell r="A95" t="str">
            <v>C</v>
          </cell>
          <cell r="C95">
            <v>46349</v>
          </cell>
          <cell r="D95">
            <v>3000</v>
          </cell>
        </row>
        <row r="96">
          <cell r="A96" t="str">
            <v>C</v>
          </cell>
          <cell r="C96">
            <v>46356</v>
          </cell>
          <cell r="D96">
            <v>3000</v>
          </cell>
        </row>
        <row r="97">
          <cell r="A97" t="str">
            <v>C</v>
          </cell>
          <cell r="C97">
            <v>46363</v>
          </cell>
          <cell r="D97">
            <v>3000</v>
          </cell>
        </row>
        <row r="98">
          <cell r="A98" t="str">
            <v>C</v>
          </cell>
          <cell r="C98">
            <v>46370</v>
          </cell>
          <cell r="D98">
            <v>3000</v>
          </cell>
        </row>
        <row r="99">
          <cell r="A99" t="str">
            <v>D</v>
          </cell>
          <cell r="C99">
            <v>46146</v>
          </cell>
          <cell r="D99">
            <v>2430</v>
          </cell>
        </row>
        <row r="100">
          <cell r="A100" t="str">
            <v>D</v>
          </cell>
          <cell r="C100">
            <v>46153</v>
          </cell>
          <cell r="D100">
            <v>9990</v>
          </cell>
        </row>
        <row r="101">
          <cell r="A101" t="str">
            <v>D</v>
          </cell>
          <cell r="C101">
            <v>46160</v>
          </cell>
          <cell r="D101">
            <v>5840</v>
          </cell>
        </row>
        <row r="102">
          <cell r="A102" t="str">
            <v>D</v>
          </cell>
          <cell r="C102">
            <v>46167</v>
          </cell>
          <cell r="D102">
            <v>8100</v>
          </cell>
        </row>
        <row r="103">
          <cell r="A103" t="str">
            <v>D</v>
          </cell>
          <cell r="C103">
            <v>46174</v>
          </cell>
          <cell r="D103">
            <v>1001</v>
          </cell>
        </row>
        <row r="104">
          <cell r="A104" t="str">
            <v>D</v>
          </cell>
          <cell r="C104">
            <v>46181</v>
          </cell>
          <cell r="D104">
            <v>2471</v>
          </cell>
        </row>
        <row r="105">
          <cell r="A105" t="str">
            <v>D</v>
          </cell>
          <cell r="C105">
            <v>46188</v>
          </cell>
          <cell r="D105">
            <v>3458</v>
          </cell>
        </row>
        <row r="106">
          <cell r="A106" t="str">
            <v>D</v>
          </cell>
          <cell r="C106">
            <v>46195</v>
          </cell>
          <cell r="D106">
            <v>500</v>
          </cell>
        </row>
        <row r="107">
          <cell r="A107" t="str">
            <v>D</v>
          </cell>
          <cell r="C107">
            <v>46202</v>
          </cell>
          <cell r="D107">
            <v>500</v>
          </cell>
        </row>
        <row r="108">
          <cell r="A108" t="str">
            <v>D</v>
          </cell>
          <cell r="C108">
            <v>46209</v>
          </cell>
          <cell r="D108">
            <v>500</v>
          </cell>
        </row>
        <row r="109">
          <cell r="A109" t="str">
            <v>D</v>
          </cell>
          <cell r="C109">
            <v>46216</v>
          </cell>
          <cell r="D109">
            <v>500</v>
          </cell>
        </row>
        <row r="110">
          <cell r="A110" t="str">
            <v>D</v>
          </cell>
          <cell r="C110">
            <v>46237</v>
          </cell>
          <cell r="D110">
            <v>400</v>
          </cell>
        </row>
        <row r="111">
          <cell r="A111" t="str">
            <v>D</v>
          </cell>
          <cell r="C111">
            <v>46258</v>
          </cell>
          <cell r="D111">
            <v>400</v>
          </cell>
        </row>
        <row r="112">
          <cell r="A112" t="str">
            <v>D</v>
          </cell>
          <cell r="C112">
            <v>46272</v>
          </cell>
          <cell r="D112">
            <v>400</v>
          </cell>
        </row>
        <row r="113">
          <cell r="A113" t="str">
            <v>D</v>
          </cell>
          <cell r="C113">
            <v>46286</v>
          </cell>
          <cell r="D113">
            <v>360</v>
          </cell>
        </row>
        <row r="114">
          <cell r="A114" t="str">
            <v>D</v>
          </cell>
          <cell r="C114">
            <v>46293</v>
          </cell>
          <cell r="D114">
            <v>360</v>
          </cell>
        </row>
        <row r="115">
          <cell r="A115" t="str">
            <v>D</v>
          </cell>
          <cell r="C115">
            <v>46300</v>
          </cell>
          <cell r="D115">
            <v>360</v>
          </cell>
        </row>
        <row r="116">
          <cell r="A116" t="str">
            <v>D</v>
          </cell>
          <cell r="C116">
            <v>46307</v>
          </cell>
          <cell r="D116">
            <v>360</v>
          </cell>
        </row>
        <row r="117">
          <cell r="A117" t="str">
            <v>D</v>
          </cell>
          <cell r="C117">
            <v>46314</v>
          </cell>
          <cell r="D117">
            <v>360</v>
          </cell>
        </row>
        <row r="118">
          <cell r="A118" t="str">
            <v>D</v>
          </cell>
          <cell r="C118">
            <v>46321</v>
          </cell>
          <cell r="D118">
            <v>1000</v>
          </cell>
        </row>
        <row r="119">
          <cell r="A119" t="str">
            <v>D</v>
          </cell>
          <cell r="C119">
            <v>46328</v>
          </cell>
          <cell r="D119">
            <v>1000</v>
          </cell>
        </row>
        <row r="120">
          <cell r="A120" t="str">
            <v>D</v>
          </cell>
          <cell r="C120">
            <v>46335</v>
          </cell>
          <cell r="D120">
            <v>1000</v>
          </cell>
        </row>
        <row r="121">
          <cell r="A121" t="str">
            <v>D</v>
          </cell>
          <cell r="C121">
            <v>46342</v>
          </cell>
          <cell r="D121">
            <v>1000</v>
          </cell>
        </row>
        <row r="122">
          <cell r="A122" t="str">
            <v>D</v>
          </cell>
          <cell r="C122">
            <v>46349</v>
          </cell>
          <cell r="D122">
            <v>1250</v>
          </cell>
        </row>
        <row r="123">
          <cell r="A123" t="str">
            <v>D</v>
          </cell>
          <cell r="C123">
            <v>46356</v>
          </cell>
          <cell r="D123">
            <v>1250</v>
          </cell>
        </row>
        <row r="124">
          <cell r="A124" t="str">
            <v>D</v>
          </cell>
          <cell r="C124">
            <v>46363</v>
          </cell>
          <cell r="D124">
            <v>1250</v>
          </cell>
        </row>
        <row r="125">
          <cell r="A125" t="str">
            <v>D</v>
          </cell>
          <cell r="C125">
            <v>46370</v>
          </cell>
          <cell r="D125">
            <v>1250</v>
          </cell>
        </row>
        <row r="126">
          <cell r="A126" t="str">
            <v>E</v>
          </cell>
          <cell r="C126">
            <v>46139</v>
          </cell>
          <cell r="D126">
            <v>472</v>
          </cell>
        </row>
        <row r="127">
          <cell r="A127" t="str">
            <v>E</v>
          </cell>
          <cell r="C127">
            <v>46146</v>
          </cell>
          <cell r="D127">
            <v>300</v>
          </cell>
        </row>
        <row r="128">
          <cell r="A128" t="str">
            <v>E</v>
          </cell>
          <cell r="C128">
            <v>46153</v>
          </cell>
          <cell r="D128">
            <v>698</v>
          </cell>
        </row>
        <row r="129">
          <cell r="A129" t="str">
            <v>E</v>
          </cell>
          <cell r="C129">
            <v>46167</v>
          </cell>
          <cell r="D129">
            <v>300</v>
          </cell>
        </row>
        <row r="130">
          <cell r="A130" t="str">
            <v>E</v>
          </cell>
          <cell r="C130">
            <v>46188</v>
          </cell>
          <cell r="D130">
            <v>300</v>
          </cell>
        </row>
        <row r="131">
          <cell r="A131" t="str">
            <v>E</v>
          </cell>
          <cell r="C131">
            <v>46202</v>
          </cell>
          <cell r="D131">
            <v>700</v>
          </cell>
        </row>
        <row r="132">
          <cell r="A132" t="str">
            <v>E</v>
          </cell>
          <cell r="C132">
            <v>46209</v>
          </cell>
          <cell r="D132">
            <v>300</v>
          </cell>
        </row>
        <row r="133">
          <cell r="A133" t="str">
            <v>E</v>
          </cell>
          <cell r="C133">
            <v>46216</v>
          </cell>
          <cell r="D133">
            <v>300</v>
          </cell>
        </row>
        <row r="134">
          <cell r="A134" t="str">
            <v>E</v>
          </cell>
          <cell r="C134">
            <v>46223</v>
          </cell>
          <cell r="D134">
            <v>300</v>
          </cell>
        </row>
        <row r="135">
          <cell r="A135" t="str">
            <v>E</v>
          </cell>
          <cell r="C135">
            <v>46244</v>
          </cell>
          <cell r="D135">
            <v>300</v>
          </cell>
        </row>
        <row r="136">
          <cell r="A136" t="str">
            <v>E</v>
          </cell>
          <cell r="C136">
            <v>46265</v>
          </cell>
          <cell r="D136">
            <v>300</v>
          </cell>
        </row>
        <row r="137">
          <cell r="A137" t="str">
            <v>E</v>
          </cell>
          <cell r="C137">
            <v>46293</v>
          </cell>
          <cell r="D137">
            <v>300</v>
          </cell>
        </row>
        <row r="138">
          <cell r="A138" t="str">
            <v>E</v>
          </cell>
          <cell r="C138">
            <v>46328</v>
          </cell>
          <cell r="D138">
            <v>300</v>
          </cell>
        </row>
        <row r="139">
          <cell r="A139" t="str">
            <v>E</v>
          </cell>
          <cell r="C139">
            <v>46356</v>
          </cell>
          <cell r="D139">
            <v>300</v>
          </cell>
        </row>
        <row r="140">
          <cell r="A140" t="str">
            <v>F</v>
          </cell>
          <cell r="C140">
            <v>46132</v>
          </cell>
          <cell r="D140">
            <v>588</v>
          </cell>
        </row>
        <row r="141">
          <cell r="A141" t="str">
            <v>F</v>
          </cell>
          <cell r="C141">
            <v>46139</v>
          </cell>
          <cell r="D141">
            <v>4028</v>
          </cell>
        </row>
        <row r="142">
          <cell r="A142" t="str">
            <v>F</v>
          </cell>
          <cell r="C142">
            <v>46146</v>
          </cell>
          <cell r="D142">
            <v>4200</v>
          </cell>
        </row>
        <row r="143">
          <cell r="A143" t="str">
            <v>F</v>
          </cell>
          <cell r="C143">
            <v>46153</v>
          </cell>
          <cell r="D143">
            <v>3802</v>
          </cell>
        </row>
        <row r="144">
          <cell r="A144" t="str">
            <v>F</v>
          </cell>
          <cell r="C144">
            <v>46160</v>
          </cell>
          <cell r="D144">
            <v>4500</v>
          </cell>
        </row>
        <row r="145">
          <cell r="A145" t="str">
            <v>F</v>
          </cell>
          <cell r="C145">
            <v>46167</v>
          </cell>
          <cell r="D145">
            <v>4200</v>
          </cell>
        </row>
        <row r="146">
          <cell r="A146" t="str">
            <v>F</v>
          </cell>
          <cell r="C146">
            <v>46174</v>
          </cell>
          <cell r="D146">
            <v>4500</v>
          </cell>
        </row>
        <row r="147">
          <cell r="A147" t="str">
            <v>F</v>
          </cell>
          <cell r="C147">
            <v>46181</v>
          </cell>
          <cell r="D147">
            <v>4500</v>
          </cell>
        </row>
        <row r="148">
          <cell r="A148" t="str">
            <v>F</v>
          </cell>
          <cell r="C148">
            <v>46188</v>
          </cell>
          <cell r="D148">
            <v>2200</v>
          </cell>
        </row>
        <row r="149">
          <cell r="A149" t="str">
            <v>F</v>
          </cell>
          <cell r="C149">
            <v>46195</v>
          </cell>
          <cell r="D149">
            <v>5000</v>
          </cell>
        </row>
        <row r="150">
          <cell r="A150" t="str">
            <v>F</v>
          </cell>
          <cell r="C150">
            <v>46202</v>
          </cell>
          <cell r="D150">
            <v>4300</v>
          </cell>
        </row>
        <row r="151">
          <cell r="A151" t="str">
            <v>F</v>
          </cell>
          <cell r="C151">
            <v>46209</v>
          </cell>
          <cell r="D151">
            <v>4700</v>
          </cell>
        </row>
        <row r="152">
          <cell r="A152" t="str">
            <v>F</v>
          </cell>
          <cell r="C152">
            <v>46216</v>
          </cell>
          <cell r="D152">
            <v>4746</v>
          </cell>
        </row>
        <row r="153">
          <cell r="A153" t="str">
            <v>F</v>
          </cell>
          <cell r="C153">
            <v>46223</v>
          </cell>
          <cell r="D153">
            <v>4300</v>
          </cell>
        </row>
        <row r="154">
          <cell r="A154" t="str">
            <v>F</v>
          </cell>
          <cell r="C154">
            <v>46230</v>
          </cell>
          <cell r="D154">
            <v>476</v>
          </cell>
        </row>
        <row r="155">
          <cell r="A155" t="str">
            <v>F</v>
          </cell>
          <cell r="C155">
            <v>46237</v>
          </cell>
          <cell r="D155">
            <v>1298</v>
          </cell>
        </row>
        <row r="156">
          <cell r="A156" t="str">
            <v>F</v>
          </cell>
          <cell r="C156">
            <v>46244</v>
          </cell>
          <cell r="D156">
            <v>1300</v>
          </cell>
        </row>
        <row r="157">
          <cell r="A157" t="str">
            <v>F</v>
          </cell>
          <cell r="C157">
            <v>46251</v>
          </cell>
          <cell r="D157">
            <v>1298</v>
          </cell>
        </row>
        <row r="158">
          <cell r="A158" t="str">
            <v>F</v>
          </cell>
          <cell r="C158">
            <v>46258</v>
          </cell>
          <cell r="D158">
            <v>1506</v>
          </cell>
        </row>
        <row r="159">
          <cell r="A159" t="str">
            <v>F</v>
          </cell>
          <cell r="C159">
            <v>46265</v>
          </cell>
          <cell r="D159">
            <v>1506</v>
          </cell>
        </row>
        <row r="160">
          <cell r="A160" t="str">
            <v>F</v>
          </cell>
          <cell r="C160">
            <v>46272</v>
          </cell>
          <cell r="D160">
            <v>1506</v>
          </cell>
        </row>
        <row r="161">
          <cell r="A161" t="str">
            <v>F</v>
          </cell>
          <cell r="C161">
            <v>46279</v>
          </cell>
          <cell r="D161">
            <v>1506</v>
          </cell>
        </row>
        <row r="162">
          <cell r="A162" t="str">
            <v>F</v>
          </cell>
          <cell r="C162">
            <v>46286</v>
          </cell>
          <cell r="D162">
            <v>1446</v>
          </cell>
        </row>
        <row r="163">
          <cell r="A163" t="str">
            <v>F</v>
          </cell>
          <cell r="C163">
            <v>46307</v>
          </cell>
          <cell r="D163">
            <v>1448</v>
          </cell>
        </row>
        <row r="164">
          <cell r="A164" t="str">
            <v>F</v>
          </cell>
          <cell r="C164">
            <v>46314</v>
          </cell>
          <cell r="D164">
            <v>1448</v>
          </cell>
        </row>
        <row r="165">
          <cell r="A165" t="str">
            <v>F</v>
          </cell>
          <cell r="C165">
            <v>46321</v>
          </cell>
          <cell r="D165">
            <v>1448</v>
          </cell>
        </row>
        <row r="166">
          <cell r="A166" t="str">
            <v>F</v>
          </cell>
          <cell r="C166">
            <v>46328</v>
          </cell>
          <cell r="D166">
            <v>1754</v>
          </cell>
        </row>
        <row r="167">
          <cell r="A167" t="str">
            <v>F</v>
          </cell>
          <cell r="C167">
            <v>46335</v>
          </cell>
          <cell r="D167">
            <v>1756</v>
          </cell>
        </row>
        <row r="168">
          <cell r="A168" t="str">
            <v>F</v>
          </cell>
          <cell r="C168">
            <v>46342</v>
          </cell>
          <cell r="D168">
            <v>1756</v>
          </cell>
        </row>
        <row r="169">
          <cell r="A169" t="str">
            <v>F</v>
          </cell>
          <cell r="C169">
            <v>46349</v>
          </cell>
          <cell r="D169">
            <v>1756</v>
          </cell>
        </row>
        <row r="170">
          <cell r="A170" t="str">
            <v>F</v>
          </cell>
          <cell r="C170">
            <v>46356</v>
          </cell>
          <cell r="D170">
            <v>1928</v>
          </cell>
        </row>
        <row r="171">
          <cell r="A171" t="str">
            <v>F</v>
          </cell>
          <cell r="C171">
            <v>46363</v>
          </cell>
          <cell r="D171">
            <v>1930</v>
          </cell>
        </row>
        <row r="172">
          <cell r="A172" t="str">
            <v>F</v>
          </cell>
          <cell r="C172">
            <v>46370</v>
          </cell>
          <cell r="D172">
            <v>1928</v>
          </cell>
        </row>
      </sheetData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Production Schedule"/>
      <sheetName val="README"/>
      <sheetName val="weekly_demand"/>
      <sheetName val="FG_Begin_Inventory"/>
      <sheetName val="Fixture_Capacity_Input"/>
      <sheetName val="BOM &amp; Inventory"/>
      <sheetName val="Pending_PO_ETA"/>
      <sheetName val="Fixture_Check"/>
    </sheetNames>
    <sheetDataSet>
      <sheetData sheetId="0"/>
      <sheetData sheetId="1"/>
      <sheetData sheetId="2"/>
      <sheetData sheetId="3">
        <row r="1">
          <cell r="A1" t="str">
            <v>SKU</v>
          </cell>
        </row>
      </sheetData>
      <sheetData sheetId="4">
        <row r="1">
          <cell r="A1" t="str">
            <v>Fixture</v>
          </cell>
          <cell r="B1" t="str">
            <v>Week</v>
          </cell>
          <cell r="C1" t="str">
            <v>Fixture Capacity</v>
          </cell>
        </row>
        <row r="2">
          <cell r="A2" t="str">
            <v>123AB</v>
          </cell>
          <cell r="B2">
            <v>46150</v>
          </cell>
          <cell r="C2">
            <v>15000</v>
          </cell>
        </row>
        <row r="3">
          <cell r="A3" t="str">
            <v>123AB</v>
          </cell>
          <cell r="B3">
            <v>46157</v>
          </cell>
          <cell r="C3">
            <v>15000</v>
          </cell>
        </row>
        <row r="4">
          <cell r="A4" t="str">
            <v>123AB</v>
          </cell>
          <cell r="B4">
            <v>46164</v>
          </cell>
          <cell r="C4">
            <v>15000</v>
          </cell>
        </row>
        <row r="5">
          <cell r="A5" t="str">
            <v>123AB</v>
          </cell>
          <cell r="B5">
            <v>46171</v>
          </cell>
          <cell r="C5">
            <v>15000</v>
          </cell>
        </row>
        <row r="6">
          <cell r="A6" t="str">
            <v>123AB</v>
          </cell>
          <cell r="B6">
            <v>46178</v>
          </cell>
          <cell r="C6">
            <v>15000</v>
          </cell>
        </row>
        <row r="7">
          <cell r="A7" t="str">
            <v>123AB</v>
          </cell>
          <cell r="B7">
            <v>46185</v>
          </cell>
          <cell r="C7">
            <v>15000</v>
          </cell>
        </row>
        <row r="8">
          <cell r="A8" t="str">
            <v>123AB</v>
          </cell>
          <cell r="B8">
            <v>46192</v>
          </cell>
          <cell r="C8">
            <v>15000</v>
          </cell>
        </row>
        <row r="9">
          <cell r="A9" t="str">
            <v>123AB</v>
          </cell>
          <cell r="B9">
            <v>46199</v>
          </cell>
          <cell r="C9">
            <v>15000</v>
          </cell>
        </row>
        <row r="10">
          <cell r="A10" t="str">
            <v>123AB</v>
          </cell>
          <cell r="B10">
            <v>46206</v>
          </cell>
          <cell r="C10">
            <v>15000</v>
          </cell>
        </row>
        <row r="11">
          <cell r="A11" t="str">
            <v>123AB</v>
          </cell>
          <cell r="B11">
            <v>46213</v>
          </cell>
          <cell r="C11">
            <v>15000</v>
          </cell>
        </row>
        <row r="12">
          <cell r="A12" t="str">
            <v>123AB</v>
          </cell>
          <cell r="B12">
            <v>46220</v>
          </cell>
          <cell r="C12">
            <v>15000</v>
          </cell>
        </row>
        <row r="13">
          <cell r="A13" t="str">
            <v>123AB</v>
          </cell>
          <cell r="B13">
            <v>46227</v>
          </cell>
          <cell r="C13">
            <v>15000</v>
          </cell>
        </row>
        <row r="14">
          <cell r="A14" t="str">
            <v>123AB</v>
          </cell>
          <cell r="B14">
            <v>46234</v>
          </cell>
          <cell r="C14">
            <v>15000</v>
          </cell>
        </row>
        <row r="15">
          <cell r="A15" t="str">
            <v>123AB</v>
          </cell>
          <cell r="B15">
            <v>46241</v>
          </cell>
          <cell r="C15">
            <v>15000</v>
          </cell>
        </row>
        <row r="16">
          <cell r="A16" t="str">
            <v>123AB</v>
          </cell>
          <cell r="B16">
            <v>46248</v>
          </cell>
          <cell r="C16">
            <v>15000</v>
          </cell>
        </row>
        <row r="17">
          <cell r="A17" t="str">
            <v>123AB</v>
          </cell>
          <cell r="B17">
            <v>46255</v>
          </cell>
          <cell r="C17">
            <v>15000</v>
          </cell>
        </row>
        <row r="18">
          <cell r="A18" t="str">
            <v>123AB</v>
          </cell>
          <cell r="B18">
            <v>46262</v>
          </cell>
          <cell r="C18">
            <v>15000</v>
          </cell>
        </row>
        <row r="19">
          <cell r="A19" t="str">
            <v>123AB</v>
          </cell>
          <cell r="B19">
            <v>46269</v>
          </cell>
          <cell r="C19">
            <v>15000</v>
          </cell>
        </row>
        <row r="20">
          <cell r="A20" t="str">
            <v>123AB</v>
          </cell>
          <cell r="B20">
            <v>46276</v>
          </cell>
          <cell r="C20">
            <v>15000</v>
          </cell>
        </row>
        <row r="21">
          <cell r="A21" t="str">
            <v>123AB</v>
          </cell>
          <cell r="B21">
            <v>46283</v>
          </cell>
          <cell r="C21">
            <v>15000</v>
          </cell>
        </row>
        <row r="22">
          <cell r="A22" t="str">
            <v>123AB</v>
          </cell>
          <cell r="B22">
            <v>46290</v>
          </cell>
          <cell r="C22">
            <v>15000</v>
          </cell>
        </row>
        <row r="23">
          <cell r="A23" t="str">
            <v>123AB</v>
          </cell>
          <cell r="B23">
            <v>46297</v>
          </cell>
          <cell r="C23">
            <v>15000</v>
          </cell>
        </row>
        <row r="24">
          <cell r="A24" t="str">
            <v>123AB</v>
          </cell>
          <cell r="B24">
            <v>46304</v>
          </cell>
          <cell r="C24">
            <v>15000</v>
          </cell>
        </row>
        <row r="25">
          <cell r="A25" t="str">
            <v>123AB</v>
          </cell>
          <cell r="B25">
            <v>46311</v>
          </cell>
          <cell r="C25">
            <v>15000</v>
          </cell>
        </row>
        <row r="26">
          <cell r="A26" t="str">
            <v>123AB</v>
          </cell>
          <cell r="B26">
            <v>46318</v>
          </cell>
          <cell r="C26">
            <v>15000</v>
          </cell>
        </row>
        <row r="27">
          <cell r="A27" t="str">
            <v>123AB</v>
          </cell>
          <cell r="B27">
            <v>46325</v>
          </cell>
          <cell r="C27">
            <v>15000</v>
          </cell>
        </row>
        <row r="28">
          <cell r="A28" t="str">
            <v>123AB</v>
          </cell>
          <cell r="B28">
            <v>46332</v>
          </cell>
          <cell r="C28">
            <v>15000</v>
          </cell>
        </row>
        <row r="29">
          <cell r="A29" t="str">
            <v>123AB</v>
          </cell>
          <cell r="B29">
            <v>46339</v>
          </cell>
          <cell r="C29">
            <v>15000</v>
          </cell>
        </row>
        <row r="30">
          <cell r="A30" t="str">
            <v>123AB</v>
          </cell>
          <cell r="B30">
            <v>46346</v>
          </cell>
          <cell r="C30">
            <v>15000</v>
          </cell>
        </row>
        <row r="31">
          <cell r="A31" t="str">
            <v>123AB</v>
          </cell>
          <cell r="B31">
            <v>46353</v>
          </cell>
          <cell r="C31">
            <v>15000</v>
          </cell>
        </row>
        <row r="32">
          <cell r="A32" t="str">
            <v>123AB</v>
          </cell>
          <cell r="B32">
            <v>46360</v>
          </cell>
          <cell r="C32">
            <v>15000</v>
          </cell>
        </row>
        <row r="33">
          <cell r="A33" t="str">
            <v>123AB</v>
          </cell>
          <cell r="B33">
            <v>46367</v>
          </cell>
          <cell r="C33">
            <v>15000</v>
          </cell>
        </row>
        <row r="34">
          <cell r="A34" t="str">
            <v>123AB</v>
          </cell>
          <cell r="B34">
            <v>46374</v>
          </cell>
          <cell r="C34">
            <v>15000</v>
          </cell>
        </row>
        <row r="35">
          <cell r="A35" t="str">
            <v>123AB</v>
          </cell>
          <cell r="B35">
            <v>46381</v>
          </cell>
          <cell r="C35">
            <v>15000</v>
          </cell>
        </row>
        <row r="36">
          <cell r="A36" t="str">
            <v>456CD</v>
          </cell>
          <cell r="B36">
            <v>46157</v>
          </cell>
          <cell r="C36">
            <v>5000</v>
          </cell>
        </row>
        <row r="37">
          <cell r="A37" t="str">
            <v>456CD</v>
          </cell>
          <cell r="B37">
            <v>46164</v>
          </cell>
          <cell r="C37">
            <v>5000</v>
          </cell>
        </row>
        <row r="38">
          <cell r="A38" t="str">
            <v>456CD</v>
          </cell>
          <cell r="B38">
            <v>46171</v>
          </cell>
          <cell r="C38">
            <v>5000</v>
          </cell>
        </row>
        <row r="39">
          <cell r="A39" t="str">
            <v>456CD</v>
          </cell>
          <cell r="B39">
            <v>46175</v>
          </cell>
          <cell r="C39">
            <v>5000</v>
          </cell>
        </row>
        <row r="40">
          <cell r="A40" t="str">
            <v>456CD</v>
          </cell>
          <cell r="B40">
            <v>46176</v>
          </cell>
          <cell r="C40">
            <v>5000</v>
          </cell>
        </row>
        <row r="41">
          <cell r="A41" t="str">
            <v>456CD</v>
          </cell>
          <cell r="B41">
            <v>46178</v>
          </cell>
          <cell r="C41">
            <v>5000</v>
          </cell>
        </row>
        <row r="42">
          <cell r="A42" t="str">
            <v>456CD</v>
          </cell>
          <cell r="B42">
            <v>46183</v>
          </cell>
          <cell r="C42">
            <v>5000</v>
          </cell>
        </row>
        <row r="43">
          <cell r="A43" t="str">
            <v>456CD</v>
          </cell>
          <cell r="B43">
            <v>46186</v>
          </cell>
          <cell r="C43">
            <v>5000</v>
          </cell>
        </row>
        <row r="44">
          <cell r="A44" t="str">
            <v>456CD</v>
          </cell>
          <cell r="B44">
            <v>46190</v>
          </cell>
          <cell r="C44">
            <v>5000</v>
          </cell>
        </row>
        <row r="45">
          <cell r="A45" t="str">
            <v>456CD</v>
          </cell>
          <cell r="B45">
            <v>46192</v>
          </cell>
          <cell r="C45">
            <v>5000</v>
          </cell>
        </row>
        <row r="46">
          <cell r="A46" t="str">
            <v>456CD</v>
          </cell>
          <cell r="B46">
            <v>46197</v>
          </cell>
          <cell r="C46">
            <v>5000</v>
          </cell>
        </row>
        <row r="47">
          <cell r="A47" t="str">
            <v>456CD</v>
          </cell>
          <cell r="B47">
            <v>46199</v>
          </cell>
          <cell r="C47">
            <v>5000</v>
          </cell>
        </row>
        <row r="48">
          <cell r="A48" t="str">
            <v>456CD</v>
          </cell>
          <cell r="B48">
            <v>46206</v>
          </cell>
          <cell r="C48">
            <v>5000</v>
          </cell>
        </row>
        <row r="49">
          <cell r="A49" t="str">
            <v>456CD</v>
          </cell>
          <cell r="B49">
            <v>46213</v>
          </cell>
          <cell r="C49">
            <v>5000</v>
          </cell>
        </row>
        <row r="50">
          <cell r="A50" t="str">
            <v>456CD</v>
          </cell>
          <cell r="B50">
            <v>46220</v>
          </cell>
          <cell r="C50">
            <v>5000</v>
          </cell>
        </row>
        <row r="51">
          <cell r="A51" t="str">
            <v>456CD</v>
          </cell>
          <cell r="B51">
            <v>46227</v>
          </cell>
          <cell r="C51">
            <v>5000</v>
          </cell>
        </row>
        <row r="52">
          <cell r="A52" t="str">
            <v>456CD</v>
          </cell>
          <cell r="B52">
            <v>46234</v>
          </cell>
          <cell r="C52">
            <v>5000</v>
          </cell>
        </row>
        <row r="53">
          <cell r="A53" t="str">
            <v>456CD</v>
          </cell>
          <cell r="B53">
            <v>46241</v>
          </cell>
          <cell r="C53">
            <v>5000</v>
          </cell>
        </row>
        <row r="54">
          <cell r="A54" t="str">
            <v>456CD</v>
          </cell>
          <cell r="B54">
            <v>46248</v>
          </cell>
          <cell r="C54">
            <v>5000</v>
          </cell>
        </row>
        <row r="55">
          <cell r="A55" t="str">
            <v>456CD</v>
          </cell>
          <cell r="B55">
            <v>46255</v>
          </cell>
          <cell r="C55">
            <v>5000</v>
          </cell>
        </row>
        <row r="56">
          <cell r="A56" t="str">
            <v>456CD</v>
          </cell>
          <cell r="B56">
            <v>46262</v>
          </cell>
          <cell r="C56">
            <v>5000</v>
          </cell>
        </row>
        <row r="57">
          <cell r="A57" t="str">
            <v>456CD</v>
          </cell>
          <cell r="B57">
            <v>46269</v>
          </cell>
          <cell r="C57">
            <v>5000</v>
          </cell>
        </row>
        <row r="58">
          <cell r="A58" t="str">
            <v>456CD</v>
          </cell>
          <cell r="B58">
            <v>46276</v>
          </cell>
          <cell r="C58">
            <v>5000</v>
          </cell>
        </row>
        <row r="59">
          <cell r="A59" t="str">
            <v>456CD</v>
          </cell>
          <cell r="B59">
            <v>46283</v>
          </cell>
          <cell r="C59">
            <v>5000</v>
          </cell>
        </row>
        <row r="60">
          <cell r="A60" t="str">
            <v>456CD</v>
          </cell>
          <cell r="B60">
            <v>46290</v>
          </cell>
          <cell r="C60">
            <v>5000</v>
          </cell>
        </row>
        <row r="61">
          <cell r="A61" t="str">
            <v>456CD</v>
          </cell>
          <cell r="B61">
            <v>46297</v>
          </cell>
          <cell r="C61">
            <v>5000</v>
          </cell>
        </row>
        <row r="62">
          <cell r="A62" t="str">
            <v>456CD</v>
          </cell>
          <cell r="B62">
            <v>46304</v>
          </cell>
          <cell r="C62">
            <v>5000</v>
          </cell>
        </row>
        <row r="63">
          <cell r="A63" t="str">
            <v>456CD</v>
          </cell>
          <cell r="B63">
            <v>46311</v>
          </cell>
          <cell r="C63">
            <v>5000</v>
          </cell>
        </row>
        <row r="64">
          <cell r="A64" t="str">
            <v>456CD</v>
          </cell>
          <cell r="B64">
            <v>46318</v>
          </cell>
          <cell r="C64">
            <v>5000</v>
          </cell>
        </row>
        <row r="65">
          <cell r="A65" t="str">
            <v>456CD</v>
          </cell>
          <cell r="B65">
            <v>46325</v>
          </cell>
          <cell r="C65">
            <v>5000</v>
          </cell>
        </row>
        <row r="66">
          <cell r="A66" t="str">
            <v>456CD</v>
          </cell>
          <cell r="B66">
            <v>46332</v>
          </cell>
          <cell r="C66">
            <v>5000</v>
          </cell>
        </row>
        <row r="67">
          <cell r="A67" t="str">
            <v>456CD</v>
          </cell>
          <cell r="B67">
            <v>46339</v>
          </cell>
          <cell r="C67">
            <v>5000</v>
          </cell>
        </row>
        <row r="68">
          <cell r="A68" t="str">
            <v>456CD</v>
          </cell>
          <cell r="B68">
            <v>46346</v>
          </cell>
          <cell r="C68">
            <v>5000</v>
          </cell>
        </row>
        <row r="69">
          <cell r="A69" t="str">
            <v>456CD</v>
          </cell>
          <cell r="B69">
            <v>46353</v>
          </cell>
          <cell r="C69">
            <v>5000</v>
          </cell>
        </row>
        <row r="70">
          <cell r="A70" t="str">
            <v>456CD</v>
          </cell>
          <cell r="B70">
            <v>46360</v>
          </cell>
          <cell r="C70">
            <v>5000</v>
          </cell>
        </row>
        <row r="71">
          <cell r="A71" t="str">
            <v>456CD</v>
          </cell>
          <cell r="B71">
            <v>46367</v>
          </cell>
          <cell r="C71">
            <v>5000</v>
          </cell>
        </row>
        <row r="72">
          <cell r="A72" t="str">
            <v>456CD</v>
          </cell>
          <cell r="B72">
            <v>46374</v>
          </cell>
          <cell r="C72">
            <v>5000</v>
          </cell>
        </row>
        <row r="73">
          <cell r="A73" t="str">
            <v>456CD</v>
          </cell>
          <cell r="B73">
            <v>46381</v>
          </cell>
          <cell r="C73">
            <v>5000</v>
          </cell>
        </row>
        <row r="74">
          <cell r="A74" t="str">
            <v>789EF</v>
          </cell>
          <cell r="B74">
            <v>46143</v>
          </cell>
          <cell r="C74">
            <v>3000</v>
          </cell>
        </row>
        <row r="75">
          <cell r="A75" t="str">
            <v>789EF</v>
          </cell>
          <cell r="B75">
            <v>46150</v>
          </cell>
          <cell r="C75">
            <v>3000</v>
          </cell>
        </row>
        <row r="76">
          <cell r="A76" t="str">
            <v>789EF</v>
          </cell>
          <cell r="B76">
            <v>46157</v>
          </cell>
          <cell r="C76">
            <v>3000</v>
          </cell>
        </row>
        <row r="77">
          <cell r="A77" t="str">
            <v>789EF</v>
          </cell>
          <cell r="B77">
            <v>46164</v>
          </cell>
          <cell r="C77">
            <v>3000</v>
          </cell>
        </row>
        <row r="78">
          <cell r="A78" t="str">
            <v>789EF</v>
          </cell>
          <cell r="B78">
            <v>46171</v>
          </cell>
          <cell r="C78">
            <v>3000</v>
          </cell>
        </row>
        <row r="79">
          <cell r="A79" t="str">
            <v>789EF</v>
          </cell>
          <cell r="B79">
            <v>46178</v>
          </cell>
          <cell r="C79">
            <v>3000</v>
          </cell>
        </row>
        <row r="80">
          <cell r="A80" t="str">
            <v>789EF</v>
          </cell>
          <cell r="B80">
            <v>46185</v>
          </cell>
          <cell r="C80">
            <v>3000</v>
          </cell>
        </row>
        <row r="81">
          <cell r="A81" t="str">
            <v>789EF</v>
          </cell>
          <cell r="B81">
            <v>46192</v>
          </cell>
          <cell r="C81">
            <v>3000</v>
          </cell>
        </row>
        <row r="82">
          <cell r="A82" t="str">
            <v>789EF</v>
          </cell>
          <cell r="B82">
            <v>46199</v>
          </cell>
          <cell r="C82">
            <v>3000</v>
          </cell>
        </row>
        <row r="83">
          <cell r="A83" t="str">
            <v>789EF</v>
          </cell>
          <cell r="B83">
            <v>46206</v>
          </cell>
          <cell r="C83">
            <v>3000</v>
          </cell>
        </row>
        <row r="84">
          <cell r="A84" t="str">
            <v>789EF</v>
          </cell>
          <cell r="B84">
            <v>46213</v>
          </cell>
          <cell r="C84">
            <v>3000</v>
          </cell>
        </row>
        <row r="85">
          <cell r="A85" t="str">
            <v>789EF</v>
          </cell>
          <cell r="B85">
            <v>46220</v>
          </cell>
          <cell r="C85">
            <v>3000</v>
          </cell>
        </row>
        <row r="86">
          <cell r="A86" t="str">
            <v>789EF</v>
          </cell>
          <cell r="B86">
            <v>46227</v>
          </cell>
          <cell r="C86">
            <v>3000</v>
          </cell>
        </row>
        <row r="87">
          <cell r="A87" t="str">
            <v>789EF</v>
          </cell>
          <cell r="B87">
            <v>46234</v>
          </cell>
          <cell r="C87">
            <v>3000</v>
          </cell>
        </row>
        <row r="88">
          <cell r="A88" t="str">
            <v>789EF</v>
          </cell>
          <cell r="B88">
            <v>46241</v>
          </cell>
          <cell r="C88">
            <v>3000</v>
          </cell>
        </row>
        <row r="89">
          <cell r="A89" t="str">
            <v>789EF</v>
          </cell>
          <cell r="B89">
            <v>46248</v>
          </cell>
          <cell r="C89">
            <v>3000</v>
          </cell>
        </row>
        <row r="90">
          <cell r="A90" t="str">
            <v>789EF</v>
          </cell>
          <cell r="B90">
            <v>46255</v>
          </cell>
          <cell r="C90">
            <v>3000</v>
          </cell>
        </row>
        <row r="91">
          <cell r="A91" t="str">
            <v>789EF</v>
          </cell>
          <cell r="B91">
            <v>46262</v>
          </cell>
          <cell r="C91">
            <v>3000</v>
          </cell>
        </row>
        <row r="92">
          <cell r="A92" t="str">
            <v>789EF</v>
          </cell>
          <cell r="B92">
            <v>46269</v>
          </cell>
          <cell r="C92">
            <v>3000</v>
          </cell>
        </row>
        <row r="93">
          <cell r="A93" t="str">
            <v>789EF</v>
          </cell>
          <cell r="B93">
            <v>46276</v>
          </cell>
          <cell r="C93">
            <v>3000</v>
          </cell>
        </row>
        <row r="94">
          <cell r="A94" t="str">
            <v>789EF</v>
          </cell>
          <cell r="B94">
            <v>46283</v>
          </cell>
          <cell r="C94">
            <v>3000</v>
          </cell>
        </row>
        <row r="95">
          <cell r="A95" t="str">
            <v>789EF</v>
          </cell>
          <cell r="B95">
            <v>46290</v>
          </cell>
          <cell r="C95">
            <v>3000</v>
          </cell>
        </row>
        <row r="96">
          <cell r="A96" t="str">
            <v>789EF</v>
          </cell>
          <cell r="B96">
            <v>46297</v>
          </cell>
          <cell r="C96">
            <v>3000</v>
          </cell>
        </row>
        <row r="97">
          <cell r="A97" t="str">
            <v>789EF</v>
          </cell>
          <cell r="B97">
            <v>46304</v>
          </cell>
          <cell r="C97">
            <v>3000</v>
          </cell>
        </row>
        <row r="98">
          <cell r="A98" t="str">
            <v>789EF</v>
          </cell>
          <cell r="B98">
            <v>46318</v>
          </cell>
          <cell r="C98">
            <v>3000</v>
          </cell>
        </row>
        <row r="99">
          <cell r="A99" t="str">
            <v>789EF</v>
          </cell>
          <cell r="B99">
            <v>46325</v>
          </cell>
          <cell r="C99">
            <v>3000</v>
          </cell>
        </row>
        <row r="100">
          <cell r="A100" t="str">
            <v>789EF</v>
          </cell>
          <cell r="B100">
            <v>46332</v>
          </cell>
          <cell r="C100">
            <v>3000</v>
          </cell>
        </row>
        <row r="101">
          <cell r="A101" t="str">
            <v>789EF</v>
          </cell>
          <cell r="B101">
            <v>46339</v>
          </cell>
          <cell r="C101">
            <v>3000</v>
          </cell>
        </row>
        <row r="102">
          <cell r="A102" t="str">
            <v>789EF</v>
          </cell>
          <cell r="B102">
            <v>46346</v>
          </cell>
          <cell r="C102">
            <v>3000</v>
          </cell>
        </row>
        <row r="103">
          <cell r="A103" t="str">
            <v>789EF</v>
          </cell>
          <cell r="B103">
            <v>46353</v>
          </cell>
          <cell r="C103">
            <v>3000</v>
          </cell>
        </row>
        <row r="104">
          <cell r="A104" t="str">
            <v>789EF</v>
          </cell>
          <cell r="B104">
            <v>46360</v>
          </cell>
          <cell r="C104">
            <v>3000</v>
          </cell>
        </row>
        <row r="105">
          <cell r="A105" t="str">
            <v>789EF</v>
          </cell>
          <cell r="B105">
            <v>46367</v>
          </cell>
          <cell r="C105">
            <v>3000</v>
          </cell>
        </row>
        <row r="106">
          <cell r="A106" t="str">
            <v>789EF</v>
          </cell>
          <cell r="B106">
            <v>46374</v>
          </cell>
          <cell r="C106">
            <v>3000</v>
          </cell>
        </row>
        <row r="107">
          <cell r="A107" t="str">
            <v>789EF</v>
          </cell>
          <cell r="B107">
            <v>46381</v>
          </cell>
          <cell r="C107">
            <v>3000</v>
          </cell>
        </row>
      </sheetData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D90683-FF87-4D15-8015-895D9C3D925B}" name="Table1" displayName="Table1" ref="A1:I466" totalsRowShown="0" headerRowDxfId="41" tableBorderDxfId="40">
  <autoFilter ref="A1:I466" xr:uid="{67A39F3A-6F52-4BD4-96E9-B344F42F09CA}"/>
  <sortState xmlns:xlrd2="http://schemas.microsoft.com/office/spreadsheetml/2017/richdata2" ref="A2:I466">
    <sortCondition ref="H1:H466"/>
  </sortState>
  <tableColumns count="9">
    <tableColumn id="4" xr3:uid="{2080648C-7145-43AE-B681-AE7B7B90A6F2}" name="Item name" dataDxfId="39"/>
    <tableColumn id="5" xr3:uid="{96E78F24-DCED-46A7-B4CE-6E5ABFE3DFF9}" name="Des" dataDxfId="38"/>
    <tableColumn id="6" xr3:uid="{5A59A7B4-33C1-4174-A453-41B825E43FF7}" name="Market " dataDxfId="37"/>
    <tableColumn id="7" xr3:uid="{08ED99B3-0A51-4BB0-B4DF-F26E21E78834}" name="Price ($)" dataDxfId="36"/>
    <tableColumn id="8" xr3:uid="{88921C2E-DB96-4D92-BE3E-F364486D7A48}" name="Product group" dataDxfId="35"/>
    <tableColumn id="9" xr3:uid="{8ABEEC6A-96EB-4DE7-8BF8-58E0035D9B98}" name="Fixture"/>
    <tableColumn id="10" xr3:uid="{357B93D3-F9A3-4701-9ADA-A28CD5F410D6}" name="Weekly Capcity" dataDxfId="34"/>
    <tableColumn id="11" xr3:uid="{A6C8BD6B-7EBE-415F-B9DA-51D9E45F6682}" name="Shipment Request" dataDxfId="33"/>
    <tableColumn id="12" xr3:uid="{2F7FC33B-D8DD-4E7E-BD46-FC9E7EB48DA2}" name="Demand Quantity" dataDxfId="3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DE8A62-9273-4DA5-9777-CAAA90B0D514}" name="Table14" displayName="Table14" ref="A1:K466" totalsRowShown="0" headerRowDxfId="31" tableBorderDxfId="30">
  <autoFilter ref="A1:K466" xr:uid="{D5DE8A62-9273-4DA5-9777-CAAA90B0D514}"/>
  <sortState xmlns:xlrd2="http://schemas.microsoft.com/office/spreadsheetml/2017/richdata2" ref="A2:J466">
    <sortCondition ref="A1:A466"/>
  </sortState>
  <tableColumns count="11">
    <tableColumn id="4" xr3:uid="{0AB94ACB-0B56-415F-A881-8899A8998130}" name="Item name" dataDxfId="29"/>
    <tableColumn id="5" xr3:uid="{518ADB81-3498-4BD5-8DA9-C677BCDB7309}" name="Des" dataDxfId="28"/>
    <tableColumn id="6" xr3:uid="{32214A33-2AA3-440E-AACB-EAD57D4F1AFF}" name="Market " dataDxfId="27"/>
    <tableColumn id="7" xr3:uid="{1B663E15-4E08-4566-AB0C-498AB5E27EAC}" name="Price ($)" dataDxfId="26"/>
    <tableColumn id="8" xr3:uid="{394C8C57-1738-4883-A956-8D5730302254}" name="Product group" dataDxfId="25"/>
    <tableColumn id="9" xr3:uid="{02A97FB0-6AD0-4F23-9282-727FEA2DD24B}" name="Fixture"/>
    <tableColumn id="10" xr3:uid="{23BD0999-B0BF-4C05-ACF3-D18BDDA1C8BD}" name="Weekly Capcity" dataDxfId="24"/>
    <tableColumn id="11" xr3:uid="{EA1FA3E7-C98A-4E45-A4D7-C014869A4F23}" name="Shipment Request" dataDxfId="23"/>
    <tableColumn id="12" xr3:uid="{54394AF6-C55D-4D5F-A44D-D073EB445CBF}" name="Demand Quantity" dataDxfId="22"/>
    <tableColumn id="1" xr3:uid="{BC69CC18-87F9-408E-A6A7-16E2B4313E85}" name="week first day" dataDxfId="21">
      <calculatedColumnFormula>$M$1+7*INT((H2-$M$1)/7)</calculatedColumnFormula>
    </tableColumn>
    <tableColumn id="2" xr3:uid="{8C12481B-ACE0-4EA0-AA36-B19685696E93}" name="production day" dataDxfId="20">
      <calculatedColumnFormula>Table14[[#This Row],[week first day]]-7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33D11C-377D-4AC5-8445-3C347C4F773D}" name="Table2" displayName="Table2" ref="C5:M36" totalsRowCount="1" headerRowDxfId="19">
  <autoFilter ref="C5:M35" xr:uid="{1C46B224-FF18-4677-AA96-E3E0EF567E4F}"/>
  <tableColumns count="11">
    <tableColumn id="1" xr3:uid="{3AD7CF9E-A427-44B9-BE32-5ED938F6D2EC}" name="No."/>
    <tableColumn id="2" xr3:uid="{BDFFEC27-1D15-4341-B2A9-CEF53F0343BA}" name="Model number"/>
    <tableColumn id="3" xr3:uid="{92ADCD7C-BFB6-4906-B75E-25C1787C186B}" name="Component number"/>
    <tableColumn id="4" xr3:uid="{C414DDD9-F690-4900-98DA-FF6ED51EE44D}" name="Description"/>
    <tableColumn id="6" xr3:uid="{0C6F9D63-E620-4695-B3AB-3FF793C165B1}" name="Vendor location"/>
    <tableColumn id="5" xr3:uid="{216A67AD-7C59-4371-9819-D30B8E8AC1B8}" name="BOM usage"/>
    <tableColumn id="7" xr3:uid="{E4CC3434-53DF-4788-AFAC-B97B1AEF4957}" name="Leadtime"/>
    <tableColumn id="8" xr3:uid="{CD9BB118-9968-4484-8630-823AEE4F53DD}" name="Stock"/>
    <tableColumn id="9" xr3:uid="{77721B48-CED8-4557-866B-56ABECFF55FF}" name="Pending PO"/>
    <tableColumn id="10" xr3:uid="{C14F466B-5367-423E-82F5-1F2FAE0752A6}" name="U/P (USD/ uom)"/>
    <tableColumn id="12" xr3:uid="{D51F99E9-720A-4FA3-B9CD-17C9189FAFB6}" name="UOM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8DA99E-801E-414F-BC25-993D3E16D521}" name="Table145" displayName="Table145" ref="A2:I467" totalsRowShown="0">
  <autoFilter ref="A2:I467" xr:uid="{00000000-0009-0000-0100-000004000000}">
    <filterColumn colId="7">
      <filters>
        <dateGroupItem year="2026" month="5" day="1" dateTimeGrouping="day"/>
        <dateGroupItem year="2026" month="5" day="8" dateTimeGrouping="day"/>
        <dateGroupItem year="2026" month="5" day="15" dateTimeGrouping="day"/>
        <dateGroupItem year="2026" month="5" day="22" dateTimeGrouping="day"/>
        <dateGroupItem year="2026" month="5" day="29" dateTimeGrouping="day"/>
      </filters>
    </filterColumn>
  </autoFilter>
  <tableColumns count="9">
    <tableColumn id="1" xr3:uid="{BC96D339-EF7A-4D9C-B549-F82CB0AB1F8E}" name="Item name"/>
    <tableColumn id="2" xr3:uid="{FFE2A304-4BD0-4169-9729-A3FF0F70983F}" name="Des"/>
    <tableColumn id="3" xr3:uid="{279D85F5-A592-4663-AE47-BDB3623FF61B}" name="Market "/>
    <tableColumn id="4" xr3:uid="{7566EFF6-E0CF-4CDA-A59C-EB340375F6B5}" name="Price ($)"/>
    <tableColumn id="5" xr3:uid="{0EF92E26-F78F-4F98-A113-7B7E747B09A8}" name="Product group"/>
    <tableColumn id="6" xr3:uid="{EA082AE0-70AA-43D6-9C95-9B44D181151F}" name="Fixture"/>
    <tableColumn id="7" xr3:uid="{A35F27D1-D810-48D4-ACBE-322218CF1793}" name="Weekly Capcity"/>
    <tableColumn id="8" xr3:uid="{B3E4D2F5-29CD-44CE-8AD9-00B224A86AF3}" name="Shipment Request"/>
    <tableColumn id="9" xr3:uid="{A49AF121-65E8-4385-822E-3065C353C49D}" name="Demand Quantit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823AA-A08D-49BC-B8AB-AB0D44E442DE}">
  <dimension ref="B2:D19"/>
  <sheetViews>
    <sheetView workbookViewId="0"/>
  </sheetViews>
  <sheetFormatPr defaultRowHeight="14.4" x14ac:dyDescent="0.3"/>
  <cols>
    <col min="2" max="2" width="3.44140625" bestFit="1" customWidth="1"/>
    <col min="3" max="3" width="53.21875" customWidth="1"/>
    <col min="4" max="4" width="100.21875" customWidth="1"/>
    <col min="6" max="6" width="22.77734375" customWidth="1"/>
    <col min="7" max="7" width="32.44140625" bestFit="1" customWidth="1"/>
    <col min="8" max="8" width="115.44140625" bestFit="1" customWidth="1"/>
    <col min="11" max="11" width="64.5546875" bestFit="1" customWidth="1"/>
    <col min="12" max="12" width="79.44140625" bestFit="1" customWidth="1"/>
  </cols>
  <sheetData>
    <row r="2" spans="2:4" x14ac:dyDescent="0.3">
      <c r="C2" s="1" t="s">
        <v>0</v>
      </c>
    </row>
    <row r="3" spans="2:4" x14ac:dyDescent="0.3">
      <c r="C3" t="s">
        <v>1</v>
      </c>
    </row>
    <row r="5" spans="2:4" x14ac:dyDescent="0.3">
      <c r="C5" s="1" t="s">
        <v>2</v>
      </c>
    </row>
    <row r="6" spans="2:4" x14ac:dyDescent="0.3">
      <c r="C6" t="s">
        <v>3</v>
      </c>
    </row>
    <row r="7" spans="2:4" x14ac:dyDescent="0.3">
      <c r="C7" t="s">
        <v>4</v>
      </c>
    </row>
    <row r="8" spans="2:4" x14ac:dyDescent="0.3">
      <c r="C8" t="s">
        <v>5</v>
      </c>
    </row>
    <row r="13" spans="2:4" x14ac:dyDescent="0.3">
      <c r="B13" s="2" t="s">
        <v>6</v>
      </c>
      <c r="C13" s="2" t="s">
        <v>7</v>
      </c>
      <c r="D13" s="2" t="s">
        <v>8</v>
      </c>
    </row>
    <row r="14" spans="2:4" x14ac:dyDescent="0.3">
      <c r="B14" s="3">
        <v>1</v>
      </c>
      <c r="C14" s="3" t="s">
        <v>9</v>
      </c>
      <c r="D14" s="3" t="s">
        <v>10</v>
      </c>
    </row>
    <row r="15" spans="2:4" x14ac:dyDescent="0.3">
      <c r="B15" s="3">
        <v>2</v>
      </c>
      <c r="C15" s="3" t="s">
        <v>11</v>
      </c>
      <c r="D15" s="3" t="s">
        <v>12</v>
      </c>
    </row>
    <row r="16" spans="2:4" ht="43.2" x14ac:dyDescent="0.3">
      <c r="B16" s="3">
        <v>3</v>
      </c>
      <c r="C16" s="3" t="s">
        <v>13</v>
      </c>
      <c r="D16" s="4" t="s">
        <v>14</v>
      </c>
    </row>
    <row r="17" spans="2:4" x14ac:dyDescent="0.3">
      <c r="B17" s="3">
        <v>4</v>
      </c>
      <c r="C17" s="3" t="s">
        <v>15</v>
      </c>
      <c r="D17" s="3" t="s">
        <v>16</v>
      </c>
    </row>
    <row r="18" spans="2:4" x14ac:dyDescent="0.3">
      <c r="B18" s="3">
        <v>5</v>
      </c>
      <c r="C18" s="3" t="s">
        <v>17</v>
      </c>
      <c r="D18" s="3" t="s">
        <v>18</v>
      </c>
    </row>
    <row r="19" spans="2:4" x14ac:dyDescent="0.3">
      <c r="B19" s="3">
        <v>6</v>
      </c>
      <c r="C19" s="3" t="s">
        <v>19</v>
      </c>
      <c r="D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640C-0998-455A-A79F-B666EC0E4E88}">
  <dimension ref="A1:I466"/>
  <sheetViews>
    <sheetView workbookViewId="0">
      <selection activeCell="B15" sqref="B15"/>
    </sheetView>
  </sheetViews>
  <sheetFormatPr defaultRowHeight="14.4" x14ac:dyDescent="0.3"/>
  <cols>
    <col min="1" max="1" width="12.77734375" bestFit="1" customWidth="1"/>
    <col min="2" max="2" width="23.21875" bestFit="1" customWidth="1"/>
    <col min="3" max="3" width="9.44140625" customWidth="1"/>
    <col min="4" max="4" width="10.5546875" customWidth="1"/>
    <col min="5" max="5" width="15.77734375" customWidth="1"/>
    <col min="6" max="6" width="9.44140625" customWidth="1"/>
    <col min="7" max="7" width="17.44140625" bestFit="1" customWidth="1"/>
    <col min="8" max="8" width="17.77734375" bestFit="1" customWidth="1"/>
    <col min="9" max="9" width="19.21875" bestFit="1" customWidth="1"/>
  </cols>
  <sheetData>
    <row r="1" spans="1:9" x14ac:dyDescent="0.3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6" t="s">
        <v>26</v>
      </c>
      <c r="G1" s="6" t="s">
        <v>27</v>
      </c>
      <c r="H1" s="6" t="s">
        <v>28</v>
      </c>
      <c r="I1" s="6" t="s">
        <v>29</v>
      </c>
    </row>
    <row r="2" spans="1:9" x14ac:dyDescent="0.3">
      <c r="A2" s="8" t="s">
        <v>51</v>
      </c>
      <c r="B2" s="8" t="s">
        <v>52</v>
      </c>
      <c r="C2" s="8" t="s">
        <v>32</v>
      </c>
      <c r="D2" s="8">
        <v>90</v>
      </c>
      <c r="E2" s="8" t="s">
        <v>53</v>
      </c>
      <c r="F2" t="s">
        <v>50</v>
      </c>
      <c r="G2" s="8">
        <v>3000</v>
      </c>
      <c r="H2" s="10">
        <v>46143</v>
      </c>
      <c r="I2" s="11">
        <v>588</v>
      </c>
    </row>
    <row r="3" spans="1:9" x14ac:dyDescent="0.3">
      <c r="A3" s="8" t="s">
        <v>30</v>
      </c>
      <c r="B3" s="8" t="s">
        <v>31</v>
      </c>
      <c r="C3" s="8" t="s">
        <v>32</v>
      </c>
      <c r="D3" s="8">
        <v>105</v>
      </c>
      <c r="E3" s="8" t="s">
        <v>33</v>
      </c>
      <c r="F3" t="s">
        <v>34</v>
      </c>
      <c r="G3" s="9">
        <v>15000</v>
      </c>
      <c r="H3" s="7">
        <v>46150</v>
      </c>
      <c r="I3" s="9">
        <v>684</v>
      </c>
    </row>
    <row r="4" spans="1:9" x14ac:dyDescent="0.3">
      <c r="A4" s="8" t="s">
        <v>46</v>
      </c>
      <c r="B4" s="8" t="s">
        <v>47</v>
      </c>
      <c r="C4" s="8" t="s">
        <v>48</v>
      </c>
      <c r="D4" s="8">
        <v>30</v>
      </c>
      <c r="E4" s="8" t="s">
        <v>49</v>
      </c>
      <c r="F4" t="s">
        <v>50</v>
      </c>
      <c r="G4" s="8">
        <v>3000</v>
      </c>
      <c r="H4" s="7">
        <v>46150</v>
      </c>
      <c r="I4" s="9">
        <v>472</v>
      </c>
    </row>
    <row r="5" spans="1:9" x14ac:dyDescent="0.3">
      <c r="A5" s="8" t="s">
        <v>51</v>
      </c>
      <c r="B5" s="8" t="s">
        <v>52</v>
      </c>
      <c r="C5" s="8" t="s">
        <v>32</v>
      </c>
      <c r="D5" s="8">
        <v>90</v>
      </c>
      <c r="E5" s="8" t="s">
        <v>53</v>
      </c>
      <c r="F5" t="s">
        <v>50</v>
      </c>
      <c r="G5" s="8">
        <v>3000</v>
      </c>
      <c r="H5" s="7">
        <v>46150</v>
      </c>
      <c r="I5" s="9">
        <v>4028</v>
      </c>
    </row>
    <row r="6" spans="1:9" x14ac:dyDescent="0.3">
      <c r="A6" s="8" t="s">
        <v>30</v>
      </c>
      <c r="B6" s="8" t="s">
        <v>31</v>
      </c>
      <c r="C6" s="8" t="s">
        <v>32</v>
      </c>
      <c r="D6" s="8">
        <v>105</v>
      </c>
      <c r="E6" s="8" t="s">
        <v>33</v>
      </c>
      <c r="F6" t="s">
        <v>34</v>
      </c>
      <c r="G6" s="9">
        <v>15000</v>
      </c>
      <c r="H6" s="7">
        <v>46157</v>
      </c>
      <c r="I6" s="9">
        <v>20000</v>
      </c>
    </row>
    <row r="7" spans="1:9" x14ac:dyDescent="0.3">
      <c r="A7" s="8" t="s">
        <v>35</v>
      </c>
      <c r="B7" s="8" t="s">
        <v>36</v>
      </c>
      <c r="C7" s="8" t="s">
        <v>32</v>
      </c>
      <c r="D7" s="8">
        <v>55</v>
      </c>
      <c r="E7" s="8" t="s">
        <v>37</v>
      </c>
      <c r="F7" t="s">
        <v>34</v>
      </c>
      <c r="G7" s="9">
        <v>15000</v>
      </c>
      <c r="H7" s="7">
        <v>46157</v>
      </c>
      <c r="I7" s="9">
        <v>2731</v>
      </c>
    </row>
    <row r="8" spans="1:9" x14ac:dyDescent="0.3">
      <c r="A8" s="8" t="s">
        <v>35</v>
      </c>
      <c r="B8" s="8" t="s">
        <v>36</v>
      </c>
      <c r="C8" s="8" t="s">
        <v>32</v>
      </c>
      <c r="D8" s="8">
        <v>55</v>
      </c>
      <c r="E8" s="8" t="s">
        <v>37</v>
      </c>
      <c r="F8" t="s">
        <v>34</v>
      </c>
      <c r="G8" s="9">
        <v>15000</v>
      </c>
      <c r="H8" s="7">
        <v>46157</v>
      </c>
      <c r="I8" s="9">
        <v>2771</v>
      </c>
    </row>
    <row r="9" spans="1:9" x14ac:dyDescent="0.3">
      <c r="A9" s="8" t="s">
        <v>38</v>
      </c>
      <c r="B9" s="8" t="s">
        <v>39</v>
      </c>
      <c r="C9" s="8" t="s">
        <v>40</v>
      </c>
      <c r="D9" s="8">
        <v>80</v>
      </c>
      <c r="E9" s="8" t="s">
        <v>41</v>
      </c>
      <c r="F9" t="s">
        <v>42</v>
      </c>
      <c r="G9" s="8">
        <v>5000</v>
      </c>
      <c r="H9" s="7">
        <v>46157</v>
      </c>
      <c r="I9" s="9">
        <v>270</v>
      </c>
    </row>
    <row r="10" spans="1:9" x14ac:dyDescent="0.3">
      <c r="A10" s="8" t="s">
        <v>38</v>
      </c>
      <c r="B10" s="8" t="s">
        <v>39</v>
      </c>
      <c r="C10" s="8" t="s">
        <v>40</v>
      </c>
      <c r="D10" s="8">
        <v>80</v>
      </c>
      <c r="E10" s="8" t="s">
        <v>41</v>
      </c>
      <c r="F10" t="s">
        <v>42</v>
      </c>
      <c r="G10" s="8">
        <v>5000</v>
      </c>
      <c r="H10" s="7">
        <v>46157</v>
      </c>
      <c r="I10" s="9">
        <v>270</v>
      </c>
    </row>
    <row r="11" spans="1:9" x14ac:dyDescent="0.3">
      <c r="A11" s="8" t="s">
        <v>38</v>
      </c>
      <c r="B11" s="8" t="s">
        <v>39</v>
      </c>
      <c r="C11" s="8" t="s">
        <v>40</v>
      </c>
      <c r="D11" s="8">
        <v>80</v>
      </c>
      <c r="E11" s="8" t="s">
        <v>41</v>
      </c>
      <c r="F11" t="s">
        <v>42</v>
      </c>
      <c r="G11" s="8">
        <v>5000</v>
      </c>
      <c r="H11" s="7">
        <v>46157</v>
      </c>
      <c r="I11" s="9">
        <v>270</v>
      </c>
    </row>
    <row r="12" spans="1:9" x14ac:dyDescent="0.3">
      <c r="A12" s="8" t="s">
        <v>38</v>
      </c>
      <c r="B12" s="8" t="s">
        <v>39</v>
      </c>
      <c r="C12" s="8" t="s">
        <v>40</v>
      </c>
      <c r="D12" s="8">
        <v>80</v>
      </c>
      <c r="E12" s="8" t="s">
        <v>41</v>
      </c>
      <c r="F12" t="s">
        <v>42</v>
      </c>
      <c r="G12" s="8">
        <v>5000</v>
      </c>
      <c r="H12" s="7">
        <v>46157</v>
      </c>
      <c r="I12" s="9">
        <v>270</v>
      </c>
    </row>
    <row r="13" spans="1:9" x14ac:dyDescent="0.3">
      <c r="A13" s="8" t="s">
        <v>38</v>
      </c>
      <c r="B13" s="8" t="s">
        <v>39</v>
      </c>
      <c r="C13" s="8" t="s">
        <v>40</v>
      </c>
      <c r="D13" s="8">
        <v>80</v>
      </c>
      <c r="E13" s="8" t="s">
        <v>41</v>
      </c>
      <c r="F13" t="s">
        <v>42</v>
      </c>
      <c r="G13" s="8">
        <v>5000</v>
      </c>
      <c r="H13" s="7">
        <v>46157</v>
      </c>
      <c r="I13" s="9">
        <v>270</v>
      </c>
    </row>
    <row r="14" spans="1:9" x14ac:dyDescent="0.3">
      <c r="A14" s="8" t="s">
        <v>38</v>
      </c>
      <c r="B14" s="8" t="s">
        <v>39</v>
      </c>
      <c r="C14" s="8" t="s">
        <v>40</v>
      </c>
      <c r="D14" s="8">
        <v>80</v>
      </c>
      <c r="E14" s="8" t="s">
        <v>41</v>
      </c>
      <c r="F14" t="s">
        <v>42</v>
      </c>
      <c r="G14" s="8">
        <v>5000</v>
      </c>
      <c r="H14" s="7">
        <v>46157</v>
      </c>
      <c r="I14" s="9">
        <v>270</v>
      </c>
    </row>
    <row r="15" spans="1:9" x14ac:dyDescent="0.3">
      <c r="A15" s="8" t="s">
        <v>38</v>
      </c>
      <c r="B15" s="8" t="s">
        <v>39</v>
      </c>
      <c r="C15" s="8" t="s">
        <v>40</v>
      </c>
      <c r="D15" s="8">
        <v>80</v>
      </c>
      <c r="E15" s="8" t="s">
        <v>41</v>
      </c>
      <c r="F15" t="s">
        <v>42</v>
      </c>
      <c r="G15" s="8">
        <v>5000</v>
      </c>
      <c r="H15" s="7">
        <v>46157</v>
      </c>
      <c r="I15" s="9">
        <v>270</v>
      </c>
    </row>
    <row r="16" spans="1:9" x14ac:dyDescent="0.3">
      <c r="A16" s="8" t="s">
        <v>38</v>
      </c>
      <c r="B16" s="8" t="s">
        <v>39</v>
      </c>
      <c r="C16" s="8" t="s">
        <v>40</v>
      </c>
      <c r="D16" s="8">
        <v>80</v>
      </c>
      <c r="E16" s="8" t="s">
        <v>41</v>
      </c>
      <c r="F16" t="s">
        <v>42</v>
      </c>
      <c r="G16" s="8">
        <v>5000</v>
      </c>
      <c r="H16" s="7">
        <v>46157</v>
      </c>
      <c r="I16" s="9">
        <v>270</v>
      </c>
    </row>
    <row r="17" spans="1:9" x14ac:dyDescent="0.3">
      <c r="A17" s="8" t="s">
        <v>38</v>
      </c>
      <c r="B17" s="8" t="s">
        <v>39</v>
      </c>
      <c r="C17" s="8" t="s">
        <v>40</v>
      </c>
      <c r="D17" s="8">
        <v>80</v>
      </c>
      <c r="E17" s="8" t="s">
        <v>41</v>
      </c>
      <c r="F17" t="s">
        <v>42</v>
      </c>
      <c r="G17" s="8">
        <v>5000</v>
      </c>
      <c r="H17" s="7">
        <v>46157</v>
      </c>
      <c r="I17" s="9">
        <v>270</v>
      </c>
    </row>
    <row r="18" spans="1:9" x14ac:dyDescent="0.3">
      <c r="A18" s="8" t="s">
        <v>38</v>
      </c>
      <c r="B18" s="8" t="s">
        <v>39</v>
      </c>
      <c r="C18" s="8" t="s">
        <v>40</v>
      </c>
      <c r="D18" s="8">
        <v>80</v>
      </c>
      <c r="E18" s="8" t="s">
        <v>41</v>
      </c>
      <c r="F18" t="s">
        <v>42</v>
      </c>
      <c r="G18" s="8">
        <v>5000</v>
      </c>
      <c r="H18" s="7">
        <v>46157</v>
      </c>
      <c r="I18" s="9">
        <v>270</v>
      </c>
    </row>
    <row r="19" spans="1:9" x14ac:dyDescent="0.3">
      <c r="A19" s="8" t="s">
        <v>38</v>
      </c>
      <c r="B19" s="8" t="s">
        <v>39</v>
      </c>
      <c r="C19" s="8" t="s">
        <v>40</v>
      </c>
      <c r="D19" s="8">
        <v>80</v>
      </c>
      <c r="E19" s="8" t="s">
        <v>41</v>
      </c>
      <c r="F19" t="s">
        <v>42</v>
      </c>
      <c r="G19" s="8">
        <v>5000</v>
      </c>
      <c r="H19" s="7">
        <v>46157</v>
      </c>
      <c r="I19" s="9">
        <v>270</v>
      </c>
    </row>
    <row r="20" spans="1:9" x14ac:dyDescent="0.3">
      <c r="A20" s="8" t="s">
        <v>38</v>
      </c>
      <c r="B20" s="8" t="s">
        <v>39</v>
      </c>
      <c r="C20" s="8" t="s">
        <v>40</v>
      </c>
      <c r="D20" s="8">
        <v>80</v>
      </c>
      <c r="E20" s="8" t="s">
        <v>41</v>
      </c>
      <c r="F20" t="s">
        <v>42</v>
      </c>
      <c r="G20" s="8">
        <v>5000</v>
      </c>
      <c r="H20" s="7">
        <v>46157</v>
      </c>
      <c r="I20" s="9">
        <v>270</v>
      </c>
    </row>
    <row r="21" spans="1:9" x14ac:dyDescent="0.3">
      <c r="A21" s="8" t="s">
        <v>38</v>
      </c>
      <c r="B21" s="8" t="s">
        <v>39</v>
      </c>
      <c r="C21" s="8" t="s">
        <v>40</v>
      </c>
      <c r="D21" s="8">
        <v>80</v>
      </c>
      <c r="E21" s="8" t="s">
        <v>41</v>
      </c>
      <c r="F21" t="s">
        <v>42</v>
      </c>
      <c r="G21" s="8">
        <v>5000</v>
      </c>
      <c r="H21" s="7">
        <v>46157</v>
      </c>
      <c r="I21" s="9">
        <v>270</v>
      </c>
    </row>
    <row r="22" spans="1:9" x14ac:dyDescent="0.3">
      <c r="A22" s="8" t="s">
        <v>38</v>
      </c>
      <c r="B22" s="8" t="s">
        <v>39</v>
      </c>
      <c r="C22" s="8" t="s">
        <v>40</v>
      </c>
      <c r="D22" s="8">
        <v>80</v>
      </c>
      <c r="E22" s="8" t="s">
        <v>41</v>
      </c>
      <c r="F22" t="s">
        <v>42</v>
      </c>
      <c r="G22" s="8">
        <v>5000</v>
      </c>
      <c r="H22" s="7">
        <v>46157</v>
      </c>
      <c r="I22" s="9">
        <v>270</v>
      </c>
    </row>
    <row r="23" spans="1:9" x14ac:dyDescent="0.3">
      <c r="A23" s="8" t="s">
        <v>38</v>
      </c>
      <c r="B23" s="8" t="s">
        <v>39</v>
      </c>
      <c r="C23" s="8" t="s">
        <v>40</v>
      </c>
      <c r="D23" s="8">
        <v>80</v>
      </c>
      <c r="E23" s="8" t="s">
        <v>41</v>
      </c>
      <c r="F23" t="s">
        <v>42</v>
      </c>
      <c r="G23" s="8">
        <v>5000</v>
      </c>
      <c r="H23" s="7">
        <v>46157</v>
      </c>
      <c r="I23" s="9">
        <v>270</v>
      </c>
    </row>
    <row r="24" spans="1:9" x14ac:dyDescent="0.3">
      <c r="A24" s="8" t="s">
        <v>38</v>
      </c>
      <c r="B24" s="8" t="s">
        <v>39</v>
      </c>
      <c r="C24" s="8" t="s">
        <v>40</v>
      </c>
      <c r="D24" s="8">
        <v>80</v>
      </c>
      <c r="E24" s="8" t="s">
        <v>41</v>
      </c>
      <c r="F24" t="s">
        <v>42</v>
      </c>
      <c r="G24" s="8">
        <v>5000</v>
      </c>
      <c r="H24" s="7">
        <v>46157</v>
      </c>
      <c r="I24" s="9">
        <v>270</v>
      </c>
    </row>
    <row r="25" spans="1:9" x14ac:dyDescent="0.3">
      <c r="A25" s="8" t="s">
        <v>43</v>
      </c>
      <c r="B25" s="8" t="s">
        <v>44</v>
      </c>
      <c r="C25" s="8" t="s">
        <v>40</v>
      </c>
      <c r="D25" s="8">
        <v>40</v>
      </c>
      <c r="E25" s="8" t="s">
        <v>45</v>
      </c>
      <c r="F25" t="s">
        <v>42</v>
      </c>
      <c r="G25" s="8">
        <v>5000</v>
      </c>
      <c r="H25" s="7">
        <v>46157</v>
      </c>
      <c r="I25" s="9">
        <v>270</v>
      </c>
    </row>
    <row r="26" spans="1:9" x14ac:dyDescent="0.3">
      <c r="A26" s="8" t="s">
        <v>43</v>
      </c>
      <c r="B26" s="8" t="s">
        <v>44</v>
      </c>
      <c r="C26" s="8" t="s">
        <v>40</v>
      </c>
      <c r="D26" s="8">
        <v>40</v>
      </c>
      <c r="E26" s="8" t="s">
        <v>45</v>
      </c>
      <c r="F26" t="s">
        <v>42</v>
      </c>
      <c r="G26" s="8">
        <v>5000</v>
      </c>
      <c r="H26" s="7">
        <v>46157</v>
      </c>
      <c r="I26" s="9">
        <v>270</v>
      </c>
    </row>
    <row r="27" spans="1:9" x14ac:dyDescent="0.3">
      <c r="A27" s="8" t="s">
        <v>43</v>
      </c>
      <c r="B27" s="8" t="s">
        <v>44</v>
      </c>
      <c r="C27" s="8" t="s">
        <v>40</v>
      </c>
      <c r="D27" s="8">
        <v>40</v>
      </c>
      <c r="E27" s="8" t="s">
        <v>45</v>
      </c>
      <c r="F27" t="s">
        <v>42</v>
      </c>
      <c r="G27" s="8">
        <v>5000</v>
      </c>
      <c r="H27" s="7">
        <v>46157</v>
      </c>
      <c r="I27" s="9">
        <v>270</v>
      </c>
    </row>
    <row r="28" spans="1:9" x14ac:dyDescent="0.3">
      <c r="A28" s="8" t="s">
        <v>43</v>
      </c>
      <c r="B28" s="8" t="s">
        <v>44</v>
      </c>
      <c r="C28" s="8" t="s">
        <v>40</v>
      </c>
      <c r="D28" s="8">
        <v>40</v>
      </c>
      <c r="E28" s="8" t="s">
        <v>45</v>
      </c>
      <c r="F28" t="s">
        <v>42</v>
      </c>
      <c r="G28" s="8">
        <v>5000</v>
      </c>
      <c r="H28" s="7">
        <v>46157</v>
      </c>
      <c r="I28" s="9">
        <v>270</v>
      </c>
    </row>
    <row r="29" spans="1:9" x14ac:dyDescent="0.3">
      <c r="A29" s="8" t="s">
        <v>43</v>
      </c>
      <c r="B29" s="8" t="s">
        <v>44</v>
      </c>
      <c r="C29" s="8" t="s">
        <v>40</v>
      </c>
      <c r="D29" s="8">
        <v>40</v>
      </c>
      <c r="E29" s="8" t="s">
        <v>45</v>
      </c>
      <c r="F29" t="s">
        <v>42</v>
      </c>
      <c r="G29" s="8">
        <v>5000</v>
      </c>
      <c r="H29" s="7">
        <v>46157</v>
      </c>
      <c r="I29" s="9">
        <v>270</v>
      </c>
    </row>
    <row r="30" spans="1:9" x14ac:dyDescent="0.3">
      <c r="A30" s="8" t="s">
        <v>43</v>
      </c>
      <c r="B30" s="8" t="s">
        <v>44</v>
      </c>
      <c r="C30" s="8" t="s">
        <v>40</v>
      </c>
      <c r="D30" s="8">
        <v>40</v>
      </c>
      <c r="E30" s="8" t="s">
        <v>45</v>
      </c>
      <c r="F30" t="s">
        <v>42</v>
      </c>
      <c r="G30" s="8">
        <v>5000</v>
      </c>
      <c r="H30" s="7">
        <v>46157</v>
      </c>
      <c r="I30" s="9">
        <v>270</v>
      </c>
    </row>
    <row r="31" spans="1:9" x14ac:dyDescent="0.3">
      <c r="A31" s="8" t="s">
        <v>43</v>
      </c>
      <c r="B31" s="8" t="s">
        <v>44</v>
      </c>
      <c r="C31" s="8" t="s">
        <v>40</v>
      </c>
      <c r="D31" s="8">
        <v>40</v>
      </c>
      <c r="E31" s="8" t="s">
        <v>45</v>
      </c>
      <c r="F31" t="s">
        <v>42</v>
      </c>
      <c r="G31" s="8">
        <v>5000</v>
      </c>
      <c r="H31" s="7">
        <v>46157</v>
      </c>
      <c r="I31" s="9">
        <v>270</v>
      </c>
    </row>
    <row r="32" spans="1:9" x14ac:dyDescent="0.3">
      <c r="A32" s="8" t="s">
        <v>43</v>
      </c>
      <c r="B32" s="8" t="s">
        <v>44</v>
      </c>
      <c r="C32" s="8" t="s">
        <v>40</v>
      </c>
      <c r="D32" s="8">
        <v>40</v>
      </c>
      <c r="E32" s="8" t="s">
        <v>45</v>
      </c>
      <c r="F32" t="s">
        <v>42</v>
      </c>
      <c r="G32" s="8">
        <v>5000</v>
      </c>
      <c r="H32" s="7">
        <v>46157</v>
      </c>
      <c r="I32" s="9">
        <v>270</v>
      </c>
    </row>
    <row r="33" spans="1:9" x14ac:dyDescent="0.3">
      <c r="A33" s="8" t="s">
        <v>43</v>
      </c>
      <c r="B33" s="8" t="s">
        <v>44</v>
      </c>
      <c r="C33" s="8" t="s">
        <v>40</v>
      </c>
      <c r="D33" s="8">
        <v>40</v>
      </c>
      <c r="E33" s="8" t="s">
        <v>45</v>
      </c>
      <c r="F33" t="s">
        <v>42</v>
      </c>
      <c r="G33" s="8">
        <v>5000</v>
      </c>
      <c r="H33" s="7">
        <v>46157</v>
      </c>
      <c r="I33" s="9">
        <v>270</v>
      </c>
    </row>
    <row r="34" spans="1:9" x14ac:dyDescent="0.3">
      <c r="A34" s="8" t="s">
        <v>46</v>
      </c>
      <c r="B34" s="8" t="s">
        <v>47</v>
      </c>
      <c r="C34" s="8" t="s">
        <v>48</v>
      </c>
      <c r="D34" s="8">
        <v>30</v>
      </c>
      <c r="E34" s="8" t="s">
        <v>49</v>
      </c>
      <c r="F34" t="s">
        <v>50</v>
      </c>
      <c r="G34" s="8">
        <v>3000</v>
      </c>
      <c r="H34" s="7">
        <v>46157</v>
      </c>
      <c r="I34" s="9">
        <v>300</v>
      </c>
    </row>
    <row r="35" spans="1:9" x14ac:dyDescent="0.3">
      <c r="A35" s="8" t="s">
        <v>51</v>
      </c>
      <c r="B35" s="8" t="s">
        <v>52</v>
      </c>
      <c r="C35" s="8" t="s">
        <v>32</v>
      </c>
      <c r="D35" s="8">
        <v>90</v>
      </c>
      <c r="E35" s="8" t="s">
        <v>53</v>
      </c>
      <c r="F35" t="s">
        <v>50</v>
      </c>
      <c r="G35" s="8">
        <v>3000</v>
      </c>
      <c r="H35" s="7">
        <v>46157</v>
      </c>
      <c r="I35" s="9">
        <v>4200</v>
      </c>
    </row>
    <row r="36" spans="1:9" x14ac:dyDescent="0.3">
      <c r="A36" s="8" t="s">
        <v>30</v>
      </c>
      <c r="B36" s="8" t="s">
        <v>31</v>
      </c>
      <c r="C36" s="8" t="s">
        <v>32</v>
      </c>
      <c r="D36" s="8">
        <v>105</v>
      </c>
      <c r="E36" s="8" t="s">
        <v>33</v>
      </c>
      <c r="F36" t="s">
        <v>34</v>
      </c>
      <c r="G36" s="9">
        <v>15000</v>
      </c>
      <c r="H36" s="7">
        <v>46164</v>
      </c>
      <c r="I36" s="9">
        <v>15000</v>
      </c>
    </row>
    <row r="37" spans="1:9" x14ac:dyDescent="0.3">
      <c r="A37" s="8" t="s">
        <v>30</v>
      </c>
      <c r="B37" s="8" t="s">
        <v>31</v>
      </c>
      <c r="C37" s="8" t="s">
        <v>32</v>
      </c>
      <c r="D37" s="8">
        <v>105</v>
      </c>
      <c r="E37" s="8" t="s">
        <v>33</v>
      </c>
      <c r="F37" t="s">
        <v>34</v>
      </c>
      <c r="G37" s="9">
        <v>15000</v>
      </c>
      <c r="H37" s="7">
        <v>46164</v>
      </c>
      <c r="I37" s="9">
        <v>5000</v>
      </c>
    </row>
    <row r="38" spans="1:9" x14ac:dyDescent="0.3">
      <c r="A38" s="8" t="s">
        <v>35</v>
      </c>
      <c r="B38" s="8" t="s">
        <v>36</v>
      </c>
      <c r="C38" s="8" t="s">
        <v>32</v>
      </c>
      <c r="D38" s="8">
        <v>55</v>
      </c>
      <c r="E38" s="8" t="s">
        <v>37</v>
      </c>
      <c r="F38" t="s">
        <v>34</v>
      </c>
      <c r="G38" s="9">
        <v>15000</v>
      </c>
      <c r="H38" s="7">
        <v>46164</v>
      </c>
      <c r="I38" s="9">
        <v>2270</v>
      </c>
    </row>
    <row r="39" spans="1:9" x14ac:dyDescent="0.3">
      <c r="A39" s="8" t="s">
        <v>35</v>
      </c>
      <c r="B39" s="8" t="s">
        <v>36</v>
      </c>
      <c r="C39" s="8" t="s">
        <v>32</v>
      </c>
      <c r="D39" s="8">
        <v>55</v>
      </c>
      <c r="E39" s="8" t="s">
        <v>37</v>
      </c>
      <c r="F39" t="s">
        <v>34</v>
      </c>
      <c r="G39" s="9">
        <v>15000</v>
      </c>
      <c r="H39" s="7">
        <v>46164</v>
      </c>
      <c r="I39" s="9">
        <v>1687</v>
      </c>
    </row>
    <row r="40" spans="1:9" x14ac:dyDescent="0.3">
      <c r="A40" s="8" t="s">
        <v>35</v>
      </c>
      <c r="B40" s="8" t="s">
        <v>36</v>
      </c>
      <c r="C40" s="8" t="s">
        <v>32</v>
      </c>
      <c r="D40" s="8">
        <v>55</v>
      </c>
      <c r="E40" s="8" t="s">
        <v>37</v>
      </c>
      <c r="F40" t="s">
        <v>34</v>
      </c>
      <c r="G40" s="9">
        <v>15000</v>
      </c>
      <c r="H40" s="7">
        <v>46164</v>
      </c>
      <c r="I40" s="9">
        <v>2058</v>
      </c>
    </row>
    <row r="41" spans="1:9" x14ac:dyDescent="0.3">
      <c r="A41" s="8" t="s">
        <v>35</v>
      </c>
      <c r="B41" s="8" t="s">
        <v>36</v>
      </c>
      <c r="C41" s="8" t="s">
        <v>32</v>
      </c>
      <c r="D41" s="8">
        <v>55</v>
      </c>
      <c r="E41" s="8" t="s">
        <v>37</v>
      </c>
      <c r="F41" t="s">
        <v>34</v>
      </c>
      <c r="G41" s="9">
        <v>15000</v>
      </c>
      <c r="H41" s="7">
        <v>46164</v>
      </c>
      <c r="I41" s="9">
        <v>2771</v>
      </c>
    </row>
    <row r="42" spans="1:9" x14ac:dyDescent="0.3">
      <c r="A42" s="8" t="s">
        <v>35</v>
      </c>
      <c r="B42" s="8" t="s">
        <v>36</v>
      </c>
      <c r="C42" s="8" t="s">
        <v>32</v>
      </c>
      <c r="D42" s="8">
        <v>55</v>
      </c>
      <c r="E42" s="8" t="s">
        <v>37</v>
      </c>
      <c r="F42" t="s">
        <v>34</v>
      </c>
      <c r="G42" s="9">
        <v>15000</v>
      </c>
      <c r="H42" s="7">
        <v>46164</v>
      </c>
      <c r="I42" s="9">
        <v>450</v>
      </c>
    </row>
    <row r="43" spans="1:9" x14ac:dyDescent="0.3">
      <c r="A43" s="8" t="s">
        <v>35</v>
      </c>
      <c r="B43" s="8" t="s">
        <v>36</v>
      </c>
      <c r="C43" s="8" t="s">
        <v>32</v>
      </c>
      <c r="D43" s="8">
        <v>55</v>
      </c>
      <c r="E43" s="8" t="s">
        <v>37</v>
      </c>
      <c r="F43" t="s">
        <v>34</v>
      </c>
      <c r="G43" s="9">
        <v>15000</v>
      </c>
      <c r="H43" s="7">
        <v>46164</v>
      </c>
      <c r="I43" s="9">
        <v>2771</v>
      </c>
    </row>
    <row r="44" spans="1:9" x14ac:dyDescent="0.3">
      <c r="A44" s="8" t="s">
        <v>35</v>
      </c>
      <c r="B44" s="8" t="s">
        <v>36</v>
      </c>
      <c r="C44" s="8" t="s">
        <v>32</v>
      </c>
      <c r="D44" s="8">
        <v>55</v>
      </c>
      <c r="E44" s="8" t="s">
        <v>37</v>
      </c>
      <c r="F44" t="s">
        <v>34</v>
      </c>
      <c r="G44" s="9">
        <v>15000</v>
      </c>
      <c r="H44" s="7">
        <v>46164</v>
      </c>
      <c r="I44" s="9">
        <v>2771</v>
      </c>
    </row>
    <row r="45" spans="1:9" x14ac:dyDescent="0.3">
      <c r="A45" s="8" t="s">
        <v>35</v>
      </c>
      <c r="B45" s="8" t="s">
        <v>36</v>
      </c>
      <c r="C45" s="8" t="s">
        <v>32</v>
      </c>
      <c r="D45" s="8">
        <v>55</v>
      </c>
      <c r="E45" s="8" t="s">
        <v>37</v>
      </c>
      <c r="F45" t="s">
        <v>34</v>
      </c>
      <c r="G45" s="9">
        <v>15000</v>
      </c>
      <c r="H45" s="7">
        <v>46164</v>
      </c>
      <c r="I45" s="9">
        <v>880</v>
      </c>
    </row>
    <row r="46" spans="1:9" x14ac:dyDescent="0.3">
      <c r="A46" s="8" t="s">
        <v>38</v>
      </c>
      <c r="B46" s="8" t="s">
        <v>39</v>
      </c>
      <c r="C46" s="8" t="s">
        <v>40</v>
      </c>
      <c r="D46" s="8">
        <v>80</v>
      </c>
      <c r="E46" s="8" t="s">
        <v>41</v>
      </c>
      <c r="F46" t="s">
        <v>42</v>
      </c>
      <c r="G46" s="8">
        <v>5000</v>
      </c>
      <c r="H46" s="7">
        <v>46164</v>
      </c>
      <c r="I46" s="9">
        <v>270</v>
      </c>
    </row>
    <row r="47" spans="1:9" x14ac:dyDescent="0.3">
      <c r="A47" s="8" t="s">
        <v>38</v>
      </c>
      <c r="B47" s="8" t="s">
        <v>39</v>
      </c>
      <c r="C47" s="8" t="s">
        <v>40</v>
      </c>
      <c r="D47" s="8">
        <v>80</v>
      </c>
      <c r="E47" s="8" t="s">
        <v>41</v>
      </c>
      <c r="F47" t="s">
        <v>42</v>
      </c>
      <c r="G47" s="8">
        <v>5000</v>
      </c>
      <c r="H47" s="7">
        <v>46164</v>
      </c>
      <c r="I47" s="9">
        <v>270</v>
      </c>
    </row>
    <row r="48" spans="1:9" x14ac:dyDescent="0.3">
      <c r="A48" s="8" t="s">
        <v>38</v>
      </c>
      <c r="B48" s="8" t="s">
        <v>39</v>
      </c>
      <c r="C48" s="8" t="s">
        <v>40</v>
      </c>
      <c r="D48" s="8">
        <v>80</v>
      </c>
      <c r="E48" s="8" t="s">
        <v>41</v>
      </c>
      <c r="F48" t="s">
        <v>42</v>
      </c>
      <c r="G48" s="8">
        <v>5000</v>
      </c>
      <c r="H48" s="7">
        <v>46164</v>
      </c>
      <c r="I48" s="9">
        <v>270</v>
      </c>
    </row>
    <row r="49" spans="1:9" x14ac:dyDescent="0.3">
      <c r="A49" s="8" t="s">
        <v>38</v>
      </c>
      <c r="B49" s="8" t="s">
        <v>39</v>
      </c>
      <c r="C49" s="8" t="s">
        <v>40</v>
      </c>
      <c r="D49" s="8">
        <v>80</v>
      </c>
      <c r="E49" s="8" t="s">
        <v>41</v>
      </c>
      <c r="F49" t="s">
        <v>42</v>
      </c>
      <c r="G49" s="8">
        <v>5000</v>
      </c>
      <c r="H49" s="7">
        <v>46164</v>
      </c>
      <c r="I49" s="9">
        <v>270</v>
      </c>
    </row>
    <row r="50" spans="1:9" x14ac:dyDescent="0.3">
      <c r="A50" s="8" t="s">
        <v>38</v>
      </c>
      <c r="B50" s="8" t="s">
        <v>39</v>
      </c>
      <c r="C50" s="8" t="s">
        <v>40</v>
      </c>
      <c r="D50" s="8">
        <v>80</v>
      </c>
      <c r="E50" s="8" t="s">
        <v>41</v>
      </c>
      <c r="F50" t="s">
        <v>42</v>
      </c>
      <c r="G50" s="8">
        <v>5000</v>
      </c>
      <c r="H50" s="7">
        <v>46164</v>
      </c>
      <c r="I50" s="9">
        <v>270</v>
      </c>
    </row>
    <row r="51" spans="1:9" x14ac:dyDescent="0.3">
      <c r="A51" s="8" t="s">
        <v>38</v>
      </c>
      <c r="B51" s="8" t="s">
        <v>39</v>
      </c>
      <c r="C51" s="8" t="s">
        <v>40</v>
      </c>
      <c r="D51" s="8">
        <v>80</v>
      </c>
      <c r="E51" s="8" t="s">
        <v>41</v>
      </c>
      <c r="F51" t="s">
        <v>42</v>
      </c>
      <c r="G51" s="8">
        <v>5000</v>
      </c>
      <c r="H51" s="7">
        <v>46164</v>
      </c>
      <c r="I51" s="9">
        <v>270</v>
      </c>
    </row>
    <row r="52" spans="1:9" x14ac:dyDescent="0.3">
      <c r="A52" s="8" t="s">
        <v>38</v>
      </c>
      <c r="B52" s="8" t="s">
        <v>39</v>
      </c>
      <c r="C52" s="8" t="s">
        <v>40</v>
      </c>
      <c r="D52" s="8">
        <v>80</v>
      </c>
      <c r="E52" s="8" t="s">
        <v>41</v>
      </c>
      <c r="F52" t="s">
        <v>42</v>
      </c>
      <c r="G52" s="8">
        <v>5000</v>
      </c>
      <c r="H52" s="7">
        <v>46164</v>
      </c>
      <c r="I52" s="9">
        <v>270</v>
      </c>
    </row>
    <row r="53" spans="1:9" x14ac:dyDescent="0.3">
      <c r="A53" s="8" t="s">
        <v>38</v>
      </c>
      <c r="B53" s="8" t="s">
        <v>39</v>
      </c>
      <c r="C53" s="8" t="s">
        <v>40</v>
      </c>
      <c r="D53" s="8">
        <v>80</v>
      </c>
      <c r="E53" s="8" t="s">
        <v>41</v>
      </c>
      <c r="F53" t="s">
        <v>42</v>
      </c>
      <c r="G53" s="8">
        <v>5000</v>
      </c>
      <c r="H53" s="7">
        <v>46164</v>
      </c>
      <c r="I53" s="9">
        <v>270</v>
      </c>
    </row>
    <row r="54" spans="1:9" x14ac:dyDescent="0.3">
      <c r="A54" s="8" t="s">
        <v>38</v>
      </c>
      <c r="B54" s="8" t="s">
        <v>39</v>
      </c>
      <c r="C54" s="8" t="s">
        <v>40</v>
      </c>
      <c r="D54" s="8">
        <v>80</v>
      </c>
      <c r="E54" s="8" t="s">
        <v>41</v>
      </c>
      <c r="F54" t="s">
        <v>42</v>
      </c>
      <c r="G54" s="8">
        <v>5000</v>
      </c>
      <c r="H54" s="7">
        <v>46164</v>
      </c>
      <c r="I54" s="9">
        <v>270</v>
      </c>
    </row>
    <row r="55" spans="1:9" x14ac:dyDescent="0.3">
      <c r="A55" s="8" t="s">
        <v>38</v>
      </c>
      <c r="B55" s="8" t="s">
        <v>39</v>
      </c>
      <c r="C55" s="8" t="s">
        <v>40</v>
      </c>
      <c r="D55" s="8">
        <v>80</v>
      </c>
      <c r="E55" s="8" t="s">
        <v>41</v>
      </c>
      <c r="F55" t="s">
        <v>42</v>
      </c>
      <c r="G55" s="8">
        <v>5000</v>
      </c>
      <c r="H55" s="7">
        <v>46164</v>
      </c>
      <c r="I55" s="9">
        <v>270</v>
      </c>
    </row>
    <row r="56" spans="1:9" x14ac:dyDescent="0.3">
      <c r="A56" s="8" t="s">
        <v>38</v>
      </c>
      <c r="B56" s="8" t="s">
        <v>39</v>
      </c>
      <c r="C56" s="8" t="s">
        <v>40</v>
      </c>
      <c r="D56" s="8">
        <v>80</v>
      </c>
      <c r="E56" s="8" t="s">
        <v>41</v>
      </c>
      <c r="F56" t="s">
        <v>42</v>
      </c>
      <c r="G56" s="8">
        <v>5000</v>
      </c>
      <c r="H56" s="7">
        <v>46164</v>
      </c>
      <c r="I56" s="9">
        <v>270</v>
      </c>
    </row>
    <row r="57" spans="1:9" x14ac:dyDescent="0.3">
      <c r="A57" s="8" t="s">
        <v>38</v>
      </c>
      <c r="B57" s="8" t="s">
        <v>39</v>
      </c>
      <c r="C57" s="8" t="s">
        <v>40</v>
      </c>
      <c r="D57" s="8">
        <v>80</v>
      </c>
      <c r="E57" s="8" t="s">
        <v>41</v>
      </c>
      <c r="F57" t="s">
        <v>42</v>
      </c>
      <c r="G57" s="8">
        <v>5000</v>
      </c>
      <c r="H57" s="7">
        <v>46164</v>
      </c>
      <c r="I57" s="9">
        <v>270</v>
      </c>
    </row>
    <row r="58" spans="1:9" x14ac:dyDescent="0.3">
      <c r="A58" s="8" t="s">
        <v>38</v>
      </c>
      <c r="B58" s="8" t="s">
        <v>39</v>
      </c>
      <c r="C58" s="8" t="s">
        <v>40</v>
      </c>
      <c r="D58" s="8">
        <v>80</v>
      </c>
      <c r="E58" s="8" t="s">
        <v>41</v>
      </c>
      <c r="F58" t="s">
        <v>42</v>
      </c>
      <c r="G58" s="8">
        <v>5000</v>
      </c>
      <c r="H58" s="7">
        <v>46164</v>
      </c>
      <c r="I58" s="9">
        <v>270</v>
      </c>
    </row>
    <row r="59" spans="1:9" x14ac:dyDescent="0.3">
      <c r="A59" s="8" t="s">
        <v>38</v>
      </c>
      <c r="B59" s="8" t="s">
        <v>39</v>
      </c>
      <c r="C59" s="8" t="s">
        <v>40</v>
      </c>
      <c r="D59" s="8">
        <v>80</v>
      </c>
      <c r="E59" s="8" t="s">
        <v>41</v>
      </c>
      <c r="F59" t="s">
        <v>42</v>
      </c>
      <c r="G59" s="8">
        <v>5000</v>
      </c>
      <c r="H59" s="7">
        <v>46164</v>
      </c>
      <c r="I59" s="9">
        <v>270</v>
      </c>
    </row>
    <row r="60" spans="1:9" x14ac:dyDescent="0.3">
      <c r="A60" s="8" t="s">
        <v>38</v>
      </c>
      <c r="B60" s="8" t="s">
        <v>39</v>
      </c>
      <c r="C60" s="8" t="s">
        <v>40</v>
      </c>
      <c r="D60" s="8">
        <v>80</v>
      </c>
      <c r="E60" s="8" t="s">
        <v>41</v>
      </c>
      <c r="F60" t="s">
        <v>42</v>
      </c>
      <c r="G60" s="8">
        <v>5000</v>
      </c>
      <c r="H60" s="7">
        <v>46164</v>
      </c>
      <c r="I60" s="9">
        <v>270</v>
      </c>
    </row>
    <row r="61" spans="1:9" x14ac:dyDescent="0.3">
      <c r="A61" s="8" t="s">
        <v>38</v>
      </c>
      <c r="B61" s="8" t="s">
        <v>39</v>
      </c>
      <c r="C61" s="8" t="s">
        <v>40</v>
      </c>
      <c r="D61" s="8">
        <v>80</v>
      </c>
      <c r="E61" s="8" t="s">
        <v>41</v>
      </c>
      <c r="F61" t="s">
        <v>42</v>
      </c>
      <c r="G61" s="8">
        <v>5000</v>
      </c>
      <c r="H61" s="7">
        <v>46164</v>
      </c>
      <c r="I61" s="9">
        <v>270</v>
      </c>
    </row>
    <row r="62" spans="1:9" x14ac:dyDescent="0.3">
      <c r="A62" s="8" t="s">
        <v>38</v>
      </c>
      <c r="B62" s="8" t="s">
        <v>39</v>
      </c>
      <c r="C62" s="8" t="s">
        <v>40</v>
      </c>
      <c r="D62" s="8">
        <v>80</v>
      </c>
      <c r="E62" s="8" t="s">
        <v>41</v>
      </c>
      <c r="F62" t="s">
        <v>42</v>
      </c>
      <c r="G62" s="8">
        <v>5000</v>
      </c>
      <c r="H62" s="7">
        <v>46164</v>
      </c>
      <c r="I62" s="9">
        <v>270</v>
      </c>
    </row>
    <row r="63" spans="1:9" x14ac:dyDescent="0.3">
      <c r="A63" s="8" t="s">
        <v>38</v>
      </c>
      <c r="B63" s="8" t="s">
        <v>39</v>
      </c>
      <c r="C63" s="8" t="s">
        <v>40</v>
      </c>
      <c r="D63" s="8">
        <v>80</v>
      </c>
      <c r="E63" s="8" t="s">
        <v>41</v>
      </c>
      <c r="F63" t="s">
        <v>42</v>
      </c>
      <c r="G63" s="8">
        <v>5000</v>
      </c>
      <c r="H63" s="7">
        <v>46164</v>
      </c>
      <c r="I63" s="9">
        <v>270</v>
      </c>
    </row>
    <row r="64" spans="1:9" x14ac:dyDescent="0.3">
      <c r="A64" s="8" t="s">
        <v>38</v>
      </c>
      <c r="B64" s="8" t="s">
        <v>39</v>
      </c>
      <c r="C64" s="8" t="s">
        <v>40</v>
      </c>
      <c r="D64" s="8">
        <v>80</v>
      </c>
      <c r="E64" s="8" t="s">
        <v>41</v>
      </c>
      <c r="F64" t="s">
        <v>42</v>
      </c>
      <c r="G64" s="8">
        <v>5000</v>
      </c>
      <c r="H64" s="7">
        <v>46164</v>
      </c>
      <c r="I64" s="9">
        <v>270</v>
      </c>
    </row>
    <row r="65" spans="1:9" x14ac:dyDescent="0.3">
      <c r="A65" s="8" t="s">
        <v>38</v>
      </c>
      <c r="B65" s="8" t="s">
        <v>39</v>
      </c>
      <c r="C65" s="8" t="s">
        <v>40</v>
      </c>
      <c r="D65" s="8">
        <v>80</v>
      </c>
      <c r="E65" s="8" t="s">
        <v>41</v>
      </c>
      <c r="F65" t="s">
        <v>42</v>
      </c>
      <c r="G65" s="8">
        <v>5000</v>
      </c>
      <c r="H65" s="7">
        <v>46164</v>
      </c>
      <c r="I65" s="9">
        <v>270</v>
      </c>
    </row>
    <row r="66" spans="1:9" x14ac:dyDescent="0.3">
      <c r="A66" s="8" t="s">
        <v>38</v>
      </c>
      <c r="B66" s="8" t="s">
        <v>39</v>
      </c>
      <c r="C66" s="8" t="s">
        <v>40</v>
      </c>
      <c r="D66" s="8">
        <v>80</v>
      </c>
      <c r="E66" s="8" t="s">
        <v>41</v>
      </c>
      <c r="F66" t="s">
        <v>42</v>
      </c>
      <c r="G66" s="8">
        <v>5000</v>
      </c>
      <c r="H66" s="7">
        <v>46164</v>
      </c>
      <c r="I66" s="9">
        <v>270</v>
      </c>
    </row>
    <row r="67" spans="1:9" x14ac:dyDescent="0.3">
      <c r="A67" s="8" t="s">
        <v>38</v>
      </c>
      <c r="B67" s="8" t="s">
        <v>39</v>
      </c>
      <c r="C67" s="8" t="s">
        <v>40</v>
      </c>
      <c r="D67" s="8">
        <v>80</v>
      </c>
      <c r="E67" s="8" t="s">
        <v>41</v>
      </c>
      <c r="F67" t="s">
        <v>42</v>
      </c>
      <c r="G67" s="8">
        <v>5000</v>
      </c>
      <c r="H67" s="7">
        <v>46164</v>
      </c>
      <c r="I67" s="9">
        <v>270</v>
      </c>
    </row>
    <row r="68" spans="1:9" x14ac:dyDescent="0.3">
      <c r="A68" s="8" t="s">
        <v>38</v>
      </c>
      <c r="B68" s="8" t="s">
        <v>39</v>
      </c>
      <c r="C68" s="8" t="s">
        <v>40</v>
      </c>
      <c r="D68" s="8">
        <v>80</v>
      </c>
      <c r="E68" s="8" t="s">
        <v>41</v>
      </c>
      <c r="F68" t="s">
        <v>42</v>
      </c>
      <c r="G68" s="8">
        <v>5000</v>
      </c>
      <c r="H68" s="7">
        <v>46164</v>
      </c>
      <c r="I68" s="9">
        <v>270</v>
      </c>
    </row>
    <row r="69" spans="1:9" x14ac:dyDescent="0.3">
      <c r="A69" s="8" t="s">
        <v>38</v>
      </c>
      <c r="B69" s="8" t="s">
        <v>39</v>
      </c>
      <c r="C69" s="8" t="s">
        <v>40</v>
      </c>
      <c r="D69" s="8">
        <v>80</v>
      </c>
      <c r="E69" s="8" t="s">
        <v>41</v>
      </c>
      <c r="F69" t="s">
        <v>42</v>
      </c>
      <c r="G69" s="8">
        <v>5000</v>
      </c>
      <c r="H69" s="7">
        <v>46164</v>
      </c>
      <c r="I69" s="9">
        <v>270</v>
      </c>
    </row>
    <row r="70" spans="1:9" x14ac:dyDescent="0.3">
      <c r="A70" s="8" t="s">
        <v>38</v>
      </c>
      <c r="B70" s="8" t="s">
        <v>39</v>
      </c>
      <c r="C70" s="8" t="s">
        <v>40</v>
      </c>
      <c r="D70" s="8">
        <v>80</v>
      </c>
      <c r="E70" s="8" t="s">
        <v>41</v>
      </c>
      <c r="F70" t="s">
        <v>42</v>
      </c>
      <c r="G70" s="8">
        <v>5000</v>
      </c>
      <c r="H70" s="7">
        <v>46164</v>
      </c>
      <c r="I70" s="9">
        <v>270</v>
      </c>
    </row>
    <row r="71" spans="1:9" x14ac:dyDescent="0.3">
      <c r="A71" s="8" t="s">
        <v>38</v>
      </c>
      <c r="B71" s="8" t="s">
        <v>39</v>
      </c>
      <c r="C71" s="8" t="s">
        <v>40</v>
      </c>
      <c r="D71" s="8">
        <v>80</v>
      </c>
      <c r="E71" s="8" t="s">
        <v>41</v>
      </c>
      <c r="F71" t="s">
        <v>42</v>
      </c>
      <c r="G71" s="8">
        <v>5000</v>
      </c>
      <c r="H71" s="7">
        <v>46164</v>
      </c>
      <c r="I71" s="9">
        <v>270</v>
      </c>
    </row>
    <row r="72" spans="1:9" x14ac:dyDescent="0.3">
      <c r="A72" s="8" t="s">
        <v>38</v>
      </c>
      <c r="B72" s="8" t="s">
        <v>39</v>
      </c>
      <c r="C72" s="8" t="s">
        <v>40</v>
      </c>
      <c r="D72" s="8">
        <v>80</v>
      </c>
      <c r="E72" s="8" t="s">
        <v>41</v>
      </c>
      <c r="F72" t="s">
        <v>42</v>
      </c>
      <c r="G72" s="8">
        <v>5000</v>
      </c>
      <c r="H72" s="7">
        <v>46164</v>
      </c>
      <c r="I72" s="9">
        <v>270</v>
      </c>
    </row>
    <row r="73" spans="1:9" x14ac:dyDescent="0.3">
      <c r="A73" s="8" t="s">
        <v>38</v>
      </c>
      <c r="B73" s="8" t="s">
        <v>39</v>
      </c>
      <c r="C73" s="8" t="s">
        <v>40</v>
      </c>
      <c r="D73" s="8">
        <v>80</v>
      </c>
      <c r="E73" s="8" t="s">
        <v>41</v>
      </c>
      <c r="F73" t="s">
        <v>42</v>
      </c>
      <c r="G73" s="8">
        <v>5000</v>
      </c>
      <c r="H73" s="7">
        <v>46164</v>
      </c>
      <c r="I73" s="9">
        <v>270</v>
      </c>
    </row>
    <row r="74" spans="1:9" x14ac:dyDescent="0.3">
      <c r="A74" s="8" t="s">
        <v>38</v>
      </c>
      <c r="B74" s="8" t="s">
        <v>39</v>
      </c>
      <c r="C74" s="8" t="s">
        <v>40</v>
      </c>
      <c r="D74" s="8">
        <v>80</v>
      </c>
      <c r="E74" s="8" t="s">
        <v>41</v>
      </c>
      <c r="F74" t="s">
        <v>42</v>
      </c>
      <c r="G74" s="8">
        <v>5000</v>
      </c>
      <c r="H74" s="7">
        <v>46164</v>
      </c>
      <c r="I74" s="9">
        <v>270</v>
      </c>
    </row>
    <row r="75" spans="1:9" x14ac:dyDescent="0.3">
      <c r="A75" s="8" t="s">
        <v>38</v>
      </c>
      <c r="B75" s="8" t="s">
        <v>39</v>
      </c>
      <c r="C75" s="8" t="s">
        <v>40</v>
      </c>
      <c r="D75" s="8">
        <v>80</v>
      </c>
      <c r="E75" s="8" t="s">
        <v>41</v>
      </c>
      <c r="F75" t="s">
        <v>42</v>
      </c>
      <c r="G75" s="8">
        <v>5000</v>
      </c>
      <c r="H75" s="7">
        <v>46164</v>
      </c>
      <c r="I75" s="9">
        <v>270</v>
      </c>
    </row>
    <row r="76" spans="1:9" x14ac:dyDescent="0.3">
      <c r="A76" s="8" t="s">
        <v>38</v>
      </c>
      <c r="B76" s="8" t="s">
        <v>39</v>
      </c>
      <c r="C76" s="8" t="s">
        <v>40</v>
      </c>
      <c r="D76" s="8">
        <v>80</v>
      </c>
      <c r="E76" s="8" t="s">
        <v>41</v>
      </c>
      <c r="F76" t="s">
        <v>42</v>
      </c>
      <c r="G76" s="8">
        <v>5000</v>
      </c>
      <c r="H76" s="7">
        <v>46164</v>
      </c>
      <c r="I76" s="9">
        <v>270</v>
      </c>
    </row>
    <row r="77" spans="1:9" x14ac:dyDescent="0.3">
      <c r="A77" s="8" t="s">
        <v>43</v>
      </c>
      <c r="B77" s="8" t="s">
        <v>44</v>
      </c>
      <c r="C77" s="8" t="s">
        <v>40</v>
      </c>
      <c r="D77" s="8">
        <v>40</v>
      </c>
      <c r="E77" s="8" t="s">
        <v>45</v>
      </c>
      <c r="F77" t="s">
        <v>42</v>
      </c>
      <c r="G77" s="8">
        <v>5000</v>
      </c>
      <c r="H77" s="7">
        <v>46164</v>
      </c>
      <c r="I77" s="9">
        <v>270</v>
      </c>
    </row>
    <row r="78" spans="1:9" x14ac:dyDescent="0.3">
      <c r="A78" s="8" t="s">
        <v>43</v>
      </c>
      <c r="B78" s="8" t="s">
        <v>44</v>
      </c>
      <c r="C78" s="8" t="s">
        <v>40</v>
      </c>
      <c r="D78" s="8">
        <v>40</v>
      </c>
      <c r="E78" s="8" t="s">
        <v>45</v>
      </c>
      <c r="F78" t="s">
        <v>42</v>
      </c>
      <c r="G78" s="8">
        <v>5000</v>
      </c>
      <c r="H78" s="7">
        <v>46164</v>
      </c>
      <c r="I78" s="9">
        <v>270</v>
      </c>
    </row>
    <row r="79" spans="1:9" x14ac:dyDescent="0.3">
      <c r="A79" s="8" t="s">
        <v>43</v>
      </c>
      <c r="B79" s="8" t="s">
        <v>44</v>
      </c>
      <c r="C79" s="8" t="s">
        <v>40</v>
      </c>
      <c r="D79" s="8">
        <v>40</v>
      </c>
      <c r="E79" s="8" t="s">
        <v>45</v>
      </c>
      <c r="F79" t="s">
        <v>42</v>
      </c>
      <c r="G79" s="8">
        <v>5000</v>
      </c>
      <c r="H79" s="7">
        <v>46164</v>
      </c>
      <c r="I79" s="9">
        <v>270</v>
      </c>
    </row>
    <row r="80" spans="1:9" x14ac:dyDescent="0.3">
      <c r="A80" s="8" t="s">
        <v>43</v>
      </c>
      <c r="B80" s="8" t="s">
        <v>44</v>
      </c>
      <c r="C80" s="8" t="s">
        <v>40</v>
      </c>
      <c r="D80" s="8">
        <v>40</v>
      </c>
      <c r="E80" s="8" t="s">
        <v>45</v>
      </c>
      <c r="F80" t="s">
        <v>42</v>
      </c>
      <c r="G80" s="8">
        <v>5000</v>
      </c>
      <c r="H80" s="7">
        <v>46164</v>
      </c>
      <c r="I80" s="9">
        <v>270</v>
      </c>
    </row>
    <row r="81" spans="1:9" x14ac:dyDescent="0.3">
      <c r="A81" s="8" t="s">
        <v>43</v>
      </c>
      <c r="B81" s="8" t="s">
        <v>44</v>
      </c>
      <c r="C81" s="8" t="s">
        <v>40</v>
      </c>
      <c r="D81" s="8">
        <v>40</v>
      </c>
      <c r="E81" s="8" t="s">
        <v>45</v>
      </c>
      <c r="F81" t="s">
        <v>42</v>
      </c>
      <c r="G81" s="8">
        <v>5000</v>
      </c>
      <c r="H81" s="7">
        <v>46164</v>
      </c>
      <c r="I81" s="9">
        <v>270</v>
      </c>
    </row>
    <row r="82" spans="1:9" x14ac:dyDescent="0.3">
      <c r="A82" s="8" t="s">
        <v>43</v>
      </c>
      <c r="B82" s="8" t="s">
        <v>44</v>
      </c>
      <c r="C82" s="8" t="s">
        <v>40</v>
      </c>
      <c r="D82" s="8">
        <v>40</v>
      </c>
      <c r="E82" s="8" t="s">
        <v>45</v>
      </c>
      <c r="F82" t="s">
        <v>42</v>
      </c>
      <c r="G82" s="8">
        <v>5000</v>
      </c>
      <c r="H82" s="7">
        <v>46164</v>
      </c>
      <c r="I82" s="9">
        <v>270</v>
      </c>
    </row>
    <row r="83" spans="1:9" x14ac:dyDescent="0.3">
      <c r="A83" s="8" t="s">
        <v>43</v>
      </c>
      <c r="B83" s="8" t="s">
        <v>44</v>
      </c>
      <c r="C83" s="8" t="s">
        <v>40</v>
      </c>
      <c r="D83" s="8">
        <v>40</v>
      </c>
      <c r="E83" s="8" t="s">
        <v>45</v>
      </c>
      <c r="F83" t="s">
        <v>42</v>
      </c>
      <c r="G83" s="8">
        <v>5000</v>
      </c>
      <c r="H83" s="7">
        <v>46164</v>
      </c>
      <c r="I83" s="9">
        <v>270</v>
      </c>
    </row>
    <row r="84" spans="1:9" x14ac:dyDescent="0.3">
      <c r="A84" s="8" t="s">
        <v>43</v>
      </c>
      <c r="B84" s="8" t="s">
        <v>44</v>
      </c>
      <c r="C84" s="8" t="s">
        <v>40</v>
      </c>
      <c r="D84" s="8">
        <v>40</v>
      </c>
      <c r="E84" s="8" t="s">
        <v>45</v>
      </c>
      <c r="F84" t="s">
        <v>42</v>
      </c>
      <c r="G84" s="8">
        <v>5000</v>
      </c>
      <c r="H84" s="7">
        <v>46164</v>
      </c>
      <c r="I84" s="9">
        <v>270</v>
      </c>
    </row>
    <row r="85" spans="1:9" x14ac:dyDescent="0.3">
      <c r="A85" s="8" t="s">
        <v>43</v>
      </c>
      <c r="B85" s="8" t="s">
        <v>44</v>
      </c>
      <c r="C85" s="8" t="s">
        <v>40</v>
      </c>
      <c r="D85" s="8">
        <v>40</v>
      </c>
      <c r="E85" s="8" t="s">
        <v>45</v>
      </c>
      <c r="F85" t="s">
        <v>42</v>
      </c>
      <c r="G85" s="8">
        <v>5000</v>
      </c>
      <c r="H85" s="7">
        <v>46164</v>
      </c>
      <c r="I85" s="9">
        <v>270</v>
      </c>
    </row>
    <row r="86" spans="1:9" x14ac:dyDescent="0.3">
      <c r="A86" s="8" t="s">
        <v>43</v>
      </c>
      <c r="B86" s="8" t="s">
        <v>44</v>
      </c>
      <c r="C86" s="8" t="s">
        <v>40</v>
      </c>
      <c r="D86" s="8">
        <v>40</v>
      </c>
      <c r="E86" s="8" t="s">
        <v>45</v>
      </c>
      <c r="F86" t="s">
        <v>42</v>
      </c>
      <c r="G86" s="8">
        <v>5000</v>
      </c>
      <c r="H86" s="7">
        <v>46164</v>
      </c>
      <c r="I86" s="9">
        <v>270</v>
      </c>
    </row>
    <row r="87" spans="1:9" x14ac:dyDescent="0.3">
      <c r="A87" s="8" t="s">
        <v>43</v>
      </c>
      <c r="B87" s="8" t="s">
        <v>44</v>
      </c>
      <c r="C87" s="8" t="s">
        <v>40</v>
      </c>
      <c r="D87" s="8">
        <v>40</v>
      </c>
      <c r="E87" s="8" t="s">
        <v>45</v>
      </c>
      <c r="F87" t="s">
        <v>42</v>
      </c>
      <c r="G87" s="8">
        <v>5000</v>
      </c>
      <c r="H87" s="7">
        <v>46164</v>
      </c>
      <c r="I87" s="9">
        <v>270</v>
      </c>
    </row>
    <row r="88" spans="1:9" x14ac:dyDescent="0.3">
      <c r="A88" s="8" t="s">
        <v>43</v>
      </c>
      <c r="B88" s="8" t="s">
        <v>44</v>
      </c>
      <c r="C88" s="8" t="s">
        <v>40</v>
      </c>
      <c r="D88" s="8">
        <v>40</v>
      </c>
      <c r="E88" s="8" t="s">
        <v>45</v>
      </c>
      <c r="F88" t="s">
        <v>42</v>
      </c>
      <c r="G88" s="8">
        <v>5000</v>
      </c>
      <c r="H88" s="7">
        <v>46164</v>
      </c>
      <c r="I88" s="9">
        <v>270</v>
      </c>
    </row>
    <row r="89" spans="1:9" x14ac:dyDescent="0.3">
      <c r="A89" s="8" t="s">
        <v>43</v>
      </c>
      <c r="B89" s="8" t="s">
        <v>44</v>
      </c>
      <c r="C89" s="8" t="s">
        <v>40</v>
      </c>
      <c r="D89" s="8">
        <v>40</v>
      </c>
      <c r="E89" s="8" t="s">
        <v>45</v>
      </c>
      <c r="F89" t="s">
        <v>42</v>
      </c>
      <c r="G89" s="8">
        <v>5000</v>
      </c>
      <c r="H89" s="7">
        <v>46164</v>
      </c>
      <c r="I89" s="9">
        <v>270</v>
      </c>
    </row>
    <row r="90" spans="1:9" x14ac:dyDescent="0.3">
      <c r="A90" s="8" t="s">
        <v>43</v>
      </c>
      <c r="B90" s="8" t="s">
        <v>44</v>
      </c>
      <c r="C90" s="8" t="s">
        <v>40</v>
      </c>
      <c r="D90" s="8">
        <v>40</v>
      </c>
      <c r="E90" s="8" t="s">
        <v>45</v>
      </c>
      <c r="F90" t="s">
        <v>42</v>
      </c>
      <c r="G90" s="8">
        <v>5000</v>
      </c>
      <c r="H90" s="7">
        <v>46164</v>
      </c>
      <c r="I90" s="9">
        <v>270</v>
      </c>
    </row>
    <row r="91" spans="1:9" x14ac:dyDescent="0.3">
      <c r="A91" s="8" t="s">
        <v>43</v>
      </c>
      <c r="B91" s="8" t="s">
        <v>44</v>
      </c>
      <c r="C91" s="8" t="s">
        <v>40</v>
      </c>
      <c r="D91" s="8">
        <v>40</v>
      </c>
      <c r="E91" s="8" t="s">
        <v>45</v>
      </c>
      <c r="F91" t="s">
        <v>42</v>
      </c>
      <c r="G91" s="8">
        <v>5000</v>
      </c>
      <c r="H91" s="7">
        <v>46164</v>
      </c>
      <c r="I91" s="9">
        <v>270</v>
      </c>
    </row>
    <row r="92" spans="1:9" x14ac:dyDescent="0.3">
      <c r="A92" s="8" t="s">
        <v>43</v>
      </c>
      <c r="B92" s="8" t="s">
        <v>44</v>
      </c>
      <c r="C92" s="8" t="s">
        <v>40</v>
      </c>
      <c r="D92" s="8">
        <v>40</v>
      </c>
      <c r="E92" s="8" t="s">
        <v>45</v>
      </c>
      <c r="F92" t="s">
        <v>42</v>
      </c>
      <c r="G92" s="8">
        <v>5000</v>
      </c>
      <c r="H92" s="7">
        <v>46164</v>
      </c>
      <c r="I92" s="9">
        <v>270</v>
      </c>
    </row>
    <row r="93" spans="1:9" x14ac:dyDescent="0.3">
      <c r="A93" s="8" t="s">
        <v>43</v>
      </c>
      <c r="B93" s="8" t="s">
        <v>44</v>
      </c>
      <c r="C93" s="8" t="s">
        <v>40</v>
      </c>
      <c r="D93" s="8">
        <v>40</v>
      </c>
      <c r="E93" s="8" t="s">
        <v>45</v>
      </c>
      <c r="F93" t="s">
        <v>42</v>
      </c>
      <c r="G93" s="8">
        <v>5000</v>
      </c>
      <c r="H93" s="7">
        <v>46164</v>
      </c>
      <c r="I93" s="9">
        <v>270</v>
      </c>
    </row>
    <row r="94" spans="1:9" x14ac:dyDescent="0.3">
      <c r="A94" s="8" t="s">
        <v>43</v>
      </c>
      <c r="B94" s="8" t="s">
        <v>44</v>
      </c>
      <c r="C94" s="8" t="s">
        <v>40</v>
      </c>
      <c r="D94" s="8">
        <v>40</v>
      </c>
      <c r="E94" s="8" t="s">
        <v>45</v>
      </c>
      <c r="F94" t="s">
        <v>42</v>
      </c>
      <c r="G94" s="8">
        <v>5000</v>
      </c>
      <c r="H94" s="7">
        <v>46164</v>
      </c>
      <c r="I94" s="9">
        <v>270</v>
      </c>
    </row>
    <row r="95" spans="1:9" x14ac:dyDescent="0.3">
      <c r="A95" s="8" t="s">
        <v>43</v>
      </c>
      <c r="B95" s="8" t="s">
        <v>44</v>
      </c>
      <c r="C95" s="8" t="s">
        <v>40</v>
      </c>
      <c r="D95" s="8">
        <v>40</v>
      </c>
      <c r="E95" s="8" t="s">
        <v>45</v>
      </c>
      <c r="F95" t="s">
        <v>42</v>
      </c>
      <c r="G95" s="8">
        <v>5000</v>
      </c>
      <c r="H95" s="7">
        <v>46164</v>
      </c>
      <c r="I95" s="9">
        <v>270</v>
      </c>
    </row>
    <row r="96" spans="1:9" x14ac:dyDescent="0.3">
      <c r="A96" s="8" t="s">
        <v>43</v>
      </c>
      <c r="B96" s="8" t="s">
        <v>44</v>
      </c>
      <c r="C96" s="8" t="s">
        <v>40</v>
      </c>
      <c r="D96" s="8">
        <v>40</v>
      </c>
      <c r="E96" s="8" t="s">
        <v>45</v>
      </c>
      <c r="F96" t="s">
        <v>42</v>
      </c>
      <c r="G96" s="8">
        <v>5000</v>
      </c>
      <c r="H96" s="7">
        <v>46164</v>
      </c>
      <c r="I96" s="9">
        <v>270</v>
      </c>
    </row>
    <row r="97" spans="1:9" x14ac:dyDescent="0.3">
      <c r="A97" s="8" t="s">
        <v>43</v>
      </c>
      <c r="B97" s="8" t="s">
        <v>44</v>
      </c>
      <c r="C97" s="8" t="s">
        <v>40</v>
      </c>
      <c r="D97" s="8">
        <v>40</v>
      </c>
      <c r="E97" s="8" t="s">
        <v>45</v>
      </c>
      <c r="F97" t="s">
        <v>42</v>
      </c>
      <c r="G97" s="8">
        <v>5000</v>
      </c>
      <c r="H97" s="7">
        <v>46164</v>
      </c>
      <c r="I97" s="9">
        <v>270</v>
      </c>
    </row>
    <row r="98" spans="1:9" x14ac:dyDescent="0.3">
      <c r="A98" s="8" t="s">
        <v>43</v>
      </c>
      <c r="B98" s="8" t="s">
        <v>44</v>
      </c>
      <c r="C98" s="8" t="s">
        <v>40</v>
      </c>
      <c r="D98" s="8">
        <v>40</v>
      </c>
      <c r="E98" s="8" t="s">
        <v>45</v>
      </c>
      <c r="F98" t="s">
        <v>42</v>
      </c>
      <c r="G98" s="8">
        <v>5000</v>
      </c>
      <c r="H98" s="7">
        <v>46164</v>
      </c>
      <c r="I98" s="9">
        <v>270</v>
      </c>
    </row>
    <row r="99" spans="1:9" x14ac:dyDescent="0.3">
      <c r="A99" s="8" t="s">
        <v>43</v>
      </c>
      <c r="B99" s="8" t="s">
        <v>44</v>
      </c>
      <c r="C99" s="8" t="s">
        <v>40</v>
      </c>
      <c r="D99" s="8">
        <v>40</v>
      </c>
      <c r="E99" s="8" t="s">
        <v>45</v>
      </c>
      <c r="F99" t="s">
        <v>42</v>
      </c>
      <c r="G99" s="8">
        <v>5000</v>
      </c>
      <c r="H99" s="7">
        <v>46164</v>
      </c>
      <c r="I99" s="9">
        <v>270</v>
      </c>
    </row>
    <row r="100" spans="1:9" x14ac:dyDescent="0.3">
      <c r="A100" s="8" t="s">
        <v>43</v>
      </c>
      <c r="B100" s="8" t="s">
        <v>44</v>
      </c>
      <c r="C100" s="8" t="s">
        <v>40</v>
      </c>
      <c r="D100" s="8">
        <v>40</v>
      </c>
      <c r="E100" s="8" t="s">
        <v>45</v>
      </c>
      <c r="F100" t="s">
        <v>42</v>
      </c>
      <c r="G100" s="8">
        <v>5000</v>
      </c>
      <c r="H100" s="7">
        <v>46164</v>
      </c>
      <c r="I100" s="9">
        <v>270</v>
      </c>
    </row>
    <row r="101" spans="1:9" x14ac:dyDescent="0.3">
      <c r="A101" s="8" t="s">
        <v>43</v>
      </c>
      <c r="B101" s="8" t="s">
        <v>44</v>
      </c>
      <c r="C101" s="8" t="s">
        <v>40</v>
      </c>
      <c r="D101" s="8">
        <v>40</v>
      </c>
      <c r="E101" s="8" t="s">
        <v>45</v>
      </c>
      <c r="F101" t="s">
        <v>42</v>
      </c>
      <c r="G101" s="8">
        <v>5000</v>
      </c>
      <c r="H101" s="7">
        <v>46164</v>
      </c>
      <c r="I101" s="9">
        <v>270</v>
      </c>
    </row>
    <row r="102" spans="1:9" x14ac:dyDescent="0.3">
      <c r="A102" s="8" t="s">
        <v>43</v>
      </c>
      <c r="B102" s="8" t="s">
        <v>44</v>
      </c>
      <c r="C102" s="8" t="s">
        <v>40</v>
      </c>
      <c r="D102" s="8">
        <v>40</v>
      </c>
      <c r="E102" s="8" t="s">
        <v>45</v>
      </c>
      <c r="F102" t="s">
        <v>42</v>
      </c>
      <c r="G102" s="8">
        <v>5000</v>
      </c>
      <c r="H102" s="7">
        <v>46164</v>
      </c>
      <c r="I102" s="9">
        <v>270</v>
      </c>
    </row>
    <row r="103" spans="1:9" x14ac:dyDescent="0.3">
      <c r="A103" s="8" t="s">
        <v>43</v>
      </c>
      <c r="B103" s="8" t="s">
        <v>44</v>
      </c>
      <c r="C103" s="8" t="s">
        <v>40</v>
      </c>
      <c r="D103" s="8">
        <v>40</v>
      </c>
      <c r="E103" s="8" t="s">
        <v>45</v>
      </c>
      <c r="F103" t="s">
        <v>42</v>
      </c>
      <c r="G103" s="8">
        <v>5000</v>
      </c>
      <c r="H103" s="7">
        <v>46164</v>
      </c>
      <c r="I103" s="9">
        <v>270</v>
      </c>
    </row>
    <row r="104" spans="1:9" x14ac:dyDescent="0.3">
      <c r="A104" s="8" t="s">
        <v>43</v>
      </c>
      <c r="B104" s="8" t="s">
        <v>44</v>
      </c>
      <c r="C104" s="8" t="s">
        <v>40</v>
      </c>
      <c r="D104" s="8">
        <v>40</v>
      </c>
      <c r="E104" s="8" t="s">
        <v>45</v>
      </c>
      <c r="F104" t="s">
        <v>42</v>
      </c>
      <c r="G104" s="8">
        <v>5000</v>
      </c>
      <c r="H104" s="7">
        <v>46164</v>
      </c>
      <c r="I104" s="9">
        <v>270</v>
      </c>
    </row>
    <row r="105" spans="1:9" x14ac:dyDescent="0.3">
      <c r="A105" s="8" t="s">
        <v>43</v>
      </c>
      <c r="B105" s="8" t="s">
        <v>44</v>
      </c>
      <c r="C105" s="8" t="s">
        <v>40</v>
      </c>
      <c r="D105" s="8">
        <v>40</v>
      </c>
      <c r="E105" s="8" t="s">
        <v>45</v>
      </c>
      <c r="F105" t="s">
        <v>42</v>
      </c>
      <c r="G105" s="8">
        <v>5000</v>
      </c>
      <c r="H105" s="7">
        <v>46164</v>
      </c>
      <c r="I105" s="9">
        <v>270</v>
      </c>
    </row>
    <row r="106" spans="1:9" x14ac:dyDescent="0.3">
      <c r="A106" s="8" t="s">
        <v>43</v>
      </c>
      <c r="B106" s="8" t="s">
        <v>44</v>
      </c>
      <c r="C106" s="8" t="s">
        <v>40</v>
      </c>
      <c r="D106" s="8">
        <v>40</v>
      </c>
      <c r="E106" s="8" t="s">
        <v>45</v>
      </c>
      <c r="F106" t="s">
        <v>42</v>
      </c>
      <c r="G106" s="8">
        <v>5000</v>
      </c>
      <c r="H106" s="7">
        <v>46164</v>
      </c>
      <c r="I106" s="9">
        <v>270</v>
      </c>
    </row>
    <row r="107" spans="1:9" x14ac:dyDescent="0.3">
      <c r="A107" s="8" t="s">
        <v>43</v>
      </c>
      <c r="B107" s="8" t="s">
        <v>44</v>
      </c>
      <c r="C107" s="8" t="s">
        <v>40</v>
      </c>
      <c r="D107" s="8">
        <v>40</v>
      </c>
      <c r="E107" s="8" t="s">
        <v>45</v>
      </c>
      <c r="F107" t="s">
        <v>42</v>
      </c>
      <c r="G107" s="8">
        <v>5000</v>
      </c>
      <c r="H107" s="7">
        <v>46164</v>
      </c>
      <c r="I107" s="9">
        <v>270</v>
      </c>
    </row>
    <row r="108" spans="1:9" x14ac:dyDescent="0.3">
      <c r="A108" s="8" t="s">
        <v>43</v>
      </c>
      <c r="B108" s="8" t="s">
        <v>44</v>
      </c>
      <c r="C108" s="8" t="s">
        <v>40</v>
      </c>
      <c r="D108" s="8">
        <v>40</v>
      </c>
      <c r="E108" s="8" t="s">
        <v>45</v>
      </c>
      <c r="F108" t="s">
        <v>42</v>
      </c>
      <c r="G108" s="8">
        <v>5000</v>
      </c>
      <c r="H108" s="7">
        <v>46164</v>
      </c>
      <c r="I108" s="9">
        <v>270</v>
      </c>
    </row>
    <row r="109" spans="1:9" x14ac:dyDescent="0.3">
      <c r="A109" s="8" t="s">
        <v>43</v>
      </c>
      <c r="B109" s="8" t="s">
        <v>44</v>
      </c>
      <c r="C109" s="8" t="s">
        <v>40</v>
      </c>
      <c r="D109" s="8">
        <v>40</v>
      </c>
      <c r="E109" s="8" t="s">
        <v>45</v>
      </c>
      <c r="F109" t="s">
        <v>42</v>
      </c>
      <c r="G109" s="8">
        <v>5000</v>
      </c>
      <c r="H109" s="7">
        <v>46164</v>
      </c>
      <c r="I109" s="9">
        <v>270</v>
      </c>
    </row>
    <row r="110" spans="1:9" x14ac:dyDescent="0.3">
      <c r="A110" s="8" t="s">
        <v>43</v>
      </c>
      <c r="B110" s="8" t="s">
        <v>44</v>
      </c>
      <c r="C110" s="8" t="s">
        <v>40</v>
      </c>
      <c r="D110" s="8">
        <v>40</v>
      </c>
      <c r="E110" s="8" t="s">
        <v>45</v>
      </c>
      <c r="F110" t="s">
        <v>42</v>
      </c>
      <c r="G110" s="8">
        <v>5000</v>
      </c>
      <c r="H110" s="7">
        <v>46164</v>
      </c>
      <c r="I110" s="9">
        <v>270</v>
      </c>
    </row>
    <row r="111" spans="1:9" x14ac:dyDescent="0.3">
      <c r="A111" s="8" t="s">
        <v>43</v>
      </c>
      <c r="B111" s="8" t="s">
        <v>44</v>
      </c>
      <c r="C111" s="8" t="s">
        <v>40</v>
      </c>
      <c r="D111" s="8">
        <v>40</v>
      </c>
      <c r="E111" s="8" t="s">
        <v>45</v>
      </c>
      <c r="F111" t="s">
        <v>42</v>
      </c>
      <c r="G111" s="8">
        <v>5000</v>
      </c>
      <c r="H111" s="7">
        <v>46164</v>
      </c>
      <c r="I111" s="9">
        <v>270</v>
      </c>
    </row>
    <row r="112" spans="1:9" x14ac:dyDescent="0.3">
      <c r="A112" s="8" t="s">
        <v>43</v>
      </c>
      <c r="B112" s="8" t="s">
        <v>44</v>
      </c>
      <c r="C112" s="8" t="s">
        <v>40</v>
      </c>
      <c r="D112" s="8">
        <v>40</v>
      </c>
      <c r="E112" s="8" t="s">
        <v>45</v>
      </c>
      <c r="F112" t="s">
        <v>42</v>
      </c>
      <c r="G112" s="8">
        <v>5000</v>
      </c>
      <c r="H112" s="7">
        <v>46164</v>
      </c>
      <c r="I112" s="9">
        <v>270</v>
      </c>
    </row>
    <row r="113" spans="1:9" x14ac:dyDescent="0.3">
      <c r="A113" s="8" t="s">
        <v>43</v>
      </c>
      <c r="B113" s="8" t="s">
        <v>44</v>
      </c>
      <c r="C113" s="8" t="s">
        <v>40</v>
      </c>
      <c r="D113" s="8">
        <v>40</v>
      </c>
      <c r="E113" s="8" t="s">
        <v>45</v>
      </c>
      <c r="F113" t="s">
        <v>42</v>
      </c>
      <c r="G113" s="8">
        <v>5000</v>
      </c>
      <c r="H113" s="7">
        <v>46164</v>
      </c>
      <c r="I113" s="9">
        <v>270</v>
      </c>
    </row>
    <row r="114" spans="1:9" x14ac:dyDescent="0.3">
      <c r="A114" s="8" t="s">
        <v>46</v>
      </c>
      <c r="B114" s="8" t="s">
        <v>47</v>
      </c>
      <c r="C114" s="8" t="s">
        <v>48</v>
      </c>
      <c r="D114" s="8">
        <v>30</v>
      </c>
      <c r="E114" s="8" t="s">
        <v>49</v>
      </c>
      <c r="F114" t="s">
        <v>50</v>
      </c>
      <c r="G114" s="8">
        <v>3000</v>
      </c>
      <c r="H114" s="7">
        <v>46164</v>
      </c>
      <c r="I114" s="9">
        <v>698</v>
      </c>
    </row>
    <row r="115" spans="1:9" x14ac:dyDescent="0.3">
      <c r="A115" s="8" t="s">
        <v>51</v>
      </c>
      <c r="B115" s="8" t="s">
        <v>52</v>
      </c>
      <c r="C115" s="8" t="s">
        <v>32</v>
      </c>
      <c r="D115" s="8">
        <v>90</v>
      </c>
      <c r="E115" s="8" t="s">
        <v>53</v>
      </c>
      <c r="F115" t="s">
        <v>50</v>
      </c>
      <c r="G115" s="8">
        <v>3000</v>
      </c>
      <c r="H115" s="7">
        <v>46164</v>
      </c>
      <c r="I115" s="9">
        <v>3802</v>
      </c>
    </row>
    <row r="116" spans="1:9" x14ac:dyDescent="0.3">
      <c r="A116" s="8" t="s">
        <v>30</v>
      </c>
      <c r="B116" s="8" t="s">
        <v>31</v>
      </c>
      <c r="C116" s="8" t="s">
        <v>32</v>
      </c>
      <c r="D116" s="8">
        <v>105</v>
      </c>
      <c r="E116" s="8" t="s">
        <v>33</v>
      </c>
      <c r="F116" t="s">
        <v>34</v>
      </c>
      <c r="G116" s="9">
        <v>15000</v>
      </c>
      <c r="H116" s="7">
        <v>46171</v>
      </c>
      <c r="I116" s="9">
        <v>11000</v>
      </c>
    </row>
    <row r="117" spans="1:9" x14ac:dyDescent="0.3">
      <c r="A117" s="8" t="s">
        <v>35</v>
      </c>
      <c r="B117" s="8" t="s">
        <v>36</v>
      </c>
      <c r="C117" s="8" t="s">
        <v>32</v>
      </c>
      <c r="D117" s="8">
        <v>55</v>
      </c>
      <c r="E117" s="8" t="s">
        <v>37</v>
      </c>
      <c r="F117" t="s">
        <v>34</v>
      </c>
      <c r="G117" s="9">
        <v>15000</v>
      </c>
      <c r="H117" s="7">
        <v>46171</v>
      </c>
      <c r="I117" s="9">
        <v>2771</v>
      </c>
    </row>
    <row r="118" spans="1:9" x14ac:dyDescent="0.3">
      <c r="A118" s="8" t="s">
        <v>35</v>
      </c>
      <c r="B118" s="8" t="s">
        <v>36</v>
      </c>
      <c r="C118" s="8" t="s">
        <v>32</v>
      </c>
      <c r="D118" s="8">
        <v>55</v>
      </c>
      <c r="E118" s="8" t="s">
        <v>37</v>
      </c>
      <c r="F118" t="s">
        <v>34</v>
      </c>
      <c r="G118" s="9">
        <v>15000</v>
      </c>
      <c r="H118" s="7">
        <v>46171</v>
      </c>
      <c r="I118" s="9">
        <v>552</v>
      </c>
    </row>
    <row r="119" spans="1:9" x14ac:dyDescent="0.3">
      <c r="A119" s="8" t="s">
        <v>35</v>
      </c>
      <c r="B119" s="8" t="s">
        <v>36</v>
      </c>
      <c r="C119" s="8" t="s">
        <v>32</v>
      </c>
      <c r="D119" s="8">
        <v>55</v>
      </c>
      <c r="E119" s="8" t="s">
        <v>37</v>
      </c>
      <c r="F119" t="s">
        <v>34</v>
      </c>
      <c r="G119" s="9">
        <v>15000</v>
      </c>
      <c r="H119" s="7">
        <v>46171</v>
      </c>
      <c r="I119" s="9">
        <v>2771</v>
      </c>
    </row>
    <row r="120" spans="1:9" x14ac:dyDescent="0.3">
      <c r="A120" s="8" t="s">
        <v>35</v>
      </c>
      <c r="B120" s="8" t="s">
        <v>36</v>
      </c>
      <c r="C120" s="8" t="s">
        <v>32</v>
      </c>
      <c r="D120" s="8">
        <v>55</v>
      </c>
      <c r="E120" s="8" t="s">
        <v>37</v>
      </c>
      <c r="F120" t="s">
        <v>34</v>
      </c>
      <c r="G120" s="9">
        <v>15000</v>
      </c>
      <c r="H120" s="7">
        <v>46171</v>
      </c>
      <c r="I120" s="9">
        <v>2771</v>
      </c>
    </row>
    <row r="121" spans="1:9" x14ac:dyDescent="0.3">
      <c r="A121" s="8" t="s">
        <v>38</v>
      </c>
      <c r="B121" s="8" t="s">
        <v>39</v>
      </c>
      <c r="C121" s="8" t="s">
        <v>40</v>
      </c>
      <c r="D121" s="8">
        <v>80</v>
      </c>
      <c r="E121" s="8" t="s">
        <v>41</v>
      </c>
      <c r="F121" t="s">
        <v>42</v>
      </c>
      <c r="G121" s="8">
        <v>5000</v>
      </c>
      <c r="H121" s="7">
        <v>46171</v>
      </c>
      <c r="I121" s="9">
        <v>267</v>
      </c>
    </row>
    <row r="122" spans="1:9" x14ac:dyDescent="0.3">
      <c r="A122" s="8" t="s">
        <v>38</v>
      </c>
      <c r="B122" s="8" t="s">
        <v>39</v>
      </c>
      <c r="C122" s="8" t="s">
        <v>40</v>
      </c>
      <c r="D122" s="8">
        <v>80</v>
      </c>
      <c r="E122" s="8" t="s">
        <v>41</v>
      </c>
      <c r="F122" t="s">
        <v>42</v>
      </c>
      <c r="G122" s="8">
        <v>5000</v>
      </c>
      <c r="H122" s="7">
        <v>46171</v>
      </c>
      <c r="I122" s="9">
        <v>178</v>
      </c>
    </row>
    <row r="123" spans="1:9" x14ac:dyDescent="0.3">
      <c r="A123" s="8" t="s">
        <v>38</v>
      </c>
      <c r="B123" s="8" t="s">
        <v>39</v>
      </c>
      <c r="C123" s="8" t="s">
        <v>40</v>
      </c>
      <c r="D123" s="8">
        <v>80</v>
      </c>
      <c r="E123" s="8" t="s">
        <v>41</v>
      </c>
      <c r="F123" t="s">
        <v>42</v>
      </c>
      <c r="G123" s="8">
        <v>5000</v>
      </c>
      <c r="H123" s="7">
        <v>46171</v>
      </c>
      <c r="I123" s="9">
        <v>270</v>
      </c>
    </row>
    <row r="124" spans="1:9" x14ac:dyDescent="0.3">
      <c r="A124" s="8" t="s">
        <v>38</v>
      </c>
      <c r="B124" s="8" t="s">
        <v>39</v>
      </c>
      <c r="C124" s="8" t="s">
        <v>40</v>
      </c>
      <c r="D124" s="8">
        <v>80</v>
      </c>
      <c r="E124" s="8" t="s">
        <v>41</v>
      </c>
      <c r="F124" t="s">
        <v>42</v>
      </c>
      <c r="G124" s="8">
        <v>5000</v>
      </c>
      <c r="H124" s="7">
        <v>46171</v>
      </c>
      <c r="I124" s="9">
        <v>270</v>
      </c>
    </row>
    <row r="125" spans="1:9" x14ac:dyDescent="0.3">
      <c r="A125" s="8" t="s">
        <v>38</v>
      </c>
      <c r="B125" s="8" t="s">
        <v>39</v>
      </c>
      <c r="C125" s="8" t="s">
        <v>40</v>
      </c>
      <c r="D125" s="8">
        <v>80</v>
      </c>
      <c r="E125" s="8" t="s">
        <v>41</v>
      </c>
      <c r="F125" t="s">
        <v>42</v>
      </c>
      <c r="G125" s="8">
        <v>5000</v>
      </c>
      <c r="H125" s="7">
        <v>46171</v>
      </c>
      <c r="I125" s="9">
        <v>270</v>
      </c>
    </row>
    <row r="126" spans="1:9" x14ac:dyDescent="0.3">
      <c r="A126" s="8" t="s">
        <v>38</v>
      </c>
      <c r="B126" s="8" t="s">
        <v>39</v>
      </c>
      <c r="C126" s="8" t="s">
        <v>40</v>
      </c>
      <c r="D126" s="8">
        <v>80</v>
      </c>
      <c r="E126" s="8" t="s">
        <v>41</v>
      </c>
      <c r="F126" t="s">
        <v>42</v>
      </c>
      <c r="G126" s="8">
        <v>5000</v>
      </c>
      <c r="H126" s="7">
        <v>46171</v>
      </c>
      <c r="I126" s="9">
        <v>270</v>
      </c>
    </row>
    <row r="127" spans="1:9" x14ac:dyDescent="0.3">
      <c r="A127" s="8" t="s">
        <v>38</v>
      </c>
      <c r="B127" s="8" t="s">
        <v>39</v>
      </c>
      <c r="C127" s="8" t="s">
        <v>40</v>
      </c>
      <c r="D127" s="8">
        <v>80</v>
      </c>
      <c r="E127" s="8" t="s">
        <v>41</v>
      </c>
      <c r="F127" t="s">
        <v>42</v>
      </c>
      <c r="G127" s="8">
        <v>5000</v>
      </c>
      <c r="H127" s="7">
        <v>46171</v>
      </c>
      <c r="I127" s="9">
        <v>270</v>
      </c>
    </row>
    <row r="128" spans="1:9" x14ac:dyDescent="0.3">
      <c r="A128" s="8" t="s">
        <v>38</v>
      </c>
      <c r="B128" s="8" t="s">
        <v>39</v>
      </c>
      <c r="C128" s="8" t="s">
        <v>40</v>
      </c>
      <c r="D128" s="8">
        <v>80</v>
      </c>
      <c r="E128" s="8" t="s">
        <v>41</v>
      </c>
      <c r="F128" t="s">
        <v>42</v>
      </c>
      <c r="G128" s="8">
        <v>5000</v>
      </c>
      <c r="H128" s="7">
        <v>46171</v>
      </c>
      <c r="I128" s="9">
        <v>270</v>
      </c>
    </row>
    <row r="129" spans="1:9" x14ac:dyDescent="0.3">
      <c r="A129" s="8" t="s">
        <v>38</v>
      </c>
      <c r="B129" s="8" t="s">
        <v>39</v>
      </c>
      <c r="C129" s="8" t="s">
        <v>40</v>
      </c>
      <c r="D129" s="8">
        <v>80</v>
      </c>
      <c r="E129" s="8" t="s">
        <v>41</v>
      </c>
      <c r="F129" t="s">
        <v>42</v>
      </c>
      <c r="G129" s="8">
        <v>5000</v>
      </c>
      <c r="H129" s="7">
        <v>46171</v>
      </c>
      <c r="I129" s="9">
        <v>162</v>
      </c>
    </row>
    <row r="130" spans="1:9" x14ac:dyDescent="0.3">
      <c r="A130" s="8" t="s">
        <v>38</v>
      </c>
      <c r="B130" s="8" t="s">
        <v>39</v>
      </c>
      <c r="C130" s="8" t="s">
        <v>40</v>
      </c>
      <c r="D130" s="8">
        <v>80</v>
      </c>
      <c r="E130" s="8" t="s">
        <v>41</v>
      </c>
      <c r="F130" t="s">
        <v>42</v>
      </c>
      <c r="G130" s="8">
        <v>5000</v>
      </c>
      <c r="H130" s="7">
        <v>46171</v>
      </c>
      <c r="I130" s="9">
        <v>210</v>
      </c>
    </row>
    <row r="131" spans="1:9" x14ac:dyDescent="0.3">
      <c r="A131" s="8" t="s">
        <v>38</v>
      </c>
      <c r="B131" s="8" t="s">
        <v>39</v>
      </c>
      <c r="C131" s="8" t="s">
        <v>40</v>
      </c>
      <c r="D131" s="8">
        <v>80</v>
      </c>
      <c r="E131" s="8" t="s">
        <v>41</v>
      </c>
      <c r="F131" t="s">
        <v>42</v>
      </c>
      <c r="G131" s="8">
        <v>5000</v>
      </c>
      <c r="H131" s="7">
        <v>46171</v>
      </c>
      <c r="I131" s="9">
        <v>270</v>
      </c>
    </row>
    <row r="132" spans="1:9" x14ac:dyDescent="0.3">
      <c r="A132" s="8" t="s">
        <v>38</v>
      </c>
      <c r="B132" s="8" t="s">
        <v>39</v>
      </c>
      <c r="C132" s="8" t="s">
        <v>40</v>
      </c>
      <c r="D132" s="8">
        <v>80</v>
      </c>
      <c r="E132" s="8" t="s">
        <v>41</v>
      </c>
      <c r="F132" t="s">
        <v>42</v>
      </c>
      <c r="G132" s="8">
        <v>5000</v>
      </c>
      <c r="H132" s="7">
        <v>46171</v>
      </c>
      <c r="I132" s="9">
        <v>270</v>
      </c>
    </row>
    <row r="133" spans="1:9" x14ac:dyDescent="0.3">
      <c r="A133" s="8" t="s">
        <v>38</v>
      </c>
      <c r="B133" s="8" t="s">
        <v>39</v>
      </c>
      <c r="C133" s="8" t="s">
        <v>40</v>
      </c>
      <c r="D133" s="8">
        <v>80</v>
      </c>
      <c r="E133" s="8" t="s">
        <v>41</v>
      </c>
      <c r="F133" t="s">
        <v>42</v>
      </c>
      <c r="G133" s="8">
        <v>5000</v>
      </c>
      <c r="H133" s="7">
        <v>46171</v>
      </c>
      <c r="I133" s="9">
        <v>270</v>
      </c>
    </row>
    <row r="134" spans="1:9" x14ac:dyDescent="0.3">
      <c r="A134" s="8" t="s">
        <v>38</v>
      </c>
      <c r="B134" s="8" t="s">
        <v>39</v>
      </c>
      <c r="C134" s="8" t="s">
        <v>40</v>
      </c>
      <c r="D134" s="8">
        <v>80</v>
      </c>
      <c r="E134" s="8" t="s">
        <v>41</v>
      </c>
      <c r="F134" t="s">
        <v>42</v>
      </c>
      <c r="G134" s="8">
        <v>5000</v>
      </c>
      <c r="H134" s="7">
        <v>46171</v>
      </c>
      <c r="I134" s="9">
        <v>270</v>
      </c>
    </row>
    <row r="135" spans="1:9" x14ac:dyDescent="0.3">
      <c r="A135" s="8" t="s">
        <v>38</v>
      </c>
      <c r="B135" s="8" t="s">
        <v>39</v>
      </c>
      <c r="C135" s="8" t="s">
        <v>40</v>
      </c>
      <c r="D135" s="8">
        <v>80</v>
      </c>
      <c r="E135" s="8" t="s">
        <v>41</v>
      </c>
      <c r="F135" t="s">
        <v>42</v>
      </c>
      <c r="G135" s="8">
        <v>5000</v>
      </c>
      <c r="H135" s="7">
        <v>46171</v>
      </c>
      <c r="I135" s="9">
        <v>270</v>
      </c>
    </row>
    <row r="136" spans="1:9" x14ac:dyDescent="0.3">
      <c r="A136" s="8" t="s">
        <v>38</v>
      </c>
      <c r="B136" s="8" t="s">
        <v>39</v>
      </c>
      <c r="C136" s="8" t="s">
        <v>40</v>
      </c>
      <c r="D136" s="8">
        <v>80</v>
      </c>
      <c r="E136" s="8" t="s">
        <v>41</v>
      </c>
      <c r="F136" t="s">
        <v>42</v>
      </c>
      <c r="G136" s="8">
        <v>5000</v>
      </c>
      <c r="H136" s="7">
        <v>46171</v>
      </c>
      <c r="I136" s="9">
        <v>270</v>
      </c>
    </row>
    <row r="137" spans="1:9" x14ac:dyDescent="0.3">
      <c r="A137" s="8" t="s">
        <v>38</v>
      </c>
      <c r="B137" s="8" t="s">
        <v>39</v>
      </c>
      <c r="C137" s="8" t="s">
        <v>40</v>
      </c>
      <c r="D137" s="8">
        <v>80</v>
      </c>
      <c r="E137" s="8" t="s">
        <v>41</v>
      </c>
      <c r="F137" t="s">
        <v>42</v>
      </c>
      <c r="G137" s="8">
        <v>5000</v>
      </c>
      <c r="H137" s="7">
        <v>46171</v>
      </c>
      <c r="I137" s="9">
        <v>270</v>
      </c>
    </row>
    <row r="138" spans="1:9" x14ac:dyDescent="0.3">
      <c r="A138" s="8" t="s">
        <v>38</v>
      </c>
      <c r="B138" s="8" t="s">
        <v>39</v>
      </c>
      <c r="C138" s="8" t="s">
        <v>40</v>
      </c>
      <c r="D138" s="8">
        <v>80</v>
      </c>
      <c r="E138" s="8" t="s">
        <v>41</v>
      </c>
      <c r="F138" t="s">
        <v>42</v>
      </c>
      <c r="G138" s="8">
        <v>5000</v>
      </c>
      <c r="H138" s="7">
        <v>46171</v>
      </c>
      <c r="I138" s="9">
        <v>270</v>
      </c>
    </row>
    <row r="139" spans="1:9" x14ac:dyDescent="0.3">
      <c r="A139" s="8" t="s">
        <v>38</v>
      </c>
      <c r="B139" s="8" t="s">
        <v>39</v>
      </c>
      <c r="C139" s="8" t="s">
        <v>40</v>
      </c>
      <c r="D139" s="8">
        <v>80</v>
      </c>
      <c r="E139" s="8" t="s">
        <v>41</v>
      </c>
      <c r="F139" t="s">
        <v>42</v>
      </c>
      <c r="G139" s="8">
        <v>5000</v>
      </c>
      <c r="H139" s="7">
        <v>46171</v>
      </c>
      <c r="I139" s="9">
        <v>270</v>
      </c>
    </row>
    <row r="140" spans="1:9" x14ac:dyDescent="0.3">
      <c r="A140" s="8" t="s">
        <v>38</v>
      </c>
      <c r="B140" s="8" t="s">
        <v>39</v>
      </c>
      <c r="C140" s="8" t="s">
        <v>40</v>
      </c>
      <c r="D140" s="8">
        <v>80</v>
      </c>
      <c r="E140" s="8" t="s">
        <v>41</v>
      </c>
      <c r="F140" t="s">
        <v>42</v>
      </c>
      <c r="G140" s="8">
        <v>5000</v>
      </c>
      <c r="H140" s="7">
        <v>46171</v>
      </c>
      <c r="I140" s="9">
        <v>270</v>
      </c>
    </row>
    <row r="141" spans="1:9" x14ac:dyDescent="0.3">
      <c r="A141" s="8" t="s">
        <v>38</v>
      </c>
      <c r="B141" s="8" t="s">
        <v>39</v>
      </c>
      <c r="C141" s="8" t="s">
        <v>40</v>
      </c>
      <c r="D141" s="8">
        <v>80</v>
      </c>
      <c r="E141" s="8" t="s">
        <v>41</v>
      </c>
      <c r="F141" t="s">
        <v>42</v>
      </c>
      <c r="G141" s="8">
        <v>5000</v>
      </c>
      <c r="H141" s="7">
        <v>46171</v>
      </c>
      <c r="I141" s="9">
        <v>270</v>
      </c>
    </row>
    <row r="142" spans="1:9" x14ac:dyDescent="0.3">
      <c r="A142" s="8" t="s">
        <v>38</v>
      </c>
      <c r="B142" s="8" t="s">
        <v>39</v>
      </c>
      <c r="C142" s="8" t="s">
        <v>40</v>
      </c>
      <c r="D142" s="8">
        <v>80</v>
      </c>
      <c r="E142" s="8" t="s">
        <v>41</v>
      </c>
      <c r="F142" t="s">
        <v>42</v>
      </c>
      <c r="G142" s="8">
        <v>5000</v>
      </c>
      <c r="H142" s="7">
        <v>46171</v>
      </c>
      <c r="I142" s="9">
        <v>270</v>
      </c>
    </row>
    <row r="143" spans="1:9" x14ac:dyDescent="0.3">
      <c r="A143" s="8" t="s">
        <v>38</v>
      </c>
      <c r="B143" s="8" t="s">
        <v>39</v>
      </c>
      <c r="C143" s="8" t="s">
        <v>40</v>
      </c>
      <c r="D143" s="8">
        <v>80</v>
      </c>
      <c r="E143" s="8" t="s">
        <v>41</v>
      </c>
      <c r="F143" t="s">
        <v>42</v>
      </c>
      <c r="G143" s="8">
        <v>5000</v>
      </c>
      <c r="H143" s="7">
        <v>46171</v>
      </c>
      <c r="I143" s="9">
        <v>270</v>
      </c>
    </row>
    <row r="144" spans="1:9" x14ac:dyDescent="0.3">
      <c r="A144" s="8" t="s">
        <v>38</v>
      </c>
      <c r="B144" s="8" t="s">
        <v>39</v>
      </c>
      <c r="C144" s="8" t="s">
        <v>40</v>
      </c>
      <c r="D144" s="8">
        <v>80</v>
      </c>
      <c r="E144" s="8" t="s">
        <v>41</v>
      </c>
      <c r="F144" t="s">
        <v>42</v>
      </c>
      <c r="G144" s="8">
        <v>5000</v>
      </c>
      <c r="H144" s="7">
        <v>46171</v>
      </c>
      <c r="I144" s="9">
        <v>270</v>
      </c>
    </row>
    <row r="145" spans="1:9" x14ac:dyDescent="0.3">
      <c r="A145" s="8" t="s">
        <v>38</v>
      </c>
      <c r="B145" s="8" t="s">
        <v>39</v>
      </c>
      <c r="C145" s="8" t="s">
        <v>40</v>
      </c>
      <c r="D145" s="8">
        <v>80</v>
      </c>
      <c r="E145" s="8" t="s">
        <v>41</v>
      </c>
      <c r="F145" t="s">
        <v>42</v>
      </c>
      <c r="G145" s="8">
        <v>5000</v>
      </c>
      <c r="H145" s="7">
        <v>46171</v>
      </c>
      <c r="I145" s="9">
        <v>270</v>
      </c>
    </row>
    <row r="146" spans="1:9" x14ac:dyDescent="0.3">
      <c r="A146" s="8" t="s">
        <v>38</v>
      </c>
      <c r="B146" s="8" t="s">
        <v>39</v>
      </c>
      <c r="C146" s="8" t="s">
        <v>40</v>
      </c>
      <c r="D146" s="8">
        <v>80</v>
      </c>
      <c r="E146" s="8" t="s">
        <v>41</v>
      </c>
      <c r="F146" t="s">
        <v>42</v>
      </c>
      <c r="G146" s="8">
        <v>5000</v>
      </c>
      <c r="H146" s="7">
        <v>46171</v>
      </c>
      <c r="I146" s="9">
        <v>270</v>
      </c>
    </row>
    <row r="147" spans="1:9" x14ac:dyDescent="0.3">
      <c r="A147" s="8" t="s">
        <v>38</v>
      </c>
      <c r="B147" s="8" t="s">
        <v>39</v>
      </c>
      <c r="C147" s="8" t="s">
        <v>40</v>
      </c>
      <c r="D147" s="8">
        <v>80</v>
      </c>
      <c r="E147" s="8" t="s">
        <v>41</v>
      </c>
      <c r="F147" t="s">
        <v>42</v>
      </c>
      <c r="G147" s="8">
        <v>5000</v>
      </c>
      <c r="H147" s="7">
        <v>46171</v>
      </c>
      <c r="I147" s="9">
        <v>270</v>
      </c>
    </row>
    <row r="148" spans="1:9" x14ac:dyDescent="0.3">
      <c r="A148" s="8" t="s">
        <v>38</v>
      </c>
      <c r="B148" s="8" t="s">
        <v>39</v>
      </c>
      <c r="C148" s="8" t="s">
        <v>40</v>
      </c>
      <c r="D148" s="8">
        <v>80</v>
      </c>
      <c r="E148" s="8" t="s">
        <v>41</v>
      </c>
      <c r="F148" t="s">
        <v>42</v>
      </c>
      <c r="G148" s="8">
        <v>5000</v>
      </c>
      <c r="H148" s="7">
        <v>46171</v>
      </c>
      <c r="I148" s="9">
        <v>270</v>
      </c>
    </row>
    <row r="149" spans="1:9" x14ac:dyDescent="0.3">
      <c r="A149" s="8" t="s">
        <v>38</v>
      </c>
      <c r="B149" s="8" t="s">
        <v>39</v>
      </c>
      <c r="C149" s="8" t="s">
        <v>40</v>
      </c>
      <c r="D149" s="8">
        <v>80</v>
      </c>
      <c r="E149" s="8" t="s">
        <v>41</v>
      </c>
      <c r="F149" t="s">
        <v>42</v>
      </c>
      <c r="G149" s="8">
        <v>5000</v>
      </c>
      <c r="H149" s="7">
        <v>46171</v>
      </c>
      <c r="I149" s="9">
        <v>270</v>
      </c>
    </row>
    <row r="150" spans="1:9" x14ac:dyDescent="0.3">
      <c r="A150" s="8" t="s">
        <v>38</v>
      </c>
      <c r="B150" s="8" t="s">
        <v>39</v>
      </c>
      <c r="C150" s="8" t="s">
        <v>40</v>
      </c>
      <c r="D150" s="8">
        <v>80</v>
      </c>
      <c r="E150" s="8" t="s">
        <v>41</v>
      </c>
      <c r="F150" t="s">
        <v>42</v>
      </c>
      <c r="G150" s="8">
        <v>5000</v>
      </c>
      <c r="H150" s="7">
        <v>46171</v>
      </c>
      <c r="I150" s="9">
        <v>270</v>
      </c>
    </row>
    <row r="151" spans="1:9" x14ac:dyDescent="0.3">
      <c r="A151" s="8" t="s">
        <v>38</v>
      </c>
      <c r="B151" s="8" t="s">
        <v>39</v>
      </c>
      <c r="C151" s="8" t="s">
        <v>40</v>
      </c>
      <c r="D151" s="8">
        <v>80</v>
      </c>
      <c r="E151" s="8" t="s">
        <v>41</v>
      </c>
      <c r="F151" t="s">
        <v>42</v>
      </c>
      <c r="G151" s="8">
        <v>5000</v>
      </c>
      <c r="H151" s="7">
        <v>46171</v>
      </c>
      <c r="I151" s="9">
        <v>270</v>
      </c>
    </row>
    <row r="152" spans="1:9" x14ac:dyDescent="0.3">
      <c r="A152" s="8" t="s">
        <v>38</v>
      </c>
      <c r="B152" s="8" t="s">
        <v>39</v>
      </c>
      <c r="C152" s="8" t="s">
        <v>40</v>
      </c>
      <c r="D152" s="8">
        <v>80</v>
      </c>
      <c r="E152" s="8" t="s">
        <v>41</v>
      </c>
      <c r="F152" t="s">
        <v>42</v>
      </c>
      <c r="G152" s="8">
        <v>5000</v>
      </c>
      <c r="H152" s="7">
        <v>46171</v>
      </c>
      <c r="I152" s="9">
        <v>270</v>
      </c>
    </row>
    <row r="153" spans="1:9" x14ac:dyDescent="0.3">
      <c r="A153" s="8" t="s">
        <v>38</v>
      </c>
      <c r="B153" s="8" t="s">
        <v>39</v>
      </c>
      <c r="C153" s="8" t="s">
        <v>40</v>
      </c>
      <c r="D153" s="8">
        <v>80</v>
      </c>
      <c r="E153" s="8" t="s">
        <v>41</v>
      </c>
      <c r="F153" t="s">
        <v>42</v>
      </c>
      <c r="G153" s="8">
        <v>5000</v>
      </c>
      <c r="H153" s="7">
        <v>46171</v>
      </c>
      <c r="I153" s="9">
        <v>270</v>
      </c>
    </row>
    <row r="154" spans="1:9" x14ac:dyDescent="0.3">
      <c r="A154" s="8" t="s">
        <v>38</v>
      </c>
      <c r="B154" s="8" t="s">
        <v>39</v>
      </c>
      <c r="C154" s="8" t="s">
        <v>40</v>
      </c>
      <c r="D154" s="8">
        <v>80</v>
      </c>
      <c r="E154" s="8" t="s">
        <v>41</v>
      </c>
      <c r="F154" t="s">
        <v>42</v>
      </c>
      <c r="G154" s="8">
        <v>5000</v>
      </c>
      <c r="H154" s="7">
        <v>46171</v>
      </c>
      <c r="I154" s="9">
        <v>270</v>
      </c>
    </row>
    <row r="155" spans="1:9" x14ac:dyDescent="0.3">
      <c r="A155" s="8" t="s">
        <v>38</v>
      </c>
      <c r="B155" s="8" t="s">
        <v>39</v>
      </c>
      <c r="C155" s="8" t="s">
        <v>40</v>
      </c>
      <c r="D155" s="8">
        <v>80</v>
      </c>
      <c r="E155" s="8" t="s">
        <v>41</v>
      </c>
      <c r="F155" t="s">
        <v>42</v>
      </c>
      <c r="G155" s="8">
        <v>5000</v>
      </c>
      <c r="H155" s="7">
        <v>46171</v>
      </c>
      <c r="I155" s="9">
        <v>270</v>
      </c>
    </row>
    <row r="156" spans="1:9" x14ac:dyDescent="0.3">
      <c r="A156" s="8" t="s">
        <v>38</v>
      </c>
      <c r="B156" s="8" t="s">
        <v>39</v>
      </c>
      <c r="C156" s="8" t="s">
        <v>40</v>
      </c>
      <c r="D156" s="8">
        <v>80</v>
      </c>
      <c r="E156" s="8" t="s">
        <v>41</v>
      </c>
      <c r="F156" t="s">
        <v>42</v>
      </c>
      <c r="G156" s="8">
        <v>5000</v>
      </c>
      <c r="H156" s="7">
        <v>46171</v>
      </c>
      <c r="I156" s="9">
        <v>270</v>
      </c>
    </row>
    <row r="157" spans="1:9" x14ac:dyDescent="0.3">
      <c r="A157" s="8" t="s">
        <v>38</v>
      </c>
      <c r="B157" s="8" t="s">
        <v>39</v>
      </c>
      <c r="C157" s="8" t="s">
        <v>40</v>
      </c>
      <c r="D157" s="8">
        <v>80</v>
      </c>
      <c r="E157" s="8" t="s">
        <v>41</v>
      </c>
      <c r="F157" t="s">
        <v>42</v>
      </c>
      <c r="G157" s="8">
        <v>5000</v>
      </c>
      <c r="H157" s="7">
        <v>46171</v>
      </c>
      <c r="I157" s="9">
        <v>270</v>
      </c>
    </row>
    <row r="158" spans="1:9" x14ac:dyDescent="0.3">
      <c r="A158" s="8" t="s">
        <v>38</v>
      </c>
      <c r="B158" s="8" t="s">
        <v>39</v>
      </c>
      <c r="C158" s="8" t="s">
        <v>40</v>
      </c>
      <c r="D158" s="8">
        <v>80</v>
      </c>
      <c r="E158" s="8" t="s">
        <v>41</v>
      </c>
      <c r="F158" t="s">
        <v>42</v>
      </c>
      <c r="G158" s="8">
        <v>5000</v>
      </c>
      <c r="H158" s="7">
        <v>46171</v>
      </c>
      <c r="I158" s="9">
        <v>270</v>
      </c>
    </row>
    <row r="159" spans="1:9" x14ac:dyDescent="0.3">
      <c r="A159" s="8" t="s">
        <v>38</v>
      </c>
      <c r="B159" s="8" t="s">
        <v>39</v>
      </c>
      <c r="C159" s="8" t="s">
        <v>40</v>
      </c>
      <c r="D159" s="8">
        <v>80</v>
      </c>
      <c r="E159" s="8" t="s">
        <v>41</v>
      </c>
      <c r="F159" t="s">
        <v>42</v>
      </c>
      <c r="G159" s="8">
        <v>5000</v>
      </c>
      <c r="H159" s="7">
        <v>46171</v>
      </c>
      <c r="I159" s="9">
        <v>263</v>
      </c>
    </row>
    <row r="160" spans="1:9" x14ac:dyDescent="0.3">
      <c r="A160" s="8" t="s">
        <v>38</v>
      </c>
      <c r="B160" s="8" t="s">
        <v>39</v>
      </c>
      <c r="C160" s="8" t="s">
        <v>40</v>
      </c>
      <c r="D160" s="8">
        <v>80</v>
      </c>
      <c r="E160" s="8" t="s">
        <v>41</v>
      </c>
      <c r="F160" t="s">
        <v>42</v>
      </c>
      <c r="G160" s="8">
        <v>5000</v>
      </c>
      <c r="H160" s="7">
        <v>46171</v>
      </c>
      <c r="I160" s="9">
        <v>220</v>
      </c>
    </row>
    <row r="161" spans="1:9" x14ac:dyDescent="0.3">
      <c r="A161" s="8" t="s">
        <v>38</v>
      </c>
      <c r="B161" s="8" t="s">
        <v>39</v>
      </c>
      <c r="C161" s="8" t="s">
        <v>40</v>
      </c>
      <c r="D161" s="8">
        <v>80</v>
      </c>
      <c r="E161" s="8" t="s">
        <v>41</v>
      </c>
      <c r="F161" t="s">
        <v>42</v>
      </c>
      <c r="G161" s="8">
        <v>5000</v>
      </c>
      <c r="H161" s="7">
        <v>46171</v>
      </c>
      <c r="I161" s="9">
        <v>270</v>
      </c>
    </row>
    <row r="162" spans="1:9" x14ac:dyDescent="0.3">
      <c r="A162" s="8" t="s">
        <v>38</v>
      </c>
      <c r="B162" s="8" t="s">
        <v>39</v>
      </c>
      <c r="C162" s="8" t="s">
        <v>40</v>
      </c>
      <c r="D162" s="8">
        <v>80</v>
      </c>
      <c r="E162" s="8" t="s">
        <v>41</v>
      </c>
      <c r="F162" t="s">
        <v>42</v>
      </c>
      <c r="G162" s="8">
        <v>5000</v>
      </c>
      <c r="H162" s="7">
        <v>46171</v>
      </c>
      <c r="I162" s="9">
        <v>270</v>
      </c>
    </row>
    <row r="163" spans="1:9" x14ac:dyDescent="0.3">
      <c r="A163" s="8" t="s">
        <v>38</v>
      </c>
      <c r="B163" s="8" t="s">
        <v>39</v>
      </c>
      <c r="C163" s="8" t="s">
        <v>40</v>
      </c>
      <c r="D163" s="8">
        <v>80</v>
      </c>
      <c r="E163" s="8" t="s">
        <v>41</v>
      </c>
      <c r="F163" t="s">
        <v>42</v>
      </c>
      <c r="G163" s="8">
        <v>5000</v>
      </c>
      <c r="H163" s="7">
        <v>46171</v>
      </c>
      <c r="I163" s="9">
        <v>246</v>
      </c>
    </row>
    <row r="164" spans="1:9" x14ac:dyDescent="0.3">
      <c r="A164" s="8" t="s">
        <v>38</v>
      </c>
      <c r="B164" s="8" t="s">
        <v>39</v>
      </c>
      <c r="C164" s="8" t="s">
        <v>40</v>
      </c>
      <c r="D164" s="8">
        <v>80</v>
      </c>
      <c r="E164" s="8" t="s">
        <v>41</v>
      </c>
      <c r="F164" t="s">
        <v>42</v>
      </c>
      <c r="G164" s="8">
        <v>5000</v>
      </c>
      <c r="H164" s="7">
        <v>46171</v>
      </c>
      <c r="I164" s="9">
        <v>246</v>
      </c>
    </row>
    <row r="165" spans="1:9" x14ac:dyDescent="0.3">
      <c r="A165" s="8" t="s">
        <v>38</v>
      </c>
      <c r="B165" s="8" t="s">
        <v>39</v>
      </c>
      <c r="C165" s="8" t="s">
        <v>40</v>
      </c>
      <c r="D165" s="8">
        <v>80</v>
      </c>
      <c r="E165" s="8" t="s">
        <v>41</v>
      </c>
      <c r="F165" t="s">
        <v>42</v>
      </c>
      <c r="G165" s="8">
        <v>5000</v>
      </c>
      <c r="H165" s="7">
        <v>46171</v>
      </c>
      <c r="I165" s="9">
        <v>270</v>
      </c>
    </row>
    <row r="166" spans="1:9" x14ac:dyDescent="0.3">
      <c r="A166" s="8" t="s">
        <v>43</v>
      </c>
      <c r="B166" s="8" t="s">
        <v>44</v>
      </c>
      <c r="C166" s="8" t="s">
        <v>40</v>
      </c>
      <c r="D166" s="8">
        <v>40</v>
      </c>
      <c r="E166" s="8" t="s">
        <v>45</v>
      </c>
      <c r="F166" t="s">
        <v>42</v>
      </c>
      <c r="G166" s="8">
        <v>5000</v>
      </c>
      <c r="H166" s="7">
        <v>46171</v>
      </c>
      <c r="I166" s="9">
        <v>222</v>
      </c>
    </row>
    <row r="167" spans="1:9" x14ac:dyDescent="0.3">
      <c r="A167" s="8" t="s">
        <v>43</v>
      </c>
      <c r="B167" s="8" t="s">
        <v>44</v>
      </c>
      <c r="C167" s="8" t="s">
        <v>40</v>
      </c>
      <c r="D167" s="8">
        <v>40</v>
      </c>
      <c r="E167" s="8" t="s">
        <v>45</v>
      </c>
      <c r="F167" t="s">
        <v>42</v>
      </c>
      <c r="G167" s="8">
        <v>5000</v>
      </c>
      <c r="H167" s="7">
        <v>46171</v>
      </c>
      <c r="I167" s="9">
        <v>171</v>
      </c>
    </row>
    <row r="168" spans="1:9" x14ac:dyDescent="0.3">
      <c r="A168" s="8" t="s">
        <v>43</v>
      </c>
      <c r="B168" s="8" t="s">
        <v>44</v>
      </c>
      <c r="C168" s="8" t="s">
        <v>40</v>
      </c>
      <c r="D168" s="8">
        <v>40</v>
      </c>
      <c r="E168" s="8" t="s">
        <v>45</v>
      </c>
      <c r="F168" t="s">
        <v>42</v>
      </c>
      <c r="G168" s="8">
        <v>5000</v>
      </c>
      <c r="H168" s="7">
        <v>46171</v>
      </c>
      <c r="I168" s="9">
        <v>270</v>
      </c>
    </row>
    <row r="169" spans="1:9" x14ac:dyDescent="0.3">
      <c r="A169" s="8" t="s">
        <v>43</v>
      </c>
      <c r="B169" s="8" t="s">
        <v>44</v>
      </c>
      <c r="C169" s="8" t="s">
        <v>40</v>
      </c>
      <c r="D169" s="8">
        <v>40</v>
      </c>
      <c r="E169" s="8" t="s">
        <v>45</v>
      </c>
      <c r="F169" t="s">
        <v>42</v>
      </c>
      <c r="G169" s="8">
        <v>5000</v>
      </c>
      <c r="H169" s="7">
        <v>46171</v>
      </c>
      <c r="I169" s="9">
        <v>270</v>
      </c>
    </row>
    <row r="170" spans="1:9" x14ac:dyDescent="0.3">
      <c r="A170" s="8" t="s">
        <v>43</v>
      </c>
      <c r="B170" s="8" t="s">
        <v>44</v>
      </c>
      <c r="C170" s="8" t="s">
        <v>40</v>
      </c>
      <c r="D170" s="8">
        <v>40</v>
      </c>
      <c r="E170" s="8" t="s">
        <v>45</v>
      </c>
      <c r="F170" t="s">
        <v>42</v>
      </c>
      <c r="G170" s="8">
        <v>5000</v>
      </c>
      <c r="H170" s="7">
        <v>46171</v>
      </c>
      <c r="I170" s="9">
        <v>270</v>
      </c>
    </row>
    <row r="171" spans="1:9" x14ac:dyDescent="0.3">
      <c r="A171" s="8" t="s">
        <v>43</v>
      </c>
      <c r="B171" s="8" t="s">
        <v>44</v>
      </c>
      <c r="C171" s="8" t="s">
        <v>40</v>
      </c>
      <c r="D171" s="8">
        <v>40</v>
      </c>
      <c r="E171" s="8" t="s">
        <v>45</v>
      </c>
      <c r="F171" t="s">
        <v>42</v>
      </c>
      <c r="G171" s="8">
        <v>5000</v>
      </c>
      <c r="H171" s="7">
        <v>46171</v>
      </c>
      <c r="I171" s="9">
        <v>270</v>
      </c>
    </row>
    <row r="172" spans="1:9" x14ac:dyDescent="0.3">
      <c r="A172" s="8" t="s">
        <v>43</v>
      </c>
      <c r="B172" s="8" t="s">
        <v>44</v>
      </c>
      <c r="C172" s="8" t="s">
        <v>40</v>
      </c>
      <c r="D172" s="8">
        <v>40</v>
      </c>
      <c r="E172" s="8" t="s">
        <v>45</v>
      </c>
      <c r="F172" t="s">
        <v>42</v>
      </c>
      <c r="G172" s="8">
        <v>5000</v>
      </c>
      <c r="H172" s="7">
        <v>46171</v>
      </c>
      <c r="I172" s="9">
        <v>270</v>
      </c>
    </row>
    <row r="173" spans="1:9" x14ac:dyDescent="0.3">
      <c r="A173" s="8" t="s">
        <v>43</v>
      </c>
      <c r="B173" s="8" t="s">
        <v>44</v>
      </c>
      <c r="C173" s="8" t="s">
        <v>40</v>
      </c>
      <c r="D173" s="8">
        <v>40</v>
      </c>
      <c r="E173" s="8" t="s">
        <v>45</v>
      </c>
      <c r="F173" t="s">
        <v>42</v>
      </c>
      <c r="G173" s="8">
        <v>5000</v>
      </c>
      <c r="H173" s="7">
        <v>46171</v>
      </c>
      <c r="I173" s="9">
        <v>270</v>
      </c>
    </row>
    <row r="174" spans="1:9" x14ac:dyDescent="0.3">
      <c r="A174" s="8" t="s">
        <v>43</v>
      </c>
      <c r="B174" s="8" t="s">
        <v>44</v>
      </c>
      <c r="C174" s="8" t="s">
        <v>40</v>
      </c>
      <c r="D174" s="8">
        <v>40</v>
      </c>
      <c r="E174" s="8" t="s">
        <v>45</v>
      </c>
      <c r="F174" t="s">
        <v>42</v>
      </c>
      <c r="G174" s="8">
        <v>5000</v>
      </c>
      <c r="H174" s="7">
        <v>46171</v>
      </c>
      <c r="I174" s="9">
        <v>269</v>
      </c>
    </row>
    <row r="175" spans="1:9" x14ac:dyDescent="0.3">
      <c r="A175" s="8" t="s">
        <v>43</v>
      </c>
      <c r="B175" s="8" t="s">
        <v>44</v>
      </c>
      <c r="C175" s="8" t="s">
        <v>40</v>
      </c>
      <c r="D175" s="8">
        <v>40</v>
      </c>
      <c r="E175" s="8" t="s">
        <v>45</v>
      </c>
      <c r="F175" t="s">
        <v>42</v>
      </c>
      <c r="G175" s="8">
        <v>5000</v>
      </c>
      <c r="H175" s="7">
        <v>46171</v>
      </c>
      <c r="I175" s="9">
        <v>270</v>
      </c>
    </row>
    <row r="176" spans="1:9" x14ac:dyDescent="0.3">
      <c r="A176" s="8" t="s">
        <v>43</v>
      </c>
      <c r="B176" s="8" t="s">
        <v>44</v>
      </c>
      <c r="C176" s="8" t="s">
        <v>40</v>
      </c>
      <c r="D176" s="8">
        <v>40</v>
      </c>
      <c r="E176" s="8" t="s">
        <v>45</v>
      </c>
      <c r="F176" t="s">
        <v>42</v>
      </c>
      <c r="G176" s="8">
        <v>5000</v>
      </c>
      <c r="H176" s="7">
        <v>46171</v>
      </c>
      <c r="I176" s="9">
        <v>270</v>
      </c>
    </row>
    <row r="177" spans="1:9" x14ac:dyDescent="0.3">
      <c r="A177" s="8" t="s">
        <v>43</v>
      </c>
      <c r="B177" s="8" t="s">
        <v>44</v>
      </c>
      <c r="C177" s="8" t="s">
        <v>40</v>
      </c>
      <c r="D177" s="8">
        <v>40</v>
      </c>
      <c r="E177" s="8" t="s">
        <v>45</v>
      </c>
      <c r="F177" t="s">
        <v>42</v>
      </c>
      <c r="G177" s="8">
        <v>5000</v>
      </c>
      <c r="H177" s="7">
        <v>46171</v>
      </c>
      <c r="I177" s="9">
        <v>227</v>
      </c>
    </row>
    <row r="178" spans="1:9" x14ac:dyDescent="0.3">
      <c r="A178" s="8" t="s">
        <v>43</v>
      </c>
      <c r="B178" s="8" t="s">
        <v>44</v>
      </c>
      <c r="C178" s="8" t="s">
        <v>40</v>
      </c>
      <c r="D178" s="8">
        <v>40</v>
      </c>
      <c r="E178" s="8" t="s">
        <v>45</v>
      </c>
      <c r="F178" t="s">
        <v>42</v>
      </c>
      <c r="G178" s="8">
        <v>5000</v>
      </c>
      <c r="H178" s="7">
        <v>46171</v>
      </c>
      <c r="I178" s="9">
        <v>264</v>
      </c>
    </row>
    <row r="179" spans="1:9" x14ac:dyDescent="0.3">
      <c r="A179" s="8" t="s">
        <v>43</v>
      </c>
      <c r="B179" s="8" t="s">
        <v>44</v>
      </c>
      <c r="C179" s="8" t="s">
        <v>40</v>
      </c>
      <c r="D179" s="8">
        <v>40</v>
      </c>
      <c r="E179" s="8" t="s">
        <v>45</v>
      </c>
      <c r="F179" t="s">
        <v>42</v>
      </c>
      <c r="G179" s="8">
        <v>5000</v>
      </c>
      <c r="H179" s="7">
        <v>46171</v>
      </c>
      <c r="I179" s="9">
        <v>270</v>
      </c>
    </row>
    <row r="180" spans="1:9" x14ac:dyDescent="0.3">
      <c r="A180" s="8" t="s">
        <v>43</v>
      </c>
      <c r="B180" s="8" t="s">
        <v>44</v>
      </c>
      <c r="C180" s="8" t="s">
        <v>40</v>
      </c>
      <c r="D180" s="8">
        <v>40</v>
      </c>
      <c r="E180" s="8" t="s">
        <v>45</v>
      </c>
      <c r="F180" t="s">
        <v>42</v>
      </c>
      <c r="G180" s="8">
        <v>5000</v>
      </c>
      <c r="H180" s="7">
        <v>46171</v>
      </c>
      <c r="I180" s="9">
        <v>270</v>
      </c>
    </row>
    <row r="181" spans="1:9" x14ac:dyDescent="0.3">
      <c r="A181" s="8" t="s">
        <v>43</v>
      </c>
      <c r="B181" s="8" t="s">
        <v>44</v>
      </c>
      <c r="C181" s="8" t="s">
        <v>40</v>
      </c>
      <c r="D181" s="8">
        <v>40</v>
      </c>
      <c r="E181" s="8" t="s">
        <v>45</v>
      </c>
      <c r="F181" t="s">
        <v>42</v>
      </c>
      <c r="G181" s="8">
        <v>5000</v>
      </c>
      <c r="H181" s="7">
        <v>46171</v>
      </c>
      <c r="I181" s="9">
        <v>270</v>
      </c>
    </row>
    <row r="182" spans="1:9" x14ac:dyDescent="0.3">
      <c r="A182" s="8" t="s">
        <v>43</v>
      </c>
      <c r="B182" s="8" t="s">
        <v>44</v>
      </c>
      <c r="C182" s="8" t="s">
        <v>40</v>
      </c>
      <c r="D182" s="8">
        <v>40</v>
      </c>
      <c r="E182" s="8" t="s">
        <v>45</v>
      </c>
      <c r="F182" t="s">
        <v>42</v>
      </c>
      <c r="G182" s="8">
        <v>5000</v>
      </c>
      <c r="H182" s="7">
        <v>46171</v>
      </c>
      <c r="I182" s="9">
        <v>270</v>
      </c>
    </row>
    <row r="183" spans="1:9" x14ac:dyDescent="0.3">
      <c r="A183" s="8" t="s">
        <v>43</v>
      </c>
      <c r="B183" s="8" t="s">
        <v>44</v>
      </c>
      <c r="C183" s="8" t="s">
        <v>40</v>
      </c>
      <c r="D183" s="8">
        <v>40</v>
      </c>
      <c r="E183" s="8" t="s">
        <v>45</v>
      </c>
      <c r="F183" t="s">
        <v>42</v>
      </c>
      <c r="G183" s="8">
        <v>5000</v>
      </c>
      <c r="H183" s="7">
        <v>46171</v>
      </c>
      <c r="I183" s="9">
        <v>270</v>
      </c>
    </row>
    <row r="184" spans="1:9" x14ac:dyDescent="0.3">
      <c r="A184" s="8" t="s">
        <v>43</v>
      </c>
      <c r="B184" s="8" t="s">
        <v>44</v>
      </c>
      <c r="C184" s="8" t="s">
        <v>40</v>
      </c>
      <c r="D184" s="8">
        <v>40</v>
      </c>
      <c r="E184" s="8" t="s">
        <v>45</v>
      </c>
      <c r="F184" t="s">
        <v>42</v>
      </c>
      <c r="G184" s="8">
        <v>5000</v>
      </c>
      <c r="H184" s="7">
        <v>46171</v>
      </c>
      <c r="I184" s="9">
        <v>207</v>
      </c>
    </row>
    <row r="185" spans="1:9" x14ac:dyDescent="0.3">
      <c r="A185" s="8" t="s">
        <v>43</v>
      </c>
      <c r="B185" s="8" t="s">
        <v>44</v>
      </c>
      <c r="C185" s="8" t="s">
        <v>40</v>
      </c>
      <c r="D185" s="8">
        <v>40</v>
      </c>
      <c r="E185" s="8" t="s">
        <v>45</v>
      </c>
      <c r="F185" t="s">
        <v>42</v>
      </c>
      <c r="G185" s="8">
        <v>5000</v>
      </c>
      <c r="H185" s="7">
        <v>46171</v>
      </c>
      <c r="I185" s="9">
        <v>270</v>
      </c>
    </row>
    <row r="186" spans="1:9" x14ac:dyDescent="0.3">
      <c r="A186" s="8" t="s">
        <v>43</v>
      </c>
      <c r="B186" s="8" t="s">
        <v>44</v>
      </c>
      <c r="C186" s="8" t="s">
        <v>40</v>
      </c>
      <c r="D186" s="8">
        <v>40</v>
      </c>
      <c r="E186" s="8" t="s">
        <v>45</v>
      </c>
      <c r="F186" t="s">
        <v>42</v>
      </c>
      <c r="G186" s="8">
        <v>5000</v>
      </c>
      <c r="H186" s="7">
        <v>46171</v>
      </c>
      <c r="I186" s="9">
        <v>160</v>
      </c>
    </row>
    <row r="187" spans="1:9" x14ac:dyDescent="0.3">
      <c r="A187" s="8" t="s">
        <v>43</v>
      </c>
      <c r="B187" s="8" t="s">
        <v>44</v>
      </c>
      <c r="C187" s="8" t="s">
        <v>40</v>
      </c>
      <c r="D187" s="8">
        <v>40</v>
      </c>
      <c r="E187" s="8" t="s">
        <v>45</v>
      </c>
      <c r="F187" t="s">
        <v>42</v>
      </c>
      <c r="G187" s="8">
        <v>5000</v>
      </c>
      <c r="H187" s="7">
        <v>46171</v>
      </c>
      <c r="I187" s="9">
        <v>270</v>
      </c>
    </row>
    <row r="188" spans="1:9" x14ac:dyDescent="0.3">
      <c r="A188" s="8" t="s">
        <v>43</v>
      </c>
      <c r="B188" s="8" t="s">
        <v>44</v>
      </c>
      <c r="C188" s="8" t="s">
        <v>40</v>
      </c>
      <c r="D188" s="8">
        <v>40</v>
      </c>
      <c r="E188" s="8" t="s">
        <v>45</v>
      </c>
      <c r="F188" t="s">
        <v>42</v>
      </c>
      <c r="G188" s="8">
        <v>5000</v>
      </c>
      <c r="H188" s="7">
        <v>46171</v>
      </c>
      <c r="I188" s="9">
        <v>270</v>
      </c>
    </row>
    <row r="189" spans="1:9" x14ac:dyDescent="0.3">
      <c r="A189" s="8" t="s">
        <v>51</v>
      </c>
      <c r="B189" s="8" t="s">
        <v>52</v>
      </c>
      <c r="C189" s="8" t="s">
        <v>32</v>
      </c>
      <c r="D189" s="8">
        <v>90</v>
      </c>
      <c r="E189" s="8" t="s">
        <v>53</v>
      </c>
      <c r="F189" t="s">
        <v>50</v>
      </c>
      <c r="G189" s="8">
        <v>3000</v>
      </c>
      <c r="H189" s="7">
        <v>46171</v>
      </c>
      <c r="I189" s="9">
        <v>4500</v>
      </c>
    </row>
    <row r="190" spans="1:9" x14ac:dyDescent="0.3">
      <c r="A190" s="8" t="s">
        <v>43</v>
      </c>
      <c r="B190" s="8" t="s">
        <v>44</v>
      </c>
      <c r="C190" s="8" t="s">
        <v>40</v>
      </c>
      <c r="D190" s="8">
        <v>40</v>
      </c>
      <c r="E190" s="8" t="s">
        <v>45</v>
      </c>
      <c r="F190" t="s">
        <v>42</v>
      </c>
      <c r="G190" s="8">
        <v>5000</v>
      </c>
      <c r="H190" s="7">
        <v>46175</v>
      </c>
      <c r="I190" s="9">
        <v>270</v>
      </c>
    </row>
    <row r="191" spans="1:9" x14ac:dyDescent="0.3">
      <c r="A191" s="8" t="s">
        <v>43</v>
      </c>
      <c r="B191" s="8" t="s">
        <v>44</v>
      </c>
      <c r="C191" s="8" t="s">
        <v>40</v>
      </c>
      <c r="D191" s="8">
        <v>40</v>
      </c>
      <c r="E191" s="8" t="s">
        <v>45</v>
      </c>
      <c r="F191" t="s">
        <v>42</v>
      </c>
      <c r="G191" s="8">
        <v>5000</v>
      </c>
      <c r="H191" s="7">
        <v>46175</v>
      </c>
      <c r="I191" s="9">
        <v>270</v>
      </c>
    </row>
    <row r="192" spans="1:9" x14ac:dyDescent="0.3">
      <c r="A192" s="8" t="s">
        <v>43</v>
      </c>
      <c r="B192" s="8" t="s">
        <v>44</v>
      </c>
      <c r="C192" s="8" t="s">
        <v>40</v>
      </c>
      <c r="D192" s="8">
        <v>40</v>
      </c>
      <c r="E192" s="8" t="s">
        <v>45</v>
      </c>
      <c r="F192" t="s">
        <v>42</v>
      </c>
      <c r="G192" s="8">
        <v>5000</v>
      </c>
      <c r="H192" s="7">
        <v>46175</v>
      </c>
      <c r="I192" s="9">
        <v>270</v>
      </c>
    </row>
    <row r="193" spans="1:9" x14ac:dyDescent="0.3">
      <c r="A193" s="8" t="s">
        <v>43</v>
      </c>
      <c r="B193" s="8" t="s">
        <v>44</v>
      </c>
      <c r="C193" s="8" t="s">
        <v>40</v>
      </c>
      <c r="D193" s="8">
        <v>40</v>
      </c>
      <c r="E193" s="8" t="s">
        <v>45</v>
      </c>
      <c r="F193" t="s">
        <v>42</v>
      </c>
      <c r="G193" s="8">
        <v>5000</v>
      </c>
      <c r="H193" s="7">
        <v>46175</v>
      </c>
      <c r="I193" s="9">
        <v>270</v>
      </c>
    </row>
    <row r="194" spans="1:9" x14ac:dyDescent="0.3">
      <c r="A194" s="8" t="s">
        <v>43</v>
      </c>
      <c r="B194" s="8" t="s">
        <v>44</v>
      </c>
      <c r="C194" s="8" t="s">
        <v>40</v>
      </c>
      <c r="D194" s="8">
        <v>40</v>
      </c>
      <c r="E194" s="8" t="s">
        <v>45</v>
      </c>
      <c r="F194" t="s">
        <v>42</v>
      </c>
      <c r="G194" s="8">
        <v>5000</v>
      </c>
      <c r="H194" s="7">
        <v>46175</v>
      </c>
      <c r="I194" s="9">
        <v>270</v>
      </c>
    </row>
    <row r="195" spans="1:9" x14ac:dyDescent="0.3">
      <c r="A195" s="8" t="s">
        <v>43</v>
      </c>
      <c r="B195" s="8" t="s">
        <v>44</v>
      </c>
      <c r="C195" s="8" t="s">
        <v>40</v>
      </c>
      <c r="D195" s="8">
        <v>40</v>
      </c>
      <c r="E195" s="8" t="s">
        <v>45</v>
      </c>
      <c r="F195" t="s">
        <v>42</v>
      </c>
      <c r="G195" s="8">
        <v>5000</v>
      </c>
      <c r="H195" s="7">
        <v>46175</v>
      </c>
      <c r="I195" s="9">
        <v>270</v>
      </c>
    </row>
    <row r="196" spans="1:9" x14ac:dyDescent="0.3">
      <c r="A196" s="8" t="s">
        <v>43</v>
      </c>
      <c r="B196" s="8" t="s">
        <v>44</v>
      </c>
      <c r="C196" s="8" t="s">
        <v>40</v>
      </c>
      <c r="D196" s="8">
        <v>40</v>
      </c>
      <c r="E196" s="8" t="s">
        <v>45</v>
      </c>
      <c r="F196" t="s">
        <v>42</v>
      </c>
      <c r="G196" s="8">
        <v>5000</v>
      </c>
      <c r="H196" s="7">
        <v>46175</v>
      </c>
      <c r="I196" s="9">
        <v>270</v>
      </c>
    </row>
    <row r="197" spans="1:9" x14ac:dyDescent="0.3">
      <c r="A197" s="8" t="s">
        <v>43</v>
      </c>
      <c r="B197" s="8" t="s">
        <v>44</v>
      </c>
      <c r="C197" s="8" t="s">
        <v>40</v>
      </c>
      <c r="D197" s="8">
        <v>40</v>
      </c>
      <c r="E197" s="8" t="s">
        <v>45</v>
      </c>
      <c r="F197" t="s">
        <v>42</v>
      </c>
      <c r="G197" s="8">
        <v>5000</v>
      </c>
      <c r="H197" s="7">
        <v>46175</v>
      </c>
      <c r="I197" s="9">
        <v>270</v>
      </c>
    </row>
    <row r="198" spans="1:9" x14ac:dyDescent="0.3">
      <c r="A198" s="8" t="s">
        <v>43</v>
      </c>
      <c r="B198" s="8" t="s">
        <v>44</v>
      </c>
      <c r="C198" s="8" t="s">
        <v>40</v>
      </c>
      <c r="D198" s="8">
        <v>40</v>
      </c>
      <c r="E198" s="8" t="s">
        <v>45</v>
      </c>
      <c r="F198" t="s">
        <v>42</v>
      </c>
      <c r="G198" s="8">
        <v>5000</v>
      </c>
      <c r="H198" s="7">
        <v>46175</v>
      </c>
      <c r="I198" s="9">
        <v>270</v>
      </c>
    </row>
    <row r="199" spans="1:9" x14ac:dyDescent="0.3">
      <c r="A199" s="8" t="s">
        <v>43</v>
      </c>
      <c r="B199" s="8" t="s">
        <v>44</v>
      </c>
      <c r="C199" s="8" t="s">
        <v>40</v>
      </c>
      <c r="D199" s="8">
        <v>40</v>
      </c>
      <c r="E199" s="8" t="s">
        <v>45</v>
      </c>
      <c r="F199" t="s">
        <v>42</v>
      </c>
      <c r="G199" s="8">
        <v>5000</v>
      </c>
      <c r="H199" s="7">
        <v>46175</v>
      </c>
      <c r="I199" s="9">
        <v>270</v>
      </c>
    </row>
    <row r="200" spans="1:9" x14ac:dyDescent="0.3">
      <c r="A200" s="8" t="s">
        <v>43</v>
      </c>
      <c r="B200" s="8" t="s">
        <v>44</v>
      </c>
      <c r="C200" s="8" t="s">
        <v>40</v>
      </c>
      <c r="D200" s="8">
        <v>40</v>
      </c>
      <c r="E200" s="8" t="s">
        <v>45</v>
      </c>
      <c r="F200" t="s">
        <v>42</v>
      </c>
      <c r="G200" s="8">
        <v>5000</v>
      </c>
      <c r="H200" s="7">
        <v>46175</v>
      </c>
      <c r="I200" s="9">
        <v>270</v>
      </c>
    </row>
    <row r="201" spans="1:9" x14ac:dyDescent="0.3">
      <c r="A201" s="8" t="s">
        <v>43</v>
      </c>
      <c r="B201" s="8" t="s">
        <v>44</v>
      </c>
      <c r="C201" s="8" t="s">
        <v>40</v>
      </c>
      <c r="D201" s="8">
        <v>40</v>
      </c>
      <c r="E201" s="8" t="s">
        <v>45</v>
      </c>
      <c r="F201" t="s">
        <v>42</v>
      </c>
      <c r="G201" s="8">
        <v>5000</v>
      </c>
      <c r="H201" s="7">
        <v>46175</v>
      </c>
      <c r="I201" s="9">
        <v>270</v>
      </c>
    </row>
    <row r="202" spans="1:9" x14ac:dyDescent="0.3">
      <c r="A202" s="8" t="s">
        <v>43</v>
      </c>
      <c r="B202" s="8" t="s">
        <v>44</v>
      </c>
      <c r="C202" s="8" t="s">
        <v>40</v>
      </c>
      <c r="D202" s="8">
        <v>40</v>
      </c>
      <c r="E202" s="8" t="s">
        <v>45</v>
      </c>
      <c r="F202" t="s">
        <v>42</v>
      </c>
      <c r="G202" s="8">
        <v>5000</v>
      </c>
      <c r="H202" s="7">
        <v>46175</v>
      </c>
      <c r="I202" s="9">
        <v>270</v>
      </c>
    </row>
    <row r="203" spans="1:9" x14ac:dyDescent="0.3">
      <c r="A203" s="8" t="s">
        <v>43</v>
      </c>
      <c r="B203" s="8" t="s">
        <v>44</v>
      </c>
      <c r="C203" s="8" t="s">
        <v>40</v>
      </c>
      <c r="D203" s="8">
        <v>40</v>
      </c>
      <c r="E203" s="8" t="s">
        <v>45</v>
      </c>
      <c r="F203" t="s">
        <v>42</v>
      </c>
      <c r="G203" s="8">
        <v>5000</v>
      </c>
      <c r="H203" s="7">
        <v>46175</v>
      </c>
      <c r="I203" s="9">
        <v>270</v>
      </c>
    </row>
    <row r="204" spans="1:9" x14ac:dyDescent="0.3">
      <c r="A204" s="8" t="s">
        <v>43</v>
      </c>
      <c r="B204" s="8" t="s">
        <v>44</v>
      </c>
      <c r="C204" s="8" t="s">
        <v>40</v>
      </c>
      <c r="D204" s="8">
        <v>40</v>
      </c>
      <c r="E204" s="8" t="s">
        <v>45</v>
      </c>
      <c r="F204" t="s">
        <v>42</v>
      </c>
      <c r="G204" s="8">
        <v>5000</v>
      </c>
      <c r="H204" s="7">
        <v>46175</v>
      </c>
      <c r="I204" s="9">
        <v>270</v>
      </c>
    </row>
    <row r="205" spans="1:9" x14ac:dyDescent="0.3">
      <c r="A205" s="8" t="s">
        <v>43</v>
      </c>
      <c r="B205" s="8" t="s">
        <v>44</v>
      </c>
      <c r="C205" s="8" t="s">
        <v>40</v>
      </c>
      <c r="D205" s="8">
        <v>40</v>
      </c>
      <c r="E205" s="8" t="s">
        <v>45</v>
      </c>
      <c r="F205" t="s">
        <v>42</v>
      </c>
      <c r="G205" s="8">
        <v>5000</v>
      </c>
      <c r="H205" s="7">
        <v>46175</v>
      </c>
      <c r="I205" s="9">
        <v>270</v>
      </c>
    </row>
    <row r="206" spans="1:9" x14ac:dyDescent="0.3">
      <c r="A206" s="8" t="s">
        <v>43</v>
      </c>
      <c r="B206" s="8" t="s">
        <v>44</v>
      </c>
      <c r="C206" s="8" t="s">
        <v>40</v>
      </c>
      <c r="D206" s="8">
        <v>40</v>
      </c>
      <c r="E206" s="8" t="s">
        <v>45</v>
      </c>
      <c r="F206" t="s">
        <v>42</v>
      </c>
      <c r="G206" s="8">
        <v>5000</v>
      </c>
      <c r="H206" s="7">
        <v>46175</v>
      </c>
      <c r="I206" s="9">
        <v>270</v>
      </c>
    </row>
    <row r="207" spans="1:9" x14ac:dyDescent="0.3">
      <c r="A207" s="8" t="s">
        <v>43</v>
      </c>
      <c r="B207" s="8" t="s">
        <v>44</v>
      </c>
      <c r="C207" s="8" t="s">
        <v>40</v>
      </c>
      <c r="D207" s="8">
        <v>40</v>
      </c>
      <c r="E207" s="8" t="s">
        <v>45</v>
      </c>
      <c r="F207" t="s">
        <v>42</v>
      </c>
      <c r="G207" s="8">
        <v>5000</v>
      </c>
      <c r="H207" s="7">
        <v>46175</v>
      </c>
      <c r="I207" s="9">
        <v>270</v>
      </c>
    </row>
    <row r="208" spans="1:9" x14ac:dyDescent="0.3">
      <c r="A208" s="8" t="s">
        <v>43</v>
      </c>
      <c r="B208" s="8" t="s">
        <v>44</v>
      </c>
      <c r="C208" s="8" t="s">
        <v>40</v>
      </c>
      <c r="D208" s="8">
        <v>40</v>
      </c>
      <c r="E208" s="8" t="s">
        <v>45</v>
      </c>
      <c r="F208" t="s">
        <v>42</v>
      </c>
      <c r="G208" s="8">
        <v>5000</v>
      </c>
      <c r="H208" s="7">
        <v>46175</v>
      </c>
      <c r="I208" s="9">
        <v>270</v>
      </c>
    </row>
    <row r="209" spans="1:9" x14ac:dyDescent="0.3">
      <c r="A209" s="8" t="s">
        <v>43</v>
      </c>
      <c r="B209" s="8" t="s">
        <v>44</v>
      </c>
      <c r="C209" s="8" t="s">
        <v>40</v>
      </c>
      <c r="D209" s="8">
        <v>40</v>
      </c>
      <c r="E209" s="8" t="s">
        <v>45</v>
      </c>
      <c r="F209" t="s">
        <v>42</v>
      </c>
      <c r="G209" s="8">
        <v>5000</v>
      </c>
      <c r="H209" s="7">
        <v>46175</v>
      </c>
      <c r="I209" s="9">
        <v>270</v>
      </c>
    </row>
    <row r="210" spans="1:9" x14ac:dyDescent="0.3">
      <c r="A210" s="8" t="s">
        <v>43</v>
      </c>
      <c r="B210" s="8" t="s">
        <v>44</v>
      </c>
      <c r="C210" s="8" t="s">
        <v>40</v>
      </c>
      <c r="D210" s="8">
        <v>40</v>
      </c>
      <c r="E210" s="8" t="s">
        <v>45</v>
      </c>
      <c r="F210" t="s">
        <v>42</v>
      </c>
      <c r="G210" s="8">
        <v>5000</v>
      </c>
      <c r="H210" s="7">
        <v>46175</v>
      </c>
      <c r="I210" s="9">
        <v>270</v>
      </c>
    </row>
    <row r="211" spans="1:9" x14ac:dyDescent="0.3">
      <c r="A211" s="8" t="s">
        <v>43</v>
      </c>
      <c r="B211" s="8" t="s">
        <v>44</v>
      </c>
      <c r="C211" s="8" t="s">
        <v>40</v>
      </c>
      <c r="D211" s="8">
        <v>40</v>
      </c>
      <c r="E211" s="8" t="s">
        <v>45</v>
      </c>
      <c r="F211" t="s">
        <v>42</v>
      </c>
      <c r="G211" s="8">
        <v>5000</v>
      </c>
      <c r="H211" s="7">
        <v>46175</v>
      </c>
      <c r="I211" s="9">
        <v>270</v>
      </c>
    </row>
    <row r="212" spans="1:9" x14ac:dyDescent="0.3">
      <c r="A212" s="8" t="s">
        <v>43</v>
      </c>
      <c r="B212" s="8" t="s">
        <v>44</v>
      </c>
      <c r="C212" s="8" t="s">
        <v>40</v>
      </c>
      <c r="D212" s="8">
        <v>40</v>
      </c>
      <c r="E212" s="8" t="s">
        <v>45</v>
      </c>
      <c r="F212" t="s">
        <v>42</v>
      </c>
      <c r="G212" s="8">
        <v>5000</v>
      </c>
      <c r="H212" s="7">
        <v>46175</v>
      </c>
      <c r="I212" s="9">
        <v>270</v>
      </c>
    </row>
    <row r="213" spans="1:9" x14ac:dyDescent="0.3">
      <c r="A213" s="8" t="s">
        <v>43</v>
      </c>
      <c r="B213" s="8" t="s">
        <v>44</v>
      </c>
      <c r="C213" s="8" t="s">
        <v>40</v>
      </c>
      <c r="D213" s="8">
        <v>40</v>
      </c>
      <c r="E213" s="8" t="s">
        <v>45</v>
      </c>
      <c r="F213" t="s">
        <v>42</v>
      </c>
      <c r="G213" s="8">
        <v>5000</v>
      </c>
      <c r="H213" s="7">
        <v>46175</v>
      </c>
      <c r="I213" s="9">
        <v>270</v>
      </c>
    </row>
    <row r="214" spans="1:9" x14ac:dyDescent="0.3">
      <c r="A214" s="8" t="s">
        <v>43</v>
      </c>
      <c r="B214" s="8" t="s">
        <v>44</v>
      </c>
      <c r="C214" s="8" t="s">
        <v>40</v>
      </c>
      <c r="D214" s="8">
        <v>40</v>
      </c>
      <c r="E214" s="8" t="s">
        <v>45</v>
      </c>
      <c r="F214" t="s">
        <v>42</v>
      </c>
      <c r="G214" s="8">
        <v>5000</v>
      </c>
      <c r="H214" s="7">
        <v>46175</v>
      </c>
      <c r="I214" s="9">
        <v>270</v>
      </c>
    </row>
    <row r="215" spans="1:9" x14ac:dyDescent="0.3">
      <c r="A215" s="8" t="s">
        <v>43</v>
      </c>
      <c r="B215" s="8" t="s">
        <v>44</v>
      </c>
      <c r="C215" s="8" t="s">
        <v>40</v>
      </c>
      <c r="D215" s="8">
        <v>40</v>
      </c>
      <c r="E215" s="8" t="s">
        <v>45</v>
      </c>
      <c r="F215" t="s">
        <v>42</v>
      </c>
      <c r="G215" s="8">
        <v>5000</v>
      </c>
      <c r="H215" s="7">
        <v>46175</v>
      </c>
      <c r="I215" s="9">
        <v>270</v>
      </c>
    </row>
    <row r="216" spans="1:9" x14ac:dyDescent="0.3">
      <c r="A216" s="8" t="s">
        <v>43</v>
      </c>
      <c r="B216" s="8" t="s">
        <v>44</v>
      </c>
      <c r="C216" s="8" t="s">
        <v>40</v>
      </c>
      <c r="D216" s="8">
        <v>40</v>
      </c>
      <c r="E216" s="8" t="s">
        <v>45</v>
      </c>
      <c r="F216" t="s">
        <v>42</v>
      </c>
      <c r="G216" s="8">
        <v>5000</v>
      </c>
      <c r="H216" s="7">
        <v>46175</v>
      </c>
      <c r="I216" s="9">
        <v>270</v>
      </c>
    </row>
    <row r="217" spans="1:9" x14ac:dyDescent="0.3">
      <c r="A217" s="8" t="s">
        <v>43</v>
      </c>
      <c r="B217" s="8" t="s">
        <v>44</v>
      </c>
      <c r="C217" s="8" t="s">
        <v>40</v>
      </c>
      <c r="D217" s="8">
        <v>40</v>
      </c>
      <c r="E217" s="8" t="s">
        <v>45</v>
      </c>
      <c r="F217" t="s">
        <v>42</v>
      </c>
      <c r="G217" s="8">
        <v>5000</v>
      </c>
      <c r="H217" s="7">
        <v>46175</v>
      </c>
      <c r="I217" s="9">
        <v>270</v>
      </c>
    </row>
    <row r="218" spans="1:9" x14ac:dyDescent="0.3">
      <c r="A218" s="8" t="s">
        <v>43</v>
      </c>
      <c r="B218" s="8" t="s">
        <v>44</v>
      </c>
      <c r="C218" s="8" t="s">
        <v>40</v>
      </c>
      <c r="D218" s="8">
        <v>40</v>
      </c>
      <c r="E218" s="8" t="s">
        <v>45</v>
      </c>
      <c r="F218" t="s">
        <v>42</v>
      </c>
      <c r="G218" s="8">
        <v>5000</v>
      </c>
      <c r="H218" s="7">
        <v>46175</v>
      </c>
      <c r="I218" s="9">
        <v>270</v>
      </c>
    </row>
    <row r="219" spans="1:9" x14ac:dyDescent="0.3">
      <c r="A219" s="8" t="s">
        <v>43</v>
      </c>
      <c r="B219" s="8" t="s">
        <v>44</v>
      </c>
      <c r="C219" s="8" t="s">
        <v>40</v>
      </c>
      <c r="D219" s="8">
        <v>40</v>
      </c>
      <c r="E219" s="8" t="s">
        <v>45</v>
      </c>
      <c r="F219" t="s">
        <v>42</v>
      </c>
      <c r="G219" s="8">
        <v>5000</v>
      </c>
      <c r="H219" s="7">
        <v>46175</v>
      </c>
      <c r="I219" s="9">
        <v>270</v>
      </c>
    </row>
    <row r="220" spans="1:9" x14ac:dyDescent="0.3">
      <c r="A220" s="8" t="s">
        <v>38</v>
      </c>
      <c r="B220" s="8" t="s">
        <v>39</v>
      </c>
      <c r="C220" s="8" t="s">
        <v>40</v>
      </c>
      <c r="D220" s="8">
        <v>80</v>
      </c>
      <c r="E220" s="8" t="s">
        <v>41</v>
      </c>
      <c r="F220" t="s">
        <v>42</v>
      </c>
      <c r="G220" s="8">
        <v>5000</v>
      </c>
      <c r="H220" s="7">
        <v>46176</v>
      </c>
      <c r="I220" s="9">
        <v>270</v>
      </c>
    </row>
    <row r="221" spans="1:9" x14ac:dyDescent="0.3">
      <c r="A221" s="8" t="s">
        <v>38</v>
      </c>
      <c r="B221" s="8" t="s">
        <v>39</v>
      </c>
      <c r="C221" s="8" t="s">
        <v>40</v>
      </c>
      <c r="D221" s="8">
        <v>80</v>
      </c>
      <c r="E221" s="8" t="s">
        <v>41</v>
      </c>
      <c r="F221" t="s">
        <v>42</v>
      </c>
      <c r="G221" s="8">
        <v>5000</v>
      </c>
      <c r="H221" s="7">
        <v>46176</v>
      </c>
      <c r="I221" s="9">
        <v>264</v>
      </c>
    </row>
    <row r="222" spans="1:9" x14ac:dyDescent="0.3">
      <c r="A222" s="8" t="s">
        <v>30</v>
      </c>
      <c r="B222" s="8" t="s">
        <v>31</v>
      </c>
      <c r="C222" s="8" t="s">
        <v>32</v>
      </c>
      <c r="D222" s="8">
        <v>105</v>
      </c>
      <c r="E222" s="8" t="s">
        <v>33</v>
      </c>
      <c r="F222" t="s">
        <v>34</v>
      </c>
      <c r="G222" s="9">
        <v>15000</v>
      </c>
      <c r="H222" s="7">
        <v>46178</v>
      </c>
      <c r="I222" s="9">
        <v>13000</v>
      </c>
    </row>
    <row r="223" spans="1:9" x14ac:dyDescent="0.3">
      <c r="A223" s="8" t="s">
        <v>35</v>
      </c>
      <c r="B223" s="8" t="s">
        <v>36</v>
      </c>
      <c r="C223" s="8" t="s">
        <v>32</v>
      </c>
      <c r="D223" s="8">
        <v>55</v>
      </c>
      <c r="E223" s="8" t="s">
        <v>37</v>
      </c>
      <c r="F223" t="s">
        <v>34</v>
      </c>
      <c r="G223" s="9">
        <v>15000</v>
      </c>
      <c r="H223" s="7">
        <v>46178</v>
      </c>
      <c r="I223" s="9">
        <v>2146</v>
      </c>
    </row>
    <row r="224" spans="1:9" x14ac:dyDescent="0.3">
      <c r="A224" s="8" t="s">
        <v>38</v>
      </c>
      <c r="B224" s="8" t="s">
        <v>39</v>
      </c>
      <c r="C224" s="8" t="s">
        <v>40</v>
      </c>
      <c r="D224" s="8">
        <v>80</v>
      </c>
      <c r="E224" s="8" t="s">
        <v>41</v>
      </c>
      <c r="F224" t="s">
        <v>42</v>
      </c>
      <c r="G224" s="8">
        <v>5000</v>
      </c>
      <c r="H224" s="7">
        <v>46178</v>
      </c>
      <c r="I224" s="9">
        <v>270</v>
      </c>
    </row>
    <row r="225" spans="1:9" x14ac:dyDescent="0.3">
      <c r="A225" s="8" t="s">
        <v>38</v>
      </c>
      <c r="B225" s="8" t="s">
        <v>39</v>
      </c>
      <c r="C225" s="8" t="s">
        <v>40</v>
      </c>
      <c r="D225" s="8">
        <v>80</v>
      </c>
      <c r="E225" s="8" t="s">
        <v>41</v>
      </c>
      <c r="F225" t="s">
        <v>42</v>
      </c>
      <c r="G225" s="8">
        <v>5000</v>
      </c>
      <c r="H225" s="7">
        <v>46178</v>
      </c>
      <c r="I225" s="9">
        <v>270</v>
      </c>
    </row>
    <row r="226" spans="1:9" x14ac:dyDescent="0.3">
      <c r="A226" s="8" t="s">
        <v>38</v>
      </c>
      <c r="B226" s="8" t="s">
        <v>39</v>
      </c>
      <c r="C226" s="8" t="s">
        <v>40</v>
      </c>
      <c r="D226" s="8">
        <v>80</v>
      </c>
      <c r="E226" s="8" t="s">
        <v>41</v>
      </c>
      <c r="F226" t="s">
        <v>42</v>
      </c>
      <c r="G226" s="8">
        <v>5000</v>
      </c>
      <c r="H226" s="7">
        <v>46178</v>
      </c>
      <c r="I226" s="9">
        <v>270</v>
      </c>
    </row>
    <row r="227" spans="1:9" x14ac:dyDescent="0.3">
      <c r="A227" s="8" t="s">
        <v>38</v>
      </c>
      <c r="B227" s="8" t="s">
        <v>39</v>
      </c>
      <c r="C227" s="8" t="s">
        <v>40</v>
      </c>
      <c r="D227" s="8">
        <v>80</v>
      </c>
      <c r="E227" s="8" t="s">
        <v>41</v>
      </c>
      <c r="F227" t="s">
        <v>42</v>
      </c>
      <c r="G227" s="8">
        <v>5000</v>
      </c>
      <c r="H227" s="7">
        <v>46178</v>
      </c>
      <c r="I227" s="9">
        <v>270</v>
      </c>
    </row>
    <row r="228" spans="1:9" x14ac:dyDescent="0.3">
      <c r="A228" s="8" t="s">
        <v>38</v>
      </c>
      <c r="B228" s="8" t="s">
        <v>39</v>
      </c>
      <c r="C228" s="8" t="s">
        <v>40</v>
      </c>
      <c r="D228" s="8">
        <v>80</v>
      </c>
      <c r="E228" s="8" t="s">
        <v>41</v>
      </c>
      <c r="F228" t="s">
        <v>42</v>
      </c>
      <c r="G228" s="8">
        <v>5000</v>
      </c>
      <c r="H228" s="7">
        <v>46178</v>
      </c>
      <c r="I228" s="9">
        <v>270</v>
      </c>
    </row>
    <row r="229" spans="1:9" x14ac:dyDescent="0.3">
      <c r="A229" s="8" t="s">
        <v>38</v>
      </c>
      <c r="B229" s="8" t="s">
        <v>39</v>
      </c>
      <c r="C229" s="8" t="s">
        <v>40</v>
      </c>
      <c r="D229" s="8">
        <v>80</v>
      </c>
      <c r="E229" s="8" t="s">
        <v>41</v>
      </c>
      <c r="F229" t="s">
        <v>42</v>
      </c>
      <c r="G229" s="8">
        <v>5000</v>
      </c>
      <c r="H229" s="7">
        <v>46178</v>
      </c>
      <c r="I229" s="9">
        <v>270</v>
      </c>
    </row>
    <row r="230" spans="1:9" x14ac:dyDescent="0.3">
      <c r="A230" s="8" t="s">
        <v>38</v>
      </c>
      <c r="B230" s="8" t="s">
        <v>39</v>
      </c>
      <c r="C230" s="8" t="s">
        <v>40</v>
      </c>
      <c r="D230" s="8">
        <v>80</v>
      </c>
      <c r="E230" s="8" t="s">
        <v>41</v>
      </c>
      <c r="F230" t="s">
        <v>42</v>
      </c>
      <c r="G230" s="8">
        <v>5000</v>
      </c>
      <c r="H230" s="7">
        <v>46178</v>
      </c>
      <c r="I230" s="9">
        <v>270</v>
      </c>
    </row>
    <row r="231" spans="1:9" x14ac:dyDescent="0.3">
      <c r="A231" s="8" t="s">
        <v>38</v>
      </c>
      <c r="B231" s="8" t="s">
        <v>39</v>
      </c>
      <c r="C231" s="8" t="s">
        <v>40</v>
      </c>
      <c r="D231" s="8">
        <v>80</v>
      </c>
      <c r="E231" s="8" t="s">
        <v>41</v>
      </c>
      <c r="F231" t="s">
        <v>42</v>
      </c>
      <c r="G231" s="8">
        <v>5000</v>
      </c>
      <c r="H231" s="7">
        <v>46178</v>
      </c>
      <c r="I231" s="9">
        <v>270</v>
      </c>
    </row>
    <row r="232" spans="1:9" x14ac:dyDescent="0.3">
      <c r="A232" s="8" t="s">
        <v>38</v>
      </c>
      <c r="B232" s="8" t="s">
        <v>39</v>
      </c>
      <c r="C232" s="8" t="s">
        <v>40</v>
      </c>
      <c r="D232" s="8">
        <v>80</v>
      </c>
      <c r="E232" s="8" t="s">
        <v>41</v>
      </c>
      <c r="F232" t="s">
        <v>42</v>
      </c>
      <c r="G232" s="8">
        <v>5000</v>
      </c>
      <c r="H232" s="7">
        <v>46178</v>
      </c>
      <c r="I232" s="9">
        <v>270</v>
      </c>
    </row>
    <row r="233" spans="1:9" x14ac:dyDescent="0.3">
      <c r="A233" s="8" t="s">
        <v>38</v>
      </c>
      <c r="B233" s="8" t="s">
        <v>39</v>
      </c>
      <c r="C233" s="8" t="s">
        <v>40</v>
      </c>
      <c r="D233" s="8">
        <v>80</v>
      </c>
      <c r="E233" s="8" t="s">
        <v>41</v>
      </c>
      <c r="F233" t="s">
        <v>42</v>
      </c>
      <c r="G233" s="8">
        <v>5000</v>
      </c>
      <c r="H233" s="7">
        <v>46178</v>
      </c>
      <c r="I233" s="9">
        <v>270</v>
      </c>
    </row>
    <row r="234" spans="1:9" x14ac:dyDescent="0.3">
      <c r="A234" s="8" t="s">
        <v>38</v>
      </c>
      <c r="B234" s="8" t="s">
        <v>39</v>
      </c>
      <c r="C234" s="8" t="s">
        <v>40</v>
      </c>
      <c r="D234" s="8">
        <v>80</v>
      </c>
      <c r="E234" s="8" t="s">
        <v>41</v>
      </c>
      <c r="F234" t="s">
        <v>42</v>
      </c>
      <c r="G234" s="8">
        <v>5000</v>
      </c>
      <c r="H234" s="7">
        <v>46178</v>
      </c>
      <c r="I234" s="9">
        <v>270</v>
      </c>
    </row>
    <row r="235" spans="1:9" x14ac:dyDescent="0.3">
      <c r="A235" s="8" t="s">
        <v>38</v>
      </c>
      <c r="B235" s="8" t="s">
        <v>39</v>
      </c>
      <c r="C235" s="8" t="s">
        <v>40</v>
      </c>
      <c r="D235" s="8">
        <v>80</v>
      </c>
      <c r="E235" s="8" t="s">
        <v>41</v>
      </c>
      <c r="F235" t="s">
        <v>42</v>
      </c>
      <c r="G235" s="8">
        <v>5000</v>
      </c>
      <c r="H235" s="7">
        <v>46178</v>
      </c>
      <c r="I235" s="9">
        <v>270</v>
      </c>
    </row>
    <row r="236" spans="1:9" x14ac:dyDescent="0.3">
      <c r="A236" s="8" t="s">
        <v>38</v>
      </c>
      <c r="B236" s="8" t="s">
        <v>39</v>
      </c>
      <c r="C236" s="8" t="s">
        <v>40</v>
      </c>
      <c r="D236" s="8">
        <v>80</v>
      </c>
      <c r="E236" s="8" t="s">
        <v>41</v>
      </c>
      <c r="F236" t="s">
        <v>42</v>
      </c>
      <c r="G236" s="8">
        <v>5000</v>
      </c>
      <c r="H236" s="7">
        <v>46178</v>
      </c>
      <c r="I236" s="9">
        <v>270</v>
      </c>
    </row>
    <row r="237" spans="1:9" x14ac:dyDescent="0.3">
      <c r="A237" s="8" t="s">
        <v>38</v>
      </c>
      <c r="B237" s="8" t="s">
        <v>39</v>
      </c>
      <c r="C237" s="8" t="s">
        <v>40</v>
      </c>
      <c r="D237" s="8">
        <v>80</v>
      </c>
      <c r="E237" s="8" t="s">
        <v>41</v>
      </c>
      <c r="F237" t="s">
        <v>42</v>
      </c>
      <c r="G237" s="8">
        <v>5000</v>
      </c>
      <c r="H237" s="7">
        <v>46178</v>
      </c>
      <c r="I237" s="9">
        <v>270</v>
      </c>
    </row>
    <row r="238" spans="1:9" x14ac:dyDescent="0.3">
      <c r="A238" s="8" t="s">
        <v>38</v>
      </c>
      <c r="B238" s="8" t="s">
        <v>39</v>
      </c>
      <c r="C238" s="8" t="s">
        <v>40</v>
      </c>
      <c r="D238" s="8">
        <v>80</v>
      </c>
      <c r="E238" s="8" t="s">
        <v>41</v>
      </c>
      <c r="F238" t="s">
        <v>42</v>
      </c>
      <c r="G238" s="8">
        <v>5000</v>
      </c>
      <c r="H238" s="7">
        <v>46178</v>
      </c>
      <c r="I238" s="9">
        <v>270</v>
      </c>
    </row>
    <row r="239" spans="1:9" x14ac:dyDescent="0.3">
      <c r="A239" s="8" t="s">
        <v>38</v>
      </c>
      <c r="B239" s="8" t="s">
        <v>39</v>
      </c>
      <c r="C239" s="8" t="s">
        <v>40</v>
      </c>
      <c r="D239" s="8">
        <v>80</v>
      </c>
      <c r="E239" s="8" t="s">
        <v>41</v>
      </c>
      <c r="F239" t="s">
        <v>42</v>
      </c>
      <c r="G239" s="8">
        <v>5000</v>
      </c>
      <c r="H239" s="7">
        <v>46178</v>
      </c>
      <c r="I239" s="9">
        <v>270</v>
      </c>
    </row>
    <row r="240" spans="1:9" x14ac:dyDescent="0.3">
      <c r="A240" s="8" t="s">
        <v>38</v>
      </c>
      <c r="B240" s="8" t="s">
        <v>39</v>
      </c>
      <c r="C240" s="8" t="s">
        <v>40</v>
      </c>
      <c r="D240" s="8">
        <v>80</v>
      </c>
      <c r="E240" s="8" t="s">
        <v>41</v>
      </c>
      <c r="F240" t="s">
        <v>42</v>
      </c>
      <c r="G240" s="8">
        <v>5000</v>
      </c>
      <c r="H240" s="7">
        <v>46178</v>
      </c>
      <c r="I240" s="9">
        <v>270</v>
      </c>
    </row>
    <row r="241" spans="1:9" x14ac:dyDescent="0.3">
      <c r="A241" s="8" t="s">
        <v>38</v>
      </c>
      <c r="B241" s="8" t="s">
        <v>39</v>
      </c>
      <c r="C241" s="8" t="s">
        <v>40</v>
      </c>
      <c r="D241" s="8">
        <v>80</v>
      </c>
      <c r="E241" s="8" t="s">
        <v>41</v>
      </c>
      <c r="F241" t="s">
        <v>42</v>
      </c>
      <c r="G241" s="8">
        <v>5000</v>
      </c>
      <c r="H241" s="7">
        <v>46178</v>
      </c>
      <c r="I241" s="9">
        <v>270</v>
      </c>
    </row>
    <row r="242" spans="1:9" x14ac:dyDescent="0.3">
      <c r="A242" s="8" t="s">
        <v>38</v>
      </c>
      <c r="B242" s="8" t="s">
        <v>39</v>
      </c>
      <c r="C242" s="8" t="s">
        <v>40</v>
      </c>
      <c r="D242" s="8">
        <v>80</v>
      </c>
      <c r="E242" s="8" t="s">
        <v>41</v>
      </c>
      <c r="F242" t="s">
        <v>42</v>
      </c>
      <c r="G242" s="8">
        <v>5000</v>
      </c>
      <c r="H242" s="7">
        <v>46178</v>
      </c>
      <c r="I242" s="9">
        <v>270</v>
      </c>
    </row>
    <row r="243" spans="1:9" x14ac:dyDescent="0.3">
      <c r="A243" s="8" t="s">
        <v>38</v>
      </c>
      <c r="B243" s="8" t="s">
        <v>39</v>
      </c>
      <c r="C243" s="8" t="s">
        <v>40</v>
      </c>
      <c r="D243" s="8">
        <v>80</v>
      </c>
      <c r="E243" s="8" t="s">
        <v>41</v>
      </c>
      <c r="F243" t="s">
        <v>42</v>
      </c>
      <c r="G243" s="8">
        <v>5000</v>
      </c>
      <c r="H243" s="7">
        <v>46178</v>
      </c>
      <c r="I243" s="9">
        <v>270</v>
      </c>
    </row>
    <row r="244" spans="1:9" x14ac:dyDescent="0.3">
      <c r="A244" s="8" t="s">
        <v>38</v>
      </c>
      <c r="B244" s="8" t="s">
        <v>39</v>
      </c>
      <c r="C244" s="8" t="s">
        <v>40</v>
      </c>
      <c r="D244" s="8">
        <v>80</v>
      </c>
      <c r="E244" s="8" t="s">
        <v>41</v>
      </c>
      <c r="F244" t="s">
        <v>42</v>
      </c>
      <c r="G244" s="8">
        <v>5000</v>
      </c>
      <c r="H244" s="7">
        <v>46178</v>
      </c>
      <c r="I244" s="9">
        <v>270</v>
      </c>
    </row>
    <row r="245" spans="1:9" x14ac:dyDescent="0.3">
      <c r="A245" s="8" t="s">
        <v>38</v>
      </c>
      <c r="B245" s="8" t="s">
        <v>39</v>
      </c>
      <c r="C245" s="8" t="s">
        <v>40</v>
      </c>
      <c r="D245" s="8">
        <v>80</v>
      </c>
      <c r="E245" s="8" t="s">
        <v>41</v>
      </c>
      <c r="F245" t="s">
        <v>42</v>
      </c>
      <c r="G245" s="8">
        <v>5000</v>
      </c>
      <c r="H245" s="7">
        <v>46178</v>
      </c>
      <c r="I245" s="9">
        <v>270</v>
      </c>
    </row>
    <row r="246" spans="1:9" x14ac:dyDescent="0.3">
      <c r="A246" s="8" t="s">
        <v>38</v>
      </c>
      <c r="B246" s="8" t="s">
        <v>39</v>
      </c>
      <c r="C246" s="8" t="s">
        <v>40</v>
      </c>
      <c r="D246" s="8">
        <v>80</v>
      </c>
      <c r="E246" s="8" t="s">
        <v>41</v>
      </c>
      <c r="F246" t="s">
        <v>42</v>
      </c>
      <c r="G246" s="8">
        <v>5000</v>
      </c>
      <c r="H246" s="7">
        <v>46178</v>
      </c>
      <c r="I246" s="9">
        <v>270</v>
      </c>
    </row>
    <row r="247" spans="1:9" x14ac:dyDescent="0.3">
      <c r="A247" s="8" t="s">
        <v>38</v>
      </c>
      <c r="B247" s="8" t="s">
        <v>39</v>
      </c>
      <c r="C247" s="8" t="s">
        <v>40</v>
      </c>
      <c r="D247" s="8">
        <v>80</v>
      </c>
      <c r="E247" s="8" t="s">
        <v>41</v>
      </c>
      <c r="F247" t="s">
        <v>42</v>
      </c>
      <c r="G247" s="8">
        <v>5000</v>
      </c>
      <c r="H247" s="7">
        <v>46178</v>
      </c>
      <c r="I247" s="9">
        <v>270</v>
      </c>
    </row>
    <row r="248" spans="1:9" x14ac:dyDescent="0.3">
      <c r="A248" s="8" t="s">
        <v>38</v>
      </c>
      <c r="B248" s="8" t="s">
        <v>39</v>
      </c>
      <c r="C248" s="8" t="s">
        <v>40</v>
      </c>
      <c r="D248" s="8">
        <v>80</v>
      </c>
      <c r="E248" s="8" t="s">
        <v>41</v>
      </c>
      <c r="F248" t="s">
        <v>42</v>
      </c>
      <c r="G248" s="8">
        <v>5000</v>
      </c>
      <c r="H248" s="7">
        <v>46178</v>
      </c>
      <c r="I248" s="9">
        <v>270</v>
      </c>
    </row>
    <row r="249" spans="1:9" x14ac:dyDescent="0.3">
      <c r="A249" s="8" t="s">
        <v>38</v>
      </c>
      <c r="B249" s="8" t="s">
        <v>39</v>
      </c>
      <c r="C249" s="8" t="s">
        <v>40</v>
      </c>
      <c r="D249" s="8">
        <v>80</v>
      </c>
      <c r="E249" s="8" t="s">
        <v>41</v>
      </c>
      <c r="F249" t="s">
        <v>42</v>
      </c>
      <c r="G249" s="8">
        <v>5000</v>
      </c>
      <c r="H249" s="7">
        <v>46178</v>
      </c>
      <c r="I249" s="9">
        <v>270</v>
      </c>
    </row>
    <row r="250" spans="1:9" x14ac:dyDescent="0.3">
      <c r="A250" s="8" t="s">
        <v>38</v>
      </c>
      <c r="B250" s="8" t="s">
        <v>39</v>
      </c>
      <c r="C250" s="8" t="s">
        <v>40</v>
      </c>
      <c r="D250" s="8">
        <v>80</v>
      </c>
      <c r="E250" s="8" t="s">
        <v>41</v>
      </c>
      <c r="F250" t="s">
        <v>42</v>
      </c>
      <c r="G250" s="8">
        <v>5000</v>
      </c>
      <c r="H250" s="7">
        <v>46178</v>
      </c>
      <c r="I250" s="9">
        <v>270</v>
      </c>
    </row>
    <row r="251" spans="1:9" x14ac:dyDescent="0.3">
      <c r="A251" s="8" t="s">
        <v>38</v>
      </c>
      <c r="B251" s="8" t="s">
        <v>39</v>
      </c>
      <c r="C251" s="8" t="s">
        <v>40</v>
      </c>
      <c r="D251" s="8">
        <v>80</v>
      </c>
      <c r="E251" s="8" t="s">
        <v>41</v>
      </c>
      <c r="F251" t="s">
        <v>42</v>
      </c>
      <c r="G251" s="8">
        <v>5000</v>
      </c>
      <c r="H251" s="7">
        <v>46178</v>
      </c>
      <c r="I251" s="9">
        <v>270</v>
      </c>
    </row>
    <row r="252" spans="1:9" x14ac:dyDescent="0.3">
      <c r="A252" s="8" t="s">
        <v>38</v>
      </c>
      <c r="B252" s="8" t="s">
        <v>39</v>
      </c>
      <c r="C252" s="8" t="s">
        <v>40</v>
      </c>
      <c r="D252" s="8">
        <v>80</v>
      </c>
      <c r="E252" s="8" t="s">
        <v>41</v>
      </c>
      <c r="F252" t="s">
        <v>42</v>
      </c>
      <c r="G252" s="8">
        <v>5000</v>
      </c>
      <c r="H252" s="7">
        <v>46178</v>
      </c>
      <c r="I252" s="9">
        <v>270</v>
      </c>
    </row>
    <row r="253" spans="1:9" x14ac:dyDescent="0.3">
      <c r="A253" s="8" t="s">
        <v>38</v>
      </c>
      <c r="B253" s="8" t="s">
        <v>39</v>
      </c>
      <c r="C253" s="8" t="s">
        <v>40</v>
      </c>
      <c r="D253" s="8">
        <v>80</v>
      </c>
      <c r="E253" s="8" t="s">
        <v>41</v>
      </c>
      <c r="F253" t="s">
        <v>42</v>
      </c>
      <c r="G253" s="8">
        <v>5000</v>
      </c>
      <c r="H253" s="7">
        <v>46178</v>
      </c>
      <c r="I253" s="9">
        <v>270</v>
      </c>
    </row>
    <row r="254" spans="1:9" x14ac:dyDescent="0.3">
      <c r="A254" s="8" t="s">
        <v>38</v>
      </c>
      <c r="B254" s="8" t="s">
        <v>39</v>
      </c>
      <c r="C254" s="8" t="s">
        <v>40</v>
      </c>
      <c r="D254" s="8">
        <v>80</v>
      </c>
      <c r="E254" s="8" t="s">
        <v>41</v>
      </c>
      <c r="F254" t="s">
        <v>42</v>
      </c>
      <c r="G254" s="8">
        <v>5000</v>
      </c>
      <c r="H254" s="7">
        <v>46178</v>
      </c>
      <c r="I254" s="9">
        <v>270</v>
      </c>
    </row>
    <row r="255" spans="1:9" x14ac:dyDescent="0.3">
      <c r="A255" s="8" t="s">
        <v>38</v>
      </c>
      <c r="B255" s="8" t="s">
        <v>39</v>
      </c>
      <c r="C255" s="8" t="s">
        <v>40</v>
      </c>
      <c r="D255" s="8">
        <v>80</v>
      </c>
      <c r="E255" s="8" t="s">
        <v>41</v>
      </c>
      <c r="F255" t="s">
        <v>42</v>
      </c>
      <c r="G255" s="8">
        <v>5000</v>
      </c>
      <c r="H255" s="7">
        <v>46178</v>
      </c>
      <c r="I255" s="9">
        <v>270</v>
      </c>
    </row>
    <row r="256" spans="1:9" x14ac:dyDescent="0.3">
      <c r="A256" s="8" t="s">
        <v>38</v>
      </c>
      <c r="B256" s="8" t="s">
        <v>39</v>
      </c>
      <c r="C256" s="8" t="s">
        <v>40</v>
      </c>
      <c r="D256" s="8">
        <v>80</v>
      </c>
      <c r="E256" s="8" t="s">
        <v>41</v>
      </c>
      <c r="F256" t="s">
        <v>42</v>
      </c>
      <c r="G256" s="8">
        <v>5000</v>
      </c>
      <c r="H256" s="7">
        <v>46178</v>
      </c>
      <c r="I256" s="9">
        <v>270</v>
      </c>
    </row>
    <row r="257" spans="1:9" x14ac:dyDescent="0.3">
      <c r="A257" s="8" t="s">
        <v>38</v>
      </c>
      <c r="B257" s="8" t="s">
        <v>39</v>
      </c>
      <c r="C257" s="8" t="s">
        <v>40</v>
      </c>
      <c r="D257" s="8">
        <v>80</v>
      </c>
      <c r="E257" s="8" t="s">
        <v>41</v>
      </c>
      <c r="F257" t="s">
        <v>42</v>
      </c>
      <c r="G257" s="8">
        <v>5000</v>
      </c>
      <c r="H257" s="7">
        <v>46178</v>
      </c>
      <c r="I257" s="9">
        <v>270</v>
      </c>
    </row>
    <row r="258" spans="1:9" x14ac:dyDescent="0.3">
      <c r="A258" s="8" t="s">
        <v>38</v>
      </c>
      <c r="B258" s="8" t="s">
        <v>39</v>
      </c>
      <c r="C258" s="8" t="s">
        <v>40</v>
      </c>
      <c r="D258" s="8">
        <v>80</v>
      </c>
      <c r="E258" s="8" t="s">
        <v>41</v>
      </c>
      <c r="F258" t="s">
        <v>42</v>
      </c>
      <c r="G258" s="8">
        <v>5000</v>
      </c>
      <c r="H258" s="7">
        <v>46178</v>
      </c>
      <c r="I258" s="9">
        <v>270</v>
      </c>
    </row>
    <row r="259" spans="1:9" x14ac:dyDescent="0.3">
      <c r="A259" s="8" t="s">
        <v>38</v>
      </c>
      <c r="B259" s="8" t="s">
        <v>39</v>
      </c>
      <c r="C259" s="8" t="s">
        <v>40</v>
      </c>
      <c r="D259" s="8">
        <v>80</v>
      </c>
      <c r="E259" s="8" t="s">
        <v>41</v>
      </c>
      <c r="F259" t="s">
        <v>42</v>
      </c>
      <c r="G259" s="8">
        <v>5000</v>
      </c>
      <c r="H259" s="7">
        <v>46178</v>
      </c>
      <c r="I259" s="9">
        <v>270</v>
      </c>
    </row>
    <row r="260" spans="1:9" x14ac:dyDescent="0.3">
      <c r="A260" s="8" t="s">
        <v>38</v>
      </c>
      <c r="B260" s="8" t="s">
        <v>39</v>
      </c>
      <c r="C260" s="8" t="s">
        <v>40</v>
      </c>
      <c r="D260" s="8">
        <v>80</v>
      </c>
      <c r="E260" s="8" t="s">
        <v>41</v>
      </c>
      <c r="F260" t="s">
        <v>42</v>
      </c>
      <c r="G260" s="8">
        <v>5000</v>
      </c>
      <c r="H260" s="7">
        <v>46178</v>
      </c>
      <c r="I260" s="9">
        <v>270</v>
      </c>
    </row>
    <row r="261" spans="1:9" x14ac:dyDescent="0.3">
      <c r="A261" s="8" t="s">
        <v>46</v>
      </c>
      <c r="B261" s="8" t="s">
        <v>47</v>
      </c>
      <c r="C261" s="8" t="s">
        <v>48</v>
      </c>
      <c r="D261" s="8">
        <v>30</v>
      </c>
      <c r="E261" s="8" t="s">
        <v>49</v>
      </c>
      <c r="F261" t="s">
        <v>50</v>
      </c>
      <c r="G261" s="8">
        <v>3000</v>
      </c>
      <c r="H261" s="7">
        <v>46178</v>
      </c>
      <c r="I261" s="9">
        <v>300</v>
      </c>
    </row>
    <row r="262" spans="1:9" x14ac:dyDescent="0.3">
      <c r="A262" s="8" t="s">
        <v>51</v>
      </c>
      <c r="B262" s="8" t="s">
        <v>52</v>
      </c>
      <c r="C262" s="8" t="s">
        <v>32</v>
      </c>
      <c r="D262" s="8">
        <v>90</v>
      </c>
      <c r="E262" s="8" t="s">
        <v>53</v>
      </c>
      <c r="F262" t="s">
        <v>50</v>
      </c>
      <c r="G262" s="8">
        <v>3000</v>
      </c>
      <c r="H262" s="7">
        <v>46178</v>
      </c>
      <c r="I262" s="9">
        <v>4200</v>
      </c>
    </row>
    <row r="263" spans="1:9" x14ac:dyDescent="0.3">
      <c r="A263" s="8" t="s">
        <v>38</v>
      </c>
      <c r="B263" s="8" t="s">
        <v>39</v>
      </c>
      <c r="C263" s="8" t="s">
        <v>40</v>
      </c>
      <c r="D263" s="8">
        <v>80</v>
      </c>
      <c r="E263" s="8" t="s">
        <v>41</v>
      </c>
      <c r="F263" t="s">
        <v>42</v>
      </c>
      <c r="G263" s="8">
        <v>5000</v>
      </c>
      <c r="H263" s="7">
        <v>46183</v>
      </c>
      <c r="I263" s="9">
        <v>270</v>
      </c>
    </row>
    <row r="264" spans="1:9" x14ac:dyDescent="0.3">
      <c r="A264" s="8" t="s">
        <v>38</v>
      </c>
      <c r="B264" s="8" t="s">
        <v>39</v>
      </c>
      <c r="C264" s="8" t="s">
        <v>40</v>
      </c>
      <c r="D264" s="8">
        <v>80</v>
      </c>
      <c r="E264" s="8" t="s">
        <v>41</v>
      </c>
      <c r="F264" t="s">
        <v>42</v>
      </c>
      <c r="G264" s="8">
        <v>5000</v>
      </c>
      <c r="H264" s="7">
        <v>46183</v>
      </c>
      <c r="I264" s="9">
        <v>270</v>
      </c>
    </row>
    <row r="265" spans="1:9" x14ac:dyDescent="0.3">
      <c r="A265" s="8" t="s">
        <v>38</v>
      </c>
      <c r="B265" s="8" t="s">
        <v>39</v>
      </c>
      <c r="C265" s="8" t="s">
        <v>40</v>
      </c>
      <c r="D265" s="8">
        <v>80</v>
      </c>
      <c r="E265" s="8" t="s">
        <v>41</v>
      </c>
      <c r="F265" t="s">
        <v>42</v>
      </c>
      <c r="G265" s="8">
        <v>5000</v>
      </c>
      <c r="H265" s="7">
        <v>46183</v>
      </c>
      <c r="I265" s="9">
        <v>270</v>
      </c>
    </row>
    <row r="266" spans="1:9" x14ac:dyDescent="0.3">
      <c r="A266" s="8" t="s">
        <v>38</v>
      </c>
      <c r="B266" s="8" t="s">
        <v>39</v>
      </c>
      <c r="C266" s="8" t="s">
        <v>40</v>
      </c>
      <c r="D266" s="8">
        <v>80</v>
      </c>
      <c r="E266" s="8" t="s">
        <v>41</v>
      </c>
      <c r="F266" t="s">
        <v>42</v>
      </c>
      <c r="G266" s="8">
        <v>5000</v>
      </c>
      <c r="H266" s="7">
        <v>46183</v>
      </c>
      <c r="I266" s="9">
        <v>270</v>
      </c>
    </row>
    <row r="267" spans="1:9" x14ac:dyDescent="0.3">
      <c r="A267" s="8" t="s">
        <v>43</v>
      </c>
      <c r="B267" s="8" t="s">
        <v>44</v>
      </c>
      <c r="C267" s="8" t="s">
        <v>40</v>
      </c>
      <c r="D267" s="8">
        <v>40</v>
      </c>
      <c r="E267" s="8" t="s">
        <v>45</v>
      </c>
      <c r="F267" t="s">
        <v>42</v>
      </c>
      <c r="G267" s="8">
        <v>5000</v>
      </c>
      <c r="H267" s="7">
        <v>46183</v>
      </c>
      <c r="I267" s="9">
        <v>228</v>
      </c>
    </row>
    <row r="268" spans="1:9" x14ac:dyDescent="0.3">
      <c r="A268" s="8" t="s">
        <v>43</v>
      </c>
      <c r="B268" s="8" t="s">
        <v>44</v>
      </c>
      <c r="C268" s="8" t="s">
        <v>40</v>
      </c>
      <c r="D268" s="8">
        <v>40</v>
      </c>
      <c r="E268" s="8" t="s">
        <v>45</v>
      </c>
      <c r="F268" t="s">
        <v>42</v>
      </c>
      <c r="G268" s="8">
        <v>5000</v>
      </c>
      <c r="H268" s="7">
        <v>46183</v>
      </c>
      <c r="I268" s="9">
        <v>270</v>
      </c>
    </row>
    <row r="269" spans="1:9" x14ac:dyDescent="0.3">
      <c r="A269" s="8" t="s">
        <v>43</v>
      </c>
      <c r="B269" s="8" t="s">
        <v>44</v>
      </c>
      <c r="C269" s="8" t="s">
        <v>40</v>
      </c>
      <c r="D269" s="8">
        <v>40</v>
      </c>
      <c r="E269" s="8" t="s">
        <v>45</v>
      </c>
      <c r="F269" t="s">
        <v>42</v>
      </c>
      <c r="G269" s="8">
        <v>5000</v>
      </c>
      <c r="H269" s="7">
        <v>46183</v>
      </c>
      <c r="I269" s="9">
        <v>270</v>
      </c>
    </row>
    <row r="270" spans="1:9" x14ac:dyDescent="0.3">
      <c r="A270" s="8" t="s">
        <v>43</v>
      </c>
      <c r="B270" s="8" t="s">
        <v>44</v>
      </c>
      <c r="C270" s="8" t="s">
        <v>40</v>
      </c>
      <c r="D270" s="8">
        <v>40</v>
      </c>
      <c r="E270" s="8" t="s">
        <v>45</v>
      </c>
      <c r="F270" t="s">
        <v>42</v>
      </c>
      <c r="G270" s="8">
        <v>5000</v>
      </c>
      <c r="H270" s="7">
        <v>46183</v>
      </c>
      <c r="I270" s="9">
        <v>233</v>
      </c>
    </row>
    <row r="271" spans="1:9" x14ac:dyDescent="0.3">
      <c r="A271" s="8" t="s">
        <v>30</v>
      </c>
      <c r="B271" s="8" t="s">
        <v>31</v>
      </c>
      <c r="C271" s="8" t="s">
        <v>32</v>
      </c>
      <c r="D271" s="8">
        <v>105</v>
      </c>
      <c r="E271" s="8" t="s">
        <v>33</v>
      </c>
      <c r="F271" t="s">
        <v>34</v>
      </c>
      <c r="G271" s="9">
        <v>15000</v>
      </c>
      <c r="H271" s="7">
        <v>46185</v>
      </c>
      <c r="I271" s="9">
        <v>13773</v>
      </c>
    </row>
    <row r="272" spans="1:9" x14ac:dyDescent="0.3">
      <c r="A272" s="8" t="s">
        <v>35</v>
      </c>
      <c r="B272" s="8" t="s">
        <v>36</v>
      </c>
      <c r="C272" s="8" t="s">
        <v>32</v>
      </c>
      <c r="D272" s="8">
        <v>55</v>
      </c>
      <c r="E272" s="8" t="s">
        <v>37</v>
      </c>
      <c r="F272" t="s">
        <v>34</v>
      </c>
      <c r="G272" s="9">
        <v>15000</v>
      </c>
      <c r="H272" s="7">
        <v>46185</v>
      </c>
      <c r="I272" s="9">
        <v>7123</v>
      </c>
    </row>
    <row r="273" spans="1:9" x14ac:dyDescent="0.3">
      <c r="A273" s="8" t="s">
        <v>51</v>
      </c>
      <c r="B273" s="8" t="s">
        <v>52</v>
      </c>
      <c r="C273" s="8" t="s">
        <v>32</v>
      </c>
      <c r="D273" s="8">
        <v>90</v>
      </c>
      <c r="E273" s="8" t="s">
        <v>53</v>
      </c>
      <c r="F273" t="s">
        <v>50</v>
      </c>
      <c r="G273" s="8">
        <v>3000</v>
      </c>
      <c r="H273" s="7">
        <v>46185</v>
      </c>
      <c r="I273" s="9">
        <v>4500</v>
      </c>
    </row>
    <row r="274" spans="1:9" x14ac:dyDescent="0.3">
      <c r="A274" s="8" t="s">
        <v>38</v>
      </c>
      <c r="B274" s="8" t="s">
        <v>39</v>
      </c>
      <c r="C274" s="8" t="s">
        <v>40</v>
      </c>
      <c r="D274" s="8">
        <v>80</v>
      </c>
      <c r="E274" s="8" t="s">
        <v>41</v>
      </c>
      <c r="F274" t="s">
        <v>42</v>
      </c>
      <c r="G274" s="8">
        <v>5000</v>
      </c>
      <c r="H274" s="7">
        <v>46186</v>
      </c>
      <c r="I274" s="9">
        <v>270</v>
      </c>
    </row>
    <row r="275" spans="1:9" x14ac:dyDescent="0.3">
      <c r="A275" s="8" t="s">
        <v>38</v>
      </c>
      <c r="B275" s="8" t="s">
        <v>39</v>
      </c>
      <c r="C275" s="8" t="s">
        <v>40</v>
      </c>
      <c r="D275" s="8">
        <v>80</v>
      </c>
      <c r="E275" s="8" t="s">
        <v>41</v>
      </c>
      <c r="F275" t="s">
        <v>42</v>
      </c>
      <c r="G275" s="8">
        <v>5000</v>
      </c>
      <c r="H275" s="7">
        <v>46186</v>
      </c>
      <c r="I275" s="9">
        <v>270</v>
      </c>
    </row>
    <row r="276" spans="1:9" x14ac:dyDescent="0.3">
      <c r="A276" s="8" t="s">
        <v>38</v>
      </c>
      <c r="B276" s="8" t="s">
        <v>39</v>
      </c>
      <c r="C276" s="8" t="s">
        <v>40</v>
      </c>
      <c r="D276" s="8">
        <v>80</v>
      </c>
      <c r="E276" s="8" t="s">
        <v>41</v>
      </c>
      <c r="F276" t="s">
        <v>42</v>
      </c>
      <c r="G276" s="8">
        <v>5000</v>
      </c>
      <c r="H276" s="7">
        <v>46186</v>
      </c>
      <c r="I276" s="9">
        <v>270</v>
      </c>
    </row>
    <row r="277" spans="1:9" x14ac:dyDescent="0.3">
      <c r="A277" s="8" t="s">
        <v>38</v>
      </c>
      <c r="B277" s="8" t="s">
        <v>39</v>
      </c>
      <c r="C277" s="8" t="s">
        <v>40</v>
      </c>
      <c r="D277" s="8">
        <v>80</v>
      </c>
      <c r="E277" s="8" t="s">
        <v>41</v>
      </c>
      <c r="F277" t="s">
        <v>42</v>
      </c>
      <c r="G277" s="8">
        <v>5000</v>
      </c>
      <c r="H277" s="7">
        <v>46186</v>
      </c>
      <c r="I277" s="9">
        <v>270</v>
      </c>
    </row>
    <row r="278" spans="1:9" x14ac:dyDescent="0.3">
      <c r="A278" s="8" t="s">
        <v>38</v>
      </c>
      <c r="B278" s="8" t="s">
        <v>39</v>
      </c>
      <c r="C278" s="8" t="s">
        <v>40</v>
      </c>
      <c r="D278" s="8">
        <v>80</v>
      </c>
      <c r="E278" s="8" t="s">
        <v>41</v>
      </c>
      <c r="F278" t="s">
        <v>42</v>
      </c>
      <c r="G278" s="8">
        <v>5000</v>
      </c>
      <c r="H278" s="7">
        <v>46186</v>
      </c>
      <c r="I278" s="9">
        <v>270</v>
      </c>
    </row>
    <row r="279" spans="1:9" x14ac:dyDescent="0.3">
      <c r="A279" s="8" t="s">
        <v>38</v>
      </c>
      <c r="B279" s="8" t="s">
        <v>39</v>
      </c>
      <c r="C279" s="8" t="s">
        <v>40</v>
      </c>
      <c r="D279" s="8">
        <v>80</v>
      </c>
      <c r="E279" s="8" t="s">
        <v>41</v>
      </c>
      <c r="F279" t="s">
        <v>42</v>
      </c>
      <c r="G279" s="8">
        <v>5000</v>
      </c>
      <c r="H279" s="7">
        <v>46186</v>
      </c>
      <c r="I279" s="9">
        <v>270</v>
      </c>
    </row>
    <row r="280" spans="1:9" x14ac:dyDescent="0.3">
      <c r="A280" s="8" t="s">
        <v>38</v>
      </c>
      <c r="B280" s="8" t="s">
        <v>39</v>
      </c>
      <c r="C280" s="8" t="s">
        <v>40</v>
      </c>
      <c r="D280" s="8">
        <v>80</v>
      </c>
      <c r="E280" s="8" t="s">
        <v>41</v>
      </c>
      <c r="F280" t="s">
        <v>42</v>
      </c>
      <c r="G280" s="8">
        <v>5000</v>
      </c>
      <c r="H280" s="7">
        <v>46186</v>
      </c>
      <c r="I280" s="9">
        <v>270</v>
      </c>
    </row>
    <row r="281" spans="1:9" x14ac:dyDescent="0.3">
      <c r="A281" s="8" t="s">
        <v>38</v>
      </c>
      <c r="B281" s="8" t="s">
        <v>39</v>
      </c>
      <c r="C281" s="8" t="s">
        <v>40</v>
      </c>
      <c r="D281" s="8">
        <v>80</v>
      </c>
      <c r="E281" s="8" t="s">
        <v>41</v>
      </c>
      <c r="F281" t="s">
        <v>42</v>
      </c>
      <c r="G281" s="8">
        <v>5000</v>
      </c>
      <c r="H281" s="7">
        <v>46186</v>
      </c>
      <c r="I281" s="9">
        <v>270</v>
      </c>
    </row>
    <row r="282" spans="1:9" x14ac:dyDescent="0.3">
      <c r="A282" s="8" t="s">
        <v>38</v>
      </c>
      <c r="B282" s="8" t="s">
        <v>39</v>
      </c>
      <c r="C282" s="8" t="s">
        <v>40</v>
      </c>
      <c r="D282" s="8">
        <v>80</v>
      </c>
      <c r="E282" s="8" t="s">
        <v>41</v>
      </c>
      <c r="F282" t="s">
        <v>42</v>
      </c>
      <c r="G282" s="8">
        <v>5000</v>
      </c>
      <c r="H282" s="7">
        <v>46190</v>
      </c>
      <c r="I282" s="9">
        <v>270</v>
      </c>
    </row>
    <row r="283" spans="1:9" x14ac:dyDescent="0.3">
      <c r="A283" s="8" t="s">
        <v>38</v>
      </c>
      <c r="B283" s="8" t="s">
        <v>39</v>
      </c>
      <c r="C283" s="8" t="s">
        <v>40</v>
      </c>
      <c r="D283" s="8">
        <v>80</v>
      </c>
      <c r="E283" s="8" t="s">
        <v>41</v>
      </c>
      <c r="F283" t="s">
        <v>42</v>
      </c>
      <c r="G283" s="8">
        <v>5000</v>
      </c>
      <c r="H283" s="7">
        <v>46190</v>
      </c>
      <c r="I283" s="9">
        <v>270</v>
      </c>
    </row>
    <row r="284" spans="1:9" x14ac:dyDescent="0.3">
      <c r="A284" s="8" t="s">
        <v>38</v>
      </c>
      <c r="B284" s="8" t="s">
        <v>39</v>
      </c>
      <c r="C284" s="8" t="s">
        <v>40</v>
      </c>
      <c r="D284" s="8">
        <v>80</v>
      </c>
      <c r="E284" s="8" t="s">
        <v>41</v>
      </c>
      <c r="F284" t="s">
        <v>42</v>
      </c>
      <c r="G284" s="8">
        <v>5000</v>
      </c>
      <c r="H284" s="7">
        <v>46190</v>
      </c>
      <c r="I284" s="9">
        <v>270</v>
      </c>
    </row>
    <row r="285" spans="1:9" x14ac:dyDescent="0.3">
      <c r="A285" s="8" t="s">
        <v>38</v>
      </c>
      <c r="B285" s="8" t="s">
        <v>39</v>
      </c>
      <c r="C285" s="8" t="s">
        <v>40</v>
      </c>
      <c r="D285" s="8">
        <v>80</v>
      </c>
      <c r="E285" s="8" t="s">
        <v>41</v>
      </c>
      <c r="F285" t="s">
        <v>42</v>
      </c>
      <c r="G285" s="8">
        <v>5000</v>
      </c>
      <c r="H285" s="7">
        <v>46190</v>
      </c>
      <c r="I285" s="9">
        <v>270</v>
      </c>
    </row>
    <row r="286" spans="1:9" x14ac:dyDescent="0.3">
      <c r="A286" s="8" t="s">
        <v>38</v>
      </c>
      <c r="B286" s="8" t="s">
        <v>39</v>
      </c>
      <c r="C286" s="8" t="s">
        <v>40</v>
      </c>
      <c r="D286" s="8">
        <v>80</v>
      </c>
      <c r="E286" s="8" t="s">
        <v>41</v>
      </c>
      <c r="F286" t="s">
        <v>42</v>
      </c>
      <c r="G286" s="8">
        <v>5000</v>
      </c>
      <c r="H286" s="7">
        <v>46190</v>
      </c>
      <c r="I286" s="9">
        <v>270</v>
      </c>
    </row>
    <row r="287" spans="1:9" x14ac:dyDescent="0.3">
      <c r="A287" s="8" t="s">
        <v>38</v>
      </c>
      <c r="B287" s="8" t="s">
        <v>39</v>
      </c>
      <c r="C287" s="8" t="s">
        <v>40</v>
      </c>
      <c r="D287" s="8">
        <v>80</v>
      </c>
      <c r="E287" s="8" t="s">
        <v>41</v>
      </c>
      <c r="F287" t="s">
        <v>42</v>
      </c>
      <c r="G287" s="8">
        <v>5000</v>
      </c>
      <c r="H287" s="7">
        <v>46190</v>
      </c>
      <c r="I287" s="9">
        <v>270</v>
      </c>
    </row>
    <row r="288" spans="1:9" x14ac:dyDescent="0.3">
      <c r="A288" s="8" t="s">
        <v>38</v>
      </c>
      <c r="B288" s="8" t="s">
        <v>39</v>
      </c>
      <c r="C288" s="8" t="s">
        <v>40</v>
      </c>
      <c r="D288" s="8">
        <v>80</v>
      </c>
      <c r="E288" s="8" t="s">
        <v>41</v>
      </c>
      <c r="F288" t="s">
        <v>42</v>
      </c>
      <c r="G288" s="8">
        <v>5000</v>
      </c>
      <c r="H288" s="7">
        <v>46190</v>
      </c>
      <c r="I288" s="9">
        <v>270</v>
      </c>
    </row>
    <row r="289" spans="1:9" x14ac:dyDescent="0.3">
      <c r="A289" s="8" t="s">
        <v>38</v>
      </c>
      <c r="B289" s="8" t="s">
        <v>39</v>
      </c>
      <c r="C289" s="8" t="s">
        <v>40</v>
      </c>
      <c r="D289" s="8">
        <v>80</v>
      </c>
      <c r="E289" s="8" t="s">
        <v>41</v>
      </c>
      <c r="F289" t="s">
        <v>42</v>
      </c>
      <c r="G289" s="8">
        <v>5000</v>
      </c>
      <c r="H289" s="7">
        <v>46190</v>
      </c>
      <c r="I289" s="9">
        <v>270</v>
      </c>
    </row>
    <row r="290" spans="1:9" x14ac:dyDescent="0.3">
      <c r="A290" s="8" t="s">
        <v>38</v>
      </c>
      <c r="B290" s="8" t="s">
        <v>39</v>
      </c>
      <c r="C290" s="8" t="s">
        <v>40</v>
      </c>
      <c r="D290" s="8">
        <v>80</v>
      </c>
      <c r="E290" s="8" t="s">
        <v>41</v>
      </c>
      <c r="F290" t="s">
        <v>42</v>
      </c>
      <c r="G290" s="8">
        <v>5000</v>
      </c>
      <c r="H290" s="7">
        <v>46190</v>
      </c>
      <c r="I290" s="9">
        <v>270</v>
      </c>
    </row>
    <row r="291" spans="1:9" x14ac:dyDescent="0.3">
      <c r="A291" s="8" t="s">
        <v>38</v>
      </c>
      <c r="B291" s="8" t="s">
        <v>39</v>
      </c>
      <c r="C291" s="8" t="s">
        <v>40</v>
      </c>
      <c r="D291" s="8">
        <v>80</v>
      </c>
      <c r="E291" s="8" t="s">
        <v>41</v>
      </c>
      <c r="F291" t="s">
        <v>42</v>
      </c>
      <c r="G291" s="8">
        <v>5000</v>
      </c>
      <c r="H291" s="7">
        <v>46190</v>
      </c>
      <c r="I291" s="9">
        <v>270</v>
      </c>
    </row>
    <row r="292" spans="1:9" x14ac:dyDescent="0.3">
      <c r="A292" s="8" t="s">
        <v>43</v>
      </c>
      <c r="B292" s="8" t="s">
        <v>44</v>
      </c>
      <c r="C292" s="8" t="s">
        <v>40</v>
      </c>
      <c r="D292" s="8">
        <v>40</v>
      </c>
      <c r="E292" s="8" t="s">
        <v>45</v>
      </c>
      <c r="F292" t="s">
        <v>42</v>
      </c>
      <c r="G292" s="8">
        <v>5000</v>
      </c>
      <c r="H292" s="7">
        <v>46190</v>
      </c>
      <c r="I292" s="9">
        <v>270</v>
      </c>
    </row>
    <row r="293" spans="1:9" x14ac:dyDescent="0.3">
      <c r="A293" s="8" t="s">
        <v>43</v>
      </c>
      <c r="B293" s="8" t="s">
        <v>44</v>
      </c>
      <c r="C293" s="8" t="s">
        <v>40</v>
      </c>
      <c r="D293" s="8">
        <v>40</v>
      </c>
      <c r="E293" s="8" t="s">
        <v>45</v>
      </c>
      <c r="F293" t="s">
        <v>42</v>
      </c>
      <c r="G293" s="8">
        <v>5000</v>
      </c>
      <c r="H293" s="7">
        <v>46190</v>
      </c>
      <c r="I293" s="9">
        <v>192</v>
      </c>
    </row>
    <row r="294" spans="1:9" x14ac:dyDescent="0.3">
      <c r="A294" s="8" t="s">
        <v>43</v>
      </c>
      <c r="B294" s="8" t="s">
        <v>44</v>
      </c>
      <c r="C294" s="8" t="s">
        <v>40</v>
      </c>
      <c r="D294" s="8">
        <v>40</v>
      </c>
      <c r="E294" s="8" t="s">
        <v>45</v>
      </c>
      <c r="F294" t="s">
        <v>42</v>
      </c>
      <c r="G294" s="8">
        <v>5000</v>
      </c>
      <c r="H294" s="7">
        <v>46190</v>
      </c>
      <c r="I294" s="9">
        <v>204</v>
      </c>
    </row>
    <row r="295" spans="1:9" x14ac:dyDescent="0.3">
      <c r="A295" s="8" t="s">
        <v>43</v>
      </c>
      <c r="B295" s="8" t="s">
        <v>44</v>
      </c>
      <c r="C295" s="8" t="s">
        <v>40</v>
      </c>
      <c r="D295" s="8">
        <v>40</v>
      </c>
      <c r="E295" s="8" t="s">
        <v>45</v>
      </c>
      <c r="F295" t="s">
        <v>42</v>
      </c>
      <c r="G295" s="8">
        <v>5000</v>
      </c>
      <c r="H295" s="7">
        <v>46190</v>
      </c>
      <c r="I295" s="9">
        <v>270</v>
      </c>
    </row>
    <row r="296" spans="1:9" x14ac:dyDescent="0.3">
      <c r="A296" s="8" t="s">
        <v>43</v>
      </c>
      <c r="B296" s="8" t="s">
        <v>44</v>
      </c>
      <c r="C296" s="8" t="s">
        <v>40</v>
      </c>
      <c r="D296" s="8">
        <v>40</v>
      </c>
      <c r="E296" s="8" t="s">
        <v>45</v>
      </c>
      <c r="F296" t="s">
        <v>42</v>
      </c>
      <c r="G296" s="8">
        <v>5000</v>
      </c>
      <c r="H296" s="7">
        <v>46190</v>
      </c>
      <c r="I296" s="9">
        <v>234</v>
      </c>
    </row>
    <row r="297" spans="1:9" x14ac:dyDescent="0.3">
      <c r="A297" s="8" t="s">
        <v>43</v>
      </c>
      <c r="B297" s="8" t="s">
        <v>44</v>
      </c>
      <c r="C297" s="8" t="s">
        <v>40</v>
      </c>
      <c r="D297" s="8">
        <v>40</v>
      </c>
      <c r="E297" s="8" t="s">
        <v>45</v>
      </c>
      <c r="F297" t="s">
        <v>42</v>
      </c>
      <c r="G297" s="8">
        <v>5000</v>
      </c>
      <c r="H297" s="7">
        <v>46190</v>
      </c>
      <c r="I297" s="9">
        <v>270</v>
      </c>
    </row>
    <row r="298" spans="1:9" x14ac:dyDescent="0.3">
      <c r="A298" s="8" t="s">
        <v>43</v>
      </c>
      <c r="B298" s="8" t="s">
        <v>44</v>
      </c>
      <c r="C298" s="8" t="s">
        <v>40</v>
      </c>
      <c r="D298" s="8">
        <v>40</v>
      </c>
      <c r="E298" s="8" t="s">
        <v>45</v>
      </c>
      <c r="F298" t="s">
        <v>42</v>
      </c>
      <c r="G298" s="8">
        <v>5000</v>
      </c>
      <c r="H298" s="7">
        <v>46190</v>
      </c>
      <c r="I298" s="9">
        <v>179</v>
      </c>
    </row>
    <row r="299" spans="1:9" x14ac:dyDescent="0.3">
      <c r="A299" s="8" t="s">
        <v>43</v>
      </c>
      <c r="B299" s="8" t="s">
        <v>44</v>
      </c>
      <c r="C299" s="8" t="s">
        <v>40</v>
      </c>
      <c r="D299" s="8">
        <v>40</v>
      </c>
      <c r="E299" s="8" t="s">
        <v>45</v>
      </c>
      <c r="F299" t="s">
        <v>42</v>
      </c>
      <c r="G299" s="8">
        <v>5000</v>
      </c>
      <c r="H299" s="7">
        <v>46190</v>
      </c>
      <c r="I299" s="9">
        <v>270</v>
      </c>
    </row>
    <row r="300" spans="1:9" x14ac:dyDescent="0.3">
      <c r="A300" s="8" t="s">
        <v>30</v>
      </c>
      <c r="B300" s="8" t="s">
        <v>31</v>
      </c>
      <c r="C300" s="8" t="s">
        <v>32</v>
      </c>
      <c r="D300" s="8">
        <v>105</v>
      </c>
      <c r="E300" s="8" t="s">
        <v>33</v>
      </c>
      <c r="F300" t="s">
        <v>34</v>
      </c>
      <c r="G300" s="9">
        <v>15000</v>
      </c>
      <c r="H300" s="7">
        <v>46192</v>
      </c>
      <c r="I300" s="9">
        <v>7058</v>
      </c>
    </row>
    <row r="301" spans="1:9" x14ac:dyDescent="0.3">
      <c r="A301" s="8" t="s">
        <v>35</v>
      </c>
      <c r="B301" s="8" t="s">
        <v>36</v>
      </c>
      <c r="C301" s="8" t="s">
        <v>32</v>
      </c>
      <c r="D301" s="8">
        <v>55</v>
      </c>
      <c r="E301" s="8" t="s">
        <v>37</v>
      </c>
      <c r="F301" t="s">
        <v>34</v>
      </c>
      <c r="G301" s="9">
        <v>15000</v>
      </c>
      <c r="H301" s="7">
        <v>46192</v>
      </c>
      <c r="I301" s="9">
        <v>5309</v>
      </c>
    </row>
    <row r="302" spans="1:9" x14ac:dyDescent="0.3">
      <c r="A302" s="8" t="s">
        <v>38</v>
      </c>
      <c r="B302" s="8" t="s">
        <v>39</v>
      </c>
      <c r="C302" s="8" t="s">
        <v>40</v>
      </c>
      <c r="D302" s="8">
        <v>80</v>
      </c>
      <c r="E302" s="8" t="s">
        <v>41</v>
      </c>
      <c r="F302" t="s">
        <v>42</v>
      </c>
      <c r="G302" s="8">
        <v>5000</v>
      </c>
      <c r="H302" s="7">
        <v>46192</v>
      </c>
      <c r="I302" s="9">
        <v>3202</v>
      </c>
    </row>
    <row r="303" spans="1:9" x14ac:dyDescent="0.3">
      <c r="A303" s="8" t="s">
        <v>38</v>
      </c>
      <c r="B303" s="8" t="s">
        <v>39</v>
      </c>
      <c r="C303" s="8" t="s">
        <v>40</v>
      </c>
      <c r="D303" s="8">
        <v>80</v>
      </c>
      <c r="E303" s="8" t="s">
        <v>41</v>
      </c>
      <c r="F303" t="s">
        <v>42</v>
      </c>
      <c r="G303" s="8">
        <v>5000</v>
      </c>
      <c r="H303" s="7">
        <v>46192</v>
      </c>
      <c r="I303" s="9">
        <v>540</v>
      </c>
    </row>
    <row r="304" spans="1:9" x14ac:dyDescent="0.3">
      <c r="A304" s="8" t="s">
        <v>43</v>
      </c>
      <c r="B304" s="8" t="s">
        <v>44</v>
      </c>
      <c r="C304" s="8" t="s">
        <v>40</v>
      </c>
      <c r="D304" s="8">
        <v>40</v>
      </c>
      <c r="E304" s="8" t="s">
        <v>45</v>
      </c>
      <c r="F304" t="s">
        <v>42</v>
      </c>
      <c r="G304" s="8">
        <v>5000</v>
      </c>
      <c r="H304" s="7">
        <v>46192</v>
      </c>
      <c r="I304" s="9">
        <v>582</v>
      </c>
    </row>
    <row r="305" spans="1:9" x14ac:dyDescent="0.3">
      <c r="A305" s="8" t="s">
        <v>51</v>
      </c>
      <c r="B305" s="8" t="s">
        <v>52</v>
      </c>
      <c r="C305" s="8" t="s">
        <v>32</v>
      </c>
      <c r="D305" s="8">
        <v>90</v>
      </c>
      <c r="E305" s="8" t="s">
        <v>53</v>
      </c>
      <c r="F305" t="s">
        <v>50</v>
      </c>
      <c r="G305" s="8">
        <v>3000</v>
      </c>
      <c r="H305" s="7">
        <v>46192</v>
      </c>
      <c r="I305" s="9">
        <v>4500</v>
      </c>
    </row>
    <row r="306" spans="1:9" x14ac:dyDescent="0.3">
      <c r="A306" s="8" t="s">
        <v>38</v>
      </c>
      <c r="B306" s="8" t="s">
        <v>39</v>
      </c>
      <c r="C306" s="8" t="s">
        <v>40</v>
      </c>
      <c r="D306" s="8">
        <v>80</v>
      </c>
      <c r="E306" s="8" t="s">
        <v>41</v>
      </c>
      <c r="F306" t="s">
        <v>42</v>
      </c>
      <c r="G306" s="8">
        <v>5000</v>
      </c>
      <c r="H306" s="7">
        <v>46197</v>
      </c>
      <c r="I306" s="9">
        <v>270</v>
      </c>
    </row>
    <row r="307" spans="1:9" x14ac:dyDescent="0.3">
      <c r="A307" s="8" t="s">
        <v>38</v>
      </c>
      <c r="B307" s="8" t="s">
        <v>39</v>
      </c>
      <c r="C307" s="8" t="s">
        <v>40</v>
      </c>
      <c r="D307" s="8">
        <v>80</v>
      </c>
      <c r="E307" s="8" t="s">
        <v>41</v>
      </c>
      <c r="F307" t="s">
        <v>42</v>
      </c>
      <c r="G307" s="8">
        <v>5000</v>
      </c>
      <c r="H307" s="7">
        <v>46197</v>
      </c>
      <c r="I307" s="9">
        <v>270</v>
      </c>
    </row>
    <row r="308" spans="1:9" x14ac:dyDescent="0.3">
      <c r="A308" s="8" t="s">
        <v>38</v>
      </c>
      <c r="B308" s="8" t="s">
        <v>39</v>
      </c>
      <c r="C308" s="8" t="s">
        <v>40</v>
      </c>
      <c r="D308" s="8">
        <v>80</v>
      </c>
      <c r="E308" s="8" t="s">
        <v>41</v>
      </c>
      <c r="F308" t="s">
        <v>42</v>
      </c>
      <c r="G308" s="8">
        <v>5000</v>
      </c>
      <c r="H308" s="7">
        <v>46197</v>
      </c>
      <c r="I308" s="9">
        <v>270</v>
      </c>
    </row>
    <row r="309" spans="1:9" x14ac:dyDescent="0.3">
      <c r="A309" s="8" t="s">
        <v>38</v>
      </c>
      <c r="B309" s="8" t="s">
        <v>39</v>
      </c>
      <c r="C309" s="8" t="s">
        <v>40</v>
      </c>
      <c r="D309" s="8">
        <v>80</v>
      </c>
      <c r="E309" s="8" t="s">
        <v>41</v>
      </c>
      <c r="F309" t="s">
        <v>42</v>
      </c>
      <c r="G309" s="8">
        <v>5000</v>
      </c>
      <c r="H309" s="7">
        <v>46197</v>
      </c>
      <c r="I309" s="9">
        <v>270</v>
      </c>
    </row>
    <row r="310" spans="1:9" x14ac:dyDescent="0.3">
      <c r="A310" s="8" t="s">
        <v>38</v>
      </c>
      <c r="B310" s="8" t="s">
        <v>39</v>
      </c>
      <c r="C310" s="8" t="s">
        <v>40</v>
      </c>
      <c r="D310" s="8">
        <v>80</v>
      </c>
      <c r="E310" s="8" t="s">
        <v>41</v>
      </c>
      <c r="F310" t="s">
        <v>42</v>
      </c>
      <c r="G310" s="8">
        <v>5000</v>
      </c>
      <c r="H310" s="7">
        <v>46197</v>
      </c>
      <c r="I310" s="9">
        <v>270</v>
      </c>
    </row>
    <row r="311" spans="1:9" x14ac:dyDescent="0.3">
      <c r="A311" s="8" t="s">
        <v>38</v>
      </c>
      <c r="B311" s="8" t="s">
        <v>39</v>
      </c>
      <c r="C311" s="8" t="s">
        <v>40</v>
      </c>
      <c r="D311" s="8">
        <v>80</v>
      </c>
      <c r="E311" s="8" t="s">
        <v>41</v>
      </c>
      <c r="F311" t="s">
        <v>42</v>
      </c>
      <c r="G311" s="8">
        <v>5000</v>
      </c>
      <c r="H311" s="7">
        <v>46197</v>
      </c>
      <c r="I311" s="9">
        <v>270</v>
      </c>
    </row>
    <row r="312" spans="1:9" x14ac:dyDescent="0.3">
      <c r="A312" s="8" t="s">
        <v>38</v>
      </c>
      <c r="B312" s="8" t="s">
        <v>39</v>
      </c>
      <c r="C312" s="8" t="s">
        <v>40</v>
      </c>
      <c r="D312" s="8">
        <v>80</v>
      </c>
      <c r="E312" s="8" t="s">
        <v>41</v>
      </c>
      <c r="F312" t="s">
        <v>42</v>
      </c>
      <c r="G312" s="8">
        <v>5000</v>
      </c>
      <c r="H312" s="7">
        <v>46197</v>
      </c>
      <c r="I312" s="9">
        <v>228</v>
      </c>
    </row>
    <row r="313" spans="1:9" x14ac:dyDescent="0.3">
      <c r="A313" s="8" t="s">
        <v>38</v>
      </c>
      <c r="B313" s="8" t="s">
        <v>39</v>
      </c>
      <c r="C313" s="8" t="s">
        <v>40</v>
      </c>
      <c r="D313" s="8">
        <v>80</v>
      </c>
      <c r="E313" s="8" t="s">
        <v>41</v>
      </c>
      <c r="F313" t="s">
        <v>42</v>
      </c>
      <c r="G313" s="8">
        <v>5000</v>
      </c>
      <c r="H313" s="7">
        <v>46197</v>
      </c>
      <c r="I313" s="9">
        <v>170</v>
      </c>
    </row>
    <row r="314" spans="1:9" x14ac:dyDescent="0.3">
      <c r="A314" s="8" t="s">
        <v>38</v>
      </c>
      <c r="B314" s="8" t="s">
        <v>39</v>
      </c>
      <c r="C314" s="8" t="s">
        <v>40</v>
      </c>
      <c r="D314" s="8">
        <v>80</v>
      </c>
      <c r="E314" s="8" t="s">
        <v>41</v>
      </c>
      <c r="F314" t="s">
        <v>42</v>
      </c>
      <c r="G314" s="8">
        <v>5000</v>
      </c>
      <c r="H314" s="7">
        <v>46197</v>
      </c>
      <c r="I314" s="9">
        <v>270</v>
      </c>
    </row>
    <row r="315" spans="1:9" x14ac:dyDescent="0.3">
      <c r="A315" s="8" t="s">
        <v>38</v>
      </c>
      <c r="B315" s="8" t="s">
        <v>39</v>
      </c>
      <c r="C315" s="8" t="s">
        <v>40</v>
      </c>
      <c r="D315" s="8">
        <v>80</v>
      </c>
      <c r="E315" s="8" t="s">
        <v>41</v>
      </c>
      <c r="F315" t="s">
        <v>42</v>
      </c>
      <c r="G315" s="8">
        <v>5000</v>
      </c>
      <c r="H315" s="7">
        <v>46197</v>
      </c>
      <c r="I315" s="9">
        <v>270</v>
      </c>
    </row>
    <row r="316" spans="1:9" x14ac:dyDescent="0.3">
      <c r="A316" s="8" t="s">
        <v>38</v>
      </c>
      <c r="B316" s="8" t="s">
        <v>39</v>
      </c>
      <c r="C316" s="8" t="s">
        <v>40</v>
      </c>
      <c r="D316" s="8">
        <v>80</v>
      </c>
      <c r="E316" s="8" t="s">
        <v>41</v>
      </c>
      <c r="F316" t="s">
        <v>42</v>
      </c>
      <c r="G316" s="8">
        <v>5000</v>
      </c>
      <c r="H316" s="7">
        <v>46197</v>
      </c>
      <c r="I316" s="9">
        <v>270</v>
      </c>
    </row>
    <row r="317" spans="1:9" x14ac:dyDescent="0.3">
      <c r="A317" s="8" t="s">
        <v>38</v>
      </c>
      <c r="B317" s="8" t="s">
        <v>39</v>
      </c>
      <c r="C317" s="8" t="s">
        <v>40</v>
      </c>
      <c r="D317" s="8">
        <v>80</v>
      </c>
      <c r="E317" s="8" t="s">
        <v>41</v>
      </c>
      <c r="F317" t="s">
        <v>42</v>
      </c>
      <c r="G317" s="8">
        <v>5000</v>
      </c>
      <c r="H317" s="7">
        <v>46197</v>
      </c>
      <c r="I317" s="9">
        <v>270</v>
      </c>
    </row>
    <row r="318" spans="1:9" x14ac:dyDescent="0.3">
      <c r="A318" s="8" t="s">
        <v>43</v>
      </c>
      <c r="B318" s="8" t="s">
        <v>44</v>
      </c>
      <c r="C318" s="8" t="s">
        <v>40</v>
      </c>
      <c r="D318" s="8">
        <v>40</v>
      </c>
      <c r="E318" s="8" t="s">
        <v>45</v>
      </c>
      <c r="F318" t="s">
        <v>42</v>
      </c>
      <c r="G318" s="8">
        <v>5000</v>
      </c>
      <c r="H318" s="7">
        <v>46197</v>
      </c>
      <c r="I318" s="9">
        <v>228</v>
      </c>
    </row>
    <row r="319" spans="1:9" x14ac:dyDescent="0.3">
      <c r="A319" s="8" t="s">
        <v>43</v>
      </c>
      <c r="B319" s="8" t="s">
        <v>44</v>
      </c>
      <c r="C319" s="8" t="s">
        <v>40</v>
      </c>
      <c r="D319" s="8">
        <v>40</v>
      </c>
      <c r="E319" s="8" t="s">
        <v>45</v>
      </c>
      <c r="F319" t="s">
        <v>42</v>
      </c>
      <c r="G319" s="8">
        <v>5000</v>
      </c>
      <c r="H319" s="7">
        <v>46197</v>
      </c>
      <c r="I319" s="9">
        <v>234</v>
      </c>
    </row>
    <row r="320" spans="1:9" x14ac:dyDescent="0.3">
      <c r="A320" s="8" t="s">
        <v>43</v>
      </c>
      <c r="B320" s="8" t="s">
        <v>44</v>
      </c>
      <c r="C320" s="8" t="s">
        <v>40</v>
      </c>
      <c r="D320" s="8">
        <v>40</v>
      </c>
      <c r="E320" s="8" t="s">
        <v>45</v>
      </c>
      <c r="F320" t="s">
        <v>42</v>
      </c>
      <c r="G320" s="8">
        <v>5000</v>
      </c>
      <c r="H320" s="7">
        <v>46197</v>
      </c>
      <c r="I320" s="9">
        <v>228</v>
      </c>
    </row>
    <row r="321" spans="1:9" x14ac:dyDescent="0.3">
      <c r="A321" s="8" t="s">
        <v>43</v>
      </c>
      <c r="B321" s="8" t="s">
        <v>44</v>
      </c>
      <c r="C321" s="8" t="s">
        <v>40</v>
      </c>
      <c r="D321" s="8">
        <v>40</v>
      </c>
      <c r="E321" s="8" t="s">
        <v>45</v>
      </c>
      <c r="F321" t="s">
        <v>42</v>
      </c>
      <c r="G321" s="8">
        <v>5000</v>
      </c>
      <c r="H321" s="7">
        <v>46197</v>
      </c>
      <c r="I321" s="9">
        <v>228</v>
      </c>
    </row>
    <row r="322" spans="1:9" x14ac:dyDescent="0.3">
      <c r="A322" s="8" t="s">
        <v>30</v>
      </c>
      <c r="B322" s="8" t="s">
        <v>31</v>
      </c>
      <c r="C322" s="8" t="s">
        <v>32</v>
      </c>
      <c r="D322" s="8">
        <v>105</v>
      </c>
      <c r="E322" s="8" t="s">
        <v>33</v>
      </c>
      <c r="F322" t="s">
        <v>34</v>
      </c>
      <c r="G322" s="9">
        <v>15000</v>
      </c>
      <c r="H322" s="7">
        <v>46199</v>
      </c>
      <c r="I322" s="9">
        <v>2040</v>
      </c>
    </row>
    <row r="323" spans="1:9" x14ac:dyDescent="0.3">
      <c r="A323" s="8" t="s">
        <v>35</v>
      </c>
      <c r="B323" s="8" t="s">
        <v>36</v>
      </c>
      <c r="C323" s="8" t="s">
        <v>32</v>
      </c>
      <c r="D323" s="8">
        <v>55</v>
      </c>
      <c r="E323" s="8" t="s">
        <v>37</v>
      </c>
      <c r="F323" t="s">
        <v>34</v>
      </c>
      <c r="G323" s="9">
        <v>15000</v>
      </c>
      <c r="H323" s="7">
        <v>46199</v>
      </c>
      <c r="I323" s="9">
        <v>5309</v>
      </c>
    </row>
    <row r="324" spans="1:9" x14ac:dyDescent="0.3">
      <c r="A324" s="8" t="s">
        <v>38</v>
      </c>
      <c r="B324" s="8" t="s">
        <v>39</v>
      </c>
      <c r="C324" s="8" t="s">
        <v>40</v>
      </c>
      <c r="D324" s="8">
        <v>80</v>
      </c>
      <c r="E324" s="8" t="s">
        <v>41</v>
      </c>
      <c r="F324" t="s">
        <v>42</v>
      </c>
      <c r="G324" s="8">
        <v>5000</v>
      </c>
      <c r="H324" s="7">
        <v>46199</v>
      </c>
      <c r="I324" s="9">
        <v>5704</v>
      </c>
    </row>
    <row r="325" spans="1:9" x14ac:dyDescent="0.3">
      <c r="A325" s="8" t="s">
        <v>43</v>
      </c>
      <c r="B325" s="8" t="s">
        <v>44</v>
      </c>
      <c r="C325" s="8" t="s">
        <v>40</v>
      </c>
      <c r="D325" s="8">
        <v>40</v>
      </c>
      <c r="E325" s="8" t="s">
        <v>45</v>
      </c>
      <c r="F325" t="s">
        <v>42</v>
      </c>
      <c r="G325" s="8">
        <v>5000</v>
      </c>
      <c r="H325" s="7">
        <v>46199</v>
      </c>
      <c r="I325" s="9">
        <v>2540</v>
      </c>
    </row>
    <row r="326" spans="1:9" x14ac:dyDescent="0.3">
      <c r="A326" s="8" t="s">
        <v>46</v>
      </c>
      <c r="B326" s="8" t="s">
        <v>47</v>
      </c>
      <c r="C326" s="8" t="s">
        <v>48</v>
      </c>
      <c r="D326" s="8">
        <v>30</v>
      </c>
      <c r="E326" s="8" t="s">
        <v>49</v>
      </c>
      <c r="F326" t="s">
        <v>50</v>
      </c>
      <c r="G326" s="8">
        <v>3000</v>
      </c>
      <c r="H326" s="7">
        <v>46199</v>
      </c>
      <c r="I326" s="9">
        <v>300</v>
      </c>
    </row>
    <row r="327" spans="1:9" x14ac:dyDescent="0.3">
      <c r="A327" s="8" t="s">
        <v>51</v>
      </c>
      <c r="B327" s="8" t="s">
        <v>52</v>
      </c>
      <c r="C327" s="8" t="s">
        <v>32</v>
      </c>
      <c r="D327" s="8">
        <v>90</v>
      </c>
      <c r="E327" s="8" t="s">
        <v>53</v>
      </c>
      <c r="F327" t="s">
        <v>50</v>
      </c>
      <c r="G327" s="8">
        <v>3000</v>
      </c>
      <c r="H327" s="7">
        <v>46199</v>
      </c>
      <c r="I327" s="9">
        <v>2200</v>
      </c>
    </row>
    <row r="328" spans="1:9" x14ac:dyDescent="0.3">
      <c r="A328" s="8" t="s">
        <v>30</v>
      </c>
      <c r="B328" s="8" t="s">
        <v>31</v>
      </c>
      <c r="C328" s="8" t="s">
        <v>32</v>
      </c>
      <c r="D328" s="8">
        <v>105</v>
      </c>
      <c r="E328" s="8" t="s">
        <v>33</v>
      </c>
      <c r="F328" t="s">
        <v>34</v>
      </c>
      <c r="G328" s="9">
        <v>15000</v>
      </c>
      <c r="H328" s="7">
        <v>46206</v>
      </c>
      <c r="I328" s="9">
        <v>1500</v>
      </c>
    </row>
    <row r="329" spans="1:9" x14ac:dyDescent="0.3">
      <c r="A329" s="8" t="s">
        <v>30</v>
      </c>
      <c r="B329" s="8" t="s">
        <v>31</v>
      </c>
      <c r="C329" s="8" t="s">
        <v>32</v>
      </c>
      <c r="D329" s="8">
        <v>105</v>
      </c>
      <c r="E329" s="8" t="s">
        <v>33</v>
      </c>
      <c r="F329" t="s">
        <v>34</v>
      </c>
      <c r="G329" s="9">
        <v>15000</v>
      </c>
      <c r="H329" s="7">
        <v>46206</v>
      </c>
      <c r="I329" s="9">
        <v>2041</v>
      </c>
    </row>
    <row r="330" spans="1:9" x14ac:dyDescent="0.3">
      <c r="A330" s="8" t="s">
        <v>35</v>
      </c>
      <c r="B330" s="8" t="s">
        <v>36</v>
      </c>
      <c r="C330" s="8" t="s">
        <v>32</v>
      </c>
      <c r="D330" s="8">
        <v>55</v>
      </c>
      <c r="E330" s="8" t="s">
        <v>37</v>
      </c>
      <c r="F330" t="s">
        <v>34</v>
      </c>
      <c r="G330" s="9">
        <v>15000</v>
      </c>
      <c r="H330" s="7">
        <v>46206</v>
      </c>
      <c r="I330" s="9">
        <v>3000</v>
      </c>
    </row>
    <row r="331" spans="1:9" x14ac:dyDescent="0.3">
      <c r="A331" s="8" t="s">
        <v>38</v>
      </c>
      <c r="B331" s="8" t="s">
        <v>39</v>
      </c>
      <c r="C331" s="8" t="s">
        <v>40</v>
      </c>
      <c r="D331" s="8">
        <v>80</v>
      </c>
      <c r="E331" s="8" t="s">
        <v>41</v>
      </c>
      <c r="F331" t="s">
        <v>42</v>
      </c>
      <c r="G331" s="8">
        <v>5000</v>
      </c>
      <c r="H331" s="7">
        <v>46206</v>
      </c>
      <c r="I331" s="9">
        <v>2500</v>
      </c>
    </row>
    <row r="332" spans="1:9" x14ac:dyDescent="0.3">
      <c r="A332" s="8" t="s">
        <v>38</v>
      </c>
      <c r="B332" s="8" t="s">
        <v>39</v>
      </c>
      <c r="C332" s="8" t="s">
        <v>40</v>
      </c>
      <c r="D332" s="8">
        <v>80</v>
      </c>
      <c r="E332" s="8" t="s">
        <v>41</v>
      </c>
      <c r="F332" t="s">
        <v>42</v>
      </c>
      <c r="G332" s="8">
        <v>5000</v>
      </c>
      <c r="H332" s="7">
        <v>46206</v>
      </c>
      <c r="I332" s="9">
        <v>4655</v>
      </c>
    </row>
    <row r="333" spans="1:9" x14ac:dyDescent="0.3">
      <c r="A333" s="8" t="s">
        <v>38</v>
      </c>
      <c r="B333" s="8" t="s">
        <v>39</v>
      </c>
      <c r="C333" s="8" t="s">
        <v>40</v>
      </c>
      <c r="D333" s="8">
        <v>80</v>
      </c>
      <c r="E333" s="8" t="s">
        <v>41</v>
      </c>
      <c r="F333" t="s">
        <v>42</v>
      </c>
      <c r="G333" s="8">
        <v>5000</v>
      </c>
      <c r="H333" s="7">
        <v>46206</v>
      </c>
      <c r="I333" s="9">
        <v>540</v>
      </c>
    </row>
    <row r="334" spans="1:9" x14ac:dyDescent="0.3">
      <c r="A334" s="8" t="s">
        <v>43</v>
      </c>
      <c r="B334" s="8" t="s">
        <v>44</v>
      </c>
      <c r="C334" s="8" t="s">
        <v>40</v>
      </c>
      <c r="D334" s="8">
        <v>40</v>
      </c>
      <c r="E334" s="8" t="s">
        <v>45</v>
      </c>
      <c r="F334" t="s">
        <v>42</v>
      </c>
      <c r="G334" s="8">
        <v>5000</v>
      </c>
      <c r="H334" s="7">
        <v>46206</v>
      </c>
      <c r="I334" s="9">
        <v>500</v>
      </c>
    </row>
    <row r="335" spans="1:9" x14ac:dyDescent="0.3">
      <c r="A335" s="8" t="s">
        <v>51</v>
      </c>
      <c r="B335" s="8" t="s">
        <v>52</v>
      </c>
      <c r="C335" s="8" t="s">
        <v>32</v>
      </c>
      <c r="D335" s="8">
        <v>90</v>
      </c>
      <c r="E335" s="8" t="s">
        <v>53</v>
      </c>
      <c r="F335" t="s">
        <v>50</v>
      </c>
      <c r="G335" s="8">
        <v>3000</v>
      </c>
      <c r="H335" s="7">
        <v>46206</v>
      </c>
      <c r="I335" s="9">
        <v>5000</v>
      </c>
    </row>
    <row r="336" spans="1:9" x14ac:dyDescent="0.3">
      <c r="A336" s="8" t="s">
        <v>30</v>
      </c>
      <c r="B336" s="8" t="s">
        <v>31</v>
      </c>
      <c r="C336" s="8" t="s">
        <v>32</v>
      </c>
      <c r="D336" s="8">
        <v>105</v>
      </c>
      <c r="E336" s="8" t="s">
        <v>33</v>
      </c>
      <c r="F336" t="s">
        <v>34</v>
      </c>
      <c r="G336" s="9">
        <v>15000</v>
      </c>
      <c r="H336" s="7">
        <v>46213</v>
      </c>
      <c r="I336" s="9">
        <v>2041</v>
      </c>
    </row>
    <row r="337" spans="1:9" x14ac:dyDescent="0.3">
      <c r="A337" s="8" t="s">
        <v>30</v>
      </c>
      <c r="B337" s="8" t="s">
        <v>31</v>
      </c>
      <c r="C337" s="8" t="s">
        <v>32</v>
      </c>
      <c r="D337" s="8">
        <v>105</v>
      </c>
      <c r="E337" s="8" t="s">
        <v>33</v>
      </c>
      <c r="F337" t="s">
        <v>34</v>
      </c>
      <c r="G337" s="9">
        <v>15000</v>
      </c>
      <c r="H337" s="7">
        <v>46213</v>
      </c>
      <c r="I337" s="9">
        <v>10000</v>
      </c>
    </row>
    <row r="338" spans="1:9" x14ac:dyDescent="0.3">
      <c r="A338" s="8" t="s">
        <v>35</v>
      </c>
      <c r="B338" s="8" t="s">
        <v>36</v>
      </c>
      <c r="C338" s="8" t="s">
        <v>32</v>
      </c>
      <c r="D338" s="8">
        <v>55</v>
      </c>
      <c r="E338" s="8" t="s">
        <v>37</v>
      </c>
      <c r="F338" t="s">
        <v>34</v>
      </c>
      <c r="G338" s="9">
        <v>15000</v>
      </c>
      <c r="H338" s="7">
        <v>46213</v>
      </c>
      <c r="I338" s="9">
        <v>3000</v>
      </c>
    </row>
    <row r="339" spans="1:9" x14ac:dyDescent="0.3">
      <c r="A339" s="8" t="s">
        <v>38</v>
      </c>
      <c r="B339" s="8" t="s">
        <v>39</v>
      </c>
      <c r="C339" s="8" t="s">
        <v>40</v>
      </c>
      <c r="D339" s="8">
        <v>80</v>
      </c>
      <c r="E339" s="8" t="s">
        <v>41</v>
      </c>
      <c r="F339" t="s">
        <v>42</v>
      </c>
      <c r="G339" s="8">
        <v>5000</v>
      </c>
      <c r="H339" s="7">
        <v>46213</v>
      </c>
      <c r="I339" s="9">
        <v>2500</v>
      </c>
    </row>
    <row r="340" spans="1:9" x14ac:dyDescent="0.3">
      <c r="A340" s="8" t="s">
        <v>43</v>
      </c>
      <c r="B340" s="8" t="s">
        <v>44</v>
      </c>
      <c r="C340" s="8" t="s">
        <v>40</v>
      </c>
      <c r="D340" s="8">
        <v>40</v>
      </c>
      <c r="E340" s="8" t="s">
        <v>45</v>
      </c>
      <c r="F340" t="s">
        <v>42</v>
      </c>
      <c r="G340" s="8">
        <v>5000</v>
      </c>
      <c r="H340" s="7">
        <v>46213</v>
      </c>
      <c r="I340" s="9">
        <v>500</v>
      </c>
    </row>
    <row r="341" spans="1:9" x14ac:dyDescent="0.3">
      <c r="A341" s="8" t="s">
        <v>46</v>
      </c>
      <c r="B341" s="8" t="s">
        <v>47</v>
      </c>
      <c r="C341" s="8" t="s">
        <v>48</v>
      </c>
      <c r="D341" s="8">
        <v>30</v>
      </c>
      <c r="E341" s="8" t="s">
        <v>49</v>
      </c>
      <c r="F341" t="s">
        <v>50</v>
      </c>
      <c r="G341" s="8">
        <v>3000</v>
      </c>
      <c r="H341" s="7">
        <v>46213</v>
      </c>
      <c r="I341" s="9">
        <v>700</v>
      </c>
    </row>
    <row r="342" spans="1:9" x14ac:dyDescent="0.3">
      <c r="A342" s="8" t="s">
        <v>51</v>
      </c>
      <c r="B342" s="8" t="s">
        <v>52</v>
      </c>
      <c r="C342" s="8" t="s">
        <v>32</v>
      </c>
      <c r="D342" s="8">
        <v>90</v>
      </c>
      <c r="E342" s="8" t="s">
        <v>53</v>
      </c>
      <c r="F342" t="s">
        <v>50</v>
      </c>
      <c r="G342" s="8">
        <v>3000</v>
      </c>
      <c r="H342" s="7">
        <v>46213</v>
      </c>
      <c r="I342" s="9">
        <v>4300</v>
      </c>
    </row>
    <row r="343" spans="1:9" x14ac:dyDescent="0.3">
      <c r="A343" s="8" t="s">
        <v>30</v>
      </c>
      <c r="B343" s="8" t="s">
        <v>31</v>
      </c>
      <c r="C343" s="8" t="s">
        <v>32</v>
      </c>
      <c r="D343" s="8">
        <v>105</v>
      </c>
      <c r="E343" s="8" t="s">
        <v>33</v>
      </c>
      <c r="F343" t="s">
        <v>34</v>
      </c>
      <c r="G343" s="9">
        <v>15000</v>
      </c>
      <c r="H343" s="7">
        <v>46220</v>
      </c>
      <c r="I343" s="9">
        <v>2040</v>
      </c>
    </row>
    <row r="344" spans="1:9" x14ac:dyDescent="0.3">
      <c r="A344" s="8" t="s">
        <v>30</v>
      </c>
      <c r="B344" s="8" t="s">
        <v>31</v>
      </c>
      <c r="C344" s="8" t="s">
        <v>32</v>
      </c>
      <c r="D344" s="8">
        <v>105</v>
      </c>
      <c r="E344" s="8" t="s">
        <v>33</v>
      </c>
      <c r="F344" t="s">
        <v>34</v>
      </c>
      <c r="G344" s="9">
        <v>15000</v>
      </c>
      <c r="H344" s="7">
        <v>46220</v>
      </c>
      <c r="I344" s="9">
        <v>10000</v>
      </c>
    </row>
    <row r="345" spans="1:9" x14ac:dyDescent="0.3">
      <c r="A345" s="8" t="s">
        <v>35</v>
      </c>
      <c r="B345" s="8" t="s">
        <v>36</v>
      </c>
      <c r="C345" s="8" t="s">
        <v>32</v>
      </c>
      <c r="D345" s="8">
        <v>55</v>
      </c>
      <c r="E345" s="8" t="s">
        <v>37</v>
      </c>
      <c r="F345" t="s">
        <v>34</v>
      </c>
      <c r="G345" s="9">
        <v>15000</v>
      </c>
      <c r="H345" s="7">
        <v>46220</v>
      </c>
      <c r="I345" s="9">
        <v>3000</v>
      </c>
    </row>
    <row r="346" spans="1:9" x14ac:dyDescent="0.3">
      <c r="A346" s="8" t="s">
        <v>38</v>
      </c>
      <c r="B346" s="8" t="s">
        <v>39</v>
      </c>
      <c r="C346" s="8" t="s">
        <v>40</v>
      </c>
      <c r="D346" s="8">
        <v>80</v>
      </c>
      <c r="E346" s="8" t="s">
        <v>41</v>
      </c>
      <c r="F346" t="s">
        <v>42</v>
      </c>
      <c r="G346" s="8">
        <v>5000</v>
      </c>
      <c r="H346" s="7">
        <v>46220</v>
      </c>
      <c r="I346" s="9">
        <v>2500</v>
      </c>
    </row>
    <row r="347" spans="1:9" x14ac:dyDescent="0.3">
      <c r="A347" s="8" t="s">
        <v>43</v>
      </c>
      <c r="B347" s="8" t="s">
        <v>44</v>
      </c>
      <c r="C347" s="8" t="s">
        <v>40</v>
      </c>
      <c r="D347" s="8">
        <v>40</v>
      </c>
      <c r="E347" s="8" t="s">
        <v>45</v>
      </c>
      <c r="F347" t="s">
        <v>42</v>
      </c>
      <c r="G347" s="8">
        <v>5000</v>
      </c>
      <c r="H347" s="7">
        <v>46220</v>
      </c>
      <c r="I347" s="9">
        <v>500</v>
      </c>
    </row>
    <row r="348" spans="1:9" x14ac:dyDescent="0.3">
      <c r="A348" s="8" t="s">
        <v>46</v>
      </c>
      <c r="B348" s="8" t="s">
        <v>47</v>
      </c>
      <c r="C348" s="8" t="s">
        <v>48</v>
      </c>
      <c r="D348" s="8">
        <v>30</v>
      </c>
      <c r="E348" s="8" t="s">
        <v>49</v>
      </c>
      <c r="F348" t="s">
        <v>50</v>
      </c>
      <c r="G348" s="8">
        <v>3000</v>
      </c>
      <c r="H348" s="7">
        <v>46220</v>
      </c>
      <c r="I348" s="9">
        <v>300</v>
      </c>
    </row>
    <row r="349" spans="1:9" x14ac:dyDescent="0.3">
      <c r="A349" s="8" t="s">
        <v>51</v>
      </c>
      <c r="B349" s="8" t="s">
        <v>52</v>
      </c>
      <c r="C349" s="8" t="s">
        <v>32</v>
      </c>
      <c r="D349" s="8">
        <v>90</v>
      </c>
      <c r="E349" s="8" t="s">
        <v>53</v>
      </c>
      <c r="F349" t="s">
        <v>50</v>
      </c>
      <c r="G349" s="8">
        <v>3000</v>
      </c>
      <c r="H349" s="7">
        <v>46220</v>
      </c>
      <c r="I349" s="9">
        <v>4700</v>
      </c>
    </row>
    <row r="350" spans="1:9" x14ac:dyDescent="0.3">
      <c r="A350" s="8" t="s">
        <v>35</v>
      </c>
      <c r="B350" s="8" t="s">
        <v>36</v>
      </c>
      <c r="C350" s="8" t="s">
        <v>32</v>
      </c>
      <c r="D350" s="8">
        <v>55</v>
      </c>
      <c r="E350" s="8" t="s">
        <v>37</v>
      </c>
      <c r="F350" t="s">
        <v>34</v>
      </c>
      <c r="G350" s="9">
        <v>15000</v>
      </c>
      <c r="H350" s="7">
        <v>46227</v>
      </c>
      <c r="I350" s="9">
        <v>3000</v>
      </c>
    </row>
    <row r="351" spans="1:9" x14ac:dyDescent="0.3">
      <c r="A351" s="8" t="s">
        <v>38</v>
      </c>
      <c r="B351" s="8" t="s">
        <v>39</v>
      </c>
      <c r="C351" s="8" t="s">
        <v>40</v>
      </c>
      <c r="D351" s="8">
        <v>80</v>
      </c>
      <c r="E351" s="8" t="s">
        <v>41</v>
      </c>
      <c r="F351" t="s">
        <v>42</v>
      </c>
      <c r="G351" s="8">
        <v>5000</v>
      </c>
      <c r="H351" s="7">
        <v>46227</v>
      </c>
      <c r="I351" s="9">
        <v>2500</v>
      </c>
    </row>
    <row r="352" spans="1:9" x14ac:dyDescent="0.3">
      <c r="A352" s="8" t="s">
        <v>43</v>
      </c>
      <c r="B352" s="8" t="s">
        <v>44</v>
      </c>
      <c r="C352" s="8" t="s">
        <v>40</v>
      </c>
      <c r="D352" s="8">
        <v>40</v>
      </c>
      <c r="E352" s="8" t="s">
        <v>45</v>
      </c>
      <c r="F352" t="s">
        <v>42</v>
      </c>
      <c r="G352" s="8">
        <v>5000</v>
      </c>
      <c r="H352" s="7">
        <v>46227</v>
      </c>
      <c r="I352" s="9">
        <v>500</v>
      </c>
    </row>
    <row r="353" spans="1:9" x14ac:dyDescent="0.3">
      <c r="A353" s="8" t="s">
        <v>46</v>
      </c>
      <c r="B353" s="8" t="s">
        <v>47</v>
      </c>
      <c r="C353" s="8" t="s">
        <v>48</v>
      </c>
      <c r="D353" s="8">
        <v>30</v>
      </c>
      <c r="E353" s="8" t="s">
        <v>49</v>
      </c>
      <c r="F353" t="s">
        <v>50</v>
      </c>
      <c r="G353" s="8">
        <v>3000</v>
      </c>
      <c r="H353" s="7">
        <v>46227</v>
      </c>
      <c r="I353" s="9">
        <v>300</v>
      </c>
    </row>
    <row r="354" spans="1:9" x14ac:dyDescent="0.3">
      <c r="A354" s="8" t="s">
        <v>51</v>
      </c>
      <c r="B354" s="8" t="s">
        <v>52</v>
      </c>
      <c r="C354" s="8" t="s">
        <v>32</v>
      </c>
      <c r="D354" s="8">
        <v>90</v>
      </c>
      <c r="E354" s="8" t="s">
        <v>53</v>
      </c>
      <c r="F354" t="s">
        <v>50</v>
      </c>
      <c r="G354" s="8">
        <v>3000</v>
      </c>
      <c r="H354" s="7">
        <v>46227</v>
      </c>
      <c r="I354" s="9">
        <v>900</v>
      </c>
    </row>
    <row r="355" spans="1:9" x14ac:dyDescent="0.3">
      <c r="A355" s="8" t="s">
        <v>51</v>
      </c>
      <c r="B355" s="8" t="s">
        <v>52</v>
      </c>
      <c r="C355" s="8" t="s">
        <v>32</v>
      </c>
      <c r="D355" s="8">
        <v>90</v>
      </c>
      <c r="E355" s="8" t="s">
        <v>53</v>
      </c>
      <c r="F355" t="s">
        <v>50</v>
      </c>
      <c r="G355" s="8">
        <v>3000</v>
      </c>
      <c r="H355" s="7">
        <v>46227</v>
      </c>
      <c r="I355" s="9">
        <v>3846</v>
      </c>
    </row>
    <row r="356" spans="1:9" x14ac:dyDescent="0.3">
      <c r="A356" s="8" t="s">
        <v>35</v>
      </c>
      <c r="B356" s="8" t="s">
        <v>36</v>
      </c>
      <c r="C356" s="8" t="s">
        <v>32</v>
      </c>
      <c r="D356" s="8">
        <v>55</v>
      </c>
      <c r="E356" s="8" t="s">
        <v>37</v>
      </c>
      <c r="F356" t="s">
        <v>34</v>
      </c>
      <c r="G356" s="9">
        <v>15000</v>
      </c>
      <c r="H356" s="7">
        <v>46234</v>
      </c>
      <c r="I356" s="9">
        <v>2400</v>
      </c>
    </row>
    <row r="357" spans="1:9" x14ac:dyDescent="0.3">
      <c r="A357" s="8" t="s">
        <v>38</v>
      </c>
      <c r="B357" s="8" t="s">
        <v>39</v>
      </c>
      <c r="C357" s="8" t="s">
        <v>40</v>
      </c>
      <c r="D357" s="8">
        <v>80</v>
      </c>
      <c r="E357" s="8" t="s">
        <v>41</v>
      </c>
      <c r="F357" t="s">
        <v>42</v>
      </c>
      <c r="G357" s="8">
        <v>5000</v>
      </c>
      <c r="H357" s="7">
        <v>46234</v>
      </c>
      <c r="I357" s="9">
        <v>1000</v>
      </c>
    </row>
    <row r="358" spans="1:9" x14ac:dyDescent="0.3">
      <c r="A358" s="8" t="s">
        <v>46</v>
      </c>
      <c r="B358" s="8" t="s">
        <v>47</v>
      </c>
      <c r="C358" s="8" t="s">
        <v>48</v>
      </c>
      <c r="D358" s="8">
        <v>30</v>
      </c>
      <c r="E358" s="8" t="s">
        <v>49</v>
      </c>
      <c r="F358" t="s">
        <v>50</v>
      </c>
      <c r="G358" s="8">
        <v>3000</v>
      </c>
      <c r="H358" s="7">
        <v>46234</v>
      </c>
      <c r="I358" s="9">
        <v>300</v>
      </c>
    </row>
    <row r="359" spans="1:9" x14ac:dyDescent="0.3">
      <c r="A359" s="8" t="s">
        <v>51</v>
      </c>
      <c r="B359" s="8" t="s">
        <v>52</v>
      </c>
      <c r="C359" s="8" t="s">
        <v>32</v>
      </c>
      <c r="D359" s="8">
        <v>90</v>
      </c>
      <c r="E359" s="8" t="s">
        <v>53</v>
      </c>
      <c r="F359" t="s">
        <v>50</v>
      </c>
      <c r="G359" s="8">
        <v>3000</v>
      </c>
      <c r="H359" s="7">
        <v>46234</v>
      </c>
      <c r="I359" s="9">
        <v>4300</v>
      </c>
    </row>
    <row r="360" spans="1:9" x14ac:dyDescent="0.3">
      <c r="A360" s="8" t="s">
        <v>30</v>
      </c>
      <c r="B360" s="8" t="s">
        <v>31</v>
      </c>
      <c r="C360" s="8" t="s">
        <v>32</v>
      </c>
      <c r="D360" s="8">
        <v>105</v>
      </c>
      <c r="E360" s="8" t="s">
        <v>33</v>
      </c>
      <c r="F360" t="s">
        <v>34</v>
      </c>
      <c r="G360" s="9">
        <v>15000</v>
      </c>
      <c r="H360" s="7">
        <v>46241</v>
      </c>
      <c r="I360" s="9">
        <v>15023</v>
      </c>
    </row>
    <row r="361" spans="1:9" x14ac:dyDescent="0.3">
      <c r="A361" s="8" t="s">
        <v>30</v>
      </c>
      <c r="B361" s="8" t="s">
        <v>31</v>
      </c>
      <c r="C361" s="8" t="s">
        <v>32</v>
      </c>
      <c r="D361" s="8">
        <v>105</v>
      </c>
      <c r="E361" s="8" t="s">
        <v>33</v>
      </c>
      <c r="F361" t="s">
        <v>34</v>
      </c>
      <c r="G361" s="9">
        <v>15000</v>
      </c>
      <c r="H361" s="7">
        <v>46241</v>
      </c>
      <c r="I361" s="9">
        <v>1737</v>
      </c>
    </row>
    <row r="362" spans="1:9" x14ac:dyDescent="0.3">
      <c r="A362" s="8" t="s">
        <v>30</v>
      </c>
      <c r="B362" s="8" t="s">
        <v>31</v>
      </c>
      <c r="C362" s="8" t="s">
        <v>32</v>
      </c>
      <c r="D362" s="8">
        <v>105</v>
      </c>
      <c r="E362" s="8" t="s">
        <v>33</v>
      </c>
      <c r="F362" t="s">
        <v>34</v>
      </c>
      <c r="G362" s="9">
        <v>15000</v>
      </c>
      <c r="H362" s="7">
        <v>46241</v>
      </c>
      <c r="I362" s="9">
        <v>11000</v>
      </c>
    </row>
    <row r="363" spans="1:9" x14ac:dyDescent="0.3">
      <c r="A363" s="8" t="s">
        <v>35</v>
      </c>
      <c r="B363" s="8" t="s">
        <v>36</v>
      </c>
      <c r="C363" s="8" t="s">
        <v>32</v>
      </c>
      <c r="D363" s="8">
        <v>55</v>
      </c>
      <c r="E363" s="8" t="s">
        <v>37</v>
      </c>
      <c r="F363" t="s">
        <v>34</v>
      </c>
      <c r="G363" s="9">
        <v>15000</v>
      </c>
      <c r="H363" s="7">
        <v>46241</v>
      </c>
      <c r="I363" s="9">
        <v>2400</v>
      </c>
    </row>
    <row r="364" spans="1:9" x14ac:dyDescent="0.3">
      <c r="A364" s="8" t="s">
        <v>38</v>
      </c>
      <c r="B364" s="8" t="s">
        <v>39</v>
      </c>
      <c r="C364" s="8" t="s">
        <v>40</v>
      </c>
      <c r="D364" s="8">
        <v>80</v>
      </c>
      <c r="E364" s="8" t="s">
        <v>41</v>
      </c>
      <c r="F364" t="s">
        <v>42</v>
      </c>
      <c r="G364" s="8">
        <v>5000</v>
      </c>
      <c r="H364" s="7">
        <v>46241</v>
      </c>
      <c r="I364" s="9">
        <v>1000</v>
      </c>
    </row>
    <row r="365" spans="1:9" x14ac:dyDescent="0.3">
      <c r="A365" s="8" t="s">
        <v>51</v>
      </c>
      <c r="B365" s="8" t="s">
        <v>52</v>
      </c>
      <c r="C365" s="8" t="s">
        <v>32</v>
      </c>
      <c r="D365" s="8">
        <v>90</v>
      </c>
      <c r="E365" s="8" t="s">
        <v>53</v>
      </c>
      <c r="F365" t="s">
        <v>50</v>
      </c>
      <c r="G365" s="8">
        <v>3000</v>
      </c>
      <c r="H365" s="7">
        <v>46241</v>
      </c>
      <c r="I365" s="9">
        <v>476</v>
      </c>
    </row>
    <row r="366" spans="1:9" x14ac:dyDescent="0.3">
      <c r="A366" s="8" t="s">
        <v>30</v>
      </c>
      <c r="B366" s="8" t="s">
        <v>31</v>
      </c>
      <c r="C366" s="8" t="s">
        <v>32</v>
      </c>
      <c r="D366" s="8">
        <v>105</v>
      </c>
      <c r="E366" s="8" t="s">
        <v>33</v>
      </c>
      <c r="F366" t="s">
        <v>34</v>
      </c>
      <c r="G366" s="9">
        <v>15000</v>
      </c>
      <c r="H366" s="7">
        <v>46248</v>
      </c>
      <c r="I366" s="9">
        <v>5629</v>
      </c>
    </row>
    <row r="367" spans="1:9" x14ac:dyDescent="0.3">
      <c r="A367" s="8" t="s">
        <v>30</v>
      </c>
      <c r="B367" s="8" t="s">
        <v>31</v>
      </c>
      <c r="C367" s="8" t="s">
        <v>32</v>
      </c>
      <c r="D367" s="8">
        <v>105</v>
      </c>
      <c r="E367" s="8" t="s">
        <v>33</v>
      </c>
      <c r="F367" t="s">
        <v>34</v>
      </c>
      <c r="G367" s="9">
        <v>15000</v>
      </c>
      <c r="H367" s="7">
        <v>46248</v>
      </c>
      <c r="I367" s="9">
        <v>1857</v>
      </c>
    </row>
    <row r="368" spans="1:9" x14ac:dyDescent="0.3">
      <c r="A368" s="8" t="s">
        <v>30</v>
      </c>
      <c r="B368" s="8" t="s">
        <v>31</v>
      </c>
      <c r="C368" s="8" t="s">
        <v>32</v>
      </c>
      <c r="D368" s="8">
        <v>105</v>
      </c>
      <c r="E368" s="8" t="s">
        <v>33</v>
      </c>
      <c r="F368" t="s">
        <v>34</v>
      </c>
      <c r="G368" s="9">
        <v>15000</v>
      </c>
      <c r="H368" s="7">
        <v>46248</v>
      </c>
      <c r="I368" s="9">
        <v>19000</v>
      </c>
    </row>
    <row r="369" spans="1:9" x14ac:dyDescent="0.3">
      <c r="A369" s="8" t="s">
        <v>38</v>
      </c>
      <c r="B369" s="8" t="s">
        <v>39</v>
      </c>
      <c r="C369" s="8" t="s">
        <v>40</v>
      </c>
      <c r="D369" s="8">
        <v>80</v>
      </c>
      <c r="E369" s="8" t="s">
        <v>41</v>
      </c>
      <c r="F369" t="s">
        <v>42</v>
      </c>
      <c r="G369" s="8">
        <v>5000</v>
      </c>
      <c r="H369" s="7">
        <v>46248</v>
      </c>
      <c r="I369" s="9">
        <v>1000</v>
      </c>
    </row>
    <row r="370" spans="1:9" x14ac:dyDescent="0.3">
      <c r="A370" s="8" t="s">
        <v>43</v>
      </c>
      <c r="B370" s="8" t="s">
        <v>44</v>
      </c>
      <c r="C370" s="8" t="s">
        <v>40</v>
      </c>
      <c r="D370" s="8">
        <v>40</v>
      </c>
      <c r="E370" s="8" t="s">
        <v>45</v>
      </c>
      <c r="F370" t="s">
        <v>42</v>
      </c>
      <c r="G370" s="8">
        <v>5000</v>
      </c>
      <c r="H370" s="7">
        <v>46248</v>
      </c>
      <c r="I370" s="9">
        <v>400</v>
      </c>
    </row>
    <row r="371" spans="1:9" x14ac:dyDescent="0.3">
      <c r="A371" s="8" t="s">
        <v>51</v>
      </c>
      <c r="B371" s="8" t="s">
        <v>52</v>
      </c>
      <c r="C371" s="8" t="s">
        <v>32</v>
      </c>
      <c r="D371" s="8">
        <v>90</v>
      </c>
      <c r="E371" s="8" t="s">
        <v>53</v>
      </c>
      <c r="F371" t="s">
        <v>50</v>
      </c>
      <c r="G371" s="8">
        <v>3000</v>
      </c>
      <c r="H371" s="7">
        <v>46248</v>
      </c>
      <c r="I371" s="9">
        <v>1298</v>
      </c>
    </row>
    <row r="372" spans="1:9" x14ac:dyDescent="0.3">
      <c r="A372" s="8" t="s">
        <v>30</v>
      </c>
      <c r="B372" s="8" t="s">
        <v>31</v>
      </c>
      <c r="C372" s="8" t="s">
        <v>32</v>
      </c>
      <c r="D372" s="8">
        <v>105</v>
      </c>
      <c r="E372" s="8" t="s">
        <v>33</v>
      </c>
      <c r="F372" t="s">
        <v>34</v>
      </c>
      <c r="G372" s="9">
        <v>15000</v>
      </c>
      <c r="H372" s="7">
        <v>46255</v>
      </c>
      <c r="I372" s="9">
        <v>2072</v>
      </c>
    </row>
    <row r="373" spans="1:9" x14ac:dyDescent="0.3">
      <c r="A373" s="8" t="s">
        <v>30</v>
      </c>
      <c r="B373" s="8" t="s">
        <v>31</v>
      </c>
      <c r="C373" s="8" t="s">
        <v>32</v>
      </c>
      <c r="D373" s="8">
        <v>105</v>
      </c>
      <c r="E373" s="8" t="s">
        <v>33</v>
      </c>
      <c r="F373" t="s">
        <v>34</v>
      </c>
      <c r="G373" s="9">
        <v>15000</v>
      </c>
      <c r="H373" s="7">
        <v>46255</v>
      </c>
      <c r="I373" s="9">
        <v>2176</v>
      </c>
    </row>
    <row r="374" spans="1:9" x14ac:dyDescent="0.3">
      <c r="A374" s="8" t="s">
        <v>35</v>
      </c>
      <c r="B374" s="8" t="s">
        <v>36</v>
      </c>
      <c r="C374" s="8" t="s">
        <v>32</v>
      </c>
      <c r="D374" s="8">
        <v>55</v>
      </c>
      <c r="E374" s="8" t="s">
        <v>37</v>
      </c>
      <c r="F374" t="s">
        <v>34</v>
      </c>
      <c r="G374" s="9">
        <v>15000</v>
      </c>
      <c r="H374" s="7">
        <v>46255</v>
      </c>
      <c r="I374" s="9">
        <v>2400</v>
      </c>
    </row>
    <row r="375" spans="1:9" x14ac:dyDescent="0.3">
      <c r="A375" s="8" t="s">
        <v>38</v>
      </c>
      <c r="B375" s="8" t="s">
        <v>39</v>
      </c>
      <c r="C375" s="8" t="s">
        <v>40</v>
      </c>
      <c r="D375" s="8">
        <v>80</v>
      </c>
      <c r="E375" s="8" t="s">
        <v>41</v>
      </c>
      <c r="F375" t="s">
        <v>42</v>
      </c>
      <c r="G375" s="8">
        <v>5000</v>
      </c>
      <c r="H375" s="7">
        <v>46255</v>
      </c>
      <c r="I375" s="9">
        <v>1000</v>
      </c>
    </row>
    <row r="376" spans="1:9" x14ac:dyDescent="0.3">
      <c r="A376" s="8" t="s">
        <v>46</v>
      </c>
      <c r="B376" s="8" t="s">
        <v>47</v>
      </c>
      <c r="C376" s="8" t="s">
        <v>48</v>
      </c>
      <c r="D376" s="8">
        <v>30</v>
      </c>
      <c r="E376" s="8" t="s">
        <v>49</v>
      </c>
      <c r="F376" t="s">
        <v>50</v>
      </c>
      <c r="G376" s="8">
        <v>3000</v>
      </c>
      <c r="H376" s="7">
        <v>46255</v>
      </c>
      <c r="I376" s="9">
        <v>300</v>
      </c>
    </row>
    <row r="377" spans="1:9" x14ac:dyDescent="0.3">
      <c r="A377" s="8" t="s">
        <v>51</v>
      </c>
      <c r="B377" s="8" t="s">
        <v>52</v>
      </c>
      <c r="C377" s="8" t="s">
        <v>32</v>
      </c>
      <c r="D377" s="8">
        <v>90</v>
      </c>
      <c r="E377" s="8" t="s">
        <v>53</v>
      </c>
      <c r="F377" t="s">
        <v>50</v>
      </c>
      <c r="G377" s="8">
        <v>3000</v>
      </c>
      <c r="H377" s="7">
        <v>46255</v>
      </c>
      <c r="I377" s="9">
        <v>1300</v>
      </c>
    </row>
    <row r="378" spans="1:9" x14ac:dyDescent="0.3">
      <c r="A378" s="8" t="s">
        <v>30</v>
      </c>
      <c r="B378" s="8" t="s">
        <v>31</v>
      </c>
      <c r="C378" s="8" t="s">
        <v>32</v>
      </c>
      <c r="D378" s="8">
        <v>105</v>
      </c>
      <c r="E378" s="8" t="s">
        <v>33</v>
      </c>
      <c r="F378" t="s">
        <v>34</v>
      </c>
      <c r="G378" s="9">
        <v>15000</v>
      </c>
      <c r="H378" s="7">
        <v>46262</v>
      </c>
      <c r="I378" s="9">
        <v>4248</v>
      </c>
    </row>
    <row r="379" spans="1:9" x14ac:dyDescent="0.3">
      <c r="A379" s="8" t="s">
        <v>35</v>
      </c>
      <c r="B379" s="8" t="s">
        <v>36</v>
      </c>
      <c r="C379" s="8" t="s">
        <v>32</v>
      </c>
      <c r="D379" s="8">
        <v>55</v>
      </c>
      <c r="E379" s="8" t="s">
        <v>37</v>
      </c>
      <c r="F379" t="s">
        <v>34</v>
      </c>
      <c r="G379" s="9">
        <v>15000</v>
      </c>
      <c r="H379" s="7">
        <v>46262</v>
      </c>
      <c r="I379" s="9">
        <v>2400</v>
      </c>
    </row>
    <row r="380" spans="1:9" x14ac:dyDescent="0.3">
      <c r="A380" s="8" t="s">
        <v>38</v>
      </c>
      <c r="B380" s="8" t="s">
        <v>39</v>
      </c>
      <c r="C380" s="8" t="s">
        <v>40</v>
      </c>
      <c r="D380" s="8">
        <v>80</v>
      </c>
      <c r="E380" s="8" t="s">
        <v>41</v>
      </c>
      <c r="F380" t="s">
        <v>42</v>
      </c>
      <c r="G380" s="8">
        <v>5000</v>
      </c>
      <c r="H380" s="7">
        <v>46262</v>
      </c>
      <c r="I380" s="9">
        <v>1000</v>
      </c>
    </row>
    <row r="381" spans="1:9" x14ac:dyDescent="0.3">
      <c r="A381" s="8" t="s">
        <v>51</v>
      </c>
      <c r="B381" s="8" t="s">
        <v>52</v>
      </c>
      <c r="C381" s="8" t="s">
        <v>32</v>
      </c>
      <c r="D381" s="8">
        <v>90</v>
      </c>
      <c r="E381" s="8" t="s">
        <v>53</v>
      </c>
      <c r="F381" t="s">
        <v>50</v>
      </c>
      <c r="G381" s="8">
        <v>3000</v>
      </c>
      <c r="H381" s="7">
        <v>46262</v>
      </c>
      <c r="I381" s="9">
        <v>1298</v>
      </c>
    </row>
    <row r="382" spans="1:9" x14ac:dyDescent="0.3">
      <c r="A382" s="8" t="s">
        <v>30</v>
      </c>
      <c r="B382" s="8" t="s">
        <v>31</v>
      </c>
      <c r="C382" s="8" t="s">
        <v>32</v>
      </c>
      <c r="D382" s="8">
        <v>105</v>
      </c>
      <c r="E382" s="8" t="s">
        <v>33</v>
      </c>
      <c r="F382" t="s">
        <v>34</v>
      </c>
      <c r="G382" s="9">
        <v>15000</v>
      </c>
      <c r="H382" s="7">
        <v>46269</v>
      </c>
      <c r="I382" s="9">
        <v>4249</v>
      </c>
    </row>
    <row r="383" spans="1:9" x14ac:dyDescent="0.3">
      <c r="A383" s="8" t="s">
        <v>35</v>
      </c>
      <c r="B383" s="8" t="s">
        <v>36</v>
      </c>
      <c r="C383" s="8" t="s">
        <v>32</v>
      </c>
      <c r="D383" s="8">
        <v>55</v>
      </c>
      <c r="E383" s="8" t="s">
        <v>37</v>
      </c>
      <c r="F383" t="s">
        <v>34</v>
      </c>
      <c r="G383" s="9">
        <v>15000</v>
      </c>
      <c r="H383" s="7">
        <v>46269</v>
      </c>
      <c r="I383" s="9">
        <v>3750</v>
      </c>
    </row>
    <row r="384" spans="1:9" x14ac:dyDescent="0.3">
      <c r="A384" s="8" t="s">
        <v>38</v>
      </c>
      <c r="B384" s="8" t="s">
        <v>39</v>
      </c>
      <c r="C384" s="8" t="s">
        <v>40</v>
      </c>
      <c r="D384" s="8">
        <v>80</v>
      </c>
      <c r="E384" s="8" t="s">
        <v>41</v>
      </c>
      <c r="F384" t="s">
        <v>42</v>
      </c>
      <c r="G384" s="8">
        <v>5000</v>
      </c>
      <c r="H384" s="7">
        <v>46269</v>
      </c>
      <c r="I384" s="9">
        <v>750</v>
      </c>
    </row>
    <row r="385" spans="1:9" x14ac:dyDescent="0.3">
      <c r="A385" s="8" t="s">
        <v>43</v>
      </c>
      <c r="B385" s="8" t="s">
        <v>44</v>
      </c>
      <c r="C385" s="8" t="s">
        <v>40</v>
      </c>
      <c r="D385" s="8">
        <v>40</v>
      </c>
      <c r="E385" s="8" t="s">
        <v>45</v>
      </c>
      <c r="F385" t="s">
        <v>42</v>
      </c>
      <c r="G385" s="8">
        <v>5000</v>
      </c>
      <c r="H385" s="7">
        <v>46269</v>
      </c>
      <c r="I385" s="9">
        <v>400</v>
      </c>
    </row>
    <row r="386" spans="1:9" x14ac:dyDescent="0.3">
      <c r="A386" s="8" t="s">
        <v>51</v>
      </c>
      <c r="B386" s="8" t="s">
        <v>52</v>
      </c>
      <c r="C386" s="8" t="s">
        <v>32</v>
      </c>
      <c r="D386" s="8">
        <v>90</v>
      </c>
      <c r="E386" s="8" t="s">
        <v>53</v>
      </c>
      <c r="F386" t="s">
        <v>50</v>
      </c>
      <c r="G386" s="8">
        <v>3000</v>
      </c>
      <c r="H386" s="7">
        <v>46269</v>
      </c>
      <c r="I386" s="9">
        <v>1506</v>
      </c>
    </row>
    <row r="387" spans="1:9" x14ac:dyDescent="0.3">
      <c r="A387" s="8" t="s">
        <v>30</v>
      </c>
      <c r="B387" s="8" t="s">
        <v>31</v>
      </c>
      <c r="C387" s="8" t="s">
        <v>32</v>
      </c>
      <c r="D387" s="8">
        <v>105</v>
      </c>
      <c r="E387" s="8" t="s">
        <v>33</v>
      </c>
      <c r="F387" t="s">
        <v>34</v>
      </c>
      <c r="G387" s="9">
        <v>15000</v>
      </c>
      <c r="H387" s="7">
        <v>46276</v>
      </c>
      <c r="I387" s="9">
        <v>4248</v>
      </c>
    </row>
    <row r="388" spans="1:9" x14ac:dyDescent="0.3">
      <c r="A388" s="8" t="s">
        <v>35</v>
      </c>
      <c r="B388" s="8" t="s">
        <v>36</v>
      </c>
      <c r="C388" s="8" t="s">
        <v>32</v>
      </c>
      <c r="D388" s="8">
        <v>55</v>
      </c>
      <c r="E388" s="8" t="s">
        <v>37</v>
      </c>
      <c r="F388" t="s">
        <v>34</v>
      </c>
      <c r="G388" s="9">
        <v>15000</v>
      </c>
      <c r="H388" s="7">
        <v>46276</v>
      </c>
      <c r="I388" s="9">
        <v>3750</v>
      </c>
    </row>
    <row r="389" spans="1:9" x14ac:dyDescent="0.3">
      <c r="A389" s="8" t="s">
        <v>38</v>
      </c>
      <c r="B389" s="8" t="s">
        <v>39</v>
      </c>
      <c r="C389" s="8" t="s">
        <v>40</v>
      </c>
      <c r="D389" s="8">
        <v>80</v>
      </c>
      <c r="E389" s="8" t="s">
        <v>41</v>
      </c>
      <c r="F389" t="s">
        <v>42</v>
      </c>
      <c r="G389" s="8">
        <v>5000</v>
      </c>
      <c r="H389" s="7">
        <v>46276</v>
      </c>
      <c r="I389" s="9">
        <v>750</v>
      </c>
    </row>
    <row r="390" spans="1:9" x14ac:dyDescent="0.3">
      <c r="A390" s="8" t="s">
        <v>46</v>
      </c>
      <c r="B390" s="8" t="s">
        <v>47</v>
      </c>
      <c r="C390" s="8" t="s">
        <v>48</v>
      </c>
      <c r="D390" s="8">
        <v>30</v>
      </c>
      <c r="E390" s="8" t="s">
        <v>49</v>
      </c>
      <c r="F390" t="s">
        <v>50</v>
      </c>
      <c r="G390" s="8">
        <v>3000</v>
      </c>
      <c r="H390" s="7">
        <v>46276</v>
      </c>
      <c r="I390" s="9">
        <v>300</v>
      </c>
    </row>
    <row r="391" spans="1:9" x14ac:dyDescent="0.3">
      <c r="A391" s="8" t="s">
        <v>51</v>
      </c>
      <c r="B391" s="8" t="s">
        <v>52</v>
      </c>
      <c r="C391" s="8" t="s">
        <v>32</v>
      </c>
      <c r="D391" s="8">
        <v>90</v>
      </c>
      <c r="E391" s="8" t="s">
        <v>53</v>
      </c>
      <c r="F391" t="s">
        <v>50</v>
      </c>
      <c r="G391" s="8">
        <v>3000</v>
      </c>
      <c r="H391" s="7">
        <v>46276</v>
      </c>
      <c r="I391" s="9">
        <v>1506</v>
      </c>
    </row>
    <row r="392" spans="1:9" x14ac:dyDescent="0.3">
      <c r="A392" s="8" t="s">
        <v>30</v>
      </c>
      <c r="B392" s="8" t="s">
        <v>31</v>
      </c>
      <c r="C392" s="8" t="s">
        <v>32</v>
      </c>
      <c r="D392" s="8">
        <v>105</v>
      </c>
      <c r="E392" s="8" t="s">
        <v>33</v>
      </c>
      <c r="F392" t="s">
        <v>34</v>
      </c>
      <c r="G392" s="9">
        <v>15000</v>
      </c>
      <c r="H392" s="7">
        <v>46283</v>
      </c>
      <c r="I392" s="9">
        <v>2391</v>
      </c>
    </row>
    <row r="393" spans="1:9" x14ac:dyDescent="0.3">
      <c r="A393" s="8" t="s">
        <v>35</v>
      </c>
      <c r="B393" s="8" t="s">
        <v>36</v>
      </c>
      <c r="C393" s="8" t="s">
        <v>32</v>
      </c>
      <c r="D393" s="8">
        <v>55</v>
      </c>
      <c r="E393" s="8" t="s">
        <v>37</v>
      </c>
      <c r="F393" t="s">
        <v>34</v>
      </c>
      <c r="G393" s="9">
        <v>15000</v>
      </c>
      <c r="H393" s="7">
        <v>46283</v>
      </c>
      <c r="I393" s="9">
        <v>3750</v>
      </c>
    </row>
    <row r="394" spans="1:9" x14ac:dyDescent="0.3">
      <c r="A394" s="8" t="s">
        <v>38</v>
      </c>
      <c r="B394" s="8" t="s">
        <v>39</v>
      </c>
      <c r="C394" s="8" t="s">
        <v>40</v>
      </c>
      <c r="D394" s="8">
        <v>80</v>
      </c>
      <c r="E394" s="8" t="s">
        <v>41</v>
      </c>
      <c r="F394" t="s">
        <v>42</v>
      </c>
      <c r="G394" s="8">
        <v>5000</v>
      </c>
      <c r="H394" s="7">
        <v>46283</v>
      </c>
      <c r="I394" s="9">
        <v>750</v>
      </c>
    </row>
    <row r="395" spans="1:9" x14ac:dyDescent="0.3">
      <c r="A395" s="8" t="s">
        <v>43</v>
      </c>
      <c r="B395" s="8" t="s">
        <v>44</v>
      </c>
      <c r="C395" s="8" t="s">
        <v>40</v>
      </c>
      <c r="D395" s="8">
        <v>40</v>
      </c>
      <c r="E395" s="8" t="s">
        <v>45</v>
      </c>
      <c r="F395" t="s">
        <v>42</v>
      </c>
      <c r="G395" s="8">
        <v>5000</v>
      </c>
      <c r="H395" s="7">
        <v>46283</v>
      </c>
      <c r="I395" s="9">
        <v>400</v>
      </c>
    </row>
    <row r="396" spans="1:9" x14ac:dyDescent="0.3">
      <c r="A396" s="8" t="s">
        <v>51</v>
      </c>
      <c r="B396" s="8" t="s">
        <v>52</v>
      </c>
      <c r="C396" s="8" t="s">
        <v>32</v>
      </c>
      <c r="D396" s="8">
        <v>90</v>
      </c>
      <c r="E396" s="8" t="s">
        <v>53</v>
      </c>
      <c r="F396" t="s">
        <v>50</v>
      </c>
      <c r="G396" s="8">
        <v>3000</v>
      </c>
      <c r="H396" s="7">
        <v>46283</v>
      </c>
      <c r="I396" s="9">
        <v>1506</v>
      </c>
    </row>
    <row r="397" spans="1:9" x14ac:dyDescent="0.3">
      <c r="A397" s="8" t="s">
        <v>30</v>
      </c>
      <c r="B397" s="8" t="s">
        <v>31</v>
      </c>
      <c r="C397" s="8" t="s">
        <v>32</v>
      </c>
      <c r="D397" s="8">
        <v>105</v>
      </c>
      <c r="E397" s="8" t="s">
        <v>33</v>
      </c>
      <c r="F397" t="s">
        <v>34</v>
      </c>
      <c r="G397" s="9">
        <v>15000</v>
      </c>
      <c r="H397" s="7">
        <v>46290</v>
      </c>
      <c r="I397" s="9">
        <v>2392</v>
      </c>
    </row>
    <row r="398" spans="1:9" x14ac:dyDescent="0.3">
      <c r="A398" s="8" t="s">
        <v>35</v>
      </c>
      <c r="B398" s="8" t="s">
        <v>36</v>
      </c>
      <c r="C398" s="8" t="s">
        <v>32</v>
      </c>
      <c r="D398" s="8">
        <v>55</v>
      </c>
      <c r="E398" s="8" t="s">
        <v>37</v>
      </c>
      <c r="F398" t="s">
        <v>34</v>
      </c>
      <c r="G398" s="9">
        <v>15000</v>
      </c>
      <c r="H398" s="7">
        <v>46290</v>
      </c>
      <c r="I398" s="9">
        <v>3750</v>
      </c>
    </row>
    <row r="399" spans="1:9" x14ac:dyDescent="0.3">
      <c r="A399" s="8" t="s">
        <v>38</v>
      </c>
      <c r="B399" s="8" t="s">
        <v>39</v>
      </c>
      <c r="C399" s="8" t="s">
        <v>40</v>
      </c>
      <c r="D399" s="8">
        <v>80</v>
      </c>
      <c r="E399" s="8" t="s">
        <v>41</v>
      </c>
      <c r="F399" t="s">
        <v>42</v>
      </c>
      <c r="G399" s="8">
        <v>5000</v>
      </c>
      <c r="H399" s="7">
        <v>46290</v>
      </c>
      <c r="I399" s="9">
        <v>750</v>
      </c>
    </row>
    <row r="400" spans="1:9" x14ac:dyDescent="0.3">
      <c r="A400" s="8" t="s">
        <v>51</v>
      </c>
      <c r="B400" s="8" t="s">
        <v>52</v>
      </c>
      <c r="C400" s="8" t="s">
        <v>32</v>
      </c>
      <c r="D400" s="8">
        <v>90</v>
      </c>
      <c r="E400" s="8" t="s">
        <v>53</v>
      </c>
      <c r="F400" t="s">
        <v>50</v>
      </c>
      <c r="G400" s="8">
        <v>3000</v>
      </c>
      <c r="H400" s="7">
        <v>46290</v>
      </c>
      <c r="I400" s="9">
        <v>1506</v>
      </c>
    </row>
    <row r="401" spans="1:9" x14ac:dyDescent="0.3">
      <c r="A401" s="8" t="s">
        <v>30</v>
      </c>
      <c r="B401" s="8" t="s">
        <v>31</v>
      </c>
      <c r="C401" s="8" t="s">
        <v>32</v>
      </c>
      <c r="D401" s="8">
        <v>105</v>
      </c>
      <c r="E401" s="8" t="s">
        <v>33</v>
      </c>
      <c r="F401" t="s">
        <v>34</v>
      </c>
      <c r="G401" s="9">
        <v>15000</v>
      </c>
      <c r="H401" s="7">
        <v>46297</v>
      </c>
      <c r="I401" s="9">
        <v>2391</v>
      </c>
    </row>
    <row r="402" spans="1:9" x14ac:dyDescent="0.3">
      <c r="A402" s="8" t="s">
        <v>35</v>
      </c>
      <c r="B402" s="8" t="s">
        <v>36</v>
      </c>
      <c r="C402" s="8" t="s">
        <v>32</v>
      </c>
      <c r="D402" s="8">
        <v>55</v>
      </c>
      <c r="E402" s="8" t="s">
        <v>37</v>
      </c>
      <c r="F402" t="s">
        <v>34</v>
      </c>
      <c r="G402" s="9">
        <v>15000</v>
      </c>
      <c r="H402" s="7">
        <v>46297</v>
      </c>
      <c r="I402" s="9">
        <v>3000</v>
      </c>
    </row>
    <row r="403" spans="1:9" x14ac:dyDescent="0.3">
      <c r="A403" s="8" t="s">
        <v>38</v>
      </c>
      <c r="B403" s="8" t="s">
        <v>39</v>
      </c>
      <c r="C403" s="8" t="s">
        <v>40</v>
      </c>
      <c r="D403" s="8">
        <v>80</v>
      </c>
      <c r="E403" s="8" t="s">
        <v>41</v>
      </c>
      <c r="F403" t="s">
        <v>42</v>
      </c>
      <c r="G403" s="8">
        <v>5000</v>
      </c>
      <c r="H403" s="7">
        <v>46297</v>
      </c>
      <c r="I403" s="9">
        <v>600</v>
      </c>
    </row>
    <row r="404" spans="1:9" x14ac:dyDescent="0.3">
      <c r="A404" s="8" t="s">
        <v>43</v>
      </c>
      <c r="B404" s="8" t="s">
        <v>44</v>
      </c>
      <c r="C404" s="8" t="s">
        <v>40</v>
      </c>
      <c r="D404" s="8">
        <v>40</v>
      </c>
      <c r="E404" s="8" t="s">
        <v>45</v>
      </c>
      <c r="F404" t="s">
        <v>42</v>
      </c>
      <c r="G404" s="8">
        <v>5000</v>
      </c>
      <c r="H404" s="7">
        <v>46297</v>
      </c>
      <c r="I404" s="9">
        <v>360</v>
      </c>
    </row>
    <row r="405" spans="1:9" x14ac:dyDescent="0.3">
      <c r="A405" s="8" t="s">
        <v>51</v>
      </c>
      <c r="B405" s="8" t="s">
        <v>52</v>
      </c>
      <c r="C405" s="8" t="s">
        <v>32</v>
      </c>
      <c r="D405" s="8">
        <v>90</v>
      </c>
      <c r="E405" s="8" t="s">
        <v>53</v>
      </c>
      <c r="F405" t="s">
        <v>50</v>
      </c>
      <c r="G405" s="8">
        <v>3000</v>
      </c>
      <c r="H405" s="7">
        <v>46297</v>
      </c>
      <c r="I405" s="9">
        <v>1446</v>
      </c>
    </row>
    <row r="406" spans="1:9" x14ac:dyDescent="0.3">
      <c r="A406" s="8" t="s">
        <v>30</v>
      </c>
      <c r="B406" s="8" t="s">
        <v>31</v>
      </c>
      <c r="C406" s="8" t="s">
        <v>32</v>
      </c>
      <c r="D406" s="8">
        <v>105</v>
      </c>
      <c r="E406" s="8" t="s">
        <v>33</v>
      </c>
      <c r="F406" t="s">
        <v>34</v>
      </c>
      <c r="G406" s="9">
        <v>15000</v>
      </c>
      <c r="H406" s="7">
        <v>46304</v>
      </c>
      <c r="I406" s="9">
        <v>2392</v>
      </c>
    </row>
    <row r="407" spans="1:9" x14ac:dyDescent="0.3">
      <c r="A407" s="8" t="s">
        <v>35</v>
      </c>
      <c r="B407" s="8" t="s">
        <v>36</v>
      </c>
      <c r="C407" s="8" t="s">
        <v>32</v>
      </c>
      <c r="D407" s="8">
        <v>55</v>
      </c>
      <c r="E407" s="8" t="s">
        <v>37</v>
      </c>
      <c r="F407" t="s">
        <v>34</v>
      </c>
      <c r="G407" s="9">
        <v>15000</v>
      </c>
      <c r="H407" s="7">
        <v>46304</v>
      </c>
      <c r="I407" s="9">
        <v>3000</v>
      </c>
    </row>
    <row r="408" spans="1:9" x14ac:dyDescent="0.3">
      <c r="A408" s="8" t="s">
        <v>38</v>
      </c>
      <c r="B408" s="8" t="s">
        <v>39</v>
      </c>
      <c r="C408" s="8" t="s">
        <v>40</v>
      </c>
      <c r="D408" s="8">
        <v>80</v>
      </c>
      <c r="E408" s="8" t="s">
        <v>41</v>
      </c>
      <c r="F408" t="s">
        <v>42</v>
      </c>
      <c r="G408" s="8">
        <v>5000</v>
      </c>
      <c r="H408" s="7">
        <v>46304</v>
      </c>
      <c r="I408" s="9">
        <v>600</v>
      </c>
    </row>
    <row r="409" spans="1:9" x14ac:dyDescent="0.3">
      <c r="A409" s="8" t="s">
        <v>43</v>
      </c>
      <c r="B409" s="8" t="s">
        <v>44</v>
      </c>
      <c r="C409" s="8" t="s">
        <v>40</v>
      </c>
      <c r="D409" s="8">
        <v>40</v>
      </c>
      <c r="E409" s="8" t="s">
        <v>45</v>
      </c>
      <c r="F409" t="s">
        <v>42</v>
      </c>
      <c r="G409" s="8">
        <v>5000</v>
      </c>
      <c r="H409" s="7">
        <v>46304</v>
      </c>
      <c r="I409" s="9">
        <v>360</v>
      </c>
    </row>
    <row r="410" spans="1:9" x14ac:dyDescent="0.3">
      <c r="A410" s="8" t="s">
        <v>46</v>
      </c>
      <c r="B410" s="8" t="s">
        <v>47</v>
      </c>
      <c r="C410" s="8" t="s">
        <v>48</v>
      </c>
      <c r="D410" s="8">
        <v>30</v>
      </c>
      <c r="E410" s="8" t="s">
        <v>49</v>
      </c>
      <c r="F410" t="s">
        <v>50</v>
      </c>
      <c r="G410" s="8">
        <v>3000</v>
      </c>
      <c r="H410" s="7">
        <v>46304</v>
      </c>
      <c r="I410" s="9">
        <v>300</v>
      </c>
    </row>
    <row r="411" spans="1:9" x14ac:dyDescent="0.3">
      <c r="A411" s="8" t="s">
        <v>30</v>
      </c>
      <c r="B411" s="8" t="s">
        <v>31</v>
      </c>
      <c r="C411" s="8" t="s">
        <v>32</v>
      </c>
      <c r="D411" s="8">
        <v>105</v>
      </c>
      <c r="E411" s="8" t="s">
        <v>33</v>
      </c>
      <c r="F411" t="s">
        <v>34</v>
      </c>
      <c r="G411" s="9">
        <v>15000</v>
      </c>
      <c r="H411" s="7">
        <v>46311</v>
      </c>
      <c r="I411" s="9">
        <v>16017</v>
      </c>
    </row>
    <row r="412" spans="1:9" x14ac:dyDescent="0.3">
      <c r="A412" s="8" t="s">
        <v>35</v>
      </c>
      <c r="B412" s="8" t="s">
        <v>36</v>
      </c>
      <c r="C412" s="8" t="s">
        <v>32</v>
      </c>
      <c r="D412" s="8">
        <v>55</v>
      </c>
      <c r="E412" s="8" t="s">
        <v>37</v>
      </c>
      <c r="F412" t="s">
        <v>34</v>
      </c>
      <c r="G412" s="9">
        <v>15000</v>
      </c>
      <c r="H412" s="7">
        <v>46311</v>
      </c>
      <c r="I412" s="9">
        <v>3000</v>
      </c>
    </row>
    <row r="413" spans="1:9" x14ac:dyDescent="0.3">
      <c r="A413" s="8" t="s">
        <v>38</v>
      </c>
      <c r="B413" s="8" t="s">
        <v>39</v>
      </c>
      <c r="C413" s="8" t="s">
        <v>40</v>
      </c>
      <c r="D413" s="8">
        <v>80</v>
      </c>
      <c r="E413" s="8" t="s">
        <v>41</v>
      </c>
      <c r="F413" t="s">
        <v>42</v>
      </c>
      <c r="G413" s="8">
        <v>5000</v>
      </c>
      <c r="H413" s="7">
        <v>46311</v>
      </c>
      <c r="I413" s="9">
        <v>600</v>
      </c>
    </row>
    <row r="414" spans="1:9" x14ac:dyDescent="0.3">
      <c r="A414" s="8" t="s">
        <v>43</v>
      </c>
      <c r="B414" s="8" t="s">
        <v>44</v>
      </c>
      <c r="C414" s="8" t="s">
        <v>40</v>
      </c>
      <c r="D414" s="8">
        <v>40</v>
      </c>
      <c r="E414" s="8" t="s">
        <v>45</v>
      </c>
      <c r="F414" t="s">
        <v>42</v>
      </c>
      <c r="G414" s="8">
        <v>5000</v>
      </c>
      <c r="H414" s="7">
        <v>46311</v>
      </c>
      <c r="I414" s="9">
        <v>360</v>
      </c>
    </row>
    <row r="415" spans="1:9" x14ac:dyDescent="0.3">
      <c r="A415" s="8" t="s">
        <v>30</v>
      </c>
      <c r="B415" s="8" t="s">
        <v>31</v>
      </c>
      <c r="C415" s="8" t="s">
        <v>32</v>
      </c>
      <c r="D415" s="8">
        <v>105</v>
      </c>
      <c r="E415" s="8" t="s">
        <v>33</v>
      </c>
      <c r="F415" t="s">
        <v>34</v>
      </c>
      <c r="G415" s="9">
        <v>15000</v>
      </c>
      <c r="H415" s="7">
        <v>46318</v>
      </c>
      <c r="I415" s="9">
        <v>16017</v>
      </c>
    </row>
    <row r="416" spans="1:9" x14ac:dyDescent="0.3">
      <c r="A416" s="8" t="s">
        <v>35</v>
      </c>
      <c r="B416" s="8" t="s">
        <v>36</v>
      </c>
      <c r="C416" s="8" t="s">
        <v>32</v>
      </c>
      <c r="D416" s="8">
        <v>55</v>
      </c>
      <c r="E416" s="8" t="s">
        <v>37</v>
      </c>
      <c r="F416" t="s">
        <v>34</v>
      </c>
      <c r="G416" s="9">
        <v>15000</v>
      </c>
      <c r="H416" s="7">
        <v>46318</v>
      </c>
      <c r="I416" s="9">
        <v>3000</v>
      </c>
    </row>
    <row r="417" spans="1:9" x14ac:dyDescent="0.3">
      <c r="A417" s="8" t="s">
        <v>38</v>
      </c>
      <c r="B417" s="8" t="s">
        <v>39</v>
      </c>
      <c r="C417" s="8" t="s">
        <v>40</v>
      </c>
      <c r="D417" s="8">
        <v>80</v>
      </c>
      <c r="E417" s="8" t="s">
        <v>41</v>
      </c>
      <c r="F417" t="s">
        <v>42</v>
      </c>
      <c r="G417" s="8">
        <v>5000</v>
      </c>
      <c r="H417" s="7">
        <v>46318</v>
      </c>
      <c r="I417" s="9">
        <v>600</v>
      </c>
    </row>
    <row r="418" spans="1:9" x14ac:dyDescent="0.3">
      <c r="A418" s="8" t="s">
        <v>43</v>
      </c>
      <c r="B418" s="8" t="s">
        <v>44</v>
      </c>
      <c r="C418" s="8" t="s">
        <v>40</v>
      </c>
      <c r="D418" s="8">
        <v>40</v>
      </c>
      <c r="E418" s="8" t="s">
        <v>45</v>
      </c>
      <c r="F418" t="s">
        <v>42</v>
      </c>
      <c r="G418" s="8">
        <v>5000</v>
      </c>
      <c r="H418" s="7">
        <v>46318</v>
      </c>
      <c r="I418" s="9">
        <v>360</v>
      </c>
    </row>
    <row r="419" spans="1:9" x14ac:dyDescent="0.3">
      <c r="A419" s="8" t="s">
        <v>51</v>
      </c>
      <c r="B419" s="8" t="s">
        <v>52</v>
      </c>
      <c r="C419" s="8" t="s">
        <v>32</v>
      </c>
      <c r="D419" s="8">
        <v>90</v>
      </c>
      <c r="E419" s="8" t="s">
        <v>53</v>
      </c>
      <c r="F419" t="s">
        <v>50</v>
      </c>
      <c r="G419" s="8">
        <v>3000</v>
      </c>
      <c r="H419" s="7">
        <v>46318</v>
      </c>
      <c r="I419" s="9">
        <v>1448</v>
      </c>
    </row>
    <row r="420" spans="1:9" x14ac:dyDescent="0.3">
      <c r="A420" s="8" t="s">
        <v>30</v>
      </c>
      <c r="B420" s="8" t="s">
        <v>31</v>
      </c>
      <c r="C420" s="8" t="s">
        <v>32</v>
      </c>
      <c r="D420" s="8">
        <v>105</v>
      </c>
      <c r="E420" s="8" t="s">
        <v>33</v>
      </c>
      <c r="F420" t="s">
        <v>34</v>
      </c>
      <c r="G420" s="9">
        <v>15000</v>
      </c>
      <c r="H420" s="7">
        <v>46325</v>
      </c>
      <c r="I420" s="9">
        <v>16016</v>
      </c>
    </row>
    <row r="421" spans="1:9" x14ac:dyDescent="0.3">
      <c r="A421" s="8" t="s">
        <v>35</v>
      </c>
      <c r="B421" s="8" t="s">
        <v>36</v>
      </c>
      <c r="C421" s="8" t="s">
        <v>32</v>
      </c>
      <c r="D421" s="8">
        <v>55</v>
      </c>
      <c r="E421" s="8" t="s">
        <v>37</v>
      </c>
      <c r="F421" t="s">
        <v>34</v>
      </c>
      <c r="G421" s="9">
        <v>15000</v>
      </c>
      <c r="H421" s="7">
        <v>46325</v>
      </c>
      <c r="I421" s="9">
        <v>3000</v>
      </c>
    </row>
    <row r="422" spans="1:9" x14ac:dyDescent="0.3">
      <c r="A422" s="8" t="s">
        <v>38</v>
      </c>
      <c r="B422" s="8" t="s">
        <v>39</v>
      </c>
      <c r="C422" s="8" t="s">
        <v>40</v>
      </c>
      <c r="D422" s="8">
        <v>80</v>
      </c>
      <c r="E422" s="8" t="s">
        <v>41</v>
      </c>
      <c r="F422" t="s">
        <v>42</v>
      </c>
      <c r="G422" s="8">
        <v>5000</v>
      </c>
      <c r="H422" s="7">
        <v>46325</v>
      </c>
      <c r="I422" s="9">
        <v>600</v>
      </c>
    </row>
    <row r="423" spans="1:9" x14ac:dyDescent="0.3">
      <c r="A423" s="8" t="s">
        <v>43</v>
      </c>
      <c r="B423" s="8" t="s">
        <v>44</v>
      </c>
      <c r="C423" s="8" t="s">
        <v>40</v>
      </c>
      <c r="D423" s="8">
        <v>40</v>
      </c>
      <c r="E423" s="8" t="s">
        <v>45</v>
      </c>
      <c r="F423" t="s">
        <v>42</v>
      </c>
      <c r="G423" s="8">
        <v>5000</v>
      </c>
      <c r="H423" s="7">
        <v>46325</v>
      </c>
      <c r="I423" s="9">
        <v>360</v>
      </c>
    </row>
    <row r="424" spans="1:9" x14ac:dyDescent="0.3">
      <c r="A424" s="8" t="s">
        <v>51</v>
      </c>
      <c r="B424" s="8" t="s">
        <v>52</v>
      </c>
      <c r="C424" s="8" t="s">
        <v>32</v>
      </c>
      <c r="D424" s="8">
        <v>90</v>
      </c>
      <c r="E424" s="8" t="s">
        <v>53</v>
      </c>
      <c r="F424" t="s">
        <v>50</v>
      </c>
      <c r="G424" s="8">
        <v>3000</v>
      </c>
      <c r="H424" s="7">
        <v>46325</v>
      </c>
      <c r="I424" s="9">
        <v>1448</v>
      </c>
    </row>
    <row r="425" spans="1:9" x14ac:dyDescent="0.3">
      <c r="A425" s="8" t="s">
        <v>30</v>
      </c>
      <c r="B425" s="8" t="s">
        <v>31</v>
      </c>
      <c r="C425" s="8" t="s">
        <v>32</v>
      </c>
      <c r="D425" s="8">
        <v>105</v>
      </c>
      <c r="E425" s="8" t="s">
        <v>33</v>
      </c>
      <c r="F425" t="s">
        <v>34</v>
      </c>
      <c r="G425" s="9">
        <v>15000</v>
      </c>
      <c r="H425" s="7">
        <v>46332</v>
      </c>
      <c r="I425" s="9">
        <v>16017</v>
      </c>
    </row>
    <row r="426" spans="1:9" x14ac:dyDescent="0.3">
      <c r="A426" s="8" t="s">
        <v>35</v>
      </c>
      <c r="B426" s="8" t="s">
        <v>36</v>
      </c>
      <c r="C426" s="8" t="s">
        <v>32</v>
      </c>
      <c r="D426" s="8">
        <v>55</v>
      </c>
      <c r="E426" s="8" t="s">
        <v>37</v>
      </c>
      <c r="F426" t="s">
        <v>34</v>
      </c>
      <c r="G426" s="9">
        <v>15000</v>
      </c>
      <c r="H426" s="7">
        <v>46332</v>
      </c>
      <c r="I426" s="9">
        <v>6250</v>
      </c>
    </row>
    <row r="427" spans="1:9" x14ac:dyDescent="0.3">
      <c r="A427" s="8" t="s">
        <v>38</v>
      </c>
      <c r="B427" s="8" t="s">
        <v>39</v>
      </c>
      <c r="C427" s="8" t="s">
        <v>40</v>
      </c>
      <c r="D427" s="8">
        <v>80</v>
      </c>
      <c r="E427" s="8" t="s">
        <v>41</v>
      </c>
      <c r="F427" t="s">
        <v>42</v>
      </c>
      <c r="G427" s="8">
        <v>5000</v>
      </c>
      <c r="H427" s="7">
        <v>46332</v>
      </c>
      <c r="I427" s="9">
        <v>500</v>
      </c>
    </row>
    <row r="428" spans="1:9" x14ac:dyDescent="0.3">
      <c r="A428" s="8" t="s">
        <v>43</v>
      </c>
      <c r="B428" s="8" t="s">
        <v>44</v>
      </c>
      <c r="C428" s="8" t="s">
        <v>40</v>
      </c>
      <c r="D428" s="8">
        <v>40</v>
      </c>
      <c r="E428" s="8" t="s">
        <v>45</v>
      </c>
      <c r="F428" t="s">
        <v>42</v>
      </c>
      <c r="G428" s="8">
        <v>5000</v>
      </c>
      <c r="H428" s="7">
        <v>46332</v>
      </c>
      <c r="I428" s="9">
        <v>1000</v>
      </c>
    </row>
    <row r="429" spans="1:9" x14ac:dyDescent="0.3">
      <c r="A429" s="8" t="s">
        <v>51</v>
      </c>
      <c r="B429" s="8" t="s">
        <v>52</v>
      </c>
      <c r="C429" s="8" t="s">
        <v>32</v>
      </c>
      <c r="D429" s="8">
        <v>90</v>
      </c>
      <c r="E429" s="8" t="s">
        <v>53</v>
      </c>
      <c r="F429" t="s">
        <v>50</v>
      </c>
      <c r="G429" s="8">
        <v>3000</v>
      </c>
      <c r="H429" s="7">
        <v>46332</v>
      </c>
      <c r="I429" s="9">
        <v>1448</v>
      </c>
    </row>
    <row r="430" spans="1:9" x14ac:dyDescent="0.3">
      <c r="A430" s="8" t="s">
        <v>30</v>
      </c>
      <c r="B430" s="8" t="s">
        <v>31</v>
      </c>
      <c r="C430" s="8" t="s">
        <v>32</v>
      </c>
      <c r="D430" s="8">
        <v>105</v>
      </c>
      <c r="E430" s="8" t="s">
        <v>33</v>
      </c>
      <c r="F430" t="s">
        <v>34</v>
      </c>
      <c r="G430" s="9">
        <v>15000</v>
      </c>
      <c r="H430" s="7">
        <v>46339</v>
      </c>
      <c r="I430" s="9">
        <v>4281</v>
      </c>
    </row>
    <row r="431" spans="1:9" x14ac:dyDescent="0.3">
      <c r="A431" s="8" t="s">
        <v>35</v>
      </c>
      <c r="B431" s="8" t="s">
        <v>36</v>
      </c>
      <c r="C431" s="8" t="s">
        <v>32</v>
      </c>
      <c r="D431" s="8">
        <v>55</v>
      </c>
      <c r="E431" s="8" t="s">
        <v>37</v>
      </c>
      <c r="F431" t="s">
        <v>34</v>
      </c>
      <c r="G431" s="9">
        <v>15000</v>
      </c>
      <c r="H431" s="7">
        <v>46339</v>
      </c>
      <c r="I431" s="9">
        <v>6250</v>
      </c>
    </row>
    <row r="432" spans="1:9" x14ac:dyDescent="0.3">
      <c r="A432" s="8" t="s">
        <v>38</v>
      </c>
      <c r="B432" s="8" t="s">
        <v>39</v>
      </c>
      <c r="C432" s="8" t="s">
        <v>40</v>
      </c>
      <c r="D432" s="8">
        <v>80</v>
      </c>
      <c r="E432" s="8" t="s">
        <v>41</v>
      </c>
      <c r="F432" t="s">
        <v>42</v>
      </c>
      <c r="G432" s="8">
        <v>5000</v>
      </c>
      <c r="H432" s="7">
        <v>46339</v>
      </c>
      <c r="I432" s="9">
        <v>500</v>
      </c>
    </row>
    <row r="433" spans="1:9" x14ac:dyDescent="0.3">
      <c r="A433" s="8" t="s">
        <v>43</v>
      </c>
      <c r="B433" s="8" t="s">
        <v>44</v>
      </c>
      <c r="C433" s="8" t="s">
        <v>40</v>
      </c>
      <c r="D433" s="8">
        <v>40</v>
      </c>
      <c r="E433" s="8" t="s">
        <v>45</v>
      </c>
      <c r="F433" t="s">
        <v>42</v>
      </c>
      <c r="G433" s="8">
        <v>5000</v>
      </c>
      <c r="H433" s="7">
        <v>46339</v>
      </c>
      <c r="I433" s="9">
        <v>1000</v>
      </c>
    </row>
    <row r="434" spans="1:9" x14ac:dyDescent="0.3">
      <c r="A434" s="8" t="s">
        <v>46</v>
      </c>
      <c r="B434" s="8" t="s">
        <v>47</v>
      </c>
      <c r="C434" s="8" t="s">
        <v>48</v>
      </c>
      <c r="D434" s="8">
        <v>30</v>
      </c>
      <c r="E434" s="8" t="s">
        <v>49</v>
      </c>
      <c r="F434" t="s">
        <v>50</v>
      </c>
      <c r="G434" s="8">
        <v>3000</v>
      </c>
      <c r="H434" s="7">
        <v>46339</v>
      </c>
      <c r="I434" s="9">
        <v>300</v>
      </c>
    </row>
    <row r="435" spans="1:9" x14ac:dyDescent="0.3">
      <c r="A435" s="8" t="s">
        <v>51</v>
      </c>
      <c r="B435" s="8" t="s">
        <v>52</v>
      </c>
      <c r="C435" s="8" t="s">
        <v>32</v>
      </c>
      <c r="D435" s="8">
        <v>90</v>
      </c>
      <c r="E435" s="8" t="s">
        <v>53</v>
      </c>
      <c r="F435" t="s">
        <v>50</v>
      </c>
      <c r="G435" s="8">
        <v>3000</v>
      </c>
      <c r="H435" s="7">
        <v>46339</v>
      </c>
      <c r="I435" s="9">
        <v>1754</v>
      </c>
    </row>
    <row r="436" spans="1:9" x14ac:dyDescent="0.3">
      <c r="A436" s="8" t="s">
        <v>30</v>
      </c>
      <c r="B436" s="8" t="s">
        <v>31</v>
      </c>
      <c r="C436" s="8" t="s">
        <v>32</v>
      </c>
      <c r="D436" s="8">
        <v>105</v>
      </c>
      <c r="E436" s="8" t="s">
        <v>33</v>
      </c>
      <c r="F436" t="s">
        <v>34</v>
      </c>
      <c r="G436" s="9">
        <v>15000</v>
      </c>
      <c r="H436" s="7">
        <v>46346</v>
      </c>
      <c r="I436" s="9">
        <v>4282</v>
      </c>
    </row>
    <row r="437" spans="1:9" x14ac:dyDescent="0.3">
      <c r="A437" s="8" t="s">
        <v>35</v>
      </c>
      <c r="B437" s="8" t="s">
        <v>36</v>
      </c>
      <c r="C437" s="8" t="s">
        <v>32</v>
      </c>
      <c r="D437" s="8">
        <v>55</v>
      </c>
      <c r="E437" s="8" t="s">
        <v>37</v>
      </c>
      <c r="F437" t="s">
        <v>34</v>
      </c>
      <c r="G437" s="9">
        <v>15000</v>
      </c>
      <c r="H437" s="7">
        <v>46346</v>
      </c>
      <c r="I437" s="9">
        <v>6250</v>
      </c>
    </row>
    <row r="438" spans="1:9" x14ac:dyDescent="0.3">
      <c r="A438" s="8" t="s">
        <v>38</v>
      </c>
      <c r="B438" s="8" t="s">
        <v>39</v>
      </c>
      <c r="C438" s="8" t="s">
        <v>40</v>
      </c>
      <c r="D438" s="8">
        <v>80</v>
      </c>
      <c r="E438" s="8" t="s">
        <v>41</v>
      </c>
      <c r="F438" t="s">
        <v>42</v>
      </c>
      <c r="G438" s="8">
        <v>5000</v>
      </c>
      <c r="H438" s="7">
        <v>46346</v>
      </c>
      <c r="I438" s="9">
        <v>500</v>
      </c>
    </row>
    <row r="439" spans="1:9" x14ac:dyDescent="0.3">
      <c r="A439" s="8" t="s">
        <v>43</v>
      </c>
      <c r="B439" s="8" t="s">
        <v>44</v>
      </c>
      <c r="C439" s="8" t="s">
        <v>40</v>
      </c>
      <c r="D439" s="8">
        <v>40</v>
      </c>
      <c r="E439" s="8" t="s">
        <v>45</v>
      </c>
      <c r="F439" t="s">
        <v>42</v>
      </c>
      <c r="G439" s="8">
        <v>5000</v>
      </c>
      <c r="H439" s="7">
        <v>46346</v>
      </c>
      <c r="I439" s="9">
        <v>1000</v>
      </c>
    </row>
    <row r="440" spans="1:9" x14ac:dyDescent="0.3">
      <c r="A440" s="8" t="s">
        <v>51</v>
      </c>
      <c r="B440" s="8" t="s">
        <v>52</v>
      </c>
      <c r="C440" s="8" t="s">
        <v>32</v>
      </c>
      <c r="D440" s="8">
        <v>90</v>
      </c>
      <c r="E440" s="8" t="s">
        <v>53</v>
      </c>
      <c r="F440" t="s">
        <v>50</v>
      </c>
      <c r="G440" s="8">
        <v>3000</v>
      </c>
      <c r="H440" s="7">
        <v>46346</v>
      </c>
      <c r="I440" s="9">
        <v>1756</v>
      </c>
    </row>
    <row r="441" spans="1:9" x14ac:dyDescent="0.3">
      <c r="A441" s="8" t="s">
        <v>30</v>
      </c>
      <c r="B441" s="8" t="s">
        <v>31</v>
      </c>
      <c r="C441" s="8" t="s">
        <v>32</v>
      </c>
      <c r="D441" s="8">
        <v>105</v>
      </c>
      <c r="E441" s="8" t="s">
        <v>33</v>
      </c>
      <c r="F441" t="s">
        <v>34</v>
      </c>
      <c r="G441" s="9">
        <v>15000</v>
      </c>
      <c r="H441" s="7">
        <v>46353</v>
      </c>
      <c r="I441" s="9">
        <v>4281</v>
      </c>
    </row>
    <row r="442" spans="1:9" x14ac:dyDescent="0.3">
      <c r="A442" s="8" t="s">
        <v>35</v>
      </c>
      <c r="B442" s="8" t="s">
        <v>36</v>
      </c>
      <c r="C442" s="8" t="s">
        <v>32</v>
      </c>
      <c r="D442" s="8">
        <v>55</v>
      </c>
      <c r="E442" s="8" t="s">
        <v>37</v>
      </c>
      <c r="F442" t="s">
        <v>34</v>
      </c>
      <c r="G442" s="9">
        <v>15000</v>
      </c>
      <c r="H442" s="7">
        <v>46353</v>
      </c>
      <c r="I442" s="9">
        <v>6250</v>
      </c>
    </row>
    <row r="443" spans="1:9" x14ac:dyDescent="0.3">
      <c r="A443" s="8" t="s">
        <v>38</v>
      </c>
      <c r="B443" s="8" t="s">
        <v>39</v>
      </c>
      <c r="C443" s="8" t="s">
        <v>40</v>
      </c>
      <c r="D443" s="8">
        <v>80</v>
      </c>
      <c r="E443" s="8" t="s">
        <v>41</v>
      </c>
      <c r="F443" t="s">
        <v>42</v>
      </c>
      <c r="G443" s="8">
        <v>5000</v>
      </c>
      <c r="H443" s="7">
        <v>46353</v>
      </c>
      <c r="I443" s="9">
        <v>500</v>
      </c>
    </row>
    <row r="444" spans="1:9" x14ac:dyDescent="0.3">
      <c r="A444" s="8" t="s">
        <v>43</v>
      </c>
      <c r="B444" s="8" t="s">
        <v>44</v>
      </c>
      <c r="C444" s="8" t="s">
        <v>40</v>
      </c>
      <c r="D444" s="8">
        <v>40</v>
      </c>
      <c r="E444" s="8" t="s">
        <v>45</v>
      </c>
      <c r="F444" t="s">
        <v>42</v>
      </c>
      <c r="G444" s="8">
        <v>5000</v>
      </c>
      <c r="H444" s="7">
        <v>46353</v>
      </c>
      <c r="I444" s="9">
        <v>1000</v>
      </c>
    </row>
    <row r="445" spans="1:9" x14ac:dyDescent="0.3">
      <c r="A445" s="8" t="s">
        <v>51</v>
      </c>
      <c r="B445" s="8" t="s">
        <v>52</v>
      </c>
      <c r="C445" s="8" t="s">
        <v>32</v>
      </c>
      <c r="D445" s="8">
        <v>90</v>
      </c>
      <c r="E445" s="8" t="s">
        <v>53</v>
      </c>
      <c r="F445" t="s">
        <v>50</v>
      </c>
      <c r="G445" s="8">
        <v>3000</v>
      </c>
      <c r="H445" s="7">
        <v>46353</v>
      </c>
      <c r="I445" s="9">
        <v>1756</v>
      </c>
    </row>
    <row r="446" spans="1:9" x14ac:dyDescent="0.3">
      <c r="A446" s="8" t="s">
        <v>30</v>
      </c>
      <c r="B446" s="8" t="s">
        <v>31</v>
      </c>
      <c r="C446" s="8" t="s">
        <v>32</v>
      </c>
      <c r="D446" s="8">
        <v>105</v>
      </c>
      <c r="E446" s="8" t="s">
        <v>33</v>
      </c>
      <c r="F446" t="s">
        <v>34</v>
      </c>
      <c r="G446" s="9">
        <v>15000</v>
      </c>
      <c r="H446" s="7">
        <v>46360</v>
      </c>
      <c r="I446" s="9">
        <v>4282</v>
      </c>
    </row>
    <row r="447" spans="1:9" x14ac:dyDescent="0.3">
      <c r="A447" s="8" t="s">
        <v>35</v>
      </c>
      <c r="B447" s="8" t="s">
        <v>36</v>
      </c>
      <c r="C447" s="8" t="s">
        <v>32</v>
      </c>
      <c r="D447" s="8">
        <v>55</v>
      </c>
      <c r="E447" s="8" t="s">
        <v>37</v>
      </c>
      <c r="F447" t="s">
        <v>34</v>
      </c>
      <c r="G447" s="9">
        <v>15000</v>
      </c>
      <c r="H447" s="7">
        <v>46360</v>
      </c>
      <c r="I447" s="9">
        <v>6250</v>
      </c>
    </row>
    <row r="448" spans="1:9" x14ac:dyDescent="0.3">
      <c r="A448" s="8" t="s">
        <v>38</v>
      </c>
      <c r="B448" s="8" t="s">
        <v>39</v>
      </c>
      <c r="C448" s="8" t="s">
        <v>40</v>
      </c>
      <c r="D448" s="8">
        <v>80</v>
      </c>
      <c r="E448" s="8" t="s">
        <v>41</v>
      </c>
      <c r="F448" t="s">
        <v>42</v>
      </c>
      <c r="G448" s="8">
        <v>5000</v>
      </c>
      <c r="H448" s="7">
        <v>46360</v>
      </c>
      <c r="I448" s="9">
        <v>3000</v>
      </c>
    </row>
    <row r="449" spans="1:9" x14ac:dyDescent="0.3">
      <c r="A449" s="8" t="s">
        <v>43</v>
      </c>
      <c r="B449" s="8" t="s">
        <v>44</v>
      </c>
      <c r="C449" s="8" t="s">
        <v>40</v>
      </c>
      <c r="D449" s="8">
        <v>40</v>
      </c>
      <c r="E449" s="8" t="s">
        <v>45</v>
      </c>
      <c r="F449" t="s">
        <v>42</v>
      </c>
      <c r="G449" s="8">
        <v>5000</v>
      </c>
      <c r="H449" s="7">
        <v>46360</v>
      </c>
      <c r="I449" s="9">
        <v>1250</v>
      </c>
    </row>
    <row r="450" spans="1:9" x14ac:dyDescent="0.3">
      <c r="A450" s="8" t="s">
        <v>51</v>
      </c>
      <c r="B450" s="8" t="s">
        <v>52</v>
      </c>
      <c r="C450" s="8" t="s">
        <v>32</v>
      </c>
      <c r="D450" s="8">
        <v>90</v>
      </c>
      <c r="E450" s="8" t="s">
        <v>53</v>
      </c>
      <c r="F450" t="s">
        <v>50</v>
      </c>
      <c r="G450" s="8">
        <v>3000</v>
      </c>
      <c r="H450" s="7">
        <v>46360</v>
      </c>
      <c r="I450" s="9">
        <v>1756</v>
      </c>
    </row>
    <row r="451" spans="1:9" x14ac:dyDescent="0.3">
      <c r="A451" s="8" t="s">
        <v>30</v>
      </c>
      <c r="B451" s="8" t="s">
        <v>31</v>
      </c>
      <c r="C451" s="8" t="s">
        <v>32</v>
      </c>
      <c r="D451" s="8">
        <v>105</v>
      </c>
      <c r="E451" s="8" t="s">
        <v>33</v>
      </c>
      <c r="F451" t="s">
        <v>34</v>
      </c>
      <c r="G451" s="9">
        <v>15000</v>
      </c>
      <c r="H451" s="7">
        <v>46367</v>
      </c>
      <c r="I451" s="9">
        <v>4281</v>
      </c>
    </row>
    <row r="452" spans="1:9" x14ac:dyDescent="0.3">
      <c r="A452" s="8" t="s">
        <v>35</v>
      </c>
      <c r="B452" s="8" t="s">
        <v>36</v>
      </c>
      <c r="C452" s="8" t="s">
        <v>32</v>
      </c>
      <c r="D452" s="8">
        <v>55</v>
      </c>
      <c r="E452" s="8" t="s">
        <v>37</v>
      </c>
      <c r="F452" t="s">
        <v>34</v>
      </c>
      <c r="G452" s="9">
        <v>15000</v>
      </c>
      <c r="H452" s="7">
        <v>46367</v>
      </c>
      <c r="I452" s="9">
        <v>6250</v>
      </c>
    </row>
    <row r="453" spans="1:9" x14ac:dyDescent="0.3">
      <c r="A453" s="8" t="s">
        <v>38</v>
      </c>
      <c r="B453" s="8" t="s">
        <v>39</v>
      </c>
      <c r="C453" s="8" t="s">
        <v>40</v>
      </c>
      <c r="D453" s="8">
        <v>80</v>
      </c>
      <c r="E453" s="8" t="s">
        <v>41</v>
      </c>
      <c r="F453" t="s">
        <v>42</v>
      </c>
      <c r="G453" s="8">
        <v>5000</v>
      </c>
      <c r="H453" s="7">
        <v>46367</v>
      </c>
      <c r="I453" s="9">
        <v>3000</v>
      </c>
    </row>
    <row r="454" spans="1:9" x14ac:dyDescent="0.3">
      <c r="A454" s="8" t="s">
        <v>43</v>
      </c>
      <c r="B454" s="8" t="s">
        <v>44</v>
      </c>
      <c r="C454" s="8" t="s">
        <v>40</v>
      </c>
      <c r="D454" s="8">
        <v>40</v>
      </c>
      <c r="E454" s="8" t="s">
        <v>45</v>
      </c>
      <c r="F454" t="s">
        <v>42</v>
      </c>
      <c r="G454" s="8">
        <v>5000</v>
      </c>
      <c r="H454" s="7">
        <v>46367</v>
      </c>
      <c r="I454" s="9">
        <v>1250</v>
      </c>
    </row>
    <row r="455" spans="1:9" x14ac:dyDescent="0.3">
      <c r="A455" s="8" t="s">
        <v>46</v>
      </c>
      <c r="B455" s="8" t="s">
        <v>47</v>
      </c>
      <c r="C455" s="8" t="s">
        <v>48</v>
      </c>
      <c r="D455" s="8">
        <v>30</v>
      </c>
      <c r="E455" s="8" t="s">
        <v>49</v>
      </c>
      <c r="F455" t="s">
        <v>50</v>
      </c>
      <c r="G455" s="8">
        <v>3000</v>
      </c>
      <c r="H455" s="7">
        <v>46367</v>
      </c>
      <c r="I455" s="9">
        <v>300</v>
      </c>
    </row>
    <row r="456" spans="1:9" x14ac:dyDescent="0.3">
      <c r="A456" s="8" t="s">
        <v>51</v>
      </c>
      <c r="B456" s="8" t="s">
        <v>52</v>
      </c>
      <c r="C456" s="8" t="s">
        <v>32</v>
      </c>
      <c r="D456" s="8">
        <v>90</v>
      </c>
      <c r="E456" s="8" t="s">
        <v>53</v>
      </c>
      <c r="F456" t="s">
        <v>50</v>
      </c>
      <c r="G456" s="8">
        <v>3000</v>
      </c>
      <c r="H456" s="7">
        <v>46367</v>
      </c>
      <c r="I456" s="9">
        <v>1928</v>
      </c>
    </row>
    <row r="457" spans="1:9" x14ac:dyDescent="0.3">
      <c r="A457" s="8" t="s">
        <v>30</v>
      </c>
      <c r="B457" s="8" t="s">
        <v>31</v>
      </c>
      <c r="C457" s="8" t="s">
        <v>32</v>
      </c>
      <c r="D457" s="8">
        <v>105</v>
      </c>
      <c r="E457" s="8" t="s">
        <v>33</v>
      </c>
      <c r="F457" t="s">
        <v>34</v>
      </c>
      <c r="G457" s="9">
        <v>15000</v>
      </c>
      <c r="H457" s="7">
        <v>46374</v>
      </c>
      <c r="I457" s="9">
        <v>8326</v>
      </c>
    </row>
    <row r="458" spans="1:9" x14ac:dyDescent="0.3">
      <c r="A458" s="8" t="s">
        <v>35</v>
      </c>
      <c r="B458" s="8" t="s">
        <v>36</v>
      </c>
      <c r="C458" s="8" t="s">
        <v>32</v>
      </c>
      <c r="D458" s="8">
        <v>55</v>
      </c>
      <c r="E458" s="8" t="s">
        <v>37</v>
      </c>
      <c r="F458" t="s">
        <v>34</v>
      </c>
      <c r="G458" s="9">
        <v>15000</v>
      </c>
      <c r="H458" s="7">
        <v>46374</v>
      </c>
      <c r="I458" s="9">
        <v>6250</v>
      </c>
    </row>
    <row r="459" spans="1:9" x14ac:dyDescent="0.3">
      <c r="A459" s="8" t="s">
        <v>38</v>
      </c>
      <c r="B459" s="8" t="s">
        <v>39</v>
      </c>
      <c r="C459" s="8" t="s">
        <v>40</v>
      </c>
      <c r="D459" s="8">
        <v>80</v>
      </c>
      <c r="E459" s="8" t="s">
        <v>41</v>
      </c>
      <c r="F459" t="s">
        <v>42</v>
      </c>
      <c r="G459" s="8">
        <v>5000</v>
      </c>
      <c r="H459" s="7">
        <v>46374</v>
      </c>
      <c r="I459" s="9">
        <v>3000</v>
      </c>
    </row>
    <row r="460" spans="1:9" x14ac:dyDescent="0.3">
      <c r="A460" s="8" t="s">
        <v>43</v>
      </c>
      <c r="B460" s="8" t="s">
        <v>44</v>
      </c>
      <c r="C460" s="8" t="s">
        <v>40</v>
      </c>
      <c r="D460" s="8">
        <v>40</v>
      </c>
      <c r="E460" s="8" t="s">
        <v>45</v>
      </c>
      <c r="F460" t="s">
        <v>42</v>
      </c>
      <c r="G460" s="8">
        <v>5000</v>
      </c>
      <c r="H460" s="7">
        <v>46374</v>
      </c>
      <c r="I460" s="9">
        <v>1250</v>
      </c>
    </row>
    <row r="461" spans="1:9" x14ac:dyDescent="0.3">
      <c r="A461" s="8" t="s">
        <v>51</v>
      </c>
      <c r="B461" s="8" t="s">
        <v>52</v>
      </c>
      <c r="C461" s="8" t="s">
        <v>32</v>
      </c>
      <c r="D461" s="8">
        <v>90</v>
      </c>
      <c r="E461" s="8" t="s">
        <v>53</v>
      </c>
      <c r="F461" t="s">
        <v>50</v>
      </c>
      <c r="G461" s="8">
        <v>3000</v>
      </c>
      <c r="H461" s="7">
        <v>46374</v>
      </c>
      <c r="I461" s="9">
        <v>1930</v>
      </c>
    </row>
    <row r="462" spans="1:9" x14ac:dyDescent="0.3">
      <c r="A462" s="8" t="s">
        <v>30</v>
      </c>
      <c r="B462" s="8" t="s">
        <v>31</v>
      </c>
      <c r="C462" s="8" t="s">
        <v>32</v>
      </c>
      <c r="D462" s="8">
        <v>105</v>
      </c>
      <c r="E462" s="8" t="s">
        <v>33</v>
      </c>
      <c r="F462" t="s">
        <v>34</v>
      </c>
      <c r="G462" s="9">
        <v>15000</v>
      </c>
      <c r="H462" s="7">
        <v>46381</v>
      </c>
      <c r="I462" s="9">
        <v>8325</v>
      </c>
    </row>
    <row r="463" spans="1:9" x14ac:dyDescent="0.3">
      <c r="A463" s="8" t="s">
        <v>35</v>
      </c>
      <c r="B463" s="8" t="s">
        <v>36</v>
      </c>
      <c r="C463" s="8" t="s">
        <v>32</v>
      </c>
      <c r="D463" s="8">
        <v>55</v>
      </c>
      <c r="E463" s="8" t="s">
        <v>37</v>
      </c>
      <c r="F463" t="s">
        <v>34</v>
      </c>
      <c r="G463" s="9">
        <v>15000</v>
      </c>
      <c r="H463" s="7">
        <v>46381</v>
      </c>
      <c r="I463" s="9">
        <v>6250</v>
      </c>
    </row>
    <row r="464" spans="1:9" x14ac:dyDescent="0.3">
      <c r="A464" s="8" t="s">
        <v>38</v>
      </c>
      <c r="B464" s="8" t="s">
        <v>39</v>
      </c>
      <c r="C464" s="8" t="s">
        <v>40</v>
      </c>
      <c r="D464" s="8">
        <v>80</v>
      </c>
      <c r="E464" s="8" t="s">
        <v>41</v>
      </c>
      <c r="F464" t="s">
        <v>42</v>
      </c>
      <c r="G464" s="8">
        <v>5000</v>
      </c>
      <c r="H464" s="7">
        <v>46381</v>
      </c>
      <c r="I464" s="9">
        <v>3000</v>
      </c>
    </row>
    <row r="465" spans="1:9" x14ac:dyDescent="0.3">
      <c r="A465" s="8" t="s">
        <v>43</v>
      </c>
      <c r="B465" s="8" t="s">
        <v>44</v>
      </c>
      <c r="C465" s="8" t="s">
        <v>40</v>
      </c>
      <c r="D465" s="8">
        <v>40</v>
      </c>
      <c r="E465" s="8" t="s">
        <v>45</v>
      </c>
      <c r="F465" t="s">
        <v>42</v>
      </c>
      <c r="G465" s="8">
        <v>5000</v>
      </c>
      <c r="H465" s="7">
        <v>46381</v>
      </c>
      <c r="I465" s="9">
        <v>1250</v>
      </c>
    </row>
    <row r="466" spans="1:9" x14ac:dyDescent="0.3">
      <c r="A466" s="8" t="s">
        <v>51</v>
      </c>
      <c r="B466" s="8" t="s">
        <v>52</v>
      </c>
      <c r="C466" s="8" t="s">
        <v>32</v>
      </c>
      <c r="D466" s="8">
        <v>90</v>
      </c>
      <c r="E466" s="8" t="s">
        <v>53</v>
      </c>
      <c r="F466" t="s">
        <v>50</v>
      </c>
      <c r="G466" s="8">
        <v>3000</v>
      </c>
      <c r="H466" s="12">
        <v>46381</v>
      </c>
      <c r="I466" s="13">
        <v>1928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AA6AE-C35D-4B91-927F-F03E9384D6A1}">
  <dimension ref="A1:M466"/>
  <sheetViews>
    <sheetView zoomScale="76" workbookViewId="0">
      <selection activeCell="L2" sqref="L2"/>
    </sheetView>
  </sheetViews>
  <sheetFormatPr defaultRowHeight="14.4" x14ac:dyDescent="0.3"/>
  <cols>
    <col min="1" max="1" width="17.21875" bestFit="1" customWidth="1"/>
    <col min="2" max="2" width="28.77734375" hidden="1" customWidth="1"/>
    <col min="3" max="3" width="13.88671875" hidden="1" customWidth="1"/>
    <col min="4" max="4" width="15.33203125" hidden="1" customWidth="1"/>
    <col min="5" max="5" width="29.88671875" hidden="1" customWidth="1"/>
    <col min="6" max="6" width="13.44140625" customWidth="1"/>
    <col min="7" max="7" width="23.6640625" bestFit="1" customWidth="1"/>
    <col min="8" max="8" width="27" customWidth="1"/>
    <col min="9" max="9" width="25.77734375" customWidth="1"/>
    <col min="10" max="11" width="25.77734375" style="31" customWidth="1"/>
    <col min="12" max="12" width="30.21875" bestFit="1" customWidth="1"/>
    <col min="13" max="13" width="9.88671875" bestFit="1" customWidth="1"/>
  </cols>
  <sheetData>
    <row r="1" spans="1:13" x14ac:dyDescent="0.3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32" t="s">
        <v>119</v>
      </c>
      <c r="K1" s="32" t="s">
        <v>120</v>
      </c>
      <c r="L1" s="30" t="s">
        <v>118</v>
      </c>
      <c r="M1" s="31">
        <v>46139</v>
      </c>
    </row>
    <row r="2" spans="1:13" x14ac:dyDescent="0.3">
      <c r="A2" s="8" t="s">
        <v>30</v>
      </c>
      <c r="B2" s="8" t="s">
        <v>31</v>
      </c>
      <c r="C2" s="8" t="s">
        <v>32</v>
      </c>
      <c r="D2" s="8">
        <v>105</v>
      </c>
      <c r="E2" s="8" t="s">
        <v>33</v>
      </c>
      <c r="F2" t="s">
        <v>34</v>
      </c>
      <c r="G2" s="9">
        <v>15000</v>
      </c>
      <c r="H2" s="10">
        <v>46150</v>
      </c>
      <c r="I2" s="11">
        <v>684</v>
      </c>
      <c r="J2" s="31">
        <f t="shared" ref="J2:J65" si="0">$M$1+7*INT((H2-$M$1)/7)</f>
        <v>46146</v>
      </c>
      <c r="K2" s="31">
        <f>Table14[[#This Row],[week first day]]-7</f>
        <v>46139</v>
      </c>
      <c r="L2">
        <f>SUMIFS($I:$I,$A:$A,A2,J:J,J2)</f>
        <v>684</v>
      </c>
    </row>
    <row r="3" spans="1:13" x14ac:dyDescent="0.3">
      <c r="A3" s="8" t="s">
        <v>30</v>
      </c>
      <c r="B3" s="8" t="s">
        <v>31</v>
      </c>
      <c r="C3" s="8" t="s">
        <v>32</v>
      </c>
      <c r="D3" s="8">
        <v>105</v>
      </c>
      <c r="E3" s="8" t="s">
        <v>33</v>
      </c>
      <c r="F3" t="s">
        <v>34</v>
      </c>
      <c r="G3" s="9">
        <v>15000</v>
      </c>
      <c r="H3" s="7">
        <v>46157</v>
      </c>
      <c r="I3" s="9">
        <v>20000</v>
      </c>
      <c r="J3" s="31">
        <f t="shared" si="0"/>
        <v>46153</v>
      </c>
      <c r="K3" s="31">
        <f>Table14[[#This Row],[week first day]]-7</f>
        <v>46146</v>
      </c>
      <c r="L3">
        <f t="shared" ref="L3:L66" si="1">SUMIFS($I:$I,$A:$A,A3,J:J,J3)</f>
        <v>20000</v>
      </c>
    </row>
    <row r="4" spans="1:13" x14ac:dyDescent="0.3">
      <c r="A4" s="8" t="s">
        <v>30</v>
      </c>
      <c r="B4" s="8" t="s">
        <v>31</v>
      </c>
      <c r="C4" s="8" t="s">
        <v>32</v>
      </c>
      <c r="D4" s="8">
        <v>105</v>
      </c>
      <c r="E4" s="8" t="s">
        <v>33</v>
      </c>
      <c r="F4" t="s">
        <v>34</v>
      </c>
      <c r="G4" s="9">
        <v>15000</v>
      </c>
      <c r="H4" s="7">
        <v>46164</v>
      </c>
      <c r="I4" s="9">
        <v>15000</v>
      </c>
      <c r="J4" s="31">
        <f t="shared" si="0"/>
        <v>46160</v>
      </c>
      <c r="K4" s="31">
        <f>Table14[[#This Row],[week first day]]-7</f>
        <v>46153</v>
      </c>
      <c r="L4">
        <f t="shared" si="1"/>
        <v>20000</v>
      </c>
    </row>
    <row r="5" spans="1:13" x14ac:dyDescent="0.3">
      <c r="A5" s="8" t="s">
        <v>30</v>
      </c>
      <c r="B5" s="8" t="s">
        <v>31</v>
      </c>
      <c r="C5" s="8" t="s">
        <v>32</v>
      </c>
      <c r="D5" s="8">
        <v>105</v>
      </c>
      <c r="E5" s="8" t="s">
        <v>33</v>
      </c>
      <c r="F5" t="s">
        <v>34</v>
      </c>
      <c r="G5" s="9">
        <v>15000</v>
      </c>
      <c r="H5" s="7">
        <v>46164</v>
      </c>
      <c r="I5" s="9">
        <v>5000</v>
      </c>
      <c r="J5" s="31">
        <f t="shared" si="0"/>
        <v>46160</v>
      </c>
      <c r="K5" s="31">
        <f>Table14[[#This Row],[week first day]]-7</f>
        <v>46153</v>
      </c>
      <c r="L5">
        <f t="shared" si="1"/>
        <v>20000</v>
      </c>
    </row>
    <row r="6" spans="1:13" x14ac:dyDescent="0.3">
      <c r="A6" s="8" t="s">
        <v>30</v>
      </c>
      <c r="B6" s="8" t="s">
        <v>31</v>
      </c>
      <c r="C6" s="8" t="s">
        <v>32</v>
      </c>
      <c r="D6" s="8">
        <v>105</v>
      </c>
      <c r="E6" s="8" t="s">
        <v>33</v>
      </c>
      <c r="F6" t="s">
        <v>34</v>
      </c>
      <c r="G6" s="9">
        <v>15000</v>
      </c>
      <c r="H6" s="7">
        <v>46171</v>
      </c>
      <c r="I6" s="9">
        <v>11000</v>
      </c>
      <c r="J6" s="31">
        <f t="shared" si="0"/>
        <v>46167</v>
      </c>
      <c r="K6" s="31">
        <f>Table14[[#This Row],[week first day]]-7</f>
        <v>46160</v>
      </c>
      <c r="L6">
        <f t="shared" si="1"/>
        <v>11000</v>
      </c>
    </row>
    <row r="7" spans="1:13" x14ac:dyDescent="0.3">
      <c r="A7" s="8" t="s">
        <v>30</v>
      </c>
      <c r="B7" s="8" t="s">
        <v>31</v>
      </c>
      <c r="C7" s="8" t="s">
        <v>32</v>
      </c>
      <c r="D7" s="8">
        <v>105</v>
      </c>
      <c r="E7" s="8" t="s">
        <v>33</v>
      </c>
      <c r="F7" t="s">
        <v>34</v>
      </c>
      <c r="G7" s="9">
        <v>15000</v>
      </c>
      <c r="H7" s="7">
        <v>46178</v>
      </c>
      <c r="I7" s="9">
        <v>13000</v>
      </c>
      <c r="J7" s="31">
        <f t="shared" si="0"/>
        <v>46174</v>
      </c>
      <c r="K7" s="31">
        <f>Table14[[#This Row],[week first day]]-7</f>
        <v>46167</v>
      </c>
      <c r="L7">
        <f t="shared" si="1"/>
        <v>13000</v>
      </c>
    </row>
    <row r="8" spans="1:13" x14ac:dyDescent="0.3">
      <c r="A8" s="8" t="s">
        <v>30</v>
      </c>
      <c r="B8" s="8" t="s">
        <v>31</v>
      </c>
      <c r="C8" s="8" t="s">
        <v>32</v>
      </c>
      <c r="D8" s="8">
        <v>105</v>
      </c>
      <c r="E8" s="8" t="s">
        <v>33</v>
      </c>
      <c r="F8" t="s">
        <v>34</v>
      </c>
      <c r="G8" s="9">
        <v>15000</v>
      </c>
      <c r="H8" s="7">
        <v>46185</v>
      </c>
      <c r="I8" s="9">
        <v>13773</v>
      </c>
      <c r="J8" s="31">
        <f t="shared" si="0"/>
        <v>46181</v>
      </c>
      <c r="K8" s="31">
        <f>Table14[[#This Row],[week first day]]-7</f>
        <v>46174</v>
      </c>
      <c r="L8">
        <f t="shared" si="1"/>
        <v>13773</v>
      </c>
    </row>
    <row r="9" spans="1:13" x14ac:dyDescent="0.3">
      <c r="A9" s="8" t="s">
        <v>30</v>
      </c>
      <c r="B9" s="8" t="s">
        <v>31</v>
      </c>
      <c r="C9" s="8" t="s">
        <v>32</v>
      </c>
      <c r="D9" s="8">
        <v>105</v>
      </c>
      <c r="E9" s="8" t="s">
        <v>33</v>
      </c>
      <c r="F9" t="s">
        <v>34</v>
      </c>
      <c r="G9" s="9">
        <v>15000</v>
      </c>
      <c r="H9" s="7">
        <v>46192</v>
      </c>
      <c r="I9" s="9">
        <v>7058</v>
      </c>
      <c r="J9" s="31">
        <f t="shared" si="0"/>
        <v>46188</v>
      </c>
      <c r="K9" s="31">
        <f>Table14[[#This Row],[week first day]]-7</f>
        <v>46181</v>
      </c>
      <c r="L9">
        <f t="shared" si="1"/>
        <v>7058</v>
      </c>
    </row>
    <row r="10" spans="1:13" x14ac:dyDescent="0.3">
      <c r="A10" s="8" t="s">
        <v>30</v>
      </c>
      <c r="B10" s="8" t="s">
        <v>31</v>
      </c>
      <c r="C10" s="8" t="s">
        <v>32</v>
      </c>
      <c r="D10" s="8">
        <v>105</v>
      </c>
      <c r="E10" s="8" t="s">
        <v>33</v>
      </c>
      <c r="F10" t="s">
        <v>34</v>
      </c>
      <c r="G10" s="9">
        <v>15000</v>
      </c>
      <c r="H10" s="7">
        <v>46199</v>
      </c>
      <c r="I10" s="9">
        <v>2040</v>
      </c>
      <c r="J10" s="31">
        <f t="shared" si="0"/>
        <v>46195</v>
      </c>
      <c r="K10" s="31">
        <f>Table14[[#This Row],[week first day]]-7</f>
        <v>46188</v>
      </c>
      <c r="L10">
        <f t="shared" si="1"/>
        <v>2040</v>
      </c>
    </row>
    <row r="11" spans="1:13" x14ac:dyDescent="0.3">
      <c r="A11" s="8" t="s">
        <v>30</v>
      </c>
      <c r="B11" s="8" t="s">
        <v>31</v>
      </c>
      <c r="C11" s="8" t="s">
        <v>32</v>
      </c>
      <c r="D11" s="8">
        <v>105</v>
      </c>
      <c r="E11" s="8" t="s">
        <v>33</v>
      </c>
      <c r="F11" t="s">
        <v>34</v>
      </c>
      <c r="G11" s="9">
        <v>15000</v>
      </c>
      <c r="H11" s="7">
        <v>46206</v>
      </c>
      <c r="I11" s="9">
        <v>1500</v>
      </c>
      <c r="J11" s="31">
        <f t="shared" si="0"/>
        <v>46202</v>
      </c>
      <c r="K11" s="31">
        <f>Table14[[#This Row],[week first day]]-7</f>
        <v>46195</v>
      </c>
      <c r="L11">
        <f t="shared" si="1"/>
        <v>3541</v>
      </c>
    </row>
    <row r="12" spans="1:13" x14ac:dyDescent="0.3">
      <c r="A12" s="8" t="s">
        <v>30</v>
      </c>
      <c r="B12" s="8" t="s">
        <v>31</v>
      </c>
      <c r="C12" s="8" t="s">
        <v>32</v>
      </c>
      <c r="D12" s="8">
        <v>105</v>
      </c>
      <c r="E12" s="8" t="s">
        <v>33</v>
      </c>
      <c r="F12" t="s">
        <v>34</v>
      </c>
      <c r="G12" s="9">
        <v>15000</v>
      </c>
      <c r="H12" s="7">
        <v>46206</v>
      </c>
      <c r="I12" s="9">
        <v>2041</v>
      </c>
      <c r="J12" s="31">
        <f t="shared" si="0"/>
        <v>46202</v>
      </c>
      <c r="K12" s="31">
        <f>Table14[[#This Row],[week first day]]-7</f>
        <v>46195</v>
      </c>
      <c r="L12">
        <f t="shared" si="1"/>
        <v>3541</v>
      </c>
    </row>
    <row r="13" spans="1:13" x14ac:dyDescent="0.3">
      <c r="A13" s="8" t="s">
        <v>30</v>
      </c>
      <c r="B13" s="8" t="s">
        <v>31</v>
      </c>
      <c r="C13" s="8" t="s">
        <v>32</v>
      </c>
      <c r="D13" s="8">
        <v>105</v>
      </c>
      <c r="E13" s="8" t="s">
        <v>33</v>
      </c>
      <c r="F13" t="s">
        <v>34</v>
      </c>
      <c r="G13" s="9">
        <v>15000</v>
      </c>
      <c r="H13" s="7">
        <v>46213</v>
      </c>
      <c r="I13" s="9">
        <v>2041</v>
      </c>
      <c r="J13" s="31">
        <f t="shared" si="0"/>
        <v>46209</v>
      </c>
      <c r="K13" s="31">
        <f>Table14[[#This Row],[week first day]]-7</f>
        <v>46202</v>
      </c>
      <c r="L13">
        <f t="shared" si="1"/>
        <v>12041</v>
      </c>
    </row>
    <row r="14" spans="1:13" x14ac:dyDescent="0.3">
      <c r="A14" s="8" t="s">
        <v>30</v>
      </c>
      <c r="B14" s="8" t="s">
        <v>31</v>
      </c>
      <c r="C14" s="8" t="s">
        <v>32</v>
      </c>
      <c r="D14" s="8">
        <v>105</v>
      </c>
      <c r="E14" s="8" t="s">
        <v>33</v>
      </c>
      <c r="F14" t="s">
        <v>34</v>
      </c>
      <c r="G14" s="9">
        <v>15000</v>
      </c>
      <c r="H14" s="7">
        <v>46213</v>
      </c>
      <c r="I14" s="9">
        <v>10000</v>
      </c>
      <c r="J14" s="31">
        <f t="shared" si="0"/>
        <v>46209</v>
      </c>
      <c r="K14" s="31">
        <f>Table14[[#This Row],[week first day]]-7</f>
        <v>46202</v>
      </c>
      <c r="L14">
        <f t="shared" si="1"/>
        <v>12041</v>
      </c>
    </row>
    <row r="15" spans="1:13" x14ac:dyDescent="0.3">
      <c r="A15" s="8" t="s">
        <v>30</v>
      </c>
      <c r="B15" s="8" t="s">
        <v>31</v>
      </c>
      <c r="C15" s="8" t="s">
        <v>32</v>
      </c>
      <c r="D15" s="8">
        <v>105</v>
      </c>
      <c r="E15" s="8" t="s">
        <v>33</v>
      </c>
      <c r="F15" t="s">
        <v>34</v>
      </c>
      <c r="G15" s="9">
        <v>15000</v>
      </c>
      <c r="H15" s="7">
        <v>46220</v>
      </c>
      <c r="I15" s="9">
        <v>2040</v>
      </c>
      <c r="J15" s="31">
        <f t="shared" si="0"/>
        <v>46216</v>
      </c>
      <c r="K15" s="31">
        <f>Table14[[#This Row],[week first day]]-7</f>
        <v>46209</v>
      </c>
      <c r="L15">
        <f t="shared" si="1"/>
        <v>12040</v>
      </c>
    </row>
    <row r="16" spans="1:13" x14ac:dyDescent="0.3">
      <c r="A16" s="8" t="s">
        <v>30</v>
      </c>
      <c r="B16" s="8" t="s">
        <v>31</v>
      </c>
      <c r="C16" s="8" t="s">
        <v>32</v>
      </c>
      <c r="D16" s="8">
        <v>105</v>
      </c>
      <c r="E16" s="8" t="s">
        <v>33</v>
      </c>
      <c r="F16" t="s">
        <v>34</v>
      </c>
      <c r="G16" s="9">
        <v>15000</v>
      </c>
      <c r="H16" s="7">
        <v>46220</v>
      </c>
      <c r="I16" s="9">
        <v>10000</v>
      </c>
      <c r="J16" s="31">
        <f t="shared" si="0"/>
        <v>46216</v>
      </c>
      <c r="K16" s="31">
        <f>Table14[[#This Row],[week first day]]-7</f>
        <v>46209</v>
      </c>
      <c r="L16">
        <f t="shared" si="1"/>
        <v>12040</v>
      </c>
    </row>
    <row r="17" spans="1:12" x14ac:dyDescent="0.3">
      <c r="A17" s="8" t="s">
        <v>30</v>
      </c>
      <c r="B17" s="8" t="s">
        <v>31</v>
      </c>
      <c r="C17" s="8" t="s">
        <v>32</v>
      </c>
      <c r="D17" s="8">
        <v>105</v>
      </c>
      <c r="E17" s="8" t="s">
        <v>33</v>
      </c>
      <c r="F17" t="s">
        <v>34</v>
      </c>
      <c r="G17" s="9">
        <v>15000</v>
      </c>
      <c r="H17" s="7">
        <v>46241</v>
      </c>
      <c r="I17" s="9">
        <v>15023</v>
      </c>
      <c r="J17" s="31">
        <f t="shared" si="0"/>
        <v>46237</v>
      </c>
      <c r="K17" s="31">
        <f>Table14[[#This Row],[week first day]]-7</f>
        <v>46230</v>
      </c>
      <c r="L17">
        <f t="shared" si="1"/>
        <v>27760</v>
      </c>
    </row>
    <row r="18" spans="1:12" x14ac:dyDescent="0.3">
      <c r="A18" s="8" t="s">
        <v>30</v>
      </c>
      <c r="B18" s="8" t="s">
        <v>31</v>
      </c>
      <c r="C18" s="8" t="s">
        <v>32</v>
      </c>
      <c r="D18" s="8">
        <v>105</v>
      </c>
      <c r="E18" s="8" t="s">
        <v>33</v>
      </c>
      <c r="F18" t="s">
        <v>34</v>
      </c>
      <c r="G18" s="9">
        <v>15000</v>
      </c>
      <c r="H18" s="7">
        <v>46241</v>
      </c>
      <c r="I18" s="9">
        <v>1737</v>
      </c>
      <c r="J18" s="31">
        <f t="shared" si="0"/>
        <v>46237</v>
      </c>
      <c r="K18" s="31">
        <f>Table14[[#This Row],[week first day]]-7</f>
        <v>46230</v>
      </c>
      <c r="L18">
        <f t="shared" si="1"/>
        <v>27760</v>
      </c>
    </row>
    <row r="19" spans="1:12" x14ac:dyDescent="0.3">
      <c r="A19" s="8" t="s">
        <v>30</v>
      </c>
      <c r="B19" s="8" t="s">
        <v>31</v>
      </c>
      <c r="C19" s="8" t="s">
        <v>32</v>
      </c>
      <c r="D19" s="8">
        <v>105</v>
      </c>
      <c r="E19" s="8" t="s">
        <v>33</v>
      </c>
      <c r="F19" t="s">
        <v>34</v>
      </c>
      <c r="G19" s="9">
        <v>15000</v>
      </c>
      <c r="H19" s="7">
        <v>46241</v>
      </c>
      <c r="I19" s="9">
        <v>11000</v>
      </c>
      <c r="J19" s="31">
        <f t="shared" si="0"/>
        <v>46237</v>
      </c>
      <c r="K19" s="31">
        <f>Table14[[#This Row],[week first day]]-7</f>
        <v>46230</v>
      </c>
      <c r="L19">
        <f t="shared" si="1"/>
        <v>27760</v>
      </c>
    </row>
    <row r="20" spans="1:12" x14ac:dyDescent="0.3">
      <c r="A20" s="8" t="s">
        <v>30</v>
      </c>
      <c r="B20" s="8" t="s">
        <v>31</v>
      </c>
      <c r="C20" s="8" t="s">
        <v>32</v>
      </c>
      <c r="D20" s="8">
        <v>105</v>
      </c>
      <c r="E20" s="8" t="s">
        <v>33</v>
      </c>
      <c r="F20" t="s">
        <v>34</v>
      </c>
      <c r="G20" s="9">
        <v>15000</v>
      </c>
      <c r="H20" s="7">
        <v>46248</v>
      </c>
      <c r="I20" s="9">
        <v>5629</v>
      </c>
      <c r="J20" s="31">
        <f t="shared" si="0"/>
        <v>46244</v>
      </c>
      <c r="K20" s="31">
        <f>Table14[[#This Row],[week first day]]-7</f>
        <v>46237</v>
      </c>
      <c r="L20">
        <f t="shared" si="1"/>
        <v>26486</v>
      </c>
    </row>
    <row r="21" spans="1:12" x14ac:dyDescent="0.3">
      <c r="A21" s="8" t="s">
        <v>30</v>
      </c>
      <c r="B21" s="8" t="s">
        <v>31</v>
      </c>
      <c r="C21" s="8" t="s">
        <v>32</v>
      </c>
      <c r="D21" s="8">
        <v>105</v>
      </c>
      <c r="E21" s="8" t="s">
        <v>33</v>
      </c>
      <c r="F21" t="s">
        <v>34</v>
      </c>
      <c r="G21" s="9">
        <v>15000</v>
      </c>
      <c r="H21" s="7">
        <v>46248</v>
      </c>
      <c r="I21" s="9">
        <v>1857</v>
      </c>
      <c r="J21" s="31">
        <f t="shared" si="0"/>
        <v>46244</v>
      </c>
      <c r="K21" s="31">
        <f>Table14[[#This Row],[week first day]]-7</f>
        <v>46237</v>
      </c>
      <c r="L21">
        <f t="shared" si="1"/>
        <v>26486</v>
      </c>
    </row>
    <row r="22" spans="1:12" x14ac:dyDescent="0.3">
      <c r="A22" s="8" t="s">
        <v>30</v>
      </c>
      <c r="B22" s="8" t="s">
        <v>31</v>
      </c>
      <c r="C22" s="8" t="s">
        <v>32</v>
      </c>
      <c r="D22" s="8">
        <v>105</v>
      </c>
      <c r="E22" s="8" t="s">
        <v>33</v>
      </c>
      <c r="F22" t="s">
        <v>34</v>
      </c>
      <c r="G22" s="9">
        <v>15000</v>
      </c>
      <c r="H22" s="7">
        <v>46248</v>
      </c>
      <c r="I22" s="9">
        <v>19000</v>
      </c>
      <c r="J22" s="31">
        <f t="shared" si="0"/>
        <v>46244</v>
      </c>
      <c r="K22" s="31">
        <f>Table14[[#This Row],[week first day]]-7</f>
        <v>46237</v>
      </c>
      <c r="L22">
        <f t="shared" si="1"/>
        <v>26486</v>
      </c>
    </row>
    <row r="23" spans="1:12" x14ac:dyDescent="0.3">
      <c r="A23" s="8" t="s">
        <v>30</v>
      </c>
      <c r="B23" s="8" t="s">
        <v>31</v>
      </c>
      <c r="C23" s="8" t="s">
        <v>32</v>
      </c>
      <c r="D23" s="8">
        <v>105</v>
      </c>
      <c r="E23" s="8" t="s">
        <v>33</v>
      </c>
      <c r="F23" t="s">
        <v>34</v>
      </c>
      <c r="G23" s="9">
        <v>15000</v>
      </c>
      <c r="H23" s="7">
        <v>46255</v>
      </c>
      <c r="I23" s="9">
        <v>2072</v>
      </c>
      <c r="J23" s="31">
        <f t="shared" si="0"/>
        <v>46251</v>
      </c>
      <c r="K23" s="31">
        <f>Table14[[#This Row],[week first day]]-7</f>
        <v>46244</v>
      </c>
      <c r="L23">
        <f t="shared" si="1"/>
        <v>4248</v>
      </c>
    </row>
    <row r="24" spans="1:12" x14ac:dyDescent="0.3">
      <c r="A24" s="8" t="s">
        <v>30</v>
      </c>
      <c r="B24" s="8" t="s">
        <v>31</v>
      </c>
      <c r="C24" s="8" t="s">
        <v>32</v>
      </c>
      <c r="D24" s="8">
        <v>105</v>
      </c>
      <c r="E24" s="8" t="s">
        <v>33</v>
      </c>
      <c r="F24" t="s">
        <v>34</v>
      </c>
      <c r="G24" s="9">
        <v>15000</v>
      </c>
      <c r="H24" s="7">
        <v>46255</v>
      </c>
      <c r="I24" s="9">
        <v>2176</v>
      </c>
      <c r="J24" s="31">
        <f t="shared" si="0"/>
        <v>46251</v>
      </c>
      <c r="K24" s="31">
        <f>Table14[[#This Row],[week first day]]-7</f>
        <v>46244</v>
      </c>
      <c r="L24">
        <f t="shared" si="1"/>
        <v>4248</v>
      </c>
    </row>
    <row r="25" spans="1:12" x14ac:dyDescent="0.3">
      <c r="A25" s="8" t="s">
        <v>30</v>
      </c>
      <c r="B25" s="8" t="s">
        <v>31</v>
      </c>
      <c r="C25" s="8" t="s">
        <v>32</v>
      </c>
      <c r="D25" s="8">
        <v>105</v>
      </c>
      <c r="E25" s="8" t="s">
        <v>33</v>
      </c>
      <c r="F25" t="s">
        <v>34</v>
      </c>
      <c r="G25" s="9">
        <v>15000</v>
      </c>
      <c r="H25" s="7">
        <v>46262</v>
      </c>
      <c r="I25" s="9">
        <v>4248</v>
      </c>
      <c r="J25" s="31">
        <f t="shared" si="0"/>
        <v>46258</v>
      </c>
      <c r="K25" s="31">
        <f>Table14[[#This Row],[week first day]]-7</f>
        <v>46251</v>
      </c>
      <c r="L25">
        <f t="shared" si="1"/>
        <v>4248</v>
      </c>
    </row>
    <row r="26" spans="1:12" x14ac:dyDescent="0.3">
      <c r="A26" s="8" t="s">
        <v>30</v>
      </c>
      <c r="B26" s="8" t="s">
        <v>31</v>
      </c>
      <c r="C26" s="8" t="s">
        <v>32</v>
      </c>
      <c r="D26" s="8">
        <v>105</v>
      </c>
      <c r="E26" s="8" t="s">
        <v>33</v>
      </c>
      <c r="F26" t="s">
        <v>34</v>
      </c>
      <c r="G26" s="9">
        <v>15000</v>
      </c>
      <c r="H26" s="7">
        <v>46269</v>
      </c>
      <c r="I26" s="9">
        <v>4249</v>
      </c>
      <c r="J26" s="31">
        <f t="shared" si="0"/>
        <v>46265</v>
      </c>
      <c r="K26" s="31">
        <f>Table14[[#This Row],[week first day]]-7</f>
        <v>46258</v>
      </c>
      <c r="L26">
        <f t="shared" si="1"/>
        <v>4249</v>
      </c>
    </row>
    <row r="27" spans="1:12" x14ac:dyDescent="0.3">
      <c r="A27" s="8" t="s">
        <v>30</v>
      </c>
      <c r="B27" s="8" t="s">
        <v>31</v>
      </c>
      <c r="C27" s="8" t="s">
        <v>32</v>
      </c>
      <c r="D27" s="8">
        <v>105</v>
      </c>
      <c r="E27" s="8" t="s">
        <v>33</v>
      </c>
      <c r="F27" t="s">
        <v>34</v>
      </c>
      <c r="G27" s="9">
        <v>15000</v>
      </c>
      <c r="H27" s="7">
        <v>46276</v>
      </c>
      <c r="I27" s="9">
        <v>4248</v>
      </c>
      <c r="J27" s="31">
        <f t="shared" si="0"/>
        <v>46272</v>
      </c>
      <c r="K27" s="31">
        <f>Table14[[#This Row],[week first day]]-7</f>
        <v>46265</v>
      </c>
      <c r="L27">
        <f t="shared" si="1"/>
        <v>4248</v>
      </c>
    </row>
    <row r="28" spans="1:12" x14ac:dyDescent="0.3">
      <c r="A28" s="8" t="s">
        <v>30</v>
      </c>
      <c r="B28" s="8" t="s">
        <v>31</v>
      </c>
      <c r="C28" s="8" t="s">
        <v>32</v>
      </c>
      <c r="D28" s="8">
        <v>105</v>
      </c>
      <c r="E28" s="8" t="s">
        <v>33</v>
      </c>
      <c r="F28" t="s">
        <v>34</v>
      </c>
      <c r="G28" s="9">
        <v>15000</v>
      </c>
      <c r="H28" s="7">
        <v>46283</v>
      </c>
      <c r="I28" s="9">
        <v>2391</v>
      </c>
      <c r="J28" s="31">
        <f t="shared" si="0"/>
        <v>46279</v>
      </c>
      <c r="K28" s="31">
        <f>Table14[[#This Row],[week first day]]-7</f>
        <v>46272</v>
      </c>
      <c r="L28">
        <f t="shared" si="1"/>
        <v>2391</v>
      </c>
    </row>
    <row r="29" spans="1:12" x14ac:dyDescent="0.3">
      <c r="A29" s="8" t="s">
        <v>30</v>
      </c>
      <c r="B29" s="8" t="s">
        <v>31</v>
      </c>
      <c r="C29" s="8" t="s">
        <v>32</v>
      </c>
      <c r="D29" s="8">
        <v>105</v>
      </c>
      <c r="E29" s="8" t="s">
        <v>33</v>
      </c>
      <c r="F29" t="s">
        <v>34</v>
      </c>
      <c r="G29" s="9">
        <v>15000</v>
      </c>
      <c r="H29" s="7">
        <v>46290</v>
      </c>
      <c r="I29" s="9">
        <v>2392</v>
      </c>
      <c r="J29" s="31">
        <f t="shared" si="0"/>
        <v>46286</v>
      </c>
      <c r="K29" s="31">
        <f>Table14[[#This Row],[week first day]]-7</f>
        <v>46279</v>
      </c>
      <c r="L29">
        <f t="shared" si="1"/>
        <v>2392</v>
      </c>
    </row>
    <row r="30" spans="1:12" x14ac:dyDescent="0.3">
      <c r="A30" s="8" t="s">
        <v>30</v>
      </c>
      <c r="B30" s="8" t="s">
        <v>31</v>
      </c>
      <c r="C30" s="8" t="s">
        <v>32</v>
      </c>
      <c r="D30" s="8">
        <v>105</v>
      </c>
      <c r="E30" s="8" t="s">
        <v>33</v>
      </c>
      <c r="F30" t="s">
        <v>34</v>
      </c>
      <c r="G30" s="9">
        <v>15000</v>
      </c>
      <c r="H30" s="7">
        <v>46297</v>
      </c>
      <c r="I30" s="9">
        <v>2391</v>
      </c>
      <c r="J30" s="31">
        <f t="shared" si="0"/>
        <v>46293</v>
      </c>
      <c r="K30" s="31">
        <f>Table14[[#This Row],[week first day]]-7</f>
        <v>46286</v>
      </c>
      <c r="L30">
        <f t="shared" si="1"/>
        <v>2391</v>
      </c>
    </row>
    <row r="31" spans="1:12" x14ac:dyDescent="0.3">
      <c r="A31" s="8" t="s">
        <v>30</v>
      </c>
      <c r="B31" s="8" t="s">
        <v>31</v>
      </c>
      <c r="C31" s="8" t="s">
        <v>32</v>
      </c>
      <c r="D31" s="8">
        <v>105</v>
      </c>
      <c r="E31" s="8" t="s">
        <v>33</v>
      </c>
      <c r="F31" t="s">
        <v>34</v>
      </c>
      <c r="G31" s="9">
        <v>15000</v>
      </c>
      <c r="H31" s="7">
        <v>46304</v>
      </c>
      <c r="I31" s="9">
        <v>2392</v>
      </c>
      <c r="J31" s="31">
        <f t="shared" si="0"/>
        <v>46300</v>
      </c>
      <c r="K31" s="31">
        <f>Table14[[#This Row],[week first day]]-7</f>
        <v>46293</v>
      </c>
      <c r="L31">
        <f t="shared" si="1"/>
        <v>2392</v>
      </c>
    </row>
    <row r="32" spans="1:12" x14ac:dyDescent="0.3">
      <c r="A32" s="8" t="s">
        <v>30</v>
      </c>
      <c r="B32" s="8" t="s">
        <v>31</v>
      </c>
      <c r="C32" s="8" t="s">
        <v>32</v>
      </c>
      <c r="D32" s="8">
        <v>105</v>
      </c>
      <c r="E32" s="8" t="s">
        <v>33</v>
      </c>
      <c r="F32" t="s">
        <v>34</v>
      </c>
      <c r="G32" s="9">
        <v>15000</v>
      </c>
      <c r="H32" s="7">
        <v>46311</v>
      </c>
      <c r="I32" s="9">
        <v>16017</v>
      </c>
      <c r="J32" s="31">
        <f t="shared" si="0"/>
        <v>46307</v>
      </c>
      <c r="K32" s="31">
        <f>Table14[[#This Row],[week first day]]-7</f>
        <v>46300</v>
      </c>
      <c r="L32">
        <f t="shared" si="1"/>
        <v>16017</v>
      </c>
    </row>
    <row r="33" spans="1:12" x14ac:dyDescent="0.3">
      <c r="A33" s="8" t="s">
        <v>30</v>
      </c>
      <c r="B33" s="8" t="s">
        <v>31</v>
      </c>
      <c r="C33" s="8" t="s">
        <v>32</v>
      </c>
      <c r="D33" s="8">
        <v>105</v>
      </c>
      <c r="E33" s="8" t="s">
        <v>33</v>
      </c>
      <c r="F33" t="s">
        <v>34</v>
      </c>
      <c r="G33" s="9">
        <v>15000</v>
      </c>
      <c r="H33" s="7">
        <v>46318</v>
      </c>
      <c r="I33" s="9">
        <v>16017</v>
      </c>
      <c r="J33" s="31">
        <f t="shared" si="0"/>
        <v>46314</v>
      </c>
      <c r="K33" s="31">
        <f>Table14[[#This Row],[week first day]]-7</f>
        <v>46307</v>
      </c>
      <c r="L33">
        <f t="shared" si="1"/>
        <v>16017</v>
      </c>
    </row>
    <row r="34" spans="1:12" x14ac:dyDescent="0.3">
      <c r="A34" s="8" t="s">
        <v>30</v>
      </c>
      <c r="B34" s="8" t="s">
        <v>31</v>
      </c>
      <c r="C34" s="8" t="s">
        <v>32</v>
      </c>
      <c r="D34" s="8">
        <v>105</v>
      </c>
      <c r="E34" s="8" t="s">
        <v>33</v>
      </c>
      <c r="F34" t="s">
        <v>34</v>
      </c>
      <c r="G34" s="9">
        <v>15000</v>
      </c>
      <c r="H34" s="7">
        <v>46325</v>
      </c>
      <c r="I34" s="9">
        <v>16016</v>
      </c>
      <c r="J34" s="31">
        <f t="shared" si="0"/>
        <v>46321</v>
      </c>
      <c r="K34" s="31">
        <f>Table14[[#This Row],[week first day]]-7</f>
        <v>46314</v>
      </c>
      <c r="L34">
        <f t="shared" si="1"/>
        <v>16016</v>
      </c>
    </row>
    <row r="35" spans="1:12" x14ac:dyDescent="0.3">
      <c r="A35" s="8" t="s">
        <v>30</v>
      </c>
      <c r="B35" s="8" t="s">
        <v>31</v>
      </c>
      <c r="C35" s="8" t="s">
        <v>32</v>
      </c>
      <c r="D35" s="8">
        <v>105</v>
      </c>
      <c r="E35" s="8" t="s">
        <v>33</v>
      </c>
      <c r="F35" t="s">
        <v>34</v>
      </c>
      <c r="G35" s="9">
        <v>15000</v>
      </c>
      <c r="H35" s="7">
        <v>46332</v>
      </c>
      <c r="I35" s="9">
        <v>16017</v>
      </c>
      <c r="J35" s="31">
        <f t="shared" si="0"/>
        <v>46328</v>
      </c>
      <c r="K35" s="31">
        <f>Table14[[#This Row],[week first day]]-7</f>
        <v>46321</v>
      </c>
      <c r="L35">
        <f t="shared" si="1"/>
        <v>16017</v>
      </c>
    </row>
    <row r="36" spans="1:12" x14ac:dyDescent="0.3">
      <c r="A36" s="8" t="s">
        <v>30</v>
      </c>
      <c r="B36" s="8" t="s">
        <v>31</v>
      </c>
      <c r="C36" s="8" t="s">
        <v>32</v>
      </c>
      <c r="D36" s="8">
        <v>105</v>
      </c>
      <c r="E36" s="8" t="s">
        <v>33</v>
      </c>
      <c r="F36" t="s">
        <v>34</v>
      </c>
      <c r="G36" s="9">
        <v>15000</v>
      </c>
      <c r="H36" s="7">
        <v>46339</v>
      </c>
      <c r="I36" s="9">
        <v>4281</v>
      </c>
      <c r="J36" s="31">
        <f t="shared" si="0"/>
        <v>46335</v>
      </c>
      <c r="K36" s="31">
        <f>Table14[[#This Row],[week first day]]-7</f>
        <v>46328</v>
      </c>
      <c r="L36">
        <f t="shared" si="1"/>
        <v>4281</v>
      </c>
    </row>
    <row r="37" spans="1:12" x14ac:dyDescent="0.3">
      <c r="A37" s="8" t="s">
        <v>30</v>
      </c>
      <c r="B37" s="8" t="s">
        <v>31</v>
      </c>
      <c r="C37" s="8" t="s">
        <v>32</v>
      </c>
      <c r="D37" s="8">
        <v>105</v>
      </c>
      <c r="E37" s="8" t="s">
        <v>33</v>
      </c>
      <c r="F37" t="s">
        <v>34</v>
      </c>
      <c r="G37" s="9">
        <v>15000</v>
      </c>
      <c r="H37" s="7">
        <v>46346</v>
      </c>
      <c r="I37" s="9">
        <v>4282</v>
      </c>
      <c r="J37" s="31">
        <f t="shared" si="0"/>
        <v>46342</v>
      </c>
      <c r="K37" s="31">
        <f>Table14[[#This Row],[week first day]]-7</f>
        <v>46335</v>
      </c>
      <c r="L37">
        <f t="shared" si="1"/>
        <v>4282</v>
      </c>
    </row>
    <row r="38" spans="1:12" x14ac:dyDescent="0.3">
      <c r="A38" s="8" t="s">
        <v>30</v>
      </c>
      <c r="B38" s="8" t="s">
        <v>31</v>
      </c>
      <c r="C38" s="8" t="s">
        <v>32</v>
      </c>
      <c r="D38" s="8">
        <v>105</v>
      </c>
      <c r="E38" s="8" t="s">
        <v>33</v>
      </c>
      <c r="F38" t="s">
        <v>34</v>
      </c>
      <c r="G38" s="9">
        <v>15000</v>
      </c>
      <c r="H38" s="7">
        <v>46353</v>
      </c>
      <c r="I38" s="9">
        <v>4281</v>
      </c>
      <c r="J38" s="31">
        <f t="shared" si="0"/>
        <v>46349</v>
      </c>
      <c r="K38" s="31">
        <f>Table14[[#This Row],[week first day]]-7</f>
        <v>46342</v>
      </c>
      <c r="L38">
        <f t="shared" si="1"/>
        <v>4281</v>
      </c>
    </row>
    <row r="39" spans="1:12" x14ac:dyDescent="0.3">
      <c r="A39" s="8" t="s">
        <v>30</v>
      </c>
      <c r="B39" s="8" t="s">
        <v>31</v>
      </c>
      <c r="C39" s="8" t="s">
        <v>32</v>
      </c>
      <c r="D39" s="8">
        <v>105</v>
      </c>
      <c r="E39" s="8" t="s">
        <v>33</v>
      </c>
      <c r="F39" t="s">
        <v>34</v>
      </c>
      <c r="G39" s="9">
        <v>15000</v>
      </c>
      <c r="H39" s="7">
        <v>46360</v>
      </c>
      <c r="I39" s="9">
        <v>4282</v>
      </c>
      <c r="J39" s="31">
        <f t="shared" si="0"/>
        <v>46356</v>
      </c>
      <c r="K39" s="31">
        <f>Table14[[#This Row],[week first day]]-7</f>
        <v>46349</v>
      </c>
      <c r="L39">
        <f t="shared" si="1"/>
        <v>4282</v>
      </c>
    </row>
    <row r="40" spans="1:12" x14ac:dyDescent="0.3">
      <c r="A40" s="8" t="s">
        <v>30</v>
      </c>
      <c r="B40" s="8" t="s">
        <v>31</v>
      </c>
      <c r="C40" s="8" t="s">
        <v>32</v>
      </c>
      <c r="D40" s="8">
        <v>105</v>
      </c>
      <c r="E40" s="8" t="s">
        <v>33</v>
      </c>
      <c r="F40" t="s">
        <v>34</v>
      </c>
      <c r="G40" s="9">
        <v>15000</v>
      </c>
      <c r="H40" s="7">
        <v>46367</v>
      </c>
      <c r="I40" s="9">
        <v>4281</v>
      </c>
      <c r="J40" s="31">
        <f t="shared" si="0"/>
        <v>46363</v>
      </c>
      <c r="K40" s="31">
        <f>Table14[[#This Row],[week first day]]-7</f>
        <v>46356</v>
      </c>
      <c r="L40">
        <f t="shared" si="1"/>
        <v>4281</v>
      </c>
    </row>
    <row r="41" spans="1:12" x14ac:dyDescent="0.3">
      <c r="A41" s="8" t="s">
        <v>30</v>
      </c>
      <c r="B41" s="8" t="s">
        <v>31</v>
      </c>
      <c r="C41" s="8" t="s">
        <v>32</v>
      </c>
      <c r="D41" s="8">
        <v>105</v>
      </c>
      <c r="E41" s="8" t="s">
        <v>33</v>
      </c>
      <c r="F41" t="s">
        <v>34</v>
      </c>
      <c r="G41" s="9">
        <v>15000</v>
      </c>
      <c r="H41" s="7">
        <v>46374</v>
      </c>
      <c r="I41" s="9">
        <v>8326</v>
      </c>
      <c r="J41" s="31">
        <f t="shared" si="0"/>
        <v>46370</v>
      </c>
      <c r="K41" s="31">
        <f>Table14[[#This Row],[week first day]]-7</f>
        <v>46363</v>
      </c>
      <c r="L41">
        <f t="shared" si="1"/>
        <v>8326</v>
      </c>
    </row>
    <row r="42" spans="1:12" x14ac:dyDescent="0.3">
      <c r="A42" s="8" t="s">
        <v>30</v>
      </c>
      <c r="B42" s="8" t="s">
        <v>31</v>
      </c>
      <c r="C42" s="8" t="s">
        <v>32</v>
      </c>
      <c r="D42" s="8">
        <v>105</v>
      </c>
      <c r="E42" s="8" t="s">
        <v>33</v>
      </c>
      <c r="F42" t="s">
        <v>34</v>
      </c>
      <c r="G42" s="9">
        <v>15000</v>
      </c>
      <c r="H42" s="7">
        <v>46381</v>
      </c>
      <c r="I42" s="9">
        <v>8325</v>
      </c>
      <c r="J42" s="31">
        <f t="shared" si="0"/>
        <v>46377</v>
      </c>
      <c r="K42" s="31">
        <f>Table14[[#This Row],[week first day]]-7</f>
        <v>46370</v>
      </c>
      <c r="L42">
        <f t="shared" si="1"/>
        <v>8325</v>
      </c>
    </row>
    <row r="43" spans="1:12" x14ac:dyDescent="0.3">
      <c r="A43" s="8" t="s">
        <v>35</v>
      </c>
      <c r="B43" s="8" t="s">
        <v>36</v>
      </c>
      <c r="C43" s="8" t="s">
        <v>32</v>
      </c>
      <c r="D43" s="8">
        <v>55</v>
      </c>
      <c r="E43" s="8" t="s">
        <v>37</v>
      </c>
      <c r="F43" t="s">
        <v>34</v>
      </c>
      <c r="G43" s="9">
        <v>15000</v>
      </c>
      <c r="H43" s="7">
        <v>46157</v>
      </c>
      <c r="I43" s="9">
        <v>2731</v>
      </c>
      <c r="J43" s="31">
        <f t="shared" si="0"/>
        <v>46153</v>
      </c>
      <c r="K43" s="31">
        <f>Table14[[#This Row],[week first day]]-7</f>
        <v>46146</v>
      </c>
      <c r="L43">
        <f t="shared" si="1"/>
        <v>5502</v>
      </c>
    </row>
    <row r="44" spans="1:12" x14ac:dyDescent="0.3">
      <c r="A44" s="8" t="s">
        <v>35</v>
      </c>
      <c r="B44" s="8" t="s">
        <v>36</v>
      </c>
      <c r="C44" s="8" t="s">
        <v>32</v>
      </c>
      <c r="D44" s="8">
        <v>55</v>
      </c>
      <c r="E44" s="8" t="s">
        <v>37</v>
      </c>
      <c r="F44" t="s">
        <v>34</v>
      </c>
      <c r="G44" s="9">
        <v>15000</v>
      </c>
      <c r="H44" s="7">
        <v>46157</v>
      </c>
      <c r="I44" s="9">
        <v>2771</v>
      </c>
      <c r="J44" s="31">
        <f t="shared" si="0"/>
        <v>46153</v>
      </c>
      <c r="K44" s="31">
        <f>Table14[[#This Row],[week first day]]-7</f>
        <v>46146</v>
      </c>
      <c r="L44">
        <f t="shared" si="1"/>
        <v>5502</v>
      </c>
    </row>
    <row r="45" spans="1:12" x14ac:dyDescent="0.3">
      <c r="A45" s="8" t="s">
        <v>35</v>
      </c>
      <c r="B45" s="8" t="s">
        <v>36</v>
      </c>
      <c r="C45" s="8" t="s">
        <v>32</v>
      </c>
      <c r="D45" s="8">
        <v>55</v>
      </c>
      <c r="E45" s="8" t="s">
        <v>37</v>
      </c>
      <c r="F45" t="s">
        <v>34</v>
      </c>
      <c r="G45" s="9">
        <v>15000</v>
      </c>
      <c r="H45" s="7">
        <v>46164</v>
      </c>
      <c r="I45" s="9">
        <v>2270</v>
      </c>
      <c r="J45" s="31">
        <f t="shared" si="0"/>
        <v>46160</v>
      </c>
      <c r="K45" s="31">
        <f>Table14[[#This Row],[week first day]]-7</f>
        <v>46153</v>
      </c>
      <c r="L45">
        <f t="shared" si="1"/>
        <v>15658</v>
      </c>
    </row>
    <row r="46" spans="1:12" x14ac:dyDescent="0.3">
      <c r="A46" s="8" t="s">
        <v>35</v>
      </c>
      <c r="B46" s="8" t="s">
        <v>36</v>
      </c>
      <c r="C46" s="8" t="s">
        <v>32</v>
      </c>
      <c r="D46" s="8">
        <v>55</v>
      </c>
      <c r="E46" s="8" t="s">
        <v>37</v>
      </c>
      <c r="F46" t="s">
        <v>34</v>
      </c>
      <c r="G46" s="9">
        <v>15000</v>
      </c>
      <c r="H46" s="7">
        <v>46164</v>
      </c>
      <c r="I46" s="9">
        <v>1687</v>
      </c>
      <c r="J46" s="31">
        <f t="shared" si="0"/>
        <v>46160</v>
      </c>
      <c r="K46" s="31">
        <f>Table14[[#This Row],[week first day]]-7</f>
        <v>46153</v>
      </c>
      <c r="L46">
        <f t="shared" si="1"/>
        <v>15658</v>
      </c>
    </row>
    <row r="47" spans="1:12" x14ac:dyDescent="0.3">
      <c r="A47" s="8" t="s">
        <v>35</v>
      </c>
      <c r="B47" s="8" t="s">
        <v>36</v>
      </c>
      <c r="C47" s="8" t="s">
        <v>32</v>
      </c>
      <c r="D47" s="8">
        <v>55</v>
      </c>
      <c r="E47" s="8" t="s">
        <v>37</v>
      </c>
      <c r="F47" t="s">
        <v>34</v>
      </c>
      <c r="G47" s="9">
        <v>15000</v>
      </c>
      <c r="H47" s="7">
        <v>46164</v>
      </c>
      <c r="I47" s="9">
        <v>2058</v>
      </c>
      <c r="J47" s="31">
        <f t="shared" si="0"/>
        <v>46160</v>
      </c>
      <c r="K47" s="31">
        <f>Table14[[#This Row],[week first day]]-7</f>
        <v>46153</v>
      </c>
      <c r="L47">
        <f t="shared" si="1"/>
        <v>15658</v>
      </c>
    </row>
    <row r="48" spans="1:12" x14ac:dyDescent="0.3">
      <c r="A48" s="8" t="s">
        <v>35</v>
      </c>
      <c r="B48" s="8" t="s">
        <v>36</v>
      </c>
      <c r="C48" s="8" t="s">
        <v>32</v>
      </c>
      <c r="D48" s="8">
        <v>55</v>
      </c>
      <c r="E48" s="8" t="s">
        <v>37</v>
      </c>
      <c r="F48" t="s">
        <v>34</v>
      </c>
      <c r="G48" s="9">
        <v>15000</v>
      </c>
      <c r="H48" s="7">
        <v>46164</v>
      </c>
      <c r="I48" s="9">
        <v>2771</v>
      </c>
      <c r="J48" s="31">
        <f t="shared" si="0"/>
        <v>46160</v>
      </c>
      <c r="K48" s="31">
        <f>Table14[[#This Row],[week first day]]-7</f>
        <v>46153</v>
      </c>
      <c r="L48">
        <f t="shared" si="1"/>
        <v>15658</v>
      </c>
    </row>
    <row r="49" spans="1:12" x14ac:dyDescent="0.3">
      <c r="A49" s="8" t="s">
        <v>35</v>
      </c>
      <c r="B49" s="8" t="s">
        <v>36</v>
      </c>
      <c r="C49" s="8" t="s">
        <v>32</v>
      </c>
      <c r="D49" s="8">
        <v>55</v>
      </c>
      <c r="E49" s="8" t="s">
        <v>37</v>
      </c>
      <c r="F49" t="s">
        <v>34</v>
      </c>
      <c r="G49" s="9">
        <v>15000</v>
      </c>
      <c r="H49" s="7">
        <v>46164</v>
      </c>
      <c r="I49" s="9">
        <v>450</v>
      </c>
      <c r="J49" s="31">
        <f t="shared" si="0"/>
        <v>46160</v>
      </c>
      <c r="K49" s="31">
        <f>Table14[[#This Row],[week first day]]-7</f>
        <v>46153</v>
      </c>
      <c r="L49">
        <f t="shared" si="1"/>
        <v>15658</v>
      </c>
    </row>
    <row r="50" spans="1:12" x14ac:dyDescent="0.3">
      <c r="A50" s="8" t="s">
        <v>35</v>
      </c>
      <c r="B50" s="8" t="s">
        <v>36</v>
      </c>
      <c r="C50" s="8" t="s">
        <v>32</v>
      </c>
      <c r="D50" s="8">
        <v>55</v>
      </c>
      <c r="E50" s="8" t="s">
        <v>37</v>
      </c>
      <c r="F50" t="s">
        <v>34</v>
      </c>
      <c r="G50" s="9">
        <v>15000</v>
      </c>
      <c r="H50" s="7">
        <v>46164</v>
      </c>
      <c r="I50" s="9">
        <v>2771</v>
      </c>
      <c r="J50" s="31">
        <f t="shared" si="0"/>
        <v>46160</v>
      </c>
      <c r="K50" s="31">
        <f>Table14[[#This Row],[week first day]]-7</f>
        <v>46153</v>
      </c>
      <c r="L50">
        <f t="shared" si="1"/>
        <v>15658</v>
      </c>
    </row>
    <row r="51" spans="1:12" x14ac:dyDescent="0.3">
      <c r="A51" s="8" t="s">
        <v>35</v>
      </c>
      <c r="B51" s="8" t="s">
        <v>36</v>
      </c>
      <c r="C51" s="8" t="s">
        <v>32</v>
      </c>
      <c r="D51" s="8">
        <v>55</v>
      </c>
      <c r="E51" s="8" t="s">
        <v>37</v>
      </c>
      <c r="F51" t="s">
        <v>34</v>
      </c>
      <c r="G51" s="9">
        <v>15000</v>
      </c>
      <c r="H51" s="7">
        <v>46164</v>
      </c>
      <c r="I51" s="9">
        <v>2771</v>
      </c>
      <c r="J51" s="31">
        <f t="shared" si="0"/>
        <v>46160</v>
      </c>
      <c r="K51" s="31">
        <f>Table14[[#This Row],[week first day]]-7</f>
        <v>46153</v>
      </c>
      <c r="L51">
        <f t="shared" si="1"/>
        <v>15658</v>
      </c>
    </row>
    <row r="52" spans="1:12" x14ac:dyDescent="0.3">
      <c r="A52" s="8" t="s">
        <v>35</v>
      </c>
      <c r="B52" s="8" t="s">
        <v>36</v>
      </c>
      <c r="C52" s="8" t="s">
        <v>32</v>
      </c>
      <c r="D52" s="8">
        <v>55</v>
      </c>
      <c r="E52" s="8" t="s">
        <v>37</v>
      </c>
      <c r="F52" t="s">
        <v>34</v>
      </c>
      <c r="G52" s="9">
        <v>15000</v>
      </c>
      <c r="H52" s="7">
        <v>46164</v>
      </c>
      <c r="I52" s="9">
        <v>880</v>
      </c>
      <c r="J52" s="31">
        <f t="shared" si="0"/>
        <v>46160</v>
      </c>
      <c r="K52" s="31">
        <f>Table14[[#This Row],[week first day]]-7</f>
        <v>46153</v>
      </c>
      <c r="L52">
        <f t="shared" si="1"/>
        <v>15658</v>
      </c>
    </row>
    <row r="53" spans="1:12" x14ac:dyDescent="0.3">
      <c r="A53" s="8" t="s">
        <v>35</v>
      </c>
      <c r="B53" s="8" t="s">
        <v>36</v>
      </c>
      <c r="C53" s="8" t="s">
        <v>32</v>
      </c>
      <c r="D53" s="8">
        <v>55</v>
      </c>
      <c r="E53" s="8" t="s">
        <v>37</v>
      </c>
      <c r="F53" t="s">
        <v>34</v>
      </c>
      <c r="G53" s="9">
        <v>15000</v>
      </c>
      <c r="H53" s="7">
        <v>46171</v>
      </c>
      <c r="I53" s="9">
        <v>2771</v>
      </c>
      <c r="J53" s="31">
        <f t="shared" si="0"/>
        <v>46167</v>
      </c>
      <c r="K53" s="31">
        <f>Table14[[#This Row],[week first day]]-7</f>
        <v>46160</v>
      </c>
      <c r="L53">
        <f t="shared" si="1"/>
        <v>8865</v>
      </c>
    </row>
    <row r="54" spans="1:12" x14ac:dyDescent="0.3">
      <c r="A54" s="8" t="s">
        <v>35</v>
      </c>
      <c r="B54" s="8" t="s">
        <v>36</v>
      </c>
      <c r="C54" s="8" t="s">
        <v>32</v>
      </c>
      <c r="D54" s="8">
        <v>55</v>
      </c>
      <c r="E54" s="8" t="s">
        <v>37</v>
      </c>
      <c r="F54" t="s">
        <v>34</v>
      </c>
      <c r="G54" s="9">
        <v>15000</v>
      </c>
      <c r="H54" s="7">
        <v>46171</v>
      </c>
      <c r="I54" s="9">
        <v>552</v>
      </c>
      <c r="J54" s="31">
        <f t="shared" si="0"/>
        <v>46167</v>
      </c>
      <c r="K54" s="31">
        <f>Table14[[#This Row],[week first day]]-7</f>
        <v>46160</v>
      </c>
      <c r="L54">
        <f t="shared" si="1"/>
        <v>8865</v>
      </c>
    </row>
    <row r="55" spans="1:12" x14ac:dyDescent="0.3">
      <c r="A55" s="8" t="s">
        <v>35</v>
      </c>
      <c r="B55" s="8" t="s">
        <v>36</v>
      </c>
      <c r="C55" s="8" t="s">
        <v>32</v>
      </c>
      <c r="D55" s="8">
        <v>55</v>
      </c>
      <c r="E55" s="8" t="s">
        <v>37</v>
      </c>
      <c r="F55" t="s">
        <v>34</v>
      </c>
      <c r="G55" s="9">
        <v>15000</v>
      </c>
      <c r="H55" s="7">
        <v>46171</v>
      </c>
      <c r="I55" s="9">
        <v>2771</v>
      </c>
      <c r="J55" s="31">
        <f t="shared" si="0"/>
        <v>46167</v>
      </c>
      <c r="K55" s="31">
        <f>Table14[[#This Row],[week first day]]-7</f>
        <v>46160</v>
      </c>
      <c r="L55">
        <f t="shared" si="1"/>
        <v>8865</v>
      </c>
    </row>
    <row r="56" spans="1:12" x14ac:dyDescent="0.3">
      <c r="A56" s="8" t="s">
        <v>35</v>
      </c>
      <c r="B56" s="8" t="s">
        <v>36</v>
      </c>
      <c r="C56" s="8" t="s">
        <v>32</v>
      </c>
      <c r="D56" s="8">
        <v>55</v>
      </c>
      <c r="E56" s="8" t="s">
        <v>37</v>
      </c>
      <c r="F56" t="s">
        <v>34</v>
      </c>
      <c r="G56" s="9">
        <v>15000</v>
      </c>
      <c r="H56" s="7">
        <v>46171</v>
      </c>
      <c r="I56" s="9">
        <v>2771</v>
      </c>
      <c r="J56" s="31">
        <f t="shared" si="0"/>
        <v>46167</v>
      </c>
      <c r="K56" s="31">
        <f>Table14[[#This Row],[week first day]]-7</f>
        <v>46160</v>
      </c>
      <c r="L56">
        <f t="shared" si="1"/>
        <v>8865</v>
      </c>
    </row>
    <row r="57" spans="1:12" x14ac:dyDescent="0.3">
      <c r="A57" s="8" t="s">
        <v>35</v>
      </c>
      <c r="B57" s="8" t="s">
        <v>36</v>
      </c>
      <c r="C57" s="8" t="s">
        <v>32</v>
      </c>
      <c r="D57" s="8">
        <v>55</v>
      </c>
      <c r="E57" s="8" t="s">
        <v>37</v>
      </c>
      <c r="F57" t="s">
        <v>34</v>
      </c>
      <c r="G57" s="9">
        <v>15000</v>
      </c>
      <c r="H57" s="7">
        <v>46178</v>
      </c>
      <c r="I57" s="9">
        <v>2146</v>
      </c>
      <c r="J57" s="31">
        <f t="shared" si="0"/>
        <v>46174</v>
      </c>
      <c r="K57" s="31">
        <f>Table14[[#This Row],[week first day]]-7</f>
        <v>46167</v>
      </c>
      <c r="L57">
        <f t="shared" si="1"/>
        <v>2146</v>
      </c>
    </row>
    <row r="58" spans="1:12" x14ac:dyDescent="0.3">
      <c r="A58" s="8" t="s">
        <v>35</v>
      </c>
      <c r="B58" s="8" t="s">
        <v>36</v>
      </c>
      <c r="C58" s="8" t="s">
        <v>32</v>
      </c>
      <c r="D58" s="8">
        <v>55</v>
      </c>
      <c r="E58" s="8" t="s">
        <v>37</v>
      </c>
      <c r="F58" t="s">
        <v>34</v>
      </c>
      <c r="G58" s="9">
        <v>15000</v>
      </c>
      <c r="H58" s="7">
        <v>46185</v>
      </c>
      <c r="I58" s="9">
        <v>7123</v>
      </c>
      <c r="J58" s="31">
        <f t="shared" si="0"/>
        <v>46181</v>
      </c>
      <c r="K58" s="31">
        <f>Table14[[#This Row],[week first day]]-7</f>
        <v>46174</v>
      </c>
      <c r="L58">
        <f t="shared" si="1"/>
        <v>7123</v>
      </c>
    </row>
    <row r="59" spans="1:12" x14ac:dyDescent="0.3">
      <c r="A59" s="8" t="s">
        <v>35</v>
      </c>
      <c r="B59" s="8" t="s">
        <v>36</v>
      </c>
      <c r="C59" s="8" t="s">
        <v>32</v>
      </c>
      <c r="D59" s="8">
        <v>55</v>
      </c>
      <c r="E59" s="8" t="s">
        <v>37</v>
      </c>
      <c r="F59" t="s">
        <v>34</v>
      </c>
      <c r="G59" s="9">
        <v>15000</v>
      </c>
      <c r="H59" s="7">
        <v>46192</v>
      </c>
      <c r="I59" s="9">
        <v>5309</v>
      </c>
      <c r="J59" s="31">
        <f t="shared" si="0"/>
        <v>46188</v>
      </c>
      <c r="K59" s="31">
        <f>Table14[[#This Row],[week first day]]-7</f>
        <v>46181</v>
      </c>
      <c r="L59">
        <f t="shared" si="1"/>
        <v>5309</v>
      </c>
    </row>
    <row r="60" spans="1:12" x14ac:dyDescent="0.3">
      <c r="A60" s="8" t="s">
        <v>35</v>
      </c>
      <c r="B60" s="8" t="s">
        <v>36</v>
      </c>
      <c r="C60" s="8" t="s">
        <v>32</v>
      </c>
      <c r="D60" s="8">
        <v>55</v>
      </c>
      <c r="E60" s="8" t="s">
        <v>37</v>
      </c>
      <c r="F60" t="s">
        <v>34</v>
      </c>
      <c r="G60" s="9">
        <v>15000</v>
      </c>
      <c r="H60" s="7">
        <v>46199</v>
      </c>
      <c r="I60" s="9">
        <v>5309</v>
      </c>
      <c r="J60" s="31">
        <f t="shared" si="0"/>
        <v>46195</v>
      </c>
      <c r="K60" s="31">
        <f>Table14[[#This Row],[week first day]]-7</f>
        <v>46188</v>
      </c>
      <c r="L60">
        <f t="shared" si="1"/>
        <v>5309</v>
      </c>
    </row>
    <row r="61" spans="1:12" x14ac:dyDescent="0.3">
      <c r="A61" s="8" t="s">
        <v>35</v>
      </c>
      <c r="B61" s="8" t="s">
        <v>36</v>
      </c>
      <c r="C61" s="8" t="s">
        <v>32</v>
      </c>
      <c r="D61" s="8">
        <v>55</v>
      </c>
      <c r="E61" s="8" t="s">
        <v>37</v>
      </c>
      <c r="F61" t="s">
        <v>34</v>
      </c>
      <c r="G61" s="9">
        <v>15000</v>
      </c>
      <c r="H61" s="7">
        <v>46206</v>
      </c>
      <c r="I61" s="9">
        <v>3000</v>
      </c>
      <c r="J61" s="31">
        <f t="shared" si="0"/>
        <v>46202</v>
      </c>
      <c r="K61" s="31">
        <f>Table14[[#This Row],[week first day]]-7</f>
        <v>46195</v>
      </c>
      <c r="L61">
        <f t="shared" si="1"/>
        <v>3000</v>
      </c>
    </row>
    <row r="62" spans="1:12" x14ac:dyDescent="0.3">
      <c r="A62" s="8" t="s">
        <v>35</v>
      </c>
      <c r="B62" s="8" t="s">
        <v>36</v>
      </c>
      <c r="C62" s="8" t="s">
        <v>32</v>
      </c>
      <c r="D62" s="8">
        <v>55</v>
      </c>
      <c r="E62" s="8" t="s">
        <v>37</v>
      </c>
      <c r="F62" t="s">
        <v>34</v>
      </c>
      <c r="G62" s="9">
        <v>15000</v>
      </c>
      <c r="H62" s="7">
        <v>46213</v>
      </c>
      <c r="I62" s="9">
        <v>3000</v>
      </c>
      <c r="J62" s="31">
        <f t="shared" si="0"/>
        <v>46209</v>
      </c>
      <c r="K62" s="31">
        <f>Table14[[#This Row],[week first day]]-7</f>
        <v>46202</v>
      </c>
      <c r="L62">
        <f t="shared" si="1"/>
        <v>3000</v>
      </c>
    </row>
    <row r="63" spans="1:12" x14ac:dyDescent="0.3">
      <c r="A63" s="8" t="s">
        <v>35</v>
      </c>
      <c r="B63" s="8" t="s">
        <v>36</v>
      </c>
      <c r="C63" s="8" t="s">
        <v>32</v>
      </c>
      <c r="D63" s="8">
        <v>55</v>
      </c>
      <c r="E63" s="8" t="s">
        <v>37</v>
      </c>
      <c r="F63" t="s">
        <v>34</v>
      </c>
      <c r="G63" s="9">
        <v>15000</v>
      </c>
      <c r="H63" s="7">
        <v>46220</v>
      </c>
      <c r="I63" s="9">
        <v>3000</v>
      </c>
      <c r="J63" s="31">
        <f t="shared" si="0"/>
        <v>46216</v>
      </c>
      <c r="K63" s="31">
        <f>Table14[[#This Row],[week first day]]-7</f>
        <v>46209</v>
      </c>
      <c r="L63">
        <f t="shared" si="1"/>
        <v>3000</v>
      </c>
    </row>
    <row r="64" spans="1:12" x14ac:dyDescent="0.3">
      <c r="A64" s="8" t="s">
        <v>35</v>
      </c>
      <c r="B64" s="8" t="s">
        <v>36</v>
      </c>
      <c r="C64" s="8" t="s">
        <v>32</v>
      </c>
      <c r="D64" s="8">
        <v>55</v>
      </c>
      <c r="E64" s="8" t="s">
        <v>37</v>
      </c>
      <c r="F64" t="s">
        <v>34</v>
      </c>
      <c r="G64" s="9">
        <v>15000</v>
      </c>
      <c r="H64" s="7">
        <v>46227</v>
      </c>
      <c r="I64" s="9">
        <v>3000</v>
      </c>
      <c r="J64" s="31">
        <f t="shared" si="0"/>
        <v>46223</v>
      </c>
      <c r="K64" s="31">
        <f>Table14[[#This Row],[week first day]]-7</f>
        <v>46216</v>
      </c>
      <c r="L64">
        <f t="shared" si="1"/>
        <v>3000</v>
      </c>
    </row>
    <row r="65" spans="1:12" x14ac:dyDescent="0.3">
      <c r="A65" s="8" t="s">
        <v>35</v>
      </c>
      <c r="B65" s="8" t="s">
        <v>36</v>
      </c>
      <c r="C65" s="8" t="s">
        <v>32</v>
      </c>
      <c r="D65" s="8">
        <v>55</v>
      </c>
      <c r="E65" s="8" t="s">
        <v>37</v>
      </c>
      <c r="F65" t="s">
        <v>34</v>
      </c>
      <c r="G65" s="9">
        <v>15000</v>
      </c>
      <c r="H65" s="7">
        <v>46234</v>
      </c>
      <c r="I65" s="9">
        <v>2400</v>
      </c>
      <c r="J65" s="31">
        <f t="shared" si="0"/>
        <v>46230</v>
      </c>
      <c r="K65" s="31">
        <f>Table14[[#This Row],[week first day]]-7</f>
        <v>46223</v>
      </c>
      <c r="L65">
        <f t="shared" si="1"/>
        <v>2400</v>
      </c>
    </row>
    <row r="66" spans="1:12" x14ac:dyDescent="0.3">
      <c r="A66" s="8" t="s">
        <v>35</v>
      </c>
      <c r="B66" s="8" t="s">
        <v>36</v>
      </c>
      <c r="C66" s="8" t="s">
        <v>32</v>
      </c>
      <c r="D66" s="8">
        <v>55</v>
      </c>
      <c r="E66" s="8" t="s">
        <v>37</v>
      </c>
      <c r="F66" t="s">
        <v>34</v>
      </c>
      <c r="G66" s="9">
        <v>15000</v>
      </c>
      <c r="H66" s="7">
        <v>46241</v>
      </c>
      <c r="I66" s="9">
        <v>2400</v>
      </c>
      <c r="J66" s="31">
        <f t="shared" ref="J66:J129" si="2">$M$1+7*INT((H66-$M$1)/7)</f>
        <v>46237</v>
      </c>
      <c r="K66" s="31">
        <f>Table14[[#This Row],[week first day]]-7</f>
        <v>46230</v>
      </c>
      <c r="L66">
        <f t="shared" si="1"/>
        <v>2400</v>
      </c>
    </row>
    <row r="67" spans="1:12" x14ac:dyDescent="0.3">
      <c r="A67" s="8" t="s">
        <v>35</v>
      </c>
      <c r="B67" s="8" t="s">
        <v>36</v>
      </c>
      <c r="C67" s="8" t="s">
        <v>32</v>
      </c>
      <c r="D67" s="8">
        <v>55</v>
      </c>
      <c r="E67" s="8" t="s">
        <v>37</v>
      </c>
      <c r="F67" t="s">
        <v>34</v>
      </c>
      <c r="G67" s="9">
        <v>15000</v>
      </c>
      <c r="H67" s="7">
        <v>46255</v>
      </c>
      <c r="I67" s="9">
        <v>2400</v>
      </c>
      <c r="J67" s="31">
        <f t="shared" si="2"/>
        <v>46251</v>
      </c>
      <c r="K67" s="31">
        <f>Table14[[#This Row],[week first day]]-7</f>
        <v>46244</v>
      </c>
      <c r="L67">
        <f t="shared" ref="L67:L130" si="3">SUMIFS($I:$I,$A:$A,A67,J:J,J67)</f>
        <v>2400</v>
      </c>
    </row>
    <row r="68" spans="1:12" x14ac:dyDescent="0.3">
      <c r="A68" s="8" t="s">
        <v>35</v>
      </c>
      <c r="B68" s="8" t="s">
        <v>36</v>
      </c>
      <c r="C68" s="8" t="s">
        <v>32</v>
      </c>
      <c r="D68" s="8">
        <v>55</v>
      </c>
      <c r="E68" s="8" t="s">
        <v>37</v>
      </c>
      <c r="F68" t="s">
        <v>34</v>
      </c>
      <c r="G68" s="9">
        <v>15000</v>
      </c>
      <c r="H68" s="7">
        <v>46262</v>
      </c>
      <c r="I68" s="9">
        <v>2400</v>
      </c>
      <c r="J68" s="31">
        <f t="shared" si="2"/>
        <v>46258</v>
      </c>
      <c r="K68" s="31">
        <f>Table14[[#This Row],[week first day]]-7</f>
        <v>46251</v>
      </c>
      <c r="L68">
        <f t="shared" si="3"/>
        <v>2400</v>
      </c>
    </row>
    <row r="69" spans="1:12" x14ac:dyDescent="0.3">
      <c r="A69" s="8" t="s">
        <v>35</v>
      </c>
      <c r="B69" s="8" t="s">
        <v>36</v>
      </c>
      <c r="C69" s="8" t="s">
        <v>32</v>
      </c>
      <c r="D69" s="8">
        <v>55</v>
      </c>
      <c r="E69" s="8" t="s">
        <v>37</v>
      </c>
      <c r="F69" t="s">
        <v>34</v>
      </c>
      <c r="G69" s="9">
        <v>15000</v>
      </c>
      <c r="H69" s="7">
        <v>46269</v>
      </c>
      <c r="I69" s="9">
        <v>3750</v>
      </c>
      <c r="J69" s="31">
        <f t="shared" si="2"/>
        <v>46265</v>
      </c>
      <c r="K69" s="31">
        <f>Table14[[#This Row],[week first day]]-7</f>
        <v>46258</v>
      </c>
      <c r="L69">
        <f t="shared" si="3"/>
        <v>3750</v>
      </c>
    </row>
    <row r="70" spans="1:12" x14ac:dyDescent="0.3">
      <c r="A70" s="8" t="s">
        <v>35</v>
      </c>
      <c r="B70" s="8" t="s">
        <v>36</v>
      </c>
      <c r="C70" s="8" t="s">
        <v>32</v>
      </c>
      <c r="D70" s="8">
        <v>55</v>
      </c>
      <c r="E70" s="8" t="s">
        <v>37</v>
      </c>
      <c r="F70" t="s">
        <v>34</v>
      </c>
      <c r="G70" s="9">
        <v>15000</v>
      </c>
      <c r="H70" s="7">
        <v>46276</v>
      </c>
      <c r="I70" s="9">
        <v>3750</v>
      </c>
      <c r="J70" s="31">
        <f t="shared" si="2"/>
        <v>46272</v>
      </c>
      <c r="K70" s="31">
        <f>Table14[[#This Row],[week first day]]-7</f>
        <v>46265</v>
      </c>
      <c r="L70">
        <f t="shared" si="3"/>
        <v>3750</v>
      </c>
    </row>
    <row r="71" spans="1:12" x14ac:dyDescent="0.3">
      <c r="A71" s="8" t="s">
        <v>35</v>
      </c>
      <c r="B71" s="8" t="s">
        <v>36</v>
      </c>
      <c r="C71" s="8" t="s">
        <v>32</v>
      </c>
      <c r="D71" s="8">
        <v>55</v>
      </c>
      <c r="E71" s="8" t="s">
        <v>37</v>
      </c>
      <c r="F71" t="s">
        <v>34</v>
      </c>
      <c r="G71" s="9">
        <v>15000</v>
      </c>
      <c r="H71" s="7">
        <v>46283</v>
      </c>
      <c r="I71" s="9">
        <v>3750</v>
      </c>
      <c r="J71" s="31">
        <f t="shared" si="2"/>
        <v>46279</v>
      </c>
      <c r="K71" s="31">
        <f>Table14[[#This Row],[week first day]]-7</f>
        <v>46272</v>
      </c>
      <c r="L71">
        <f t="shared" si="3"/>
        <v>3750</v>
      </c>
    </row>
    <row r="72" spans="1:12" x14ac:dyDescent="0.3">
      <c r="A72" s="8" t="s">
        <v>35</v>
      </c>
      <c r="B72" s="8" t="s">
        <v>36</v>
      </c>
      <c r="C72" s="8" t="s">
        <v>32</v>
      </c>
      <c r="D72" s="8">
        <v>55</v>
      </c>
      <c r="E72" s="8" t="s">
        <v>37</v>
      </c>
      <c r="F72" t="s">
        <v>34</v>
      </c>
      <c r="G72" s="9">
        <v>15000</v>
      </c>
      <c r="H72" s="7">
        <v>46290</v>
      </c>
      <c r="I72" s="9">
        <v>3750</v>
      </c>
      <c r="J72" s="31">
        <f t="shared" si="2"/>
        <v>46286</v>
      </c>
      <c r="K72" s="31">
        <f>Table14[[#This Row],[week first day]]-7</f>
        <v>46279</v>
      </c>
      <c r="L72">
        <f t="shared" si="3"/>
        <v>3750</v>
      </c>
    </row>
    <row r="73" spans="1:12" x14ac:dyDescent="0.3">
      <c r="A73" s="8" t="s">
        <v>35</v>
      </c>
      <c r="B73" s="8" t="s">
        <v>36</v>
      </c>
      <c r="C73" s="8" t="s">
        <v>32</v>
      </c>
      <c r="D73" s="8">
        <v>55</v>
      </c>
      <c r="E73" s="8" t="s">
        <v>37</v>
      </c>
      <c r="F73" t="s">
        <v>34</v>
      </c>
      <c r="G73" s="9">
        <v>15000</v>
      </c>
      <c r="H73" s="7">
        <v>46297</v>
      </c>
      <c r="I73" s="9">
        <v>3000</v>
      </c>
      <c r="J73" s="31">
        <f t="shared" si="2"/>
        <v>46293</v>
      </c>
      <c r="K73" s="31">
        <f>Table14[[#This Row],[week first day]]-7</f>
        <v>46286</v>
      </c>
      <c r="L73">
        <f t="shared" si="3"/>
        <v>3000</v>
      </c>
    </row>
    <row r="74" spans="1:12" x14ac:dyDescent="0.3">
      <c r="A74" s="8" t="s">
        <v>35</v>
      </c>
      <c r="B74" s="8" t="s">
        <v>36</v>
      </c>
      <c r="C74" s="8" t="s">
        <v>32</v>
      </c>
      <c r="D74" s="8">
        <v>55</v>
      </c>
      <c r="E74" s="8" t="s">
        <v>37</v>
      </c>
      <c r="F74" t="s">
        <v>34</v>
      </c>
      <c r="G74" s="9">
        <v>15000</v>
      </c>
      <c r="H74" s="7">
        <v>46304</v>
      </c>
      <c r="I74" s="9">
        <v>3000</v>
      </c>
      <c r="J74" s="31">
        <f t="shared" si="2"/>
        <v>46300</v>
      </c>
      <c r="K74" s="31">
        <f>Table14[[#This Row],[week first day]]-7</f>
        <v>46293</v>
      </c>
      <c r="L74">
        <f t="shared" si="3"/>
        <v>3000</v>
      </c>
    </row>
    <row r="75" spans="1:12" x14ac:dyDescent="0.3">
      <c r="A75" s="8" t="s">
        <v>35</v>
      </c>
      <c r="B75" s="8" t="s">
        <v>36</v>
      </c>
      <c r="C75" s="8" t="s">
        <v>32</v>
      </c>
      <c r="D75" s="8">
        <v>55</v>
      </c>
      <c r="E75" s="8" t="s">
        <v>37</v>
      </c>
      <c r="F75" t="s">
        <v>34</v>
      </c>
      <c r="G75" s="9">
        <v>15000</v>
      </c>
      <c r="H75" s="7">
        <v>46311</v>
      </c>
      <c r="I75" s="9">
        <v>3000</v>
      </c>
      <c r="J75" s="31">
        <f t="shared" si="2"/>
        <v>46307</v>
      </c>
      <c r="K75" s="31">
        <f>Table14[[#This Row],[week first day]]-7</f>
        <v>46300</v>
      </c>
      <c r="L75">
        <f t="shared" si="3"/>
        <v>3000</v>
      </c>
    </row>
    <row r="76" spans="1:12" x14ac:dyDescent="0.3">
      <c r="A76" s="8" t="s">
        <v>35</v>
      </c>
      <c r="B76" s="8" t="s">
        <v>36</v>
      </c>
      <c r="C76" s="8" t="s">
        <v>32</v>
      </c>
      <c r="D76" s="8">
        <v>55</v>
      </c>
      <c r="E76" s="8" t="s">
        <v>37</v>
      </c>
      <c r="F76" t="s">
        <v>34</v>
      </c>
      <c r="G76" s="9">
        <v>15000</v>
      </c>
      <c r="H76" s="7">
        <v>46318</v>
      </c>
      <c r="I76" s="9">
        <v>3000</v>
      </c>
      <c r="J76" s="31">
        <f t="shared" si="2"/>
        <v>46314</v>
      </c>
      <c r="K76" s="31">
        <f>Table14[[#This Row],[week first day]]-7</f>
        <v>46307</v>
      </c>
      <c r="L76">
        <f t="shared" si="3"/>
        <v>3000</v>
      </c>
    </row>
    <row r="77" spans="1:12" x14ac:dyDescent="0.3">
      <c r="A77" s="8" t="s">
        <v>35</v>
      </c>
      <c r="B77" s="8" t="s">
        <v>36</v>
      </c>
      <c r="C77" s="8" t="s">
        <v>32</v>
      </c>
      <c r="D77" s="8">
        <v>55</v>
      </c>
      <c r="E77" s="8" t="s">
        <v>37</v>
      </c>
      <c r="F77" t="s">
        <v>34</v>
      </c>
      <c r="G77" s="9">
        <v>15000</v>
      </c>
      <c r="H77" s="7">
        <v>46325</v>
      </c>
      <c r="I77" s="9">
        <v>3000</v>
      </c>
      <c r="J77" s="31">
        <f t="shared" si="2"/>
        <v>46321</v>
      </c>
      <c r="K77" s="31">
        <f>Table14[[#This Row],[week first day]]-7</f>
        <v>46314</v>
      </c>
      <c r="L77">
        <f t="shared" si="3"/>
        <v>3000</v>
      </c>
    </row>
    <row r="78" spans="1:12" x14ac:dyDescent="0.3">
      <c r="A78" s="8" t="s">
        <v>35</v>
      </c>
      <c r="B78" s="8" t="s">
        <v>36</v>
      </c>
      <c r="C78" s="8" t="s">
        <v>32</v>
      </c>
      <c r="D78" s="8">
        <v>55</v>
      </c>
      <c r="E78" s="8" t="s">
        <v>37</v>
      </c>
      <c r="F78" t="s">
        <v>34</v>
      </c>
      <c r="G78" s="9">
        <v>15000</v>
      </c>
      <c r="H78" s="7">
        <v>46332</v>
      </c>
      <c r="I78" s="9">
        <v>6250</v>
      </c>
      <c r="J78" s="31">
        <f t="shared" si="2"/>
        <v>46328</v>
      </c>
      <c r="K78" s="31">
        <f>Table14[[#This Row],[week first day]]-7</f>
        <v>46321</v>
      </c>
      <c r="L78">
        <f t="shared" si="3"/>
        <v>6250</v>
      </c>
    </row>
    <row r="79" spans="1:12" x14ac:dyDescent="0.3">
      <c r="A79" s="8" t="s">
        <v>35</v>
      </c>
      <c r="B79" s="8" t="s">
        <v>36</v>
      </c>
      <c r="C79" s="8" t="s">
        <v>32</v>
      </c>
      <c r="D79" s="8">
        <v>55</v>
      </c>
      <c r="E79" s="8" t="s">
        <v>37</v>
      </c>
      <c r="F79" t="s">
        <v>34</v>
      </c>
      <c r="G79" s="9">
        <v>15000</v>
      </c>
      <c r="H79" s="7">
        <v>46339</v>
      </c>
      <c r="I79" s="9">
        <v>6250</v>
      </c>
      <c r="J79" s="31">
        <f t="shared" si="2"/>
        <v>46335</v>
      </c>
      <c r="K79" s="31">
        <f>Table14[[#This Row],[week first day]]-7</f>
        <v>46328</v>
      </c>
      <c r="L79">
        <f t="shared" si="3"/>
        <v>6250</v>
      </c>
    </row>
    <row r="80" spans="1:12" x14ac:dyDescent="0.3">
      <c r="A80" s="8" t="s">
        <v>35</v>
      </c>
      <c r="B80" s="8" t="s">
        <v>36</v>
      </c>
      <c r="C80" s="8" t="s">
        <v>32</v>
      </c>
      <c r="D80" s="8">
        <v>55</v>
      </c>
      <c r="E80" s="8" t="s">
        <v>37</v>
      </c>
      <c r="F80" t="s">
        <v>34</v>
      </c>
      <c r="G80" s="9">
        <v>15000</v>
      </c>
      <c r="H80" s="7">
        <v>46346</v>
      </c>
      <c r="I80" s="9">
        <v>6250</v>
      </c>
      <c r="J80" s="31">
        <f t="shared" si="2"/>
        <v>46342</v>
      </c>
      <c r="K80" s="31">
        <f>Table14[[#This Row],[week first day]]-7</f>
        <v>46335</v>
      </c>
      <c r="L80">
        <f t="shared" si="3"/>
        <v>6250</v>
      </c>
    </row>
    <row r="81" spans="1:12" x14ac:dyDescent="0.3">
      <c r="A81" s="8" t="s">
        <v>35</v>
      </c>
      <c r="B81" s="8" t="s">
        <v>36</v>
      </c>
      <c r="C81" s="8" t="s">
        <v>32</v>
      </c>
      <c r="D81" s="8">
        <v>55</v>
      </c>
      <c r="E81" s="8" t="s">
        <v>37</v>
      </c>
      <c r="F81" t="s">
        <v>34</v>
      </c>
      <c r="G81" s="9">
        <v>15000</v>
      </c>
      <c r="H81" s="7">
        <v>46353</v>
      </c>
      <c r="I81" s="9">
        <v>6250</v>
      </c>
      <c r="J81" s="31">
        <f t="shared" si="2"/>
        <v>46349</v>
      </c>
      <c r="K81" s="31">
        <f>Table14[[#This Row],[week first day]]-7</f>
        <v>46342</v>
      </c>
      <c r="L81">
        <f t="shared" si="3"/>
        <v>6250</v>
      </c>
    </row>
    <row r="82" spans="1:12" x14ac:dyDescent="0.3">
      <c r="A82" s="8" t="s">
        <v>35</v>
      </c>
      <c r="B82" s="8" t="s">
        <v>36</v>
      </c>
      <c r="C82" s="8" t="s">
        <v>32</v>
      </c>
      <c r="D82" s="8">
        <v>55</v>
      </c>
      <c r="E82" s="8" t="s">
        <v>37</v>
      </c>
      <c r="F82" t="s">
        <v>34</v>
      </c>
      <c r="G82" s="9">
        <v>15000</v>
      </c>
      <c r="H82" s="7">
        <v>46360</v>
      </c>
      <c r="I82" s="9">
        <v>6250</v>
      </c>
      <c r="J82" s="31">
        <f t="shared" si="2"/>
        <v>46356</v>
      </c>
      <c r="K82" s="31">
        <f>Table14[[#This Row],[week first day]]-7</f>
        <v>46349</v>
      </c>
      <c r="L82">
        <f t="shared" si="3"/>
        <v>6250</v>
      </c>
    </row>
    <row r="83" spans="1:12" x14ac:dyDescent="0.3">
      <c r="A83" s="8" t="s">
        <v>35</v>
      </c>
      <c r="B83" s="8" t="s">
        <v>36</v>
      </c>
      <c r="C83" s="8" t="s">
        <v>32</v>
      </c>
      <c r="D83" s="8">
        <v>55</v>
      </c>
      <c r="E83" s="8" t="s">
        <v>37</v>
      </c>
      <c r="F83" t="s">
        <v>34</v>
      </c>
      <c r="G83" s="9">
        <v>15000</v>
      </c>
      <c r="H83" s="7">
        <v>46367</v>
      </c>
      <c r="I83" s="9">
        <v>6250</v>
      </c>
      <c r="J83" s="31">
        <f t="shared" si="2"/>
        <v>46363</v>
      </c>
      <c r="K83" s="31">
        <f>Table14[[#This Row],[week first day]]-7</f>
        <v>46356</v>
      </c>
      <c r="L83">
        <f t="shared" si="3"/>
        <v>6250</v>
      </c>
    </row>
    <row r="84" spans="1:12" x14ac:dyDescent="0.3">
      <c r="A84" s="8" t="s">
        <v>35</v>
      </c>
      <c r="B84" s="8" t="s">
        <v>36</v>
      </c>
      <c r="C84" s="8" t="s">
        <v>32</v>
      </c>
      <c r="D84" s="8">
        <v>55</v>
      </c>
      <c r="E84" s="8" t="s">
        <v>37</v>
      </c>
      <c r="F84" t="s">
        <v>34</v>
      </c>
      <c r="G84" s="9">
        <v>15000</v>
      </c>
      <c r="H84" s="7">
        <v>46374</v>
      </c>
      <c r="I84" s="9">
        <v>6250</v>
      </c>
      <c r="J84" s="31">
        <f t="shared" si="2"/>
        <v>46370</v>
      </c>
      <c r="K84" s="31">
        <f>Table14[[#This Row],[week first day]]-7</f>
        <v>46363</v>
      </c>
      <c r="L84">
        <f t="shared" si="3"/>
        <v>6250</v>
      </c>
    </row>
    <row r="85" spans="1:12" x14ac:dyDescent="0.3">
      <c r="A85" s="8" t="s">
        <v>35</v>
      </c>
      <c r="B85" s="8" t="s">
        <v>36</v>
      </c>
      <c r="C85" s="8" t="s">
        <v>32</v>
      </c>
      <c r="D85" s="8">
        <v>55</v>
      </c>
      <c r="E85" s="8" t="s">
        <v>37</v>
      </c>
      <c r="F85" t="s">
        <v>34</v>
      </c>
      <c r="G85" s="9">
        <v>15000</v>
      </c>
      <c r="H85" s="7">
        <v>46381</v>
      </c>
      <c r="I85" s="9">
        <v>6250</v>
      </c>
      <c r="J85" s="31">
        <f t="shared" si="2"/>
        <v>46377</v>
      </c>
      <c r="K85" s="31">
        <f>Table14[[#This Row],[week first day]]-7</f>
        <v>46370</v>
      </c>
      <c r="L85">
        <f t="shared" si="3"/>
        <v>6250</v>
      </c>
    </row>
    <row r="86" spans="1:12" x14ac:dyDescent="0.3">
      <c r="A86" s="8" t="s">
        <v>38</v>
      </c>
      <c r="B86" s="8" t="s">
        <v>39</v>
      </c>
      <c r="C86" s="8" t="s">
        <v>40</v>
      </c>
      <c r="D86" s="8">
        <v>80</v>
      </c>
      <c r="E86" s="8" t="s">
        <v>41</v>
      </c>
      <c r="F86" t="s">
        <v>42</v>
      </c>
      <c r="G86" s="8">
        <v>5000</v>
      </c>
      <c r="H86" s="7">
        <v>46157</v>
      </c>
      <c r="I86" s="9">
        <v>270</v>
      </c>
      <c r="J86" s="31">
        <f t="shared" si="2"/>
        <v>46153</v>
      </c>
      <c r="K86" s="31">
        <f>Table14[[#This Row],[week first day]]-7</f>
        <v>46146</v>
      </c>
      <c r="L86">
        <f t="shared" si="3"/>
        <v>4320</v>
      </c>
    </row>
    <row r="87" spans="1:12" x14ac:dyDescent="0.3">
      <c r="A87" s="8" t="s">
        <v>38</v>
      </c>
      <c r="B87" s="8" t="s">
        <v>39</v>
      </c>
      <c r="C87" s="8" t="s">
        <v>40</v>
      </c>
      <c r="D87" s="8">
        <v>80</v>
      </c>
      <c r="E87" s="8" t="s">
        <v>41</v>
      </c>
      <c r="F87" t="s">
        <v>42</v>
      </c>
      <c r="G87" s="8">
        <v>5000</v>
      </c>
      <c r="H87" s="7">
        <v>46157</v>
      </c>
      <c r="I87" s="9">
        <v>270</v>
      </c>
      <c r="J87" s="31">
        <f t="shared" si="2"/>
        <v>46153</v>
      </c>
      <c r="K87" s="31">
        <f>Table14[[#This Row],[week first day]]-7</f>
        <v>46146</v>
      </c>
      <c r="L87">
        <f t="shared" si="3"/>
        <v>4320</v>
      </c>
    </row>
    <row r="88" spans="1:12" x14ac:dyDescent="0.3">
      <c r="A88" s="8" t="s">
        <v>38</v>
      </c>
      <c r="B88" s="8" t="s">
        <v>39</v>
      </c>
      <c r="C88" s="8" t="s">
        <v>40</v>
      </c>
      <c r="D88" s="8">
        <v>80</v>
      </c>
      <c r="E88" s="8" t="s">
        <v>41</v>
      </c>
      <c r="F88" t="s">
        <v>42</v>
      </c>
      <c r="G88" s="8">
        <v>5000</v>
      </c>
      <c r="H88" s="7">
        <v>46157</v>
      </c>
      <c r="I88" s="9">
        <v>270</v>
      </c>
      <c r="J88" s="31">
        <f t="shared" si="2"/>
        <v>46153</v>
      </c>
      <c r="K88" s="31">
        <f>Table14[[#This Row],[week first day]]-7</f>
        <v>46146</v>
      </c>
      <c r="L88">
        <f t="shared" si="3"/>
        <v>4320</v>
      </c>
    </row>
    <row r="89" spans="1:12" x14ac:dyDescent="0.3">
      <c r="A89" s="8" t="s">
        <v>38</v>
      </c>
      <c r="B89" s="8" t="s">
        <v>39</v>
      </c>
      <c r="C89" s="8" t="s">
        <v>40</v>
      </c>
      <c r="D89" s="8">
        <v>80</v>
      </c>
      <c r="E89" s="8" t="s">
        <v>41</v>
      </c>
      <c r="F89" t="s">
        <v>42</v>
      </c>
      <c r="G89" s="8">
        <v>5000</v>
      </c>
      <c r="H89" s="7">
        <v>46157</v>
      </c>
      <c r="I89" s="9">
        <v>270</v>
      </c>
      <c r="J89" s="31">
        <f t="shared" si="2"/>
        <v>46153</v>
      </c>
      <c r="K89" s="31">
        <f>Table14[[#This Row],[week first day]]-7</f>
        <v>46146</v>
      </c>
      <c r="L89">
        <f t="shared" si="3"/>
        <v>4320</v>
      </c>
    </row>
    <row r="90" spans="1:12" x14ac:dyDescent="0.3">
      <c r="A90" s="8" t="s">
        <v>38</v>
      </c>
      <c r="B90" s="8" t="s">
        <v>39</v>
      </c>
      <c r="C90" s="8" t="s">
        <v>40</v>
      </c>
      <c r="D90" s="8">
        <v>80</v>
      </c>
      <c r="E90" s="8" t="s">
        <v>41</v>
      </c>
      <c r="F90" t="s">
        <v>42</v>
      </c>
      <c r="G90" s="8">
        <v>5000</v>
      </c>
      <c r="H90" s="7">
        <v>46157</v>
      </c>
      <c r="I90" s="9">
        <v>270</v>
      </c>
      <c r="J90" s="31">
        <f t="shared" si="2"/>
        <v>46153</v>
      </c>
      <c r="K90" s="31">
        <f>Table14[[#This Row],[week first day]]-7</f>
        <v>46146</v>
      </c>
      <c r="L90">
        <f t="shared" si="3"/>
        <v>4320</v>
      </c>
    </row>
    <row r="91" spans="1:12" x14ac:dyDescent="0.3">
      <c r="A91" s="8" t="s">
        <v>38</v>
      </c>
      <c r="B91" s="8" t="s">
        <v>39</v>
      </c>
      <c r="C91" s="8" t="s">
        <v>40</v>
      </c>
      <c r="D91" s="8">
        <v>80</v>
      </c>
      <c r="E91" s="8" t="s">
        <v>41</v>
      </c>
      <c r="F91" t="s">
        <v>42</v>
      </c>
      <c r="G91" s="8">
        <v>5000</v>
      </c>
      <c r="H91" s="7">
        <v>46157</v>
      </c>
      <c r="I91" s="9">
        <v>270</v>
      </c>
      <c r="J91" s="31">
        <f t="shared" si="2"/>
        <v>46153</v>
      </c>
      <c r="K91" s="31">
        <f>Table14[[#This Row],[week first day]]-7</f>
        <v>46146</v>
      </c>
      <c r="L91">
        <f t="shared" si="3"/>
        <v>4320</v>
      </c>
    </row>
    <row r="92" spans="1:12" x14ac:dyDescent="0.3">
      <c r="A92" s="8" t="s">
        <v>38</v>
      </c>
      <c r="B92" s="8" t="s">
        <v>39</v>
      </c>
      <c r="C92" s="8" t="s">
        <v>40</v>
      </c>
      <c r="D92" s="8">
        <v>80</v>
      </c>
      <c r="E92" s="8" t="s">
        <v>41</v>
      </c>
      <c r="F92" t="s">
        <v>42</v>
      </c>
      <c r="G92" s="8">
        <v>5000</v>
      </c>
      <c r="H92" s="7">
        <v>46157</v>
      </c>
      <c r="I92" s="9">
        <v>270</v>
      </c>
      <c r="J92" s="31">
        <f t="shared" si="2"/>
        <v>46153</v>
      </c>
      <c r="K92" s="31">
        <f>Table14[[#This Row],[week first day]]-7</f>
        <v>46146</v>
      </c>
      <c r="L92">
        <f t="shared" si="3"/>
        <v>4320</v>
      </c>
    </row>
    <row r="93" spans="1:12" x14ac:dyDescent="0.3">
      <c r="A93" s="8" t="s">
        <v>38</v>
      </c>
      <c r="B93" s="8" t="s">
        <v>39</v>
      </c>
      <c r="C93" s="8" t="s">
        <v>40</v>
      </c>
      <c r="D93" s="8">
        <v>80</v>
      </c>
      <c r="E93" s="8" t="s">
        <v>41</v>
      </c>
      <c r="F93" t="s">
        <v>42</v>
      </c>
      <c r="G93" s="8">
        <v>5000</v>
      </c>
      <c r="H93" s="7">
        <v>46157</v>
      </c>
      <c r="I93" s="9">
        <v>270</v>
      </c>
      <c r="J93" s="31">
        <f t="shared" si="2"/>
        <v>46153</v>
      </c>
      <c r="K93" s="31">
        <f>Table14[[#This Row],[week first day]]-7</f>
        <v>46146</v>
      </c>
      <c r="L93">
        <f t="shared" si="3"/>
        <v>4320</v>
      </c>
    </row>
    <row r="94" spans="1:12" x14ac:dyDescent="0.3">
      <c r="A94" s="8" t="s">
        <v>38</v>
      </c>
      <c r="B94" s="8" t="s">
        <v>39</v>
      </c>
      <c r="C94" s="8" t="s">
        <v>40</v>
      </c>
      <c r="D94" s="8">
        <v>80</v>
      </c>
      <c r="E94" s="8" t="s">
        <v>41</v>
      </c>
      <c r="F94" t="s">
        <v>42</v>
      </c>
      <c r="G94" s="8">
        <v>5000</v>
      </c>
      <c r="H94" s="7">
        <v>46157</v>
      </c>
      <c r="I94" s="9">
        <v>270</v>
      </c>
      <c r="J94" s="31">
        <f t="shared" si="2"/>
        <v>46153</v>
      </c>
      <c r="K94" s="31">
        <f>Table14[[#This Row],[week first day]]-7</f>
        <v>46146</v>
      </c>
      <c r="L94">
        <f t="shared" si="3"/>
        <v>4320</v>
      </c>
    </row>
    <row r="95" spans="1:12" x14ac:dyDescent="0.3">
      <c r="A95" s="8" t="s">
        <v>38</v>
      </c>
      <c r="B95" s="8" t="s">
        <v>39</v>
      </c>
      <c r="C95" s="8" t="s">
        <v>40</v>
      </c>
      <c r="D95" s="8">
        <v>80</v>
      </c>
      <c r="E95" s="8" t="s">
        <v>41</v>
      </c>
      <c r="F95" t="s">
        <v>42</v>
      </c>
      <c r="G95" s="8">
        <v>5000</v>
      </c>
      <c r="H95" s="7">
        <v>46157</v>
      </c>
      <c r="I95" s="9">
        <v>270</v>
      </c>
      <c r="J95" s="31">
        <f t="shared" si="2"/>
        <v>46153</v>
      </c>
      <c r="K95" s="31">
        <f>Table14[[#This Row],[week first day]]-7</f>
        <v>46146</v>
      </c>
      <c r="L95">
        <f t="shared" si="3"/>
        <v>4320</v>
      </c>
    </row>
    <row r="96" spans="1:12" x14ac:dyDescent="0.3">
      <c r="A96" s="8" t="s">
        <v>38</v>
      </c>
      <c r="B96" s="8" t="s">
        <v>39</v>
      </c>
      <c r="C96" s="8" t="s">
        <v>40</v>
      </c>
      <c r="D96" s="8">
        <v>80</v>
      </c>
      <c r="E96" s="8" t="s">
        <v>41</v>
      </c>
      <c r="F96" t="s">
        <v>42</v>
      </c>
      <c r="G96" s="8">
        <v>5000</v>
      </c>
      <c r="H96" s="7">
        <v>46157</v>
      </c>
      <c r="I96" s="9">
        <v>270</v>
      </c>
      <c r="J96" s="31">
        <f t="shared" si="2"/>
        <v>46153</v>
      </c>
      <c r="K96" s="31">
        <f>Table14[[#This Row],[week first day]]-7</f>
        <v>46146</v>
      </c>
      <c r="L96">
        <f t="shared" si="3"/>
        <v>4320</v>
      </c>
    </row>
    <row r="97" spans="1:12" x14ac:dyDescent="0.3">
      <c r="A97" s="8" t="s">
        <v>38</v>
      </c>
      <c r="B97" s="8" t="s">
        <v>39</v>
      </c>
      <c r="C97" s="8" t="s">
        <v>40</v>
      </c>
      <c r="D97" s="8">
        <v>80</v>
      </c>
      <c r="E97" s="8" t="s">
        <v>41</v>
      </c>
      <c r="F97" t="s">
        <v>42</v>
      </c>
      <c r="G97" s="8">
        <v>5000</v>
      </c>
      <c r="H97" s="7">
        <v>46157</v>
      </c>
      <c r="I97" s="9">
        <v>270</v>
      </c>
      <c r="J97" s="31">
        <f t="shared" si="2"/>
        <v>46153</v>
      </c>
      <c r="K97" s="31">
        <f>Table14[[#This Row],[week first day]]-7</f>
        <v>46146</v>
      </c>
      <c r="L97">
        <f t="shared" si="3"/>
        <v>4320</v>
      </c>
    </row>
    <row r="98" spans="1:12" x14ac:dyDescent="0.3">
      <c r="A98" s="8" t="s">
        <v>38</v>
      </c>
      <c r="B98" s="8" t="s">
        <v>39</v>
      </c>
      <c r="C98" s="8" t="s">
        <v>40</v>
      </c>
      <c r="D98" s="8">
        <v>80</v>
      </c>
      <c r="E98" s="8" t="s">
        <v>41</v>
      </c>
      <c r="F98" t="s">
        <v>42</v>
      </c>
      <c r="G98" s="8">
        <v>5000</v>
      </c>
      <c r="H98" s="7">
        <v>46157</v>
      </c>
      <c r="I98" s="9">
        <v>270</v>
      </c>
      <c r="J98" s="31">
        <f t="shared" si="2"/>
        <v>46153</v>
      </c>
      <c r="K98" s="31">
        <f>Table14[[#This Row],[week first day]]-7</f>
        <v>46146</v>
      </c>
      <c r="L98">
        <f t="shared" si="3"/>
        <v>4320</v>
      </c>
    </row>
    <row r="99" spans="1:12" x14ac:dyDescent="0.3">
      <c r="A99" s="8" t="s">
        <v>38</v>
      </c>
      <c r="B99" s="8" t="s">
        <v>39</v>
      </c>
      <c r="C99" s="8" t="s">
        <v>40</v>
      </c>
      <c r="D99" s="8">
        <v>80</v>
      </c>
      <c r="E99" s="8" t="s">
        <v>41</v>
      </c>
      <c r="F99" t="s">
        <v>42</v>
      </c>
      <c r="G99" s="8">
        <v>5000</v>
      </c>
      <c r="H99" s="7">
        <v>46157</v>
      </c>
      <c r="I99" s="9">
        <v>270</v>
      </c>
      <c r="J99" s="31">
        <f t="shared" si="2"/>
        <v>46153</v>
      </c>
      <c r="K99" s="31">
        <f>Table14[[#This Row],[week first day]]-7</f>
        <v>46146</v>
      </c>
      <c r="L99">
        <f t="shared" si="3"/>
        <v>4320</v>
      </c>
    </row>
    <row r="100" spans="1:12" x14ac:dyDescent="0.3">
      <c r="A100" s="8" t="s">
        <v>38</v>
      </c>
      <c r="B100" s="8" t="s">
        <v>39</v>
      </c>
      <c r="C100" s="8" t="s">
        <v>40</v>
      </c>
      <c r="D100" s="8">
        <v>80</v>
      </c>
      <c r="E100" s="8" t="s">
        <v>41</v>
      </c>
      <c r="F100" t="s">
        <v>42</v>
      </c>
      <c r="G100" s="8">
        <v>5000</v>
      </c>
      <c r="H100" s="7">
        <v>46157</v>
      </c>
      <c r="I100" s="9">
        <v>270</v>
      </c>
      <c r="J100" s="31">
        <f t="shared" si="2"/>
        <v>46153</v>
      </c>
      <c r="K100" s="31">
        <f>Table14[[#This Row],[week first day]]-7</f>
        <v>46146</v>
      </c>
      <c r="L100">
        <f t="shared" si="3"/>
        <v>4320</v>
      </c>
    </row>
    <row r="101" spans="1:12" x14ac:dyDescent="0.3">
      <c r="A101" s="8" t="s">
        <v>38</v>
      </c>
      <c r="B101" s="8" t="s">
        <v>39</v>
      </c>
      <c r="C101" s="8" t="s">
        <v>40</v>
      </c>
      <c r="D101" s="8">
        <v>80</v>
      </c>
      <c r="E101" s="8" t="s">
        <v>41</v>
      </c>
      <c r="F101" t="s">
        <v>42</v>
      </c>
      <c r="G101" s="8">
        <v>5000</v>
      </c>
      <c r="H101" s="7">
        <v>46157</v>
      </c>
      <c r="I101" s="9">
        <v>270</v>
      </c>
      <c r="J101" s="31">
        <f t="shared" si="2"/>
        <v>46153</v>
      </c>
      <c r="K101" s="31">
        <f>Table14[[#This Row],[week first day]]-7</f>
        <v>46146</v>
      </c>
      <c r="L101">
        <f t="shared" si="3"/>
        <v>4320</v>
      </c>
    </row>
    <row r="102" spans="1:12" x14ac:dyDescent="0.3">
      <c r="A102" s="8" t="s">
        <v>38</v>
      </c>
      <c r="B102" s="8" t="s">
        <v>39</v>
      </c>
      <c r="C102" s="8" t="s">
        <v>40</v>
      </c>
      <c r="D102" s="8">
        <v>80</v>
      </c>
      <c r="E102" s="8" t="s">
        <v>41</v>
      </c>
      <c r="F102" t="s">
        <v>42</v>
      </c>
      <c r="G102" s="8">
        <v>5000</v>
      </c>
      <c r="H102" s="7">
        <v>46164</v>
      </c>
      <c r="I102" s="9">
        <v>270</v>
      </c>
      <c r="J102" s="31">
        <f t="shared" si="2"/>
        <v>46160</v>
      </c>
      <c r="K102" s="31">
        <f>Table14[[#This Row],[week first day]]-7</f>
        <v>46153</v>
      </c>
      <c r="L102">
        <f t="shared" si="3"/>
        <v>8370</v>
      </c>
    </row>
    <row r="103" spans="1:12" x14ac:dyDescent="0.3">
      <c r="A103" s="8" t="s">
        <v>38</v>
      </c>
      <c r="B103" s="8" t="s">
        <v>39</v>
      </c>
      <c r="C103" s="8" t="s">
        <v>40</v>
      </c>
      <c r="D103" s="8">
        <v>80</v>
      </c>
      <c r="E103" s="8" t="s">
        <v>41</v>
      </c>
      <c r="F103" t="s">
        <v>42</v>
      </c>
      <c r="G103" s="8">
        <v>5000</v>
      </c>
      <c r="H103" s="7">
        <v>46164</v>
      </c>
      <c r="I103" s="9">
        <v>270</v>
      </c>
      <c r="J103" s="31">
        <f t="shared" si="2"/>
        <v>46160</v>
      </c>
      <c r="K103" s="31">
        <f>Table14[[#This Row],[week first day]]-7</f>
        <v>46153</v>
      </c>
      <c r="L103">
        <f t="shared" si="3"/>
        <v>8370</v>
      </c>
    </row>
    <row r="104" spans="1:12" x14ac:dyDescent="0.3">
      <c r="A104" s="8" t="s">
        <v>38</v>
      </c>
      <c r="B104" s="8" t="s">
        <v>39</v>
      </c>
      <c r="C104" s="8" t="s">
        <v>40</v>
      </c>
      <c r="D104" s="8">
        <v>80</v>
      </c>
      <c r="E104" s="8" t="s">
        <v>41</v>
      </c>
      <c r="F104" t="s">
        <v>42</v>
      </c>
      <c r="G104" s="8">
        <v>5000</v>
      </c>
      <c r="H104" s="7">
        <v>46164</v>
      </c>
      <c r="I104" s="9">
        <v>270</v>
      </c>
      <c r="J104" s="31">
        <f t="shared" si="2"/>
        <v>46160</v>
      </c>
      <c r="K104" s="31">
        <f>Table14[[#This Row],[week first day]]-7</f>
        <v>46153</v>
      </c>
      <c r="L104">
        <f t="shared" si="3"/>
        <v>8370</v>
      </c>
    </row>
    <row r="105" spans="1:12" x14ac:dyDescent="0.3">
      <c r="A105" s="8" t="s">
        <v>38</v>
      </c>
      <c r="B105" s="8" t="s">
        <v>39</v>
      </c>
      <c r="C105" s="8" t="s">
        <v>40</v>
      </c>
      <c r="D105" s="8">
        <v>80</v>
      </c>
      <c r="E105" s="8" t="s">
        <v>41</v>
      </c>
      <c r="F105" t="s">
        <v>42</v>
      </c>
      <c r="G105" s="8">
        <v>5000</v>
      </c>
      <c r="H105" s="7">
        <v>46164</v>
      </c>
      <c r="I105" s="9">
        <v>270</v>
      </c>
      <c r="J105" s="31">
        <f t="shared" si="2"/>
        <v>46160</v>
      </c>
      <c r="K105" s="31">
        <f>Table14[[#This Row],[week first day]]-7</f>
        <v>46153</v>
      </c>
      <c r="L105">
        <f t="shared" si="3"/>
        <v>8370</v>
      </c>
    </row>
    <row r="106" spans="1:12" x14ac:dyDescent="0.3">
      <c r="A106" s="8" t="s">
        <v>38</v>
      </c>
      <c r="B106" s="8" t="s">
        <v>39</v>
      </c>
      <c r="C106" s="8" t="s">
        <v>40</v>
      </c>
      <c r="D106" s="8">
        <v>80</v>
      </c>
      <c r="E106" s="8" t="s">
        <v>41</v>
      </c>
      <c r="F106" t="s">
        <v>42</v>
      </c>
      <c r="G106" s="8">
        <v>5000</v>
      </c>
      <c r="H106" s="7">
        <v>46164</v>
      </c>
      <c r="I106" s="9">
        <v>270</v>
      </c>
      <c r="J106" s="31">
        <f t="shared" si="2"/>
        <v>46160</v>
      </c>
      <c r="K106" s="31">
        <f>Table14[[#This Row],[week first day]]-7</f>
        <v>46153</v>
      </c>
      <c r="L106">
        <f t="shared" si="3"/>
        <v>8370</v>
      </c>
    </row>
    <row r="107" spans="1:12" x14ac:dyDescent="0.3">
      <c r="A107" s="8" t="s">
        <v>38</v>
      </c>
      <c r="B107" s="8" t="s">
        <v>39</v>
      </c>
      <c r="C107" s="8" t="s">
        <v>40</v>
      </c>
      <c r="D107" s="8">
        <v>80</v>
      </c>
      <c r="E107" s="8" t="s">
        <v>41</v>
      </c>
      <c r="F107" t="s">
        <v>42</v>
      </c>
      <c r="G107" s="8">
        <v>5000</v>
      </c>
      <c r="H107" s="7">
        <v>46164</v>
      </c>
      <c r="I107" s="9">
        <v>270</v>
      </c>
      <c r="J107" s="31">
        <f t="shared" si="2"/>
        <v>46160</v>
      </c>
      <c r="K107" s="31">
        <f>Table14[[#This Row],[week first day]]-7</f>
        <v>46153</v>
      </c>
      <c r="L107">
        <f t="shared" si="3"/>
        <v>8370</v>
      </c>
    </row>
    <row r="108" spans="1:12" x14ac:dyDescent="0.3">
      <c r="A108" s="8" t="s">
        <v>38</v>
      </c>
      <c r="B108" s="8" t="s">
        <v>39</v>
      </c>
      <c r="C108" s="8" t="s">
        <v>40</v>
      </c>
      <c r="D108" s="8">
        <v>80</v>
      </c>
      <c r="E108" s="8" t="s">
        <v>41</v>
      </c>
      <c r="F108" t="s">
        <v>42</v>
      </c>
      <c r="G108" s="8">
        <v>5000</v>
      </c>
      <c r="H108" s="7">
        <v>46164</v>
      </c>
      <c r="I108" s="9">
        <v>270</v>
      </c>
      <c r="J108" s="31">
        <f t="shared" si="2"/>
        <v>46160</v>
      </c>
      <c r="K108" s="31">
        <f>Table14[[#This Row],[week first day]]-7</f>
        <v>46153</v>
      </c>
      <c r="L108">
        <f t="shared" si="3"/>
        <v>8370</v>
      </c>
    </row>
    <row r="109" spans="1:12" x14ac:dyDescent="0.3">
      <c r="A109" s="8" t="s">
        <v>38</v>
      </c>
      <c r="B109" s="8" t="s">
        <v>39</v>
      </c>
      <c r="C109" s="8" t="s">
        <v>40</v>
      </c>
      <c r="D109" s="8">
        <v>80</v>
      </c>
      <c r="E109" s="8" t="s">
        <v>41</v>
      </c>
      <c r="F109" t="s">
        <v>42</v>
      </c>
      <c r="G109" s="8">
        <v>5000</v>
      </c>
      <c r="H109" s="7">
        <v>46164</v>
      </c>
      <c r="I109" s="9">
        <v>270</v>
      </c>
      <c r="J109" s="31">
        <f t="shared" si="2"/>
        <v>46160</v>
      </c>
      <c r="K109" s="31">
        <f>Table14[[#This Row],[week first day]]-7</f>
        <v>46153</v>
      </c>
      <c r="L109">
        <f t="shared" si="3"/>
        <v>8370</v>
      </c>
    </row>
    <row r="110" spans="1:12" x14ac:dyDescent="0.3">
      <c r="A110" s="8" t="s">
        <v>38</v>
      </c>
      <c r="B110" s="8" t="s">
        <v>39</v>
      </c>
      <c r="C110" s="8" t="s">
        <v>40</v>
      </c>
      <c r="D110" s="8">
        <v>80</v>
      </c>
      <c r="E110" s="8" t="s">
        <v>41</v>
      </c>
      <c r="F110" t="s">
        <v>42</v>
      </c>
      <c r="G110" s="8">
        <v>5000</v>
      </c>
      <c r="H110" s="7">
        <v>46164</v>
      </c>
      <c r="I110" s="9">
        <v>270</v>
      </c>
      <c r="J110" s="31">
        <f t="shared" si="2"/>
        <v>46160</v>
      </c>
      <c r="K110" s="31">
        <f>Table14[[#This Row],[week first day]]-7</f>
        <v>46153</v>
      </c>
      <c r="L110">
        <f t="shared" si="3"/>
        <v>8370</v>
      </c>
    </row>
    <row r="111" spans="1:12" x14ac:dyDescent="0.3">
      <c r="A111" s="8" t="s">
        <v>38</v>
      </c>
      <c r="B111" s="8" t="s">
        <v>39</v>
      </c>
      <c r="C111" s="8" t="s">
        <v>40</v>
      </c>
      <c r="D111" s="8">
        <v>80</v>
      </c>
      <c r="E111" s="8" t="s">
        <v>41</v>
      </c>
      <c r="F111" t="s">
        <v>42</v>
      </c>
      <c r="G111" s="8">
        <v>5000</v>
      </c>
      <c r="H111" s="7">
        <v>46164</v>
      </c>
      <c r="I111" s="9">
        <v>270</v>
      </c>
      <c r="J111" s="31">
        <f t="shared" si="2"/>
        <v>46160</v>
      </c>
      <c r="K111" s="31">
        <f>Table14[[#This Row],[week first day]]-7</f>
        <v>46153</v>
      </c>
      <c r="L111">
        <f t="shared" si="3"/>
        <v>8370</v>
      </c>
    </row>
    <row r="112" spans="1:12" x14ac:dyDescent="0.3">
      <c r="A112" s="8" t="s">
        <v>38</v>
      </c>
      <c r="B112" s="8" t="s">
        <v>39</v>
      </c>
      <c r="C112" s="8" t="s">
        <v>40</v>
      </c>
      <c r="D112" s="8">
        <v>80</v>
      </c>
      <c r="E112" s="8" t="s">
        <v>41</v>
      </c>
      <c r="F112" t="s">
        <v>42</v>
      </c>
      <c r="G112" s="8">
        <v>5000</v>
      </c>
      <c r="H112" s="7">
        <v>46164</v>
      </c>
      <c r="I112" s="9">
        <v>270</v>
      </c>
      <c r="J112" s="31">
        <f t="shared" si="2"/>
        <v>46160</v>
      </c>
      <c r="K112" s="31">
        <f>Table14[[#This Row],[week first day]]-7</f>
        <v>46153</v>
      </c>
      <c r="L112">
        <f t="shared" si="3"/>
        <v>8370</v>
      </c>
    </row>
    <row r="113" spans="1:12" x14ac:dyDescent="0.3">
      <c r="A113" s="8" t="s">
        <v>38</v>
      </c>
      <c r="B113" s="8" t="s">
        <v>39</v>
      </c>
      <c r="C113" s="8" t="s">
        <v>40</v>
      </c>
      <c r="D113" s="8">
        <v>80</v>
      </c>
      <c r="E113" s="8" t="s">
        <v>41</v>
      </c>
      <c r="F113" t="s">
        <v>42</v>
      </c>
      <c r="G113" s="8">
        <v>5000</v>
      </c>
      <c r="H113" s="7">
        <v>46164</v>
      </c>
      <c r="I113" s="9">
        <v>270</v>
      </c>
      <c r="J113" s="31">
        <f t="shared" si="2"/>
        <v>46160</v>
      </c>
      <c r="K113" s="31">
        <f>Table14[[#This Row],[week first day]]-7</f>
        <v>46153</v>
      </c>
      <c r="L113">
        <f t="shared" si="3"/>
        <v>8370</v>
      </c>
    </row>
    <row r="114" spans="1:12" x14ac:dyDescent="0.3">
      <c r="A114" s="8" t="s">
        <v>38</v>
      </c>
      <c r="B114" s="8" t="s">
        <v>39</v>
      </c>
      <c r="C114" s="8" t="s">
        <v>40</v>
      </c>
      <c r="D114" s="8">
        <v>80</v>
      </c>
      <c r="E114" s="8" t="s">
        <v>41</v>
      </c>
      <c r="F114" t="s">
        <v>42</v>
      </c>
      <c r="G114" s="8">
        <v>5000</v>
      </c>
      <c r="H114" s="7">
        <v>46164</v>
      </c>
      <c r="I114" s="9">
        <v>270</v>
      </c>
      <c r="J114" s="31">
        <f t="shared" si="2"/>
        <v>46160</v>
      </c>
      <c r="K114" s="31">
        <f>Table14[[#This Row],[week first day]]-7</f>
        <v>46153</v>
      </c>
      <c r="L114">
        <f t="shared" si="3"/>
        <v>8370</v>
      </c>
    </row>
    <row r="115" spans="1:12" x14ac:dyDescent="0.3">
      <c r="A115" s="8" t="s">
        <v>38</v>
      </c>
      <c r="B115" s="8" t="s">
        <v>39</v>
      </c>
      <c r="C115" s="8" t="s">
        <v>40</v>
      </c>
      <c r="D115" s="8">
        <v>80</v>
      </c>
      <c r="E115" s="8" t="s">
        <v>41</v>
      </c>
      <c r="F115" t="s">
        <v>42</v>
      </c>
      <c r="G115" s="8">
        <v>5000</v>
      </c>
      <c r="H115" s="7">
        <v>46164</v>
      </c>
      <c r="I115" s="9">
        <v>270</v>
      </c>
      <c r="J115" s="31">
        <f t="shared" si="2"/>
        <v>46160</v>
      </c>
      <c r="K115" s="31">
        <f>Table14[[#This Row],[week first day]]-7</f>
        <v>46153</v>
      </c>
      <c r="L115">
        <f t="shared" si="3"/>
        <v>8370</v>
      </c>
    </row>
    <row r="116" spans="1:12" x14ac:dyDescent="0.3">
      <c r="A116" s="8" t="s">
        <v>38</v>
      </c>
      <c r="B116" s="8" t="s">
        <v>39</v>
      </c>
      <c r="C116" s="8" t="s">
        <v>40</v>
      </c>
      <c r="D116" s="8">
        <v>80</v>
      </c>
      <c r="E116" s="8" t="s">
        <v>41</v>
      </c>
      <c r="F116" t="s">
        <v>42</v>
      </c>
      <c r="G116" s="8">
        <v>5000</v>
      </c>
      <c r="H116" s="7">
        <v>46164</v>
      </c>
      <c r="I116" s="9">
        <v>270</v>
      </c>
      <c r="J116" s="31">
        <f t="shared" si="2"/>
        <v>46160</v>
      </c>
      <c r="K116" s="31">
        <f>Table14[[#This Row],[week first day]]-7</f>
        <v>46153</v>
      </c>
      <c r="L116">
        <f t="shared" si="3"/>
        <v>8370</v>
      </c>
    </row>
    <row r="117" spans="1:12" x14ac:dyDescent="0.3">
      <c r="A117" s="8" t="s">
        <v>38</v>
      </c>
      <c r="B117" s="8" t="s">
        <v>39</v>
      </c>
      <c r="C117" s="8" t="s">
        <v>40</v>
      </c>
      <c r="D117" s="8">
        <v>80</v>
      </c>
      <c r="E117" s="8" t="s">
        <v>41</v>
      </c>
      <c r="F117" t="s">
        <v>42</v>
      </c>
      <c r="G117" s="8">
        <v>5000</v>
      </c>
      <c r="H117" s="7">
        <v>46164</v>
      </c>
      <c r="I117" s="9">
        <v>270</v>
      </c>
      <c r="J117" s="31">
        <f t="shared" si="2"/>
        <v>46160</v>
      </c>
      <c r="K117" s="31">
        <f>Table14[[#This Row],[week first day]]-7</f>
        <v>46153</v>
      </c>
      <c r="L117">
        <f t="shared" si="3"/>
        <v>8370</v>
      </c>
    </row>
    <row r="118" spans="1:12" x14ac:dyDescent="0.3">
      <c r="A118" s="8" t="s">
        <v>38</v>
      </c>
      <c r="B118" s="8" t="s">
        <v>39</v>
      </c>
      <c r="C118" s="8" t="s">
        <v>40</v>
      </c>
      <c r="D118" s="8">
        <v>80</v>
      </c>
      <c r="E118" s="8" t="s">
        <v>41</v>
      </c>
      <c r="F118" t="s">
        <v>42</v>
      </c>
      <c r="G118" s="8">
        <v>5000</v>
      </c>
      <c r="H118" s="7">
        <v>46164</v>
      </c>
      <c r="I118" s="9">
        <v>270</v>
      </c>
      <c r="J118" s="31">
        <f t="shared" si="2"/>
        <v>46160</v>
      </c>
      <c r="K118" s="31">
        <f>Table14[[#This Row],[week first day]]-7</f>
        <v>46153</v>
      </c>
      <c r="L118">
        <f t="shared" si="3"/>
        <v>8370</v>
      </c>
    </row>
    <row r="119" spans="1:12" x14ac:dyDescent="0.3">
      <c r="A119" s="8" t="s">
        <v>38</v>
      </c>
      <c r="B119" s="8" t="s">
        <v>39</v>
      </c>
      <c r="C119" s="8" t="s">
        <v>40</v>
      </c>
      <c r="D119" s="8">
        <v>80</v>
      </c>
      <c r="E119" s="8" t="s">
        <v>41</v>
      </c>
      <c r="F119" t="s">
        <v>42</v>
      </c>
      <c r="G119" s="8">
        <v>5000</v>
      </c>
      <c r="H119" s="7">
        <v>46164</v>
      </c>
      <c r="I119" s="9">
        <v>270</v>
      </c>
      <c r="J119" s="31">
        <f t="shared" si="2"/>
        <v>46160</v>
      </c>
      <c r="K119" s="31">
        <f>Table14[[#This Row],[week first day]]-7</f>
        <v>46153</v>
      </c>
      <c r="L119">
        <f t="shared" si="3"/>
        <v>8370</v>
      </c>
    </row>
    <row r="120" spans="1:12" x14ac:dyDescent="0.3">
      <c r="A120" s="8" t="s">
        <v>38</v>
      </c>
      <c r="B120" s="8" t="s">
        <v>39</v>
      </c>
      <c r="C120" s="8" t="s">
        <v>40</v>
      </c>
      <c r="D120" s="8">
        <v>80</v>
      </c>
      <c r="E120" s="8" t="s">
        <v>41</v>
      </c>
      <c r="F120" t="s">
        <v>42</v>
      </c>
      <c r="G120" s="8">
        <v>5000</v>
      </c>
      <c r="H120" s="7">
        <v>46164</v>
      </c>
      <c r="I120" s="9">
        <v>270</v>
      </c>
      <c r="J120" s="31">
        <f t="shared" si="2"/>
        <v>46160</v>
      </c>
      <c r="K120" s="31">
        <f>Table14[[#This Row],[week first day]]-7</f>
        <v>46153</v>
      </c>
      <c r="L120">
        <f t="shared" si="3"/>
        <v>8370</v>
      </c>
    </row>
    <row r="121" spans="1:12" x14ac:dyDescent="0.3">
      <c r="A121" s="8" t="s">
        <v>38</v>
      </c>
      <c r="B121" s="8" t="s">
        <v>39</v>
      </c>
      <c r="C121" s="8" t="s">
        <v>40</v>
      </c>
      <c r="D121" s="8">
        <v>80</v>
      </c>
      <c r="E121" s="8" t="s">
        <v>41</v>
      </c>
      <c r="F121" t="s">
        <v>42</v>
      </c>
      <c r="G121" s="8">
        <v>5000</v>
      </c>
      <c r="H121" s="7">
        <v>46164</v>
      </c>
      <c r="I121" s="9">
        <v>270</v>
      </c>
      <c r="J121" s="31">
        <f t="shared" si="2"/>
        <v>46160</v>
      </c>
      <c r="K121" s="31">
        <f>Table14[[#This Row],[week first day]]-7</f>
        <v>46153</v>
      </c>
      <c r="L121">
        <f t="shared" si="3"/>
        <v>8370</v>
      </c>
    </row>
    <row r="122" spans="1:12" x14ac:dyDescent="0.3">
      <c r="A122" s="8" t="s">
        <v>38</v>
      </c>
      <c r="B122" s="8" t="s">
        <v>39</v>
      </c>
      <c r="C122" s="8" t="s">
        <v>40</v>
      </c>
      <c r="D122" s="8">
        <v>80</v>
      </c>
      <c r="E122" s="8" t="s">
        <v>41</v>
      </c>
      <c r="F122" t="s">
        <v>42</v>
      </c>
      <c r="G122" s="8">
        <v>5000</v>
      </c>
      <c r="H122" s="7">
        <v>46164</v>
      </c>
      <c r="I122" s="9">
        <v>270</v>
      </c>
      <c r="J122" s="31">
        <f t="shared" si="2"/>
        <v>46160</v>
      </c>
      <c r="K122" s="31">
        <f>Table14[[#This Row],[week first day]]-7</f>
        <v>46153</v>
      </c>
      <c r="L122">
        <f t="shared" si="3"/>
        <v>8370</v>
      </c>
    </row>
    <row r="123" spans="1:12" x14ac:dyDescent="0.3">
      <c r="A123" s="8" t="s">
        <v>38</v>
      </c>
      <c r="B123" s="8" t="s">
        <v>39</v>
      </c>
      <c r="C123" s="8" t="s">
        <v>40</v>
      </c>
      <c r="D123" s="8">
        <v>80</v>
      </c>
      <c r="E123" s="8" t="s">
        <v>41</v>
      </c>
      <c r="F123" t="s">
        <v>42</v>
      </c>
      <c r="G123" s="8">
        <v>5000</v>
      </c>
      <c r="H123" s="7">
        <v>46164</v>
      </c>
      <c r="I123" s="9">
        <v>270</v>
      </c>
      <c r="J123" s="31">
        <f t="shared" si="2"/>
        <v>46160</v>
      </c>
      <c r="K123" s="31">
        <f>Table14[[#This Row],[week first day]]-7</f>
        <v>46153</v>
      </c>
      <c r="L123">
        <f t="shared" si="3"/>
        <v>8370</v>
      </c>
    </row>
    <row r="124" spans="1:12" x14ac:dyDescent="0.3">
      <c r="A124" s="8" t="s">
        <v>38</v>
      </c>
      <c r="B124" s="8" t="s">
        <v>39</v>
      </c>
      <c r="C124" s="8" t="s">
        <v>40</v>
      </c>
      <c r="D124" s="8">
        <v>80</v>
      </c>
      <c r="E124" s="8" t="s">
        <v>41</v>
      </c>
      <c r="F124" t="s">
        <v>42</v>
      </c>
      <c r="G124" s="8">
        <v>5000</v>
      </c>
      <c r="H124" s="7">
        <v>46164</v>
      </c>
      <c r="I124" s="9">
        <v>270</v>
      </c>
      <c r="J124" s="31">
        <f t="shared" si="2"/>
        <v>46160</v>
      </c>
      <c r="K124" s="31">
        <f>Table14[[#This Row],[week first day]]-7</f>
        <v>46153</v>
      </c>
      <c r="L124">
        <f t="shared" si="3"/>
        <v>8370</v>
      </c>
    </row>
    <row r="125" spans="1:12" x14ac:dyDescent="0.3">
      <c r="A125" s="8" t="s">
        <v>38</v>
      </c>
      <c r="B125" s="8" t="s">
        <v>39</v>
      </c>
      <c r="C125" s="8" t="s">
        <v>40</v>
      </c>
      <c r="D125" s="8">
        <v>80</v>
      </c>
      <c r="E125" s="8" t="s">
        <v>41</v>
      </c>
      <c r="F125" t="s">
        <v>42</v>
      </c>
      <c r="G125" s="8">
        <v>5000</v>
      </c>
      <c r="H125" s="7">
        <v>46164</v>
      </c>
      <c r="I125" s="9">
        <v>270</v>
      </c>
      <c r="J125" s="31">
        <f t="shared" si="2"/>
        <v>46160</v>
      </c>
      <c r="K125" s="31">
        <f>Table14[[#This Row],[week first day]]-7</f>
        <v>46153</v>
      </c>
      <c r="L125">
        <f t="shared" si="3"/>
        <v>8370</v>
      </c>
    </row>
    <row r="126" spans="1:12" x14ac:dyDescent="0.3">
      <c r="A126" s="8" t="s">
        <v>38</v>
      </c>
      <c r="B126" s="8" t="s">
        <v>39</v>
      </c>
      <c r="C126" s="8" t="s">
        <v>40</v>
      </c>
      <c r="D126" s="8">
        <v>80</v>
      </c>
      <c r="E126" s="8" t="s">
        <v>41</v>
      </c>
      <c r="F126" t="s">
        <v>42</v>
      </c>
      <c r="G126" s="8">
        <v>5000</v>
      </c>
      <c r="H126" s="7">
        <v>46164</v>
      </c>
      <c r="I126" s="9">
        <v>270</v>
      </c>
      <c r="J126" s="31">
        <f t="shared" si="2"/>
        <v>46160</v>
      </c>
      <c r="K126" s="31">
        <f>Table14[[#This Row],[week first day]]-7</f>
        <v>46153</v>
      </c>
      <c r="L126">
        <f t="shared" si="3"/>
        <v>8370</v>
      </c>
    </row>
    <row r="127" spans="1:12" x14ac:dyDescent="0.3">
      <c r="A127" s="8" t="s">
        <v>38</v>
      </c>
      <c r="B127" s="8" t="s">
        <v>39</v>
      </c>
      <c r="C127" s="8" t="s">
        <v>40</v>
      </c>
      <c r="D127" s="8">
        <v>80</v>
      </c>
      <c r="E127" s="8" t="s">
        <v>41</v>
      </c>
      <c r="F127" t="s">
        <v>42</v>
      </c>
      <c r="G127" s="8">
        <v>5000</v>
      </c>
      <c r="H127" s="7">
        <v>46164</v>
      </c>
      <c r="I127" s="9">
        <v>270</v>
      </c>
      <c r="J127" s="31">
        <f t="shared" si="2"/>
        <v>46160</v>
      </c>
      <c r="K127" s="31">
        <f>Table14[[#This Row],[week first day]]-7</f>
        <v>46153</v>
      </c>
      <c r="L127">
        <f t="shared" si="3"/>
        <v>8370</v>
      </c>
    </row>
    <row r="128" spans="1:12" x14ac:dyDescent="0.3">
      <c r="A128" s="8" t="s">
        <v>38</v>
      </c>
      <c r="B128" s="8" t="s">
        <v>39</v>
      </c>
      <c r="C128" s="8" t="s">
        <v>40</v>
      </c>
      <c r="D128" s="8">
        <v>80</v>
      </c>
      <c r="E128" s="8" t="s">
        <v>41</v>
      </c>
      <c r="F128" t="s">
        <v>42</v>
      </c>
      <c r="G128" s="8">
        <v>5000</v>
      </c>
      <c r="H128" s="7">
        <v>46164</v>
      </c>
      <c r="I128" s="9">
        <v>270</v>
      </c>
      <c r="J128" s="31">
        <f t="shared" si="2"/>
        <v>46160</v>
      </c>
      <c r="K128" s="31">
        <f>Table14[[#This Row],[week first day]]-7</f>
        <v>46153</v>
      </c>
      <c r="L128">
        <f t="shared" si="3"/>
        <v>8370</v>
      </c>
    </row>
    <row r="129" spans="1:12" x14ac:dyDescent="0.3">
      <c r="A129" s="8" t="s">
        <v>38</v>
      </c>
      <c r="B129" s="8" t="s">
        <v>39</v>
      </c>
      <c r="C129" s="8" t="s">
        <v>40</v>
      </c>
      <c r="D129" s="8">
        <v>80</v>
      </c>
      <c r="E129" s="8" t="s">
        <v>41</v>
      </c>
      <c r="F129" t="s">
        <v>42</v>
      </c>
      <c r="G129" s="8">
        <v>5000</v>
      </c>
      <c r="H129" s="7">
        <v>46164</v>
      </c>
      <c r="I129" s="9">
        <v>270</v>
      </c>
      <c r="J129" s="31">
        <f t="shared" si="2"/>
        <v>46160</v>
      </c>
      <c r="K129" s="31">
        <f>Table14[[#This Row],[week first day]]-7</f>
        <v>46153</v>
      </c>
      <c r="L129">
        <f t="shared" si="3"/>
        <v>8370</v>
      </c>
    </row>
    <row r="130" spans="1:12" x14ac:dyDescent="0.3">
      <c r="A130" s="8" t="s">
        <v>38</v>
      </c>
      <c r="B130" s="8" t="s">
        <v>39</v>
      </c>
      <c r="C130" s="8" t="s">
        <v>40</v>
      </c>
      <c r="D130" s="8">
        <v>80</v>
      </c>
      <c r="E130" s="8" t="s">
        <v>41</v>
      </c>
      <c r="F130" t="s">
        <v>42</v>
      </c>
      <c r="G130" s="8">
        <v>5000</v>
      </c>
      <c r="H130" s="7">
        <v>46164</v>
      </c>
      <c r="I130" s="9">
        <v>270</v>
      </c>
      <c r="J130" s="31">
        <f t="shared" ref="J130:J193" si="4">$M$1+7*INT((H130-$M$1)/7)</f>
        <v>46160</v>
      </c>
      <c r="K130" s="31">
        <f>Table14[[#This Row],[week first day]]-7</f>
        <v>46153</v>
      </c>
      <c r="L130">
        <f t="shared" si="3"/>
        <v>8370</v>
      </c>
    </row>
    <row r="131" spans="1:12" x14ac:dyDescent="0.3">
      <c r="A131" s="8" t="s">
        <v>38</v>
      </c>
      <c r="B131" s="8" t="s">
        <v>39</v>
      </c>
      <c r="C131" s="8" t="s">
        <v>40</v>
      </c>
      <c r="D131" s="8">
        <v>80</v>
      </c>
      <c r="E131" s="8" t="s">
        <v>41</v>
      </c>
      <c r="F131" t="s">
        <v>42</v>
      </c>
      <c r="G131" s="8">
        <v>5000</v>
      </c>
      <c r="H131" s="7">
        <v>46164</v>
      </c>
      <c r="I131" s="9">
        <v>270</v>
      </c>
      <c r="J131" s="31">
        <f t="shared" si="4"/>
        <v>46160</v>
      </c>
      <c r="K131" s="31">
        <f>Table14[[#This Row],[week first day]]-7</f>
        <v>46153</v>
      </c>
      <c r="L131">
        <f t="shared" ref="L131:L194" si="5">SUMIFS($I:$I,$A:$A,A131,J:J,J131)</f>
        <v>8370</v>
      </c>
    </row>
    <row r="132" spans="1:12" x14ac:dyDescent="0.3">
      <c r="A132" s="8" t="s">
        <v>38</v>
      </c>
      <c r="B132" s="8" t="s">
        <v>39</v>
      </c>
      <c r="C132" s="8" t="s">
        <v>40</v>
      </c>
      <c r="D132" s="8">
        <v>80</v>
      </c>
      <c r="E132" s="8" t="s">
        <v>41</v>
      </c>
      <c r="F132" t="s">
        <v>42</v>
      </c>
      <c r="G132" s="8">
        <v>5000</v>
      </c>
      <c r="H132" s="7">
        <v>46164</v>
      </c>
      <c r="I132" s="9">
        <v>270</v>
      </c>
      <c r="J132" s="31">
        <f t="shared" si="4"/>
        <v>46160</v>
      </c>
      <c r="K132" s="31">
        <f>Table14[[#This Row],[week first day]]-7</f>
        <v>46153</v>
      </c>
      <c r="L132">
        <f t="shared" si="5"/>
        <v>8370</v>
      </c>
    </row>
    <row r="133" spans="1:12" x14ac:dyDescent="0.3">
      <c r="A133" s="8" t="s">
        <v>38</v>
      </c>
      <c r="B133" s="8" t="s">
        <v>39</v>
      </c>
      <c r="C133" s="8" t="s">
        <v>40</v>
      </c>
      <c r="D133" s="8">
        <v>80</v>
      </c>
      <c r="E133" s="8" t="s">
        <v>41</v>
      </c>
      <c r="F133" t="s">
        <v>42</v>
      </c>
      <c r="G133" s="8">
        <v>5000</v>
      </c>
      <c r="H133" s="7">
        <v>46171</v>
      </c>
      <c r="I133" s="9">
        <v>267</v>
      </c>
      <c r="J133" s="31">
        <f t="shared" si="4"/>
        <v>46167</v>
      </c>
      <c r="K133" s="31">
        <f>Table14[[#This Row],[week first day]]-7</f>
        <v>46160</v>
      </c>
      <c r="L133">
        <f t="shared" si="5"/>
        <v>11782</v>
      </c>
    </row>
    <row r="134" spans="1:12" x14ac:dyDescent="0.3">
      <c r="A134" s="8" t="s">
        <v>38</v>
      </c>
      <c r="B134" s="8" t="s">
        <v>39</v>
      </c>
      <c r="C134" s="8" t="s">
        <v>40</v>
      </c>
      <c r="D134" s="8">
        <v>80</v>
      </c>
      <c r="E134" s="8" t="s">
        <v>41</v>
      </c>
      <c r="F134" t="s">
        <v>42</v>
      </c>
      <c r="G134" s="8">
        <v>5000</v>
      </c>
      <c r="H134" s="7">
        <v>46171</v>
      </c>
      <c r="I134" s="9">
        <v>178</v>
      </c>
      <c r="J134" s="31">
        <f t="shared" si="4"/>
        <v>46167</v>
      </c>
      <c r="K134" s="31">
        <f>Table14[[#This Row],[week first day]]-7</f>
        <v>46160</v>
      </c>
      <c r="L134">
        <f t="shared" si="5"/>
        <v>11782</v>
      </c>
    </row>
    <row r="135" spans="1:12" x14ac:dyDescent="0.3">
      <c r="A135" s="8" t="s">
        <v>38</v>
      </c>
      <c r="B135" s="8" t="s">
        <v>39</v>
      </c>
      <c r="C135" s="8" t="s">
        <v>40</v>
      </c>
      <c r="D135" s="8">
        <v>80</v>
      </c>
      <c r="E135" s="8" t="s">
        <v>41</v>
      </c>
      <c r="F135" t="s">
        <v>42</v>
      </c>
      <c r="G135" s="8">
        <v>5000</v>
      </c>
      <c r="H135" s="7">
        <v>46171</v>
      </c>
      <c r="I135" s="9">
        <v>270</v>
      </c>
      <c r="J135" s="31">
        <f t="shared" si="4"/>
        <v>46167</v>
      </c>
      <c r="K135" s="31">
        <f>Table14[[#This Row],[week first day]]-7</f>
        <v>46160</v>
      </c>
      <c r="L135">
        <f t="shared" si="5"/>
        <v>11782</v>
      </c>
    </row>
    <row r="136" spans="1:12" x14ac:dyDescent="0.3">
      <c r="A136" s="8" t="s">
        <v>38</v>
      </c>
      <c r="B136" s="8" t="s">
        <v>39</v>
      </c>
      <c r="C136" s="8" t="s">
        <v>40</v>
      </c>
      <c r="D136" s="8">
        <v>80</v>
      </c>
      <c r="E136" s="8" t="s">
        <v>41</v>
      </c>
      <c r="F136" t="s">
        <v>42</v>
      </c>
      <c r="G136" s="8">
        <v>5000</v>
      </c>
      <c r="H136" s="7">
        <v>46171</v>
      </c>
      <c r="I136" s="9">
        <v>270</v>
      </c>
      <c r="J136" s="31">
        <f t="shared" si="4"/>
        <v>46167</v>
      </c>
      <c r="K136" s="31">
        <f>Table14[[#This Row],[week first day]]-7</f>
        <v>46160</v>
      </c>
      <c r="L136">
        <f t="shared" si="5"/>
        <v>11782</v>
      </c>
    </row>
    <row r="137" spans="1:12" x14ac:dyDescent="0.3">
      <c r="A137" s="8" t="s">
        <v>38</v>
      </c>
      <c r="B137" s="8" t="s">
        <v>39</v>
      </c>
      <c r="C137" s="8" t="s">
        <v>40</v>
      </c>
      <c r="D137" s="8">
        <v>80</v>
      </c>
      <c r="E137" s="8" t="s">
        <v>41</v>
      </c>
      <c r="F137" t="s">
        <v>42</v>
      </c>
      <c r="G137" s="8">
        <v>5000</v>
      </c>
      <c r="H137" s="7">
        <v>46171</v>
      </c>
      <c r="I137" s="9">
        <v>270</v>
      </c>
      <c r="J137" s="31">
        <f t="shared" si="4"/>
        <v>46167</v>
      </c>
      <c r="K137" s="31">
        <f>Table14[[#This Row],[week first day]]-7</f>
        <v>46160</v>
      </c>
      <c r="L137">
        <f t="shared" si="5"/>
        <v>11782</v>
      </c>
    </row>
    <row r="138" spans="1:12" x14ac:dyDescent="0.3">
      <c r="A138" s="8" t="s">
        <v>38</v>
      </c>
      <c r="B138" s="8" t="s">
        <v>39</v>
      </c>
      <c r="C138" s="8" t="s">
        <v>40</v>
      </c>
      <c r="D138" s="8">
        <v>80</v>
      </c>
      <c r="E138" s="8" t="s">
        <v>41</v>
      </c>
      <c r="F138" t="s">
        <v>42</v>
      </c>
      <c r="G138" s="8">
        <v>5000</v>
      </c>
      <c r="H138" s="7">
        <v>46171</v>
      </c>
      <c r="I138" s="9">
        <v>270</v>
      </c>
      <c r="J138" s="31">
        <f t="shared" si="4"/>
        <v>46167</v>
      </c>
      <c r="K138" s="31">
        <f>Table14[[#This Row],[week first day]]-7</f>
        <v>46160</v>
      </c>
      <c r="L138">
        <f t="shared" si="5"/>
        <v>11782</v>
      </c>
    </row>
    <row r="139" spans="1:12" x14ac:dyDescent="0.3">
      <c r="A139" s="8" t="s">
        <v>38</v>
      </c>
      <c r="B139" s="8" t="s">
        <v>39</v>
      </c>
      <c r="C139" s="8" t="s">
        <v>40</v>
      </c>
      <c r="D139" s="8">
        <v>80</v>
      </c>
      <c r="E139" s="8" t="s">
        <v>41</v>
      </c>
      <c r="F139" t="s">
        <v>42</v>
      </c>
      <c r="G139" s="8">
        <v>5000</v>
      </c>
      <c r="H139" s="7">
        <v>46171</v>
      </c>
      <c r="I139" s="9">
        <v>270</v>
      </c>
      <c r="J139" s="31">
        <f t="shared" si="4"/>
        <v>46167</v>
      </c>
      <c r="K139" s="31">
        <f>Table14[[#This Row],[week first day]]-7</f>
        <v>46160</v>
      </c>
      <c r="L139">
        <f t="shared" si="5"/>
        <v>11782</v>
      </c>
    </row>
    <row r="140" spans="1:12" x14ac:dyDescent="0.3">
      <c r="A140" s="8" t="s">
        <v>38</v>
      </c>
      <c r="B140" s="8" t="s">
        <v>39</v>
      </c>
      <c r="C140" s="8" t="s">
        <v>40</v>
      </c>
      <c r="D140" s="8">
        <v>80</v>
      </c>
      <c r="E140" s="8" t="s">
        <v>41</v>
      </c>
      <c r="F140" t="s">
        <v>42</v>
      </c>
      <c r="G140" s="8">
        <v>5000</v>
      </c>
      <c r="H140" s="7">
        <v>46171</v>
      </c>
      <c r="I140" s="9">
        <v>270</v>
      </c>
      <c r="J140" s="31">
        <f t="shared" si="4"/>
        <v>46167</v>
      </c>
      <c r="K140" s="31">
        <f>Table14[[#This Row],[week first day]]-7</f>
        <v>46160</v>
      </c>
      <c r="L140">
        <f t="shared" si="5"/>
        <v>11782</v>
      </c>
    </row>
    <row r="141" spans="1:12" x14ac:dyDescent="0.3">
      <c r="A141" s="8" t="s">
        <v>38</v>
      </c>
      <c r="B141" s="8" t="s">
        <v>39</v>
      </c>
      <c r="C141" s="8" t="s">
        <v>40</v>
      </c>
      <c r="D141" s="8">
        <v>80</v>
      </c>
      <c r="E141" s="8" t="s">
        <v>41</v>
      </c>
      <c r="F141" t="s">
        <v>42</v>
      </c>
      <c r="G141" s="8">
        <v>5000</v>
      </c>
      <c r="H141" s="7">
        <v>46171</v>
      </c>
      <c r="I141" s="9">
        <v>162</v>
      </c>
      <c r="J141" s="31">
        <f t="shared" si="4"/>
        <v>46167</v>
      </c>
      <c r="K141" s="31">
        <f>Table14[[#This Row],[week first day]]-7</f>
        <v>46160</v>
      </c>
      <c r="L141">
        <f t="shared" si="5"/>
        <v>11782</v>
      </c>
    </row>
    <row r="142" spans="1:12" x14ac:dyDescent="0.3">
      <c r="A142" s="8" t="s">
        <v>38</v>
      </c>
      <c r="B142" s="8" t="s">
        <v>39</v>
      </c>
      <c r="C142" s="8" t="s">
        <v>40</v>
      </c>
      <c r="D142" s="8">
        <v>80</v>
      </c>
      <c r="E142" s="8" t="s">
        <v>41</v>
      </c>
      <c r="F142" t="s">
        <v>42</v>
      </c>
      <c r="G142" s="8">
        <v>5000</v>
      </c>
      <c r="H142" s="7">
        <v>46171</v>
      </c>
      <c r="I142" s="9">
        <v>210</v>
      </c>
      <c r="J142" s="31">
        <f t="shared" si="4"/>
        <v>46167</v>
      </c>
      <c r="K142" s="31">
        <f>Table14[[#This Row],[week first day]]-7</f>
        <v>46160</v>
      </c>
      <c r="L142">
        <f t="shared" si="5"/>
        <v>11782</v>
      </c>
    </row>
    <row r="143" spans="1:12" x14ac:dyDescent="0.3">
      <c r="A143" s="8" t="s">
        <v>38</v>
      </c>
      <c r="B143" s="8" t="s">
        <v>39</v>
      </c>
      <c r="C143" s="8" t="s">
        <v>40</v>
      </c>
      <c r="D143" s="8">
        <v>80</v>
      </c>
      <c r="E143" s="8" t="s">
        <v>41</v>
      </c>
      <c r="F143" t="s">
        <v>42</v>
      </c>
      <c r="G143" s="8">
        <v>5000</v>
      </c>
      <c r="H143" s="7">
        <v>46171</v>
      </c>
      <c r="I143" s="9">
        <v>270</v>
      </c>
      <c r="J143" s="31">
        <f t="shared" si="4"/>
        <v>46167</v>
      </c>
      <c r="K143" s="31">
        <f>Table14[[#This Row],[week first day]]-7</f>
        <v>46160</v>
      </c>
      <c r="L143">
        <f t="shared" si="5"/>
        <v>11782</v>
      </c>
    </row>
    <row r="144" spans="1:12" x14ac:dyDescent="0.3">
      <c r="A144" s="8" t="s">
        <v>38</v>
      </c>
      <c r="B144" s="8" t="s">
        <v>39</v>
      </c>
      <c r="C144" s="8" t="s">
        <v>40</v>
      </c>
      <c r="D144" s="8">
        <v>80</v>
      </c>
      <c r="E144" s="8" t="s">
        <v>41</v>
      </c>
      <c r="F144" t="s">
        <v>42</v>
      </c>
      <c r="G144" s="8">
        <v>5000</v>
      </c>
      <c r="H144" s="7">
        <v>46171</v>
      </c>
      <c r="I144" s="9">
        <v>270</v>
      </c>
      <c r="J144" s="31">
        <f t="shared" si="4"/>
        <v>46167</v>
      </c>
      <c r="K144" s="31">
        <f>Table14[[#This Row],[week first day]]-7</f>
        <v>46160</v>
      </c>
      <c r="L144">
        <f t="shared" si="5"/>
        <v>11782</v>
      </c>
    </row>
    <row r="145" spans="1:12" x14ac:dyDescent="0.3">
      <c r="A145" s="8" t="s">
        <v>38</v>
      </c>
      <c r="B145" s="8" t="s">
        <v>39</v>
      </c>
      <c r="C145" s="8" t="s">
        <v>40</v>
      </c>
      <c r="D145" s="8">
        <v>80</v>
      </c>
      <c r="E145" s="8" t="s">
        <v>41</v>
      </c>
      <c r="F145" t="s">
        <v>42</v>
      </c>
      <c r="G145" s="8">
        <v>5000</v>
      </c>
      <c r="H145" s="7">
        <v>46171</v>
      </c>
      <c r="I145" s="9">
        <v>270</v>
      </c>
      <c r="J145" s="31">
        <f t="shared" si="4"/>
        <v>46167</v>
      </c>
      <c r="K145" s="31">
        <f>Table14[[#This Row],[week first day]]-7</f>
        <v>46160</v>
      </c>
      <c r="L145">
        <f t="shared" si="5"/>
        <v>11782</v>
      </c>
    </row>
    <row r="146" spans="1:12" x14ac:dyDescent="0.3">
      <c r="A146" s="8" t="s">
        <v>38</v>
      </c>
      <c r="B146" s="8" t="s">
        <v>39</v>
      </c>
      <c r="C146" s="8" t="s">
        <v>40</v>
      </c>
      <c r="D146" s="8">
        <v>80</v>
      </c>
      <c r="E146" s="8" t="s">
        <v>41</v>
      </c>
      <c r="F146" t="s">
        <v>42</v>
      </c>
      <c r="G146" s="8">
        <v>5000</v>
      </c>
      <c r="H146" s="7">
        <v>46171</v>
      </c>
      <c r="I146" s="9">
        <v>270</v>
      </c>
      <c r="J146" s="31">
        <f t="shared" si="4"/>
        <v>46167</v>
      </c>
      <c r="K146" s="31">
        <f>Table14[[#This Row],[week first day]]-7</f>
        <v>46160</v>
      </c>
      <c r="L146">
        <f t="shared" si="5"/>
        <v>11782</v>
      </c>
    </row>
    <row r="147" spans="1:12" x14ac:dyDescent="0.3">
      <c r="A147" s="8" t="s">
        <v>38</v>
      </c>
      <c r="B147" s="8" t="s">
        <v>39</v>
      </c>
      <c r="C147" s="8" t="s">
        <v>40</v>
      </c>
      <c r="D147" s="8">
        <v>80</v>
      </c>
      <c r="E147" s="8" t="s">
        <v>41</v>
      </c>
      <c r="F147" t="s">
        <v>42</v>
      </c>
      <c r="G147" s="8">
        <v>5000</v>
      </c>
      <c r="H147" s="7">
        <v>46171</v>
      </c>
      <c r="I147" s="9">
        <v>270</v>
      </c>
      <c r="J147" s="31">
        <f t="shared" si="4"/>
        <v>46167</v>
      </c>
      <c r="K147" s="31">
        <f>Table14[[#This Row],[week first day]]-7</f>
        <v>46160</v>
      </c>
      <c r="L147">
        <f t="shared" si="5"/>
        <v>11782</v>
      </c>
    </row>
    <row r="148" spans="1:12" x14ac:dyDescent="0.3">
      <c r="A148" s="8" t="s">
        <v>38</v>
      </c>
      <c r="B148" s="8" t="s">
        <v>39</v>
      </c>
      <c r="C148" s="8" t="s">
        <v>40</v>
      </c>
      <c r="D148" s="8">
        <v>80</v>
      </c>
      <c r="E148" s="8" t="s">
        <v>41</v>
      </c>
      <c r="F148" t="s">
        <v>42</v>
      </c>
      <c r="G148" s="8">
        <v>5000</v>
      </c>
      <c r="H148" s="7">
        <v>46171</v>
      </c>
      <c r="I148" s="9">
        <v>270</v>
      </c>
      <c r="J148" s="31">
        <f t="shared" si="4"/>
        <v>46167</v>
      </c>
      <c r="K148" s="31">
        <f>Table14[[#This Row],[week first day]]-7</f>
        <v>46160</v>
      </c>
      <c r="L148">
        <f t="shared" si="5"/>
        <v>11782</v>
      </c>
    </row>
    <row r="149" spans="1:12" x14ac:dyDescent="0.3">
      <c r="A149" s="8" t="s">
        <v>38</v>
      </c>
      <c r="B149" s="8" t="s">
        <v>39</v>
      </c>
      <c r="C149" s="8" t="s">
        <v>40</v>
      </c>
      <c r="D149" s="8">
        <v>80</v>
      </c>
      <c r="E149" s="8" t="s">
        <v>41</v>
      </c>
      <c r="F149" t="s">
        <v>42</v>
      </c>
      <c r="G149" s="8">
        <v>5000</v>
      </c>
      <c r="H149" s="7">
        <v>46171</v>
      </c>
      <c r="I149" s="9">
        <v>270</v>
      </c>
      <c r="J149" s="31">
        <f t="shared" si="4"/>
        <v>46167</v>
      </c>
      <c r="K149" s="31">
        <f>Table14[[#This Row],[week first day]]-7</f>
        <v>46160</v>
      </c>
      <c r="L149">
        <f t="shared" si="5"/>
        <v>11782</v>
      </c>
    </row>
    <row r="150" spans="1:12" x14ac:dyDescent="0.3">
      <c r="A150" s="8" t="s">
        <v>38</v>
      </c>
      <c r="B150" s="8" t="s">
        <v>39</v>
      </c>
      <c r="C150" s="8" t="s">
        <v>40</v>
      </c>
      <c r="D150" s="8">
        <v>80</v>
      </c>
      <c r="E150" s="8" t="s">
        <v>41</v>
      </c>
      <c r="F150" t="s">
        <v>42</v>
      </c>
      <c r="G150" s="8">
        <v>5000</v>
      </c>
      <c r="H150" s="7">
        <v>46171</v>
      </c>
      <c r="I150" s="9">
        <v>270</v>
      </c>
      <c r="J150" s="31">
        <f t="shared" si="4"/>
        <v>46167</v>
      </c>
      <c r="K150" s="31">
        <f>Table14[[#This Row],[week first day]]-7</f>
        <v>46160</v>
      </c>
      <c r="L150">
        <f t="shared" si="5"/>
        <v>11782</v>
      </c>
    </row>
    <row r="151" spans="1:12" x14ac:dyDescent="0.3">
      <c r="A151" s="8" t="s">
        <v>38</v>
      </c>
      <c r="B151" s="8" t="s">
        <v>39</v>
      </c>
      <c r="C151" s="8" t="s">
        <v>40</v>
      </c>
      <c r="D151" s="8">
        <v>80</v>
      </c>
      <c r="E151" s="8" t="s">
        <v>41</v>
      </c>
      <c r="F151" t="s">
        <v>42</v>
      </c>
      <c r="G151" s="8">
        <v>5000</v>
      </c>
      <c r="H151" s="7">
        <v>46171</v>
      </c>
      <c r="I151" s="9">
        <v>270</v>
      </c>
      <c r="J151" s="31">
        <f t="shared" si="4"/>
        <v>46167</v>
      </c>
      <c r="K151" s="31">
        <f>Table14[[#This Row],[week first day]]-7</f>
        <v>46160</v>
      </c>
      <c r="L151">
        <f t="shared" si="5"/>
        <v>11782</v>
      </c>
    </row>
    <row r="152" spans="1:12" x14ac:dyDescent="0.3">
      <c r="A152" s="8" t="s">
        <v>38</v>
      </c>
      <c r="B152" s="8" t="s">
        <v>39</v>
      </c>
      <c r="C152" s="8" t="s">
        <v>40</v>
      </c>
      <c r="D152" s="8">
        <v>80</v>
      </c>
      <c r="E152" s="8" t="s">
        <v>41</v>
      </c>
      <c r="F152" t="s">
        <v>42</v>
      </c>
      <c r="G152" s="8">
        <v>5000</v>
      </c>
      <c r="H152" s="7">
        <v>46171</v>
      </c>
      <c r="I152" s="9">
        <v>270</v>
      </c>
      <c r="J152" s="31">
        <f t="shared" si="4"/>
        <v>46167</v>
      </c>
      <c r="K152" s="31">
        <f>Table14[[#This Row],[week first day]]-7</f>
        <v>46160</v>
      </c>
      <c r="L152">
        <f t="shared" si="5"/>
        <v>11782</v>
      </c>
    </row>
    <row r="153" spans="1:12" x14ac:dyDescent="0.3">
      <c r="A153" s="8" t="s">
        <v>38</v>
      </c>
      <c r="B153" s="8" t="s">
        <v>39</v>
      </c>
      <c r="C153" s="8" t="s">
        <v>40</v>
      </c>
      <c r="D153" s="8">
        <v>80</v>
      </c>
      <c r="E153" s="8" t="s">
        <v>41</v>
      </c>
      <c r="F153" t="s">
        <v>42</v>
      </c>
      <c r="G153" s="8">
        <v>5000</v>
      </c>
      <c r="H153" s="7">
        <v>46171</v>
      </c>
      <c r="I153" s="9">
        <v>270</v>
      </c>
      <c r="J153" s="31">
        <f t="shared" si="4"/>
        <v>46167</v>
      </c>
      <c r="K153" s="31">
        <f>Table14[[#This Row],[week first day]]-7</f>
        <v>46160</v>
      </c>
      <c r="L153">
        <f t="shared" si="5"/>
        <v>11782</v>
      </c>
    </row>
    <row r="154" spans="1:12" x14ac:dyDescent="0.3">
      <c r="A154" s="8" t="s">
        <v>38</v>
      </c>
      <c r="B154" s="8" t="s">
        <v>39</v>
      </c>
      <c r="C154" s="8" t="s">
        <v>40</v>
      </c>
      <c r="D154" s="8">
        <v>80</v>
      </c>
      <c r="E154" s="8" t="s">
        <v>41</v>
      </c>
      <c r="F154" t="s">
        <v>42</v>
      </c>
      <c r="G154" s="8">
        <v>5000</v>
      </c>
      <c r="H154" s="7">
        <v>46171</v>
      </c>
      <c r="I154" s="9">
        <v>270</v>
      </c>
      <c r="J154" s="31">
        <f t="shared" si="4"/>
        <v>46167</v>
      </c>
      <c r="K154" s="31">
        <f>Table14[[#This Row],[week first day]]-7</f>
        <v>46160</v>
      </c>
      <c r="L154">
        <f t="shared" si="5"/>
        <v>11782</v>
      </c>
    </row>
    <row r="155" spans="1:12" x14ac:dyDescent="0.3">
      <c r="A155" s="8" t="s">
        <v>38</v>
      </c>
      <c r="B155" s="8" t="s">
        <v>39</v>
      </c>
      <c r="C155" s="8" t="s">
        <v>40</v>
      </c>
      <c r="D155" s="8">
        <v>80</v>
      </c>
      <c r="E155" s="8" t="s">
        <v>41</v>
      </c>
      <c r="F155" t="s">
        <v>42</v>
      </c>
      <c r="G155" s="8">
        <v>5000</v>
      </c>
      <c r="H155" s="7">
        <v>46171</v>
      </c>
      <c r="I155" s="9">
        <v>270</v>
      </c>
      <c r="J155" s="31">
        <f t="shared" si="4"/>
        <v>46167</v>
      </c>
      <c r="K155" s="31">
        <f>Table14[[#This Row],[week first day]]-7</f>
        <v>46160</v>
      </c>
      <c r="L155">
        <f t="shared" si="5"/>
        <v>11782</v>
      </c>
    </row>
    <row r="156" spans="1:12" x14ac:dyDescent="0.3">
      <c r="A156" s="8" t="s">
        <v>38</v>
      </c>
      <c r="B156" s="8" t="s">
        <v>39</v>
      </c>
      <c r="C156" s="8" t="s">
        <v>40</v>
      </c>
      <c r="D156" s="8">
        <v>80</v>
      </c>
      <c r="E156" s="8" t="s">
        <v>41</v>
      </c>
      <c r="F156" t="s">
        <v>42</v>
      </c>
      <c r="G156" s="8">
        <v>5000</v>
      </c>
      <c r="H156" s="7">
        <v>46171</v>
      </c>
      <c r="I156" s="9">
        <v>270</v>
      </c>
      <c r="J156" s="31">
        <f t="shared" si="4"/>
        <v>46167</v>
      </c>
      <c r="K156" s="31">
        <f>Table14[[#This Row],[week first day]]-7</f>
        <v>46160</v>
      </c>
      <c r="L156">
        <f t="shared" si="5"/>
        <v>11782</v>
      </c>
    </row>
    <row r="157" spans="1:12" x14ac:dyDescent="0.3">
      <c r="A157" s="8" t="s">
        <v>38</v>
      </c>
      <c r="B157" s="8" t="s">
        <v>39</v>
      </c>
      <c r="C157" s="8" t="s">
        <v>40</v>
      </c>
      <c r="D157" s="8">
        <v>80</v>
      </c>
      <c r="E157" s="8" t="s">
        <v>41</v>
      </c>
      <c r="F157" t="s">
        <v>42</v>
      </c>
      <c r="G157" s="8">
        <v>5000</v>
      </c>
      <c r="H157" s="7">
        <v>46171</v>
      </c>
      <c r="I157" s="9">
        <v>270</v>
      </c>
      <c r="J157" s="31">
        <f t="shared" si="4"/>
        <v>46167</v>
      </c>
      <c r="K157" s="31">
        <f>Table14[[#This Row],[week first day]]-7</f>
        <v>46160</v>
      </c>
      <c r="L157">
        <f t="shared" si="5"/>
        <v>11782</v>
      </c>
    </row>
    <row r="158" spans="1:12" x14ac:dyDescent="0.3">
      <c r="A158" s="8" t="s">
        <v>38</v>
      </c>
      <c r="B158" s="8" t="s">
        <v>39</v>
      </c>
      <c r="C158" s="8" t="s">
        <v>40</v>
      </c>
      <c r="D158" s="8">
        <v>80</v>
      </c>
      <c r="E158" s="8" t="s">
        <v>41</v>
      </c>
      <c r="F158" t="s">
        <v>42</v>
      </c>
      <c r="G158" s="8">
        <v>5000</v>
      </c>
      <c r="H158" s="7">
        <v>46171</v>
      </c>
      <c r="I158" s="9">
        <v>270</v>
      </c>
      <c r="J158" s="31">
        <f t="shared" si="4"/>
        <v>46167</v>
      </c>
      <c r="K158" s="31">
        <f>Table14[[#This Row],[week first day]]-7</f>
        <v>46160</v>
      </c>
      <c r="L158">
        <f t="shared" si="5"/>
        <v>11782</v>
      </c>
    </row>
    <row r="159" spans="1:12" x14ac:dyDescent="0.3">
      <c r="A159" s="8" t="s">
        <v>38</v>
      </c>
      <c r="B159" s="8" t="s">
        <v>39</v>
      </c>
      <c r="C159" s="8" t="s">
        <v>40</v>
      </c>
      <c r="D159" s="8">
        <v>80</v>
      </c>
      <c r="E159" s="8" t="s">
        <v>41</v>
      </c>
      <c r="F159" t="s">
        <v>42</v>
      </c>
      <c r="G159" s="8">
        <v>5000</v>
      </c>
      <c r="H159" s="7">
        <v>46171</v>
      </c>
      <c r="I159" s="9">
        <v>270</v>
      </c>
      <c r="J159" s="31">
        <f t="shared" si="4"/>
        <v>46167</v>
      </c>
      <c r="K159" s="31">
        <f>Table14[[#This Row],[week first day]]-7</f>
        <v>46160</v>
      </c>
      <c r="L159">
        <f t="shared" si="5"/>
        <v>11782</v>
      </c>
    </row>
    <row r="160" spans="1:12" x14ac:dyDescent="0.3">
      <c r="A160" s="8" t="s">
        <v>38</v>
      </c>
      <c r="B160" s="8" t="s">
        <v>39</v>
      </c>
      <c r="C160" s="8" t="s">
        <v>40</v>
      </c>
      <c r="D160" s="8">
        <v>80</v>
      </c>
      <c r="E160" s="8" t="s">
        <v>41</v>
      </c>
      <c r="F160" t="s">
        <v>42</v>
      </c>
      <c r="G160" s="8">
        <v>5000</v>
      </c>
      <c r="H160" s="7">
        <v>46171</v>
      </c>
      <c r="I160" s="9">
        <v>270</v>
      </c>
      <c r="J160" s="31">
        <f t="shared" si="4"/>
        <v>46167</v>
      </c>
      <c r="K160" s="31">
        <f>Table14[[#This Row],[week first day]]-7</f>
        <v>46160</v>
      </c>
      <c r="L160">
        <f t="shared" si="5"/>
        <v>11782</v>
      </c>
    </row>
    <row r="161" spans="1:12" x14ac:dyDescent="0.3">
      <c r="A161" s="8" t="s">
        <v>38</v>
      </c>
      <c r="B161" s="8" t="s">
        <v>39</v>
      </c>
      <c r="C161" s="8" t="s">
        <v>40</v>
      </c>
      <c r="D161" s="8">
        <v>80</v>
      </c>
      <c r="E161" s="8" t="s">
        <v>41</v>
      </c>
      <c r="F161" t="s">
        <v>42</v>
      </c>
      <c r="G161" s="8">
        <v>5000</v>
      </c>
      <c r="H161" s="7">
        <v>46171</v>
      </c>
      <c r="I161" s="9">
        <v>270</v>
      </c>
      <c r="J161" s="31">
        <f t="shared" si="4"/>
        <v>46167</v>
      </c>
      <c r="K161" s="31">
        <f>Table14[[#This Row],[week first day]]-7</f>
        <v>46160</v>
      </c>
      <c r="L161">
        <f t="shared" si="5"/>
        <v>11782</v>
      </c>
    </row>
    <row r="162" spans="1:12" x14ac:dyDescent="0.3">
      <c r="A162" s="8" t="s">
        <v>38</v>
      </c>
      <c r="B162" s="8" t="s">
        <v>39</v>
      </c>
      <c r="C162" s="8" t="s">
        <v>40</v>
      </c>
      <c r="D162" s="8">
        <v>80</v>
      </c>
      <c r="E162" s="8" t="s">
        <v>41</v>
      </c>
      <c r="F162" t="s">
        <v>42</v>
      </c>
      <c r="G162" s="8">
        <v>5000</v>
      </c>
      <c r="H162" s="7">
        <v>46171</v>
      </c>
      <c r="I162" s="9">
        <v>270</v>
      </c>
      <c r="J162" s="31">
        <f t="shared" si="4"/>
        <v>46167</v>
      </c>
      <c r="K162" s="31">
        <f>Table14[[#This Row],[week first day]]-7</f>
        <v>46160</v>
      </c>
      <c r="L162">
        <f t="shared" si="5"/>
        <v>11782</v>
      </c>
    </row>
    <row r="163" spans="1:12" x14ac:dyDescent="0.3">
      <c r="A163" s="8" t="s">
        <v>38</v>
      </c>
      <c r="B163" s="8" t="s">
        <v>39</v>
      </c>
      <c r="C163" s="8" t="s">
        <v>40</v>
      </c>
      <c r="D163" s="8">
        <v>80</v>
      </c>
      <c r="E163" s="8" t="s">
        <v>41</v>
      </c>
      <c r="F163" t="s">
        <v>42</v>
      </c>
      <c r="G163" s="8">
        <v>5000</v>
      </c>
      <c r="H163" s="7">
        <v>46171</v>
      </c>
      <c r="I163" s="9">
        <v>270</v>
      </c>
      <c r="J163" s="31">
        <f t="shared" si="4"/>
        <v>46167</v>
      </c>
      <c r="K163" s="31">
        <f>Table14[[#This Row],[week first day]]-7</f>
        <v>46160</v>
      </c>
      <c r="L163">
        <f t="shared" si="5"/>
        <v>11782</v>
      </c>
    </row>
    <row r="164" spans="1:12" x14ac:dyDescent="0.3">
      <c r="A164" s="8" t="s">
        <v>38</v>
      </c>
      <c r="B164" s="8" t="s">
        <v>39</v>
      </c>
      <c r="C164" s="8" t="s">
        <v>40</v>
      </c>
      <c r="D164" s="8">
        <v>80</v>
      </c>
      <c r="E164" s="8" t="s">
        <v>41</v>
      </c>
      <c r="F164" t="s">
        <v>42</v>
      </c>
      <c r="G164" s="8">
        <v>5000</v>
      </c>
      <c r="H164" s="7">
        <v>46171</v>
      </c>
      <c r="I164" s="9">
        <v>270</v>
      </c>
      <c r="J164" s="31">
        <f t="shared" si="4"/>
        <v>46167</v>
      </c>
      <c r="K164" s="31">
        <f>Table14[[#This Row],[week first day]]-7</f>
        <v>46160</v>
      </c>
      <c r="L164">
        <f t="shared" si="5"/>
        <v>11782</v>
      </c>
    </row>
    <row r="165" spans="1:12" x14ac:dyDescent="0.3">
      <c r="A165" s="8" t="s">
        <v>38</v>
      </c>
      <c r="B165" s="8" t="s">
        <v>39</v>
      </c>
      <c r="C165" s="8" t="s">
        <v>40</v>
      </c>
      <c r="D165" s="8">
        <v>80</v>
      </c>
      <c r="E165" s="8" t="s">
        <v>41</v>
      </c>
      <c r="F165" t="s">
        <v>42</v>
      </c>
      <c r="G165" s="8">
        <v>5000</v>
      </c>
      <c r="H165" s="7">
        <v>46171</v>
      </c>
      <c r="I165" s="9">
        <v>270</v>
      </c>
      <c r="J165" s="31">
        <f t="shared" si="4"/>
        <v>46167</v>
      </c>
      <c r="K165" s="31">
        <f>Table14[[#This Row],[week first day]]-7</f>
        <v>46160</v>
      </c>
      <c r="L165">
        <f t="shared" si="5"/>
        <v>11782</v>
      </c>
    </row>
    <row r="166" spans="1:12" x14ac:dyDescent="0.3">
      <c r="A166" s="8" t="s">
        <v>38</v>
      </c>
      <c r="B166" s="8" t="s">
        <v>39</v>
      </c>
      <c r="C166" s="8" t="s">
        <v>40</v>
      </c>
      <c r="D166" s="8">
        <v>80</v>
      </c>
      <c r="E166" s="8" t="s">
        <v>41</v>
      </c>
      <c r="F166" t="s">
        <v>42</v>
      </c>
      <c r="G166" s="8">
        <v>5000</v>
      </c>
      <c r="H166" s="7">
        <v>46171</v>
      </c>
      <c r="I166" s="9">
        <v>270</v>
      </c>
      <c r="J166" s="31">
        <f t="shared" si="4"/>
        <v>46167</v>
      </c>
      <c r="K166" s="31">
        <f>Table14[[#This Row],[week first day]]-7</f>
        <v>46160</v>
      </c>
      <c r="L166">
        <f t="shared" si="5"/>
        <v>11782</v>
      </c>
    </row>
    <row r="167" spans="1:12" x14ac:dyDescent="0.3">
      <c r="A167" s="8" t="s">
        <v>38</v>
      </c>
      <c r="B167" s="8" t="s">
        <v>39</v>
      </c>
      <c r="C167" s="8" t="s">
        <v>40</v>
      </c>
      <c r="D167" s="8">
        <v>80</v>
      </c>
      <c r="E167" s="8" t="s">
        <v>41</v>
      </c>
      <c r="F167" t="s">
        <v>42</v>
      </c>
      <c r="G167" s="8">
        <v>5000</v>
      </c>
      <c r="H167" s="7">
        <v>46171</v>
      </c>
      <c r="I167" s="9">
        <v>270</v>
      </c>
      <c r="J167" s="31">
        <f t="shared" si="4"/>
        <v>46167</v>
      </c>
      <c r="K167" s="31">
        <f>Table14[[#This Row],[week first day]]-7</f>
        <v>46160</v>
      </c>
      <c r="L167">
        <f t="shared" si="5"/>
        <v>11782</v>
      </c>
    </row>
    <row r="168" spans="1:12" x14ac:dyDescent="0.3">
      <c r="A168" s="8" t="s">
        <v>38</v>
      </c>
      <c r="B168" s="8" t="s">
        <v>39</v>
      </c>
      <c r="C168" s="8" t="s">
        <v>40</v>
      </c>
      <c r="D168" s="8">
        <v>80</v>
      </c>
      <c r="E168" s="8" t="s">
        <v>41</v>
      </c>
      <c r="F168" t="s">
        <v>42</v>
      </c>
      <c r="G168" s="8">
        <v>5000</v>
      </c>
      <c r="H168" s="7">
        <v>46171</v>
      </c>
      <c r="I168" s="9">
        <v>270</v>
      </c>
      <c r="J168" s="31">
        <f t="shared" si="4"/>
        <v>46167</v>
      </c>
      <c r="K168" s="31">
        <f>Table14[[#This Row],[week first day]]-7</f>
        <v>46160</v>
      </c>
      <c r="L168">
        <f t="shared" si="5"/>
        <v>11782</v>
      </c>
    </row>
    <row r="169" spans="1:12" x14ac:dyDescent="0.3">
      <c r="A169" s="8" t="s">
        <v>38</v>
      </c>
      <c r="B169" s="8" t="s">
        <v>39</v>
      </c>
      <c r="C169" s="8" t="s">
        <v>40</v>
      </c>
      <c r="D169" s="8">
        <v>80</v>
      </c>
      <c r="E169" s="8" t="s">
        <v>41</v>
      </c>
      <c r="F169" t="s">
        <v>42</v>
      </c>
      <c r="G169" s="8">
        <v>5000</v>
      </c>
      <c r="H169" s="7">
        <v>46171</v>
      </c>
      <c r="I169" s="9">
        <v>270</v>
      </c>
      <c r="J169" s="31">
        <f t="shared" si="4"/>
        <v>46167</v>
      </c>
      <c r="K169" s="31">
        <f>Table14[[#This Row],[week first day]]-7</f>
        <v>46160</v>
      </c>
      <c r="L169">
        <f t="shared" si="5"/>
        <v>11782</v>
      </c>
    </row>
    <row r="170" spans="1:12" x14ac:dyDescent="0.3">
      <c r="A170" s="8" t="s">
        <v>38</v>
      </c>
      <c r="B170" s="8" t="s">
        <v>39</v>
      </c>
      <c r="C170" s="8" t="s">
        <v>40</v>
      </c>
      <c r="D170" s="8">
        <v>80</v>
      </c>
      <c r="E170" s="8" t="s">
        <v>41</v>
      </c>
      <c r="F170" t="s">
        <v>42</v>
      </c>
      <c r="G170" s="8">
        <v>5000</v>
      </c>
      <c r="H170" s="7">
        <v>46171</v>
      </c>
      <c r="I170" s="9">
        <v>270</v>
      </c>
      <c r="J170" s="31">
        <f t="shared" si="4"/>
        <v>46167</v>
      </c>
      <c r="K170" s="31">
        <f>Table14[[#This Row],[week first day]]-7</f>
        <v>46160</v>
      </c>
      <c r="L170">
        <f t="shared" si="5"/>
        <v>11782</v>
      </c>
    </row>
    <row r="171" spans="1:12" x14ac:dyDescent="0.3">
      <c r="A171" s="8" t="s">
        <v>38</v>
      </c>
      <c r="B171" s="8" t="s">
        <v>39</v>
      </c>
      <c r="C171" s="8" t="s">
        <v>40</v>
      </c>
      <c r="D171" s="8">
        <v>80</v>
      </c>
      <c r="E171" s="8" t="s">
        <v>41</v>
      </c>
      <c r="F171" t="s">
        <v>42</v>
      </c>
      <c r="G171" s="8">
        <v>5000</v>
      </c>
      <c r="H171" s="7">
        <v>46171</v>
      </c>
      <c r="I171" s="9">
        <v>263</v>
      </c>
      <c r="J171" s="31">
        <f t="shared" si="4"/>
        <v>46167</v>
      </c>
      <c r="K171" s="31">
        <f>Table14[[#This Row],[week first day]]-7</f>
        <v>46160</v>
      </c>
      <c r="L171">
        <f t="shared" si="5"/>
        <v>11782</v>
      </c>
    </row>
    <row r="172" spans="1:12" x14ac:dyDescent="0.3">
      <c r="A172" s="8" t="s">
        <v>38</v>
      </c>
      <c r="B172" s="8" t="s">
        <v>39</v>
      </c>
      <c r="C172" s="8" t="s">
        <v>40</v>
      </c>
      <c r="D172" s="8">
        <v>80</v>
      </c>
      <c r="E172" s="8" t="s">
        <v>41</v>
      </c>
      <c r="F172" t="s">
        <v>42</v>
      </c>
      <c r="G172" s="8">
        <v>5000</v>
      </c>
      <c r="H172" s="7">
        <v>46171</v>
      </c>
      <c r="I172" s="9">
        <v>220</v>
      </c>
      <c r="J172" s="31">
        <f t="shared" si="4"/>
        <v>46167</v>
      </c>
      <c r="K172" s="31">
        <f>Table14[[#This Row],[week first day]]-7</f>
        <v>46160</v>
      </c>
      <c r="L172">
        <f t="shared" si="5"/>
        <v>11782</v>
      </c>
    </row>
    <row r="173" spans="1:12" x14ac:dyDescent="0.3">
      <c r="A173" s="8" t="s">
        <v>38</v>
      </c>
      <c r="B173" s="8" t="s">
        <v>39</v>
      </c>
      <c r="C173" s="8" t="s">
        <v>40</v>
      </c>
      <c r="D173" s="8">
        <v>80</v>
      </c>
      <c r="E173" s="8" t="s">
        <v>41</v>
      </c>
      <c r="F173" t="s">
        <v>42</v>
      </c>
      <c r="G173" s="8">
        <v>5000</v>
      </c>
      <c r="H173" s="7">
        <v>46171</v>
      </c>
      <c r="I173" s="9">
        <v>270</v>
      </c>
      <c r="J173" s="31">
        <f t="shared" si="4"/>
        <v>46167</v>
      </c>
      <c r="K173" s="31">
        <f>Table14[[#This Row],[week first day]]-7</f>
        <v>46160</v>
      </c>
      <c r="L173">
        <f t="shared" si="5"/>
        <v>11782</v>
      </c>
    </row>
    <row r="174" spans="1:12" x14ac:dyDescent="0.3">
      <c r="A174" s="8" t="s">
        <v>38</v>
      </c>
      <c r="B174" s="8" t="s">
        <v>39</v>
      </c>
      <c r="C174" s="8" t="s">
        <v>40</v>
      </c>
      <c r="D174" s="8">
        <v>80</v>
      </c>
      <c r="E174" s="8" t="s">
        <v>41</v>
      </c>
      <c r="F174" t="s">
        <v>42</v>
      </c>
      <c r="G174" s="8">
        <v>5000</v>
      </c>
      <c r="H174" s="7">
        <v>46171</v>
      </c>
      <c r="I174" s="9">
        <v>270</v>
      </c>
      <c r="J174" s="31">
        <f t="shared" si="4"/>
        <v>46167</v>
      </c>
      <c r="K174" s="31">
        <f>Table14[[#This Row],[week first day]]-7</f>
        <v>46160</v>
      </c>
      <c r="L174">
        <f t="shared" si="5"/>
        <v>11782</v>
      </c>
    </row>
    <row r="175" spans="1:12" x14ac:dyDescent="0.3">
      <c r="A175" s="8" t="s">
        <v>38</v>
      </c>
      <c r="B175" s="8" t="s">
        <v>39</v>
      </c>
      <c r="C175" s="8" t="s">
        <v>40</v>
      </c>
      <c r="D175" s="8">
        <v>80</v>
      </c>
      <c r="E175" s="8" t="s">
        <v>41</v>
      </c>
      <c r="F175" t="s">
        <v>42</v>
      </c>
      <c r="G175" s="8">
        <v>5000</v>
      </c>
      <c r="H175" s="7">
        <v>46171</v>
      </c>
      <c r="I175" s="9">
        <v>246</v>
      </c>
      <c r="J175" s="31">
        <f t="shared" si="4"/>
        <v>46167</v>
      </c>
      <c r="K175" s="31">
        <f>Table14[[#This Row],[week first day]]-7</f>
        <v>46160</v>
      </c>
      <c r="L175">
        <f t="shared" si="5"/>
        <v>11782</v>
      </c>
    </row>
    <row r="176" spans="1:12" x14ac:dyDescent="0.3">
      <c r="A176" s="8" t="s">
        <v>38</v>
      </c>
      <c r="B176" s="8" t="s">
        <v>39</v>
      </c>
      <c r="C176" s="8" t="s">
        <v>40</v>
      </c>
      <c r="D176" s="8">
        <v>80</v>
      </c>
      <c r="E176" s="8" t="s">
        <v>41</v>
      </c>
      <c r="F176" t="s">
        <v>42</v>
      </c>
      <c r="G176" s="8">
        <v>5000</v>
      </c>
      <c r="H176" s="7">
        <v>46171</v>
      </c>
      <c r="I176" s="9">
        <v>246</v>
      </c>
      <c r="J176" s="31">
        <f t="shared" si="4"/>
        <v>46167</v>
      </c>
      <c r="K176" s="31">
        <f>Table14[[#This Row],[week first day]]-7</f>
        <v>46160</v>
      </c>
      <c r="L176">
        <f t="shared" si="5"/>
        <v>11782</v>
      </c>
    </row>
    <row r="177" spans="1:12" x14ac:dyDescent="0.3">
      <c r="A177" s="8" t="s">
        <v>38</v>
      </c>
      <c r="B177" s="8" t="s">
        <v>39</v>
      </c>
      <c r="C177" s="8" t="s">
        <v>40</v>
      </c>
      <c r="D177" s="8">
        <v>80</v>
      </c>
      <c r="E177" s="8" t="s">
        <v>41</v>
      </c>
      <c r="F177" t="s">
        <v>42</v>
      </c>
      <c r="G177" s="8">
        <v>5000</v>
      </c>
      <c r="H177" s="7">
        <v>46171</v>
      </c>
      <c r="I177" s="9">
        <v>270</v>
      </c>
      <c r="J177" s="31">
        <f t="shared" si="4"/>
        <v>46167</v>
      </c>
      <c r="K177" s="31">
        <f>Table14[[#This Row],[week first day]]-7</f>
        <v>46160</v>
      </c>
      <c r="L177">
        <f t="shared" si="5"/>
        <v>11782</v>
      </c>
    </row>
    <row r="178" spans="1:12" x14ac:dyDescent="0.3">
      <c r="A178" s="8" t="s">
        <v>38</v>
      </c>
      <c r="B178" s="8" t="s">
        <v>39</v>
      </c>
      <c r="C178" s="8" t="s">
        <v>40</v>
      </c>
      <c r="D178" s="8">
        <v>80</v>
      </c>
      <c r="E178" s="8" t="s">
        <v>41</v>
      </c>
      <c r="F178" t="s">
        <v>42</v>
      </c>
      <c r="G178" s="8">
        <v>5000</v>
      </c>
      <c r="H178" s="7">
        <v>46176</v>
      </c>
      <c r="I178" s="9">
        <v>270</v>
      </c>
      <c r="J178" s="31">
        <f t="shared" si="4"/>
        <v>46174</v>
      </c>
      <c r="K178" s="31">
        <f>Table14[[#This Row],[week first day]]-7</f>
        <v>46167</v>
      </c>
      <c r="L178">
        <f t="shared" si="5"/>
        <v>10524</v>
      </c>
    </row>
    <row r="179" spans="1:12" x14ac:dyDescent="0.3">
      <c r="A179" s="8" t="s">
        <v>38</v>
      </c>
      <c r="B179" s="8" t="s">
        <v>39</v>
      </c>
      <c r="C179" s="8" t="s">
        <v>40</v>
      </c>
      <c r="D179" s="8">
        <v>80</v>
      </c>
      <c r="E179" s="8" t="s">
        <v>41</v>
      </c>
      <c r="F179" t="s">
        <v>42</v>
      </c>
      <c r="G179" s="8">
        <v>5000</v>
      </c>
      <c r="H179" s="7">
        <v>46176</v>
      </c>
      <c r="I179" s="9">
        <v>264</v>
      </c>
      <c r="J179" s="31">
        <f t="shared" si="4"/>
        <v>46174</v>
      </c>
      <c r="K179" s="31">
        <f>Table14[[#This Row],[week first day]]-7</f>
        <v>46167</v>
      </c>
      <c r="L179">
        <f t="shared" si="5"/>
        <v>10524</v>
      </c>
    </row>
    <row r="180" spans="1:12" x14ac:dyDescent="0.3">
      <c r="A180" s="8" t="s">
        <v>38</v>
      </c>
      <c r="B180" s="8" t="s">
        <v>39</v>
      </c>
      <c r="C180" s="8" t="s">
        <v>40</v>
      </c>
      <c r="D180" s="8">
        <v>80</v>
      </c>
      <c r="E180" s="8" t="s">
        <v>41</v>
      </c>
      <c r="F180" t="s">
        <v>42</v>
      </c>
      <c r="G180" s="8">
        <v>5000</v>
      </c>
      <c r="H180" s="7">
        <v>46178</v>
      </c>
      <c r="I180" s="9">
        <v>270</v>
      </c>
      <c r="J180" s="31">
        <f t="shared" si="4"/>
        <v>46174</v>
      </c>
      <c r="K180" s="31">
        <f>Table14[[#This Row],[week first day]]-7</f>
        <v>46167</v>
      </c>
      <c r="L180">
        <f t="shared" si="5"/>
        <v>10524</v>
      </c>
    </row>
    <row r="181" spans="1:12" x14ac:dyDescent="0.3">
      <c r="A181" s="8" t="s">
        <v>38</v>
      </c>
      <c r="B181" s="8" t="s">
        <v>39</v>
      </c>
      <c r="C181" s="8" t="s">
        <v>40</v>
      </c>
      <c r="D181" s="8">
        <v>80</v>
      </c>
      <c r="E181" s="8" t="s">
        <v>41</v>
      </c>
      <c r="F181" t="s">
        <v>42</v>
      </c>
      <c r="G181" s="8">
        <v>5000</v>
      </c>
      <c r="H181" s="7">
        <v>46178</v>
      </c>
      <c r="I181" s="9">
        <v>270</v>
      </c>
      <c r="J181" s="31">
        <f t="shared" si="4"/>
        <v>46174</v>
      </c>
      <c r="K181" s="31">
        <f>Table14[[#This Row],[week first day]]-7</f>
        <v>46167</v>
      </c>
      <c r="L181">
        <f t="shared" si="5"/>
        <v>10524</v>
      </c>
    </row>
    <row r="182" spans="1:12" x14ac:dyDescent="0.3">
      <c r="A182" s="8" t="s">
        <v>38</v>
      </c>
      <c r="B182" s="8" t="s">
        <v>39</v>
      </c>
      <c r="C182" s="8" t="s">
        <v>40</v>
      </c>
      <c r="D182" s="8">
        <v>80</v>
      </c>
      <c r="E182" s="8" t="s">
        <v>41</v>
      </c>
      <c r="F182" t="s">
        <v>42</v>
      </c>
      <c r="G182" s="8">
        <v>5000</v>
      </c>
      <c r="H182" s="7">
        <v>46178</v>
      </c>
      <c r="I182" s="9">
        <v>270</v>
      </c>
      <c r="J182" s="31">
        <f t="shared" si="4"/>
        <v>46174</v>
      </c>
      <c r="K182" s="31">
        <f>Table14[[#This Row],[week first day]]-7</f>
        <v>46167</v>
      </c>
      <c r="L182">
        <f t="shared" si="5"/>
        <v>10524</v>
      </c>
    </row>
    <row r="183" spans="1:12" x14ac:dyDescent="0.3">
      <c r="A183" s="8" t="s">
        <v>38</v>
      </c>
      <c r="B183" s="8" t="s">
        <v>39</v>
      </c>
      <c r="C183" s="8" t="s">
        <v>40</v>
      </c>
      <c r="D183" s="8">
        <v>80</v>
      </c>
      <c r="E183" s="8" t="s">
        <v>41</v>
      </c>
      <c r="F183" t="s">
        <v>42</v>
      </c>
      <c r="G183" s="8">
        <v>5000</v>
      </c>
      <c r="H183" s="7">
        <v>46178</v>
      </c>
      <c r="I183" s="9">
        <v>270</v>
      </c>
      <c r="J183" s="31">
        <f t="shared" si="4"/>
        <v>46174</v>
      </c>
      <c r="K183" s="31">
        <f>Table14[[#This Row],[week first day]]-7</f>
        <v>46167</v>
      </c>
      <c r="L183">
        <f t="shared" si="5"/>
        <v>10524</v>
      </c>
    </row>
    <row r="184" spans="1:12" x14ac:dyDescent="0.3">
      <c r="A184" s="8" t="s">
        <v>38</v>
      </c>
      <c r="B184" s="8" t="s">
        <v>39</v>
      </c>
      <c r="C184" s="8" t="s">
        <v>40</v>
      </c>
      <c r="D184" s="8">
        <v>80</v>
      </c>
      <c r="E184" s="8" t="s">
        <v>41</v>
      </c>
      <c r="F184" t="s">
        <v>42</v>
      </c>
      <c r="G184" s="8">
        <v>5000</v>
      </c>
      <c r="H184" s="7">
        <v>46178</v>
      </c>
      <c r="I184" s="9">
        <v>270</v>
      </c>
      <c r="J184" s="31">
        <f t="shared" si="4"/>
        <v>46174</v>
      </c>
      <c r="K184" s="31">
        <f>Table14[[#This Row],[week first day]]-7</f>
        <v>46167</v>
      </c>
      <c r="L184">
        <f t="shared" si="5"/>
        <v>10524</v>
      </c>
    </row>
    <row r="185" spans="1:12" x14ac:dyDescent="0.3">
      <c r="A185" s="8" t="s">
        <v>38</v>
      </c>
      <c r="B185" s="8" t="s">
        <v>39</v>
      </c>
      <c r="C185" s="8" t="s">
        <v>40</v>
      </c>
      <c r="D185" s="8">
        <v>80</v>
      </c>
      <c r="E185" s="8" t="s">
        <v>41</v>
      </c>
      <c r="F185" t="s">
        <v>42</v>
      </c>
      <c r="G185" s="8">
        <v>5000</v>
      </c>
      <c r="H185" s="7">
        <v>46178</v>
      </c>
      <c r="I185" s="9">
        <v>270</v>
      </c>
      <c r="J185" s="31">
        <f t="shared" si="4"/>
        <v>46174</v>
      </c>
      <c r="K185" s="31">
        <f>Table14[[#This Row],[week first day]]-7</f>
        <v>46167</v>
      </c>
      <c r="L185">
        <f t="shared" si="5"/>
        <v>10524</v>
      </c>
    </row>
    <row r="186" spans="1:12" x14ac:dyDescent="0.3">
      <c r="A186" s="8" t="s">
        <v>38</v>
      </c>
      <c r="B186" s="8" t="s">
        <v>39</v>
      </c>
      <c r="C186" s="8" t="s">
        <v>40</v>
      </c>
      <c r="D186" s="8">
        <v>80</v>
      </c>
      <c r="E186" s="8" t="s">
        <v>41</v>
      </c>
      <c r="F186" t="s">
        <v>42</v>
      </c>
      <c r="G186" s="8">
        <v>5000</v>
      </c>
      <c r="H186" s="7">
        <v>46178</v>
      </c>
      <c r="I186" s="9">
        <v>270</v>
      </c>
      <c r="J186" s="31">
        <f t="shared" si="4"/>
        <v>46174</v>
      </c>
      <c r="K186" s="31">
        <f>Table14[[#This Row],[week first day]]-7</f>
        <v>46167</v>
      </c>
      <c r="L186">
        <f t="shared" si="5"/>
        <v>10524</v>
      </c>
    </row>
    <row r="187" spans="1:12" x14ac:dyDescent="0.3">
      <c r="A187" s="8" t="s">
        <v>38</v>
      </c>
      <c r="B187" s="8" t="s">
        <v>39</v>
      </c>
      <c r="C187" s="8" t="s">
        <v>40</v>
      </c>
      <c r="D187" s="8">
        <v>80</v>
      </c>
      <c r="E187" s="8" t="s">
        <v>41</v>
      </c>
      <c r="F187" t="s">
        <v>42</v>
      </c>
      <c r="G187" s="8">
        <v>5000</v>
      </c>
      <c r="H187" s="7">
        <v>46178</v>
      </c>
      <c r="I187" s="9">
        <v>270</v>
      </c>
      <c r="J187" s="31">
        <f t="shared" si="4"/>
        <v>46174</v>
      </c>
      <c r="K187" s="31">
        <f>Table14[[#This Row],[week first day]]-7</f>
        <v>46167</v>
      </c>
      <c r="L187">
        <f t="shared" si="5"/>
        <v>10524</v>
      </c>
    </row>
    <row r="188" spans="1:12" x14ac:dyDescent="0.3">
      <c r="A188" s="8" t="s">
        <v>38</v>
      </c>
      <c r="B188" s="8" t="s">
        <v>39</v>
      </c>
      <c r="C188" s="8" t="s">
        <v>40</v>
      </c>
      <c r="D188" s="8">
        <v>80</v>
      </c>
      <c r="E188" s="8" t="s">
        <v>41</v>
      </c>
      <c r="F188" t="s">
        <v>42</v>
      </c>
      <c r="G188" s="8">
        <v>5000</v>
      </c>
      <c r="H188" s="7">
        <v>46178</v>
      </c>
      <c r="I188" s="9">
        <v>270</v>
      </c>
      <c r="J188" s="31">
        <f t="shared" si="4"/>
        <v>46174</v>
      </c>
      <c r="K188" s="31">
        <f>Table14[[#This Row],[week first day]]-7</f>
        <v>46167</v>
      </c>
      <c r="L188">
        <f t="shared" si="5"/>
        <v>10524</v>
      </c>
    </row>
    <row r="189" spans="1:12" x14ac:dyDescent="0.3">
      <c r="A189" s="8" t="s">
        <v>38</v>
      </c>
      <c r="B189" s="8" t="s">
        <v>39</v>
      </c>
      <c r="C189" s="8" t="s">
        <v>40</v>
      </c>
      <c r="D189" s="8">
        <v>80</v>
      </c>
      <c r="E189" s="8" t="s">
        <v>41</v>
      </c>
      <c r="F189" t="s">
        <v>42</v>
      </c>
      <c r="G189" s="8">
        <v>5000</v>
      </c>
      <c r="H189" s="7">
        <v>46178</v>
      </c>
      <c r="I189" s="9">
        <v>270</v>
      </c>
      <c r="J189" s="31">
        <f t="shared" si="4"/>
        <v>46174</v>
      </c>
      <c r="K189" s="31">
        <f>Table14[[#This Row],[week first day]]-7</f>
        <v>46167</v>
      </c>
      <c r="L189">
        <f t="shared" si="5"/>
        <v>10524</v>
      </c>
    </row>
    <row r="190" spans="1:12" x14ac:dyDescent="0.3">
      <c r="A190" s="8" t="s">
        <v>38</v>
      </c>
      <c r="B190" s="8" t="s">
        <v>39</v>
      </c>
      <c r="C190" s="8" t="s">
        <v>40</v>
      </c>
      <c r="D190" s="8">
        <v>80</v>
      </c>
      <c r="E190" s="8" t="s">
        <v>41</v>
      </c>
      <c r="F190" t="s">
        <v>42</v>
      </c>
      <c r="G190" s="8">
        <v>5000</v>
      </c>
      <c r="H190" s="7">
        <v>46178</v>
      </c>
      <c r="I190" s="9">
        <v>270</v>
      </c>
      <c r="J190" s="31">
        <f t="shared" si="4"/>
        <v>46174</v>
      </c>
      <c r="K190" s="31">
        <f>Table14[[#This Row],[week first day]]-7</f>
        <v>46167</v>
      </c>
      <c r="L190">
        <f t="shared" si="5"/>
        <v>10524</v>
      </c>
    </row>
    <row r="191" spans="1:12" x14ac:dyDescent="0.3">
      <c r="A191" s="8" t="s">
        <v>38</v>
      </c>
      <c r="B191" s="8" t="s">
        <v>39</v>
      </c>
      <c r="C191" s="8" t="s">
        <v>40</v>
      </c>
      <c r="D191" s="8">
        <v>80</v>
      </c>
      <c r="E191" s="8" t="s">
        <v>41</v>
      </c>
      <c r="F191" t="s">
        <v>42</v>
      </c>
      <c r="G191" s="8">
        <v>5000</v>
      </c>
      <c r="H191" s="7">
        <v>46178</v>
      </c>
      <c r="I191" s="9">
        <v>270</v>
      </c>
      <c r="J191" s="31">
        <f t="shared" si="4"/>
        <v>46174</v>
      </c>
      <c r="K191" s="31">
        <f>Table14[[#This Row],[week first day]]-7</f>
        <v>46167</v>
      </c>
      <c r="L191">
        <f t="shared" si="5"/>
        <v>10524</v>
      </c>
    </row>
    <row r="192" spans="1:12" x14ac:dyDescent="0.3">
      <c r="A192" s="8" t="s">
        <v>38</v>
      </c>
      <c r="B192" s="8" t="s">
        <v>39</v>
      </c>
      <c r="C192" s="8" t="s">
        <v>40</v>
      </c>
      <c r="D192" s="8">
        <v>80</v>
      </c>
      <c r="E192" s="8" t="s">
        <v>41</v>
      </c>
      <c r="F192" t="s">
        <v>42</v>
      </c>
      <c r="G192" s="8">
        <v>5000</v>
      </c>
      <c r="H192" s="7">
        <v>46178</v>
      </c>
      <c r="I192" s="9">
        <v>270</v>
      </c>
      <c r="J192" s="31">
        <f t="shared" si="4"/>
        <v>46174</v>
      </c>
      <c r="K192" s="31">
        <f>Table14[[#This Row],[week first day]]-7</f>
        <v>46167</v>
      </c>
      <c r="L192">
        <f t="shared" si="5"/>
        <v>10524</v>
      </c>
    </row>
    <row r="193" spans="1:12" x14ac:dyDescent="0.3">
      <c r="A193" s="8" t="s">
        <v>38</v>
      </c>
      <c r="B193" s="8" t="s">
        <v>39</v>
      </c>
      <c r="C193" s="8" t="s">
        <v>40</v>
      </c>
      <c r="D193" s="8">
        <v>80</v>
      </c>
      <c r="E193" s="8" t="s">
        <v>41</v>
      </c>
      <c r="F193" t="s">
        <v>42</v>
      </c>
      <c r="G193" s="8">
        <v>5000</v>
      </c>
      <c r="H193" s="7">
        <v>46178</v>
      </c>
      <c r="I193" s="9">
        <v>270</v>
      </c>
      <c r="J193" s="31">
        <f t="shared" si="4"/>
        <v>46174</v>
      </c>
      <c r="K193" s="31">
        <f>Table14[[#This Row],[week first day]]-7</f>
        <v>46167</v>
      </c>
      <c r="L193">
        <f t="shared" si="5"/>
        <v>10524</v>
      </c>
    </row>
    <row r="194" spans="1:12" x14ac:dyDescent="0.3">
      <c r="A194" s="8" t="s">
        <v>38</v>
      </c>
      <c r="B194" s="8" t="s">
        <v>39</v>
      </c>
      <c r="C194" s="8" t="s">
        <v>40</v>
      </c>
      <c r="D194" s="8">
        <v>80</v>
      </c>
      <c r="E194" s="8" t="s">
        <v>41</v>
      </c>
      <c r="F194" t="s">
        <v>42</v>
      </c>
      <c r="G194" s="8">
        <v>5000</v>
      </c>
      <c r="H194" s="7">
        <v>46178</v>
      </c>
      <c r="I194" s="9">
        <v>270</v>
      </c>
      <c r="J194" s="31">
        <f t="shared" ref="J194:J257" si="6">$M$1+7*INT((H194-$M$1)/7)</f>
        <v>46174</v>
      </c>
      <c r="K194" s="31">
        <f>Table14[[#This Row],[week first day]]-7</f>
        <v>46167</v>
      </c>
      <c r="L194">
        <f t="shared" si="5"/>
        <v>10524</v>
      </c>
    </row>
    <row r="195" spans="1:12" x14ac:dyDescent="0.3">
      <c r="A195" s="8" t="s">
        <v>38</v>
      </c>
      <c r="B195" s="8" t="s">
        <v>39</v>
      </c>
      <c r="C195" s="8" t="s">
        <v>40</v>
      </c>
      <c r="D195" s="8">
        <v>80</v>
      </c>
      <c r="E195" s="8" t="s">
        <v>41</v>
      </c>
      <c r="F195" t="s">
        <v>42</v>
      </c>
      <c r="G195" s="8">
        <v>5000</v>
      </c>
      <c r="H195" s="7">
        <v>46178</v>
      </c>
      <c r="I195" s="9">
        <v>270</v>
      </c>
      <c r="J195" s="31">
        <f t="shared" si="6"/>
        <v>46174</v>
      </c>
      <c r="K195" s="31">
        <f>Table14[[#This Row],[week first day]]-7</f>
        <v>46167</v>
      </c>
      <c r="L195">
        <f t="shared" ref="L195:L258" si="7">SUMIFS($I:$I,$A:$A,A195,J:J,J195)</f>
        <v>10524</v>
      </c>
    </row>
    <row r="196" spans="1:12" x14ac:dyDescent="0.3">
      <c r="A196" s="8" t="s">
        <v>38</v>
      </c>
      <c r="B196" s="8" t="s">
        <v>39</v>
      </c>
      <c r="C196" s="8" t="s">
        <v>40</v>
      </c>
      <c r="D196" s="8">
        <v>80</v>
      </c>
      <c r="E196" s="8" t="s">
        <v>41</v>
      </c>
      <c r="F196" t="s">
        <v>42</v>
      </c>
      <c r="G196" s="8">
        <v>5000</v>
      </c>
      <c r="H196" s="7">
        <v>46178</v>
      </c>
      <c r="I196" s="9">
        <v>270</v>
      </c>
      <c r="J196" s="31">
        <f t="shared" si="6"/>
        <v>46174</v>
      </c>
      <c r="K196" s="31">
        <f>Table14[[#This Row],[week first day]]-7</f>
        <v>46167</v>
      </c>
      <c r="L196">
        <f t="shared" si="7"/>
        <v>10524</v>
      </c>
    </row>
    <row r="197" spans="1:12" x14ac:dyDescent="0.3">
      <c r="A197" s="8" t="s">
        <v>38</v>
      </c>
      <c r="B197" s="8" t="s">
        <v>39</v>
      </c>
      <c r="C197" s="8" t="s">
        <v>40</v>
      </c>
      <c r="D197" s="8">
        <v>80</v>
      </c>
      <c r="E197" s="8" t="s">
        <v>41</v>
      </c>
      <c r="F197" t="s">
        <v>42</v>
      </c>
      <c r="G197" s="8">
        <v>5000</v>
      </c>
      <c r="H197" s="7">
        <v>46178</v>
      </c>
      <c r="I197" s="9">
        <v>270</v>
      </c>
      <c r="J197" s="31">
        <f t="shared" si="6"/>
        <v>46174</v>
      </c>
      <c r="K197" s="31">
        <f>Table14[[#This Row],[week first day]]-7</f>
        <v>46167</v>
      </c>
      <c r="L197">
        <f t="shared" si="7"/>
        <v>10524</v>
      </c>
    </row>
    <row r="198" spans="1:12" x14ac:dyDescent="0.3">
      <c r="A198" s="8" t="s">
        <v>38</v>
      </c>
      <c r="B198" s="8" t="s">
        <v>39</v>
      </c>
      <c r="C198" s="8" t="s">
        <v>40</v>
      </c>
      <c r="D198" s="8">
        <v>80</v>
      </c>
      <c r="E198" s="8" t="s">
        <v>41</v>
      </c>
      <c r="F198" t="s">
        <v>42</v>
      </c>
      <c r="G198" s="8">
        <v>5000</v>
      </c>
      <c r="H198" s="7">
        <v>46178</v>
      </c>
      <c r="I198" s="9">
        <v>270</v>
      </c>
      <c r="J198" s="31">
        <f t="shared" si="6"/>
        <v>46174</v>
      </c>
      <c r="K198" s="31">
        <f>Table14[[#This Row],[week first day]]-7</f>
        <v>46167</v>
      </c>
      <c r="L198">
        <f t="shared" si="7"/>
        <v>10524</v>
      </c>
    </row>
    <row r="199" spans="1:12" x14ac:dyDescent="0.3">
      <c r="A199" s="8" t="s">
        <v>38</v>
      </c>
      <c r="B199" s="8" t="s">
        <v>39</v>
      </c>
      <c r="C199" s="8" t="s">
        <v>40</v>
      </c>
      <c r="D199" s="8">
        <v>80</v>
      </c>
      <c r="E199" s="8" t="s">
        <v>41</v>
      </c>
      <c r="F199" t="s">
        <v>42</v>
      </c>
      <c r="G199" s="8">
        <v>5000</v>
      </c>
      <c r="H199" s="7">
        <v>46178</v>
      </c>
      <c r="I199" s="9">
        <v>270</v>
      </c>
      <c r="J199" s="31">
        <f t="shared" si="6"/>
        <v>46174</v>
      </c>
      <c r="K199" s="31">
        <f>Table14[[#This Row],[week first day]]-7</f>
        <v>46167</v>
      </c>
      <c r="L199">
        <f t="shared" si="7"/>
        <v>10524</v>
      </c>
    </row>
    <row r="200" spans="1:12" x14ac:dyDescent="0.3">
      <c r="A200" s="8" t="s">
        <v>38</v>
      </c>
      <c r="B200" s="8" t="s">
        <v>39</v>
      </c>
      <c r="C200" s="8" t="s">
        <v>40</v>
      </c>
      <c r="D200" s="8">
        <v>80</v>
      </c>
      <c r="E200" s="8" t="s">
        <v>41</v>
      </c>
      <c r="F200" t="s">
        <v>42</v>
      </c>
      <c r="G200" s="8">
        <v>5000</v>
      </c>
      <c r="H200" s="7">
        <v>46178</v>
      </c>
      <c r="I200" s="9">
        <v>270</v>
      </c>
      <c r="J200" s="31">
        <f t="shared" si="6"/>
        <v>46174</v>
      </c>
      <c r="K200" s="31">
        <f>Table14[[#This Row],[week first day]]-7</f>
        <v>46167</v>
      </c>
      <c r="L200">
        <f t="shared" si="7"/>
        <v>10524</v>
      </c>
    </row>
    <row r="201" spans="1:12" x14ac:dyDescent="0.3">
      <c r="A201" s="8" t="s">
        <v>38</v>
      </c>
      <c r="B201" s="8" t="s">
        <v>39</v>
      </c>
      <c r="C201" s="8" t="s">
        <v>40</v>
      </c>
      <c r="D201" s="8">
        <v>80</v>
      </c>
      <c r="E201" s="8" t="s">
        <v>41</v>
      </c>
      <c r="F201" t="s">
        <v>42</v>
      </c>
      <c r="G201" s="8">
        <v>5000</v>
      </c>
      <c r="H201" s="7">
        <v>46178</v>
      </c>
      <c r="I201" s="9">
        <v>270</v>
      </c>
      <c r="J201" s="31">
        <f t="shared" si="6"/>
        <v>46174</v>
      </c>
      <c r="K201" s="31">
        <f>Table14[[#This Row],[week first day]]-7</f>
        <v>46167</v>
      </c>
      <c r="L201">
        <f t="shared" si="7"/>
        <v>10524</v>
      </c>
    </row>
    <row r="202" spans="1:12" x14ac:dyDescent="0.3">
      <c r="A202" s="8" t="s">
        <v>38</v>
      </c>
      <c r="B202" s="8" t="s">
        <v>39</v>
      </c>
      <c r="C202" s="8" t="s">
        <v>40</v>
      </c>
      <c r="D202" s="8">
        <v>80</v>
      </c>
      <c r="E202" s="8" t="s">
        <v>41</v>
      </c>
      <c r="F202" t="s">
        <v>42</v>
      </c>
      <c r="G202" s="8">
        <v>5000</v>
      </c>
      <c r="H202" s="7">
        <v>46178</v>
      </c>
      <c r="I202" s="9">
        <v>270</v>
      </c>
      <c r="J202" s="31">
        <f t="shared" si="6"/>
        <v>46174</v>
      </c>
      <c r="K202" s="31">
        <f>Table14[[#This Row],[week first day]]-7</f>
        <v>46167</v>
      </c>
      <c r="L202">
        <f t="shared" si="7"/>
        <v>10524</v>
      </c>
    </row>
    <row r="203" spans="1:12" x14ac:dyDescent="0.3">
      <c r="A203" s="8" t="s">
        <v>38</v>
      </c>
      <c r="B203" s="8" t="s">
        <v>39</v>
      </c>
      <c r="C203" s="8" t="s">
        <v>40</v>
      </c>
      <c r="D203" s="8">
        <v>80</v>
      </c>
      <c r="E203" s="8" t="s">
        <v>41</v>
      </c>
      <c r="F203" t="s">
        <v>42</v>
      </c>
      <c r="G203" s="8">
        <v>5000</v>
      </c>
      <c r="H203" s="7">
        <v>46178</v>
      </c>
      <c r="I203" s="9">
        <v>270</v>
      </c>
      <c r="J203" s="31">
        <f t="shared" si="6"/>
        <v>46174</v>
      </c>
      <c r="K203" s="31">
        <f>Table14[[#This Row],[week first day]]-7</f>
        <v>46167</v>
      </c>
      <c r="L203">
        <f t="shared" si="7"/>
        <v>10524</v>
      </c>
    </row>
    <row r="204" spans="1:12" x14ac:dyDescent="0.3">
      <c r="A204" s="8" t="s">
        <v>38</v>
      </c>
      <c r="B204" s="8" t="s">
        <v>39</v>
      </c>
      <c r="C204" s="8" t="s">
        <v>40</v>
      </c>
      <c r="D204" s="8">
        <v>80</v>
      </c>
      <c r="E204" s="8" t="s">
        <v>41</v>
      </c>
      <c r="F204" t="s">
        <v>42</v>
      </c>
      <c r="G204" s="8">
        <v>5000</v>
      </c>
      <c r="H204" s="7">
        <v>46178</v>
      </c>
      <c r="I204" s="9">
        <v>270</v>
      </c>
      <c r="J204" s="31">
        <f t="shared" si="6"/>
        <v>46174</v>
      </c>
      <c r="K204" s="31">
        <f>Table14[[#This Row],[week first day]]-7</f>
        <v>46167</v>
      </c>
      <c r="L204">
        <f t="shared" si="7"/>
        <v>10524</v>
      </c>
    </row>
    <row r="205" spans="1:12" x14ac:dyDescent="0.3">
      <c r="A205" s="8" t="s">
        <v>38</v>
      </c>
      <c r="B205" s="8" t="s">
        <v>39</v>
      </c>
      <c r="C205" s="8" t="s">
        <v>40</v>
      </c>
      <c r="D205" s="8">
        <v>80</v>
      </c>
      <c r="E205" s="8" t="s">
        <v>41</v>
      </c>
      <c r="F205" t="s">
        <v>42</v>
      </c>
      <c r="G205" s="8">
        <v>5000</v>
      </c>
      <c r="H205" s="7">
        <v>46178</v>
      </c>
      <c r="I205" s="9">
        <v>270</v>
      </c>
      <c r="J205" s="31">
        <f t="shared" si="6"/>
        <v>46174</v>
      </c>
      <c r="K205" s="31">
        <f>Table14[[#This Row],[week first day]]-7</f>
        <v>46167</v>
      </c>
      <c r="L205">
        <f t="shared" si="7"/>
        <v>10524</v>
      </c>
    </row>
    <row r="206" spans="1:12" x14ac:dyDescent="0.3">
      <c r="A206" s="8" t="s">
        <v>38</v>
      </c>
      <c r="B206" s="8" t="s">
        <v>39</v>
      </c>
      <c r="C206" s="8" t="s">
        <v>40</v>
      </c>
      <c r="D206" s="8">
        <v>80</v>
      </c>
      <c r="E206" s="8" t="s">
        <v>41</v>
      </c>
      <c r="F206" t="s">
        <v>42</v>
      </c>
      <c r="G206" s="8">
        <v>5000</v>
      </c>
      <c r="H206" s="7">
        <v>46178</v>
      </c>
      <c r="I206" s="9">
        <v>270</v>
      </c>
      <c r="J206" s="31">
        <f t="shared" si="6"/>
        <v>46174</v>
      </c>
      <c r="K206" s="31">
        <f>Table14[[#This Row],[week first day]]-7</f>
        <v>46167</v>
      </c>
      <c r="L206">
        <f t="shared" si="7"/>
        <v>10524</v>
      </c>
    </row>
    <row r="207" spans="1:12" x14ac:dyDescent="0.3">
      <c r="A207" s="8" t="s">
        <v>38</v>
      </c>
      <c r="B207" s="8" t="s">
        <v>39</v>
      </c>
      <c r="C207" s="8" t="s">
        <v>40</v>
      </c>
      <c r="D207" s="8">
        <v>80</v>
      </c>
      <c r="E207" s="8" t="s">
        <v>41</v>
      </c>
      <c r="F207" t="s">
        <v>42</v>
      </c>
      <c r="G207" s="8">
        <v>5000</v>
      </c>
      <c r="H207" s="7">
        <v>46178</v>
      </c>
      <c r="I207" s="9">
        <v>270</v>
      </c>
      <c r="J207" s="31">
        <f t="shared" si="6"/>
        <v>46174</v>
      </c>
      <c r="K207" s="31">
        <f>Table14[[#This Row],[week first day]]-7</f>
        <v>46167</v>
      </c>
      <c r="L207">
        <f t="shared" si="7"/>
        <v>10524</v>
      </c>
    </row>
    <row r="208" spans="1:12" x14ac:dyDescent="0.3">
      <c r="A208" s="8" t="s">
        <v>38</v>
      </c>
      <c r="B208" s="8" t="s">
        <v>39</v>
      </c>
      <c r="C208" s="8" t="s">
        <v>40</v>
      </c>
      <c r="D208" s="8">
        <v>80</v>
      </c>
      <c r="E208" s="8" t="s">
        <v>41</v>
      </c>
      <c r="F208" t="s">
        <v>42</v>
      </c>
      <c r="G208" s="8">
        <v>5000</v>
      </c>
      <c r="H208" s="7">
        <v>46178</v>
      </c>
      <c r="I208" s="9">
        <v>270</v>
      </c>
      <c r="J208" s="31">
        <f t="shared" si="6"/>
        <v>46174</v>
      </c>
      <c r="K208" s="31">
        <f>Table14[[#This Row],[week first day]]-7</f>
        <v>46167</v>
      </c>
      <c r="L208">
        <f t="shared" si="7"/>
        <v>10524</v>
      </c>
    </row>
    <row r="209" spans="1:12" x14ac:dyDescent="0.3">
      <c r="A209" s="8" t="s">
        <v>38</v>
      </c>
      <c r="B209" s="8" t="s">
        <v>39</v>
      </c>
      <c r="C209" s="8" t="s">
        <v>40</v>
      </c>
      <c r="D209" s="8">
        <v>80</v>
      </c>
      <c r="E209" s="8" t="s">
        <v>41</v>
      </c>
      <c r="F209" t="s">
        <v>42</v>
      </c>
      <c r="G209" s="8">
        <v>5000</v>
      </c>
      <c r="H209" s="7">
        <v>46178</v>
      </c>
      <c r="I209" s="9">
        <v>270</v>
      </c>
      <c r="J209" s="31">
        <f t="shared" si="6"/>
        <v>46174</v>
      </c>
      <c r="K209" s="31">
        <f>Table14[[#This Row],[week first day]]-7</f>
        <v>46167</v>
      </c>
      <c r="L209">
        <f t="shared" si="7"/>
        <v>10524</v>
      </c>
    </row>
    <row r="210" spans="1:12" x14ac:dyDescent="0.3">
      <c r="A210" s="8" t="s">
        <v>38</v>
      </c>
      <c r="B210" s="8" t="s">
        <v>39</v>
      </c>
      <c r="C210" s="8" t="s">
        <v>40</v>
      </c>
      <c r="D210" s="8">
        <v>80</v>
      </c>
      <c r="E210" s="8" t="s">
        <v>41</v>
      </c>
      <c r="F210" t="s">
        <v>42</v>
      </c>
      <c r="G210" s="8">
        <v>5000</v>
      </c>
      <c r="H210" s="7">
        <v>46178</v>
      </c>
      <c r="I210" s="9">
        <v>270</v>
      </c>
      <c r="J210" s="31">
        <f t="shared" si="6"/>
        <v>46174</v>
      </c>
      <c r="K210" s="31">
        <f>Table14[[#This Row],[week first day]]-7</f>
        <v>46167</v>
      </c>
      <c r="L210">
        <f t="shared" si="7"/>
        <v>10524</v>
      </c>
    </row>
    <row r="211" spans="1:12" x14ac:dyDescent="0.3">
      <c r="A211" s="8" t="s">
        <v>38</v>
      </c>
      <c r="B211" s="8" t="s">
        <v>39</v>
      </c>
      <c r="C211" s="8" t="s">
        <v>40</v>
      </c>
      <c r="D211" s="8">
        <v>80</v>
      </c>
      <c r="E211" s="8" t="s">
        <v>41</v>
      </c>
      <c r="F211" t="s">
        <v>42</v>
      </c>
      <c r="G211" s="8">
        <v>5000</v>
      </c>
      <c r="H211" s="7">
        <v>46178</v>
      </c>
      <c r="I211" s="9">
        <v>270</v>
      </c>
      <c r="J211" s="31">
        <f t="shared" si="6"/>
        <v>46174</v>
      </c>
      <c r="K211" s="31">
        <f>Table14[[#This Row],[week first day]]-7</f>
        <v>46167</v>
      </c>
      <c r="L211">
        <f t="shared" si="7"/>
        <v>10524</v>
      </c>
    </row>
    <row r="212" spans="1:12" x14ac:dyDescent="0.3">
      <c r="A212" s="8" t="s">
        <v>38</v>
      </c>
      <c r="B212" s="8" t="s">
        <v>39</v>
      </c>
      <c r="C212" s="8" t="s">
        <v>40</v>
      </c>
      <c r="D212" s="8">
        <v>80</v>
      </c>
      <c r="E212" s="8" t="s">
        <v>41</v>
      </c>
      <c r="F212" t="s">
        <v>42</v>
      </c>
      <c r="G212" s="8">
        <v>5000</v>
      </c>
      <c r="H212" s="7">
        <v>46178</v>
      </c>
      <c r="I212" s="9">
        <v>270</v>
      </c>
      <c r="J212" s="31">
        <f t="shared" si="6"/>
        <v>46174</v>
      </c>
      <c r="K212" s="31">
        <f>Table14[[#This Row],[week first day]]-7</f>
        <v>46167</v>
      </c>
      <c r="L212">
        <f t="shared" si="7"/>
        <v>10524</v>
      </c>
    </row>
    <row r="213" spans="1:12" x14ac:dyDescent="0.3">
      <c r="A213" s="8" t="s">
        <v>38</v>
      </c>
      <c r="B213" s="8" t="s">
        <v>39</v>
      </c>
      <c r="C213" s="8" t="s">
        <v>40</v>
      </c>
      <c r="D213" s="8">
        <v>80</v>
      </c>
      <c r="E213" s="8" t="s">
        <v>41</v>
      </c>
      <c r="F213" t="s">
        <v>42</v>
      </c>
      <c r="G213" s="8">
        <v>5000</v>
      </c>
      <c r="H213" s="7">
        <v>46178</v>
      </c>
      <c r="I213" s="9">
        <v>270</v>
      </c>
      <c r="J213" s="31">
        <f t="shared" si="6"/>
        <v>46174</v>
      </c>
      <c r="K213" s="31">
        <f>Table14[[#This Row],[week first day]]-7</f>
        <v>46167</v>
      </c>
      <c r="L213">
        <f t="shared" si="7"/>
        <v>10524</v>
      </c>
    </row>
    <row r="214" spans="1:12" x14ac:dyDescent="0.3">
      <c r="A214" s="8" t="s">
        <v>38</v>
      </c>
      <c r="B214" s="8" t="s">
        <v>39</v>
      </c>
      <c r="C214" s="8" t="s">
        <v>40</v>
      </c>
      <c r="D214" s="8">
        <v>80</v>
      </c>
      <c r="E214" s="8" t="s">
        <v>41</v>
      </c>
      <c r="F214" t="s">
        <v>42</v>
      </c>
      <c r="G214" s="8">
        <v>5000</v>
      </c>
      <c r="H214" s="7">
        <v>46178</v>
      </c>
      <c r="I214" s="9">
        <v>270</v>
      </c>
      <c r="J214" s="31">
        <f t="shared" si="6"/>
        <v>46174</v>
      </c>
      <c r="K214" s="31">
        <f>Table14[[#This Row],[week first day]]-7</f>
        <v>46167</v>
      </c>
      <c r="L214">
        <f t="shared" si="7"/>
        <v>10524</v>
      </c>
    </row>
    <row r="215" spans="1:12" x14ac:dyDescent="0.3">
      <c r="A215" s="8" t="s">
        <v>38</v>
      </c>
      <c r="B215" s="8" t="s">
        <v>39</v>
      </c>
      <c r="C215" s="8" t="s">
        <v>40</v>
      </c>
      <c r="D215" s="8">
        <v>80</v>
      </c>
      <c r="E215" s="8" t="s">
        <v>41</v>
      </c>
      <c r="F215" t="s">
        <v>42</v>
      </c>
      <c r="G215" s="8">
        <v>5000</v>
      </c>
      <c r="H215" s="7">
        <v>46178</v>
      </c>
      <c r="I215" s="9">
        <v>270</v>
      </c>
      <c r="J215" s="31">
        <f t="shared" si="6"/>
        <v>46174</v>
      </c>
      <c r="K215" s="31">
        <f>Table14[[#This Row],[week first day]]-7</f>
        <v>46167</v>
      </c>
      <c r="L215">
        <f t="shared" si="7"/>
        <v>10524</v>
      </c>
    </row>
    <row r="216" spans="1:12" x14ac:dyDescent="0.3">
      <c r="A216" s="8" t="s">
        <v>38</v>
      </c>
      <c r="B216" s="8" t="s">
        <v>39</v>
      </c>
      <c r="C216" s="8" t="s">
        <v>40</v>
      </c>
      <c r="D216" s="8">
        <v>80</v>
      </c>
      <c r="E216" s="8" t="s">
        <v>41</v>
      </c>
      <c r="F216" t="s">
        <v>42</v>
      </c>
      <c r="G216" s="8">
        <v>5000</v>
      </c>
      <c r="H216" s="7">
        <v>46178</v>
      </c>
      <c r="I216" s="9">
        <v>270</v>
      </c>
      <c r="J216" s="31">
        <f t="shared" si="6"/>
        <v>46174</v>
      </c>
      <c r="K216" s="31">
        <f>Table14[[#This Row],[week first day]]-7</f>
        <v>46167</v>
      </c>
      <c r="L216">
        <f t="shared" si="7"/>
        <v>10524</v>
      </c>
    </row>
    <row r="217" spans="1:12" x14ac:dyDescent="0.3">
      <c r="A217" s="8" t="s">
        <v>38</v>
      </c>
      <c r="B217" s="8" t="s">
        <v>39</v>
      </c>
      <c r="C217" s="8" t="s">
        <v>40</v>
      </c>
      <c r="D217" s="8">
        <v>80</v>
      </c>
      <c r="E217" s="8" t="s">
        <v>41</v>
      </c>
      <c r="F217" t="s">
        <v>42</v>
      </c>
      <c r="G217" s="8">
        <v>5000</v>
      </c>
      <c r="H217" s="7">
        <v>46183</v>
      </c>
      <c r="I217" s="9">
        <v>270</v>
      </c>
      <c r="J217" s="31">
        <f t="shared" si="6"/>
        <v>46181</v>
      </c>
      <c r="K217" s="31">
        <f>Table14[[#This Row],[week first day]]-7</f>
        <v>46174</v>
      </c>
      <c r="L217">
        <f t="shared" si="7"/>
        <v>3240</v>
      </c>
    </row>
    <row r="218" spans="1:12" x14ac:dyDescent="0.3">
      <c r="A218" s="8" t="s">
        <v>38</v>
      </c>
      <c r="B218" s="8" t="s">
        <v>39</v>
      </c>
      <c r="C218" s="8" t="s">
        <v>40</v>
      </c>
      <c r="D218" s="8">
        <v>80</v>
      </c>
      <c r="E218" s="8" t="s">
        <v>41</v>
      </c>
      <c r="F218" t="s">
        <v>42</v>
      </c>
      <c r="G218" s="8">
        <v>5000</v>
      </c>
      <c r="H218" s="7">
        <v>46183</v>
      </c>
      <c r="I218" s="9">
        <v>270</v>
      </c>
      <c r="J218" s="31">
        <f t="shared" si="6"/>
        <v>46181</v>
      </c>
      <c r="K218" s="31">
        <f>Table14[[#This Row],[week first day]]-7</f>
        <v>46174</v>
      </c>
      <c r="L218">
        <f t="shared" si="7"/>
        <v>3240</v>
      </c>
    </row>
    <row r="219" spans="1:12" x14ac:dyDescent="0.3">
      <c r="A219" s="8" t="s">
        <v>38</v>
      </c>
      <c r="B219" s="8" t="s">
        <v>39</v>
      </c>
      <c r="C219" s="8" t="s">
        <v>40</v>
      </c>
      <c r="D219" s="8">
        <v>80</v>
      </c>
      <c r="E219" s="8" t="s">
        <v>41</v>
      </c>
      <c r="F219" t="s">
        <v>42</v>
      </c>
      <c r="G219" s="8">
        <v>5000</v>
      </c>
      <c r="H219" s="7">
        <v>46183</v>
      </c>
      <c r="I219" s="9">
        <v>270</v>
      </c>
      <c r="J219" s="31">
        <f t="shared" si="6"/>
        <v>46181</v>
      </c>
      <c r="K219" s="31">
        <f>Table14[[#This Row],[week first day]]-7</f>
        <v>46174</v>
      </c>
      <c r="L219">
        <f t="shared" si="7"/>
        <v>3240</v>
      </c>
    </row>
    <row r="220" spans="1:12" x14ac:dyDescent="0.3">
      <c r="A220" s="8" t="s">
        <v>38</v>
      </c>
      <c r="B220" s="8" t="s">
        <v>39</v>
      </c>
      <c r="C220" s="8" t="s">
        <v>40</v>
      </c>
      <c r="D220" s="8">
        <v>80</v>
      </c>
      <c r="E220" s="8" t="s">
        <v>41</v>
      </c>
      <c r="F220" t="s">
        <v>42</v>
      </c>
      <c r="G220" s="8">
        <v>5000</v>
      </c>
      <c r="H220" s="7">
        <v>46183</v>
      </c>
      <c r="I220" s="9">
        <v>270</v>
      </c>
      <c r="J220" s="31">
        <f t="shared" si="6"/>
        <v>46181</v>
      </c>
      <c r="K220" s="31">
        <f>Table14[[#This Row],[week first day]]-7</f>
        <v>46174</v>
      </c>
      <c r="L220">
        <f t="shared" si="7"/>
        <v>3240</v>
      </c>
    </row>
    <row r="221" spans="1:12" x14ac:dyDescent="0.3">
      <c r="A221" s="8" t="s">
        <v>38</v>
      </c>
      <c r="B221" s="8" t="s">
        <v>39</v>
      </c>
      <c r="C221" s="8" t="s">
        <v>40</v>
      </c>
      <c r="D221" s="8">
        <v>80</v>
      </c>
      <c r="E221" s="8" t="s">
        <v>41</v>
      </c>
      <c r="F221" t="s">
        <v>42</v>
      </c>
      <c r="G221" s="8">
        <v>5000</v>
      </c>
      <c r="H221" s="7">
        <v>46186</v>
      </c>
      <c r="I221" s="9">
        <v>270</v>
      </c>
      <c r="J221" s="31">
        <f t="shared" si="6"/>
        <v>46181</v>
      </c>
      <c r="K221" s="31">
        <f>Table14[[#This Row],[week first day]]-7</f>
        <v>46174</v>
      </c>
      <c r="L221">
        <f t="shared" si="7"/>
        <v>3240</v>
      </c>
    </row>
    <row r="222" spans="1:12" x14ac:dyDescent="0.3">
      <c r="A222" s="8" t="s">
        <v>38</v>
      </c>
      <c r="B222" s="8" t="s">
        <v>39</v>
      </c>
      <c r="C222" s="8" t="s">
        <v>40</v>
      </c>
      <c r="D222" s="8">
        <v>80</v>
      </c>
      <c r="E222" s="8" t="s">
        <v>41</v>
      </c>
      <c r="F222" t="s">
        <v>42</v>
      </c>
      <c r="G222" s="8">
        <v>5000</v>
      </c>
      <c r="H222" s="7">
        <v>46186</v>
      </c>
      <c r="I222" s="9">
        <v>270</v>
      </c>
      <c r="J222" s="31">
        <f t="shared" si="6"/>
        <v>46181</v>
      </c>
      <c r="K222" s="31">
        <f>Table14[[#This Row],[week first day]]-7</f>
        <v>46174</v>
      </c>
      <c r="L222">
        <f t="shared" si="7"/>
        <v>3240</v>
      </c>
    </row>
    <row r="223" spans="1:12" x14ac:dyDescent="0.3">
      <c r="A223" s="8" t="s">
        <v>38</v>
      </c>
      <c r="B223" s="8" t="s">
        <v>39</v>
      </c>
      <c r="C223" s="8" t="s">
        <v>40</v>
      </c>
      <c r="D223" s="8">
        <v>80</v>
      </c>
      <c r="E223" s="8" t="s">
        <v>41</v>
      </c>
      <c r="F223" t="s">
        <v>42</v>
      </c>
      <c r="G223" s="8">
        <v>5000</v>
      </c>
      <c r="H223" s="7">
        <v>46186</v>
      </c>
      <c r="I223" s="9">
        <v>270</v>
      </c>
      <c r="J223" s="31">
        <f t="shared" si="6"/>
        <v>46181</v>
      </c>
      <c r="K223" s="31">
        <f>Table14[[#This Row],[week first day]]-7</f>
        <v>46174</v>
      </c>
      <c r="L223">
        <f t="shared" si="7"/>
        <v>3240</v>
      </c>
    </row>
    <row r="224" spans="1:12" x14ac:dyDescent="0.3">
      <c r="A224" s="8" t="s">
        <v>38</v>
      </c>
      <c r="B224" s="8" t="s">
        <v>39</v>
      </c>
      <c r="C224" s="8" t="s">
        <v>40</v>
      </c>
      <c r="D224" s="8">
        <v>80</v>
      </c>
      <c r="E224" s="8" t="s">
        <v>41</v>
      </c>
      <c r="F224" t="s">
        <v>42</v>
      </c>
      <c r="G224" s="8">
        <v>5000</v>
      </c>
      <c r="H224" s="7">
        <v>46186</v>
      </c>
      <c r="I224" s="9">
        <v>270</v>
      </c>
      <c r="J224" s="31">
        <f t="shared" si="6"/>
        <v>46181</v>
      </c>
      <c r="K224" s="31">
        <f>Table14[[#This Row],[week first day]]-7</f>
        <v>46174</v>
      </c>
      <c r="L224">
        <f t="shared" si="7"/>
        <v>3240</v>
      </c>
    </row>
    <row r="225" spans="1:12" x14ac:dyDescent="0.3">
      <c r="A225" s="8" t="s">
        <v>38</v>
      </c>
      <c r="B225" s="8" t="s">
        <v>39</v>
      </c>
      <c r="C225" s="8" t="s">
        <v>40</v>
      </c>
      <c r="D225" s="8">
        <v>80</v>
      </c>
      <c r="E225" s="8" t="s">
        <v>41</v>
      </c>
      <c r="F225" t="s">
        <v>42</v>
      </c>
      <c r="G225" s="8">
        <v>5000</v>
      </c>
      <c r="H225" s="7">
        <v>46186</v>
      </c>
      <c r="I225" s="9">
        <v>270</v>
      </c>
      <c r="J225" s="31">
        <f t="shared" si="6"/>
        <v>46181</v>
      </c>
      <c r="K225" s="31">
        <f>Table14[[#This Row],[week first day]]-7</f>
        <v>46174</v>
      </c>
      <c r="L225">
        <f t="shared" si="7"/>
        <v>3240</v>
      </c>
    </row>
    <row r="226" spans="1:12" x14ac:dyDescent="0.3">
      <c r="A226" s="8" t="s">
        <v>38</v>
      </c>
      <c r="B226" s="8" t="s">
        <v>39</v>
      </c>
      <c r="C226" s="8" t="s">
        <v>40</v>
      </c>
      <c r="D226" s="8">
        <v>80</v>
      </c>
      <c r="E226" s="8" t="s">
        <v>41</v>
      </c>
      <c r="F226" t="s">
        <v>42</v>
      </c>
      <c r="G226" s="8">
        <v>5000</v>
      </c>
      <c r="H226" s="7">
        <v>46186</v>
      </c>
      <c r="I226" s="9">
        <v>270</v>
      </c>
      <c r="J226" s="31">
        <f t="shared" si="6"/>
        <v>46181</v>
      </c>
      <c r="K226" s="31">
        <f>Table14[[#This Row],[week first day]]-7</f>
        <v>46174</v>
      </c>
      <c r="L226">
        <f t="shared" si="7"/>
        <v>3240</v>
      </c>
    </row>
    <row r="227" spans="1:12" x14ac:dyDescent="0.3">
      <c r="A227" s="8" t="s">
        <v>38</v>
      </c>
      <c r="B227" s="8" t="s">
        <v>39</v>
      </c>
      <c r="C227" s="8" t="s">
        <v>40</v>
      </c>
      <c r="D227" s="8">
        <v>80</v>
      </c>
      <c r="E227" s="8" t="s">
        <v>41</v>
      </c>
      <c r="F227" t="s">
        <v>42</v>
      </c>
      <c r="G227" s="8">
        <v>5000</v>
      </c>
      <c r="H227" s="7">
        <v>46186</v>
      </c>
      <c r="I227" s="9">
        <v>270</v>
      </c>
      <c r="J227" s="31">
        <f t="shared" si="6"/>
        <v>46181</v>
      </c>
      <c r="K227" s="31">
        <f>Table14[[#This Row],[week first day]]-7</f>
        <v>46174</v>
      </c>
      <c r="L227">
        <f t="shared" si="7"/>
        <v>3240</v>
      </c>
    </row>
    <row r="228" spans="1:12" x14ac:dyDescent="0.3">
      <c r="A228" s="8" t="s">
        <v>38</v>
      </c>
      <c r="B228" s="8" t="s">
        <v>39</v>
      </c>
      <c r="C228" s="8" t="s">
        <v>40</v>
      </c>
      <c r="D228" s="8">
        <v>80</v>
      </c>
      <c r="E228" s="8" t="s">
        <v>41</v>
      </c>
      <c r="F228" t="s">
        <v>42</v>
      </c>
      <c r="G228" s="8">
        <v>5000</v>
      </c>
      <c r="H228" s="7">
        <v>46186</v>
      </c>
      <c r="I228" s="9">
        <v>270</v>
      </c>
      <c r="J228" s="31">
        <f t="shared" si="6"/>
        <v>46181</v>
      </c>
      <c r="K228" s="31">
        <f>Table14[[#This Row],[week first day]]-7</f>
        <v>46174</v>
      </c>
      <c r="L228">
        <f t="shared" si="7"/>
        <v>3240</v>
      </c>
    </row>
    <row r="229" spans="1:12" x14ac:dyDescent="0.3">
      <c r="A229" s="8" t="s">
        <v>38</v>
      </c>
      <c r="B229" s="8" t="s">
        <v>39</v>
      </c>
      <c r="C229" s="8" t="s">
        <v>40</v>
      </c>
      <c r="D229" s="8">
        <v>80</v>
      </c>
      <c r="E229" s="8" t="s">
        <v>41</v>
      </c>
      <c r="F229" t="s">
        <v>42</v>
      </c>
      <c r="G229" s="8">
        <v>5000</v>
      </c>
      <c r="H229" s="7">
        <v>46190</v>
      </c>
      <c r="I229" s="9">
        <v>270</v>
      </c>
      <c r="J229" s="31">
        <f t="shared" si="6"/>
        <v>46188</v>
      </c>
      <c r="K229" s="31">
        <f>Table14[[#This Row],[week first day]]-7</f>
        <v>46181</v>
      </c>
      <c r="L229">
        <f t="shared" si="7"/>
        <v>6442</v>
      </c>
    </row>
    <row r="230" spans="1:12" x14ac:dyDescent="0.3">
      <c r="A230" s="8" t="s">
        <v>38</v>
      </c>
      <c r="B230" s="8" t="s">
        <v>39</v>
      </c>
      <c r="C230" s="8" t="s">
        <v>40</v>
      </c>
      <c r="D230" s="8">
        <v>80</v>
      </c>
      <c r="E230" s="8" t="s">
        <v>41</v>
      </c>
      <c r="F230" t="s">
        <v>42</v>
      </c>
      <c r="G230" s="8">
        <v>5000</v>
      </c>
      <c r="H230" s="7">
        <v>46190</v>
      </c>
      <c r="I230" s="9">
        <v>270</v>
      </c>
      <c r="J230" s="31">
        <f t="shared" si="6"/>
        <v>46188</v>
      </c>
      <c r="K230" s="31">
        <f>Table14[[#This Row],[week first day]]-7</f>
        <v>46181</v>
      </c>
      <c r="L230">
        <f t="shared" si="7"/>
        <v>6442</v>
      </c>
    </row>
    <row r="231" spans="1:12" x14ac:dyDescent="0.3">
      <c r="A231" s="8" t="s">
        <v>38</v>
      </c>
      <c r="B231" s="8" t="s">
        <v>39</v>
      </c>
      <c r="C231" s="8" t="s">
        <v>40</v>
      </c>
      <c r="D231" s="8">
        <v>80</v>
      </c>
      <c r="E231" s="8" t="s">
        <v>41</v>
      </c>
      <c r="F231" t="s">
        <v>42</v>
      </c>
      <c r="G231" s="8">
        <v>5000</v>
      </c>
      <c r="H231" s="7">
        <v>46190</v>
      </c>
      <c r="I231" s="9">
        <v>270</v>
      </c>
      <c r="J231" s="31">
        <f t="shared" si="6"/>
        <v>46188</v>
      </c>
      <c r="K231" s="31">
        <f>Table14[[#This Row],[week first day]]-7</f>
        <v>46181</v>
      </c>
      <c r="L231">
        <f t="shared" si="7"/>
        <v>6442</v>
      </c>
    </row>
    <row r="232" spans="1:12" x14ac:dyDescent="0.3">
      <c r="A232" s="8" t="s">
        <v>38</v>
      </c>
      <c r="B232" s="8" t="s">
        <v>39</v>
      </c>
      <c r="C232" s="8" t="s">
        <v>40</v>
      </c>
      <c r="D232" s="8">
        <v>80</v>
      </c>
      <c r="E232" s="8" t="s">
        <v>41</v>
      </c>
      <c r="F232" t="s">
        <v>42</v>
      </c>
      <c r="G232" s="8">
        <v>5000</v>
      </c>
      <c r="H232" s="7">
        <v>46190</v>
      </c>
      <c r="I232" s="9">
        <v>270</v>
      </c>
      <c r="J232" s="31">
        <f t="shared" si="6"/>
        <v>46188</v>
      </c>
      <c r="K232" s="31">
        <f>Table14[[#This Row],[week first day]]-7</f>
        <v>46181</v>
      </c>
      <c r="L232">
        <f t="shared" si="7"/>
        <v>6442</v>
      </c>
    </row>
    <row r="233" spans="1:12" x14ac:dyDescent="0.3">
      <c r="A233" s="8" t="s">
        <v>38</v>
      </c>
      <c r="B233" s="8" t="s">
        <v>39</v>
      </c>
      <c r="C233" s="8" t="s">
        <v>40</v>
      </c>
      <c r="D233" s="8">
        <v>80</v>
      </c>
      <c r="E233" s="8" t="s">
        <v>41</v>
      </c>
      <c r="F233" t="s">
        <v>42</v>
      </c>
      <c r="G233" s="8">
        <v>5000</v>
      </c>
      <c r="H233" s="7">
        <v>46190</v>
      </c>
      <c r="I233" s="9">
        <v>270</v>
      </c>
      <c r="J233" s="31">
        <f t="shared" si="6"/>
        <v>46188</v>
      </c>
      <c r="K233" s="31">
        <f>Table14[[#This Row],[week first day]]-7</f>
        <v>46181</v>
      </c>
      <c r="L233">
        <f t="shared" si="7"/>
        <v>6442</v>
      </c>
    </row>
    <row r="234" spans="1:12" x14ac:dyDescent="0.3">
      <c r="A234" s="8" t="s">
        <v>38</v>
      </c>
      <c r="B234" s="8" t="s">
        <v>39</v>
      </c>
      <c r="C234" s="8" t="s">
        <v>40</v>
      </c>
      <c r="D234" s="8">
        <v>80</v>
      </c>
      <c r="E234" s="8" t="s">
        <v>41</v>
      </c>
      <c r="F234" t="s">
        <v>42</v>
      </c>
      <c r="G234" s="8">
        <v>5000</v>
      </c>
      <c r="H234" s="7">
        <v>46190</v>
      </c>
      <c r="I234" s="9">
        <v>270</v>
      </c>
      <c r="J234" s="31">
        <f t="shared" si="6"/>
        <v>46188</v>
      </c>
      <c r="K234" s="31">
        <f>Table14[[#This Row],[week first day]]-7</f>
        <v>46181</v>
      </c>
      <c r="L234">
        <f t="shared" si="7"/>
        <v>6442</v>
      </c>
    </row>
    <row r="235" spans="1:12" x14ac:dyDescent="0.3">
      <c r="A235" s="8" t="s">
        <v>38</v>
      </c>
      <c r="B235" s="8" t="s">
        <v>39</v>
      </c>
      <c r="C235" s="8" t="s">
        <v>40</v>
      </c>
      <c r="D235" s="8">
        <v>80</v>
      </c>
      <c r="E235" s="8" t="s">
        <v>41</v>
      </c>
      <c r="F235" t="s">
        <v>42</v>
      </c>
      <c r="G235" s="8">
        <v>5000</v>
      </c>
      <c r="H235" s="7">
        <v>46190</v>
      </c>
      <c r="I235" s="9">
        <v>270</v>
      </c>
      <c r="J235" s="31">
        <f t="shared" si="6"/>
        <v>46188</v>
      </c>
      <c r="K235" s="31">
        <f>Table14[[#This Row],[week first day]]-7</f>
        <v>46181</v>
      </c>
      <c r="L235">
        <f t="shared" si="7"/>
        <v>6442</v>
      </c>
    </row>
    <row r="236" spans="1:12" x14ac:dyDescent="0.3">
      <c r="A236" s="8" t="s">
        <v>38</v>
      </c>
      <c r="B236" s="8" t="s">
        <v>39</v>
      </c>
      <c r="C236" s="8" t="s">
        <v>40</v>
      </c>
      <c r="D236" s="8">
        <v>80</v>
      </c>
      <c r="E236" s="8" t="s">
        <v>41</v>
      </c>
      <c r="F236" t="s">
        <v>42</v>
      </c>
      <c r="G236" s="8">
        <v>5000</v>
      </c>
      <c r="H236" s="7">
        <v>46190</v>
      </c>
      <c r="I236" s="9">
        <v>270</v>
      </c>
      <c r="J236" s="31">
        <f t="shared" si="6"/>
        <v>46188</v>
      </c>
      <c r="K236" s="31">
        <f>Table14[[#This Row],[week first day]]-7</f>
        <v>46181</v>
      </c>
      <c r="L236">
        <f t="shared" si="7"/>
        <v>6442</v>
      </c>
    </row>
    <row r="237" spans="1:12" x14ac:dyDescent="0.3">
      <c r="A237" s="8" t="s">
        <v>38</v>
      </c>
      <c r="B237" s="8" t="s">
        <v>39</v>
      </c>
      <c r="C237" s="8" t="s">
        <v>40</v>
      </c>
      <c r="D237" s="8">
        <v>80</v>
      </c>
      <c r="E237" s="8" t="s">
        <v>41</v>
      </c>
      <c r="F237" t="s">
        <v>42</v>
      </c>
      <c r="G237" s="8">
        <v>5000</v>
      </c>
      <c r="H237" s="7">
        <v>46190</v>
      </c>
      <c r="I237" s="9">
        <v>270</v>
      </c>
      <c r="J237" s="31">
        <f t="shared" si="6"/>
        <v>46188</v>
      </c>
      <c r="K237" s="31">
        <f>Table14[[#This Row],[week first day]]-7</f>
        <v>46181</v>
      </c>
      <c r="L237">
        <f t="shared" si="7"/>
        <v>6442</v>
      </c>
    </row>
    <row r="238" spans="1:12" x14ac:dyDescent="0.3">
      <c r="A238" s="8" t="s">
        <v>38</v>
      </c>
      <c r="B238" s="8" t="s">
        <v>39</v>
      </c>
      <c r="C238" s="8" t="s">
        <v>40</v>
      </c>
      <c r="D238" s="8">
        <v>80</v>
      </c>
      <c r="E238" s="8" t="s">
        <v>41</v>
      </c>
      <c r="F238" t="s">
        <v>42</v>
      </c>
      <c r="G238" s="8">
        <v>5000</v>
      </c>
      <c r="H238" s="7">
        <v>46190</v>
      </c>
      <c r="I238" s="9">
        <v>270</v>
      </c>
      <c r="J238" s="31">
        <f t="shared" si="6"/>
        <v>46188</v>
      </c>
      <c r="K238" s="31">
        <f>Table14[[#This Row],[week first day]]-7</f>
        <v>46181</v>
      </c>
      <c r="L238">
        <f t="shared" si="7"/>
        <v>6442</v>
      </c>
    </row>
    <row r="239" spans="1:12" x14ac:dyDescent="0.3">
      <c r="A239" s="8" t="s">
        <v>38</v>
      </c>
      <c r="B239" s="8" t="s">
        <v>39</v>
      </c>
      <c r="C239" s="8" t="s">
        <v>40</v>
      </c>
      <c r="D239" s="8">
        <v>80</v>
      </c>
      <c r="E239" s="8" t="s">
        <v>41</v>
      </c>
      <c r="F239" t="s">
        <v>42</v>
      </c>
      <c r="G239" s="8">
        <v>5000</v>
      </c>
      <c r="H239" s="7">
        <v>46192</v>
      </c>
      <c r="I239" s="9">
        <v>3202</v>
      </c>
      <c r="J239" s="31">
        <f t="shared" si="6"/>
        <v>46188</v>
      </c>
      <c r="K239" s="31">
        <f>Table14[[#This Row],[week first day]]-7</f>
        <v>46181</v>
      </c>
      <c r="L239">
        <f t="shared" si="7"/>
        <v>6442</v>
      </c>
    </row>
    <row r="240" spans="1:12" x14ac:dyDescent="0.3">
      <c r="A240" s="8" t="s">
        <v>38</v>
      </c>
      <c r="B240" s="8" t="s">
        <v>39</v>
      </c>
      <c r="C240" s="8" t="s">
        <v>40</v>
      </c>
      <c r="D240" s="8">
        <v>80</v>
      </c>
      <c r="E240" s="8" t="s">
        <v>41</v>
      </c>
      <c r="F240" t="s">
        <v>42</v>
      </c>
      <c r="G240" s="8">
        <v>5000</v>
      </c>
      <c r="H240" s="7">
        <v>46192</v>
      </c>
      <c r="I240" s="9">
        <v>540</v>
      </c>
      <c r="J240" s="31">
        <f t="shared" si="6"/>
        <v>46188</v>
      </c>
      <c r="K240" s="31">
        <f>Table14[[#This Row],[week first day]]-7</f>
        <v>46181</v>
      </c>
      <c r="L240">
        <f t="shared" si="7"/>
        <v>6442</v>
      </c>
    </row>
    <row r="241" spans="1:12" x14ac:dyDescent="0.3">
      <c r="A241" s="8" t="s">
        <v>38</v>
      </c>
      <c r="B241" s="8" t="s">
        <v>39</v>
      </c>
      <c r="C241" s="8" t="s">
        <v>40</v>
      </c>
      <c r="D241" s="8">
        <v>80</v>
      </c>
      <c r="E241" s="8" t="s">
        <v>41</v>
      </c>
      <c r="F241" t="s">
        <v>42</v>
      </c>
      <c r="G241" s="8">
        <v>5000</v>
      </c>
      <c r="H241" s="7">
        <v>46197</v>
      </c>
      <c r="I241" s="9">
        <v>270</v>
      </c>
      <c r="J241" s="31">
        <f t="shared" si="6"/>
        <v>46195</v>
      </c>
      <c r="K241" s="31">
        <f>Table14[[#This Row],[week first day]]-7</f>
        <v>46188</v>
      </c>
      <c r="L241">
        <f t="shared" si="7"/>
        <v>8802</v>
      </c>
    </row>
    <row r="242" spans="1:12" x14ac:dyDescent="0.3">
      <c r="A242" s="8" t="s">
        <v>38</v>
      </c>
      <c r="B242" s="8" t="s">
        <v>39</v>
      </c>
      <c r="C242" s="8" t="s">
        <v>40</v>
      </c>
      <c r="D242" s="8">
        <v>80</v>
      </c>
      <c r="E242" s="8" t="s">
        <v>41</v>
      </c>
      <c r="F242" t="s">
        <v>42</v>
      </c>
      <c r="G242" s="8">
        <v>5000</v>
      </c>
      <c r="H242" s="7">
        <v>46197</v>
      </c>
      <c r="I242" s="9">
        <v>270</v>
      </c>
      <c r="J242" s="31">
        <f t="shared" si="6"/>
        <v>46195</v>
      </c>
      <c r="K242" s="31">
        <f>Table14[[#This Row],[week first day]]-7</f>
        <v>46188</v>
      </c>
      <c r="L242">
        <f t="shared" si="7"/>
        <v>8802</v>
      </c>
    </row>
    <row r="243" spans="1:12" x14ac:dyDescent="0.3">
      <c r="A243" s="8" t="s">
        <v>38</v>
      </c>
      <c r="B243" s="8" t="s">
        <v>39</v>
      </c>
      <c r="C243" s="8" t="s">
        <v>40</v>
      </c>
      <c r="D243" s="8">
        <v>80</v>
      </c>
      <c r="E243" s="8" t="s">
        <v>41</v>
      </c>
      <c r="F243" t="s">
        <v>42</v>
      </c>
      <c r="G243" s="8">
        <v>5000</v>
      </c>
      <c r="H243" s="7">
        <v>46197</v>
      </c>
      <c r="I243" s="9">
        <v>270</v>
      </c>
      <c r="J243" s="31">
        <f t="shared" si="6"/>
        <v>46195</v>
      </c>
      <c r="K243" s="31">
        <f>Table14[[#This Row],[week first day]]-7</f>
        <v>46188</v>
      </c>
      <c r="L243">
        <f t="shared" si="7"/>
        <v>8802</v>
      </c>
    </row>
    <row r="244" spans="1:12" x14ac:dyDescent="0.3">
      <c r="A244" s="8" t="s">
        <v>38</v>
      </c>
      <c r="B244" s="8" t="s">
        <v>39</v>
      </c>
      <c r="C244" s="8" t="s">
        <v>40</v>
      </c>
      <c r="D244" s="8">
        <v>80</v>
      </c>
      <c r="E244" s="8" t="s">
        <v>41</v>
      </c>
      <c r="F244" t="s">
        <v>42</v>
      </c>
      <c r="G244" s="8">
        <v>5000</v>
      </c>
      <c r="H244" s="7">
        <v>46197</v>
      </c>
      <c r="I244" s="9">
        <v>270</v>
      </c>
      <c r="J244" s="31">
        <f t="shared" si="6"/>
        <v>46195</v>
      </c>
      <c r="K244" s="31">
        <f>Table14[[#This Row],[week first day]]-7</f>
        <v>46188</v>
      </c>
      <c r="L244">
        <f t="shared" si="7"/>
        <v>8802</v>
      </c>
    </row>
    <row r="245" spans="1:12" x14ac:dyDescent="0.3">
      <c r="A245" s="8" t="s">
        <v>38</v>
      </c>
      <c r="B245" s="8" t="s">
        <v>39</v>
      </c>
      <c r="C245" s="8" t="s">
        <v>40</v>
      </c>
      <c r="D245" s="8">
        <v>80</v>
      </c>
      <c r="E245" s="8" t="s">
        <v>41</v>
      </c>
      <c r="F245" t="s">
        <v>42</v>
      </c>
      <c r="G245" s="8">
        <v>5000</v>
      </c>
      <c r="H245" s="7">
        <v>46197</v>
      </c>
      <c r="I245" s="9">
        <v>270</v>
      </c>
      <c r="J245" s="31">
        <f t="shared" si="6"/>
        <v>46195</v>
      </c>
      <c r="K245" s="31">
        <f>Table14[[#This Row],[week first day]]-7</f>
        <v>46188</v>
      </c>
      <c r="L245">
        <f t="shared" si="7"/>
        <v>8802</v>
      </c>
    </row>
    <row r="246" spans="1:12" x14ac:dyDescent="0.3">
      <c r="A246" s="8" t="s">
        <v>38</v>
      </c>
      <c r="B246" s="8" t="s">
        <v>39</v>
      </c>
      <c r="C246" s="8" t="s">
        <v>40</v>
      </c>
      <c r="D246" s="8">
        <v>80</v>
      </c>
      <c r="E246" s="8" t="s">
        <v>41</v>
      </c>
      <c r="F246" t="s">
        <v>42</v>
      </c>
      <c r="G246" s="8">
        <v>5000</v>
      </c>
      <c r="H246" s="7">
        <v>46197</v>
      </c>
      <c r="I246" s="9">
        <v>270</v>
      </c>
      <c r="J246" s="31">
        <f t="shared" si="6"/>
        <v>46195</v>
      </c>
      <c r="K246" s="31">
        <f>Table14[[#This Row],[week first day]]-7</f>
        <v>46188</v>
      </c>
      <c r="L246">
        <f t="shared" si="7"/>
        <v>8802</v>
      </c>
    </row>
    <row r="247" spans="1:12" x14ac:dyDescent="0.3">
      <c r="A247" s="8" t="s">
        <v>38</v>
      </c>
      <c r="B247" s="8" t="s">
        <v>39</v>
      </c>
      <c r="C247" s="8" t="s">
        <v>40</v>
      </c>
      <c r="D247" s="8">
        <v>80</v>
      </c>
      <c r="E247" s="8" t="s">
        <v>41</v>
      </c>
      <c r="F247" t="s">
        <v>42</v>
      </c>
      <c r="G247" s="8">
        <v>5000</v>
      </c>
      <c r="H247" s="7">
        <v>46197</v>
      </c>
      <c r="I247" s="9">
        <v>228</v>
      </c>
      <c r="J247" s="31">
        <f t="shared" si="6"/>
        <v>46195</v>
      </c>
      <c r="K247" s="31">
        <f>Table14[[#This Row],[week first day]]-7</f>
        <v>46188</v>
      </c>
      <c r="L247">
        <f t="shared" si="7"/>
        <v>8802</v>
      </c>
    </row>
    <row r="248" spans="1:12" x14ac:dyDescent="0.3">
      <c r="A248" s="8" t="s">
        <v>38</v>
      </c>
      <c r="B248" s="8" t="s">
        <v>39</v>
      </c>
      <c r="C248" s="8" t="s">
        <v>40</v>
      </c>
      <c r="D248" s="8">
        <v>80</v>
      </c>
      <c r="E248" s="8" t="s">
        <v>41</v>
      </c>
      <c r="F248" t="s">
        <v>42</v>
      </c>
      <c r="G248" s="8">
        <v>5000</v>
      </c>
      <c r="H248" s="7">
        <v>46197</v>
      </c>
      <c r="I248" s="9">
        <v>170</v>
      </c>
      <c r="J248" s="31">
        <f t="shared" si="6"/>
        <v>46195</v>
      </c>
      <c r="K248" s="31">
        <f>Table14[[#This Row],[week first day]]-7</f>
        <v>46188</v>
      </c>
      <c r="L248">
        <f t="shared" si="7"/>
        <v>8802</v>
      </c>
    </row>
    <row r="249" spans="1:12" x14ac:dyDescent="0.3">
      <c r="A249" s="8" t="s">
        <v>38</v>
      </c>
      <c r="B249" s="8" t="s">
        <v>39</v>
      </c>
      <c r="C249" s="8" t="s">
        <v>40</v>
      </c>
      <c r="D249" s="8">
        <v>80</v>
      </c>
      <c r="E249" s="8" t="s">
        <v>41</v>
      </c>
      <c r="F249" t="s">
        <v>42</v>
      </c>
      <c r="G249" s="8">
        <v>5000</v>
      </c>
      <c r="H249" s="7">
        <v>46197</v>
      </c>
      <c r="I249" s="9">
        <v>270</v>
      </c>
      <c r="J249" s="31">
        <f t="shared" si="6"/>
        <v>46195</v>
      </c>
      <c r="K249" s="31">
        <f>Table14[[#This Row],[week first day]]-7</f>
        <v>46188</v>
      </c>
      <c r="L249">
        <f t="shared" si="7"/>
        <v>8802</v>
      </c>
    </row>
    <row r="250" spans="1:12" x14ac:dyDescent="0.3">
      <c r="A250" s="8" t="s">
        <v>38</v>
      </c>
      <c r="B250" s="8" t="s">
        <v>39</v>
      </c>
      <c r="C250" s="8" t="s">
        <v>40</v>
      </c>
      <c r="D250" s="8">
        <v>80</v>
      </c>
      <c r="E250" s="8" t="s">
        <v>41</v>
      </c>
      <c r="F250" t="s">
        <v>42</v>
      </c>
      <c r="G250" s="8">
        <v>5000</v>
      </c>
      <c r="H250" s="7">
        <v>46197</v>
      </c>
      <c r="I250" s="9">
        <v>270</v>
      </c>
      <c r="J250" s="31">
        <f t="shared" si="6"/>
        <v>46195</v>
      </c>
      <c r="K250" s="31">
        <f>Table14[[#This Row],[week first day]]-7</f>
        <v>46188</v>
      </c>
      <c r="L250">
        <f t="shared" si="7"/>
        <v>8802</v>
      </c>
    </row>
    <row r="251" spans="1:12" x14ac:dyDescent="0.3">
      <c r="A251" s="8" t="s">
        <v>38</v>
      </c>
      <c r="B251" s="8" t="s">
        <v>39</v>
      </c>
      <c r="C251" s="8" t="s">
        <v>40</v>
      </c>
      <c r="D251" s="8">
        <v>80</v>
      </c>
      <c r="E251" s="8" t="s">
        <v>41</v>
      </c>
      <c r="F251" t="s">
        <v>42</v>
      </c>
      <c r="G251" s="8">
        <v>5000</v>
      </c>
      <c r="H251" s="7">
        <v>46197</v>
      </c>
      <c r="I251" s="9">
        <v>270</v>
      </c>
      <c r="J251" s="31">
        <f t="shared" si="6"/>
        <v>46195</v>
      </c>
      <c r="K251" s="31">
        <f>Table14[[#This Row],[week first day]]-7</f>
        <v>46188</v>
      </c>
      <c r="L251">
        <f t="shared" si="7"/>
        <v>8802</v>
      </c>
    </row>
    <row r="252" spans="1:12" x14ac:dyDescent="0.3">
      <c r="A252" s="8" t="s">
        <v>38</v>
      </c>
      <c r="B252" s="8" t="s">
        <v>39</v>
      </c>
      <c r="C252" s="8" t="s">
        <v>40</v>
      </c>
      <c r="D252" s="8">
        <v>80</v>
      </c>
      <c r="E252" s="8" t="s">
        <v>41</v>
      </c>
      <c r="F252" t="s">
        <v>42</v>
      </c>
      <c r="G252" s="8">
        <v>5000</v>
      </c>
      <c r="H252" s="7">
        <v>46197</v>
      </c>
      <c r="I252" s="9">
        <v>270</v>
      </c>
      <c r="J252" s="31">
        <f t="shared" si="6"/>
        <v>46195</v>
      </c>
      <c r="K252" s="31">
        <f>Table14[[#This Row],[week first day]]-7</f>
        <v>46188</v>
      </c>
      <c r="L252">
        <f t="shared" si="7"/>
        <v>8802</v>
      </c>
    </row>
    <row r="253" spans="1:12" x14ac:dyDescent="0.3">
      <c r="A253" s="8" t="s">
        <v>38</v>
      </c>
      <c r="B253" s="8" t="s">
        <v>39</v>
      </c>
      <c r="C253" s="8" t="s">
        <v>40</v>
      </c>
      <c r="D253" s="8">
        <v>80</v>
      </c>
      <c r="E253" s="8" t="s">
        <v>41</v>
      </c>
      <c r="F253" t="s">
        <v>42</v>
      </c>
      <c r="G253" s="8">
        <v>5000</v>
      </c>
      <c r="H253" s="7">
        <v>46199</v>
      </c>
      <c r="I253" s="9">
        <v>5704</v>
      </c>
      <c r="J253" s="31">
        <f t="shared" si="6"/>
        <v>46195</v>
      </c>
      <c r="K253" s="31">
        <f>Table14[[#This Row],[week first day]]-7</f>
        <v>46188</v>
      </c>
      <c r="L253">
        <f t="shared" si="7"/>
        <v>8802</v>
      </c>
    </row>
    <row r="254" spans="1:12" x14ac:dyDescent="0.3">
      <c r="A254" s="8" t="s">
        <v>38</v>
      </c>
      <c r="B254" s="8" t="s">
        <v>39</v>
      </c>
      <c r="C254" s="8" t="s">
        <v>40</v>
      </c>
      <c r="D254" s="8">
        <v>80</v>
      </c>
      <c r="E254" s="8" t="s">
        <v>41</v>
      </c>
      <c r="F254" t="s">
        <v>42</v>
      </c>
      <c r="G254" s="8">
        <v>5000</v>
      </c>
      <c r="H254" s="7">
        <v>46206</v>
      </c>
      <c r="I254" s="9">
        <v>2500</v>
      </c>
      <c r="J254" s="31">
        <f t="shared" si="6"/>
        <v>46202</v>
      </c>
      <c r="K254" s="31">
        <f>Table14[[#This Row],[week first day]]-7</f>
        <v>46195</v>
      </c>
      <c r="L254">
        <f t="shared" si="7"/>
        <v>7695</v>
      </c>
    </row>
    <row r="255" spans="1:12" x14ac:dyDescent="0.3">
      <c r="A255" s="8" t="s">
        <v>38</v>
      </c>
      <c r="B255" s="8" t="s">
        <v>39</v>
      </c>
      <c r="C255" s="8" t="s">
        <v>40</v>
      </c>
      <c r="D255" s="8">
        <v>80</v>
      </c>
      <c r="E255" s="8" t="s">
        <v>41</v>
      </c>
      <c r="F255" t="s">
        <v>42</v>
      </c>
      <c r="G255" s="8">
        <v>5000</v>
      </c>
      <c r="H255" s="7">
        <v>46206</v>
      </c>
      <c r="I255" s="9">
        <v>4655</v>
      </c>
      <c r="J255" s="31">
        <f t="shared" si="6"/>
        <v>46202</v>
      </c>
      <c r="K255" s="31">
        <f>Table14[[#This Row],[week first day]]-7</f>
        <v>46195</v>
      </c>
      <c r="L255">
        <f t="shared" si="7"/>
        <v>7695</v>
      </c>
    </row>
    <row r="256" spans="1:12" x14ac:dyDescent="0.3">
      <c r="A256" s="8" t="s">
        <v>38</v>
      </c>
      <c r="B256" s="8" t="s">
        <v>39</v>
      </c>
      <c r="C256" s="8" t="s">
        <v>40</v>
      </c>
      <c r="D256" s="8">
        <v>80</v>
      </c>
      <c r="E256" s="8" t="s">
        <v>41</v>
      </c>
      <c r="F256" t="s">
        <v>42</v>
      </c>
      <c r="G256" s="8">
        <v>5000</v>
      </c>
      <c r="H256" s="7">
        <v>46206</v>
      </c>
      <c r="I256" s="9">
        <v>540</v>
      </c>
      <c r="J256" s="31">
        <f t="shared" si="6"/>
        <v>46202</v>
      </c>
      <c r="K256" s="31">
        <f>Table14[[#This Row],[week first day]]-7</f>
        <v>46195</v>
      </c>
      <c r="L256">
        <f t="shared" si="7"/>
        <v>7695</v>
      </c>
    </row>
    <row r="257" spans="1:12" x14ac:dyDescent="0.3">
      <c r="A257" s="8" t="s">
        <v>38</v>
      </c>
      <c r="B257" s="8" t="s">
        <v>39</v>
      </c>
      <c r="C257" s="8" t="s">
        <v>40</v>
      </c>
      <c r="D257" s="8">
        <v>80</v>
      </c>
      <c r="E257" s="8" t="s">
        <v>41</v>
      </c>
      <c r="F257" t="s">
        <v>42</v>
      </c>
      <c r="G257" s="8">
        <v>5000</v>
      </c>
      <c r="H257" s="7">
        <v>46213</v>
      </c>
      <c r="I257" s="9">
        <v>2500</v>
      </c>
      <c r="J257" s="31">
        <f t="shared" si="6"/>
        <v>46209</v>
      </c>
      <c r="K257" s="31">
        <f>Table14[[#This Row],[week first day]]-7</f>
        <v>46202</v>
      </c>
      <c r="L257">
        <f t="shared" si="7"/>
        <v>2500</v>
      </c>
    </row>
    <row r="258" spans="1:12" x14ac:dyDescent="0.3">
      <c r="A258" s="8" t="s">
        <v>38</v>
      </c>
      <c r="B258" s="8" t="s">
        <v>39</v>
      </c>
      <c r="C258" s="8" t="s">
        <v>40</v>
      </c>
      <c r="D258" s="8">
        <v>80</v>
      </c>
      <c r="E258" s="8" t="s">
        <v>41</v>
      </c>
      <c r="F258" t="s">
        <v>42</v>
      </c>
      <c r="G258" s="8">
        <v>5000</v>
      </c>
      <c r="H258" s="7">
        <v>46220</v>
      </c>
      <c r="I258" s="9">
        <v>2500</v>
      </c>
      <c r="J258" s="31">
        <f t="shared" ref="J258:J321" si="8">$M$1+7*INT((H258-$M$1)/7)</f>
        <v>46216</v>
      </c>
      <c r="K258" s="31">
        <f>Table14[[#This Row],[week first day]]-7</f>
        <v>46209</v>
      </c>
      <c r="L258">
        <f t="shared" si="7"/>
        <v>2500</v>
      </c>
    </row>
    <row r="259" spans="1:12" x14ac:dyDescent="0.3">
      <c r="A259" s="8" t="s">
        <v>38</v>
      </c>
      <c r="B259" s="8" t="s">
        <v>39</v>
      </c>
      <c r="C259" s="8" t="s">
        <v>40</v>
      </c>
      <c r="D259" s="8">
        <v>80</v>
      </c>
      <c r="E259" s="8" t="s">
        <v>41</v>
      </c>
      <c r="F259" t="s">
        <v>42</v>
      </c>
      <c r="G259" s="8">
        <v>5000</v>
      </c>
      <c r="H259" s="7">
        <v>46227</v>
      </c>
      <c r="I259" s="9">
        <v>2500</v>
      </c>
      <c r="J259" s="31">
        <f t="shared" si="8"/>
        <v>46223</v>
      </c>
      <c r="K259" s="31">
        <f>Table14[[#This Row],[week first day]]-7</f>
        <v>46216</v>
      </c>
      <c r="L259">
        <f t="shared" ref="L259:L322" si="9">SUMIFS($I:$I,$A:$A,A259,J:J,J259)</f>
        <v>2500</v>
      </c>
    </row>
    <row r="260" spans="1:12" x14ac:dyDescent="0.3">
      <c r="A260" s="8" t="s">
        <v>38</v>
      </c>
      <c r="B260" s="8" t="s">
        <v>39</v>
      </c>
      <c r="C260" s="8" t="s">
        <v>40</v>
      </c>
      <c r="D260" s="8">
        <v>80</v>
      </c>
      <c r="E260" s="8" t="s">
        <v>41</v>
      </c>
      <c r="F260" t="s">
        <v>42</v>
      </c>
      <c r="G260" s="8">
        <v>5000</v>
      </c>
      <c r="H260" s="7">
        <v>46234</v>
      </c>
      <c r="I260" s="9">
        <v>1000</v>
      </c>
      <c r="J260" s="31">
        <f t="shared" si="8"/>
        <v>46230</v>
      </c>
      <c r="K260" s="31">
        <f>Table14[[#This Row],[week first day]]-7</f>
        <v>46223</v>
      </c>
      <c r="L260">
        <f t="shared" si="9"/>
        <v>1000</v>
      </c>
    </row>
    <row r="261" spans="1:12" x14ac:dyDescent="0.3">
      <c r="A261" s="8" t="s">
        <v>38</v>
      </c>
      <c r="B261" s="8" t="s">
        <v>39</v>
      </c>
      <c r="C261" s="8" t="s">
        <v>40</v>
      </c>
      <c r="D261" s="8">
        <v>80</v>
      </c>
      <c r="E261" s="8" t="s">
        <v>41</v>
      </c>
      <c r="F261" t="s">
        <v>42</v>
      </c>
      <c r="G261" s="8">
        <v>5000</v>
      </c>
      <c r="H261" s="7">
        <v>46241</v>
      </c>
      <c r="I261" s="9">
        <v>1000</v>
      </c>
      <c r="J261" s="31">
        <f t="shared" si="8"/>
        <v>46237</v>
      </c>
      <c r="K261" s="31">
        <f>Table14[[#This Row],[week first day]]-7</f>
        <v>46230</v>
      </c>
      <c r="L261">
        <f t="shared" si="9"/>
        <v>1000</v>
      </c>
    </row>
    <row r="262" spans="1:12" x14ac:dyDescent="0.3">
      <c r="A262" s="8" t="s">
        <v>38</v>
      </c>
      <c r="B262" s="8" t="s">
        <v>39</v>
      </c>
      <c r="C262" s="8" t="s">
        <v>40</v>
      </c>
      <c r="D262" s="8">
        <v>80</v>
      </c>
      <c r="E262" s="8" t="s">
        <v>41</v>
      </c>
      <c r="F262" t="s">
        <v>42</v>
      </c>
      <c r="G262" s="8">
        <v>5000</v>
      </c>
      <c r="H262" s="7">
        <v>46248</v>
      </c>
      <c r="I262" s="9">
        <v>1000</v>
      </c>
      <c r="J262" s="31">
        <f t="shared" si="8"/>
        <v>46244</v>
      </c>
      <c r="K262" s="31">
        <f>Table14[[#This Row],[week first day]]-7</f>
        <v>46237</v>
      </c>
      <c r="L262">
        <f t="shared" si="9"/>
        <v>1000</v>
      </c>
    </row>
    <row r="263" spans="1:12" x14ac:dyDescent="0.3">
      <c r="A263" s="8" t="s">
        <v>38</v>
      </c>
      <c r="B263" s="8" t="s">
        <v>39</v>
      </c>
      <c r="C263" s="8" t="s">
        <v>40</v>
      </c>
      <c r="D263" s="8">
        <v>80</v>
      </c>
      <c r="E263" s="8" t="s">
        <v>41</v>
      </c>
      <c r="F263" t="s">
        <v>42</v>
      </c>
      <c r="G263" s="8">
        <v>5000</v>
      </c>
      <c r="H263" s="7">
        <v>46255</v>
      </c>
      <c r="I263" s="9">
        <v>1000</v>
      </c>
      <c r="J263" s="31">
        <f t="shared" si="8"/>
        <v>46251</v>
      </c>
      <c r="K263" s="31">
        <f>Table14[[#This Row],[week first day]]-7</f>
        <v>46244</v>
      </c>
      <c r="L263">
        <f t="shared" si="9"/>
        <v>1000</v>
      </c>
    </row>
    <row r="264" spans="1:12" x14ac:dyDescent="0.3">
      <c r="A264" s="8" t="s">
        <v>38</v>
      </c>
      <c r="B264" s="8" t="s">
        <v>39</v>
      </c>
      <c r="C264" s="8" t="s">
        <v>40</v>
      </c>
      <c r="D264" s="8">
        <v>80</v>
      </c>
      <c r="E264" s="8" t="s">
        <v>41</v>
      </c>
      <c r="F264" t="s">
        <v>42</v>
      </c>
      <c r="G264" s="8">
        <v>5000</v>
      </c>
      <c r="H264" s="7">
        <v>46262</v>
      </c>
      <c r="I264" s="9">
        <v>1000</v>
      </c>
      <c r="J264" s="31">
        <f t="shared" si="8"/>
        <v>46258</v>
      </c>
      <c r="K264" s="31">
        <f>Table14[[#This Row],[week first day]]-7</f>
        <v>46251</v>
      </c>
      <c r="L264">
        <f t="shared" si="9"/>
        <v>1000</v>
      </c>
    </row>
    <row r="265" spans="1:12" x14ac:dyDescent="0.3">
      <c r="A265" s="8" t="s">
        <v>38</v>
      </c>
      <c r="B265" s="8" t="s">
        <v>39</v>
      </c>
      <c r="C265" s="8" t="s">
        <v>40</v>
      </c>
      <c r="D265" s="8">
        <v>80</v>
      </c>
      <c r="E265" s="8" t="s">
        <v>41</v>
      </c>
      <c r="F265" t="s">
        <v>42</v>
      </c>
      <c r="G265" s="8">
        <v>5000</v>
      </c>
      <c r="H265" s="7">
        <v>46269</v>
      </c>
      <c r="I265" s="9">
        <v>750</v>
      </c>
      <c r="J265" s="31">
        <f t="shared" si="8"/>
        <v>46265</v>
      </c>
      <c r="K265" s="31">
        <f>Table14[[#This Row],[week first day]]-7</f>
        <v>46258</v>
      </c>
      <c r="L265">
        <f t="shared" si="9"/>
        <v>750</v>
      </c>
    </row>
    <row r="266" spans="1:12" x14ac:dyDescent="0.3">
      <c r="A266" s="8" t="s">
        <v>38</v>
      </c>
      <c r="B266" s="8" t="s">
        <v>39</v>
      </c>
      <c r="C266" s="8" t="s">
        <v>40</v>
      </c>
      <c r="D266" s="8">
        <v>80</v>
      </c>
      <c r="E266" s="8" t="s">
        <v>41</v>
      </c>
      <c r="F266" t="s">
        <v>42</v>
      </c>
      <c r="G266" s="8">
        <v>5000</v>
      </c>
      <c r="H266" s="7">
        <v>46276</v>
      </c>
      <c r="I266" s="9">
        <v>750</v>
      </c>
      <c r="J266" s="31">
        <f t="shared" si="8"/>
        <v>46272</v>
      </c>
      <c r="K266" s="31">
        <f>Table14[[#This Row],[week first day]]-7</f>
        <v>46265</v>
      </c>
      <c r="L266">
        <f t="shared" si="9"/>
        <v>750</v>
      </c>
    </row>
    <row r="267" spans="1:12" x14ac:dyDescent="0.3">
      <c r="A267" s="8" t="s">
        <v>38</v>
      </c>
      <c r="B267" s="8" t="s">
        <v>39</v>
      </c>
      <c r="C267" s="8" t="s">
        <v>40</v>
      </c>
      <c r="D267" s="8">
        <v>80</v>
      </c>
      <c r="E267" s="8" t="s">
        <v>41</v>
      </c>
      <c r="F267" t="s">
        <v>42</v>
      </c>
      <c r="G267" s="8">
        <v>5000</v>
      </c>
      <c r="H267" s="7">
        <v>46283</v>
      </c>
      <c r="I267" s="9">
        <v>750</v>
      </c>
      <c r="J267" s="31">
        <f t="shared" si="8"/>
        <v>46279</v>
      </c>
      <c r="K267" s="31">
        <f>Table14[[#This Row],[week first day]]-7</f>
        <v>46272</v>
      </c>
      <c r="L267">
        <f t="shared" si="9"/>
        <v>750</v>
      </c>
    </row>
    <row r="268" spans="1:12" x14ac:dyDescent="0.3">
      <c r="A268" s="8" t="s">
        <v>38</v>
      </c>
      <c r="B268" s="8" t="s">
        <v>39</v>
      </c>
      <c r="C268" s="8" t="s">
        <v>40</v>
      </c>
      <c r="D268" s="8">
        <v>80</v>
      </c>
      <c r="E268" s="8" t="s">
        <v>41</v>
      </c>
      <c r="F268" t="s">
        <v>42</v>
      </c>
      <c r="G268" s="8">
        <v>5000</v>
      </c>
      <c r="H268" s="7">
        <v>46290</v>
      </c>
      <c r="I268" s="9">
        <v>750</v>
      </c>
      <c r="J268" s="31">
        <f t="shared" si="8"/>
        <v>46286</v>
      </c>
      <c r="K268" s="31">
        <f>Table14[[#This Row],[week first day]]-7</f>
        <v>46279</v>
      </c>
      <c r="L268">
        <f t="shared" si="9"/>
        <v>750</v>
      </c>
    </row>
    <row r="269" spans="1:12" x14ac:dyDescent="0.3">
      <c r="A269" s="8" t="s">
        <v>38</v>
      </c>
      <c r="B269" s="8" t="s">
        <v>39</v>
      </c>
      <c r="C269" s="8" t="s">
        <v>40</v>
      </c>
      <c r="D269" s="8">
        <v>80</v>
      </c>
      <c r="E269" s="8" t="s">
        <v>41</v>
      </c>
      <c r="F269" t="s">
        <v>42</v>
      </c>
      <c r="G269" s="8">
        <v>5000</v>
      </c>
      <c r="H269" s="7">
        <v>46297</v>
      </c>
      <c r="I269" s="9">
        <v>600</v>
      </c>
      <c r="J269" s="31">
        <f t="shared" si="8"/>
        <v>46293</v>
      </c>
      <c r="K269" s="31">
        <f>Table14[[#This Row],[week first day]]-7</f>
        <v>46286</v>
      </c>
      <c r="L269">
        <f t="shared" si="9"/>
        <v>600</v>
      </c>
    </row>
    <row r="270" spans="1:12" x14ac:dyDescent="0.3">
      <c r="A270" s="8" t="s">
        <v>38</v>
      </c>
      <c r="B270" s="8" t="s">
        <v>39</v>
      </c>
      <c r="C270" s="8" t="s">
        <v>40</v>
      </c>
      <c r="D270" s="8">
        <v>80</v>
      </c>
      <c r="E270" s="8" t="s">
        <v>41</v>
      </c>
      <c r="F270" t="s">
        <v>42</v>
      </c>
      <c r="G270" s="8">
        <v>5000</v>
      </c>
      <c r="H270" s="7">
        <v>46304</v>
      </c>
      <c r="I270" s="9">
        <v>600</v>
      </c>
      <c r="J270" s="31">
        <f t="shared" si="8"/>
        <v>46300</v>
      </c>
      <c r="K270" s="31">
        <f>Table14[[#This Row],[week first day]]-7</f>
        <v>46293</v>
      </c>
      <c r="L270">
        <f t="shared" si="9"/>
        <v>600</v>
      </c>
    </row>
    <row r="271" spans="1:12" x14ac:dyDescent="0.3">
      <c r="A271" s="8" t="s">
        <v>38</v>
      </c>
      <c r="B271" s="8" t="s">
        <v>39</v>
      </c>
      <c r="C271" s="8" t="s">
        <v>40</v>
      </c>
      <c r="D271" s="8">
        <v>80</v>
      </c>
      <c r="E271" s="8" t="s">
        <v>41</v>
      </c>
      <c r="F271" t="s">
        <v>42</v>
      </c>
      <c r="G271" s="8">
        <v>5000</v>
      </c>
      <c r="H271" s="7">
        <v>46311</v>
      </c>
      <c r="I271" s="9">
        <v>600</v>
      </c>
      <c r="J271" s="31">
        <f t="shared" si="8"/>
        <v>46307</v>
      </c>
      <c r="K271" s="31">
        <f>Table14[[#This Row],[week first day]]-7</f>
        <v>46300</v>
      </c>
      <c r="L271">
        <f t="shared" si="9"/>
        <v>600</v>
      </c>
    </row>
    <row r="272" spans="1:12" x14ac:dyDescent="0.3">
      <c r="A272" s="8" t="s">
        <v>38</v>
      </c>
      <c r="B272" s="8" t="s">
        <v>39</v>
      </c>
      <c r="C272" s="8" t="s">
        <v>40</v>
      </c>
      <c r="D272" s="8">
        <v>80</v>
      </c>
      <c r="E272" s="8" t="s">
        <v>41</v>
      </c>
      <c r="F272" t="s">
        <v>42</v>
      </c>
      <c r="G272" s="8">
        <v>5000</v>
      </c>
      <c r="H272" s="7">
        <v>46318</v>
      </c>
      <c r="I272" s="9">
        <v>600</v>
      </c>
      <c r="J272" s="31">
        <f t="shared" si="8"/>
        <v>46314</v>
      </c>
      <c r="K272" s="31">
        <f>Table14[[#This Row],[week first day]]-7</f>
        <v>46307</v>
      </c>
      <c r="L272">
        <f t="shared" si="9"/>
        <v>600</v>
      </c>
    </row>
    <row r="273" spans="1:12" x14ac:dyDescent="0.3">
      <c r="A273" s="8" t="s">
        <v>38</v>
      </c>
      <c r="B273" s="8" t="s">
        <v>39</v>
      </c>
      <c r="C273" s="8" t="s">
        <v>40</v>
      </c>
      <c r="D273" s="8">
        <v>80</v>
      </c>
      <c r="E273" s="8" t="s">
        <v>41</v>
      </c>
      <c r="F273" t="s">
        <v>42</v>
      </c>
      <c r="G273" s="8">
        <v>5000</v>
      </c>
      <c r="H273" s="7">
        <v>46325</v>
      </c>
      <c r="I273" s="9">
        <v>600</v>
      </c>
      <c r="J273" s="31">
        <f t="shared" si="8"/>
        <v>46321</v>
      </c>
      <c r="K273" s="31">
        <f>Table14[[#This Row],[week first day]]-7</f>
        <v>46314</v>
      </c>
      <c r="L273">
        <f t="shared" si="9"/>
        <v>600</v>
      </c>
    </row>
    <row r="274" spans="1:12" x14ac:dyDescent="0.3">
      <c r="A274" s="8" t="s">
        <v>38</v>
      </c>
      <c r="B274" s="8" t="s">
        <v>39</v>
      </c>
      <c r="C274" s="8" t="s">
        <v>40</v>
      </c>
      <c r="D274" s="8">
        <v>80</v>
      </c>
      <c r="E274" s="8" t="s">
        <v>41</v>
      </c>
      <c r="F274" t="s">
        <v>42</v>
      </c>
      <c r="G274" s="8">
        <v>5000</v>
      </c>
      <c r="H274" s="7">
        <v>46332</v>
      </c>
      <c r="I274" s="9">
        <v>500</v>
      </c>
      <c r="J274" s="31">
        <f t="shared" si="8"/>
        <v>46328</v>
      </c>
      <c r="K274" s="31">
        <f>Table14[[#This Row],[week first day]]-7</f>
        <v>46321</v>
      </c>
      <c r="L274">
        <f t="shared" si="9"/>
        <v>500</v>
      </c>
    </row>
    <row r="275" spans="1:12" x14ac:dyDescent="0.3">
      <c r="A275" s="8" t="s">
        <v>38</v>
      </c>
      <c r="B275" s="8" t="s">
        <v>39</v>
      </c>
      <c r="C275" s="8" t="s">
        <v>40</v>
      </c>
      <c r="D275" s="8">
        <v>80</v>
      </c>
      <c r="E275" s="8" t="s">
        <v>41</v>
      </c>
      <c r="F275" t="s">
        <v>42</v>
      </c>
      <c r="G275" s="8">
        <v>5000</v>
      </c>
      <c r="H275" s="7">
        <v>46339</v>
      </c>
      <c r="I275" s="9">
        <v>500</v>
      </c>
      <c r="J275" s="31">
        <f t="shared" si="8"/>
        <v>46335</v>
      </c>
      <c r="K275" s="31">
        <f>Table14[[#This Row],[week first day]]-7</f>
        <v>46328</v>
      </c>
      <c r="L275">
        <f t="shared" si="9"/>
        <v>500</v>
      </c>
    </row>
    <row r="276" spans="1:12" x14ac:dyDescent="0.3">
      <c r="A276" s="8" t="s">
        <v>38</v>
      </c>
      <c r="B276" s="8" t="s">
        <v>39</v>
      </c>
      <c r="C276" s="8" t="s">
        <v>40</v>
      </c>
      <c r="D276" s="8">
        <v>80</v>
      </c>
      <c r="E276" s="8" t="s">
        <v>41</v>
      </c>
      <c r="F276" t="s">
        <v>42</v>
      </c>
      <c r="G276" s="8">
        <v>5000</v>
      </c>
      <c r="H276" s="7">
        <v>46346</v>
      </c>
      <c r="I276" s="9">
        <v>500</v>
      </c>
      <c r="J276" s="31">
        <f t="shared" si="8"/>
        <v>46342</v>
      </c>
      <c r="K276" s="31">
        <f>Table14[[#This Row],[week first day]]-7</f>
        <v>46335</v>
      </c>
      <c r="L276">
        <f t="shared" si="9"/>
        <v>500</v>
      </c>
    </row>
    <row r="277" spans="1:12" x14ac:dyDescent="0.3">
      <c r="A277" s="8" t="s">
        <v>38</v>
      </c>
      <c r="B277" s="8" t="s">
        <v>39</v>
      </c>
      <c r="C277" s="8" t="s">
        <v>40</v>
      </c>
      <c r="D277" s="8">
        <v>80</v>
      </c>
      <c r="E277" s="8" t="s">
        <v>41</v>
      </c>
      <c r="F277" t="s">
        <v>42</v>
      </c>
      <c r="G277" s="8">
        <v>5000</v>
      </c>
      <c r="H277" s="7">
        <v>46353</v>
      </c>
      <c r="I277" s="9">
        <v>500</v>
      </c>
      <c r="J277" s="31">
        <f t="shared" si="8"/>
        <v>46349</v>
      </c>
      <c r="K277" s="31">
        <f>Table14[[#This Row],[week first day]]-7</f>
        <v>46342</v>
      </c>
      <c r="L277">
        <f t="shared" si="9"/>
        <v>500</v>
      </c>
    </row>
    <row r="278" spans="1:12" x14ac:dyDescent="0.3">
      <c r="A278" s="8" t="s">
        <v>38</v>
      </c>
      <c r="B278" s="8" t="s">
        <v>39</v>
      </c>
      <c r="C278" s="8" t="s">
        <v>40</v>
      </c>
      <c r="D278" s="8">
        <v>80</v>
      </c>
      <c r="E278" s="8" t="s">
        <v>41</v>
      </c>
      <c r="F278" t="s">
        <v>42</v>
      </c>
      <c r="G278" s="8">
        <v>5000</v>
      </c>
      <c r="H278" s="7">
        <v>46360</v>
      </c>
      <c r="I278" s="9">
        <v>3000</v>
      </c>
      <c r="J278" s="31">
        <f t="shared" si="8"/>
        <v>46356</v>
      </c>
      <c r="K278" s="31">
        <f>Table14[[#This Row],[week first day]]-7</f>
        <v>46349</v>
      </c>
      <c r="L278">
        <f t="shared" si="9"/>
        <v>3000</v>
      </c>
    </row>
    <row r="279" spans="1:12" x14ac:dyDescent="0.3">
      <c r="A279" s="8" t="s">
        <v>38</v>
      </c>
      <c r="B279" s="8" t="s">
        <v>39</v>
      </c>
      <c r="C279" s="8" t="s">
        <v>40</v>
      </c>
      <c r="D279" s="8">
        <v>80</v>
      </c>
      <c r="E279" s="8" t="s">
        <v>41</v>
      </c>
      <c r="F279" t="s">
        <v>42</v>
      </c>
      <c r="G279" s="8">
        <v>5000</v>
      </c>
      <c r="H279" s="7">
        <v>46367</v>
      </c>
      <c r="I279" s="9">
        <v>3000</v>
      </c>
      <c r="J279" s="31">
        <f t="shared" si="8"/>
        <v>46363</v>
      </c>
      <c r="K279" s="31">
        <f>Table14[[#This Row],[week first day]]-7</f>
        <v>46356</v>
      </c>
      <c r="L279">
        <f t="shared" si="9"/>
        <v>3000</v>
      </c>
    </row>
    <row r="280" spans="1:12" x14ac:dyDescent="0.3">
      <c r="A280" s="8" t="s">
        <v>38</v>
      </c>
      <c r="B280" s="8" t="s">
        <v>39</v>
      </c>
      <c r="C280" s="8" t="s">
        <v>40</v>
      </c>
      <c r="D280" s="8">
        <v>80</v>
      </c>
      <c r="E280" s="8" t="s">
        <v>41</v>
      </c>
      <c r="F280" t="s">
        <v>42</v>
      </c>
      <c r="G280" s="8">
        <v>5000</v>
      </c>
      <c r="H280" s="7">
        <v>46374</v>
      </c>
      <c r="I280" s="9">
        <v>3000</v>
      </c>
      <c r="J280" s="31">
        <f t="shared" si="8"/>
        <v>46370</v>
      </c>
      <c r="K280" s="31">
        <f>Table14[[#This Row],[week first day]]-7</f>
        <v>46363</v>
      </c>
      <c r="L280">
        <f t="shared" si="9"/>
        <v>3000</v>
      </c>
    </row>
    <row r="281" spans="1:12" x14ac:dyDescent="0.3">
      <c r="A281" s="8" t="s">
        <v>38</v>
      </c>
      <c r="B281" s="8" t="s">
        <v>39</v>
      </c>
      <c r="C281" s="8" t="s">
        <v>40</v>
      </c>
      <c r="D281" s="8">
        <v>80</v>
      </c>
      <c r="E281" s="8" t="s">
        <v>41</v>
      </c>
      <c r="F281" t="s">
        <v>42</v>
      </c>
      <c r="G281" s="8">
        <v>5000</v>
      </c>
      <c r="H281" s="7">
        <v>46381</v>
      </c>
      <c r="I281" s="9">
        <v>3000</v>
      </c>
      <c r="J281" s="31">
        <f t="shared" si="8"/>
        <v>46377</v>
      </c>
      <c r="K281" s="31">
        <f>Table14[[#This Row],[week first day]]-7</f>
        <v>46370</v>
      </c>
      <c r="L281">
        <f t="shared" si="9"/>
        <v>3000</v>
      </c>
    </row>
    <row r="282" spans="1:12" x14ac:dyDescent="0.3">
      <c r="A282" s="8" t="s">
        <v>43</v>
      </c>
      <c r="B282" s="8" t="s">
        <v>44</v>
      </c>
      <c r="C282" s="8" t="s">
        <v>40</v>
      </c>
      <c r="D282" s="8">
        <v>40</v>
      </c>
      <c r="E282" s="8" t="s">
        <v>45</v>
      </c>
      <c r="F282" t="s">
        <v>42</v>
      </c>
      <c r="G282" s="8">
        <v>5000</v>
      </c>
      <c r="H282" s="7">
        <v>46157</v>
      </c>
      <c r="I282" s="9">
        <v>270</v>
      </c>
      <c r="J282" s="31">
        <f t="shared" si="8"/>
        <v>46153</v>
      </c>
      <c r="K282" s="31">
        <f>Table14[[#This Row],[week first day]]-7</f>
        <v>46146</v>
      </c>
      <c r="L282">
        <f t="shared" si="9"/>
        <v>2430</v>
      </c>
    </row>
    <row r="283" spans="1:12" x14ac:dyDescent="0.3">
      <c r="A283" s="8" t="s">
        <v>43</v>
      </c>
      <c r="B283" s="8" t="s">
        <v>44</v>
      </c>
      <c r="C283" s="8" t="s">
        <v>40</v>
      </c>
      <c r="D283" s="8">
        <v>40</v>
      </c>
      <c r="E283" s="8" t="s">
        <v>45</v>
      </c>
      <c r="F283" t="s">
        <v>42</v>
      </c>
      <c r="G283" s="8">
        <v>5000</v>
      </c>
      <c r="H283" s="7">
        <v>46157</v>
      </c>
      <c r="I283" s="9">
        <v>270</v>
      </c>
      <c r="J283" s="31">
        <f t="shared" si="8"/>
        <v>46153</v>
      </c>
      <c r="K283" s="31">
        <f>Table14[[#This Row],[week first day]]-7</f>
        <v>46146</v>
      </c>
      <c r="L283">
        <f t="shared" si="9"/>
        <v>2430</v>
      </c>
    </row>
    <row r="284" spans="1:12" x14ac:dyDescent="0.3">
      <c r="A284" s="8" t="s">
        <v>43</v>
      </c>
      <c r="B284" s="8" t="s">
        <v>44</v>
      </c>
      <c r="C284" s="8" t="s">
        <v>40</v>
      </c>
      <c r="D284" s="8">
        <v>40</v>
      </c>
      <c r="E284" s="8" t="s">
        <v>45</v>
      </c>
      <c r="F284" t="s">
        <v>42</v>
      </c>
      <c r="G284" s="8">
        <v>5000</v>
      </c>
      <c r="H284" s="7">
        <v>46157</v>
      </c>
      <c r="I284" s="9">
        <v>270</v>
      </c>
      <c r="J284" s="31">
        <f t="shared" si="8"/>
        <v>46153</v>
      </c>
      <c r="K284" s="31">
        <f>Table14[[#This Row],[week first day]]-7</f>
        <v>46146</v>
      </c>
      <c r="L284">
        <f t="shared" si="9"/>
        <v>2430</v>
      </c>
    </row>
    <row r="285" spans="1:12" x14ac:dyDescent="0.3">
      <c r="A285" s="8" t="s">
        <v>43</v>
      </c>
      <c r="B285" s="8" t="s">
        <v>44</v>
      </c>
      <c r="C285" s="8" t="s">
        <v>40</v>
      </c>
      <c r="D285" s="8">
        <v>40</v>
      </c>
      <c r="E285" s="8" t="s">
        <v>45</v>
      </c>
      <c r="F285" t="s">
        <v>42</v>
      </c>
      <c r="G285" s="8">
        <v>5000</v>
      </c>
      <c r="H285" s="7">
        <v>46157</v>
      </c>
      <c r="I285" s="9">
        <v>270</v>
      </c>
      <c r="J285" s="31">
        <f t="shared" si="8"/>
        <v>46153</v>
      </c>
      <c r="K285" s="31">
        <f>Table14[[#This Row],[week first day]]-7</f>
        <v>46146</v>
      </c>
      <c r="L285">
        <f t="shared" si="9"/>
        <v>2430</v>
      </c>
    </row>
    <row r="286" spans="1:12" x14ac:dyDescent="0.3">
      <c r="A286" s="8" t="s">
        <v>43</v>
      </c>
      <c r="B286" s="8" t="s">
        <v>44</v>
      </c>
      <c r="C286" s="8" t="s">
        <v>40</v>
      </c>
      <c r="D286" s="8">
        <v>40</v>
      </c>
      <c r="E286" s="8" t="s">
        <v>45</v>
      </c>
      <c r="F286" t="s">
        <v>42</v>
      </c>
      <c r="G286" s="8">
        <v>5000</v>
      </c>
      <c r="H286" s="7">
        <v>46157</v>
      </c>
      <c r="I286" s="9">
        <v>270</v>
      </c>
      <c r="J286" s="31">
        <f t="shared" si="8"/>
        <v>46153</v>
      </c>
      <c r="K286" s="31">
        <f>Table14[[#This Row],[week first day]]-7</f>
        <v>46146</v>
      </c>
      <c r="L286">
        <f t="shared" si="9"/>
        <v>2430</v>
      </c>
    </row>
    <row r="287" spans="1:12" x14ac:dyDescent="0.3">
      <c r="A287" s="8" t="s">
        <v>43</v>
      </c>
      <c r="B287" s="8" t="s">
        <v>44</v>
      </c>
      <c r="C287" s="8" t="s">
        <v>40</v>
      </c>
      <c r="D287" s="8">
        <v>40</v>
      </c>
      <c r="E287" s="8" t="s">
        <v>45</v>
      </c>
      <c r="F287" t="s">
        <v>42</v>
      </c>
      <c r="G287" s="8">
        <v>5000</v>
      </c>
      <c r="H287" s="7">
        <v>46157</v>
      </c>
      <c r="I287" s="9">
        <v>270</v>
      </c>
      <c r="J287" s="31">
        <f t="shared" si="8"/>
        <v>46153</v>
      </c>
      <c r="K287" s="31">
        <f>Table14[[#This Row],[week first day]]-7</f>
        <v>46146</v>
      </c>
      <c r="L287">
        <f t="shared" si="9"/>
        <v>2430</v>
      </c>
    </row>
    <row r="288" spans="1:12" x14ac:dyDescent="0.3">
      <c r="A288" s="8" t="s">
        <v>43</v>
      </c>
      <c r="B288" s="8" t="s">
        <v>44</v>
      </c>
      <c r="C288" s="8" t="s">
        <v>40</v>
      </c>
      <c r="D288" s="8">
        <v>40</v>
      </c>
      <c r="E288" s="8" t="s">
        <v>45</v>
      </c>
      <c r="F288" t="s">
        <v>42</v>
      </c>
      <c r="G288" s="8">
        <v>5000</v>
      </c>
      <c r="H288" s="7">
        <v>46157</v>
      </c>
      <c r="I288" s="9">
        <v>270</v>
      </c>
      <c r="J288" s="31">
        <f t="shared" si="8"/>
        <v>46153</v>
      </c>
      <c r="K288" s="31">
        <f>Table14[[#This Row],[week first day]]-7</f>
        <v>46146</v>
      </c>
      <c r="L288">
        <f t="shared" si="9"/>
        <v>2430</v>
      </c>
    </row>
    <row r="289" spans="1:12" x14ac:dyDescent="0.3">
      <c r="A289" s="8" t="s">
        <v>43</v>
      </c>
      <c r="B289" s="8" t="s">
        <v>44</v>
      </c>
      <c r="C289" s="8" t="s">
        <v>40</v>
      </c>
      <c r="D289" s="8">
        <v>40</v>
      </c>
      <c r="E289" s="8" t="s">
        <v>45</v>
      </c>
      <c r="F289" t="s">
        <v>42</v>
      </c>
      <c r="G289" s="8">
        <v>5000</v>
      </c>
      <c r="H289" s="7">
        <v>46157</v>
      </c>
      <c r="I289" s="9">
        <v>270</v>
      </c>
      <c r="J289" s="31">
        <f t="shared" si="8"/>
        <v>46153</v>
      </c>
      <c r="K289" s="31">
        <f>Table14[[#This Row],[week first day]]-7</f>
        <v>46146</v>
      </c>
      <c r="L289">
        <f t="shared" si="9"/>
        <v>2430</v>
      </c>
    </row>
    <row r="290" spans="1:12" x14ac:dyDescent="0.3">
      <c r="A290" s="8" t="s">
        <v>43</v>
      </c>
      <c r="B290" s="8" t="s">
        <v>44</v>
      </c>
      <c r="C290" s="8" t="s">
        <v>40</v>
      </c>
      <c r="D290" s="8">
        <v>40</v>
      </c>
      <c r="E290" s="8" t="s">
        <v>45</v>
      </c>
      <c r="F290" t="s">
        <v>42</v>
      </c>
      <c r="G290" s="8">
        <v>5000</v>
      </c>
      <c r="H290" s="7">
        <v>46157</v>
      </c>
      <c r="I290" s="9">
        <v>270</v>
      </c>
      <c r="J290" s="31">
        <f t="shared" si="8"/>
        <v>46153</v>
      </c>
      <c r="K290" s="31">
        <f>Table14[[#This Row],[week first day]]-7</f>
        <v>46146</v>
      </c>
      <c r="L290">
        <f t="shared" si="9"/>
        <v>2430</v>
      </c>
    </row>
    <row r="291" spans="1:12" x14ac:dyDescent="0.3">
      <c r="A291" s="8" t="s">
        <v>43</v>
      </c>
      <c r="B291" s="8" t="s">
        <v>44</v>
      </c>
      <c r="C291" s="8" t="s">
        <v>40</v>
      </c>
      <c r="D291" s="8">
        <v>40</v>
      </c>
      <c r="E291" s="8" t="s">
        <v>45</v>
      </c>
      <c r="F291" t="s">
        <v>42</v>
      </c>
      <c r="G291" s="8">
        <v>5000</v>
      </c>
      <c r="H291" s="7">
        <v>46164</v>
      </c>
      <c r="I291" s="9">
        <v>270</v>
      </c>
      <c r="J291" s="31">
        <f t="shared" si="8"/>
        <v>46160</v>
      </c>
      <c r="K291" s="31">
        <f>Table14[[#This Row],[week first day]]-7</f>
        <v>46153</v>
      </c>
      <c r="L291">
        <f t="shared" si="9"/>
        <v>9990</v>
      </c>
    </row>
    <row r="292" spans="1:12" x14ac:dyDescent="0.3">
      <c r="A292" s="8" t="s">
        <v>43</v>
      </c>
      <c r="B292" s="8" t="s">
        <v>44</v>
      </c>
      <c r="C292" s="8" t="s">
        <v>40</v>
      </c>
      <c r="D292" s="8">
        <v>40</v>
      </c>
      <c r="E292" s="8" t="s">
        <v>45</v>
      </c>
      <c r="F292" t="s">
        <v>42</v>
      </c>
      <c r="G292" s="8">
        <v>5000</v>
      </c>
      <c r="H292" s="7">
        <v>46164</v>
      </c>
      <c r="I292" s="9">
        <v>270</v>
      </c>
      <c r="J292" s="31">
        <f t="shared" si="8"/>
        <v>46160</v>
      </c>
      <c r="K292" s="31">
        <f>Table14[[#This Row],[week first day]]-7</f>
        <v>46153</v>
      </c>
      <c r="L292">
        <f t="shared" si="9"/>
        <v>9990</v>
      </c>
    </row>
    <row r="293" spans="1:12" x14ac:dyDescent="0.3">
      <c r="A293" s="8" t="s">
        <v>43</v>
      </c>
      <c r="B293" s="8" t="s">
        <v>44</v>
      </c>
      <c r="C293" s="8" t="s">
        <v>40</v>
      </c>
      <c r="D293" s="8">
        <v>40</v>
      </c>
      <c r="E293" s="8" t="s">
        <v>45</v>
      </c>
      <c r="F293" t="s">
        <v>42</v>
      </c>
      <c r="G293" s="8">
        <v>5000</v>
      </c>
      <c r="H293" s="7">
        <v>46164</v>
      </c>
      <c r="I293" s="9">
        <v>270</v>
      </c>
      <c r="J293" s="31">
        <f t="shared" si="8"/>
        <v>46160</v>
      </c>
      <c r="K293" s="31">
        <f>Table14[[#This Row],[week first day]]-7</f>
        <v>46153</v>
      </c>
      <c r="L293">
        <f t="shared" si="9"/>
        <v>9990</v>
      </c>
    </row>
    <row r="294" spans="1:12" x14ac:dyDescent="0.3">
      <c r="A294" s="8" t="s">
        <v>43</v>
      </c>
      <c r="B294" s="8" t="s">
        <v>44</v>
      </c>
      <c r="C294" s="8" t="s">
        <v>40</v>
      </c>
      <c r="D294" s="8">
        <v>40</v>
      </c>
      <c r="E294" s="8" t="s">
        <v>45</v>
      </c>
      <c r="F294" t="s">
        <v>42</v>
      </c>
      <c r="G294" s="8">
        <v>5000</v>
      </c>
      <c r="H294" s="7">
        <v>46164</v>
      </c>
      <c r="I294" s="9">
        <v>270</v>
      </c>
      <c r="J294" s="31">
        <f t="shared" si="8"/>
        <v>46160</v>
      </c>
      <c r="K294" s="31">
        <f>Table14[[#This Row],[week first day]]-7</f>
        <v>46153</v>
      </c>
      <c r="L294">
        <f t="shared" si="9"/>
        <v>9990</v>
      </c>
    </row>
    <row r="295" spans="1:12" x14ac:dyDescent="0.3">
      <c r="A295" s="8" t="s">
        <v>43</v>
      </c>
      <c r="B295" s="8" t="s">
        <v>44</v>
      </c>
      <c r="C295" s="8" t="s">
        <v>40</v>
      </c>
      <c r="D295" s="8">
        <v>40</v>
      </c>
      <c r="E295" s="8" t="s">
        <v>45</v>
      </c>
      <c r="F295" t="s">
        <v>42</v>
      </c>
      <c r="G295" s="8">
        <v>5000</v>
      </c>
      <c r="H295" s="7">
        <v>46164</v>
      </c>
      <c r="I295" s="9">
        <v>270</v>
      </c>
      <c r="J295" s="31">
        <f t="shared" si="8"/>
        <v>46160</v>
      </c>
      <c r="K295" s="31">
        <f>Table14[[#This Row],[week first day]]-7</f>
        <v>46153</v>
      </c>
      <c r="L295">
        <f t="shared" si="9"/>
        <v>9990</v>
      </c>
    </row>
    <row r="296" spans="1:12" x14ac:dyDescent="0.3">
      <c r="A296" s="8" t="s">
        <v>43</v>
      </c>
      <c r="B296" s="8" t="s">
        <v>44</v>
      </c>
      <c r="C296" s="8" t="s">
        <v>40</v>
      </c>
      <c r="D296" s="8">
        <v>40</v>
      </c>
      <c r="E296" s="8" t="s">
        <v>45</v>
      </c>
      <c r="F296" t="s">
        <v>42</v>
      </c>
      <c r="G296" s="8">
        <v>5000</v>
      </c>
      <c r="H296" s="7">
        <v>46164</v>
      </c>
      <c r="I296" s="9">
        <v>270</v>
      </c>
      <c r="J296" s="31">
        <f t="shared" si="8"/>
        <v>46160</v>
      </c>
      <c r="K296" s="31">
        <f>Table14[[#This Row],[week first day]]-7</f>
        <v>46153</v>
      </c>
      <c r="L296">
        <f t="shared" si="9"/>
        <v>9990</v>
      </c>
    </row>
    <row r="297" spans="1:12" x14ac:dyDescent="0.3">
      <c r="A297" s="8" t="s">
        <v>43</v>
      </c>
      <c r="B297" s="8" t="s">
        <v>44</v>
      </c>
      <c r="C297" s="8" t="s">
        <v>40</v>
      </c>
      <c r="D297" s="8">
        <v>40</v>
      </c>
      <c r="E297" s="8" t="s">
        <v>45</v>
      </c>
      <c r="F297" t="s">
        <v>42</v>
      </c>
      <c r="G297" s="8">
        <v>5000</v>
      </c>
      <c r="H297" s="7">
        <v>46164</v>
      </c>
      <c r="I297" s="9">
        <v>270</v>
      </c>
      <c r="J297" s="31">
        <f t="shared" si="8"/>
        <v>46160</v>
      </c>
      <c r="K297" s="31">
        <f>Table14[[#This Row],[week first day]]-7</f>
        <v>46153</v>
      </c>
      <c r="L297">
        <f t="shared" si="9"/>
        <v>9990</v>
      </c>
    </row>
    <row r="298" spans="1:12" x14ac:dyDescent="0.3">
      <c r="A298" s="8" t="s">
        <v>43</v>
      </c>
      <c r="B298" s="8" t="s">
        <v>44</v>
      </c>
      <c r="C298" s="8" t="s">
        <v>40</v>
      </c>
      <c r="D298" s="8">
        <v>40</v>
      </c>
      <c r="E298" s="8" t="s">
        <v>45</v>
      </c>
      <c r="F298" t="s">
        <v>42</v>
      </c>
      <c r="G298" s="8">
        <v>5000</v>
      </c>
      <c r="H298" s="7">
        <v>46164</v>
      </c>
      <c r="I298" s="9">
        <v>270</v>
      </c>
      <c r="J298" s="31">
        <f t="shared" si="8"/>
        <v>46160</v>
      </c>
      <c r="K298" s="31">
        <f>Table14[[#This Row],[week first day]]-7</f>
        <v>46153</v>
      </c>
      <c r="L298">
        <f t="shared" si="9"/>
        <v>9990</v>
      </c>
    </row>
    <row r="299" spans="1:12" x14ac:dyDescent="0.3">
      <c r="A299" s="8" t="s">
        <v>43</v>
      </c>
      <c r="B299" s="8" t="s">
        <v>44</v>
      </c>
      <c r="C299" s="8" t="s">
        <v>40</v>
      </c>
      <c r="D299" s="8">
        <v>40</v>
      </c>
      <c r="E299" s="8" t="s">
        <v>45</v>
      </c>
      <c r="F299" t="s">
        <v>42</v>
      </c>
      <c r="G299" s="8">
        <v>5000</v>
      </c>
      <c r="H299" s="7">
        <v>46164</v>
      </c>
      <c r="I299" s="9">
        <v>270</v>
      </c>
      <c r="J299" s="31">
        <f t="shared" si="8"/>
        <v>46160</v>
      </c>
      <c r="K299" s="31">
        <f>Table14[[#This Row],[week first day]]-7</f>
        <v>46153</v>
      </c>
      <c r="L299">
        <f t="shared" si="9"/>
        <v>9990</v>
      </c>
    </row>
    <row r="300" spans="1:12" x14ac:dyDescent="0.3">
      <c r="A300" s="8" t="s">
        <v>43</v>
      </c>
      <c r="B300" s="8" t="s">
        <v>44</v>
      </c>
      <c r="C300" s="8" t="s">
        <v>40</v>
      </c>
      <c r="D300" s="8">
        <v>40</v>
      </c>
      <c r="E300" s="8" t="s">
        <v>45</v>
      </c>
      <c r="F300" t="s">
        <v>42</v>
      </c>
      <c r="G300" s="8">
        <v>5000</v>
      </c>
      <c r="H300" s="7">
        <v>46164</v>
      </c>
      <c r="I300" s="9">
        <v>270</v>
      </c>
      <c r="J300" s="31">
        <f t="shared" si="8"/>
        <v>46160</v>
      </c>
      <c r="K300" s="31">
        <f>Table14[[#This Row],[week first day]]-7</f>
        <v>46153</v>
      </c>
      <c r="L300">
        <f t="shared" si="9"/>
        <v>9990</v>
      </c>
    </row>
    <row r="301" spans="1:12" x14ac:dyDescent="0.3">
      <c r="A301" s="8" t="s">
        <v>43</v>
      </c>
      <c r="B301" s="8" t="s">
        <v>44</v>
      </c>
      <c r="C301" s="8" t="s">
        <v>40</v>
      </c>
      <c r="D301" s="8">
        <v>40</v>
      </c>
      <c r="E301" s="8" t="s">
        <v>45</v>
      </c>
      <c r="F301" t="s">
        <v>42</v>
      </c>
      <c r="G301" s="8">
        <v>5000</v>
      </c>
      <c r="H301" s="7">
        <v>46164</v>
      </c>
      <c r="I301" s="9">
        <v>270</v>
      </c>
      <c r="J301" s="31">
        <f t="shared" si="8"/>
        <v>46160</v>
      </c>
      <c r="K301" s="31">
        <f>Table14[[#This Row],[week first day]]-7</f>
        <v>46153</v>
      </c>
      <c r="L301">
        <f t="shared" si="9"/>
        <v>9990</v>
      </c>
    </row>
    <row r="302" spans="1:12" x14ac:dyDescent="0.3">
      <c r="A302" s="8" t="s">
        <v>43</v>
      </c>
      <c r="B302" s="8" t="s">
        <v>44</v>
      </c>
      <c r="C302" s="8" t="s">
        <v>40</v>
      </c>
      <c r="D302" s="8">
        <v>40</v>
      </c>
      <c r="E302" s="8" t="s">
        <v>45</v>
      </c>
      <c r="F302" t="s">
        <v>42</v>
      </c>
      <c r="G302" s="8">
        <v>5000</v>
      </c>
      <c r="H302" s="7">
        <v>46164</v>
      </c>
      <c r="I302" s="9">
        <v>270</v>
      </c>
      <c r="J302" s="31">
        <f t="shared" si="8"/>
        <v>46160</v>
      </c>
      <c r="K302" s="31">
        <f>Table14[[#This Row],[week first day]]-7</f>
        <v>46153</v>
      </c>
      <c r="L302">
        <f t="shared" si="9"/>
        <v>9990</v>
      </c>
    </row>
    <row r="303" spans="1:12" x14ac:dyDescent="0.3">
      <c r="A303" s="8" t="s">
        <v>43</v>
      </c>
      <c r="B303" s="8" t="s">
        <v>44</v>
      </c>
      <c r="C303" s="8" t="s">
        <v>40</v>
      </c>
      <c r="D303" s="8">
        <v>40</v>
      </c>
      <c r="E303" s="8" t="s">
        <v>45</v>
      </c>
      <c r="F303" t="s">
        <v>42</v>
      </c>
      <c r="G303" s="8">
        <v>5000</v>
      </c>
      <c r="H303" s="7">
        <v>46164</v>
      </c>
      <c r="I303" s="9">
        <v>270</v>
      </c>
      <c r="J303" s="31">
        <f t="shared" si="8"/>
        <v>46160</v>
      </c>
      <c r="K303" s="31">
        <f>Table14[[#This Row],[week first day]]-7</f>
        <v>46153</v>
      </c>
      <c r="L303">
        <f t="shared" si="9"/>
        <v>9990</v>
      </c>
    </row>
    <row r="304" spans="1:12" x14ac:dyDescent="0.3">
      <c r="A304" s="8" t="s">
        <v>43</v>
      </c>
      <c r="B304" s="8" t="s">
        <v>44</v>
      </c>
      <c r="C304" s="8" t="s">
        <v>40</v>
      </c>
      <c r="D304" s="8">
        <v>40</v>
      </c>
      <c r="E304" s="8" t="s">
        <v>45</v>
      </c>
      <c r="F304" t="s">
        <v>42</v>
      </c>
      <c r="G304" s="8">
        <v>5000</v>
      </c>
      <c r="H304" s="7">
        <v>46164</v>
      </c>
      <c r="I304" s="9">
        <v>270</v>
      </c>
      <c r="J304" s="31">
        <f t="shared" si="8"/>
        <v>46160</v>
      </c>
      <c r="K304" s="31">
        <f>Table14[[#This Row],[week first day]]-7</f>
        <v>46153</v>
      </c>
      <c r="L304">
        <f t="shared" si="9"/>
        <v>9990</v>
      </c>
    </row>
    <row r="305" spans="1:12" x14ac:dyDescent="0.3">
      <c r="A305" s="8" t="s">
        <v>43</v>
      </c>
      <c r="B305" s="8" t="s">
        <v>44</v>
      </c>
      <c r="C305" s="8" t="s">
        <v>40</v>
      </c>
      <c r="D305" s="8">
        <v>40</v>
      </c>
      <c r="E305" s="8" t="s">
        <v>45</v>
      </c>
      <c r="F305" t="s">
        <v>42</v>
      </c>
      <c r="G305" s="8">
        <v>5000</v>
      </c>
      <c r="H305" s="7">
        <v>46164</v>
      </c>
      <c r="I305" s="9">
        <v>270</v>
      </c>
      <c r="J305" s="31">
        <f t="shared" si="8"/>
        <v>46160</v>
      </c>
      <c r="K305" s="31">
        <f>Table14[[#This Row],[week first day]]-7</f>
        <v>46153</v>
      </c>
      <c r="L305">
        <f t="shared" si="9"/>
        <v>9990</v>
      </c>
    </row>
    <row r="306" spans="1:12" x14ac:dyDescent="0.3">
      <c r="A306" s="8" t="s">
        <v>43</v>
      </c>
      <c r="B306" s="8" t="s">
        <v>44</v>
      </c>
      <c r="C306" s="8" t="s">
        <v>40</v>
      </c>
      <c r="D306" s="8">
        <v>40</v>
      </c>
      <c r="E306" s="8" t="s">
        <v>45</v>
      </c>
      <c r="F306" t="s">
        <v>42</v>
      </c>
      <c r="G306" s="8">
        <v>5000</v>
      </c>
      <c r="H306" s="7">
        <v>46164</v>
      </c>
      <c r="I306" s="9">
        <v>270</v>
      </c>
      <c r="J306" s="31">
        <f t="shared" si="8"/>
        <v>46160</v>
      </c>
      <c r="K306" s="31">
        <f>Table14[[#This Row],[week first day]]-7</f>
        <v>46153</v>
      </c>
      <c r="L306">
        <f t="shared" si="9"/>
        <v>9990</v>
      </c>
    </row>
    <row r="307" spans="1:12" x14ac:dyDescent="0.3">
      <c r="A307" s="8" t="s">
        <v>43</v>
      </c>
      <c r="B307" s="8" t="s">
        <v>44</v>
      </c>
      <c r="C307" s="8" t="s">
        <v>40</v>
      </c>
      <c r="D307" s="8">
        <v>40</v>
      </c>
      <c r="E307" s="8" t="s">
        <v>45</v>
      </c>
      <c r="F307" t="s">
        <v>42</v>
      </c>
      <c r="G307" s="8">
        <v>5000</v>
      </c>
      <c r="H307" s="7">
        <v>46164</v>
      </c>
      <c r="I307" s="9">
        <v>270</v>
      </c>
      <c r="J307" s="31">
        <f t="shared" si="8"/>
        <v>46160</v>
      </c>
      <c r="K307" s="31">
        <f>Table14[[#This Row],[week first day]]-7</f>
        <v>46153</v>
      </c>
      <c r="L307">
        <f t="shared" si="9"/>
        <v>9990</v>
      </c>
    </row>
    <row r="308" spans="1:12" x14ac:dyDescent="0.3">
      <c r="A308" s="8" t="s">
        <v>43</v>
      </c>
      <c r="B308" s="8" t="s">
        <v>44</v>
      </c>
      <c r="C308" s="8" t="s">
        <v>40</v>
      </c>
      <c r="D308" s="8">
        <v>40</v>
      </c>
      <c r="E308" s="8" t="s">
        <v>45</v>
      </c>
      <c r="F308" t="s">
        <v>42</v>
      </c>
      <c r="G308" s="8">
        <v>5000</v>
      </c>
      <c r="H308" s="7">
        <v>46164</v>
      </c>
      <c r="I308" s="9">
        <v>270</v>
      </c>
      <c r="J308" s="31">
        <f t="shared" si="8"/>
        <v>46160</v>
      </c>
      <c r="K308" s="31">
        <f>Table14[[#This Row],[week first day]]-7</f>
        <v>46153</v>
      </c>
      <c r="L308">
        <f t="shared" si="9"/>
        <v>9990</v>
      </c>
    </row>
    <row r="309" spans="1:12" x14ac:dyDescent="0.3">
      <c r="A309" s="8" t="s">
        <v>43</v>
      </c>
      <c r="B309" s="8" t="s">
        <v>44</v>
      </c>
      <c r="C309" s="8" t="s">
        <v>40</v>
      </c>
      <c r="D309" s="8">
        <v>40</v>
      </c>
      <c r="E309" s="8" t="s">
        <v>45</v>
      </c>
      <c r="F309" t="s">
        <v>42</v>
      </c>
      <c r="G309" s="8">
        <v>5000</v>
      </c>
      <c r="H309" s="7">
        <v>46164</v>
      </c>
      <c r="I309" s="9">
        <v>270</v>
      </c>
      <c r="J309" s="31">
        <f t="shared" si="8"/>
        <v>46160</v>
      </c>
      <c r="K309" s="31">
        <f>Table14[[#This Row],[week first day]]-7</f>
        <v>46153</v>
      </c>
      <c r="L309">
        <f t="shared" si="9"/>
        <v>9990</v>
      </c>
    </row>
    <row r="310" spans="1:12" x14ac:dyDescent="0.3">
      <c r="A310" s="8" t="s">
        <v>43</v>
      </c>
      <c r="B310" s="8" t="s">
        <v>44</v>
      </c>
      <c r="C310" s="8" t="s">
        <v>40</v>
      </c>
      <c r="D310" s="8">
        <v>40</v>
      </c>
      <c r="E310" s="8" t="s">
        <v>45</v>
      </c>
      <c r="F310" t="s">
        <v>42</v>
      </c>
      <c r="G310" s="8">
        <v>5000</v>
      </c>
      <c r="H310" s="7">
        <v>46164</v>
      </c>
      <c r="I310" s="9">
        <v>270</v>
      </c>
      <c r="J310" s="31">
        <f t="shared" si="8"/>
        <v>46160</v>
      </c>
      <c r="K310" s="31">
        <f>Table14[[#This Row],[week first day]]-7</f>
        <v>46153</v>
      </c>
      <c r="L310">
        <f t="shared" si="9"/>
        <v>9990</v>
      </c>
    </row>
    <row r="311" spans="1:12" x14ac:dyDescent="0.3">
      <c r="A311" s="8" t="s">
        <v>43</v>
      </c>
      <c r="B311" s="8" t="s">
        <v>44</v>
      </c>
      <c r="C311" s="8" t="s">
        <v>40</v>
      </c>
      <c r="D311" s="8">
        <v>40</v>
      </c>
      <c r="E311" s="8" t="s">
        <v>45</v>
      </c>
      <c r="F311" t="s">
        <v>42</v>
      </c>
      <c r="G311" s="8">
        <v>5000</v>
      </c>
      <c r="H311" s="7">
        <v>46164</v>
      </c>
      <c r="I311" s="9">
        <v>270</v>
      </c>
      <c r="J311" s="31">
        <f t="shared" si="8"/>
        <v>46160</v>
      </c>
      <c r="K311" s="31">
        <f>Table14[[#This Row],[week first day]]-7</f>
        <v>46153</v>
      </c>
      <c r="L311">
        <f t="shared" si="9"/>
        <v>9990</v>
      </c>
    </row>
    <row r="312" spans="1:12" x14ac:dyDescent="0.3">
      <c r="A312" s="8" t="s">
        <v>43</v>
      </c>
      <c r="B312" s="8" t="s">
        <v>44</v>
      </c>
      <c r="C312" s="8" t="s">
        <v>40</v>
      </c>
      <c r="D312" s="8">
        <v>40</v>
      </c>
      <c r="E312" s="8" t="s">
        <v>45</v>
      </c>
      <c r="F312" t="s">
        <v>42</v>
      </c>
      <c r="G312" s="8">
        <v>5000</v>
      </c>
      <c r="H312" s="7">
        <v>46164</v>
      </c>
      <c r="I312" s="9">
        <v>270</v>
      </c>
      <c r="J312" s="31">
        <f t="shared" si="8"/>
        <v>46160</v>
      </c>
      <c r="K312" s="31">
        <f>Table14[[#This Row],[week first day]]-7</f>
        <v>46153</v>
      </c>
      <c r="L312">
        <f t="shared" si="9"/>
        <v>9990</v>
      </c>
    </row>
    <row r="313" spans="1:12" x14ac:dyDescent="0.3">
      <c r="A313" s="8" t="s">
        <v>43</v>
      </c>
      <c r="B313" s="8" t="s">
        <v>44</v>
      </c>
      <c r="C313" s="8" t="s">
        <v>40</v>
      </c>
      <c r="D313" s="8">
        <v>40</v>
      </c>
      <c r="E313" s="8" t="s">
        <v>45</v>
      </c>
      <c r="F313" t="s">
        <v>42</v>
      </c>
      <c r="G313" s="8">
        <v>5000</v>
      </c>
      <c r="H313" s="7">
        <v>46164</v>
      </c>
      <c r="I313" s="9">
        <v>270</v>
      </c>
      <c r="J313" s="31">
        <f t="shared" si="8"/>
        <v>46160</v>
      </c>
      <c r="K313" s="31">
        <f>Table14[[#This Row],[week first day]]-7</f>
        <v>46153</v>
      </c>
      <c r="L313">
        <f t="shared" si="9"/>
        <v>9990</v>
      </c>
    </row>
    <row r="314" spans="1:12" x14ac:dyDescent="0.3">
      <c r="A314" s="8" t="s">
        <v>43</v>
      </c>
      <c r="B314" s="8" t="s">
        <v>44</v>
      </c>
      <c r="C314" s="8" t="s">
        <v>40</v>
      </c>
      <c r="D314" s="8">
        <v>40</v>
      </c>
      <c r="E314" s="8" t="s">
        <v>45</v>
      </c>
      <c r="F314" t="s">
        <v>42</v>
      </c>
      <c r="G314" s="8">
        <v>5000</v>
      </c>
      <c r="H314" s="7">
        <v>46164</v>
      </c>
      <c r="I314" s="9">
        <v>270</v>
      </c>
      <c r="J314" s="31">
        <f t="shared" si="8"/>
        <v>46160</v>
      </c>
      <c r="K314" s="31">
        <f>Table14[[#This Row],[week first day]]-7</f>
        <v>46153</v>
      </c>
      <c r="L314">
        <f t="shared" si="9"/>
        <v>9990</v>
      </c>
    </row>
    <row r="315" spans="1:12" x14ac:dyDescent="0.3">
      <c r="A315" s="8" t="s">
        <v>43</v>
      </c>
      <c r="B315" s="8" t="s">
        <v>44</v>
      </c>
      <c r="C315" s="8" t="s">
        <v>40</v>
      </c>
      <c r="D315" s="8">
        <v>40</v>
      </c>
      <c r="E315" s="8" t="s">
        <v>45</v>
      </c>
      <c r="F315" t="s">
        <v>42</v>
      </c>
      <c r="G315" s="8">
        <v>5000</v>
      </c>
      <c r="H315" s="7">
        <v>46164</v>
      </c>
      <c r="I315" s="9">
        <v>270</v>
      </c>
      <c r="J315" s="31">
        <f t="shared" si="8"/>
        <v>46160</v>
      </c>
      <c r="K315" s="31">
        <f>Table14[[#This Row],[week first day]]-7</f>
        <v>46153</v>
      </c>
      <c r="L315">
        <f t="shared" si="9"/>
        <v>9990</v>
      </c>
    </row>
    <row r="316" spans="1:12" x14ac:dyDescent="0.3">
      <c r="A316" s="8" t="s">
        <v>43</v>
      </c>
      <c r="B316" s="8" t="s">
        <v>44</v>
      </c>
      <c r="C316" s="8" t="s">
        <v>40</v>
      </c>
      <c r="D316" s="8">
        <v>40</v>
      </c>
      <c r="E316" s="8" t="s">
        <v>45</v>
      </c>
      <c r="F316" t="s">
        <v>42</v>
      </c>
      <c r="G316" s="8">
        <v>5000</v>
      </c>
      <c r="H316" s="7">
        <v>46164</v>
      </c>
      <c r="I316" s="9">
        <v>270</v>
      </c>
      <c r="J316" s="31">
        <f t="shared" si="8"/>
        <v>46160</v>
      </c>
      <c r="K316" s="31">
        <f>Table14[[#This Row],[week first day]]-7</f>
        <v>46153</v>
      </c>
      <c r="L316">
        <f t="shared" si="9"/>
        <v>9990</v>
      </c>
    </row>
    <row r="317" spans="1:12" x14ac:dyDescent="0.3">
      <c r="A317" s="8" t="s">
        <v>43</v>
      </c>
      <c r="B317" s="8" t="s">
        <v>44</v>
      </c>
      <c r="C317" s="8" t="s">
        <v>40</v>
      </c>
      <c r="D317" s="8">
        <v>40</v>
      </c>
      <c r="E317" s="8" t="s">
        <v>45</v>
      </c>
      <c r="F317" t="s">
        <v>42</v>
      </c>
      <c r="G317" s="8">
        <v>5000</v>
      </c>
      <c r="H317" s="7">
        <v>46164</v>
      </c>
      <c r="I317" s="9">
        <v>270</v>
      </c>
      <c r="J317" s="31">
        <f t="shared" si="8"/>
        <v>46160</v>
      </c>
      <c r="K317" s="31">
        <f>Table14[[#This Row],[week first day]]-7</f>
        <v>46153</v>
      </c>
      <c r="L317">
        <f t="shared" si="9"/>
        <v>9990</v>
      </c>
    </row>
    <row r="318" spans="1:12" x14ac:dyDescent="0.3">
      <c r="A318" s="8" t="s">
        <v>43</v>
      </c>
      <c r="B318" s="8" t="s">
        <v>44</v>
      </c>
      <c r="C318" s="8" t="s">
        <v>40</v>
      </c>
      <c r="D318" s="8">
        <v>40</v>
      </c>
      <c r="E318" s="8" t="s">
        <v>45</v>
      </c>
      <c r="F318" t="s">
        <v>42</v>
      </c>
      <c r="G318" s="8">
        <v>5000</v>
      </c>
      <c r="H318" s="7">
        <v>46164</v>
      </c>
      <c r="I318" s="9">
        <v>270</v>
      </c>
      <c r="J318" s="31">
        <f t="shared" si="8"/>
        <v>46160</v>
      </c>
      <c r="K318" s="31">
        <f>Table14[[#This Row],[week first day]]-7</f>
        <v>46153</v>
      </c>
      <c r="L318">
        <f t="shared" si="9"/>
        <v>9990</v>
      </c>
    </row>
    <row r="319" spans="1:12" x14ac:dyDescent="0.3">
      <c r="A319" s="8" t="s">
        <v>43</v>
      </c>
      <c r="B319" s="8" t="s">
        <v>44</v>
      </c>
      <c r="C319" s="8" t="s">
        <v>40</v>
      </c>
      <c r="D319" s="8">
        <v>40</v>
      </c>
      <c r="E319" s="8" t="s">
        <v>45</v>
      </c>
      <c r="F319" t="s">
        <v>42</v>
      </c>
      <c r="G319" s="8">
        <v>5000</v>
      </c>
      <c r="H319" s="7">
        <v>46164</v>
      </c>
      <c r="I319" s="9">
        <v>270</v>
      </c>
      <c r="J319" s="31">
        <f t="shared" si="8"/>
        <v>46160</v>
      </c>
      <c r="K319" s="31">
        <f>Table14[[#This Row],[week first day]]-7</f>
        <v>46153</v>
      </c>
      <c r="L319">
        <f t="shared" si="9"/>
        <v>9990</v>
      </c>
    </row>
    <row r="320" spans="1:12" x14ac:dyDescent="0.3">
      <c r="A320" s="8" t="s">
        <v>43</v>
      </c>
      <c r="B320" s="8" t="s">
        <v>44</v>
      </c>
      <c r="C320" s="8" t="s">
        <v>40</v>
      </c>
      <c r="D320" s="8">
        <v>40</v>
      </c>
      <c r="E320" s="8" t="s">
        <v>45</v>
      </c>
      <c r="F320" t="s">
        <v>42</v>
      </c>
      <c r="G320" s="8">
        <v>5000</v>
      </c>
      <c r="H320" s="7">
        <v>46164</v>
      </c>
      <c r="I320" s="9">
        <v>270</v>
      </c>
      <c r="J320" s="31">
        <f t="shared" si="8"/>
        <v>46160</v>
      </c>
      <c r="K320" s="31">
        <f>Table14[[#This Row],[week first day]]-7</f>
        <v>46153</v>
      </c>
      <c r="L320">
        <f t="shared" si="9"/>
        <v>9990</v>
      </c>
    </row>
    <row r="321" spans="1:12" x14ac:dyDescent="0.3">
      <c r="A321" s="8" t="s">
        <v>43</v>
      </c>
      <c r="B321" s="8" t="s">
        <v>44</v>
      </c>
      <c r="C321" s="8" t="s">
        <v>40</v>
      </c>
      <c r="D321" s="8">
        <v>40</v>
      </c>
      <c r="E321" s="8" t="s">
        <v>45</v>
      </c>
      <c r="F321" t="s">
        <v>42</v>
      </c>
      <c r="G321" s="8">
        <v>5000</v>
      </c>
      <c r="H321" s="7">
        <v>46164</v>
      </c>
      <c r="I321" s="9">
        <v>270</v>
      </c>
      <c r="J321" s="31">
        <f t="shared" si="8"/>
        <v>46160</v>
      </c>
      <c r="K321" s="31">
        <f>Table14[[#This Row],[week first day]]-7</f>
        <v>46153</v>
      </c>
      <c r="L321">
        <f t="shared" si="9"/>
        <v>9990</v>
      </c>
    </row>
    <row r="322" spans="1:12" x14ac:dyDescent="0.3">
      <c r="A322" s="8" t="s">
        <v>43</v>
      </c>
      <c r="B322" s="8" t="s">
        <v>44</v>
      </c>
      <c r="C322" s="8" t="s">
        <v>40</v>
      </c>
      <c r="D322" s="8">
        <v>40</v>
      </c>
      <c r="E322" s="8" t="s">
        <v>45</v>
      </c>
      <c r="F322" t="s">
        <v>42</v>
      </c>
      <c r="G322" s="8">
        <v>5000</v>
      </c>
      <c r="H322" s="7">
        <v>46164</v>
      </c>
      <c r="I322" s="9">
        <v>270</v>
      </c>
      <c r="J322" s="31">
        <f t="shared" ref="J322:J385" si="10">$M$1+7*INT((H322-$M$1)/7)</f>
        <v>46160</v>
      </c>
      <c r="K322" s="31">
        <f>Table14[[#This Row],[week first day]]-7</f>
        <v>46153</v>
      </c>
      <c r="L322">
        <f t="shared" si="9"/>
        <v>9990</v>
      </c>
    </row>
    <row r="323" spans="1:12" x14ac:dyDescent="0.3">
      <c r="A323" s="8" t="s">
        <v>43</v>
      </c>
      <c r="B323" s="8" t="s">
        <v>44</v>
      </c>
      <c r="C323" s="8" t="s">
        <v>40</v>
      </c>
      <c r="D323" s="8">
        <v>40</v>
      </c>
      <c r="E323" s="8" t="s">
        <v>45</v>
      </c>
      <c r="F323" t="s">
        <v>42</v>
      </c>
      <c r="G323" s="8">
        <v>5000</v>
      </c>
      <c r="H323" s="7">
        <v>46164</v>
      </c>
      <c r="I323" s="9">
        <v>270</v>
      </c>
      <c r="J323" s="31">
        <f t="shared" si="10"/>
        <v>46160</v>
      </c>
      <c r="K323" s="31">
        <f>Table14[[#This Row],[week first day]]-7</f>
        <v>46153</v>
      </c>
      <c r="L323">
        <f t="shared" ref="L323:L386" si="11">SUMIFS($I:$I,$A:$A,A323,J:J,J323)</f>
        <v>9990</v>
      </c>
    </row>
    <row r="324" spans="1:12" x14ac:dyDescent="0.3">
      <c r="A324" s="8" t="s">
        <v>43</v>
      </c>
      <c r="B324" s="8" t="s">
        <v>44</v>
      </c>
      <c r="C324" s="8" t="s">
        <v>40</v>
      </c>
      <c r="D324" s="8">
        <v>40</v>
      </c>
      <c r="E324" s="8" t="s">
        <v>45</v>
      </c>
      <c r="F324" t="s">
        <v>42</v>
      </c>
      <c r="G324" s="8">
        <v>5000</v>
      </c>
      <c r="H324" s="7">
        <v>46164</v>
      </c>
      <c r="I324" s="9">
        <v>270</v>
      </c>
      <c r="J324" s="31">
        <f t="shared" si="10"/>
        <v>46160</v>
      </c>
      <c r="K324" s="31">
        <f>Table14[[#This Row],[week first day]]-7</f>
        <v>46153</v>
      </c>
      <c r="L324">
        <f t="shared" si="11"/>
        <v>9990</v>
      </c>
    </row>
    <row r="325" spans="1:12" x14ac:dyDescent="0.3">
      <c r="A325" s="8" t="s">
        <v>43</v>
      </c>
      <c r="B325" s="8" t="s">
        <v>44</v>
      </c>
      <c r="C325" s="8" t="s">
        <v>40</v>
      </c>
      <c r="D325" s="8">
        <v>40</v>
      </c>
      <c r="E325" s="8" t="s">
        <v>45</v>
      </c>
      <c r="F325" t="s">
        <v>42</v>
      </c>
      <c r="G325" s="8">
        <v>5000</v>
      </c>
      <c r="H325" s="7">
        <v>46164</v>
      </c>
      <c r="I325" s="9">
        <v>270</v>
      </c>
      <c r="J325" s="31">
        <f t="shared" si="10"/>
        <v>46160</v>
      </c>
      <c r="K325" s="31">
        <f>Table14[[#This Row],[week first day]]-7</f>
        <v>46153</v>
      </c>
      <c r="L325">
        <f t="shared" si="11"/>
        <v>9990</v>
      </c>
    </row>
    <row r="326" spans="1:12" x14ac:dyDescent="0.3">
      <c r="A326" s="8" t="s">
        <v>43</v>
      </c>
      <c r="B326" s="8" t="s">
        <v>44</v>
      </c>
      <c r="C326" s="8" t="s">
        <v>40</v>
      </c>
      <c r="D326" s="8">
        <v>40</v>
      </c>
      <c r="E326" s="8" t="s">
        <v>45</v>
      </c>
      <c r="F326" t="s">
        <v>42</v>
      </c>
      <c r="G326" s="8">
        <v>5000</v>
      </c>
      <c r="H326" s="7">
        <v>46164</v>
      </c>
      <c r="I326" s="9">
        <v>270</v>
      </c>
      <c r="J326" s="31">
        <f t="shared" si="10"/>
        <v>46160</v>
      </c>
      <c r="K326" s="31">
        <f>Table14[[#This Row],[week first day]]-7</f>
        <v>46153</v>
      </c>
      <c r="L326">
        <f t="shared" si="11"/>
        <v>9990</v>
      </c>
    </row>
    <row r="327" spans="1:12" x14ac:dyDescent="0.3">
      <c r="A327" s="8" t="s">
        <v>43</v>
      </c>
      <c r="B327" s="8" t="s">
        <v>44</v>
      </c>
      <c r="C327" s="8" t="s">
        <v>40</v>
      </c>
      <c r="D327" s="8">
        <v>40</v>
      </c>
      <c r="E327" s="8" t="s">
        <v>45</v>
      </c>
      <c r="F327" t="s">
        <v>42</v>
      </c>
      <c r="G327" s="8">
        <v>5000</v>
      </c>
      <c r="H327" s="7">
        <v>46164</v>
      </c>
      <c r="I327" s="9">
        <v>270</v>
      </c>
      <c r="J327" s="31">
        <f t="shared" si="10"/>
        <v>46160</v>
      </c>
      <c r="K327" s="31">
        <f>Table14[[#This Row],[week first day]]-7</f>
        <v>46153</v>
      </c>
      <c r="L327">
        <f t="shared" si="11"/>
        <v>9990</v>
      </c>
    </row>
    <row r="328" spans="1:12" x14ac:dyDescent="0.3">
      <c r="A328" s="8" t="s">
        <v>43</v>
      </c>
      <c r="B328" s="8" t="s">
        <v>44</v>
      </c>
      <c r="C328" s="8" t="s">
        <v>40</v>
      </c>
      <c r="D328" s="8">
        <v>40</v>
      </c>
      <c r="E328" s="8" t="s">
        <v>45</v>
      </c>
      <c r="F328" t="s">
        <v>42</v>
      </c>
      <c r="G328" s="8">
        <v>5000</v>
      </c>
      <c r="H328" s="7">
        <v>46171</v>
      </c>
      <c r="I328" s="9">
        <v>222</v>
      </c>
      <c r="J328" s="31">
        <f t="shared" si="10"/>
        <v>46167</v>
      </c>
      <c r="K328" s="31">
        <f>Table14[[#This Row],[week first day]]-7</f>
        <v>46160</v>
      </c>
      <c r="L328">
        <f t="shared" si="11"/>
        <v>5840</v>
      </c>
    </row>
    <row r="329" spans="1:12" x14ac:dyDescent="0.3">
      <c r="A329" s="8" t="s">
        <v>43</v>
      </c>
      <c r="B329" s="8" t="s">
        <v>44</v>
      </c>
      <c r="C329" s="8" t="s">
        <v>40</v>
      </c>
      <c r="D329" s="8">
        <v>40</v>
      </c>
      <c r="E329" s="8" t="s">
        <v>45</v>
      </c>
      <c r="F329" t="s">
        <v>42</v>
      </c>
      <c r="G329" s="8">
        <v>5000</v>
      </c>
      <c r="H329" s="7">
        <v>46171</v>
      </c>
      <c r="I329" s="9">
        <v>171</v>
      </c>
      <c r="J329" s="31">
        <f t="shared" si="10"/>
        <v>46167</v>
      </c>
      <c r="K329" s="31">
        <f>Table14[[#This Row],[week first day]]-7</f>
        <v>46160</v>
      </c>
      <c r="L329">
        <f t="shared" si="11"/>
        <v>5840</v>
      </c>
    </row>
    <row r="330" spans="1:12" x14ac:dyDescent="0.3">
      <c r="A330" s="8" t="s">
        <v>43</v>
      </c>
      <c r="B330" s="8" t="s">
        <v>44</v>
      </c>
      <c r="C330" s="8" t="s">
        <v>40</v>
      </c>
      <c r="D330" s="8">
        <v>40</v>
      </c>
      <c r="E330" s="8" t="s">
        <v>45</v>
      </c>
      <c r="F330" t="s">
        <v>42</v>
      </c>
      <c r="G330" s="8">
        <v>5000</v>
      </c>
      <c r="H330" s="7">
        <v>46171</v>
      </c>
      <c r="I330" s="9">
        <v>270</v>
      </c>
      <c r="J330" s="31">
        <f t="shared" si="10"/>
        <v>46167</v>
      </c>
      <c r="K330" s="31">
        <f>Table14[[#This Row],[week first day]]-7</f>
        <v>46160</v>
      </c>
      <c r="L330">
        <f t="shared" si="11"/>
        <v>5840</v>
      </c>
    </row>
    <row r="331" spans="1:12" x14ac:dyDescent="0.3">
      <c r="A331" s="8" t="s">
        <v>43</v>
      </c>
      <c r="B331" s="8" t="s">
        <v>44</v>
      </c>
      <c r="C331" s="8" t="s">
        <v>40</v>
      </c>
      <c r="D331" s="8">
        <v>40</v>
      </c>
      <c r="E331" s="8" t="s">
        <v>45</v>
      </c>
      <c r="F331" t="s">
        <v>42</v>
      </c>
      <c r="G331" s="8">
        <v>5000</v>
      </c>
      <c r="H331" s="7">
        <v>46171</v>
      </c>
      <c r="I331" s="9">
        <v>270</v>
      </c>
      <c r="J331" s="31">
        <f t="shared" si="10"/>
        <v>46167</v>
      </c>
      <c r="K331" s="31">
        <f>Table14[[#This Row],[week first day]]-7</f>
        <v>46160</v>
      </c>
      <c r="L331">
        <f t="shared" si="11"/>
        <v>5840</v>
      </c>
    </row>
    <row r="332" spans="1:12" x14ac:dyDescent="0.3">
      <c r="A332" s="8" t="s">
        <v>43</v>
      </c>
      <c r="B332" s="8" t="s">
        <v>44</v>
      </c>
      <c r="C332" s="8" t="s">
        <v>40</v>
      </c>
      <c r="D332" s="8">
        <v>40</v>
      </c>
      <c r="E332" s="8" t="s">
        <v>45</v>
      </c>
      <c r="F332" t="s">
        <v>42</v>
      </c>
      <c r="G332" s="8">
        <v>5000</v>
      </c>
      <c r="H332" s="7">
        <v>46171</v>
      </c>
      <c r="I332" s="9">
        <v>270</v>
      </c>
      <c r="J332" s="31">
        <f t="shared" si="10"/>
        <v>46167</v>
      </c>
      <c r="K332" s="31">
        <f>Table14[[#This Row],[week first day]]-7</f>
        <v>46160</v>
      </c>
      <c r="L332">
        <f t="shared" si="11"/>
        <v>5840</v>
      </c>
    </row>
    <row r="333" spans="1:12" x14ac:dyDescent="0.3">
      <c r="A333" s="8" t="s">
        <v>43</v>
      </c>
      <c r="B333" s="8" t="s">
        <v>44</v>
      </c>
      <c r="C333" s="8" t="s">
        <v>40</v>
      </c>
      <c r="D333" s="8">
        <v>40</v>
      </c>
      <c r="E333" s="8" t="s">
        <v>45</v>
      </c>
      <c r="F333" t="s">
        <v>42</v>
      </c>
      <c r="G333" s="8">
        <v>5000</v>
      </c>
      <c r="H333" s="7">
        <v>46171</v>
      </c>
      <c r="I333" s="9">
        <v>270</v>
      </c>
      <c r="J333" s="31">
        <f t="shared" si="10"/>
        <v>46167</v>
      </c>
      <c r="K333" s="31">
        <f>Table14[[#This Row],[week first day]]-7</f>
        <v>46160</v>
      </c>
      <c r="L333">
        <f t="shared" si="11"/>
        <v>5840</v>
      </c>
    </row>
    <row r="334" spans="1:12" x14ac:dyDescent="0.3">
      <c r="A334" s="8" t="s">
        <v>43</v>
      </c>
      <c r="B334" s="8" t="s">
        <v>44</v>
      </c>
      <c r="C334" s="8" t="s">
        <v>40</v>
      </c>
      <c r="D334" s="8">
        <v>40</v>
      </c>
      <c r="E334" s="8" t="s">
        <v>45</v>
      </c>
      <c r="F334" t="s">
        <v>42</v>
      </c>
      <c r="G334" s="8">
        <v>5000</v>
      </c>
      <c r="H334" s="7">
        <v>46171</v>
      </c>
      <c r="I334" s="9">
        <v>270</v>
      </c>
      <c r="J334" s="31">
        <f t="shared" si="10"/>
        <v>46167</v>
      </c>
      <c r="K334" s="31">
        <f>Table14[[#This Row],[week first day]]-7</f>
        <v>46160</v>
      </c>
      <c r="L334">
        <f t="shared" si="11"/>
        <v>5840</v>
      </c>
    </row>
    <row r="335" spans="1:12" x14ac:dyDescent="0.3">
      <c r="A335" s="8" t="s">
        <v>43</v>
      </c>
      <c r="B335" s="8" t="s">
        <v>44</v>
      </c>
      <c r="C335" s="8" t="s">
        <v>40</v>
      </c>
      <c r="D335" s="8">
        <v>40</v>
      </c>
      <c r="E335" s="8" t="s">
        <v>45</v>
      </c>
      <c r="F335" t="s">
        <v>42</v>
      </c>
      <c r="G335" s="8">
        <v>5000</v>
      </c>
      <c r="H335" s="7">
        <v>46171</v>
      </c>
      <c r="I335" s="9">
        <v>270</v>
      </c>
      <c r="J335" s="31">
        <f t="shared" si="10"/>
        <v>46167</v>
      </c>
      <c r="K335" s="31">
        <f>Table14[[#This Row],[week first day]]-7</f>
        <v>46160</v>
      </c>
      <c r="L335">
        <f t="shared" si="11"/>
        <v>5840</v>
      </c>
    </row>
    <row r="336" spans="1:12" x14ac:dyDescent="0.3">
      <c r="A336" s="8" t="s">
        <v>43</v>
      </c>
      <c r="B336" s="8" t="s">
        <v>44</v>
      </c>
      <c r="C336" s="8" t="s">
        <v>40</v>
      </c>
      <c r="D336" s="8">
        <v>40</v>
      </c>
      <c r="E336" s="8" t="s">
        <v>45</v>
      </c>
      <c r="F336" t="s">
        <v>42</v>
      </c>
      <c r="G336" s="8">
        <v>5000</v>
      </c>
      <c r="H336" s="7">
        <v>46171</v>
      </c>
      <c r="I336" s="9">
        <v>269</v>
      </c>
      <c r="J336" s="31">
        <f t="shared" si="10"/>
        <v>46167</v>
      </c>
      <c r="K336" s="31">
        <f>Table14[[#This Row],[week first day]]-7</f>
        <v>46160</v>
      </c>
      <c r="L336">
        <f t="shared" si="11"/>
        <v>5840</v>
      </c>
    </row>
    <row r="337" spans="1:12" x14ac:dyDescent="0.3">
      <c r="A337" s="8" t="s">
        <v>43</v>
      </c>
      <c r="B337" s="8" t="s">
        <v>44</v>
      </c>
      <c r="C337" s="8" t="s">
        <v>40</v>
      </c>
      <c r="D337" s="8">
        <v>40</v>
      </c>
      <c r="E337" s="8" t="s">
        <v>45</v>
      </c>
      <c r="F337" t="s">
        <v>42</v>
      </c>
      <c r="G337" s="8">
        <v>5000</v>
      </c>
      <c r="H337" s="7">
        <v>46171</v>
      </c>
      <c r="I337" s="9">
        <v>270</v>
      </c>
      <c r="J337" s="31">
        <f t="shared" si="10"/>
        <v>46167</v>
      </c>
      <c r="K337" s="31">
        <f>Table14[[#This Row],[week first day]]-7</f>
        <v>46160</v>
      </c>
      <c r="L337">
        <f t="shared" si="11"/>
        <v>5840</v>
      </c>
    </row>
    <row r="338" spans="1:12" x14ac:dyDescent="0.3">
      <c r="A338" s="8" t="s">
        <v>43</v>
      </c>
      <c r="B338" s="8" t="s">
        <v>44</v>
      </c>
      <c r="C338" s="8" t="s">
        <v>40</v>
      </c>
      <c r="D338" s="8">
        <v>40</v>
      </c>
      <c r="E338" s="8" t="s">
        <v>45</v>
      </c>
      <c r="F338" t="s">
        <v>42</v>
      </c>
      <c r="G338" s="8">
        <v>5000</v>
      </c>
      <c r="H338" s="7">
        <v>46171</v>
      </c>
      <c r="I338" s="9">
        <v>270</v>
      </c>
      <c r="J338" s="31">
        <f t="shared" si="10"/>
        <v>46167</v>
      </c>
      <c r="K338" s="31">
        <f>Table14[[#This Row],[week first day]]-7</f>
        <v>46160</v>
      </c>
      <c r="L338">
        <f t="shared" si="11"/>
        <v>5840</v>
      </c>
    </row>
    <row r="339" spans="1:12" x14ac:dyDescent="0.3">
      <c r="A339" s="8" t="s">
        <v>43</v>
      </c>
      <c r="B339" s="8" t="s">
        <v>44</v>
      </c>
      <c r="C339" s="8" t="s">
        <v>40</v>
      </c>
      <c r="D339" s="8">
        <v>40</v>
      </c>
      <c r="E339" s="8" t="s">
        <v>45</v>
      </c>
      <c r="F339" t="s">
        <v>42</v>
      </c>
      <c r="G339" s="8">
        <v>5000</v>
      </c>
      <c r="H339" s="7">
        <v>46171</v>
      </c>
      <c r="I339" s="9">
        <v>227</v>
      </c>
      <c r="J339" s="31">
        <f t="shared" si="10"/>
        <v>46167</v>
      </c>
      <c r="K339" s="31">
        <f>Table14[[#This Row],[week first day]]-7</f>
        <v>46160</v>
      </c>
      <c r="L339">
        <f t="shared" si="11"/>
        <v>5840</v>
      </c>
    </row>
    <row r="340" spans="1:12" x14ac:dyDescent="0.3">
      <c r="A340" s="8" t="s">
        <v>43</v>
      </c>
      <c r="B340" s="8" t="s">
        <v>44</v>
      </c>
      <c r="C340" s="8" t="s">
        <v>40</v>
      </c>
      <c r="D340" s="8">
        <v>40</v>
      </c>
      <c r="E340" s="8" t="s">
        <v>45</v>
      </c>
      <c r="F340" t="s">
        <v>42</v>
      </c>
      <c r="G340" s="8">
        <v>5000</v>
      </c>
      <c r="H340" s="7">
        <v>46171</v>
      </c>
      <c r="I340" s="9">
        <v>264</v>
      </c>
      <c r="J340" s="31">
        <f t="shared" si="10"/>
        <v>46167</v>
      </c>
      <c r="K340" s="31">
        <f>Table14[[#This Row],[week first day]]-7</f>
        <v>46160</v>
      </c>
      <c r="L340">
        <f t="shared" si="11"/>
        <v>5840</v>
      </c>
    </row>
    <row r="341" spans="1:12" x14ac:dyDescent="0.3">
      <c r="A341" s="8" t="s">
        <v>43</v>
      </c>
      <c r="B341" s="8" t="s">
        <v>44</v>
      </c>
      <c r="C341" s="8" t="s">
        <v>40</v>
      </c>
      <c r="D341" s="8">
        <v>40</v>
      </c>
      <c r="E341" s="8" t="s">
        <v>45</v>
      </c>
      <c r="F341" t="s">
        <v>42</v>
      </c>
      <c r="G341" s="8">
        <v>5000</v>
      </c>
      <c r="H341" s="7">
        <v>46171</v>
      </c>
      <c r="I341" s="9">
        <v>270</v>
      </c>
      <c r="J341" s="31">
        <f t="shared" si="10"/>
        <v>46167</v>
      </c>
      <c r="K341" s="31">
        <f>Table14[[#This Row],[week first day]]-7</f>
        <v>46160</v>
      </c>
      <c r="L341">
        <f t="shared" si="11"/>
        <v>5840</v>
      </c>
    </row>
    <row r="342" spans="1:12" x14ac:dyDescent="0.3">
      <c r="A342" s="8" t="s">
        <v>43</v>
      </c>
      <c r="B342" s="8" t="s">
        <v>44</v>
      </c>
      <c r="C342" s="8" t="s">
        <v>40</v>
      </c>
      <c r="D342" s="8">
        <v>40</v>
      </c>
      <c r="E342" s="8" t="s">
        <v>45</v>
      </c>
      <c r="F342" t="s">
        <v>42</v>
      </c>
      <c r="G342" s="8">
        <v>5000</v>
      </c>
      <c r="H342" s="7">
        <v>46171</v>
      </c>
      <c r="I342" s="9">
        <v>270</v>
      </c>
      <c r="J342" s="31">
        <f t="shared" si="10"/>
        <v>46167</v>
      </c>
      <c r="K342" s="31">
        <f>Table14[[#This Row],[week first day]]-7</f>
        <v>46160</v>
      </c>
      <c r="L342">
        <f t="shared" si="11"/>
        <v>5840</v>
      </c>
    </row>
    <row r="343" spans="1:12" x14ac:dyDescent="0.3">
      <c r="A343" s="8" t="s">
        <v>43</v>
      </c>
      <c r="B343" s="8" t="s">
        <v>44</v>
      </c>
      <c r="C343" s="8" t="s">
        <v>40</v>
      </c>
      <c r="D343" s="8">
        <v>40</v>
      </c>
      <c r="E343" s="8" t="s">
        <v>45</v>
      </c>
      <c r="F343" t="s">
        <v>42</v>
      </c>
      <c r="G343" s="8">
        <v>5000</v>
      </c>
      <c r="H343" s="7">
        <v>46171</v>
      </c>
      <c r="I343" s="9">
        <v>270</v>
      </c>
      <c r="J343" s="31">
        <f t="shared" si="10"/>
        <v>46167</v>
      </c>
      <c r="K343" s="31">
        <f>Table14[[#This Row],[week first day]]-7</f>
        <v>46160</v>
      </c>
      <c r="L343">
        <f t="shared" si="11"/>
        <v>5840</v>
      </c>
    </row>
    <row r="344" spans="1:12" x14ac:dyDescent="0.3">
      <c r="A344" s="8" t="s">
        <v>43</v>
      </c>
      <c r="B344" s="8" t="s">
        <v>44</v>
      </c>
      <c r="C344" s="8" t="s">
        <v>40</v>
      </c>
      <c r="D344" s="8">
        <v>40</v>
      </c>
      <c r="E344" s="8" t="s">
        <v>45</v>
      </c>
      <c r="F344" t="s">
        <v>42</v>
      </c>
      <c r="G344" s="8">
        <v>5000</v>
      </c>
      <c r="H344" s="7">
        <v>46171</v>
      </c>
      <c r="I344" s="9">
        <v>270</v>
      </c>
      <c r="J344" s="31">
        <f t="shared" si="10"/>
        <v>46167</v>
      </c>
      <c r="K344" s="31">
        <f>Table14[[#This Row],[week first day]]-7</f>
        <v>46160</v>
      </c>
      <c r="L344">
        <f t="shared" si="11"/>
        <v>5840</v>
      </c>
    </row>
    <row r="345" spans="1:12" x14ac:dyDescent="0.3">
      <c r="A345" s="8" t="s">
        <v>43</v>
      </c>
      <c r="B345" s="8" t="s">
        <v>44</v>
      </c>
      <c r="C345" s="8" t="s">
        <v>40</v>
      </c>
      <c r="D345" s="8">
        <v>40</v>
      </c>
      <c r="E345" s="8" t="s">
        <v>45</v>
      </c>
      <c r="F345" t="s">
        <v>42</v>
      </c>
      <c r="G345" s="8">
        <v>5000</v>
      </c>
      <c r="H345" s="7">
        <v>46171</v>
      </c>
      <c r="I345" s="9">
        <v>270</v>
      </c>
      <c r="J345" s="31">
        <f t="shared" si="10"/>
        <v>46167</v>
      </c>
      <c r="K345" s="31">
        <f>Table14[[#This Row],[week first day]]-7</f>
        <v>46160</v>
      </c>
      <c r="L345">
        <f t="shared" si="11"/>
        <v>5840</v>
      </c>
    </row>
    <row r="346" spans="1:12" x14ac:dyDescent="0.3">
      <c r="A346" s="8" t="s">
        <v>43</v>
      </c>
      <c r="B346" s="8" t="s">
        <v>44</v>
      </c>
      <c r="C346" s="8" t="s">
        <v>40</v>
      </c>
      <c r="D346" s="8">
        <v>40</v>
      </c>
      <c r="E346" s="8" t="s">
        <v>45</v>
      </c>
      <c r="F346" t="s">
        <v>42</v>
      </c>
      <c r="G346" s="8">
        <v>5000</v>
      </c>
      <c r="H346" s="7">
        <v>46171</v>
      </c>
      <c r="I346" s="9">
        <v>207</v>
      </c>
      <c r="J346" s="31">
        <f t="shared" si="10"/>
        <v>46167</v>
      </c>
      <c r="K346" s="31">
        <f>Table14[[#This Row],[week first day]]-7</f>
        <v>46160</v>
      </c>
      <c r="L346">
        <f t="shared" si="11"/>
        <v>5840</v>
      </c>
    </row>
    <row r="347" spans="1:12" x14ac:dyDescent="0.3">
      <c r="A347" s="8" t="s">
        <v>43</v>
      </c>
      <c r="B347" s="8" t="s">
        <v>44</v>
      </c>
      <c r="C347" s="8" t="s">
        <v>40</v>
      </c>
      <c r="D347" s="8">
        <v>40</v>
      </c>
      <c r="E347" s="8" t="s">
        <v>45</v>
      </c>
      <c r="F347" t="s">
        <v>42</v>
      </c>
      <c r="G347" s="8">
        <v>5000</v>
      </c>
      <c r="H347" s="7">
        <v>46171</v>
      </c>
      <c r="I347" s="9">
        <v>270</v>
      </c>
      <c r="J347" s="31">
        <f t="shared" si="10"/>
        <v>46167</v>
      </c>
      <c r="K347" s="31">
        <f>Table14[[#This Row],[week first day]]-7</f>
        <v>46160</v>
      </c>
      <c r="L347">
        <f t="shared" si="11"/>
        <v>5840</v>
      </c>
    </row>
    <row r="348" spans="1:12" x14ac:dyDescent="0.3">
      <c r="A348" s="8" t="s">
        <v>43</v>
      </c>
      <c r="B348" s="8" t="s">
        <v>44</v>
      </c>
      <c r="C348" s="8" t="s">
        <v>40</v>
      </c>
      <c r="D348" s="8">
        <v>40</v>
      </c>
      <c r="E348" s="8" t="s">
        <v>45</v>
      </c>
      <c r="F348" t="s">
        <v>42</v>
      </c>
      <c r="G348" s="8">
        <v>5000</v>
      </c>
      <c r="H348" s="7">
        <v>46171</v>
      </c>
      <c r="I348" s="9">
        <v>160</v>
      </c>
      <c r="J348" s="31">
        <f t="shared" si="10"/>
        <v>46167</v>
      </c>
      <c r="K348" s="31">
        <f>Table14[[#This Row],[week first day]]-7</f>
        <v>46160</v>
      </c>
      <c r="L348">
        <f t="shared" si="11"/>
        <v>5840</v>
      </c>
    </row>
    <row r="349" spans="1:12" x14ac:dyDescent="0.3">
      <c r="A349" s="8" t="s">
        <v>43</v>
      </c>
      <c r="B349" s="8" t="s">
        <v>44</v>
      </c>
      <c r="C349" s="8" t="s">
        <v>40</v>
      </c>
      <c r="D349" s="8">
        <v>40</v>
      </c>
      <c r="E349" s="8" t="s">
        <v>45</v>
      </c>
      <c r="F349" t="s">
        <v>42</v>
      </c>
      <c r="G349" s="8">
        <v>5000</v>
      </c>
      <c r="H349" s="7">
        <v>46171</v>
      </c>
      <c r="I349" s="9">
        <v>270</v>
      </c>
      <c r="J349" s="31">
        <f t="shared" si="10"/>
        <v>46167</v>
      </c>
      <c r="K349" s="31">
        <f>Table14[[#This Row],[week first day]]-7</f>
        <v>46160</v>
      </c>
      <c r="L349">
        <f t="shared" si="11"/>
        <v>5840</v>
      </c>
    </row>
    <row r="350" spans="1:12" x14ac:dyDescent="0.3">
      <c r="A350" s="8" t="s">
        <v>43</v>
      </c>
      <c r="B350" s="8" t="s">
        <v>44</v>
      </c>
      <c r="C350" s="8" t="s">
        <v>40</v>
      </c>
      <c r="D350" s="8">
        <v>40</v>
      </c>
      <c r="E350" s="8" t="s">
        <v>45</v>
      </c>
      <c r="F350" t="s">
        <v>42</v>
      </c>
      <c r="G350" s="8">
        <v>5000</v>
      </c>
      <c r="H350" s="7">
        <v>46171</v>
      </c>
      <c r="I350" s="9">
        <v>270</v>
      </c>
      <c r="J350" s="31">
        <f t="shared" si="10"/>
        <v>46167</v>
      </c>
      <c r="K350" s="31">
        <f>Table14[[#This Row],[week first day]]-7</f>
        <v>46160</v>
      </c>
      <c r="L350">
        <f t="shared" si="11"/>
        <v>5840</v>
      </c>
    </row>
    <row r="351" spans="1:12" x14ac:dyDescent="0.3">
      <c r="A351" s="8" t="s">
        <v>43</v>
      </c>
      <c r="B351" s="8" t="s">
        <v>44</v>
      </c>
      <c r="C351" s="8" t="s">
        <v>40</v>
      </c>
      <c r="D351" s="8">
        <v>40</v>
      </c>
      <c r="E351" s="8" t="s">
        <v>45</v>
      </c>
      <c r="F351" t="s">
        <v>42</v>
      </c>
      <c r="G351" s="8">
        <v>5000</v>
      </c>
      <c r="H351" s="7">
        <v>46175</v>
      </c>
      <c r="I351" s="9">
        <v>270</v>
      </c>
      <c r="J351" s="31">
        <f t="shared" si="10"/>
        <v>46174</v>
      </c>
      <c r="K351" s="31">
        <f>Table14[[#This Row],[week first day]]-7</f>
        <v>46167</v>
      </c>
      <c r="L351">
        <f t="shared" si="11"/>
        <v>8100</v>
      </c>
    </row>
    <row r="352" spans="1:12" x14ac:dyDescent="0.3">
      <c r="A352" s="8" t="s">
        <v>43</v>
      </c>
      <c r="B352" s="8" t="s">
        <v>44</v>
      </c>
      <c r="C352" s="8" t="s">
        <v>40</v>
      </c>
      <c r="D352" s="8">
        <v>40</v>
      </c>
      <c r="E352" s="8" t="s">
        <v>45</v>
      </c>
      <c r="F352" t="s">
        <v>42</v>
      </c>
      <c r="G352" s="8">
        <v>5000</v>
      </c>
      <c r="H352" s="7">
        <v>46175</v>
      </c>
      <c r="I352" s="9">
        <v>270</v>
      </c>
      <c r="J352" s="31">
        <f t="shared" si="10"/>
        <v>46174</v>
      </c>
      <c r="K352" s="31">
        <f>Table14[[#This Row],[week first day]]-7</f>
        <v>46167</v>
      </c>
      <c r="L352">
        <f t="shared" si="11"/>
        <v>8100</v>
      </c>
    </row>
    <row r="353" spans="1:12" x14ac:dyDescent="0.3">
      <c r="A353" s="8" t="s">
        <v>43</v>
      </c>
      <c r="B353" s="8" t="s">
        <v>44</v>
      </c>
      <c r="C353" s="8" t="s">
        <v>40</v>
      </c>
      <c r="D353" s="8">
        <v>40</v>
      </c>
      <c r="E353" s="8" t="s">
        <v>45</v>
      </c>
      <c r="F353" t="s">
        <v>42</v>
      </c>
      <c r="G353" s="8">
        <v>5000</v>
      </c>
      <c r="H353" s="7">
        <v>46175</v>
      </c>
      <c r="I353" s="9">
        <v>270</v>
      </c>
      <c r="J353" s="31">
        <f t="shared" si="10"/>
        <v>46174</v>
      </c>
      <c r="K353" s="31">
        <f>Table14[[#This Row],[week first day]]-7</f>
        <v>46167</v>
      </c>
      <c r="L353">
        <f t="shared" si="11"/>
        <v>8100</v>
      </c>
    </row>
    <row r="354" spans="1:12" x14ac:dyDescent="0.3">
      <c r="A354" s="8" t="s">
        <v>43</v>
      </c>
      <c r="B354" s="8" t="s">
        <v>44</v>
      </c>
      <c r="C354" s="8" t="s">
        <v>40</v>
      </c>
      <c r="D354" s="8">
        <v>40</v>
      </c>
      <c r="E354" s="8" t="s">
        <v>45</v>
      </c>
      <c r="F354" t="s">
        <v>42</v>
      </c>
      <c r="G354" s="8">
        <v>5000</v>
      </c>
      <c r="H354" s="7">
        <v>46175</v>
      </c>
      <c r="I354" s="9">
        <v>270</v>
      </c>
      <c r="J354" s="31">
        <f t="shared" si="10"/>
        <v>46174</v>
      </c>
      <c r="K354" s="31">
        <f>Table14[[#This Row],[week first day]]-7</f>
        <v>46167</v>
      </c>
      <c r="L354">
        <f t="shared" si="11"/>
        <v>8100</v>
      </c>
    </row>
    <row r="355" spans="1:12" x14ac:dyDescent="0.3">
      <c r="A355" s="8" t="s">
        <v>43</v>
      </c>
      <c r="B355" s="8" t="s">
        <v>44</v>
      </c>
      <c r="C355" s="8" t="s">
        <v>40</v>
      </c>
      <c r="D355" s="8">
        <v>40</v>
      </c>
      <c r="E355" s="8" t="s">
        <v>45</v>
      </c>
      <c r="F355" t="s">
        <v>42</v>
      </c>
      <c r="G355" s="8">
        <v>5000</v>
      </c>
      <c r="H355" s="7">
        <v>46175</v>
      </c>
      <c r="I355" s="9">
        <v>270</v>
      </c>
      <c r="J355" s="31">
        <f t="shared" si="10"/>
        <v>46174</v>
      </c>
      <c r="K355" s="31">
        <f>Table14[[#This Row],[week first day]]-7</f>
        <v>46167</v>
      </c>
      <c r="L355">
        <f t="shared" si="11"/>
        <v>8100</v>
      </c>
    </row>
    <row r="356" spans="1:12" x14ac:dyDescent="0.3">
      <c r="A356" s="8" t="s">
        <v>43</v>
      </c>
      <c r="B356" s="8" t="s">
        <v>44</v>
      </c>
      <c r="C356" s="8" t="s">
        <v>40</v>
      </c>
      <c r="D356" s="8">
        <v>40</v>
      </c>
      <c r="E356" s="8" t="s">
        <v>45</v>
      </c>
      <c r="F356" t="s">
        <v>42</v>
      </c>
      <c r="G356" s="8">
        <v>5000</v>
      </c>
      <c r="H356" s="7">
        <v>46175</v>
      </c>
      <c r="I356" s="9">
        <v>270</v>
      </c>
      <c r="J356" s="31">
        <f t="shared" si="10"/>
        <v>46174</v>
      </c>
      <c r="K356" s="31">
        <f>Table14[[#This Row],[week first day]]-7</f>
        <v>46167</v>
      </c>
      <c r="L356">
        <f t="shared" si="11"/>
        <v>8100</v>
      </c>
    </row>
    <row r="357" spans="1:12" x14ac:dyDescent="0.3">
      <c r="A357" s="8" t="s">
        <v>43</v>
      </c>
      <c r="B357" s="8" t="s">
        <v>44</v>
      </c>
      <c r="C357" s="8" t="s">
        <v>40</v>
      </c>
      <c r="D357" s="8">
        <v>40</v>
      </c>
      <c r="E357" s="8" t="s">
        <v>45</v>
      </c>
      <c r="F357" t="s">
        <v>42</v>
      </c>
      <c r="G357" s="8">
        <v>5000</v>
      </c>
      <c r="H357" s="7">
        <v>46175</v>
      </c>
      <c r="I357" s="9">
        <v>270</v>
      </c>
      <c r="J357" s="31">
        <f t="shared" si="10"/>
        <v>46174</v>
      </c>
      <c r="K357" s="31">
        <f>Table14[[#This Row],[week first day]]-7</f>
        <v>46167</v>
      </c>
      <c r="L357">
        <f t="shared" si="11"/>
        <v>8100</v>
      </c>
    </row>
    <row r="358" spans="1:12" x14ac:dyDescent="0.3">
      <c r="A358" s="8" t="s">
        <v>43</v>
      </c>
      <c r="B358" s="8" t="s">
        <v>44</v>
      </c>
      <c r="C358" s="8" t="s">
        <v>40</v>
      </c>
      <c r="D358" s="8">
        <v>40</v>
      </c>
      <c r="E358" s="8" t="s">
        <v>45</v>
      </c>
      <c r="F358" t="s">
        <v>42</v>
      </c>
      <c r="G358" s="8">
        <v>5000</v>
      </c>
      <c r="H358" s="7">
        <v>46175</v>
      </c>
      <c r="I358" s="9">
        <v>270</v>
      </c>
      <c r="J358" s="31">
        <f t="shared" si="10"/>
        <v>46174</v>
      </c>
      <c r="K358" s="31">
        <f>Table14[[#This Row],[week first day]]-7</f>
        <v>46167</v>
      </c>
      <c r="L358">
        <f t="shared" si="11"/>
        <v>8100</v>
      </c>
    </row>
    <row r="359" spans="1:12" x14ac:dyDescent="0.3">
      <c r="A359" s="8" t="s">
        <v>43</v>
      </c>
      <c r="B359" s="8" t="s">
        <v>44</v>
      </c>
      <c r="C359" s="8" t="s">
        <v>40</v>
      </c>
      <c r="D359" s="8">
        <v>40</v>
      </c>
      <c r="E359" s="8" t="s">
        <v>45</v>
      </c>
      <c r="F359" t="s">
        <v>42</v>
      </c>
      <c r="G359" s="8">
        <v>5000</v>
      </c>
      <c r="H359" s="7">
        <v>46175</v>
      </c>
      <c r="I359" s="9">
        <v>270</v>
      </c>
      <c r="J359" s="31">
        <f t="shared" si="10"/>
        <v>46174</v>
      </c>
      <c r="K359" s="31">
        <f>Table14[[#This Row],[week first day]]-7</f>
        <v>46167</v>
      </c>
      <c r="L359">
        <f t="shared" si="11"/>
        <v>8100</v>
      </c>
    </row>
    <row r="360" spans="1:12" x14ac:dyDescent="0.3">
      <c r="A360" s="8" t="s">
        <v>43</v>
      </c>
      <c r="B360" s="8" t="s">
        <v>44</v>
      </c>
      <c r="C360" s="8" t="s">
        <v>40</v>
      </c>
      <c r="D360" s="8">
        <v>40</v>
      </c>
      <c r="E360" s="8" t="s">
        <v>45</v>
      </c>
      <c r="F360" t="s">
        <v>42</v>
      </c>
      <c r="G360" s="8">
        <v>5000</v>
      </c>
      <c r="H360" s="7">
        <v>46175</v>
      </c>
      <c r="I360" s="9">
        <v>270</v>
      </c>
      <c r="J360" s="31">
        <f t="shared" si="10"/>
        <v>46174</v>
      </c>
      <c r="K360" s="31">
        <f>Table14[[#This Row],[week first day]]-7</f>
        <v>46167</v>
      </c>
      <c r="L360">
        <f t="shared" si="11"/>
        <v>8100</v>
      </c>
    </row>
    <row r="361" spans="1:12" x14ac:dyDescent="0.3">
      <c r="A361" s="8" t="s">
        <v>43</v>
      </c>
      <c r="B361" s="8" t="s">
        <v>44</v>
      </c>
      <c r="C361" s="8" t="s">
        <v>40</v>
      </c>
      <c r="D361" s="8">
        <v>40</v>
      </c>
      <c r="E361" s="8" t="s">
        <v>45</v>
      </c>
      <c r="F361" t="s">
        <v>42</v>
      </c>
      <c r="G361" s="8">
        <v>5000</v>
      </c>
      <c r="H361" s="7">
        <v>46175</v>
      </c>
      <c r="I361" s="9">
        <v>270</v>
      </c>
      <c r="J361" s="31">
        <f t="shared" si="10"/>
        <v>46174</v>
      </c>
      <c r="K361" s="31">
        <f>Table14[[#This Row],[week first day]]-7</f>
        <v>46167</v>
      </c>
      <c r="L361">
        <f t="shared" si="11"/>
        <v>8100</v>
      </c>
    </row>
    <row r="362" spans="1:12" x14ac:dyDescent="0.3">
      <c r="A362" s="8" t="s">
        <v>43</v>
      </c>
      <c r="B362" s="8" t="s">
        <v>44</v>
      </c>
      <c r="C362" s="8" t="s">
        <v>40</v>
      </c>
      <c r="D362" s="8">
        <v>40</v>
      </c>
      <c r="E362" s="8" t="s">
        <v>45</v>
      </c>
      <c r="F362" t="s">
        <v>42</v>
      </c>
      <c r="G362" s="8">
        <v>5000</v>
      </c>
      <c r="H362" s="7">
        <v>46175</v>
      </c>
      <c r="I362" s="9">
        <v>270</v>
      </c>
      <c r="J362" s="31">
        <f t="shared" si="10"/>
        <v>46174</v>
      </c>
      <c r="K362" s="31">
        <f>Table14[[#This Row],[week first day]]-7</f>
        <v>46167</v>
      </c>
      <c r="L362">
        <f t="shared" si="11"/>
        <v>8100</v>
      </c>
    </row>
    <row r="363" spans="1:12" x14ac:dyDescent="0.3">
      <c r="A363" s="8" t="s">
        <v>43</v>
      </c>
      <c r="B363" s="8" t="s">
        <v>44</v>
      </c>
      <c r="C363" s="8" t="s">
        <v>40</v>
      </c>
      <c r="D363" s="8">
        <v>40</v>
      </c>
      <c r="E363" s="8" t="s">
        <v>45</v>
      </c>
      <c r="F363" t="s">
        <v>42</v>
      </c>
      <c r="G363" s="8">
        <v>5000</v>
      </c>
      <c r="H363" s="7">
        <v>46175</v>
      </c>
      <c r="I363" s="9">
        <v>270</v>
      </c>
      <c r="J363" s="31">
        <f t="shared" si="10"/>
        <v>46174</v>
      </c>
      <c r="K363" s="31">
        <f>Table14[[#This Row],[week first day]]-7</f>
        <v>46167</v>
      </c>
      <c r="L363">
        <f t="shared" si="11"/>
        <v>8100</v>
      </c>
    </row>
    <row r="364" spans="1:12" x14ac:dyDescent="0.3">
      <c r="A364" s="8" t="s">
        <v>43</v>
      </c>
      <c r="B364" s="8" t="s">
        <v>44</v>
      </c>
      <c r="C364" s="8" t="s">
        <v>40</v>
      </c>
      <c r="D364" s="8">
        <v>40</v>
      </c>
      <c r="E364" s="8" t="s">
        <v>45</v>
      </c>
      <c r="F364" t="s">
        <v>42</v>
      </c>
      <c r="G364" s="8">
        <v>5000</v>
      </c>
      <c r="H364" s="7">
        <v>46175</v>
      </c>
      <c r="I364" s="9">
        <v>270</v>
      </c>
      <c r="J364" s="31">
        <f t="shared" si="10"/>
        <v>46174</v>
      </c>
      <c r="K364" s="31">
        <f>Table14[[#This Row],[week first day]]-7</f>
        <v>46167</v>
      </c>
      <c r="L364">
        <f t="shared" si="11"/>
        <v>8100</v>
      </c>
    </row>
    <row r="365" spans="1:12" x14ac:dyDescent="0.3">
      <c r="A365" s="8" t="s">
        <v>43</v>
      </c>
      <c r="B365" s="8" t="s">
        <v>44</v>
      </c>
      <c r="C365" s="8" t="s">
        <v>40</v>
      </c>
      <c r="D365" s="8">
        <v>40</v>
      </c>
      <c r="E365" s="8" t="s">
        <v>45</v>
      </c>
      <c r="F365" t="s">
        <v>42</v>
      </c>
      <c r="G365" s="8">
        <v>5000</v>
      </c>
      <c r="H365" s="7">
        <v>46175</v>
      </c>
      <c r="I365" s="9">
        <v>270</v>
      </c>
      <c r="J365" s="31">
        <f t="shared" si="10"/>
        <v>46174</v>
      </c>
      <c r="K365" s="31">
        <f>Table14[[#This Row],[week first day]]-7</f>
        <v>46167</v>
      </c>
      <c r="L365">
        <f t="shared" si="11"/>
        <v>8100</v>
      </c>
    </row>
    <row r="366" spans="1:12" x14ac:dyDescent="0.3">
      <c r="A366" s="8" t="s">
        <v>43</v>
      </c>
      <c r="B366" s="8" t="s">
        <v>44</v>
      </c>
      <c r="C366" s="8" t="s">
        <v>40</v>
      </c>
      <c r="D366" s="8">
        <v>40</v>
      </c>
      <c r="E366" s="8" t="s">
        <v>45</v>
      </c>
      <c r="F366" t="s">
        <v>42</v>
      </c>
      <c r="G366" s="8">
        <v>5000</v>
      </c>
      <c r="H366" s="7">
        <v>46175</v>
      </c>
      <c r="I366" s="9">
        <v>270</v>
      </c>
      <c r="J366" s="31">
        <f t="shared" si="10"/>
        <v>46174</v>
      </c>
      <c r="K366" s="31">
        <f>Table14[[#This Row],[week first day]]-7</f>
        <v>46167</v>
      </c>
      <c r="L366">
        <f t="shared" si="11"/>
        <v>8100</v>
      </c>
    </row>
    <row r="367" spans="1:12" x14ac:dyDescent="0.3">
      <c r="A367" s="8" t="s">
        <v>43</v>
      </c>
      <c r="B367" s="8" t="s">
        <v>44</v>
      </c>
      <c r="C367" s="8" t="s">
        <v>40</v>
      </c>
      <c r="D367" s="8">
        <v>40</v>
      </c>
      <c r="E367" s="8" t="s">
        <v>45</v>
      </c>
      <c r="F367" t="s">
        <v>42</v>
      </c>
      <c r="G367" s="8">
        <v>5000</v>
      </c>
      <c r="H367" s="7">
        <v>46175</v>
      </c>
      <c r="I367" s="9">
        <v>270</v>
      </c>
      <c r="J367" s="31">
        <f t="shared" si="10"/>
        <v>46174</v>
      </c>
      <c r="K367" s="31">
        <f>Table14[[#This Row],[week first day]]-7</f>
        <v>46167</v>
      </c>
      <c r="L367">
        <f t="shared" si="11"/>
        <v>8100</v>
      </c>
    </row>
    <row r="368" spans="1:12" x14ac:dyDescent="0.3">
      <c r="A368" s="8" t="s">
        <v>43</v>
      </c>
      <c r="B368" s="8" t="s">
        <v>44</v>
      </c>
      <c r="C368" s="8" t="s">
        <v>40</v>
      </c>
      <c r="D368" s="8">
        <v>40</v>
      </c>
      <c r="E368" s="8" t="s">
        <v>45</v>
      </c>
      <c r="F368" t="s">
        <v>42</v>
      </c>
      <c r="G368" s="8">
        <v>5000</v>
      </c>
      <c r="H368" s="7">
        <v>46175</v>
      </c>
      <c r="I368" s="9">
        <v>270</v>
      </c>
      <c r="J368" s="31">
        <f t="shared" si="10"/>
        <v>46174</v>
      </c>
      <c r="K368" s="31">
        <f>Table14[[#This Row],[week first day]]-7</f>
        <v>46167</v>
      </c>
      <c r="L368">
        <f t="shared" si="11"/>
        <v>8100</v>
      </c>
    </row>
    <row r="369" spans="1:12" x14ac:dyDescent="0.3">
      <c r="A369" s="8" t="s">
        <v>43</v>
      </c>
      <c r="B369" s="8" t="s">
        <v>44</v>
      </c>
      <c r="C369" s="8" t="s">
        <v>40</v>
      </c>
      <c r="D369" s="8">
        <v>40</v>
      </c>
      <c r="E369" s="8" t="s">
        <v>45</v>
      </c>
      <c r="F369" t="s">
        <v>42</v>
      </c>
      <c r="G369" s="8">
        <v>5000</v>
      </c>
      <c r="H369" s="7">
        <v>46175</v>
      </c>
      <c r="I369" s="9">
        <v>270</v>
      </c>
      <c r="J369" s="31">
        <f t="shared" si="10"/>
        <v>46174</v>
      </c>
      <c r="K369" s="31">
        <f>Table14[[#This Row],[week first day]]-7</f>
        <v>46167</v>
      </c>
      <c r="L369">
        <f t="shared" si="11"/>
        <v>8100</v>
      </c>
    </row>
    <row r="370" spans="1:12" x14ac:dyDescent="0.3">
      <c r="A370" s="8" t="s">
        <v>43</v>
      </c>
      <c r="B370" s="8" t="s">
        <v>44</v>
      </c>
      <c r="C370" s="8" t="s">
        <v>40</v>
      </c>
      <c r="D370" s="8">
        <v>40</v>
      </c>
      <c r="E370" s="8" t="s">
        <v>45</v>
      </c>
      <c r="F370" t="s">
        <v>42</v>
      </c>
      <c r="G370" s="8">
        <v>5000</v>
      </c>
      <c r="H370" s="7">
        <v>46175</v>
      </c>
      <c r="I370" s="9">
        <v>270</v>
      </c>
      <c r="J370" s="31">
        <f t="shared" si="10"/>
        <v>46174</v>
      </c>
      <c r="K370" s="31">
        <f>Table14[[#This Row],[week first day]]-7</f>
        <v>46167</v>
      </c>
      <c r="L370">
        <f t="shared" si="11"/>
        <v>8100</v>
      </c>
    </row>
    <row r="371" spans="1:12" x14ac:dyDescent="0.3">
      <c r="A371" s="8" t="s">
        <v>43</v>
      </c>
      <c r="B371" s="8" t="s">
        <v>44</v>
      </c>
      <c r="C371" s="8" t="s">
        <v>40</v>
      </c>
      <c r="D371" s="8">
        <v>40</v>
      </c>
      <c r="E371" s="8" t="s">
        <v>45</v>
      </c>
      <c r="F371" t="s">
        <v>42</v>
      </c>
      <c r="G371" s="8">
        <v>5000</v>
      </c>
      <c r="H371" s="7">
        <v>46175</v>
      </c>
      <c r="I371" s="9">
        <v>270</v>
      </c>
      <c r="J371" s="31">
        <f t="shared" si="10"/>
        <v>46174</v>
      </c>
      <c r="K371" s="31">
        <f>Table14[[#This Row],[week first day]]-7</f>
        <v>46167</v>
      </c>
      <c r="L371">
        <f t="shared" si="11"/>
        <v>8100</v>
      </c>
    </row>
    <row r="372" spans="1:12" x14ac:dyDescent="0.3">
      <c r="A372" s="8" t="s">
        <v>43</v>
      </c>
      <c r="B372" s="8" t="s">
        <v>44</v>
      </c>
      <c r="C372" s="8" t="s">
        <v>40</v>
      </c>
      <c r="D372" s="8">
        <v>40</v>
      </c>
      <c r="E372" s="8" t="s">
        <v>45</v>
      </c>
      <c r="F372" t="s">
        <v>42</v>
      </c>
      <c r="G372" s="8">
        <v>5000</v>
      </c>
      <c r="H372" s="7">
        <v>46175</v>
      </c>
      <c r="I372" s="9">
        <v>270</v>
      </c>
      <c r="J372" s="31">
        <f t="shared" si="10"/>
        <v>46174</v>
      </c>
      <c r="K372" s="31">
        <f>Table14[[#This Row],[week first day]]-7</f>
        <v>46167</v>
      </c>
      <c r="L372">
        <f t="shared" si="11"/>
        <v>8100</v>
      </c>
    </row>
    <row r="373" spans="1:12" x14ac:dyDescent="0.3">
      <c r="A373" s="8" t="s">
        <v>43</v>
      </c>
      <c r="B373" s="8" t="s">
        <v>44</v>
      </c>
      <c r="C373" s="8" t="s">
        <v>40</v>
      </c>
      <c r="D373" s="8">
        <v>40</v>
      </c>
      <c r="E373" s="8" t="s">
        <v>45</v>
      </c>
      <c r="F373" t="s">
        <v>42</v>
      </c>
      <c r="G373" s="8">
        <v>5000</v>
      </c>
      <c r="H373" s="7">
        <v>46175</v>
      </c>
      <c r="I373" s="9">
        <v>270</v>
      </c>
      <c r="J373" s="31">
        <f t="shared" si="10"/>
        <v>46174</v>
      </c>
      <c r="K373" s="31">
        <f>Table14[[#This Row],[week first day]]-7</f>
        <v>46167</v>
      </c>
      <c r="L373">
        <f t="shared" si="11"/>
        <v>8100</v>
      </c>
    </row>
    <row r="374" spans="1:12" x14ac:dyDescent="0.3">
      <c r="A374" s="8" t="s">
        <v>43</v>
      </c>
      <c r="B374" s="8" t="s">
        <v>44</v>
      </c>
      <c r="C374" s="8" t="s">
        <v>40</v>
      </c>
      <c r="D374" s="8">
        <v>40</v>
      </c>
      <c r="E374" s="8" t="s">
        <v>45</v>
      </c>
      <c r="F374" t="s">
        <v>42</v>
      </c>
      <c r="G374" s="8">
        <v>5000</v>
      </c>
      <c r="H374" s="7">
        <v>46175</v>
      </c>
      <c r="I374" s="9">
        <v>270</v>
      </c>
      <c r="J374" s="31">
        <f t="shared" si="10"/>
        <v>46174</v>
      </c>
      <c r="K374" s="31">
        <f>Table14[[#This Row],[week first day]]-7</f>
        <v>46167</v>
      </c>
      <c r="L374">
        <f t="shared" si="11"/>
        <v>8100</v>
      </c>
    </row>
    <row r="375" spans="1:12" x14ac:dyDescent="0.3">
      <c r="A375" s="8" t="s">
        <v>43</v>
      </c>
      <c r="B375" s="8" t="s">
        <v>44</v>
      </c>
      <c r="C375" s="8" t="s">
        <v>40</v>
      </c>
      <c r="D375" s="8">
        <v>40</v>
      </c>
      <c r="E375" s="8" t="s">
        <v>45</v>
      </c>
      <c r="F375" t="s">
        <v>42</v>
      </c>
      <c r="G375" s="8">
        <v>5000</v>
      </c>
      <c r="H375" s="7">
        <v>46175</v>
      </c>
      <c r="I375" s="9">
        <v>270</v>
      </c>
      <c r="J375" s="31">
        <f t="shared" si="10"/>
        <v>46174</v>
      </c>
      <c r="K375" s="31">
        <f>Table14[[#This Row],[week first day]]-7</f>
        <v>46167</v>
      </c>
      <c r="L375">
        <f t="shared" si="11"/>
        <v>8100</v>
      </c>
    </row>
    <row r="376" spans="1:12" x14ac:dyDescent="0.3">
      <c r="A376" s="8" t="s">
        <v>43</v>
      </c>
      <c r="B376" s="8" t="s">
        <v>44</v>
      </c>
      <c r="C376" s="8" t="s">
        <v>40</v>
      </c>
      <c r="D376" s="8">
        <v>40</v>
      </c>
      <c r="E376" s="8" t="s">
        <v>45</v>
      </c>
      <c r="F376" t="s">
        <v>42</v>
      </c>
      <c r="G376" s="8">
        <v>5000</v>
      </c>
      <c r="H376" s="7">
        <v>46175</v>
      </c>
      <c r="I376" s="9">
        <v>270</v>
      </c>
      <c r="J376" s="31">
        <f t="shared" si="10"/>
        <v>46174</v>
      </c>
      <c r="K376" s="31">
        <f>Table14[[#This Row],[week first day]]-7</f>
        <v>46167</v>
      </c>
      <c r="L376">
        <f t="shared" si="11"/>
        <v>8100</v>
      </c>
    </row>
    <row r="377" spans="1:12" x14ac:dyDescent="0.3">
      <c r="A377" s="8" t="s">
        <v>43</v>
      </c>
      <c r="B377" s="8" t="s">
        <v>44</v>
      </c>
      <c r="C377" s="8" t="s">
        <v>40</v>
      </c>
      <c r="D377" s="8">
        <v>40</v>
      </c>
      <c r="E377" s="8" t="s">
        <v>45</v>
      </c>
      <c r="F377" t="s">
        <v>42</v>
      </c>
      <c r="G377" s="8">
        <v>5000</v>
      </c>
      <c r="H377" s="7">
        <v>46175</v>
      </c>
      <c r="I377" s="9">
        <v>270</v>
      </c>
      <c r="J377" s="31">
        <f t="shared" si="10"/>
        <v>46174</v>
      </c>
      <c r="K377" s="31">
        <f>Table14[[#This Row],[week first day]]-7</f>
        <v>46167</v>
      </c>
      <c r="L377">
        <f t="shared" si="11"/>
        <v>8100</v>
      </c>
    </row>
    <row r="378" spans="1:12" x14ac:dyDescent="0.3">
      <c r="A378" s="8" t="s">
        <v>43</v>
      </c>
      <c r="B378" s="8" t="s">
        <v>44</v>
      </c>
      <c r="C378" s="8" t="s">
        <v>40</v>
      </c>
      <c r="D378" s="8">
        <v>40</v>
      </c>
      <c r="E378" s="8" t="s">
        <v>45</v>
      </c>
      <c r="F378" t="s">
        <v>42</v>
      </c>
      <c r="G378" s="8">
        <v>5000</v>
      </c>
      <c r="H378" s="7">
        <v>46175</v>
      </c>
      <c r="I378" s="9">
        <v>270</v>
      </c>
      <c r="J378" s="31">
        <f t="shared" si="10"/>
        <v>46174</v>
      </c>
      <c r="K378" s="31">
        <f>Table14[[#This Row],[week first day]]-7</f>
        <v>46167</v>
      </c>
      <c r="L378">
        <f t="shared" si="11"/>
        <v>8100</v>
      </c>
    </row>
    <row r="379" spans="1:12" x14ac:dyDescent="0.3">
      <c r="A379" s="8" t="s">
        <v>43</v>
      </c>
      <c r="B379" s="8" t="s">
        <v>44</v>
      </c>
      <c r="C379" s="8" t="s">
        <v>40</v>
      </c>
      <c r="D379" s="8">
        <v>40</v>
      </c>
      <c r="E379" s="8" t="s">
        <v>45</v>
      </c>
      <c r="F379" t="s">
        <v>42</v>
      </c>
      <c r="G379" s="8">
        <v>5000</v>
      </c>
      <c r="H379" s="7">
        <v>46175</v>
      </c>
      <c r="I379" s="9">
        <v>270</v>
      </c>
      <c r="J379" s="31">
        <f t="shared" si="10"/>
        <v>46174</v>
      </c>
      <c r="K379" s="31">
        <f>Table14[[#This Row],[week first day]]-7</f>
        <v>46167</v>
      </c>
      <c r="L379">
        <f t="shared" si="11"/>
        <v>8100</v>
      </c>
    </row>
    <row r="380" spans="1:12" x14ac:dyDescent="0.3">
      <c r="A380" s="8" t="s">
        <v>43</v>
      </c>
      <c r="B380" s="8" t="s">
        <v>44</v>
      </c>
      <c r="C380" s="8" t="s">
        <v>40</v>
      </c>
      <c r="D380" s="8">
        <v>40</v>
      </c>
      <c r="E380" s="8" t="s">
        <v>45</v>
      </c>
      <c r="F380" t="s">
        <v>42</v>
      </c>
      <c r="G380" s="8">
        <v>5000</v>
      </c>
      <c r="H380" s="7">
        <v>46175</v>
      </c>
      <c r="I380" s="9">
        <v>270</v>
      </c>
      <c r="J380" s="31">
        <f t="shared" si="10"/>
        <v>46174</v>
      </c>
      <c r="K380" s="31">
        <f>Table14[[#This Row],[week first day]]-7</f>
        <v>46167</v>
      </c>
      <c r="L380">
        <f t="shared" si="11"/>
        <v>8100</v>
      </c>
    </row>
    <row r="381" spans="1:12" x14ac:dyDescent="0.3">
      <c r="A381" s="8" t="s">
        <v>43</v>
      </c>
      <c r="B381" s="8" t="s">
        <v>44</v>
      </c>
      <c r="C381" s="8" t="s">
        <v>40</v>
      </c>
      <c r="D381" s="8">
        <v>40</v>
      </c>
      <c r="E381" s="8" t="s">
        <v>45</v>
      </c>
      <c r="F381" t="s">
        <v>42</v>
      </c>
      <c r="G381" s="8">
        <v>5000</v>
      </c>
      <c r="H381" s="7">
        <v>46183</v>
      </c>
      <c r="I381" s="9">
        <v>228</v>
      </c>
      <c r="J381" s="31">
        <f t="shared" si="10"/>
        <v>46181</v>
      </c>
      <c r="K381" s="31">
        <f>Table14[[#This Row],[week first day]]-7</f>
        <v>46174</v>
      </c>
      <c r="L381">
        <f t="shared" si="11"/>
        <v>1001</v>
      </c>
    </row>
    <row r="382" spans="1:12" x14ac:dyDescent="0.3">
      <c r="A382" s="8" t="s">
        <v>43</v>
      </c>
      <c r="B382" s="8" t="s">
        <v>44</v>
      </c>
      <c r="C382" s="8" t="s">
        <v>40</v>
      </c>
      <c r="D382" s="8">
        <v>40</v>
      </c>
      <c r="E382" s="8" t="s">
        <v>45</v>
      </c>
      <c r="F382" t="s">
        <v>42</v>
      </c>
      <c r="G382" s="8">
        <v>5000</v>
      </c>
      <c r="H382" s="7">
        <v>46183</v>
      </c>
      <c r="I382" s="9">
        <v>270</v>
      </c>
      <c r="J382" s="31">
        <f t="shared" si="10"/>
        <v>46181</v>
      </c>
      <c r="K382" s="31">
        <f>Table14[[#This Row],[week first day]]-7</f>
        <v>46174</v>
      </c>
      <c r="L382">
        <f t="shared" si="11"/>
        <v>1001</v>
      </c>
    </row>
    <row r="383" spans="1:12" x14ac:dyDescent="0.3">
      <c r="A383" s="8" t="s">
        <v>43</v>
      </c>
      <c r="B383" s="8" t="s">
        <v>44</v>
      </c>
      <c r="C383" s="8" t="s">
        <v>40</v>
      </c>
      <c r="D383" s="8">
        <v>40</v>
      </c>
      <c r="E383" s="8" t="s">
        <v>45</v>
      </c>
      <c r="F383" t="s">
        <v>42</v>
      </c>
      <c r="G383" s="8">
        <v>5000</v>
      </c>
      <c r="H383" s="7">
        <v>46183</v>
      </c>
      <c r="I383" s="9">
        <v>270</v>
      </c>
      <c r="J383" s="31">
        <f t="shared" si="10"/>
        <v>46181</v>
      </c>
      <c r="K383" s="31">
        <f>Table14[[#This Row],[week first day]]-7</f>
        <v>46174</v>
      </c>
      <c r="L383">
        <f t="shared" si="11"/>
        <v>1001</v>
      </c>
    </row>
    <row r="384" spans="1:12" x14ac:dyDescent="0.3">
      <c r="A384" s="8" t="s">
        <v>43</v>
      </c>
      <c r="B384" s="8" t="s">
        <v>44</v>
      </c>
      <c r="C384" s="8" t="s">
        <v>40</v>
      </c>
      <c r="D384" s="8">
        <v>40</v>
      </c>
      <c r="E384" s="8" t="s">
        <v>45</v>
      </c>
      <c r="F384" t="s">
        <v>42</v>
      </c>
      <c r="G384" s="8">
        <v>5000</v>
      </c>
      <c r="H384" s="7">
        <v>46183</v>
      </c>
      <c r="I384" s="9">
        <v>233</v>
      </c>
      <c r="J384" s="31">
        <f t="shared" si="10"/>
        <v>46181</v>
      </c>
      <c r="K384" s="31">
        <f>Table14[[#This Row],[week first day]]-7</f>
        <v>46174</v>
      </c>
      <c r="L384">
        <f t="shared" si="11"/>
        <v>1001</v>
      </c>
    </row>
    <row r="385" spans="1:12" x14ac:dyDescent="0.3">
      <c r="A385" s="8" t="s">
        <v>43</v>
      </c>
      <c r="B385" s="8" t="s">
        <v>44</v>
      </c>
      <c r="C385" s="8" t="s">
        <v>40</v>
      </c>
      <c r="D385" s="8">
        <v>40</v>
      </c>
      <c r="E385" s="8" t="s">
        <v>45</v>
      </c>
      <c r="F385" t="s">
        <v>42</v>
      </c>
      <c r="G385" s="8">
        <v>5000</v>
      </c>
      <c r="H385" s="7">
        <v>46190</v>
      </c>
      <c r="I385" s="9">
        <v>270</v>
      </c>
      <c r="J385" s="31">
        <f t="shared" si="10"/>
        <v>46188</v>
      </c>
      <c r="K385" s="31">
        <f>Table14[[#This Row],[week first day]]-7</f>
        <v>46181</v>
      </c>
      <c r="L385">
        <f t="shared" si="11"/>
        <v>2471</v>
      </c>
    </row>
    <row r="386" spans="1:12" x14ac:dyDescent="0.3">
      <c r="A386" s="8" t="s">
        <v>43</v>
      </c>
      <c r="B386" s="8" t="s">
        <v>44</v>
      </c>
      <c r="C386" s="8" t="s">
        <v>40</v>
      </c>
      <c r="D386" s="8">
        <v>40</v>
      </c>
      <c r="E386" s="8" t="s">
        <v>45</v>
      </c>
      <c r="F386" t="s">
        <v>42</v>
      </c>
      <c r="G386" s="8">
        <v>5000</v>
      </c>
      <c r="H386" s="7">
        <v>46190</v>
      </c>
      <c r="I386" s="9">
        <v>192</v>
      </c>
      <c r="J386" s="31">
        <f t="shared" ref="J386:J449" si="12">$M$1+7*INT((H386-$M$1)/7)</f>
        <v>46188</v>
      </c>
      <c r="K386" s="31">
        <f>Table14[[#This Row],[week first day]]-7</f>
        <v>46181</v>
      </c>
      <c r="L386">
        <f t="shared" si="11"/>
        <v>2471</v>
      </c>
    </row>
    <row r="387" spans="1:12" x14ac:dyDescent="0.3">
      <c r="A387" s="8" t="s">
        <v>43</v>
      </c>
      <c r="B387" s="8" t="s">
        <v>44</v>
      </c>
      <c r="C387" s="8" t="s">
        <v>40</v>
      </c>
      <c r="D387" s="8">
        <v>40</v>
      </c>
      <c r="E387" s="8" t="s">
        <v>45</v>
      </c>
      <c r="F387" t="s">
        <v>42</v>
      </c>
      <c r="G387" s="8">
        <v>5000</v>
      </c>
      <c r="H387" s="7">
        <v>46190</v>
      </c>
      <c r="I387" s="9">
        <v>204</v>
      </c>
      <c r="J387" s="31">
        <f t="shared" si="12"/>
        <v>46188</v>
      </c>
      <c r="K387" s="31">
        <f>Table14[[#This Row],[week first day]]-7</f>
        <v>46181</v>
      </c>
      <c r="L387">
        <f t="shared" ref="L387:L450" si="13">SUMIFS($I:$I,$A:$A,A387,J:J,J387)</f>
        <v>2471</v>
      </c>
    </row>
    <row r="388" spans="1:12" x14ac:dyDescent="0.3">
      <c r="A388" s="8" t="s">
        <v>43</v>
      </c>
      <c r="B388" s="8" t="s">
        <v>44</v>
      </c>
      <c r="C388" s="8" t="s">
        <v>40</v>
      </c>
      <c r="D388" s="8">
        <v>40</v>
      </c>
      <c r="E388" s="8" t="s">
        <v>45</v>
      </c>
      <c r="F388" t="s">
        <v>42</v>
      </c>
      <c r="G388" s="8">
        <v>5000</v>
      </c>
      <c r="H388" s="7">
        <v>46190</v>
      </c>
      <c r="I388" s="9">
        <v>270</v>
      </c>
      <c r="J388" s="31">
        <f t="shared" si="12"/>
        <v>46188</v>
      </c>
      <c r="K388" s="31">
        <f>Table14[[#This Row],[week first day]]-7</f>
        <v>46181</v>
      </c>
      <c r="L388">
        <f t="shared" si="13"/>
        <v>2471</v>
      </c>
    </row>
    <row r="389" spans="1:12" x14ac:dyDescent="0.3">
      <c r="A389" s="8" t="s">
        <v>43</v>
      </c>
      <c r="B389" s="8" t="s">
        <v>44</v>
      </c>
      <c r="C389" s="8" t="s">
        <v>40</v>
      </c>
      <c r="D389" s="8">
        <v>40</v>
      </c>
      <c r="E389" s="8" t="s">
        <v>45</v>
      </c>
      <c r="F389" t="s">
        <v>42</v>
      </c>
      <c r="G389" s="8">
        <v>5000</v>
      </c>
      <c r="H389" s="7">
        <v>46190</v>
      </c>
      <c r="I389" s="9">
        <v>234</v>
      </c>
      <c r="J389" s="31">
        <f t="shared" si="12"/>
        <v>46188</v>
      </c>
      <c r="K389" s="31">
        <f>Table14[[#This Row],[week first day]]-7</f>
        <v>46181</v>
      </c>
      <c r="L389">
        <f t="shared" si="13"/>
        <v>2471</v>
      </c>
    </row>
    <row r="390" spans="1:12" x14ac:dyDescent="0.3">
      <c r="A390" s="8" t="s">
        <v>43</v>
      </c>
      <c r="B390" s="8" t="s">
        <v>44</v>
      </c>
      <c r="C390" s="8" t="s">
        <v>40</v>
      </c>
      <c r="D390" s="8">
        <v>40</v>
      </c>
      <c r="E390" s="8" t="s">
        <v>45</v>
      </c>
      <c r="F390" t="s">
        <v>42</v>
      </c>
      <c r="G390" s="8">
        <v>5000</v>
      </c>
      <c r="H390" s="7">
        <v>46190</v>
      </c>
      <c r="I390" s="9">
        <v>270</v>
      </c>
      <c r="J390" s="31">
        <f t="shared" si="12"/>
        <v>46188</v>
      </c>
      <c r="K390" s="31">
        <f>Table14[[#This Row],[week first day]]-7</f>
        <v>46181</v>
      </c>
      <c r="L390">
        <f t="shared" si="13"/>
        <v>2471</v>
      </c>
    </row>
    <row r="391" spans="1:12" x14ac:dyDescent="0.3">
      <c r="A391" s="8" t="s">
        <v>43</v>
      </c>
      <c r="B391" s="8" t="s">
        <v>44</v>
      </c>
      <c r="C391" s="8" t="s">
        <v>40</v>
      </c>
      <c r="D391" s="8">
        <v>40</v>
      </c>
      <c r="E391" s="8" t="s">
        <v>45</v>
      </c>
      <c r="F391" t="s">
        <v>42</v>
      </c>
      <c r="G391" s="8">
        <v>5000</v>
      </c>
      <c r="H391" s="7">
        <v>46190</v>
      </c>
      <c r="I391" s="9">
        <v>179</v>
      </c>
      <c r="J391" s="31">
        <f t="shared" si="12"/>
        <v>46188</v>
      </c>
      <c r="K391" s="31">
        <f>Table14[[#This Row],[week first day]]-7</f>
        <v>46181</v>
      </c>
      <c r="L391">
        <f t="shared" si="13"/>
        <v>2471</v>
      </c>
    </row>
    <row r="392" spans="1:12" x14ac:dyDescent="0.3">
      <c r="A392" s="8" t="s">
        <v>43</v>
      </c>
      <c r="B392" s="8" t="s">
        <v>44</v>
      </c>
      <c r="C392" s="8" t="s">
        <v>40</v>
      </c>
      <c r="D392" s="8">
        <v>40</v>
      </c>
      <c r="E392" s="8" t="s">
        <v>45</v>
      </c>
      <c r="F392" t="s">
        <v>42</v>
      </c>
      <c r="G392" s="8">
        <v>5000</v>
      </c>
      <c r="H392" s="7">
        <v>46190</v>
      </c>
      <c r="I392" s="9">
        <v>270</v>
      </c>
      <c r="J392" s="31">
        <f t="shared" si="12"/>
        <v>46188</v>
      </c>
      <c r="K392" s="31">
        <f>Table14[[#This Row],[week first day]]-7</f>
        <v>46181</v>
      </c>
      <c r="L392">
        <f t="shared" si="13"/>
        <v>2471</v>
      </c>
    </row>
    <row r="393" spans="1:12" x14ac:dyDescent="0.3">
      <c r="A393" s="8" t="s">
        <v>43</v>
      </c>
      <c r="B393" s="8" t="s">
        <v>44</v>
      </c>
      <c r="C393" s="8" t="s">
        <v>40</v>
      </c>
      <c r="D393" s="8">
        <v>40</v>
      </c>
      <c r="E393" s="8" t="s">
        <v>45</v>
      </c>
      <c r="F393" t="s">
        <v>42</v>
      </c>
      <c r="G393" s="8">
        <v>5000</v>
      </c>
      <c r="H393" s="7">
        <v>46192</v>
      </c>
      <c r="I393" s="9">
        <v>582</v>
      </c>
      <c r="J393" s="31">
        <f t="shared" si="12"/>
        <v>46188</v>
      </c>
      <c r="K393" s="31">
        <f>Table14[[#This Row],[week first day]]-7</f>
        <v>46181</v>
      </c>
      <c r="L393">
        <f t="shared" si="13"/>
        <v>2471</v>
      </c>
    </row>
    <row r="394" spans="1:12" x14ac:dyDescent="0.3">
      <c r="A394" s="8" t="s">
        <v>43</v>
      </c>
      <c r="B394" s="8" t="s">
        <v>44</v>
      </c>
      <c r="C394" s="8" t="s">
        <v>40</v>
      </c>
      <c r="D394" s="8">
        <v>40</v>
      </c>
      <c r="E394" s="8" t="s">
        <v>45</v>
      </c>
      <c r="F394" t="s">
        <v>42</v>
      </c>
      <c r="G394" s="8">
        <v>5000</v>
      </c>
      <c r="H394" s="7">
        <v>46197</v>
      </c>
      <c r="I394" s="9">
        <v>228</v>
      </c>
      <c r="J394" s="31">
        <f t="shared" si="12"/>
        <v>46195</v>
      </c>
      <c r="K394" s="31">
        <f>Table14[[#This Row],[week first day]]-7</f>
        <v>46188</v>
      </c>
      <c r="L394">
        <f t="shared" si="13"/>
        <v>3458</v>
      </c>
    </row>
    <row r="395" spans="1:12" x14ac:dyDescent="0.3">
      <c r="A395" s="8" t="s">
        <v>43</v>
      </c>
      <c r="B395" s="8" t="s">
        <v>44</v>
      </c>
      <c r="C395" s="8" t="s">
        <v>40</v>
      </c>
      <c r="D395" s="8">
        <v>40</v>
      </c>
      <c r="E395" s="8" t="s">
        <v>45</v>
      </c>
      <c r="F395" t="s">
        <v>42</v>
      </c>
      <c r="G395" s="8">
        <v>5000</v>
      </c>
      <c r="H395" s="7">
        <v>46197</v>
      </c>
      <c r="I395" s="9">
        <v>234</v>
      </c>
      <c r="J395" s="31">
        <f t="shared" si="12"/>
        <v>46195</v>
      </c>
      <c r="K395" s="31">
        <f>Table14[[#This Row],[week first day]]-7</f>
        <v>46188</v>
      </c>
      <c r="L395">
        <f t="shared" si="13"/>
        <v>3458</v>
      </c>
    </row>
    <row r="396" spans="1:12" x14ac:dyDescent="0.3">
      <c r="A396" s="8" t="s">
        <v>43</v>
      </c>
      <c r="B396" s="8" t="s">
        <v>44</v>
      </c>
      <c r="C396" s="8" t="s">
        <v>40</v>
      </c>
      <c r="D396" s="8">
        <v>40</v>
      </c>
      <c r="E396" s="8" t="s">
        <v>45</v>
      </c>
      <c r="F396" t="s">
        <v>42</v>
      </c>
      <c r="G396" s="8">
        <v>5000</v>
      </c>
      <c r="H396" s="7">
        <v>46197</v>
      </c>
      <c r="I396" s="9">
        <v>228</v>
      </c>
      <c r="J396" s="31">
        <f t="shared" si="12"/>
        <v>46195</v>
      </c>
      <c r="K396" s="31">
        <f>Table14[[#This Row],[week first day]]-7</f>
        <v>46188</v>
      </c>
      <c r="L396">
        <f t="shared" si="13"/>
        <v>3458</v>
      </c>
    </row>
    <row r="397" spans="1:12" x14ac:dyDescent="0.3">
      <c r="A397" s="8" t="s">
        <v>43</v>
      </c>
      <c r="B397" s="8" t="s">
        <v>44</v>
      </c>
      <c r="C397" s="8" t="s">
        <v>40</v>
      </c>
      <c r="D397" s="8">
        <v>40</v>
      </c>
      <c r="E397" s="8" t="s">
        <v>45</v>
      </c>
      <c r="F397" t="s">
        <v>42</v>
      </c>
      <c r="G397" s="8">
        <v>5000</v>
      </c>
      <c r="H397" s="7">
        <v>46197</v>
      </c>
      <c r="I397" s="9">
        <v>228</v>
      </c>
      <c r="J397" s="31">
        <f t="shared" si="12"/>
        <v>46195</v>
      </c>
      <c r="K397" s="31">
        <f>Table14[[#This Row],[week first day]]-7</f>
        <v>46188</v>
      </c>
      <c r="L397">
        <f t="shared" si="13"/>
        <v>3458</v>
      </c>
    </row>
    <row r="398" spans="1:12" x14ac:dyDescent="0.3">
      <c r="A398" s="8" t="s">
        <v>43</v>
      </c>
      <c r="B398" s="8" t="s">
        <v>44</v>
      </c>
      <c r="C398" s="8" t="s">
        <v>40</v>
      </c>
      <c r="D398" s="8">
        <v>40</v>
      </c>
      <c r="E398" s="8" t="s">
        <v>45</v>
      </c>
      <c r="F398" t="s">
        <v>42</v>
      </c>
      <c r="G398" s="8">
        <v>5000</v>
      </c>
      <c r="H398" s="7">
        <v>46199</v>
      </c>
      <c r="I398" s="9">
        <v>2540</v>
      </c>
      <c r="J398" s="31">
        <f t="shared" si="12"/>
        <v>46195</v>
      </c>
      <c r="K398" s="31">
        <f>Table14[[#This Row],[week first day]]-7</f>
        <v>46188</v>
      </c>
      <c r="L398">
        <f t="shared" si="13"/>
        <v>3458</v>
      </c>
    </row>
    <row r="399" spans="1:12" x14ac:dyDescent="0.3">
      <c r="A399" s="8" t="s">
        <v>43</v>
      </c>
      <c r="B399" s="8" t="s">
        <v>44</v>
      </c>
      <c r="C399" s="8" t="s">
        <v>40</v>
      </c>
      <c r="D399" s="8">
        <v>40</v>
      </c>
      <c r="E399" s="8" t="s">
        <v>45</v>
      </c>
      <c r="F399" t="s">
        <v>42</v>
      </c>
      <c r="G399" s="8">
        <v>5000</v>
      </c>
      <c r="H399" s="7">
        <v>46206</v>
      </c>
      <c r="I399" s="9">
        <v>500</v>
      </c>
      <c r="J399" s="31">
        <f t="shared" si="12"/>
        <v>46202</v>
      </c>
      <c r="K399" s="31">
        <f>Table14[[#This Row],[week first day]]-7</f>
        <v>46195</v>
      </c>
      <c r="L399">
        <f t="shared" si="13"/>
        <v>500</v>
      </c>
    </row>
    <row r="400" spans="1:12" x14ac:dyDescent="0.3">
      <c r="A400" s="8" t="s">
        <v>43</v>
      </c>
      <c r="B400" s="8" t="s">
        <v>44</v>
      </c>
      <c r="C400" s="8" t="s">
        <v>40</v>
      </c>
      <c r="D400" s="8">
        <v>40</v>
      </c>
      <c r="E400" s="8" t="s">
        <v>45</v>
      </c>
      <c r="F400" t="s">
        <v>42</v>
      </c>
      <c r="G400" s="8">
        <v>5000</v>
      </c>
      <c r="H400" s="7">
        <v>46213</v>
      </c>
      <c r="I400" s="9">
        <v>500</v>
      </c>
      <c r="J400" s="31">
        <f t="shared" si="12"/>
        <v>46209</v>
      </c>
      <c r="K400" s="31">
        <f>Table14[[#This Row],[week first day]]-7</f>
        <v>46202</v>
      </c>
      <c r="L400">
        <f t="shared" si="13"/>
        <v>500</v>
      </c>
    </row>
    <row r="401" spans="1:12" x14ac:dyDescent="0.3">
      <c r="A401" s="8" t="s">
        <v>43</v>
      </c>
      <c r="B401" s="8" t="s">
        <v>44</v>
      </c>
      <c r="C401" s="8" t="s">
        <v>40</v>
      </c>
      <c r="D401" s="8">
        <v>40</v>
      </c>
      <c r="E401" s="8" t="s">
        <v>45</v>
      </c>
      <c r="F401" t="s">
        <v>42</v>
      </c>
      <c r="G401" s="8">
        <v>5000</v>
      </c>
      <c r="H401" s="7">
        <v>46220</v>
      </c>
      <c r="I401" s="9">
        <v>500</v>
      </c>
      <c r="J401" s="31">
        <f t="shared" si="12"/>
        <v>46216</v>
      </c>
      <c r="K401" s="31">
        <f>Table14[[#This Row],[week first day]]-7</f>
        <v>46209</v>
      </c>
      <c r="L401">
        <f t="shared" si="13"/>
        <v>500</v>
      </c>
    </row>
    <row r="402" spans="1:12" x14ac:dyDescent="0.3">
      <c r="A402" s="8" t="s">
        <v>43</v>
      </c>
      <c r="B402" s="8" t="s">
        <v>44</v>
      </c>
      <c r="C402" s="8" t="s">
        <v>40</v>
      </c>
      <c r="D402" s="8">
        <v>40</v>
      </c>
      <c r="E402" s="8" t="s">
        <v>45</v>
      </c>
      <c r="F402" t="s">
        <v>42</v>
      </c>
      <c r="G402" s="8">
        <v>5000</v>
      </c>
      <c r="H402" s="7">
        <v>46227</v>
      </c>
      <c r="I402" s="9">
        <v>500</v>
      </c>
      <c r="J402" s="31">
        <f t="shared" si="12"/>
        <v>46223</v>
      </c>
      <c r="K402" s="31">
        <f>Table14[[#This Row],[week first day]]-7</f>
        <v>46216</v>
      </c>
      <c r="L402">
        <f t="shared" si="13"/>
        <v>500</v>
      </c>
    </row>
    <row r="403" spans="1:12" x14ac:dyDescent="0.3">
      <c r="A403" s="8" t="s">
        <v>43</v>
      </c>
      <c r="B403" s="8" t="s">
        <v>44</v>
      </c>
      <c r="C403" s="8" t="s">
        <v>40</v>
      </c>
      <c r="D403" s="8">
        <v>40</v>
      </c>
      <c r="E403" s="8" t="s">
        <v>45</v>
      </c>
      <c r="F403" t="s">
        <v>42</v>
      </c>
      <c r="G403" s="8">
        <v>5000</v>
      </c>
      <c r="H403" s="7">
        <v>46248</v>
      </c>
      <c r="I403" s="9">
        <v>400</v>
      </c>
      <c r="J403" s="31">
        <f t="shared" si="12"/>
        <v>46244</v>
      </c>
      <c r="K403" s="31">
        <f>Table14[[#This Row],[week first day]]-7</f>
        <v>46237</v>
      </c>
      <c r="L403">
        <f t="shared" si="13"/>
        <v>400</v>
      </c>
    </row>
    <row r="404" spans="1:12" x14ac:dyDescent="0.3">
      <c r="A404" s="8" t="s">
        <v>43</v>
      </c>
      <c r="B404" s="8" t="s">
        <v>44</v>
      </c>
      <c r="C404" s="8" t="s">
        <v>40</v>
      </c>
      <c r="D404" s="8">
        <v>40</v>
      </c>
      <c r="E404" s="8" t="s">
        <v>45</v>
      </c>
      <c r="F404" t="s">
        <v>42</v>
      </c>
      <c r="G404" s="8">
        <v>5000</v>
      </c>
      <c r="H404" s="7">
        <v>46269</v>
      </c>
      <c r="I404" s="9">
        <v>400</v>
      </c>
      <c r="J404" s="31">
        <f t="shared" si="12"/>
        <v>46265</v>
      </c>
      <c r="K404" s="31">
        <f>Table14[[#This Row],[week first day]]-7</f>
        <v>46258</v>
      </c>
      <c r="L404">
        <f t="shared" si="13"/>
        <v>400</v>
      </c>
    </row>
    <row r="405" spans="1:12" x14ac:dyDescent="0.3">
      <c r="A405" s="8" t="s">
        <v>43</v>
      </c>
      <c r="B405" s="8" t="s">
        <v>44</v>
      </c>
      <c r="C405" s="8" t="s">
        <v>40</v>
      </c>
      <c r="D405" s="8">
        <v>40</v>
      </c>
      <c r="E405" s="8" t="s">
        <v>45</v>
      </c>
      <c r="F405" t="s">
        <v>42</v>
      </c>
      <c r="G405" s="8">
        <v>5000</v>
      </c>
      <c r="H405" s="7">
        <v>46283</v>
      </c>
      <c r="I405" s="9">
        <v>400</v>
      </c>
      <c r="J405" s="31">
        <f t="shared" si="12"/>
        <v>46279</v>
      </c>
      <c r="K405" s="31">
        <f>Table14[[#This Row],[week first day]]-7</f>
        <v>46272</v>
      </c>
      <c r="L405">
        <f t="shared" si="13"/>
        <v>400</v>
      </c>
    </row>
    <row r="406" spans="1:12" x14ac:dyDescent="0.3">
      <c r="A406" s="8" t="s">
        <v>43</v>
      </c>
      <c r="B406" s="8" t="s">
        <v>44</v>
      </c>
      <c r="C406" s="8" t="s">
        <v>40</v>
      </c>
      <c r="D406" s="8">
        <v>40</v>
      </c>
      <c r="E406" s="8" t="s">
        <v>45</v>
      </c>
      <c r="F406" t="s">
        <v>42</v>
      </c>
      <c r="G406" s="8">
        <v>5000</v>
      </c>
      <c r="H406" s="7">
        <v>46297</v>
      </c>
      <c r="I406" s="9">
        <v>360</v>
      </c>
      <c r="J406" s="31">
        <f t="shared" si="12"/>
        <v>46293</v>
      </c>
      <c r="K406" s="31">
        <f>Table14[[#This Row],[week first day]]-7</f>
        <v>46286</v>
      </c>
      <c r="L406">
        <f t="shared" si="13"/>
        <v>360</v>
      </c>
    </row>
    <row r="407" spans="1:12" x14ac:dyDescent="0.3">
      <c r="A407" s="8" t="s">
        <v>43</v>
      </c>
      <c r="B407" s="8" t="s">
        <v>44</v>
      </c>
      <c r="C407" s="8" t="s">
        <v>40</v>
      </c>
      <c r="D407" s="8">
        <v>40</v>
      </c>
      <c r="E407" s="8" t="s">
        <v>45</v>
      </c>
      <c r="F407" t="s">
        <v>42</v>
      </c>
      <c r="G407" s="8">
        <v>5000</v>
      </c>
      <c r="H407" s="7">
        <v>46304</v>
      </c>
      <c r="I407" s="9">
        <v>360</v>
      </c>
      <c r="J407" s="31">
        <f t="shared" si="12"/>
        <v>46300</v>
      </c>
      <c r="K407" s="31">
        <f>Table14[[#This Row],[week first day]]-7</f>
        <v>46293</v>
      </c>
      <c r="L407">
        <f t="shared" si="13"/>
        <v>360</v>
      </c>
    </row>
    <row r="408" spans="1:12" x14ac:dyDescent="0.3">
      <c r="A408" s="8" t="s">
        <v>43</v>
      </c>
      <c r="B408" s="8" t="s">
        <v>44</v>
      </c>
      <c r="C408" s="8" t="s">
        <v>40</v>
      </c>
      <c r="D408" s="8">
        <v>40</v>
      </c>
      <c r="E408" s="8" t="s">
        <v>45</v>
      </c>
      <c r="F408" t="s">
        <v>42</v>
      </c>
      <c r="G408" s="8">
        <v>5000</v>
      </c>
      <c r="H408" s="7">
        <v>46311</v>
      </c>
      <c r="I408" s="9">
        <v>360</v>
      </c>
      <c r="J408" s="31">
        <f t="shared" si="12"/>
        <v>46307</v>
      </c>
      <c r="K408" s="31">
        <f>Table14[[#This Row],[week first day]]-7</f>
        <v>46300</v>
      </c>
      <c r="L408">
        <f t="shared" si="13"/>
        <v>360</v>
      </c>
    </row>
    <row r="409" spans="1:12" x14ac:dyDescent="0.3">
      <c r="A409" s="8" t="s">
        <v>43</v>
      </c>
      <c r="B409" s="8" t="s">
        <v>44</v>
      </c>
      <c r="C409" s="8" t="s">
        <v>40</v>
      </c>
      <c r="D409" s="8">
        <v>40</v>
      </c>
      <c r="E409" s="8" t="s">
        <v>45</v>
      </c>
      <c r="F409" t="s">
        <v>42</v>
      </c>
      <c r="G409" s="8">
        <v>5000</v>
      </c>
      <c r="H409" s="7">
        <v>46318</v>
      </c>
      <c r="I409" s="9">
        <v>360</v>
      </c>
      <c r="J409" s="31">
        <f t="shared" si="12"/>
        <v>46314</v>
      </c>
      <c r="K409" s="31">
        <f>Table14[[#This Row],[week first day]]-7</f>
        <v>46307</v>
      </c>
      <c r="L409">
        <f t="shared" si="13"/>
        <v>360</v>
      </c>
    </row>
    <row r="410" spans="1:12" x14ac:dyDescent="0.3">
      <c r="A410" s="8" t="s">
        <v>43</v>
      </c>
      <c r="B410" s="8" t="s">
        <v>44</v>
      </c>
      <c r="C410" s="8" t="s">
        <v>40</v>
      </c>
      <c r="D410" s="8">
        <v>40</v>
      </c>
      <c r="E410" s="8" t="s">
        <v>45</v>
      </c>
      <c r="F410" t="s">
        <v>42</v>
      </c>
      <c r="G410" s="8">
        <v>5000</v>
      </c>
      <c r="H410" s="7">
        <v>46325</v>
      </c>
      <c r="I410" s="9">
        <v>360</v>
      </c>
      <c r="J410" s="31">
        <f t="shared" si="12"/>
        <v>46321</v>
      </c>
      <c r="K410" s="31">
        <f>Table14[[#This Row],[week first day]]-7</f>
        <v>46314</v>
      </c>
      <c r="L410">
        <f t="shared" si="13"/>
        <v>360</v>
      </c>
    </row>
    <row r="411" spans="1:12" x14ac:dyDescent="0.3">
      <c r="A411" s="8" t="s">
        <v>43</v>
      </c>
      <c r="B411" s="8" t="s">
        <v>44</v>
      </c>
      <c r="C411" s="8" t="s">
        <v>40</v>
      </c>
      <c r="D411" s="8">
        <v>40</v>
      </c>
      <c r="E411" s="8" t="s">
        <v>45</v>
      </c>
      <c r="F411" t="s">
        <v>42</v>
      </c>
      <c r="G411" s="8">
        <v>5000</v>
      </c>
      <c r="H411" s="7">
        <v>46332</v>
      </c>
      <c r="I411" s="9">
        <v>1000</v>
      </c>
      <c r="J411" s="31">
        <f t="shared" si="12"/>
        <v>46328</v>
      </c>
      <c r="K411" s="31">
        <f>Table14[[#This Row],[week first day]]-7</f>
        <v>46321</v>
      </c>
      <c r="L411">
        <f t="shared" si="13"/>
        <v>1000</v>
      </c>
    </row>
    <row r="412" spans="1:12" x14ac:dyDescent="0.3">
      <c r="A412" s="8" t="s">
        <v>43</v>
      </c>
      <c r="B412" s="8" t="s">
        <v>44</v>
      </c>
      <c r="C412" s="8" t="s">
        <v>40</v>
      </c>
      <c r="D412" s="8">
        <v>40</v>
      </c>
      <c r="E412" s="8" t="s">
        <v>45</v>
      </c>
      <c r="F412" t="s">
        <v>42</v>
      </c>
      <c r="G412" s="8">
        <v>5000</v>
      </c>
      <c r="H412" s="7">
        <v>46339</v>
      </c>
      <c r="I412" s="9">
        <v>1000</v>
      </c>
      <c r="J412" s="31">
        <f t="shared" si="12"/>
        <v>46335</v>
      </c>
      <c r="K412" s="31">
        <f>Table14[[#This Row],[week first day]]-7</f>
        <v>46328</v>
      </c>
      <c r="L412">
        <f t="shared" si="13"/>
        <v>1000</v>
      </c>
    </row>
    <row r="413" spans="1:12" x14ac:dyDescent="0.3">
      <c r="A413" s="8" t="s">
        <v>43</v>
      </c>
      <c r="B413" s="8" t="s">
        <v>44</v>
      </c>
      <c r="C413" s="8" t="s">
        <v>40</v>
      </c>
      <c r="D413" s="8">
        <v>40</v>
      </c>
      <c r="E413" s="8" t="s">
        <v>45</v>
      </c>
      <c r="F413" t="s">
        <v>42</v>
      </c>
      <c r="G413" s="8">
        <v>5000</v>
      </c>
      <c r="H413" s="7">
        <v>46346</v>
      </c>
      <c r="I413" s="9">
        <v>1000</v>
      </c>
      <c r="J413" s="31">
        <f t="shared" si="12"/>
        <v>46342</v>
      </c>
      <c r="K413" s="31">
        <f>Table14[[#This Row],[week first day]]-7</f>
        <v>46335</v>
      </c>
      <c r="L413">
        <f t="shared" si="13"/>
        <v>1000</v>
      </c>
    </row>
    <row r="414" spans="1:12" x14ac:dyDescent="0.3">
      <c r="A414" s="8" t="s">
        <v>43</v>
      </c>
      <c r="B414" s="8" t="s">
        <v>44</v>
      </c>
      <c r="C414" s="8" t="s">
        <v>40</v>
      </c>
      <c r="D414" s="8">
        <v>40</v>
      </c>
      <c r="E414" s="8" t="s">
        <v>45</v>
      </c>
      <c r="F414" t="s">
        <v>42</v>
      </c>
      <c r="G414" s="8">
        <v>5000</v>
      </c>
      <c r="H414" s="7">
        <v>46353</v>
      </c>
      <c r="I414" s="9">
        <v>1000</v>
      </c>
      <c r="J414" s="31">
        <f t="shared" si="12"/>
        <v>46349</v>
      </c>
      <c r="K414" s="31">
        <f>Table14[[#This Row],[week first day]]-7</f>
        <v>46342</v>
      </c>
      <c r="L414">
        <f t="shared" si="13"/>
        <v>1000</v>
      </c>
    </row>
    <row r="415" spans="1:12" x14ac:dyDescent="0.3">
      <c r="A415" s="8" t="s">
        <v>43</v>
      </c>
      <c r="B415" s="8" t="s">
        <v>44</v>
      </c>
      <c r="C415" s="8" t="s">
        <v>40</v>
      </c>
      <c r="D415" s="8">
        <v>40</v>
      </c>
      <c r="E415" s="8" t="s">
        <v>45</v>
      </c>
      <c r="F415" t="s">
        <v>42</v>
      </c>
      <c r="G415" s="8">
        <v>5000</v>
      </c>
      <c r="H415" s="7">
        <v>46360</v>
      </c>
      <c r="I415" s="9">
        <v>1250</v>
      </c>
      <c r="J415" s="31">
        <f t="shared" si="12"/>
        <v>46356</v>
      </c>
      <c r="K415" s="31">
        <f>Table14[[#This Row],[week first day]]-7</f>
        <v>46349</v>
      </c>
      <c r="L415">
        <f t="shared" si="13"/>
        <v>1250</v>
      </c>
    </row>
    <row r="416" spans="1:12" x14ac:dyDescent="0.3">
      <c r="A416" s="8" t="s">
        <v>43</v>
      </c>
      <c r="B416" s="8" t="s">
        <v>44</v>
      </c>
      <c r="C416" s="8" t="s">
        <v>40</v>
      </c>
      <c r="D416" s="8">
        <v>40</v>
      </c>
      <c r="E416" s="8" t="s">
        <v>45</v>
      </c>
      <c r="F416" t="s">
        <v>42</v>
      </c>
      <c r="G416" s="8">
        <v>5000</v>
      </c>
      <c r="H416" s="7">
        <v>46367</v>
      </c>
      <c r="I416" s="9">
        <v>1250</v>
      </c>
      <c r="J416" s="31">
        <f t="shared" si="12"/>
        <v>46363</v>
      </c>
      <c r="K416" s="31">
        <f>Table14[[#This Row],[week first day]]-7</f>
        <v>46356</v>
      </c>
      <c r="L416">
        <f t="shared" si="13"/>
        <v>1250</v>
      </c>
    </row>
    <row r="417" spans="1:12" x14ac:dyDescent="0.3">
      <c r="A417" s="8" t="s">
        <v>43</v>
      </c>
      <c r="B417" s="8" t="s">
        <v>44</v>
      </c>
      <c r="C417" s="8" t="s">
        <v>40</v>
      </c>
      <c r="D417" s="8">
        <v>40</v>
      </c>
      <c r="E417" s="8" t="s">
        <v>45</v>
      </c>
      <c r="F417" t="s">
        <v>42</v>
      </c>
      <c r="G417" s="8">
        <v>5000</v>
      </c>
      <c r="H417" s="7">
        <v>46374</v>
      </c>
      <c r="I417" s="9">
        <v>1250</v>
      </c>
      <c r="J417" s="31">
        <f t="shared" si="12"/>
        <v>46370</v>
      </c>
      <c r="K417" s="31">
        <f>Table14[[#This Row],[week first day]]-7</f>
        <v>46363</v>
      </c>
      <c r="L417">
        <f t="shared" si="13"/>
        <v>1250</v>
      </c>
    </row>
    <row r="418" spans="1:12" x14ac:dyDescent="0.3">
      <c r="A418" s="8" t="s">
        <v>43</v>
      </c>
      <c r="B418" s="8" t="s">
        <v>44</v>
      </c>
      <c r="C418" s="8" t="s">
        <v>40</v>
      </c>
      <c r="D418" s="8">
        <v>40</v>
      </c>
      <c r="E418" s="8" t="s">
        <v>45</v>
      </c>
      <c r="F418" t="s">
        <v>42</v>
      </c>
      <c r="G418" s="8">
        <v>5000</v>
      </c>
      <c r="H418" s="7">
        <v>46381</v>
      </c>
      <c r="I418" s="9">
        <v>1250</v>
      </c>
      <c r="J418" s="31">
        <f t="shared" si="12"/>
        <v>46377</v>
      </c>
      <c r="K418" s="31">
        <f>Table14[[#This Row],[week first day]]-7</f>
        <v>46370</v>
      </c>
      <c r="L418">
        <f t="shared" si="13"/>
        <v>1250</v>
      </c>
    </row>
    <row r="419" spans="1:12" x14ac:dyDescent="0.3">
      <c r="A419" s="8" t="s">
        <v>46</v>
      </c>
      <c r="B419" s="8" t="s">
        <v>47</v>
      </c>
      <c r="C419" s="8" t="s">
        <v>48</v>
      </c>
      <c r="D419" s="8">
        <v>30</v>
      </c>
      <c r="E419" s="8" t="s">
        <v>49</v>
      </c>
      <c r="F419" t="s">
        <v>50</v>
      </c>
      <c r="G419" s="8">
        <v>3000</v>
      </c>
      <c r="H419" s="7">
        <v>46150</v>
      </c>
      <c r="I419" s="9">
        <v>472</v>
      </c>
      <c r="J419" s="31">
        <f t="shared" si="12"/>
        <v>46146</v>
      </c>
      <c r="K419" s="31">
        <f>Table14[[#This Row],[week first day]]-7</f>
        <v>46139</v>
      </c>
      <c r="L419">
        <f t="shared" si="13"/>
        <v>472</v>
      </c>
    </row>
    <row r="420" spans="1:12" x14ac:dyDescent="0.3">
      <c r="A420" s="8" t="s">
        <v>46</v>
      </c>
      <c r="B420" s="8" t="s">
        <v>47</v>
      </c>
      <c r="C420" s="8" t="s">
        <v>48</v>
      </c>
      <c r="D420" s="8">
        <v>30</v>
      </c>
      <c r="E420" s="8" t="s">
        <v>49</v>
      </c>
      <c r="F420" t="s">
        <v>50</v>
      </c>
      <c r="G420" s="8">
        <v>3000</v>
      </c>
      <c r="H420" s="7">
        <v>46157</v>
      </c>
      <c r="I420" s="9">
        <v>300</v>
      </c>
      <c r="J420" s="31">
        <f t="shared" si="12"/>
        <v>46153</v>
      </c>
      <c r="K420" s="31">
        <f>Table14[[#This Row],[week first day]]-7</f>
        <v>46146</v>
      </c>
      <c r="L420">
        <f t="shared" si="13"/>
        <v>300</v>
      </c>
    </row>
    <row r="421" spans="1:12" x14ac:dyDescent="0.3">
      <c r="A421" s="8" t="s">
        <v>46</v>
      </c>
      <c r="B421" s="8" t="s">
        <v>47</v>
      </c>
      <c r="C421" s="8" t="s">
        <v>48</v>
      </c>
      <c r="D421" s="8">
        <v>30</v>
      </c>
      <c r="E421" s="8" t="s">
        <v>49</v>
      </c>
      <c r="F421" t="s">
        <v>50</v>
      </c>
      <c r="G421" s="8">
        <v>3000</v>
      </c>
      <c r="H421" s="7">
        <v>46164</v>
      </c>
      <c r="I421" s="9">
        <v>698</v>
      </c>
      <c r="J421" s="31">
        <f t="shared" si="12"/>
        <v>46160</v>
      </c>
      <c r="K421" s="31">
        <f>Table14[[#This Row],[week first day]]-7</f>
        <v>46153</v>
      </c>
      <c r="L421">
        <f t="shared" si="13"/>
        <v>698</v>
      </c>
    </row>
    <row r="422" spans="1:12" x14ac:dyDescent="0.3">
      <c r="A422" s="8" t="s">
        <v>46</v>
      </c>
      <c r="B422" s="8" t="s">
        <v>47</v>
      </c>
      <c r="C422" s="8" t="s">
        <v>48</v>
      </c>
      <c r="D422" s="8">
        <v>30</v>
      </c>
      <c r="E422" s="8" t="s">
        <v>49</v>
      </c>
      <c r="F422" t="s">
        <v>50</v>
      </c>
      <c r="G422" s="8">
        <v>3000</v>
      </c>
      <c r="H422" s="7">
        <v>46178</v>
      </c>
      <c r="I422" s="9">
        <v>300</v>
      </c>
      <c r="J422" s="31">
        <f t="shared" si="12"/>
        <v>46174</v>
      </c>
      <c r="K422" s="31">
        <f>Table14[[#This Row],[week first day]]-7</f>
        <v>46167</v>
      </c>
      <c r="L422">
        <f t="shared" si="13"/>
        <v>300</v>
      </c>
    </row>
    <row r="423" spans="1:12" x14ac:dyDescent="0.3">
      <c r="A423" s="8" t="s">
        <v>46</v>
      </c>
      <c r="B423" s="8" t="s">
        <v>47</v>
      </c>
      <c r="C423" s="8" t="s">
        <v>48</v>
      </c>
      <c r="D423" s="8">
        <v>30</v>
      </c>
      <c r="E423" s="8" t="s">
        <v>49</v>
      </c>
      <c r="F423" t="s">
        <v>50</v>
      </c>
      <c r="G423" s="8">
        <v>3000</v>
      </c>
      <c r="H423" s="7">
        <v>46199</v>
      </c>
      <c r="I423" s="9">
        <v>300</v>
      </c>
      <c r="J423" s="31">
        <f t="shared" si="12"/>
        <v>46195</v>
      </c>
      <c r="K423" s="31">
        <f>Table14[[#This Row],[week first day]]-7</f>
        <v>46188</v>
      </c>
      <c r="L423">
        <f t="shared" si="13"/>
        <v>300</v>
      </c>
    </row>
    <row r="424" spans="1:12" x14ac:dyDescent="0.3">
      <c r="A424" s="8" t="s">
        <v>46</v>
      </c>
      <c r="B424" s="8" t="s">
        <v>47</v>
      </c>
      <c r="C424" s="8" t="s">
        <v>48</v>
      </c>
      <c r="D424" s="8">
        <v>30</v>
      </c>
      <c r="E424" s="8" t="s">
        <v>49</v>
      </c>
      <c r="F424" t="s">
        <v>50</v>
      </c>
      <c r="G424" s="8">
        <v>3000</v>
      </c>
      <c r="H424" s="7">
        <v>46213</v>
      </c>
      <c r="I424" s="9">
        <v>700</v>
      </c>
      <c r="J424" s="31">
        <f t="shared" si="12"/>
        <v>46209</v>
      </c>
      <c r="K424" s="31">
        <f>Table14[[#This Row],[week first day]]-7</f>
        <v>46202</v>
      </c>
      <c r="L424">
        <f t="shared" si="13"/>
        <v>700</v>
      </c>
    </row>
    <row r="425" spans="1:12" x14ac:dyDescent="0.3">
      <c r="A425" s="8" t="s">
        <v>46</v>
      </c>
      <c r="B425" s="8" t="s">
        <v>47</v>
      </c>
      <c r="C425" s="8" t="s">
        <v>48</v>
      </c>
      <c r="D425" s="8">
        <v>30</v>
      </c>
      <c r="E425" s="8" t="s">
        <v>49</v>
      </c>
      <c r="F425" t="s">
        <v>50</v>
      </c>
      <c r="G425" s="8">
        <v>3000</v>
      </c>
      <c r="H425" s="7">
        <v>46220</v>
      </c>
      <c r="I425" s="9">
        <v>300</v>
      </c>
      <c r="J425" s="31">
        <f t="shared" si="12"/>
        <v>46216</v>
      </c>
      <c r="K425" s="31">
        <f>Table14[[#This Row],[week first day]]-7</f>
        <v>46209</v>
      </c>
      <c r="L425">
        <f t="shared" si="13"/>
        <v>300</v>
      </c>
    </row>
    <row r="426" spans="1:12" x14ac:dyDescent="0.3">
      <c r="A426" s="8" t="s">
        <v>46</v>
      </c>
      <c r="B426" s="8" t="s">
        <v>47</v>
      </c>
      <c r="C426" s="8" t="s">
        <v>48</v>
      </c>
      <c r="D426" s="8">
        <v>30</v>
      </c>
      <c r="E426" s="8" t="s">
        <v>49</v>
      </c>
      <c r="F426" t="s">
        <v>50</v>
      </c>
      <c r="G426" s="8">
        <v>3000</v>
      </c>
      <c r="H426" s="7">
        <v>46227</v>
      </c>
      <c r="I426" s="9">
        <v>300</v>
      </c>
      <c r="J426" s="31">
        <f t="shared" si="12"/>
        <v>46223</v>
      </c>
      <c r="K426" s="31">
        <f>Table14[[#This Row],[week first day]]-7</f>
        <v>46216</v>
      </c>
      <c r="L426">
        <f t="shared" si="13"/>
        <v>300</v>
      </c>
    </row>
    <row r="427" spans="1:12" x14ac:dyDescent="0.3">
      <c r="A427" s="8" t="s">
        <v>46</v>
      </c>
      <c r="B427" s="8" t="s">
        <v>47</v>
      </c>
      <c r="C427" s="8" t="s">
        <v>48</v>
      </c>
      <c r="D427" s="8">
        <v>30</v>
      </c>
      <c r="E427" s="8" t="s">
        <v>49</v>
      </c>
      <c r="F427" t="s">
        <v>50</v>
      </c>
      <c r="G427" s="8">
        <v>3000</v>
      </c>
      <c r="H427" s="7">
        <v>46234</v>
      </c>
      <c r="I427" s="9">
        <v>300</v>
      </c>
      <c r="J427" s="31">
        <f t="shared" si="12"/>
        <v>46230</v>
      </c>
      <c r="K427" s="31">
        <f>Table14[[#This Row],[week first day]]-7</f>
        <v>46223</v>
      </c>
      <c r="L427">
        <f t="shared" si="13"/>
        <v>300</v>
      </c>
    </row>
    <row r="428" spans="1:12" x14ac:dyDescent="0.3">
      <c r="A428" s="8" t="s">
        <v>46</v>
      </c>
      <c r="B428" s="8" t="s">
        <v>47</v>
      </c>
      <c r="C428" s="8" t="s">
        <v>48</v>
      </c>
      <c r="D428" s="8">
        <v>30</v>
      </c>
      <c r="E428" s="8" t="s">
        <v>49</v>
      </c>
      <c r="F428" t="s">
        <v>50</v>
      </c>
      <c r="G428" s="8">
        <v>3000</v>
      </c>
      <c r="H428" s="7">
        <v>46255</v>
      </c>
      <c r="I428" s="9">
        <v>300</v>
      </c>
      <c r="J428" s="31">
        <f t="shared" si="12"/>
        <v>46251</v>
      </c>
      <c r="K428" s="31">
        <f>Table14[[#This Row],[week first day]]-7</f>
        <v>46244</v>
      </c>
      <c r="L428">
        <f t="shared" si="13"/>
        <v>300</v>
      </c>
    </row>
    <row r="429" spans="1:12" x14ac:dyDescent="0.3">
      <c r="A429" s="8" t="s">
        <v>46</v>
      </c>
      <c r="B429" s="8" t="s">
        <v>47</v>
      </c>
      <c r="C429" s="8" t="s">
        <v>48</v>
      </c>
      <c r="D429" s="8">
        <v>30</v>
      </c>
      <c r="E429" s="8" t="s">
        <v>49</v>
      </c>
      <c r="F429" t="s">
        <v>50</v>
      </c>
      <c r="G429" s="8">
        <v>3000</v>
      </c>
      <c r="H429" s="7">
        <v>46276</v>
      </c>
      <c r="I429" s="9">
        <v>300</v>
      </c>
      <c r="J429" s="31">
        <f t="shared" si="12"/>
        <v>46272</v>
      </c>
      <c r="K429" s="31">
        <f>Table14[[#This Row],[week first day]]-7</f>
        <v>46265</v>
      </c>
      <c r="L429">
        <f t="shared" si="13"/>
        <v>300</v>
      </c>
    </row>
    <row r="430" spans="1:12" x14ac:dyDescent="0.3">
      <c r="A430" s="8" t="s">
        <v>46</v>
      </c>
      <c r="B430" s="8" t="s">
        <v>47</v>
      </c>
      <c r="C430" s="8" t="s">
        <v>48</v>
      </c>
      <c r="D430" s="8">
        <v>30</v>
      </c>
      <c r="E430" s="8" t="s">
        <v>49</v>
      </c>
      <c r="F430" t="s">
        <v>50</v>
      </c>
      <c r="G430" s="8">
        <v>3000</v>
      </c>
      <c r="H430" s="7">
        <v>46304</v>
      </c>
      <c r="I430" s="9">
        <v>300</v>
      </c>
      <c r="J430" s="31">
        <f t="shared" si="12"/>
        <v>46300</v>
      </c>
      <c r="K430" s="31">
        <f>Table14[[#This Row],[week first day]]-7</f>
        <v>46293</v>
      </c>
      <c r="L430">
        <f t="shared" si="13"/>
        <v>300</v>
      </c>
    </row>
    <row r="431" spans="1:12" x14ac:dyDescent="0.3">
      <c r="A431" s="8" t="s">
        <v>46</v>
      </c>
      <c r="B431" s="8" t="s">
        <v>47</v>
      </c>
      <c r="C431" s="8" t="s">
        <v>48</v>
      </c>
      <c r="D431" s="8">
        <v>30</v>
      </c>
      <c r="E431" s="8" t="s">
        <v>49</v>
      </c>
      <c r="F431" t="s">
        <v>50</v>
      </c>
      <c r="G431" s="8">
        <v>3000</v>
      </c>
      <c r="H431" s="7">
        <v>46339</v>
      </c>
      <c r="I431" s="9">
        <v>300</v>
      </c>
      <c r="J431" s="31">
        <f t="shared" si="12"/>
        <v>46335</v>
      </c>
      <c r="K431" s="31">
        <f>Table14[[#This Row],[week first day]]-7</f>
        <v>46328</v>
      </c>
      <c r="L431">
        <f t="shared" si="13"/>
        <v>300</v>
      </c>
    </row>
    <row r="432" spans="1:12" x14ac:dyDescent="0.3">
      <c r="A432" s="8" t="s">
        <v>46</v>
      </c>
      <c r="B432" s="8" t="s">
        <v>47</v>
      </c>
      <c r="C432" s="8" t="s">
        <v>48</v>
      </c>
      <c r="D432" s="8">
        <v>30</v>
      </c>
      <c r="E432" s="8" t="s">
        <v>49</v>
      </c>
      <c r="F432" t="s">
        <v>50</v>
      </c>
      <c r="G432" s="8">
        <v>3000</v>
      </c>
      <c r="H432" s="7">
        <v>46367</v>
      </c>
      <c r="I432" s="9">
        <v>300</v>
      </c>
      <c r="J432" s="31">
        <f t="shared" si="12"/>
        <v>46363</v>
      </c>
      <c r="K432" s="31">
        <f>Table14[[#This Row],[week first day]]-7</f>
        <v>46356</v>
      </c>
      <c r="L432">
        <f t="shared" si="13"/>
        <v>300</v>
      </c>
    </row>
    <row r="433" spans="1:12" x14ac:dyDescent="0.3">
      <c r="A433" s="8" t="s">
        <v>51</v>
      </c>
      <c r="B433" s="8" t="s">
        <v>52</v>
      </c>
      <c r="C433" s="8" t="s">
        <v>32</v>
      </c>
      <c r="D433" s="8">
        <v>90</v>
      </c>
      <c r="E433" s="8" t="s">
        <v>53</v>
      </c>
      <c r="F433" t="s">
        <v>50</v>
      </c>
      <c r="G433" s="8">
        <v>3000</v>
      </c>
      <c r="H433" s="7">
        <v>46143</v>
      </c>
      <c r="I433" s="9">
        <v>588</v>
      </c>
      <c r="J433" s="31">
        <f t="shared" si="12"/>
        <v>46139</v>
      </c>
      <c r="K433" s="31">
        <f>Table14[[#This Row],[week first day]]-7</f>
        <v>46132</v>
      </c>
      <c r="L433">
        <f t="shared" si="13"/>
        <v>588</v>
      </c>
    </row>
    <row r="434" spans="1:12" x14ac:dyDescent="0.3">
      <c r="A434" s="8" t="s">
        <v>51</v>
      </c>
      <c r="B434" s="8" t="s">
        <v>52</v>
      </c>
      <c r="C434" s="8" t="s">
        <v>32</v>
      </c>
      <c r="D434" s="8">
        <v>90</v>
      </c>
      <c r="E434" s="8" t="s">
        <v>53</v>
      </c>
      <c r="F434" t="s">
        <v>50</v>
      </c>
      <c r="G434" s="8">
        <v>3000</v>
      </c>
      <c r="H434" s="7">
        <v>46150</v>
      </c>
      <c r="I434" s="9">
        <v>4028</v>
      </c>
      <c r="J434" s="31">
        <f t="shared" si="12"/>
        <v>46146</v>
      </c>
      <c r="K434" s="31">
        <f>Table14[[#This Row],[week first day]]-7</f>
        <v>46139</v>
      </c>
      <c r="L434">
        <f t="shared" si="13"/>
        <v>4028</v>
      </c>
    </row>
    <row r="435" spans="1:12" x14ac:dyDescent="0.3">
      <c r="A435" s="8" t="s">
        <v>51</v>
      </c>
      <c r="B435" s="8" t="s">
        <v>52</v>
      </c>
      <c r="C435" s="8" t="s">
        <v>32</v>
      </c>
      <c r="D435" s="8">
        <v>90</v>
      </c>
      <c r="E435" s="8" t="s">
        <v>53</v>
      </c>
      <c r="F435" t="s">
        <v>50</v>
      </c>
      <c r="G435" s="8">
        <v>3000</v>
      </c>
      <c r="H435" s="7">
        <v>46157</v>
      </c>
      <c r="I435" s="9">
        <v>4200</v>
      </c>
      <c r="J435" s="31">
        <f t="shared" si="12"/>
        <v>46153</v>
      </c>
      <c r="K435" s="31">
        <f>Table14[[#This Row],[week first day]]-7</f>
        <v>46146</v>
      </c>
      <c r="L435">
        <f t="shared" si="13"/>
        <v>4200</v>
      </c>
    </row>
    <row r="436" spans="1:12" x14ac:dyDescent="0.3">
      <c r="A436" s="8" t="s">
        <v>51</v>
      </c>
      <c r="B436" s="8" t="s">
        <v>52</v>
      </c>
      <c r="C436" s="8" t="s">
        <v>32</v>
      </c>
      <c r="D436" s="8">
        <v>90</v>
      </c>
      <c r="E436" s="8" t="s">
        <v>53</v>
      </c>
      <c r="F436" t="s">
        <v>50</v>
      </c>
      <c r="G436" s="8">
        <v>3000</v>
      </c>
      <c r="H436" s="7">
        <v>46164</v>
      </c>
      <c r="I436" s="9">
        <v>3802</v>
      </c>
      <c r="J436" s="31">
        <f t="shared" si="12"/>
        <v>46160</v>
      </c>
      <c r="K436" s="31">
        <f>Table14[[#This Row],[week first day]]-7</f>
        <v>46153</v>
      </c>
      <c r="L436">
        <f t="shared" si="13"/>
        <v>3802</v>
      </c>
    </row>
    <row r="437" spans="1:12" x14ac:dyDescent="0.3">
      <c r="A437" s="8" t="s">
        <v>51</v>
      </c>
      <c r="B437" s="8" t="s">
        <v>52</v>
      </c>
      <c r="C437" s="8" t="s">
        <v>32</v>
      </c>
      <c r="D437" s="8">
        <v>90</v>
      </c>
      <c r="E437" s="8" t="s">
        <v>53</v>
      </c>
      <c r="F437" t="s">
        <v>50</v>
      </c>
      <c r="G437" s="8">
        <v>3000</v>
      </c>
      <c r="H437" s="7">
        <v>46171</v>
      </c>
      <c r="I437" s="9">
        <v>4500</v>
      </c>
      <c r="J437" s="31">
        <f t="shared" si="12"/>
        <v>46167</v>
      </c>
      <c r="K437" s="31">
        <f>Table14[[#This Row],[week first day]]-7</f>
        <v>46160</v>
      </c>
      <c r="L437">
        <f t="shared" si="13"/>
        <v>4500</v>
      </c>
    </row>
    <row r="438" spans="1:12" x14ac:dyDescent="0.3">
      <c r="A438" s="8" t="s">
        <v>51</v>
      </c>
      <c r="B438" s="8" t="s">
        <v>52</v>
      </c>
      <c r="C438" s="8" t="s">
        <v>32</v>
      </c>
      <c r="D438" s="8">
        <v>90</v>
      </c>
      <c r="E438" s="8" t="s">
        <v>53</v>
      </c>
      <c r="F438" t="s">
        <v>50</v>
      </c>
      <c r="G438" s="8">
        <v>3000</v>
      </c>
      <c r="H438" s="7">
        <v>46178</v>
      </c>
      <c r="I438" s="9">
        <v>4200</v>
      </c>
      <c r="J438" s="31">
        <f t="shared" si="12"/>
        <v>46174</v>
      </c>
      <c r="K438" s="31">
        <f>Table14[[#This Row],[week first day]]-7</f>
        <v>46167</v>
      </c>
      <c r="L438">
        <f t="shared" si="13"/>
        <v>4200</v>
      </c>
    </row>
    <row r="439" spans="1:12" x14ac:dyDescent="0.3">
      <c r="A439" s="8" t="s">
        <v>51</v>
      </c>
      <c r="B439" s="8" t="s">
        <v>52</v>
      </c>
      <c r="C439" s="8" t="s">
        <v>32</v>
      </c>
      <c r="D439" s="8">
        <v>90</v>
      </c>
      <c r="E439" s="8" t="s">
        <v>53</v>
      </c>
      <c r="F439" t="s">
        <v>50</v>
      </c>
      <c r="G439" s="8">
        <v>3000</v>
      </c>
      <c r="H439" s="7">
        <v>46185</v>
      </c>
      <c r="I439" s="9">
        <v>4500</v>
      </c>
      <c r="J439" s="31">
        <f t="shared" si="12"/>
        <v>46181</v>
      </c>
      <c r="K439" s="31">
        <f>Table14[[#This Row],[week first day]]-7</f>
        <v>46174</v>
      </c>
      <c r="L439">
        <f t="shared" si="13"/>
        <v>4500</v>
      </c>
    </row>
    <row r="440" spans="1:12" x14ac:dyDescent="0.3">
      <c r="A440" s="8" t="s">
        <v>51</v>
      </c>
      <c r="B440" s="8" t="s">
        <v>52</v>
      </c>
      <c r="C440" s="8" t="s">
        <v>32</v>
      </c>
      <c r="D440" s="8">
        <v>90</v>
      </c>
      <c r="E440" s="8" t="s">
        <v>53</v>
      </c>
      <c r="F440" t="s">
        <v>50</v>
      </c>
      <c r="G440" s="8">
        <v>3000</v>
      </c>
      <c r="H440" s="7">
        <v>46192</v>
      </c>
      <c r="I440" s="9">
        <v>4500</v>
      </c>
      <c r="J440" s="31">
        <f t="shared" si="12"/>
        <v>46188</v>
      </c>
      <c r="K440" s="31">
        <f>Table14[[#This Row],[week first day]]-7</f>
        <v>46181</v>
      </c>
      <c r="L440">
        <f t="shared" si="13"/>
        <v>4500</v>
      </c>
    </row>
    <row r="441" spans="1:12" x14ac:dyDescent="0.3">
      <c r="A441" s="8" t="s">
        <v>51</v>
      </c>
      <c r="B441" s="8" t="s">
        <v>52</v>
      </c>
      <c r="C441" s="8" t="s">
        <v>32</v>
      </c>
      <c r="D441" s="8">
        <v>90</v>
      </c>
      <c r="E441" s="8" t="s">
        <v>53</v>
      </c>
      <c r="F441" t="s">
        <v>50</v>
      </c>
      <c r="G441" s="8">
        <v>3000</v>
      </c>
      <c r="H441" s="7">
        <v>46199</v>
      </c>
      <c r="I441" s="9">
        <v>2200</v>
      </c>
      <c r="J441" s="31">
        <f t="shared" si="12"/>
        <v>46195</v>
      </c>
      <c r="K441" s="31">
        <f>Table14[[#This Row],[week first day]]-7</f>
        <v>46188</v>
      </c>
      <c r="L441">
        <f t="shared" si="13"/>
        <v>2200</v>
      </c>
    </row>
    <row r="442" spans="1:12" x14ac:dyDescent="0.3">
      <c r="A442" s="8" t="s">
        <v>51</v>
      </c>
      <c r="B442" s="8" t="s">
        <v>52</v>
      </c>
      <c r="C442" s="8" t="s">
        <v>32</v>
      </c>
      <c r="D442" s="8">
        <v>90</v>
      </c>
      <c r="E442" s="8" t="s">
        <v>53</v>
      </c>
      <c r="F442" t="s">
        <v>50</v>
      </c>
      <c r="G442" s="8">
        <v>3000</v>
      </c>
      <c r="H442" s="7">
        <v>46206</v>
      </c>
      <c r="I442" s="9">
        <v>5000</v>
      </c>
      <c r="J442" s="31">
        <f t="shared" si="12"/>
        <v>46202</v>
      </c>
      <c r="K442" s="31">
        <f>Table14[[#This Row],[week first day]]-7</f>
        <v>46195</v>
      </c>
      <c r="L442">
        <f t="shared" si="13"/>
        <v>5000</v>
      </c>
    </row>
    <row r="443" spans="1:12" x14ac:dyDescent="0.3">
      <c r="A443" s="8" t="s">
        <v>51</v>
      </c>
      <c r="B443" s="8" t="s">
        <v>52</v>
      </c>
      <c r="C443" s="8" t="s">
        <v>32</v>
      </c>
      <c r="D443" s="8">
        <v>90</v>
      </c>
      <c r="E443" s="8" t="s">
        <v>53</v>
      </c>
      <c r="F443" t="s">
        <v>50</v>
      </c>
      <c r="G443" s="8">
        <v>3000</v>
      </c>
      <c r="H443" s="7">
        <v>46213</v>
      </c>
      <c r="I443" s="9">
        <v>4300</v>
      </c>
      <c r="J443" s="31">
        <f t="shared" si="12"/>
        <v>46209</v>
      </c>
      <c r="K443" s="31">
        <f>Table14[[#This Row],[week first day]]-7</f>
        <v>46202</v>
      </c>
      <c r="L443">
        <f t="shared" si="13"/>
        <v>4300</v>
      </c>
    </row>
    <row r="444" spans="1:12" x14ac:dyDescent="0.3">
      <c r="A444" s="8" t="s">
        <v>51</v>
      </c>
      <c r="B444" s="8" t="s">
        <v>52</v>
      </c>
      <c r="C444" s="8" t="s">
        <v>32</v>
      </c>
      <c r="D444" s="8">
        <v>90</v>
      </c>
      <c r="E444" s="8" t="s">
        <v>53</v>
      </c>
      <c r="F444" t="s">
        <v>50</v>
      </c>
      <c r="G444" s="8">
        <v>3000</v>
      </c>
      <c r="H444" s="7">
        <v>46220</v>
      </c>
      <c r="I444" s="9">
        <v>4700</v>
      </c>
      <c r="J444" s="31">
        <f t="shared" si="12"/>
        <v>46216</v>
      </c>
      <c r="K444" s="31">
        <f>Table14[[#This Row],[week first day]]-7</f>
        <v>46209</v>
      </c>
      <c r="L444">
        <f t="shared" si="13"/>
        <v>4700</v>
      </c>
    </row>
    <row r="445" spans="1:12" x14ac:dyDescent="0.3">
      <c r="A445" s="8" t="s">
        <v>51</v>
      </c>
      <c r="B445" s="8" t="s">
        <v>52</v>
      </c>
      <c r="C445" s="8" t="s">
        <v>32</v>
      </c>
      <c r="D445" s="8">
        <v>90</v>
      </c>
      <c r="E445" s="8" t="s">
        <v>53</v>
      </c>
      <c r="F445" t="s">
        <v>50</v>
      </c>
      <c r="G445" s="8">
        <v>3000</v>
      </c>
      <c r="H445" s="7">
        <v>46227</v>
      </c>
      <c r="I445" s="9">
        <v>900</v>
      </c>
      <c r="J445" s="31">
        <f t="shared" si="12"/>
        <v>46223</v>
      </c>
      <c r="K445" s="31">
        <f>Table14[[#This Row],[week first day]]-7</f>
        <v>46216</v>
      </c>
      <c r="L445">
        <f t="shared" si="13"/>
        <v>4746</v>
      </c>
    </row>
    <row r="446" spans="1:12" x14ac:dyDescent="0.3">
      <c r="A446" s="8" t="s">
        <v>51</v>
      </c>
      <c r="B446" s="8" t="s">
        <v>52</v>
      </c>
      <c r="C446" s="8" t="s">
        <v>32</v>
      </c>
      <c r="D446" s="8">
        <v>90</v>
      </c>
      <c r="E446" s="8" t="s">
        <v>53</v>
      </c>
      <c r="F446" t="s">
        <v>50</v>
      </c>
      <c r="G446" s="8">
        <v>3000</v>
      </c>
      <c r="H446" s="7">
        <v>46227</v>
      </c>
      <c r="I446" s="9">
        <v>3846</v>
      </c>
      <c r="J446" s="31">
        <f t="shared" si="12"/>
        <v>46223</v>
      </c>
      <c r="K446" s="31">
        <f>Table14[[#This Row],[week first day]]-7</f>
        <v>46216</v>
      </c>
      <c r="L446">
        <f t="shared" si="13"/>
        <v>4746</v>
      </c>
    </row>
    <row r="447" spans="1:12" x14ac:dyDescent="0.3">
      <c r="A447" s="8" t="s">
        <v>51</v>
      </c>
      <c r="B447" s="8" t="s">
        <v>52</v>
      </c>
      <c r="C447" s="8" t="s">
        <v>32</v>
      </c>
      <c r="D447" s="8">
        <v>90</v>
      </c>
      <c r="E447" s="8" t="s">
        <v>53</v>
      </c>
      <c r="F447" t="s">
        <v>50</v>
      </c>
      <c r="G447" s="8">
        <v>3000</v>
      </c>
      <c r="H447" s="7">
        <v>46234</v>
      </c>
      <c r="I447" s="9">
        <v>4300</v>
      </c>
      <c r="J447" s="31">
        <f t="shared" si="12"/>
        <v>46230</v>
      </c>
      <c r="K447" s="31">
        <f>Table14[[#This Row],[week first day]]-7</f>
        <v>46223</v>
      </c>
      <c r="L447">
        <f t="shared" si="13"/>
        <v>4300</v>
      </c>
    </row>
    <row r="448" spans="1:12" x14ac:dyDescent="0.3">
      <c r="A448" s="8" t="s">
        <v>51</v>
      </c>
      <c r="B448" s="8" t="s">
        <v>52</v>
      </c>
      <c r="C448" s="8" t="s">
        <v>32</v>
      </c>
      <c r="D448" s="8">
        <v>90</v>
      </c>
      <c r="E448" s="8" t="s">
        <v>53</v>
      </c>
      <c r="F448" t="s">
        <v>50</v>
      </c>
      <c r="G448" s="8">
        <v>3000</v>
      </c>
      <c r="H448" s="7">
        <v>46241</v>
      </c>
      <c r="I448" s="9">
        <v>476</v>
      </c>
      <c r="J448" s="31">
        <f t="shared" si="12"/>
        <v>46237</v>
      </c>
      <c r="K448" s="31">
        <f>Table14[[#This Row],[week first day]]-7</f>
        <v>46230</v>
      </c>
      <c r="L448">
        <f t="shared" si="13"/>
        <v>476</v>
      </c>
    </row>
    <row r="449" spans="1:12" x14ac:dyDescent="0.3">
      <c r="A449" s="8" t="s">
        <v>51</v>
      </c>
      <c r="B449" s="8" t="s">
        <v>52</v>
      </c>
      <c r="C449" s="8" t="s">
        <v>32</v>
      </c>
      <c r="D449" s="8">
        <v>90</v>
      </c>
      <c r="E449" s="8" t="s">
        <v>53</v>
      </c>
      <c r="F449" t="s">
        <v>50</v>
      </c>
      <c r="G449" s="8">
        <v>3000</v>
      </c>
      <c r="H449" s="7">
        <v>46248</v>
      </c>
      <c r="I449" s="9">
        <v>1298</v>
      </c>
      <c r="J449" s="31">
        <f t="shared" si="12"/>
        <v>46244</v>
      </c>
      <c r="K449" s="31">
        <f>Table14[[#This Row],[week first day]]-7</f>
        <v>46237</v>
      </c>
      <c r="L449">
        <f t="shared" si="13"/>
        <v>1298</v>
      </c>
    </row>
    <row r="450" spans="1:12" x14ac:dyDescent="0.3">
      <c r="A450" s="8" t="s">
        <v>51</v>
      </c>
      <c r="B450" s="8" t="s">
        <v>52</v>
      </c>
      <c r="C450" s="8" t="s">
        <v>32</v>
      </c>
      <c r="D450" s="8">
        <v>90</v>
      </c>
      <c r="E450" s="8" t="s">
        <v>53</v>
      </c>
      <c r="F450" t="s">
        <v>50</v>
      </c>
      <c r="G450" s="8">
        <v>3000</v>
      </c>
      <c r="H450" s="7">
        <v>46255</v>
      </c>
      <c r="I450" s="9">
        <v>1300</v>
      </c>
      <c r="J450" s="31">
        <f t="shared" ref="J450:J466" si="14">$M$1+7*INT((H450-$M$1)/7)</f>
        <v>46251</v>
      </c>
      <c r="K450" s="31">
        <f>Table14[[#This Row],[week first day]]-7</f>
        <v>46244</v>
      </c>
      <c r="L450">
        <f t="shared" si="13"/>
        <v>1300</v>
      </c>
    </row>
    <row r="451" spans="1:12" x14ac:dyDescent="0.3">
      <c r="A451" s="8" t="s">
        <v>51</v>
      </c>
      <c r="B451" s="8" t="s">
        <v>52</v>
      </c>
      <c r="C451" s="8" t="s">
        <v>32</v>
      </c>
      <c r="D451" s="8">
        <v>90</v>
      </c>
      <c r="E451" s="8" t="s">
        <v>53</v>
      </c>
      <c r="F451" t="s">
        <v>50</v>
      </c>
      <c r="G451" s="8">
        <v>3000</v>
      </c>
      <c r="H451" s="7">
        <v>46262</v>
      </c>
      <c r="I451" s="9">
        <v>1298</v>
      </c>
      <c r="J451" s="31">
        <f t="shared" si="14"/>
        <v>46258</v>
      </c>
      <c r="K451" s="31">
        <f>Table14[[#This Row],[week first day]]-7</f>
        <v>46251</v>
      </c>
      <c r="L451">
        <f t="shared" ref="L451:L466" si="15">SUMIFS($I:$I,$A:$A,A451,J:J,J451)</f>
        <v>1298</v>
      </c>
    </row>
    <row r="452" spans="1:12" x14ac:dyDescent="0.3">
      <c r="A452" s="8" t="s">
        <v>51</v>
      </c>
      <c r="B452" s="8" t="s">
        <v>52</v>
      </c>
      <c r="C452" s="8" t="s">
        <v>32</v>
      </c>
      <c r="D452" s="8">
        <v>90</v>
      </c>
      <c r="E452" s="8" t="s">
        <v>53</v>
      </c>
      <c r="F452" t="s">
        <v>50</v>
      </c>
      <c r="G452" s="8">
        <v>3000</v>
      </c>
      <c r="H452" s="7">
        <v>46269</v>
      </c>
      <c r="I452" s="9">
        <v>1506</v>
      </c>
      <c r="J452" s="31">
        <f t="shared" si="14"/>
        <v>46265</v>
      </c>
      <c r="K452" s="31">
        <f>Table14[[#This Row],[week first day]]-7</f>
        <v>46258</v>
      </c>
      <c r="L452">
        <f t="shared" si="15"/>
        <v>1506</v>
      </c>
    </row>
    <row r="453" spans="1:12" x14ac:dyDescent="0.3">
      <c r="A453" s="8" t="s">
        <v>51</v>
      </c>
      <c r="B453" s="8" t="s">
        <v>52</v>
      </c>
      <c r="C453" s="8" t="s">
        <v>32</v>
      </c>
      <c r="D453" s="8">
        <v>90</v>
      </c>
      <c r="E453" s="8" t="s">
        <v>53</v>
      </c>
      <c r="F453" t="s">
        <v>50</v>
      </c>
      <c r="G453" s="8">
        <v>3000</v>
      </c>
      <c r="H453" s="7">
        <v>46276</v>
      </c>
      <c r="I453" s="9">
        <v>1506</v>
      </c>
      <c r="J453" s="31">
        <f t="shared" si="14"/>
        <v>46272</v>
      </c>
      <c r="K453" s="31">
        <f>Table14[[#This Row],[week first day]]-7</f>
        <v>46265</v>
      </c>
      <c r="L453">
        <f t="shared" si="15"/>
        <v>1506</v>
      </c>
    </row>
    <row r="454" spans="1:12" x14ac:dyDescent="0.3">
      <c r="A454" s="8" t="s">
        <v>51</v>
      </c>
      <c r="B454" s="8" t="s">
        <v>52</v>
      </c>
      <c r="C454" s="8" t="s">
        <v>32</v>
      </c>
      <c r="D454" s="8">
        <v>90</v>
      </c>
      <c r="E454" s="8" t="s">
        <v>53</v>
      </c>
      <c r="F454" t="s">
        <v>50</v>
      </c>
      <c r="G454" s="8">
        <v>3000</v>
      </c>
      <c r="H454" s="7">
        <v>46283</v>
      </c>
      <c r="I454" s="9">
        <v>1506</v>
      </c>
      <c r="J454" s="31">
        <f t="shared" si="14"/>
        <v>46279</v>
      </c>
      <c r="K454" s="31">
        <f>Table14[[#This Row],[week first day]]-7</f>
        <v>46272</v>
      </c>
      <c r="L454">
        <f t="shared" si="15"/>
        <v>1506</v>
      </c>
    </row>
    <row r="455" spans="1:12" x14ac:dyDescent="0.3">
      <c r="A455" s="8" t="s">
        <v>51</v>
      </c>
      <c r="B455" s="8" t="s">
        <v>52</v>
      </c>
      <c r="C455" s="8" t="s">
        <v>32</v>
      </c>
      <c r="D455" s="8">
        <v>90</v>
      </c>
      <c r="E455" s="8" t="s">
        <v>53</v>
      </c>
      <c r="F455" t="s">
        <v>50</v>
      </c>
      <c r="G455" s="8">
        <v>3000</v>
      </c>
      <c r="H455" s="7">
        <v>46290</v>
      </c>
      <c r="I455" s="9">
        <v>1506</v>
      </c>
      <c r="J455" s="31">
        <f t="shared" si="14"/>
        <v>46286</v>
      </c>
      <c r="K455" s="31">
        <f>Table14[[#This Row],[week first day]]-7</f>
        <v>46279</v>
      </c>
      <c r="L455">
        <f t="shared" si="15"/>
        <v>1506</v>
      </c>
    </row>
    <row r="456" spans="1:12" x14ac:dyDescent="0.3">
      <c r="A456" s="8" t="s">
        <v>51</v>
      </c>
      <c r="B456" s="8" t="s">
        <v>52</v>
      </c>
      <c r="C456" s="8" t="s">
        <v>32</v>
      </c>
      <c r="D456" s="8">
        <v>90</v>
      </c>
      <c r="E456" s="8" t="s">
        <v>53</v>
      </c>
      <c r="F456" t="s">
        <v>50</v>
      </c>
      <c r="G456" s="8">
        <v>3000</v>
      </c>
      <c r="H456" s="7">
        <v>46297</v>
      </c>
      <c r="I456" s="9">
        <v>1446</v>
      </c>
      <c r="J456" s="31">
        <f t="shared" si="14"/>
        <v>46293</v>
      </c>
      <c r="K456" s="31">
        <f>Table14[[#This Row],[week first day]]-7</f>
        <v>46286</v>
      </c>
      <c r="L456">
        <f t="shared" si="15"/>
        <v>1446</v>
      </c>
    </row>
    <row r="457" spans="1:12" x14ac:dyDescent="0.3">
      <c r="A457" s="8" t="s">
        <v>51</v>
      </c>
      <c r="B457" s="8" t="s">
        <v>52</v>
      </c>
      <c r="C457" s="8" t="s">
        <v>32</v>
      </c>
      <c r="D457" s="8">
        <v>90</v>
      </c>
      <c r="E457" s="8" t="s">
        <v>53</v>
      </c>
      <c r="F457" t="s">
        <v>50</v>
      </c>
      <c r="G457" s="8">
        <v>3000</v>
      </c>
      <c r="H457" s="7">
        <v>46318</v>
      </c>
      <c r="I457" s="9">
        <v>1448</v>
      </c>
      <c r="J457" s="31">
        <f t="shared" si="14"/>
        <v>46314</v>
      </c>
      <c r="K457" s="31">
        <f>Table14[[#This Row],[week first day]]-7</f>
        <v>46307</v>
      </c>
      <c r="L457">
        <f t="shared" si="15"/>
        <v>1448</v>
      </c>
    </row>
    <row r="458" spans="1:12" x14ac:dyDescent="0.3">
      <c r="A458" s="8" t="s">
        <v>51</v>
      </c>
      <c r="B458" s="8" t="s">
        <v>52</v>
      </c>
      <c r="C458" s="8" t="s">
        <v>32</v>
      </c>
      <c r="D458" s="8">
        <v>90</v>
      </c>
      <c r="E458" s="8" t="s">
        <v>53</v>
      </c>
      <c r="F458" t="s">
        <v>50</v>
      </c>
      <c r="G458" s="8">
        <v>3000</v>
      </c>
      <c r="H458" s="7">
        <v>46325</v>
      </c>
      <c r="I458" s="9">
        <v>1448</v>
      </c>
      <c r="J458" s="31">
        <f t="shared" si="14"/>
        <v>46321</v>
      </c>
      <c r="K458" s="31">
        <f>Table14[[#This Row],[week first day]]-7</f>
        <v>46314</v>
      </c>
      <c r="L458">
        <f t="shared" si="15"/>
        <v>1448</v>
      </c>
    </row>
    <row r="459" spans="1:12" x14ac:dyDescent="0.3">
      <c r="A459" s="8" t="s">
        <v>51</v>
      </c>
      <c r="B459" s="8" t="s">
        <v>52</v>
      </c>
      <c r="C459" s="8" t="s">
        <v>32</v>
      </c>
      <c r="D459" s="8">
        <v>90</v>
      </c>
      <c r="E459" s="8" t="s">
        <v>53</v>
      </c>
      <c r="F459" t="s">
        <v>50</v>
      </c>
      <c r="G459" s="8">
        <v>3000</v>
      </c>
      <c r="H459" s="7">
        <v>46332</v>
      </c>
      <c r="I459" s="9">
        <v>1448</v>
      </c>
      <c r="J459" s="31">
        <f t="shared" si="14"/>
        <v>46328</v>
      </c>
      <c r="K459" s="31">
        <f>Table14[[#This Row],[week first day]]-7</f>
        <v>46321</v>
      </c>
      <c r="L459">
        <f t="shared" si="15"/>
        <v>1448</v>
      </c>
    </row>
    <row r="460" spans="1:12" x14ac:dyDescent="0.3">
      <c r="A460" s="8" t="s">
        <v>51</v>
      </c>
      <c r="B460" s="8" t="s">
        <v>52</v>
      </c>
      <c r="C460" s="8" t="s">
        <v>32</v>
      </c>
      <c r="D460" s="8">
        <v>90</v>
      </c>
      <c r="E460" s="8" t="s">
        <v>53</v>
      </c>
      <c r="F460" t="s">
        <v>50</v>
      </c>
      <c r="G460" s="8">
        <v>3000</v>
      </c>
      <c r="H460" s="7">
        <v>46339</v>
      </c>
      <c r="I460" s="9">
        <v>1754</v>
      </c>
      <c r="J460" s="31">
        <f t="shared" si="14"/>
        <v>46335</v>
      </c>
      <c r="K460" s="31">
        <f>Table14[[#This Row],[week first day]]-7</f>
        <v>46328</v>
      </c>
      <c r="L460">
        <f t="shared" si="15"/>
        <v>1754</v>
      </c>
    </row>
    <row r="461" spans="1:12" x14ac:dyDescent="0.3">
      <c r="A461" s="8" t="s">
        <v>51</v>
      </c>
      <c r="B461" s="8" t="s">
        <v>52</v>
      </c>
      <c r="C461" s="8" t="s">
        <v>32</v>
      </c>
      <c r="D461" s="8">
        <v>90</v>
      </c>
      <c r="E461" s="8" t="s">
        <v>53</v>
      </c>
      <c r="F461" t="s">
        <v>50</v>
      </c>
      <c r="G461" s="8">
        <v>3000</v>
      </c>
      <c r="H461" s="7">
        <v>46346</v>
      </c>
      <c r="I461" s="9">
        <v>1756</v>
      </c>
      <c r="J461" s="31">
        <f t="shared" si="14"/>
        <v>46342</v>
      </c>
      <c r="K461" s="31">
        <f>Table14[[#This Row],[week first day]]-7</f>
        <v>46335</v>
      </c>
      <c r="L461">
        <f t="shared" si="15"/>
        <v>1756</v>
      </c>
    </row>
    <row r="462" spans="1:12" x14ac:dyDescent="0.3">
      <c r="A462" s="8" t="s">
        <v>51</v>
      </c>
      <c r="B462" s="8" t="s">
        <v>52</v>
      </c>
      <c r="C462" s="8" t="s">
        <v>32</v>
      </c>
      <c r="D462" s="8">
        <v>90</v>
      </c>
      <c r="E462" s="8" t="s">
        <v>53</v>
      </c>
      <c r="F462" t="s">
        <v>50</v>
      </c>
      <c r="G462" s="8">
        <v>3000</v>
      </c>
      <c r="H462" s="7">
        <v>46353</v>
      </c>
      <c r="I462" s="9">
        <v>1756</v>
      </c>
      <c r="J462" s="31">
        <f t="shared" si="14"/>
        <v>46349</v>
      </c>
      <c r="K462" s="31">
        <f>Table14[[#This Row],[week first day]]-7</f>
        <v>46342</v>
      </c>
      <c r="L462">
        <f t="shared" si="15"/>
        <v>1756</v>
      </c>
    </row>
    <row r="463" spans="1:12" x14ac:dyDescent="0.3">
      <c r="A463" s="8" t="s">
        <v>51</v>
      </c>
      <c r="B463" s="8" t="s">
        <v>52</v>
      </c>
      <c r="C463" s="8" t="s">
        <v>32</v>
      </c>
      <c r="D463" s="8">
        <v>90</v>
      </c>
      <c r="E463" s="8" t="s">
        <v>53</v>
      </c>
      <c r="F463" t="s">
        <v>50</v>
      </c>
      <c r="G463" s="8">
        <v>3000</v>
      </c>
      <c r="H463" s="7">
        <v>46360</v>
      </c>
      <c r="I463" s="9">
        <v>1756</v>
      </c>
      <c r="J463" s="31">
        <f t="shared" si="14"/>
        <v>46356</v>
      </c>
      <c r="K463" s="31">
        <f>Table14[[#This Row],[week first day]]-7</f>
        <v>46349</v>
      </c>
      <c r="L463">
        <f t="shared" si="15"/>
        <v>1756</v>
      </c>
    </row>
    <row r="464" spans="1:12" x14ac:dyDescent="0.3">
      <c r="A464" s="8" t="s">
        <v>51</v>
      </c>
      <c r="B464" s="8" t="s">
        <v>52</v>
      </c>
      <c r="C464" s="8" t="s">
        <v>32</v>
      </c>
      <c r="D464" s="8">
        <v>90</v>
      </c>
      <c r="E464" s="8" t="s">
        <v>53</v>
      </c>
      <c r="F464" t="s">
        <v>50</v>
      </c>
      <c r="G464" s="8">
        <v>3000</v>
      </c>
      <c r="H464" s="7">
        <v>46367</v>
      </c>
      <c r="I464" s="9">
        <v>1928</v>
      </c>
      <c r="J464" s="31">
        <f t="shared" si="14"/>
        <v>46363</v>
      </c>
      <c r="K464" s="31">
        <f>Table14[[#This Row],[week first day]]-7</f>
        <v>46356</v>
      </c>
      <c r="L464">
        <f t="shared" si="15"/>
        <v>1928</v>
      </c>
    </row>
    <row r="465" spans="1:12" x14ac:dyDescent="0.3">
      <c r="A465" s="8" t="s">
        <v>51</v>
      </c>
      <c r="B465" s="8" t="s">
        <v>52</v>
      </c>
      <c r="C465" s="8" t="s">
        <v>32</v>
      </c>
      <c r="D465" s="8">
        <v>90</v>
      </c>
      <c r="E465" s="8" t="s">
        <v>53</v>
      </c>
      <c r="F465" t="s">
        <v>50</v>
      </c>
      <c r="G465" s="8">
        <v>3000</v>
      </c>
      <c r="H465" s="7">
        <v>46374</v>
      </c>
      <c r="I465" s="9">
        <v>1930</v>
      </c>
      <c r="J465" s="31">
        <f t="shared" si="14"/>
        <v>46370</v>
      </c>
      <c r="K465" s="31">
        <f>Table14[[#This Row],[week first day]]-7</f>
        <v>46363</v>
      </c>
      <c r="L465">
        <f t="shared" si="15"/>
        <v>1930</v>
      </c>
    </row>
    <row r="466" spans="1:12" x14ac:dyDescent="0.3">
      <c r="A466" s="8" t="s">
        <v>51</v>
      </c>
      <c r="B466" s="8" t="s">
        <v>52</v>
      </c>
      <c r="C466" s="8" t="s">
        <v>32</v>
      </c>
      <c r="D466" s="8">
        <v>90</v>
      </c>
      <c r="E466" s="8" t="s">
        <v>53</v>
      </c>
      <c r="F466" t="s">
        <v>50</v>
      </c>
      <c r="G466" s="8">
        <v>3000</v>
      </c>
      <c r="H466" s="12">
        <v>46381</v>
      </c>
      <c r="I466" s="13">
        <v>1928</v>
      </c>
      <c r="J466" s="31">
        <f t="shared" si="14"/>
        <v>46377</v>
      </c>
      <c r="K466" s="31">
        <f>Table14[[#This Row],[week first day]]-7</f>
        <v>46370</v>
      </c>
      <c r="L466">
        <f t="shared" si="15"/>
        <v>1928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B885-D202-4CDA-9BBA-61F259C97A15}">
  <dimension ref="A1:N172"/>
  <sheetViews>
    <sheetView zoomScale="75" workbookViewId="0">
      <selection activeCell="H6" sqref="H6"/>
    </sheetView>
  </sheetViews>
  <sheetFormatPr defaultRowHeight="14.4" x14ac:dyDescent="0.3"/>
  <cols>
    <col min="1" max="1" width="11.44140625" bestFit="1" customWidth="1"/>
    <col min="2" max="2" width="32.109375" style="31" customWidth="1"/>
    <col min="3" max="3" width="23.21875" style="31" bestFit="1" customWidth="1"/>
    <col min="4" max="4" width="23.77734375" bestFit="1" customWidth="1"/>
    <col min="5" max="5" width="22.88671875" customWidth="1"/>
    <col min="6" max="6" width="8.88671875" customWidth="1"/>
    <col min="7" max="7" width="13.21875" bestFit="1" customWidth="1"/>
    <col min="8" max="8" width="15.5546875" style="31" bestFit="1" customWidth="1"/>
    <col min="9" max="9" width="14.88671875" bestFit="1" customWidth="1"/>
    <col min="10" max="10" width="9.6640625" style="31" bestFit="1" customWidth="1"/>
    <col min="11" max="11" width="9.88671875" customWidth="1"/>
    <col min="12" max="12" width="21.88671875" bestFit="1" customWidth="1"/>
    <col min="15" max="15" width="8.44140625" bestFit="1" customWidth="1"/>
    <col min="16" max="16" width="2.21875" bestFit="1" customWidth="1"/>
    <col min="17" max="17" width="2" bestFit="1" customWidth="1"/>
  </cols>
  <sheetData>
    <row r="1" spans="1:14" x14ac:dyDescent="0.3">
      <c r="A1" s="67" t="s">
        <v>21</v>
      </c>
      <c r="B1" s="68" t="s">
        <v>121</v>
      </c>
      <c r="C1" s="69" t="s">
        <v>119</v>
      </c>
      <c r="D1" s="70" t="s">
        <v>118</v>
      </c>
      <c r="E1" s="70" t="s">
        <v>122</v>
      </c>
      <c r="F1" s="70" t="s">
        <v>123</v>
      </c>
    </row>
    <row r="2" spans="1:14" x14ac:dyDescent="0.3">
      <c r="A2" t="str" cm="1">
        <f t="array" ref="A2:D172">_xlfn.UNIQUE(_xlfn.CHOOSECOLS(Demand_!A2:L466,1,3,11,12))</f>
        <v>A</v>
      </c>
      <c r="B2" s="31" t="str">
        <v>US</v>
      </c>
      <c r="C2" s="31">
        <v>46139</v>
      </c>
      <c r="D2">
        <v>684</v>
      </c>
      <c r="E2">
        <f>ROUNDUP(D2/_xlfn.XLOOKUP(A2,$J$3:$J$8,$L$3:$L$8),0)</f>
        <v>171</v>
      </c>
      <c r="F2">
        <f t="shared" ref="F2:F33" si="0">E2/100*_xlfn.XLOOKUP(A2,$J$3:$J$8,$M$3:$M$8)</f>
        <v>1.71</v>
      </c>
      <c r="J2" s="19" t="s">
        <v>21</v>
      </c>
      <c r="K2" s="19" t="s">
        <v>22</v>
      </c>
      <c r="L2" s="19" t="s">
        <v>104</v>
      </c>
      <c r="M2" s="19" t="s">
        <v>105</v>
      </c>
      <c r="N2" s="20"/>
    </row>
    <row r="3" spans="1:14" x14ac:dyDescent="0.3">
      <c r="A3" t="str">
        <v>A</v>
      </c>
      <c r="B3" s="31" t="str">
        <v>US</v>
      </c>
      <c r="C3" s="31">
        <v>46146</v>
      </c>
      <c r="D3">
        <v>20000</v>
      </c>
      <c r="E3">
        <f t="shared" ref="E3:E66" si="1">ROUNDUP(D3/_xlfn.XLOOKUP(A3,$J$3:$J$8,$L$3:$L$8),0)</f>
        <v>5000</v>
      </c>
      <c r="F3">
        <f t="shared" si="0"/>
        <v>50</v>
      </c>
      <c r="J3" s="18" t="s">
        <v>30</v>
      </c>
      <c r="K3" t="s">
        <v>31</v>
      </c>
      <c r="L3">
        <v>4</v>
      </c>
      <c r="M3" s="17">
        <v>1</v>
      </c>
    </row>
    <row r="4" spans="1:14" x14ac:dyDescent="0.3">
      <c r="A4" t="str">
        <v>A</v>
      </c>
      <c r="B4" s="31" t="str">
        <v>US</v>
      </c>
      <c r="C4" s="31">
        <v>46153</v>
      </c>
      <c r="D4">
        <v>20000</v>
      </c>
      <c r="E4">
        <f t="shared" si="1"/>
        <v>5000</v>
      </c>
      <c r="F4">
        <f t="shared" si="0"/>
        <v>50</v>
      </c>
      <c r="J4" s="18" t="s">
        <v>35</v>
      </c>
      <c r="K4" t="s">
        <v>36</v>
      </c>
      <c r="L4">
        <v>4</v>
      </c>
      <c r="M4" s="17">
        <v>0.625</v>
      </c>
    </row>
    <row r="5" spans="1:14" x14ac:dyDescent="0.3">
      <c r="A5" t="str">
        <v>A</v>
      </c>
      <c r="B5" s="31" t="str">
        <v>US</v>
      </c>
      <c r="C5" s="31">
        <v>46160</v>
      </c>
      <c r="D5">
        <v>11000</v>
      </c>
      <c r="E5">
        <f t="shared" si="1"/>
        <v>2750</v>
      </c>
      <c r="F5">
        <f t="shared" si="0"/>
        <v>27.5</v>
      </c>
      <c r="J5" s="18" t="s">
        <v>38</v>
      </c>
      <c r="K5" t="s">
        <v>39</v>
      </c>
      <c r="L5">
        <v>2</v>
      </c>
      <c r="M5" s="17">
        <v>1</v>
      </c>
    </row>
    <row r="6" spans="1:14" x14ac:dyDescent="0.3">
      <c r="A6" t="str">
        <v>A</v>
      </c>
      <c r="B6" s="31" t="str">
        <v>US</v>
      </c>
      <c r="C6" s="31">
        <v>46167</v>
      </c>
      <c r="D6">
        <v>13000</v>
      </c>
      <c r="E6">
        <f t="shared" si="1"/>
        <v>3250</v>
      </c>
      <c r="F6">
        <f t="shared" si="0"/>
        <v>32.5</v>
      </c>
      <c r="J6" s="18" t="s">
        <v>43</v>
      </c>
      <c r="K6" t="s">
        <v>44</v>
      </c>
      <c r="L6">
        <v>4</v>
      </c>
      <c r="M6" s="17">
        <v>0.625</v>
      </c>
    </row>
    <row r="7" spans="1:14" x14ac:dyDescent="0.3">
      <c r="A7" t="str">
        <v>A</v>
      </c>
      <c r="B7" s="31" t="str">
        <v>US</v>
      </c>
      <c r="C7" s="31">
        <v>46174</v>
      </c>
      <c r="D7">
        <v>13773</v>
      </c>
      <c r="E7">
        <f t="shared" si="1"/>
        <v>3444</v>
      </c>
      <c r="F7">
        <f t="shared" si="0"/>
        <v>34.44</v>
      </c>
      <c r="J7" s="18" t="s">
        <v>46</v>
      </c>
      <c r="K7" t="s">
        <v>47</v>
      </c>
      <c r="L7">
        <v>2</v>
      </c>
      <c r="M7" s="17">
        <v>0.625</v>
      </c>
    </row>
    <row r="8" spans="1:14" x14ac:dyDescent="0.3">
      <c r="A8" t="str">
        <v>A</v>
      </c>
      <c r="B8" s="31" t="str">
        <v>US</v>
      </c>
      <c r="C8" s="31">
        <v>46181</v>
      </c>
      <c r="D8">
        <v>7058</v>
      </c>
      <c r="E8">
        <f t="shared" si="1"/>
        <v>1765</v>
      </c>
      <c r="F8">
        <f t="shared" si="0"/>
        <v>17.649999999999999</v>
      </c>
      <c r="J8" s="18" t="s">
        <v>51</v>
      </c>
      <c r="K8" t="s">
        <v>52</v>
      </c>
      <c r="L8">
        <v>8</v>
      </c>
      <c r="M8" s="17">
        <v>0.78125</v>
      </c>
    </row>
    <row r="9" spans="1:14" x14ac:dyDescent="0.3">
      <c r="A9" t="str">
        <v>A</v>
      </c>
      <c r="B9" s="31" t="str">
        <v>US</v>
      </c>
      <c r="C9" s="31">
        <v>46188</v>
      </c>
      <c r="D9">
        <v>2040</v>
      </c>
      <c r="E9">
        <f t="shared" si="1"/>
        <v>510</v>
      </c>
      <c r="F9">
        <f t="shared" si="0"/>
        <v>5.0999999999999996</v>
      </c>
    </row>
    <row r="10" spans="1:14" x14ac:dyDescent="0.3">
      <c r="A10" t="str">
        <v>A</v>
      </c>
      <c r="B10" s="31" t="str">
        <v>US</v>
      </c>
      <c r="C10" s="31">
        <v>46195</v>
      </c>
      <c r="D10">
        <v>3541</v>
      </c>
      <c r="E10">
        <f t="shared" si="1"/>
        <v>886</v>
      </c>
      <c r="F10">
        <f t="shared" si="0"/>
        <v>8.86</v>
      </c>
    </row>
    <row r="11" spans="1:14" x14ac:dyDescent="0.3">
      <c r="A11" t="str">
        <v>A</v>
      </c>
      <c r="B11" s="31" t="str">
        <v>US</v>
      </c>
      <c r="C11" s="31">
        <v>46202</v>
      </c>
      <c r="D11">
        <v>12041</v>
      </c>
      <c r="E11">
        <f t="shared" si="1"/>
        <v>3011</v>
      </c>
      <c r="F11">
        <f t="shared" si="0"/>
        <v>30.11</v>
      </c>
    </row>
    <row r="12" spans="1:14" x14ac:dyDescent="0.3">
      <c r="A12" t="str">
        <v>A</v>
      </c>
      <c r="B12" s="31" t="str">
        <v>US</v>
      </c>
      <c r="C12" s="31">
        <v>46209</v>
      </c>
      <c r="D12">
        <v>12040</v>
      </c>
      <c r="E12">
        <f t="shared" si="1"/>
        <v>3010</v>
      </c>
      <c r="F12">
        <f t="shared" si="0"/>
        <v>30.1</v>
      </c>
    </row>
    <row r="13" spans="1:14" x14ac:dyDescent="0.3">
      <c r="A13" t="str">
        <v>A</v>
      </c>
      <c r="B13" s="31" t="str">
        <v>US</v>
      </c>
      <c r="C13" s="31">
        <v>46230</v>
      </c>
      <c r="D13">
        <v>27760</v>
      </c>
      <c r="E13">
        <f t="shared" si="1"/>
        <v>6940</v>
      </c>
      <c r="F13">
        <f t="shared" si="0"/>
        <v>69.400000000000006</v>
      </c>
    </row>
    <row r="14" spans="1:14" x14ac:dyDescent="0.3">
      <c r="A14" t="str">
        <v>A</v>
      </c>
      <c r="B14" s="31" t="str">
        <v>US</v>
      </c>
      <c r="C14" s="31">
        <v>46237</v>
      </c>
      <c r="D14">
        <v>26486</v>
      </c>
      <c r="E14">
        <f t="shared" si="1"/>
        <v>6622</v>
      </c>
      <c r="F14">
        <f t="shared" si="0"/>
        <v>66.22</v>
      </c>
    </row>
    <row r="15" spans="1:14" x14ac:dyDescent="0.3">
      <c r="A15" t="str">
        <v>A</v>
      </c>
      <c r="B15" s="31" t="str">
        <v>US</v>
      </c>
      <c r="C15" s="31">
        <v>46244</v>
      </c>
      <c r="D15">
        <v>4248</v>
      </c>
      <c r="E15">
        <f t="shared" si="1"/>
        <v>1062</v>
      </c>
      <c r="F15">
        <f t="shared" si="0"/>
        <v>10.62</v>
      </c>
    </row>
    <row r="16" spans="1:14" x14ac:dyDescent="0.3">
      <c r="A16" t="str">
        <v>A</v>
      </c>
      <c r="B16" s="31" t="str">
        <v>US</v>
      </c>
      <c r="C16" s="31">
        <v>46251</v>
      </c>
      <c r="D16">
        <v>4248</v>
      </c>
      <c r="E16">
        <f t="shared" si="1"/>
        <v>1062</v>
      </c>
      <c r="F16">
        <f t="shared" si="0"/>
        <v>10.62</v>
      </c>
    </row>
    <row r="17" spans="1:6" x14ac:dyDescent="0.3">
      <c r="A17" t="str">
        <v>A</v>
      </c>
      <c r="B17" s="31" t="str">
        <v>US</v>
      </c>
      <c r="C17" s="31">
        <v>46258</v>
      </c>
      <c r="D17">
        <v>4249</v>
      </c>
      <c r="E17">
        <f t="shared" si="1"/>
        <v>1063</v>
      </c>
      <c r="F17">
        <f t="shared" si="0"/>
        <v>10.63</v>
      </c>
    </row>
    <row r="18" spans="1:6" x14ac:dyDescent="0.3">
      <c r="A18" t="str">
        <v>A</v>
      </c>
      <c r="B18" s="31" t="str">
        <v>US</v>
      </c>
      <c r="C18" s="31">
        <v>46265</v>
      </c>
      <c r="D18">
        <v>4248</v>
      </c>
      <c r="E18">
        <f t="shared" si="1"/>
        <v>1062</v>
      </c>
      <c r="F18">
        <f t="shared" si="0"/>
        <v>10.62</v>
      </c>
    </row>
    <row r="19" spans="1:6" x14ac:dyDescent="0.3">
      <c r="A19" t="str">
        <v>A</v>
      </c>
      <c r="B19" s="31" t="str">
        <v>US</v>
      </c>
      <c r="C19" s="31">
        <v>46272</v>
      </c>
      <c r="D19">
        <v>2391</v>
      </c>
      <c r="E19">
        <f t="shared" si="1"/>
        <v>598</v>
      </c>
      <c r="F19">
        <f t="shared" si="0"/>
        <v>5.98</v>
      </c>
    </row>
    <row r="20" spans="1:6" x14ac:dyDescent="0.3">
      <c r="A20" t="str">
        <v>A</v>
      </c>
      <c r="B20" s="31" t="str">
        <v>US</v>
      </c>
      <c r="C20" s="31">
        <v>46279</v>
      </c>
      <c r="D20">
        <v>2392</v>
      </c>
      <c r="E20">
        <f t="shared" si="1"/>
        <v>598</v>
      </c>
      <c r="F20">
        <f t="shared" si="0"/>
        <v>5.98</v>
      </c>
    </row>
    <row r="21" spans="1:6" x14ac:dyDescent="0.3">
      <c r="A21" t="str">
        <v>A</v>
      </c>
      <c r="B21" s="31" t="str">
        <v>US</v>
      </c>
      <c r="C21" s="31">
        <v>46286</v>
      </c>
      <c r="D21">
        <v>2391</v>
      </c>
      <c r="E21">
        <f t="shared" si="1"/>
        <v>598</v>
      </c>
      <c r="F21">
        <f t="shared" si="0"/>
        <v>5.98</v>
      </c>
    </row>
    <row r="22" spans="1:6" x14ac:dyDescent="0.3">
      <c r="A22" t="str">
        <v>A</v>
      </c>
      <c r="B22" s="31" t="str">
        <v>US</v>
      </c>
      <c r="C22" s="31">
        <v>46293</v>
      </c>
      <c r="D22">
        <v>2392</v>
      </c>
      <c r="E22">
        <f t="shared" si="1"/>
        <v>598</v>
      </c>
      <c r="F22">
        <f t="shared" si="0"/>
        <v>5.98</v>
      </c>
    </row>
    <row r="23" spans="1:6" x14ac:dyDescent="0.3">
      <c r="A23" t="str">
        <v>A</v>
      </c>
      <c r="B23" s="31" t="str">
        <v>US</v>
      </c>
      <c r="C23" s="31">
        <v>46300</v>
      </c>
      <c r="D23">
        <v>16017</v>
      </c>
      <c r="E23">
        <f t="shared" si="1"/>
        <v>4005</v>
      </c>
      <c r="F23">
        <f t="shared" si="0"/>
        <v>40.049999999999997</v>
      </c>
    </row>
    <row r="24" spans="1:6" x14ac:dyDescent="0.3">
      <c r="A24" t="str">
        <v>A</v>
      </c>
      <c r="B24" s="31" t="str">
        <v>US</v>
      </c>
      <c r="C24" s="31">
        <v>46307</v>
      </c>
      <c r="D24">
        <v>16017</v>
      </c>
      <c r="E24">
        <f t="shared" si="1"/>
        <v>4005</v>
      </c>
      <c r="F24">
        <f t="shared" si="0"/>
        <v>40.049999999999997</v>
      </c>
    </row>
    <row r="25" spans="1:6" x14ac:dyDescent="0.3">
      <c r="A25" t="str">
        <v>A</v>
      </c>
      <c r="B25" s="31" t="str">
        <v>US</v>
      </c>
      <c r="C25" s="31">
        <v>46314</v>
      </c>
      <c r="D25">
        <v>16016</v>
      </c>
      <c r="E25">
        <f t="shared" si="1"/>
        <v>4004</v>
      </c>
      <c r="F25">
        <f t="shared" si="0"/>
        <v>40.04</v>
      </c>
    </row>
    <row r="26" spans="1:6" x14ac:dyDescent="0.3">
      <c r="A26" t="str">
        <v>A</v>
      </c>
      <c r="B26" s="31" t="str">
        <v>US</v>
      </c>
      <c r="C26" s="31">
        <v>46321</v>
      </c>
      <c r="D26">
        <v>16017</v>
      </c>
      <c r="E26">
        <f t="shared" si="1"/>
        <v>4005</v>
      </c>
      <c r="F26">
        <f t="shared" si="0"/>
        <v>40.049999999999997</v>
      </c>
    </row>
    <row r="27" spans="1:6" x14ac:dyDescent="0.3">
      <c r="A27" t="str">
        <v>A</v>
      </c>
      <c r="B27" s="31" t="str">
        <v>US</v>
      </c>
      <c r="C27" s="31">
        <v>46328</v>
      </c>
      <c r="D27">
        <v>4281</v>
      </c>
      <c r="E27">
        <f t="shared" si="1"/>
        <v>1071</v>
      </c>
      <c r="F27">
        <f t="shared" si="0"/>
        <v>10.71</v>
      </c>
    </row>
    <row r="28" spans="1:6" x14ac:dyDescent="0.3">
      <c r="A28" t="str">
        <v>A</v>
      </c>
      <c r="B28" s="31" t="str">
        <v>US</v>
      </c>
      <c r="C28" s="31">
        <v>46335</v>
      </c>
      <c r="D28">
        <v>4282</v>
      </c>
      <c r="E28">
        <f t="shared" si="1"/>
        <v>1071</v>
      </c>
      <c r="F28">
        <f t="shared" si="0"/>
        <v>10.71</v>
      </c>
    </row>
    <row r="29" spans="1:6" x14ac:dyDescent="0.3">
      <c r="A29" t="str">
        <v>A</v>
      </c>
      <c r="B29" s="31" t="str">
        <v>US</v>
      </c>
      <c r="C29" s="31">
        <v>46342</v>
      </c>
      <c r="D29">
        <v>4281</v>
      </c>
      <c r="E29">
        <f t="shared" si="1"/>
        <v>1071</v>
      </c>
      <c r="F29">
        <f t="shared" si="0"/>
        <v>10.71</v>
      </c>
    </row>
    <row r="30" spans="1:6" x14ac:dyDescent="0.3">
      <c r="A30" t="str">
        <v>A</v>
      </c>
      <c r="B30" s="31" t="str">
        <v>US</v>
      </c>
      <c r="C30" s="31">
        <v>46349</v>
      </c>
      <c r="D30">
        <v>4282</v>
      </c>
      <c r="E30">
        <f t="shared" si="1"/>
        <v>1071</v>
      </c>
      <c r="F30">
        <f t="shared" si="0"/>
        <v>10.71</v>
      </c>
    </row>
    <row r="31" spans="1:6" x14ac:dyDescent="0.3">
      <c r="A31" t="str">
        <v>A</v>
      </c>
      <c r="B31" s="31" t="str">
        <v>US</v>
      </c>
      <c r="C31" s="31">
        <v>46356</v>
      </c>
      <c r="D31">
        <v>4281</v>
      </c>
      <c r="E31">
        <f t="shared" si="1"/>
        <v>1071</v>
      </c>
      <c r="F31">
        <f t="shared" si="0"/>
        <v>10.71</v>
      </c>
    </row>
    <row r="32" spans="1:6" x14ac:dyDescent="0.3">
      <c r="A32" t="str">
        <v>A</v>
      </c>
      <c r="B32" s="31" t="str">
        <v>US</v>
      </c>
      <c r="C32" s="31">
        <v>46363</v>
      </c>
      <c r="D32">
        <v>8326</v>
      </c>
      <c r="E32">
        <f t="shared" si="1"/>
        <v>2082</v>
      </c>
      <c r="F32">
        <f t="shared" si="0"/>
        <v>20.82</v>
      </c>
    </row>
    <row r="33" spans="1:6" x14ac:dyDescent="0.3">
      <c r="A33" t="str">
        <v>A</v>
      </c>
      <c r="B33" s="31" t="str">
        <v>US</v>
      </c>
      <c r="C33" s="31">
        <v>46370</v>
      </c>
      <c r="D33">
        <v>8325</v>
      </c>
      <c r="E33">
        <f t="shared" si="1"/>
        <v>2082</v>
      </c>
      <c r="F33">
        <f t="shared" si="0"/>
        <v>20.82</v>
      </c>
    </row>
    <row r="34" spans="1:6" x14ac:dyDescent="0.3">
      <c r="A34" t="str">
        <v>B</v>
      </c>
      <c r="B34" s="31" t="str">
        <v>US</v>
      </c>
      <c r="C34" s="31">
        <v>46146</v>
      </c>
      <c r="D34">
        <v>5502</v>
      </c>
      <c r="E34">
        <f t="shared" si="1"/>
        <v>1376</v>
      </c>
      <c r="F34">
        <f t="shared" ref="F34:F65" si="2">E34/100*_xlfn.XLOOKUP(A34,$J$3:$J$8,$M$3:$M$8)</f>
        <v>8.6</v>
      </c>
    </row>
    <row r="35" spans="1:6" x14ac:dyDescent="0.3">
      <c r="A35" t="str">
        <v>B</v>
      </c>
      <c r="B35" s="31" t="str">
        <v>US</v>
      </c>
      <c r="C35" s="31">
        <v>46153</v>
      </c>
      <c r="D35">
        <v>15658</v>
      </c>
      <c r="E35">
        <f t="shared" si="1"/>
        <v>3915</v>
      </c>
      <c r="F35">
        <f t="shared" si="2"/>
        <v>24.46875</v>
      </c>
    </row>
    <row r="36" spans="1:6" x14ac:dyDescent="0.3">
      <c r="A36" t="str">
        <v>B</v>
      </c>
      <c r="B36" s="31" t="str">
        <v>US</v>
      </c>
      <c r="C36" s="31">
        <v>46160</v>
      </c>
      <c r="D36">
        <v>8865</v>
      </c>
      <c r="E36">
        <f t="shared" si="1"/>
        <v>2217</v>
      </c>
      <c r="F36">
        <f t="shared" si="2"/>
        <v>13.856250000000001</v>
      </c>
    </row>
    <row r="37" spans="1:6" x14ac:dyDescent="0.3">
      <c r="A37" t="str">
        <v>B</v>
      </c>
      <c r="B37" s="31" t="str">
        <v>US</v>
      </c>
      <c r="C37" s="31">
        <v>46167</v>
      </c>
      <c r="D37">
        <v>2146</v>
      </c>
      <c r="E37">
        <f t="shared" si="1"/>
        <v>537</v>
      </c>
      <c r="F37">
        <f t="shared" si="2"/>
        <v>3.3562500000000002</v>
      </c>
    </row>
    <row r="38" spans="1:6" x14ac:dyDescent="0.3">
      <c r="A38" t="str">
        <v>B</v>
      </c>
      <c r="B38" s="31" t="str">
        <v>US</v>
      </c>
      <c r="C38" s="31">
        <v>46174</v>
      </c>
      <c r="D38">
        <v>7123</v>
      </c>
      <c r="E38">
        <f t="shared" si="1"/>
        <v>1781</v>
      </c>
      <c r="F38">
        <f t="shared" si="2"/>
        <v>11.13125</v>
      </c>
    </row>
    <row r="39" spans="1:6" x14ac:dyDescent="0.3">
      <c r="A39" t="str">
        <v>B</v>
      </c>
      <c r="B39" s="31" t="str">
        <v>US</v>
      </c>
      <c r="C39" s="31">
        <v>46181</v>
      </c>
      <c r="D39">
        <v>5309</v>
      </c>
      <c r="E39">
        <f t="shared" si="1"/>
        <v>1328</v>
      </c>
      <c r="F39">
        <f t="shared" si="2"/>
        <v>8.2999999999999989</v>
      </c>
    </row>
    <row r="40" spans="1:6" x14ac:dyDescent="0.3">
      <c r="A40" t="str">
        <v>B</v>
      </c>
      <c r="B40" s="31" t="str">
        <v>US</v>
      </c>
      <c r="C40" s="31">
        <v>46188</v>
      </c>
      <c r="D40">
        <v>5309</v>
      </c>
      <c r="E40">
        <f t="shared" si="1"/>
        <v>1328</v>
      </c>
      <c r="F40">
        <f t="shared" si="2"/>
        <v>8.2999999999999989</v>
      </c>
    </row>
    <row r="41" spans="1:6" x14ac:dyDescent="0.3">
      <c r="A41" t="str">
        <v>B</v>
      </c>
      <c r="B41" s="31" t="str">
        <v>US</v>
      </c>
      <c r="C41" s="31">
        <v>46195</v>
      </c>
      <c r="D41">
        <v>3000</v>
      </c>
      <c r="E41">
        <f t="shared" si="1"/>
        <v>750</v>
      </c>
      <c r="F41">
        <f t="shared" si="2"/>
        <v>4.6875</v>
      </c>
    </row>
    <row r="42" spans="1:6" x14ac:dyDescent="0.3">
      <c r="A42" t="str">
        <v>B</v>
      </c>
      <c r="B42" s="31" t="str">
        <v>US</v>
      </c>
      <c r="C42" s="31">
        <v>46202</v>
      </c>
      <c r="D42">
        <v>3000</v>
      </c>
      <c r="E42">
        <f t="shared" si="1"/>
        <v>750</v>
      </c>
      <c r="F42">
        <f t="shared" si="2"/>
        <v>4.6875</v>
      </c>
    </row>
    <row r="43" spans="1:6" x14ac:dyDescent="0.3">
      <c r="A43" t="str">
        <v>B</v>
      </c>
      <c r="B43" s="31" t="str">
        <v>US</v>
      </c>
      <c r="C43" s="31">
        <v>46209</v>
      </c>
      <c r="D43">
        <v>3000</v>
      </c>
      <c r="E43">
        <f t="shared" si="1"/>
        <v>750</v>
      </c>
      <c r="F43">
        <f t="shared" si="2"/>
        <v>4.6875</v>
      </c>
    </row>
    <row r="44" spans="1:6" x14ac:dyDescent="0.3">
      <c r="A44" t="str">
        <v>B</v>
      </c>
      <c r="B44" s="31" t="str">
        <v>US</v>
      </c>
      <c r="C44" s="31">
        <v>46216</v>
      </c>
      <c r="D44">
        <v>3000</v>
      </c>
      <c r="E44">
        <f t="shared" si="1"/>
        <v>750</v>
      </c>
      <c r="F44">
        <f t="shared" si="2"/>
        <v>4.6875</v>
      </c>
    </row>
    <row r="45" spans="1:6" x14ac:dyDescent="0.3">
      <c r="A45" t="str">
        <v>B</v>
      </c>
      <c r="B45" s="31" t="str">
        <v>US</v>
      </c>
      <c r="C45" s="31">
        <v>46223</v>
      </c>
      <c r="D45">
        <v>2400</v>
      </c>
      <c r="E45">
        <f t="shared" si="1"/>
        <v>600</v>
      </c>
      <c r="F45">
        <f t="shared" si="2"/>
        <v>3.75</v>
      </c>
    </row>
    <row r="46" spans="1:6" x14ac:dyDescent="0.3">
      <c r="A46" t="str">
        <v>B</v>
      </c>
      <c r="B46" s="31" t="str">
        <v>US</v>
      </c>
      <c r="C46" s="31">
        <v>46230</v>
      </c>
      <c r="D46">
        <v>2400</v>
      </c>
      <c r="E46">
        <f t="shared" si="1"/>
        <v>600</v>
      </c>
      <c r="F46">
        <f t="shared" si="2"/>
        <v>3.75</v>
      </c>
    </row>
    <row r="47" spans="1:6" x14ac:dyDescent="0.3">
      <c r="A47" t="str">
        <v>B</v>
      </c>
      <c r="B47" s="31" t="str">
        <v>US</v>
      </c>
      <c r="C47" s="31">
        <v>46244</v>
      </c>
      <c r="D47">
        <v>2400</v>
      </c>
      <c r="E47">
        <f t="shared" si="1"/>
        <v>600</v>
      </c>
      <c r="F47">
        <f t="shared" si="2"/>
        <v>3.75</v>
      </c>
    </row>
    <row r="48" spans="1:6" x14ac:dyDescent="0.3">
      <c r="A48" t="str">
        <v>B</v>
      </c>
      <c r="B48" s="31" t="str">
        <v>US</v>
      </c>
      <c r="C48" s="31">
        <v>46251</v>
      </c>
      <c r="D48">
        <v>2400</v>
      </c>
      <c r="E48">
        <f t="shared" si="1"/>
        <v>600</v>
      </c>
      <c r="F48">
        <f t="shared" si="2"/>
        <v>3.75</v>
      </c>
    </row>
    <row r="49" spans="1:6" x14ac:dyDescent="0.3">
      <c r="A49" t="str">
        <v>B</v>
      </c>
      <c r="B49" s="31" t="str">
        <v>US</v>
      </c>
      <c r="C49" s="31">
        <v>46258</v>
      </c>
      <c r="D49">
        <v>3750</v>
      </c>
      <c r="E49">
        <f t="shared" si="1"/>
        <v>938</v>
      </c>
      <c r="F49">
        <f t="shared" si="2"/>
        <v>5.8625000000000007</v>
      </c>
    </row>
    <row r="50" spans="1:6" x14ac:dyDescent="0.3">
      <c r="A50" t="str">
        <v>B</v>
      </c>
      <c r="B50" s="31" t="str">
        <v>US</v>
      </c>
      <c r="C50" s="31">
        <v>46265</v>
      </c>
      <c r="D50">
        <v>3750</v>
      </c>
      <c r="E50">
        <f t="shared" si="1"/>
        <v>938</v>
      </c>
      <c r="F50">
        <f t="shared" si="2"/>
        <v>5.8625000000000007</v>
      </c>
    </row>
    <row r="51" spans="1:6" x14ac:dyDescent="0.3">
      <c r="A51" t="str">
        <v>B</v>
      </c>
      <c r="B51" s="31" t="str">
        <v>US</v>
      </c>
      <c r="C51" s="31">
        <v>46272</v>
      </c>
      <c r="D51">
        <v>3750</v>
      </c>
      <c r="E51">
        <f t="shared" si="1"/>
        <v>938</v>
      </c>
      <c r="F51">
        <f t="shared" si="2"/>
        <v>5.8625000000000007</v>
      </c>
    </row>
    <row r="52" spans="1:6" x14ac:dyDescent="0.3">
      <c r="A52" t="str">
        <v>B</v>
      </c>
      <c r="B52" s="31" t="str">
        <v>US</v>
      </c>
      <c r="C52" s="31">
        <v>46279</v>
      </c>
      <c r="D52">
        <v>3750</v>
      </c>
      <c r="E52">
        <f t="shared" si="1"/>
        <v>938</v>
      </c>
      <c r="F52">
        <f t="shared" si="2"/>
        <v>5.8625000000000007</v>
      </c>
    </row>
    <row r="53" spans="1:6" x14ac:dyDescent="0.3">
      <c r="A53" t="str">
        <v>B</v>
      </c>
      <c r="B53" s="31" t="str">
        <v>US</v>
      </c>
      <c r="C53" s="31">
        <v>46286</v>
      </c>
      <c r="D53">
        <v>3000</v>
      </c>
      <c r="E53">
        <f t="shared" si="1"/>
        <v>750</v>
      </c>
      <c r="F53">
        <f t="shared" si="2"/>
        <v>4.6875</v>
      </c>
    </row>
    <row r="54" spans="1:6" x14ac:dyDescent="0.3">
      <c r="A54" t="str">
        <v>B</v>
      </c>
      <c r="B54" s="31" t="str">
        <v>US</v>
      </c>
      <c r="C54" s="31">
        <v>46293</v>
      </c>
      <c r="D54">
        <v>3000</v>
      </c>
      <c r="E54">
        <f t="shared" si="1"/>
        <v>750</v>
      </c>
      <c r="F54">
        <f t="shared" si="2"/>
        <v>4.6875</v>
      </c>
    </row>
    <row r="55" spans="1:6" x14ac:dyDescent="0.3">
      <c r="A55" t="str">
        <v>B</v>
      </c>
      <c r="B55" s="31" t="str">
        <v>US</v>
      </c>
      <c r="C55" s="31">
        <v>46300</v>
      </c>
      <c r="D55">
        <v>3000</v>
      </c>
      <c r="E55">
        <f t="shared" si="1"/>
        <v>750</v>
      </c>
      <c r="F55">
        <f t="shared" si="2"/>
        <v>4.6875</v>
      </c>
    </row>
    <row r="56" spans="1:6" x14ac:dyDescent="0.3">
      <c r="A56" t="str">
        <v>B</v>
      </c>
      <c r="B56" s="31" t="str">
        <v>US</v>
      </c>
      <c r="C56" s="31">
        <v>46307</v>
      </c>
      <c r="D56">
        <v>3000</v>
      </c>
      <c r="E56">
        <f t="shared" si="1"/>
        <v>750</v>
      </c>
      <c r="F56">
        <f t="shared" si="2"/>
        <v>4.6875</v>
      </c>
    </row>
    <row r="57" spans="1:6" x14ac:dyDescent="0.3">
      <c r="A57" t="str">
        <v>B</v>
      </c>
      <c r="B57" s="31" t="str">
        <v>US</v>
      </c>
      <c r="C57" s="31">
        <v>46314</v>
      </c>
      <c r="D57">
        <v>3000</v>
      </c>
      <c r="E57">
        <f t="shared" si="1"/>
        <v>750</v>
      </c>
      <c r="F57">
        <f t="shared" si="2"/>
        <v>4.6875</v>
      </c>
    </row>
    <row r="58" spans="1:6" x14ac:dyDescent="0.3">
      <c r="A58" t="str">
        <v>B</v>
      </c>
      <c r="B58" s="31" t="str">
        <v>US</v>
      </c>
      <c r="C58" s="31">
        <v>46321</v>
      </c>
      <c r="D58">
        <v>6250</v>
      </c>
      <c r="E58">
        <f t="shared" si="1"/>
        <v>1563</v>
      </c>
      <c r="F58">
        <f t="shared" si="2"/>
        <v>9.7687500000000007</v>
      </c>
    </row>
    <row r="59" spans="1:6" x14ac:dyDescent="0.3">
      <c r="A59" t="str">
        <v>B</v>
      </c>
      <c r="B59" s="31" t="str">
        <v>US</v>
      </c>
      <c r="C59" s="31">
        <v>46328</v>
      </c>
      <c r="D59">
        <v>6250</v>
      </c>
      <c r="E59">
        <f t="shared" si="1"/>
        <v>1563</v>
      </c>
      <c r="F59">
        <f t="shared" si="2"/>
        <v>9.7687500000000007</v>
      </c>
    </row>
    <row r="60" spans="1:6" x14ac:dyDescent="0.3">
      <c r="A60" t="str">
        <v>B</v>
      </c>
      <c r="B60" s="31" t="str">
        <v>US</v>
      </c>
      <c r="C60" s="31">
        <v>46335</v>
      </c>
      <c r="D60">
        <v>6250</v>
      </c>
      <c r="E60">
        <f t="shared" si="1"/>
        <v>1563</v>
      </c>
      <c r="F60">
        <f t="shared" si="2"/>
        <v>9.7687500000000007</v>
      </c>
    </row>
    <row r="61" spans="1:6" x14ac:dyDescent="0.3">
      <c r="A61" t="str">
        <v>B</v>
      </c>
      <c r="B61" s="31" t="str">
        <v>US</v>
      </c>
      <c r="C61" s="31">
        <v>46342</v>
      </c>
      <c r="D61">
        <v>6250</v>
      </c>
      <c r="E61">
        <f t="shared" si="1"/>
        <v>1563</v>
      </c>
      <c r="F61">
        <f t="shared" si="2"/>
        <v>9.7687500000000007</v>
      </c>
    </row>
    <row r="62" spans="1:6" x14ac:dyDescent="0.3">
      <c r="A62" t="str">
        <v>B</v>
      </c>
      <c r="B62" s="31" t="str">
        <v>US</v>
      </c>
      <c r="C62" s="31">
        <v>46349</v>
      </c>
      <c r="D62">
        <v>6250</v>
      </c>
      <c r="E62">
        <f t="shared" si="1"/>
        <v>1563</v>
      </c>
      <c r="F62">
        <f t="shared" si="2"/>
        <v>9.7687500000000007</v>
      </c>
    </row>
    <row r="63" spans="1:6" x14ac:dyDescent="0.3">
      <c r="A63" t="str">
        <v>B</v>
      </c>
      <c r="B63" s="31" t="str">
        <v>US</v>
      </c>
      <c r="C63" s="31">
        <v>46356</v>
      </c>
      <c r="D63">
        <v>6250</v>
      </c>
      <c r="E63">
        <f t="shared" si="1"/>
        <v>1563</v>
      </c>
      <c r="F63">
        <f t="shared" si="2"/>
        <v>9.7687500000000007</v>
      </c>
    </row>
    <row r="64" spans="1:6" x14ac:dyDescent="0.3">
      <c r="A64" t="str">
        <v>B</v>
      </c>
      <c r="B64" s="31" t="str">
        <v>US</v>
      </c>
      <c r="C64" s="31">
        <v>46363</v>
      </c>
      <c r="D64">
        <v>6250</v>
      </c>
      <c r="E64">
        <f t="shared" si="1"/>
        <v>1563</v>
      </c>
      <c r="F64">
        <f t="shared" si="2"/>
        <v>9.7687500000000007</v>
      </c>
    </row>
    <row r="65" spans="1:6" x14ac:dyDescent="0.3">
      <c r="A65" t="str">
        <v>B</v>
      </c>
      <c r="B65" s="31" t="str">
        <v>US</v>
      </c>
      <c r="C65" s="31">
        <v>46370</v>
      </c>
      <c r="D65">
        <v>6250</v>
      </c>
      <c r="E65">
        <f t="shared" si="1"/>
        <v>1563</v>
      </c>
      <c r="F65">
        <f t="shared" si="2"/>
        <v>9.7687500000000007</v>
      </c>
    </row>
    <row r="66" spans="1:6" x14ac:dyDescent="0.3">
      <c r="A66" t="str">
        <v>C</v>
      </c>
      <c r="B66" s="31" t="str">
        <v>UK</v>
      </c>
      <c r="C66" s="31">
        <v>46146</v>
      </c>
      <c r="D66">
        <v>4320</v>
      </c>
      <c r="E66">
        <f t="shared" si="1"/>
        <v>2160</v>
      </c>
      <c r="F66">
        <f t="shared" ref="F66:F97" si="3">E66/100*_xlfn.XLOOKUP(A66,$J$3:$J$8,$M$3:$M$8)</f>
        <v>21.6</v>
      </c>
    </row>
    <row r="67" spans="1:6" x14ac:dyDescent="0.3">
      <c r="A67" t="str">
        <v>C</v>
      </c>
      <c r="B67" s="31" t="str">
        <v>UK</v>
      </c>
      <c r="C67" s="31">
        <v>46153</v>
      </c>
      <c r="D67">
        <v>8370</v>
      </c>
      <c r="E67">
        <f t="shared" ref="E67:E130" si="4">ROUNDUP(D67/_xlfn.XLOOKUP(A67,$J$3:$J$8,$L$3:$L$8),0)</f>
        <v>4185</v>
      </c>
      <c r="F67">
        <f t="shared" si="3"/>
        <v>41.85</v>
      </c>
    </row>
    <row r="68" spans="1:6" x14ac:dyDescent="0.3">
      <c r="A68" t="str">
        <v>C</v>
      </c>
      <c r="B68" s="31" t="str">
        <v>UK</v>
      </c>
      <c r="C68" s="31">
        <v>46160</v>
      </c>
      <c r="D68">
        <v>11782</v>
      </c>
      <c r="E68">
        <f t="shared" si="4"/>
        <v>5891</v>
      </c>
      <c r="F68">
        <f t="shared" si="3"/>
        <v>58.91</v>
      </c>
    </row>
    <row r="69" spans="1:6" x14ac:dyDescent="0.3">
      <c r="A69" t="str">
        <v>C</v>
      </c>
      <c r="B69" s="31" t="str">
        <v>UK</v>
      </c>
      <c r="C69" s="31">
        <v>46167</v>
      </c>
      <c r="D69">
        <v>10524</v>
      </c>
      <c r="E69">
        <f t="shared" si="4"/>
        <v>5262</v>
      </c>
      <c r="F69">
        <f t="shared" si="3"/>
        <v>52.62</v>
      </c>
    </row>
    <row r="70" spans="1:6" x14ac:dyDescent="0.3">
      <c r="A70" t="str">
        <v>C</v>
      </c>
      <c r="B70" s="31" t="str">
        <v>UK</v>
      </c>
      <c r="C70" s="31">
        <v>46174</v>
      </c>
      <c r="D70">
        <v>3240</v>
      </c>
      <c r="E70">
        <f t="shared" si="4"/>
        <v>1620</v>
      </c>
      <c r="F70">
        <f t="shared" si="3"/>
        <v>16.2</v>
      </c>
    </row>
    <row r="71" spans="1:6" x14ac:dyDescent="0.3">
      <c r="A71" t="str">
        <v>C</v>
      </c>
      <c r="B71" s="31" t="str">
        <v>UK</v>
      </c>
      <c r="C71" s="31">
        <v>46181</v>
      </c>
      <c r="D71">
        <v>6442</v>
      </c>
      <c r="E71">
        <f t="shared" si="4"/>
        <v>3221</v>
      </c>
      <c r="F71">
        <f t="shared" si="3"/>
        <v>32.21</v>
      </c>
    </row>
    <row r="72" spans="1:6" x14ac:dyDescent="0.3">
      <c r="A72" t="str">
        <v>C</v>
      </c>
      <c r="B72" s="31" t="str">
        <v>UK</v>
      </c>
      <c r="C72" s="31">
        <v>46188</v>
      </c>
      <c r="D72">
        <v>8802</v>
      </c>
      <c r="E72">
        <f t="shared" si="4"/>
        <v>4401</v>
      </c>
      <c r="F72">
        <f t="shared" si="3"/>
        <v>44.01</v>
      </c>
    </row>
    <row r="73" spans="1:6" x14ac:dyDescent="0.3">
      <c r="A73" t="str">
        <v>C</v>
      </c>
      <c r="B73" s="31" t="str">
        <v>UK</v>
      </c>
      <c r="C73" s="31">
        <v>46195</v>
      </c>
      <c r="D73">
        <v>7695</v>
      </c>
      <c r="E73">
        <f t="shared" si="4"/>
        <v>3848</v>
      </c>
      <c r="F73">
        <f t="shared" si="3"/>
        <v>38.479999999999997</v>
      </c>
    </row>
    <row r="74" spans="1:6" x14ac:dyDescent="0.3">
      <c r="A74" t="str">
        <v>C</v>
      </c>
      <c r="B74" s="31" t="str">
        <v>UK</v>
      </c>
      <c r="C74" s="31">
        <v>46202</v>
      </c>
      <c r="D74">
        <v>2500</v>
      </c>
      <c r="E74">
        <f t="shared" si="4"/>
        <v>1250</v>
      </c>
      <c r="F74">
        <f t="shared" si="3"/>
        <v>12.5</v>
      </c>
    </row>
    <row r="75" spans="1:6" x14ac:dyDescent="0.3">
      <c r="A75" t="str">
        <v>C</v>
      </c>
      <c r="B75" s="31" t="str">
        <v>UK</v>
      </c>
      <c r="C75" s="31">
        <v>46209</v>
      </c>
      <c r="D75">
        <v>2500</v>
      </c>
      <c r="E75">
        <f t="shared" si="4"/>
        <v>1250</v>
      </c>
      <c r="F75">
        <f t="shared" si="3"/>
        <v>12.5</v>
      </c>
    </row>
    <row r="76" spans="1:6" x14ac:dyDescent="0.3">
      <c r="A76" t="str">
        <v>C</v>
      </c>
      <c r="B76" s="31" t="str">
        <v>UK</v>
      </c>
      <c r="C76" s="31">
        <v>46216</v>
      </c>
      <c r="D76">
        <v>2500</v>
      </c>
      <c r="E76">
        <f t="shared" si="4"/>
        <v>1250</v>
      </c>
      <c r="F76">
        <f t="shared" si="3"/>
        <v>12.5</v>
      </c>
    </row>
    <row r="77" spans="1:6" x14ac:dyDescent="0.3">
      <c r="A77" t="str">
        <v>C</v>
      </c>
      <c r="B77" s="31" t="str">
        <v>UK</v>
      </c>
      <c r="C77" s="31">
        <v>46223</v>
      </c>
      <c r="D77">
        <v>1000</v>
      </c>
      <c r="E77">
        <f t="shared" si="4"/>
        <v>500</v>
      </c>
      <c r="F77">
        <f t="shared" si="3"/>
        <v>5</v>
      </c>
    </row>
    <row r="78" spans="1:6" x14ac:dyDescent="0.3">
      <c r="A78" t="str">
        <v>C</v>
      </c>
      <c r="B78" s="31" t="str">
        <v>UK</v>
      </c>
      <c r="C78" s="31">
        <v>46230</v>
      </c>
      <c r="D78">
        <v>1000</v>
      </c>
      <c r="E78">
        <f t="shared" si="4"/>
        <v>500</v>
      </c>
      <c r="F78">
        <f t="shared" si="3"/>
        <v>5</v>
      </c>
    </row>
    <row r="79" spans="1:6" x14ac:dyDescent="0.3">
      <c r="A79" t="str">
        <v>C</v>
      </c>
      <c r="B79" s="31" t="str">
        <v>UK</v>
      </c>
      <c r="C79" s="31">
        <v>46237</v>
      </c>
      <c r="D79">
        <v>1000</v>
      </c>
      <c r="E79">
        <f t="shared" si="4"/>
        <v>500</v>
      </c>
      <c r="F79">
        <f t="shared" si="3"/>
        <v>5</v>
      </c>
    </row>
    <row r="80" spans="1:6" x14ac:dyDescent="0.3">
      <c r="A80" t="str">
        <v>C</v>
      </c>
      <c r="B80" s="31" t="str">
        <v>UK</v>
      </c>
      <c r="C80" s="31">
        <v>46244</v>
      </c>
      <c r="D80">
        <v>1000</v>
      </c>
      <c r="E80">
        <f t="shared" si="4"/>
        <v>500</v>
      </c>
      <c r="F80">
        <f t="shared" si="3"/>
        <v>5</v>
      </c>
    </row>
    <row r="81" spans="1:6" x14ac:dyDescent="0.3">
      <c r="A81" t="str">
        <v>C</v>
      </c>
      <c r="B81" s="31" t="str">
        <v>UK</v>
      </c>
      <c r="C81" s="31">
        <v>46251</v>
      </c>
      <c r="D81">
        <v>1000</v>
      </c>
      <c r="E81">
        <f t="shared" si="4"/>
        <v>500</v>
      </c>
      <c r="F81">
        <f t="shared" si="3"/>
        <v>5</v>
      </c>
    </row>
    <row r="82" spans="1:6" x14ac:dyDescent="0.3">
      <c r="A82" t="str">
        <v>C</v>
      </c>
      <c r="B82" s="31" t="str">
        <v>UK</v>
      </c>
      <c r="C82" s="31">
        <v>46258</v>
      </c>
      <c r="D82">
        <v>750</v>
      </c>
      <c r="E82">
        <f t="shared" si="4"/>
        <v>375</v>
      </c>
      <c r="F82">
        <f t="shared" si="3"/>
        <v>3.75</v>
      </c>
    </row>
    <row r="83" spans="1:6" x14ac:dyDescent="0.3">
      <c r="A83" t="str">
        <v>C</v>
      </c>
      <c r="B83" s="31" t="str">
        <v>UK</v>
      </c>
      <c r="C83" s="31">
        <v>46265</v>
      </c>
      <c r="D83">
        <v>750</v>
      </c>
      <c r="E83">
        <f t="shared" si="4"/>
        <v>375</v>
      </c>
      <c r="F83">
        <f t="shared" si="3"/>
        <v>3.75</v>
      </c>
    </row>
    <row r="84" spans="1:6" x14ac:dyDescent="0.3">
      <c r="A84" t="str">
        <v>C</v>
      </c>
      <c r="B84" s="31" t="str">
        <v>UK</v>
      </c>
      <c r="C84" s="31">
        <v>46272</v>
      </c>
      <c r="D84">
        <v>750</v>
      </c>
      <c r="E84">
        <f t="shared" si="4"/>
        <v>375</v>
      </c>
      <c r="F84">
        <f t="shared" si="3"/>
        <v>3.75</v>
      </c>
    </row>
    <row r="85" spans="1:6" x14ac:dyDescent="0.3">
      <c r="A85" t="str">
        <v>C</v>
      </c>
      <c r="B85" s="31" t="str">
        <v>UK</v>
      </c>
      <c r="C85" s="31">
        <v>46279</v>
      </c>
      <c r="D85">
        <v>750</v>
      </c>
      <c r="E85">
        <f t="shared" si="4"/>
        <v>375</v>
      </c>
      <c r="F85">
        <f t="shared" si="3"/>
        <v>3.75</v>
      </c>
    </row>
    <row r="86" spans="1:6" x14ac:dyDescent="0.3">
      <c r="A86" t="str">
        <v>C</v>
      </c>
      <c r="B86" s="31" t="str">
        <v>UK</v>
      </c>
      <c r="C86" s="31">
        <v>46286</v>
      </c>
      <c r="D86">
        <v>600</v>
      </c>
      <c r="E86">
        <f t="shared" si="4"/>
        <v>300</v>
      </c>
      <c r="F86">
        <f t="shared" si="3"/>
        <v>3</v>
      </c>
    </row>
    <row r="87" spans="1:6" x14ac:dyDescent="0.3">
      <c r="A87" t="str">
        <v>C</v>
      </c>
      <c r="B87" s="31" t="str">
        <v>UK</v>
      </c>
      <c r="C87" s="31">
        <v>46293</v>
      </c>
      <c r="D87">
        <v>600</v>
      </c>
      <c r="E87">
        <f t="shared" si="4"/>
        <v>300</v>
      </c>
      <c r="F87">
        <f t="shared" si="3"/>
        <v>3</v>
      </c>
    </row>
    <row r="88" spans="1:6" x14ac:dyDescent="0.3">
      <c r="A88" t="str">
        <v>C</v>
      </c>
      <c r="B88" s="31" t="str">
        <v>UK</v>
      </c>
      <c r="C88" s="31">
        <v>46300</v>
      </c>
      <c r="D88">
        <v>600</v>
      </c>
      <c r="E88">
        <f t="shared" si="4"/>
        <v>300</v>
      </c>
      <c r="F88">
        <f t="shared" si="3"/>
        <v>3</v>
      </c>
    </row>
    <row r="89" spans="1:6" x14ac:dyDescent="0.3">
      <c r="A89" t="str">
        <v>C</v>
      </c>
      <c r="B89" s="31" t="str">
        <v>UK</v>
      </c>
      <c r="C89" s="31">
        <v>46307</v>
      </c>
      <c r="D89">
        <v>600</v>
      </c>
      <c r="E89">
        <f t="shared" si="4"/>
        <v>300</v>
      </c>
      <c r="F89">
        <f t="shared" si="3"/>
        <v>3</v>
      </c>
    </row>
    <row r="90" spans="1:6" x14ac:dyDescent="0.3">
      <c r="A90" t="str">
        <v>C</v>
      </c>
      <c r="B90" s="31" t="str">
        <v>UK</v>
      </c>
      <c r="C90" s="31">
        <v>46314</v>
      </c>
      <c r="D90">
        <v>600</v>
      </c>
      <c r="E90">
        <f t="shared" si="4"/>
        <v>300</v>
      </c>
      <c r="F90">
        <f t="shared" si="3"/>
        <v>3</v>
      </c>
    </row>
    <row r="91" spans="1:6" x14ac:dyDescent="0.3">
      <c r="A91" t="str">
        <v>C</v>
      </c>
      <c r="B91" s="31" t="str">
        <v>UK</v>
      </c>
      <c r="C91" s="31">
        <v>46321</v>
      </c>
      <c r="D91">
        <v>500</v>
      </c>
      <c r="E91">
        <f t="shared" si="4"/>
        <v>250</v>
      </c>
      <c r="F91">
        <f t="shared" si="3"/>
        <v>2.5</v>
      </c>
    </row>
    <row r="92" spans="1:6" x14ac:dyDescent="0.3">
      <c r="A92" t="str">
        <v>C</v>
      </c>
      <c r="B92" s="31" t="str">
        <v>UK</v>
      </c>
      <c r="C92" s="31">
        <v>46328</v>
      </c>
      <c r="D92">
        <v>500</v>
      </c>
      <c r="E92">
        <f t="shared" si="4"/>
        <v>250</v>
      </c>
      <c r="F92">
        <f t="shared" si="3"/>
        <v>2.5</v>
      </c>
    </row>
    <row r="93" spans="1:6" x14ac:dyDescent="0.3">
      <c r="A93" t="str">
        <v>C</v>
      </c>
      <c r="B93" s="31" t="str">
        <v>UK</v>
      </c>
      <c r="C93" s="31">
        <v>46335</v>
      </c>
      <c r="D93">
        <v>500</v>
      </c>
      <c r="E93">
        <f t="shared" si="4"/>
        <v>250</v>
      </c>
      <c r="F93">
        <f t="shared" si="3"/>
        <v>2.5</v>
      </c>
    </row>
    <row r="94" spans="1:6" x14ac:dyDescent="0.3">
      <c r="A94" t="str">
        <v>C</v>
      </c>
      <c r="B94" s="31" t="str">
        <v>UK</v>
      </c>
      <c r="C94" s="31">
        <v>46342</v>
      </c>
      <c r="D94">
        <v>500</v>
      </c>
      <c r="E94">
        <f t="shared" si="4"/>
        <v>250</v>
      </c>
      <c r="F94">
        <f t="shared" si="3"/>
        <v>2.5</v>
      </c>
    </row>
    <row r="95" spans="1:6" x14ac:dyDescent="0.3">
      <c r="A95" t="str">
        <v>C</v>
      </c>
      <c r="B95" s="31" t="str">
        <v>UK</v>
      </c>
      <c r="C95" s="31">
        <v>46349</v>
      </c>
      <c r="D95">
        <v>3000</v>
      </c>
      <c r="E95">
        <f t="shared" si="4"/>
        <v>1500</v>
      </c>
      <c r="F95">
        <f t="shared" si="3"/>
        <v>15</v>
      </c>
    </row>
    <row r="96" spans="1:6" x14ac:dyDescent="0.3">
      <c r="A96" t="str">
        <v>C</v>
      </c>
      <c r="B96" s="31" t="str">
        <v>UK</v>
      </c>
      <c r="C96" s="31">
        <v>46356</v>
      </c>
      <c r="D96">
        <v>3000</v>
      </c>
      <c r="E96">
        <f t="shared" si="4"/>
        <v>1500</v>
      </c>
      <c r="F96">
        <f t="shared" si="3"/>
        <v>15</v>
      </c>
    </row>
    <row r="97" spans="1:6" x14ac:dyDescent="0.3">
      <c r="A97" t="str">
        <v>C</v>
      </c>
      <c r="B97" s="31" t="str">
        <v>UK</v>
      </c>
      <c r="C97" s="31">
        <v>46363</v>
      </c>
      <c r="D97">
        <v>3000</v>
      </c>
      <c r="E97">
        <f t="shared" si="4"/>
        <v>1500</v>
      </c>
      <c r="F97">
        <f t="shared" si="3"/>
        <v>15</v>
      </c>
    </row>
    <row r="98" spans="1:6" x14ac:dyDescent="0.3">
      <c r="A98" t="str">
        <v>C</v>
      </c>
      <c r="B98" s="31" t="str">
        <v>UK</v>
      </c>
      <c r="C98" s="31">
        <v>46370</v>
      </c>
      <c r="D98">
        <v>3000</v>
      </c>
      <c r="E98">
        <f t="shared" si="4"/>
        <v>1500</v>
      </c>
      <c r="F98">
        <f t="shared" ref="F98:F129" si="5">E98/100*_xlfn.XLOOKUP(A98,$J$3:$J$8,$M$3:$M$8)</f>
        <v>15</v>
      </c>
    </row>
    <row r="99" spans="1:6" x14ac:dyDescent="0.3">
      <c r="A99" t="str">
        <v>D</v>
      </c>
      <c r="B99" s="31" t="str">
        <v>UK</v>
      </c>
      <c r="C99" s="31">
        <v>46146</v>
      </c>
      <c r="D99">
        <v>2430</v>
      </c>
      <c r="E99">
        <f t="shared" si="4"/>
        <v>608</v>
      </c>
      <c r="F99">
        <f t="shared" si="5"/>
        <v>3.8</v>
      </c>
    </row>
    <row r="100" spans="1:6" x14ac:dyDescent="0.3">
      <c r="A100" t="str">
        <v>D</v>
      </c>
      <c r="B100" s="31" t="str">
        <v>UK</v>
      </c>
      <c r="C100" s="31">
        <v>46153</v>
      </c>
      <c r="D100">
        <v>9990</v>
      </c>
      <c r="E100">
        <f t="shared" si="4"/>
        <v>2498</v>
      </c>
      <c r="F100">
        <f t="shared" si="5"/>
        <v>15.612500000000001</v>
      </c>
    </row>
    <row r="101" spans="1:6" x14ac:dyDescent="0.3">
      <c r="A101" t="str">
        <v>D</v>
      </c>
      <c r="B101" s="31" t="str">
        <v>UK</v>
      </c>
      <c r="C101" s="31">
        <v>46160</v>
      </c>
      <c r="D101">
        <v>5840</v>
      </c>
      <c r="E101">
        <f t="shared" si="4"/>
        <v>1460</v>
      </c>
      <c r="F101">
        <f t="shared" si="5"/>
        <v>9.125</v>
      </c>
    </row>
    <row r="102" spans="1:6" x14ac:dyDescent="0.3">
      <c r="A102" t="str">
        <v>D</v>
      </c>
      <c r="B102" s="31" t="str">
        <v>UK</v>
      </c>
      <c r="C102" s="31">
        <v>46167</v>
      </c>
      <c r="D102">
        <v>8100</v>
      </c>
      <c r="E102">
        <f t="shared" si="4"/>
        <v>2025</v>
      </c>
      <c r="F102">
        <f t="shared" si="5"/>
        <v>12.65625</v>
      </c>
    </row>
    <row r="103" spans="1:6" x14ac:dyDescent="0.3">
      <c r="A103" t="str">
        <v>D</v>
      </c>
      <c r="B103" s="31" t="str">
        <v>UK</v>
      </c>
      <c r="C103" s="31">
        <v>46174</v>
      </c>
      <c r="D103">
        <v>1001</v>
      </c>
      <c r="E103">
        <f t="shared" si="4"/>
        <v>251</v>
      </c>
      <c r="F103">
        <f t="shared" si="5"/>
        <v>1.5687499999999999</v>
      </c>
    </row>
    <row r="104" spans="1:6" x14ac:dyDescent="0.3">
      <c r="A104" t="str">
        <v>D</v>
      </c>
      <c r="B104" s="31" t="str">
        <v>UK</v>
      </c>
      <c r="C104" s="31">
        <v>46181</v>
      </c>
      <c r="D104">
        <v>2471</v>
      </c>
      <c r="E104">
        <f t="shared" si="4"/>
        <v>618</v>
      </c>
      <c r="F104">
        <f t="shared" si="5"/>
        <v>3.8624999999999998</v>
      </c>
    </row>
    <row r="105" spans="1:6" x14ac:dyDescent="0.3">
      <c r="A105" t="str">
        <v>D</v>
      </c>
      <c r="B105" s="31" t="str">
        <v>UK</v>
      </c>
      <c r="C105" s="31">
        <v>46188</v>
      </c>
      <c r="D105">
        <v>3458</v>
      </c>
      <c r="E105">
        <f t="shared" si="4"/>
        <v>865</v>
      </c>
      <c r="F105">
        <f t="shared" si="5"/>
        <v>5.40625</v>
      </c>
    </row>
    <row r="106" spans="1:6" x14ac:dyDescent="0.3">
      <c r="A106" t="str">
        <v>D</v>
      </c>
      <c r="B106" s="31" t="str">
        <v>UK</v>
      </c>
      <c r="C106" s="31">
        <v>46195</v>
      </c>
      <c r="D106">
        <v>500</v>
      </c>
      <c r="E106">
        <f t="shared" si="4"/>
        <v>125</v>
      </c>
      <c r="F106">
        <f t="shared" si="5"/>
        <v>0.78125</v>
      </c>
    </row>
    <row r="107" spans="1:6" x14ac:dyDescent="0.3">
      <c r="A107" t="str">
        <v>D</v>
      </c>
      <c r="B107" s="31" t="str">
        <v>UK</v>
      </c>
      <c r="C107" s="31">
        <v>46202</v>
      </c>
      <c r="D107">
        <v>500</v>
      </c>
      <c r="E107">
        <f t="shared" si="4"/>
        <v>125</v>
      </c>
      <c r="F107">
        <f t="shared" si="5"/>
        <v>0.78125</v>
      </c>
    </row>
    <row r="108" spans="1:6" x14ac:dyDescent="0.3">
      <c r="A108" t="str">
        <v>D</v>
      </c>
      <c r="B108" s="31" t="str">
        <v>UK</v>
      </c>
      <c r="C108" s="31">
        <v>46209</v>
      </c>
      <c r="D108">
        <v>500</v>
      </c>
      <c r="E108">
        <f t="shared" si="4"/>
        <v>125</v>
      </c>
      <c r="F108">
        <f t="shared" si="5"/>
        <v>0.78125</v>
      </c>
    </row>
    <row r="109" spans="1:6" x14ac:dyDescent="0.3">
      <c r="A109" t="str">
        <v>D</v>
      </c>
      <c r="B109" s="31" t="str">
        <v>UK</v>
      </c>
      <c r="C109" s="31">
        <v>46216</v>
      </c>
      <c r="D109">
        <v>500</v>
      </c>
      <c r="E109">
        <f t="shared" si="4"/>
        <v>125</v>
      </c>
      <c r="F109">
        <f t="shared" si="5"/>
        <v>0.78125</v>
      </c>
    </row>
    <row r="110" spans="1:6" x14ac:dyDescent="0.3">
      <c r="A110" t="str">
        <v>D</v>
      </c>
      <c r="B110" s="31" t="str">
        <v>UK</v>
      </c>
      <c r="C110" s="31">
        <v>46237</v>
      </c>
      <c r="D110">
        <v>400</v>
      </c>
      <c r="E110">
        <f t="shared" si="4"/>
        <v>100</v>
      </c>
      <c r="F110">
        <f t="shared" si="5"/>
        <v>0.625</v>
      </c>
    </row>
    <row r="111" spans="1:6" x14ac:dyDescent="0.3">
      <c r="A111" t="str">
        <v>D</v>
      </c>
      <c r="B111" s="31" t="str">
        <v>UK</v>
      </c>
      <c r="C111" s="31">
        <v>46258</v>
      </c>
      <c r="D111">
        <v>400</v>
      </c>
      <c r="E111">
        <f t="shared" si="4"/>
        <v>100</v>
      </c>
      <c r="F111">
        <f t="shared" si="5"/>
        <v>0.625</v>
      </c>
    </row>
    <row r="112" spans="1:6" x14ac:dyDescent="0.3">
      <c r="A112" t="str">
        <v>D</v>
      </c>
      <c r="B112" s="31" t="str">
        <v>UK</v>
      </c>
      <c r="C112" s="31">
        <v>46272</v>
      </c>
      <c r="D112">
        <v>400</v>
      </c>
      <c r="E112">
        <f t="shared" si="4"/>
        <v>100</v>
      </c>
      <c r="F112">
        <f t="shared" si="5"/>
        <v>0.625</v>
      </c>
    </row>
    <row r="113" spans="1:6" x14ac:dyDescent="0.3">
      <c r="A113" t="str">
        <v>D</v>
      </c>
      <c r="B113" s="31" t="str">
        <v>UK</v>
      </c>
      <c r="C113" s="31">
        <v>46286</v>
      </c>
      <c r="D113">
        <v>360</v>
      </c>
      <c r="E113">
        <f t="shared" si="4"/>
        <v>90</v>
      </c>
      <c r="F113">
        <f t="shared" si="5"/>
        <v>0.5625</v>
      </c>
    </row>
    <row r="114" spans="1:6" x14ac:dyDescent="0.3">
      <c r="A114" t="str">
        <v>D</v>
      </c>
      <c r="B114" s="31" t="str">
        <v>UK</v>
      </c>
      <c r="C114" s="31">
        <v>46293</v>
      </c>
      <c r="D114">
        <v>360</v>
      </c>
      <c r="E114">
        <f t="shared" si="4"/>
        <v>90</v>
      </c>
      <c r="F114">
        <f t="shared" si="5"/>
        <v>0.5625</v>
      </c>
    </row>
    <row r="115" spans="1:6" x14ac:dyDescent="0.3">
      <c r="A115" t="str">
        <v>D</v>
      </c>
      <c r="B115" s="31" t="str">
        <v>UK</v>
      </c>
      <c r="C115" s="31">
        <v>46300</v>
      </c>
      <c r="D115">
        <v>360</v>
      </c>
      <c r="E115">
        <f t="shared" si="4"/>
        <v>90</v>
      </c>
      <c r="F115">
        <f t="shared" si="5"/>
        <v>0.5625</v>
      </c>
    </row>
    <row r="116" spans="1:6" x14ac:dyDescent="0.3">
      <c r="A116" t="str">
        <v>D</v>
      </c>
      <c r="B116" s="31" t="str">
        <v>UK</v>
      </c>
      <c r="C116" s="31">
        <v>46307</v>
      </c>
      <c r="D116">
        <v>360</v>
      </c>
      <c r="E116">
        <f t="shared" si="4"/>
        <v>90</v>
      </c>
      <c r="F116">
        <f t="shared" si="5"/>
        <v>0.5625</v>
      </c>
    </row>
    <row r="117" spans="1:6" x14ac:dyDescent="0.3">
      <c r="A117" t="str">
        <v>D</v>
      </c>
      <c r="B117" s="31" t="str">
        <v>UK</v>
      </c>
      <c r="C117" s="31">
        <v>46314</v>
      </c>
      <c r="D117">
        <v>360</v>
      </c>
      <c r="E117">
        <f t="shared" si="4"/>
        <v>90</v>
      </c>
      <c r="F117">
        <f t="shared" si="5"/>
        <v>0.5625</v>
      </c>
    </row>
    <row r="118" spans="1:6" x14ac:dyDescent="0.3">
      <c r="A118" t="str">
        <v>D</v>
      </c>
      <c r="B118" s="31" t="str">
        <v>UK</v>
      </c>
      <c r="C118" s="31">
        <v>46321</v>
      </c>
      <c r="D118">
        <v>1000</v>
      </c>
      <c r="E118">
        <f t="shared" si="4"/>
        <v>250</v>
      </c>
      <c r="F118">
        <f t="shared" si="5"/>
        <v>1.5625</v>
      </c>
    </row>
    <row r="119" spans="1:6" x14ac:dyDescent="0.3">
      <c r="A119" t="str">
        <v>D</v>
      </c>
      <c r="B119" s="31" t="str">
        <v>UK</v>
      </c>
      <c r="C119" s="31">
        <v>46328</v>
      </c>
      <c r="D119">
        <v>1000</v>
      </c>
      <c r="E119">
        <f t="shared" si="4"/>
        <v>250</v>
      </c>
      <c r="F119">
        <f t="shared" si="5"/>
        <v>1.5625</v>
      </c>
    </row>
    <row r="120" spans="1:6" x14ac:dyDescent="0.3">
      <c r="A120" t="str">
        <v>D</v>
      </c>
      <c r="B120" s="31" t="str">
        <v>UK</v>
      </c>
      <c r="C120" s="31">
        <v>46335</v>
      </c>
      <c r="D120">
        <v>1000</v>
      </c>
      <c r="E120">
        <f t="shared" si="4"/>
        <v>250</v>
      </c>
      <c r="F120">
        <f t="shared" si="5"/>
        <v>1.5625</v>
      </c>
    </row>
    <row r="121" spans="1:6" x14ac:dyDescent="0.3">
      <c r="A121" t="str">
        <v>D</v>
      </c>
      <c r="B121" s="31" t="str">
        <v>UK</v>
      </c>
      <c r="C121" s="31">
        <v>46342</v>
      </c>
      <c r="D121">
        <v>1000</v>
      </c>
      <c r="E121">
        <f t="shared" si="4"/>
        <v>250</v>
      </c>
      <c r="F121">
        <f t="shared" si="5"/>
        <v>1.5625</v>
      </c>
    </row>
    <row r="122" spans="1:6" x14ac:dyDescent="0.3">
      <c r="A122" t="str">
        <v>D</v>
      </c>
      <c r="B122" s="31" t="str">
        <v>UK</v>
      </c>
      <c r="C122" s="31">
        <v>46349</v>
      </c>
      <c r="D122">
        <v>1250</v>
      </c>
      <c r="E122">
        <f t="shared" si="4"/>
        <v>313</v>
      </c>
      <c r="F122">
        <f t="shared" si="5"/>
        <v>1.9562499999999998</v>
      </c>
    </row>
    <row r="123" spans="1:6" x14ac:dyDescent="0.3">
      <c r="A123" t="str">
        <v>D</v>
      </c>
      <c r="B123" s="31" t="str">
        <v>UK</v>
      </c>
      <c r="C123" s="31">
        <v>46356</v>
      </c>
      <c r="D123">
        <v>1250</v>
      </c>
      <c r="E123">
        <f t="shared" si="4"/>
        <v>313</v>
      </c>
      <c r="F123">
        <f t="shared" si="5"/>
        <v>1.9562499999999998</v>
      </c>
    </row>
    <row r="124" spans="1:6" x14ac:dyDescent="0.3">
      <c r="A124" t="str">
        <v>D</v>
      </c>
      <c r="B124" s="31" t="str">
        <v>UK</v>
      </c>
      <c r="C124" s="31">
        <v>46363</v>
      </c>
      <c r="D124">
        <v>1250</v>
      </c>
      <c r="E124">
        <f t="shared" si="4"/>
        <v>313</v>
      </c>
      <c r="F124">
        <f t="shared" si="5"/>
        <v>1.9562499999999998</v>
      </c>
    </row>
    <row r="125" spans="1:6" x14ac:dyDescent="0.3">
      <c r="A125" t="str">
        <v>D</v>
      </c>
      <c r="B125" s="31" t="str">
        <v>UK</v>
      </c>
      <c r="C125" s="31">
        <v>46370</v>
      </c>
      <c r="D125">
        <v>1250</v>
      </c>
      <c r="E125">
        <f t="shared" si="4"/>
        <v>313</v>
      </c>
      <c r="F125">
        <f t="shared" si="5"/>
        <v>1.9562499999999998</v>
      </c>
    </row>
    <row r="126" spans="1:6" x14ac:dyDescent="0.3">
      <c r="A126" t="str">
        <v>E</v>
      </c>
      <c r="B126" s="31" t="str">
        <v>Australia</v>
      </c>
      <c r="C126" s="31">
        <v>46139</v>
      </c>
      <c r="D126">
        <v>472</v>
      </c>
      <c r="E126">
        <f t="shared" si="4"/>
        <v>236</v>
      </c>
      <c r="F126">
        <f t="shared" si="5"/>
        <v>1.4749999999999999</v>
      </c>
    </row>
    <row r="127" spans="1:6" x14ac:dyDescent="0.3">
      <c r="A127" t="str">
        <v>E</v>
      </c>
      <c r="B127" s="31" t="str">
        <v>Australia</v>
      </c>
      <c r="C127" s="31">
        <v>46146</v>
      </c>
      <c r="D127">
        <v>300</v>
      </c>
      <c r="E127">
        <f t="shared" si="4"/>
        <v>150</v>
      </c>
      <c r="F127">
        <f t="shared" si="5"/>
        <v>0.9375</v>
      </c>
    </row>
    <row r="128" spans="1:6" x14ac:dyDescent="0.3">
      <c r="A128" t="str">
        <v>E</v>
      </c>
      <c r="B128" s="31" t="str">
        <v>Australia</v>
      </c>
      <c r="C128" s="31">
        <v>46153</v>
      </c>
      <c r="D128">
        <v>698</v>
      </c>
      <c r="E128">
        <f t="shared" si="4"/>
        <v>349</v>
      </c>
      <c r="F128">
        <f t="shared" si="5"/>
        <v>2.1812500000000004</v>
      </c>
    </row>
    <row r="129" spans="1:6" x14ac:dyDescent="0.3">
      <c r="A129" t="str">
        <v>E</v>
      </c>
      <c r="B129" s="31" t="str">
        <v>Australia</v>
      </c>
      <c r="C129" s="31">
        <v>46167</v>
      </c>
      <c r="D129">
        <v>300</v>
      </c>
      <c r="E129">
        <f t="shared" si="4"/>
        <v>150</v>
      </c>
      <c r="F129">
        <f t="shared" si="5"/>
        <v>0.9375</v>
      </c>
    </row>
    <row r="130" spans="1:6" x14ac:dyDescent="0.3">
      <c r="A130" t="str">
        <v>E</v>
      </c>
      <c r="B130" s="31" t="str">
        <v>Australia</v>
      </c>
      <c r="C130" s="31">
        <v>46188</v>
      </c>
      <c r="D130">
        <v>300</v>
      </c>
      <c r="E130">
        <f t="shared" si="4"/>
        <v>150</v>
      </c>
      <c r="F130">
        <f t="shared" ref="F130:F161" si="6">E130/100*_xlfn.XLOOKUP(A130,$J$3:$J$8,$M$3:$M$8)</f>
        <v>0.9375</v>
      </c>
    </row>
    <row r="131" spans="1:6" x14ac:dyDescent="0.3">
      <c r="A131" t="str">
        <v>E</v>
      </c>
      <c r="B131" s="31" t="str">
        <v>Australia</v>
      </c>
      <c r="C131" s="31">
        <v>46202</v>
      </c>
      <c r="D131">
        <v>700</v>
      </c>
      <c r="E131">
        <f t="shared" ref="E131:E172" si="7">ROUNDUP(D131/_xlfn.XLOOKUP(A131,$J$3:$J$8,$L$3:$L$8),0)</f>
        <v>350</v>
      </c>
      <c r="F131">
        <f t="shared" si="6"/>
        <v>2.1875</v>
      </c>
    </row>
    <row r="132" spans="1:6" x14ac:dyDescent="0.3">
      <c r="A132" t="str">
        <v>E</v>
      </c>
      <c r="B132" s="31" t="str">
        <v>Australia</v>
      </c>
      <c r="C132" s="31">
        <v>46209</v>
      </c>
      <c r="D132">
        <v>300</v>
      </c>
      <c r="E132">
        <f t="shared" si="7"/>
        <v>150</v>
      </c>
      <c r="F132">
        <f t="shared" si="6"/>
        <v>0.9375</v>
      </c>
    </row>
    <row r="133" spans="1:6" x14ac:dyDescent="0.3">
      <c r="A133" t="str">
        <v>E</v>
      </c>
      <c r="B133" s="31" t="str">
        <v>Australia</v>
      </c>
      <c r="C133" s="31">
        <v>46216</v>
      </c>
      <c r="D133">
        <v>300</v>
      </c>
      <c r="E133">
        <f t="shared" si="7"/>
        <v>150</v>
      </c>
      <c r="F133">
        <f t="shared" si="6"/>
        <v>0.9375</v>
      </c>
    </row>
    <row r="134" spans="1:6" x14ac:dyDescent="0.3">
      <c r="A134" t="str">
        <v>E</v>
      </c>
      <c r="B134" s="31" t="str">
        <v>Australia</v>
      </c>
      <c r="C134" s="31">
        <v>46223</v>
      </c>
      <c r="D134">
        <v>300</v>
      </c>
      <c r="E134">
        <f t="shared" si="7"/>
        <v>150</v>
      </c>
      <c r="F134">
        <f t="shared" si="6"/>
        <v>0.9375</v>
      </c>
    </row>
    <row r="135" spans="1:6" x14ac:dyDescent="0.3">
      <c r="A135" t="str">
        <v>E</v>
      </c>
      <c r="B135" s="31" t="str">
        <v>Australia</v>
      </c>
      <c r="C135" s="31">
        <v>46244</v>
      </c>
      <c r="D135">
        <v>300</v>
      </c>
      <c r="E135">
        <f t="shared" si="7"/>
        <v>150</v>
      </c>
      <c r="F135">
        <f t="shared" si="6"/>
        <v>0.9375</v>
      </c>
    </row>
    <row r="136" spans="1:6" x14ac:dyDescent="0.3">
      <c r="A136" t="str">
        <v>E</v>
      </c>
      <c r="B136" s="31" t="str">
        <v>Australia</v>
      </c>
      <c r="C136" s="31">
        <v>46265</v>
      </c>
      <c r="D136">
        <v>300</v>
      </c>
      <c r="E136">
        <f t="shared" si="7"/>
        <v>150</v>
      </c>
      <c r="F136">
        <f t="shared" si="6"/>
        <v>0.9375</v>
      </c>
    </row>
    <row r="137" spans="1:6" x14ac:dyDescent="0.3">
      <c r="A137" t="str">
        <v>E</v>
      </c>
      <c r="B137" s="31" t="str">
        <v>Australia</v>
      </c>
      <c r="C137" s="31">
        <v>46293</v>
      </c>
      <c r="D137">
        <v>300</v>
      </c>
      <c r="E137">
        <f t="shared" si="7"/>
        <v>150</v>
      </c>
      <c r="F137">
        <f t="shared" si="6"/>
        <v>0.9375</v>
      </c>
    </row>
    <row r="138" spans="1:6" x14ac:dyDescent="0.3">
      <c r="A138" t="str">
        <v>E</v>
      </c>
      <c r="B138" s="31" t="str">
        <v>Australia</v>
      </c>
      <c r="C138" s="31">
        <v>46328</v>
      </c>
      <c r="D138">
        <v>300</v>
      </c>
      <c r="E138">
        <f t="shared" si="7"/>
        <v>150</v>
      </c>
      <c r="F138">
        <f t="shared" si="6"/>
        <v>0.9375</v>
      </c>
    </row>
    <row r="139" spans="1:6" x14ac:dyDescent="0.3">
      <c r="A139" t="str">
        <v>E</v>
      </c>
      <c r="B139" s="31" t="str">
        <v>Australia</v>
      </c>
      <c r="C139" s="31">
        <v>46356</v>
      </c>
      <c r="D139">
        <v>300</v>
      </c>
      <c r="E139">
        <f t="shared" si="7"/>
        <v>150</v>
      </c>
      <c r="F139">
        <f t="shared" si="6"/>
        <v>0.9375</v>
      </c>
    </row>
    <row r="140" spans="1:6" x14ac:dyDescent="0.3">
      <c r="A140" t="str">
        <v>F</v>
      </c>
      <c r="B140" s="31" t="str">
        <v>US</v>
      </c>
      <c r="C140" s="31">
        <v>46132</v>
      </c>
      <c r="D140">
        <v>588</v>
      </c>
      <c r="E140">
        <f t="shared" si="7"/>
        <v>74</v>
      </c>
      <c r="F140">
        <f t="shared" si="6"/>
        <v>0.578125</v>
      </c>
    </row>
    <row r="141" spans="1:6" x14ac:dyDescent="0.3">
      <c r="A141" t="str">
        <v>F</v>
      </c>
      <c r="B141" s="31" t="str">
        <v>US</v>
      </c>
      <c r="C141" s="31">
        <v>46139</v>
      </c>
      <c r="D141">
        <v>4028</v>
      </c>
      <c r="E141">
        <f t="shared" si="7"/>
        <v>504</v>
      </c>
      <c r="F141">
        <f t="shared" si="6"/>
        <v>3.9375</v>
      </c>
    </row>
    <row r="142" spans="1:6" x14ac:dyDescent="0.3">
      <c r="A142" t="str">
        <v>F</v>
      </c>
      <c r="B142" s="31" t="str">
        <v>US</v>
      </c>
      <c r="C142" s="31">
        <v>46146</v>
      </c>
      <c r="D142">
        <v>4200</v>
      </c>
      <c r="E142">
        <f t="shared" si="7"/>
        <v>525</v>
      </c>
      <c r="F142">
        <f t="shared" si="6"/>
        <v>4.1015625</v>
      </c>
    </row>
    <row r="143" spans="1:6" x14ac:dyDescent="0.3">
      <c r="A143" t="str">
        <v>F</v>
      </c>
      <c r="B143" s="31" t="str">
        <v>US</v>
      </c>
      <c r="C143" s="31">
        <v>46153</v>
      </c>
      <c r="D143">
        <v>3802</v>
      </c>
      <c r="E143">
        <f t="shared" si="7"/>
        <v>476</v>
      </c>
      <c r="F143">
        <f t="shared" si="6"/>
        <v>3.71875</v>
      </c>
    </row>
    <row r="144" spans="1:6" x14ac:dyDescent="0.3">
      <c r="A144" t="str">
        <v>F</v>
      </c>
      <c r="B144" s="31" t="str">
        <v>US</v>
      </c>
      <c r="C144" s="31">
        <v>46160</v>
      </c>
      <c r="D144">
        <v>4500</v>
      </c>
      <c r="E144">
        <f t="shared" si="7"/>
        <v>563</v>
      </c>
      <c r="F144">
        <f t="shared" si="6"/>
        <v>4.3984375</v>
      </c>
    </row>
    <row r="145" spans="1:6" x14ac:dyDescent="0.3">
      <c r="A145" t="str">
        <v>F</v>
      </c>
      <c r="B145" s="31" t="str">
        <v>US</v>
      </c>
      <c r="C145" s="31">
        <v>46167</v>
      </c>
      <c r="D145">
        <v>4200</v>
      </c>
      <c r="E145">
        <f t="shared" si="7"/>
        <v>525</v>
      </c>
      <c r="F145">
        <f t="shared" si="6"/>
        <v>4.1015625</v>
      </c>
    </row>
    <row r="146" spans="1:6" x14ac:dyDescent="0.3">
      <c r="A146" t="str">
        <v>F</v>
      </c>
      <c r="B146" s="31" t="str">
        <v>US</v>
      </c>
      <c r="C146" s="31">
        <v>46174</v>
      </c>
      <c r="D146">
        <v>4500</v>
      </c>
      <c r="E146">
        <f t="shared" si="7"/>
        <v>563</v>
      </c>
      <c r="F146">
        <f t="shared" si="6"/>
        <v>4.3984375</v>
      </c>
    </row>
    <row r="147" spans="1:6" x14ac:dyDescent="0.3">
      <c r="A147" t="str">
        <v>F</v>
      </c>
      <c r="B147" s="31" t="str">
        <v>US</v>
      </c>
      <c r="C147" s="31">
        <v>46181</v>
      </c>
      <c r="D147">
        <v>4500</v>
      </c>
      <c r="E147">
        <f t="shared" si="7"/>
        <v>563</v>
      </c>
      <c r="F147">
        <f t="shared" si="6"/>
        <v>4.3984375</v>
      </c>
    </row>
    <row r="148" spans="1:6" x14ac:dyDescent="0.3">
      <c r="A148" t="str">
        <v>F</v>
      </c>
      <c r="B148" s="31" t="str">
        <v>US</v>
      </c>
      <c r="C148" s="31">
        <v>46188</v>
      </c>
      <c r="D148">
        <v>2200</v>
      </c>
      <c r="E148">
        <f t="shared" si="7"/>
        <v>275</v>
      </c>
      <c r="F148">
        <f t="shared" si="6"/>
        <v>2.1484375</v>
      </c>
    </row>
    <row r="149" spans="1:6" x14ac:dyDescent="0.3">
      <c r="A149" t="str">
        <v>F</v>
      </c>
      <c r="B149" s="31" t="str">
        <v>US</v>
      </c>
      <c r="C149" s="31">
        <v>46195</v>
      </c>
      <c r="D149">
        <v>5000</v>
      </c>
      <c r="E149">
        <f t="shared" si="7"/>
        <v>625</v>
      </c>
      <c r="F149">
        <f t="shared" si="6"/>
        <v>4.8828125</v>
      </c>
    </row>
    <row r="150" spans="1:6" x14ac:dyDescent="0.3">
      <c r="A150" t="str">
        <v>F</v>
      </c>
      <c r="B150" s="31" t="str">
        <v>US</v>
      </c>
      <c r="C150" s="31">
        <v>46202</v>
      </c>
      <c r="D150">
        <v>4300</v>
      </c>
      <c r="E150">
        <f t="shared" si="7"/>
        <v>538</v>
      </c>
      <c r="F150">
        <f t="shared" si="6"/>
        <v>4.203125</v>
      </c>
    </row>
    <row r="151" spans="1:6" x14ac:dyDescent="0.3">
      <c r="A151" t="str">
        <v>F</v>
      </c>
      <c r="B151" s="31" t="str">
        <v>US</v>
      </c>
      <c r="C151" s="31">
        <v>46209</v>
      </c>
      <c r="D151">
        <v>4700</v>
      </c>
      <c r="E151">
        <f t="shared" si="7"/>
        <v>588</v>
      </c>
      <c r="F151">
        <f t="shared" si="6"/>
        <v>4.59375</v>
      </c>
    </row>
    <row r="152" spans="1:6" x14ac:dyDescent="0.3">
      <c r="A152" t="str">
        <v>F</v>
      </c>
      <c r="B152" s="31" t="str">
        <v>US</v>
      </c>
      <c r="C152" s="31">
        <v>46216</v>
      </c>
      <c r="D152">
        <v>4746</v>
      </c>
      <c r="E152">
        <f t="shared" si="7"/>
        <v>594</v>
      </c>
      <c r="F152">
        <f t="shared" si="6"/>
        <v>4.640625</v>
      </c>
    </row>
    <row r="153" spans="1:6" x14ac:dyDescent="0.3">
      <c r="A153" t="str">
        <v>F</v>
      </c>
      <c r="B153" s="31" t="str">
        <v>US</v>
      </c>
      <c r="C153" s="31">
        <v>46223</v>
      </c>
      <c r="D153">
        <v>4300</v>
      </c>
      <c r="E153">
        <f t="shared" si="7"/>
        <v>538</v>
      </c>
      <c r="F153">
        <f t="shared" si="6"/>
        <v>4.203125</v>
      </c>
    </row>
    <row r="154" spans="1:6" x14ac:dyDescent="0.3">
      <c r="A154" t="str">
        <v>F</v>
      </c>
      <c r="B154" s="31" t="str">
        <v>US</v>
      </c>
      <c r="C154" s="31">
        <v>46230</v>
      </c>
      <c r="D154">
        <v>476</v>
      </c>
      <c r="E154">
        <f t="shared" si="7"/>
        <v>60</v>
      </c>
      <c r="F154">
        <f t="shared" si="6"/>
        <v>0.46875</v>
      </c>
    </row>
    <row r="155" spans="1:6" x14ac:dyDescent="0.3">
      <c r="A155" t="str">
        <v>F</v>
      </c>
      <c r="B155" s="31" t="str">
        <v>US</v>
      </c>
      <c r="C155" s="31">
        <v>46237</v>
      </c>
      <c r="D155">
        <v>1298</v>
      </c>
      <c r="E155">
        <f t="shared" si="7"/>
        <v>163</v>
      </c>
      <c r="F155">
        <f t="shared" si="6"/>
        <v>1.2734375</v>
      </c>
    </row>
    <row r="156" spans="1:6" x14ac:dyDescent="0.3">
      <c r="A156" t="str">
        <v>F</v>
      </c>
      <c r="B156" s="31" t="str">
        <v>US</v>
      </c>
      <c r="C156" s="31">
        <v>46244</v>
      </c>
      <c r="D156">
        <v>1300</v>
      </c>
      <c r="E156">
        <f t="shared" si="7"/>
        <v>163</v>
      </c>
      <c r="F156">
        <f t="shared" si="6"/>
        <v>1.2734375</v>
      </c>
    </row>
    <row r="157" spans="1:6" x14ac:dyDescent="0.3">
      <c r="A157" t="str">
        <v>F</v>
      </c>
      <c r="B157" s="31" t="str">
        <v>US</v>
      </c>
      <c r="C157" s="31">
        <v>46251</v>
      </c>
      <c r="D157">
        <v>1298</v>
      </c>
      <c r="E157">
        <f t="shared" si="7"/>
        <v>163</v>
      </c>
      <c r="F157">
        <f t="shared" si="6"/>
        <v>1.2734375</v>
      </c>
    </row>
    <row r="158" spans="1:6" x14ac:dyDescent="0.3">
      <c r="A158" t="str">
        <v>F</v>
      </c>
      <c r="B158" s="31" t="str">
        <v>US</v>
      </c>
      <c r="C158" s="31">
        <v>46258</v>
      </c>
      <c r="D158">
        <v>1506</v>
      </c>
      <c r="E158">
        <f t="shared" si="7"/>
        <v>189</v>
      </c>
      <c r="F158">
        <f t="shared" si="6"/>
        <v>1.4765625</v>
      </c>
    </row>
    <row r="159" spans="1:6" x14ac:dyDescent="0.3">
      <c r="A159" t="str">
        <v>F</v>
      </c>
      <c r="B159" s="31" t="str">
        <v>US</v>
      </c>
      <c r="C159" s="31">
        <v>46265</v>
      </c>
      <c r="D159">
        <v>1506</v>
      </c>
      <c r="E159">
        <f t="shared" si="7"/>
        <v>189</v>
      </c>
      <c r="F159">
        <f t="shared" si="6"/>
        <v>1.4765625</v>
      </c>
    </row>
    <row r="160" spans="1:6" x14ac:dyDescent="0.3">
      <c r="A160" t="str">
        <v>F</v>
      </c>
      <c r="B160" s="31" t="str">
        <v>US</v>
      </c>
      <c r="C160" s="31">
        <v>46272</v>
      </c>
      <c r="D160">
        <v>1506</v>
      </c>
      <c r="E160">
        <f t="shared" si="7"/>
        <v>189</v>
      </c>
      <c r="F160">
        <f t="shared" si="6"/>
        <v>1.4765625</v>
      </c>
    </row>
    <row r="161" spans="1:6" x14ac:dyDescent="0.3">
      <c r="A161" t="str">
        <v>F</v>
      </c>
      <c r="B161" s="31" t="str">
        <v>US</v>
      </c>
      <c r="C161" s="31">
        <v>46279</v>
      </c>
      <c r="D161">
        <v>1506</v>
      </c>
      <c r="E161">
        <f t="shared" si="7"/>
        <v>189</v>
      </c>
      <c r="F161">
        <f t="shared" si="6"/>
        <v>1.4765625</v>
      </c>
    </row>
    <row r="162" spans="1:6" x14ac:dyDescent="0.3">
      <c r="A162" t="str">
        <v>F</v>
      </c>
      <c r="B162" s="31" t="str">
        <v>US</v>
      </c>
      <c r="C162" s="31">
        <v>46286</v>
      </c>
      <c r="D162">
        <v>1446</v>
      </c>
      <c r="E162">
        <f t="shared" si="7"/>
        <v>181</v>
      </c>
      <c r="F162">
        <f t="shared" ref="F162:F172" si="8">E162/100*_xlfn.XLOOKUP(A162,$J$3:$J$8,$M$3:$M$8)</f>
        <v>1.4140625</v>
      </c>
    </row>
    <row r="163" spans="1:6" x14ac:dyDescent="0.3">
      <c r="A163" t="str">
        <v>F</v>
      </c>
      <c r="B163" s="31" t="str">
        <v>US</v>
      </c>
      <c r="C163" s="31">
        <v>46307</v>
      </c>
      <c r="D163">
        <v>1448</v>
      </c>
      <c r="E163">
        <f t="shared" si="7"/>
        <v>181</v>
      </c>
      <c r="F163">
        <f t="shared" si="8"/>
        <v>1.4140625</v>
      </c>
    </row>
    <row r="164" spans="1:6" x14ac:dyDescent="0.3">
      <c r="A164" t="str">
        <v>F</v>
      </c>
      <c r="B164" s="31" t="str">
        <v>US</v>
      </c>
      <c r="C164" s="31">
        <v>46314</v>
      </c>
      <c r="D164">
        <v>1448</v>
      </c>
      <c r="E164">
        <f t="shared" si="7"/>
        <v>181</v>
      </c>
      <c r="F164">
        <f t="shared" si="8"/>
        <v>1.4140625</v>
      </c>
    </row>
    <row r="165" spans="1:6" x14ac:dyDescent="0.3">
      <c r="A165" t="str">
        <v>F</v>
      </c>
      <c r="B165" s="31" t="str">
        <v>US</v>
      </c>
      <c r="C165" s="31">
        <v>46321</v>
      </c>
      <c r="D165">
        <v>1448</v>
      </c>
      <c r="E165">
        <f t="shared" si="7"/>
        <v>181</v>
      </c>
      <c r="F165">
        <f t="shared" si="8"/>
        <v>1.4140625</v>
      </c>
    </row>
    <row r="166" spans="1:6" x14ac:dyDescent="0.3">
      <c r="A166" t="str">
        <v>F</v>
      </c>
      <c r="B166" s="31" t="str">
        <v>US</v>
      </c>
      <c r="C166" s="31">
        <v>46328</v>
      </c>
      <c r="D166">
        <v>1754</v>
      </c>
      <c r="E166">
        <f t="shared" si="7"/>
        <v>220</v>
      </c>
      <c r="F166">
        <f t="shared" si="8"/>
        <v>1.7187500000000002</v>
      </c>
    </row>
    <row r="167" spans="1:6" x14ac:dyDescent="0.3">
      <c r="A167" t="str">
        <v>F</v>
      </c>
      <c r="B167" s="31" t="str">
        <v>US</v>
      </c>
      <c r="C167" s="31">
        <v>46335</v>
      </c>
      <c r="D167">
        <v>1756</v>
      </c>
      <c r="E167">
        <f t="shared" si="7"/>
        <v>220</v>
      </c>
      <c r="F167">
        <f t="shared" si="8"/>
        <v>1.7187500000000002</v>
      </c>
    </row>
    <row r="168" spans="1:6" x14ac:dyDescent="0.3">
      <c r="A168" t="str">
        <v>F</v>
      </c>
      <c r="B168" s="31" t="str">
        <v>US</v>
      </c>
      <c r="C168" s="31">
        <v>46342</v>
      </c>
      <c r="D168">
        <v>1756</v>
      </c>
      <c r="E168">
        <f t="shared" si="7"/>
        <v>220</v>
      </c>
      <c r="F168">
        <f t="shared" si="8"/>
        <v>1.7187500000000002</v>
      </c>
    </row>
    <row r="169" spans="1:6" x14ac:dyDescent="0.3">
      <c r="A169" t="str">
        <v>F</v>
      </c>
      <c r="B169" s="31" t="str">
        <v>US</v>
      </c>
      <c r="C169" s="31">
        <v>46349</v>
      </c>
      <c r="D169">
        <v>1756</v>
      </c>
      <c r="E169">
        <f t="shared" si="7"/>
        <v>220</v>
      </c>
      <c r="F169">
        <f t="shared" si="8"/>
        <v>1.7187500000000002</v>
      </c>
    </row>
    <row r="170" spans="1:6" x14ac:dyDescent="0.3">
      <c r="A170" t="str">
        <v>F</v>
      </c>
      <c r="B170" s="31" t="str">
        <v>US</v>
      </c>
      <c r="C170" s="31">
        <v>46356</v>
      </c>
      <c r="D170">
        <v>1928</v>
      </c>
      <c r="E170">
        <f t="shared" si="7"/>
        <v>241</v>
      </c>
      <c r="F170">
        <f t="shared" si="8"/>
        <v>1.8828125</v>
      </c>
    </row>
    <row r="171" spans="1:6" x14ac:dyDescent="0.3">
      <c r="A171" t="str">
        <v>F</v>
      </c>
      <c r="B171" s="31" t="str">
        <v>US</v>
      </c>
      <c r="C171" s="31">
        <v>46363</v>
      </c>
      <c r="D171">
        <v>1930</v>
      </c>
      <c r="E171">
        <f t="shared" si="7"/>
        <v>242</v>
      </c>
      <c r="F171">
        <f t="shared" si="8"/>
        <v>1.890625</v>
      </c>
    </row>
    <row r="172" spans="1:6" x14ac:dyDescent="0.3">
      <c r="A172" t="str">
        <v>F</v>
      </c>
      <c r="B172" s="31" t="str">
        <v>US</v>
      </c>
      <c r="C172" s="31">
        <v>46370</v>
      </c>
      <c r="D172">
        <v>1928</v>
      </c>
      <c r="E172">
        <f t="shared" si="7"/>
        <v>241</v>
      </c>
      <c r="F172">
        <f t="shared" si="8"/>
        <v>1.8828125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CF7B2-1F73-4006-9199-05508634A5CC}">
  <dimension ref="A1:G200"/>
  <sheetViews>
    <sheetView zoomScale="57" workbookViewId="0">
      <selection activeCell="M14" sqref="M14"/>
    </sheetView>
  </sheetViews>
  <sheetFormatPr defaultRowHeight="14.4" x14ac:dyDescent="0.3"/>
  <cols>
    <col min="1" max="1" width="13" customWidth="1"/>
    <col min="2" max="7" width="10" customWidth="1"/>
  </cols>
  <sheetData>
    <row r="1" spans="1:7" ht="22.05" customHeight="1" x14ac:dyDescent="0.3">
      <c r="A1" s="35" t="s">
        <v>130</v>
      </c>
      <c r="B1" s="35" t="s">
        <v>30</v>
      </c>
      <c r="C1" s="35" t="s">
        <v>35</v>
      </c>
      <c r="D1" s="35" t="s">
        <v>38</v>
      </c>
      <c r="E1" s="35" t="s">
        <v>43</v>
      </c>
      <c r="F1" s="35" t="s">
        <v>46</v>
      </c>
      <c r="G1" s="35" t="s">
        <v>51</v>
      </c>
    </row>
    <row r="2" spans="1:7" x14ac:dyDescent="0.3">
      <c r="A2" s="38">
        <v>46132</v>
      </c>
      <c r="B2" s="66">
        <f>IF($A2="","",SUMIFS(weekly_demand!$D:$D,weekly_demand!$A:$A,B$1,weekly_demand!$C:$C,$A2))</f>
        <v>0</v>
      </c>
      <c r="C2" s="66">
        <f>IF($A2="","",SUMIFS(weekly_demand!$D:$D,weekly_demand!$A:$A,C$1,weekly_demand!$C:$C,$A2))</f>
        <v>0</v>
      </c>
      <c r="D2" s="66">
        <f>IF($A2="","",SUMIFS(weekly_demand!$D:$D,weekly_demand!$A:$A,D$1,weekly_demand!$C:$C,$A2))</f>
        <v>0</v>
      </c>
      <c r="E2" s="66">
        <f>IF($A2="","",SUMIFS(weekly_demand!$D:$D,weekly_demand!$A:$A,E$1,weekly_demand!$C:$C,$A2))</f>
        <v>0</v>
      </c>
      <c r="F2" s="66">
        <f>IF($A2="","",SUMIFS(weekly_demand!$D:$D,weekly_demand!$A:$A,F$1,weekly_demand!$C:$C,$A2))</f>
        <v>0</v>
      </c>
      <c r="G2" s="66">
        <f>IF($A2="","",SUMIFS(weekly_demand!$D:$D,weekly_demand!$A:$A,G$1,weekly_demand!$C:$C,$A2))</f>
        <v>588</v>
      </c>
    </row>
    <row r="3" spans="1:7" x14ac:dyDescent="0.3">
      <c r="A3" s="38">
        <v>46139</v>
      </c>
      <c r="B3" s="66">
        <f>IF($A3="","",SUMIFS(weekly_demand!$D:$D,weekly_demand!$A:$A,B$1,weekly_demand!$C:$C,$A3))</f>
        <v>684</v>
      </c>
      <c r="C3" s="66">
        <f>IF($A3="","",SUMIFS(weekly_demand!$D:$D,weekly_demand!$A:$A,C$1,weekly_demand!$C:$C,$A3))</f>
        <v>0</v>
      </c>
      <c r="D3" s="66">
        <f>IF($A3="","",SUMIFS(weekly_demand!$D:$D,weekly_demand!$A:$A,D$1,weekly_demand!$C:$C,$A3))</f>
        <v>0</v>
      </c>
      <c r="E3" s="66">
        <f>IF($A3="","",SUMIFS(weekly_demand!$D:$D,weekly_demand!$A:$A,E$1,weekly_demand!$C:$C,$A3))</f>
        <v>0</v>
      </c>
      <c r="F3" s="66">
        <f>IF($A3="","",SUMIFS(weekly_demand!$D:$D,weekly_demand!$A:$A,F$1,weekly_demand!$C:$C,$A3))</f>
        <v>472</v>
      </c>
      <c r="G3" s="66">
        <f>IF($A3="","",SUMIFS(weekly_demand!$D:$D,weekly_demand!$A:$A,G$1,weekly_demand!$C:$C,$A3))</f>
        <v>4028</v>
      </c>
    </row>
    <row r="4" spans="1:7" x14ac:dyDescent="0.3">
      <c r="A4" s="38">
        <v>46146</v>
      </c>
      <c r="B4" s="66">
        <f>IF($A4="","",SUMIFS(weekly_demand!$D:$D,weekly_demand!$A:$A,B$1,weekly_demand!$C:$C,$A4))</f>
        <v>20000</v>
      </c>
      <c r="C4" s="66">
        <f>IF($A4="","",SUMIFS(weekly_demand!$D:$D,weekly_demand!$A:$A,C$1,weekly_demand!$C:$C,$A4))</f>
        <v>5502</v>
      </c>
      <c r="D4" s="66">
        <f>IF($A4="","",SUMIFS(weekly_demand!$D:$D,weekly_demand!$A:$A,D$1,weekly_demand!$C:$C,$A4))</f>
        <v>4320</v>
      </c>
      <c r="E4" s="66">
        <f>IF($A4="","",SUMIFS(weekly_demand!$D:$D,weekly_demand!$A:$A,E$1,weekly_demand!$C:$C,$A4))</f>
        <v>2430</v>
      </c>
      <c r="F4" s="66">
        <f>IF($A4="","",SUMIFS(weekly_demand!$D:$D,weekly_demand!$A:$A,F$1,weekly_demand!$C:$C,$A4))</f>
        <v>300</v>
      </c>
      <c r="G4" s="66">
        <f>IF($A4="","",SUMIFS(weekly_demand!$D:$D,weekly_demand!$A:$A,G$1,weekly_demand!$C:$C,$A4))</f>
        <v>4200</v>
      </c>
    </row>
    <row r="5" spans="1:7" x14ac:dyDescent="0.3">
      <c r="A5" s="38">
        <v>46153</v>
      </c>
      <c r="B5" s="66">
        <f>IF($A5="","",SUMIFS(weekly_demand!$D:$D,weekly_demand!$A:$A,B$1,weekly_demand!$C:$C,$A5))</f>
        <v>20000</v>
      </c>
      <c r="C5" s="66">
        <f>IF($A5="","",SUMIFS(weekly_demand!$D:$D,weekly_demand!$A:$A,C$1,weekly_demand!$C:$C,$A5))</f>
        <v>15658</v>
      </c>
      <c r="D5" s="66">
        <f>IF($A5="","",SUMIFS(weekly_demand!$D:$D,weekly_demand!$A:$A,D$1,weekly_demand!$C:$C,$A5))</f>
        <v>8370</v>
      </c>
      <c r="E5" s="66">
        <f>IF($A5="","",SUMIFS(weekly_demand!$D:$D,weekly_demand!$A:$A,E$1,weekly_demand!$C:$C,$A5))</f>
        <v>9990</v>
      </c>
      <c r="F5" s="66">
        <f>IF($A5="","",SUMIFS(weekly_demand!$D:$D,weekly_demand!$A:$A,F$1,weekly_demand!$C:$C,$A5))</f>
        <v>698</v>
      </c>
      <c r="G5" s="66">
        <f>IF($A5="","",SUMIFS(weekly_demand!$D:$D,weekly_demand!$A:$A,G$1,weekly_demand!$C:$C,$A5))</f>
        <v>3802</v>
      </c>
    </row>
    <row r="6" spans="1:7" x14ac:dyDescent="0.3">
      <c r="A6" s="38">
        <v>46160</v>
      </c>
      <c r="B6" s="66">
        <f>IF($A6="","",SUMIFS(weekly_demand!$D:$D,weekly_demand!$A:$A,B$1,weekly_demand!$C:$C,$A6))</f>
        <v>11000</v>
      </c>
      <c r="C6" s="66">
        <f>IF($A6="","",SUMIFS(weekly_demand!$D:$D,weekly_demand!$A:$A,C$1,weekly_demand!$C:$C,$A6))</f>
        <v>8865</v>
      </c>
      <c r="D6" s="66">
        <f>IF($A6="","",SUMIFS(weekly_demand!$D:$D,weekly_demand!$A:$A,D$1,weekly_demand!$C:$C,$A6))</f>
        <v>11782</v>
      </c>
      <c r="E6" s="66">
        <f>IF($A6="","",SUMIFS(weekly_demand!$D:$D,weekly_demand!$A:$A,E$1,weekly_demand!$C:$C,$A6))</f>
        <v>5840</v>
      </c>
      <c r="F6" s="66">
        <f>IF($A6="","",SUMIFS(weekly_demand!$D:$D,weekly_demand!$A:$A,F$1,weekly_demand!$C:$C,$A6))</f>
        <v>0</v>
      </c>
      <c r="G6" s="66">
        <f>IF($A6="","",SUMIFS(weekly_demand!$D:$D,weekly_demand!$A:$A,G$1,weekly_demand!$C:$C,$A6))</f>
        <v>4500</v>
      </c>
    </row>
    <row r="7" spans="1:7" x14ac:dyDescent="0.3">
      <c r="A7" s="38">
        <v>46167</v>
      </c>
      <c r="B7" s="66">
        <f>IF($A7="","",SUMIFS(weekly_demand!$D:$D,weekly_demand!$A:$A,B$1,weekly_demand!$C:$C,$A7))</f>
        <v>13000</v>
      </c>
      <c r="C7" s="66">
        <f>IF($A7="","",SUMIFS(weekly_demand!$D:$D,weekly_demand!$A:$A,C$1,weekly_demand!$C:$C,$A7))</f>
        <v>2146</v>
      </c>
      <c r="D7" s="66">
        <f>IF($A7="","",SUMIFS(weekly_demand!$D:$D,weekly_demand!$A:$A,D$1,weekly_demand!$C:$C,$A7))</f>
        <v>10524</v>
      </c>
      <c r="E7" s="66">
        <f>IF($A7="","",SUMIFS(weekly_demand!$D:$D,weekly_demand!$A:$A,E$1,weekly_demand!$C:$C,$A7))</f>
        <v>8100</v>
      </c>
      <c r="F7" s="66">
        <f>IF($A7="","",SUMIFS(weekly_demand!$D:$D,weekly_demand!$A:$A,F$1,weekly_demand!$C:$C,$A7))</f>
        <v>300</v>
      </c>
      <c r="G7" s="66">
        <f>IF($A7="","",SUMIFS(weekly_demand!$D:$D,weekly_demand!$A:$A,G$1,weekly_demand!$C:$C,$A7))</f>
        <v>4200</v>
      </c>
    </row>
    <row r="8" spans="1:7" x14ac:dyDescent="0.3">
      <c r="A8" s="38">
        <v>46174</v>
      </c>
      <c r="B8" s="66">
        <f>IF($A8="","",SUMIFS(weekly_demand!$D:$D,weekly_demand!$A:$A,B$1,weekly_demand!$C:$C,$A8))</f>
        <v>13773</v>
      </c>
      <c r="C8" s="66">
        <f>IF($A8="","",SUMIFS(weekly_demand!$D:$D,weekly_demand!$A:$A,C$1,weekly_demand!$C:$C,$A8))</f>
        <v>7123</v>
      </c>
      <c r="D8" s="66">
        <f>IF($A8="","",SUMIFS(weekly_demand!$D:$D,weekly_demand!$A:$A,D$1,weekly_demand!$C:$C,$A8))</f>
        <v>3240</v>
      </c>
      <c r="E8" s="66">
        <f>IF($A8="","",SUMIFS(weekly_demand!$D:$D,weekly_demand!$A:$A,E$1,weekly_demand!$C:$C,$A8))</f>
        <v>1001</v>
      </c>
      <c r="F8" s="66">
        <f>IF($A8="","",SUMIFS(weekly_demand!$D:$D,weekly_demand!$A:$A,F$1,weekly_demand!$C:$C,$A8))</f>
        <v>0</v>
      </c>
      <c r="G8" s="66">
        <f>IF($A8="","",SUMIFS(weekly_demand!$D:$D,weekly_demand!$A:$A,G$1,weekly_demand!$C:$C,$A8))</f>
        <v>4500</v>
      </c>
    </row>
    <row r="9" spans="1:7" x14ac:dyDescent="0.3">
      <c r="A9" s="38">
        <v>46181</v>
      </c>
      <c r="B9" s="66">
        <f>IF($A9="","",SUMIFS(weekly_demand!$D:$D,weekly_demand!$A:$A,B$1,weekly_demand!$C:$C,$A9))</f>
        <v>7058</v>
      </c>
      <c r="C9" s="66">
        <f>IF($A9="","",SUMIFS(weekly_demand!$D:$D,weekly_demand!$A:$A,C$1,weekly_demand!$C:$C,$A9))</f>
        <v>5309</v>
      </c>
      <c r="D9" s="66">
        <f>IF($A9="","",SUMIFS(weekly_demand!$D:$D,weekly_demand!$A:$A,D$1,weekly_demand!$C:$C,$A9))</f>
        <v>6442</v>
      </c>
      <c r="E9" s="66">
        <f>IF($A9="","",SUMIFS(weekly_demand!$D:$D,weekly_demand!$A:$A,E$1,weekly_demand!$C:$C,$A9))</f>
        <v>2471</v>
      </c>
      <c r="F9" s="66">
        <f>IF($A9="","",SUMIFS(weekly_demand!$D:$D,weekly_demand!$A:$A,F$1,weekly_demand!$C:$C,$A9))</f>
        <v>0</v>
      </c>
      <c r="G9" s="66">
        <f>IF($A9="","",SUMIFS(weekly_demand!$D:$D,weekly_demand!$A:$A,G$1,weekly_demand!$C:$C,$A9))</f>
        <v>4500</v>
      </c>
    </row>
    <row r="10" spans="1:7" x14ac:dyDescent="0.3">
      <c r="A10" s="38">
        <v>46188</v>
      </c>
      <c r="B10" s="66">
        <f>IF($A10="","",SUMIFS(weekly_demand!$D:$D,weekly_demand!$A:$A,B$1,weekly_demand!$C:$C,$A10))</f>
        <v>2040</v>
      </c>
      <c r="C10" s="66">
        <f>IF($A10="","",SUMIFS(weekly_demand!$D:$D,weekly_demand!$A:$A,C$1,weekly_demand!$C:$C,$A10))</f>
        <v>5309</v>
      </c>
      <c r="D10" s="66">
        <f>IF($A10="","",SUMIFS(weekly_demand!$D:$D,weekly_demand!$A:$A,D$1,weekly_demand!$C:$C,$A10))</f>
        <v>8802</v>
      </c>
      <c r="E10" s="66">
        <f>IF($A10="","",SUMIFS(weekly_demand!$D:$D,weekly_demand!$A:$A,E$1,weekly_demand!$C:$C,$A10))</f>
        <v>3458</v>
      </c>
      <c r="F10" s="66">
        <f>IF($A10="","",SUMIFS(weekly_demand!$D:$D,weekly_demand!$A:$A,F$1,weekly_demand!$C:$C,$A10))</f>
        <v>300</v>
      </c>
      <c r="G10" s="66">
        <f>IF($A10="","",SUMIFS(weekly_demand!$D:$D,weekly_demand!$A:$A,G$1,weekly_demand!$C:$C,$A10))</f>
        <v>2200</v>
      </c>
    </row>
    <row r="11" spans="1:7" x14ac:dyDescent="0.3">
      <c r="A11" s="38">
        <v>46195</v>
      </c>
      <c r="B11" s="66">
        <f>IF($A11="","",SUMIFS(weekly_demand!$D:$D,weekly_demand!$A:$A,B$1,weekly_demand!$C:$C,$A11))</f>
        <v>3541</v>
      </c>
      <c r="C11" s="66">
        <f>IF($A11="","",SUMIFS(weekly_demand!$D:$D,weekly_demand!$A:$A,C$1,weekly_demand!$C:$C,$A11))</f>
        <v>3000</v>
      </c>
      <c r="D11" s="66">
        <f>IF($A11="","",SUMIFS(weekly_demand!$D:$D,weekly_demand!$A:$A,D$1,weekly_demand!$C:$C,$A11))</f>
        <v>7695</v>
      </c>
      <c r="E11" s="66">
        <f>IF($A11="","",SUMIFS(weekly_demand!$D:$D,weekly_demand!$A:$A,E$1,weekly_demand!$C:$C,$A11))</f>
        <v>500</v>
      </c>
      <c r="F11" s="66">
        <f>IF($A11="","",SUMIFS(weekly_demand!$D:$D,weekly_demand!$A:$A,F$1,weekly_demand!$C:$C,$A11))</f>
        <v>0</v>
      </c>
      <c r="G11" s="66">
        <f>IF($A11="","",SUMIFS(weekly_demand!$D:$D,weekly_demand!$A:$A,G$1,weekly_demand!$C:$C,$A11))</f>
        <v>5000</v>
      </c>
    </row>
    <row r="12" spans="1:7" x14ac:dyDescent="0.3">
      <c r="A12" s="38">
        <v>46202</v>
      </c>
      <c r="B12" s="66">
        <f>IF($A12="","",SUMIFS(weekly_demand!$D:$D,weekly_demand!$A:$A,B$1,weekly_demand!$C:$C,$A12))</f>
        <v>12041</v>
      </c>
      <c r="C12" s="66">
        <f>IF($A12="","",SUMIFS(weekly_demand!$D:$D,weekly_demand!$A:$A,C$1,weekly_demand!$C:$C,$A12))</f>
        <v>3000</v>
      </c>
      <c r="D12" s="66">
        <f>IF($A12="","",SUMIFS(weekly_demand!$D:$D,weekly_demand!$A:$A,D$1,weekly_demand!$C:$C,$A12))</f>
        <v>2500</v>
      </c>
      <c r="E12" s="66">
        <f>IF($A12="","",SUMIFS(weekly_demand!$D:$D,weekly_demand!$A:$A,E$1,weekly_demand!$C:$C,$A12))</f>
        <v>500</v>
      </c>
      <c r="F12" s="66">
        <f>IF($A12="","",SUMIFS(weekly_demand!$D:$D,weekly_demand!$A:$A,F$1,weekly_demand!$C:$C,$A12))</f>
        <v>700</v>
      </c>
      <c r="G12" s="66">
        <f>IF($A12="","",SUMIFS(weekly_demand!$D:$D,weekly_demand!$A:$A,G$1,weekly_demand!$C:$C,$A12))</f>
        <v>4300</v>
      </c>
    </row>
    <row r="13" spans="1:7" x14ac:dyDescent="0.3">
      <c r="A13" s="38">
        <v>46209</v>
      </c>
      <c r="B13" s="66">
        <f>IF($A13="","",SUMIFS(weekly_demand!$D:$D,weekly_demand!$A:$A,B$1,weekly_demand!$C:$C,$A13))</f>
        <v>12040</v>
      </c>
      <c r="C13" s="66">
        <f>IF($A13="","",SUMIFS(weekly_demand!$D:$D,weekly_demand!$A:$A,C$1,weekly_demand!$C:$C,$A13))</f>
        <v>3000</v>
      </c>
      <c r="D13" s="66">
        <f>IF($A13="","",SUMIFS(weekly_demand!$D:$D,weekly_demand!$A:$A,D$1,weekly_demand!$C:$C,$A13))</f>
        <v>2500</v>
      </c>
      <c r="E13" s="66">
        <f>IF($A13="","",SUMIFS(weekly_demand!$D:$D,weekly_demand!$A:$A,E$1,weekly_demand!$C:$C,$A13))</f>
        <v>500</v>
      </c>
      <c r="F13" s="66">
        <f>IF($A13="","",SUMIFS(weekly_demand!$D:$D,weekly_demand!$A:$A,F$1,weekly_demand!$C:$C,$A13))</f>
        <v>300</v>
      </c>
      <c r="G13" s="66">
        <f>IF($A13="","",SUMIFS(weekly_demand!$D:$D,weekly_demand!$A:$A,G$1,weekly_demand!$C:$C,$A13))</f>
        <v>4700</v>
      </c>
    </row>
    <row r="14" spans="1:7" x14ac:dyDescent="0.3">
      <c r="A14" s="38">
        <v>46216</v>
      </c>
      <c r="B14" s="66">
        <f>IF($A14="","",SUMIFS(weekly_demand!$D:$D,weekly_demand!$A:$A,B$1,weekly_demand!$C:$C,$A14))</f>
        <v>0</v>
      </c>
      <c r="C14" s="66">
        <f>IF($A14="","",SUMIFS(weekly_demand!$D:$D,weekly_demand!$A:$A,C$1,weekly_demand!$C:$C,$A14))</f>
        <v>3000</v>
      </c>
      <c r="D14" s="66">
        <f>IF($A14="","",SUMIFS(weekly_demand!$D:$D,weekly_demand!$A:$A,D$1,weekly_demand!$C:$C,$A14))</f>
        <v>2500</v>
      </c>
      <c r="E14" s="66">
        <f>IF($A14="","",SUMIFS(weekly_demand!$D:$D,weekly_demand!$A:$A,E$1,weekly_demand!$C:$C,$A14))</f>
        <v>500</v>
      </c>
      <c r="F14" s="66">
        <f>IF($A14="","",SUMIFS(weekly_demand!$D:$D,weekly_demand!$A:$A,F$1,weekly_demand!$C:$C,$A14))</f>
        <v>300</v>
      </c>
      <c r="G14" s="66">
        <f>IF($A14="","",SUMIFS(weekly_demand!$D:$D,weekly_demand!$A:$A,G$1,weekly_demand!$C:$C,$A14))</f>
        <v>4746</v>
      </c>
    </row>
    <row r="15" spans="1:7" x14ac:dyDescent="0.3">
      <c r="A15" s="38">
        <v>46223</v>
      </c>
      <c r="B15" s="66">
        <f>IF($A15="","",SUMIFS(weekly_demand!$D:$D,weekly_demand!$A:$A,B$1,weekly_demand!$C:$C,$A15))</f>
        <v>0</v>
      </c>
      <c r="C15" s="66">
        <f>IF($A15="","",SUMIFS(weekly_demand!$D:$D,weekly_demand!$A:$A,C$1,weekly_demand!$C:$C,$A15))</f>
        <v>2400</v>
      </c>
      <c r="D15" s="66">
        <f>IF($A15="","",SUMIFS(weekly_demand!$D:$D,weekly_demand!$A:$A,D$1,weekly_demand!$C:$C,$A15))</f>
        <v>1000</v>
      </c>
      <c r="E15" s="66">
        <f>IF($A15="","",SUMIFS(weekly_demand!$D:$D,weekly_demand!$A:$A,E$1,weekly_demand!$C:$C,$A15))</f>
        <v>0</v>
      </c>
      <c r="F15" s="66">
        <f>IF($A15="","",SUMIFS(weekly_demand!$D:$D,weekly_demand!$A:$A,F$1,weekly_demand!$C:$C,$A15))</f>
        <v>300</v>
      </c>
      <c r="G15" s="66">
        <f>IF($A15="","",SUMIFS(weekly_demand!$D:$D,weekly_demand!$A:$A,G$1,weekly_demand!$C:$C,$A15))</f>
        <v>4300</v>
      </c>
    </row>
    <row r="16" spans="1:7" x14ac:dyDescent="0.3">
      <c r="A16" s="38">
        <v>46230</v>
      </c>
      <c r="B16" s="66">
        <f>IF($A16="","",SUMIFS(weekly_demand!$D:$D,weekly_demand!$A:$A,B$1,weekly_demand!$C:$C,$A16))</f>
        <v>27760</v>
      </c>
      <c r="C16" s="66">
        <f>IF($A16="","",SUMIFS(weekly_demand!$D:$D,weekly_demand!$A:$A,C$1,weekly_demand!$C:$C,$A16))</f>
        <v>2400</v>
      </c>
      <c r="D16" s="66">
        <f>IF($A16="","",SUMIFS(weekly_demand!$D:$D,weekly_demand!$A:$A,D$1,weekly_demand!$C:$C,$A16))</f>
        <v>1000</v>
      </c>
      <c r="E16" s="66">
        <f>IF($A16="","",SUMIFS(weekly_demand!$D:$D,weekly_demand!$A:$A,E$1,weekly_demand!$C:$C,$A16))</f>
        <v>0</v>
      </c>
      <c r="F16" s="66">
        <f>IF($A16="","",SUMIFS(weekly_demand!$D:$D,weekly_demand!$A:$A,F$1,weekly_demand!$C:$C,$A16))</f>
        <v>0</v>
      </c>
      <c r="G16" s="66">
        <f>IF($A16="","",SUMIFS(weekly_demand!$D:$D,weekly_demand!$A:$A,G$1,weekly_demand!$C:$C,$A16))</f>
        <v>476</v>
      </c>
    </row>
    <row r="17" spans="1:7" x14ac:dyDescent="0.3">
      <c r="A17" s="38">
        <v>46237</v>
      </c>
      <c r="B17" s="66">
        <f>IF($A17="","",SUMIFS(weekly_demand!$D:$D,weekly_demand!$A:$A,B$1,weekly_demand!$C:$C,$A17))</f>
        <v>26486</v>
      </c>
      <c r="C17" s="66">
        <f>IF($A17="","",SUMIFS(weekly_demand!$D:$D,weekly_demand!$A:$A,C$1,weekly_demand!$C:$C,$A17))</f>
        <v>0</v>
      </c>
      <c r="D17" s="66">
        <f>IF($A17="","",SUMIFS(weekly_demand!$D:$D,weekly_demand!$A:$A,D$1,weekly_demand!$C:$C,$A17))</f>
        <v>1000</v>
      </c>
      <c r="E17" s="66">
        <f>IF($A17="","",SUMIFS(weekly_demand!$D:$D,weekly_demand!$A:$A,E$1,weekly_demand!$C:$C,$A17))</f>
        <v>400</v>
      </c>
      <c r="F17" s="66">
        <f>IF($A17="","",SUMIFS(weekly_demand!$D:$D,weekly_demand!$A:$A,F$1,weekly_demand!$C:$C,$A17))</f>
        <v>0</v>
      </c>
      <c r="G17" s="66">
        <f>IF($A17="","",SUMIFS(weekly_demand!$D:$D,weekly_demand!$A:$A,G$1,weekly_demand!$C:$C,$A17))</f>
        <v>1298</v>
      </c>
    </row>
    <row r="18" spans="1:7" x14ac:dyDescent="0.3">
      <c r="A18" s="38">
        <v>46244</v>
      </c>
      <c r="B18" s="66">
        <f>IF($A18="","",SUMIFS(weekly_demand!$D:$D,weekly_demand!$A:$A,B$1,weekly_demand!$C:$C,$A18))</f>
        <v>4248</v>
      </c>
      <c r="C18" s="66">
        <f>IF($A18="","",SUMIFS(weekly_demand!$D:$D,weekly_demand!$A:$A,C$1,weekly_demand!$C:$C,$A18))</f>
        <v>2400</v>
      </c>
      <c r="D18" s="66">
        <f>IF($A18="","",SUMIFS(weekly_demand!$D:$D,weekly_demand!$A:$A,D$1,weekly_demand!$C:$C,$A18))</f>
        <v>1000</v>
      </c>
      <c r="E18" s="66">
        <f>IF($A18="","",SUMIFS(weekly_demand!$D:$D,weekly_demand!$A:$A,E$1,weekly_demand!$C:$C,$A18))</f>
        <v>0</v>
      </c>
      <c r="F18" s="66">
        <f>IF($A18="","",SUMIFS(weekly_demand!$D:$D,weekly_demand!$A:$A,F$1,weekly_demand!$C:$C,$A18))</f>
        <v>300</v>
      </c>
      <c r="G18" s="66">
        <f>IF($A18="","",SUMIFS(weekly_demand!$D:$D,weekly_demand!$A:$A,G$1,weekly_demand!$C:$C,$A18))</f>
        <v>1300</v>
      </c>
    </row>
    <row r="19" spans="1:7" x14ac:dyDescent="0.3">
      <c r="A19" s="38">
        <v>46251</v>
      </c>
      <c r="B19" s="66">
        <f>IF($A19="","",SUMIFS(weekly_demand!$D:$D,weekly_demand!$A:$A,B$1,weekly_demand!$C:$C,$A19))</f>
        <v>4248</v>
      </c>
      <c r="C19" s="66">
        <f>IF($A19="","",SUMIFS(weekly_demand!$D:$D,weekly_demand!$A:$A,C$1,weekly_demand!$C:$C,$A19))</f>
        <v>2400</v>
      </c>
      <c r="D19" s="66">
        <f>IF($A19="","",SUMIFS(weekly_demand!$D:$D,weekly_demand!$A:$A,D$1,weekly_demand!$C:$C,$A19))</f>
        <v>1000</v>
      </c>
      <c r="E19" s="66">
        <f>IF($A19="","",SUMIFS(weekly_demand!$D:$D,weekly_demand!$A:$A,E$1,weekly_demand!$C:$C,$A19))</f>
        <v>0</v>
      </c>
      <c r="F19" s="66">
        <f>IF($A19="","",SUMIFS(weekly_demand!$D:$D,weekly_demand!$A:$A,F$1,weekly_demand!$C:$C,$A19))</f>
        <v>0</v>
      </c>
      <c r="G19" s="66">
        <f>IF($A19="","",SUMIFS(weekly_demand!$D:$D,weekly_demand!$A:$A,G$1,weekly_demand!$C:$C,$A19))</f>
        <v>1298</v>
      </c>
    </row>
    <row r="20" spans="1:7" x14ac:dyDescent="0.3">
      <c r="A20" s="38">
        <v>46258</v>
      </c>
      <c r="B20" s="66">
        <f>IF($A20="","",SUMIFS(weekly_demand!$D:$D,weekly_demand!$A:$A,B$1,weekly_demand!$C:$C,$A20))</f>
        <v>4249</v>
      </c>
      <c r="C20" s="66">
        <f>IF($A20="","",SUMIFS(weekly_demand!$D:$D,weekly_demand!$A:$A,C$1,weekly_demand!$C:$C,$A20))</f>
        <v>3750</v>
      </c>
      <c r="D20" s="66">
        <f>IF($A20="","",SUMIFS(weekly_demand!$D:$D,weekly_demand!$A:$A,D$1,weekly_demand!$C:$C,$A20))</f>
        <v>750</v>
      </c>
      <c r="E20" s="66">
        <f>IF($A20="","",SUMIFS(weekly_demand!$D:$D,weekly_demand!$A:$A,E$1,weekly_demand!$C:$C,$A20))</f>
        <v>400</v>
      </c>
      <c r="F20" s="66">
        <f>IF($A20="","",SUMIFS(weekly_demand!$D:$D,weekly_demand!$A:$A,F$1,weekly_demand!$C:$C,$A20))</f>
        <v>0</v>
      </c>
      <c r="G20" s="66">
        <f>IF($A20="","",SUMIFS(weekly_demand!$D:$D,weekly_demand!$A:$A,G$1,weekly_demand!$C:$C,$A20))</f>
        <v>1506</v>
      </c>
    </row>
    <row r="21" spans="1:7" x14ac:dyDescent="0.3">
      <c r="A21" s="38">
        <v>46265</v>
      </c>
      <c r="B21" s="66">
        <f>IF($A21="","",SUMIFS(weekly_demand!$D:$D,weekly_demand!$A:$A,B$1,weekly_demand!$C:$C,$A21))</f>
        <v>4248</v>
      </c>
      <c r="C21" s="66">
        <f>IF($A21="","",SUMIFS(weekly_demand!$D:$D,weekly_demand!$A:$A,C$1,weekly_demand!$C:$C,$A21))</f>
        <v>3750</v>
      </c>
      <c r="D21" s="66">
        <f>IF($A21="","",SUMIFS(weekly_demand!$D:$D,weekly_demand!$A:$A,D$1,weekly_demand!$C:$C,$A21))</f>
        <v>750</v>
      </c>
      <c r="E21" s="66">
        <f>IF($A21="","",SUMIFS(weekly_demand!$D:$D,weekly_demand!$A:$A,E$1,weekly_demand!$C:$C,$A21))</f>
        <v>0</v>
      </c>
      <c r="F21" s="66">
        <f>IF($A21="","",SUMIFS(weekly_demand!$D:$D,weekly_demand!$A:$A,F$1,weekly_demand!$C:$C,$A21))</f>
        <v>300</v>
      </c>
      <c r="G21" s="66">
        <f>IF($A21="","",SUMIFS(weekly_demand!$D:$D,weekly_demand!$A:$A,G$1,weekly_demand!$C:$C,$A21))</f>
        <v>1506</v>
      </c>
    </row>
    <row r="22" spans="1:7" x14ac:dyDescent="0.3">
      <c r="A22" s="38">
        <v>46272</v>
      </c>
      <c r="B22" s="66">
        <f>IF($A22="","",SUMIFS(weekly_demand!$D:$D,weekly_demand!$A:$A,B$1,weekly_demand!$C:$C,$A22))</f>
        <v>2391</v>
      </c>
      <c r="C22" s="66">
        <f>IF($A22="","",SUMIFS(weekly_demand!$D:$D,weekly_demand!$A:$A,C$1,weekly_demand!$C:$C,$A22))</f>
        <v>3750</v>
      </c>
      <c r="D22" s="66">
        <f>IF($A22="","",SUMIFS(weekly_demand!$D:$D,weekly_demand!$A:$A,D$1,weekly_demand!$C:$C,$A22))</f>
        <v>750</v>
      </c>
      <c r="E22" s="66">
        <f>IF($A22="","",SUMIFS(weekly_demand!$D:$D,weekly_demand!$A:$A,E$1,weekly_demand!$C:$C,$A22))</f>
        <v>400</v>
      </c>
      <c r="F22" s="66">
        <f>IF($A22="","",SUMIFS(weekly_demand!$D:$D,weekly_demand!$A:$A,F$1,weekly_demand!$C:$C,$A22))</f>
        <v>0</v>
      </c>
      <c r="G22" s="66">
        <f>IF($A22="","",SUMIFS(weekly_demand!$D:$D,weekly_demand!$A:$A,G$1,weekly_demand!$C:$C,$A22))</f>
        <v>1506</v>
      </c>
    </row>
    <row r="23" spans="1:7" x14ac:dyDescent="0.3">
      <c r="A23" s="38">
        <v>46279</v>
      </c>
      <c r="B23" s="66">
        <f>IF($A23="","",SUMIFS(weekly_demand!$D:$D,weekly_demand!$A:$A,B$1,weekly_demand!$C:$C,$A23))</f>
        <v>2392</v>
      </c>
      <c r="C23" s="66">
        <f>IF($A23="","",SUMIFS(weekly_demand!$D:$D,weekly_demand!$A:$A,C$1,weekly_demand!$C:$C,$A23))</f>
        <v>3750</v>
      </c>
      <c r="D23" s="66">
        <f>IF($A23="","",SUMIFS(weekly_demand!$D:$D,weekly_demand!$A:$A,D$1,weekly_demand!$C:$C,$A23))</f>
        <v>750</v>
      </c>
      <c r="E23" s="66">
        <f>IF($A23="","",SUMIFS(weekly_demand!$D:$D,weekly_demand!$A:$A,E$1,weekly_demand!$C:$C,$A23))</f>
        <v>0</v>
      </c>
      <c r="F23" s="66">
        <f>IF($A23="","",SUMIFS(weekly_demand!$D:$D,weekly_demand!$A:$A,F$1,weekly_demand!$C:$C,$A23))</f>
        <v>0</v>
      </c>
      <c r="G23" s="66">
        <f>IF($A23="","",SUMIFS(weekly_demand!$D:$D,weekly_demand!$A:$A,G$1,weekly_demand!$C:$C,$A23))</f>
        <v>1506</v>
      </c>
    </row>
    <row r="24" spans="1:7" x14ac:dyDescent="0.3">
      <c r="A24" s="38">
        <v>46286</v>
      </c>
      <c r="B24" s="66">
        <f>IF($A24="","",SUMIFS(weekly_demand!$D:$D,weekly_demand!$A:$A,B$1,weekly_demand!$C:$C,$A24))</f>
        <v>2391</v>
      </c>
      <c r="C24" s="66">
        <f>IF($A24="","",SUMIFS(weekly_demand!$D:$D,weekly_demand!$A:$A,C$1,weekly_demand!$C:$C,$A24))</f>
        <v>3000</v>
      </c>
      <c r="D24" s="66">
        <f>IF($A24="","",SUMIFS(weekly_demand!$D:$D,weekly_demand!$A:$A,D$1,weekly_demand!$C:$C,$A24))</f>
        <v>600</v>
      </c>
      <c r="E24" s="66">
        <f>IF($A24="","",SUMIFS(weekly_demand!$D:$D,weekly_demand!$A:$A,E$1,weekly_demand!$C:$C,$A24))</f>
        <v>360</v>
      </c>
      <c r="F24" s="66">
        <f>IF($A24="","",SUMIFS(weekly_demand!$D:$D,weekly_demand!$A:$A,F$1,weekly_demand!$C:$C,$A24))</f>
        <v>0</v>
      </c>
      <c r="G24" s="66">
        <f>IF($A24="","",SUMIFS(weekly_demand!$D:$D,weekly_demand!$A:$A,G$1,weekly_demand!$C:$C,$A24))</f>
        <v>1446</v>
      </c>
    </row>
    <row r="25" spans="1:7" x14ac:dyDescent="0.3">
      <c r="A25" s="38">
        <v>46293</v>
      </c>
      <c r="B25" s="66">
        <f>IF($A25="","",SUMIFS(weekly_demand!$D:$D,weekly_demand!$A:$A,B$1,weekly_demand!$C:$C,$A25))</f>
        <v>2392</v>
      </c>
      <c r="C25" s="66">
        <f>IF($A25="","",SUMIFS(weekly_demand!$D:$D,weekly_demand!$A:$A,C$1,weekly_demand!$C:$C,$A25))</f>
        <v>3000</v>
      </c>
      <c r="D25" s="66">
        <f>IF($A25="","",SUMIFS(weekly_demand!$D:$D,weekly_demand!$A:$A,D$1,weekly_demand!$C:$C,$A25))</f>
        <v>600</v>
      </c>
      <c r="E25" s="66">
        <f>IF($A25="","",SUMIFS(weekly_demand!$D:$D,weekly_demand!$A:$A,E$1,weekly_demand!$C:$C,$A25))</f>
        <v>360</v>
      </c>
      <c r="F25" s="66">
        <f>IF($A25="","",SUMIFS(weekly_demand!$D:$D,weekly_demand!$A:$A,F$1,weekly_demand!$C:$C,$A25))</f>
        <v>300</v>
      </c>
      <c r="G25" s="66">
        <f>IF($A25="","",SUMIFS(weekly_demand!$D:$D,weekly_demand!$A:$A,G$1,weekly_demand!$C:$C,$A25))</f>
        <v>0</v>
      </c>
    </row>
    <row r="26" spans="1:7" x14ac:dyDescent="0.3">
      <c r="A26" s="38">
        <v>46300</v>
      </c>
      <c r="B26" s="66">
        <f>IF($A26="","",SUMIFS(weekly_demand!$D:$D,weekly_demand!$A:$A,B$1,weekly_demand!$C:$C,$A26))</f>
        <v>16017</v>
      </c>
      <c r="C26" s="66">
        <f>IF($A26="","",SUMIFS(weekly_demand!$D:$D,weekly_demand!$A:$A,C$1,weekly_demand!$C:$C,$A26))</f>
        <v>3000</v>
      </c>
      <c r="D26" s="66">
        <f>IF($A26="","",SUMIFS(weekly_demand!$D:$D,weekly_demand!$A:$A,D$1,weekly_demand!$C:$C,$A26))</f>
        <v>600</v>
      </c>
      <c r="E26" s="66">
        <f>IF($A26="","",SUMIFS(weekly_demand!$D:$D,weekly_demand!$A:$A,E$1,weekly_demand!$C:$C,$A26))</f>
        <v>360</v>
      </c>
      <c r="F26" s="66">
        <f>IF($A26="","",SUMIFS(weekly_demand!$D:$D,weekly_demand!$A:$A,F$1,weekly_demand!$C:$C,$A26))</f>
        <v>0</v>
      </c>
      <c r="G26" s="66">
        <f>IF($A26="","",SUMIFS(weekly_demand!$D:$D,weekly_demand!$A:$A,G$1,weekly_demand!$C:$C,$A26))</f>
        <v>0</v>
      </c>
    </row>
    <row r="27" spans="1:7" x14ac:dyDescent="0.3">
      <c r="A27" s="38">
        <v>46307</v>
      </c>
      <c r="B27" s="66">
        <f>IF($A27="","",SUMIFS(weekly_demand!$D:$D,weekly_demand!$A:$A,B$1,weekly_demand!$C:$C,$A27))</f>
        <v>16017</v>
      </c>
      <c r="C27" s="66">
        <f>IF($A27="","",SUMIFS(weekly_demand!$D:$D,weekly_demand!$A:$A,C$1,weekly_demand!$C:$C,$A27))</f>
        <v>3000</v>
      </c>
      <c r="D27" s="66">
        <f>IF($A27="","",SUMIFS(weekly_demand!$D:$D,weekly_demand!$A:$A,D$1,weekly_demand!$C:$C,$A27))</f>
        <v>600</v>
      </c>
      <c r="E27" s="66">
        <f>IF($A27="","",SUMIFS(weekly_demand!$D:$D,weekly_demand!$A:$A,E$1,weekly_demand!$C:$C,$A27))</f>
        <v>360</v>
      </c>
      <c r="F27" s="66">
        <f>IF($A27="","",SUMIFS(weekly_demand!$D:$D,weekly_demand!$A:$A,F$1,weekly_demand!$C:$C,$A27))</f>
        <v>0</v>
      </c>
      <c r="G27" s="66">
        <f>IF($A27="","",SUMIFS(weekly_demand!$D:$D,weekly_demand!$A:$A,G$1,weekly_demand!$C:$C,$A27))</f>
        <v>1448</v>
      </c>
    </row>
    <row r="28" spans="1:7" x14ac:dyDescent="0.3">
      <c r="A28" s="38">
        <v>46314</v>
      </c>
      <c r="B28" s="66">
        <f>IF($A28="","",SUMIFS(weekly_demand!$D:$D,weekly_demand!$A:$A,B$1,weekly_demand!$C:$C,$A28))</f>
        <v>16016</v>
      </c>
      <c r="C28" s="66">
        <f>IF($A28="","",SUMIFS(weekly_demand!$D:$D,weekly_demand!$A:$A,C$1,weekly_demand!$C:$C,$A28))</f>
        <v>3000</v>
      </c>
      <c r="D28" s="66">
        <f>IF($A28="","",SUMIFS(weekly_demand!$D:$D,weekly_demand!$A:$A,D$1,weekly_demand!$C:$C,$A28))</f>
        <v>600</v>
      </c>
      <c r="E28" s="66">
        <f>IF($A28="","",SUMIFS(weekly_demand!$D:$D,weekly_demand!$A:$A,E$1,weekly_demand!$C:$C,$A28))</f>
        <v>360</v>
      </c>
      <c r="F28" s="66">
        <f>IF($A28="","",SUMIFS(weekly_demand!$D:$D,weekly_demand!$A:$A,F$1,weekly_demand!$C:$C,$A28))</f>
        <v>0</v>
      </c>
      <c r="G28" s="66">
        <f>IF($A28="","",SUMIFS(weekly_demand!$D:$D,weekly_demand!$A:$A,G$1,weekly_demand!$C:$C,$A28))</f>
        <v>1448</v>
      </c>
    </row>
    <row r="29" spans="1:7" x14ac:dyDescent="0.3">
      <c r="A29" s="38">
        <v>46321</v>
      </c>
      <c r="B29" s="66">
        <f>IF($A29="","",SUMIFS(weekly_demand!$D:$D,weekly_demand!$A:$A,B$1,weekly_demand!$C:$C,$A29))</f>
        <v>16017</v>
      </c>
      <c r="C29" s="66">
        <f>IF($A29="","",SUMIFS(weekly_demand!$D:$D,weekly_demand!$A:$A,C$1,weekly_demand!$C:$C,$A29))</f>
        <v>6250</v>
      </c>
      <c r="D29" s="66">
        <f>IF($A29="","",SUMIFS(weekly_demand!$D:$D,weekly_demand!$A:$A,D$1,weekly_demand!$C:$C,$A29))</f>
        <v>500</v>
      </c>
      <c r="E29" s="66">
        <f>IF($A29="","",SUMIFS(weekly_demand!$D:$D,weekly_demand!$A:$A,E$1,weekly_demand!$C:$C,$A29))</f>
        <v>1000</v>
      </c>
      <c r="F29" s="66">
        <f>IF($A29="","",SUMIFS(weekly_demand!$D:$D,weekly_demand!$A:$A,F$1,weekly_demand!$C:$C,$A29))</f>
        <v>0</v>
      </c>
      <c r="G29" s="66">
        <f>IF($A29="","",SUMIFS(weekly_demand!$D:$D,weekly_demand!$A:$A,G$1,weekly_demand!$C:$C,$A29))</f>
        <v>1448</v>
      </c>
    </row>
    <row r="30" spans="1:7" x14ac:dyDescent="0.3">
      <c r="A30" s="38">
        <v>46328</v>
      </c>
      <c r="B30" s="66">
        <f>IF($A30="","",SUMIFS(weekly_demand!$D:$D,weekly_demand!$A:$A,B$1,weekly_demand!$C:$C,$A30))</f>
        <v>4281</v>
      </c>
      <c r="C30" s="66">
        <f>IF($A30="","",SUMIFS(weekly_demand!$D:$D,weekly_demand!$A:$A,C$1,weekly_demand!$C:$C,$A30))</f>
        <v>6250</v>
      </c>
      <c r="D30" s="66">
        <f>IF($A30="","",SUMIFS(weekly_demand!$D:$D,weekly_demand!$A:$A,D$1,weekly_demand!$C:$C,$A30))</f>
        <v>500</v>
      </c>
      <c r="E30" s="66">
        <f>IF($A30="","",SUMIFS(weekly_demand!$D:$D,weekly_demand!$A:$A,E$1,weekly_demand!$C:$C,$A30))</f>
        <v>1000</v>
      </c>
      <c r="F30" s="66">
        <f>IF($A30="","",SUMIFS(weekly_demand!$D:$D,weekly_demand!$A:$A,F$1,weekly_demand!$C:$C,$A30))</f>
        <v>300</v>
      </c>
      <c r="G30" s="66">
        <f>IF($A30="","",SUMIFS(weekly_demand!$D:$D,weekly_demand!$A:$A,G$1,weekly_demand!$C:$C,$A30))</f>
        <v>1754</v>
      </c>
    </row>
    <row r="31" spans="1:7" x14ac:dyDescent="0.3">
      <c r="A31" s="38">
        <v>46335</v>
      </c>
      <c r="B31" s="66">
        <f>IF($A31="","",SUMIFS(weekly_demand!$D:$D,weekly_demand!$A:$A,B$1,weekly_demand!$C:$C,$A31))</f>
        <v>4282</v>
      </c>
      <c r="C31" s="66">
        <f>IF($A31="","",SUMIFS(weekly_demand!$D:$D,weekly_demand!$A:$A,C$1,weekly_demand!$C:$C,$A31))</f>
        <v>6250</v>
      </c>
      <c r="D31" s="66">
        <f>IF($A31="","",SUMIFS(weekly_demand!$D:$D,weekly_demand!$A:$A,D$1,weekly_demand!$C:$C,$A31))</f>
        <v>500</v>
      </c>
      <c r="E31" s="66">
        <f>IF($A31="","",SUMIFS(weekly_demand!$D:$D,weekly_demand!$A:$A,E$1,weekly_demand!$C:$C,$A31))</f>
        <v>1000</v>
      </c>
      <c r="F31" s="66">
        <f>IF($A31="","",SUMIFS(weekly_demand!$D:$D,weekly_demand!$A:$A,F$1,weekly_demand!$C:$C,$A31))</f>
        <v>0</v>
      </c>
      <c r="G31" s="66">
        <f>IF($A31="","",SUMIFS(weekly_demand!$D:$D,weekly_demand!$A:$A,G$1,weekly_demand!$C:$C,$A31))</f>
        <v>1756</v>
      </c>
    </row>
    <row r="32" spans="1:7" x14ac:dyDescent="0.3">
      <c r="A32" s="38">
        <v>46342</v>
      </c>
      <c r="B32" s="66">
        <f>IF($A32="","",SUMIFS(weekly_demand!$D:$D,weekly_demand!$A:$A,B$1,weekly_demand!$C:$C,$A32))</f>
        <v>4281</v>
      </c>
      <c r="C32" s="66">
        <f>IF($A32="","",SUMIFS(weekly_demand!$D:$D,weekly_demand!$A:$A,C$1,weekly_demand!$C:$C,$A32))</f>
        <v>6250</v>
      </c>
      <c r="D32" s="66">
        <f>IF($A32="","",SUMIFS(weekly_demand!$D:$D,weekly_demand!$A:$A,D$1,weekly_demand!$C:$C,$A32))</f>
        <v>500</v>
      </c>
      <c r="E32" s="66">
        <f>IF($A32="","",SUMIFS(weekly_demand!$D:$D,weekly_demand!$A:$A,E$1,weekly_demand!$C:$C,$A32))</f>
        <v>1000</v>
      </c>
      <c r="F32" s="66">
        <f>IF($A32="","",SUMIFS(weekly_demand!$D:$D,weekly_demand!$A:$A,F$1,weekly_demand!$C:$C,$A32))</f>
        <v>0</v>
      </c>
      <c r="G32" s="66">
        <f>IF($A32="","",SUMIFS(weekly_demand!$D:$D,weekly_demand!$A:$A,G$1,weekly_demand!$C:$C,$A32))</f>
        <v>1756</v>
      </c>
    </row>
    <row r="33" spans="1:7" x14ac:dyDescent="0.3">
      <c r="A33" s="38">
        <v>46349</v>
      </c>
      <c r="B33" s="66">
        <f>IF($A33="","",SUMIFS(weekly_demand!$D:$D,weekly_demand!$A:$A,B$1,weekly_demand!$C:$C,$A33))</f>
        <v>4282</v>
      </c>
      <c r="C33" s="66">
        <f>IF($A33="","",SUMIFS(weekly_demand!$D:$D,weekly_demand!$A:$A,C$1,weekly_demand!$C:$C,$A33))</f>
        <v>6250</v>
      </c>
      <c r="D33" s="66">
        <f>IF($A33="","",SUMIFS(weekly_demand!$D:$D,weekly_demand!$A:$A,D$1,weekly_demand!$C:$C,$A33))</f>
        <v>3000</v>
      </c>
      <c r="E33" s="66">
        <f>IF($A33="","",SUMIFS(weekly_demand!$D:$D,weekly_demand!$A:$A,E$1,weekly_demand!$C:$C,$A33))</f>
        <v>1250</v>
      </c>
      <c r="F33" s="66">
        <f>IF($A33="","",SUMIFS(weekly_demand!$D:$D,weekly_demand!$A:$A,F$1,weekly_demand!$C:$C,$A33))</f>
        <v>0</v>
      </c>
      <c r="G33" s="66">
        <f>IF($A33="","",SUMIFS(weekly_demand!$D:$D,weekly_demand!$A:$A,G$1,weekly_demand!$C:$C,$A33))</f>
        <v>1756</v>
      </c>
    </row>
    <row r="34" spans="1:7" x14ac:dyDescent="0.3">
      <c r="A34" s="38">
        <v>46356</v>
      </c>
      <c r="B34" s="66">
        <f>IF($A34="","",SUMIFS(weekly_demand!$D:$D,weekly_demand!$A:$A,B$1,weekly_demand!$C:$C,$A34))</f>
        <v>4281</v>
      </c>
      <c r="C34" s="66">
        <f>IF($A34="","",SUMIFS(weekly_demand!$D:$D,weekly_demand!$A:$A,C$1,weekly_demand!$C:$C,$A34))</f>
        <v>6250</v>
      </c>
      <c r="D34" s="66">
        <f>IF($A34="","",SUMIFS(weekly_demand!$D:$D,weekly_demand!$A:$A,D$1,weekly_demand!$C:$C,$A34))</f>
        <v>3000</v>
      </c>
      <c r="E34" s="66">
        <f>IF($A34="","",SUMIFS(weekly_demand!$D:$D,weekly_demand!$A:$A,E$1,weekly_demand!$C:$C,$A34))</f>
        <v>1250</v>
      </c>
      <c r="F34" s="66">
        <f>IF($A34="","",SUMIFS(weekly_demand!$D:$D,weekly_demand!$A:$A,F$1,weekly_demand!$C:$C,$A34))</f>
        <v>300</v>
      </c>
      <c r="G34" s="66">
        <f>IF($A34="","",SUMIFS(weekly_demand!$D:$D,weekly_demand!$A:$A,G$1,weekly_demand!$C:$C,$A34))</f>
        <v>1928</v>
      </c>
    </row>
    <row r="35" spans="1:7" x14ac:dyDescent="0.3">
      <c r="A35" s="38">
        <v>46363</v>
      </c>
      <c r="B35" s="66">
        <f>IF($A35="","",SUMIFS(weekly_demand!$D:$D,weekly_demand!$A:$A,B$1,weekly_demand!$C:$C,$A35))</f>
        <v>8326</v>
      </c>
      <c r="C35" s="66">
        <f>IF($A35="","",SUMIFS(weekly_demand!$D:$D,weekly_demand!$A:$A,C$1,weekly_demand!$C:$C,$A35))</f>
        <v>6250</v>
      </c>
      <c r="D35" s="66">
        <f>IF($A35="","",SUMIFS(weekly_demand!$D:$D,weekly_demand!$A:$A,D$1,weekly_demand!$C:$C,$A35))</f>
        <v>3000</v>
      </c>
      <c r="E35" s="66">
        <f>IF($A35="","",SUMIFS(weekly_demand!$D:$D,weekly_demand!$A:$A,E$1,weekly_demand!$C:$C,$A35))</f>
        <v>1250</v>
      </c>
      <c r="F35" s="66">
        <f>IF($A35="","",SUMIFS(weekly_demand!$D:$D,weekly_demand!$A:$A,F$1,weekly_demand!$C:$C,$A35))</f>
        <v>0</v>
      </c>
      <c r="G35" s="66">
        <f>IF($A35="","",SUMIFS(weekly_demand!$D:$D,weekly_demand!$A:$A,G$1,weekly_demand!$C:$C,$A35))</f>
        <v>1930</v>
      </c>
    </row>
    <row r="36" spans="1:7" x14ac:dyDescent="0.3">
      <c r="A36" s="38">
        <v>46370</v>
      </c>
      <c r="B36" s="66">
        <f>IF($A36="","",SUMIFS(weekly_demand!$D:$D,weekly_demand!$A:$A,B$1,weekly_demand!$C:$C,$A36))</f>
        <v>8325</v>
      </c>
      <c r="C36" s="66">
        <f>IF($A36="","",SUMIFS(weekly_demand!$D:$D,weekly_demand!$A:$A,C$1,weekly_demand!$C:$C,$A36))</f>
        <v>6250</v>
      </c>
      <c r="D36" s="66">
        <f>IF($A36="","",SUMIFS(weekly_demand!$D:$D,weekly_demand!$A:$A,D$1,weekly_demand!$C:$C,$A36))</f>
        <v>3000</v>
      </c>
      <c r="E36" s="66">
        <f>IF($A36="","",SUMIFS(weekly_demand!$D:$D,weekly_demand!$A:$A,E$1,weekly_demand!$C:$C,$A36))</f>
        <v>1250</v>
      </c>
      <c r="F36" s="66">
        <f>IF($A36="","",SUMIFS(weekly_demand!$D:$D,weekly_demand!$A:$A,F$1,weekly_demand!$C:$C,$A36))</f>
        <v>0</v>
      </c>
      <c r="G36" s="66">
        <f>IF($A36="","",SUMIFS(weekly_demand!$D:$D,weekly_demand!$A:$A,G$1,weekly_demand!$C:$C,$A36))</f>
        <v>1928</v>
      </c>
    </row>
    <row r="37" spans="1:7" x14ac:dyDescent="0.3">
      <c r="A37" s="38"/>
      <c r="B37" s="39" t="str">
        <f>IF($A37="","",SUMIFS([1]weekly_demand!$D:$D,[1]weekly_demand!$A:$A,B$1,[1]weekly_demand!$C:$C,$A37))</f>
        <v/>
      </c>
      <c r="C37" s="39" t="str">
        <f>IF($A37="","",SUMIFS([1]weekly_demand!$D:$D,[1]weekly_demand!$A:$A,C$1,[1]weekly_demand!$C:$C,$A37))</f>
        <v/>
      </c>
      <c r="D37" s="39" t="str">
        <f>IF($A37="","",SUMIFS([1]weekly_demand!$D:$D,[1]weekly_demand!$A:$A,D$1,[1]weekly_demand!$C:$C,$A37))</f>
        <v/>
      </c>
      <c r="E37" s="39" t="str">
        <f>IF($A37="","",SUMIFS([1]weekly_demand!$D:$D,[1]weekly_demand!$A:$A,E$1,[1]weekly_demand!$C:$C,$A37))</f>
        <v/>
      </c>
      <c r="F37" s="39" t="str">
        <f>IF($A37="","",SUMIFS([1]weekly_demand!$D:$D,[1]weekly_demand!$A:$A,F$1,[1]weekly_demand!$C:$C,$A37))</f>
        <v/>
      </c>
      <c r="G37" s="39" t="str">
        <f>IF($A37="","",SUMIFS([1]weekly_demand!$D:$D,[1]weekly_demand!$A:$A,G$1,[1]weekly_demand!$C:$C,$A37))</f>
        <v/>
      </c>
    </row>
    <row r="38" spans="1:7" x14ac:dyDescent="0.3">
      <c r="A38" s="38"/>
      <c r="B38" s="39" t="str">
        <f>IF($A38="","",SUMIFS([1]weekly_demand!$D:$D,[1]weekly_demand!$A:$A,B$1,[1]weekly_demand!$C:$C,$A38))</f>
        <v/>
      </c>
      <c r="C38" s="39" t="str">
        <f>IF($A38="","",SUMIFS([1]weekly_demand!$D:$D,[1]weekly_demand!$A:$A,C$1,[1]weekly_demand!$C:$C,$A38))</f>
        <v/>
      </c>
      <c r="D38" s="39" t="str">
        <f>IF($A38="","",SUMIFS([1]weekly_demand!$D:$D,[1]weekly_demand!$A:$A,D$1,[1]weekly_demand!$C:$C,$A38))</f>
        <v/>
      </c>
      <c r="E38" s="39" t="str">
        <f>IF($A38="","",SUMIFS([1]weekly_demand!$D:$D,[1]weekly_demand!$A:$A,E$1,[1]weekly_demand!$C:$C,$A38))</f>
        <v/>
      </c>
      <c r="F38" s="39" t="str">
        <f>IF($A38="","",SUMIFS([1]weekly_demand!$D:$D,[1]weekly_demand!$A:$A,F$1,[1]weekly_demand!$C:$C,$A38))</f>
        <v/>
      </c>
      <c r="G38" s="39" t="str">
        <f>IF($A38="","",SUMIFS([1]weekly_demand!$D:$D,[1]weekly_demand!$A:$A,G$1,[1]weekly_demand!$C:$C,$A38))</f>
        <v/>
      </c>
    </row>
    <row r="39" spans="1:7" x14ac:dyDescent="0.3">
      <c r="A39" s="38"/>
      <c r="B39" s="39" t="str">
        <f>IF($A39="","",SUMIFS([1]weekly_demand!$D:$D,[1]weekly_demand!$A:$A,B$1,[1]weekly_demand!$C:$C,$A39))</f>
        <v/>
      </c>
      <c r="C39" s="39" t="str">
        <f>IF($A39="","",SUMIFS([1]weekly_demand!$D:$D,[1]weekly_demand!$A:$A,C$1,[1]weekly_demand!$C:$C,$A39))</f>
        <v/>
      </c>
      <c r="D39" s="39" t="str">
        <f>IF($A39="","",SUMIFS([1]weekly_demand!$D:$D,[1]weekly_demand!$A:$A,D$1,[1]weekly_demand!$C:$C,$A39))</f>
        <v/>
      </c>
      <c r="E39" s="39" t="str">
        <f>IF($A39="","",SUMIFS([1]weekly_demand!$D:$D,[1]weekly_demand!$A:$A,E$1,[1]weekly_demand!$C:$C,$A39))</f>
        <v/>
      </c>
      <c r="F39" s="39" t="str">
        <f>IF($A39="","",SUMIFS([1]weekly_demand!$D:$D,[1]weekly_demand!$A:$A,F$1,[1]weekly_demand!$C:$C,$A39))</f>
        <v/>
      </c>
      <c r="G39" s="39" t="str">
        <f>IF($A39="","",SUMIFS([1]weekly_demand!$D:$D,[1]weekly_demand!$A:$A,G$1,[1]weekly_demand!$C:$C,$A39))</f>
        <v/>
      </c>
    </row>
    <row r="40" spans="1:7" x14ac:dyDescent="0.3">
      <c r="A40" s="38"/>
      <c r="B40" s="39" t="str">
        <f>IF($A40="","",SUMIFS([1]weekly_demand!$D:$D,[1]weekly_demand!$A:$A,B$1,[1]weekly_demand!$C:$C,$A40))</f>
        <v/>
      </c>
      <c r="C40" s="39" t="str">
        <f>IF($A40="","",SUMIFS([1]weekly_demand!$D:$D,[1]weekly_demand!$A:$A,C$1,[1]weekly_demand!$C:$C,$A40))</f>
        <v/>
      </c>
      <c r="D40" s="39" t="str">
        <f>IF($A40="","",SUMIFS([1]weekly_demand!$D:$D,[1]weekly_demand!$A:$A,D$1,[1]weekly_demand!$C:$C,$A40))</f>
        <v/>
      </c>
      <c r="E40" s="39" t="str">
        <f>IF($A40="","",SUMIFS([1]weekly_demand!$D:$D,[1]weekly_demand!$A:$A,E$1,[1]weekly_demand!$C:$C,$A40))</f>
        <v/>
      </c>
      <c r="F40" s="39" t="str">
        <f>IF($A40="","",SUMIFS([1]weekly_demand!$D:$D,[1]weekly_demand!$A:$A,F$1,[1]weekly_demand!$C:$C,$A40))</f>
        <v/>
      </c>
      <c r="G40" s="39" t="str">
        <f>IF($A40="","",SUMIFS([1]weekly_demand!$D:$D,[1]weekly_demand!$A:$A,G$1,[1]weekly_demand!$C:$C,$A40))</f>
        <v/>
      </c>
    </row>
    <row r="41" spans="1:7" x14ac:dyDescent="0.3">
      <c r="A41" s="38"/>
      <c r="B41" s="39" t="str">
        <f>IF($A41="","",SUMIFS([1]weekly_demand!$D:$D,[1]weekly_demand!$A:$A,B$1,[1]weekly_demand!$C:$C,$A41))</f>
        <v/>
      </c>
      <c r="C41" s="39" t="str">
        <f>IF($A41="","",SUMIFS([1]weekly_demand!$D:$D,[1]weekly_demand!$A:$A,C$1,[1]weekly_demand!$C:$C,$A41))</f>
        <v/>
      </c>
      <c r="D41" s="39" t="str">
        <f>IF($A41="","",SUMIFS([1]weekly_demand!$D:$D,[1]weekly_demand!$A:$A,D$1,[1]weekly_demand!$C:$C,$A41))</f>
        <v/>
      </c>
      <c r="E41" s="39" t="str">
        <f>IF($A41="","",SUMIFS([1]weekly_demand!$D:$D,[1]weekly_demand!$A:$A,E$1,[1]weekly_demand!$C:$C,$A41))</f>
        <v/>
      </c>
      <c r="F41" s="39" t="str">
        <f>IF($A41="","",SUMIFS([1]weekly_demand!$D:$D,[1]weekly_demand!$A:$A,F$1,[1]weekly_demand!$C:$C,$A41))</f>
        <v/>
      </c>
      <c r="G41" s="39" t="str">
        <f>IF($A41="","",SUMIFS([1]weekly_demand!$D:$D,[1]weekly_demand!$A:$A,G$1,[1]weekly_demand!$C:$C,$A41))</f>
        <v/>
      </c>
    </row>
    <row r="42" spans="1:7" x14ac:dyDescent="0.3">
      <c r="A42" s="38"/>
      <c r="B42" s="39" t="str">
        <f>IF($A42="","",SUMIFS([1]weekly_demand!$D:$D,[1]weekly_demand!$A:$A,B$1,[1]weekly_demand!$C:$C,$A42))</f>
        <v/>
      </c>
      <c r="C42" s="39" t="str">
        <f>IF($A42="","",SUMIFS([1]weekly_demand!$D:$D,[1]weekly_demand!$A:$A,C$1,[1]weekly_demand!$C:$C,$A42))</f>
        <v/>
      </c>
      <c r="D42" s="39" t="str">
        <f>IF($A42="","",SUMIFS([1]weekly_demand!$D:$D,[1]weekly_demand!$A:$A,D$1,[1]weekly_demand!$C:$C,$A42))</f>
        <v/>
      </c>
      <c r="E42" s="39" t="str">
        <f>IF($A42="","",SUMIFS([1]weekly_demand!$D:$D,[1]weekly_demand!$A:$A,E$1,[1]weekly_demand!$C:$C,$A42))</f>
        <v/>
      </c>
      <c r="F42" s="39" t="str">
        <f>IF($A42="","",SUMIFS([1]weekly_demand!$D:$D,[1]weekly_demand!$A:$A,F$1,[1]weekly_demand!$C:$C,$A42))</f>
        <v/>
      </c>
      <c r="G42" s="39" t="str">
        <f>IF($A42="","",SUMIFS([1]weekly_demand!$D:$D,[1]weekly_demand!$A:$A,G$1,[1]weekly_demand!$C:$C,$A42))</f>
        <v/>
      </c>
    </row>
    <row r="43" spans="1:7" x14ac:dyDescent="0.3">
      <c r="A43" s="38"/>
      <c r="B43" s="39" t="str">
        <f>IF($A43="","",SUMIFS([1]weekly_demand!$D:$D,[1]weekly_demand!$A:$A,B$1,[1]weekly_demand!$C:$C,$A43))</f>
        <v/>
      </c>
      <c r="C43" s="39" t="str">
        <f>IF($A43="","",SUMIFS([1]weekly_demand!$D:$D,[1]weekly_demand!$A:$A,C$1,[1]weekly_demand!$C:$C,$A43))</f>
        <v/>
      </c>
      <c r="D43" s="39" t="str">
        <f>IF($A43="","",SUMIFS([1]weekly_demand!$D:$D,[1]weekly_demand!$A:$A,D$1,[1]weekly_demand!$C:$C,$A43))</f>
        <v/>
      </c>
      <c r="E43" s="39" t="str">
        <f>IF($A43="","",SUMIFS([1]weekly_demand!$D:$D,[1]weekly_demand!$A:$A,E$1,[1]weekly_demand!$C:$C,$A43))</f>
        <v/>
      </c>
      <c r="F43" s="39" t="str">
        <f>IF($A43="","",SUMIFS([1]weekly_demand!$D:$D,[1]weekly_demand!$A:$A,F$1,[1]weekly_demand!$C:$C,$A43))</f>
        <v/>
      </c>
      <c r="G43" s="39" t="str">
        <f>IF($A43="","",SUMIFS([1]weekly_demand!$D:$D,[1]weekly_demand!$A:$A,G$1,[1]weekly_demand!$C:$C,$A43))</f>
        <v/>
      </c>
    </row>
    <row r="44" spans="1:7" x14ac:dyDescent="0.3">
      <c r="A44" s="38"/>
      <c r="B44" s="39" t="str">
        <f>IF($A44="","",SUMIFS([1]weekly_demand!$D:$D,[1]weekly_demand!$A:$A,B$1,[1]weekly_demand!$C:$C,$A44))</f>
        <v/>
      </c>
      <c r="C44" s="39" t="str">
        <f>IF($A44="","",SUMIFS([1]weekly_demand!$D:$D,[1]weekly_demand!$A:$A,C$1,[1]weekly_demand!$C:$C,$A44))</f>
        <v/>
      </c>
      <c r="D44" s="39" t="str">
        <f>IF($A44="","",SUMIFS([1]weekly_demand!$D:$D,[1]weekly_demand!$A:$A,D$1,[1]weekly_demand!$C:$C,$A44))</f>
        <v/>
      </c>
      <c r="E44" s="39" t="str">
        <f>IF($A44="","",SUMIFS([1]weekly_demand!$D:$D,[1]weekly_demand!$A:$A,E$1,[1]weekly_demand!$C:$C,$A44))</f>
        <v/>
      </c>
      <c r="F44" s="39" t="str">
        <f>IF($A44="","",SUMIFS([1]weekly_demand!$D:$D,[1]weekly_demand!$A:$A,F$1,[1]weekly_demand!$C:$C,$A44))</f>
        <v/>
      </c>
      <c r="G44" s="39" t="str">
        <f>IF($A44="","",SUMIFS([1]weekly_demand!$D:$D,[1]weekly_demand!$A:$A,G$1,[1]weekly_demand!$C:$C,$A44))</f>
        <v/>
      </c>
    </row>
    <row r="45" spans="1:7" x14ac:dyDescent="0.3">
      <c r="A45" s="38"/>
      <c r="B45" s="39" t="str">
        <f>IF($A45="","",SUMIFS([1]weekly_demand!$D:$D,[1]weekly_demand!$A:$A,B$1,[1]weekly_demand!$C:$C,$A45))</f>
        <v/>
      </c>
      <c r="C45" s="39" t="str">
        <f>IF($A45="","",SUMIFS([1]weekly_demand!$D:$D,[1]weekly_demand!$A:$A,C$1,[1]weekly_demand!$C:$C,$A45))</f>
        <v/>
      </c>
      <c r="D45" s="39" t="str">
        <f>IF($A45="","",SUMIFS([1]weekly_demand!$D:$D,[1]weekly_demand!$A:$A,D$1,[1]weekly_demand!$C:$C,$A45))</f>
        <v/>
      </c>
      <c r="E45" s="39" t="str">
        <f>IF($A45="","",SUMIFS([1]weekly_demand!$D:$D,[1]weekly_demand!$A:$A,E$1,[1]weekly_demand!$C:$C,$A45))</f>
        <v/>
      </c>
      <c r="F45" s="39" t="str">
        <f>IF($A45="","",SUMIFS([1]weekly_demand!$D:$D,[1]weekly_demand!$A:$A,F$1,[1]weekly_demand!$C:$C,$A45))</f>
        <v/>
      </c>
      <c r="G45" s="39" t="str">
        <f>IF($A45="","",SUMIFS([1]weekly_demand!$D:$D,[1]weekly_demand!$A:$A,G$1,[1]weekly_demand!$C:$C,$A45))</f>
        <v/>
      </c>
    </row>
    <row r="46" spans="1:7" x14ac:dyDescent="0.3">
      <c r="A46" s="38"/>
      <c r="B46" s="39" t="str">
        <f>IF($A46="","",SUMIFS([1]weekly_demand!$D:$D,[1]weekly_demand!$A:$A,B$1,[1]weekly_demand!$C:$C,$A46))</f>
        <v/>
      </c>
      <c r="C46" s="39" t="str">
        <f>IF($A46="","",SUMIFS([1]weekly_demand!$D:$D,[1]weekly_demand!$A:$A,C$1,[1]weekly_demand!$C:$C,$A46))</f>
        <v/>
      </c>
      <c r="D46" s="39" t="str">
        <f>IF($A46="","",SUMIFS([1]weekly_demand!$D:$D,[1]weekly_demand!$A:$A,D$1,[1]weekly_demand!$C:$C,$A46))</f>
        <v/>
      </c>
      <c r="E46" s="39" t="str">
        <f>IF($A46="","",SUMIFS([1]weekly_demand!$D:$D,[1]weekly_demand!$A:$A,E$1,[1]weekly_demand!$C:$C,$A46))</f>
        <v/>
      </c>
      <c r="F46" s="39" t="str">
        <f>IF($A46="","",SUMIFS([1]weekly_demand!$D:$D,[1]weekly_demand!$A:$A,F$1,[1]weekly_demand!$C:$C,$A46))</f>
        <v/>
      </c>
      <c r="G46" s="39" t="str">
        <f>IF($A46="","",SUMIFS([1]weekly_demand!$D:$D,[1]weekly_demand!$A:$A,G$1,[1]weekly_demand!$C:$C,$A46))</f>
        <v/>
      </c>
    </row>
    <row r="47" spans="1:7" x14ac:dyDescent="0.3">
      <c r="A47" s="38"/>
      <c r="B47" s="39" t="str">
        <f>IF($A47="","",SUMIFS([1]weekly_demand!$D:$D,[1]weekly_demand!$A:$A,B$1,[1]weekly_demand!$C:$C,$A47))</f>
        <v/>
      </c>
      <c r="C47" s="39" t="str">
        <f>IF($A47="","",SUMIFS([1]weekly_demand!$D:$D,[1]weekly_demand!$A:$A,C$1,[1]weekly_demand!$C:$C,$A47))</f>
        <v/>
      </c>
      <c r="D47" s="39" t="str">
        <f>IF($A47="","",SUMIFS([1]weekly_demand!$D:$D,[1]weekly_demand!$A:$A,D$1,[1]weekly_demand!$C:$C,$A47))</f>
        <v/>
      </c>
      <c r="E47" s="39" t="str">
        <f>IF($A47="","",SUMIFS([1]weekly_demand!$D:$D,[1]weekly_demand!$A:$A,E$1,[1]weekly_demand!$C:$C,$A47))</f>
        <v/>
      </c>
      <c r="F47" s="39" t="str">
        <f>IF($A47="","",SUMIFS([1]weekly_demand!$D:$D,[1]weekly_demand!$A:$A,F$1,[1]weekly_demand!$C:$C,$A47))</f>
        <v/>
      </c>
      <c r="G47" s="39" t="str">
        <f>IF($A47="","",SUMIFS([1]weekly_demand!$D:$D,[1]weekly_demand!$A:$A,G$1,[1]weekly_demand!$C:$C,$A47))</f>
        <v/>
      </c>
    </row>
    <row r="48" spans="1:7" x14ac:dyDescent="0.3">
      <c r="A48" s="38"/>
      <c r="B48" s="39" t="str">
        <f>IF($A48="","",SUMIFS([1]weekly_demand!$D:$D,[1]weekly_demand!$A:$A,B$1,[1]weekly_demand!$C:$C,$A48))</f>
        <v/>
      </c>
      <c r="C48" s="39" t="str">
        <f>IF($A48="","",SUMIFS([1]weekly_demand!$D:$D,[1]weekly_demand!$A:$A,C$1,[1]weekly_demand!$C:$C,$A48))</f>
        <v/>
      </c>
      <c r="D48" s="39" t="str">
        <f>IF($A48="","",SUMIFS([1]weekly_demand!$D:$D,[1]weekly_demand!$A:$A,D$1,[1]weekly_demand!$C:$C,$A48))</f>
        <v/>
      </c>
      <c r="E48" s="39" t="str">
        <f>IF($A48="","",SUMIFS([1]weekly_demand!$D:$D,[1]weekly_demand!$A:$A,E$1,[1]weekly_demand!$C:$C,$A48))</f>
        <v/>
      </c>
      <c r="F48" s="39" t="str">
        <f>IF($A48="","",SUMIFS([1]weekly_demand!$D:$D,[1]weekly_demand!$A:$A,F$1,[1]weekly_demand!$C:$C,$A48))</f>
        <v/>
      </c>
      <c r="G48" s="39" t="str">
        <f>IF($A48="","",SUMIFS([1]weekly_demand!$D:$D,[1]weekly_demand!$A:$A,G$1,[1]weekly_demand!$C:$C,$A48))</f>
        <v/>
      </c>
    </row>
    <row r="49" spans="1:7" x14ac:dyDescent="0.3">
      <c r="A49" s="38"/>
      <c r="B49" s="39" t="str">
        <f>IF($A49="","",SUMIFS([1]weekly_demand!$D:$D,[1]weekly_demand!$A:$A,B$1,[1]weekly_demand!$C:$C,$A49))</f>
        <v/>
      </c>
      <c r="C49" s="39" t="str">
        <f>IF($A49="","",SUMIFS([1]weekly_demand!$D:$D,[1]weekly_demand!$A:$A,C$1,[1]weekly_demand!$C:$C,$A49))</f>
        <v/>
      </c>
      <c r="D49" s="39" t="str">
        <f>IF($A49="","",SUMIFS([1]weekly_demand!$D:$D,[1]weekly_demand!$A:$A,D$1,[1]weekly_demand!$C:$C,$A49))</f>
        <v/>
      </c>
      <c r="E49" s="39" t="str">
        <f>IF($A49="","",SUMIFS([1]weekly_demand!$D:$D,[1]weekly_demand!$A:$A,E$1,[1]weekly_demand!$C:$C,$A49))</f>
        <v/>
      </c>
      <c r="F49" s="39" t="str">
        <f>IF($A49="","",SUMIFS([1]weekly_demand!$D:$D,[1]weekly_demand!$A:$A,F$1,[1]weekly_demand!$C:$C,$A49))</f>
        <v/>
      </c>
      <c r="G49" s="39" t="str">
        <f>IF($A49="","",SUMIFS([1]weekly_demand!$D:$D,[1]weekly_demand!$A:$A,G$1,[1]weekly_demand!$C:$C,$A49))</f>
        <v/>
      </c>
    </row>
    <row r="50" spans="1:7" x14ac:dyDescent="0.3">
      <c r="A50" s="38"/>
      <c r="B50" s="39" t="str">
        <f>IF($A50="","",SUMIFS([1]weekly_demand!$D:$D,[1]weekly_demand!$A:$A,B$1,[1]weekly_demand!$C:$C,$A50))</f>
        <v/>
      </c>
      <c r="C50" s="39" t="str">
        <f>IF($A50="","",SUMIFS([1]weekly_demand!$D:$D,[1]weekly_demand!$A:$A,C$1,[1]weekly_demand!$C:$C,$A50))</f>
        <v/>
      </c>
      <c r="D50" s="39" t="str">
        <f>IF($A50="","",SUMIFS([1]weekly_demand!$D:$D,[1]weekly_demand!$A:$A,D$1,[1]weekly_demand!$C:$C,$A50))</f>
        <v/>
      </c>
      <c r="E50" s="39" t="str">
        <f>IF($A50="","",SUMIFS([1]weekly_demand!$D:$D,[1]weekly_demand!$A:$A,E$1,[1]weekly_demand!$C:$C,$A50))</f>
        <v/>
      </c>
      <c r="F50" s="39" t="str">
        <f>IF($A50="","",SUMIFS([1]weekly_demand!$D:$D,[1]weekly_demand!$A:$A,F$1,[1]weekly_demand!$C:$C,$A50))</f>
        <v/>
      </c>
      <c r="G50" s="39" t="str">
        <f>IF($A50="","",SUMIFS([1]weekly_demand!$D:$D,[1]weekly_demand!$A:$A,G$1,[1]weekly_demand!$C:$C,$A50))</f>
        <v/>
      </c>
    </row>
    <row r="51" spans="1:7" x14ac:dyDescent="0.3">
      <c r="A51" s="38"/>
      <c r="B51" s="39" t="str">
        <f>IF($A51="","",SUMIFS([1]weekly_demand!$D:$D,[1]weekly_demand!$A:$A,B$1,[1]weekly_demand!$C:$C,$A51))</f>
        <v/>
      </c>
      <c r="C51" s="39" t="str">
        <f>IF($A51="","",SUMIFS([1]weekly_demand!$D:$D,[1]weekly_demand!$A:$A,C$1,[1]weekly_demand!$C:$C,$A51))</f>
        <v/>
      </c>
      <c r="D51" s="39" t="str">
        <f>IF($A51="","",SUMIFS([1]weekly_demand!$D:$D,[1]weekly_demand!$A:$A,D$1,[1]weekly_demand!$C:$C,$A51))</f>
        <v/>
      </c>
      <c r="E51" s="39" t="str">
        <f>IF($A51="","",SUMIFS([1]weekly_demand!$D:$D,[1]weekly_demand!$A:$A,E$1,[1]weekly_demand!$C:$C,$A51))</f>
        <v/>
      </c>
      <c r="F51" s="39" t="str">
        <f>IF($A51="","",SUMIFS([1]weekly_demand!$D:$D,[1]weekly_demand!$A:$A,F$1,[1]weekly_demand!$C:$C,$A51))</f>
        <v/>
      </c>
      <c r="G51" s="39" t="str">
        <f>IF($A51="","",SUMIFS([1]weekly_demand!$D:$D,[1]weekly_demand!$A:$A,G$1,[1]weekly_demand!$C:$C,$A51))</f>
        <v/>
      </c>
    </row>
    <row r="52" spans="1:7" x14ac:dyDescent="0.3">
      <c r="A52" s="38"/>
      <c r="B52" s="39" t="str">
        <f>IF($A52="","",SUMIFS([1]weekly_demand!$D:$D,[1]weekly_demand!$A:$A,B$1,[1]weekly_demand!$C:$C,$A52))</f>
        <v/>
      </c>
      <c r="C52" s="39" t="str">
        <f>IF($A52="","",SUMIFS([1]weekly_demand!$D:$D,[1]weekly_demand!$A:$A,C$1,[1]weekly_demand!$C:$C,$A52))</f>
        <v/>
      </c>
      <c r="D52" s="39" t="str">
        <f>IF($A52="","",SUMIFS([1]weekly_demand!$D:$D,[1]weekly_demand!$A:$A,D$1,[1]weekly_demand!$C:$C,$A52))</f>
        <v/>
      </c>
      <c r="E52" s="39" t="str">
        <f>IF($A52="","",SUMIFS([1]weekly_demand!$D:$D,[1]weekly_demand!$A:$A,E$1,[1]weekly_demand!$C:$C,$A52))</f>
        <v/>
      </c>
      <c r="F52" s="39" t="str">
        <f>IF($A52="","",SUMIFS([1]weekly_demand!$D:$D,[1]weekly_demand!$A:$A,F$1,[1]weekly_demand!$C:$C,$A52))</f>
        <v/>
      </c>
      <c r="G52" s="39" t="str">
        <f>IF($A52="","",SUMIFS([1]weekly_demand!$D:$D,[1]weekly_demand!$A:$A,G$1,[1]weekly_demand!$C:$C,$A52))</f>
        <v/>
      </c>
    </row>
    <row r="53" spans="1:7" x14ac:dyDescent="0.3">
      <c r="A53" s="38"/>
      <c r="B53" s="39" t="str">
        <f>IF($A53="","",SUMIFS([1]weekly_demand!$D:$D,[1]weekly_demand!$A:$A,B$1,[1]weekly_demand!$C:$C,$A53))</f>
        <v/>
      </c>
      <c r="C53" s="39" t="str">
        <f>IF($A53="","",SUMIFS([1]weekly_demand!$D:$D,[1]weekly_demand!$A:$A,C$1,[1]weekly_demand!$C:$C,$A53))</f>
        <v/>
      </c>
      <c r="D53" s="39" t="str">
        <f>IF($A53="","",SUMIFS([1]weekly_demand!$D:$D,[1]weekly_demand!$A:$A,D$1,[1]weekly_demand!$C:$C,$A53))</f>
        <v/>
      </c>
      <c r="E53" s="39" t="str">
        <f>IF($A53="","",SUMIFS([1]weekly_demand!$D:$D,[1]weekly_demand!$A:$A,E$1,[1]weekly_demand!$C:$C,$A53))</f>
        <v/>
      </c>
      <c r="F53" s="39" t="str">
        <f>IF($A53="","",SUMIFS([1]weekly_demand!$D:$D,[1]weekly_demand!$A:$A,F$1,[1]weekly_demand!$C:$C,$A53))</f>
        <v/>
      </c>
      <c r="G53" s="39" t="str">
        <f>IF($A53="","",SUMIFS([1]weekly_demand!$D:$D,[1]weekly_demand!$A:$A,G$1,[1]weekly_demand!$C:$C,$A53))</f>
        <v/>
      </c>
    </row>
    <row r="54" spans="1:7" x14ac:dyDescent="0.3">
      <c r="A54" s="38"/>
      <c r="B54" s="39" t="str">
        <f>IF($A54="","",SUMIFS([1]weekly_demand!$D:$D,[1]weekly_demand!$A:$A,B$1,[1]weekly_demand!$C:$C,$A54))</f>
        <v/>
      </c>
      <c r="C54" s="39" t="str">
        <f>IF($A54="","",SUMIFS([1]weekly_demand!$D:$D,[1]weekly_demand!$A:$A,C$1,[1]weekly_demand!$C:$C,$A54))</f>
        <v/>
      </c>
      <c r="D54" s="39" t="str">
        <f>IF($A54="","",SUMIFS([1]weekly_demand!$D:$D,[1]weekly_demand!$A:$A,D$1,[1]weekly_demand!$C:$C,$A54))</f>
        <v/>
      </c>
      <c r="E54" s="39" t="str">
        <f>IF($A54="","",SUMIFS([1]weekly_demand!$D:$D,[1]weekly_demand!$A:$A,E$1,[1]weekly_demand!$C:$C,$A54))</f>
        <v/>
      </c>
      <c r="F54" s="39" t="str">
        <f>IF($A54="","",SUMIFS([1]weekly_demand!$D:$D,[1]weekly_demand!$A:$A,F$1,[1]weekly_demand!$C:$C,$A54))</f>
        <v/>
      </c>
      <c r="G54" s="39" t="str">
        <f>IF($A54="","",SUMIFS([1]weekly_demand!$D:$D,[1]weekly_demand!$A:$A,G$1,[1]weekly_demand!$C:$C,$A54))</f>
        <v/>
      </c>
    </row>
    <row r="55" spans="1:7" x14ac:dyDescent="0.3">
      <c r="A55" s="38"/>
      <c r="B55" s="39" t="str">
        <f>IF($A55="","",SUMIFS([1]weekly_demand!$D:$D,[1]weekly_demand!$A:$A,B$1,[1]weekly_demand!$C:$C,$A55))</f>
        <v/>
      </c>
      <c r="C55" s="39" t="str">
        <f>IF($A55="","",SUMIFS([1]weekly_demand!$D:$D,[1]weekly_demand!$A:$A,C$1,[1]weekly_demand!$C:$C,$A55))</f>
        <v/>
      </c>
      <c r="D55" s="39" t="str">
        <f>IF($A55="","",SUMIFS([1]weekly_demand!$D:$D,[1]weekly_demand!$A:$A,D$1,[1]weekly_demand!$C:$C,$A55))</f>
        <v/>
      </c>
      <c r="E55" s="39" t="str">
        <f>IF($A55="","",SUMIFS([1]weekly_demand!$D:$D,[1]weekly_demand!$A:$A,E$1,[1]weekly_demand!$C:$C,$A55))</f>
        <v/>
      </c>
      <c r="F55" s="39" t="str">
        <f>IF($A55="","",SUMIFS([1]weekly_demand!$D:$D,[1]weekly_demand!$A:$A,F$1,[1]weekly_demand!$C:$C,$A55))</f>
        <v/>
      </c>
      <c r="G55" s="39" t="str">
        <f>IF($A55="","",SUMIFS([1]weekly_demand!$D:$D,[1]weekly_demand!$A:$A,G$1,[1]weekly_demand!$C:$C,$A55))</f>
        <v/>
      </c>
    </row>
    <row r="56" spans="1:7" x14ac:dyDescent="0.3">
      <c r="A56" s="38"/>
      <c r="B56" s="39" t="str">
        <f>IF($A56="","",SUMIFS([1]weekly_demand!$D:$D,[1]weekly_demand!$A:$A,B$1,[1]weekly_demand!$C:$C,$A56))</f>
        <v/>
      </c>
      <c r="C56" s="39" t="str">
        <f>IF($A56="","",SUMIFS([1]weekly_demand!$D:$D,[1]weekly_demand!$A:$A,C$1,[1]weekly_demand!$C:$C,$A56))</f>
        <v/>
      </c>
      <c r="D56" s="39" t="str">
        <f>IF($A56="","",SUMIFS([1]weekly_demand!$D:$D,[1]weekly_demand!$A:$A,D$1,[1]weekly_demand!$C:$C,$A56))</f>
        <v/>
      </c>
      <c r="E56" s="39" t="str">
        <f>IF($A56="","",SUMIFS([1]weekly_demand!$D:$D,[1]weekly_demand!$A:$A,E$1,[1]weekly_demand!$C:$C,$A56))</f>
        <v/>
      </c>
      <c r="F56" s="39" t="str">
        <f>IF($A56="","",SUMIFS([1]weekly_demand!$D:$D,[1]weekly_demand!$A:$A,F$1,[1]weekly_demand!$C:$C,$A56))</f>
        <v/>
      </c>
      <c r="G56" s="39" t="str">
        <f>IF($A56="","",SUMIFS([1]weekly_demand!$D:$D,[1]weekly_demand!$A:$A,G$1,[1]weekly_demand!$C:$C,$A56))</f>
        <v/>
      </c>
    </row>
    <row r="57" spans="1:7" x14ac:dyDescent="0.3">
      <c r="A57" s="38"/>
      <c r="B57" s="39" t="str">
        <f>IF($A57="","",SUMIFS([1]weekly_demand!$D:$D,[1]weekly_demand!$A:$A,B$1,[1]weekly_demand!$C:$C,$A57))</f>
        <v/>
      </c>
      <c r="C57" s="39" t="str">
        <f>IF($A57="","",SUMIFS([1]weekly_demand!$D:$D,[1]weekly_demand!$A:$A,C$1,[1]weekly_demand!$C:$C,$A57))</f>
        <v/>
      </c>
      <c r="D57" s="39" t="str">
        <f>IF($A57="","",SUMIFS([1]weekly_demand!$D:$D,[1]weekly_demand!$A:$A,D$1,[1]weekly_demand!$C:$C,$A57))</f>
        <v/>
      </c>
      <c r="E57" s="39" t="str">
        <f>IF($A57="","",SUMIFS([1]weekly_demand!$D:$D,[1]weekly_demand!$A:$A,E$1,[1]weekly_demand!$C:$C,$A57))</f>
        <v/>
      </c>
      <c r="F57" s="39" t="str">
        <f>IF($A57="","",SUMIFS([1]weekly_demand!$D:$D,[1]weekly_demand!$A:$A,F$1,[1]weekly_demand!$C:$C,$A57))</f>
        <v/>
      </c>
      <c r="G57" s="39" t="str">
        <f>IF($A57="","",SUMIFS([1]weekly_demand!$D:$D,[1]weekly_demand!$A:$A,G$1,[1]weekly_demand!$C:$C,$A57))</f>
        <v/>
      </c>
    </row>
    <row r="58" spans="1:7" x14ac:dyDescent="0.3">
      <c r="A58" s="38"/>
      <c r="B58" s="39" t="str">
        <f>IF($A58="","",SUMIFS([1]weekly_demand!$D:$D,[1]weekly_demand!$A:$A,B$1,[1]weekly_demand!$C:$C,$A58))</f>
        <v/>
      </c>
      <c r="C58" s="39" t="str">
        <f>IF($A58="","",SUMIFS([1]weekly_demand!$D:$D,[1]weekly_demand!$A:$A,C$1,[1]weekly_demand!$C:$C,$A58))</f>
        <v/>
      </c>
      <c r="D58" s="39" t="str">
        <f>IF($A58="","",SUMIFS([1]weekly_demand!$D:$D,[1]weekly_demand!$A:$A,D$1,[1]weekly_demand!$C:$C,$A58))</f>
        <v/>
      </c>
      <c r="E58" s="39" t="str">
        <f>IF($A58="","",SUMIFS([1]weekly_demand!$D:$D,[1]weekly_demand!$A:$A,E$1,[1]weekly_demand!$C:$C,$A58))</f>
        <v/>
      </c>
      <c r="F58" s="39" t="str">
        <f>IF($A58="","",SUMIFS([1]weekly_demand!$D:$D,[1]weekly_demand!$A:$A,F$1,[1]weekly_demand!$C:$C,$A58))</f>
        <v/>
      </c>
      <c r="G58" s="39" t="str">
        <f>IF($A58="","",SUMIFS([1]weekly_demand!$D:$D,[1]weekly_demand!$A:$A,G$1,[1]weekly_demand!$C:$C,$A58))</f>
        <v/>
      </c>
    </row>
    <row r="59" spans="1:7" x14ac:dyDescent="0.3">
      <c r="A59" s="38"/>
      <c r="B59" s="39" t="str">
        <f>IF($A59="","",SUMIFS([1]weekly_demand!$D:$D,[1]weekly_demand!$A:$A,B$1,[1]weekly_demand!$C:$C,$A59))</f>
        <v/>
      </c>
      <c r="C59" s="39" t="str">
        <f>IF($A59="","",SUMIFS([1]weekly_demand!$D:$D,[1]weekly_demand!$A:$A,C$1,[1]weekly_demand!$C:$C,$A59))</f>
        <v/>
      </c>
      <c r="D59" s="39" t="str">
        <f>IF($A59="","",SUMIFS([1]weekly_demand!$D:$D,[1]weekly_demand!$A:$A,D$1,[1]weekly_demand!$C:$C,$A59))</f>
        <v/>
      </c>
      <c r="E59" s="39" t="str">
        <f>IF($A59="","",SUMIFS([1]weekly_demand!$D:$D,[1]weekly_demand!$A:$A,E$1,[1]weekly_demand!$C:$C,$A59))</f>
        <v/>
      </c>
      <c r="F59" s="39" t="str">
        <f>IF($A59="","",SUMIFS([1]weekly_demand!$D:$D,[1]weekly_demand!$A:$A,F$1,[1]weekly_demand!$C:$C,$A59))</f>
        <v/>
      </c>
      <c r="G59" s="39" t="str">
        <f>IF($A59="","",SUMIFS([1]weekly_demand!$D:$D,[1]weekly_demand!$A:$A,G$1,[1]weekly_demand!$C:$C,$A59))</f>
        <v/>
      </c>
    </row>
    <row r="60" spans="1:7" x14ac:dyDescent="0.3">
      <c r="A60" s="38"/>
      <c r="B60" s="39" t="str">
        <f>IF($A60="","",SUMIFS([1]weekly_demand!$D:$D,[1]weekly_demand!$A:$A,B$1,[1]weekly_demand!$C:$C,$A60))</f>
        <v/>
      </c>
      <c r="C60" s="39" t="str">
        <f>IF($A60="","",SUMIFS([1]weekly_demand!$D:$D,[1]weekly_demand!$A:$A,C$1,[1]weekly_demand!$C:$C,$A60))</f>
        <v/>
      </c>
      <c r="D60" s="39" t="str">
        <f>IF($A60="","",SUMIFS([1]weekly_demand!$D:$D,[1]weekly_demand!$A:$A,D$1,[1]weekly_demand!$C:$C,$A60))</f>
        <v/>
      </c>
      <c r="E60" s="39" t="str">
        <f>IF($A60="","",SUMIFS([1]weekly_demand!$D:$D,[1]weekly_demand!$A:$A,E$1,[1]weekly_demand!$C:$C,$A60))</f>
        <v/>
      </c>
      <c r="F60" s="39" t="str">
        <f>IF($A60="","",SUMIFS([1]weekly_demand!$D:$D,[1]weekly_demand!$A:$A,F$1,[1]weekly_demand!$C:$C,$A60))</f>
        <v/>
      </c>
      <c r="G60" s="39" t="str">
        <f>IF($A60="","",SUMIFS([1]weekly_demand!$D:$D,[1]weekly_demand!$A:$A,G$1,[1]weekly_demand!$C:$C,$A60))</f>
        <v/>
      </c>
    </row>
    <row r="61" spans="1:7" x14ac:dyDescent="0.3">
      <c r="A61" s="38"/>
      <c r="B61" s="39" t="str">
        <f>IF($A61="","",SUMIFS([1]weekly_demand!$D:$D,[1]weekly_demand!$A:$A,B$1,[1]weekly_demand!$C:$C,$A61))</f>
        <v/>
      </c>
      <c r="C61" s="39" t="str">
        <f>IF($A61="","",SUMIFS([1]weekly_demand!$D:$D,[1]weekly_demand!$A:$A,C$1,[1]weekly_demand!$C:$C,$A61))</f>
        <v/>
      </c>
      <c r="D61" s="39" t="str">
        <f>IF($A61="","",SUMIFS([1]weekly_demand!$D:$D,[1]weekly_demand!$A:$A,D$1,[1]weekly_demand!$C:$C,$A61))</f>
        <v/>
      </c>
      <c r="E61" s="39" t="str">
        <f>IF($A61="","",SUMIFS([1]weekly_demand!$D:$D,[1]weekly_demand!$A:$A,E$1,[1]weekly_demand!$C:$C,$A61))</f>
        <v/>
      </c>
      <c r="F61" s="39" t="str">
        <f>IF($A61="","",SUMIFS([1]weekly_demand!$D:$D,[1]weekly_demand!$A:$A,F$1,[1]weekly_demand!$C:$C,$A61))</f>
        <v/>
      </c>
      <c r="G61" s="39" t="str">
        <f>IF($A61="","",SUMIFS([1]weekly_demand!$D:$D,[1]weekly_demand!$A:$A,G$1,[1]weekly_demand!$C:$C,$A61))</f>
        <v/>
      </c>
    </row>
    <row r="62" spans="1:7" x14ac:dyDescent="0.3">
      <c r="A62" s="38"/>
      <c r="B62" s="39" t="str">
        <f>IF($A62="","",SUMIFS([1]weekly_demand!$D:$D,[1]weekly_demand!$A:$A,B$1,[1]weekly_demand!$C:$C,$A62))</f>
        <v/>
      </c>
      <c r="C62" s="39" t="str">
        <f>IF($A62="","",SUMIFS([1]weekly_demand!$D:$D,[1]weekly_demand!$A:$A,C$1,[1]weekly_demand!$C:$C,$A62))</f>
        <v/>
      </c>
      <c r="D62" s="39" t="str">
        <f>IF($A62="","",SUMIFS([1]weekly_demand!$D:$D,[1]weekly_demand!$A:$A,D$1,[1]weekly_demand!$C:$C,$A62))</f>
        <v/>
      </c>
      <c r="E62" s="39" t="str">
        <f>IF($A62="","",SUMIFS([1]weekly_demand!$D:$D,[1]weekly_demand!$A:$A,E$1,[1]weekly_demand!$C:$C,$A62))</f>
        <v/>
      </c>
      <c r="F62" s="39" t="str">
        <f>IF($A62="","",SUMIFS([1]weekly_demand!$D:$D,[1]weekly_demand!$A:$A,F$1,[1]weekly_demand!$C:$C,$A62))</f>
        <v/>
      </c>
      <c r="G62" s="39" t="str">
        <f>IF($A62="","",SUMIFS([1]weekly_demand!$D:$D,[1]weekly_demand!$A:$A,G$1,[1]weekly_demand!$C:$C,$A62))</f>
        <v/>
      </c>
    </row>
    <row r="63" spans="1:7" x14ac:dyDescent="0.3">
      <c r="A63" s="38"/>
      <c r="B63" s="39" t="str">
        <f>IF($A63="","",SUMIFS([1]weekly_demand!$D:$D,[1]weekly_demand!$A:$A,B$1,[1]weekly_demand!$C:$C,$A63))</f>
        <v/>
      </c>
      <c r="C63" s="39" t="str">
        <f>IF($A63="","",SUMIFS([1]weekly_demand!$D:$D,[1]weekly_demand!$A:$A,C$1,[1]weekly_demand!$C:$C,$A63))</f>
        <v/>
      </c>
      <c r="D63" s="39" t="str">
        <f>IF($A63="","",SUMIFS([1]weekly_demand!$D:$D,[1]weekly_demand!$A:$A,D$1,[1]weekly_demand!$C:$C,$A63))</f>
        <v/>
      </c>
      <c r="E63" s="39" t="str">
        <f>IF($A63="","",SUMIFS([1]weekly_demand!$D:$D,[1]weekly_demand!$A:$A,E$1,[1]weekly_demand!$C:$C,$A63))</f>
        <v/>
      </c>
      <c r="F63" s="39" t="str">
        <f>IF($A63="","",SUMIFS([1]weekly_demand!$D:$D,[1]weekly_demand!$A:$A,F$1,[1]weekly_demand!$C:$C,$A63))</f>
        <v/>
      </c>
      <c r="G63" s="39" t="str">
        <f>IF($A63="","",SUMIFS([1]weekly_demand!$D:$D,[1]weekly_demand!$A:$A,G$1,[1]weekly_demand!$C:$C,$A63))</f>
        <v/>
      </c>
    </row>
    <row r="64" spans="1:7" x14ac:dyDescent="0.3">
      <c r="A64" s="38"/>
      <c r="B64" s="39" t="str">
        <f>IF($A64="","",SUMIFS([1]weekly_demand!$D:$D,[1]weekly_demand!$A:$A,B$1,[1]weekly_demand!$C:$C,$A64))</f>
        <v/>
      </c>
      <c r="C64" s="39" t="str">
        <f>IF($A64="","",SUMIFS([1]weekly_demand!$D:$D,[1]weekly_demand!$A:$A,C$1,[1]weekly_demand!$C:$C,$A64))</f>
        <v/>
      </c>
      <c r="D64" s="39" t="str">
        <f>IF($A64="","",SUMIFS([1]weekly_demand!$D:$D,[1]weekly_demand!$A:$A,D$1,[1]weekly_demand!$C:$C,$A64))</f>
        <v/>
      </c>
      <c r="E64" s="39" t="str">
        <f>IF($A64="","",SUMIFS([1]weekly_demand!$D:$D,[1]weekly_demand!$A:$A,E$1,[1]weekly_demand!$C:$C,$A64))</f>
        <v/>
      </c>
      <c r="F64" s="39" t="str">
        <f>IF($A64="","",SUMIFS([1]weekly_demand!$D:$D,[1]weekly_demand!$A:$A,F$1,[1]weekly_demand!$C:$C,$A64))</f>
        <v/>
      </c>
      <c r="G64" s="39" t="str">
        <f>IF($A64="","",SUMIFS([1]weekly_demand!$D:$D,[1]weekly_demand!$A:$A,G$1,[1]weekly_demand!$C:$C,$A64))</f>
        <v/>
      </c>
    </row>
    <row r="65" spans="1:7" x14ac:dyDescent="0.3">
      <c r="A65" s="38"/>
      <c r="B65" s="39" t="str">
        <f>IF($A65="","",SUMIFS([1]weekly_demand!$D:$D,[1]weekly_demand!$A:$A,B$1,[1]weekly_demand!$C:$C,$A65))</f>
        <v/>
      </c>
      <c r="C65" s="39" t="str">
        <f>IF($A65="","",SUMIFS([1]weekly_demand!$D:$D,[1]weekly_demand!$A:$A,C$1,[1]weekly_demand!$C:$C,$A65))</f>
        <v/>
      </c>
      <c r="D65" s="39" t="str">
        <f>IF($A65="","",SUMIFS([1]weekly_demand!$D:$D,[1]weekly_demand!$A:$A,D$1,[1]weekly_demand!$C:$C,$A65))</f>
        <v/>
      </c>
      <c r="E65" s="39" t="str">
        <f>IF($A65="","",SUMIFS([1]weekly_demand!$D:$D,[1]weekly_demand!$A:$A,E$1,[1]weekly_demand!$C:$C,$A65))</f>
        <v/>
      </c>
      <c r="F65" s="39" t="str">
        <f>IF($A65="","",SUMIFS([1]weekly_demand!$D:$D,[1]weekly_demand!$A:$A,F$1,[1]weekly_demand!$C:$C,$A65))</f>
        <v/>
      </c>
      <c r="G65" s="39" t="str">
        <f>IF($A65="","",SUMIFS([1]weekly_demand!$D:$D,[1]weekly_demand!$A:$A,G$1,[1]weekly_demand!$C:$C,$A65))</f>
        <v/>
      </c>
    </row>
    <row r="66" spans="1:7" x14ac:dyDescent="0.3">
      <c r="A66" s="38"/>
      <c r="B66" s="39" t="str">
        <f>IF($A66="","",SUMIFS([1]weekly_demand!$D:$D,[1]weekly_demand!$A:$A,B$1,[1]weekly_demand!$C:$C,$A66))</f>
        <v/>
      </c>
      <c r="C66" s="39" t="str">
        <f>IF($A66="","",SUMIFS([1]weekly_demand!$D:$D,[1]weekly_demand!$A:$A,C$1,[1]weekly_demand!$C:$C,$A66))</f>
        <v/>
      </c>
      <c r="D66" s="39" t="str">
        <f>IF($A66="","",SUMIFS([1]weekly_demand!$D:$D,[1]weekly_demand!$A:$A,D$1,[1]weekly_demand!$C:$C,$A66))</f>
        <v/>
      </c>
      <c r="E66" s="39" t="str">
        <f>IF($A66="","",SUMIFS([1]weekly_demand!$D:$D,[1]weekly_demand!$A:$A,E$1,[1]weekly_demand!$C:$C,$A66))</f>
        <v/>
      </c>
      <c r="F66" s="39" t="str">
        <f>IF($A66="","",SUMIFS([1]weekly_demand!$D:$D,[1]weekly_demand!$A:$A,F$1,[1]weekly_demand!$C:$C,$A66))</f>
        <v/>
      </c>
      <c r="G66" s="39" t="str">
        <f>IF($A66="","",SUMIFS([1]weekly_demand!$D:$D,[1]weekly_demand!$A:$A,G$1,[1]weekly_demand!$C:$C,$A66))</f>
        <v/>
      </c>
    </row>
    <row r="67" spans="1:7" x14ac:dyDescent="0.3">
      <c r="A67" s="38"/>
      <c r="B67" s="39" t="str">
        <f>IF($A67="","",SUMIFS([1]weekly_demand!$D:$D,[1]weekly_demand!$A:$A,B$1,[1]weekly_demand!$C:$C,$A67))</f>
        <v/>
      </c>
      <c r="C67" s="39" t="str">
        <f>IF($A67="","",SUMIFS([1]weekly_demand!$D:$D,[1]weekly_demand!$A:$A,C$1,[1]weekly_demand!$C:$C,$A67))</f>
        <v/>
      </c>
      <c r="D67" s="39" t="str">
        <f>IF($A67="","",SUMIFS([1]weekly_demand!$D:$D,[1]weekly_demand!$A:$A,D$1,[1]weekly_demand!$C:$C,$A67))</f>
        <v/>
      </c>
      <c r="E67" s="39" t="str">
        <f>IF($A67="","",SUMIFS([1]weekly_demand!$D:$D,[1]weekly_demand!$A:$A,E$1,[1]weekly_demand!$C:$C,$A67))</f>
        <v/>
      </c>
      <c r="F67" s="39" t="str">
        <f>IF($A67="","",SUMIFS([1]weekly_demand!$D:$D,[1]weekly_demand!$A:$A,F$1,[1]weekly_demand!$C:$C,$A67))</f>
        <v/>
      </c>
      <c r="G67" s="39" t="str">
        <f>IF($A67="","",SUMIFS([1]weekly_demand!$D:$D,[1]weekly_demand!$A:$A,G$1,[1]weekly_demand!$C:$C,$A67))</f>
        <v/>
      </c>
    </row>
    <row r="68" spans="1:7" x14ac:dyDescent="0.3">
      <c r="A68" s="38"/>
      <c r="B68" s="39" t="str">
        <f>IF($A68="","",SUMIFS([1]weekly_demand!$D:$D,[1]weekly_demand!$A:$A,B$1,[1]weekly_demand!$C:$C,$A68))</f>
        <v/>
      </c>
      <c r="C68" s="39" t="str">
        <f>IF($A68="","",SUMIFS([1]weekly_demand!$D:$D,[1]weekly_demand!$A:$A,C$1,[1]weekly_demand!$C:$C,$A68))</f>
        <v/>
      </c>
      <c r="D68" s="39" t="str">
        <f>IF($A68="","",SUMIFS([1]weekly_demand!$D:$D,[1]weekly_demand!$A:$A,D$1,[1]weekly_demand!$C:$C,$A68))</f>
        <v/>
      </c>
      <c r="E68" s="39" t="str">
        <f>IF($A68="","",SUMIFS([1]weekly_demand!$D:$D,[1]weekly_demand!$A:$A,E$1,[1]weekly_demand!$C:$C,$A68))</f>
        <v/>
      </c>
      <c r="F68" s="39" t="str">
        <f>IF($A68="","",SUMIFS([1]weekly_demand!$D:$D,[1]weekly_demand!$A:$A,F$1,[1]weekly_demand!$C:$C,$A68))</f>
        <v/>
      </c>
      <c r="G68" s="39" t="str">
        <f>IF($A68="","",SUMIFS([1]weekly_demand!$D:$D,[1]weekly_demand!$A:$A,G$1,[1]weekly_demand!$C:$C,$A68))</f>
        <v/>
      </c>
    </row>
    <row r="69" spans="1:7" x14ac:dyDescent="0.3">
      <c r="A69" s="38"/>
      <c r="B69" s="39" t="str">
        <f>IF($A69="","",SUMIFS([1]weekly_demand!$D:$D,[1]weekly_demand!$A:$A,B$1,[1]weekly_demand!$C:$C,$A69))</f>
        <v/>
      </c>
      <c r="C69" s="39" t="str">
        <f>IF($A69="","",SUMIFS([1]weekly_demand!$D:$D,[1]weekly_demand!$A:$A,C$1,[1]weekly_demand!$C:$C,$A69))</f>
        <v/>
      </c>
      <c r="D69" s="39" t="str">
        <f>IF($A69="","",SUMIFS([1]weekly_demand!$D:$D,[1]weekly_demand!$A:$A,D$1,[1]weekly_demand!$C:$C,$A69))</f>
        <v/>
      </c>
      <c r="E69" s="39" t="str">
        <f>IF($A69="","",SUMIFS([1]weekly_demand!$D:$D,[1]weekly_demand!$A:$A,E$1,[1]weekly_demand!$C:$C,$A69))</f>
        <v/>
      </c>
      <c r="F69" s="39" t="str">
        <f>IF($A69="","",SUMIFS([1]weekly_demand!$D:$D,[1]weekly_demand!$A:$A,F$1,[1]weekly_demand!$C:$C,$A69))</f>
        <v/>
      </c>
      <c r="G69" s="39" t="str">
        <f>IF($A69="","",SUMIFS([1]weekly_demand!$D:$D,[1]weekly_demand!$A:$A,G$1,[1]weekly_demand!$C:$C,$A69))</f>
        <v/>
      </c>
    </row>
    <row r="70" spans="1:7" x14ac:dyDescent="0.3">
      <c r="A70" s="38"/>
      <c r="B70" s="39" t="str">
        <f>IF($A70="","",SUMIFS([1]weekly_demand!$D:$D,[1]weekly_demand!$A:$A,B$1,[1]weekly_demand!$C:$C,$A70))</f>
        <v/>
      </c>
      <c r="C70" s="39" t="str">
        <f>IF($A70="","",SUMIFS([1]weekly_demand!$D:$D,[1]weekly_demand!$A:$A,C$1,[1]weekly_demand!$C:$C,$A70))</f>
        <v/>
      </c>
      <c r="D70" s="39" t="str">
        <f>IF($A70="","",SUMIFS([1]weekly_demand!$D:$D,[1]weekly_demand!$A:$A,D$1,[1]weekly_demand!$C:$C,$A70))</f>
        <v/>
      </c>
      <c r="E70" s="39" t="str">
        <f>IF($A70="","",SUMIFS([1]weekly_demand!$D:$D,[1]weekly_demand!$A:$A,E$1,[1]weekly_demand!$C:$C,$A70))</f>
        <v/>
      </c>
      <c r="F70" s="39" t="str">
        <f>IF($A70="","",SUMIFS([1]weekly_demand!$D:$D,[1]weekly_demand!$A:$A,F$1,[1]weekly_demand!$C:$C,$A70))</f>
        <v/>
      </c>
      <c r="G70" s="39" t="str">
        <f>IF($A70="","",SUMIFS([1]weekly_demand!$D:$D,[1]weekly_demand!$A:$A,G$1,[1]weekly_demand!$C:$C,$A70))</f>
        <v/>
      </c>
    </row>
    <row r="71" spans="1:7" x14ac:dyDescent="0.3">
      <c r="A71" s="38"/>
      <c r="B71" s="39" t="str">
        <f>IF($A71="","",SUMIFS([1]weekly_demand!$D:$D,[1]weekly_demand!$A:$A,B$1,[1]weekly_demand!$C:$C,$A71))</f>
        <v/>
      </c>
      <c r="C71" s="39" t="str">
        <f>IF($A71="","",SUMIFS([1]weekly_demand!$D:$D,[1]weekly_demand!$A:$A,C$1,[1]weekly_demand!$C:$C,$A71))</f>
        <v/>
      </c>
      <c r="D71" s="39" t="str">
        <f>IF($A71="","",SUMIFS([1]weekly_demand!$D:$D,[1]weekly_demand!$A:$A,D$1,[1]weekly_demand!$C:$C,$A71))</f>
        <v/>
      </c>
      <c r="E71" s="39" t="str">
        <f>IF($A71="","",SUMIFS([1]weekly_demand!$D:$D,[1]weekly_demand!$A:$A,E$1,[1]weekly_demand!$C:$C,$A71))</f>
        <v/>
      </c>
      <c r="F71" s="39" t="str">
        <f>IF($A71="","",SUMIFS([1]weekly_demand!$D:$D,[1]weekly_demand!$A:$A,F$1,[1]weekly_demand!$C:$C,$A71))</f>
        <v/>
      </c>
      <c r="G71" s="39" t="str">
        <f>IF($A71="","",SUMIFS([1]weekly_demand!$D:$D,[1]weekly_demand!$A:$A,G$1,[1]weekly_demand!$C:$C,$A71))</f>
        <v/>
      </c>
    </row>
    <row r="72" spans="1:7" x14ac:dyDescent="0.3">
      <c r="A72" s="38"/>
      <c r="B72" s="39" t="str">
        <f>IF($A72="","",SUMIFS([1]weekly_demand!$D:$D,[1]weekly_demand!$A:$A,B$1,[1]weekly_demand!$C:$C,$A72))</f>
        <v/>
      </c>
      <c r="C72" s="39" t="str">
        <f>IF($A72="","",SUMIFS([1]weekly_demand!$D:$D,[1]weekly_demand!$A:$A,C$1,[1]weekly_demand!$C:$C,$A72))</f>
        <v/>
      </c>
      <c r="D72" s="39" t="str">
        <f>IF($A72="","",SUMIFS([1]weekly_demand!$D:$D,[1]weekly_demand!$A:$A,D$1,[1]weekly_demand!$C:$C,$A72))</f>
        <v/>
      </c>
      <c r="E72" s="39" t="str">
        <f>IF($A72="","",SUMIFS([1]weekly_demand!$D:$D,[1]weekly_demand!$A:$A,E$1,[1]weekly_demand!$C:$C,$A72))</f>
        <v/>
      </c>
      <c r="F72" s="39" t="str">
        <f>IF($A72="","",SUMIFS([1]weekly_demand!$D:$D,[1]weekly_demand!$A:$A,F$1,[1]weekly_demand!$C:$C,$A72))</f>
        <v/>
      </c>
      <c r="G72" s="39" t="str">
        <f>IF($A72="","",SUMIFS([1]weekly_demand!$D:$D,[1]weekly_demand!$A:$A,G$1,[1]weekly_demand!$C:$C,$A72))</f>
        <v/>
      </c>
    </row>
    <row r="73" spans="1:7" x14ac:dyDescent="0.3">
      <c r="A73" s="38"/>
      <c r="B73" s="39" t="str">
        <f>IF($A73="","",SUMIFS([1]weekly_demand!$D:$D,[1]weekly_demand!$A:$A,B$1,[1]weekly_demand!$C:$C,$A73))</f>
        <v/>
      </c>
      <c r="C73" s="39" t="str">
        <f>IF($A73="","",SUMIFS([1]weekly_demand!$D:$D,[1]weekly_demand!$A:$A,C$1,[1]weekly_demand!$C:$C,$A73))</f>
        <v/>
      </c>
      <c r="D73" s="39" t="str">
        <f>IF($A73="","",SUMIFS([1]weekly_demand!$D:$D,[1]weekly_demand!$A:$A,D$1,[1]weekly_demand!$C:$C,$A73))</f>
        <v/>
      </c>
      <c r="E73" s="39" t="str">
        <f>IF($A73="","",SUMIFS([1]weekly_demand!$D:$D,[1]weekly_demand!$A:$A,E$1,[1]weekly_demand!$C:$C,$A73))</f>
        <v/>
      </c>
      <c r="F73" s="39" t="str">
        <f>IF($A73="","",SUMIFS([1]weekly_demand!$D:$D,[1]weekly_demand!$A:$A,F$1,[1]weekly_demand!$C:$C,$A73))</f>
        <v/>
      </c>
      <c r="G73" s="39" t="str">
        <f>IF($A73="","",SUMIFS([1]weekly_demand!$D:$D,[1]weekly_demand!$A:$A,G$1,[1]weekly_demand!$C:$C,$A73))</f>
        <v/>
      </c>
    </row>
    <row r="74" spans="1:7" x14ac:dyDescent="0.3">
      <c r="A74" s="38"/>
      <c r="B74" s="39" t="str">
        <f>IF($A74="","",SUMIFS([1]weekly_demand!$D:$D,[1]weekly_demand!$A:$A,B$1,[1]weekly_demand!$C:$C,$A74))</f>
        <v/>
      </c>
      <c r="C74" s="39" t="str">
        <f>IF($A74="","",SUMIFS([1]weekly_demand!$D:$D,[1]weekly_demand!$A:$A,C$1,[1]weekly_demand!$C:$C,$A74))</f>
        <v/>
      </c>
      <c r="D74" s="39" t="str">
        <f>IF($A74="","",SUMIFS([1]weekly_demand!$D:$D,[1]weekly_demand!$A:$A,D$1,[1]weekly_demand!$C:$C,$A74))</f>
        <v/>
      </c>
      <c r="E74" s="39" t="str">
        <f>IF($A74="","",SUMIFS([1]weekly_demand!$D:$D,[1]weekly_demand!$A:$A,E$1,[1]weekly_demand!$C:$C,$A74))</f>
        <v/>
      </c>
      <c r="F74" s="39" t="str">
        <f>IF($A74="","",SUMIFS([1]weekly_demand!$D:$D,[1]weekly_demand!$A:$A,F$1,[1]weekly_demand!$C:$C,$A74))</f>
        <v/>
      </c>
      <c r="G74" s="39" t="str">
        <f>IF($A74="","",SUMIFS([1]weekly_demand!$D:$D,[1]weekly_demand!$A:$A,G$1,[1]weekly_demand!$C:$C,$A74))</f>
        <v/>
      </c>
    </row>
    <row r="75" spans="1:7" x14ac:dyDescent="0.3">
      <c r="A75" s="38"/>
      <c r="B75" s="39" t="str">
        <f>IF($A75="","",SUMIFS([1]weekly_demand!$D:$D,[1]weekly_demand!$A:$A,B$1,[1]weekly_demand!$C:$C,$A75))</f>
        <v/>
      </c>
      <c r="C75" s="39" t="str">
        <f>IF($A75="","",SUMIFS([1]weekly_demand!$D:$D,[1]weekly_demand!$A:$A,C$1,[1]weekly_demand!$C:$C,$A75))</f>
        <v/>
      </c>
      <c r="D75" s="39" t="str">
        <f>IF($A75="","",SUMIFS([1]weekly_demand!$D:$D,[1]weekly_demand!$A:$A,D$1,[1]weekly_demand!$C:$C,$A75))</f>
        <v/>
      </c>
      <c r="E75" s="39" t="str">
        <f>IF($A75="","",SUMIFS([1]weekly_demand!$D:$D,[1]weekly_demand!$A:$A,E$1,[1]weekly_demand!$C:$C,$A75))</f>
        <v/>
      </c>
      <c r="F75" s="39" t="str">
        <f>IF($A75="","",SUMIFS([1]weekly_demand!$D:$D,[1]weekly_demand!$A:$A,F$1,[1]weekly_demand!$C:$C,$A75))</f>
        <v/>
      </c>
      <c r="G75" s="39" t="str">
        <f>IF($A75="","",SUMIFS([1]weekly_demand!$D:$D,[1]weekly_demand!$A:$A,G$1,[1]weekly_demand!$C:$C,$A75))</f>
        <v/>
      </c>
    </row>
    <row r="76" spans="1:7" x14ac:dyDescent="0.3">
      <c r="A76" s="38"/>
      <c r="B76" s="39" t="str">
        <f>IF($A76="","",SUMIFS([1]weekly_demand!$D:$D,[1]weekly_demand!$A:$A,B$1,[1]weekly_demand!$C:$C,$A76))</f>
        <v/>
      </c>
      <c r="C76" s="39" t="str">
        <f>IF($A76="","",SUMIFS([1]weekly_demand!$D:$D,[1]weekly_demand!$A:$A,C$1,[1]weekly_demand!$C:$C,$A76))</f>
        <v/>
      </c>
      <c r="D76" s="39" t="str">
        <f>IF($A76="","",SUMIFS([1]weekly_demand!$D:$D,[1]weekly_demand!$A:$A,D$1,[1]weekly_demand!$C:$C,$A76))</f>
        <v/>
      </c>
      <c r="E76" s="39" t="str">
        <f>IF($A76="","",SUMIFS([1]weekly_demand!$D:$D,[1]weekly_demand!$A:$A,E$1,[1]weekly_demand!$C:$C,$A76))</f>
        <v/>
      </c>
      <c r="F76" s="39" t="str">
        <f>IF($A76="","",SUMIFS([1]weekly_demand!$D:$D,[1]weekly_demand!$A:$A,F$1,[1]weekly_demand!$C:$C,$A76))</f>
        <v/>
      </c>
      <c r="G76" s="39" t="str">
        <f>IF($A76="","",SUMIFS([1]weekly_demand!$D:$D,[1]weekly_demand!$A:$A,G$1,[1]weekly_demand!$C:$C,$A76))</f>
        <v/>
      </c>
    </row>
    <row r="77" spans="1:7" x14ac:dyDescent="0.3">
      <c r="A77" s="38"/>
      <c r="B77" s="39" t="str">
        <f>IF($A77="","",SUMIFS([1]weekly_demand!$D:$D,[1]weekly_demand!$A:$A,B$1,[1]weekly_demand!$C:$C,$A77))</f>
        <v/>
      </c>
      <c r="C77" s="39" t="str">
        <f>IF($A77="","",SUMIFS([1]weekly_demand!$D:$D,[1]weekly_demand!$A:$A,C$1,[1]weekly_demand!$C:$C,$A77))</f>
        <v/>
      </c>
      <c r="D77" s="39" t="str">
        <f>IF($A77="","",SUMIFS([1]weekly_demand!$D:$D,[1]weekly_demand!$A:$A,D$1,[1]weekly_demand!$C:$C,$A77))</f>
        <v/>
      </c>
      <c r="E77" s="39" t="str">
        <f>IF($A77="","",SUMIFS([1]weekly_demand!$D:$D,[1]weekly_demand!$A:$A,E$1,[1]weekly_demand!$C:$C,$A77))</f>
        <v/>
      </c>
      <c r="F77" s="39" t="str">
        <f>IF($A77="","",SUMIFS([1]weekly_demand!$D:$D,[1]weekly_demand!$A:$A,F$1,[1]weekly_demand!$C:$C,$A77))</f>
        <v/>
      </c>
      <c r="G77" s="39" t="str">
        <f>IF($A77="","",SUMIFS([1]weekly_demand!$D:$D,[1]weekly_demand!$A:$A,G$1,[1]weekly_demand!$C:$C,$A77))</f>
        <v/>
      </c>
    </row>
    <row r="78" spans="1:7" x14ac:dyDescent="0.3">
      <c r="A78" s="38"/>
      <c r="B78" s="39" t="str">
        <f>IF($A78="","",SUMIFS([1]weekly_demand!$D:$D,[1]weekly_demand!$A:$A,B$1,[1]weekly_demand!$C:$C,$A78))</f>
        <v/>
      </c>
      <c r="C78" s="39" t="str">
        <f>IF($A78="","",SUMIFS([1]weekly_demand!$D:$D,[1]weekly_demand!$A:$A,C$1,[1]weekly_demand!$C:$C,$A78))</f>
        <v/>
      </c>
      <c r="D78" s="39" t="str">
        <f>IF($A78="","",SUMIFS([1]weekly_demand!$D:$D,[1]weekly_demand!$A:$A,D$1,[1]weekly_demand!$C:$C,$A78))</f>
        <v/>
      </c>
      <c r="E78" s="39" t="str">
        <f>IF($A78="","",SUMIFS([1]weekly_demand!$D:$D,[1]weekly_demand!$A:$A,E$1,[1]weekly_demand!$C:$C,$A78))</f>
        <v/>
      </c>
      <c r="F78" s="39" t="str">
        <f>IF($A78="","",SUMIFS([1]weekly_demand!$D:$D,[1]weekly_demand!$A:$A,F$1,[1]weekly_demand!$C:$C,$A78))</f>
        <v/>
      </c>
      <c r="G78" s="39" t="str">
        <f>IF($A78="","",SUMIFS([1]weekly_demand!$D:$D,[1]weekly_demand!$A:$A,G$1,[1]weekly_demand!$C:$C,$A78))</f>
        <v/>
      </c>
    </row>
    <row r="79" spans="1:7" x14ac:dyDescent="0.3">
      <c r="A79" s="38"/>
      <c r="B79" s="39" t="str">
        <f>IF($A79="","",SUMIFS([1]weekly_demand!$D:$D,[1]weekly_demand!$A:$A,B$1,[1]weekly_demand!$C:$C,$A79))</f>
        <v/>
      </c>
      <c r="C79" s="39" t="str">
        <f>IF($A79="","",SUMIFS([1]weekly_demand!$D:$D,[1]weekly_demand!$A:$A,C$1,[1]weekly_demand!$C:$C,$A79))</f>
        <v/>
      </c>
      <c r="D79" s="39" t="str">
        <f>IF($A79="","",SUMIFS([1]weekly_demand!$D:$D,[1]weekly_demand!$A:$A,D$1,[1]weekly_demand!$C:$C,$A79))</f>
        <v/>
      </c>
      <c r="E79" s="39" t="str">
        <f>IF($A79="","",SUMIFS([1]weekly_demand!$D:$D,[1]weekly_demand!$A:$A,E$1,[1]weekly_demand!$C:$C,$A79))</f>
        <v/>
      </c>
      <c r="F79" s="39" t="str">
        <f>IF($A79="","",SUMIFS([1]weekly_demand!$D:$D,[1]weekly_demand!$A:$A,F$1,[1]weekly_demand!$C:$C,$A79))</f>
        <v/>
      </c>
      <c r="G79" s="39" t="str">
        <f>IF($A79="","",SUMIFS([1]weekly_demand!$D:$D,[1]weekly_demand!$A:$A,G$1,[1]weekly_demand!$C:$C,$A79))</f>
        <v/>
      </c>
    </row>
    <row r="80" spans="1:7" x14ac:dyDescent="0.3">
      <c r="A80" s="38"/>
      <c r="B80" s="39" t="str">
        <f>IF($A80="","",SUMIFS([1]weekly_demand!$D:$D,[1]weekly_demand!$A:$A,B$1,[1]weekly_demand!$C:$C,$A80))</f>
        <v/>
      </c>
      <c r="C80" s="39" t="str">
        <f>IF($A80="","",SUMIFS([1]weekly_demand!$D:$D,[1]weekly_demand!$A:$A,C$1,[1]weekly_demand!$C:$C,$A80))</f>
        <v/>
      </c>
      <c r="D80" s="39" t="str">
        <f>IF($A80="","",SUMIFS([1]weekly_demand!$D:$D,[1]weekly_demand!$A:$A,D$1,[1]weekly_demand!$C:$C,$A80))</f>
        <v/>
      </c>
      <c r="E80" s="39" t="str">
        <f>IF($A80="","",SUMIFS([1]weekly_demand!$D:$D,[1]weekly_demand!$A:$A,E$1,[1]weekly_demand!$C:$C,$A80))</f>
        <v/>
      </c>
      <c r="F80" s="39" t="str">
        <f>IF($A80="","",SUMIFS([1]weekly_demand!$D:$D,[1]weekly_demand!$A:$A,F$1,[1]weekly_demand!$C:$C,$A80))</f>
        <v/>
      </c>
      <c r="G80" s="39" t="str">
        <f>IF($A80="","",SUMIFS([1]weekly_demand!$D:$D,[1]weekly_demand!$A:$A,G$1,[1]weekly_demand!$C:$C,$A80))</f>
        <v/>
      </c>
    </row>
    <row r="81" spans="1:7" x14ac:dyDescent="0.3">
      <c r="A81" s="38"/>
      <c r="B81" s="39" t="str">
        <f>IF($A81="","",SUMIFS([1]weekly_demand!$D:$D,[1]weekly_demand!$A:$A,B$1,[1]weekly_demand!$C:$C,$A81))</f>
        <v/>
      </c>
      <c r="C81" s="39" t="str">
        <f>IF($A81="","",SUMIFS([1]weekly_demand!$D:$D,[1]weekly_demand!$A:$A,C$1,[1]weekly_demand!$C:$C,$A81))</f>
        <v/>
      </c>
      <c r="D81" s="39" t="str">
        <f>IF($A81="","",SUMIFS([1]weekly_demand!$D:$D,[1]weekly_demand!$A:$A,D$1,[1]weekly_demand!$C:$C,$A81))</f>
        <v/>
      </c>
      <c r="E81" s="39" t="str">
        <f>IF($A81="","",SUMIFS([1]weekly_demand!$D:$D,[1]weekly_demand!$A:$A,E$1,[1]weekly_demand!$C:$C,$A81))</f>
        <v/>
      </c>
      <c r="F81" s="39" t="str">
        <f>IF($A81="","",SUMIFS([1]weekly_demand!$D:$D,[1]weekly_demand!$A:$A,F$1,[1]weekly_demand!$C:$C,$A81))</f>
        <v/>
      </c>
      <c r="G81" s="39" t="str">
        <f>IF($A81="","",SUMIFS([1]weekly_demand!$D:$D,[1]weekly_demand!$A:$A,G$1,[1]weekly_demand!$C:$C,$A81))</f>
        <v/>
      </c>
    </row>
    <row r="82" spans="1:7" x14ac:dyDescent="0.3">
      <c r="A82" s="38"/>
      <c r="B82" s="39" t="str">
        <f>IF($A82="","",SUMIFS([1]weekly_demand!$D:$D,[1]weekly_demand!$A:$A,B$1,[1]weekly_demand!$C:$C,$A82))</f>
        <v/>
      </c>
      <c r="C82" s="39" t="str">
        <f>IF($A82="","",SUMIFS([1]weekly_demand!$D:$D,[1]weekly_demand!$A:$A,C$1,[1]weekly_demand!$C:$C,$A82))</f>
        <v/>
      </c>
      <c r="D82" s="39" t="str">
        <f>IF($A82="","",SUMIFS([1]weekly_demand!$D:$D,[1]weekly_demand!$A:$A,D$1,[1]weekly_demand!$C:$C,$A82))</f>
        <v/>
      </c>
      <c r="E82" s="39" t="str">
        <f>IF($A82="","",SUMIFS([1]weekly_demand!$D:$D,[1]weekly_demand!$A:$A,E$1,[1]weekly_demand!$C:$C,$A82))</f>
        <v/>
      </c>
      <c r="F82" s="39" t="str">
        <f>IF($A82="","",SUMIFS([1]weekly_demand!$D:$D,[1]weekly_demand!$A:$A,F$1,[1]weekly_demand!$C:$C,$A82))</f>
        <v/>
      </c>
      <c r="G82" s="39" t="str">
        <f>IF($A82="","",SUMIFS([1]weekly_demand!$D:$D,[1]weekly_demand!$A:$A,G$1,[1]weekly_demand!$C:$C,$A82))</f>
        <v/>
      </c>
    </row>
    <row r="83" spans="1:7" x14ac:dyDescent="0.3">
      <c r="A83" s="38"/>
      <c r="B83" s="39" t="str">
        <f>IF($A83="","",SUMIFS([1]weekly_demand!$D:$D,[1]weekly_demand!$A:$A,B$1,[1]weekly_demand!$C:$C,$A83))</f>
        <v/>
      </c>
      <c r="C83" s="39" t="str">
        <f>IF($A83="","",SUMIFS([1]weekly_demand!$D:$D,[1]weekly_demand!$A:$A,C$1,[1]weekly_demand!$C:$C,$A83))</f>
        <v/>
      </c>
      <c r="D83" s="39" t="str">
        <f>IF($A83="","",SUMIFS([1]weekly_demand!$D:$D,[1]weekly_demand!$A:$A,D$1,[1]weekly_demand!$C:$C,$A83))</f>
        <v/>
      </c>
      <c r="E83" s="39" t="str">
        <f>IF($A83="","",SUMIFS([1]weekly_demand!$D:$D,[1]weekly_demand!$A:$A,E$1,[1]weekly_demand!$C:$C,$A83))</f>
        <v/>
      </c>
      <c r="F83" s="39" t="str">
        <f>IF($A83="","",SUMIFS([1]weekly_demand!$D:$D,[1]weekly_demand!$A:$A,F$1,[1]weekly_demand!$C:$C,$A83))</f>
        <v/>
      </c>
      <c r="G83" s="39" t="str">
        <f>IF($A83="","",SUMIFS([1]weekly_demand!$D:$D,[1]weekly_demand!$A:$A,G$1,[1]weekly_demand!$C:$C,$A83))</f>
        <v/>
      </c>
    </row>
    <row r="84" spans="1:7" x14ac:dyDescent="0.3">
      <c r="A84" s="38"/>
      <c r="B84" s="39" t="str">
        <f>IF($A84="","",SUMIFS([1]weekly_demand!$D:$D,[1]weekly_demand!$A:$A,B$1,[1]weekly_demand!$C:$C,$A84))</f>
        <v/>
      </c>
      <c r="C84" s="39" t="str">
        <f>IF($A84="","",SUMIFS([1]weekly_demand!$D:$D,[1]weekly_demand!$A:$A,C$1,[1]weekly_demand!$C:$C,$A84))</f>
        <v/>
      </c>
      <c r="D84" s="39" t="str">
        <f>IF($A84="","",SUMIFS([1]weekly_demand!$D:$D,[1]weekly_demand!$A:$A,D$1,[1]weekly_demand!$C:$C,$A84))</f>
        <v/>
      </c>
      <c r="E84" s="39" t="str">
        <f>IF($A84="","",SUMIFS([1]weekly_demand!$D:$D,[1]weekly_demand!$A:$A,E$1,[1]weekly_demand!$C:$C,$A84))</f>
        <v/>
      </c>
      <c r="F84" s="39" t="str">
        <f>IF($A84="","",SUMIFS([1]weekly_demand!$D:$D,[1]weekly_demand!$A:$A,F$1,[1]weekly_demand!$C:$C,$A84))</f>
        <v/>
      </c>
      <c r="G84" s="39" t="str">
        <f>IF($A84="","",SUMIFS([1]weekly_demand!$D:$D,[1]weekly_demand!$A:$A,G$1,[1]weekly_demand!$C:$C,$A84))</f>
        <v/>
      </c>
    </row>
    <row r="85" spans="1:7" x14ac:dyDescent="0.3">
      <c r="A85" s="38"/>
      <c r="B85" s="39" t="str">
        <f>IF($A85="","",SUMIFS([1]weekly_demand!$D:$D,[1]weekly_demand!$A:$A,B$1,[1]weekly_demand!$C:$C,$A85))</f>
        <v/>
      </c>
      <c r="C85" s="39" t="str">
        <f>IF($A85="","",SUMIFS([1]weekly_demand!$D:$D,[1]weekly_demand!$A:$A,C$1,[1]weekly_demand!$C:$C,$A85))</f>
        <v/>
      </c>
      <c r="D85" s="39" t="str">
        <f>IF($A85="","",SUMIFS([1]weekly_demand!$D:$D,[1]weekly_demand!$A:$A,D$1,[1]weekly_demand!$C:$C,$A85))</f>
        <v/>
      </c>
      <c r="E85" s="39" t="str">
        <f>IF($A85="","",SUMIFS([1]weekly_demand!$D:$D,[1]weekly_demand!$A:$A,E$1,[1]weekly_demand!$C:$C,$A85))</f>
        <v/>
      </c>
      <c r="F85" s="39" t="str">
        <f>IF($A85="","",SUMIFS([1]weekly_demand!$D:$D,[1]weekly_demand!$A:$A,F$1,[1]weekly_demand!$C:$C,$A85))</f>
        <v/>
      </c>
      <c r="G85" s="39" t="str">
        <f>IF($A85="","",SUMIFS([1]weekly_demand!$D:$D,[1]weekly_demand!$A:$A,G$1,[1]weekly_demand!$C:$C,$A85))</f>
        <v/>
      </c>
    </row>
    <row r="86" spans="1:7" x14ac:dyDescent="0.3">
      <c r="A86" s="38"/>
      <c r="B86" s="39" t="str">
        <f>IF($A86="","",SUMIFS([1]weekly_demand!$D:$D,[1]weekly_demand!$A:$A,B$1,[1]weekly_demand!$C:$C,$A86))</f>
        <v/>
      </c>
      <c r="C86" s="39" t="str">
        <f>IF($A86="","",SUMIFS([1]weekly_demand!$D:$D,[1]weekly_demand!$A:$A,C$1,[1]weekly_demand!$C:$C,$A86))</f>
        <v/>
      </c>
      <c r="D86" s="39" t="str">
        <f>IF($A86="","",SUMIFS([1]weekly_demand!$D:$D,[1]weekly_demand!$A:$A,D$1,[1]weekly_demand!$C:$C,$A86))</f>
        <v/>
      </c>
      <c r="E86" s="39" t="str">
        <f>IF($A86="","",SUMIFS([1]weekly_demand!$D:$D,[1]weekly_demand!$A:$A,E$1,[1]weekly_demand!$C:$C,$A86))</f>
        <v/>
      </c>
      <c r="F86" s="39" t="str">
        <f>IF($A86="","",SUMIFS([1]weekly_demand!$D:$D,[1]weekly_demand!$A:$A,F$1,[1]weekly_demand!$C:$C,$A86))</f>
        <v/>
      </c>
      <c r="G86" s="39" t="str">
        <f>IF($A86="","",SUMIFS([1]weekly_demand!$D:$D,[1]weekly_demand!$A:$A,G$1,[1]weekly_demand!$C:$C,$A86))</f>
        <v/>
      </c>
    </row>
    <row r="87" spans="1:7" x14ac:dyDescent="0.3">
      <c r="A87" s="38"/>
      <c r="B87" s="39" t="str">
        <f>IF($A87="","",SUMIFS([1]weekly_demand!$D:$D,[1]weekly_demand!$A:$A,B$1,[1]weekly_demand!$C:$C,$A87))</f>
        <v/>
      </c>
      <c r="C87" s="39" t="str">
        <f>IF($A87="","",SUMIFS([1]weekly_demand!$D:$D,[1]weekly_demand!$A:$A,C$1,[1]weekly_demand!$C:$C,$A87))</f>
        <v/>
      </c>
      <c r="D87" s="39" t="str">
        <f>IF($A87="","",SUMIFS([1]weekly_demand!$D:$D,[1]weekly_demand!$A:$A,D$1,[1]weekly_demand!$C:$C,$A87))</f>
        <v/>
      </c>
      <c r="E87" s="39" t="str">
        <f>IF($A87="","",SUMIFS([1]weekly_demand!$D:$D,[1]weekly_demand!$A:$A,E$1,[1]weekly_demand!$C:$C,$A87))</f>
        <v/>
      </c>
      <c r="F87" s="39" t="str">
        <f>IF($A87="","",SUMIFS([1]weekly_demand!$D:$D,[1]weekly_demand!$A:$A,F$1,[1]weekly_demand!$C:$C,$A87))</f>
        <v/>
      </c>
      <c r="G87" s="39" t="str">
        <f>IF($A87="","",SUMIFS([1]weekly_demand!$D:$D,[1]weekly_demand!$A:$A,G$1,[1]weekly_demand!$C:$C,$A87))</f>
        <v/>
      </c>
    </row>
    <row r="88" spans="1:7" x14ac:dyDescent="0.3">
      <c r="A88" s="38"/>
      <c r="B88" s="39" t="str">
        <f>IF($A88="","",SUMIFS([1]weekly_demand!$D:$D,[1]weekly_demand!$A:$A,B$1,[1]weekly_demand!$C:$C,$A88))</f>
        <v/>
      </c>
      <c r="C88" s="39" t="str">
        <f>IF($A88="","",SUMIFS([1]weekly_demand!$D:$D,[1]weekly_demand!$A:$A,C$1,[1]weekly_demand!$C:$C,$A88))</f>
        <v/>
      </c>
      <c r="D88" s="39" t="str">
        <f>IF($A88="","",SUMIFS([1]weekly_demand!$D:$D,[1]weekly_demand!$A:$A,D$1,[1]weekly_demand!$C:$C,$A88))</f>
        <v/>
      </c>
      <c r="E88" s="39" t="str">
        <f>IF($A88="","",SUMIFS([1]weekly_demand!$D:$D,[1]weekly_demand!$A:$A,E$1,[1]weekly_demand!$C:$C,$A88))</f>
        <v/>
      </c>
      <c r="F88" s="39" t="str">
        <f>IF($A88="","",SUMIFS([1]weekly_demand!$D:$D,[1]weekly_demand!$A:$A,F$1,[1]weekly_demand!$C:$C,$A88))</f>
        <v/>
      </c>
      <c r="G88" s="39" t="str">
        <f>IF($A88="","",SUMIFS([1]weekly_demand!$D:$D,[1]weekly_demand!$A:$A,G$1,[1]weekly_demand!$C:$C,$A88))</f>
        <v/>
      </c>
    </row>
    <row r="89" spans="1:7" x14ac:dyDescent="0.3">
      <c r="A89" s="38"/>
      <c r="B89" s="39" t="str">
        <f>IF($A89="","",SUMIFS([1]weekly_demand!$D:$D,[1]weekly_demand!$A:$A,B$1,[1]weekly_demand!$C:$C,$A89))</f>
        <v/>
      </c>
      <c r="C89" s="39" t="str">
        <f>IF($A89="","",SUMIFS([1]weekly_demand!$D:$D,[1]weekly_demand!$A:$A,C$1,[1]weekly_demand!$C:$C,$A89))</f>
        <v/>
      </c>
      <c r="D89" s="39" t="str">
        <f>IF($A89="","",SUMIFS([1]weekly_demand!$D:$D,[1]weekly_demand!$A:$A,D$1,[1]weekly_demand!$C:$C,$A89))</f>
        <v/>
      </c>
      <c r="E89" s="39" t="str">
        <f>IF($A89="","",SUMIFS([1]weekly_demand!$D:$D,[1]weekly_demand!$A:$A,E$1,[1]weekly_demand!$C:$C,$A89))</f>
        <v/>
      </c>
      <c r="F89" s="39" t="str">
        <f>IF($A89="","",SUMIFS([1]weekly_demand!$D:$D,[1]weekly_demand!$A:$A,F$1,[1]weekly_demand!$C:$C,$A89))</f>
        <v/>
      </c>
      <c r="G89" s="39" t="str">
        <f>IF($A89="","",SUMIFS([1]weekly_demand!$D:$D,[1]weekly_demand!$A:$A,G$1,[1]weekly_demand!$C:$C,$A89))</f>
        <v/>
      </c>
    </row>
    <row r="90" spans="1:7" x14ac:dyDescent="0.3">
      <c r="A90" s="38"/>
      <c r="B90" s="39" t="str">
        <f>IF($A90="","",SUMIFS([1]weekly_demand!$D:$D,[1]weekly_demand!$A:$A,B$1,[1]weekly_demand!$C:$C,$A90))</f>
        <v/>
      </c>
      <c r="C90" s="39" t="str">
        <f>IF($A90="","",SUMIFS([1]weekly_demand!$D:$D,[1]weekly_demand!$A:$A,C$1,[1]weekly_demand!$C:$C,$A90))</f>
        <v/>
      </c>
      <c r="D90" s="39" t="str">
        <f>IF($A90="","",SUMIFS([1]weekly_demand!$D:$D,[1]weekly_demand!$A:$A,D$1,[1]weekly_demand!$C:$C,$A90))</f>
        <v/>
      </c>
      <c r="E90" s="39" t="str">
        <f>IF($A90="","",SUMIFS([1]weekly_demand!$D:$D,[1]weekly_demand!$A:$A,E$1,[1]weekly_demand!$C:$C,$A90))</f>
        <v/>
      </c>
      <c r="F90" s="39" t="str">
        <f>IF($A90="","",SUMIFS([1]weekly_demand!$D:$D,[1]weekly_demand!$A:$A,F$1,[1]weekly_demand!$C:$C,$A90))</f>
        <v/>
      </c>
      <c r="G90" s="39" t="str">
        <f>IF($A90="","",SUMIFS([1]weekly_demand!$D:$D,[1]weekly_demand!$A:$A,G$1,[1]weekly_demand!$C:$C,$A90))</f>
        <v/>
      </c>
    </row>
    <row r="91" spans="1:7" x14ac:dyDescent="0.3">
      <c r="A91" s="38"/>
      <c r="B91" s="39" t="str">
        <f>IF($A91="","",SUMIFS([1]weekly_demand!$D:$D,[1]weekly_demand!$A:$A,B$1,[1]weekly_demand!$C:$C,$A91))</f>
        <v/>
      </c>
      <c r="C91" s="39" t="str">
        <f>IF($A91="","",SUMIFS([1]weekly_demand!$D:$D,[1]weekly_demand!$A:$A,C$1,[1]weekly_demand!$C:$C,$A91))</f>
        <v/>
      </c>
      <c r="D91" s="39" t="str">
        <f>IF($A91="","",SUMIFS([1]weekly_demand!$D:$D,[1]weekly_demand!$A:$A,D$1,[1]weekly_demand!$C:$C,$A91))</f>
        <v/>
      </c>
      <c r="E91" s="39" t="str">
        <f>IF($A91="","",SUMIFS([1]weekly_demand!$D:$D,[1]weekly_demand!$A:$A,E$1,[1]weekly_demand!$C:$C,$A91))</f>
        <v/>
      </c>
      <c r="F91" s="39" t="str">
        <f>IF($A91="","",SUMIFS([1]weekly_demand!$D:$D,[1]weekly_demand!$A:$A,F$1,[1]weekly_demand!$C:$C,$A91))</f>
        <v/>
      </c>
      <c r="G91" s="39" t="str">
        <f>IF($A91="","",SUMIFS([1]weekly_demand!$D:$D,[1]weekly_demand!$A:$A,G$1,[1]weekly_demand!$C:$C,$A91))</f>
        <v/>
      </c>
    </row>
    <row r="92" spans="1:7" x14ac:dyDescent="0.3">
      <c r="A92" s="38"/>
      <c r="B92" s="39" t="str">
        <f>IF($A92="","",SUMIFS([1]weekly_demand!$D:$D,[1]weekly_demand!$A:$A,B$1,[1]weekly_demand!$C:$C,$A92))</f>
        <v/>
      </c>
      <c r="C92" s="39" t="str">
        <f>IF($A92="","",SUMIFS([1]weekly_demand!$D:$D,[1]weekly_demand!$A:$A,C$1,[1]weekly_demand!$C:$C,$A92))</f>
        <v/>
      </c>
      <c r="D92" s="39" t="str">
        <f>IF($A92="","",SUMIFS([1]weekly_demand!$D:$D,[1]weekly_demand!$A:$A,D$1,[1]weekly_demand!$C:$C,$A92))</f>
        <v/>
      </c>
      <c r="E92" s="39" t="str">
        <f>IF($A92="","",SUMIFS([1]weekly_demand!$D:$D,[1]weekly_demand!$A:$A,E$1,[1]weekly_demand!$C:$C,$A92))</f>
        <v/>
      </c>
      <c r="F92" s="39" t="str">
        <f>IF($A92="","",SUMIFS([1]weekly_demand!$D:$D,[1]weekly_demand!$A:$A,F$1,[1]weekly_demand!$C:$C,$A92))</f>
        <v/>
      </c>
      <c r="G92" s="39" t="str">
        <f>IF($A92="","",SUMIFS([1]weekly_demand!$D:$D,[1]weekly_demand!$A:$A,G$1,[1]weekly_demand!$C:$C,$A92))</f>
        <v/>
      </c>
    </row>
    <row r="93" spans="1:7" x14ac:dyDescent="0.3">
      <c r="A93" s="38"/>
      <c r="B93" s="39" t="str">
        <f>IF($A93="","",SUMIFS([1]weekly_demand!$D:$D,[1]weekly_demand!$A:$A,B$1,[1]weekly_demand!$C:$C,$A93))</f>
        <v/>
      </c>
      <c r="C93" s="39" t="str">
        <f>IF($A93="","",SUMIFS([1]weekly_demand!$D:$D,[1]weekly_demand!$A:$A,C$1,[1]weekly_demand!$C:$C,$A93))</f>
        <v/>
      </c>
      <c r="D93" s="39" t="str">
        <f>IF($A93="","",SUMIFS([1]weekly_demand!$D:$D,[1]weekly_demand!$A:$A,D$1,[1]weekly_demand!$C:$C,$A93))</f>
        <v/>
      </c>
      <c r="E93" s="39" t="str">
        <f>IF($A93="","",SUMIFS([1]weekly_demand!$D:$D,[1]weekly_demand!$A:$A,E$1,[1]weekly_demand!$C:$C,$A93))</f>
        <v/>
      </c>
      <c r="F93" s="39" t="str">
        <f>IF($A93="","",SUMIFS([1]weekly_demand!$D:$D,[1]weekly_demand!$A:$A,F$1,[1]weekly_demand!$C:$C,$A93))</f>
        <v/>
      </c>
      <c r="G93" s="39" t="str">
        <f>IF($A93="","",SUMIFS([1]weekly_demand!$D:$D,[1]weekly_demand!$A:$A,G$1,[1]weekly_demand!$C:$C,$A93))</f>
        <v/>
      </c>
    </row>
    <row r="94" spans="1:7" x14ac:dyDescent="0.3">
      <c r="A94" s="38"/>
      <c r="B94" s="39" t="str">
        <f>IF($A94="","",SUMIFS([1]weekly_demand!$D:$D,[1]weekly_demand!$A:$A,B$1,[1]weekly_demand!$C:$C,$A94))</f>
        <v/>
      </c>
      <c r="C94" s="39" t="str">
        <f>IF($A94="","",SUMIFS([1]weekly_demand!$D:$D,[1]weekly_demand!$A:$A,C$1,[1]weekly_demand!$C:$C,$A94))</f>
        <v/>
      </c>
      <c r="D94" s="39" t="str">
        <f>IF($A94="","",SUMIFS([1]weekly_demand!$D:$D,[1]weekly_demand!$A:$A,D$1,[1]weekly_demand!$C:$C,$A94))</f>
        <v/>
      </c>
      <c r="E94" s="39" t="str">
        <f>IF($A94="","",SUMIFS([1]weekly_demand!$D:$D,[1]weekly_demand!$A:$A,E$1,[1]weekly_demand!$C:$C,$A94))</f>
        <v/>
      </c>
      <c r="F94" s="39" t="str">
        <f>IF($A94="","",SUMIFS([1]weekly_demand!$D:$D,[1]weekly_demand!$A:$A,F$1,[1]weekly_demand!$C:$C,$A94))</f>
        <v/>
      </c>
      <c r="G94" s="39" t="str">
        <f>IF($A94="","",SUMIFS([1]weekly_demand!$D:$D,[1]weekly_demand!$A:$A,G$1,[1]weekly_demand!$C:$C,$A94))</f>
        <v/>
      </c>
    </row>
    <row r="95" spans="1:7" x14ac:dyDescent="0.3">
      <c r="A95" s="38"/>
      <c r="B95" s="39" t="str">
        <f>IF($A95="","",SUMIFS([1]weekly_demand!$D:$D,[1]weekly_demand!$A:$A,B$1,[1]weekly_demand!$C:$C,$A95))</f>
        <v/>
      </c>
      <c r="C95" s="39" t="str">
        <f>IF($A95="","",SUMIFS([1]weekly_demand!$D:$D,[1]weekly_demand!$A:$A,C$1,[1]weekly_demand!$C:$C,$A95))</f>
        <v/>
      </c>
      <c r="D95" s="39" t="str">
        <f>IF($A95="","",SUMIFS([1]weekly_demand!$D:$D,[1]weekly_demand!$A:$A,D$1,[1]weekly_demand!$C:$C,$A95))</f>
        <v/>
      </c>
      <c r="E95" s="39" t="str">
        <f>IF($A95="","",SUMIFS([1]weekly_demand!$D:$D,[1]weekly_demand!$A:$A,E$1,[1]weekly_demand!$C:$C,$A95))</f>
        <v/>
      </c>
      <c r="F95" s="39" t="str">
        <f>IF($A95="","",SUMIFS([1]weekly_demand!$D:$D,[1]weekly_demand!$A:$A,F$1,[1]weekly_demand!$C:$C,$A95))</f>
        <v/>
      </c>
      <c r="G95" s="39" t="str">
        <f>IF($A95="","",SUMIFS([1]weekly_demand!$D:$D,[1]weekly_demand!$A:$A,G$1,[1]weekly_demand!$C:$C,$A95))</f>
        <v/>
      </c>
    </row>
    <row r="96" spans="1:7" x14ac:dyDescent="0.3">
      <c r="A96" s="38"/>
      <c r="B96" s="39" t="str">
        <f>IF($A96="","",SUMIFS([1]weekly_demand!$D:$D,[1]weekly_demand!$A:$A,B$1,[1]weekly_demand!$C:$C,$A96))</f>
        <v/>
      </c>
      <c r="C96" s="39" t="str">
        <f>IF($A96="","",SUMIFS([1]weekly_demand!$D:$D,[1]weekly_demand!$A:$A,C$1,[1]weekly_demand!$C:$C,$A96))</f>
        <v/>
      </c>
      <c r="D96" s="39" t="str">
        <f>IF($A96="","",SUMIFS([1]weekly_demand!$D:$D,[1]weekly_demand!$A:$A,D$1,[1]weekly_demand!$C:$C,$A96))</f>
        <v/>
      </c>
      <c r="E96" s="39" t="str">
        <f>IF($A96="","",SUMIFS([1]weekly_demand!$D:$D,[1]weekly_demand!$A:$A,E$1,[1]weekly_demand!$C:$C,$A96))</f>
        <v/>
      </c>
      <c r="F96" s="39" t="str">
        <f>IF($A96="","",SUMIFS([1]weekly_demand!$D:$D,[1]weekly_demand!$A:$A,F$1,[1]weekly_demand!$C:$C,$A96))</f>
        <v/>
      </c>
      <c r="G96" s="39" t="str">
        <f>IF($A96="","",SUMIFS([1]weekly_demand!$D:$D,[1]weekly_demand!$A:$A,G$1,[1]weekly_demand!$C:$C,$A96))</f>
        <v/>
      </c>
    </row>
    <row r="97" spans="1:7" x14ac:dyDescent="0.3">
      <c r="A97" s="38"/>
      <c r="B97" s="39" t="str">
        <f>IF($A97="","",SUMIFS([1]weekly_demand!$D:$D,[1]weekly_demand!$A:$A,B$1,[1]weekly_demand!$C:$C,$A97))</f>
        <v/>
      </c>
      <c r="C97" s="39" t="str">
        <f>IF($A97="","",SUMIFS([1]weekly_demand!$D:$D,[1]weekly_demand!$A:$A,C$1,[1]weekly_demand!$C:$C,$A97))</f>
        <v/>
      </c>
      <c r="D97" s="39" t="str">
        <f>IF($A97="","",SUMIFS([1]weekly_demand!$D:$D,[1]weekly_demand!$A:$A,D$1,[1]weekly_demand!$C:$C,$A97))</f>
        <v/>
      </c>
      <c r="E97" s="39" t="str">
        <f>IF($A97="","",SUMIFS([1]weekly_demand!$D:$D,[1]weekly_demand!$A:$A,E$1,[1]weekly_demand!$C:$C,$A97))</f>
        <v/>
      </c>
      <c r="F97" s="39" t="str">
        <f>IF($A97="","",SUMIFS([1]weekly_demand!$D:$D,[1]weekly_demand!$A:$A,F$1,[1]weekly_demand!$C:$C,$A97))</f>
        <v/>
      </c>
      <c r="G97" s="39" t="str">
        <f>IF($A97="","",SUMIFS([1]weekly_demand!$D:$D,[1]weekly_demand!$A:$A,G$1,[1]weekly_demand!$C:$C,$A97))</f>
        <v/>
      </c>
    </row>
    <row r="98" spans="1:7" x14ac:dyDescent="0.3">
      <c r="A98" s="38"/>
      <c r="B98" s="39" t="str">
        <f>IF($A98="","",SUMIFS([1]weekly_demand!$D:$D,[1]weekly_demand!$A:$A,B$1,[1]weekly_demand!$C:$C,$A98))</f>
        <v/>
      </c>
      <c r="C98" s="39" t="str">
        <f>IF($A98="","",SUMIFS([1]weekly_demand!$D:$D,[1]weekly_demand!$A:$A,C$1,[1]weekly_demand!$C:$C,$A98))</f>
        <v/>
      </c>
      <c r="D98" s="39" t="str">
        <f>IF($A98="","",SUMIFS([1]weekly_demand!$D:$D,[1]weekly_demand!$A:$A,D$1,[1]weekly_demand!$C:$C,$A98))</f>
        <v/>
      </c>
      <c r="E98" s="39" t="str">
        <f>IF($A98="","",SUMIFS([1]weekly_demand!$D:$D,[1]weekly_demand!$A:$A,E$1,[1]weekly_demand!$C:$C,$A98))</f>
        <v/>
      </c>
      <c r="F98" s="39" t="str">
        <f>IF($A98="","",SUMIFS([1]weekly_demand!$D:$D,[1]weekly_demand!$A:$A,F$1,[1]weekly_demand!$C:$C,$A98))</f>
        <v/>
      </c>
      <c r="G98" s="39" t="str">
        <f>IF($A98="","",SUMIFS([1]weekly_demand!$D:$D,[1]weekly_demand!$A:$A,G$1,[1]weekly_demand!$C:$C,$A98))</f>
        <v/>
      </c>
    </row>
    <row r="99" spans="1:7" x14ac:dyDescent="0.3">
      <c r="A99" s="38"/>
      <c r="B99" s="39" t="str">
        <f>IF($A99="","",SUMIFS([1]weekly_demand!$D:$D,[1]weekly_demand!$A:$A,B$1,[1]weekly_demand!$C:$C,$A99))</f>
        <v/>
      </c>
      <c r="C99" s="39" t="str">
        <f>IF($A99="","",SUMIFS([1]weekly_demand!$D:$D,[1]weekly_demand!$A:$A,C$1,[1]weekly_demand!$C:$C,$A99))</f>
        <v/>
      </c>
      <c r="D99" s="39" t="str">
        <f>IF($A99="","",SUMIFS([1]weekly_demand!$D:$D,[1]weekly_demand!$A:$A,D$1,[1]weekly_demand!$C:$C,$A99))</f>
        <v/>
      </c>
      <c r="E99" s="39" t="str">
        <f>IF($A99="","",SUMIFS([1]weekly_demand!$D:$D,[1]weekly_demand!$A:$A,E$1,[1]weekly_demand!$C:$C,$A99))</f>
        <v/>
      </c>
      <c r="F99" s="39" t="str">
        <f>IF($A99="","",SUMIFS([1]weekly_demand!$D:$D,[1]weekly_demand!$A:$A,F$1,[1]weekly_demand!$C:$C,$A99))</f>
        <v/>
      </c>
      <c r="G99" s="39" t="str">
        <f>IF($A99="","",SUMIFS([1]weekly_demand!$D:$D,[1]weekly_demand!$A:$A,G$1,[1]weekly_demand!$C:$C,$A99))</f>
        <v/>
      </c>
    </row>
    <row r="100" spans="1:7" x14ac:dyDescent="0.3">
      <c r="A100" s="38"/>
      <c r="B100" s="39" t="str">
        <f>IF($A100="","",SUMIFS([1]weekly_demand!$D:$D,[1]weekly_demand!$A:$A,B$1,[1]weekly_demand!$C:$C,$A100))</f>
        <v/>
      </c>
      <c r="C100" s="39" t="str">
        <f>IF($A100="","",SUMIFS([1]weekly_demand!$D:$D,[1]weekly_demand!$A:$A,C$1,[1]weekly_demand!$C:$C,$A100))</f>
        <v/>
      </c>
      <c r="D100" s="39" t="str">
        <f>IF($A100="","",SUMIFS([1]weekly_demand!$D:$D,[1]weekly_demand!$A:$A,D$1,[1]weekly_demand!$C:$C,$A100))</f>
        <v/>
      </c>
      <c r="E100" s="39" t="str">
        <f>IF($A100="","",SUMIFS([1]weekly_demand!$D:$D,[1]weekly_demand!$A:$A,E$1,[1]weekly_demand!$C:$C,$A100))</f>
        <v/>
      </c>
      <c r="F100" s="39" t="str">
        <f>IF($A100="","",SUMIFS([1]weekly_demand!$D:$D,[1]weekly_demand!$A:$A,F$1,[1]weekly_demand!$C:$C,$A100))</f>
        <v/>
      </c>
      <c r="G100" s="39" t="str">
        <f>IF($A100="","",SUMIFS([1]weekly_demand!$D:$D,[1]weekly_demand!$A:$A,G$1,[1]weekly_demand!$C:$C,$A100))</f>
        <v/>
      </c>
    </row>
    <row r="101" spans="1:7" x14ac:dyDescent="0.3">
      <c r="A101" s="38"/>
      <c r="B101" s="39" t="str">
        <f>IF($A101="","",SUMIFS([1]weekly_demand!$D:$D,[1]weekly_demand!$A:$A,B$1,[1]weekly_demand!$C:$C,$A101))</f>
        <v/>
      </c>
      <c r="C101" s="39" t="str">
        <f>IF($A101="","",SUMIFS([1]weekly_demand!$D:$D,[1]weekly_demand!$A:$A,C$1,[1]weekly_demand!$C:$C,$A101))</f>
        <v/>
      </c>
      <c r="D101" s="39" t="str">
        <f>IF($A101="","",SUMIFS([1]weekly_demand!$D:$D,[1]weekly_demand!$A:$A,D$1,[1]weekly_demand!$C:$C,$A101))</f>
        <v/>
      </c>
      <c r="E101" s="39" t="str">
        <f>IF($A101="","",SUMIFS([1]weekly_demand!$D:$D,[1]weekly_demand!$A:$A,E$1,[1]weekly_demand!$C:$C,$A101))</f>
        <v/>
      </c>
      <c r="F101" s="39" t="str">
        <f>IF($A101="","",SUMIFS([1]weekly_demand!$D:$D,[1]weekly_demand!$A:$A,F$1,[1]weekly_demand!$C:$C,$A101))</f>
        <v/>
      </c>
      <c r="G101" s="39" t="str">
        <f>IF($A101="","",SUMIFS([1]weekly_demand!$D:$D,[1]weekly_demand!$A:$A,G$1,[1]weekly_demand!$C:$C,$A101))</f>
        <v/>
      </c>
    </row>
    <row r="102" spans="1:7" x14ac:dyDescent="0.3">
      <c r="A102" s="38"/>
      <c r="B102" s="39" t="str">
        <f>IF($A102="","",SUMIFS([1]weekly_demand!$D:$D,[1]weekly_demand!$A:$A,B$1,[1]weekly_demand!$C:$C,$A102))</f>
        <v/>
      </c>
      <c r="C102" s="39" t="str">
        <f>IF($A102="","",SUMIFS([1]weekly_demand!$D:$D,[1]weekly_demand!$A:$A,C$1,[1]weekly_demand!$C:$C,$A102))</f>
        <v/>
      </c>
      <c r="D102" s="39" t="str">
        <f>IF($A102="","",SUMIFS([1]weekly_demand!$D:$D,[1]weekly_demand!$A:$A,D$1,[1]weekly_demand!$C:$C,$A102))</f>
        <v/>
      </c>
      <c r="E102" s="39" t="str">
        <f>IF($A102="","",SUMIFS([1]weekly_demand!$D:$D,[1]weekly_demand!$A:$A,E$1,[1]weekly_demand!$C:$C,$A102))</f>
        <v/>
      </c>
      <c r="F102" s="39" t="str">
        <f>IF($A102="","",SUMIFS([1]weekly_demand!$D:$D,[1]weekly_demand!$A:$A,F$1,[1]weekly_demand!$C:$C,$A102))</f>
        <v/>
      </c>
      <c r="G102" s="39" t="str">
        <f>IF($A102="","",SUMIFS([1]weekly_demand!$D:$D,[1]weekly_demand!$A:$A,G$1,[1]weekly_demand!$C:$C,$A102))</f>
        <v/>
      </c>
    </row>
    <row r="103" spans="1:7" x14ac:dyDescent="0.3">
      <c r="A103" s="38"/>
      <c r="B103" s="39" t="str">
        <f>IF($A103="","",SUMIFS([1]weekly_demand!$D:$D,[1]weekly_demand!$A:$A,B$1,[1]weekly_demand!$C:$C,$A103))</f>
        <v/>
      </c>
      <c r="C103" s="39" t="str">
        <f>IF($A103="","",SUMIFS([1]weekly_demand!$D:$D,[1]weekly_demand!$A:$A,C$1,[1]weekly_demand!$C:$C,$A103))</f>
        <v/>
      </c>
      <c r="D103" s="39" t="str">
        <f>IF($A103="","",SUMIFS([1]weekly_demand!$D:$D,[1]weekly_demand!$A:$A,D$1,[1]weekly_demand!$C:$C,$A103))</f>
        <v/>
      </c>
      <c r="E103" s="39" t="str">
        <f>IF($A103="","",SUMIFS([1]weekly_demand!$D:$D,[1]weekly_demand!$A:$A,E$1,[1]weekly_demand!$C:$C,$A103))</f>
        <v/>
      </c>
      <c r="F103" s="39" t="str">
        <f>IF($A103="","",SUMIFS([1]weekly_demand!$D:$D,[1]weekly_demand!$A:$A,F$1,[1]weekly_demand!$C:$C,$A103))</f>
        <v/>
      </c>
      <c r="G103" s="39" t="str">
        <f>IF($A103="","",SUMIFS([1]weekly_demand!$D:$D,[1]weekly_demand!$A:$A,G$1,[1]weekly_demand!$C:$C,$A103))</f>
        <v/>
      </c>
    </row>
    <row r="104" spans="1:7" x14ac:dyDescent="0.3">
      <c r="A104" s="38"/>
      <c r="B104" s="39" t="str">
        <f>IF($A104="","",SUMIFS([1]weekly_demand!$D:$D,[1]weekly_demand!$A:$A,B$1,[1]weekly_demand!$C:$C,$A104))</f>
        <v/>
      </c>
      <c r="C104" s="39" t="str">
        <f>IF($A104="","",SUMIFS([1]weekly_demand!$D:$D,[1]weekly_demand!$A:$A,C$1,[1]weekly_demand!$C:$C,$A104))</f>
        <v/>
      </c>
      <c r="D104" s="39" t="str">
        <f>IF($A104="","",SUMIFS([1]weekly_demand!$D:$D,[1]weekly_demand!$A:$A,D$1,[1]weekly_demand!$C:$C,$A104))</f>
        <v/>
      </c>
      <c r="E104" s="39" t="str">
        <f>IF($A104="","",SUMIFS([1]weekly_demand!$D:$D,[1]weekly_demand!$A:$A,E$1,[1]weekly_demand!$C:$C,$A104))</f>
        <v/>
      </c>
      <c r="F104" s="39" t="str">
        <f>IF($A104="","",SUMIFS([1]weekly_demand!$D:$D,[1]weekly_demand!$A:$A,F$1,[1]weekly_demand!$C:$C,$A104))</f>
        <v/>
      </c>
      <c r="G104" s="39" t="str">
        <f>IF($A104="","",SUMIFS([1]weekly_demand!$D:$D,[1]weekly_demand!$A:$A,G$1,[1]weekly_demand!$C:$C,$A104))</f>
        <v/>
      </c>
    </row>
    <row r="105" spans="1:7" x14ac:dyDescent="0.3">
      <c r="A105" s="38"/>
      <c r="B105" s="39" t="str">
        <f>IF($A105="","",SUMIFS([1]weekly_demand!$D:$D,[1]weekly_demand!$A:$A,B$1,[1]weekly_demand!$C:$C,$A105))</f>
        <v/>
      </c>
      <c r="C105" s="39" t="str">
        <f>IF($A105="","",SUMIFS([1]weekly_demand!$D:$D,[1]weekly_demand!$A:$A,C$1,[1]weekly_demand!$C:$C,$A105))</f>
        <v/>
      </c>
      <c r="D105" s="39" t="str">
        <f>IF($A105="","",SUMIFS([1]weekly_demand!$D:$D,[1]weekly_demand!$A:$A,D$1,[1]weekly_demand!$C:$C,$A105))</f>
        <v/>
      </c>
      <c r="E105" s="39" t="str">
        <f>IF($A105="","",SUMIFS([1]weekly_demand!$D:$D,[1]weekly_demand!$A:$A,E$1,[1]weekly_demand!$C:$C,$A105))</f>
        <v/>
      </c>
      <c r="F105" s="39" t="str">
        <f>IF($A105="","",SUMIFS([1]weekly_demand!$D:$D,[1]weekly_demand!$A:$A,F$1,[1]weekly_demand!$C:$C,$A105))</f>
        <v/>
      </c>
      <c r="G105" s="39" t="str">
        <f>IF($A105="","",SUMIFS([1]weekly_demand!$D:$D,[1]weekly_demand!$A:$A,G$1,[1]weekly_demand!$C:$C,$A105))</f>
        <v/>
      </c>
    </row>
    <row r="106" spans="1:7" x14ac:dyDescent="0.3">
      <c r="A106" s="38"/>
      <c r="B106" s="39" t="str">
        <f>IF($A106="","",SUMIFS([1]weekly_demand!$D:$D,[1]weekly_demand!$A:$A,B$1,[1]weekly_demand!$C:$C,$A106))</f>
        <v/>
      </c>
      <c r="C106" s="39" t="str">
        <f>IF($A106="","",SUMIFS([1]weekly_demand!$D:$D,[1]weekly_demand!$A:$A,C$1,[1]weekly_demand!$C:$C,$A106))</f>
        <v/>
      </c>
      <c r="D106" s="39" t="str">
        <f>IF($A106="","",SUMIFS([1]weekly_demand!$D:$D,[1]weekly_demand!$A:$A,D$1,[1]weekly_demand!$C:$C,$A106))</f>
        <v/>
      </c>
      <c r="E106" s="39" t="str">
        <f>IF($A106="","",SUMIFS([1]weekly_demand!$D:$D,[1]weekly_demand!$A:$A,E$1,[1]weekly_demand!$C:$C,$A106))</f>
        <v/>
      </c>
      <c r="F106" s="39" t="str">
        <f>IF($A106="","",SUMIFS([1]weekly_demand!$D:$D,[1]weekly_demand!$A:$A,F$1,[1]weekly_demand!$C:$C,$A106))</f>
        <v/>
      </c>
      <c r="G106" s="39" t="str">
        <f>IF($A106="","",SUMIFS([1]weekly_demand!$D:$D,[1]weekly_demand!$A:$A,G$1,[1]weekly_demand!$C:$C,$A106))</f>
        <v/>
      </c>
    </row>
    <row r="107" spans="1:7" x14ac:dyDescent="0.3">
      <c r="A107" s="38"/>
      <c r="B107" s="39" t="str">
        <f>IF($A107="","",SUMIFS([1]weekly_demand!$D:$D,[1]weekly_demand!$A:$A,B$1,[1]weekly_demand!$C:$C,$A107))</f>
        <v/>
      </c>
      <c r="C107" s="39" t="str">
        <f>IF($A107="","",SUMIFS([1]weekly_demand!$D:$D,[1]weekly_demand!$A:$A,C$1,[1]weekly_demand!$C:$C,$A107))</f>
        <v/>
      </c>
      <c r="D107" s="39" t="str">
        <f>IF($A107="","",SUMIFS([1]weekly_demand!$D:$D,[1]weekly_demand!$A:$A,D$1,[1]weekly_demand!$C:$C,$A107))</f>
        <v/>
      </c>
      <c r="E107" s="39" t="str">
        <f>IF($A107="","",SUMIFS([1]weekly_demand!$D:$D,[1]weekly_demand!$A:$A,E$1,[1]weekly_demand!$C:$C,$A107))</f>
        <v/>
      </c>
      <c r="F107" s="39" t="str">
        <f>IF($A107="","",SUMIFS([1]weekly_demand!$D:$D,[1]weekly_demand!$A:$A,F$1,[1]weekly_demand!$C:$C,$A107))</f>
        <v/>
      </c>
      <c r="G107" s="39" t="str">
        <f>IF($A107="","",SUMIFS([1]weekly_demand!$D:$D,[1]weekly_demand!$A:$A,G$1,[1]weekly_demand!$C:$C,$A107))</f>
        <v/>
      </c>
    </row>
    <row r="108" spans="1:7" x14ac:dyDescent="0.3">
      <c r="A108" s="38"/>
      <c r="B108" s="39" t="str">
        <f>IF($A108="","",SUMIFS([1]weekly_demand!$D:$D,[1]weekly_demand!$A:$A,B$1,[1]weekly_demand!$C:$C,$A108))</f>
        <v/>
      </c>
      <c r="C108" s="39" t="str">
        <f>IF($A108="","",SUMIFS([1]weekly_demand!$D:$D,[1]weekly_demand!$A:$A,C$1,[1]weekly_demand!$C:$C,$A108))</f>
        <v/>
      </c>
      <c r="D108" s="39" t="str">
        <f>IF($A108="","",SUMIFS([1]weekly_demand!$D:$D,[1]weekly_demand!$A:$A,D$1,[1]weekly_demand!$C:$C,$A108))</f>
        <v/>
      </c>
      <c r="E108" s="39" t="str">
        <f>IF($A108="","",SUMIFS([1]weekly_demand!$D:$D,[1]weekly_demand!$A:$A,E$1,[1]weekly_demand!$C:$C,$A108))</f>
        <v/>
      </c>
      <c r="F108" s="39" t="str">
        <f>IF($A108="","",SUMIFS([1]weekly_demand!$D:$D,[1]weekly_demand!$A:$A,F$1,[1]weekly_demand!$C:$C,$A108))</f>
        <v/>
      </c>
      <c r="G108" s="39" t="str">
        <f>IF($A108="","",SUMIFS([1]weekly_demand!$D:$D,[1]weekly_demand!$A:$A,G$1,[1]weekly_demand!$C:$C,$A108))</f>
        <v/>
      </c>
    </row>
    <row r="109" spans="1:7" x14ac:dyDescent="0.3">
      <c r="A109" s="38"/>
      <c r="B109" s="39" t="str">
        <f>IF($A109="","",SUMIFS([1]weekly_demand!$D:$D,[1]weekly_demand!$A:$A,B$1,[1]weekly_demand!$C:$C,$A109))</f>
        <v/>
      </c>
      <c r="C109" s="39" t="str">
        <f>IF($A109="","",SUMIFS([1]weekly_demand!$D:$D,[1]weekly_demand!$A:$A,C$1,[1]weekly_demand!$C:$C,$A109))</f>
        <v/>
      </c>
      <c r="D109" s="39" t="str">
        <f>IF($A109="","",SUMIFS([1]weekly_demand!$D:$D,[1]weekly_demand!$A:$A,D$1,[1]weekly_demand!$C:$C,$A109))</f>
        <v/>
      </c>
      <c r="E109" s="39" t="str">
        <f>IF($A109="","",SUMIFS([1]weekly_demand!$D:$D,[1]weekly_demand!$A:$A,E$1,[1]weekly_demand!$C:$C,$A109))</f>
        <v/>
      </c>
      <c r="F109" s="39" t="str">
        <f>IF($A109="","",SUMIFS([1]weekly_demand!$D:$D,[1]weekly_demand!$A:$A,F$1,[1]weekly_demand!$C:$C,$A109))</f>
        <v/>
      </c>
      <c r="G109" s="39" t="str">
        <f>IF($A109="","",SUMIFS([1]weekly_demand!$D:$D,[1]weekly_demand!$A:$A,G$1,[1]weekly_demand!$C:$C,$A109))</f>
        <v/>
      </c>
    </row>
    <row r="110" spans="1:7" x14ac:dyDescent="0.3">
      <c r="A110" s="38"/>
      <c r="B110" s="39" t="str">
        <f>IF($A110="","",SUMIFS([1]weekly_demand!$D:$D,[1]weekly_demand!$A:$A,B$1,[1]weekly_demand!$C:$C,$A110))</f>
        <v/>
      </c>
      <c r="C110" s="39" t="str">
        <f>IF($A110="","",SUMIFS([1]weekly_demand!$D:$D,[1]weekly_demand!$A:$A,C$1,[1]weekly_demand!$C:$C,$A110))</f>
        <v/>
      </c>
      <c r="D110" s="39" t="str">
        <f>IF($A110="","",SUMIFS([1]weekly_demand!$D:$D,[1]weekly_demand!$A:$A,D$1,[1]weekly_demand!$C:$C,$A110))</f>
        <v/>
      </c>
      <c r="E110" s="39" t="str">
        <f>IF($A110="","",SUMIFS([1]weekly_demand!$D:$D,[1]weekly_demand!$A:$A,E$1,[1]weekly_demand!$C:$C,$A110))</f>
        <v/>
      </c>
      <c r="F110" s="39" t="str">
        <f>IF($A110="","",SUMIFS([1]weekly_demand!$D:$D,[1]weekly_demand!$A:$A,F$1,[1]weekly_demand!$C:$C,$A110))</f>
        <v/>
      </c>
      <c r="G110" s="39" t="str">
        <f>IF($A110="","",SUMIFS([1]weekly_demand!$D:$D,[1]weekly_demand!$A:$A,G$1,[1]weekly_demand!$C:$C,$A110))</f>
        <v/>
      </c>
    </row>
    <row r="111" spans="1:7" x14ac:dyDescent="0.3">
      <c r="A111" s="38"/>
      <c r="B111" s="39" t="str">
        <f>IF($A111="","",SUMIFS([1]weekly_demand!$D:$D,[1]weekly_demand!$A:$A,B$1,[1]weekly_demand!$C:$C,$A111))</f>
        <v/>
      </c>
      <c r="C111" s="39" t="str">
        <f>IF($A111="","",SUMIFS([1]weekly_demand!$D:$D,[1]weekly_demand!$A:$A,C$1,[1]weekly_demand!$C:$C,$A111))</f>
        <v/>
      </c>
      <c r="D111" s="39" t="str">
        <f>IF($A111="","",SUMIFS([1]weekly_demand!$D:$D,[1]weekly_demand!$A:$A,D$1,[1]weekly_demand!$C:$C,$A111))</f>
        <v/>
      </c>
      <c r="E111" s="39" t="str">
        <f>IF($A111="","",SUMIFS([1]weekly_demand!$D:$D,[1]weekly_demand!$A:$A,E$1,[1]weekly_demand!$C:$C,$A111))</f>
        <v/>
      </c>
      <c r="F111" s="39" t="str">
        <f>IF($A111="","",SUMIFS([1]weekly_demand!$D:$D,[1]weekly_demand!$A:$A,F$1,[1]weekly_demand!$C:$C,$A111))</f>
        <v/>
      </c>
      <c r="G111" s="39" t="str">
        <f>IF($A111="","",SUMIFS([1]weekly_demand!$D:$D,[1]weekly_demand!$A:$A,G$1,[1]weekly_demand!$C:$C,$A111))</f>
        <v/>
      </c>
    </row>
    <row r="112" spans="1:7" x14ac:dyDescent="0.3">
      <c r="A112" s="38"/>
      <c r="B112" s="39" t="str">
        <f>IF($A112="","",SUMIFS([1]weekly_demand!$D:$D,[1]weekly_demand!$A:$A,B$1,[1]weekly_demand!$C:$C,$A112))</f>
        <v/>
      </c>
      <c r="C112" s="39" t="str">
        <f>IF($A112="","",SUMIFS([1]weekly_demand!$D:$D,[1]weekly_demand!$A:$A,C$1,[1]weekly_demand!$C:$C,$A112))</f>
        <v/>
      </c>
      <c r="D112" s="39" t="str">
        <f>IF($A112="","",SUMIFS([1]weekly_demand!$D:$D,[1]weekly_demand!$A:$A,D$1,[1]weekly_demand!$C:$C,$A112))</f>
        <v/>
      </c>
      <c r="E112" s="39" t="str">
        <f>IF($A112="","",SUMIFS([1]weekly_demand!$D:$D,[1]weekly_demand!$A:$A,E$1,[1]weekly_demand!$C:$C,$A112))</f>
        <v/>
      </c>
      <c r="F112" s="39" t="str">
        <f>IF($A112="","",SUMIFS([1]weekly_demand!$D:$D,[1]weekly_demand!$A:$A,F$1,[1]weekly_demand!$C:$C,$A112))</f>
        <v/>
      </c>
      <c r="G112" s="39" t="str">
        <f>IF($A112="","",SUMIFS([1]weekly_demand!$D:$D,[1]weekly_demand!$A:$A,G$1,[1]weekly_demand!$C:$C,$A112))</f>
        <v/>
      </c>
    </row>
    <row r="113" spans="1:7" x14ac:dyDescent="0.3">
      <c r="A113" s="38"/>
      <c r="B113" s="39" t="str">
        <f>IF($A113="","",SUMIFS([1]weekly_demand!$D:$D,[1]weekly_demand!$A:$A,B$1,[1]weekly_demand!$C:$C,$A113))</f>
        <v/>
      </c>
      <c r="C113" s="39" t="str">
        <f>IF($A113="","",SUMIFS([1]weekly_demand!$D:$D,[1]weekly_demand!$A:$A,C$1,[1]weekly_demand!$C:$C,$A113))</f>
        <v/>
      </c>
      <c r="D113" s="39" t="str">
        <f>IF($A113="","",SUMIFS([1]weekly_demand!$D:$D,[1]weekly_demand!$A:$A,D$1,[1]weekly_demand!$C:$C,$A113))</f>
        <v/>
      </c>
      <c r="E113" s="39" t="str">
        <f>IF($A113="","",SUMIFS([1]weekly_demand!$D:$D,[1]weekly_demand!$A:$A,E$1,[1]weekly_demand!$C:$C,$A113))</f>
        <v/>
      </c>
      <c r="F113" s="39" t="str">
        <f>IF($A113="","",SUMIFS([1]weekly_demand!$D:$D,[1]weekly_demand!$A:$A,F$1,[1]weekly_demand!$C:$C,$A113))</f>
        <v/>
      </c>
      <c r="G113" s="39" t="str">
        <f>IF($A113="","",SUMIFS([1]weekly_demand!$D:$D,[1]weekly_demand!$A:$A,G$1,[1]weekly_demand!$C:$C,$A113))</f>
        <v/>
      </c>
    </row>
    <row r="114" spans="1:7" x14ac:dyDescent="0.3">
      <c r="A114" s="38"/>
      <c r="B114" s="39" t="str">
        <f>IF($A114="","",SUMIFS([1]weekly_demand!$D:$D,[1]weekly_demand!$A:$A,B$1,[1]weekly_demand!$C:$C,$A114))</f>
        <v/>
      </c>
      <c r="C114" s="39" t="str">
        <f>IF($A114="","",SUMIFS([1]weekly_demand!$D:$D,[1]weekly_demand!$A:$A,C$1,[1]weekly_demand!$C:$C,$A114))</f>
        <v/>
      </c>
      <c r="D114" s="39" t="str">
        <f>IF($A114="","",SUMIFS([1]weekly_demand!$D:$D,[1]weekly_demand!$A:$A,D$1,[1]weekly_demand!$C:$C,$A114))</f>
        <v/>
      </c>
      <c r="E114" s="39" t="str">
        <f>IF($A114="","",SUMIFS([1]weekly_demand!$D:$D,[1]weekly_demand!$A:$A,E$1,[1]weekly_demand!$C:$C,$A114))</f>
        <v/>
      </c>
      <c r="F114" s="39" t="str">
        <f>IF($A114="","",SUMIFS([1]weekly_demand!$D:$D,[1]weekly_demand!$A:$A,F$1,[1]weekly_demand!$C:$C,$A114))</f>
        <v/>
      </c>
      <c r="G114" s="39" t="str">
        <f>IF($A114="","",SUMIFS([1]weekly_demand!$D:$D,[1]weekly_demand!$A:$A,G$1,[1]weekly_demand!$C:$C,$A114))</f>
        <v/>
      </c>
    </row>
    <row r="115" spans="1:7" x14ac:dyDescent="0.3">
      <c r="A115" s="38"/>
      <c r="B115" s="39" t="str">
        <f>IF($A115="","",SUMIFS([1]weekly_demand!$D:$D,[1]weekly_demand!$A:$A,B$1,[1]weekly_demand!$C:$C,$A115))</f>
        <v/>
      </c>
      <c r="C115" s="39" t="str">
        <f>IF($A115="","",SUMIFS([1]weekly_demand!$D:$D,[1]weekly_demand!$A:$A,C$1,[1]weekly_demand!$C:$C,$A115))</f>
        <v/>
      </c>
      <c r="D115" s="39" t="str">
        <f>IF($A115="","",SUMIFS([1]weekly_demand!$D:$D,[1]weekly_demand!$A:$A,D$1,[1]weekly_demand!$C:$C,$A115))</f>
        <v/>
      </c>
      <c r="E115" s="39" t="str">
        <f>IF($A115="","",SUMIFS([1]weekly_demand!$D:$D,[1]weekly_demand!$A:$A,E$1,[1]weekly_demand!$C:$C,$A115))</f>
        <v/>
      </c>
      <c r="F115" s="39" t="str">
        <f>IF($A115="","",SUMIFS([1]weekly_demand!$D:$D,[1]weekly_demand!$A:$A,F$1,[1]weekly_demand!$C:$C,$A115))</f>
        <v/>
      </c>
      <c r="G115" s="39" t="str">
        <f>IF($A115="","",SUMIFS([1]weekly_demand!$D:$D,[1]weekly_demand!$A:$A,G$1,[1]weekly_demand!$C:$C,$A115))</f>
        <v/>
      </c>
    </row>
    <row r="116" spans="1:7" x14ac:dyDescent="0.3">
      <c r="A116" s="38"/>
      <c r="B116" s="39" t="str">
        <f>IF($A116="","",SUMIFS([1]weekly_demand!$D:$D,[1]weekly_demand!$A:$A,B$1,[1]weekly_demand!$C:$C,$A116))</f>
        <v/>
      </c>
      <c r="C116" s="39" t="str">
        <f>IF($A116="","",SUMIFS([1]weekly_demand!$D:$D,[1]weekly_demand!$A:$A,C$1,[1]weekly_demand!$C:$C,$A116))</f>
        <v/>
      </c>
      <c r="D116" s="39" t="str">
        <f>IF($A116="","",SUMIFS([1]weekly_demand!$D:$D,[1]weekly_demand!$A:$A,D$1,[1]weekly_demand!$C:$C,$A116))</f>
        <v/>
      </c>
      <c r="E116" s="39" t="str">
        <f>IF($A116="","",SUMIFS([1]weekly_demand!$D:$D,[1]weekly_demand!$A:$A,E$1,[1]weekly_demand!$C:$C,$A116))</f>
        <v/>
      </c>
      <c r="F116" s="39" t="str">
        <f>IF($A116="","",SUMIFS([1]weekly_demand!$D:$D,[1]weekly_demand!$A:$A,F$1,[1]weekly_demand!$C:$C,$A116))</f>
        <v/>
      </c>
      <c r="G116" s="39" t="str">
        <f>IF($A116="","",SUMIFS([1]weekly_demand!$D:$D,[1]weekly_demand!$A:$A,G$1,[1]weekly_demand!$C:$C,$A116))</f>
        <v/>
      </c>
    </row>
    <row r="117" spans="1:7" x14ac:dyDescent="0.3">
      <c r="A117" s="38"/>
      <c r="B117" s="39" t="str">
        <f>IF($A117="","",SUMIFS([1]weekly_demand!$D:$D,[1]weekly_demand!$A:$A,B$1,[1]weekly_demand!$C:$C,$A117))</f>
        <v/>
      </c>
      <c r="C117" s="39" t="str">
        <f>IF($A117="","",SUMIFS([1]weekly_demand!$D:$D,[1]weekly_demand!$A:$A,C$1,[1]weekly_demand!$C:$C,$A117))</f>
        <v/>
      </c>
      <c r="D117" s="39" t="str">
        <f>IF($A117="","",SUMIFS([1]weekly_demand!$D:$D,[1]weekly_demand!$A:$A,D$1,[1]weekly_demand!$C:$C,$A117))</f>
        <v/>
      </c>
      <c r="E117" s="39" t="str">
        <f>IF($A117="","",SUMIFS([1]weekly_demand!$D:$D,[1]weekly_demand!$A:$A,E$1,[1]weekly_demand!$C:$C,$A117))</f>
        <v/>
      </c>
      <c r="F117" s="39" t="str">
        <f>IF($A117="","",SUMIFS([1]weekly_demand!$D:$D,[1]weekly_demand!$A:$A,F$1,[1]weekly_demand!$C:$C,$A117))</f>
        <v/>
      </c>
      <c r="G117" s="39" t="str">
        <f>IF($A117="","",SUMIFS([1]weekly_demand!$D:$D,[1]weekly_demand!$A:$A,G$1,[1]weekly_demand!$C:$C,$A117))</f>
        <v/>
      </c>
    </row>
    <row r="118" spans="1:7" x14ac:dyDescent="0.3">
      <c r="A118" s="38"/>
      <c r="B118" s="39" t="str">
        <f>IF($A118="","",SUMIFS([1]weekly_demand!$D:$D,[1]weekly_demand!$A:$A,B$1,[1]weekly_demand!$C:$C,$A118))</f>
        <v/>
      </c>
      <c r="C118" s="39" t="str">
        <f>IF($A118="","",SUMIFS([1]weekly_demand!$D:$D,[1]weekly_demand!$A:$A,C$1,[1]weekly_demand!$C:$C,$A118))</f>
        <v/>
      </c>
      <c r="D118" s="39" t="str">
        <f>IF($A118="","",SUMIFS([1]weekly_demand!$D:$D,[1]weekly_demand!$A:$A,D$1,[1]weekly_demand!$C:$C,$A118))</f>
        <v/>
      </c>
      <c r="E118" s="39" t="str">
        <f>IF($A118="","",SUMIFS([1]weekly_demand!$D:$D,[1]weekly_demand!$A:$A,E$1,[1]weekly_demand!$C:$C,$A118))</f>
        <v/>
      </c>
      <c r="F118" s="39" t="str">
        <f>IF($A118="","",SUMIFS([1]weekly_demand!$D:$D,[1]weekly_demand!$A:$A,F$1,[1]weekly_demand!$C:$C,$A118))</f>
        <v/>
      </c>
      <c r="G118" s="39" t="str">
        <f>IF($A118="","",SUMIFS([1]weekly_demand!$D:$D,[1]weekly_demand!$A:$A,G$1,[1]weekly_demand!$C:$C,$A118))</f>
        <v/>
      </c>
    </row>
    <row r="119" spans="1:7" x14ac:dyDescent="0.3">
      <c r="A119" s="38"/>
      <c r="B119" s="39" t="str">
        <f>IF($A119="","",SUMIFS([1]weekly_demand!$D:$D,[1]weekly_demand!$A:$A,B$1,[1]weekly_demand!$C:$C,$A119))</f>
        <v/>
      </c>
      <c r="C119" s="39" t="str">
        <f>IF($A119="","",SUMIFS([1]weekly_demand!$D:$D,[1]weekly_demand!$A:$A,C$1,[1]weekly_demand!$C:$C,$A119))</f>
        <v/>
      </c>
      <c r="D119" s="39" t="str">
        <f>IF($A119="","",SUMIFS([1]weekly_demand!$D:$D,[1]weekly_demand!$A:$A,D$1,[1]weekly_demand!$C:$C,$A119))</f>
        <v/>
      </c>
      <c r="E119" s="39" t="str">
        <f>IF($A119="","",SUMIFS([1]weekly_demand!$D:$D,[1]weekly_demand!$A:$A,E$1,[1]weekly_demand!$C:$C,$A119))</f>
        <v/>
      </c>
      <c r="F119" s="39" t="str">
        <f>IF($A119="","",SUMIFS([1]weekly_demand!$D:$D,[1]weekly_demand!$A:$A,F$1,[1]weekly_demand!$C:$C,$A119))</f>
        <v/>
      </c>
      <c r="G119" s="39" t="str">
        <f>IF($A119="","",SUMIFS([1]weekly_demand!$D:$D,[1]weekly_demand!$A:$A,G$1,[1]weekly_demand!$C:$C,$A119))</f>
        <v/>
      </c>
    </row>
    <row r="120" spans="1:7" x14ac:dyDescent="0.3">
      <c r="A120" s="38"/>
      <c r="B120" s="39" t="str">
        <f>IF($A120="","",SUMIFS([1]weekly_demand!$D:$D,[1]weekly_demand!$A:$A,B$1,[1]weekly_demand!$C:$C,$A120))</f>
        <v/>
      </c>
      <c r="C120" s="39" t="str">
        <f>IF($A120="","",SUMIFS([1]weekly_demand!$D:$D,[1]weekly_demand!$A:$A,C$1,[1]weekly_demand!$C:$C,$A120))</f>
        <v/>
      </c>
      <c r="D120" s="39" t="str">
        <f>IF($A120="","",SUMIFS([1]weekly_demand!$D:$D,[1]weekly_demand!$A:$A,D$1,[1]weekly_demand!$C:$C,$A120))</f>
        <v/>
      </c>
      <c r="E120" s="39" t="str">
        <f>IF($A120="","",SUMIFS([1]weekly_demand!$D:$D,[1]weekly_demand!$A:$A,E$1,[1]weekly_demand!$C:$C,$A120))</f>
        <v/>
      </c>
      <c r="F120" s="39" t="str">
        <f>IF($A120="","",SUMIFS([1]weekly_demand!$D:$D,[1]weekly_demand!$A:$A,F$1,[1]weekly_demand!$C:$C,$A120))</f>
        <v/>
      </c>
      <c r="G120" s="39" t="str">
        <f>IF($A120="","",SUMIFS([1]weekly_demand!$D:$D,[1]weekly_demand!$A:$A,G$1,[1]weekly_demand!$C:$C,$A120))</f>
        <v/>
      </c>
    </row>
    <row r="121" spans="1:7" x14ac:dyDescent="0.3">
      <c r="A121" s="38"/>
      <c r="B121" s="39" t="str">
        <f>IF($A121="","",SUMIFS([1]weekly_demand!$D:$D,[1]weekly_demand!$A:$A,B$1,[1]weekly_demand!$C:$C,$A121))</f>
        <v/>
      </c>
      <c r="C121" s="39" t="str">
        <f>IF($A121="","",SUMIFS([1]weekly_demand!$D:$D,[1]weekly_demand!$A:$A,C$1,[1]weekly_demand!$C:$C,$A121))</f>
        <v/>
      </c>
      <c r="D121" s="39" t="str">
        <f>IF($A121="","",SUMIFS([1]weekly_demand!$D:$D,[1]weekly_demand!$A:$A,D$1,[1]weekly_demand!$C:$C,$A121))</f>
        <v/>
      </c>
      <c r="E121" s="39" t="str">
        <f>IF($A121="","",SUMIFS([1]weekly_demand!$D:$D,[1]weekly_demand!$A:$A,E$1,[1]weekly_demand!$C:$C,$A121))</f>
        <v/>
      </c>
      <c r="F121" s="39" t="str">
        <f>IF($A121="","",SUMIFS([1]weekly_demand!$D:$D,[1]weekly_demand!$A:$A,F$1,[1]weekly_demand!$C:$C,$A121))</f>
        <v/>
      </c>
      <c r="G121" s="39" t="str">
        <f>IF($A121="","",SUMIFS([1]weekly_demand!$D:$D,[1]weekly_demand!$A:$A,G$1,[1]weekly_demand!$C:$C,$A121))</f>
        <v/>
      </c>
    </row>
    <row r="122" spans="1:7" x14ac:dyDescent="0.3">
      <c r="A122" s="38"/>
      <c r="B122" s="39" t="str">
        <f>IF($A122="","",SUMIFS([1]weekly_demand!$D:$D,[1]weekly_demand!$A:$A,B$1,[1]weekly_demand!$C:$C,$A122))</f>
        <v/>
      </c>
      <c r="C122" s="39" t="str">
        <f>IF($A122="","",SUMIFS([1]weekly_demand!$D:$D,[1]weekly_demand!$A:$A,C$1,[1]weekly_demand!$C:$C,$A122))</f>
        <v/>
      </c>
      <c r="D122" s="39" t="str">
        <f>IF($A122="","",SUMIFS([1]weekly_demand!$D:$D,[1]weekly_demand!$A:$A,D$1,[1]weekly_demand!$C:$C,$A122))</f>
        <v/>
      </c>
      <c r="E122" s="39" t="str">
        <f>IF($A122="","",SUMIFS([1]weekly_demand!$D:$D,[1]weekly_demand!$A:$A,E$1,[1]weekly_demand!$C:$C,$A122))</f>
        <v/>
      </c>
      <c r="F122" s="39" t="str">
        <f>IF($A122="","",SUMIFS([1]weekly_demand!$D:$D,[1]weekly_demand!$A:$A,F$1,[1]weekly_demand!$C:$C,$A122))</f>
        <v/>
      </c>
      <c r="G122" s="39" t="str">
        <f>IF($A122="","",SUMIFS([1]weekly_demand!$D:$D,[1]weekly_demand!$A:$A,G$1,[1]weekly_demand!$C:$C,$A122))</f>
        <v/>
      </c>
    </row>
    <row r="123" spans="1:7" x14ac:dyDescent="0.3">
      <c r="A123" s="38"/>
      <c r="B123" s="39" t="str">
        <f>IF($A123="","",SUMIFS([1]weekly_demand!$D:$D,[1]weekly_demand!$A:$A,B$1,[1]weekly_demand!$C:$C,$A123))</f>
        <v/>
      </c>
      <c r="C123" s="39" t="str">
        <f>IF($A123="","",SUMIFS([1]weekly_demand!$D:$D,[1]weekly_demand!$A:$A,C$1,[1]weekly_demand!$C:$C,$A123))</f>
        <v/>
      </c>
      <c r="D123" s="39" t="str">
        <f>IF($A123="","",SUMIFS([1]weekly_demand!$D:$D,[1]weekly_demand!$A:$A,D$1,[1]weekly_demand!$C:$C,$A123))</f>
        <v/>
      </c>
      <c r="E123" s="39" t="str">
        <f>IF($A123="","",SUMIFS([1]weekly_demand!$D:$D,[1]weekly_demand!$A:$A,E$1,[1]weekly_demand!$C:$C,$A123))</f>
        <v/>
      </c>
      <c r="F123" s="39" t="str">
        <f>IF($A123="","",SUMIFS([1]weekly_demand!$D:$D,[1]weekly_demand!$A:$A,F$1,[1]weekly_demand!$C:$C,$A123))</f>
        <v/>
      </c>
      <c r="G123" s="39" t="str">
        <f>IF($A123="","",SUMIFS([1]weekly_demand!$D:$D,[1]weekly_demand!$A:$A,G$1,[1]weekly_demand!$C:$C,$A123))</f>
        <v/>
      </c>
    </row>
    <row r="124" spans="1:7" x14ac:dyDescent="0.3">
      <c r="A124" s="38"/>
      <c r="B124" s="39" t="str">
        <f>IF($A124="","",SUMIFS([1]weekly_demand!$D:$D,[1]weekly_demand!$A:$A,B$1,[1]weekly_demand!$C:$C,$A124))</f>
        <v/>
      </c>
      <c r="C124" s="39" t="str">
        <f>IF($A124="","",SUMIFS([1]weekly_demand!$D:$D,[1]weekly_demand!$A:$A,C$1,[1]weekly_demand!$C:$C,$A124))</f>
        <v/>
      </c>
      <c r="D124" s="39" t="str">
        <f>IF($A124="","",SUMIFS([1]weekly_demand!$D:$D,[1]weekly_demand!$A:$A,D$1,[1]weekly_demand!$C:$C,$A124))</f>
        <v/>
      </c>
      <c r="E124" s="39" t="str">
        <f>IF($A124="","",SUMIFS([1]weekly_demand!$D:$D,[1]weekly_demand!$A:$A,E$1,[1]weekly_demand!$C:$C,$A124))</f>
        <v/>
      </c>
      <c r="F124" s="39" t="str">
        <f>IF($A124="","",SUMIFS([1]weekly_demand!$D:$D,[1]weekly_demand!$A:$A,F$1,[1]weekly_demand!$C:$C,$A124))</f>
        <v/>
      </c>
      <c r="G124" s="39" t="str">
        <f>IF($A124="","",SUMIFS([1]weekly_demand!$D:$D,[1]weekly_demand!$A:$A,G$1,[1]weekly_demand!$C:$C,$A124))</f>
        <v/>
      </c>
    </row>
    <row r="125" spans="1:7" x14ac:dyDescent="0.3">
      <c r="A125" s="38"/>
      <c r="B125" s="39" t="str">
        <f>IF($A125="","",SUMIFS([1]weekly_demand!$D:$D,[1]weekly_demand!$A:$A,B$1,[1]weekly_demand!$C:$C,$A125))</f>
        <v/>
      </c>
      <c r="C125" s="39" t="str">
        <f>IF($A125="","",SUMIFS([1]weekly_demand!$D:$D,[1]weekly_demand!$A:$A,C$1,[1]weekly_demand!$C:$C,$A125))</f>
        <v/>
      </c>
      <c r="D125" s="39" t="str">
        <f>IF($A125="","",SUMIFS([1]weekly_demand!$D:$D,[1]weekly_demand!$A:$A,D$1,[1]weekly_demand!$C:$C,$A125))</f>
        <v/>
      </c>
      <c r="E125" s="39" t="str">
        <f>IF($A125="","",SUMIFS([1]weekly_demand!$D:$D,[1]weekly_demand!$A:$A,E$1,[1]weekly_demand!$C:$C,$A125))</f>
        <v/>
      </c>
      <c r="F125" s="39" t="str">
        <f>IF($A125="","",SUMIFS([1]weekly_demand!$D:$D,[1]weekly_demand!$A:$A,F$1,[1]weekly_demand!$C:$C,$A125))</f>
        <v/>
      </c>
      <c r="G125" s="39" t="str">
        <f>IF($A125="","",SUMIFS([1]weekly_demand!$D:$D,[1]weekly_demand!$A:$A,G$1,[1]weekly_demand!$C:$C,$A125))</f>
        <v/>
      </c>
    </row>
    <row r="126" spans="1:7" x14ac:dyDescent="0.3">
      <c r="A126" s="38"/>
      <c r="B126" s="39" t="str">
        <f>IF($A126="","",SUMIFS([1]weekly_demand!$D:$D,[1]weekly_demand!$A:$A,B$1,[1]weekly_demand!$C:$C,$A126))</f>
        <v/>
      </c>
      <c r="C126" s="39" t="str">
        <f>IF($A126="","",SUMIFS([1]weekly_demand!$D:$D,[1]weekly_demand!$A:$A,C$1,[1]weekly_demand!$C:$C,$A126))</f>
        <v/>
      </c>
      <c r="D126" s="39" t="str">
        <f>IF($A126="","",SUMIFS([1]weekly_demand!$D:$D,[1]weekly_demand!$A:$A,D$1,[1]weekly_demand!$C:$C,$A126))</f>
        <v/>
      </c>
      <c r="E126" s="39" t="str">
        <f>IF($A126="","",SUMIFS([1]weekly_demand!$D:$D,[1]weekly_demand!$A:$A,E$1,[1]weekly_demand!$C:$C,$A126))</f>
        <v/>
      </c>
      <c r="F126" s="39" t="str">
        <f>IF($A126="","",SUMIFS([1]weekly_demand!$D:$D,[1]weekly_demand!$A:$A,F$1,[1]weekly_demand!$C:$C,$A126))</f>
        <v/>
      </c>
      <c r="G126" s="39" t="str">
        <f>IF($A126="","",SUMIFS([1]weekly_demand!$D:$D,[1]weekly_demand!$A:$A,G$1,[1]weekly_demand!$C:$C,$A126))</f>
        <v/>
      </c>
    </row>
    <row r="127" spans="1:7" x14ac:dyDescent="0.3">
      <c r="A127" s="38"/>
      <c r="B127" s="39" t="str">
        <f>IF($A127="","",SUMIFS([1]weekly_demand!$D:$D,[1]weekly_demand!$A:$A,B$1,[1]weekly_demand!$C:$C,$A127))</f>
        <v/>
      </c>
      <c r="C127" s="39" t="str">
        <f>IF($A127="","",SUMIFS([1]weekly_demand!$D:$D,[1]weekly_demand!$A:$A,C$1,[1]weekly_demand!$C:$C,$A127))</f>
        <v/>
      </c>
      <c r="D127" s="39" t="str">
        <f>IF($A127="","",SUMIFS([1]weekly_demand!$D:$D,[1]weekly_demand!$A:$A,D$1,[1]weekly_demand!$C:$C,$A127))</f>
        <v/>
      </c>
      <c r="E127" s="39" t="str">
        <f>IF($A127="","",SUMIFS([1]weekly_demand!$D:$D,[1]weekly_demand!$A:$A,E$1,[1]weekly_demand!$C:$C,$A127))</f>
        <v/>
      </c>
      <c r="F127" s="39" t="str">
        <f>IF($A127="","",SUMIFS([1]weekly_demand!$D:$D,[1]weekly_demand!$A:$A,F$1,[1]weekly_demand!$C:$C,$A127))</f>
        <v/>
      </c>
      <c r="G127" s="39" t="str">
        <f>IF($A127="","",SUMIFS([1]weekly_demand!$D:$D,[1]weekly_demand!$A:$A,G$1,[1]weekly_demand!$C:$C,$A127))</f>
        <v/>
      </c>
    </row>
    <row r="128" spans="1:7" x14ac:dyDescent="0.3">
      <c r="A128" s="38"/>
      <c r="B128" s="39" t="str">
        <f>IF($A128="","",SUMIFS([1]weekly_demand!$D:$D,[1]weekly_demand!$A:$A,B$1,[1]weekly_demand!$C:$C,$A128))</f>
        <v/>
      </c>
      <c r="C128" s="39" t="str">
        <f>IF($A128="","",SUMIFS([1]weekly_demand!$D:$D,[1]weekly_demand!$A:$A,C$1,[1]weekly_demand!$C:$C,$A128))</f>
        <v/>
      </c>
      <c r="D128" s="39" t="str">
        <f>IF($A128="","",SUMIFS([1]weekly_demand!$D:$D,[1]weekly_demand!$A:$A,D$1,[1]weekly_demand!$C:$C,$A128))</f>
        <v/>
      </c>
      <c r="E128" s="39" t="str">
        <f>IF($A128="","",SUMIFS([1]weekly_demand!$D:$D,[1]weekly_demand!$A:$A,E$1,[1]weekly_demand!$C:$C,$A128))</f>
        <v/>
      </c>
      <c r="F128" s="39" t="str">
        <f>IF($A128="","",SUMIFS([1]weekly_demand!$D:$D,[1]weekly_demand!$A:$A,F$1,[1]weekly_demand!$C:$C,$A128))</f>
        <v/>
      </c>
      <c r="G128" s="39" t="str">
        <f>IF($A128="","",SUMIFS([1]weekly_demand!$D:$D,[1]weekly_demand!$A:$A,G$1,[1]weekly_demand!$C:$C,$A128))</f>
        <v/>
      </c>
    </row>
    <row r="129" spans="1:7" x14ac:dyDescent="0.3">
      <c r="A129" s="38"/>
      <c r="B129" s="39" t="str">
        <f>IF($A129="","",SUMIFS([1]weekly_demand!$D:$D,[1]weekly_demand!$A:$A,B$1,[1]weekly_demand!$C:$C,$A129))</f>
        <v/>
      </c>
      <c r="C129" s="39" t="str">
        <f>IF($A129="","",SUMIFS([1]weekly_demand!$D:$D,[1]weekly_demand!$A:$A,C$1,[1]weekly_demand!$C:$C,$A129))</f>
        <v/>
      </c>
      <c r="D129" s="39" t="str">
        <f>IF($A129="","",SUMIFS([1]weekly_demand!$D:$D,[1]weekly_demand!$A:$A,D$1,[1]weekly_demand!$C:$C,$A129))</f>
        <v/>
      </c>
      <c r="E129" s="39" t="str">
        <f>IF($A129="","",SUMIFS([1]weekly_demand!$D:$D,[1]weekly_demand!$A:$A,E$1,[1]weekly_demand!$C:$C,$A129))</f>
        <v/>
      </c>
      <c r="F129" s="39" t="str">
        <f>IF($A129="","",SUMIFS([1]weekly_demand!$D:$D,[1]weekly_demand!$A:$A,F$1,[1]weekly_demand!$C:$C,$A129))</f>
        <v/>
      </c>
      <c r="G129" s="39" t="str">
        <f>IF($A129="","",SUMIFS([1]weekly_demand!$D:$D,[1]weekly_demand!$A:$A,G$1,[1]weekly_demand!$C:$C,$A129))</f>
        <v/>
      </c>
    </row>
    <row r="130" spans="1:7" x14ac:dyDescent="0.3">
      <c r="A130" s="38"/>
      <c r="B130" s="39" t="str">
        <f>IF($A130="","",SUMIFS([1]weekly_demand!$D:$D,[1]weekly_demand!$A:$A,B$1,[1]weekly_demand!$C:$C,$A130))</f>
        <v/>
      </c>
      <c r="C130" s="39" t="str">
        <f>IF($A130="","",SUMIFS([1]weekly_demand!$D:$D,[1]weekly_demand!$A:$A,C$1,[1]weekly_demand!$C:$C,$A130))</f>
        <v/>
      </c>
      <c r="D130" s="39" t="str">
        <f>IF($A130="","",SUMIFS([1]weekly_demand!$D:$D,[1]weekly_demand!$A:$A,D$1,[1]weekly_demand!$C:$C,$A130))</f>
        <v/>
      </c>
      <c r="E130" s="39" t="str">
        <f>IF($A130="","",SUMIFS([1]weekly_demand!$D:$D,[1]weekly_demand!$A:$A,E$1,[1]weekly_demand!$C:$C,$A130))</f>
        <v/>
      </c>
      <c r="F130" s="39" t="str">
        <f>IF($A130="","",SUMIFS([1]weekly_demand!$D:$D,[1]weekly_demand!$A:$A,F$1,[1]weekly_demand!$C:$C,$A130))</f>
        <v/>
      </c>
      <c r="G130" s="39" t="str">
        <f>IF($A130="","",SUMIFS([1]weekly_demand!$D:$D,[1]weekly_demand!$A:$A,G$1,[1]weekly_demand!$C:$C,$A130))</f>
        <v/>
      </c>
    </row>
    <row r="131" spans="1:7" x14ac:dyDescent="0.3">
      <c r="A131" s="38"/>
      <c r="B131" s="39" t="str">
        <f>IF($A131="","",SUMIFS([1]weekly_demand!$D:$D,[1]weekly_demand!$A:$A,B$1,[1]weekly_demand!$C:$C,$A131))</f>
        <v/>
      </c>
      <c r="C131" s="39" t="str">
        <f>IF($A131="","",SUMIFS([1]weekly_demand!$D:$D,[1]weekly_demand!$A:$A,C$1,[1]weekly_demand!$C:$C,$A131))</f>
        <v/>
      </c>
      <c r="D131" s="39" t="str">
        <f>IF($A131="","",SUMIFS([1]weekly_demand!$D:$D,[1]weekly_demand!$A:$A,D$1,[1]weekly_demand!$C:$C,$A131))</f>
        <v/>
      </c>
      <c r="E131" s="39" t="str">
        <f>IF($A131="","",SUMIFS([1]weekly_demand!$D:$D,[1]weekly_demand!$A:$A,E$1,[1]weekly_demand!$C:$C,$A131))</f>
        <v/>
      </c>
      <c r="F131" s="39" t="str">
        <f>IF($A131="","",SUMIFS([1]weekly_demand!$D:$D,[1]weekly_demand!$A:$A,F$1,[1]weekly_demand!$C:$C,$A131))</f>
        <v/>
      </c>
      <c r="G131" s="39" t="str">
        <f>IF($A131="","",SUMIFS([1]weekly_demand!$D:$D,[1]weekly_demand!$A:$A,G$1,[1]weekly_demand!$C:$C,$A131))</f>
        <v/>
      </c>
    </row>
    <row r="132" spans="1:7" x14ac:dyDescent="0.3">
      <c r="A132" s="38"/>
      <c r="B132" s="39" t="str">
        <f>IF($A132="","",SUMIFS([1]weekly_demand!$D:$D,[1]weekly_demand!$A:$A,B$1,[1]weekly_demand!$C:$C,$A132))</f>
        <v/>
      </c>
      <c r="C132" s="39" t="str">
        <f>IF($A132="","",SUMIFS([1]weekly_demand!$D:$D,[1]weekly_demand!$A:$A,C$1,[1]weekly_demand!$C:$C,$A132))</f>
        <v/>
      </c>
      <c r="D132" s="39" t="str">
        <f>IF($A132="","",SUMIFS([1]weekly_demand!$D:$D,[1]weekly_demand!$A:$A,D$1,[1]weekly_demand!$C:$C,$A132))</f>
        <v/>
      </c>
      <c r="E132" s="39" t="str">
        <f>IF($A132="","",SUMIFS([1]weekly_demand!$D:$D,[1]weekly_demand!$A:$A,E$1,[1]weekly_demand!$C:$C,$A132))</f>
        <v/>
      </c>
      <c r="F132" s="39" t="str">
        <f>IF($A132="","",SUMIFS([1]weekly_demand!$D:$D,[1]weekly_demand!$A:$A,F$1,[1]weekly_demand!$C:$C,$A132))</f>
        <v/>
      </c>
      <c r="G132" s="39" t="str">
        <f>IF($A132="","",SUMIFS([1]weekly_demand!$D:$D,[1]weekly_demand!$A:$A,G$1,[1]weekly_demand!$C:$C,$A132))</f>
        <v/>
      </c>
    </row>
    <row r="133" spans="1:7" x14ac:dyDescent="0.3">
      <c r="A133" s="38"/>
      <c r="B133" s="39" t="str">
        <f>IF($A133="","",SUMIFS([1]weekly_demand!$D:$D,[1]weekly_demand!$A:$A,B$1,[1]weekly_demand!$C:$C,$A133))</f>
        <v/>
      </c>
      <c r="C133" s="39" t="str">
        <f>IF($A133="","",SUMIFS([1]weekly_demand!$D:$D,[1]weekly_demand!$A:$A,C$1,[1]weekly_demand!$C:$C,$A133))</f>
        <v/>
      </c>
      <c r="D133" s="39" t="str">
        <f>IF($A133="","",SUMIFS([1]weekly_demand!$D:$D,[1]weekly_demand!$A:$A,D$1,[1]weekly_demand!$C:$C,$A133))</f>
        <v/>
      </c>
      <c r="E133" s="39" t="str">
        <f>IF($A133="","",SUMIFS([1]weekly_demand!$D:$D,[1]weekly_demand!$A:$A,E$1,[1]weekly_demand!$C:$C,$A133))</f>
        <v/>
      </c>
      <c r="F133" s="39" t="str">
        <f>IF($A133="","",SUMIFS([1]weekly_demand!$D:$D,[1]weekly_demand!$A:$A,F$1,[1]weekly_demand!$C:$C,$A133))</f>
        <v/>
      </c>
      <c r="G133" s="39" t="str">
        <f>IF($A133="","",SUMIFS([1]weekly_demand!$D:$D,[1]weekly_demand!$A:$A,G$1,[1]weekly_demand!$C:$C,$A133))</f>
        <v/>
      </c>
    </row>
    <row r="134" spans="1:7" x14ac:dyDescent="0.3">
      <c r="A134" s="38"/>
      <c r="B134" s="39" t="str">
        <f>IF($A134="","",SUMIFS([1]weekly_demand!$D:$D,[1]weekly_demand!$A:$A,B$1,[1]weekly_demand!$C:$C,$A134))</f>
        <v/>
      </c>
      <c r="C134" s="39" t="str">
        <f>IF($A134="","",SUMIFS([1]weekly_demand!$D:$D,[1]weekly_demand!$A:$A,C$1,[1]weekly_demand!$C:$C,$A134))</f>
        <v/>
      </c>
      <c r="D134" s="39" t="str">
        <f>IF($A134="","",SUMIFS([1]weekly_demand!$D:$D,[1]weekly_demand!$A:$A,D$1,[1]weekly_demand!$C:$C,$A134))</f>
        <v/>
      </c>
      <c r="E134" s="39" t="str">
        <f>IF($A134="","",SUMIFS([1]weekly_demand!$D:$D,[1]weekly_demand!$A:$A,E$1,[1]weekly_demand!$C:$C,$A134))</f>
        <v/>
      </c>
      <c r="F134" s="39" t="str">
        <f>IF($A134="","",SUMIFS([1]weekly_demand!$D:$D,[1]weekly_demand!$A:$A,F$1,[1]weekly_demand!$C:$C,$A134))</f>
        <v/>
      </c>
      <c r="G134" s="39" t="str">
        <f>IF($A134="","",SUMIFS([1]weekly_demand!$D:$D,[1]weekly_demand!$A:$A,G$1,[1]weekly_demand!$C:$C,$A134))</f>
        <v/>
      </c>
    </row>
    <row r="135" spans="1:7" x14ac:dyDescent="0.3">
      <c r="A135" s="38"/>
      <c r="B135" s="39" t="str">
        <f>IF($A135="","",SUMIFS([1]weekly_demand!$D:$D,[1]weekly_demand!$A:$A,B$1,[1]weekly_demand!$C:$C,$A135))</f>
        <v/>
      </c>
      <c r="C135" s="39" t="str">
        <f>IF($A135="","",SUMIFS([1]weekly_demand!$D:$D,[1]weekly_demand!$A:$A,C$1,[1]weekly_demand!$C:$C,$A135))</f>
        <v/>
      </c>
      <c r="D135" s="39" t="str">
        <f>IF($A135="","",SUMIFS([1]weekly_demand!$D:$D,[1]weekly_demand!$A:$A,D$1,[1]weekly_demand!$C:$C,$A135))</f>
        <v/>
      </c>
      <c r="E135" s="39" t="str">
        <f>IF($A135="","",SUMIFS([1]weekly_demand!$D:$D,[1]weekly_demand!$A:$A,E$1,[1]weekly_demand!$C:$C,$A135))</f>
        <v/>
      </c>
      <c r="F135" s="39" t="str">
        <f>IF($A135="","",SUMIFS([1]weekly_demand!$D:$D,[1]weekly_demand!$A:$A,F$1,[1]weekly_demand!$C:$C,$A135))</f>
        <v/>
      </c>
      <c r="G135" s="39" t="str">
        <f>IF($A135="","",SUMIFS([1]weekly_demand!$D:$D,[1]weekly_demand!$A:$A,G$1,[1]weekly_demand!$C:$C,$A135))</f>
        <v/>
      </c>
    </row>
    <row r="136" spans="1:7" x14ac:dyDescent="0.3">
      <c r="A136" s="38"/>
      <c r="B136" s="39" t="str">
        <f>IF($A136="","",SUMIFS([1]weekly_demand!$D:$D,[1]weekly_demand!$A:$A,B$1,[1]weekly_demand!$C:$C,$A136))</f>
        <v/>
      </c>
      <c r="C136" s="39" t="str">
        <f>IF($A136="","",SUMIFS([1]weekly_demand!$D:$D,[1]weekly_demand!$A:$A,C$1,[1]weekly_demand!$C:$C,$A136))</f>
        <v/>
      </c>
      <c r="D136" s="39" t="str">
        <f>IF($A136="","",SUMIFS([1]weekly_demand!$D:$D,[1]weekly_demand!$A:$A,D$1,[1]weekly_demand!$C:$C,$A136))</f>
        <v/>
      </c>
      <c r="E136" s="39" t="str">
        <f>IF($A136="","",SUMIFS([1]weekly_demand!$D:$D,[1]weekly_demand!$A:$A,E$1,[1]weekly_demand!$C:$C,$A136))</f>
        <v/>
      </c>
      <c r="F136" s="39" t="str">
        <f>IF($A136="","",SUMIFS([1]weekly_demand!$D:$D,[1]weekly_demand!$A:$A,F$1,[1]weekly_demand!$C:$C,$A136))</f>
        <v/>
      </c>
      <c r="G136" s="39" t="str">
        <f>IF($A136="","",SUMIFS([1]weekly_demand!$D:$D,[1]weekly_demand!$A:$A,G$1,[1]weekly_demand!$C:$C,$A136))</f>
        <v/>
      </c>
    </row>
    <row r="137" spans="1:7" x14ac:dyDescent="0.3">
      <c r="A137" s="38"/>
      <c r="B137" s="39" t="str">
        <f>IF($A137="","",SUMIFS([1]weekly_demand!$D:$D,[1]weekly_demand!$A:$A,B$1,[1]weekly_demand!$C:$C,$A137))</f>
        <v/>
      </c>
      <c r="C137" s="39" t="str">
        <f>IF($A137="","",SUMIFS([1]weekly_demand!$D:$D,[1]weekly_demand!$A:$A,C$1,[1]weekly_demand!$C:$C,$A137))</f>
        <v/>
      </c>
      <c r="D137" s="39" t="str">
        <f>IF($A137="","",SUMIFS([1]weekly_demand!$D:$D,[1]weekly_demand!$A:$A,D$1,[1]weekly_demand!$C:$C,$A137))</f>
        <v/>
      </c>
      <c r="E137" s="39" t="str">
        <f>IF($A137="","",SUMIFS([1]weekly_demand!$D:$D,[1]weekly_demand!$A:$A,E$1,[1]weekly_demand!$C:$C,$A137))</f>
        <v/>
      </c>
      <c r="F137" s="39" t="str">
        <f>IF($A137="","",SUMIFS([1]weekly_demand!$D:$D,[1]weekly_demand!$A:$A,F$1,[1]weekly_demand!$C:$C,$A137))</f>
        <v/>
      </c>
      <c r="G137" s="39" t="str">
        <f>IF($A137="","",SUMIFS([1]weekly_demand!$D:$D,[1]weekly_demand!$A:$A,G$1,[1]weekly_demand!$C:$C,$A137))</f>
        <v/>
      </c>
    </row>
    <row r="138" spans="1:7" x14ac:dyDescent="0.3">
      <c r="A138" s="38"/>
      <c r="B138" s="39" t="str">
        <f>IF($A138="","",SUMIFS([1]weekly_demand!$D:$D,[1]weekly_demand!$A:$A,B$1,[1]weekly_demand!$C:$C,$A138))</f>
        <v/>
      </c>
      <c r="C138" s="39" t="str">
        <f>IF($A138="","",SUMIFS([1]weekly_demand!$D:$D,[1]weekly_demand!$A:$A,C$1,[1]weekly_demand!$C:$C,$A138))</f>
        <v/>
      </c>
      <c r="D138" s="39" t="str">
        <f>IF($A138="","",SUMIFS([1]weekly_demand!$D:$D,[1]weekly_demand!$A:$A,D$1,[1]weekly_demand!$C:$C,$A138))</f>
        <v/>
      </c>
      <c r="E138" s="39" t="str">
        <f>IF($A138="","",SUMIFS([1]weekly_demand!$D:$D,[1]weekly_demand!$A:$A,E$1,[1]weekly_demand!$C:$C,$A138))</f>
        <v/>
      </c>
      <c r="F138" s="39" t="str">
        <f>IF($A138="","",SUMIFS([1]weekly_demand!$D:$D,[1]weekly_demand!$A:$A,F$1,[1]weekly_demand!$C:$C,$A138))</f>
        <v/>
      </c>
      <c r="G138" s="39" t="str">
        <f>IF($A138="","",SUMIFS([1]weekly_demand!$D:$D,[1]weekly_demand!$A:$A,G$1,[1]weekly_demand!$C:$C,$A138))</f>
        <v/>
      </c>
    </row>
    <row r="139" spans="1:7" x14ac:dyDescent="0.3">
      <c r="A139" s="38"/>
      <c r="B139" s="39" t="str">
        <f>IF($A139="","",SUMIFS([1]weekly_demand!$D:$D,[1]weekly_demand!$A:$A,B$1,[1]weekly_demand!$C:$C,$A139))</f>
        <v/>
      </c>
      <c r="C139" s="39" t="str">
        <f>IF($A139="","",SUMIFS([1]weekly_demand!$D:$D,[1]weekly_demand!$A:$A,C$1,[1]weekly_demand!$C:$C,$A139))</f>
        <v/>
      </c>
      <c r="D139" s="39" t="str">
        <f>IF($A139="","",SUMIFS([1]weekly_demand!$D:$D,[1]weekly_demand!$A:$A,D$1,[1]weekly_demand!$C:$C,$A139))</f>
        <v/>
      </c>
      <c r="E139" s="39" t="str">
        <f>IF($A139="","",SUMIFS([1]weekly_demand!$D:$D,[1]weekly_demand!$A:$A,E$1,[1]weekly_demand!$C:$C,$A139))</f>
        <v/>
      </c>
      <c r="F139" s="39" t="str">
        <f>IF($A139="","",SUMIFS([1]weekly_demand!$D:$D,[1]weekly_demand!$A:$A,F$1,[1]weekly_demand!$C:$C,$A139))</f>
        <v/>
      </c>
      <c r="G139" s="39" t="str">
        <f>IF($A139="","",SUMIFS([1]weekly_demand!$D:$D,[1]weekly_demand!$A:$A,G$1,[1]weekly_demand!$C:$C,$A139))</f>
        <v/>
      </c>
    </row>
    <row r="140" spans="1:7" x14ac:dyDescent="0.3">
      <c r="A140" s="38"/>
      <c r="B140" s="39" t="str">
        <f>IF($A140="","",SUMIFS([1]weekly_demand!$D:$D,[1]weekly_demand!$A:$A,B$1,[1]weekly_demand!$C:$C,$A140))</f>
        <v/>
      </c>
      <c r="C140" s="39" t="str">
        <f>IF($A140="","",SUMIFS([1]weekly_demand!$D:$D,[1]weekly_demand!$A:$A,C$1,[1]weekly_demand!$C:$C,$A140))</f>
        <v/>
      </c>
      <c r="D140" s="39" t="str">
        <f>IF($A140="","",SUMIFS([1]weekly_demand!$D:$D,[1]weekly_demand!$A:$A,D$1,[1]weekly_demand!$C:$C,$A140))</f>
        <v/>
      </c>
      <c r="E140" s="39" t="str">
        <f>IF($A140="","",SUMIFS([1]weekly_demand!$D:$D,[1]weekly_demand!$A:$A,E$1,[1]weekly_demand!$C:$C,$A140))</f>
        <v/>
      </c>
      <c r="F140" s="39" t="str">
        <f>IF($A140="","",SUMIFS([1]weekly_demand!$D:$D,[1]weekly_demand!$A:$A,F$1,[1]weekly_demand!$C:$C,$A140))</f>
        <v/>
      </c>
      <c r="G140" s="39" t="str">
        <f>IF($A140="","",SUMIFS([1]weekly_demand!$D:$D,[1]weekly_demand!$A:$A,G$1,[1]weekly_demand!$C:$C,$A140))</f>
        <v/>
      </c>
    </row>
    <row r="141" spans="1:7" x14ac:dyDescent="0.3">
      <c r="A141" s="38"/>
      <c r="B141" s="39" t="str">
        <f>IF($A141="","",SUMIFS([1]weekly_demand!$D:$D,[1]weekly_demand!$A:$A,B$1,[1]weekly_demand!$C:$C,$A141))</f>
        <v/>
      </c>
      <c r="C141" s="39" t="str">
        <f>IF($A141="","",SUMIFS([1]weekly_demand!$D:$D,[1]weekly_demand!$A:$A,C$1,[1]weekly_demand!$C:$C,$A141))</f>
        <v/>
      </c>
      <c r="D141" s="39" t="str">
        <f>IF($A141="","",SUMIFS([1]weekly_demand!$D:$D,[1]weekly_demand!$A:$A,D$1,[1]weekly_demand!$C:$C,$A141))</f>
        <v/>
      </c>
      <c r="E141" s="39" t="str">
        <f>IF($A141="","",SUMIFS([1]weekly_demand!$D:$D,[1]weekly_demand!$A:$A,E$1,[1]weekly_demand!$C:$C,$A141))</f>
        <v/>
      </c>
      <c r="F141" s="39" t="str">
        <f>IF($A141="","",SUMIFS([1]weekly_demand!$D:$D,[1]weekly_demand!$A:$A,F$1,[1]weekly_demand!$C:$C,$A141))</f>
        <v/>
      </c>
      <c r="G141" s="39" t="str">
        <f>IF($A141="","",SUMIFS([1]weekly_demand!$D:$D,[1]weekly_demand!$A:$A,G$1,[1]weekly_demand!$C:$C,$A141))</f>
        <v/>
      </c>
    </row>
    <row r="142" spans="1:7" x14ac:dyDescent="0.3">
      <c r="A142" s="38"/>
      <c r="B142" s="39" t="str">
        <f>IF($A142="","",SUMIFS([1]weekly_demand!$D:$D,[1]weekly_demand!$A:$A,B$1,[1]weekly_demand!$C:$C,$A142))</f>
        <v/>
      </c>
      <c r="C142" s="39" t="str">
        <f>IF($A142="","",SUMIFS([1]weekly_demand!$D:$D,[1]weekly_demand!$A:$A,C$1,[1]weekly_demand!$C:$C,$A142))</f>
        <v/>
      </c>
      <c r="D142" s="39" t="str">
        <f>IF($A142="","",SUMIFS([1]weekly_demand!$D:$D,[1]weekly_demand!$A:$A,D$1,[1]weekly_demand!$C:$C,$A142))</f>
        <v/>
      </c>
      <c r="E142" s="39" t="str">
        <f>IF($A142="","",SUMIFS([1]weekly_demand!$D:$D,[1]weekly_demand!$A:$A,E$1,[1]weekly_demand!$C:$C,$A142))</f>
        <v/>
      </c>
      <c r="F142" s="39" t="str">
        <f>IF($A142="","",SUMIFS([1]weekly_demand!$D:$D,[1]weekly_demand!$A:$A,F$1,[1]weekly_demand!$C:$C,$A142))</f>
        <v/>
      </c>
      <c r="G142" s="39" t="str">
        <f>IF($A142="","",SUMIFS([1]weekly_demand!$D:$D,[1]weekly_demand!$A:$A,G$1,[1]weekly_demand!$C:$C,$A142))</f>
        <v/>
      </c>
    </row>
    <row r="143" spans="1:7" x14ac:dyDescent="0.3">
      <c r="A143" s="38"/>
      <c r="B143" s="39" t="str">
        <f>IF($A143="","",SUMIFS([1]weekly_demand!$D:$D,[1]weekly_demand!$A:$A,B$1,[1]weekly_demand!$C:$C,$A143))</f>
        <v/>
      </c>
      <c r="C143" s="39" t="str">
        <f>IF($A143="","",SUMIFS([1]weekly_demand!$D:$D,[1]weekly_demand!$A:$A,C$1,[1]weekly_demand!$C:$C,$A143))</f>
        <v/>
      </c>
      <c r="D143" s="39" t="str">
        <f>IF($A143="","",SUMIFS([1]weekly_demand!$D:$D,[1]weekly_demand!$A:$A,D$1,[1]weekly_demand!$C:$C,$A143))</f>
        <v/>
      </c>
      <c r="E143" s="39" t="str">
        <f>IF($A143="","",SUMIFS([1]weekly_demand!$D:$D,[1]weekly_demand!$A:$A,E$1,[1]weekly_demand!$C:$C,$A143))</f>
        <v/>
      </c>
      <c r="F143" s="39" t="str">
        <f>IF($A143="","",SUMIFS([1]weekly_demand!$D:$D,[1]weekly_demand!$A:$A,F$1,[1]weekly_demand!$C:$C,$A143))</f>
        <v/>
      </c>
      <c r="G143" s="39" t="str">
        <f>IF($A143="","",SUMIFS([1]weekly_demand!$D:$D,[1]weekly_demand!$A:$A,G$1,[1]weekly_demand!$C:$C,$A143))</f>
        <v/>
      </c>
    </row>
    <row r="144" spans="1:7" x14ac:dyDescent="0.3">
      <c r="A144" s="38"/>
      <c r="B144" s="39" t="str">
        <f>IF($A144="","",SUMIFS([1]weekly_demand!$D:$D,[1]weekly_demand!$A:$A,B$1,[1]weekly_demand!$C:$C,$A144))</f>
        <v/>
      </c>
      <c r="C144" s="39" t="str">
        <f>IF($A144="","",SUMIFS([1]weekly_demand!$D:$D,[1]weekly_demand!$A:$A,C$1,[1]weekly_demand!$C:$C,$A144))</f>
        <v/>
      </c>
      <c r="D144" s="39" t="str">
        <f>IF($A144="","",SUMIFS([1]weekly_demand!$D:$D,[1]weekly_demand!$A:$A,D$1,[1]weekly_demand!$C:$C,$A144))</f>
        <v/>
      </c>
      <c r="E144" s="39" t="str">
        <f>IF($A144="","",SUMIFS([1]weekly_demand!$D:$D,[1]weekly_demand!$A:$A,E$1,[1]weekly_demand!$C:$C,$A144))</f>
        <v/>
      </c>
      <c r="F144" s="39" t="str">
        <f>IF($A144="","",SUMIFS([1]weekly_demand!$D:$D,[1]weekly_demand!$A:$A,F$1,[1]weekly_demand!$C:$C,$A144))</f>
        <v/>
      </c>
      <c r="G144" s="39" t="str">
        <f>IF($A144="","",SUMIFS([1]weekly_demand!$D:$D,[1]weekly_demand!$A:$A,G$1,[1]weekly_demand!$C:$C,$A144))</f>
        <v/>
      </c>
    </row>
    <row r="145" spans="1:7" x14ac:dyDescent="0.3">
      <c r="A145" s="38"/>
      <c r="B145" s="39" t="str">
        <f>IF($A145="","",SUMIFS([1]weekly_demand!$D:$D,[1]weekly_demand!$A:$A,B$1,[1]weekly_demand!$C:$C,$A145))</f>
        <v/>
      </c>
      <c r="C145" s="39" t="str">
        <f>IF($A145="","",SUMIFS([1]weekly_demand!$D:$D,[1]weekly_demand!$A:$A,C$1,[1]weekly_demand!$C:$C,$A145))</f>
        <v/>
      </c>
      <c r="D145" s="39" t="str">
        <f>IF($A145="","",SUMIFS([1]weekly_demand!$D:$D,[1]weekly_demand!$A:$A,D$1,[1]weekly_demand!$C:$C,$A145))</f>
        <v/>
      </c>
      <c r="E145" s="39" t="str">
        <f>IF($A145="","",SUMIFS([1]weekly_demand!$D:$D,[1]weekly_demand!$A:$A,E$1,[1]weekly_demand!$C:$C,$A145))</f>
        <v/>
      </c>
      <c r="F145" s="39" t="str">
        <f>IF($A145="","",SUMIFS([1]weekly_demand!$D:$D,[1]weekly_demand!$A:$A,F$1,[1]weekly_demand!$C:$C,$A145))</f>
        <v/>
      </c>
      <c r="G145" s="39" t="str">
        <f>IF($A145="","",SUMIFS([1]weekly_demand!$D:$D,[1]weekly_demand!$A:$A,G$1,[1]weekly_demand!$C:$C,$A145))</f>
        <v/>
      </c>
    </row>
    <row r="146" spans="1:7" x14ac:dyDescent="0.3">
      <c r="A146" s="38"/>
      <c r="B146" s="39" t="str">
        <f>IF($A146="","",SUMIFS([1]weekly_demand!$D:$D,[1]weekly_demand!$A:$A,B$1,[1]weekly_demand!$C:$C,$A146))</f>
        <v/>
      </c>
      <c r="C146" s="39" t="str">
        <f>IF($A146="","",SUMIFS([1]weekly_demand!$D:$D,[1]weekly_demand!$A:$A,C$1,[1]weekly_demand!$C:$C,$A146))</f>
        <v/>
      </c>
      <c r="D146" s="39" t="str">
        <f>IF($A146="","",SUMIFS([1]weekly_demand!$D:$D,[1]weekly_demand!$A:$A,D$1,[1]weekly_demand!$C:$C,$A146))</f>
        <v/>
      </c>
      <c r="E146" s="39" t="str">
        <f>IF($A146="","",SUMIFS([1]weekly_demand!$D:$D,[1]weekly_demand!$A:$A,E$1,[1]weekly_demand!$C:$C,$A146))</f>
        <v/>
      </c>
      <c r="F146" s="39" t="str">
        <f>IF($A146="","",SUMIFS([1]weekly_demand!$D:$D,[1]weekly_demand!$A:$A,F$1,[1]weekly_demand!$C:$C,$A146))</f>
        <v/>
      </c>
      <c r="G146" s="39" t="str">
        <f>IF($A146="","",SUMIFS([1]weekly_demand!$D:$D,[1]weekly_demand!$A:$A,G$1,[1]weekly_demand!$C:$C,$A146))</f>
        <v/>
      </c>
    </row>
    <row r="147" spans="1:7" x14ac:dyDescent="0.3">
      <c r="A147" s="38"/>
      <c r="B147" s="39" t="str">
        <f>IF($A147="","",SUMIFS([1]weekly_demand!$D:$D,[1]weekly_demand!$A:$A,B$1,[1]weekly_demand!$C:$C,$A147))</f>
        <v/>
      </c>
      <c r="C147" s="39" t="str">
        <f>IF($A147="","",SUMIFS([1]weekly_demand!$D:$D,[1]weekly_demand!$A:$A,C$1,[1]weekly_demand!$C:$C,$A147))</f>
        <v/>
      </c>
      <c r="D147" s="39" t="str">
        <f>IF($A147="","",SUMIFS([1]weekly_demand!$D:$D,[1]weekly_demand!$A:$A,D$1,[1]weekly_demand!$C:$C,$A147))</f>
        <v/>
      </c>
      <c r="E147" s="39" t="str">
        <f>IF($A147="","",SUMIFS([1]weekly_demand!$D:$D,[1]weekly_demand!$A:$A,E$1,[1]weekly_demand!$C:$C,$A147))</f>
        <v/>
      </c>
      <c r="F147" s="39" t="str">
        <f>IF($A147="","",SUMIFS([1]weekly_demand!$D:$D,[1]weekly_demand!$A:$A,F$1,[1]weekly_demand!$C:$C,$A147))</f>
        <v/>
      </c>
      <c r="G147" s="39" t="str">
        <f>IF($A147="","",SUMIFS([1]weekly_demand!$D:$D,[1]weekly_demand!$A:$A,G$1,[1]weekly_demand!$C:$C,$A147))</f>
        <v/>
      </c>
    </row>
    <row r="148" spans="1:7" x14ac:dyDescent="0.3">
      <c r="A148" s="38"/>
      <c r="B148" s="39" t="str">
        <f>IF($A148="","",SUMIFS([1]weekly_demand!$D:$D,[1]weekly_demand!$A:$A,B$1,[1]weekly_demand!$C:$C,$A148))</f>
        <v/>
      </c>
      <c r="C148" s="39" t="str">
        <f>IF($A148="","",SUMIFS([1]weekly_demand!$D:$D,[1]weekly_demand!$A:$A,C$1,[1]weekly_demand!$C:$C,$A148))</f>
        <v/>
      </c>
      <c r="D148" s="39" t="str">
        <f>IF($A148="","",SUMIFS([1]weekly_demand!$D:$D,[1]weekly_demand!$A:$A,D$1,[1]weekly_demand!$C:$C,$A148))</f>
        <v/>
      </c>
      <c r="E148" s="39" t="str">
        <f>IF($A148="","",SUMIFS([1]weekly_demand!$D:$D,[1]weekly_demand!$A:$A,E$1,[1]weekly_demand!$C:$C,$A148))</f>
        <v/>
      </c>
      <c r="F148" s="39" t="str">
        <f>IF($A148="","",SUMIFS([1]weekly_demand!$D:$D,[1]weekly_demand!$A:$A,F$1,[1]weekly_demand!$C:$C,$A148))</f>
        <v/>
      </c>
      <c r="G148" s="39" t="str">
        <f>IF($A148="","",SUMIFS([1]weekly_demand!$D:$D,[1]weekly_demand!$A:$A,G$1,[1]weekly_demand!$C:$C,$A148))</f>
        <v/>
      </c>
    </row>
    <row r="149" spans="1:7" x14ac:dyDescent="0.3">
      <c r="A149" s="38"/>
      <c r="B149" s="39" t="str">
        <f>IF($A149="","",SUMIFS([1]weekly_demand!$D:$D,[1]weekly_demand!$A:$A,B$1,[1]weekly_demand!$C:$C,$A149))</f>
        <v/>
      </c>
      <c r="C149" s="39" t="str">
        <f>IF($A149="","",SUMIFS([1]weekly_demand!$D:$D,[1]weekly_demand!$A:$A,C$1,[1]weekly_demand!$C:$C,$A149))</f>
        <v/>
      </c>
      <c r="D149" s="39" t="str">
        <f>IF($A149="","",SUMIFS([1]weekly_demand!$D:$D,[1]weekly_demand!$A:$A,D$1,[1]weekly_demand!$C:$C,$A149))</f>
        <v/>
      </c>
      <c r="E149" s="39" t="str">
        <f>IF($A149="","",SUMIFS([1]weekly_demand!$D:$D,[1]weekly_demand!$A:$A,E$1,[1]weekly_demand!$C:$C,$A149))</f>
        <v/>
      </c>
      <c r="F149" s="39" t="str">
        <f>IF($A149="","",SUMIFS([1]weekly_demand!$D:$D,[1]weekly_demand!$A:$A,F$1,[1]weekly_demand!$C:$C,$A149))</f>
        <v/>
      </c>
      <c r="G149" s="39" t="str">
        <f>IF($A149="","",SUMIFS([1]weekly_demand!$D:$D,[1]weekly_demand!$A:$A,G$1,[1]weekly_demand!$C:$C,$A149))</f>
        <v/>
      </c>
    </row>
    <row r="150" spans="1:7" x14ac:dyDescent="0.3">
      <c r="A150" s="38"/>
      <c r="B150" s="39" t="str">
        <f>IF($A150="","",SUMIFS([1]weekly_demand!$D:$D,[1]weekly_demand!$A:$A,B$1,[1]weekly_demand!$C:$C,$A150))</f>
        <v/>
      </c>
      <c r="C150" s="39" t="str">
        <f>IF($A150="","",SUMIFS([1]weekly_demand!$D:$D,[1]weekly_demand!$A:$A,C$1,[1]weekly_demand!$C:$C,$A150))</f>
        <v/>
      </c>
      <c r="D150" s="39" t="str">
        <f>IF($A150="","",SUMIFS([1]weekly_demand!$D:$D,[1]weekly_demand!$A:$A,D$1,[1]weekly_demand!$C:$C,$A150))</f>
        <v/>
      </c>
      <c r="E150" s="39" t="str">
        <f>IF($A150="","",SUMIFS([1]weekly_demand!$D:$D,[1]weekly_demand!$A:$A,E$1,[1]weekly_demand!$C:$C,$A150))</f>
        <v/>
      </c>
      <c r="F150" s="39" t="str">
        <f>IF($A150="","",SUMIFS([1]weekly_demand!$D:$D,[1]weekly_demand!$A:$A,F$1,[1]weekly_demand!$C:$C,$A150))</f>
        <v/>
      </c>
      <c r="G150" s="39" t="str">
        <f>IF($A150="","",SUMIFS([1]weekly_demand!$D:$D,[1]weekly_demand!$A:$A,G$1,[1]weekly_demand!$C:$C,$A150))</f>
        <v/>
      </c>
    </row>
    <row r="151" spans="1:7" x14ac:dyDescent="0.3">
      <c r="A151" s="38"/>
      <c r="B151" s="39" t="str">
        <f>IF($A151="","",SUMIFS([1]weekly_demand!$D:$D,[1]weekly_demand!$A:$A,B$1,[1]weekly_demand!$C:$C,$A151))</f>
        <v/>
      </c>
      <c r="C151" s="39" t="str">
        <f>IF($A151="","",SUMIFS([1]weekly_demand!$D:$D,[1]weekly_demand!$A:$A,C$1,[1]weekly_demand!$C:$C,$A151))</f>
        <v/>
      </c>
      <c r="D151" s="39" t="str">
        <f>IF($A151="","",SUMIFS([1]weekly_demand!$D:$D,[1]weekly_demand!$A:$A,D$1,[1]weekly_demand!$C:$C,$A151))</f>
        <v/>
      </c>
      <c r="E151" s="39" t="str">
        <f>IF($A151="","",SUMIFS([1]weekly_demand!$D:$D,[1]weekly_demand!$A:$A,E$1,[1]weekly_demand!$C:$C,$A151))</f>
        <v/>
      </c>
      <c r="F151" s="39" t="str">
        <f>IF($A151="","",SUMIFS([1]weekly_demand!$D:$D,[1]weekly_demand!$A:$A,F$1,[1]weekly_demand!$C:$C,$A151))</f>
        <v/>
      </c>
      <c r="G151" s="39" t="str">
        <f>IF($A151="","",SUMIFS([1]weekly_demand!$D:$D,[1]weekly_demand!$A:$A,G$1,[1]weekly_demand!$C:$C,$A151))</f>
        <v/>
      </c>
    </row>
    <row r="152" spans="1:7" x14ac:dyDescent="0.3">
      <c r="A152" s="38"/>
      <c r="B152" s="39" t="str">
        <f>IF($A152="","",SUMIFS([1]weekly_demand!$D:$D,[1]weekly_demand!$A:$A,B$1,[1]weekly_demand!$C:$C,$A152))</f>
        <v/>
      </c>
      <c r="C152" s="39" t="str">
        <f>IF($A152="","",SUMIFS([1]weekly_demand!$D:$D,[1]weekly_demand!$A:$A,C$1,[1]weekly_demand!$C:$C,$A152))</f>
        <v/>
      </c>
      <c r="D152" s="39" t="str">
        <f>IF($A152="","",SUMIFS([1]weekly_demand!$D:$D,[1]weekly_demand!$A:$A,D$1,[1]weekly_demand!$C:$C,$A152))</f>
        <v/>
      </c>
      <c r="E152" s="39" t="str">
        <f>IF($A152="","",SUMIFS([1]weekly_demand!$D:$D,[1]weekly_demand!$A:$A,E$1,[1]weekly_demand!$C:$C,$A152))</f>
        <v/>
      </c>
      <c r="F152" s="39" t="str">
        <f>IF($A152="","",SUMIFS([1]weekly_demand!$D:$D,[1]weekly_demand!$A:$A,F$1,[1]weekly_demand!$C:$C,$A152))</f>
        <v/>
      </c>
      <c r="G152" s="39" t="str">
        <f>IF($A152="","",SUMIFS([1]weekly_demand!$D:$D,[1]weekly_demand!$A:$A,G$1,[1]weekly_demand!$C:$C,$A152))</f>
        <v/>
      </c>
    </row>
    <row r="153" spans="1:7" x14ac:dyDescent="0.3">
      <c r="A153" s="38"/>
      <c r="B153" s="39" t="str">
        <f>IF($A153="","",SUMIFS([1]weekly_demand!$D:$D,[1]weekly_demand!$A:$A,B$1,[1]weekly_demand!$C:$C,$A153))</f>
        <v/>
      </c>
      <c r="C153" s="39" t="str">
        <f>IF($A153="","",SUMIFS([1]weekly_demand!$D:$D,[1]weekly_demand!$A:$A,C$1,[1]weekly_demand!$C:$C,$A153))</f>
        <v/>
      </c>
      <c r="D153" s="39" t="str">
        <f>IF($A153="","",SUMIFS([1]weekly_demand!$D:$D,[1]weekly_demand!$A:$A,D$1,[1]weekly_demand!$C:$C,$A153))</f>
        <v/>
      </c>
      <c r="E153" s="39" t="str">
        <f>IF($A153="","",SUMIFS([1]weekly_demand!$D:$D,[1]weekly_demand!$A:$A,E$1,[1]weekly_demand!$C:$C,$A153))</f>
        <v/>
      </c>
      <c r="F153" s="39" t="str">
        <f>IF($A153="","",SUMIFS([1]weekly_demand!$D:$D,[1]weekly_demand!$A:$A,F$1,[1]weekly_demand!$C:$C,$A153))</f>
        <v/>
      </c>
      <c r="G153" s="39" t="str">
        <f>IF($A153="","",SUMIFS([1]weekly_demand!$D:$D,[1]weekly_demand!$A:$A,G$1,[1]weekly_demand!$C:$C,$A153))</f>
        <v/>
      </c>
    </row>
    <row r="154" spans="1:7" x14ac:dyDescent="0.3">
      <c r="A154" s="38"/>
      <c r="B154" s="39" t="str">
        <f>IF($A154="","",SUMIFS([1]weekly_demand!$D:$D,[1]weekly_demand!$A:$A,B$1,[1]weekly_demand!$C:$C,$A154))</f>
        <v/>
      </c>
      <c r="C154" s="39" t="str">
        <f>IF($A154="","",SUMIFS([1]weekly_demand!$D:$D,[1]weekly_demand!$A:$A,C$1,[1]weekly_demand!$C:$C,$A154))</f>
        <v/>
      </c>
      <c r="D154" s="39" t="str">
        <f>IF($A154="","",SUMIFS([1]weekly_demand!$D:$D,[1]weekly_demand!$A:$A,D$1,[1]weekly_demand!$C:$C,$A154))</f>
        <v/>
      </c>
      <c r="E154" s="39" t="str">
        <f>IF($A154="","",SUMIFS([1]weekly_demand!$D:$D,[1]weekly_demand!$A:$A,E$1,[1]weekly_demand!$C:$C,$A154))</f>
        <v/>
      </c>
      <c r="F154" s="39" t="str">
        <f>IF($A154="","",SUMIFS([1]weekly_demand!$D:$D,[1]weekly_demand!$A:$A,F$1,[1]weekly_demand!$C:$C,$A154))</f>
        <v/>
      </c>
      <c r="G154" s="39" t="str">
        <f>IF($A154="","",SUMIFS([1]weekly_demand!$D:$D,[1]weekly_demand!$A:$A,G$1,[1]weekly_demand!$C:$C,$A154))</f>
        <v/>
      </c>
    </row>
    <row r="155" spans="1:7" x14ac:dyDescent="0.3">
      <c r="A155" s="38"/>
      <c r="B155" s="39" t="str">
        <f>IF($A155="","",SUMIFS([1]weekly_demand!$D:$D,[1]weekly_demand!$A:$A,B$1,[1]weekly_demand!$C:$C,$A155))</f>
        <v/>
      </c>
      <c r="C155" s="39" t="str">
        <f>IF($A155="","",SUMIFS([1]weekly_demand!$D:$D,[1]weekly_demand!$A:$A,C$1,[1]weekly_demand!$C:$C,$A155))</f>
        <v/>
      </c>
      <c r="D155" s="39" t="str">
        <f>IF($A155="","",SUMIFS([1]weekly_demand!$D:$D,[1]weekly_demand!$A:$A,D$1,[1]weekly_demand!$C:$C,$A155))</f>
        <v/>
      </c>
      <c r="E155" s="39" t="str">
        <f>IF($A155="","",SUMIFS([1]weekly_demand!$D:$D,[1]weekly_demand!$A:$A,E$1,[1]weekly_demand!$C:$C,$A155))</f>
        <v/>
      </c>
      <c r="F155" s="39" t="str">
        <f>IF($A155="","",SUMIFS([1]weekly_demand!$D:$D,[1]weekly_demand!$A:$A,F$1,[1]weekly_demand!$C:$C,$A155))</f>
        <v/>
      </c>
      <c r="G155" s="39" t="str">
        <f>IF($A155="","",SUMIFS([1]weekly_demand!$D:$D,[1]weekly_demand!$A:$A,G$1,[1]weekly_demand!$C:$C,$A155))</f>
        <v/>
      </c>
    </row>
    <row r="156" spans="1:7" x14ac:dyDescent="0.3">
      <c r="A156" s="38"/>
      <c r="B156" s="39" t="str">
        <f>IF($A156="","",SUMIFS([1]weekly_demand!$D:$D,[1]weekly_demand!$A:$A,B$1,[1]weekly_demand!$C:$C,$A156))</f>
        <v/>
      </c>
      <c r="C156" s="39" t="str">
        <f>IF($A156="","",SUMIFS([1]weekly_demand!$D:$D,[1]weekly_demand!$A:$A,C$1,[1]weekly_demand!$C:$C,$A156))</f>
        <v/>
      </c>
      <c r="D156" s="39" t="str">
        <f>IF($A156="","",SUMIFS([1]weekly_demand!$D:$D,[1]weekly_demand!$A:$A,D$1,[1]weekly_demand!$C:$C,$A156))</f>
        <v/>
      </c>
      <c r="E156" s="39" t="str">
        <f>IF($A156="","",SUMIFS([1]weekly_demand!$D:$D,[1]weekly_demand!$A:$A,E$1,[1]weekly_demand!$C:$C,$A156))</f>
        <v/>
      </c>
      <c r="F156" s="39" t="str">
        <f>IF($A156="","",SUMIFS([1]weekly_demand!$D:$D,[1]weekly_demand!$A:$A,F$1,[1]weekly_demand!$C:$C,$A156))</f>
        <v/>
      </c>
      <c r="G156" s="39" t="str">
        <f>IF($A156="","",SUMIFS([1]weekly_demand!$D:$D,[1]weekly_demand!$A:$A,G$1,[1]weekly_demand!$C:$C,$A156))</f>
        <v/>
      </c>
    </row>
    <row r="157" spans="1:7" x14ac:dyDescent="0.3">
      <c r="A157" s="38"/>
      <c r="B157" s="39" t="str">
        <f>IF($A157="","",SUMIFS([1]weekly_demand!$D:$D,[1]weekly_demand!$A:$A,B$1,[1]weekly_demand!$C:$C,$A157))</f>
        <v/>
      </c>
      <c r="C157" s="39" t="str">
        <f>IF($A157="","",SUMIFS([1]weekly_demand!$D:$D,[1]weekly_demand!$A:$A,C$1,[1]weekly_demand!$C:$C,$A157))</f>
        <v/>
      </c>
      <c r="D157" s="39" t="str">
        <f>IF($A157="","",SUMIFS([1]weekly_demand!$D:$D,[1]weekly_demand!$A:$A,D$1,[1]weekly_demand!$C:$C,$A157))</f>
        <v/>
      </c>
      <c r="E157" s="39" t="str">
        <f>IF($A157="","",SUMIFS([1]weekly_demand!$D:$D,[1]weekly_demand!$A:$A,E$1,[1]weekly_demand!$C:$C,$A157))</f>
        <v/>
      </c>
      <c r="F157" s="39" t="str">
        <f>IF($A157="","",SUMIFS([1]weekly_demand!$D:$D,[1]weekly_demand!$A:$A,F$1,[1]weekly_demand!$C:$C,$A157))</f>
        <v/>
      </c>
      <c r="G157" s="39" t="str">
        <f>IF($A157="","",SUMIFS([1]weekly_demand!$D:$D,[1]weekly_demand!$A:$A,G$1,[1]weekly_demand!$C:$C,$A157))</f>
        <v/>
      </c>
    </row>
    <row r="158" spans="1:7" x14ac:dyDescent="0.3">
      <c r="A158" s="38"/>
      <c r="B158" s="39" t="str">
        <f>IF($A158="","",SUMIFS([1]weekly_demand!$D:$D,[1]weekly_demand!$A:$A,B$1,[1]weekly_demand!$C:$C,$A158))</f>
        <v/>
      </c>
      <c r="C158" s="39" t="str">
        <f>IF($A158="","",SUMIFS([1]weekly_demand!$D:$D,[1]weekly_demand!$A:$A,C$1,[1]weekly_demand!$C:$C,$A158))</f>
        <v/>
      </c>
      <c r="D158" s="39" t="str">
        <f>IF($A158="","",SUMIFS([1]weekly_demand!$D:$D,[1]weekly_demand!$A:$A,D$1,[1]weekly_demand!$C:$C,$A158))</f>
        <v/>
      </c>
      <c r="E158" s="39" t="str">
        <f>IF($A158="","",SUMIFS([1]weekly_demand!$D:$D,[1]weekly_demand!$A:$A,E$1,[1]weekly_demand!$C:$C,$A158))</f>
        <v/>
      </c>
      <c r="F158" s="39" t="str">
        <f>IF($A158="","",SUMIFS([1]weekly_demand!$D:$D,[1]weekly_demand!$A:$A,F$1,[1]weekly_demand!$C:$C,$A158))</f>
        <v/>
      </c>
      <c r="G158" s="39" t="str">
        <f>IF($A158="","",SUMIFS([1]weekly_demand!$D:$D,[1]weekly_demand!$A:$A,G$1,[1]weekly_demand!$C:$C,$A158))</f>
        <v/>
      </c>
    </row>
    <row r="159" spans="1:7" x14ac:dyDescent="0.3">
      <c r="A159" s="38"/>
      <c r="B159" s="39" t="str">
        <f>IF($A159="","",SUMIFS([1]weekly_demand!$D:$D,[1]weekly_demand!$A:$A,B$1,[1]weekly_demand!$C:$C,$A159))</f>
        <v/>
      </c>
      <c r="C159" s="39" t="str">
        <f>IF($A159="","",SUMIFS([1]weekly_demand!$D:$D,[1]weekly_demand!$A:$A,C$1,[1]weekly_demand!$C:$C,$A159))</f>
        <v/>
      </c>
      <c r="D159" s="39" t="str">
        <f>IF($A159="","",SUMIFS([1]weekly_demand!$D:$D,[1]weekly_demand!$A:$A,D$1,[1]weekly_demand!$C:$C,$A159))</f>
        <v/>
      </c>
      <c r="E159" s="39" t="str">
        <f>IF($A159="","",SUMIFS([1]weekly_demand!$D:$D,[1]weekly_demand!$A:$A,E$1,[1]weekly_demand!$C:$C,$A159))</f>
        <v/>
      </c>
      <c r="F159" s="39" t="str">
        <f>IF($A159="","",SUMIFS([1]weekly_demand!$D:$D,[1]weekly_demand!$A:$A,F$1,[1]weekly_demand!$C:$C,$A159))</f>
        <v/>
      </c>
      <c r="G159" s="39" t="str">
        <f>IF($A159="","",SUMIFS([1]weekly_demand!$D:$D,[1]weekly_demand!$A:$A,G$1,[1]weekly_demand!$C:$C,$A159))</f>
        <v/>
      </c>
    </row>
    <row r="160" spans="1:7" x14ac:dyDescent="0.3">
      <c r="A160" s="38"/>
      <c r="B160" s="39" t="str">
        <f>IF($A160="","",SUMIFS([1]weekly_demand!$D:$D,[1]weekly_demand!$A:$A,B$1,[1]weekly_demand!$C:$C,$A160))</f>
        <v/>
      </c>
      <c r="C160" s="39" t="str">
        <f>IF($A160="","",SUMIFS([1]weekly_demand!$D:$D,[1]weekly_demand!$A:$A,C$1,[1]weekly_demand!$C:$C,$A160))</f>
        <v/>
      </c>
      <c r="D160" s="39" t="str">
        <f>IF($A160="","",SUMIFS([1]weekly_demand!$D:$D,[1]weekly_demand!$A:$A,D$1,[1]weekly_demand!$C:$C,$A160))</f>
        <v/>
      </c>
      <c r="E160" s="39" t="str">
        <f>IF($A160="","",SUMIFS([1]weekly_demand!$D:$D,[1]weekly_demand!$A:$A,E$1,[1]weekly_demand!$C:$C,$A160))</f>
        <v/>
      </c>
      <c r="F160" s="39" t="str">
        <f>IF($A160="","",SUMIFS([1]weekly_demand!$D:$D,[1]weekly_demand!$A:$A,F$1,[1]weekly_demand!$C:$C,$A160))</f>
        <v/>
      </c>
      <c r="G160" s="39" t="str">
        <f>IF($A160="","",SUMIFS([1]weekly_demand!$D:$D,[1]weekly_demand!$A:$A,G$1,[1]weekly_demand!$C:$C,$A160))</f>
        <v/>
      </c>
    </row>
    <row r="161" spans="1:7" x14ac:dyDescent="0.3">
      <c r="A161" s="38"/>
      <c r="B161" s="39" t="str">
        <f>IF($A161="","",SUMIFS([1]weekly_demand!$D:$D,[1]weekly_demand!$A:$A,B$1,[1]weekly_demand!$C:$C,$A161))</f>
        <v/>
      </c>
      <c r="C161" s="39" t="str">
        <f>IF($A161="","",SUMIFS([1]weekly_demand!$D:$D,[1]weekly_demand!$A:$A,C$1,[1]weekly_demand!$C:$C,$A161))</f>
        <v/>
      </c>
      <c r="D161" s="39" t="str">
        <f>IF($A161="","",SUMIFS([1]weekly_demand!$D:$D,[1]weekly_demand!$A:$A,D$1,[1]weekly_demand!$C:$C,$A161))</f>
        <v/>
      </c>
      <c r="E161" s="39" t="str">
        <f>IF($A161="","",SUMIFS([1]weekly_demand!$D:$D,[1]weekly_demand!$A:$A,E$1,[1]weekly_demand!$C:$C,$A161))</f>
        <v/>
      </c>
      <c r="F161" s="39" t="str">
        <f>IF($A161="","",SUMIFS([1]weekly_demand!$D:$D,[1]weekly_demand!$A:$A,F$1,[1]weekly_demand!$C:$C,$A161))</f>
        <v/>
      </c>
      <c r="G161" s="39" t="str">
        <f>IF($A161="","",SUMIFS([1]weekly_demand!$D:$D,[1]weekly_demand!$A:$A,G$1,[1]weekly_demand!$C:$C,$A161))</f>
        <v/>
      </c>
    </row>
    <row r="162" spans="1:7" x14ac:dyDescent="0.3">
      <c r="A162" s="38"/>
      <c r="B162" s="39" t="str">
        <f>IF($A162="","",SUMIFS([1]weekly_demand!$D:$D,[1]weekly_demand!$A:$A,B$1,[1]weekly_demand!$C:$C,$A162))</f>
        <v/>
      </c>
      <c r="C162" s="39" t="str">
        <f>IF($A162="","",SUMIFS([1]weekly_demand!$D:$D,[1]weekly_demand!$A:$A,C$1,[1]weekly_demand!$C:$C,$A162))</f>
        <v/>
      </c>
      <c r="D162" s="39" t="str">
        <f>IF($A162="","",SUMIFS([1]weekly_demand!$D:$D,[1]weekly_demand!$A:$A,D$1,[1]weekly_demand!$C:$C,$A162))</f>
        <v/>
      </c>
      <c r="E162" s="39" t="str">
        <f>IF($A162="","",SUMIFS([1]weekly_demand!$D:$D,[1]weekly_demand!$A:$A,E$1,[1]weekly_demand!$C:$C,$A162))</f>
        <v/>
      </c>
      <c r="F162" s="39" t="str">
        <f>IF($A162="","",SUMIFS([1]weekly_demand!$D:$D,[1]weekly_demand!$A:$A,F$1,[1]weekly_demand!$C:$C,$A162))</f>
        <v/>
      </c>
      <c r="G162" s="39" t="str">
        <f>IF($A162="","",SUMIFS([1]weekly_demand!$D:$D,[1]weekly_demand!$A:$A,G$1,[1]weekly_demand!$C:$C,$A162))</f>
        <v/>
      </c>
    </row>
    <row r="163" spans="1:7" x14ac:dyDescent="0.3">
      <c r="A163" s="38"/>
      <c r="B163" s="39" t="str">
        <f>IF($A163="","",SUMIFS([1]weekly_demand!$D:$D,[1]weekly_demand!$A:$A,B$1,[1]weekly_demand!$C:$C,$A163))</f>
        <v/>
      </c>
      <c r="C163" s="39" t="str">
        <f>IF($A163="","",SUMIFS([1]weekly_demand!$D:$D,[1]weekly_demand!$A:$A,C$1,[1]weekly_demand!$C:$C,$A163))</f>
        <v/>
      </c>
      <c r="D163" s="39" t="str">
        <f>IF($A163="","",SUMIFS([1]weekly_demand!$D:$D,[1]weekly_demand!$A:$A,D$1,[1]weekly_demand!$C:$C,$A163))</f>
        <v/>
      </c>
      <c r="E163" s="39" t="str">
        <f>IF($A163="","",SUMIFS([1]weekly_demand!$D:$D,[1]weekly_demand!$A:$A,E$1,[1]weekly_demand!$C:$C,$A163))</f>
        <v/>
      </c>
      <c r="F163" s="39" t="str">
        <f>IF($A163="","",SUMIFS([1]weekly_demand!$D:$D,[1]weekly_demand!$A:$A,F$1,[1]weekly_demand!$C:$C,$A163))</f>
        <v/>
      </c>
      <c r="G163" s="39" t="str">
        <f>IF($A163="","",SUMIFS([1]weekly_demand!$D:$D,[1]weekly_demand!$A:$A,G$1,[1]weekly_demand!$C:$C,$A163))</f>
        <v/>
      </c>
    </row>
    <row r="164" spans="1:7" x14ac:dyDescent="0.3">
      <c r="A164" s="38"/>
      <c r="B164" s="39" t="str">
        <f>IF($A164="","",SUMIFS([1]weekly_demand!$D:$D,[1]weekly_demand!$A:$A,B$1,[1]weekly_demand!$C:$C,$A164))</f>
        <v/>
      </c>
      <c r="C164" s="39" t="str">
        <f>IF($A164="","",SUMIFS([1]weekly_demand!$D:$D,[1]weekly_demand!$A:$A,C$1,[1]weekly_demand!$C:$C,$A164))</f>
        <v/>
      </c>
      <c r="D164" s="39" t="str">
        <f>IF($A164="","",SUMIFS([1]weekly_demand!$D:$D,[1]weekly_demand!$A:$A,D$1,[1]weekly_demand!$C:$C,$A164))</f>
        <v/>
      </c>
      <c r="E164" s="39" t="str">
        <f>IF($A164="","",SUMIFS([1]weekly_demand!$D:$D,[1]weekly_demand!$A:$A,E$1,[1]weekly_demand!$C:$C,$A164))</f>
        <v/>
      </c>
      <c r="F164" s="39" t="str">
        <f>IF($A164="","",SUMIFS([1]weekly_demand!$D:$D,[1]weekly_demand!$A:$A,F$1,[1]weekly_demand!$C:$C,$A164))</f>
        <v/>
      </c>
      <c r="G164" s="39" t="str">
        <f>IF($A164="","",SUMIFS([1]weekly_demand!$D:$D,[1]weekly_demand!$A:$A,G$1,[1]weekly_demand!$C:$C,$A164))</f>
        <v/>
      </c>
    </row>
    <row r="165" spans="1:7" x14ac:dyDescent="0.3">
      <c r="A165" s="38"/>
      <c r="B165" s="39" t="str">
        <f>IF($A165="","",SUMIFS([1]weekly_demand!$D:$D,[1]weekly_demand!$A:$A,B$1,[1]weekly_demand!$C:$C,$A165))</f>
        <v/>
      </c>
      <c r="C165" s="39" t="str">
        <f>IF($A165="","",SUMIFS([1]weekly_demand!$D:$D,[1]weekly_demand!$A:$A,C$1,[1]weekly_demand!$C:$C,$A165))</f>
        <v/>
      </c>
      <c r="D165" s="39" t="str">
        <f>IF($A165="","",SUMIFS([1]weekly_demand!$D:$D,[1]weekly_demand!$A:$A,D$1,[1]weekly_demand!$C:$C,$A165))</f>
        <v/>
      </c>
      <c r="E165" s="39" t="str">
        <f>IF($A165="","",SUMIFS([1]weekly_demand!$D:$D,[1]weekly_demand!$A:$A,E$1,[1]weekly_demand!$C:$C,$A165))</f>
        <v/>
      </c>
      <c r="F165" s="39" t="str">
        <f>IF($A165="","",SUMIFS([1]weekly_demand!$D:$D,[1]weekly_demand!$A:$A,F$1,[1]weekly_demand!$C:$C,$A165))</f>
        <v/>
      </c>
      <c r="G165" s="39" t="str">
        <f>IF($A165="","",SUMIFS([1]weekly_demand!$D:$D,[1]weekly_demand!$A:$A,G$1,[1]weekly_demand!$C:$C,$A165))</f>
        <v/>
      </c>
    </row>
    <row r="166" spans="1:7" x14ac:dyDescent="0.3">
      <c r="A166" s="38"/>
      <c r="B166" s="39" t="str">
        <f>IF($A166="","",SUMIFS([1]weekly_demand!$D:$D,[1]weekly_demand!$A:$A,B$1,[1]weekly_demand!$C:$C,$A166))</f>
        <v/>
      </c>
      <c r="C166" s="39" t="str">
        <f>IF($A166="","",SUMIFS([1]weekly_demand!$D:$D,[1]weekly_demand!$A:$A,C$1,[1]weekly_demand!$C:$C,$A166))</f>
        <v/>
      </c>
      <c r="D166" s="39" t="str">
        <f>IF($A166="","",SUMIFS([1]weekly_demand!$D:$D,[1]weekly_demand!$A:$A,D$1,[1]weekly_demand!$C:$C,$A166))</f>
        <v/>
      </c>
      <c r="E166" s="39" t="str">
        <f>IF($A166="","",SUMIFS([1]weekly_demand!$D:$D,[1]weekly_demand!$A:$A,E$1,[1]weekly_demand!$C:$C,$A166))</f>
        <v/>
      </c>
      <c r="F166" s="39" t="str">
        <f>IF($A166="","",SUMIFS([1]weekly_demand!$D:$D,[1]weekly_demand!$A:$A,F$1,[1]weekly_demand!$C:$C,$A166))</f>
        <v/>
      </c>
      <c r="G166" s="39" t="str">
        <f>IF($A166="","",SUMIFS([1]weekly_demand!$D:$D,[1]weekly_demand!$A:$A,G$1,[1]weekly_demand!$C:$C,$A166))</f>
        <v/>
      </c>
    </row>
    <row r="167" spans="1:7" x14ac:dyDescent="0.3">
      <c r="A167" s="38"/>
      <c r="B167" s="39" t="str">
        <f>IF($A167="","",SUMIFS([1]weekly_demand!$D:$D,[1]weekly_demand!$A:$A,B$1,[1]weekly_demand!$C:$C,$A167))</f>
        <v/>
      </c>
      <c r="C167" s="39" t="str">
        <f>IF($A167="","",SUMIFS([1]weekly_demand!$D:$D,[1]weekly_demand!$A:$A,C$1,[1]weekly_demand!$C:$C,$A167))</f>
        <v/>
      </c>
      <c r="D167" s="39" t="str">
        <f>IF($A167="","",SUMIFS([1]weekly_demand!$D:$D,[1]weekly_demand!$A:$A,D$1,[1]weekly_demand!$C:$C,$A167))</f>
        <v/>
      </c>
      <c r="E167" s="39" t="str">
        <f>IF($A167="","",SUMIFS([1]weekly_demand!$D:$D,[1]weekly_demand!$A:$A,E$1,[1]weekly_demand!$C:$C,$A167))</f>
        <v/>
      </c>
      <c r="F167" s="39" t="str">
        <f>IF($A167="","",SUMIFS([1]weekly_demand!$D:$D,[1]weekly_demand!$A:$A,F$1,[1]weekly_demand!$C:$C,$A167))</f>
        <v/>
      </c>
      <c r="G167" s="39" t="str">
        <f>IF($A167="","",SUMIFS([1]weekly_demand!$D:$D,[1]weekly_demand!$A:$A,G$1,[1]weekly_demand!$C:$C,$A167))</f>
        <v/>
      </c>
    </row>
    <row r="168" spans="1:7" x14ac:dyDescent="0.3">
      <c r="A168" s="38"/>
      <c r="B168" s="39" t="str">
        <f>IF($A168="","",SUMIFS([1]weekly_demand!$D:$D,[1]weekly_demand!$A:$A,B$1,[1]weekly_demand!$C:$C,$A168))</f>
        <v/>
      </c>
      <c r="C168" s="39" t="str">
        <f>IF($A168="","",SUMIFS([1]weekly_demand!$D:$D,[1]weekly_demand!$A:$A,C$1,[1]weekly_demand!$C:$C,$A168))</f>
        <v/>
      </c>
      <c r="D168" s="39" t="str">
        <f>IF($A168="","",SUMIFS([1]weekly_demand!$D:$D,[1]weekly_demand!$A:$A,D$1,[1]weekly_demand!$C:$C,$A168))</f>
        <v/>
      </c>
      <c r="E168" s="39" t="str">
        <f>IF($A168="","",SUMIFS([1]weekly_demand!$D:$D,[1]weekly_demand!$A:$A,E$1,[1]weekly_demand!$C:$C,$A168))</f>
        <v/>
      </c>
      <c r="F168" s="39" t="str">
        <f>IF($A168="","",SUMIFS([1]weekly_demand!$D:$D,[1]weekly_demand!$A:$A,F$1,[1]weekly_demand!$C:$C,$A168))</f>
        <v/>
      </c>
      <c r="G168" s="39" t="str">
        <f>IF($A168="","",SUMIFS([1]weekly_demand!$D:$D,[1]weekly_demand!$A:$A,G$1,[1]weekly_demand!$C:$C,$A168))</f>
        <v/>
      </c>
    </row>
    <row r="169" spans="1:7" x14ac:dyDescent="0.3">
      <c r="A169" s="38"/>
      <c r="B169" s="39" t="str">
        <f>IF($A169="","",SUMIFS([1]weekly_demand!$D:$D,[1]weekly_demand!$A:$A,B$1,[1]weekly_demand!$C:$C,$A169))</f>
        <v/>
      </c>
      <c r="C169" s="39" t="str">
        <f>IF($A169="","",SUMIFS([1]weekly_demand!$D:$D,[1]weekly_demand!$A:$A,C$1,[1]weekly_demand!$C:$C,$A169))</f>
        <v/>
      </c>
      <c r="D169" s="39" t="str">
        <f>IF($A169="","",SUMIFS([1]weekly_demand!$D:$D,[1]weekly_demand!$A:$A,D$1,[1]weekly_demand!$C:$C,$A169))</f>
        <v/>
      </c>
      <c r="E169" s="39" t="str">
        <f>IF($A169="","",SUMIFS([1]weekly_demand!$D:$D,[1]weekly_demand!$A:$A,E$1,[1]weekly_demand!$C:$C,$A169))</f>
        <v/>
      </c>
      <c r="F169" s="39" t="str">
        <f>IF($A169="","",SUMIFS([1]weekly_demand!$D:$D,[1]weekly_demand!$A:$A,F$1,[1]weekly_demand!$C:$C,$A169))</f>
        <v/>
      </c>
      <c r="G169" s="39" t="str">
        <f>IF($A169="","",SUMIFS([1]weekly_demand!$D:$D,[1]weekly_demand!$A:$A,G$1,[1]weekly_demand!$C:$C,$A169))</f>
        <v/>
      </c>
    </row>
    <row r="170" spans="1:7" x14ac:dyDescent="0.3">
      <c r="A170" s="38"/>
      <c r="B170" s="39" t="str">
        <f>IF($A170="","",SUMIFS([1]weekly_demand!$D:$D,[1]weekly_demand!$A:$A,B$1,[1]weekly_demand!$C:$C,$A170))</f>
        <v/>
      </c>
      <c r="C170" s="39" t="str">
        <f>IF($A170="","",SUMIFS([1]weekly_demand!$D:$D,[1]weekly_demand!$A:$A,C$1,[1]weekly_demand!$C:$C,$A170))</f>
        <v/>
      </c>
      <c r="D170" s="39" t="str">
        <f>IF($A170="","",SUMIFS([1]weekly_demand!$D:$D,[1]weekly_demand!$A:$A,D$1,[1]weekly_demand!$C:$C,$A170))</f>
        <v/>
      </c>
      <c r="E170" s="39" t="str">
        <f>IF($A170="","",SUMIFS([1]weekly_demand!$D:$D,[1]weekly_demand!$A:$A,E$1,[1]weekly_demand!$C:$C,$A170))</f>
        <v/>
      </c>
      <c r="F170" s="39" t="str">
        <f>IF($A170="","",SUMIFS([1]weekly_demand!$D:$D,[1]weekly_demand!$A:$A,F$1,[1]weekly_demand!$C:$C,$A170))</f>
        <v/>
      </c>
      <c r="G170" s="39" t="str">
        <f>IF($A170="","",SUMIFS([1]weekly_demand!$D:$D,[1]weekly_demand!$A:$A,G$1,[1]weekly_demand!$C:$C,$A170))</f>
        <v/>
      </c>
    </row>
    <row r="171" spans="1:7" x14ac:dyDescent="0.3">
      <c r="A171" s="38"/>
      <c r="B171" s="39" t="str">
        <f>IF($A171="","",SUMIFS([1]weekly_demand!$D:$D,[1]weekly_demand!$A:$A,B$1,[1]weekly_demand!$C:$C,$A171))</f>
        <v/>
      </c>
      <c r="C171" s="39" t="str">
        <f>IF($A171="","",SUMIFS([1]weekly_demand!$D:$D,[1]weekly_demand!$A:$A,C$1,[1]weekly_demand!$C:$C,$A171))</f>
        <v/>
      </c>
      <c r="D171" s="39" t="str">
        <f>IF($A171="","",SUMIFS([1]weekly_demand!$D:$D,[1]weekly_demand!$A:$A,D$1,[1]weekly_demand!$C:$C,$A171))</f>
        <v/>
      </c>
      <c r="E171" s="39" t="str">
        <f>IF($A171="","",SUMIFS([1]weekly_demand!$D:$D,[1]weekly_demand!$A:$A,E$1,[1]weekly_demand!$C:$C,$A171))</f>
        <v/>
      </c>
      <c r="F171" s="39" t="str">
        <f>IF($A171="","",SUMIFS([1]weekly_demand!$D:$D,[1]weekly_demand!$A:$A,F$1,[1]weekly_demand!$C:$C,$A171))</f>
        <v/>
      </c>
      <c r="G171" s="39" t="str">
        <f>IF($A171="","",SUMIFS([1]weekly_demand!$D:$D,[1]weekly_demand!$A:$A,G$1,[1]weekly_demand!$C:$C,$A171))</f>
        <v/>
      </c>
    </row>
    <row r="172" spans="1:7" x14ac:dyDescent="0.3">
      <c r="A172" s="38"/>
      <c r="B172" s="39" t="str">
        <f>IF($A172="","",SUMIFS([1]weekly_demand!$D:$D,[1]weekly_demand!$A:$A,B$1,[1]weekly_demand!$C:$C,$A172))</f>
        <v/>
      </c>
      <c r="C172" s="39" t="str">
        <f>IF($A172="","",SUMIFS([1]weekly_demand!$D:$D,[1]weekly_demand!$A:$A,C$1,[1]weekly_demand!$C:$C,$A172))</f>
        <v/>
      </c>
      <c r="D172" s="39" t="str">
        <f>IF($A172="","",SUMIFS([1]weekly_demand!$D:$D,[1]weekly_demand!$A:$A,D$1,[1]weekly_demand!$C:$C,$A172))</f>
        <v/>
      </c>
      <c r="E172" s="39" t="str">
        <f>IF($A172="","",SUMIFS([1]weekly_demand!$D:$D,[1]weekly_demand!$A:$A,E$1,[1]weekly_demand!$C:$C,$A172))</f>
        <v/>
      </c>
      <c r="F172" s="39" t="str">
        <f>IF($A172="","",SUMIFS([1]weekly_demand!$D:$D,[1]weekly_demand!$A:$A,F$1,[1]weekly_demand!$C:$C,$A172))</f>
        <v/>
      </c>
      <c r="G172" s="39" t="str">
        <f>IF($A172="","",SUMIFS([1]weekly_demand!$D:$D,[1]weekly_demand!$A:$A,G$1,[1]weekly_demand!$C:$C,$A172))</f>
        <v/>
      </c>
    </row>
    <row r="173" spans="1:7" x14ac:dyDescent="0.3">
      <c r="A173" s="38"/>
      <c r="B173" s="39" t="str">
        <f>IF($A173="","",SUMIFS([1]weekly_demand!$D:$D,[1]weekly_demand!$A:$A,B$1,[1]weekly_demand!$C:$C,$A173))</f>
        <v/>
      </c>
      <c r="C173" s="39" t="str">
        <f>IF($A173="","",SUMIFS([1]weekly_demand!$D:$D,[1]weekly_demand!$A:$A,C$1,[1]weekly_demand!$C:$C,$A173))</f>
        <v/>
      </c>
      <c r="D173" s="39" t="str">
        <f>IF($A173="","",SUMIFS([1]weekly_demand!$D:$D,[1]weekly_demand!$A:$A,D$1,[1]weekly_demand!$C:$C,$A173))</f>
        <v/>
      </c>
      <c r="E173" s="39" t="str">
        <f>IF($A173="","",SUMIFS([1]weekly_demand!$D:$D,[1]weekly_demand!$A:$A,E$1,[1]weekly_demand!$C:$C,$A173))</f>
        <v/>
      </c>
      <c r="F173" s="39" t="str">
        <f>IF($A173="","",SUMIFS([1]weekly_demand!$D:$D,[1]weekly_demand!$A:$A,F$1,[1]weekly_demand!$C:$C,$A173))</f>
        <v/>
      </c>
      <c r="G173" s="39" t="str">
        <f>IF($A173="","",SUMIFS([1]weekly_demand!$D:$D,[1]weekly_demand!$A:$A,G$1,[1]weekly_demand!$C:$C,$A173))</f>
        <v/>
      </c>
    </row>
    <row r="174" spans="1:7" x14ac:dyDescent="0.3">
      <c r="A174" s="38"/>
      <c r="B174" s="39" t="str">
        <f>IF($A174="","",SUMIFS([1]weekly_demand!$D:$D,[1]weekly_demand!$A:$A,B$1,[1]weekly_demand!$C:$C,$A174))</f>
        <v/>
      </c>
      <c r="C174" s="39" t="str">
        <f>IF($A174="","",SUMIFS([1]weekly_demand!$D:$D,[1]weekly_demand!$A:$A,C$1,[1]weekly_demand!$C:$C,$A174))</f>
        <v/>
      </c>
      <c r="D174" s="39" t="str">
        <f>IF($A174="","",SUMIFS([1]weekly_demand!$D:$D,[1]weekly_demand!$A:$A,D$1,[1]weekly_demand!$C:$C,$A174))</f>
        <v/>
      </c>
      <c r="E174" s="39" t="str">
        <f>IF($A174="","",SUMIFS([1]weekly_demand!$D:$D,[1]weekly_demand!$A:$A,E$1,[1]weekly_demand!$C:$C,$A174))</f>
        <v/>
      </c>
      <c r="F174" s="39" t="str">
        <f>IF($A174="","",SUMIFS([1]weekly_demand!$D:$D,[1]weekly_demand!$A:$A,F$1,[1]weekly_demand!$C:$C,$A174))</f>
        <v/>
      </c>
      <c r="G174" s="39" t="str">
        <f>IF($A174="","",SUMIFS([1]weekly_demand!$D:$D,[1]weekly_demand!$A:$A,G$1,[1]weekly_demand!$C:$C,$A174))</f>
        <v/>
      </c>
    </row>
    <row r="175" spans="1:7" x14ac:dyDescent="0.3">
      <c r="A175" s="38"/>
      <c r="B175" s="39" t="str">
        <f>IF($A175="","",SUMIFS([1]weekly_demand!$D:$D,[1]weekly_demand!$A:$A,B$1,[1]weekly_demand!$C:$C,$A175))</f>
        <v/>
      </c>
      <c r="C175" s="39" t="str">
        <f>IF($A175="","",SUMIFS([1]weekly_demand!$D:$D,[1]weekly_demand!$A:$A,C$1,[1]weekly_demand!$C:$C,$A175))</f>
        <v/>
      </c>
      <c r="D175" s="39" t="str">
        <f>IF($A175="","",SUMIFS([1]weekly_demand!$D:$D,[1]weekly_demand!$A:$A,D$1,[1]weekly_demand!$C:$C,$A175))</f>
        <v/>
      </c>
      <c r="E175" s="39" t="str">
        <f>IF($A175="","",SUMIFS([1]weekly_demand!$D:$D,[1]weekly_demand!$A:$A,E$1,[1]weekly_demand!$C:$C,$A175))</f>
        <v/>
      </c>
      <c r="F175" s="39" t="str">
        <f>IF($A175="","",SUMIFS([1]weekly_demand!$D:$D,[1]weekly_demand!$A:$A,F$1,[1]weekly_demand!$C:$C,$A175))</f>
        <v/>
      </c>
      <c r="G175" s="39" t="str">
        <f>IF($A175="","",SUMIFS([1]weekly_demand!$D:$D,[1]weekly_demand!$A:$A,G$1,[1]weekly_demand!$C:$C,$A175))</f>
        <v/>
      </c>
    </row>
    <row r="176" spans="1:7" x14ac:dyDescent="0.3">
      <c r="A176" s="38"/>
      <c r="B176" s="39" t="str">
        <f>IF($A176="","",SUMIFS([1]weekly_demand!$D:$D,[1]weekly_demand!$A:$A,B$1,[1]weekly_demand!$C:$C,$A176))</f>
        <v/>
      </c>
      <c r="C176" s="39" t="str">
        <f>IF($A176="","",SUMIFS([1]weekly_demand!$D:$D,[1]weekly_demand!$A:$A,C$1,[1]weekly_demand!$C:$C,$A176))</f>
        <v/>
      </c>
      <c r="D176" s="39" t="str">
        <f>IF($A176="","",SUMIFS([1]weekly_demand!$D:$D,[1]weekly_demand!$A:$A,D$1,[1]weekly_demand!$C:$C,$A176))</f>
        <v/>
      </c>
      <c r="E176" s="39" t="str">
        <f>IF($A176="","",SUMIFS([1]weekly_demand!$D:$D,[1]weekly_demand!$A:$A,E$1,[1]weekly_demand!$C:$C,$A176))</f>
        <v/>
      </c>
      <c r="F176" s="39" t="str">
        <f>IF($A176="","",SUMIFS([1]weekly_demand!$D:$D,[1]weekly_demand!$A:$A,F$1,[1]weekly_demand!$C:$C,$A176))</f>
        <v/>
      </c>
      <c r="G176" s="39" t="str">
        <f>IF($A176="","",SUMIFS([1]weekly_demand!$D:$D,[1]weekly_demand!$A:$A,G$1,[1]weekly_demand!$C:$C,$A176))</f>
        <v/>
      </c>
    </row>
    <row r="177" spans="1:7" x14ac:dyDescent="0.3">
      <c r="A177" s="38"/>
      <c r="B177" s="39" t="str">
        <f>IF($A177="","",SUMIFS([1]weekly_demand!$D:$D,[1]weekly_demand!$A:$A,B$1,[1]weekly_demand!$C:$C,$A177))</f>
        <v/>
      </c>
      <c r="C177" s="39" t="str">
        <f>IF($A177="","",SUMIFS([1]weekly_demand!$D:$D,[1]weekly_demand!$A:$A,C$1,[1]weekly_demand!$C:$C,$A177))</f>
        <v/>
      </c>
      <c r="D177" s="39" t="str">
        <f>IF($A177="","",SUMIFS([1]weekly_demand!$D:$D,[1]weekly_demand!$A:$A,D$1,[1]weekly_demand!$C:$C,$A177))</f>
        <v/>
      </c>
      <c r="E177" s="39" t="str">
        <f>IF($A177="","",SUMIFS([1]weekly_demand!$D:$D,[1]weekly_demand!$A:$A,E$1,[1]weekly_demand!$C:$C,$A177))</f>
        <v/>
      </c>
      <c r="F177" s="39" t="str">
        <f>IF($A177="","",SUMIFS([1]weekly_demand!$D:$D,[1]weekly_demand!$A:$A,F$1,[1]weekly_demand!$C:$C,$A177))</f>
        <v/>
      </c>
      <c r="G177" s="39" t="str">
        <f>IF($A177="","",SUMIFS([1]weekly_demand!$D:$D,[1]weekly_demand!$A:$A,G$1,[1]weekly_demand!$C:$C,$A177))</f>
        <v/>
      </c>
    </row>
    <row r="178" spans="1:7" x14ac:dyDescent="0.3">
      <c r="A178" s="38"/>
      <c r="B178" s="39" t="str">
        <f>IF($A178="","",SUMIFS([1]weekly_demand!$D:$D,[1]weekly_demand!$A:$A,B$1,[1]weekly_demand!$C:$C,$A178))</f>
        <v/>
      </c>
      <c r="C178" s="39" t="str">
        <f>IF($A178="","",SUMIFS([1]weekly_demand!$D:$D,[1]weekly_demand!$A:$A,C$1,[1]weekly_demand!$C:$C,$A178))</f>
        <v/>
      </c>
      <c r="D178" s="39" t="str">
        <f>IF($A178="","",SUMIFS([1]weekly_demand!$D:$D,[1]weekly_demand!$A:$A,D$1,[1]weekly_demand!$C:$C,$A178))</f>
        <v/>
      </c>
      <c r="E178" s="39" t="str">
        <f>IF($A178="","",SUMIFS([1]weekly_demand!$D:$D,[1]weekly_demand!$A:$A,E$1,[1]weekly_demand!$C:$C,$A178))</f>
        <v/>
      </c>
      <c r="F178" s="39" t="str">
        <f>IF($A178="","",SUMIFS([1]weekly_demand!$D:$D,[1]weekly_demand!$A:$A,F$1,[1]weekly_demand!$C:$C,$A178))</f>
        <v/>
      </c>
      <c r="G178" s="39" t="str">
        <f>IF($A178="","",SUMIFS([1]weekly_demand!$D:$D,[1]weekly_demand!$A:$A,G$1,[1]weekly_demand!$C:$C,$A178))</f>
        <v/>
      </c>
    </row>
    <row r="179" spans="1:7" x14ac:dyDescent="0.3">
      <c r="A179" s="38"/>
      <c r="B179" s="39" t="str">
        <f>IF($A179="","",SUMIFS([1]weekly_demand!$D:$D,[1]weekly_demand!$A:$A,B$1,[1]weekly_demand!$C:$C,$A179))</f>
        <v/>
      </c>
      <c r="C179" s="39" t="str">
        <f>IF($A179="","",SUMIFS([1]weekly_demand!$D:$D,[1]weekly_demand!$A:$A,C$1,[1]weekly_demand!$C:$C,$A179))</f>
        <v/>
      </c>
      <c r="D179" s="39" t="str">
        <f>IF($A179="","",SUMIFS([1]weekly_demand!$D:$D,[1]weekly_demand!$A:$A,D$1,[1]weekly_demand!$C:$C,$A179))</f>
        <v/>
      </c>
      <c r="E179" s="39" t="str">
        <f>IF($A179="","",SUMIFS([1]weekly_demand!$D:$D,[1]weekly_demand!$A:$A,E$1,[1]weekly_demand!$C:$C,$A179))</f>
        <v/>
      </c>
      <c r="F179" s="39" t="str">
        <f>IF($A179="","",SUMIFS([1]weekly_demand!$D:$D,[1]weekly_demand!$A:$A,F$1,[1]weekly_demand!$C:$C,$A179))</f>
        <v/>
      </c>
      <c r="G179" s="39" t="str">
        <f>IF($A179="","",SUMIFS([1]weekly_demand!$D:$D,[1]weekly_demand!$A:$A,G$1,[1]weekly_demand!$C:$C,$A179))</f>
        <v/>
      </c>
    </row>
    <row r="180" spans="1:7" x14ac:dyDescent="0.3">
      <c r="A180" s="38"/>
      <c r="B180" s="39" t="str">
        <f>IF($A180="","",SUMIFS([1]weekly_demand!$D:$D,[1]weekly_demand!$A:$A,B$1,[1]weekly_demand!$C:$C,$A180))</f>
        <v/>
      </c>
      <c r="C180" s="39" t="str">
        <f>IF($A180="","",SUMIFS([1]weekly_demand!$D:$D,[1]weekly_demand!$A:$A,C$1,[1]weekly_demand!$C:$C,$A180))</f>
        <v/>
      </c>
      <c r="D180" s="39" t="str">
        <f>IF($A180="","",SUMIFS([1]weekly_demand!$D:$D,[1]weekly_demand!$A:$A,D$1,[1]weekly_demand!$C:$C,$A180))</f>
        <v/>
      </c>
      <c r="E180" s="39" t="str">
        <f>IF($A180="","",SUMIFS([1]weekly_demand!$D:$D,[1]weekly_demand!$A:$A,E$1,[1]weekly_demand!$C:$C,$A180))</f>
        <v/>
      </c>
      <c r="F180" s="39" t="str">
        <f>IF($A180="","",SUMIFS([1]weekly_demand!$D:$D,[1]weekly_demand!$A:$A,F$1,[1]weekly_demand!$C:$C,$A180))</f>
        <v/>
      </c>
      <c r="G180" s="39" t="str">
        <f>IF($A180="","",SUMIFS([1]weekly_demand!$D:$D,[1]weekly_demand!$A:$A,G$1,[1]weekly_demand!$C:$C,$A180))</f>
        <v/>
      </c>
    </row>
    <row r="181" spans="1:7" x14ac:dyDescent="0.3">
      <c r="A181" s="38"/>
      <c r="B181" s="39" t="str">
        <f>IF($A181="","",SUMIFS([1]weekly_demand!$D:$D,[1]weekly_demand!$A:$A,B$1,[1]weekly_demand!$C:$C,$A181))</f>
        <v/>
      </c>
      <c r="C181" s="39" t="str">
        <f>IF($A181="","",SUMIFS([1]weekly_demand!$D:$D,[1]weekly_demand!$A:$A,C$1,[1]weekly_demand!$C:$C,$A181))</f>
        <v/>
      </c>
      <c r="D181" s="39" t="str">
        <f>IF($A181="","",SUMIFS([1]weekly_demand!$D:$D,[1]weekly_demand!$A:$A,D$1,[1]weekly_demand!$C:$C,$A181))</f>
        <v/>
      </c>
      <c r="E181" s="39" t="str">
        <f>IF($A181="","",SUMIFS([1]weekly_demand!$D:$D,[1]weekly_demand!$A:$A,E$1,[1]weekly_demand!$C:$C,$A181))</f>
        <v/>
      </c>
      <c r="F181" s="39" t="str">
        <f>IF($A181="","",SUMIFS([1]weekly_demand!$D:$D,[1]weekly_demand!$A:$A,F$1,[1]weekly_demand!$C:$C,$A181))</f>
        <v/>
      </c>
      <c r="G181" s="39" t="str">
        <f>IF($A181="","",SUMIFS([1]weekly_demand!$D:$D,[1]weekly_demand!$A:$A,G$1,[1]weekly_demand!$C:$C,$A181))</f>
        <v/>
      </c>
    </row>
    <row r="182" spans="1:7" x14ac:dyDescent="0.3">
      <c r="A182" s="38"/>
      <c r="B182" s="39" t="str">
        <f>IF($A182="","",SUMIFS([1]weekly_demand!$D:$D,[1]weekly_demand!$A:$A,B$1,[1]weekly_demand!$C:$C,$A182))</f>
        <v/>
      </c>
      <c r="C182" s="39" t="str">
        <f>IF($A182="","",SUMIFS([1]weekly_demand!$D:$D,[1]weekly_demand!$A:$A,C$1,[1]weekly_demand!$C:$C,$A182))</f>
        <v/>
      </c>
      <c r="D182" s="39" t="str">
        <f>IF($A182="","",SUMIFS([1]weekly_demand!$D:$D,[1]weekly_demand!$A:$A,D$1,[1]weekly_demand!$C:$C,$A182))</f>
        <v/>
      </c>
      <c r="E182" s="39" t="str">
        <f>IF($A182="","",SUMIFS([1]weekly_demand!$D:$D,[1]weekly_demand!$A:$A,E$1,[1]weekly_demand!$C:$C,$A182))</f>
        <v/>
      </c>
      <c r="F182" s="39" t="str">
        <f>IF($A182="","",SUMIFS([1]weekly_demand!$D:$D,[1]weekly_demand!$A:$A,F$1,[1]weekly_demand!$C:$C,$A182))</f>
        <v/>
      </c>
      <c r="G182" s="39" t="str">
        <f>IF($A182="","",SUMIFS([1]weekly_demand!$D:$D,[1]weekly_demand!$A:$A,G$1,[1]weekly_demand!$C:$C,$A182))</f>
        <v/>
      </c>
    </row>
    <row r="183" spans="1:7" x14ac:dyDescent="0.3">
      <c r="A183" s="38"/>
      <c r="B183" s="39" t="str">
        <f>IF($A183="","",SUMIFS([1]weekly_demand!$D:$D,[1]weekly_demand!$A:$A,B$1,[1]weekly_demand!$C:$C,$A183))</f>
        <v/>
      </c>
      <c r="C183" s="39" t="str">
        <f>IF($A183="","",SUMIFS([1]weekly_demand!$D:$D,[1]weekly_demand!$A:$A,C$1,[1]weekly_demand!$C:$C,$A183))</f>
        <v/>
      </c>
      <c r="D183" s="39" t="str">
        <f>IF($A183="","",SUMIFS([1]weekly_demand!$D:$D,[1]weekly_demand!$A:$A,D$1,[1]weekly_demand!$C:$C,$A183))</f>
        <v/>
      </c>
      <c r="E183" s="39" t="str">
        <f>IF($A183="","",SUMIFS([1]weekly_demand!$D:$D,[1]weekly_demand!$A:$A,E$1,[1]weekly_demand!$C:$C,$A183))</f>
        <v/>
      </c>
      <c r="F183" s="39" t="str">
        <f>IF($A183="","",SUMIFS([1]weekly_demand!$D:$D,[1]weekly_demand!$A:$A,F$1,[1]weekly_demand!$C:$C,$A183))</f>
        <v/>
      </c>
      <c r="G183" s="39" t="str">
        <f>IF($A183="","",SUMIFS([1]weekly_demand!$D:$D,[1]weekly_demand!$A:$A,G$1,[1]weekly_demand!$C:$C,$A183))</f>
        <v/>
      </c>
    </row>
    <row r="184" spans="1:7" x14ac:dyDescent="0.3">
      <c r="A184" s="38"/>
      <c r="B184" s="39" t="str">
        <f>IF($A184="","",SUMIFS([1]weekly_demand!$D:$D,[1]weekly_demand!$A:$A,B$1,[1]weekly_demand!$C:$C,$A184))</f>
        <v/>
      </c>
      <c r="C184" s="39" t="str">
        <f>IF($A184="","",SUMIFS([1]weekly_demand!$D:$D,[1]weekly_demand!$A:$A,C$1,[1]weekly_demand!$C:$C,$A184))</f>
        <v/>
      </c>
      <c r="D184" s="39" t="str">
        <f>IF($A184="","",SUMIFS([1]weekly_demand!$D:$D,[1]weekly_demand!$A:$A,D$1,[1]weekly_demand!$C:$C,$A184))</f>
        <v/>
      </c>
      <c r="E184" s="39" t="str">
        <f>IF($A184="","",SUMIFS([1]weekly_demand!$D:$D,[1]weekly_demand!$A:$A,E$1,[1]weekly_demand!$C:$C,$A184))</f>
        <v/>
      </c>
      <c r="F184" s="39" t="str">
        <f>IF($A184="","",SUMIFS([1]weekly_demand!$D:$D,[1]weekly_demand!$A:$A,F$1,[1]weekly_demand!$C:$C,$A184))</f>
        <v/>
      </c>
      <c r="G184" s="39" t="str">
        <f>IF($A184="","",SUMIFS([1]weekly_demand!$D:$D,[1]weekly_demand!$A:$A,G$1,[1]weekly_demand!$C:$C,$A184))</f>
        <v/>
      </c>
    </row>
    <row r="185" spans="1:7" x14ac:dyDescent="0.3">
      <c r="A185" s="38"/>
      <c r="B185" s="39" t="str">
        <f>IF($A185="","",SUMIFS([1]weekly_demand!$D:$D,[1]weekly_demand!$A:$A,B$1,[1]weekly_demand!$C:$C,$A185))</f>
        <v/>
      </c>
      <c r="C185" s="39" t="str">
        <f>IF($A185="","",SUMIFS([1]weekly_demand!$D:$D,[1]weekly_demand!$A:$A,C$1,[1]weekly_demand!$C:$C,$A185))</f>
        <v/>
      </c>
      <c r="D185" s="39" t="str">
        <f>IF($A185="","",SUMIFS([1]weekly_demand!$D:$D,[1]weekly_demand!$A:$A,D$1,[1]weekly_demand!$C:$C,$A185))</f>
        <v/>
      </c>
      <c r="E185" s="39" t="str">
        <f>IF($A185="","",SUMIFS([1]weekly_demand!$D:$D,[1]weekly_demand!$A:$A,E$1,[1]weekly_demand!$C:$C,$A185))</f>
        <v/>
      </c>
      <c r="F185" s="39" t="str">
        <f>IF($A185="","",SUMIFS([1]weekly_demand!$D:$D,[1]weekly_demand!$A:$A,F$1,[1]weekly_demand!$C:$C,$A185))</f>
        <v/>
      </c>
      <c r="G185" s="39" t="str">
        <f>IF($A185="","",SUMIFS([1]weekly_demand!$D:$D,[1]weekly_demand!$A:$A,G$1,[1]weekly_demand!$C:$C,$A185))</f>
        <v/>
      </c>
    </row>
    <row r="186" spans="1:7" x14ac:dyDescent="0.3">
      <c r="A186" s="38"/>
      <c r="B186" s="39" t="str">
        <f>IF($A186="","",SUMIFS([1]weekly_demand!$D:$D,[1]weekly_demand!$A:$A,B$1,[1]weekly_demand!$C:$C,$A186))</f>
        <v/>
      </c>
      <c r="C186" s="39" t="str">
        <f>IF($A186="","",SUMIFS([1]weekly_demand!$D:$D,[1]weekly_demand!$A:$A,C$1,[1]weekly_demand!$C:$C,$A186))</f>
        <v/>
      </c>
      <c r="D186" s="39" t="str">
        <f>IF($A186="","",SUMIFS([1]weekly_demand!$D:$D,[1]weekly_demand!$A:$A,D$1,[1]weekly_demand!$C:$C,$A186))</f>
        <v/>
      </c>
      <c r="E186" s="39" t="str">
        <f>IF($A186="","",SUMIFS([1]weekly_demand!$D:$D,[1]weekly_demand!$A:$A,E$1,[1]weekly_demand!$C:$C,$A186))</f>
        <v/>
      </c>
      <c r="F186" s="39" t="str">
        <f>IF($A186="","",SUMIFS([1]weekly_demand!$D:$D,[1]weekly_demand!$A:$A,F$1,[1]weekly_demand!$C:$C,$A186))</f>
        <v/>
      </c>
      <c r="G186" s="39" t="str">
        <f>IF($A186="","",SUMIFS([1]weekly_demand!$D:$D,[1]weekly_demand!$A:$A,G$1,[1]weekly_demand!$C:$C,$A186))</f>
        <v/>
      </c>
    </row>
    <row r="187" spans="1:7" x14ac:dyDescent="0.3">
      <c r="A187" s="38"/>
      <c r="B187" s="39" t="str">
        <f>IF($A187="","",SUMIFS([1]weekly_demand!$D:$D,[1]weekly_demand!$A:$A,B$1,[1]weekly_demand!$C:$C,$A187))</f>
        <v/>
      </c>
      <c r="C187" s="39" t="str">
        <f>IF($A187="","",SUMIFS([1]weekly_demand!$D:$D,[1]weekly_demand!$A:$A,C$1,[1]weekly_demand!$C:$C,$A187))</f>
        <v/>
      </c>
      <c r="D187" s="39" t="str">
        <f>IF($A187="","",SUMIFS([1]weekly_demand!$D:$D,[1]weekly_demand!$A:$A,D$1,[1]weekly_demand!$C:$C,$A187))</f>
        <v/>
      </c>
      <c r="E187" s="39" t="str">
        <f>IF($A187="","",SUMIFS([1]weekly_demand!$D:$D,[1]weekly_demand!$A:$A,E$1,[1]weekly_demand!$C:$C,$A187))</f>
        <v/>
      </c>
      <c r="F187" s="39" t="str">
        <f>IF($A187="","",SUMIFS([1]weekly_demand!$D:$D,[1]weekly_demand!$A:$A,F$1,[1]weekly_demand!$C:$C,$A187))</f>
        <v/>
      </c>
      <c r="G187" s="39" t="str">
        <f>IF($A187="","",SUMIFS([1]weekly_demand!$D:$D,[1]weekly_demand!$A:$A,G$1,[1]weekly_demand!$C:$C,$A187))</f>
        <v/>
      </c>
    </row>
    <row r="188" spans="1:7" x14ac:dyDescent="0.3">
      <c r="A188" s="38"/>
      <c r="B188" s="39" t="str">
        <f>IF($A188="","",SUMIFS([1]weekly_demand!$D:$D,[1]weekly_demand!$A:$A,B$1,[1]weekly_demand!$C:$C,$A188))</f>
        <v/>
      </c>
      <c r="C188" s="39" t="str">
        <f>IF($A188="","",SUMIFS([1]weekly_demand!$D:$D,[1]weekly_demand!$A:$A,C$1,[1]weekly_demand!$C:$C,$A188))</f>
        <v/>
      </c>
      <c r="D188" s="39" t="str">
        <f>IF($A188="","",SUMIFS([1]weekly_demand!$D:$D,[1]weekly_demand!$A:$A,D$1,[1]weekly_demand!$C:$C,$A188))</f>
        <v/>
      </c>
      <c r="E188" s="39" t="str">
        <f>IF($A188="","",SUMIFS([1]weekly_demand!$D:$D,[1]weekly_demand!$A:$A,E$1,[1]weekly_demand!$C:$C,$A188))</f>
        <v/>
      </c>
      <c r="F188" s="39" t="str">
        <f>IF($A188="","",SUMIFS([1]weekly_demand!$D:$D,[1]weekly_demand!$A:$A,F$1,[1]weekly_demand!$C:$C,$A188))</f>
        <v/>
      </c>
      <c r="G188" s="39" t="str">
        <f>IF($A188="","",SUMIFS([1]weekly_demand!$D:$D,[1]weekly_demand!$A:$A,G$1,[1]weekly_demand!$C:$C,$A188))</f>
        <v/>
      </c>
    </row>
    <row r="189" spans="1:7" x14ac:dyDescent="0.3">
      <c r="A189" s="38"/>
      <c r="B189" s="39" t="str">
        <f>IF($A189="","",SUMIFS([1]weekly_demand!$D:$D,[1]weekly_demand!$A:$A,B$1,[1]weekly_demand!$C:$C,$A189))</f>
        <v/>
      </c>
      <c r="C189" s="39" t="str">
        <f>IF($A189="","",SUMIFS([1]weekly_demand!$D:$D,[1]weekly_demand!$A:$A,C$1,[1]weekly_demand!$C:$C,$A189))</f>
        <v/>
      </c>
      <c r="D189" s="39" t="str">
        <f>IF($A189="","",SUMIFS([1]weekly_demand!$D:$D,[1]weekly_demand!$A:$A,D$1,[1]weekly_demand!$C:$C,$A189))</f>
        <v/>
      </c>
      <c r="E189" s="39" t="str">
        <f>IF($A189="","",SUMIFS([1]weekly_demand!$D:$D,[1]weekly_demand!$A:$A,E$1,[1]weekly_demand!$C:$C,$A189))</f>
        <v/>
      </c>
      <c r="F189" s="39" t="str">
        <f>IF($A189="","",SUMIFS([1]weekly_demand!$D:$D,[1]weekly_demand!$A:$A,F$1,[1]weekly_demand!$C:$C,$A189))</f>
        <v/>
      </c>
      <c r="G189" s="39" t="str">
        <f>IF($A189="","",SUMIFS([1]weekly_demand!$D:$D,[1]weekly_demand!$A:$A,G$1,[1]weekly_demand!$C:$C,$A189))</f>
        <v/>
      </c>
    </row>
    <row r="190" spans="1:7" x14ac:dyDescent="0.3">
      <c r="A190" s="38"/>
      <c r="B190" s="39" t="str">
        <f>IF($A190="","",SUMIFS([1]weekly_demand!$D:$D,[1]weekly_demand!$A:$A,B$1,[1]weekly_demand!$C:$C,$A190))</f>
        <v/>
      </c>
      <c r="C190" s="39" t="str">
        <f>IF($A190="","",SUMIFS([1]weekly_demand!$D:$D,[1]weekly_demand!$A:$A,C$1,[1]weekly_demand!$C:$C,$A190))</f>
        <v/>
      </c>
      <c r="D190" s="39" t="str">
        <f>IF($A190="","",SUMIFS([1]weekly_demand!$D:$D,[1]weekly_demand!$A:$A,D$1,[1]weekly_demand!$C:$C,$A190))</f>
        <v/>
      </c>
      <c r="E190" s="39" t="str">
        <f>IF($A190="","",SUMIFS([1]weekly_demand!$D:$D,[1]weekly_demand!$A:$A,E$1,[1]weekly_demand!$C:$C,$A190))</f>
        <v/>
      </c>
      <c r="F190" s="39" t="str">
        <f>IF($A190="","",SUMIFS([1]weekly_demand!$D:$D,[1]weekly_demand!$A:$A,F$1,[1]weekly_demand!$C:$C,$A190))</f>
        <v/>
      </c>
      <c r="G190" s="39" t="str">
        <f>IF($A190="","",SUMIFS([1]weekly_demand!$D:$D,[1]weekly_demand!$A:$A,G$1,[1]weekly_demand!$C:$C,$A190))</f>
        <v/>
      </c>
    </row>
    <row r="191" spans="1:7" x14ac:dyDescent="0.3">
      <c r="A191" s="38"/>
      <c r="B191" s="39" t="str">
        <f>IF($A191="","",SUMIFS([1]weekly_demand!$D:$D,[1]weekly_demand!$A:$A,B$1,[1]weekly_demand!$C:$C,$A191))</f>
        <v/>
      </c>
      <c r="C191" s="39" t="str">
        <f>IF($A191="","",SUMIFS([1]weekly_demand!$D:$D,[1]weekly_demand!$A:$A,C$1,[1]weekly_demand!$C:$C,$A191))</f>
        <v/>
      </c>
      <c r="D191" s="39" t="str">
        <f>IF($A191="","",SUMIFS([1]weekly_demand!$D:$D,[1]weekly_demand!$A:$A,D$1,[1]weekly_demand!$C:$C,$A191))</f>
        <v/>
      </c>
      <c r="E191" s="39" t="str">
        <f>IF($A191="","",SUMIFS([1]weekly_demand!$D:$D,[1]weekly_demand!$A:$A,E$1,[1]weekly_demand!$C:$C,$A191))</f>
        <v/>
      </c>
      <c r="F191" s="39" t="str">
        <f>IF($A191="","",SUMIFS([1]weekly_demand!$D:$D,[1]weekly_demand!$A:$A,F$1,[1]weekly_demand!$C:$C,$A191))</f>
        <v/>
      </c>
      <c r="G191" s="39" t="str">
        <f>IF($A191="","",SUMIFS([1]weekly_demand!$D:$D,[1]weekly_demand!$A:$A,G$1,[1]weekly_demand!$C:$C,$A191))</f>
        <v/>
      </c>
    </row>
    <row r="192" spans="1:7" x14ac:dyDescent="0.3">
      <c r="A192" s="38"/>
      <c r="B192" s="39" t="str">
        <f>IF($A192="","",SUMIFS([1]weekly_demand!$D:$D,[1]weekly_demand!$A:$A,B$1,[1]weekly_demand!$C:$C,$A192))</f>
        <v/>
      </c>
      <c r="C192" s="39" t="str">
        <f>IF($A192="","",SUMIFS([1]weekly_demand!$D:$D,[1]weekly_demand!$A:$A,C$1,[1]weekly_demand!$C:$C,$A192))</f>
        <v/>
      </c>
      <c r="D192" s="39" t="str">
        <f>IF($A192="","",SUMIFS([1]weekly_demand!$D:$D,[1]weekly_demand!$A:$A,D$1,[1]weekly_demand!$C:$C,$A192))</f>
        <v/>
      </c>
      <c r="E192" s="39" t="str">
        <f>IF($A192="","",SUMIFS([1]weekly_demand!$D:$D,[1]weekly_demand!$A:$A,E$1,[1]weekly_demand!$C:$C,$A192))</f>
        <v/>
      </c>
      <c r="F192" s="39" t="str">
        <f>IF($A192="","",SUMIFS([1]weekly_demand!$D:$D,[1]weekly_demand!$A:$A,F$1,[1]weekly_demand!$C:$C,$A192))</f>
        <v/>
      </c>
      <c r="G192" s="39" t="str">
        <f>IF($A192="","",SUMIFS([1]weekly_demand!$D:$D,[1]weekly_demand!$A:$A,G$1,[1]weekly_demand!$C:$C,$A192))</f>
        <v/>
      </c>
    </row>
    <row r="193" spans="1:7" x14ac:dyDescent="0.3">
      <c r="A193" s="38"/>
      <c r="B193" s="39" t="str">
        <f>IF($A193="","",SUMIFS([1]weekly_demand!$D:$D,[1]weekly_demand!$A:$A,B$1,[1]weekly_demand!$C:$C,$A193))</f>
        <v/>
      </c>
      <c r="C193" s="39" t="str">
        <f>IF($A193="","",SUMIFS([1]weekly_demand!$D:$D,[1]weekly_demand!$A:$A,C$1,[1]weekly_demand!$C:$C,$A193))</f>
        <v/>
      </c>
      <c r="D193" s="39" t="str">
        <f>IF($A193="","",SUMIFS([1]weekly_demand!$D:$D,[1]weekly_demand!$A:$A,D$1,[1]weekly_demand!$C:$C,$A193))</f>
        <v/>
      </c>
      <c r="E193" s="39" t="str">
        <f>IF($A193="","",SUMIFS([1]weekly_demand!$D:$D,[1]weekly_demand!$A:$A,E$1,[1]weekly_demand!$C:$C,$A193))</f>
        <v/>
      </c>
      <c r="F193" s="39" t="str">
        <f>IF($A193="","",SUMIFS([1]weekly_demand!$D:$D,[1]weekly_demand!$A:$A,F$1,[1]weekly_demand!$C:$C,$A193))</f>
        <v/>
      </c>
      <c r="G193" s="39" t="str">
        <f>IF($A193="","",SUMIFS([1]weekly_demand!$D:$D,[1]weekly_demand!$A:$A,G$1,[1]weekly_demand!$C:$C,$A193))</f>
        <v/>
      </c>
    </row>
    <row r="194" spans="1:7" x14ac:dyDescent="0.3">
      <c r="A194" s="38"/>
      <c r="B194" s="39" t="str">
        <f>IF($A194="","",SUMIFS([1]weekly_demand!$D:$D,[1]weekly_demand!$A:$A,B$1,[1]weekly_demand!$C:$C,$A194))</f>
        <v/>
      </c>
      <c r="C194" s="39" t="str">
        <f>IF($A194="","",SUMIFS([1]weekly_demand!$D:$D,[1]weekly_demand!$A:$A,C$1,[1]weekly_demand!$C:$C,$A194))</f>
        <v/>
      </c>
      <c r="D194" s="39" t="str">
        <f>IF($A194="","",SUMIFS([1]weekly_demand!$D:$D,[1]weekly_demand!$A:$A,D$1,[1]weekly_demand!$C:$C,$A194))</f>
        <v/>
      </c>
      <c r="E194" s="39" t="str">
        <f>IF($A194="","",SUMIFS([1]weekly_demand!$D:$D,[1]weekly_demand!$A:$A,E$1,[1]weekly_demand!$C:$C,$A194))</f>
        <v/>
      </c>
      <c r="F194" s="39" t="str">
        <f>IF($A194="","",SUMIFS([1]weekly_demand!$D:$D,[1]weekly_demand!$A:$A,F$1,[1]weekly_demand!$C:$C,$A194))</f>
        <v/>
      </c>
      <c r="G194" s="39" t="str">
        <f>IF($A194="","",SUMIFS([1]weekly_demand!$D:$D,[1]weekly_demand!$A:$A,G$1,[1]weekly_demand!$C:$C,$A194))</f>
        <v/>
      </c>
    </row>
    <row r="195" spans="1:7" x14ac:dyDescent="0.3">
      <c r="A195" s="38"/>
      <c r="B195" s="39" t="str">
        <f>IF($A195="","",SUMIFS([1]weekly_demand!$D:$D,[1]weekly_demand!$A:$A,B$1,[1]weekly_demand!$C:$C,$A195))</f>
        <v/>
      </c>
      <c r="C195" s="39" t="str">
        <f>IF($A195="","",SUMIFS([1]weekly_demand!$D:$D,[1]weekly_demand!$A:$A,C$1,[1]weekly_demand!$C:$C,$A195))</f>
        <v/>
      </c>
      <c r="D195" s="39" t="str">
        <f>IF($A195="","",SUMIFS([1]weekly_demand!$D:$D,[1]weekly_demand!$A:$A,D$1,[1]weekly_demand!$C:$C,$A195))</f>
        <v/>
      </c>
      <c r="E195" s="39" t="str">
        <f>IF($A195="","",SUMIFS([1]weekly_demand!$D:$D,[1]weekly_demand!$A:$A,E$1,[1]weekly_demand!$C:$C,$A195))</f>
        <v/>
      </c>
      <c r="F195" s="39" t="str">
        <f>IF($A195="","",SUMIFS([1]weekly_demand!$D:$D,[1]weekly_demand!$A:$A,F$1,[1]weekly_demand!$C:$C,$A195))</f>
        <v/>
      </c>
      <c r="G195" s="39" t="str">
        <f>IF($A195="","",SUMIFS([1]weekly_demand!$D:$D,[1]weekly_demand!$A:$A,G$1,[1]weekly_demand!$C:$C,$A195))</f>
        <v/>
      </c>
    </row>
    <row r="196" spans="1:7" x14ac:dyDescent="0.3">
      <c r="A196" s="38"/>
      <c r="B196" s="39" t="str">
        <f>IF($A196="","",SUMIFS([1]weekly_demand!$D:$D,[1]weekly_demand!$A:$A,B$1,[1]weekly_demand!$C:$C,$A196))</f>
        <v/>
      </c>
      <c r="C196" s="39" t="str">
        <f>IF($A196="","",SUMIFS([1]weekly_demand!$D:$D,[1]weekly_demand!$A:$A,C$1,[1]weekly_demand!$C:$C,$A196))</f>
        <v/>
      </c>
      <c r="D196" s="39" t="str">
        <f>IF($A196="","",SUMIFS([1]weekly_demand!$D:$D,[1]weekly_demand!$A:$A,D$1,[1]weekly_demand!$C:$C,$A196))</f>
        <v/>
      </c>
      <c r="E196" s="39" t="str">
        <f>IF($A196="","",SUMIFS([1]weekly_demand!$D:$D,[1]weekly_demand!$A:$A,E$1,[1]weekly_demand!$C:$C,$A196))</f>
        <v/>
      </c>
      <c r="F196" s="39" t="str">
        <f>IF($A196="","",SUMIFS([1]weekly_demand!$D:$D,[1]weekly_demand!$A:$A,F$1,[1]weekly_demand!$C:$C,$A196))</f>
        <v/>
      </c>
      <c r="G196" s="39" t="str">
        <f>IF($A196="","",SUMIFS([1]weekly_demand!$D:$D,[1]weekly_demand!$A:$A,G$1,[1]weekly_demand!$C:$C,$A196))</f>
        <v/>
      </c>
    </row>
    <row r="197" spans="1:7" x14ac:dyDescent="0.3">
      <c r="A197" s="38"/>
      <c r="B197" s="39" t="str">
        <f>IF($A197="","",SUMIFS([1]weekly_demand!$D:$D,[1]weekly_demand!$A:$A,B$1,[1]weekly_demand!$C:$C,$A197))</f>
        <v/>
      </c>
      <c r="C197" s="39" t="str">
        <f>IF($A197="","",SUMIFS([1]weekly_demand!$D:$D,[1]weekly_demand!$A:$A,C$1,[1]weekly_demand!$C:$C,$A197))</f>
        <v/>
      </c>
      <c r="D197" s="39" t="str">
        <f>IF($A197="","",SUMIFS([1]weekly_demand!$D:$D,[1]weekly_demand!$A:$A,D$1,[1]weekly_demand!$C:$C,$A197))</f>
        <v/>
      </c>
      <c r="E197" s="39" t="str">
        <f>IF($A197="","",SUMIFS([1]weekly_demand!$D:$D,[1]weekly_demand!$A:$A,E$1,[1]weekly_demand!$C:$C,$A197))</f>
        <v/>
      </c>
      <c r="F197" s="39" t="str">
        <f>IF($A197="","",SUMIFS([1]weekly_demand!$D:$D,[1]weekly_demand!$A:$A,F$1,[1]weekly_demand!$C:$C,$A197))</f>
        <v/>
      </c>
      <c r="G197" s="39" t="str">
        <f>IF($A197="","",SUMIFS([1]weekly_demand!$D:$D,[1]weekly_demand!$A:$A,G$1,[1]weekly_demand!$C:$C,$A197))</f>
        <v/>
      </c>
    </row>
    <row r="198" spans="1:7" x14ac:dyDescent="0.3">
      <c r="A198" s="38"/>
      <c r="B198" s="39" t="str">
        <f>IF($A198="","",SUMIFS([1]weekly_demand!$D:$D,[1]weekly_demand!$A:$A,B$1,[1]weekly_demand!$C:$C,$A198))</f>
        <v/>
      </c>
      <c r="C198" s="39" t="str">
        <f>IF($A198="","",SUMIFS([1]weekly_demand!$D:$D,[1]weekly_demand!$A:$A,C$1,[1]weekly_demand!$C:$C,$A198))</f>
        <v/>
      </c>
      <c r="D198" s="39" t="str">
        <f>IF($A198="","",SUMIFS([1]weekly_demand!$D:$D,[1]weekly_demand!$A:$A,D$1,[1]weekly_demand!$C:$C,$A198))</f>
        <v/>
      </c>
      <c r="E198" s="39" t="str">
        <f>IF($A198="","",SUMIFS([1]weekly_demand!$D:$D,[1]weekly_demand!$A:$A,E$1,[1]weekly_demand!$C:$C,$A198))</f>
        <v/>
      </c>
      <c r="F198" s="39" t="str">
        <f>IF($A198="","",SUMIFS([1]weekly_demand!$D:$D,[1]weekly_demand!$A:$A,F$1,[1]weekly_demand!$C:$C,$A198))</f>
        <v/>
      </c>
      <c r="G198" s="39" t="str">
        <f>IF($A198="","",SUMIFS([1]weekly_demand!$D:$D,[1]weekly_demand!$A:$A,G$1,[1]weekly_demand!$C:$C,$A198))</f>
        <v/>
      </c>
    </row>
    <row r="199" spans="1:7" x14ac:dyDescent="0.3">
      <c r="A199" s="38"/>
      <c r="B199" s="39" t="str">
        <f>IF($A199="","",SUMIFS([1]weekly_demand!$D:$D,[1]weekly_demand!$A:$A,B$1,[1]weekly_demand!$C:$C,$A199))</f>
        <v/>
      </c>
      <c r="C199" s="39" t="str">
        <f>IF($A199="","",SUMIFS([1]weekly_demand!$D:$D,[1]weekly_demand!$A:$A,C$1,[1]weekly_demand!$C:$C,$A199))</f>
        <v/>
      </c>
      <c r="D199" s="39" t="str">
        <f>IF($A199="","",SUMIFS([1]weekly_demand!$D:$D,[1]weekly_demand!$A:$A,D$1,[1]weekly_demand!$C:$C,$A199))</f>
        <v/>
      </c>
      <c r="E199" s="39" t="str">
        <f>IF($A199="","",SUMIFS([1]weekly_demand!$D:$D,[1]weekly_demand!$A:$A,E$1,[1]weekly_demand!$C:$C,$A199))</f>
        <v/>
      </c>
      <c r="F199" s="39" t="str">
        <f>IF($A199="","",SUMIFS([1]weekly_demand!$D:$D,[1]weekly_demand!$A:$A,F$1,[1]weekly_demand!$C:$C,$A199))</f>
        <v/>
      </c>
      <c r="G199" s="39" t="str">
        <f>IF($A199="","",SUMIFS([1]weekly_demand!$D:$D,[1]weekly_demand!$A:$A,G$1,[1]weekly_demand!$C:$C,$A199))</f>
        <v/>
      </c>
    </row>
    <row r="200" spans="1:7" x14ac:dyDescent="0.3">
      <c r="A200" s="38"/>
      <c r="B200" s="39" t="str">
        <f>IF($A200="","",SUMIFS([1]weekly_demand!$D:$D,[1]weekly_demand!$A:$A,B$1,[1]weekly_demand!$C:$C,$A200))</f>
        <v/>
      </c>
      <c r="C200" s="39" t="str">
        <f>IF($A200="","",SUMIFS([1]weekly_demand!$D:$D,[1]weekly_demand!$A:$A,C$1,[1]weekly_demand!$C:$C,$A200))</f>
        <v/>
      </c>
      <c r="D200" s="39" t="str">
        <f>IF($A200="","",SUMIFS([1]weekly_demand!$D:$D,[1]weekly_demand!$A:$A,D$1,[1]weekly_demand!$C:$C,$A200))</f>
        <v/>
      </c>
      <c r="E200" s="39" t="str">
        <f>IF($A200="","",SUMIFS([1]weekly_demand!$D:$D,[1]weekly_demand!$A:$A,E$1,[1]weekly_demand!$C:$C,$A200))</f>
        <v/>
      </c>
      <c r="F200" s="39" t="str">
        <f>IF($A200="","",SUMIFS([1]weekly_demand!$D:$D,[1]weekly_demand!$A:$A,F$1,[1]weekly_demand!$C:$C,$A200))</f>
        <v/>
      </c>
      <c r="G200" s="39" t="str">
        <f>IF($A200="","",SUMIFS([1]weekly_demand!$D:$D,[1]weekly_demand!$A:$A,G$1,[1]weekly_demand!$C:$C,$A200))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5212D-2B24-4011-8AE5-352DADD2E044}">
  <dimension ref="A1:U1000"/>
  <sheetViews>
    <sheetView topLeftCell="A27" zoomScale="64" workbookViewId="0">
      <selection activeCell="Q15" sqref="Q15"/>
    </sheetView>
  </sheetViews>
  <sheetFormatPr defaultRowHeight="14.4" x14ac:dyDescent="0.3"/>
  <cols>
    <col min="1" max="1" width="10" customWidth="1"/>
    <col min="2" max="2" width="12" customWidth="1"/>
    <col min="3" max="3" width="14" customWidth="1"/>
    <col min="4" max="4" width="16" customWidth="1"/>
    <col min="5" max="5" width="14" customWidth="1"/>
    <col min="6" max="8" width="16" customWidth="1"/>
    <col min="9" max="9" width="14" customWidth="1"/>
    <col min="10" max="10" width="18" customWidth="1"/>
    <col min="11" max="11" width="14" customWidth="1"/>
    <col min="12" max="13" width="12" customWidth="1"/>
    <col min="14" max="14" width="14" customWidth="1"/>
    <col min="15" max="15" width="22" customWidth="1"/>
    <col min="16" max="16" width="10" customWidth="1"/>
    <col min="17" max="17" width="8.88671875" customWidth="1"/>
    <col min="18" max="18" width="11" bestFit="1" customWidth="1"/>
    <col min="19" max="19" width="17.5546875" customWidth="1"/>
    <col min="20" max="20" width="9.5546875" customWidth="1"/>
    <col min="21" max="21" width="71.44140625" bestFit="1" customWidth="1"/>
  </cols>
  <sheetData>
    <row r="1" spans="1:21" ht="28.8" x14ac:dyDescent="0.3">
      <c r="A1" s="52" t="s">
        <v>156</v>
      </c>
      <c r="B1" s="52" t="s">
        <v>26</v>
      </c>
      <c r="C1" s="52" t="s">
        <v>130</v>
      </c>
      <c r="D1" s="52" t="s">
        <v>157</v>
      </c>
      <c r="E1" s="52" t="s">
        <v>158</v>
      </c>
      <c r="F1" s="52" t="s">
        <v>159</v>
      </c>
      <c r="G1" s="52" t="s">
        <v>325</v>
      </c>
      <c r="H1" s="52" t="s">
        <v>160</v>
      </c>
      <c r="I1" s="52" t="s">
        <v>161</v>
      </c>
      <c r="J1" s="52" t="s">
        <v>162</v>
      </c>
      <c r="K1" s="52" t="s">
        <v>163</v>
      </c>
      <c r="L1" s="52" t="s">
        <v>164</v>
      </c>
      <c r="M1" s="52" t="s">
        <v>165</v>
      </c>
      <c r="N1" s="52" t="s">
        <v>166</v>
      </c>
      <c r="O1" s="52" t="s">
        <v>167</v>
      </c>
      <c r="P1" s="104"/>
      <c r="Q1" s="102" t="s">
        <v>156</v>
      </c>
      <c r="R1" s="103" t="s">
        <v>324</v>
      </c>
      <c r="S1" s="103" t="s">
        <v>325</v>
      </c>
      <c r="T1" s="101"/>
      <c r="U1" s="53" t="s">
        <v>168</v>
      </c>
    </row>
    <row r="2" spans="1:21" x14ac:dyDescent="0.3">
      <c r="A2" s="54" t="str" cm="1">
        <f t="array" ref="A2:E172">_xlfn.UNIQUE(_xlfn.CHOOSECOLS(Demand_!A2:L466,1,6,11,7,12))</f>
        <v>A</v>
      </c>
      <c r="B2" s="55" t="str">
        <v>123AB</v>
      </c>
      <c r="C2" s="56">
        <v>46139</v>
      </c>
      <c r="D2" s="57">
        <v>15000</v>
      </c>
      <c r="E2" s="58">
        <v>684</v>
      </c>
      <c r="F2" s="57">
        <f t="shared" ref="F2:F65" si="0">IF($A2="","",IF($A2&lt;&gt;$A1,_xlfn.XLOOKUP($A2,$Q$2:$Q$7,$R$2:$R$7,0),K1))</f>
        <v>0</v>
      </c>
      <c r="G2" s="57">
        <f t="shared" ref="G2:G65" si="1">IF($A2="","",_xlfn.XLOOKUP($A2,$Q$2:$Q$7,$S$2:$S$7,0))</f>
        <v>15000</v>
      </c>
      <c r="H2" s="57">
        <f>IF($A2="","",IF($A2&lt;&gt;$A3,0,MAX(0,H3+E3-D3)))</f>
        <v>10000</v>
      </c>
      <c r="I2" s="58">
        <f t="shared" ref="I2" si="2">IF($A2="","",MAX(0,E2+H2-F2))</f>
        <v>10684</v>
      </c>
      <c r="J2" s="58">
        <f t="shared" ref="J2:J65" si="3">IF($A2="","",MIN($D2,$I2,MAX(0,$E2+$G2-$F2)))</f>
        <v>10684</v>
      </c>
      <c r="K2" s="58">
        <f>IF($A2="","",MIN($G2,MAX(0,$F2+$J2-$E2)))</f>
        <v>10000</v>
      </c>
      <c r="L2" s="58">
        <f t="shared" ref="L2" si="4">IF($A2="","",MAX(0,E2-F2-J2))</f>
        <v>0</v>
      </c>
      <c r="M2" s="58">
        <f t="shared" ref="M2" si="5">IF($A2="","",MAX(0,F2+J2-E2))</f>
        <v>10000</v>
      </c>
      <c r="N2" s="59">
        <f t="shared" ref="N2:N65" si="6">IF($A2="","",IFERROR(J2/D2,0))</f>
        <v>0.71226666666666671</v>
      </c>
      <c r="O2" s="60"/>
      <c r="P2" s="105"/>
      <c r="Q2" s="100" t="s">
        <v>30</v>
      </c>
      <c r="R2" s="101">
        <v>0</v>
      </c>
      <c r="S2" s="101">
        <v>15000</v>
      </c>
      <c r="T2" s="101"/>
      <c r="U2" s="61" t="s">
        <v>169</v>
      </c>
    </row>
    <row r="3" spans="1:21" x14ac:dyDescent="0.3">
      <c r="A3" s="54" t="str">
        <v>A</v>
      </c>
      <c r="B3" s="55" t="str">
        <v>123AB</v>
      </c>
      <c r="C3" s="56">
        <v>46146</v>
      </c>
      <c r="D3" s="57">
        <v>15000</v>
      </c>
      <c r="E3" s="58">
        <v>20000</v>
      </c>
      <c r="F3" s="57">
        <f t="shared" si="0"/>
        <v>10000</v>
      </c>
      <c r="G3" s="57">
        <f t="shared" si="1"/>
        <v>15000</v>
      </c>
      <c r="H3" s="57">
        <f t="shared" ref="H3:H33" si="7">IF($A3="","",IF($A3&lt;&gt;$A4,0,MAX(0,H4+E4-D4)))</f>
        <v>5000</v>
      </c>
      <c r="I3" s="58">
        <f t="shared" ref="I3:I66" si="8">IF($A3="","",MAX(0,E3+H3-F3))</f>
        <v>15000</v>
      </c>
      <c r="J3" s="58">
        <f t="shared" si="3"/>
        <v>15000</v>
      </c>
      <c r="K3" s="58">
        <f t="shared" ref="K3:K66" si="9">IF($A3="","",MIN($G3,MAX(0,$F3+$J3-$E3)))</f>
        <v>5000</v>
      </c>
      <c r="L3" s="58">
        <f t="shared" ref="L3:L66" si="10">IF($A3="","",MAX(0,E3-F3-J3))</f>
        <v>0</v>
      </c>
      <c r="M3" s="58">
        <f t="shared" ref="M3:M66" si="11">IF($A3="","",MAX(0,F3+J3-E3))</f>
        <v>5000</v>
      </c>
      <c r="N3" s="59">
        <f t="shared" si="6"/>
        <v>1</v>
      </c>
      <c r="O3" s="60"/>
      <c r="P3" s="105"/>
      <c r="Q3" s="100" t="s">
        <v>35</v>
      </c>
      <c r="R3" s="101">
        <v>0</v>
      </c>
      <c r="S3" s="101">
        <v>15000</v>
      </c>
      <c r="T3" s="101"/>
      <c r="U3" s="61" t="s">
        <v>170</v>
      </c>
    </row>
    <row r="4" spans="1:21" x14ac:dyDescent="0.3">
      <c r="A4" s="54" t="str">
        <v>A</v>
      </c>
      <c r="B4" s="55" t="str">
        <v>123AB</v>
      </c>
      <c r="C4" s="56">
        <v>46153</v>
      </c>
      <c r="D4" s="57">
        <v>15000</v>
      </c>
      <c r="E4" s="58">
        <v>20000</v>
      </c>
      <c r="F4" s="57">
        <f t="shared" si="0"/>
        <v>5000</v>
      </c>
      <c r="G4" s="57">
        <f t="shared" si="1"/>
        <v>15000</v>
      </c>
      <c r="H4" s="57">
        <f t="shared" si="7"/>
        <v>0</v>
      </c>
      <c r="I4" s="58">
        <f t="shared" si="8"/>
        <v>15000</v>
      </c>
      <c r="J4" s="58">
        <f t="shared" si="3"/>
        <v>15000</v>
      </c>
      <c r="K4" s="58">
        <f t="shared" si="9"/>
        <v>0</v>
      </c>
      <c r="L4" s="58">
        <f t="shared" si="10"/>
        <v>0</v>
      </c>
      <c r="M4" s="58">
        <f t="shared" si="11"/>
        <v>0</v>
      </c>
      <c r="N4" s="59">
        <f t="shared" si="6"/>
        <v>1</v>
      </c>
      <c r="O4" s="60"/>
      <c r="P4" s="105"/>
      <c r="Q4" s="100" t="s">
        <v>38</v>
      </c>
      <c r="R4" s="101">
        <v>0</v>
      </c>
      <c r="S4" s="101">
        <v>5000</v>
      </c>
      <c r="T4" s="101"/>
      <c r="U4" s="61" t="s">
        <v>171</v>
      </c>
    </row>
    <row r="5" spans="1:21" x14ac:dyDescent="0.3">
      <c r="A5" s="54" t="str">
        <v>A</v>
      </c>
      <c r="B5" s="55" t="str">
        <v>123AB</v>
      </c>
      <c r="C5" s="56">
        <v>46160</v>
      </c>
      <c r="D5" s="57">
        <v>15000</v>
      </c>
      <c r="E5" s="58">
        <v>11000</v>
      </c>
      <c r="F5" s="57">
        <f t="shared" si="0"/>
        <v>0</v>
      </c>
      <c r="G5" s="57">
        <f t="shared" si="1"/>
        <v>15000</v>
      </c>
      <c r="H5" s="57">
        <f t="shared" si="7"/>
        <v>0</v>
      </c>
      <c r="I5" s="58">
        <f t="shared" si="8"/>
        <v>11000</v>
      </c>
      <c r="J5" s="58">
        <f t="shared" si="3"/>
        <v>11000</v>
      </c>
      <c r="K5" s="58">
        <f t="shared" si="9"/>
        <v>0</v>
      </c>
      <c r="L5" s="58">
        <f t="shared" si="10"/>
        <v>0</v>
      </c>
      <c r="M5" s="58">
        <f t="shared" si="11"/>
        <v>0</v>
      </c>
      <c r="N5" s="59">
        <f t="shared" si="6"/>
        <v>0.73333333333333328</v>
      </c>
      <c r="O5" s="60"/>
      <c r="P5" s="105"/>
      <c r="Q5" s="100" t="s">
        <v>43</v>
      </c>
      <c r="R5" s="101">
        <v>0</v>
      </c>
      <c r="S5" s="101">
        <v>5000</v>
      </c>
      <c r="T5" s="101"/>
    </row>
    <row r="6" spans="1:21" x14ac:dyDescent="0.3">
      <c r="A6" s="54" t="str">
        <v>A</v>
      </c>
      <c r="B6" s="55" t="str">
        <v>123AB</v>
      </c>
      <c r="C6" s="56">
        <v>46167</v>
      </c>
      <c r="D6" s="57">
        <v>15000</v>
      </c>
      <c r="E6" s="58">
        <v>13000</v>
      </c>
      <c r="F6" s="57">
        <f t="shared" si="0"/>
        <v>0</v>
      </c>
      <c r="G6" s="57">
        <f t="shared" si="1"/>
        <v>15000</v>
      </c>
      <c r="H6" s="57">
        <f t="shared" si="7"/>
        <v>0</v>
      </c>
      <c r="I6" s="58">
        <f t="shared" si="8"/>
        <v>13000</v>
      </c>
      <c r="J6" s="58">
        <f t="shared" si="3"/>
        <v>13000</v>
      </c>
      <c r="K6" s="58">
        <f t="shared" si="9"/>
        <v>0</v>
      </c>
      <c r="L6" s="58">
        <f t="shared" si="10"/>
        <v>0</v>
      </c>
      <c r="M6" s="58">
        <f t="shared" si="11"/>
        <v>0</v>
      </c>
      <c r="N6" s="59">
        <f t="shared" si="6"/>
        <v>0.8666666666666667</v>
      </c>
      <c r="O6" s="60"/>
      <c r="P6" s="105"/>
      <c r="Q6" s="100" t="s">
        <v>46</v>
      </c>
      <c r="R6" s="101">
        <v>0</v>
      </c>
      <c r="S6" s="101">
        <v>3000</v>
      </c>
      <c r="T6" s="101"/>
    </row>
    <row r="7" spans="1:21" x14ac:dyDescent="0.3">
      <c r="A7" s="54" t="str">
        <v>A</v>
      </c>
      <c r="B7" s="55" t="str">
        <v>123AB</v>
      </c>
      <c r="C7" s="56">
        <v>46174</v>
      </c>
      <c r="D7" s="57">
        <v>15000</v>
      </c>
      <c r="E7" s="58">
        <v>13773</v>
      </c>
      <c r="F7" s="57">
        <f t="shared" si="0"/>
        <v>0</v>
      </c>
      <c r="G7" s="57">
        <f t="shared" si="1"/>
        <v>15000</v>
      </c>
      <c r="H7" s="57">
        <f t="shared" si="7"/>
        <v>0</v>
      </c>
      <c r="I7" s="58">
        <f t="shared" si="8"/>
        <v>13773</v>
      </c>
      <c r="J7" s="58">
        <f t="shared" si="3"/>
        <v>13773</v>
      </c>
      <c r="K7" s="58">
        <f t="shared" si="9"/>
        <v>0</v>
      </c>
      <c r="L7" s="58">
        <f t="shared" si="10"/>
        <v>0</v>
      </c>
      <c r="M7" s="58">
        <f t="shared" si="11"/>
        <v>0</v>
      </c>
      <c r="N7" s="59">
        <f t="shared" si="6"/>
        <v>0.91820000000000002</v>
      </c>
      <c r="O7" s="60"/>
      <c r="P7" s="105"/>
      <c r="Q7" s="100" t="s">
        <v>51</v>
      </c>
      <c r="R7" s="101">
        <v>0</v>
      </c>
      <c r="S7" s="101">
        <v>3000</v>
      </c>
      <c r="T7" s="101"/>
    </row>
    <row r="8" spans="1:21" x14ac:dyDescent="0.3">
      <c r="A8" s="54" t="str">
        <v>A</v>
      </c>
      <c r="B8" s="55" t="str">
        <v>123AB</v>
      </c>
      <c r="C8" s="56">
        <v>46181</v>
      </c>
      <c r="D8" s="57">
        <v>15000</v>
      </c>
      <c r="E8" s="58">
        <v>7058</v>
      </c>
      <c r="F8" s="57">
        <f t="shared" si="0"/>
        <v>0</v>
      </c>
      <c r="G8" s="57">
        <f t="shared" si="1"/>
        <v>15000</v>
      </c>
      <c r="H8" s="57">
        <f t="shared" si="7"/>
        <v>0</v>
      </c>
      <c r="I8" s="58">
        <f t="shared" si="8"/>
        <v>7058</v>
      </c>
      <c r="J8" s="58">
        <f t="shared" si="3"/>
        <v>7058</v>
      </c>
      <c r="K8" s="58">
        <f t="shared" si="9"/>
        <v>0</v>
      </c>
      <c r="L8" s="58">
        <f t="shared" si="10"/>
        <v>0</v>
      </c>
      <c r="M8" s="58">
        <f t="shared" si="11"/>
        <v>0</v>
      </c>
      <c r="N8" s="59">
        <f t="shared" si="6"/>
        <v>0.47053333333333336</v>
      </c>
      <c r="O8" s="60"/>
      <c r="P8" s="105"/>
    </row>
    <row r="9" spans="1:21" x14ac:dyDescent="0.3">
      <c r="A9" s="54" t="str">
        <v>A</v>
      </c>
      <c r="B9" s="55" t="str">
        <v>123AB</v>
      </c>
      <c r="C9" s="56">
        <v>46188</v>
      </c>
      <c r="D9" s="57">
        <v>15000</v>
      </c>
      <c r="E9" s="58">
        <v>2040</v>
      </c>
      <c r="F9" s="57">
        <f t="shared" si="0"/>
        <v>0</v>
      </c>
      <c r="G9" s="57">
        <f t="shared" si="1"/>
        <v>15000</v>
      </c>
      <c r="H9" s="57">
        <f t="shared" si="7"/>
        <v>6868</v>
      </c>
      <c r="I9" s="58">
        <f t="shared" si="8"/>
        <v>8908</v>
      </c>
      <c r="J9" s="58">
        <f t="shared" si="3"/>
        <v>8908</v>
      </c>
      <c r="K9" s="58">
        <f t="shared" si="9"/>
        <v>6868</v>
      </c>
      <c r="L9" s="58">
        <f t="shared" si="10"/>
        <v>0</v>
      </c>
      <c r="M9" s="58">
        <f t="shared" si="11"/>
        <v>6868</v>
      </c>
      <c r="N9" s="59">
        <f t="shared" si="6"/>
        <v>0.59386666666666665</v>
      </c>
      <c r="O9" s="60"/>
      <c r="P9" s="105"/>
    </row>
    <row r="10" spans="1:21" x14ac:dyDescent="0.3">
      <c r="A10" s="54" t="str">
        <v>A</v>
      </c>
      <c r="B10" s="55" t="str">
        <v>123AB</v>
      </c>
      <c r="C10" s="56">
        <v>46195</v>
      </c>
      <c r="D10" s="57">
        <v>15000</v>
      </c>
      <c r="E10" s="58">
        <v>3541</v>
      </c>
      <c r="F10" s="57">
        <f t="shared" si="0"/>
        <v>6868</v>
      </c>
      <c r="G10" s="57">
        <f t="shared" si="1"/>
        <v>15000</v>
      </c>
      <c r="H10" s="57">
        <f t="shared" si="7"/>
        <v>18327</v>
      </c>
      <c r="I10" s="58">
        <f t="shared" si="8"/>
        <v>15000</v>
      </c>
      <c r="J10" s="58">
        <f t="shared" si="3"/>
        <v>11673</v>
      </c>
      <c r="K10" s="58">
        <f t="shared" si="9"/>
        <v>15000</v>
      </c>
      <c r="L10" s="58">
        <f t="shared" si="10"/>
        <v>0</v>
      </c>
      <c r="M10" s="58">
        <f t="shared" si="11"/>
        <v>15000</v>
      </c>
      <c r="N10" s="59">
        <f t="shared" si="6"/>
        <v>0.7782</v>
      </c>
      <c r="O10" s="60"/>
      <c r="P10" s="105"/>
    </row>
    <row r="11" spans="1:21" x14ac:dyDescent="0.3">
      <c r="A11" s="54" t="str">
        <v>A</v>
      </c>
      <c r="B11" s="55" t="str">
        <v>123AB</v>
      </c>
      <c r="C11" s="56">
        <v>46202</v>
      </c>
      <c r="D11" s="57">
        <v>15000</v>
      </c>
      <c r="E11" s="58">
        <v>12041</v>
      </c>
      <c r="F11" s="57">
        <f t="shared" si="0"/>
        <v>15000</v>
      </c>
      <c r="G11" s="57">
        <f t="shared" si="1"/>
        <v>15000</v>
      </c>
      <c r="H11" s="57">
        <f t="shared" si="7"/>
        <v>21286</v>
      </c>
      <c r="I11" s="58">
        <f t="shared" si="8"/>
        <v>18327</v>
      </c>
      <c r="J11" s="58">
        <f t="shared" si="3"/>
        <v>12041</v>
      </c>
      <c r="K11" s="58">
        <f t="shared" si="9"/>
        <v>15000</v>
      </c>
      <c r="L11" s="58">
        <f t="shared" si="10"/>
        <v>0</v>
      </c>
      <c r="M11" s="58">
        <f t="shared" si="11"/>
        <v>15000</v>
      </c>
      <c r="N11" s="59">
        <f t="shared" si="6"/>
        <v>0.8027333333333333</v>
      </c>
      <c r="O11" s="60"/>
      <c r="P11" s="105"/>
    </row>
    <row r="12" spans="1:21" x14ac:dyDescent="0.3">
      <c r="A12" s="54" t="str">
        <v>A</v>
      </c>
      <c r="B12" s="55" t="str">
        <v>123AB</v>
      </c>
      <c r="C12" s="56">
        <v>46209</v>
      </c>
      <c r="D12" s="57">
        <v>15000</v>
      </c>
      <c r="E12" s="58">
        <v>12040</v>
      </c>
      <c r="F12" s="57">
        <f t="shared" si="0"/>
        <v>15000</v>
      </c>
      <c r="G12" s="57">
        <f t="shared" si="1"/>
        <v>15000</v>
      </c>
      <c r="H12" s="57">
        <f t="shared" si="7"/>
        <v>24246</v>
      </c>
      <c r="I12" s="58">
        <f t="shared" si="8"/>
        <v>21286</v>
      </c>
      <c r="J12" s="58">
        <f t="shared" si="3"/>
        <v>12040</v>
      </c>
      <c r="K12" s="58">
        <f t="shared" si="9"/>
        <v>15000</v>
      </c>
      <c r="L12" s="58">
        <f t="shared" si="10"/>
        <v>0</v>
      </c>
      <c r="M12" s="58">
        <f t="shared" si="11"/>
        <v>15000</v>
      </c>
      <c r="N12" s="59">
        <f t="shared" si="6"/>
        <v>0.80266666666666664</v>
      </c>
      <c r="O12" s="60"/>
      <c r="P12" s="105"/>
    </row>
    <row r="13" spans="1:21" x14ac:dyDescent="0.3">
      <c r="A13" s="54" t="str">
        <v>A</v>
      </c>
      <c r="B13" s="55" t="str">
        <v>123AB</v>
      </c>
      <c r="C13" s="56">
        <v>46230</v>
      </c>
      <c r="D13" s="57">
        <v>15000</v>
      </c>
      <c r="E13" s="58">
        <v>27760</v>
      </c>
      <c r="F13" s="57">
        <f t="shared" si="0"/>
        <v>15000</v>
      </c>
      <c r="G13" s="57">
        <f t="shared" si="1"/>
        <v>15000</v>
      </c>
      <c r="H13" s="57">
        <f t="shared" si="7"/>
        <v>11486</v>
      </c>
      <c r="I13" s="58">
        <f t="shared" si="8"/>
        <v>24246</v>
      </c>
      <c r="J13" s="58">
        <f t="shared" si="3"/>
        <v>15000</v>
      </c>
      <c r="K13" s="58">
        <f t="shared" si="9"/>
        <v>2240</v>
      </c>
      <c r="L13" s="58">
        <f t="shared" si="10"/>
        <v>0</v>
      </c>
      <c r="M13" s="58">
        <f t="shared" si="11"/>
        <v>2240</v>
      </c>
      <c r="N13" s="59">
        <f t="shared" si="6"/>
        <v>1</v>
      </c>
      <c r="O13" s="60"/>
      <c r="P13" s="105"/>
    </row>
    <row r="14" spans="1:21" x14ac:dyDescent="0.3">
      <c r="A14" s="54" t="str">
        <v>A</v>
      </c>
      <c r="B14" s="55" t="str">
        <v>123AB</v>
      </c>
      <c r="C14" s="56">
        <v>46237</v>
      </c>
      <c r="D14" s="57">
        <v>15000</v>
      </c>
      <c r="E14" s="58">
        <v>26486</v>
      </c>
      <c r="F14" s="57">
        <f t="shared" si="0"/>
        <v>2240</v>
      </c>
      <c r="G14" s="57">
        <f t="shared" si="1"/>
        <v>15000</v>
      </c>
      <c r="H14" s="57">
        <f t="shared" si="7"/>
        <v>0</v>
      </c>
      <c r="I14" s="58">
        <f t="shared" si="8"/>
        <v>24246</v>
      </c>
      <c r="J14" s="58">
        <f t="shared" si="3"/>
        <v>15000</v>
      </c>
      <c r="K14" s="58">
        <f t="shared" si="9"/>
        <v>0</v>
      </c>
      <c r="L14" s="58">
        <f t="shared" si="10"/>
        <v>9246</v>
      </c>
      <c r="M14" s="58">
        <f t="shared" si="11"/>
        <v>0</v>
      </c>
      <c r="N14" s="59">
        <f t="shared" si="6"/>
        <v>1</v>
      </c>
      <c r="O14" s="60"/>
      <c r="P14" s="105"/>
    </row>
    <row r="15" spans="1:21" x14ac:dyDescent="0.3">
      <c r="A15" s="54" t="str">
        <v>A</v>
      </c>
      <c r="B15" s="55" t="str">
        <v>123AB</v>
      </c>
      <c r="C15" s="56">
        <v>46244</v>
      </c>
      <c r="D15" s="57">
        <v>15000</v>
      </c>
      <c r="E15" s="58">
        <v>4248</v>
      </c>
      <c r="F15" s="57">
        <f t="shared" si="0"/>
        <v>0</v>
      </c>
      <c r="G15" s="57">
        <f t="shared" si="1"/>
        <v>15000</v>
      </c>
      <c r="H15" s="57">
        <f t="shared" si="7"/>
        <v>0</v>
      </c>
      <c r="I15" s="58">
        <f t="shared" si="8"/>
        <v>4248</v>
      </c>
      <c r="J15" s="58">
        <f t="shared" si="3"/>
        <v>4248</v>
      </c>
      <c r="K15" s="58">
        <f t="shared" si="9"/>
        <v>0</v>
      </c>
      <c r="L15" s="58">
        <f t="shared" si="10"/>
        <v>0</v>
      </c>
      <c r="M15" s="58">
        <f t="shared" si="11"/>
        <v>0</v>
      </c>
      <c r="N15" s="59">
        <f t="shared" si="6"/>
        <v>0.28320000000000001</v>
      </c>
      <c r="O15" s="60"/>
      <c r="P15" s="105"/>
    </row>
    <row r="16" spans="1:21" x14ac:dyDescent="0.3">
      <c r="A16" s="54" t="str">
        <v>A</v>
      </c>
      <c r="B16" s="55" t="str">
        <v>123AB</v>
      </c>
      <c r="C16" s="56">
        <v>46251</v>
      </c>
      <c r="D16" s="57">
        <v>15000</v>
      </c>
      <c r="E16" s="58">
        <v>4248</v>
      </c>
      <c r="F16" s="57">
        <f t="shared" si="0"/>
        <v>0</v>
      </c>
      <c r="G16" s="57">
        <f t="shared" si="1"/>
        <v>15000</v>
      </c>
      <c r="H16" s="57">
        <f t="shared" si="7"/>
        <v>0</v>
      </c>
      <c r="I16" s="58">
        <f t="shared" si="8"/>
        <v>4248</v>
      </c>
      <c r="J16" s="58">
        <f t="shared" si="3"/>
        <v>4248</v>
      </c>
      <c r="K16" s="58">
        <f t="shared" si="9"/>
        <v>0</v>
      </c>
      <c r="L16" s="58">
        <f t="shared" si="10"/>
        <v>0</v>
      </c>
      <c r="M16" s="58">
        <f t="shared" si="11"/>
        <v>0</v>
      </c>
      <c r="N16" s="59">
        <f t="shared" si="6"/>
        <v>0.28320000000000001</v>
      </c>
      <c r="O16" s="60"/>
      <c r="P16" s="105"/>
    </row>
    <row r="17" spans="1:16" x14ac:dyDescent="0.3">
      <c r="A17" s="54" t="str">
        <v>A</v>
      </c>
      <c r="B17" s="55" t="str">
        <v>123AB</v>
      </c>
      <c r="C17" s="56">
        <v>46258</v>
      </c>
      <c r="D17" s="57">
        <v>15000</v>
      </c>
      <c r="E17" s="58">
        <v>4249</v>
      </c>
      <c r="F17" s="57">
        <f t="shared" si="0"/>
        <v>0</v>
      </c>
      <c r="G17" s="57">
        <f t="shared" si="1"/>
        <v>15000</v>
      </c>
      <c r="H17" s="57">
        <f t="shared" si="7"/>
        <v>0</v>
      </c>
      <c r="I17" s="58">
        <f t="shared" si="8"/>
        <v>4249</v>
      </c>
      <c r="J17" s="58">
        <f t="shared" si="3"/>
        <v>4249</v>
      </c>
      <c r="K17" s="58">
        <f t="shared" si="9"/>
        <v>0</v>
      </c>
      <c r="L17" s="58">
        <f t="shared" si="10"/>
        <v>0</v>
      </c>
      <c r="M17" s="58">
        <f t="shared" si="11"/>
        <v>0</v>
      </c>
      <c r="N17" s="59">
        <f t="shared" si="6"/>
        <v>0.28326666666666667</v>
      </c>
      <c r="O17" s="60"/>
      <c r="P17" s="105"/>
    </row>
    <row r="18" spans="1:16" x14ac:dyDescent="0.3">
      <c r="A18" s="54" t="str">
        <v>A</v>
      </c>
      <c r="B18" s="55" t="str">
        <v>123AB</v>
      </c>
      <c r="C18" s="56">
        <v>46265</v>
      </c>
      <c r="D18" s="57">
        <v>15000</v>
      </c>
      <c r="E18" s="58">
        <v>4248</v>
      </c>
      <c r="F18" s="57">
        <f t="shared" si="0"/>
        <v>0</v>
      </c>
      <c r="G18" s="57">
        <f t="shared" si="1"/>
        <v>15000</v>
      </c>
      <c r="H18" s="57">
        <f t="shared" si="7"/>
        <v>0</v>
      </c>
      <c r="I18" s="58">
        <f t="shared" si="8"/>
        <v>4248</v>
      </c>
      <c r="J18" s="58">
        <f t="shared" si="3"/>
        <v>4248</v>
      </c>
      <c r="K18" s="58">
        <f t="shared" si="9"/>
        <v>0</v>
      </c>
      <c r="L18" s="58">
        <f t="shared" si="10"/>
        <v>0</v>
      </c>
      <c r="M18" s="58">
        <f t="shared" si="11"/>
        <v>0</v>
      </c>
      <c r="N18" s="59">
        <f t="shared" si="6"/>
        <v>0.28320000000000001</v>
      </c>
      <c r="O18" s="60"/>
      <c r="P18" s="105"/>
    </row>
    <row r="19" spans="1:16" x14ac:dyDescent="0.3">
      <c r="A19" s="54" t="str">
        <v>A</v>
      </c>
      <c r="B19" s="55" t="str">
        <v>123AB</v>
      </c>
      <c r="C19" s="56">
        <v>46272</v>
      </c>
      <c r="D19" s="57">
        <v>15000</v>
      </c>
      <c r="E19" s="58">
        <v>2391</v>
      </c>
      <c r="F19" s="57">
        <f t="shared" si="0"/>
        <v>0</v>
      </c>
      <c r="G19" s="57">
        <f t="shared" si="1"/>
        <v>15000</v>
      </c>
      <c r="H19" s="57">
        <f t="shared" si="7"/>
        <v>0</v>
      </c>
      <c r="I19" s="58">
        <f t="shared" si="8"/>
        <v>2391</v>
      </c>
      <c r="J19" s="58">
        <f t="shared" si="3"/>
        <v>2391</v>
      </c>
      <c r="K19" s="58">
        <f t="shared" si="9"/>
        <v>0</v>
      </c>
      <c r="L19" s="58">
        <f t="shared" si="10"/>
        <v>0</v>
      </c>
      <c r="M19" s="58">
        <f t="shared" si="11"/>
        <v>0</v>
      </c>
      <c r="N19" s="59">
        <f t="shared" si="6"/>
        <v>0.15939999999999999</v>
      </c>
      <c r="O19" s="60"/>
      <c r="P19" s="105"/>
    </row>
    <row r="20" spans="1:16" x14ac:dyDescent="0.3">
      <c r="A20" s="54" t="str">
        <v>A</v>
      </c>
      <c r="B20" s="55" t="str">
        <v>123AB</v>
      </c>
      <c r="C20" s="56">
        <v>46279</v>
      </c>
      <c r="D20" s="57">
        <v>15000</v>
      </c>
      <c r="E20" s="58">
        <v>2392</v>
      </c>
      <c r="F20" s="57">
        <f t="shared" si="0"/>
        <v>0</v>
      </c>
      <c r="G20" s="57">
        <f t="shared" si="1"/>
        <v>15000</v>
      </c>
      <c r="H20" s="57">
        <f t="shared" si="7"/>
        <v>0</v>
      </c>
      <c r="I20" s="58">
        <f t="shared" si="8"/>
        <v>2392</v>
      </c>
      <c r="J20" s="58">
        <f t="shared" si="3"/>
        <v>2392</v>
      </c>
      <c r="K20" s="58">
        <f t="shared" si="9"/>
        <v>0</v>
      </c>
      <c r="L20" s="58">
        <f t="shared" si="10"/>
        <v>0</v>
      </c>
      <c r="M20" s="58">
        <f t="shared" si="11"/>
        <v>0</v>
      </c>
      <c r="N20" s="59">
        <f t="shared" si="6"/>
        <v>0.15946666666666667</v>
      </c>
      <c r="O20" s="60"/>
      <c r="P20" s="105"/>
    </row>
    <row r="21" spans="1:16" x14ac:dyDescent="0.3">
      <c r="A21" s="54" t="str">
        <v>A</v>
      </c>
      <c r="B21" s="55" t="str">
        <v>123AB</v>
      </c>
      <c r="C21" s="56">
        <v>46286</v>
      </c>
      <c r="D21" s="57">
        <v>15000</v>
      </c>
      <c r="E21" s="58">
        <v>2391</v>
      </c>
      <c r="F21" s="57">
        <f t="shared" si="0"/>
        <v>0</v>
      </c>
      <c r="G21" s="57">
        <f t="shared" si="1"/>
        <v>15000</v>
      </c>
      <c r="H21" s="57">
        <f t="shared" si="7"/>
        <v>0</v>
      </c>
      <c r="I21" s="58">
        <f t="shared" si="8"/>
        <v>2391</v>
      </c>
      <c r="J21" s="58">
        <f t="shared" si="3"/>
        <v>2391</v>
      </c>
      <c r="K21" s="58">
        <f t="shared" si="9"/>
        <v>0</v>
      </c>
      <c r="L21" s="58">
        <f t="shared" si="10"/>
        <v>0</v>
      </c>
      <c r="M21" s="58">
        <f t="shared" si="11"/>
        <v>0</v>
      </c>
      <c r="N21" s="59">
        <f t="shared" si="6"/>
        <v>0.15939999999999999</v>
      </c>
      <c r="O21" s="60"/>
      <c r="P21" s="105"/>
    </row>
    <row r="22" spans="1:16" x14ac:dyDescent="0.3">
      <c r="A22" s="54" t="str">
        <v>A</v>
      </c>
      <c r="B22" s="55" t="str">
        <v>123AB</v>
      </c>
      <c r="C22" s="56">
        <v>46293</v>
      </c>
      <c r="D22" s="57">
        <v>15000</v>
      </c>
      <c r="E22" s="58">
        <v>2392</v>
      </c>
      <c r="F22" s="57">
        <f t="shared" si="0"/>
        <v>0</v>
      </c>
      <c r="G22" s="57">
        <f t="shared" si="1"/>
        <v>15000</v>
      </c>
      <c r="H22" s="57">
        <f t="shared" si="7"/>
        <v>4067</v>
      </c>
      <c r="I22" s="58">
        <f t="shared" si="8"/>
        <v>6459</v>
      </c>
      <c r="J22" s="58">
        <f t="shared" si="3"/>
        <v>6459</v>
      </c>
      <c r="K22" s="58">
        <f t="shared" si="9"/>
        <v>4067</v>
      </c>
      <c r="L22" s="58">
        <f t="shared" si="10"/>
        <v>0</v>
      </c>
      <c r="M22" s="58">
        <f t="shared" si="11"/>
        <v>4067</v>
      </c>
      <c r="N22" s="59">
        <f t="shared" si="6"/>
        <v>0.43059999999999998</v>
      </c>
      <c r="O22" s="60"/>
      <c r="P22" s="105"/>
    </row>
    <row r="23" spans="1:16" x14ac:dyDescent="0.3">
      <c r="A23" s="54" t="str">
        <v>A</v>
      </c>
      <c r="B23" s="55" t="str">
        <v>123AB</v>
      </c>
      <c r="C23" s="56">
        <v>46300</v>
      </c>
      <c r="D23" s="57">
        <v>15000</v>
      </c>
      <c r="E23" s="58">
        <v>16017</v>
      </c>
      <c r="F23" s="57">
        <f t="shared" si="0"/>
        <v>4067</v>
      </c>
      <c r="G23" s="57">
        <f t="shared" si="1"/>
        <v>15000</v>
      </c>
      <c r="H23" s="57">
        <f t="shared" si="7"/>
        <v>3050</v>
      </c>
      <c r="I23" s="58">
        <f t="shared" si="8"/>
        <v>15000</v>
      </c>
      <c r="J23" s="58">
        <f t="shared" si="3"/>
        <v>15000</v>
      </c>
      <c r="K23" s="58">
        <f t="shared" si="9"/>
        <v>3050</v>
      </c>
      <c r="L23" s="58">
        <f t="shared" si="10"/>
        <v>0</v>
      </c>
      <c r="M23" s="58">
        <f t="shared" si="11"/>
        <v>3050</v>
      </c>
      <c r="N23" s="59">
        <f t="shared" si="6"/>
        <v>1</v>
      </c>
      <c r="O23" s="60"/>
      <c r="P23" s="105"/>
    </row>
    <row r="24" spans="1:16" x14ac:dyDescent="0.3">
      <c r="A24" s="54" t="str">
        <v>A</v>
      </c>
      <c r="B24" s="55" t="str">
        <v>123AB</v>
      </c>
      <c r="C24" s="56">
        <v>46307</v>
      </c>
      <c r="D24" s="57">
        <v>15000</v>
      </c>
      <c r="E24" s="58">
        <v>16017</v>
      </c>
      <c r="F24" s="57">
        <f t="shared" si="0"/>
        <v>3050</v>
      </c>
      <c r="G24" s="57">
        <f t="shared" si="1"/>
        <v>15000</v>
      </c>
      <c r="H24" s="57">
        <f t="shared" si="7"/>
        <v>2033</v>
      </c>
      <c r="I24" s="58">
        <f t="shared" si="8"/>
        <v>15000</v>
      </c>
      <c r="J24" s="58">
        <f t="shared" si="3"/>
        <v>15000</v>
      </c>
      <c r="K24" s="58">
        <f t="shared" si="9"/>
        <v>2033</v>
      </c>
      <c r="L24" s="58">
        <f t="shared" si="10"/>
        <v>0</v>
      </c>
      <c r="M24" s="58">
        <f t="shared" si="11"/>
        <v>2033</v>
      </c>
      <c r="N24" s="59">
        <f t="shared" si="6"/>
        <v>1</v>
      </c>
      <c r="O24" s="60"/>
      <c r="P24" s="105"/>
    </row>
    <row r="25" spans="1:16" x14ac:dyDescent="0.3">
      <c r="A25" s="54" t="str">
        <v>A</v>
      </c>
      <c r="B25" s="55" t="str">
        <v>123AB</v>
      </c>
      <c r="C25" s="56">
        <v>46314</v>
      </c>
      <c r="D25" s="57">
        <v>15000</v>
      </c>
      <c r="E25" s="58">
        <v>16016</v>
      </c>
      <c r="F25" s="57">
        <f t="shared" si="0"/>
        <v>2033</v>
      </c>
      <c r="G25" s="57">
        <f t="shared" si="1"/>
        <v>15000</v>
      </c>
      <c r="H25" s="57">
        <f t="shared" si="7"/>
        <v>1017</v>
      </c>
      <c r="I25" s="58">
        <f t="shared" si="8"/>
        <v>15000</v>
      </c>
      <c r="J25" s="58">
        <f t="shared" si="3"/>
        <v>15000</v>
      </c>
      <c r="K25" s="58">
        <f t="shared" si="9"/>
        <v>1017</v>
      </c>
      <c r="L25" s="58">
        <f t="shared" si="10"/>
        <v>0</v>
      </c>
      <c r="M25" s="58">
        <f t="shared" si="11"/>
        <v>1017</v>
      </c>
      <c r="N25" s="59">
        <f t="shared" si="6"/>
        <v>1</v>
      </c>
      <c r="O25" s="60"/>
      <c r="P25" s="105"/>
    </row>
    <row r="26" spans="1:16" x14ac:dyDescent="0.3">
      <c r="A26" s="54" t="str">
        <v>A</v>
      </c>
      <c r="B26" s="55" t="str">
        <v>123AB</v>
      </c>
      <c r="C26" s="56">
        <v>46321</v>
      </c>
      <c r="D26" s="57">
        <v>15000</v>
      </c>
      <c r="E26" s="58">
        <v>16017</v>
      </c>
      <c r="F26" s="57">
        <f t="shared" si="0"/>
        <v>1017</v>
      </c>
      <c r="G26" s="57">
        <f t="shared" si="1"/>
        <v>15000</v>
      </c>
      <c r="H26" s="57">
        <f t="shared" si="7"/>
        <v>0</v>
      </c>
      <c r="I26" s="58">
        <f t="shared" si="8"/>
        <v>15000</v>
      </c>
      <c r="J26" s="58">
        <f t="shared" si="3"/>
        <v>15000</v>
      </c>
      <c r="K26" s="58">
        <f t="shared" si="9"/>
        <v>0</v>
      </c>
      <c r="L26" s="58">
        <f t="shared" si="10"/>
        <v>0</v>
      </c>
      <c r="M26" s="58">
        <f t="shared" si="11"/>
        <v>0</v>
      </c>
      <c r="N26" s="59">
        <f t="shared" si="6"/>
        <v>1</v>
      </c>
      <c r="O26" s="60"/>
      <c r="P26" s="105"/>
    </row>
    <row r="27" spans="1:16" x14ac:dyDescent="0.3">
      <c r="A27" s="54" t="str">
        <v>A</v>
      </c>
      <c r="B27" s="55" t="str">
        <v>123AB</v>
      </c>
      <c r="C27" s="56">
        <v>46328</v>
      </c>
      <c r="D27" s="57">
        <v>15000</v>
      </c>
      <c r="E27" s="58">
        <v>4281</v>
      </c>
      <c r="F27" s="57">
        <f t="shared" si="0"/>
        <v>0</v>
      </c>
      <c r="G27" s="57">
        <f t="shared" si="1"/>
        <v>15000</v>
      </c>
      <c r="H27" s="57">
        <f t="shared" si="7"/>
        <v>0</v>
      </c>
      <c r="I27" s="58">
        <f t="shared" si="8"/>
        <v>4281</v>
      </c>
      <c r="J27" s="58">
        <f t="shared" si="3"/>
        <v>4281</v>
      </c>
      <c r="K27" s="58">
        <f t="shared" si="9"/>
        <v>0</v>
      </c>
      <c r="L27" s="58">
        <f t="shared" si="10"/>
        <v>0</v>
      </c>
      <c r="M27" s="58">
        <f t="shared" si="11"/>
        <v>0</v>
      </c>
      <c r="N27" s="59">
        <f t="shared" si="6"/>
        <v>0.28539999999999999</v>
      </c>
      <c r="O27" s="60"/>
      <c r="P27" s="105"/>
    </row>
    <row r="28" spans="1:16" x14ac:dyDescent="0.3">
      <c r="A28" s="54" t="str">
        <v>A</v>
      </c>
      <c r="B28" s="55" t="str">
        <v>123AB</v>
      </c>
      <c r="C28" s="56">
        <v>46335</v>
      </c>
      <c r="D28" s="57">
        <v>15000</v>
      </c>
      <c r="E28" s="58">
        <v>4282</v>
      </c>
      <c r="F28" s="57">
        <f t="shared" si="0"/>
        <v>0</v>
      </c>
      <c r="G28" s="57">
        <f t="shared" si="1"/>
        <v>15000</v>
      </c>
      <c r="H28" s="57">
        <f t="shared" si="7"/>
        <v>0</v>
      </c>
      <c r="I28" s="58">
        <f t="shared" si="8"/>
        <v>4282</v>
      </c>
      <c r="J28" s="58">
        <f t="shared" si="3"/>
        <v>4282</v>
      </c>
      <c r="K28" s="58">
        <f t="shared" si="9"/>
        <v>0</v>
      </c>
      <c r="L28" s="58">
        <f t="shared" si="10"/>
        <v>0</v>
      </c>
      <c r="M28" s="58">
        <f t="shared" si="11"/>
        <v>0</v>
      </c>
      <c r="N28" s="59">
        <f t="shared" si="6"/>
        <v>0.28546666666666665</v>
      </c>
      <c r="O28" s="60"/>
      <c r="P28" s="105"/>
    </row>
    <row r="29" spans="1:16" x14ac:dyDescent="0.3">
      <c r="A29" s="54" t="str">
        <v>A</v>
      </c>
      <c r="B29" s="55" t="str">
        <v>123AB</v>
      </c>
      <c r="C29" s="56">
        <v>46342</v>
      </c>
      <c r="D29" s="57">
        <v>15000</v>
      </c>
      <c r="E29" s="58">
        <v>4281</v>
      </c>
      <c r="F29" s="57">
        <f t="shared" si="0"/>
        <v>0</v>
      </c>
      <c r="G29" s="57">
        <f t="shared" si="1"/>
        <v>15000</v>
      </c>
      <c r="H29" s="57">
        <f t="shared" si="7"/>
        <v>0</v>
      </c>
      <c r="I29" s="58">
        <f t="shared" si="8"/>
        <v>4281</v>
      </c>
      <c r="J29" s="58">
        <f t="shared" si="3"/>
        <v>4281</v>
      </c>
      <c r="K29" s="58">
        <f t="shared" si="9"/>
        <v>0</v>
      </c>
      <c r="L29" s="58">
        <f t="shared" si="10"/>
        <v>0</v>
      </c>
      <c r="M29" s="58">
        <f t="shared" si="11"/>
        <v>0</v>
      </c>
      <c r="N29" s="59">
        <f t="shared" si="6"/>
        <v>0.28539999999999999</v>
      </c>
      <c r="O29" s="60"/>
      <c r="P29" s="105"/>
    </row>
    <row r="30" spans="1:16" x14ac:dyDescent="0.3">
      <c r="A30" s="54" t="str">
        <v>A</v>
      </c>
      <c r="B30" s="55" t="str">
        <v>123AB</v>
      </c>
      <c r="C30" s="56">
        <v>46349</v>
      </c>
      <c r="D30" s="57">
        <v>15000</v>
      </c>
      <c r="E30" s="58">
        <v>4282</v>
      </c>
      <c r="F30" s="57">
        <f t="shared" si="0"/>
        <v>0</v>
      </c>
      <c r="G30" s="57">
        <f t="shared" si="1"/>
        <v>15000</v>
      </c>
      <c r="H30" s="57">
        <f t="shared" si="7"/>
        <v>0</v>
      </c>
      <c r="I30" s="58">
        <f t="shared" si="8"/>
        <v>4282</v>
      </c>
      <c r="J30" s="58">
        <f t="shared" si="3"/>
        <v>4282</v>
      </c>
      <c r="K30" s="58">
        <f t="shared" si="9"/>
        <v>0</v>
      </c>
      <c r="L30" s="58">
        <f t="shared" si="10"/>
        <v>0</v>
      </c>
      <c r="M30" s="58">
        <f t="shared" si="11"/>
        <v>0</v>
      </c>
      <c r="N30" s="59">
        <f t="shared" si="6"/>
        <v>0.28546666666666665</v>
      </c>
      <c r="O30" s="60"/>
      <c r="P30" s="105"/>
    </row>
    <row r="31" spans="1:16" x14ac:dyDescent="0.3">
      <c r="A31" s="54" t="str">
        <v>A</v>
      </c>
      <c r="B31" s="55" t="str">
        <v>123AB</v>
      </c>
      <c r="C31" s="56">
        <v>46356</v>
      </c>
      <c r="D31" s="57">
        <v>15000</v>
      </c>
      <c r="E31" s="58">
        <v>4281</v>
      </c>
      <c r="F31" s="57">
        <f t="shared" si="0"/>
        <v>0</v>
      </c>
      <c r="G31" s="57">
        <f t="shared" si="1"/>
        <v>15000</v>
      </c>
      <c r="H31" s="57">
        <f t="shared" si="7"/>
        <v>0</v>
      </c>
      <c r="I31" s="58">
        <f t="shared" si="8"/>
        <v>4281</v>
      </c>
      <c r="J31" s="58">
        <f t="shared" si="3"/>
        <v>4281</v>
      </c>
      <c r="K31" s="58">
        <f t="shared" si="9"/>
        <v>0</v>
      </c>
      <c r="L31" s="58">
        <f t="shared" si="10"/>
        <v>0</v>
      </c>
      <c r="M31" s="58">
        <f t="shared" si="11"/>
        <v>0</v>
      </c>
      <c r="N31" s="59">
        <f t="shared" si="6"/>
        <v>0.28539999999999999</v>
      </c>
      <c r="O31" s="60"/>
      <c r="P31" s="105"/>
    </row>
    <row r="32" spans="1:16" x14ac:dyDescent="0.3">
      <c r="A32" s="54" t="str">
        <v>A</v>
      </c>
      <c r="B32" s="55" t="str">
        <v>123AB</v>
      </c>
      <c r="C32" s="56">
        <v>46363</v>
      </c>
      <c r="D32" s="57">
        <v>15000</v>
      </c>
      <c r="E32" s="58">
        <v>8326</v>
      </c>
      <c r="F32" s="57">
        <f t="shared" si="0"/>
        <v>0</v>
      </c>
      <c r="G32" s="57">
        <f t="shared" si="1"/>
        <v>15000</v>
      </c>
      <c r="H32" s="57">
        <f t="shared" si="7"/>
        <v>0</v>
      </c>
      <c r="I32" s="58">
        <f t="shared" si="8"/>
        <v>8326</v>
      </c>
      <c r="J32" s="58">
        <f t="shared" si="3"/>
        <v>8326</v>
      </c>
      <c r="K32" s="58">
        <f t="shared" si="9"/>
        <v>0</v>
      </c>
      <c r="L32" s="58">
        <f t="shared" si="10"/>
        <v>0</v>
      </c>
      <c r="M32" s="58">
        <f t="shared" si="11"/>
        <v>0</v>
      </c>
      <c r="N32" s="59">
        <f t="shared" si="6"/>
        <v>0.55506666666666671</v>
      </c>
      <c r="O32" s="60"/>
      <c r="P32" s="105"/>
    </row>
    <row r="33" spans="1:16" x14ac:dyDescent="0.3">
      <c r="A33" s="54" t="str">
        <v>A</v>
      </c>
      <c r="B33" s="55" t="str">
        <v>123AB</v>
      </c>
      <c r="C33" s="56">
        <v>46370</v>
      </c>
      <c r="D33" s="57">
        <v>15000</v>
      </c>
      <c r="E33" s="58">
        <v>8325</v>
      </c>
      <c r="F33" s="57">
        <f t="shared" si="0"/>
        <v>0</v>
      </c>
      <c r="G33" s="57">
        <f t="shared" si="1"/>
        <v>15000</v>
      </c>
      <c r="H33" s="57">
        <f t="shared" si="7"/>
        <v>0</v>
      </c>
      <c r="I33" s="58">
        <f t="shared" si="8"/>
        <v>8325</v>
      </c>
      <c r="J33" s="58">
        <f t="shared" si="3"/>
        <v>8325</v>
      </c>
      <c r="K33" s="58">
        <f t="shared" si="9"/>
        <v>0</v>
      </c>
      <c r="L33" s="58">
        <f t="shared" si="10"/>
        <v>0</v>
      </c>
      <c r="M33" s="58">
        <f t="shared" si="11"/>
        <v>0</v>
      </c>
      <c r="N33" s="59">
        <f t="shared" si="6"/>
        <v>0.55500000000000005</v>
      </c>
      <c r="O33" s="60"/>
      <c r="P33" s="105"/>
    </row>
    <row r="34" spans="1:16" x14ac:dyDescent="0.3">
      <c r="A34" s="54" t="str">
        <v>B</v>
      </c>
      <c r="B34" s="55" t="str">
        <v>123AB</v>
      </c>
      <c r="C34" s="56">
        <v>46146</v>
      </c>
      <c r="D34" s="57">
        <v>15000</v>
      </c>
      <c r="E34" s="58">
        <v>5502</v>
      </c>
      <c r="F34" s="57">
        <f t="shared" si="0"/>
        <v>0</v>
      </c>
      <c r="G34" s="57">
        <f t="shared" si="1"/>
        <v>15000</v>
      </c>
      <c r="H34" s="57">
        <f t="shared" ref="H34:H65" si="12">IF($A34="","",IF($A34&lt;&gt;$A35,0,MAX(0,H35+E35-D35)))</f>
        <v>658</v>
      </c>
      <c r="I34" s="58">
        <f t="shared" si="8"/>
        <v>6160</v>
      </c>
      <c r="J34" s="58">
        <f t="shared" si="3"/>
        <v>6160</v>
      </c>
      <c r="K34" s="58">
        <f t="shared" si="9"/>
        <v>658</v>
      </c>
      <c r="L34" s="58">
        <f t="shared" si="10"/>
        <v>0</v>
      </c>
      <c r="M34" s="58">
        <f t="shared" si="11"/>
        <v>658</v>
      </c>
      <c r="N34" s="59">
        <f t="shared" si="6"/>
        <v>0.41066666666666668</v>
      </c>
      <c r="O34" s="60"/>
      <c r="P34" s="105"/>
    </row>
    <row r="35" spans="1:16" x14ac:dyDescent="0.3">
      <c r="A35" s="54" t="str">
        <v>B</v>
      </c>
      <c r="B35" s="55" t="str">
        <v>123AB</v>
      </c>
      <c r="C35" s="56">
        <v>46153</v>
      </c>
      <c r="D35" s="57">
        <v>15000</v>
      </c>
      <c r="E35" s="58">
        <v>15658</v>
      </c>
      <c r="F35" s="57">
        <f t="shared" si="0"/>
        <v>658</v>
      </c>
      <c r="G35" s="57">
        <f t="shared" si="1"/>
        <v>15000</v>
      </c>
      <c r="H35" s="57">
        <f t="shared" si="12"/>
        <v>0</v>
      </c>
      <c r="I35" s="58">
        <f t="shared" si="8"/>
        <v>15000</v>
      </c>
      <c r="J35" s="58">
        <f t="shared" si="3"/>
        <v>15000</v>
      </c>
      <c r="K35" s="58">
        <f t="shared" si="9"/>
        <v>0</v>
      </c>
      <c r="L35" s="58">
        <f t="shared" si="10"/>
        <v>0</v>
      </c>
      <c r="M35" s="58">
        <f t="shared" si="11"/>
        <v>0</v>
      </c>
      <c r="N35" s="59">
        <f t="shared" si="6"/>
        <v>1</v>
      </c>
      <c r="O35" s="60"/>
      <c r="P35" s="105"/>
    </row>
    <row r="36" spans="1:16" x14ac:dyDescent="0.3">
      <c r="A36" s="54" t="str">
        <v>B</v>
      </c>
      <c r="B36" s="55" t="str">
        <v>123AB</v>
      </c>
      <c r="C36" s="56">
        <v>46160</v>
      </c>
      <c r="D36" s="57">
        <v>15000</v>
      </c>
      <c r="E36" s="58">
        <v>8865</v>
      </c>
      <c r="F36" s="57">
        <f t="shared" si="0"/>
        <v>0</v>
      </c>
      <c r="G36" s="57">
        <f t="shared" si="1"/>
        <v>15000</v>
      </c>
      <c r="H36" s="57">
        <f t="shared" si="12"/>
        <v>0</v>
      </c>
      <c r="I36" s="58">
        <f t="shared" si="8"/>
        <v>8865</v>
      </c>
      <c r="J36" s="58">
        <f t="shared" si="3"/>
        <v>8865</v>
      </c>
      <c r="K36" s="58">
        <f t="shared" si="9"/>
        <v>0</v>
      </c>
      <c r="L36" s="58">
        <f t="shared" si="10"/>
        <v>0</v>
      </c>
      <c r="M36" s="58">
        <f t="shared" si="11"/>
        <v>0</v>
      </c>
      <c r="N36" s="59">
        <f t="shared" si="6"/>
        <v>0.59099999999999997</v>
      </c>
      <c r="O36" s="60"/>
      <c r="P36" s="105"/>
    </row>
    <row r="37" spans="1:16" x14ac:dyDescent="0.3">
      <c r="A37" s="54" t="str">
        <v>B</v>
      </c>
      <c r="B37" s="55" t="str">
        <v>123AB</v>
      </c>
      <c r="C37" s="56">
        <v>46167</v>
      </c>
      <c r="D37" s="57">
        <v>15000</v>
      </c>
      <c r="E37" s="58">
        <v>2146</v>
      </c>
      <c r="F37" s="57">
        <f t="shared" si="0"/>
        <v>0</v>
      </c>
      <c r="G37" s="57">
        <f t="shared" si="1"/>
        <v>15000</v>
      </c>
      <c r="H37" s="57">
        <f t="shared" si="12"/>
        <v>0</v>
      </c>
      <c r="I37" s="58">
        <f t="shared" si="8"/>
        <v>2146</v>
      </c>
      <c r="J37" s="58">
        <f t="shared" si="3"/>
        <v>2146</v>
      </c>
      <c r="K37" s="58">
        <f t="shared" si="9"/>
        <v>0</v>
      </c>
      <c r="L37" s="58">
        <f t="shared" si="10"/>
        <v>0</v>
      </c>
      <c r="M37" s="58">
        <f t="shared" si="11"/>
        <v>0</v>
      </c>
      <c r="N37" s="59">
        <f t="shared" si="6"/>
        <v>0.14306666666666668</v>
      </c>
      <c r="O37" s="60"/>
      <c r="P37" s="105"/>
    </row>
    <row r="38" spans="1:16" x14ac:dyDescent="0.3">
      <c r="A38" s="54" t="str">
        <v>B</v>
      </c>
      <c r="B38" s="55" t="str">
        <v>123AB</v>
      </c>
      <c r="C38" s="56">
        <v>46174</v>
      </c>
      <c r="D38" s="57">
        <v>15000</v>
      </c>
      <c r="E38" s="58">
        <v>7123</v>
      </c>
      <c r="F38" s="57">
        <f t="shared" si="0"/>
        <v>0</v>
      </c>
      <c r="G38" s="57">
        <f t="shared" si="1"/>
        <v>15000</v>
      </c>
      <c r="H38" s="57">
        <f t="shared" si="12"/>
        <v>0</v>
      </c>
      <c r="I38" s="58">
        <f t="shared" si="8"/>
        <v>7123</v>
      </c>
      <c r="J38" s="58">
        <f t="shared" si="3"/>
        <v>7123</v>
      </c>
      <c r="K38" s="58">
        <f t="shared" si="9"/>
        <v>0</v>
      </c>
      <c r="L38" s="58">
        <f t="shared" si="10"/>
        <v>0</v>
      </c>
      <c r="M38" s="58">
        <f t="shared" si="11"/>
        <v>0</v>
      </c>
      <c r="N38" s="59">
        <f t="shared" si="6"/>
        <v>0.47486666666666666</v>
      </c>
      <c r="O38" s="60"/>
      <c r="P38" s="105"/>
    </row>
    <row r="39" spans="1:16" x14ac:dyDescent="0.3">
      <c r="A39" s="54" t="str">
        <v>B</v>
      </c>
      <c r="B39" s="55" t="str">
        <v>123AB</v>
      </c>
      <c r="C39" s="56">
        <v>46181</v>
      </c>
      <c r="D39" s="57">
        <v>15000</v>
      </c>
      <c r="E39" s="58">
        <v>5309</v>
      </c>
      <c r="F39" s="57">
        <f t="shared" si="0"/>
        <v>0</v>
      </c>
      <c r="G39" s="57">
        <f t="shared" si="1"/>
        <v>15000</v>
      </c>
      <c r="H39" s="57">
        <f t="shared" si="12"/>
        <v>0</v>
      </c>
      <c r="I39" s="58">
        <f t="shared" si="8"/>
        <v>5309</v>
      </c>
      <c r="J39" s="58">
        <f t="shared" si="3"/>
        <v>5309</v>
      </c>
      <c r="K39" s="58">
        <f t="shared" si="9"/>
        <v>0</v>
      </c>
      <c r="L39" s="58">
        <f t="shared" si="10"/>
        <v>0</v>
      </c>
      <c r="M39" s="58">
        <f t="shared" si="11"/>
        <v>0</v>
      </c>
      <c r="N39" s="59">
        <f t="shared" si="6"/>
        <v>0.35393333333333332</v>
      </c>
      <c r="O39" s="60"/>
      <c r="P39" s="105"/>
    </row>
    <row r="40" spans="1:16" x14ac:dyDescent="0.3">
      <c r="A40" s="54" t="str">
        <v>B</v>
      </c>
      <c r="B40" s="55" t="str">
        <v>123AB</v>
      </c>
      <c r="C40" s="56">
        <v>46188</v>
      </c>
      <c r="D40" s="57">
        <v>15000</v>
      </c>
      <c r="E40" s="58">
        <v>5309</v>
      </c>
      <c r="F40" s="57">
        <f t="shared" si="0"/>
        <v>0</v>
      </c>
      <c r="G40" s="57">
        <f t="shared" si="1"/>
        <v>15000</v>
      </c>
      <c r="H40" s="57">
        <f t="shared" si="12"/>
        <v>0</v>
      </c>
      <c r="I40" s="58">
        <f t="shared" si="8"/>
        <v>5309</v>
      </c>
      <c r="J40" s="58">
        <f t="shared" si="3"/>
        <v>5309</v>
      </c>
      <c r="K40" s="58">
        <f t="shared" si="9"/>
        <v>0</v>
      </c>
      <c r="L40" s="58">
        <f t="shared" si="10"/>
        <v>0</v>
      </c>
      <c r="M40" s="58">
        <f t="shared" si="11"/>
        <v>0</v>
      </c>
      <c r="N40" s="59">
        <f t="shared" si="6"/>
        <v>0.35393333333333332</v>
      </c>
      <c r="O40" s="60"/>
      <c r="P40" s="105"/>
    </row>
    <row r="41" spans="1:16" x14ac:dyDescent="0.3">
      <c r="A41" s="54" t="str">
        <v>B</v>
      </c>
      <c r="B41" s="55" t="str">
        <v>123AB</v>
      </c>
      <c r="C41" s="56">
        <v>46195</v>
      </c>
      <c r="D41" s="57">
        <v>15000</v>
      </c>
      <c r="E41" s="58">
        <v>3000</v>
      </c>
      <c r="F41" s="57">
        <f t="shared" si="0"/>
        <v>0</v>
      </c>
      <c r="G41" s="57">
        <f t="shared" si="1"/>
        <v>15000</v>
      </c>
      <c r="H41" s="57">
        <f t="shared" si="12"/>
        <v>0</v>
      </c>
      <c r="I41" s="58">
        <f t="shared" si="8"/>
        <v>3000</v>
      </c>
      <c r="J41" s="58">
        <f t="shared" si="3"/>
        <v>3000</v>
      </c>
      <c r="K41" s="58">
        <f t="shared" si="9"/>
        <v>0</v>
      </c>
      <c r="L41" s="58">
        <f t="shared" si="10"/>
        <v>0</v>
      </c>
      <c r="M41" s="58">
        <f t="shared" si="11"/>
        <v>0</v>
      </c>
      <c r="N41" s="59">
        <f t="shared" si="6"/>
        <v>0.2</v>
      </c>
      <c r="O41" s="60"/>
      <c r="P41" s="105"/>
    </row>
    <row r="42" spans="1:16" x14ac:dyDescent="0.3">
      <c r="A42" s="54" t="str">
        <v>B</v>
      </c>
      <c r="B42" s="55" t="str">
        <v>123AB</v>
      </c>
      <c r="C42" s="56">
        <v>46202</v>
      </c>
      <c r="D42" s="57">
        <v>15000</v>
      </c>
      <c r="E42" s="58">
        <v>3000</v>
      </c>
      <c r="F42" s="57">
        <f t="shared" si="0"/>
        <v>0</v>
      </c>
      <c r="G42" s="57">
        <f t="shared" si="1"/>
        <v>15000</v>
      </c>
      <c r="H42" s="57">
        <f t="shared" si="12"/>
        <v>0</v>
      </c>
      <c r="I42" s="58">
        <f t="shared" si="8"/>
        <v>3000</v>
      </c>
      <c r="J42" s="58">
        <f t="shared" si="3"/>
        <v>3000</v>
      </c>
      <c r="K42" s="58">
        <f t="shared" si="9"/>
        <v>0</v>
      </c>
      <c r="L42" s="58">
        <f t="shared" si="10"/>
        <v>0</v>
      </c>
      <c r="M42" s="58">
        <f t="shared" si="11"/>
        <v>0</v>
      </c>
      <c r="N42" s="59">
        <f t="shared" si="6"/>
        <v>0.2</v>
      </c>
      <c r="O42" s="60"/>
      <c r="P42" s="105"/>
    </row>
    <row r="43" spans="1:16" x14ac:dyDescent="0.3">
      <c r="A43" s="54" t="str">
        <v>B</v>
      </c>
      <c r="B43" s="55" t="str">
        <v>123AB</v>
      </c>
      <c r="C43" s="56">
        <v>46209</v>
      </c>
      <c r="D43" s="57">
        <v>15000</v>
      </c>
      <c r="E43" s="58">
        <v>3000</v>
      </c>
      <c r="F43" s="57">
        <f t="shared" si="0"/>
        <v>0</v>
      </c>
      <c r="G43" s="57">
        <f t="shared" si="1"/>
        <v>15000</v>
      </c>
      <c r="H43" s="57">
        <f t="shared" si="12"/>
        <v>0</v>
      </c>
      <c r="I43" s="58">
        <f t="shared" si="8"/>
        <v>3000</v>
      </c>
      <c r="J43" s="58">
        <f t="shared" si="3"/>
        <v>3000</v>
      </c>
      <c r="K43" s="58">
        <f t="shared" si="9"/>
        <v>0</v>
      </c>
      <c r="L43" s="58">
        <f t="shared" si="10"/>
        <v>0</v>
      </c>
      <c r="M43" s="58">
        <f t="shared" si="11"/>
        <v>0</v>
      </c>
      <c r="N43" s="59">
        <f t="shared" si="6"/>
        <v>0.2</v>
      </c>
      <c r="O43" s="60"/>
      <c r="P43" s="105"/>
    </row>
    <row r="44" spans="1:16" x14ac:dyDescent="0.3">
      <c r="A44" s="54" t="str">
        <v>B</v>
      </c>
      <c r="B44" s="55" t="str">
        <v>123AB</v>
      </c>
      <c r="C44" s="56">
        <v>46216</v>
      </c>
      <c r="D44" s="57">
        <v>15000</v>
      </c>
      <c r="E44" s="58">
        <v>3000</v>
      </c>
      <c r="F44" s="57">
        <f t="shared" si="0"/>
        <v>0</v>
      </c>
      <c r="G44" s="57">
        <f t="shared" si="1"/>
        <v>15000</v>
      </c>
      <c r="H44" s="57">
        <f t="shared" si="12"/>
        <v>0</v>
      </c>
      <c r="I44" s="58">
        <f t="shared" si="8"/>
        <v>3000</v>
      </c>
      <c r="J44" s="58">
        <f t="shared" si="3"/>
        <v>3000</v>
      </c>
      <c r="K44" s="58">
        <f t="shared" si="9"/>
        <v>0</v>
      </c>
      <c r="L44" s="58">
        <f t="shared" si="10"/>
        <v>0</v>
      </c>
      <c r="M44" s="58">
        <f t="shared" si="11"/>
        <v>0</v>
      </c>
      <c r="N44" s="59">
        <f t="shared" si="6"/>
        <v>0.2</v>
      </c>
      <c r="O44" s="60"/>
      <c r="P44" s="105"/>
    </row>
    <row r="45" spans="1:16" x14ac:dyDescent="0.3">
      <c r="A45" s="54" t="str">
        <v>B</v>
      </c>
      <c r="B45" s="55" t="str">
        <v>123AB</v>
      </c>
      <c r="C45" s="56">
        <v>46223</v>
      </c>
      <c r="D45" s="57">
        <v>15000</v>
      </c>
      <c r="E45" s="58">
        <v>2400</v>
      </c>
      <c r="F45" s="57">
        <f t="shared" si="0"/>
        <v>0</v>
      </c>
      <c r="G45" s="57">
        <f t="shared" si="1"/>
        <v>15000</v>
      </c>
      <c r="H45" s="57">
        <f t="shared" si="12"/>
        <v>0</v>
      </c>
      <c r="I45" s="58">
        <f t="shared" si="8"/>
        <v>2400</v>
      </c>
      <c r="J45" s="58">
        <f t="shared" si="3"/>
        <v>2400</v>
      </c>
      <c r="K45" s="58">
        <f t="shared" si="9"/>
        <v>0</v>
      </c>
      <c r="L45" s="58">
        <f t="shared" si="10"/>
        <v>0</v>
      </c>
      <c r="M45" s="58">
        <f t="shared" si="11"/>
        <v>0</v>
      </c>
      <c r="N45" s="59">
        <f t="shared" si="6"/>
        <v>0.16</v>
      </c>
      <c r="O45" s="60"/>
      <c r="P45" s="105"/>
    </row>
    <row r="46" spans="1:16" x14ac:dyDescent="0.3">
      <c r="A46" s="54" t="str">
        <v>B</v>
      </c>
      <c r="B46" s="55" t="str">
        <v>123AB</v>
      </c>
      <c r="C46" s="56">
        <v>46230</v>
      </c>
      <c r="D46" s="57">
        <v>15000</v>
      </c>
      <c r="E46" s="58">
        <v>2400</v>
      </c>
      <c r="F46" s="57">
        <f t="shared" si="0"/>
        <v>0</v>
      </c>
      <c r="G46" s="57">
        <f t="shared" si="1"/>
        <v>15000</v>
      </c>
      <c r="H46" s="57">
        <f t="shared" si="12"/>
        <v>0</v>
      </c>
      <c r="I46" s="58">
        <f t="shared" si="8"/>
        <v>2400</v>
      </c>
      <c r="J46" s="58">
        <f t="shared" si="3"/>
        <v>2400</v>
      </c>
      <c r="K46" s="58">
        <f t="shared" si="9"/>
        <v>0</v>
      </c>
      <c r="L46" s="58">
        <f t="shared" si="10"/>
        <v>0</v>
      </c>
      <c r="M46" s="58">
        <f t="shared" si="11"/>
        <v>0</v>
      </c>
      <c r="N46" s="59">
        <f t="shared" si="6"/>
        <v>0.16</v>
      </c>
      <c r="O46" s="60"/>
      <c r="P46" s="105"/>
    </row>
    <row r="47" spans="1:16" x14ac:dyDescent="0.3">
      <c r="A47" s="54" t="str">
        <v>B</v>
      </c>
      <c r="B47" s="55" t="str">
        <v>123AB</v>
      </c>
      <c r="C47" s="56">
        <v>46244</v>
      </c>
      <c r="D47" s="57">
        <v>15000</v>
      </c>
      <c r="E47" s="58">
        <v>2400</v>
      </c>
      <c r="F47" s="57">
        <f t="shared" si="0"/>
        <v>0</v>
      </c>
      <c r="G47" s="57">
        <f t="shared" si="1"/>
        <v>15000</v>
      </c>
      <c r="H47" s="57">
        <f t="shared" si="12"/>
        <v>0</v>
      </c>
      <c r="I47" s="58">
        <f t="shared" si="8"/>
        <v>2400</v>
      </c>
      <c r="J47" s="58">
        <f t="shared" si="3"/>
        <v>2400</v>
      </c>
      <c r="K47" s="58">
        <f t="shared" si="9"/>
        <v>0</v>
      </c>
      <c r="L47" s="58">
        <f t="shared" si="10"/>
        <v>0</v>
      </c>
      <c r="M47" s="58">
        <f t="shared" si="11"/>
        <v>0</v>
      </c>
      <c r="N47" s="59">
        <f t="shared" si="6"/>
        <v>0.16</v>
      </c>
      <c r="O47" s="60"/>
      <c r="P47" s="105"/>
    </row>
    <row r="48" spans="1:16" x14ac:dyDescent="0.3">
      <c r="A48" s="54" t="str">
        <v>B</v>
      </c>
      <c r="B48" s="55" t="str">
        <v>123AB</v>
      </c>
      <c r="C48" s="56">
        <v>46251</v>
      </c>
      <c r="D48" s="57">
        <v>15000</v>
      </c>
      <c r="E48" s="58">
        <v>2400</v>
      </c>
      <c r="F48" s="57">
        <f t="shared" si="0"/>
        <v>0</v>
      </c>
      <c r="G48" s="57">
        <f t="shared" si="1"/>
        <v>15000</v>
      </c>
      <c r="H48" s="57">
        <f t="shared" si="12"/>
        <v>0</v>
      </c>
      <c r="I48" s="58">
        <f t="shared" si="8"/>
        <v>2400</v>
      </c>
      <c r="J48" s="58">
        <f t="shared" si="3"/>
        <v>2400</v>
      </c>
      <c r="K48" s="58">
        <f t="shared" si="9"/>
        <v>0</v>
      </c>
      <c r="L48" s="58">
        <f t="shared" si="10"/>
        <v>0</v>
      </c>
      <c r="M48" s="58">
        <f t="shared" si="11"/>
        <v>0</v>
      </c>
      <c r="N48" s="59">
        <f t="shared" si="6"/>
        <v>0.16</v>
      </c>
      <c r="O48" s="60"/>
      <c r="P48" s="105"/>
    </row>
    <row r="49" spans="1:16" x14ac:dyDescent="0.3">
      <c r="A49" s="54" t="str">
        <v>B</v>
      </c>
      <c r="B49" s="55" t="str">
        <v>123AB</v>
      </c>
      <c r="C49" s="56">
        <v>46258</v>
      </c>
      <c r="D49" s="57">
        <v>15000</v>
      </c>
      <c r="E49" s="58">
        <v>3750</v>
      </c>
      <c r="F49" s="57">
        <f t="shared" si="0"/>
        <v>0</v>
      </c>
      <c r="G49" s="57">
        <f t="shared" si="1"/>
        <v>15000</v>
      </c>
      <c r="H49" s="57">
        <f t="shared" si="12"/>
        <v>0</v>
      </c>
      <c r="I49" s="58">
        <f t="shared" si="8"/>
        <v>3750</v>
      </c>
      <c r="J49" s="58">
        <f t="shared" si="3"/>
        <v>3750</v>
      </c>
      <c r="K49" s="58">
        <f t="shared" si="9"/>
        <v>0</v>
      </c>
      <c r="L49" s="58">
        <f t="shared" si="10"/>
        <v>0</v>
      </c>
      <c r="M49" s="58">
        <f t="shared" si="11"/>
        <v>0</v>
      </c>
      <c r="N49" s="59">
        <f t="shared" si="6"/>
        <v>0.25</v>
      </c>
      <c r="O49" s="60"/>
      <c r="P49" s="105"/>
    </row>
    <row r="50" spans="1:16" x14ac:dyDescent="0.3">
      <c r="A50" s="54" t="str">
        <v>B</v>
      </c>
      <c r="B50" s="55" t="str">
        <v>123AB</v>
      </c>
      <c r="C50" s="56">
        <v>46265</v>
      </c>
      <c r="D50" s="57">
        <v>15000</v>
      </c>
      <c r="E50" s="58">
        <v>3750</v>
      </c>
      <c r="F50" s="57">
        <f t="shared" si="0"/>
        <v>0</v>
      </c>
      <c r="G50" s="57">
        <f t="shared" si="1"/>
        <v>15000</v>
      </c>
      <c r="H50" s="57">
        <f t="shared" si="12"/>
        <v>0</v>
      </c>
      <c r="I50" s="58">
        <f t="shared" si="8"/>
        <v>3750</v>
      </c>
      <c r="J50" s="58">
        <f t="shared" si="3"/>
        <v>3750</v>
      </c>
      <c r="K50" s="58">
        <f t="shared" si="9"/>
        <v>0</v>
      </c>
      <c r="L50" s="58">
        <f t="shared" si="10"/>
        <v>0</v>
      </c>
      <c r="M50" s="58">
        <f t="shared" si="11"/>
        <v>0</v>
      </c>
      <c r="N50" s="59">
        <f t="shared" si="6"/>
        <v>0.25</v>
      </c>
      <c r="O50" s="60"/>
      <c r="P50" s="105"/>
    </row>
    <row r="51" spans="1:16" x14ac:dyDescent="0.3">
      <c r="A51" s="54" t="str">
        <v>B</v>
      </c>
      <c r="B51" s="55" t="str">
        <v>123AB</v>
      </c>
      <c r="C51" s="56">
        <v>46272</v>
      </c>
      <c r="D51" s="57">
        <v>15000</v>
      </c>
      <c r="E51" s="58">
        <v>3750</v>
      </c>
      <c r="F51" s="57">
        <f t="shared" si="0"/>
        <v>0</v>
      </c>
      <c r="G51" s="57">
        <f t="shared" si="1"/>
        <v>15000</v>
      </c>
      <c r="H51" s="57">
        <f t="shared" si="12"/>
        <v>0</v>
      </c>
      <c r="I51" s="58">
        <f t="shared" si="8"/>
        <v>3750</v>
      </c>
      <c r="J51" s="58">
        <f t="shared" si="3"/>
        <v>3750</v>
      </c>
      <c r="K51" s="58">
        <f t="shared" si="9"/>
        <v>0</v>
      </c>
      <c r="L51" s="58">
        <f t="shared" si="10"/>
        <v>0</v>
      </c>
      <c r="M51" s="58">
        <f t="shared" si="11"/>
        <v>0</v>
      </c>
      <c r="N51" s="59">
        <f t="shared" si="6"/>
        <v>0.25</v>
      </c>
      <c r="O51" s="60"/>
      <c r="P51" s="105"/>
    </row>
    <row r="52" spans="1:16" x14ac:dyDescent="0.3">
      <c r="A52" s="54" t="str">
        <v>B</v>
      </c>
      <c r="B52" s="55" t="str">
        <v>123AB</v>
      </c>
      <c r="C52" s="56">
        <v>46279</v>
      </c>
      <c r="D52" s="57">
        <v>15000</v>
      </c>
      <c r="E52" s="58">
        <v>3750</v>
      </c>
      <c r="F52" s="57">
        <f t="shared" si="0"/>
        <v>0</v>
      </c>
      <c r="G52" s="57">
        <f t="shared" si="1"/>
        <v>15000</v>
      </c>
      <c r="H52" s="57">
        <f t="shared" si="12"/>
        <v>0</v>
      </c>
      <c r="I52" s="58">
        <f t="shared" si="8"/>
        <v>3750</v>
      </c>
      <c r="J52" s="58">
        <f t="shared" si="3"/>
        <v>3750</v>
      </c>
      <c r="K52" s="58">
        <f t="shared" si="9"/>
        <v>0</v>
      </c>
      <c r="L52" s="58">
        <f t="shared" si="10"/>
        <v>0</v>
      </c>
      <c r="M52" s="58">
        <f t="shared" si="11"/>
        <v>0</v>
      </c>
      <c r="N52" s="59">
        <f t="shared" si="6"/>
        <v>0.25</v>
      </c>
      <c r="O52" s="60"/>
      <c r="P52" s="105"/>
    </row>
    <row r="53" spans="1:16" x14ac:dyDescent="0.3">
      <c r="A53" s="54" t="str">
        <v>B</v>
      </c>
      <c r="B53" s="55" t="str">
        <v>123AB</v>
      </c>
      <c r="C53" s="56">
        <v>46286</v>
      </c>
      <c r="D53" s="57">
        <v>15000</v>
      </c>
      <c r="E53" s="58">
        <v>3000</v>
      </c>
      <c r="F53" s="57">
        <f t="shared" si="0"/>
        <v>0</v>
      </c>
      <c r="G53" s="57">
        <f t="shared" si="1"/>
        <v>15000</v>
      </c>
      <c r="H53" s="57">
        <f t="shared" si="12"/>
        <v>0</v>
      </c>
      <c r="I53" s="58">
        <f t="shared" si="8"/>
        <v>3000</v>
      </c>
      <c r="J53" s="58">
        <f t="shared" si="3"/>
        <v>3000</v>
      </c>
      <c r="K53" s="58">
        <f t="shared" si="9"/>
        <v>0</v>
      </c>
      <c r="L53" s="58">
        <f t="shared" si="10"/>
        <v>0</v>
      </c>
      <c r="M53" s="58">
        <f t="shared" si="11"/>
        <v>0</v>
      </c>
      <c r="N53" s="59">
        <f t="shared" si="6"/>
        <v>0.2</v>
      </c>
      <c r="O53" s="60"/>
      <c r="P53" s="105"/>
    </row>
    <row r="54" spans="1:16" x14ac:dyDescent="0.3">
      <c r="A54" s="54" t="str">
        <v>B</v>
      </c>
      <c r="B54" s="55" t="str">
        <v>123AB</v>
      </c>
      <c r="C54" s="56">
        <v>46293</v>
      </c>
      <c r="D54" s="57">
        <v>15000</v>
      </c>
      <c r="E54" s="58">
        <v>3000</v>
      </c>
      <c r="F54" s="57">
        <f t="shared" si="0"/>
        <v>0</v>
      </c>
      <c r="G54" s="57">
        <f t="shared" si="1"/>
        <v>15000</v>
      </c>
      <c r="H54" s="57">
        <f t="shared" si="12"/>
        <v>0</v>
      </c>
      <c r="I54" s="58">
        <f t="shared" si="8"/>
        <v>3000</v>
      </c>
      <c r="J54" s="58">
        <f t="shared" si="3"/>
        <v>3000</v>
      </c>
      <c r="K54" s="58">
        <f t="shared" si="9"/>
        <v>0</v>
      </c>
      <c r="L54" s="58">
        <f t="shared" si="10"/>
        <v>0</v>
      </c>
      <c r="M54" s="58">
        <f t="shared" si="11"/>
        <v>0</v>
      </c>
      <c r="N54" s="59">
        <f t="shared" si="6"/>
        <v>0.2</v>
      </c>
      <c r="O54" s="60"/>
      <c r="P54" s="105"/>
    </row>
    <row r="55" spans="1:16" x14ac:dyDescent="0.3">
      <c r="A55" s="54" t="str">
        <v>B</v>
      </c>
      <c r="B55" s="55" t="str">
        <v>123AB</v>
      </c>
      <c r="C55" s="56">
        <v>46300</v>
      </c>
      <c r="D55" s="57">
        <v>15000</v>
      </c>
      <c r="E55" s="58">
        <v>3000</v>
      </c>
      <c r="F55" s="57">
        <f t="shared" si="0"/>
        <v>0</v>
      </c>
      <c r="G55" s="57">
        <f t="shared" si="1"/>
        <v>15000</v>
      </c>
      <c r="H55" s="57">
        <f t="shared" si="12"/>
        <v>0</v>
      </c>
      <c r="I55" s="58">
        <f t="shared" si="8"/>
        <v>3000</v>
      </c>
      <c r="J55" s="58">
        <f t="shared" si="3"/>
        <v>3000</v>
      </c>
      <c r="K55" s="58">
        <f t="shared" si="9"/>
        <v>0</v>
      </c>
      <c r="L55" s="58">
        <f t="shared" si="10"/>
        <v>0</v>
      </c>
      <c r="M55" s="58">
        <f t="shared" si="11"/>
        <v>0</v>
      </c>
      <c r="N55" s="59">
        <f t="shared" si="6"/>
        <v>0.2</v>
      </c>
      <c r="O55" s="60"/>
      <c r="P55" s="105"/>
    </row>
    <row r="56" spans="1:16" x14ac:dyDescent="0.3">
      <c r="A56" s="54" t="str">
        <v>B</v>
      </c>
      <c r="B56" s="55" t="str">
        <v>123AB</v>
      </c>
      <c r="C56" s="56">
        <v>46307</v>
      </c>
      <c r="D56" s="57">
        <v>15000</v>
      </c>
      <c r="E56" s="58">
        <v>3000</v>
      </c>
      <c r="F56" s="57">
        <f t="shared" si="0"/>
        <v>0</v>
      </c>
      <c r="G56" s="57">
        <f t="shared" si="1"/>
        <v>15000</v>
      </c>
      <c r="H56" s="57">
        <f t="shared" si="12"/>
        <v>0</v>
      </c>
      <c r="I56" s="58">
        <f t="shared" si="8"/>
        <v>3000</v>
      </c>
      <c r="J56" s="58">
        <f t="shared" si="3"/>
        <v>3000</v>
      </c>
      <c r="K56" s="58">
        <f t="shared" si="9"/>
        <v>0</v>
      </c>
      <c r="L56" s="58">
        <f t="shared" si="10"/>
        <v>0</v>
      </c>
      <c r="M56" s="58">
        <f t="shared" si="11"/>
        <v>0</v>
      </c>
      <c r="N56" s="59">
        <f t="shared" si="6"/>
        <v>0.2</v>
      </c>
      <c r="O56" s="60"/>
      <c r="P56" s="105"/>
    </row>
    <row r="57" spans="1:16" x14ac:dyDescent="0.3">
      <c r="A57" s="54" t="str">
        <v>B</v>
      </c>
      <c r="B57" s="55" t="str">
        <v>123AB</v>
      </c>
      <c r="C57" s="56">
        <v>46314</v>
      </c>
      <c r="D57" s="57">
        <v>15000</v>
      </c>
      <c r="E57" s="58">
        <v>3000</v>
      </c>
      <c r="F57" s="57">
        <f t="shared" si="0"/>
        <v>0</v>
      </c>
      <c r="G57" s="57">
        <f t="shared" si="1"/>
        <v>15000</v>
      </c>
      <c r="H57" s="57">
        <f t="shared" si="12"/>
        <v>0</v>
      </c>
      <c r="I57" s="58">
        <f t="shared" si="8"/>
        <v>3000</v>
      </c>
      <c r="J57" s="58">
        <f t="shared" si="3"/>
        <v>3000</v>
      </c>
      <c r="K57" s="58">
        <f t="shared" si="9"/>
        <v>0</v>
      </c>
      <c r="L57" s="58">
        <f t="shared" si="10"/>
        <v>0</v>
      </c>
      <c r="M57" s="58">
        <f t="shared" si="11"/>
        <v>0</v>
      </c>
      <c r="N57" s="59">
        <f t="shared" si="6"/>
        <v>0.2</v>
      </c>
      <c r="O57" s="60"/>
      <c r="P57" s="105"/>
    </row>
    <row r="58" spans="1:16" x14ac:dyDescent="0.3">
      <c r="A58" s="54" t="str">
        <v>B</v>
      </c>
      <c r="B58" s="55" t="str">
        <v>123AB</v>
      </c>
      <c r="C58" s="56">
        <v>46321</v>
      </c>
      <c r="D58" s="57">
        <v>15000</v>
      </c>
      <c r="E58" s="58">
        <v>6250</v>
      </c>
      <c r="F58" s="57">
        <f t="shared" si="0"/>
        <v>0</v>
      </c>
      <c r="G58" s="57">
        <f t="shared" si="1"/>
        <v>15000</v>
      </c>
      <c r="H58" s="57">
        <f t="shared" si="12"/>
        <v>0</v>
      </c>
      <c r="I58" s="58">
        <f t="shared" si="8"/>
        <v>6250</v>
      </c>
      <c r="J58" s="58">
        <f t="shared" si="3"/>
        <v>6250</v>
      </c>
      <c r="K58" s="58">
        <f t="shared" si="9"/>
        <v>0</v>
      </c>
      <c r="L58" s="58">
        <f t="shared" si="10"/>
        <v>0</v>
      </c>
      <c r="M58" s="58">
        <f t="shared" si="11"/>
        <v>0</v>
      </c>
      <c r="N58" s="59">
        <f t="shared" si="6"/>
        <v>0.41666666666666669</v>
      </c>
      <c r="O58" s="60"/>
      <c r="P58" s="105"/>
    </row>
    <row r="59" spans="1:16" x14ac:dyDescent="0.3">
      <c r="A59" s="54" t="str">
        <v>B</v>
      </c>
      <c r="B59" s="55" t="str">
        <v>123AB</v>
      </c>
      <c r="C59" s="56">
        <v>46328</v>
      </c>
      <c r="D59" s="57">
        <v>15000</v>
      </c>
      <c r="E59" s="58">
        <v>6250</v>
      </c>
      <c r="F59" s="57">
        <f t="shared" si="0"/>
        <v>0</v>
      </c>
      <c r="G59" s="57">
        <f t="shared" si="1"/>
        <v>15000</v>
      </c>
      <c r="H59" s="57">
        <f t="shared" si="12"/>
        <v>0</v>
      </c>
      <c r="I59" s="58">
        <f t="shared" si="8"/>
        <v>6250</v>
      </c>
      <c r="J59" s="58">
        <f t="shared" si="3"/>
        <v>6250</v>
      </c>
      <c r="K59" s="58">
        <f t="shared" si="9"/>
        <v>0</v>
      </c>
      <c r="L59" s="58">
        <f t="shared" si="10"/>
        <v>0</v>
      </c>
      <c r="M59" s="58">
        <f t="shared" si="11"/>
        <v>0</v>
      </c>
      <c r="N59" s="59">
        <f t="shared" si="6"/>
        <v>0.41666666666666669</v>
      </c>
      <c r="O59" s="60"/>
      <c r="P59" s="105"/>
    </row>
    <row r="60" spans="1:16" x14ac:dyDescent="0.3">
      <c r="A60" s="54" t="str">
        <v>B</v>
      </c>
      <c r="B60" s="55" t="str">
        <v>123AB</v>
      </c>
      <c r="C60" s="56">
        <v>46335</v>
      </c>
      <c r="D60" s="57">
        <v>15000</v>
      </c>
      <c r="E60" s="58">
        <v>6250</v>
      </c>
      <c r="F60" s="57">
        <f t="shared" si="0"/>
        <v>0</v>
      </c>
      <c r="G60" s="57">
        <f t="shared" si="1"/>
        <v>15000</v>
      </c>
      <c r="H60" s="57">
        <f t="shared" si="12"/>
        <v>0</v>
      </c>
      <c r="I60" s="58">
        <f t="shared" si="8"/>
        <v>6250</v>
      </c>
      <c r="J60" s="58">
        <f t="shared" si="3"/>
        <v>6250</v>
      </c>
      <c r="K60" s="58">
        <f t="shared" si="9"/>
        <v>0</v>
      </c>
      <c r="L60" s="58">
        <f t="shared" si="10"/>
        <v>0</v>
      </c>
      <c r="M60" s="58">
        <f t="shared" si="11"/>
        <v>0</v>
      </c>
      <c r="N60" s="59">
        <f t="shared" si="6"/>
        <v>0.41666666666666669</v>
      </c>
      <c r="O60" s="60"/>
      <c r="P60" s="105"/>
    </row>
    <row r="61" spans="1:16" x14ac:dyDescent="0.3">
      <c r="A61" s="54" t="str">
        <v>B</v>
      </c>
      <c r="B61" s="55" t="str">
        <v>123AB</v>
      </c>
      <c r="C61" s="56">
        <v>46342</v>
      </c>
      <c r="D61" s="57">
        <v>15000</v>
      </c>
      <c r="E61" s="58">
        <v>6250</v>
      </c>
      <c r="F61" s="57">
        <f t="shared" si="0"/>
        <v>0</v>
      </c>
      <c r="G61" s="57">
        <f t="shared" si="1"/>
        <v>15000</v>
      </c>
      <c r="H61" s="57">
        <f t="shared" si="12"/>
        <v>0</v>
      </c>
      <c r="I61" s="58">
        <f t="shared" si="8"/>
        <v>6250</v>
      </c>
      <c r="J61" s="58">
        <f t="shared" si="3"/>
        <v>6250</v>
      </c>
      <c r="K61" s="58">
        <f t="shared" si="9"/>
        <v>0</v>
      </c>
      <c r="L61" s="58">
        <f t="shared" si="10"/>
        <v>0</v>
      </c>
      <c r="M61" s="58">
        <f t="shared" si="11"/>
        <v>0</v>
      </c>
      <c r="N61" s="59">
        <f t="shared" si="6"/>
        <v>0.41666666666666669</v>
      </c>
      <c r="O61" s="60"/>
      <c r="P61" s="105"/>
    </row>
    <row r="62" spans="1:16" x14ac:dyDescent="0.3">
      <c r="A62" s="54" t="str">
        <v>B</v>
      </c>
      <c r="B62" s="55" t="str">
        <v>123AB</v>
      </c>
      <c r="C62" s="56">
        <v>46349</v>
      </c>
      <c r="D62" s="57">
        <v>15000</v>
      </c>
      <c r="E62" s="58">
        <v>6250</v>
      </c>
      <c r="F62" s="57">
        <f t="shared" si="0"/>
        <v>0</v>
      </c>
      <c r="G62" s="57">
        <f t="shared" si="1"/>
        <v>15000</v>
      </c>
      <c r="H62" s="57">
        <f t="shared" si="12"/>
        <v>0</v>
      </c>
      <c r="I62" s="58">
        <f t="shared" si="8"/>
        <v>6250</v>
      </c>
      <c r="J62" s="58">
        <f t="shared" si="3"/>
        <v>6250</v>
      </c>
      <c r="K62" s="58">
        <f t="shared" si="9"/>
        <v>0</v>
      </c>
      <c r="L62" s="58">
        <f t="shared" si="10"/>
        <v>0</v>
      </c>
      <c r="M62" s="58">
        <f t="shared" si="11"/>
        <v>0</v>
      </c>
      <c r="N62" s="59">
        <f t="shared" si="6"/>
        <v>0.41666666666666669</v>
      </c>
      <c r="O62" s="60"/>
      <c r="P62" s="105"/>
    </row>
    <row r="63" spans="1:16" x14ac:dyDescent="0.3">
      <c r="A63" s="54" t="str">
        <v>B</v>
      </c>
      <c r="B63" s="55" t="str">
        <v>123AB</v>
      </c>
      <c r="C63" s="56">
        <v>46356</v>
      </c>
      <c r="D63" s="57">
        <v>15000</v>
      </c>
      <c r="E63" s="58">
        <v>6250</v>
      </c>
      <c r="F63" s="57">
        <f t="shared" si="0"/>
        <v>0</v>
      </c>
      <c r="G63" s="57">
        <f t="shared" si="1"/>
        <v>15000</v>
      </c>
      <c r="H63" s="57">
        <f t="shared" si="12"/>
        <v>0</v>
      </c>
      <c r="I63" s="58">
        <f t="shared" si="8"/>
        <v>6250</v>
      </c>
      <c r="J63" s="58">
        <f t="shared" si="3"/>
        <v>6250</v>
      </c>
      <c r="K63" s="58">
        <f t="shared" si="9"/>
        <v>0</v>
      </c>
      <c r="L63" s="58">
        <f t="shared" si="10"/>
        <v>0</v>
      </c>
      <c r="M63" s="58">
        <f t="shared" si="11"/>
        <v>0</v>
      </c>
      <c r="N63" s="59">
        <f t="shared" si="6"/>
        <v>0.41666666666666669</v>
      </c>
      <c r="O63" s="60"/>
      <c r="P63" s="105"/>
    </row>
    <row r="64" spans="1:16" x14ac:dyDescent="0.3">
      <c r="A64" s="54" t="str">
        <v>B</v>
      </c>
      <c r="B64" s="55" t="str">
        <v>123AB</v>
      </c>
      <c r="C64" s="56">
        <v>46363</v>
      </c>
      <c r="D64" s="57">
        <v>15000</v>
      </c>
      <c r="E64" s="58">
        <v>6250</v>
      </c>
      <c r="F64" s="57">
        <f t="shared" si="0"/>
        <v>0</v>
      </c>
      <c r="G64" s="57">
        <f t="shared" si="1"/>
        <v>15000</v>
      </c>
      <c r="H64" s="57">
        <f t="shared" si="12"/>
        <v>0</v>
      </c>
      <c r="I64" s="58">
        <f t="shared" si="8"/>
        <v>6250</v>
      </c>
      <c r="J64" s="58">
        <f t="shared" si="3"/>
        <v>6250</v>
      </c>
      <c r="K64" s="58">
        <f t="shared" si="9"/>
        <v>0</v>
      </c>
      <c r="L64" s="58">
        <f t="shared" si="10"/>
        <v>0</v>
      </c>
      <c r="M64" s="58">
        <f t="shared" si="11"/>
        <v>0</v>
      </c>
      <c r="N64" s="59">
        <f t="shared" si="6"/>
        <v>0.41666666666666669</v>
      </c>
      <c r="O64" s="60"/>
      <c r="P64" s="105"/>
    </row>
    <row r="65" spans="1:16" x14ac:dyDescent="0.3">
      <c r="A65" s="54" t="str">
        <v>B</v>
      </c>
      <c r="B65" s="55" t="str">
        <v>123AB</v>
      </c>
      <c r="C65" s="56">
        <v>46370</v>
      </c>
      <c r="D65" s="57">
        <v>15000</v>
      </c>
      <c r="E65" s="58">
        <v>6250</v>
      </c>
      <c r="F65" s="57">
        <f t="shared" si="0"/>
        <v>0</v>
      </c>
      <c r="G65" s="57">
        <f t="shared" si="1"/>
        <v>15000</v>
      </c>
      <c r="H65" s="57">
        <f t="shared" si="12"/>
        <v>0</v>
      </c>
      <c r="I65" s="58">
        <f t="shared" si="8"/>
        <v>6250</v>
      </c>
      <c r="J65" s="58">
        <f t="shared" si="3"/>
        <v>6250</v>
      </c>
      <c r="K65" s="58">
        <f t="shared" si="9"/>
        <v>0</v>
      </c>
      <c r="L65" s="58">
        <f t="shared" si="10"/>
        <v>0</v>
      </c>
      <c r="M65" s="58">
        <f t="shared" si="11"/>
        <v>0</v>
      </c>
      <c r="N65" s="59">
        <f t="shared" si="6"/>
        <v>0.41666666666666669</v>
      </c>
      <c r="O65" s="60"/>
      <c r="P65" s="105"/>
    </row>
    <row r="66" spans="1:16" x14ac:dyDescent="0.3">
      <c r="A66" s="54" t="str">
        <v>C</v>
      </c>
      <c r="B66" s="55" t="str">
        <v>456CD</v>
      </c>
      <c r="C66" s="56">
        <v>46146</v>
      </c>
      <c r="D66" s="57">
        <v>5000</v>
      </c>
      <c r="E66" s="58">
        <v>4320</v>
      </c>
      <c r="F66" s="57">
        <f t="shared" ref="F66:F129" si="13">IF($A66="","",IF($A66&lt;&gt;$A65,_xlfn.XLOOKUP($A66,$Q$2:$Q$7,$R$2:$R$7,0),K65))</f>
        <v>0</v>
      </c>
      <c r="G66" s="57">
        <f t="shared" ref="G66:G129" si="14">IF($A66="","",_xlfn.XLOOKUP($A66,$Q$2:$Q$7,$S$2:$S$7,0))</f>
        <v>5000</v>
      </c>
      <c r="H66" s="57">
        <f t="shared" ref="H66:H97" si="15">IF($A66="","",IF($A66&lt;&gt;$A67,0,MAX(0,H67+E67-D67)))</f>
        <v>21855</v>
      </c>
      <c r="I66" s="58">
        <f t="shared" si="8"/>
        <v>26175</v>
      </c>
      <c r="J66" s="58">
        <f t="shared" ref="J66:J129" si="16">IF($A66="","",MIN($D66,$I66,MAX(0,$E66+$G66-$F66)))</f>
        <v>5000</v>
      </c>
      <c r="K66" s="58">
        <f t="shared" si="9"/>
        <v>680</v>
      </c>
      <c r="L66" s="58">
        <f t="shared" si="10"/>
        <v>0</v>
      </c>
      <c r="M66" s="58">
        <f t="shared" si="11"/>
        <v>680</v>
      </c>
      <c r="N66" s="59">
        <f t="shared" ref="N66:N129" si="17">IF($A66="","",IFERROR(J66/D66,0))</f>
        <v>1</v>
      </c>
      <c r="O66" s="60"/>
      <c r="P66" s="105"/>
    </row>
    <row r="67" spans="1:16" x14ac:dyDescent="0.3">
      <c r="A67" s="54" t="str">
        <v>C</v>
      </c>
      <c r="B67" s="55" t="str">
        <v>456CD</v>
      </c>
      <c r="C67" s="56">
        <v>46153</v>
      </c>
      <c r="D67" s="57">
        <v>5000</v>
      </c>
      <c r="E67" s="58">
        <v>8370</v>
      </c>
      <c r="F67" s="57">
        <f t="shared" si="13"/>
        <v>680</v>
      </c>
      <c r="G67" s="57">
        <f t="shared" si="14"/>
        <v>5000</v>
      </c>
      <c r="H67" s="57">
        <f t="shared" si="15"/>
        <v>18485</v>
      </c>
      <c r="I67" s="58">
        <f t="shared" ref="I67:I130" si="18">IF($A67="","",MAX(0,E67+H67-F67))</f>
        <v>26175</v>
      </c>
      <c r="J67" s="58">
        <f t="shared" si="16"/>
        <v>5000</v>
      </c>
      <c r="K67" s="58">
        <f t="shared" ref="K67:K130" si="19">IF($A67="","",MIN($G67,MAX(0,$F67+$J67-$E67)))</f>
        <v>0</v>
      </c>
      <c r="L67" s="58">
        <f t="shared" ref="L67:L130" si="20">IF($A67="","",MAX(0,E67-F67-J67))</f>
        <v>2690</v>
      </c>
      <c r="M67" s="58">
        <f t="shared" ref="M67:M130" si="21">IF($A67="","",MAX(0,F67+J67-E67))</f>
        <v>0</v>
      </c>
      <c r="N67" s="59">
        <f t="shared" si="17"/>
        <v>1</v>
      </c>
      <c r="O67" s="60"/>
      <c r="P67" s="105"/>
    </row>
    <row r="68" spans="1:16" x14ac:dyDescent="0.3">
      <c r="A68" s="54" t="str">
        <v>C</v>
      </c>
      <c r="B68" s="55" t="str">
        <v>456CD</v>
      </c>
      <c r="C68" s="56">
        <v>46160</v>
      </c>
      <c r="D68" s="57">
        <v>5000</v>
      </c>
      <c r="E68" s="58">
        <v>11782</v>
      </c>
      <c r="F68" s="57">
        <f t="shared" si="13"/>
        <v>0</v>
      </c>
      <c r="G68" s="57">
        <f t="shared" si="14"/>
        <v>5000</v>
      </c>
      <c r="H68" s="57">
        <f t="shared" si="15"/>
        <v>11703</v>
      </c>
      <c r="I68" s="58">
        <f t="shared" si="18"/>
        <v>23485</v>
      </c>
      <c r="J68" s="58">
        <f t="shared" si="16"/>
        <v>5000</v>
      </c>
      <c r="K68" s="58">
        <f t="shared" si="19"/>
        <v>0</v>
      </c>
      <c r="L68" s="58">
        <f t="shared" si="20"/>
        <v>6782</v>
      </c>
      <c r="M68" s="58">
        <f t="shared" si="21"/>
        <v>0</v>
      </c>
      <c r="N68" s="59">
        <f t="shared" si="17"/>
        <v>1</v>
      </c>
      <c r="O68" s="60"/>
      <c r="P68" s="105"/>
    </row>
    <row r="69" spans="1:16" x14ac:dyDescent="0.3">
      <c r="A69" s="54" t="str">
        <v>C</v>
      </c>
      <c r="B69" s="55" t="str">
        <v>456CD</v>
      </c>
      <c r="C69" s="56">
        <v>46167</v>
      </c>
      <c r="D69" s="57">
        <v>5000</v>
      </c>
      <c r="E69" s="58">
        <v>10524</v>
      </c>
      <c r="F69" s="57">
        <f t="shared" si="13"/>
        <v>0</v>
      </c>
      <c r="G69" s="57">
        <f t="shared" si="14"/>
        <v>5000</v>
      </c>
      <c r="H69" s="57">
        <f t="shared" si="15"/>
        <v>6179</v>
      </c>
      <c r="I69" s="58">
        <f t="shared" si="18"/>
        <v>16703</v>
      </c>
      <c r="J69" s="58">
        <f t="shared" si="16"/>
        <v>5000</v>
      </c>
      <c r="K69" s="58">
        <f t="shared" si="19"/>
        <v>0</v>
      </c>
      <c r="L69" s="58">
        <f t="shared" si="20"/>
        <v>5524</v>
      </c>
      <c r="M69" s="58">
        <f t="shared" si="21"/>
        <v>0</v>
      </c>
      <c r="N69" s="59">
        <f t="shared" si="17"/>
        <v>1</v>
      </c>
      <c r="O69" s="60"/>
      <c r="P69" s="105"/>
    </row>
    <row r="70" spans="1:16" x14ac:dyDescent="0.3">
      <c r="A70" s="54" t="str">
        <v>C</v>
      </c>
      <c r="B70" s="55" t="str">
        <v>456CD</v>
      </c>
      <c r="C70" s="56">
        <v>46174</v>
      </c>
      <c r="D70" s="57">
        <v>5000</v>
      </c>
      <c r="E70" s="58">
        <v>3240</v>
      </c>
      <c r="F70" s="57">
        <f t="shared" si="13"/>
        <v>0</v>
      </c>
      <c r="G70" s="57">
        <f t="shared" si="14"/>
        <v>5000</v>
      </c>
      <c r="H70" s="57">
        <f t="shared" si="15"/>
        <v>7939</v>
      </c>
      <c r="I70" s="58">
        <f t="shared" si="18"/>
        <v>11179</v>
      </c>
      <c r="J70" s="58">
        <f t="shared" si="16"/>
        <v>5000</v>
      </c>
      <c r="K70" s="58">
        <f t="shared" si="19"/>
        <v>1760</v>
      </c>
      <c r="L70" s="58">
        <f t="shared" si="20"/>
        <v>0</v>
      </c>
      <c r="M70" s="58">
        <f t="shared" si="21"/>
        <v>1760</v>
      </c>
      <c r="N70" s="59">
        <f t="shared" si="17"/>
        <v>1</v>
      </c>
      <c r="O70" s="60"/>
      <c r="P70" s="105"/>
    </row>
    <row r="71" spans="1:16" x14ac:dyDescent="0.3">
      <c r="A71" s="54" t="str">
        <v>C</v>
      </c>
      <c r="B71" s="55" t="str">
        <v>456CD</v>
      </c>
      <c r="C71" s="56">
        <v>46181</v>
      </c>
      <c r="D71" s="57">
        <v>5000</v>
      </c>
      <c r="E71" s="58">
        <v>6442</v>
      </c>
      <c r="F71" s="57">
        <f t="shared" si="13"/>
        <v>1760</v>
      </c>
      <c r="G71" s="57">
        <f t="shared" si="14"/>
        <v>5000</v>
      </c>
      <c r="H71" s="57">
        <f t="shared" si="15"/>
        <v>6497</v>
      </c>
      <c r="I71" s="58">
        <f t="shared" si="18"/>
        <v>11179</v>
      </c>
      <c r="J71" s="58">
        <f t="shared" si="16"/>
        <v>5000</v>
      </c>
      <c r="K71" s="58">
        <f t="shared" si="19"/>
        <v>318</v>
      </c>
      <c r="L71" s="58">
        <f t="shared" si="20"/>
        <v>0</v>
      </c>
      <c r="M71" s="58">
        <f t="shared" si="21"/>
        <v>318</v>
      </c>
      <c r="N71" s="59">
        <f t="shared" si="17"/>
        <v>1</v>
      </c>
      <c r="O71" s="60"/>
      <c r="P71" s="105"/>
    </row>
    <row r="72" spans="1:16" x14ac:dyDescent="0.3">
      <c r="A72" s="54" t="str">
        <v>C</v>
      </c>
      <c r="B72" s="55" t="str">
        <v>456CD</v>
      </c>
      <c r="C72" s="56">
        <v>46188</v>
      </c>
      <c r="D72" s="57">
        <v>5000</v>
      </c>
      <c r="E72" s="58">
        <v>8802</v>
      </c>
      <c r="F72" s="57">
        <f t="shared" si="13"/>
        <v>318</v>
      </c>
      <c r="G72" s="57">
        <f t="shared" si="14"/>
        <v>5000</v>
      </c>
      <c r="H72" s="57">
        <f t="shared" si="15"/>
        <v>2695</v>
      </c>
      <c r="I72" s="58">
        <f t="shared" si="18"/>
        <v>11179</v>
      </c>
      <c r="J72" s="58">
        <f t="shared" si="16"/>
        <v>5000</v>
      </c>
      <c r="K72" s="58">
        <f t="shared" si="19"/>
        <v>0</v>
      </c>
      <c r="L72" s="58">
        <f t="shared" si="20"/>
        <v>3484</v>
      </c>
      <c r="M72" s="58">
        <f t="shared" si="21"/>
        <v>0</v>
      </c>
      <c r="N72" s="59">
        <f t="shared" si="17"/>
        <v>1</v>
      </c>
      <c r="O72" s="60"/>
      <c r="P72" s="105"/>
    </row>
    <row r="73" spans="1:16" x14ac:dyDescent="0.3">
      <c r="A73" s="54" t="str">
        <v>C</v>
      </c>
      <c r="B73" s="55" t="str">
        <v>456CD</v>
      </c>
      <c r="C73" s="56">
        <v>46195</v>
      </c>
      <c r="D73" s="57">
        <v>5000</v>
      </c>
      <c r="E73" s="58">
        <v>7695</v>
      </c>
      <c r="F73" s="57">
        <f t="shared" si="13"/>
        <v>0</v>
      </c>
      <c r="G73" s="57">
        <f t="shared" si="14"/>
        <v>5000</v>
      </c>
      <c r="H73" s="57">
        <f t="shared" si="15"/>
        <v>0</v>
      </c>
      <c r="I73" s="58">
        <f t="shared" si="18"/>
        <v>7695</v>
      </c>
      <c r="J73" s="58">
        <f t="shared" si="16"/>
        <v>5000</v>
      </c>
      <c r="K73" s="58">
        <f t="shared" si="19"/>
        <v>0</v>
      </c>
      <c r="L73" s="58">
        <f t="shared" si="20"/>
        <v>2695</v>
      </c>
      <c r="M73" s="58">
        <f t="shared" si="21"/>
        <v>0</v>
      </c>
      <c r="N73" s="59">
        <f t="shared" si="17"/>
        <v>1</v>
      </c>
      <c r="O73" s="60"/>
      <c r="P73" s="105"/>
    </row>
    <row r="74" spans="1:16" x14ac:dyDescent="0.3">
      <c r="A74" s="54" t="str">
        <v>C</v>
      </c>
      <c r="B74" s="55" t="str">
        <v>456CD</v>
      </c>
      <c r="C74" s="56">
        <v>46202</v>
      </c>
      <c r="D74" s="57">
        <v>5000</v>
      </c>
      <c r="E74" s="58">
        <v>2500</v>
      </c>
      <c r="F74" s="57">
        <f t="shared" si="13"/>
        <v>0</v>
      </c>
      <c r="G74" s="57">
        <f t="shared" si="14"/>
        <v>5000</v>
      </c>
      <c r="H74" s="57">
        <f t="shared" si="15"/>
        <v>0</v>
      </c>
      <c r="I74" s="58">
        <f t="shared" si="18"/>
        <v>2500</v>
      </c>
      <c r="J74" s="58">
        <f t="shared" si="16"/>
        <v>2500</v>
      </c>
      <c r="K74" s="58">
        <f t="shared" si="19"/>
        <v>0</v>
      </c>
      <c r="L74" s="58">
        <f t="shared" si="20"/>
        <v>0</v>
      </c>
      <c r="M74" s="58">
        <f t="shared" si="21"/>
        <v>0</v>
      </c>
      <c r="N74" s="59">
        <f t="shared" si="17"/>
        <v>0.5</v>
      </c>
      <c r="O74" s="60"/>
      <c r="P74" s="105"/>
    </row>
    <row r="75" spans="1:16" x14ac:dyDescent="0.3">
      <c r="A75" s="54" t="str">
        <v>C</v>
      </c>
      <c r="B75" s="55" t="str">
        <v>456CD</v>
      </c>
      <c r="C75" s="56">
        <v>46209</v>
      </c>
      <c r="D75" s="57">
        <v>5000</v>
      </c>
      <c r="E75" s="58">
        <v>2500</v>
      </c>
      <c r="F75" s="57">
        <f t="shared" si="13"/>
        <v>0</v>
      </c>
      <c r="G75" s="57">
        <f t="shared" si="14"/>
        <v>5000</v>
      </c>
      <c r="H75" s="57">
        <f t="shared" si="15"/>
        <v>0</v>
      </c>
      <c r="I75" s="58">
        <f t="shared" si="18"/>
        <v>2500</v>
      </c>
      <c r="J75" s="58">
        <f t="shared" si="16"/>
        <v>2500</v>
      </c>
      <c r="K75" s="58">
        <f t="shared" si="19"/>
        <v>0</v>
      </c>
      <c r="L75" s="58">
        <f t="shared" si="20"/>
        <v>0</v>
      </c>
      <c r="M75" s="58">
        <f t="shared" si="21"/>
        <v>0</v>
      </c>
      <c r="N75" s="59">
        <f t="shared" si="17"/>
        <v>0.5</v>
      </c>
      <c r="O75" s="60"/>
      <c r="P75" s="105"/>
    </row>
    <row r="76" spans="1:16" x14ac:dyDescent="0.3">
      <c r="A76" s="54" t="str">
        <v>C</v>
      </c>
      <c r="B76" s="55" t="str">
        <v>456CD</v>
      </c>
      <c r="C76" s="56">
        <v>46216</v>
      </c>
      <c r="D76" s="57">
        <v>5000</v>
      </c>
      <c r="E76" s="58">
        <v>2500</v>
      </c>
      <c r="F76" s="57">
        <f t="shared" si="13"/>
        <v>0</v>
      </c>
      <c r="G76" s="57">
        <f t="shared" si="14"/>
        <v>5000</v>
      </c>
      <c r="H76" s="57">
        <f t="shared" si="15"/>
        <v>0</v>
      </c>
      <c r="I76" s="58">
        <f t="shared" si="18"/>
        <v>2500</v>
      </c>
      <c r="J76" s="58">
        <f t="shared" si="16"/>
        <v>2500</v>
      </c>
      <c r="K76" s="58">
        <f t="shared" si="19"/>
        <v>0</v>
      </c>
      <c r="L76" s="58">
        <f t="shared" si="20"/>
        <v>0</v>
      </c>
      <c r="M76" s="58">
        <f t="shared" si="21"/>
        <v>0</v>
      </c>
      <c r="N76" s="59">
        <f t="shared" si="17"/>
        <v>0.5</v>
      </c>
      <c r="O76" s="60"/>
      <c r="P76" s="105"/>
    </row>
    <row r="77" spans="1:16" x14ac:dyDescent="0.3">
      <c r="A77" s="54" t="str">
        <v>C</v>
      </c>
      <c r="B77" s="55" t="str">
        <v>456CD</v>
      </c>
      <c r="C77" s="56">
        <v>46223</v>
      </c>
      <c r="D77" s="57">
        <v>5000</v>
      </c>
      <c r="E77" s="58">
        <v>1000</v>
      </c>
      <c r="F77" s="57">
        <f t="shared" si="13"/>
        <v>0</v>
      </c>
      <c r="G77" s="57">
        <f t="shared" si="14"/>
        <v>5000</v>
      </c>
      <c r="H77" s="57">
        <f t="shared" si="15"/>
        <v>0</v>
      </c>
      <c r="I77" s="58">
        <f t="shared" si="18"/>
        <v>1000</v>
      </c>
      <c r="J77" s="58">
        <f t="shared" si="16"/>
        <v>1000</v>
      </c>
      <c r="K77" s="58">
        <f t="shared" si="19"/>
        <v>0</v>
      </c>
      <c r="L77" s="58">
        <f t="shared" si="20"/>
        <v>0</v>
      </c>
      <c r="M77" s="58">
        <f t="shared" si="21"/>
        <v>0</v>
      </c>
      <c r="N77" s="59">
        <f t="shared" si="17"/>
        <v>0.2</v>
      </c>
      <c r="O77" s="60"/>
      <c r="P77" s="105"/>
    </row>
    <row r="78" spans="1:16" x14ac:dyDescent="0.3">
      <c r="A78" s="54" t="str">
        <v>C</v>
      </c>
      <c r="B78" s="55" t="str">
        <v>456CD</v>
      </c>
      <c r="C78" s="56">
        <v>46230</v>
      </c>
      <c r="D78" s="57">
        <v>5000</v>
      </c>
      <c r="E78" s="58">
        <v>1000</v>
      </c>
      <c r="F78" s="57">
        <f t="shared" si="13"/>
        <v>0</v>
      </c>
      <c r="G78" s="57">
        <f t="shared" si="14"/>
        <v>5000</v>
      </c>
      <c r="H78" s="57">
        <f t="shared" si="15"/>
        <v>0</v>
      </c>
      <c r="I78" s="58">
        <f t="shared" si="18"/>
        <v>1000</v>
      </c>
      <c r="J78" s="58">
        <f t="shared" si="16"/>
        <v>1000</v>
      </c>
      <c r="K78" s="58">
        <f t="shared" si="19"/>
        <v>0</v>
      </c>
      <c r="L78" s="58">
        <f t="shared" si="20"/>
        <v>0</v>
      </c>
      <c r="M78" s="58">
        <f t="shared" si="21"/>
        <v>0</v>
      </c>
      <c r="N78" s="59">
        <f t="shared" si="17"/>
        <v>0.2</v>
      </c>
      <c r="O78" s="60"/>
      <c r="P78" s="105"/>
    </row>
    <row r="79" spans="1:16" x14ac:dyDescent="0.3">
      <c r="A79" s="54" t="str">
        <v>C</v>
      </c>
      <c r="B79" s="55" t="str">
        <v>456CD</v>
      </c>
      <c r="C79" s="56">
        <v>46237</v>
      </c>
      <c r="D79" s="57">
        <v>5000</v>
      </c>
      <c r="E79" s="58">
        <v>1000</v>
      </c>
      <c r="F79" s="57">
        <f t="shared" si="13"/>
        <v>0</v>
      </c>
      <c r="G79" s="57">
        <f t="shared" si="14"/>
        <v>5000</v>
      </c>
      <c r="H79" s="57">
        <f t="shared" si="15"/>
        <v>0</v>
      </c>
      <c r="I79" s="58">
        <f t="shared" si="18"/>
        <v>1000</v>
      </c>
      <c r="J79" s="58">
        <f t="shared" si="16"/>
        <v>1000</v>
      </c>
      <c r="K79" s="58">
        <f t="shared" si="19"/>
        <v>0</v>
      </c>
      <c r="L79" s="58">
        <f t="shared" si="20"/>
        <v>0</v>
      </c>
      <c r="M79" s="58">
        <f t="shared" si="21"/>
        <v>0</v>
      </c>
      <c r="N79" s="59">
        <f t="shared" si="17"/>
        <v>0.2</v>
      </c>
      <c r="O79" s="60"/>
      <c r="P79" s="105"/>
    </row>
    <row r="80" spans="1:16" x14ac:dyDescent="0.3">
      <c r="A80" s="54" t="str">
        <v>C</v>
      </c>
      <c r="B80" s="55" t="str">
        <v>456CD</v>
      </c>
      <c r="C80" s="56">
        <v>46244</v>
      </c>
      <c r="D80" s="57">
        <v>5000</v>
      </c>
      <c r="E80" s="58">
        <v>1000</v>
      </c>
      <c r="F80" s="57">
        <f t="shared" si="13"/>
        <v>0</v>
      </c>
      <c r="G80" s="57">
        <f t="shared" si="14"/>
        <v>5000</v>
      </c>
      <c r="H80" s="57">
        <f t="shared" si="15"/>
        <v>0</v>
      </c>
      <c r="I80" s="58">
        <f t="shared" si="18"/>
        <v>1000</v>
      </c>
      <c r="J80" s="58">
        <f t="shared" si="16"/>
        <v>1000</v>
      </c>
      <c r="K80" s="58">
        <f t="shared" si="19"/>
        <v>0</v>
      </c>
      <c r="L80" s="58">
        <f t="shared" si="20"/>
        <v>0</v>
      </c>
      <c r="M80" s="58">
        <f t="shared" si="21"/>
        <v>0</v>
      </c>
      <c r="N80" s="59">
        <f t="shared" si="17"/>
        <v>0.2</v>
      </c>
      <c r="O80" s="60"/>
      <c r="P80" s="105"/>
    </row>
    <row r="81" spans="1:16" x14ac:dyDescent="0.3">
      <c r="A81" s="54" t="str">
        <v>C</v>
      </c>
      <c r="B81" s="55" t="str">
        <v>456CD</v>
      </c>
      <c r="C81" s="56">
        <v>46251</v>
      </c>
      <c r="D81" s="57">
        <v>5000</v>
      </c>
      <c r="E81" s="58">
        <v>1000</v>
      </c>
      <c r="F81" s="57">
        <f t="shared" si="13"/>
        <v>0</v>
      </c>
      <c r="G81" s="57">
        <f t="shared" si="14"/>
        <v>5000</v>
      </c>
      <c r="H81" s="57">
        <f t="shared" si="15"/>
        <v>0</v>
      </c>
      <c r="I81" s="58">
        <f t="shared" si="18"/>
        <v>1000</v>
      </c>
      <c r="J81" s="58">
        <f t="shared" si="16"/>
        <v>1000</v>
      </c>
      <c r="K81" s="58">
        <f t="shared" si="19"/>
        <v>0</v>
      </c>
      <c r="L81" s="58">
        <f t="shared" si="20"/>
        <v>0</v>
      </c>
      <c r="M81" s="58">
        <f t="shared" si="21"/>
        <v>0</v>
      </c>
      <c r="N81" s="59">
        <f t="shared" si="17"/>
        <v>0.2</v>
      </c>
      <c r="O81" s="60"/>
      <c r="P81" s="105"/>
    </row>
    <row r="82" spans="1:16" x14ac:dyDescent="0.3">
      <c r="A82" s="54" t="str">
        <v>C</v>
      </c>
      <c r="B82" s="55" t="str">
        <v>456CD</v>
      </c>
      <c r="C82" s="56">
        <v>46258</v>
      </c>
      <c r="D82" s="57">
        <v>5000</v>
      </c>
      <c r="E82" s="58">
        <v>750</v>
      </c>
      <c r="F82" s="57">
        <f t="shared" si="13"/>
        <v>0</v>
      </c>
      <c r="G82" s="57">
        <f t="shared" si="14"/>
        <v>5000</v>
      </c>
      <c r="H82" s="57">
        <f t="shared" si="15"/>
        <v>0</v>
      </c>
      <c r="I82" s="58">
        <f t="shared" si="18"/>
        <v>750</v>
      </c>
      <c r="J82" s="58">
        <f t="shared" si="16"/>
        <v>750</v>
      </c>
      <c r="K82" s="58">
        <f t="shared" si="19"/>
        <v>0</v>
      </c>
      <c r="L82" s="58">
        <f t="shared" si="20"/>
        <v>0</v>
      </c>
      <c r="M82" s="58">
        <f t="shared" si="21"/>
        <v>0</v>
      </c>
      <c r="N82" s="59">
        <f t="shared" si="17"/>
        <v>0.15</v>
      </c>
      <c r="O82" s="60"/>
      <c r="P82" s="105"/>
    </row>
    <row r="83" spans="1:16" x14ac:dyDescent="0.3">
      <c r="A83" s="54" t="str">
        <v>C</v>
      </c>
      <c r="B83" s="55" t="str">
        <v>456CD</v>
      </c>
      <c r="C83" s="56">
        <v>46265</v>
      </c>
      <c r="D83" s="57">
        <v>5000</v>
      </c>
      <c r="E83" s="58">
        <v>750</v>
      </c>
      <c r="F83" s="57">
        <f t="shared" si="13"/>
        <v>0</v>
      </c>
      <c r="G83" s="57">
        <f t="shared" si="14"/>
        <v>5000</v>
      </c>
      <c r="H83" s="57">
        <f t="shared" si="15"/>
        <v>0</v>
      </c>
      <c r="I83" s="58">
        <f t="shared" si="18"/>
        <v>750</v>
      </c>
      <c r="J83" s="58">
        <f t="shared" si="16"/>
        <v>750</v>
      </c>
      <c r="K83" s="58">
        <f t="shared" si="19"/>
        <v>0</v>
      </c>
      <c r="L83" s="58">
        <f t="shared" si="20"/>
        <v>0</v>
      </c>
      <c r="M83" s="58">
        <f t="shared" si="21"/>
        <v>0</v>
      </c>
      <c r="N83" s="59">
        <f t="shared" si="17"/>
        <v>0.15</v>
      </c>
      <c r="O83" s="60"/>
      <c r="P83" s="105"/>
    </row>
    <row r="84" spans="1:16" x14ac:dyDescent="0.3">
      <c r="A84" s="54" t="str">
        <v>C</v>
      </c>
      <c r="B84" s="55" t="str">
        <v>456CD</v>
      </c>
      <c r="C84" s="56">
        <v>46272</v>
      </c>
      <c r="D84" s="57">
        <v>5000</v>
      </c>
      <c r="E84" s="58">
        <v>750</v>
      </c>
      <c r="F84" s="57">
        <f t="shared" si="13"/>
        <v>0</v>
      </c>
      <c r="G84" s="57">
        <f t="shared" si="14"/>
        <v>5000</v>
      </c>
      <c r="H84" s="57">
        <f t="shared" si="15"/>
        <v>0</v>
      </c>
      <c r="I84" s="58">
        <f t="shared" si="18"/>
        <v>750</v>
      </c>
      <c r="J84" s="58">
        <f t="shared" si="16"/>
        <v>750</v>
      </c>
      <c r="K84" s="58">
        <f t="shared" si="19"/>
        <v>0</v>
      </c>
      <c r="L84" s="58">
        <f t="shared" si="20"/>
        <v>0</v>
      </c>
      <c r="M84" s="58">
        <f t="shared" si="21"/>
        <v>0</v>
      </c>
      <c r="N84" s="59">
        <f t="shared" si="17"/>
        <v>0.15</v>
      </c>
      <c r="O84" s="60"/>
      <c r="P84" s="105"/>
    </row>
    <row r="85" spans="1:16" x14ac:dyDescent="0.3">
      <c r="A85" s="54" t="str">
        <v>C</v>
      </c>
      <c r="B85" s="55" t="str">
        <v>456CD</v>
      </c>
      <c r="C85" s="56">
        <v>46279</v>
      </c>
      <c r="D85" s="57">
        <v>5000</v>
      </c>
      <c r="E85" s="58">
        <v>750</v>
      </c>
      <c r="F85" s="57">
        <f t="shared" si="13"/>
        <v>0</v>
      </c>
      <c r="G85" s="57">
        <f t="shared" si="14"/>
        <v>5000</v>
      </c>
      <c r="H85" s="57">
        <f t="shared" si="15"/>
        <v>0</v>
      </c>
      <c r="I85" s="58">
        <f t="shared" si="18"/>
        <v>750</v>
      </c>
      <c r="J85" s="58">
        <f t="shared" si="16"/>
        <v>750</v>
      </c>
      <c r="K85" s="58">
        <f t="shared" si="19"/>
        <v>0</v>
      </c>
      <c r="L85" s="58">
        <f t="shared" si="20"/>
        <v>0</v>
      </c>
      <c r="M85" s="58">
        <f t="shared" si="21"/>
        <v>0</v>
      </c>
      <c r="N85" s="59">
        <f t="shared" si="17"/>
        <v>0.15</v>
      </c>
      <c r="O85" s="60"/>
      <c r="P85" s="105"/>
    </row>
    <row r="86" spans="1:16" x14ac:dyDescent="0.3">
      <c r="A86" s="54" t="str">
        <v>C</v>
      </c>
      <c r="B86" s="55" t="str">
        <v>456CD</v>
      </c>
      <c r="C86" s="56">
        <v>46286</v>
      </c>
      <c r="D86" s="57">
        <v>5000</v>
      </c>
      <c r="E86" s="58">
        <v>600</v>
      </c>
      <c r="F86" s="57">
        <f t="shared" si="13"/>
        <v>0</v>
      </c>
      <c r="G86" s="57">
        <f t="shared" si="14"/>
        <v>5000</v>
      </c>
      <c r="H86" s="57">
        <f t="shared" si="15"/>
        <v>0</v>
      </c>
      <c r="I86" s="58">
        <f t="shared" si="18"/>
        <v>600</v>
      </c>
      <c r="J86" s="58">
        <f t="shared" si="16"/>
        <v>600</v>
      </c>
      <c r="K86" s="58">
        <f t="shared" si="19"/>
        <v>0</v>
      </c>
      <c r="L86" s="58">
        <f t="shared" si="20"/>
        <v>0</v>
      </c>
      <c r="M86" s="58">
        <f t="shared" si="21"/>
        <v>0</v>
      </c>
      <c r="N86" s="59">
        <f t="shared" si="17"/>
        <v>0.12</v>
      </c>
      <c r="O86" s="60"/>
      <c r="P86" s="105"/>
    </row>
    <row r="87" spans="1:16" x14ac:dyDescent="0.3">
      <c r="A87" s="54" t="str">
        <v>C</v>
      </c>
      <c r="B87" s="55" t="str">
        <v>456CD</v>
      </c>
      <c r="C87" s="56">
        <v>46293</v>
      </c>
      <c r="D87" s="57">
        <v>5000</v>
      </c>
      <c r="E87" s="58">
        <v>600</v>
      </c>
      <c r="F87" s="57">
        <f t="shared" si="13"/>
        <v>0</v>
      </c>
      <c r="G87" s="57">
        <f t="shared" si="14"/>
        <v>5000</v>
      </c>
      <c r="H87" s="57">
        <f t="shared" si="15"/>
        <v>0</v>
      </c>
      <c r="I87" s="58">
        <f t="shared" si="18"/>
        <v>600</v>
      </c>
      <c r="J87" s="58">
        <f t="shared" si="16"/>
        <v>600</v>
      </c>
      <c r="K87" s="58">
        <f t="shared" si="19"/>
        <v>0</v>
      </c>
      <c r="L87" s="58">
        <f t="shared" si="20"/>
        <v>0</v>
      </c>
      <c r="M87" s="58">
        <f t="shared" si="21"/>
        <v>0</v>
      </c>
      <c r="N87" s="59">
        <f t="shared" si="17"/>
        <v>0.12</v>
      </c>
      <c r="O87" s="60"/>
      <c r="P87" s="105"/>
    </row>
    <row r="88" spans="1:16" x14ac:dyDescent="0.3">
      <c r="A88" s="54" t="str">
        <v>C</v>
      </c>
      <c r="B88" s="55" t="str">
        <v>456CD</v>
      </c>
      <c r="C88" s="56">
        <v>46300</v>
      </c>
      <c r="D88" s="57">
        <v>5000</v>
      </c>
      <c r="E88" s="58">
        <v>600</v>
      </c>
      <c r="F88" s="57">
        <f t="shared" si="13"/>
        <v>0</v>
      </c>
      <c r="G88" s="57">
        <f t="shared" si="14"/>
        <v>5000</v>
      </c>
      <c r="H88" s="57">
        <f t="shared" si="15"/>
        <v>0</v>
      </c>
      <c r="I88" s="58">
        <f t="shared" si="18"/>
        <v>600</v>
      </c>
      <c r="J88" s="58">
        <f t="shared" si="16"/>
        <v>600</v>
      </c>
      <c r="K88" s="58">
        <f t="shared" si="19"/>
        <v>0</v>
      </c>
      <c r="L88" s="58">
        <f t="shared" si="20"/>
        <v>0</v>
      </c>
      <c r="M88" s="58">
        <f t="shared" si="21"/>
        <v>0</v>
      </c>
      <c r="N88" s="59">
        <f t="shared" si="17"/>
        <v>0.12</v>
      </c>
      <c r="O88" s="60"/>
      <c r="P88" s="105"/>
    </row>
    <row r="89" spans="1:16" x14ac:dyDescent="0.3">
      <c r="A89" s="54" t="str">
        <v>C</v>
      </c>
      <c r="B89" s="55" t="str">
        <v>456CD</v>
      </c>
      <c r="C89" s="56">
        <v>46307</v>
      </c>
      <c r="D89" s="57">
        <v>5000</v>
      </c>
      <c r="E89" s="58">
        <v>600</v>
      </c>
      <c r="F89" s="57">
        <f t="shared" si="13"/>
        <v>0</v>
      </c>
      <c r="G89" s="57">
        <f t="shared" si="14"/>
        <v>5000</v>
      </c>
      <c r="H89" s="57">
        <f t="shared" si="15"/>
        <v>0</v>
      </c>
      <c r="I89" s="58">
        <f t="shared" si="18"/>
        <v>600</v>
      </c>
      <c r="J89" s="58">
        <f t="shared" si="16"/>
        <v>600</v>
      </c>
      <c r="K89" s="58">
        <f t="shared" si="19"/>
        <v>0</v>
      </c>
      <c r="L89" s="58">
        <f t="shared" si="20"/>
        <v>0</v>
      </c>
      <c r="M89" s="58">
        <f t="shared" si="21"/>
        <v>0</v>
      </c>
      <c r="N89" s="59">
        <f t="shared" si="17"/>
        <v>0.12</v>
      </c>
      <c r="O89" s="60"/>
      <c r="P89" s="105"/>
    </row>
    <row r="90" spans="1:16" x14ac:dyDescent="0.3">
      <c r="A90" s="54" t="str">
        <v>C</v>
      </c>
      <c r="B90" s="55" t="str">
        <v>456CD</v>
      </c>
      <c r="C90" s="56">
        <v>46314</v>
      </c>
      <c r="D90" s="57">
        <v>5000</v>
      </c>
      <c r="E90" s="58">
        <v>600</v>
      </c>
      <c r="F90" s="57">
        <f t="shared" si="13"/>
        <v>0</v>
      </c>
      <c r="G90" s="57">
        <f t="shared" si="14"/>
        <v>5000</v>
      </c>
      <c r="H90" s="57">
        <f t="shared" si="15"/>
        <v>0</v>
      </c>
      <c r="I90" s="58">
        <f t="shared" si="18"/>
        <v>600</v>
      </c>
      <c r="J90" s="58">
        <f t="shared" si="16"/>
        <v>600</v>
      </c>
      <c r="K90" s="58">
        <f t="shared" si="19"/>
        <v>0</v>
      </c>
      <c r="L90" s="58">
        <f t="shared" si="20"/>
        <v>0</v>
      </c>
      <c r="M90" s="58">
        <f t="shared" si="21"/>
        <v>0</v>
      </c>
      <c r="N90" s="59">
        <f t="shared" si="17"/>
        <v>0.12</v>
      </c>
      <c r="O90" s="60"/>
      <c r="P90" s="105"/>
    </row>
    <row r="91" spans="1:16" x14ac:dyDescent="0.3">
      <c r="A91" s="54" t="str">
        <v>C</v>
      </c>
      <c r="B91" s="55" t="str">
        <v>456CD</v>
      </c>
      <c r="C91" s="56">
        <v>46321</v>
      </c>
      <c r="D91" s="57">
        <v>5000</v>
      </c>
      <c r="E91" s="58">
        <v>500</v>
      </c>
      <c r="F91" s="57">
        <f t="shared" si="13"/>
        <v>0</v>
      </c>
      <c r="G91" s="57">
        <f t="shared" si="14"/>
        <v>5000</v>
      </c>
      <c r="H91" s="57">
        <f t="shared" si="15"/>
        <v>0</v>
      </c>
      <c r="I91" s="58">
        <f t="shared" si="18"/>
        <v>500</v>
      </c>
      <c r="J91" s="58">
        <f t="shared" si="16"/>
        <v>500</v>
      </c>
      <c r="K91" s="58">
        <f t="shared" si="19"/>
        <v>0</v>
      </c>
      <c r="L91" s="58">
        <f t="shared" si="20"/>
        <v>0</v>
      </c>
      <c r="M91" s="58">
        <f t="shared" si="21"/>
        <v>0</v>
      </c>
      <c r="N91" s="59">
        <f t="shared" si="17"/>
        <v>0.1</v>
      </c>
      <c r="O91" s="60"/>
      <c r="P91" s="105"/>
    </row>
    <row r="92" spans="1:16" x14ac:dyDescent="0.3">
      <c r="A92" s="54" t="str">
        <v>C</v>
      </c>
      <c r="B92" s="55" t="str">
        <v>456CD</v>
      </c>
      <c r="C92" s="56">
        <v>46328</v>
      </c>
      <c r="D92" s="57">
        <v>5000</v>
      </c>
      <c r="E92" s="58">
        <v>500</v>
      </c>
      <c r="F92" s="57">
        <f t="shared" si="13"/>
        <v>0</v>
      </c>
      <c r="G92" s="57">
        <f t="shared" si="14"/>
        <v>5000</v>
      </c>
      <c r="H92" s="57">
        <f t="shared" si="15"/>
        <v>0</v>
      </c>
      <c r="I92" s="58">
        <f t="shared" si="18"/>
        <v>500</v>
      </c>
      <c r="J92" s="58">
        <f t="shared" si="16"/>
        <v>500</v>
      </c>
      <c r="K92" s="58">
        <f t="shared" si="19"/>
        <v>0</v>
      </c>
      <c r="L92" s="58">
        <f t="shared" si="20"/>
        <v>0</v>
      </c>
      <c r="M92" s="58">
        <f t="shared" si="21"/>
        <v>0</v>
      </c>
      <c r="N92" s="59">
        <f t="shared" si="17"/>
        <v>0.1</v>
      </c>
      <c r="O92" s="60"/>
      <c r="P92" s="105"/>
    </row>
    <row r="93" spans="1:16" x14ac:dyDescent="0.3">
      <c r="A93" s="54" t="str">
        <v>C</v>
      </c>
      <c r="B93" s="55" t="str">
        <v>456CD</v>
      </c>
      <c r="C93" s="56">
        <v>46335</v>
      </c>
      <c r="D93" s="57">
        <v>5000</v>
      </c>
      <c r="E93" s="58">
        <v>500</v>
      </c>
      <c r="F93" s="57">
        <f t="shared" si="13"/>
        <v>0</v>
      </c>
      <c r="G93" s="57">
        <f t="shared" si="14"/>
        <v>5000</v>
      </c>
      <c r="H93" s="57">
        <f t="shared" si="15"/>
        <v>0</v>
      </c>
      <c r="I93" s="58">
        <f t="shared" si="18"/>
        <v>500</v>
      </c>
      <c r="J93" s="58">
        <f t="shared" si="16"/>
        <v>500</v>
      </c>
      <c r="K93" s="58">
        <f t="shared" si="19"/>
        <v>0</v>
      </c>
      <c r="L93" s="58">
        <f t="shared" si="20"/>
        <v>0</v>
      </c>
      <c r="M93" s="58">
        <f t="shared" si="21"/>
        <v>0</v>
      </c>
      <c r="N93" s="59">
        <f t="shared" si="17"/>
        <v>0.1</v>
      </c>
      <c r="O93" s="60"/>
      <c r="P93" s="105"/>
    </row>
    <row r="94" spans="1:16" x14ac:dyDescent="0.3">
      <c r="A94" s="54" t="str">
        <v>C</v>
      </c>
      <c r="B94" s="55" t="str">
        <v>456CD</v>
      </c>
      <c r="C94" s="56">
        <v>46342</v>
      </c>
      <c r="D94" s="57">
        <v>5000</v>
      </c>
      <c r="E94" s="58">
        <v>500</v>
      </c>
      <c r="F94" s="57">
        <f t="shared" si="13"/>
        <v>0</v>
      </c>
      <c r="G94" s="57">
        <f t="shared" si="14"/>
        <v>5000</v>
      </c>
      <c r="H94" s="57">
        <f t="shared" si="15"/>
        <v>0</v>
      </c>
      <c r="I94" s="58">
        <f t="shared" si="18"/>
        <v>500</v>
      </c>
      <c r="J94" s="58">
        <f t="shared" si="16"/>
        <v>500</v>
      </c>
      <c r="K94" s="58">
        <f t="shared" si="19"/>
        <v>0</v>
      </c>
      <c r="L94" s="58">
        <f t="shared" si="20"/>
        <v>0</v>
      </c>
      <c r="M94" s="58">
        <f t="shared" si="21"/>
        <v>0</v>
      </c>
      <c r="N94" s="59">
        <f t="shared" si="17"/>
        <v>0.1</v>
      </c>
      <c r="O94" s="60"/>
      <c r="P94" s="105"/>
    </row>
    <row r="95" spans="1:16" x14ac:dyDescent="0.3">
      <c r="A95" s="54" t="str">
        <v>C</v>
      </c>
      <c r="B95" s="55" t="str">
        <v>456CD</v>
      </c>
      <c r="C95" s="56">
        <v>46349</v>
      </c>
      <c r="D95" s="57">
        <v>5000</v>
      </c>
      <c r="E95" s="58">
        <v>3000</v>
      </c>
      <c r="F95" s="57">
        <f t="shared" si="13"/>
        <v>0</v>
      </c>
      <c r="G95" s="57">
        <f t="shared" si="14"/>
        <v>5000</v>
      </c>
      <c r="H95" s="57">
        <f t="shared" si="15"/>
        <v>0</v>
      </c>
      <c r="I95" s="58">
        <f t="shared" si="18"/>
        <v>3000</v>
      </c>
      <c r="J95" s="58">
        <f t="shared" si="16"/>
        <v>3000</v>
      </c>
      <c r="K95" s="58">
        <f t="shared" si="19"/>
        <v>0</v>
      </c>
      <c r="L95" s="58">
        <f t="shared" si="20"/>
        <v>0</v>
      </c>
      <c r="M95" s="58">
        <f t="shared" si="21"/>
        <v>0</v>
      </c>
      <c r="N95" s="59">
        <f t="shared" si="17"/>
        <v>0.6</v>
      </c>
      <c r="O95" s="60"/>
      <c r="P95" s="105"/>
    </row>
    <row r="96" spans="1:16" x14ac:dyDescent="0.3">
      <c r="A96" s="54" t="str">
        <v>C</v>
      </c>
      <c r="B96" s="55" t="str">
        <v>456CD</v>
      </c>
      <c r="C96" s="56">
        <v>46356</v>
      </c>
      <c r="D96" s="57">
        <v>5000</v>
      </c>
      <c r="E96" s="58">
        <v>3000</v>
      </c>
      <c r="F96" s="57">
        <f t="shared" si="13"/>
        <v>0</v>
      </c>
      <c r="G96" s="57">
        <f t="shared" si="14"/>
        <v>5000</v>
      </c>
      <c r="H96" s="57">
        <f t="shared" si="15"/>
        <v>0</v>
      </c>
      <c r="I96" s="58">
        <f t="shared" si="18"/>
        <v>3000</v>
      </c>
      <c r="J96" s="58">
        <f t="shared" si="16"/>
        <v>3000</v>
      </c>
      <c r="K96" s="58">
        <f t="shared" si="19"/>
        <v>0</v>
      </c>
      <c r="L96" s="58">
        <f t="shared" si="20"/>
        <v>0</v>
      </c>
      <c r="M96" s="58">
        <f t="shared" si="21"/>
        <v>0</v>
      </c>
      <c r="N96" s="59">
        <f t="shared" si="17"/>
        <v>0.6</v>
      </c>
      <c r="O96" s="60"/>
      <c r="P96" s="105"/>
    </row>
    <row r="97" spans="1:16" x14ac:dyDescent="0.3">
      <c r="A97" s="54" t="str">
        <v>C</v>
      </c>
      <c r="B97" s="55" t="str">
        <v>456CD</v>
      </c>
      <c r="C97" s="56">
        <v>46363</v>
      </c>
      <c r="D97" s="57">
        <v>5000</v>
      </c>
      <c r="E97" s="58">
        <v>3000</v>
      </c>
      <c r="F97" s="57">
        <f t="shared" si="13"/>
        <v>0</v>
      </c>
      <c r="G97" s="57">
        <f t="shared" si="14"/>
        <v>5000</v>
      </c>
      <c r="H97" s="57">
        <f t="shared" si="15"/>
        <v>0</v>
      </c>
      <c r="I97" s="58">
        <f t="shared" si="18"/>
        <v>3000</v>
      </c>
      <c r="J97" s="58">
        <f t="shared" si="16"/>
        <v>3000</v>
      </c>
      <c r="K97" s="58">
        <f t="shared" si="19"/>
        <v>0</v>
      </c>
      <c r="L97" s="58">
        <f t="shared" si="20"/>
        <v>0</v>
      </c>
      <c r="M97" s="58">
        <f t="shared" si="21"/>
        <v>0</v>
      </c>
      <c r="N97" s="59">
        <f t="shared" si="17"/>
        <v>0.6</v>
      </c>
      <c r="O97" s="60"/>
      <c r="P97" s="105"/>
    </row>
    <row r="98" spans="1:16" x14ac:dyDescent="0.3">
      <c r="A98" s="54" t="str">
        <v>C</v>
      </c>
      <c r="B98" s="55" t="str">
        <v>456CD</v>
      </c>
      <c r="C98" s="56">
        <v>46370</v>
      </c>
      <c r="D98" s="57">
        <v>5000</v>
      </c>
      <c r="E98" s="58">
        <v>3000</v>
      </c>
      <c r="F98" s="57">
        <f t="shared" si="13"/>
        <v>0</v>
      </c>
      <c r="G98" s="57">
        <f t="shared" si="14"/>
        <v>5000</v>
      </c>
      <c r="H98" s="57">
        <f t="shared" ref="H98:H129" si="22">IF($A98="","",IF($A98&lt;&gt;$A99,0,MAX(0,H99+E99-D99)))</f>
        <v>0</v>
      </c>
      <c r="I98" s="58">
        <f t="shared" si="18"/>
        <v>3000</v>
      </c>
      <c r="J98" s="58">
        <f t="shared" si="16"/>
        <v>3000</v>
      </c>
      <c r="K98" s="58">
        <f t="shared" si="19"/>
        <v>0</v>
      </c>
      <c r="L98" s="58">
        <f t="shared" si="20"/>
        <v>0</v>
      </c>
      <c r="M98" s="58">
        <f t="shared" si="21"/>
        <v>0</v>
      </c>
      <c r="N98" s="59">
        <f t="shared" si="17"/>
        <v>0.6</v>
      </c>
      <c r="O98" s="60"/>
      <c r="P98" s="105"/>
    </row>
    <row r="99" spans="1:16" x14ac:dyDescent="0.3">
      <c r="A99" s="54" t="str">
        <v>D</v>
      </c>
      <c r="B99" s="55" t="str">
        <v>456CD</v>
      </c>
      <c r="C99" s="56">
        <v>46146</v>
      </c>
      <c r="D99" s="57">
        <v>5000</v>
      </c>
      <c r="E99" s="58">
        <v>2430</v>
      </c>
      <c r="F99" s="57">
        <f t="shared" si="13"/>
        <v>0</v>
      </c>
      <c r="G99" s="57">
        <f t="shared" si="14"/>
        <v>5000</v>
      </c>
      <c r="H99" s="57">
        <f t="shared" si="22"/>
        <v>8930</v>
      </c>
      <c r="I99" s="58">
        <f t="shared" si="18"/>
        <v>11360</v>
      </c>
      <c r="J99" s="58">
        <f t="shared" si="16"/>
        <v>5000</v>
      </c>
      <c r="K99" s="58">
        <f t="shared" si="19"/>
        <v>2570</v>
      </c>
      <c r="L99" s="58">
        <f t="shared" si="20"/>
        <v>0</v>
      </c>
      <c r="M99" s="58">
        <f t="shared" si="21"/>
        <v>2570</v>
      </c>
      <c r="N99" s="59">
        <f t="shared" si="17"/>
        <v>1</v>
      </c>
      <c r="O99" s="60"/>
      <c r="P99" s="105"/>
    </row>
    <row r="100" spans="1:16" x14ac:dyDescent="0.3">
      <c r="A100" s="54" t="str">
        <v>D</v>
      </c>
      <c r="B100" s="55" t="str">
        <v>456CD</v>
      </c>
      <c r="C100" s="56">
        <v>46153</v>
      </c>
      <c r="D100" s="57">
        <v>5000</v>
      </c>
      <c r="E100" s="58">
        <v>9990</v>
      </c>
      <c r="F100" s="57">
        <f t="shared" si="13"/>
        <v>2570</v>
      </c>
      <c r="G100" s="57">
        <f t="shared" si="14"/>
        <v>5000</v>
      </c>
      <c r="H100" s="57">
        <f t="shared" si="22"/>
        <v>3940</v>
      </c>
      <c r="I100" s="58">
        <f t="shared" si="18"/>
        <v>11360</v>
      </c>
      <c r="J100" s="58">
        <f t="shared" si="16"/>
        <v>5000</v>
      </c>
      <c r="K100" s="58">
        <f t="shared" si="19"/>
        <v>0</v>
      </c>
      <c r="L100" s="58">
        <f t="shared" si="20"/>
        <v>2420</v>
      </c>
      <c r="M100" s="58">
        <f t="shared" si="21"/>
        <v>0</v>
      </c>
      <c r="N100" s="59">
        <f t="shared" si="17"/>
        <v>1</v>
      </c>
      <c r="O100" s="60"/>
      <c r="P100" s="105"/>
    </row>
    <row r="101" spans="1:16" x14ac:dyDescent="0.3">
      <c r="A101" s="54" t="str">
        <v>D</v>
      </c>
      <c r="B101" s="55" t="str">
        <v>456CD</v>
      </c>
      <c r="C101" s="56">
        <v>46160</v>
      </c>
      <c r="D101" s="57">
        <v>5000</v>
      </c>
      <c r="E101" s="58">
        <v>5840</v>
      </c>
      <c r="F101" s="57">
        <f t="shared" si="13"/>
        <v>0</v>
      </c>
      <c r="G101" s="57">
        <f t="shared" si="14"/>
        <v>5000</v>
      </c>
      <c r="H101" s="57">
        <f t="shared" si="22"/>
        <v>3100</v>
      </c>
      <c r="I101" s="58">
        <f t="shared" si="18"/>
        <v>8940</v>
      </c>
      <c r="J101" s="58">
        <f t="shared" si="16"/>
        <v>5000</v>
      </c>
      <c r="K101" s="58">
        <f t="shared" si="19"/>
        <v>0</v>
      </c>
      <c r="L101" s="58">
        <f t="shared" si="20"/>
        <v>840</v>
      </c>
      <c r="M101" s="58">
        <f t="shared" si="21"/>
        <v>0</v>
      </c>
      <c r="N101" s="59">
        <f t="shared" si="17"/>
        <v>1</v>
      </c>
      <c r="O101" s="60"/>
      <c r="P101" s="105"/>
    </row>
    <row r="102" spans="1:16" x14ac:dyDescent="0.3">
      <c r="A102" s="54" t="str">
        <v>D</v>
      </c>
      <c r="B102" s="55" t="str">
        <v>456CD</v>
      </c>
      <c r="C102" s="56">
        <v>46167</v>
      </c>
      <c r="D102" s="57">
        <v>5000</v>
      </c>
      <c r="E102" s="58">
        <v>8100</v>
      </c>
      <c r="F102" s="57">
        <f t="shared" si="13"/>
        <v>0</v>
      </c>
      <c r="G102" s="57">
        <f t="shared" si="14"/>
        <v>5000</v>
      </c>
      <c r="H102" s="57">
        <f t="shared" si="22"/>
        <v>0</v>
      </c>
      <c r="I102" s="58">
        <f t="shared" si="18"/>
        <v>8100</v>
      </c>
      <c r="J102" s="58">
        <f t="shared" si="16"/>
        <v>5000</v>
      </c>
      <c r="K102" s="58">
        <f t="shared" si="19"/>
        <v>0</v>
      </c>
      <c r="L102" s="58">
        <f t="shared" si="20"/>
        <v>3100</v>
      </c>
      <c r="M102" s="58">
        <f t="shared" si="21"/>
        <v>0</v>
      </c>
      <c r="N102" s="59">
        <f t="shared" si="17"/>
        <v>1</v>
      </c>
      <c r="O102" s="60"/>
      <c r="P102" s="105"/>
    </row>
    <row r="103" spans="1:16" x14ac:dyDescent="0.3">
      <c r="A103" s="54" t="str">
        <v>D</v>
      </c>
      <c r="B103" s="55" t="str">
        <v>456CD</v>
      </c>
      <c r="C103" s="56">
        <v>46174</v>
      </c>
      <c r="D103" s="57">
        <v>5000</v>
      </c>
      <c r="E103" s="58">
        <v>1001</v>
      </c>
      <c r="F103" s="57">
        <f t="shared" si="13"/>
        <v>0</v>
      </c>
      <c r="G103" s="57">
        <f t="shared" si="14"/>
        <v>5000</v>
      </c>
      <c r="H103" s="57">
        <f t="shared" si="22"/>
        <v>0</v>
      </c>
      <c r="I103" s="58">
        <f t="shared" si="18"/>
        <v>1001</v>
      </c>
      <c r="J103" s="58">
        <f t="shared" si="16"/>
        <v>1001</v>
      </c>
      <c r="K103" s="58">
        <f t="shared" si="19"/>
        <v>0</v>
      </c>
      <c r="L103" s="58">
        <f t="shared" si="20"/>
        <v>0</v>
      </c>
      <c r="M103" s="58">
        <f t="shared" si="21"/>
        <v>0</v>
      </c>
      <c r="N103" s="59">
        <f t="shared" si="17"/>
        <v>0.20019999999999999</v>
      </c>
      <c r="O103" s="60"/>
      <c r="P103" s="105"/>
    </row>
    <row r="104" spans="1:16" x14ac:dyDescent="0.3">
      <c r="A104" s="54" t="str">
        <v>D</v>
      </c>
      <c r="B104" s="55" t="str">
        <v>456CD</v>
      </c>
      <c r="C104" s="56">
        <v>46181</v>
      </c>
      <c r="D104" s="57">
        <v>5000</v>
      </c>
      <c r="E104" s="58">
        <v>2471</v>
      </c>
      <c r="F104" s="57">
        <f t="shared" si="13"/>
        <v>0</v>
      </c>
      <c r="G104" s="57">
        <f t="shared" si="14"/>
        <v>5000</v>
      </c>
      <c r="H104" s="57">
        <f t="shared" si="22"/>
        <v>0</v>
      </c>
      <c r="I104" s="58">
        <f t="shared" si="18"/>
        <v>2471</v>
      </c>
      <c r="J104" s="58">
        <f t="shared" si="16"/>
        <v>2471</v>
      </c>
      <c r="K104" s="58">
        <f t="shared" si="19"/>
        <v>0</v>
      </c>
      <c r="L104" s="58">
        <f t="shared" si="20"/>
        <v>0</v>
      </c>
      <c r="M104" s="58">
        <f t="shared" si="21"/>
        <v>0</v>
      </c>
      <c r="N104" s="59">
        <f t="shared" si="17"/>
        <v>0.49419999999999997</v>
      </c>
      <c r="O104" s="60"/>
      <c r="P104" s="105"/>
    </row>
    <row r="105" spans="1:16" x14ac:dyDescent="0.3">
      <c r="A105" s="54" t="str">
        <v>D</v>
      </c>
      <c r="B105" s="55" t="str">
        <v>456CD</v>
      </c>
      <c r="C105" s="56">
        <v>46188</v>
      </c>
      <c r="D105" s="57">
        <v>5000</v>
      </c>
      <c r="E105" s="58">
        <v>3458</v>
      </c>
      <c r="F105" s="57">
        <f t="shared" si="13"/>
        <v>0</v>
      </c>
      <c r="G105" s="57">
        <f t="shared" si="14"/>
        <v>5000</v>
      </c>
      <c r="H105" s="57">
        <f t="shared" si="22"/>
        <v>0</v>
      </c>
      <c r="I105" s="58">
        <f t="shared" si="18"/>
        <v>3458</v>
      </c>
      <c r="J105" s="58">
        <f t="shared" si="16"/>
        <v>3458</v>
      </c>
      <c r="K105" s="58">
        <f t="shared" si="19"/>
        <v>0</v>
      </c>
      <c r="L105" s="58">
        <f t="shared" si="20"/>
        <v>0</v>
      </c>
      <c r="M105" s="58">
        <f t="shared" si="21"/>
        <v>0</v>
      </c>
      <c r="N105" s="59">
        <f t="shared" si="17"/>
        <v>0.69159999999999999</v>
      </c>
      <c r="O105" s="60"/>
      <c r="P105" s="105"/>
    </row>
    <row r="106" spans="1:16" x14ac:dyDescent="0.3">
      <c r="A106" s="54" t="str">
        <v>D</v>
      </c>
      <c r="B106" s="55" t="str">
        <v>456CD</v>
      </c>
      <c r="C106" s="56">
        <v>46195</v>
      </c>
      <c r="D106" s="57">
        <v>5000</v>
      </c>
      <c r="E106" s="58">
        <v>500</v>
      </c>
      <c r="F106" s="57">
        <f t="shared" si="13"/>
        <v>0</v>
      </c>
      <c r="G106" s="57">
        <f t="shared" si="14"/>
        <v>5000</v>
      </c>
      <c r="H106" s="57">
        <f t="shared" si="22"/>
        <v>0</v>
      </c>
      <c r="I106" s="58">
        <f t="shared" si="18"/>
        <v>500</v>
      </c>
      <c r="J106" s="58">
        <f t="shared" si="16"/>
        <v>500</v>
      </c>
      <c r="K106" s="58">
        <f t="shared" si="19"/>
        <v>0</v>
      </c>
      <c r="L106" s="58">
        <f t="shared" si="20"/>
        <v>0</v>
      </c>
      <c r="M106" s="58">
        <f t="shared" si="21"/>
        <v>0</v>
      </c>
      <c r="N106" s="59">
        <f t="shared" si="17"/>
        <v>0.1</v>
      </c>
      <c r="O106" s="60"/>
      <c r="P106" s="105"/>
    </row>
    <row r="107" spans="1:16" x14ac:dyDescent="0.3">
      <c r="A107" s="54" t="str">
        <v>D</v>
      </c>
      <c r="B107" s="55" t="str">
        <v>456CD</v>
      </c>
      <c r="C107" s="56">
        <v>46202</v>
      </c>
      <c r="D107" s="57">
        <v>5000</v>
      </c>
      <c r="E107" s="58">
        <v>500</v>
      </c>
      <c r="F107" s="57">
        <f t="shared" si="13"/>
        <v>0</v>
      </c>
      <c r="G107" s="57">
        <f t="shared" si="14"/>
        <v>5000</v>
      </c>
      <c r="H107" s="57">
        <f t="shared" si="22"/>
        <v>0</v>
      </c>
      <c r="I107" s="58">
        <f t="shared" si="18"/>
        <v>500</v>
      </c>
      <c r="J107" s="58">
        <f t="shared" si="16"/>
        <v>500</v>
      </c>
      <c r="K107" s="58">
        <f t="shared" si="19"/>
        <v>0</v>
      </c>
      <c r="L107" s="58">
        <f t="shared" si="20"/>
        <v>0</v>
      </c>
      <c r="M107" s="58">
        <f t="shared" si="21"/>
        <v>0</v>
      </c>
      <c r="N107" s="59">
        <f t="shared" si="17"/>
        <v>0.1</v>
      </c>
      <c r="O107" s="60"/>
      <c r="P107" s="105"/>
    </row>
    <row r="108" spans="1:16" x14ac:dyDescent="0.3">
      <c r="A108" s="54" t="str">
        <v>D</v>
      </c>
      <c r="B108" s="55" t="str">
        <v>456CD</v>
      </c>
      <c r="C108" s="56">
        <v>46209</v>
      </c>
      <c r="D108" s="57">
        <v>5000</v>
      </c>
      <c r="E108" s="58">
        <v>500</v>
      </c>
      <c r="F108" s="57">
        <f t="shared" si="13"/>
        <v>0</v>
      </c>
      <c r="G108" s="57">
        <f t="shared" si="14"/>
        <v>5000</v>
      </c>
      <c r="H108" s="57">
        <f t="shared" si="22"/>
        <v>0</v>
      </c>
      <c r="I108" s="58">
        <f t="shared" si="18"/>
        <v>500</v>
      </c>
      <c r="J108" s="58">
        <f t="shared" si="16"/>
        <v>500</v>
      </c>
      <c r="K108" s="58">
        <f t="shared" si="19"/>
        <v>0</v>
      </c>
      <c r="L108" s="58">
        <f t="shared" si="20"/>
        <v>0</v>
      </c>
      <c r="M108" s="58">
        <f t="shared" si="21"/>
        <v>0</v>
      </c>
      <c r="N108" s="59">
        <f t="shared" si="17"/>
        <v>0.1</v>
      </c>
      <c r="O108" s="60"/>
      <c r="P108" s="105"/>
    </row>
    <row r="109" spans="1:16" x14ac:dyDescent="0.3">
      <c r="A109" s="54" t="str">
        <v>D</v>
      </c>
      <c r="B109" s="55" t="str">
        <v>456CD</v>
      </c>
      <c r="C109" s="56">
        <v>46216</v>
      </c>
      <c r="D109" s="57">
        <v>5000</v>
      </c>
      <c r="E109" s="58">
        <v>500</v>
      </c>
      <c r="F109" s="57">
        <f t="shared" si="13"/>
        <v>0</v>
      </c>
      <c r="G109" s="57">
        <f t="shared" si="14"/>
        <v>5000</v>
      </c>
      <c r="H109" s="57">
        <f t="shared" si="22"/>
        <v>0</v>
      </c>
      <c r="I109" s="58">
        <f t="shared" si="18"/>
        <v>500</v>
      </c>
      <c r="J109" s="58">
        <f t="shared" si="16"/>
        <v>500</v>
      </c>
      <c r="K109" s="58">
        <f t="shared" si="19"/>
        <v>0</v>
      </c>
      <c r="L109" s="58">
        <f t="shared" si="20"/>
        <v>0</v>
      </c>
      <c r="M109" s="58">
        <f t="shared" si="21"/>
        <v>0</v>
      </c>
      <c r="N109" s="59">
        <f t="shared" si="17"/>
        <v>0.1</v>
      </c>
      <c r="O109" s="60"/>
      <c r="P109" s="105"/>
    </row>
    <row r="110" spans="1:16" x14ac:dyDescent="0.3">
      <c r="A110" s="54" t="str">
        <v>D</v>
      </c>
      <c r="B110" s="55" t="str">
        <v>456CD</v>
      </c>
      <c r="C110" s="56">
        <v>46237</v>
      </c>
      <c r="D110" s="57">
        <v>5000</v>
      </c>
      <c r="E110" s="58">
        <v>400</v>
      </c>
      <c r="F110" s="57">
        <f t="shared" si="13"/>
        <v>0</v>
      </c>
      <c r="G110" s="57">
        <f t="shared" si="14"/>
        <v>5000</v>
      </c>
      <c r="H110" s="57">
        <f t="shared" si="22"/>
        <v>0</v>
      </c>
      <c r="I110" s="58">
        <f t="shared" si="18"/>
        <v>400</v>
      </c>
      <c r="J110" s="58">
        <f t="shared" si="16"/>
        <v>400</v>
      </c>
      <c r="K110" s="58">
        <f t="shared" si="19"/>
        <v>0</v>
      </c>
      <c r="L110" s="58">
        <f t="shared" si="20"/>
        <v>0</v>
      </c>
      <c r="M110" s="58">
        <f t="shared" si="21"/>
        <v>0</v>
      </c>
      <c r="N110" s="59">
        <f t="shared" si="17"/>
        <v>0.08</v>
      </c>
      <c r="O110" s="60"/>
      <c r="P110" s="105"/>
    </row>
    <row r="111" spans="1:16" x14ac:dyDescent="0.3">
      <c r="A111" s="54" t="str">
        <v>D</v>
      </c>
      <c r="B111" s="55" t="str">
        <v>456CD</v>
      </c>
      <c r="C111" s="56">
        <v>46258</v>
      </c>
      <c r="D111" s="57">
        <v>5000</v>
      </c>
      <c r="E111" s="58">
        <v>400</v>
      </c>
      <c r="F111" s="57">
        <f t="shared" si="13"/>
        <v>0</v>
      </c>
      <c r="G111" s="57">
        <f t="shared" si="14"/>
        <v>5000</v>
      </c>
      <c r="H111" s="57">
        <f t="shared" si="22"/>
        <v>0</v>
      </c>
      <c r="I111" s="58">
        <f t="shared" si="18"/>
        <v>400</v>
      </c>
      <c r="J111" s="58">
        <f t="shared" si="16"/>
        <v>400</v>
      </c>
      <c r="K111" s="58">
        <f t="shared" si="19"/>
        <v>0</v>
      </c>
      <c r="L111" s="58">
        <f t="shared" si="20"/>
        <v>0</v>
      </c>
      <c r="M111" s="58">
        <f t="shared" si="21"/>
        <v>0</v>
      </c>
      <c r="N111" s="59">
        <f t="shared" si="17"/>
        <v>0.08</v>
      </c>
      <c r="O111" s="60"/>
      <c r="P111" s="105"/>
    </row>
    <row r="112" spans="1:16" x14ac:dyDescent="0.3">
      <c r="A112" s="54" t="str">
        <v>D</v>
      </c>
      <c r="B112" s="55" t="str">
        <v>456CD</v>
      </c>
      <c r="C112" s="56">
        <v>46272</v>
      </c>
      <c r="D112" s="57">
        <v>5000</v>
      </c>
      <c r="E112" s="58">
        <v>400</v>
      </c>
      <c r="F112" s="57">
        <f t="shared" si="13"/>
        <v>0</v>
      </c>
      <c r="G112" s="57">
        <f t="shared" si="14"/>
        <v>5000</v>
      </c>
      <c r="H112" s="57">
        <f t="shared" si="22"/>
        <v>0</v>
      </c>
      <c r="I112" s="58">
        <f t="shared" si="18"/>
        <v>400</v>
      </c>
      <c r="J112" s="58">
        <f t="shared" si="16"/>
        <v>400</v>
      </c>
      <c r="K112" s="58">
        <f t="shared" si="19"/>
        <v>0</v>
      </c>
      <c r="L112" s="58">
        <f t="shared" si="20"/>
        <v>0</v>
      </c>
      <c r="M112" s="58">
        <f t="shared" si="21"/>
        <v>0</v>
      </c>
      <c r="N112" s="59">
        <f t="shared" si="17"/>
        <v>0.08</v>
      </c>
      <c r="O112" s="60"/>
      <c r="P112" s="105"/>
    </row>
    <row r="113" spans="1:16" x14ac:dyDescent="0.3">
      <c r="A113" s="54" t="str">
        <v>D</v>
      </c>
      <c r="B113" s="55" t="str">
        <v>456CD</v>
      </c>
      <c r="C113" s="56">
        <v>46286</v>
      </c>
      <c r="D113" s="57">
        <v>5000</v>
      </c>
      <c r="E113" s="58">
        <v>360</v>
      </c>
      <c r="F113" s="57">
        <f t="shared" si="13"/>
        <v>0</v>
      </c>
      <c r="G113" s="57">
        <f t="shared" si="14"/>
        <v>5000</v>
      </c>
      <c r="H113" s="57">
        <f t="shared" si="22"/>
        <v>0</v>
      </c>
      <c r="I113" s="58">
        <f t="shared" si="18"/>
        <v>360</v>
      </c>
      <c r="J113" s="58">
        <f t="shared" si="16"/>
        <v>360</v>
      </c>
      <c r="K113" s="58">
        <f t="shared" si="19"/>
        <v>0</v>
      </c>
      <c r="L113" s="58">
        <f t="shared" si="20"/>
        <v>0</v>
      </c>
      <c r="M113" s="58">
        <f t="shared" si="21"/>
        <v>0</v>
      </c>
      <c r="N113" s="59">
        <f t="shared" si="17"/>
        <v>7.1999999999999995E-2</v>
      </c>
      <c r="O113" s="60"/>
      <c r="P113" s="105"/>
    </row>
    <row r="114" spans="1:16" x14ac:dyDescent="0.3">
      <c r="A114" s="54" t="str">
        <v>D</v>
      </c>
      <c r="B114" s="55" t="str">
        <v>456CD</v>
      </c>
      <c r="C114" s="56">
        <v>46293</v>
      </c>
      <c r="D114" s="57">
        <v>5000</v>
      </c>
      <c r="E114" s="58">
        <v>360</v>
      </c>
      <c r="F114" s="57">
        <f t="shared" si="13"/>
        <v>0</v>
      </c>
      <c r="G114" s="57">
        <f t="shared" si="14"/>
        <v>5000</v>
      </c>
      <c r="H114" s="57">
        <f t="shared" si="22"/>
        <v>0</v>
      </c>
      <c r="I114" s="58">
        <f t="shared" si="18"/>
        <v>360</v>
      </c>
      <c r="J114" s="58">
        <f t="shared" si="16"/>
        <v>360</v>
      </c>
      <c r="K114" s="58">
        <f t="shared" si="19"/>
        <v>0</v>
      </c>
      <c r="L114" s="58">
        <f t="shared" si="20"/>
        <v>0</v>
      </c>
      <c r="M114" s="58">
        <f t="shared" si="21"/>
        <v>0</v>
      </c>
      <c r="N114" s="59">
        <f t="shared" si="17"/>
        <v>7.1999999999999995E-2</v>
      </c>
      <c r="O114" s="60"/>
      <c r="P114" s="105"/>
    </row>
    <row r="115" spans="1:16" x14ac:dyDescent="0.3">
      <c r="A115" s="54" t="str">
        <v>D</v>
      </c>
      <c r="B115" s="55" t="str">
        <v>456CD</v>
      </c>
      <c r="C115" s="56">
        <v>46300</v>
      </c>
      <c r="D115" s="57">
        <v>5000</v>
      </c>
      <c r="E115" s="58">
        <v>360</v>
      </c>
      <c r="F115" s="57">
        <f t="shared" si="13"/>
        <v>0</v>
      </c>
      <c r="G115" s="57">
        <f t="shared" si="14"/>
        <v>5000</v>
      </c>
      <c r="H115" s="57">
        <f t="shared" si="22"/>
        <v>0</v>
      </c>
      <c r="I115" s="58">
        <f t="shared" si="18"/>
        <v>360</v>
      </c>
      <c r="J115" s="58">
        <f t="shared" si="16"/>
        <v>360</v>
      </c>
      <c r="K115" s="58">
        <f t="shared" si="19"/>
        <v>0</v>
      </c>
      <c r="L115" s="58">
        <f t="shared" si="20"/>
        <v>0</v>
      </c>
      <c r="M115" s="58">
        <f t="shared" si="21"/>
        <v>0</v>
      </c>
      <c r="N115" s="59">
        <f t="shared" si="17"/>
        <v>7.1999999999999995E-2</v>
      </c>
      <c r="O115" s="60"/>
      <c r="P115" s="105"/>
    </row>
    <row r="116" spans="1:16" x14ac:dyDescent="0.3">
      <c r="A116" s="54" t="str">
        <v>D</v>
      </c>
      <c r="B116" s="55" t="str">
        <v>456CD</v>
      </c>
      <c r="C116" s="56">
        <v>46307</v>
      </c>
      <c r="D116" s="57">
        <v>5000</v>
      </c>
      <c r="E116" s="58">
        <v>360</v>
      </c>
      <c r="F116" s="57">
        <f t="shared" si="13"/>
        <v>0</v>
      </c>
      <c r="G116" s="57">
        <f t="shared" si="14"/>
        <v>5000</v>
      </c>
      <c r="H116" s="57">
        <f t="shared" si="22"/>
        <v>0</v>
      </c>
      <c r="I116" s="58">
        <f t="shared" si="18"/>
        <v>360</v>
      </c>
      <c r="J116" s="58">
        <f t="shared" si="16"/>
        <v>360</v>
      </c>
      <c r="K116" s="58">
        <f t="shared" si="19"/>
        <v>0</v>
      </c>
      <c r="L116" s="58">
        <f t="shared" si="20"/>
        <v>0</v>
      </c>
      <c r="M116" s="58">
        <f t="shared" si="21"/>
        <v>0</v>
      </c>
      <c r="N116" s="59">
        <f t="shared" si="17"/>
        <v>7.1999999999999995E-2</v>
      </c>
      <c r="O116" s="60"/>
      <c r="P116" s="105"/>
    </row>
    <row r="117" spans="1:16" x14ac:dyDescent="0.3">
      <c r="A117" s="54" t="str">
        <v>D</v>
      </c>
      <c r="B117" s="55" t="str">
        <v>456CD</v>
      </c>
      <c r="C117" s="56">
        <v>46314</v>
      </c>
      <c r="D117" s="57">
        <v>5000</v>
      </c>
      <c r="E117" s="58">
        <v>360</v>
      </c>
      <c r="F117" s="57">
        <f t="shared" si="13"/>
        <v>0</v>
      </c>
      <c r="G117" s="57">
        <f t="shared" si="14"/>
        <v>5000</v>
      </c>
      <c r="H117" s="57">
        <f t="shared" si="22"/>
        <v>0</v>
      </c>
      <c r="I117" s="58">
        <f t="shared" si="18"/>
        <v>360</v>
      </c>
      <c r="J117" s="58">
        <f t="shared" si="16"/>
        <v>360</v>
      </c>
      <c r="K117" s="58">
        <f t="shared" si="19"/>
        <v>0</v>
      </c>
      <c r="L117" s="58">
        <f t="shared" si="20"/>
        <v>0</v>
      </c>
      <c r="M117" s="58">
        <f t="shared" si="21"/>
        <v>0</v>
      </c>
      <c r="N117" s="59">
        <f t="shared" si="17"/>
        <v>7.1999999999999995E-2</v>
      </c>
      <c r="O117" s="60"/>
      <c r="P117" s="105"/>
    </row>
    <row r="118" spans="1:16" x14ac:dyDescent="0.3">
      <c r="A118" s="54" t="str">
        <v>D</v>
      </c>
      <c r="B118" s="55" t="str">
        <v>456CD</v>
      </c>
      <c r="C118" s="56">
        <v>46321</v>
      </c>
      <c r="D118" s="57">
        <v>5000</v>
      </c>
      <c r="E118" s="58">
        <v>1000</v>
      </c>
      <c r="F118" s="57">
        <f t="shared" si="13"/>
        <v>0</v>
      </c>
      <c r="G118" s="57">
        <f t="shared" si="14"/>
        <v>5000</v>
      </c>
      <c r="H118" s="57">
        <f t="shared" si="22"/>
        <v>0</v>
      </c>
      <c r="I118" s="58">
        <f t="shared" si="18"/>
        <v>1000</v>
      </c>
      <c r="J118" s="58">
        <f t="shared" si="16"/>
        <v>1000</v>
      </c>
      <c r="K118" s="58">
        <f t="shared" si="19"/>
        <v>0</v>
      </c>
      <c r="L118" s="58">
        <f t="shared" si="20"/>
        <v>0</v>
      </c>
      <c r="M118" s="58">
        <f t="shared" si="21"/>
        <v>0</v>
      </c>
      <c r="N118" s="59">
        <f t="shared" si="17"/>
        <v>0.2</v>
      </c>
      <c r="O118" s="60"/>
      <c r="P118" s="105"/>
    </row>
    <row r="119" spans="1:16" x14ac:dyDescent="0.3">
      <c r="A119" s="54" t="str">
        <v>D</v>
      </c>
      <c r="B119" s="55" t="str">
        <v>456CD</v>
      </c>
      <c r="C119" s="56">
        <v>46328</v>
      </c>
      <c r="D119" s="57">
        <v>5000</v>
      </c>
      <c r="E119" s="58">
        <v>1000</v>
      </c>
      <c r="F119" s="57">
        <f t="shared" si="13"/>
        <v>0</v>
      </c>
      <c r="G119" s="57">
        <f t="shared" si="14"/>
        <v>5000</v>
      </c>
      <c r="H119" s="57">
        <f t="shared" si="22"/>
        <v>0</v>
      </c>
      <c r="I119" s="58">
        <f t="shared" si="18"/>
        <v>1000</v>
      </c>
      <c r="J119" s="58">
        <f t="shared" si="16"/>
        <v>1000</v>
      </c>
      <c r="K119" s="58">
        <f t="shared" si="19"/>
        <v>0</v>
      </c>
      <c r="L119" s="58">
        <f t="shared" si="20"/>
        <v>0</v>
      </c>
      <c r="M119" s="58">
        <f t="shared" si="21"/>
        <v>0</v>
      </c>
      <c r="N119" s="59">
        <f t="shared" si="17"/>
        <v>0.2</v>
      </c>
      <c r="O119" s="60"/>
      <c r="P119" s="105"/>
    </row>
    <row r="120" spans="1:16" x14ac:dyDescent="0.3">
      <c r="A120" s="54" t="str">
        <v>D</v>
      </c>
      <c r="B120" s="55" t="str">
        <v>456CD</v>
      </c>
      <c r="C120" s="56">
        <v>46335</v>
      </c>
      <c r="D120" s="57">
        <v>5000</v>
      </c>
      <c r="E120" s="58">
        <v>1000</v>
      </c>
      <c r="F120" s="57">
        <f t="shared" si="13"/>
        <v>0</v>
      </c>
      <c r="G120" s="57">
        <f t="shared" si="14"/>
        <v>5000</v>
      </c>
      <c r="H120" s="57">
        <f t="shared" si="22"/>
        <v>0</v>
      </c>
      <c r="I120" s="58">
        <f t="shared" si="18"/>
        <v>1000</v>
      </c>
      <c r="J120" s="58">
        <f t="shared" si="16"/>
        <v>1000</v>
      </c>
      <c r="K120" s="58">
        <f t="shared" si="19"/>
        <v>0</v>
      </c>
      <c r="L120" s="58">
        <f t="shared" si="20"/>
        <v>0</v>
      </c>
      <c r="M120" s="58">
        <f t="shared" si="21"/>
        <v>0</v>
      </c>
      <c r="N120" s="59">
        <f t="shared" si="17"/>
        <v>0.2</v>
      </c>
      <c r="O120" s="60"/>
      <c r="P120" s="105"/>
    </row>
    <row r="121" spans="1:16" x14ac:dyDescent="0.3">
      <c r="A121" s="54" t="str">
        <v>D</v>
      </c>
      <c r="B121" s="55" t="str">
        <v>456CD</v>
      </c>
      <c r="C121" s="56">
        <v>46342</v>
      </c>
      <c r="D121" s="57">
        <v>5000</v>
      </c>
      <c r="E121" s="58">
        <v>1000</v>
      </c>
      <c r="F121" s="57">
        <f t="shared" si="13"/>
        <v>0</v>
      </c>
      <c r="G121" s="57">
        <f t="shared" si="14"/>
        <v>5000</v>
      </c>
      <c r="H121" s="57">
        <f t="shared" si="22"/>
        <v>0</v>
      </c>
      <c r="I121" s="58">
        <f t="shared" si="18"/>
        <v>1000</v>
      </c>
      <c r="J121" s="58">
        <f t="shared" si="16"/>
        <v>1000</v>
      </c>
      <c r="K121" s="58">
        <f t="shared" si="19"/>
        <v>0</v>
      </c>
      <c r="L121" s="58">
        <f t="shared" si="20"/>
        <v>0</v>
      </c>
      <c r="M121" s="58">
        <f t="shared" si="21"/>
        <v>0</v>
      </c>
      <c r="N121" s="59">
        <f t="shared" si="17"/>
        <v>0.2</v>
      </c>
      <c r="O121" s="60"/>
      <c r="P121" s="105"/>
    </row>
    <row r="122" spans="1:16" x14ac:dyDescent="0.3">
      <c r="A122" s="54" t="str">
        <v>D</v>
      </c>
      <c r="B122" s="55" t="str">
        <v>456CD</v>
      </c>
      <c r="C122" s="56">
        <v>46349</v>
      </c>
      <c r="D122" s="57">
        <v>5000</v>
      </c>
      <c r="E122" s="58">
        <v>1250</v>
      </c>
      <c r="F122" s="57">
        <f t="shared" si="13"/>
        <v>0</v>
      </c>
      <c r="G122" s="57">
        <f t="shared" si="14"/>
        <v>5000</v>
      </c>
      <c r="H122" s="57">
        <f t="shared" si="22"/>
        <v>0</v>
      </c>
      <c r="I122" s="58">
        <f t="shared" si="18"/>
        <v>1250</v>
      </c>
      <c r="J122" s="58">
        <f t="shared" si="16"/>
        <v>1250</v>
      </c>
      <c r="K122" s="58">
        <f t="shared" si="19"/>
        <v>0</v>
      </c>
      <c r="L122" s="58">
        <f t="shared" si="20"/>
        <v>0</v>
      </c>
      <c r="M122" s="58">
        <f t="shared" si="21"/>
        <v>0</v>
      </c>
      <c r="N122" s="59">
        <f t="shared" si="17"/>
        <v>0.25</v>
      </c>
      <c r="O122" s="60"/>
      <c r="P122" s="105"/>
    </row>
    <row r="123" spans="1:16" x14ac:dyDescent="0.3">
      <c r="A123" s="54" t="str">
        <v>D</v>
      </c>
      <c r="B123" s="55" t="str">
        <v>456CD</v>
      </c>
      <c r="C123" s="56">
        <v>46356</v>
      </c>
      <c r="D123" s="57">
        <v>5000</v>
      </c>
      <c r="E123" s="58">
        <v>1250</v>
      </c>
      <c r="F123" s="57">
        <f t="shared" si="13"/>
        <v>0</v>
      </c>
      <c r="G123" s="57">
        <f t="shared" si="14"/>
        <v>5000</v>
      </c>
      <c r="H123" s="57">
        <f t="shared" si="22"/>
        <v>0</v>
      </c>
      <c r="I123" s="58">
        <f t="shared" si="18"/>
        <v>1250</v>
      </c>
      <c r="J123" s="58">
        <f t="shared" si="16"/>
        <v>1250</v>
      </c>
      <c r="K123" s="58">
        <f t="shared" si="19"/>
        <v>0</v>
      </c>
      <c r="L123" s="58">
        <f t="shared" si="20"/>
        <v>0</v>
      </c>
      <c r="M123" s="58">
        <f t="shared" si="21"/>
        <v>0</v>
      </c>
      <c r="N123" s="59">
        <f t="shared" si="17"/>
        <v>0.25</v>
      </c>
      <c r="O123" s="60"/>
      <c r="P123" s="105"/>
    </row>
    <row r="124" spans="1:16" x14ac:dyDescent="0.3">
      <c r="A124" s="54" t="str">
        <v>D</v>
      </c>
      <c r="B124" s="55" t="str">
        <v>456CD</v>
      </c>
      <c r="C124" s="56">
        <v>46363</v>
      </c>
      <c r="D124" s="57">
        <v>5000</v>
      </c>
      <c r="E124" s="58">
        <v>1250</v>
      </c>
      <c r="F124" s="57">
        <f t="shared" si="13"/>
        <v>0</v>
      </c>
      <c r="G124" s="57">
        <f t="shared" si="14"/>
        <v>5000</v>
      </c>
      <c r="H124" s="57">
        <f t="shared" si="22"/>
        <v>0</v>
      </c>
      <c r="I124" s="58">
        <f t="shared" si="18"/>
        <v>1250</v>
      </c>
      <c r="J124" s="58">
        <f t="shared" si="16"/>
        <v>1250</v>
      </c>
      <c r="K124" s="58">
        <f t="shared" si="19"/>
        <v>0</v>
      </c>
      <c r="L124" s="58">
        <f t="shared" si="20"/>
        <v>0</v>
      </c>
      <c r="M124" s="58">
        <f t="shared" si="21"/>
        <v>0</v>
      </c>
      <c r="N124" s="59">
        <f t="shared" si="17"/>
        <v>0.25</v>
      </c>
      <c r="O124" s="60"/>
      <c r="P124" s="105"/>
    </row>
    <row r="125" spans="1:16" x14ac:dyDescent="0.3">
      <c r="A125" s="54" t="str">
        <v>D</v>
      </c>
      <c r="B125" s="55" t="str">
        <v>456CD</v>
      </c>
      <c r="C125" s="56">
        <v>46370</v>
      </c>
      <c r="D125" s="57">
        <v>5000</v>
      </c>
      <c r="E125" s="58">
        <v>1250</v>
      </c>
      <c r="F125" s="57">
        <f t="shared" si="13"/>
        <v>0</v>
      </c>
      <c r="G125" s="57">
        <f t="shared" si="14"/>
        <v>5000</v>
      </c>
      <c r="H125" s="57">
        <f t="shared" si="22"/>
        <v>0</v>
      </c>
      <c r="I125" s="58">
        <f t="shared" si="18"/>
        <v>1250</v>
      </c>
      <c r="J125" s="58">
        <f t="shared" si="16"/>
        <v>1250</v>
      </c>
      <c r="K125" s="58">
        <f t="shared" si="19"/>
        <v>0</v>
      </c>
      <c r="L125" s="58">
        <f t="shared" si="20"/>
        <v>0</v>
      </c>
      <c r="M125" s="58">
        <f t="shared" si="21"/>
        <v>0</v>
      </c>
      <c r="N125" s="59">
        <f t="shared" si="17"/>
        <v>0.25</v>
      </c>
      <c r="O125" s="60"/>
      <c r="P125" s="105"/>
    </row>
    <row r="126" spans="1:16" x14ac:dyDescent="0.3">
      <c r="A126" s="54" t="str">
        <v>E</v>
      </c>
      <c r="B126" s="55" t="str">
        <v>789EF</v>
      </c>
      <c r="C126" s="56">
        <v>46139</v>
      </c>
      <c r="D126" s="57">
        <v>3000</v>
      </c>
      <c r="E126" s="58">
        <v>472</v>
      </c>
      <c r="F126" s="57">
        <f t="shared" si="13"/>
        <v>0</v>
      </c>
      <c r="G126" s="57">
        <f t="shared" si="14"/>
        <v>3000</v>
      </c>
      <c r="H126" s="57">
        <f t="shared" si="22"/>
        <v>0</v>
      </c>
      <c r="I126" s="58">
        <f t="shared" si="18"/>
        <v>472</v>
      </c>
      <c r="J126" s="58">
        <f t="shared" si="16"/>
        <v>472</v>
      </c>
      <c r="K126" s="58">
        <f t="shared" si="19"/>
        <v>0</v>
      </c>
      <c r="L126" s="58">
        <f t="shared" si="20"/>
        <v>0</v>
      </c>
      <c r="M126" s="58">
        <f t="shared" si="21"/>
        <v>0</v>
      </c>
      <c r="N126" s="59">
        <f t="shared" si="17"/>
        <v>0.15733333333333333</v>
      </c>
      <c r="O126" s="60"/>
      <c r="P126" s="105"/>
    </row>
    <row r="127" spans="1:16" x14ac:dyDescent="0.3">
      <c r="A127" s="54" t="str">
        <v>E</v>
      </c>
      <c r="B127" s="55" t="str">
        <v>789EF</v>
      </c>
      <c r="C127" s="56">
        <v>46146</v>
      </c>
      <c r="D127" s="57">
        <v>3000</v>
      </c>
      <c r="E127" s="58">
        <v>300</v>
      </c>
      <c r="F127" s="57">
        <f t="shared" si="13"/>
        <v>0</v>
      </c>
      <c r="G127" s="57">
        <f t="shared" si="14"/>
        <v>3000</v>
      </c>
      <c r="H127" s="57">
        <f t="shared" si="22"/>
        <v>0</v>
      </c>
      <c r="I127" s="58">
        <f t="shared" si="18"/>
        <v>300</v>
      </c>
      <c r="J127" s="58">
        <f t="shared" si="16"/>
        <v>300</v>
      </c>
      <c r="K127" s="58">
        <f t="shared" si="19"/>
        <v>0</v>
      </c>
      <c r="L127" s="58">
        <f t="shared" si="20"/>
        <v>0</v>
      </c>
      <c r="M127" s="58">
        <f t="shared" si="21"/>
        <v>0</v>
      </c>
      <c r="N127" s="59">
        <f t="shared" si="17"/>
        <v>0.1</v>
      </c>
      <c r="O127" s="60"/>
      <c r="P127" s="105"/>
    </row>
    <row r="128" spans="1:16" x14ac:dyDescent="0.3">
      <c r="A128" s="54" t="str">
        <v>E</v>
      </c>
      <c r="B128" s="55" t="str">
        <v>789EF</v>
      </c>
      <c r="C128" s="56">
        <v>46153</v>
      </c>
      <c r="D128" s="57">
        <v>3000</v>
      </c>
      <c r="E128" s="58">
        <v>698</v>
      </c>
      <c r="F128" s="57">
        <f t="shared" si="13"/>
        <v>0</v>
      </c>
      <c r="G128" s="57">
        <f t="shared" si="14"/>
        <v>3000</v>
      </c>
      <c r="H128" s="57">
        <f t="shared" si="22"/>
        <v>0</v>
      </c>
      <c r="I128" s="58">
        <f t="shared" si="18"/>
        <v>698</v>
      </c>
      <c r="J128" s="58">
        <f t="shared" si="16"/>
        <v>698</v>
      </c>
      <c r="K128" s="58">
        <f t="shared" si="19"/>
        <v>0</v>
      </c>
      <c r="L128" s="58">
        <f t="shared" si="20"/>
        <v>0</v>
      </c>
      <c r="M128" s="58">
        <f t="shared" si="21"/>
        <v>0</v>
      </c>
      <c r="N128" s="59">
        <f t="shared" si="17"/>
        <v>0.23266666666666666</v>
      </c>
      <c r="O128" s="60"/>
      <c r="P128" s="105"/>
    </row>
    <row r="129" spans="1:16" x14ac:dyDescent="0.3">
      <c r="A129" s="54" t="str">
        <v>E</v>
      </c>
      <c r="B129" s="55" t="str">
        <v>789EF</v>
      </c>
      <c r="C129" s="56">
        <v>46167</v>
      </c>
      <c r="D129" s="57">
        <v>3000</v>
      </c>
      <c r="E129" s="58">
        <v>300</v>
      </c>
      <c r="F129" s="57">
        <f t="shared" si="13"/>
        <v>0</v>
      </c>
      <c r="G129" s="57">
        <f t="shared" si="14"/>
        <v>3000</v>
      </c>
      <c r="H129" s="57">
        <f t="shared" si="22"/>
        <v>0</v>
      </c>
      <c r="I129" s="58">
        <f t="shared" si="18"/>
        <v>300</v>
      </c>
      <c r="J129" s="58">
        <f t="shared" si="16"/>
        <v>300</v>
      </c>
      <c r="K129" s="58">
        <f t="shared" si="19"/>
        <v>0</v>
      </c>
      <c r="L129" s="58">
        <f t="shared" si="20"/>
        <v>0</v>
      </c>
      <c r="M129" s="58">
        <f t="shared" si="21"/>
        <v>0</v>
      </c>
      <c r="N129" s="59">
        <f t="shared" si="17"/>
        <v>0.1</v>
      </c>
      <c r="O129" s="60"/>
      <c r="P129" s="105"/>
    </row>
    <row r="130" spans="1:16" x14ac:dyDescent="0.3">
      <c r="A130" s="54" t="str">
        <v>E</v>
      </c>
      <c r="B130" s="55" t="str">
        <v>789EF</v>
      </c>
      <c r="C130" s="56">
        <v>46188</v>
      </c>
      <c r="D130" s="57">
        <v>3000</v>
      </c>
      <c r="E130" s="58">
        <v>300</v>
      </c>
      <c r="F130" s="57">
        <f t="shared" ref="F130:F193" si="23">IF($A130="","",IF($A130&lt;&gt;$A129,_xlfn.XLOOKUP($A130,$Q$2:$Q$7,$R$2:$R$7,0),K129))</f>
        <v>0</v>
      </c>
      <c r="G130" s="57">
        <f t="shared" ref="G130:G193" si="24">IF($A130="","",_xlfn.XLOOKUP($A130,$Q$2:$Q$7,$S$2:$S$7,0))</f>
        <v>3000</v>
      </c>
      <c r="H130" s="57">
        <f t="shared" ref="H130:H161" si="25">IF($A130="","",IF($A130&lt;&gt;$A131,0,MAX(0,H131+E131-D131)))</f>
        <v>0</v>
      </c>
      <c r="I130" s="58">
        <f t="shared" si="18"/>
        <v>300</v>
      </c>
      <c r="J130" s="58">
        <f t="shared" ref="J130:J193" si="26">IF($A130="","",MIN($D130,$I130,MAX(0,$E130+$G130-$F130)))</f>
        <v>300</v>
      </c>
      <c r="K130" s="58">
        <f t="shared" si="19"/>
        <v>0</v>
      </c>
      <c r="L130" s="58">
        <f t="shared" si="20"/>
        <v>0</v>
      </c>
      <c r="M130" s="58">
        <f t="shared" si="21"/>
        <v>0</v>
      </c>
      <c r="N130" s="59">
        <f t="shared" ref="N130:N193" si="27">IF($A130="","",IFERROR(J130/D130,0))</f>
        <v>0.1</v>
      </c>
      <c r="O130" s="60"/>
      <c r="P130" s="105"/>
    </row>
    <row r="131" spans="1:16" x14ac:dyDescent="0.3">
      <c r="A131" s="54" t="str">
        <v>E</v>
      </c>
      <c r="B131" s="55" t="str">
        <v>789EF</v>
      </c>
      <c r="C131" s="56">
        <v>46202</v>
      </c>
      <c r="D131" s="57">
        <v>3000</v>
      </c>
      <c r="E131" s="58">
        <v>700</v>
      </c>
      <c r="F131" s="57">
        <f t="shared" si="23"/>
        <v>0</v>
      </c>
      <c r="G131" s="57">
        <f t="shared" si="24"/>
        <v>3000</v>
      </c>
      <c r="H131" s="57">
        <f t="shared" si="25"/>
        <v>0</v>
      </c>
      <c r="I131" s="58">
        <f t="shared" ref="I131:I194" si="28">IF($A131="","",MAX(0,E131+H131-F131))</f>
        <v>700</v>
      </c>
      <c r="J131" s="58">
        <f t="shared" si="26"/>
        <v>700</v>
      </c>
      <c r="K131" s="58">
        <f t="shared" ref="K131:K194" si="29">IF($A131="","",MIN($G131,MAX(0,$F131+$J131-$E131)))</f>
        <v>0</v>
      </c>
      <c r="L131" s="58">
        <f t="shared" ref="L131:L194" si="30">IF($A131="","",MAX(0,E131-F131-J131))</f>
        <v>0</v>
      </c>
      <c r="M131" s="58">
        <f t="shared" ref="M131:M194" si="31">IF($A131="","",MAX(0,F131+J131-E131))</f>
        <v>0</v>
      </c>
      <c r="N131" s="59">
        <f t="shared" si="27"/>
        <v>0.23333333333333334</v>
      </c>
      <c r="O131" s="60"/>
      <c r="P131" s="105"/>
    </row>
    <row r="132" spans="1:16" x14ac:dyDescent="0.3">
      <c r="A132" s="54" t="str">
        <v>E</v>
      </c>
      <c r="B132" s="55" t="str">
        <v>789EF</v>
      </c>
      <c r="C132" s="56">
        <v>46209</v>
      </c>
      <c r="D132" s="57">
        <v>3000</v>
      </c>
      <c r="E132" s="58">
        <v>300</v>
      </c>
      <c r="F132" s="57">
        <f t="shared" si="23"/>
        <v>0</v>
      </c>
      <c r="G132" s="57">
        <f t="shared" si="24"/>
        <v>3000</v>
      </c>
      <c r="H132" s="57">
        <f t="shared" si="25"/>
        <v>0</v>
      </c>
      <c r="I132" s="58">
        <f t="shared" si="28"/>
        <v>300</v>
      </c>
      <c r="J132" s="58">
        <f t="shared" si="26"/>
        <v>300</v>
      </c>
      <c r="K132" s="58">
        <f t="shared" si="29"/>
        <v>0</v>
      </c>
      <c r="L132" s="58">
        <f t="shared" si="30"/>
        <v>0</v>
      </c>
      <c r="M132" s="58">
        <f t="shared" si="31"/>
        <v>0</v>
      </c>
      <c r="N132" s="59">
        <f t="shared" si="27"/>
        <v>0.1</v>
      </c>
      <c r="O132" s="60"/>
      <c r="P132" s="105"/>
    </row>
    <row r="133" spans="1:16" x14ac:dyDescent="0.3">
      <c r="A133" s="54" t="str">
        <v>E</v>
      </c>
      <c r="B133" s="55" t="str">
        <v>789EF</v>
      </c>
      <c r="C133" s="56">
        <v>46216</v>
      </c>
      <c r="D133" s="57">
        <v>3000</v>
      </c>
      <c r="E133" s="58">
        <v>300</v>
      </c>
      <c r="F133" s="57">
        <f t="shared" si="23"/>
        <v>0</v>
      </c>
      <c r="G133" s="57">
        <f t="shared" si="24"/>
        <v>3000</v>
      </c>
      <c r="H133" s="57">
        <f t="shared" si="25"/>
        <v>0</v>
      </c>
      <c r="I133" s="58">
        <f t="shared" si="28"/>
        <v>300</v>
      </c>
      <c r="J133" s="58">
        <f t="shared" si="26"/>
        <v>300</v>
      </c>
      <c r="K133" s="58">
        <f t="shared" si="29"/>
        <v>0</v>
      </c>
      <c r="L133" s="58">
        <f t="shared" si="30"/>
        <v>0</v>
      </c>
      <c r="M133" s="58">
        <f t="shared" si="31"/>
        <v>0</v>
      </c>
      <c r="N133" s="59">
        <f t="shared" si="27"/>
        <v>0.1</v>
      </c>
      <c r="O133" s="60"/>
      <c r="P133" s="105"/>
    </row>
    <row r="134" spans="1:16" x14ac:dyDescent="0.3">
      <c r="A134" s="54" t="str">
        <v>E</v>
      </c>
      <c r="B134" s="55" t="str">
        <v>789EF</v>
      </c>
      <c r="C134" s="56">
        <v>46223</v>
      </c>
      <c r="D134" s="57">
        <v>3000</v>
      </c>
      <c r="E134" s="58">
        <v>300</v>
      </c>
      <c r="F134" s="57">
        <f t="shared" si="23"/>
        <v>0</v>
      </c>
      <c r="G134" s="57">
        <f t="shared" si="24"/>
        <v>3000</v>
      </c>
      <c r="H134" s="57">
        <f t="shared" si="25"/>
        <v>0</v>
      </c>
      <c r="I134" s="58">
        <f t="shared" si="28"/>
        <v>300</v>
      </c>
      <c r="J134" s="58">
        <f t="shared" si="26"/>
        <v>300</v>
      </c>
      <c r="K134" s="58">
        <f t="shared" si="29"/>
        <v>0</v>
      </c>
      <c r="L134" s="58">
        <f t="shared" si="30"/>
        <v>0</v>
      </c>
      <c r="M134" s="58">
        <f t="shared" si="31"/>
        <v>0</v>
      </c>
      <c r="N134" s="59">
        <f t="shared" si="27"/>
        <v>0.1</v>
      </c>
      <c r="O134" s="60"/>
      <c r="P134" s="105"/>
    </row>
    <row r="135" spans="1:16" x14ac:dyDescent="0.3">
      <c r="A135" s="54" t="str">
        <v>E</v>
      </c>
      <c r="B135" s="55" t="str">
        <v>789EF</v>
      </c>
      <c r="C135" s="56">
        <v>46244</v>
      </c>
      <c r="D135" s="57">
        <v>3000</v>
      </c>
      <c r="E135" s="58">
        <v>300</v>
      </c>
      <c r="F135" s="57">
        <f t="shared" si="23"/>
        <v>0</v>
      </c>
      <c r="G135" s="57">
        <f t="shared" si="24"/>
        <v>3000</v>
      </c>
      <c r="H135" s="57">
        <f t="shared" si="25"/>
        <v>0</v>
      </c>
      <c r="I135" s="58">
        <f t="shared" si="28"/>
        <v>300</v>
      </c>
      <c r="J135" s="58">
        <f t="shared" si="26"/>
        <v>300</v>
      </c>
      <c r="K135" s="58">
        <f t="shared" si="29"/>
        <v>0</v>
      </c>
      <c r="L135" s="58">
        <f t="shared" si="30"/>
        <v>0</v>
      </c>
      <c r="M135" s="58">
        <f t="shared" si="31"/>
        <v>0</v>
      </c>
      <c r="N135" s="59">
        <f t="shared" si="27"/>
        <v>0.1</v>
      </c>
      <c r="O135" s="60"/>
      <c r="P135" s="105"/>
    </row>
    <row r="136" spans="1:16" x14ac:dyDescent="0.3">
      <c r="A136" s="54" t="str">
        <v>E</v>
      </c>
      <c r="B136" s="55" t="str">
        <v>789EF</v>
      </c>
      <c r="C136" s="56">
        <v>46265</v>
      </c>
      <c r="D136" s="57">
        <v>3000</v>
      </c>
      <c r="E136" s="58">
        <v>300</v>
      </c>
      <c r="F136" s="57">
        <f t="shared" si="23"/>
        <v>0</v>
      </c>
      <c r="G136" s="57">
        <f t="shared" si="24"/>
        <v>3000</v>
      </c>
      <c r="H136" s="57">
        <f t="shared" si="25"/>
        <v>0</v>
      </c>
      <c r="I136" s="58">
        <f t="shared" si="28"/>
        <v>300</v>
      </c>
      <c r="J136" s="58">
        <f t="shared" si="26"/>
        <v>300</v>
      </c>
      <c r="K136" s="58">
        <f t="shared" si="29"/>
        <v>0</v>
      </c>
      <c r="L136" s="58">
        <f t="shared" si="30"/>
        <v>0</v>
      </c>
      <c r="M136" s="58">
        <f t="shared" si="31"/>
        <v>0</v>
      </c>
      <c r="N136" s="59">
        <f t="shared" si="27"/>
        <v>0.1</v>
      </c>
      <c r="O136" s="60"/>
      <c r="P136" s="105"/>
    </row>
    <row r="137" spans="1:16" x14ac:dyDescent="0.3">
      <c r="A137" s="54" t="str">
        <v>E</v>
      </c>
      <c r="B137" s="55" t="str">
        <v>789EF</v>
      </c>
      <c r="C137" s="56">
        <v>46293</v>
      </c>
      <c r="D137" s="57">
        <v>3000</v>
      </c>
      <c r="E137" s="58">
        <v>300</v>
      </c>
      <c r="F137" s="57">
        <f t="shared" si="23"/>
        <v>0</v>
      </c>
      <c r="G137" s="57">
        <f t="shared" si="24"/>
        <v>3000</v>
      </c>
      <c r="H137" s="57">
        <f t="shared" si="25"/>
        <v>0</v>
      </c>
      <c r="I137" s="58">
        <f t="shared" si="28"/>
        <v>300</v>
      </c>
      <c r="J137" s="58">
        <f t="shared" si="26"/>
        <v>300</v>
      </c>
      <c r="K137" s="58">
        <f t="shared" si="29"/>
        <v>0</v>
      </c>
      <c r="L137" s="58">
        <f t="shared" si="30"/>
        <v>0</v>
      </c>
      <c r="M137" s="58">
        <f t="shared" si="31"/>
        <v>0</v>
      </c>
      <c r="N137" s="59">
        <f t="shared" si="27"/>
        <v>0.1</v>
      </c>
      <c r="O137" s="60"/>
      <c r="P137" s="105"/>
    </row>
    <row r="138" spans="1:16" x14ac:dyDescent="0.3">
      <c r="A138" s="54" t="str">
        <v>E</v>
      </c>
      <c r="B138" s="55" t="str">
        <v>789EF</v>
      </c>
      <c r="C138" s="56">
        <v>46328</v>
      </c>
      <c r="D138" s="57">
        <v>3000</v>
      </c>
      <c r="E138" s="58">
        <v>300</v>
      </c>
      <c r="F138" s="57">
        <f t="shared" si="23"/>
        <v>0</v>
      </c>
      <c r="G138" s="57">
        <f t="shared" si="24"/>
        <v>3000</v>
      </c>
      <c r="H138" s="57">
        <f t="shared" si="25"/>
        <v>0</v>
      </c>
      <c r="I138" s="58">
        <f t="shared" si="28"/>
        <v>300</v>
      </c>
      <c r="J138" s="58">
        <f t="shared" si="26"/>
        <v>300</v>
      </c>
      <c r="K138" s="58">
        <f t="shared" si="29"/>
        <v>0</v>
      </c>
      <c r="L138" s="58">
        <f t="shared" si="30"/>
        <v>0</v>
      </c>
      <c r="M138" s="58">
        <f t="shared" si="31"/>
        <v>0</v>
      </c>
      <c r="N138" s="59">
        <f t="shared" si="27"/>
        <v>0.1</v>
      </c>
      <c r="O138" s="60"/>
      <c r="P138" s="105"/>
    </row>
    <row r="139" spans="1:16" x14ac:dyDescent="0.3">
      <c r="A139" s="54" t="str">
        <v>E</v>
      </c>
      <c r="B139" s="55" t="str">
        <v>789EF</v>
      </c>
      <c r="C139" s="56">
        <v>46356</v>
      </c>
      <c r="D139" s="57">
        <v>3000</v>
      </c>
      <c r="E139" s="58">
        <v>300</v>
      </c>
      <c r="F139" s="57">
        <f t="shared" si="23"/>
        <v>0</v>
      </c>
      <c r="G139" s="57">
        <f t="shared" si="24"/>
        <v>3000</v>
      </c>
      <c r="H139" s="57">
        <f t="shared" si="25"/>
        <v>0</v>
      </c>
      <c r="I139" s="58">
        <f t="shared" si="28"/>
        <v>300</v>
      </c>
      <c r="J139" s="58">
        <f t="shared" si="26"/>
        <v>300</v>
      </c>
      <c r="K139" s="58">
        <f t="shared" si="29"/>
        <v>0</v>
      </c>
      <c r="L139" s="58">
        <f t="shared" si="30"/>
        <v>0</v>
      </c>
      <c r="M139" s="58">
        <f t="shared" si="31"/>
        <v>0</v>
      </c>
      <c r="N139" s="59">
        <f t="shared" si="27"/>
        <v>0.1</v>
      </c>
      <c r="O139" s="60"/>
      <c r="P139" s="105"/>
    </row>
    <row r="140" spans="1:16" x14ac:dyDescent="0.3">
      <c r="A140" s="54" t="str">
        <v>F</v>
      </c>
      <c r="B140" s="55" t="str">
        <v>789EF</v>
      </c>
      <c r="C140" s="56">
        <v>46132</v>
      </c>
      <c r="D140" s="57">
        <v>3000</v>
      </c>
      <c r="E140" s="58">
        <v>588</v>
      </c>
      <c r="F140" s="57">
        <f t="shared" si="23"/>
        <v>0</v>
      </c>
      <c r="G140" s="57">
        <f t="shared" si="24"/>
        <v>3000</v>
      </c>
      <c r="H140" s="57">
        <f t="shared" si="25"/>
        <v>15976</v>
      </c>
      <c r="I140" s="58">
        <f t="shared" si="28"/>
        <v>16564</v>
      </c>
      <c r="J140" s="58">
        <f t="shared" si="26"/>
        <v>3000</v>
      </c>
      <c r="K140" s="58">
        <f t="shared" si="29"/>
        <v>2412</v>
      </c>
      <c r="L140" s="58">
        <f t="shared" si="30"/>
        <v>0</v>
      </c>
      <c r="M140" s="58">
        <f t="shared" si="31"/>
        <v>2412</v>
      </c>
      <c r="N140" s="59">
        <f t="shared" si="27"/>
        <v>1</v>
      </c>
      <c r="O140" s="60"/>
      <c r="P140" s="105"/>
    </row>
    <row r="141" spans="1:16" x14ac:dyDescent="0.3">
      <c r="A141" s="54" t="str">
        <v>F</v>
      </c>
      <c r="B141" s="55" t="str">
        <v>789EF</v>
      </c>
      <c r="C141" s="56">
        <v>46139</v>
      </c>
      <c r="D141" s="57">
        <v>3000</v>
      </c>
      <c r="E141" s="58">
        <v>4028</v>
      </c>
      <c r="F141" s="57">
        <f t="shared" si="23"/>
        <v>2412</v>
      </c>
      <c r="G141" s="57">
        <f t="shared" si="24"/>
        <v>3000</v>
      </c>
      <c r="H141" s="57">
        <f t="shared" si="25"/>
        <v>14948</v>
      </c>
      <c r="I141" s="58">
        <f t="shared" si="28"/>
        <v>16564</v>
      </c>
      <c r="J141" s="58">
        <f t="shared" si="26"/>
        <v>3000</v>
      </c>
      <c r="K141" s="58">
        <f t="shared" si="29"/>
        <v>1384</v>
      </c>
      <c r="L141" s="58">
        <f t="shared" si="30"/>
        <v>0</v>
      </c>
      <c r="M141" s="58">
        <f t="shared" si="31"/>
        <v>1384</v>
      </c>
      <c r="N141" s="59">
        <f t="shared" si="27"/>
        <v>1</v>
      </c>
      <c r="O141" s="60"/>
      <c r="P141" s="105"/>
    </row>
    <row r="142" spans="1:16" x14ac:dyDescent="0.3">
      <c r="A142" s="54" t="str">
        <v>F</v>
      </c>
      <c r="B142" s="55" t="str">
        <v>789EF</v>
      </c>
      <c r="C142" s="56">
        <v>46146</v>
      </c>
      <c r="D142" s="57">
        <v>3000</v>
      </c>
      <c r="E142" s="58">
        <v>4200</v>
      </c>
      <c r="F142" s="57">
        <f t="shared" si="23"/>
        <v>1384</v>
      </c>
      <c r="G142" s="57">
        <f t="shared" si="24"/>
        <v>3000</v>
      </c>
      <c r="H142" s="57">
        <f t="shared" si="25"/>
        <v>13748</v>
      </c>
      <c r="I142" s="58">
        <f t="shared" si="28"/>
        <v>16564</v>
      </c>
      <c r="J142" s="58">
        <f t="shared" si="26"/>
        <v>3000</v>
      </c>
      <c r="K142" s="58">
        <f t="shared" si="29"/>
        <v>184</v>
      </c>
      <c r="L142" s="58">
        <f t="shared" si="30"/>
        <v>0</v>
      </c>
      <c r="M142" s="58">
        <f t="shared" si="31"/>
        <v>184</v>
      </c>
      <c r="N142" s="59">
        <f t="shared" si="27"/>
        <v>1</v>
      </c>
      <c r="O142" s="60"/>
      <c r="P142" s="105"/>
    </row>
    <row r="143" spans="1:16" x14ac:dyDescent="0.3">
      <c r="A143" s="54" t="str">
        <v>F</v>
      </c>
      <c r="B143" s="55" t="str">
        <v>789EF</v>
      </c>
      <c r="C143" s="56">
        <v>46153</v>
      </c>
      <c r="D143" s="57">
        <v>3000</v>
      </c>
      <c r="E143" s="58">
        <v>3802</v>
      </c>
      <c r="F143" s="57">
        <f t="shared" si="23"/>
        <v>184</v>
      </c>
      <c r="G143" s="57">
        <f t="shared" si="24"/>
        <v>3000</v>
      </c>
      <c r="H143" s="57">
        <f t="shared" si="25"/>
        <v>12946</v>
      </c>
      <c r="I143" s="58">
        <f t="shared" si="28"/>
        <v>16564</v>
      </c>
      <c r="J143" s="58">
        <f t="shared" si="26"/>
        <v>3000</v>
      </c>
      <c r="K143" s="58">
        <f t="shared" si="29"/>
        <v>0</v>
      </c>
      <c r="L143" s="58">
        <f t="shared" si="30"/>
        <v>618</v>
      </c>
      <c r="M143" s="58">
        <f t="shared" si="31"/>
        <v>0</v>
      </c>
      <c r="N143" s="59">
        <f t="shared" si="27"/>
        <v>1</v>
      </c>
      <c r="O143" s="60"/>
      <c r="P143" s="105"/>
    </row>
    <row r="144" spans="1:16" x14ac:dyDescent="0.3">
      <c r="A144" s="54" t="str">
        <v>F</v>
      </c>
      <c r="B144" s="55" t="str">
        <v>789EF</v>
      </c>
      <c r="C144" s="56">
        <v>46160</v>
      </c>
      <c r="D144" s="57">
        <v>3000</v>
      </c>
      <c r="E144" s="58">
        <v>4500</v>
      </c>
      <c r="F144" s="57">
        <f t="shared" si="23"/>
        <v>0</v>
      </c>
      <c r="G144" s="57">
        <f t="shared" si="24"/>
        <v>3000</v>
      </c>
      <c r="H144" s="57">
        <f t="shared" si="25"/>
        <v>11446</v>
      </c>
      <c r="I144" s="58">
        <f t="shared" si="28"/>
        <v>15946</v>
      </c>
      <c r="J144" s="58">
        <f t="shared" si="26"/>
        <v>3000</v>
      </c>
      <c r="K144" s="58">
        <f t="shared" si="29"/>
        <v>0</v>
      </c>
      <c r="L144" s="58">
        <f t="shared" si="30"/>
        <v>1500</v>
      </c>
      <c r="M144" s="58">
        <f t="shared" si="31"/>
        <v>0</v>
      </c>
      <c r="N144" s="59">
        <f t="shared" si="27"/>
        <v>1</v>
      </c>
      <c r="O144" s="60"/>
      <c r="P144" s="105"/>
    </row>
    <row r="145" spans="1:16" x14ac:dyDescent="0.3">
      <c r="A145" s="54" t="str">
        <v>F</v>
      </c>
      <c r="B145" s="55" t="str">
        <v>789EF</v>
      </c>
      <c r="C145" s="56">
        <v>46167</v>
      </c>
      <c r="D145" s="57">
        <v>3000</v>
      </c>
      <c r="E145" s="58">
        <v>4200</v>
      </c>
      <c r="F145" s="57">
        <f t="shared" si="23"/>
        <v>0</v>
      </c>
      <c r="G145" s="57">
        <f t="shared" si="24"/>
        <v>3000</v>
      </c>
      <c r="H145" s="57">
        <f t="shared" si="25"/>
        <v>10246</v>
      </c>
      <c r="I145" s="58">
        <f t="shared" si="28"/>
        <v>14446</v>
      </c>
      <c r="J145" s="58">
        <f t="shared" si="26"/>
        <v>3000</v>
      </c>
      <c r="K145" s="58">
        <f t="shared" si="29"/>
        <v>0</v>
      </c>
      <c r="L145" s="58">
        <f t="shared" si="30"/>
        <v>1200</v>
      </c>
      <c r="M145" s="58">
        <f t="shared" si="31"/>
        <v>0</v>
      </c>
      <c r="N145" s="59">
        <f t="shared" si="27"/>
        <v>1</v>
      </c>
      <c r="O145" s="60"/>
      <c r="P145" s="105"/>
    </row>
    <row r="146" spans="1:16" x14ac:dyDescent="0.3">
      <c r="A146" s="54" t="str">
        <v>F</v>
      </c>
      <c r="B146" s="55" t="str">
        <v>789EF</v>
      </c>
      <c r="C146" s="56">
        <v>46174</v>
      </c>
      <c r="D146" s="57">
        <v>3000</v>
      </c>
      <c r="E146" s="58">
        <v>4500</v>
      </c>
      <c r="F146" s="57">
        <f t="shared" si="23"/>
        <v>0</v>
      </c>
      <c r="G146" s="57">
        <f t="shared" si="24"/>
        <v>3000</v>
      </c>
      <c r="H146" s="57">
        <f t="shared" si="25"/>
        <v>8746</v>
      </c>
      <c r="I146" s="58">
        <f t="shared" si="28"/>
        <v>13246</v>
      </c>
      <c r="J146" s="58">
        <f t="shared" si="26"/>
        <v>3000</v>
      </c>
      <c r="K146" s="58">
        <f t="shared" si="29"/>
        <v>0</v>
      </c>
      <c r="L146" s="58">
        <f t="shared" si="30"/>
        <v>1500</v>
      </c>
      <c r="M146" s="58">
        <f t="shared" si="31"/>
        <v>0</v>
      </c>
      <c r="N146" s="59">
        <f t="shared" si="27"/>
        <v>1</v>
      </c>
      <c r="O146" s="60"/>
      <c r="P146" s="105"/>
    </row>
    <row r="147" spans="1:16" x14ac:dyDescent="0.3">
      <c r="A147" s="54" t="str">
        <v>F</v>
      </c>
      <c r="B147" s="55" t="str">
        <v>789EF</v>
      </c>
      <c r="C147" s="56">
        <v>46181</v>
      </c>
      <c r="D147" s="57">
        <v>3000</v>
      </c>
      <c r="E147" s="58">
        <v>4500</v>
      </c>
      <c r="F147" s="57">
        <f t="shared" si="23"/>
        <v>0</v>
      </c>
      <c r="G147" s="57">
        <f t="shared" si="24"/>
        <v>3000</v>
      </c>
      <c r="H147" s="57">
        <f t="shared" si="25"/>
        <v>7246</v>
      </c>
      <c r="I147" s="58">
        <f t="shared" si="28"/>
        <v>11746</v>
      </c>
      <c r="J147" s="58">
        <f t="shared" si="26"/>
        <v>3000</v>
      </c>
      <c r="K147" s="58">
        <f t="shared" si="29"/>
        <v>0</v>
      </c>
      <c r="L147" s="58">
        <f t="shared" si="30"/>
        <v>1500</v>
      </c>
      <c r="M147" s="58">
        <f t="shared" si="31"/>
        <v>0</v>
      </c>
      <c r="N147" s="59">
        <f t="shared" si="27"/>
        <v>1</v>
      </c>
      <c r="O147" s="60"/>
      <c r="P147" s="105"/>
    </row>
    <row r="148" spans="1:16" x14ac:dyDescent="0.3">
      <c r="A148" s="54" t="str">
        <v>F</v>
      </c>
      <c r="B148" s="55" t="str">
        <v>789EF</v>
      </c>
      <c r="C148" s="56">
        <v>46188</v>
      </c>
      <c r="D148" s="57">
        <v>3000</v>
      </c>
      <c r="E148" s="58">
        <v>2200</v>
      </c>
      <c r="F148" s="57">
        <f t="shared" si="23"/>
        <v>0</v>
      </c>
      <c r="G148" s="57">
        <f t="shared" si="24"/>
        <v>3000</v>
      </c>
      <c r="H148" s="57">
        <f t="shared" si="25"/>
        <v>8046</v>
      </c>
      <c r="I148" s="58">
        <f t="shared" si="28"/>
        <v>10246</v>
      </c>
      <c r="J148" s="58">
        <f t="shared" si="26"/>
        <v>3000</v>
      </c>
      <c r="K148" s="58">
        <f t="shared" si="29"/>
        <v>800</v>
      </c>
      <c r="L148" s="58">
        <f t="shared" si="30"/>
        <v>0</v>
      </c>
      <c r="M148" s="58">
        <f t="shared" si="31"/>
        <v>800</v>
      </c>
      <c r="N148" s="59">
        <f t="shared" si="27"/>
        <v>1</v>
      </c>
      <c r="O148" s="60"/>
      <c r="P148" s="105"/>
    </row>
    <row r="149" spans="1:16" x14ac:dyDescent="0.3">
      <c r="A149" s="54" t="str">
        <v>F</v>
      </c>
      <c r="B149" s="55" t="str">
        <v>789EF</v>
      </c>
      <c r="C149" s="56">
        <v>46195</v>
      </c>
      <c r="D149" s="57">
        <v>3000</v>
      </c>
      <c r="E149" s="58">
        <v>5000</v>
      </c>
      <c r="F149" s="57">
        <f t="shared" si="23"/>
        <v>800</v>
      </c>
      <c r="G149" s="57">
        <f t="shared" si="24"/>
        <v>3000</v>
      </c>
      <c r="H149" s="57">
        <f t="shared" si="25"/>
        <v>6046</v>
      </c>
      <c r="I149" s="58">
        <f t="shared" si="28"/>
        <v>10246</v>
      </c>
      <c r="J149" s="58">
        <f t="shared" si="26"/>
        <v>3000</v>
      </c>
      <c r="K149" s="58">
        <f t="shared" si="29"/>
        <v>0</v>
      </c>
      <c r="L149" s="58">
        <f t="shared" si="30"/>
        <v>1200</v>
      </c>
      <c r="M149" s="58">
        <f t="shared" si="31"/>
        <v>0</v>
      </c>
      <c r="N149" s="59">
        <f t="shared" si="27"/>
        <v>1</v>
      </c>
      <c r="O149" s="60"/>
      <c r="P149" s="105"/>
    </row>
    <row r="150" spans="1:16" x14ac:dyDescent="0.3">
      <c r="A150" s="54" t="str">
        <v>F</v>
      </c>
      <c r="B150" s="55" t="str">
        <v>789EF</v>
      </c>
      <c r="C150" s="56">
        <v>46202</v>
      </c>
      <c r="D150" s="57">
        <v>3000</v>
      </c>
      <c r="E150" s="58">
        <v>4300</v>
      </c>
      <c r="F150" s="57">
        <f t="shared" si="23"/>
        <v>0</v>
      </c>
      <c r="G150" s="57">
        <f t="shared" si="24"/>
        <v>3000</v>
      </c>
      <c r="H150" s="57">
        <f t="shared" si="25"/>
        <v>4746</v>
      </c>
      <c r="I150" s="58">
        <f t="shared" si="28"/>
        <v>9046</v>
      </c>
      <c r="J150" s="58">
        <f t="shared" si="26"/>
        <v>3000</v>
      </c>
      <c r="K150" s="58">
        <f t="shared" si="29"/>
        <v>0</v>
      </c>
      <c r="L150" s="58">
        <f t="shared" si="30"/>
        <v>1300</v>
      </c>
      <c r="M150" s="58">
        <f t="shared" si="31"/>
        <v>0</v>
      </c>
      <c r="N150" s="59">
        <f t="shared" si="27"/>
        <v>1</v>
      </c>
      <c r="O150" s="60"/>
      <c r="P150" s="105"/>
    </row>
    <row r="151" spans="1:16" x14ac:dyDescent="0.3">
      <c r="A151" s="54" t="str">
        <v>F</v>
      </c>
      <c r="B151" s="55" t="str">
        <v>789EF</v>
      </c>
      <c r="C151" s="56">
        <v>46209</v>
      </c>
      <c r="D151" s="57">
        <v>3000</v>
      </c>
      <c r="E151" s="58">
        <v>4700</v>
      </c>
      <c r="F151" s="57">
        <f t="shared" si="23"/>
        <v>0</v>
      </c>
      <c r="G151" s="57">
        <f t="shared" si="24"/>
        <v>3000</v>
      </c>
      <c r="H151" s="57">
        <f t="shared" si="25"/>
        <v>3046</v>
      </c>
      <c r="I151" s="58">
        <f t="shared" si="28"/>
        <v>7746</v>
      </c>
      <c r="J151" s="58">
        <f t="shared" si="26"/>
        <v>3000</v>
      </c>
      <c r="K151" s="58">
        <f t="shared" si="29"/>
        <v>0</v>
      </c>
      <c r="L151" s="58">
        <f t="shared" si="30"/>
        <v>1700</v>
      </c>
      <c r="M151" s="58">
        <f t="shared" si="31"/>
        <v>0</v>
      </c>
      <c r="N151" s="59">
        <f t="shared" si="27"/>
        <v>1</v>
      </c>
      <c r="O151" s="60"/>
      <c r="P151" s="105"/>
    </row>
    <row r="152" spans="1:16" x14ac:dyDescent="0.3">
      <c r="A152" s="54" t="str">
        <v>F</v>
      </c>
      <c r="B152" s="55" t="str">
        <v>789EF</v>
      </c>
      <c r="C152" s="56">
        <v>46216</v>
      </c>
      <c r="D152" s="57">
        <v>3000</v>
      </c>
      <c r="E152" s="58">
        <v>4746</v>
      </c>
      <c r="F152" s="57">
        <f t="shared" si="23"/>
        <v>0</v>
      </c>
      <c r="G152" s="57">
        <f t="shared" si="24"/>
        <v>3000</v>
      </c>
      <c r="H152" s="57">
        <f t="shared" si="25"/>
        <v>1300</v>
      </c>
      <c r="I152" s="58">
        <f t="shared" si="28"/>
        <v>6046</v>
      </c>
      <c r="J152" s="58">
        <f t="shared" si="26"/>
        <v>3000</v>
      </c>
      <c r="K152" s="58">
        <f t="shared" si="29"/>
        <v>0</v>
      </c>
      <c r="L152" s="58">
        <f t="shared" si="30"/>
        <v>1746</v>
      </c>
      <c r="M152" s="58">
        <f t="shared" si="31"/>
        <v>0</v>
      </c>
      <c r="N152" s="59">
        <f t="shared" si="27"/>
        <v>1</v>
      </c>
      <c r="O152" s="60"/>
      <c r="P152" s="105"/>
    </row>
    <row r="153" spans="1:16" x14ac:dyDescent="0.3">
      <c r="A153" s="54" t="str">
        <v>F</v>
      </c>
      <c r="B153" s="55" t="str">
        <v>789EF</v>
      </c>
      <c r="C153" s="56">
        <v>46223</v>
      </c>
      <c r="D153" s="57">
        <v>3000</v>
      </c>
      <c r="E153" s="58">
        <v>4300</v>
      </c>
      <c r="F153" s="57">
        <f t="shared" si="23"/>
        <v>0</v>
      </c>
      <c r="G153" s="57">
        <f t="shared" si="24"/>
        <v>3000</v>
      </c>
      <c r="H153" s="57">
        <f t="shared" si="25"/>
        <v>0</v>
      </c>
      <c r="I153" s="58">
        <f t="shared" si="28"/>
        <v>4300</v>
      </c>
      <c r="J153" s="58">
        <f t="shared" si="26"/>
        <v>3000</v>
      </c>
      <c r="K153" s="58">
        <f t="shared" si="29"/>
        <v>0</v>
      </c>
      <c r="L153" s="58">
        <f t="shared" si="30"/>
        <v>1300</v>
      </c>
      <c r="M153" s="58">
        <f t="shared" si="31"/>
        <v>0</v>
      </c>
      <c r="N153" s="59">
        <f t="shared" si="27"/>
        <v>1</v>
      </c>
      <c r="O153" s="60"/>
      <c r="P153" s="105"/>
    </row>
    <row r="154" spans="1:16" x14ac:dyDescent="0.3">
      <c r="A154" s="54" t="str">
        <v>F</v>
      </c>
      <c r="B154" s="55" t="str">
        <v>789EF</v>
      </c>
      <c r="C154" s="56">
        <v>46230</v>
      </c>
      <c r="D154" s="57">
        <v>3000</v>
      </c>
      <c r="E154" s="58">
        <v>476</v>
      </c>
      <c r="F154" s="57">
        <f t="shared" si="23"/>
        <v>0</v>
      </c>
      <c r="G154" s="57">
        <f t="shared" si="24"/>
        <v>3000</v>
      </c>
      <c r="H154" s="57">
        <f t="shared" si="25"/>
        <v>0</v>
      </c>
      <c r="I154" s="58">
        <f t="shared" si="28"/>
        <v>476</v>
      </c>
      <c r="J154" s="58">
        <f t="shared" si="26"/>
        <v>476</v>
      </c>
      <c r="K154" s="58">
        <f t="shared" si="29"/>
        <v>0</v>
      </c>
      <c r="L154" s="58">
        <f t="shared" si="30"/>
        <v>0</v>
      </c>
      <c r="M154" s="58">
        <f t="shared" si="31"/>
        <v>0</v>
      </c>
      <c r="N154" s="59">
        <f t="shared" si="27"/>
        <v>0.15866666666666668</v>
      </c>
      <c r="O154" s="60"/>
      <c r="P154" s="105"/>
    </row>
    <row r="155" spans="1:16" x14ac:dyDescent="0.3">
      <c r="A155" s="54" t="str">
        <v>F</v>
      </c>
      <c r="B155" s="55" t="str">
        <v>789EF</v>
      </c>
      <c r="C155" s="56">
        <v>46237</v>
      </c>
      <c r="D155" s="57">
        <v>3000</v>
      </c>
      <c r="E155" s="58">
        <v>1298</v>
      </c>
      <c r="F155" s="57">
        <f t="shared" si="23"/>
        <v>0</v>
      </c>
      <c r="G155" s="57">
        <f t="shared" si="24"/>
        <v>3000</v>
      </c>
      <c r="H155" s="57">
        <f t="shared" si="25"/>
        <v>0</v>
      </c>
      <c r="I155" s="58">
        <f t="shared" si="28"/>
        <v>1298</v>
      </c>
      <c r="J155" s="58">
        <f t="shared" si="26"/>
        <v>1298</v>
      </c>
      <c r="K155" s="58">
        <f t="shared" si="29"/>
        <v>0</v>
      </c>
      <c r="L155" s="58">
        <f t="shared" si="30"/>
        <v>0</v>
      </c>
      <c r="M155" s="58">
        <f t="shared" si="31"/>
        <v>0</v>
      </c>
      <c r="N155" s="59">
        <f t="shared" si="27"/>
        <v>0.43266666666666664</v>
      </c>
      <c r="O155" s="60"/>
      <c r="P155" s="105"/>
    </row>
    <row r="156" spans="1:16" x14ac:dyDescent="0.3">
      <c r="A156" s="54" t="str">
        <v>F</v>
      </c>
      <c r="B156" s="55" t="str">
        <v>789EF</v>
      </c>
      <c r="C156" s="56">
        <v>46244</v>
      </c>
      <c r="D156" s="57">
        <v>3000</v>
      </c>
      <c r="E156" s="58">
        <v>1300</v>
      </c>
      <c r="F156" s="57">
        <f t="shared" si="23"/>
        <v>0</v>
      </c>
      <c r="G156" s="57">
        <f t="shared" si="24"/>
        <v>3000</v>
      </c>
      <c r="H156" s="57">
        <f t="shared" si="25"/>
        <v>0</v>
      </c>
      <c r="I156" s="58">
        <f t="shared" si="28"/>
        <v>1300</v>
      </c>
      <c r="J156" s="58">
        <f t="shared" si="26"/>
        <v>1300</v>
      </c>
      <c r="K156" s="58">
        <f t="shared" si="29"/>
        <v>0</v>
      </c>
      <c r="L156" s="58">
        <f t="shared" si="30"/>
        <v>0</v>
      </c>
      <c r="M156" s="58">
        <f t="shared" si="31"/>
        <v>0</v>
      </c>
      <c r="N156" s="59">
        <f t="shared" si="27"/>
        <v>0.43333333333333335</v>
      </c>
      <c r="O156" s="60"/>
      <c r="P156" s="105"/>
    </row>
    <row r="157" spans="1:16" x14ac:dyDescent="0.3">
      <c r="A157" s="54" t="str">
        <v>F</v>
      </c>
      <c r="B157" s="55" t="str">
        <v>789EF</v>
      </c>
      <c r="C157" s="56">
        <v>46251</v>
      </c>
      <c r="D157" s="57">
        <v>3000</v>
      </c>
      <c r="E157" s="58">
        <v>1298</v>
      </c>
      <c r="F157" s="57">
        <f t="shared" si="23"/>
        <v>0</v>
      </c>
      <c r="G157" s="57">
        <f t="shared" si="24"/>
        <v>3000</v>
      </c>
      <c r="H157" s="57">
        <f t="shared" si="25"/>
        <v>0</v>
      </c>
      <c r="I157" s="58">
        <f t="shared" si="28"/>
        <v>1298</v>
      </c>
      <c r="J157" s="58">
        <f t="shared" si="26"/>
        <v>1298</v>
      </c>
      <c r="K157" s="58">
        <f t="shared" si="29"/>
        <v>0</v>
      </c>
      <c r="L157" s="58">
        <f t="shared" si="30"/>
        <v>0</v>
      </c>
      <c r="M157" s="58">
        <f t="shared" si="31"/>
        <v>0</v>
      </c>
      <c r="N157" s="59">
        <f t="shared" si="27"/>
        <v>0.43266666666666664</v>
      </c>
      <c r="O157" s="60"/>
      <c r="P157" s="105"/>
    </row>
    <row r="158" spans="1:16" x14ac:dyDescent="0.3">
      <c r="A158" s="54" t="str">
        <v>F</v>
      </c>
      <c r="B158" s="55" t="str">
        <v>789EF</v>
      </c>
      <c r="C158" s="56">
        <v>46258</v>
      </c>
      <c r="D158" s="57">
        <v>3000</v>
      </c>
      <c r="E158" s="58">
        <v>1506</v>
      </c>
      <c r="F158" s="57">
        <f t="shared" si="23"/>
        <v>0</v>
      </c>
      <c r="G158" s="57">
        <f t="shared" si="24"/>
        <v>3000</v>
      </c>
      <c r="H158" s="57">
        <f t="shared" si="25"/>
        <v>0</v>
      </c>
      <c r="I158" s="58">
        <f t="shared" si="28"/>
        <v>1506</v>
      </c>
      <c r="J158" s="58">
        <f t="shared" si="26"/>
        <v>1506</v>
      </c>
      <c r="K158" s="58">
        <f t="shared" si="29"/>
        <v>0</v>
      </c>
      <c r="L158" s="58">
        <f t="shared" si="30"/>
        <v>0</v>
      </c>
      <c r="M158" s="58">
        <f t="shared" si="31"/>
        <v>0</v>
      </c>
      <c r="N158" s="59">
        <f t="shared" si="27"/>
        <v>0.502</v>
      </c>
      <c r="O158" s="60"/>
      <c r="P158" s="105"/>
    </row>
    <row r="159" spans="1:16" x14ac:dyDescent="0.3">
      <c r="A159" s="54" t="str">
        <v>F</v>
      </c>
      <c r="B159" s="55" t="str">
        <v>789EF</v>
      </c>
      <c r="C159" s="56">
        <v>46265</v>
      </c>
      <c r="D159" s="57">
        <v>3000</v>
      </c>
      <c r="E159" s="58">
        <v>1506</v>
      </c>
      <c r="F159" s="57">
        <f t="shared" si="23"/>
        <v>0</v>
      </c>
      <c r="G159" s="57">
        <f t="shared" si="24"/>
        <v>3000</v>
      </c>
      <c r="H159" s="57">
        <f t="shared" si="25"/>
        <v>0</v>
      </c>
      <c r="I159" s="58">
        <f t="shared" si="28"/>
        <v>1506</v>
      </c>
      <c r="J159" s="58">
        <f t="shared" si="26"/>
        <v>1506</v>
      </c>
      <c r="K159" s="58">
        <f t="shared" si="29"/>
        <v>0</v>
      </c>
      <c r="L159" s="58">
        <f t="shared" si="30"/>
        <v>0</v>
      </c>
      <c r="M159" s="58">
        <f t="shared" si="31"/>
        <v>0</v>
      </c>
      <c r="N159" s="59">
        <f t="shared" si="27"/>
        <v>0.502</v>
      </c>
      <c r="O159" s="60"/>
      <c r="P159" s="105"/>
    </row>
    <row r="160" spans="1:16" x14ac:dyDescent="0.3">
      <c r="A160" s="54" t="str">
        <v>F</v>
      </c>
      <c r="B160" s="55" t="str">
        <v>789EF</v>
      </c>
      <c r="C160" s="56">
        <v>46272</v>
      </c>
      <c r="D160" s="57">
        <v>3000</v>
      </c>
      <c r="E160" s="58">
        <v>1506</v>
      </c>
      <c r="F160" s="57">
        <f t="shared" si="23"/>
        <v>0</v>
      </c>
      <c r="G160" s="57">
        <f t="shared" si="24"/>
        <v>3000</v>
      </c>
      <c r="H160" s="57">
        <f t="shared" si="25"/>
        <v>0</v>
      </c>
      <c r="I160" s="58">
        <f t="shared" si="28"/>
        <v>1506</v>
      </c>
      <c r="J160" s="58">
        <f t="shared" si="26"/>
        <v>1506</v>
      </c>
      <c r="K160" s="58">
        <f t="shared" si="29"/>
        <v>0</v>
      </c>
      <c r="L160" s="58">
        <f t="shared" si="30"/>
        <v>0</v>
      </c>
      <c r="M160" s="58">
        <f t="shared" si="31"/>
        <v>0</v>
      </c>
      <c r="N160" s="59">
        <f t="shared" si="27"/>
        <v>0.502</v>
      </c>
      <c r="O160" s="60"/>
      <c r="P160" s="105"/>
    </row>
    <row r="161" spans="1:16" x14ac:dyDescent="0.3">
      <c r="A161" s="54" t="str">
        <v>F</v>
      </c>
      <c r="B161" s="55" t="str">
        <v>789EF</v>
      </c>
      <c r="C161" s="56">
        <v>46279</v>
      </c>
      <c r="D161" s="57">
        <v>3000</v>
      </c>
      <c r="E161" s="58">
        <v>1506</v>
      </c>
      <c r="F161" s="57">
        <f t="shared" si="23"/>
        <v>0</v>
      </c>
      <c r="G161" s="57">
        <f t="shared" si="24"/>
        <v>3000</v>
      </c>
      <c r="H161" s="57">
        <f t="shared" si="25"/>
        <v>0</v>
      </c>
      <c r="I161" s="58">
        <f t="shared" si="28"/>
        <v>1506</v>
      </c>
      <c r="J161" s="58">
        <f t="shared" si="26"/>
        <v>1506</v>
      </c>
      <c r="K161" s="58">
        <f t="shared" si="29"/>
        <v>0</v>
      </c>
      <c r="L161" s="58">
        <f t="shared" si="30"/>
        <v>0</v>
      </c>
      <c r="M161" s="58">
        <f t="shared" si="31"/>
        <v>0</v>
      </c>
      <c r="N161" s="59">
        <f t="shared" si="27"/>
        <v>0.502</v>
      </c>
      <c r="O161" s="60"/>
      <c r="P161" s="105"/>
    </row>
    <row r="162" spans="1:16" x14ac:dyDescent="0.3">
      <c r="A162" s="54" t="str">
        <v>F</v>
      </c>
      <c r="B162" s="55" t="str">
        <v>789EF</v>
      </c>
      <c r="C162" s="56">
        <v>46286</v>
      </c>
      <c r="D162" s="57">
        <v>3000</v>
      </c>
      <c r="E162" s="58">
        <v>1446</v>
      </c>
      <c r="F162" s="57">
        <f t="shared" si="23"/>
        <v>0</v>
      </c>
      <c r="G162" s="57">
        <f t="shared" si="24"/>
        <v>3000</v>
      </c>
      <c r="H162" s="57">
        <f t="shared" ref="H162:H176" si="32">IF($A162="","",IF($A162&lt;&gt;$A163,0,MAX(0,H163+E163-D163)))</f>
        <v>0</v>
      </c>
      <c r="I162" s="58">
        <f t="shared" si="28"/>
        <v>1446</v>
      </c>
      <c r="J162" s="58">
        <f t="shared" si="26"/>
        <v>1446</v>
      </c>
      <c r="K162" s="58">
        <f t="shared" si="29"/>
        <v>0</v>
      </c>
      <c r="L162" s="58">
        <f t="shared" si="30"/>
        <v>0</v>
      </c>
      <c r="M162" s="58">
        <f t="shared" si="31"/>
        <v>0</v>
      </c>
      <c r="N162" s="59">
        <f t="shared" si="27"/>
        <v>0.48199999999999998</v>
      </c>
      <c r="O162" s="60"/>
      <c r="P162" s="105"/>
    </row>
    <row r="163" spans="1:16" x14ac:dyDescent="0.3">
      <c r="A163" s="54" t="str">
        <v>F</v>
      </c>
      <c r="B163" s="55" t="str">
        <v>789EF</v>
      </c>
      <c r="C163" s="56">
        <v>46307</v>
      </c>
      <c r="D163" s="57">
        <v>3000</v>
      </c>
      <c r="E163" s="58">
        <v>1448</v>
      </c>
      <c r="F163" s="57">
        <f t="shared" si="23"/>
        <v>0</v>
      </c>
      <c r="G163" s="57">
        <f t="shared" si="24"/>
        <v>3000</v>
      </c>
      <c r="H163" s="57">
        <f t="shared" si="32"/>
        <v>0</v>
      </c>
      <c r="I163" s="58">
        <f t="shared" si="28"/>
        <v>1448</v>
      </c>
      <c r="J163" s="58">
        <f t="shared" si="26"/>
        <v>1448</v>
      </c>
      <c r="K163" s="58">
        <f t="shared" si="29"/>
        <v>0</v>
      </c>
      <c r="L163" s="58">
        <f t="shared" si="30"/>
        <v>0</v>
      </c>
      <c r="M163" s="58">
        <f t="shared" si="31"/>
        <v>0</v>
      </c>
      <c r="N163" s="59">
        <f t="shared" si="27"/>
        <v>0.48266666666666669</v>
      </c>
      <c r="O163" s="60"/>
      <c r="P163" s="105"/>
    </row>
    <row r="164" spans="1:16" x14ac:dyDescent="0.3">
      <c r="A164" s="54" t="str">
        <v>F</v>
      </c>
      <c r="B164" s="55" t="str">
        <v>789EF</v>
      </c>
      <c r="C164" s="56">
        <v>46314</v>
      </c>
      <c r="D164" s="57">
        <v>3000</v>
      </c>
      <c r="E164" s="58">
        <v>1448</v>
      </c>
      <c r="F164" s="57">
        <f t="shared" si="23"/>
        <v>0</v>
      </c>
      <c r="G164" s="57">
        <f t="shared" si="24"/>
        <v>3000</v>
      </c>
      <c r="H164" s="57">
        <f t="shared" si="32"/>
        <v>0</v>
      </c>
      <c r="I164" s="58">
        <f t="shared" si="28"/>
        <v>1448</v>
      </c>
      <c r="J164" s="58">
        <f t="shared" si="26"/>
        <v>1448</v>
      </c>
      <c r="K164" s="58">
        <f t="shared" si="29"/>
        <v>0</v>
      </c>
      <c r="L164" s="58">
        <f t="shared" si="30"/>
        <v>0</v>
      </c>
      <c r="M164" s="58">
        <f t="shared" si="31"/>
        <v>0</v>
      </c>
      <c r="N164" s="59">
        <f t="shared" si="27"/>
        <v>0.48266666666666669</v>
      </c>
      <c r="O164" s="60"/>
      <c r="P164" s="105"/>
    </row>
    <row r="165" spans="1:16" x14ac:dyDescent="0.3">
      <c r="A165" s="54" t="str">
        <v>F</v>
      </c>
      <c r="B165" s="55" t="str">
        <v>789EF</v>
      </c>
      <c r="C165" s="56">
        <v>46321</v>
      </c>
      <c r="D165" s="57">
        <v>3000</v>
      </c>
      <c r="E165" s="58">
        <v>1448</v>
      </c>
      <c r="F165" s="57">
        <f t="shared" si="23"/>
        <v>0</v>
      </c>
      <c r="G165" s="57">
        <f t="shared" si="24"/>
        <v>3000</v>
      </c>
      <c r="H165" s="57">
        <f t="shared" si="32"/>
        <v>0</v>
      </c>
      <c r="I165" s="58">
        <f t="shared" si="28"/>
        <v>1448</v>
      </c>
      <c r="J165" s="58">
        <f t="shared" si="26"/>
        <v>1448</v>
      </c>
      <c r="K165" s="58">
        <f t="shared" si="29"/>
        <v>0</v>
      </c>
      <c r="L165" s="58">
        <f t="shared" si="30"/>
        <v>0</v>
      </c>
      <c r="M165" s="58">
        <f t="shared" si="31"/>
        <v>0</v>
      </c>
      <c r="N165" s="59">
        <f t="shared" si="27"/>
        <v>0.48266666666666669</v>
      </c>
      <c r="O165" s="60"/>
      <c r="P165" s="105"/>
    </row>
    <row r="166" spans="1:16" x14ac:dyDescent="0.3">
      <c r="A166" s="54" t="str">
        <v>F</v>
      </c>
      <c r="B166" s="55" t="str">
        <v>789EF</v>
      </c>
      <c r="C166" s="56">
        <v>46328</v>
      </c>
      <c r="D166" s="57">
        <v>3000</v>
      </c>
      <c r="E166" s="58">
        <v>1754</v>
      </c>
      <c r="F166" s="57">
        <f t="shared" si="23"/>
        <v>0</v>
      </c>
      <c r="G166" s="57">
        <f t="shared" si="24"/>
        <v>3000</v>
      </c>
      <c r="H166" s="57">
        <f t="shared" si="32"/>
        <v>0</v>
      </c>
      <c r="I166" s="58">
        <f t="shared" si="28"/>
        <v>1754</v>
      </c>
      <c r="J166" s="58">
        <f t="shared" si="26"/>
        <v>1754</v>
      </c>
      <c r="K166" s="58">
        <f t="shared" si="29"/>
        <v>0</v>
      </c>
      <c r="L166" s="58">
        <f t="shared" si="30"/>
        <v>0</v>
      </c>
      <c r="M166" s="58">
        <f t="shared" si="31"/>
        <v>0</v>
      </c>
      <c r="N166" s="59">
        <f t="shared" si="27"/>
        <v>0.58466666666666667</v>
      </c>
      <c r="O166" s="60"/>
      <c r="P166" s="105"/>
    </row>
    <row r="167" spans="1:16" x14ac:dyDescent="0.3">
      <c r="A167" s="54" t="str">
        <v>F</v>
      </c>
      <c r="B167" s="55" t="str">
        <v>789EF</v>
      </c>
      <c r="C167" s="56">
        <v>46335</v>
      </c>
      <c r="D167" s="57">
        <v>3000</v>
      </c>
      <c r="E167" s="58">
        <v>1756</v>
      </c>
      <c r="F167" s="57">
        <f t="shared" si="23"/>
        <v>0</v>
      </c>
      <c r="G167" s="57">
        <f t="shared" si="24"/>
        <v>3000</v>
      </c>
      <c r="H167" s="57">
        <f t="shared" si="32"/>
        <v>0</v>
      </c>
      <c r="I167" s="58">
        <f t="shared" si="28"/>
        <v>1756</v>
      </c>
      <c r="J167" s="58">
        <f t="shared" si="26"/>
        <v>1756</v>
      </c>
      <c r="K167" s="58">
        <f t="shared" si="29"/>
        <v>0</v>
      </c>
      <c r="L167" s="58">
        <f t="shared" si="30"/>
        <v>0</v>
      </c>
      <c r="M167" s="58">
        <f t="shared" si="31"/>
        <v>0</v>
      </c>
      <c r="N167" s="59">
        <f t="shared" si="27"/>
        <v>0.58533333333333337</v>
      </c>
      <c r="O167" s="60"/>
      <c r="P167" s="105"/>
    </row>
    <row r="168" spans="1:16" x14ac:dyDescent="0.3">
      <c r="A168" s="54" t="str">
        <v>F</v>
      </c>
      <c r="B168" s="55" t="str">
        <v>789EF</v>
      </c>
      <c r="C168" s="56">
        <v>46342</v>
      </c>
      <c r="D168" s="57">
        <v>3000</v>
      </c>
      <c r="E168" s="58">
        <v>1756</v>
      </c>
      <c r="F168" s="57">
        <f t="shared" si="23"/>
        <v>0</v>
      </c>
      <c r="G168" s="57">
        <f t="shared" si="24"/>
        <v>3000</v>
      </c>
      <c r="H168" s="57">
        <f t="shared" si="32"/>
        <v>0</v>
      </c>
      <c r="I168" s="58">
        <f t="shared" si="28"/>
        <v>1756</v>
      </c>
      <c r="J168" s="58">
        <f t="shared" si="26"/>
        <v>1756</v>
      </c>
      <c r="K168" s="58">
        <f t="shared" si="29"/>
        <v>0</v>
      </c>
      <c r="L168" s="58">
        <f t="shared" si="30"/>
        <v>0</v>
      </c>
      <c r="M168" s="58">
        <f t="shared" si="31"/>
        <v>0</v>
      </c>
      <c r="N168" s="59">
        <f t="shared" si="27"/>
        <v>0.58533333333333337</v>
      </c>
      <c r="O168" s="60"/>
      <c r="P168" s="105"/>
    </row>
    <row r="169" spans="1:16" x14ac:dyDescent="0.3">
      <c r="A169" s="54" t="str">
        <v>F</v>
      </c>
      <c r="B169" s="55" t="str">
        <v>789EF</v>
      </c>
      <c r="C169" s="56">
        <v>46349</v>
      </c>
      <c r="D169" s="57">
        <v>3000</v>
      </c>
      <c r="E169" s="58">
        <v>1756</v>
      </c>
      <c r="F169" s="57">
        <f t="shared" si="23"/>
        <v>0</v>
      </c>
      <c r="G169" s="57">
        <f t="shared" si="24"/>
        <v>3000</v>
      </c>
      <c r="H169" s="57">
        <f t="shared" si="32"/>
        <v>0</v>
      </c>
      <c r="I169" s="58">
        <f t="shared" si="28"/>
        <v>1756</v>
      </c>
      <c r="J169" s="58">
        <f t="shared" si="26"/>
        <v>1756</v>
      </c>
      <c r="K169" s="58">
        <f t="shared" si="29"/>
        <v>0</v>
      </c>
      <c r="L169" s="58">
        <f t="shared" si="30"/>
        <v>0</v>
      </c>
      <c r="M169" s="58">
        <f t="shared" si="31"/>
        <v>0</v>
      </c>
      <c r="N169" s="59">
        <f t="shared" si="27"/>
        <v>0.58533333333333337</v>
      </c>
      <c r="O169" s="60"/>
      <c r="P169" s="105"/>
    </row>
    <row r="170" spans="1:16" x14ac:dyDescent="0.3">
      <c r="A170" s="54" t="str">
        <v>F</v>
      </c>
      <c r="B170" s="55" t="str">
        <v>789EF</v>
      </c>
      <c r="C170" s="56">
        <v>46356</v>
      </c>
      <c r="D170" s="57">
        <v>3000</v>
      </c>
      <c r="E170" s="58">
        <v>1928</v>
      </c>
      <c r="F170" s="57">
        <f t="shared" si="23"/>
        <v>0</v>
      </c>
      <c r="G170" s="57">
        <f t="shared" si="24"/>
        <v>3000</v>
      </c>
      <c r="H170" s="57">
        <f t="shared" si="32"/>
        <v>0</v>
      </c>
      <c r="I170" s="58">
        <f t="shared" si="28"/>
        <v>1928</v>
      </c>
      <c r="J170" s="58">
        <f t="shared" si="26"/>
        <v>1928</v>
      </c>
      <c r="K170" s="58">
        <f t="shared" si="29"/>
        <v>0</v>
      </c>
      <c r="L170" s="58">
        <f t="shared" si="30"/>
        <v>0</v>
      </c>
      <c r="M170" s="58">
        <f t="shared" si="31"/>
        <v>0</v>
      </c>
      <c r="N170" s="59">
        <f t="shared" si="27"/>
        <v>0.64266666666666672</v>
      </c>
      <c r="O170" s="60"/>
      <c r="P170" s="105"/>
    </row>
    <row r="171" spans="1:16" x14ac:dyDescent="0.3">
      <c r="A171" s="54" t="str">
        <v>F</v>
      </c>
      <c r="B171" s="55" t="str">
        <v>789EF</v>
      </c>
      <c r="C171" s="56">
        <v>46363</v>
      </c>
      <c r="D171" s="57">
        <v>3000</v>
      </c>
      <c r="E171" s="58">
        <v>1930</v>
      </c>
      <c r="F171" s="57">
        <f t="shared" si="23"/>
        <v>0</v>
      </c>
      <c r="G171" s="57">
        <f t="shared" si="24"/>
        <v>3000</v>
      </c>
      <c r="H171" s="57">
        <f t="shared" si="32"/>
        <v>0</v>
      </c>
      <c r="I171" s="58">
        <f t="shared" si="28"/>
        <v>1930</v>
      </c>
      <c r="J171" s="58">
        <f t="shared" si="26"/>
        <v>1930</v>
      </c>
      <c r="K171" s="58">
        <f t="shared" si="29"/>
        <v>0</v>
      </c>
      <c r="L171" s="58">
        <f t="shared" si="30"/>
        <v>0</v>
      </c>
      <c r="M171" s="58">
        <f t="shared" si="31"/>
        <v>0</v>
      </c>
      <c r="N171" s="59">
        <f t="shared" si="27"/>
        <v>0.64333333333333331</v>
      </c>
      <c r="O171" s="60"/>
      <c r="P171" s="105"/>
    </row>
    <row r="172" spans="1:16" x14ac:dyDescent="0.3">
      <c r="A172" s="54" t="str">
        <v>F</v>
      </c>
      <c r="B172" s="55" t="str">
        <v>789EF</v>
      </c>
      <c r="C172" s="56">
        <v>46370</v>
      </c>
      <c r="D172" s="57">
        <v>3000</v>
      </c>
      <c r="E172" s="58">
        <v>1928</v>
      </c>
      <c r="F172" s="57">
        <f t="shared" si="23"/>
        <v>0</v>
      </c>
      <c r="G172" s="57">
        <f t="shared" si="24"/>
        <v>3000</v>
      </c>
      <c r="H172" s="57">
        <f>IF($A172="","",IF($A172&lt;&gt;$A173,0,MAX(0,H173+E173-D173)))</f>
        <v>0</v>
      </c>
      <c r="I172" s="58">
        <f t="shared" si="28"/>
        <v>1928</v>
      </c>
      <c r="J172" s="58">
        <f t="shared" si="26"/>
        <v>1928</v>
      </c>
      <c r="K172" s="58">
        <f t="shared" si="29"/>
        <v>0</v>
      </c>
      <c r="L172" s="58">
        <f t="shared" si="30"/>
        <v>0</v>
      </c>
      <c r="M172" s="58">
        <f t="shared" si="31"/>
        <v>0</v>
      </c>
      <c r="N172" s="59">
        <f t="shared" si="27"/>
        <v>0.64266666666666672</v>
      </c>
      <c r="O172" s="60"/>
      <c r="P172" s="105"/>
    </row>
    <row r="173" spans="1:16" x14ac:dyDescent="0.3">
      <c r="A173" s="54"/>
      <c r="B173" s="55"/>
      <c r="C173" s="56"/>
      <c r="D173" s="57"/>
      <c r="E173" s="58"/>
      <c r="F173" s="57" t="str">
        <f t="shared" si="23"/>
        <v/>
      </c>
      <c r="G173" s="57" t="str">
        <f t="shared" si="24"/>
        <v/>
      </c>
      <c r="H173" s="57" t="str">
        <f t="shared" si="32"/>
        <v/>
      </c>
      <c r="I173" s="58" t="str">
        <f t="shared" si="28"/>
        <v/>
      </c>
      <c r="J173" s="58" t="str">
        <f t="shared" si="26"/>
        <v/>
      </c>
      <c r="K173" s="58" t="str">
        <f t="shared" si="29"/>
        <v/>
      </c>
      <c r="L173" s="58" t="str">
        <f t="shared" si="30"/>
        <v/>
      </c>
      <c r="M173" s="58" t="str">
        <f t="shared" si="31"/>
        <v/>
      </c>
      <c r="N173" s="59" t="str">
        <f t="shared" si="27"/>
        <v/>
      </c>
      <c r="O173" s="60"/>
      <c r="P173" s="105"/>
    </row>
    <row r="174" spans="1:16" x14ac:dyDescent="0.3">
      <c r="A174" s="54"/>
      <c r="B174" s="55"/>
      <c r="C174" s="56"/>
      <c r="D174" s="57"/>
      <c r="E174" s="58"/>
      <c r="F174" s="57" t="str">
        <f t="shared" si="23"/>
        <v/>
      </c>
      <c r="G174" s="57" t="str">
        <f t="shared" si="24"/>
        <v/>
      </c>
      <c r="H174" s="57" t="str">
        <f t="shared" si="32"/>
        <v/>
      </c>
      <c r="I174" s="58" t="str">
        <f t="shared" si="28"/>
        <v/>
      </c>
      <c r="J174" s="58" t="str">
        <f t="shared" si="26"/>
        <v/>
      </c>
      <c r="K174" s="58" t="str">
        <f t="shared" si="29"/>
        <v/>
      </c>
      <c r="L174" s="58" t="str">
        <f t="shared" si="30"/>
        <v/>
      </c>
      <c r="M174" s="58" t="str">
        <f t="shared" si="31"/>
        <v/>
      </c>
      <c r="N174" s="59" t="str">
        <f t="shared" si="27"/>
        <v/>
      </c>
      <c r="O174" s="60"/>
      <c r="P174" s="105"/>
    </row>
    <row r="175" spans="1:16" x14ac:dyDescent="0.3">
      <c r="A175" s="54"/>
      <c r="B175" s="55"/>
      <c r="C175" s="56"/>
      <c r="D175" s="57"/>
      <c r="E175" s="58"/>
      <c r="F175" s="57" t="str">
        <f t="shared" si="23"/>
        <v/>
      </c>
      <c r="G175" s="57" t="str">
        <f t="shared" si="24"/>
        <v/>
      </c>
      <c r="H175" s="57" t="str">
        <f t="shared" si="32"/>
        <v/>
      </c>
      <c r="I175" s="58" t="str">
        <f t="shared" si="28"/>
        <v/>
      </c>
      <c r="J175" s="58" t="str">
        <f t="shared" si="26"/>
        <v/>
      </c>
      <c r="K175" s="58" t="str">
        <f t="shared" si="29"/>
        <v/>
      </c>
      <c r="L175" s="58" t="str">
        <f t="shared" si="30"/>
        <v/>
      </c>
      <c r="M175" s="58" t="str">
        <f t="shared" si="31"/>
        <v/>
      </c>
      <c r="N175" s="59" t="str">
        <f t="shared" si="27"/>
        <v/>
      </c>
      <c r="O175" s="60"/>
      <c r="P175" s="105"/>
    </row>
    <row r="176" spans="1:16" x14ac:dyDescent="0.3">
      <c r="A176" s="54"/>
      <c r="B176" s="55"/>
      <c r="C176" s="56"/>
      <c r="D176" s="57"/>
      <c r="E176" s="58"/>
      <c r="F176" s="57" t="str">
        <f t="shared" si="23"/>
        <v/>
      </c>
      <c r="G176" s="57" t="str">
        <f t="shared" si="24"/>
        <v/>
      </c>
      <c r="H176" s="57" t="str">
        <f t="shared" si="32"/>
        <v/>
      </c>
      <c r="I176" s="58" t="str">
        <f t="shared" si="28"/>
        <v/>
      </c>
      <c r="J176" s="58" t="str">
        <f t="shared" si="26"/>
        <v/>
      </c>
      <c r="K176" s="58" t="str">
        <f t="shared" si="29"/>
        <v/>
      </c>
      <c r="L176" s="58" t="str">
        <f t="shared" si="30"/>
        <v/>
      </c>
      <c r="M176" s="58" t="str">
        <f t="shared" si="31"/>
        <v/>
      </c>
      <c r="N176" s="59" t="str">
        <f t="shared" si="27"/>
        <v/>
      </c>
      <c r="O176" s="60"/>
      <c r="P176" s="105"/>
    </row>
    <row r="177" spans="1:16" x14ac:dyDescent="0.3">
      <c r="A177" s="54"/>
      <c r="B177" s="55"/>
      <c r="C177" s="56"/>
      <c r="D177" s="57"/>
      <c r="E177" s="58"/>
      <c r="F177" s="57" t="str">
        <f t="shared" si="23"/>
        <v/>
      </c>
      <c r="G177" s="57" t="str">
        <f t="shared" si="24"/>
        <v/>
      </c>
      <c r="H177" s="57" t="str">
        <f>IF($A177="","",IF($A177&lt;&gt;$A178,0,MAX(0,H178+E178-D178)))</f>
        <v/>
      </c>
      <c r="I177" s="58" t="str">
        <f t="shared" si="28"/>
        <v/>
      </c>
      <c r="J177" s="58" t="str">
        <f t="shared" si="26"/>
        <v/>
      </c>
      <c r="K177" s="58" t="str">
        <f t="shared" si="29"/>
        <v/>
      </c>
      <c r="L177" s="58" t="str">
        <f t="shared" si="30"/>
        <v/>
      </c>
      <c r="M177" s="58" t="str">
        <f t="shared" si="31"/>
        <v/>
      </c>
      <c r="N177" s="59" t="str">
        <f t="shared" si="27"/>
        <v/>
      </c>
      <c r="O177" s="60"/>
      <c r="P177" s="105"/>
    </row>
    <row r="178" spans="1:16" x14ac:dyDescent="0.3">
      <c r="A178" s="54"/>
      <c r="B178" s="55"/>
      <c r="C178" s="56"/>
      <c r="D178" s="57"/>
      <c r="E178" s="58"/>
      <c r="F178" s="57" t="str">
        <f t="shared" si="23"/>
        <v/>
      </c>
      <c r="G178" s="57" t="str">
        <f t="shared" si="24"/>
        <v/>
      </c>
      <c r="H178" s="57" t="str">
        <f>IF($A178="","",IF($A178&lt;&gt;$A179,0,MAX(0,H179+E179-D179)))</f>
        <v/>
      </c>
      <c r="I178" s="58" t="str">
        <f t="shared" si="28"/>
        <v/>
      </c>
      <c r="J178" s="58" t="str">
        <f t="shared" si="26"/>
        <v/>
      </c>
      <c r="K178" s="58" t="str">
        <f t="shared" si="29"/>
        <v/>
      </c>
      <c r="L178" s="58" t="str">
        <f t="shared" si="30"/>
        <v/>
      </c>
      <c r="M178" s="58" t="str">
        <f t="shared" si="31"/>
        <v/>
      </c>
      <c r="N178" s="59" t="str">
        <f t="shared" si="27"/>
        <v/>
      </c>
      <c r="O178" s="60"/>
      <c r="P178" s="105"/>
    </row>
    <row r="179" spans="1:16" x14ac:dyDescent="0.3">
      <c r="A179" s="54"/>
      <c r="B179" s="55"/>
      <c r="C179" s="56"/>
      <c r="D179" s="57"/>
      <c r="E179" s="58"/>
      <c r="F179" s="57" t="str">
        <f t="shared" si="23"/>
        <v/>
      </c>
      <c r="G179" s="57" t="str">
        <f t="shared" si="24"/>
        <v/>
      </c>
      <c r="H179" s="57" t="str">
        <f t="shared" ref="H179:H242" si="33">IF($A179="","",IF($A179&lt;&gt;$A180,0,MAX(0,H180+E180-D180)))</f>
        <v/>
      </c>
      <c r="I179" s="58" t="str">
        <f t="shared" si="28"/>
        <v/>
      </c>
      <c r="J179" s="58" t="str">
        <f t="shared" si="26"/>
        <v/>
      </c>
      <c r="K179" s="58" t="str">
        <f t="shared" si="29"/>
        <v/>
      </c>
      <c r="L179" s="58" t="str">
        <f t="shared" si="30"/>
        <v/>
      </c>
      <c r="M179" s="58" t="str">
        <f t="shared" si="31"/>
        <v/>
      </c>
      <c r="N179" s="59" t="str">
        <f t="shared" si="27"/>
        <v/>
      </c>
      <c r="O179" s="60"/>
      <c r="P179" s="105"/>
    </row>
    <row r="180" spans="1:16" x14ac:dyDescent="0.3">
      <c r="A180" s="54"/>
      <c r="B180" s="55"/>
      <c r="C180" s="56"/>
      <c r="D180" s="57"/>
      <c r="E180" s="58"/>
      <c r="F180" s="57" t="str">
        <f t="shared" si="23"/>
        <v/>
      </c>
      <c r="G180" s="57" t="str">
        <f t="shared" si="24"/>
        <v/>
      </c>
      <c r="H180" s="57" t="str">
        <f t="shared" si="33"/>
        <v/>
      </c>
      <c r="I180" s="58" t="str">
        <f t="shared" si="28"/>
        <v/>
      </c>
      <c r="J180" s="58" t="str">
        <f t="shared" si="26"/>
        <v/>
      </c>
      <c r="K180" s="58" t="str">
        <f t="shared" si="29"/>
        <v/>
      </c>
      <c r="L180" s="58" t="str">
        <f t="shared" si="30"/>
        <v/>
      </c>
      <c r="M180" s="58" t="str">
        <f t="shared" si="31"/>
        <v/>
      </c>
      <c r="N180" s="59" t="str">
        <f t="shared" si="27"/>
        <v/>
      </c>
      <c r="O180" s="60"/>
      <c r="P180" s="105"/>
    </row>
    <row r="181" spans="1:16" x14ac:dyDescent="0.3">
      <c r="A181" s="54"/>
      <c r="B181" s="55"/>
      <c r="C181" s="56"/>
      <c r="D181" s="57"/>
      <c r="E181" s="58"/>
      <c r="F181" s="57" t="str">
        <f t="shared" si="23"/>
        <v/>
      </c>
      <c r="G181" s="57" t="str">
        <f t="shared" si="24"/>
        <v/>
      </c>
      <c r="H181" s="57" t="str">
        <f t="shared" si="33"/>
        <v/>
      </c>
      <c r="I181" s="58" t="str">
        <f t="shared" si="28"/>
        <v/>
      </c>
      <c r="J181" s="58" t="str">
        <f t="shared" si="26"/>
        <v/>
      </c>
      <c r="K181" s="58" t="str">
        <f t="shared" si="29"/>
        <v/>
      </c>
      <c r="L181" s="58" t="str">
        <f t="shared" si="30"/>
        <v/>
      </c>
      <c r="M181" s="58" t="str">
        <f t="shared" si="31"/>
        <v/>
      </c>
      <c r="N181" s="59" t="str">
        <f t="shared" si="27"/>
        <v/>
      </c>
      <c r="O181" s="60"/>
      <c r="P181" s="105"/>
    </row>
    <row r="182" spans="1:16" x14ac:dyDescent="0.3">
      <c r="A182" s="54"/>
      <c r="B182" s="55"/>
      <c r="C182" s="56"/>
      <c r="D182" s="57"/>
      <c r="E182" s="58"/>
      <c r="F182" s="57" t="str">
        <f t="shared" si="23"/>
        <v/>
      </c>
      <c r="G182" s="57" t="str">
        <f t="shared" si="24"/>
        <v/>
      </c>
      <c r="H182" s="57" t="str">
        <f t="shared" si="33"/>
        <v/>
      </c>
      <c r="I182" s="58" t="str">
        <f t="shared" si="28"/>
        <v/>
      </c>
      <c r="J182" s="58" t="str">
        <f t="shared" si="26"/>
        <v/>
      </c>
      <c r="K182" s="58" t="str">
        <f t="shared" si="29"/>
        <v/>
      </c>
      <c r="L182" s="58" t="str">
        <f t="shared" si="30"/>
        <v/>
      </c>
      <c r="M182" s="58" t="str">
        <f t="shared" si="31"/>
        <v/>
      </c>
      <c r="N182" s="59" t="str">
        <f t="shared" si="27"/>
        <v/>
      </c>
      <c r="O182" s="60"/>
      <c r="P182" s="105"/>
    </row>
    <row r="183" spans="1:16" x14ac:dyDescent="0.3">
      <c r="A183" s="54"/>
      <c r="B183" s="55"/>
      <c r="C183" s="56"/>
      <c r="D183" s="57"/>
      <c r="E183" s="58"/>
      <c r="F183" s="57" t="str">
        <f t="shared" si="23"/>
        <v/>
      </c>
      <c r="G183" s="57" t="str">
        <f t="shared" si="24"/>
        <v/>
      </c>
      <c r="H183" s="57" t="str">
        <f t="shared" si="33"/>
        <v/>
      </c>
      <c r="I183" s="58" t="str">
        <f t="shared" si="28"/>
        <v/>
      </c>
      <c r="J183" s="58" t="str">
        <f t="shared" si="26"/>
        <v/>
      </c>
      <c r="K183" s="58" t="str">
        <f t="shared" si="29"/>
        <v/>
      </c>
      <c r="L183" s="58" t="str">
        <f t="shared" si="30"/>
        <v/>
      </c>
      <c r="M183" s="58" t="str">
        <f t="shared" si="31"/>
        <v/>
      </c>
      <c r="N183" s="59" t="str">
        <f t="shared" si="27"/>
        <v/>
      </c>
      <c r="O183" s="60"/>
      <c r="P183" s="105"/>
    </row>
    <row r="184" spans="1:16" x14ac:dyDescent="0.3">
      <c r="A184" s="54"/>
      <c r="B184" s="55"/>
      <c r="C184" s="56"/>
      <c r="D184" s="57"/>
      <c r="E184" s="58"/>
      <c r="F184" s="57" t="str">
        <f t="shared" si="23"/>
        <v/>
      </c>
      <c r="G184" s="57" t="str">
        <f t="shared" si="24"/>
        <v/>
      </c>
      <c r="H184" s="57" t="str">
        <f t="shared" si="33"/>
        <v/>
      </c>
      <c r="I184" s="58" t="str">
        <f t="shared" si="28"/>
        <v/>
      </c>
      <c r="J184" s="58" t="str">
        <f t="shared" si="26"/>
        <v/>
      </c>
      <c r="K184" s="58" t="str">
        <f t="shared" si="29"/>
        <v/>
      </c>
      <c r="L184" s="58" t="str">
        <f t="shared" si="30"/>
        <v/>
      </c>
      <c r="M184" s="58" t="str">
        <f t="shared" si="31"/>
        <v/>
      </c>
      <c r="N184" s="59" t="str">
        <f t="shared" si="27"/>
        <v/>
      </c>
      <c r="O184" s="60"/>
      <c r="P184" s="105"/>
    </row>
    <row r="185" spans="1:16" x14ac:dyDescent="0.3">
      <c r="A185" s="54"/>
      <c r="B185" s="55"/>
      <c r="C185" s="56"/>
      <c r="D185" s="57"/>
      <c r="E185" s="58"/>
      <c r="F185" s="57" t="str">
        <f t="shared" si="23"/>
        <v/>
      </c>
      <c r="G185" s="57" t="str">
        <f t="shared" si="24"/>
        <v/>
      </c>
      <c r="H185" s="57" t="str">
        <f t="shared" si="33"/>
        <v/>
      </c>
      <c r="I185" s="58" t="str">
        <f t="shared" si="28"/>
        <v/>
      </c>
      <c r="J185" s="58" t="str">
        <f t="shared" si="26"/>
        <v/>
      </c>
      <c r="K185" s="58" t="str">
        <f t="shared" si="29"/>
        <v/>
      </c>
      <c r="L185" s="58" t="str">
        <f t="shared" si="30"/>
        <v/>
      </c>
      <c r="M185" s="58" t="str">
        <f t="shared" si="31"/>
        <v/>
      </c>
      <c r="N185" s="59" t="str">
        <f t="shared" si="27"/>
        <v/>
      </c>
      <c r="O185" s="60"/>
      <c r="P185" s="105"/>
    </row>
    <row r="186" spans="1:16" x14ac:dyDescent="0.3">
      <c r="A186" s="54"/>
      <c r="B186" s="55"/>
      <c r="C186" s="56"/>
      <c r="D186" s="57"/>
      <c r="E186" s="58"/>
      <c r="F186" s="57" t="str">
        <f t="shared" si="23"/>
        <v/>
      </c>
      <c r="G186" s="57" t="str">
        <f t="shared" si="24"/>
        <v/>
      </c>
      <c r="H186" s="57" t="str">
        <f t="shared" si="33"/>
        <v/>
      </c>
      <c r="I186" s="58" t="str">
        <f t="shared" si="28"/>
        <v/>
      </c>
      <c r="J186" s="58" t="str">
        <f t="shared" si="26"/>
        <v/>
      </c>
      <c r="K186" s="58" t="str">
        <f t="shared" si="29"/>
        <v/>
      </c>
      <c r="L186" s="58" t="str">
        <f t="shared" si="30"/>
        <v/>
      </c>
      <c r="M186" s="58" t="str">
        <f t="shared" si="31"/>
        <v/>
      </c>
      <c r="N186" s="59" t="str">
        <f t="shared" si="27"/>
        <v/>
      </c>
      <c r="O186" s="60"/>
      <c r="P186" s="105"/>
    </row>
    <row r="187" spans="1:16" x14ac:dyDescent="0.3">
      <c r="A187" s="54"/>
      <c r="B187" s="55"/>
      <c r="C187" s="56"/>
      <c r="D187" s="57"/>
      <c r="E187" s="58"/>
      <c r="F187" s="57" t="str">
        <f t="shared" si="23"/>
        <v/>
      </c>
      <c r="G187" s="57" t="str">
        <f t="shared" si="24"/>
        <v/>
      </c>
      <c r="H187" s="57" t="str">
        <f t="shared" si="33"/>
        <v/>
      </c>
      <c r="I187" s="58" t="str">
        <f t="shared" si="28"/>
        <v/>
      </c>
      <c r="J187" s="58" t="str">
        <f t="shared" si="26"/>
        <v/>
      </c>
      <c r="K187" s="58" t="str">
        <f t="shared" si="29"/>
        <v/>
      </c>
      <c r="L187" s="58" t="str">
        <f t="shared" si="30"/>
        <v/>
      </c>
      <c r="M187" s="58" t="str">
        <f t="shared" si="31"/>
        <v/>
      </c>
      <c r="N187" s="59" t="str">
        <f t="shared" si="27"/>
        <v/>
      </c>
      <c r="O187" s="60"/>
      <c r="P187" s="105"/>
    </row>
    <row r="188" spans="1:16" x14ac:dyDescent="0.3">
      <c r="A188" s="54"/>
      <c r="B188" s="55"/>
      <c r="C188" s="56"/>
      <c r="D188" s="57"/>
      <c r="E188" s="58"/>
      <c r="F188" s="57" t="str">
        <f t="shared" si="23"/>
        <v/>
      </c>
      <c r="G188" s="57" t="str">
        <f t="shared" si="24"/>
        <v/>
      </c>
      <c r="H188" s="57" t="str">
        <f t="shared" si="33"/>
        <v/>
      </c>
      <c r="I188" s="58" t="str">
        <f t="shared" si="28"/>
        <v/>
      </c>
      <c r="J188" s="58" t="str">
        <f t="shared" si="26"/>
        <v/>
      </c>
      <c r="K188" s="58" t="str">
        <f t="shared" si="29"/>
        <v/>
      </c>
      <c r="L188" s="58" t="str">
        <f t="shared" si="30"/>
        <v/>
      </c>
      <c r="M188" s="58" t="str">
        <f t="shared" si="31"/>
        <v/>
      </c>
      <c r="N188" s="59" t="str">
        <f t="shared" si="27"/>
        <v/>
      </c>
      <c r="O188" s="60"/>
      <c r="P188" s="105"/>
    </row>
    <row r="189" spans="1:16" x14ac:dyDescent="0.3">
      <c r="A189" s="54"/>
      <c r="B189" s="55"/>
      <c r="C189" s="56"/>
      <c r="D189" s="57"/>
      <c r="E189" s="58"/>
      <c r="F189" s="57" t="str">
        <f t="shared" si="23"/>
        <v/>
      </c>
      <c r="G189" s="57" t="str">
        <f t="shared" si="24"/>
        <v/>
      </c>
      <c r="H189" s="57" t="str">
        <f t="shared" si="33"/>
        <v/>
      </c>
      <c r="I189" s="58" t="str">
        <f t="shared" si="28"/>
        <v/>
      </c>
      <c r="J189" s="58" t="str">
        <f t="shared" si="26"/>
        <v/>
      </c>
      <c r="K189" s="58" t="str">
        <f t="shared" si="29"/>
        <v/>
      </c>
      <c r="L189" s="58" t="str">
        <f t="shared" si="30"/>
        <v/>
      </c>
      <c r="M189" s="58" t="str">
        <f t="shared" si="31"/>
        <v/>
      </c>
      <c r="N189" s="59" t="str">
        <f t="shared" si="27"/>
        <v/>
      </c>
      <c r="O189" s="60"/>
      <c r="P189" s="105"/>
    </row>
    <row r="190" spans="1:16" x14ac:dyDescent="0.3">
      <c r="A190" s="54"/>
      <c r="B190" s="55"/>
      <c r="C190" s="56"/>
      <c r="D190" s="57"/>
      <c r="E190" s="58"/>
      <c r="F190" s="57" t="str">
        <f t="shared" si="23"/>
        <v/>
      </c>
      <c r="G190" s="57" t="str">
        <f t="shared" si="24"/>
        <v/>
      </c>
      <c r="H190" s="57" t="str">
        <f t="shared" si="33"/>
        <v/>
      </c>
      <c r="I190" s="58" t="str">
        <f t="shared" si="28"/>
        <v/>
      </c>
      <c r="J190" s="58" t="str">
        <f t="shared" si="26"/>
        <v/>
      </c>
      <c r="K190" s="58" t="str">
        <f t="shared" si="29"/>
        <v/>
      </c>
      <c r="L190" s="58" t="str">
        <f t="shared" si="30"/>
        <v/>
      </c>
      <c r="M190" s="58" t="str">
        <f t="shared" si="31"/>
        <v/>
      </c>
      <c r="N190" s="59" t="str">
        <f t="shared" si="27"/>
        <v/>
      </c>
      <c r="O190" s="60"/>
      <c r="P190" s="105"/>
    </row>
    <row r="191" spans="1:16" x14ac:dyDescent="0.3">
      <c r="A191" s="54"/>
      <c r="B191" s="55"/>
      <c r="C191" s="56"/>
      <c r="D191" s="57"/>
      <c r="E191" s="58"/>
      <c r="F191" s="57" t="str">
        <f t="shared" si="23"/>
        <v/>
      </c>
      <c r="G191" s="57" t="str">
        <f t="shared" si="24"/>
        <v/>
      </c>
      <c r="H191" s="57" t="str">
        <f t="shared" si="33"/>
        <v/>
      </c>
      <c r="I191" s="58" t="str">
        <f t="shared" si="28"/>
        <v/>
      </c>
      <c r="J191" s="58" t="str">
        <f t="shared" si="26"/>
        <v/>
      </c>
      <c r="K191" s="58" t="str">
        <f t="shared" si="29"/>
        <v/>
      </c>
      <c r="L191" s="58" t="str">
        <f t="shared" si="30"/>
        <v/>
      </c>
      <c r="M191" s="58" t="str">
        <f t="shared" si="31"/>
        <v/>
      </c>
      <c r="N191" s="59" t="str">
        <f t="shared" si="27"/>
        <v/>
      </c>
      <c r="O191" s="60"/>
      <c r="P191" s="105"/>
    </row>
    <row r="192" spans="1:16" x14ac:dyDescent="0.3">
      <c r="A192" s="54"/>
      <c r="B192" s="55"/>
      <c r="C192" s="56"/>
      <c r="D192" s="57"/>
      <c r="E192" s="58"/>
      <c r="F192" s="57" t="str">
        <f t="shared" si="23"/>
        <v/>
      </c>
      <c r="G192" s="57" t="str">
        <f t="shared" si="24"/>
        <v/>
      </c>
      <c r="H192" s="57" t="str">
        <f t="shared" si="33"/>
        <v/>
      </c>
      <c r="I192" s="58" t="str">
        <f t="shared" si="28"/>
        <v/>
      </c>
      <c r="J192" s="58" t="str">
        <f t="shared" si="26"/>
        <v/>
      </c>
      <c r="K192" s="58" t="str">
        <f t="shared" si="29"/>
        <v/>
      </c>
      <c r="L192" s="58" t="str">
        <f t="shared" si="30"/>
        <v/>
      </c>
      <c r="M192" s="58" t="str">
        <f t="shared" si="31"/>
        <v/>
      </c>
      <c r="N192" s="59" t="str">
        <f t="shared" si="27"/>
        <v/>
      </c>
      <c r="O192" s="60"/>
      <c r="P192" s="105"/>
    </row>
    <row r="193" spans="1:16" x14ac:dyDescent="0.3">
      <c r="A193" s="54"/>
      <c r="B193" s="55"/>
      <c r="C193" s="56"/>
      <c r="D193" s="57"/>
      <c r="E193" s="58"/>
      <c r="F193" s="57" t="str">
        <f t="shared" si="23"/>
        <v/>
      </c>
      <c r="G193" s="57" t="str">
        <f t="shared" si="24"/>
        <v/>
      </c>
      <c r="H193" s="57" t="str">
        <f t="shared" si="33"/>
        <v/>
      </c>
      <c r="I193" s="58" t="str">
        <f t="shared" si="28"/>
        <v/>
      </c>
      <c r="J193" s="58" t="str">
        <f t="shared" si="26"/>
        <v/>
      </c>
      <c r="K193" s="58" t="str">
        <f t="shared" si="29"/>
        <v/>
      </c>
      <c r="L193" s="58" t="str">
        <f t="shared" si="30"/>
        <v/>
      </c>
      <c r="M193" s="58" t="str">
        <f t="shared" si="31"/>
        <v/>
      </c>
      <c r="N193" s="59" t="str">
        <f t="shared" si="27"/>
        <v/>
      </c>
      <c r="O193" s="60"/>
      <c r="P193" s="105"/>
    </row>
    <row r="194" spans="1:16" x14ac:dyDescent="0.3">
      <c r="A194" s="54"/>
      <c r="B194" s="55"/>
      <c r="C194" s="56"/>
      <c r="D194" s="57"/>
      <c r="E194" s="58"/>
      <c r="F194" s="57" t="str">
        <f t="shared" ref="F194:F257" si="34">IF($A194="","",IF($A194&lt;&gt;$A193,_xlfn.XLOOKUP($A194,$Q$2:$Q$7,$R$2:$R$7,0),K193))</f>
        <v/>
      </c>
      <c r="G194" s="57" t="str">
        <f t="shared" ref="G194:G257" si="35">IF($A194="","",_xlfn.XLOOKUP($A194,$Q$2:$Q$7,$S$2:$S$7,0))</f>
        <v/>
      </c>
      <c r="H194" s="57" t="str">
        <f t="shared" si="33"/>
        <v/>
      </c>
      <c r="I194" s="58" t="str">
        <f t="shared" si="28"/>
        <v/>
      </c>
      <c r="J194" s="58" t="str">
        <f t="shared" ref="J194:J257" si="36">IF($A194="","",MIN($D194,$I194,MAX(0,$E194+$G194-$F194)))</f>
        <v/>
      </c>
      <c r="K194" s="58" t="str">
        <f t="shared" si="29"/>
        <v/>
      </c>
      <c r="L194" s="58" t="str">
        <f t="shared" si="30"/>
        <v/>
      </c>
      <c r="M194" s="58" t="str">
        <f t="shared" si="31"/>
        <v/>
      </c>
      <c r="N194" s="59" t="str">
        <f t="shared" ref="N194:N257" si="37">IF($A194="","",IFERROR(J194/D194,0))</f>
        <v/>
      </c>
      <c r="O194" s="60"/>
      <c r="P194" s="105"/>
    </row>
    <row r="195" spans="1:16" x14ac:dyDescent="0.3">
      <c r="A195" s="54"/>
      <c r="B195" s="55"/>
      <c r="C195" s="56"/>
      <c r="D195" s="57"/>
      <c r="E195" s="58"/>
      <c r="F195" s="57" t="str">
        <f t="shared" si="34"/>
        <v/>
      </c>
      <c r="G195" s="57" t="str">
        <f t="shared" si="35"/>
        <v/>
      </c>
      <c r="H195" s="57" t="str">
        <f t="shared" si="33"/>
        <v/>
      </c>
      <c r="I195" s="58" t="str">
        <f t="shared" ref="I195:I258" si="38">IF($A195="","",MAX(0,E195+H195-F195))</f>
        <v/>
      </c>
      <c r="J195" s="58" t="str">
        <f t="shared" si="36"/>
        <v/>
      </c>
      <c r="K195" s="58" t="str">
        <f t="shared" ref="K195:K258" si="39">IF($A195="","",MIN($G195,MAX(0,$F195+$J195-$E195)))</f>
        <v/>
      </c>
      <c r="L195" s="58" t="str">
        <f t="shared" ref="L195:L258" si="40">IF($A195="","",MAX(0,E195-F195-J195))</f>
        <v/>
      </c>
      <c r="M195" s="58" t="str">
        <f t="shared" ref="M195:M258" si="41">IF($A195="","",MAX(0,F195+J195-E195))</f>
        <v/>
      </c>
      <c r="N195" s="59" t="str">
        <f t="shared" si="37"/>
        <v/>
      </c>
      <c r="O195" s="60"/>
      <c r="P195" s="105"/>
    </row>
    <row r="196" spans="1:16" x14ac:dyDescent="0.3">
      <c r="A196" s="54"/>
      <c r="B196" s="55"/>
      <c r="C196" s="56"/>
      <c r="D196" s="57"/>
      <c r="E196" s="58"/>
      <c r="F196" s="57" t="str">
        <f t="shared" si="34"/>
        <v/>
      </c>
      <c r="G196" s="57" t="str">
        <f t="shared" si="35"/>
        <v/>
      </c>
      <c r="H196" s="57" t="str">
        <f t="shared" si="33"/>
        <v/>
      </c>
      <c r="I196" s="58" t="str">
        <f t="shared" si="38"/>
        <v/>
      </c>
      <c r="J196" s="58" t="str">
        <f t="shared" si="36"/>
        <v/>
      </c>
      <c r="K196" s="58" t="str">
        <f t="shared" si="39"/>
        <v/>
      </c>
      <c r="L196" s="58" t="str">
        <f t="shared" si="40"/>
        <v/>
      </c>
      <c r="M196" s="58" t="str">
        <f t="shared" si="41"/>
        <v/>
      </c>
      <c r="N196" s="59" t="str">
        <f t="shared" si="37"/>
        <v/>
      </c>
      <c r="O196" s="60"/>
      <c r="P196" s="105"/>
    </row>
    <row r="197" spans="1:16" x14ac:dyDescent="0.3">
      <c r="A197" s="54"/>
      <c r="B197" s="55"/>
      <c r="C197" s="56"/>
      <c r="D197" s="57"/>
      <c r="E197" s="58"/>
      <c r="F197" s="57" t="str">
        <f t="shared" si="34"/>
        <v/>
      </c>
      <c r="G197" s="57" t="str">
        <f t="shared" si="35"/>
        <v/>
      </c>
      <c r="H197" s="57" t="str">
        <f t="shared" si="33"/>
        <v/>
      </c>
      <c r="I197" s="58" t="str">
        <f t="shared" si="38"/>
        <v/>
      </c>
      <c r="J197" s="58" t="str">
        <f t="shared" si="36"/>
        <v/>
      </c>
      <c r="K197" s="58" t="str">
        <f t="shared" si="39"/>
        <v/>
      </c>
      <c r="L197" s="58" t="str">
        <f t="shared" si="40"/>
        <v/>
      </c>
      <c r="M197" s="58" t="str">
        <f t="shared" si="41"/>
        <v/>
      </c>
      <c r="N197" s="59" t="str">
        <f t="shared" si="37"/>
        <v/>
      </c>
      <c r="O197" s="60"/>
      <c r="P197" s="105"/>
    </row>
    <row r="198" spans="1:16" x14ac:dyDescent="0.3">
      <c r="A198" s="54"/>
      <c r="B198" s="55"/>
      <c r="C198" s="56"/>
      <c r="D198" s="57"/>
      <c r="E198" s="58"/>
      <c r="F198" s="57" t="str">
        <f t="shared" si="34"/>
        <v/>
      </c>
      <c r="G198" s="57" t="str">
        <f t="shared" si="35"/>
        <v/>
      </c>
      <c r="H198" s="57" t="str">
        <f t="shared" si="33"/>
        <v/>
      </c>
      <c r="I198" s="58" t="str">
        <f t="shared" si="38"/>
        <v/>
      </c>
      <c r="J198" s="58" t="str">
        <f t="shared" si="36"/>
        <v/>
      </c>
      <c r="K198" s="58" t="str">
        <f t="shared" si="39"/>
        <v/>
      </c>
      <c r="L198" s="58" t="str">
        <f t="shared" si="40"/>
        <v/>
      </c>
      <c r="M198" s="58" t="str">
        <f t="shared" si="41"/>
        <v/>
      </c>
      <c r="N198" s="59" t="str">
        <f t="shared" si="37"/>
        <v/>
      </c>
      <c r="O198" s="60"/>
      <c r="P198" s="105"/>
    </row>
    <row r="199" spans="1:16" x14ac:dyDescent="0.3">
      <c r="A199" s="54"/>
      <c r="B199" s="55"/>
      <c r="C199" s="56"/>
      <c r="D199" s="57"/>
      <c r="E199" s="58"/>
      <c r="F199" s="57" t="str">
        <f t="shared" si="34"/>
        <v/>
      </c>
      <c r="G199" s="57" t="str">
        <f t="shared" si="35"/>
        <v/>
      </c>
      <c r="H199" s="57" t="str">
        <f t="shared" si="33"/>
        <v/>
      </c>
      <c r="I199" s="58" t="str">
        <f t="shared" si="38"/>
        <v/>
      </c>
      <c r="J199" s="58" t="str">
        <f t="shared" si="36"/>
        <v/>
      </c>
      <c r="K199" s="58" t="str">
        <f t="shared" si="39"/>
        <v/>
      </c>
      <c r="L199" s="58" t="str">
        <f t="shared" si="40"/>
        <v/>
      </c>
      <c r="M199" s="58" t="str">
        <f t="shared" si="41"/>
        <v/>
      </c>
      <c r="N199" s="59" t="str">
        <f t="shared" si="37"/>
        <v/>
      </c>
      <c r="O199" s="60"/>
      <c r="P199" s="105"/>
    </row>
    <row r="200" spans="1:16" x14ac:dyDescent="0.3">
      <c r="A200" s="54"/>
      <c r="B200" s="55"/>
      <c r="C200" s="56"/>
      <c r="D200" s="57"/>
      <c r="E200" s="58"/>
      <c r="F200" s="57" t="str">
        <f t="shared" si="34"/>
        <v/>
      </c>
      <c r="G200" s="57" t="str">
        <f t="shared" si="35"/>
        <v/>
      </c>
      <c r="H200" s="57" t="str">
        <f t="shared" si="33"/>
        <v/>
      </c>
      <c r="I200" s="58" t="str">
        <f t="shared" si="38"/>
        <v/>
      </c>
      <c r="J200" s="58" t="str">
        <f t="shared" si="36"/>
        <v/>
      </c>
      <c r="K200" s="58" t="str">
        <f t="shared" si="39"/>
        <v/>
      </c>
      <c r="L200" s="58" t="str">
        <f t="shared" si="40"/>
        <v/>
      </c>
      <c r="M200" s="58" t="str">
        <f t="shared" si="41"/>
        <v/>
      </c>
      <c r="N200" s="59" t="str">
        <f t="shared" si="37"/>
        <v/>
      </c>
      <c r="O200" s="60"/>
      <c r="P200" s="105"/>
    </row>
    <row r="201" spans="1:16" x14ac:dyDescent="0.3">
      <c r="A201" s="54"/>
      <c r="B201" s="55"/>
      <c r="C201" s="56"/>
      <c r="D201" s="57"/>
      <c r="E201" s="58"/>
      <c r="F201" s="57" t="str">
        <f t="shared" si="34"/>
        <v/>
      </c>
      <c r="G201" s="57" t="str">
        <f t="shared" si="35"/>
        <v/>
      </c>
      <c r="H201" s="57" t="str">
        <f t="shared" si="33"/>
        <v/>
      </c>
      <c r="I201" s="58" t="str">
        <f t="shared" si="38"/>
        <v/>
      </c>
      <c r="J201" s="58" t="str">
        <f t="shared" si="36"/>
        <v/>
      </c>
      <c r="K201" s="58" t="str">
        <f t="shared" si="39"/>
        <v/>
      </c>
      <c r="L201" s="58" t="str">
        <f t="shared" si="40"/>
        <v/>
      </c>
      <c r="M201" s="58" t="str">
        <f t="shared" si="41"/>
        <v/>
      </c>
      <c r="N201" s="59" t="str">
        <f t="shared" si="37"/>
        <v/>
      </c>
      <c r="O201" s="60"/>
      <c r="P201" s="105"/>
    </row>
    <row r="202" spans="1:16" x14ac:dyDescent="0.3">
      <c r="A202" s="54"/>
      <c r="B202" s="55"/>
      <c r="C202" s="56"/>
      <c r="D202" s="57"/>
      <c r="E202" s="58"/>
      <c r="F202" s="57" t="str">
        <f t="shared" si="34"/>
        <v/>
      </c>
      <c r="G202" s="57" t="str">
        <f t="shared" si="35"/>
        <v/>
      </c>
      <c r="H202" s="57" t="str">
        <f t="shared" si="33"/>
        <v/>
      </c>
      <c r="I202" s="58" t="str">
        <f t="shared" si="38"/>
        <v/>
      </c>
      <c r="J202" s="58" t="str">
        <f t="shared" si="36"/>
        <v/>
      </c>
      <c r="K202" s="58" t="str">
        <f t="shared" si="39"/>
        <v/>
      </c>
      <c r="L202" s="58" t="str">
        <f t="shared" si="40"/>
        <v/>
      </c>
      <c r="M202" s="58" t="str">
        <f t="shared" si="41"/>
        <v/>
      </c>
      <c r="N202" s="59" t="str">
        <f t="shared" si="37"/>
        <v/>
      </c>
      <c r="O202" s="60"/>
      <c r="P202" s="105"/>
    </row>
    <row r="203" spans="1:16" x14ac:dyDescent="0.3">
      <c r="A203" s="54"/>
      <c r="B203" s="55"/>
      <c r="C203" s="56"/>
      <c r="D203" s="57"/>
      <c r="E203" s="58"/>
      <c r="F203" s="57" t="str">
        <f t="shared" si="34"/>
        <v/>
      </c>
      <c r="G203" s="57" t="str">
        <f t="shared" si="35"/>
        <v/>
      </c>
      <c r="H203" s="57" t="str">
        <f t="shared" si="33"/>
        <v/>
      </c>
      <c r="I203" s="58" t="str">
        <f t="shared" si="38"/>
        <v/>
      </c>
      <c r="J203" s="58" t="str">
        <f t="shared" si="36"/>
        <v/>
      </c>
      <c r="K203" s="58" t="str">
        <f t="shared" si="39"/>
        <v/>
      </c>
      <c r="L203" s="58" t="str">
        <f t="shared" si="40"/>
        <v/>
      </c>
      <c r="M203" s="58" t="str">
        <f t="shared" si="41"/>
        <v/>
      </c>
      <c r="N203" s="59" t="str">
        <f t="shared" si="37"/>
        <v/>
      </c>
      <c r="O203" s="60"/>
      <c r="P203" s="105"/>
    </row>
    <row r="204" spans="1:16" x14ac:dyDescent="0.3">
      <c r="A204" s="54"/>
      <c r="B204" s="55"/>
      <c r="C204" s="56"/>
      <c r="D204" s="57"/>
      <c r="E204" s="58"/>
      <c r="F204" s="57" t="str">
        <f t="shared" si="34"/>
        <v/>
      </c>
      <c r="G204" s="57" t="str">
        <f t="shared" si="35"/>
        <v/>
      </c>
      <c r="H204" s="57" t="str">
        <f t="shared" si="33"/>
        <v/>
      </c>
      <c r="I204" s="58" t="str">
        <f t="shared" si="38"/>
        <v/>
      </c>
      <c r="J204" s="58" t="str">
        <f t="shared" si="36"/>
        <v/>
      </c>
      <c r="K204" s="58" t="str">
        <f t="shared" si="39"/>
        <v/>
      </c>
      <c r="L204" s="58" t="str">
        <f t="shared" si="40"/>
        <v/>
      </c>
      <c r="M204" s="58" t="str">
        <f t="shared" si="41"/>
        <v/>
      </c>
      <c r="N204" s="59" t="str">
        <f t="shared" si="37"/>
        <v/>
      </c>
      <c r="O204" s="60"/>
      <c r="P204" s="105"/>
    </row>
    <row r="205" spans="1:16" x14ac:dyDescent="0.3">
      <c r="A205" s="54"/>
      <c r="B205" s="55"/>
      <c r="C205" s="56"/>
      <c r="D205" s="57"/>
      <c r="E205" s="58"/>
      <c r="F205" s="57" t="str">
        <f t="shared" si="34"/>
        <v/>
      </c>
      <c r="G205" s="57" t="str">
        <f t="shared" si="35"/>
        <v/>
      </c>
      <c r="H205" s="57" t="str">
        <f t="shared" si="33"/>
        <v/>
      </c>
      <c r="I205" s="58" t="str">
        <f t="shared" si="38"/>
        <v/>
      </c>
      <c r="J205" s="58" t="str">
        <f t="shared" si="36"/>
        <v/>
      </c>
      <c r="K205" s="58" t="str">
        <f t="shared" si="39"/>
        <v/>
      </c>
      <c r="L205" s="58" t="str">
        <f t="shared" si="40"/>
        <v/>
      </c>
      <c r="M205" s="58" t="str">
        <f t="shared" si="41"/>
        <v/>
      </c>
      <c r="N205" s="59" t="str">
        <f t="shared" si="37"/>
        <v/>
      </c>
      <c r="O205" s="60"/>
      <c r="P205" s="105"/>
    </row>
    <row r="206" spans="1:16" x14ac:dyDescent="0.3">
      <c r="A206" s="54"/>
      <c r="B206" s="55"/>
      <c r="C206" s="56"/>
      <c r="D206" s="57"/>
      <c r="E206" s="58"/>
      <c r="F206" s="57" t="str">
        <f t="shared" si="34"/>
        <v/>
      </c>
      <c r="G206" s="57" t="str">
        <f t="shared" si="35"/>
        <v/>
      </c>
      <c r="H206" s="57" t="str">
        <f t="shared" si="33"/>
        <v/>
      </c>
      <c r="I206" s="58" t="str">
        <f t="shared" si="38"/>
        <v/>
      </c>
      <c r="J206" s="58" t="str">
        <f t="shared" si="36"/>
        <v/>
      </c>
      <c r="K206" s="58" t="str">
        <f t="shared" si="39"/>
        <v/>
      </c>
      <c r="L206" s="58" t="str">
        <f t="shared" si="40"/>
        <v/>
      </c>
      <c r="M206" s="58" t="str">
        <f t="shared" si="41"/>
        <v/>
      </c>
      <c r="N206" s="59" t="str">
        <f t="shared" si="37"/>
        <v/>
      </c>
      <c r="O206" s="60"/>
      <c r="P206" s="105"/>
    </row>
    <row r="207" spans="1:16" x14ac:dyDescent="0.3">
      <c r="A207" s="54"/>
      <c r="B207" s="55"/>
      <c r="C207" s="56"/>
      <c r="D207" s="57"/>
      <c r="E207" s="58"/>
      <c r="F207" s="57" t="str">
        <f t="shared" si="34"/>
        <v/>
      </c>
      <c r="G207" s="57" t="str">
        <f t="shared" si="35"/>
        <v/>
      </c>
      <c r="H207" s="57" t="str">
        <f t="shared" si="33"/>
        <v/>
      </c>
      <c r="I207" s="58" t="str">
        <f t="shared" si="38"/>
        <v/>
      </c>
      <c r="J207" s="58" t="str">
        <f t="shared" si="36"/>
        <v/>
      </c>
      <c r="K207" s="58" t="str">
        <f t="shared" si="39"/>
        <v/>
      </c>
      <c r="L207" s="58" t="str">
        <f t="shared" si="40"/>
        <v/>
      </c>
      <c r="M207" s="58" t="str">
        <f t="shared" si="41"/>
        <v/>
      </c>
      <c r="N207" s="59" t="str">
        <f t="shared" si="37"/>
        <v/>
      </c>
      <c r="O207" s="60"/>
      <c r="P207" s="105"/>
    </row>
    <row r="208" spans="1:16" x14ac:dyDescent="0.3">
      <c r="A208" s="54"/>
      <c r="B208" s="55"/>
      <c r="C208" s="56"/>
      <c r="D208" s="57"/>
      <c r="E208" s="58"/>
      <c r="F208" s="57" t="str">
        <f t="shared" si="34"/>
        <v/>
      </c>
      <c r="G208" s="57" t="str">
        <f t="shared" si="35"/>
        <v/>
      </c>
      <c r="H208" s="57" t="str">
        <f t="shared" si="33"/>
        <v/>
      </c>
      <c r="I208" s="58" t="str">
        <f t="shared" si="38"/>
        <v/>
      </c>
      <c r="J208" s="58" t="str">
        <f t="shared" si="36"/>
        <v/>
      </c>
      <c r="K208" s="58" t="str">
        <f t="shared" si="39"/>
        <v/>
      </c>
      <c r="L208" s="58" t="str">
        <f t="shared" si="40"/>
        <v/>
      </c>
      <c r="M208" s="58" t="str">
        <f t="shared" si="41"/>
        <v/>
      </c>
      <c r="N208" s="59" t="str">
        <f t="shared" si="37"/>
        <v/>
      </c>
      <c r="O208" s="60"/>
      <c r="P208" s="105"/>
    </row>
    <row r="209" spans="1:16" x14ac:dyDescent="0.3">
      <c r="A209" s="54"/>
      <c r="B209" s="55"/>
      <c r="C209" s="56"/>
      <c r="D209" s="57"/>
      <c r="E209" s="58"/>
      <c r="F209" s="57" t="str">
        <f t="shared" si="34"/>
        <v/>
      </c>
      <c r="G209" s="57" t="str">
        <f t="shared" si="35"/>
        <v/>
      </c>
      <c r="H209" s="57" t="str">
        <f t="shared" si="33"/>
        <v/>
      </c>
      <c r="I209" s="58" t="str">
        <f t="shared" si="38"/>
        <v/>
      </c>
      <c r="J209" s="58" t="str">
        <f t="shared" si="36"/>
        <v/>
      </c>
      <c r="K209" s="58" t="str">
        <f t="shared" si="39"/>
        <v/>
      </c>
      <c r="L209" s="58" t="str">
        <f t="shared" si="40"/>
        <v/>
      </c>
      <c r="M209" s="58" t="str">
        <f t="shared" si="41"/>
        <v/>
      </c>
      <c r="N209" s="59" t="str">
        <f t="shared" si="37"/>
        <v/>
      </c>
      <c r="O209" s="60"/>
      <c r="P209" s="105"/>
    </row>
    <row r="210" spans="1:16" x14ac:dyDescent="0.3">
      <c r="A210" s="54"/>
      <c r="B210" s="55"/>
      <c r="C210" s="56"/>
      <c r="D210" s="57"/>
      <c r="E210" s="58"/>
      <c r="F210" s="57" t="str">
        <f t="shared" si="34"/>
        <v/>
      </c>
      <c r="G210" s="57" t="str">
        <f t="shared" si="35"/>
        <v/>
      </c>
      <c r="H210" s="57" t="str">
        <f t="shared" si="33"/>
        <v/>
      </c>
      <c r="I210" s="58" t="str">
        <f t="shared" si="38"/>
        <v/>
      </c>
      <c r="J210" s="58" t="str">
        <f t="shared" si="36"/>
        <v/>
      </c>
      <c r="K210" s="58" t="str">
        <f t="shared" si="39"/>
        <v/>
      </c>
      <c r="L210" s="58" t="str">
        <f t="shared" si="40"/>
        <v/>
      </c>
      <c r="M210" s="58" t="str">
        <f t="shared" si="41"/>
        <v/>
      </c>
      <c r="N210" s="59" t="str">
        <f t="shared" si="37"/>
        <v/>
      </c>
      <c r="O210" s="60"/>
      <c r="P210" s="105"/>
    </row>
    <row r="211" spans="1:16" x14ac:dyDescent="0.3">
      <c r="A211" s="54"/>
      <c r="B211" s="55"/>
      <c r="C211" s="56"/>
      <c r="D211" s="57"/>
      <c r="E211" s="58"/>
      <c r="F211" s="57" t="str">
        <f t="shared" si="34"/>
        <v/>
      </c>
      <c r="G211" s="57" t="str">
        <f t="shared" si="35"/>
        <v/>
      </c>
      <c r="H211" s="57" t="str">
        <f t="shared" si="33"/>
        <v/>
      </c>
      <c r="I211" s="58" t="str">
        <f t="shared" si="38"/>
        <v/>
      </c>
      <c r="J211" s="58" t="str">
        <f t="shared" si="36"/>
        <v/>
      </c>
      <c r="K211" s="58" t="str">
        <f t="shared" si="39"/>
        <v/>
      </c>
      <c r="L211" s="58" t="str">
        <f t="shared" si="40"/>
        <v/>
      </c>
      <c r="M211" s="58" t="str">
        <f t="shared" si="41"/>
        <v/>
      </c>
      <c r="N211" s="59" t="str">
        <f t="shared" si="37"/>
        <v/>
      </c>
      <c r="O211" s="60"/>
      <c r="P211" s="105"/>
    </row>
    <row r="212" spans="1:16" x14ac:dyDescent="0.3">
      <c r="A212" s="54"/>
      <c r="B212" s="55"/>
      <c r="C212" s="56"/>
      <c r="D212" s="57"/>
      <c r="E212" s="58"/>
      <c r="F212" s="57" t="str">
        <f t="shared" si="34"/>
        <v/>
      </c>
      <c r="G212" s="57" t="str">
        <f t="shared" si="35"/>
        <v/>
      </c>
      <c r="H212" s="57" t="str">
        <f t="shared" si="33"/>
        <v/>
      </c>
      <c r="I212" s="58" t="str">
        <f t="shared" si="38"/>
        <v/>
      </c>
      <c r="J212" s="58" t="str">
        <f t="shared" si="36"/>
        <v/>
      </c>
      <c r="K212" s="58" t="str">
        <f t="shared" si="39"/>
        <v/>
      </c>
      <c r="L212" s="58" t="str">
        <f t="shared" si="40"/>
        <v/>
      </c>
      <c r="M212" s="58" t="str">
        <f t="shared" si="41"/>
        <v/>
      </c>
      <c r="N212" s="59" t="str">
        <f t="shared" si="37"/>
        <v/>
      </c>
      <c r="O212" s="60"/>
      <c r="P212" s="105"/>
    </row>
    <row r="213" spans="1:16" x14ac:dyDescent="0.3">
      <c r="A213" s="54"/>
      <c r="B213" s="55"/>
      <c r="C213" s="56"/>
      <c r="D213" s="57"/>
      <c r="E213" s="58"/>
      <c r="F213" s="57" t="str">
        <f t="shared" si="34"/>
        <v/>
      </c>
      <c r="G213" s="57" t="str">
        <f t="shared" si="35"/>
        <v/>
      </c>
      <c r="H213" s="57" t="str">
        <f t="shared" si="33"/>
        <v/>
      </c>
      <c r="I213" s="58" t="str">
        <f t="shared" si="38"/>
        <v/>
      </c>
      <c r="J213" s="58" t="str">
        <f t="shared" si="36"/>
        <v/>
      </c>
      <c r="K213" s="58" t="str">
        <f t="shared" si="39"/>
        <v/>
      </c>
      <c r="L213" s="58" t="str">
        <f t="shared" si="40"/>
        <v/>
      </c>
      <c r="M213" s="58" t="str">
        <f t="shared" si="41"/>
        <v/>
      </c>
      <c r="N213" s="59" t="str">
        <f t="shared" si="37"/>
        <v/>
      </c>
      <c r="O213" s="60"/>
      <c r="P213" s="105"/>
    </row>
    <row r="214" spans="1:16" x14ac:dyDescent="0.3">
      <c r="A214" s="54"/>
      <c r="B214" s="55"/>
      <c r="C214" s="56"/>
      <c r="D214" s="57"/>
      <c r="E214" s="58"/>
      <c r="F214" s="57" t="str">
        <f t="shared" si="34"/>
        <v/>
      </c>
      <c r="G214" s="57" t="str">
        <f t="shared" si="35"/>
        <v/>
      </c>
      <c r="H214" s="57" t="str">
        <f t="shared" si="33"/>
        <v/>
      </c>
      <c r="I214" s="58" t="str">
        <f t="shared" si="38"/>
        <v/>
      </c>
      <c r="J214" s="58" t="str">
        <f t="shared" si="36"/>
        <v/>
      </c>
      <c r="K214" s="58" t="str">
        <f t="shared" si="39"/>
        <v/>
      </c>
      <c r="L214" s="58" t="str">
        <f t="shared" si="40"/>
        <v/>
      </c>
      <c r="M214" s="58" t="str">
        <f t="shared" si="41"/>
        <v/>
      </c>
      <c r="N214" s="59" t="str">
        <f t="shared" si="37"/>
        <v/>
      </c>
      <c r="O214" s="60"/>
      <c r="P214" s="105"/>
    </row>
    <row r="215" spans="1:16" x14ac:dyDescent="0.3">
      <c r="A215" s="54"/>
      <c r="B215" s="55"/>
      <c r="C215" s="56"/>
      <c r="D215" s="57"/>
      <c r="E215" s="58"/>
      <c r="F215" s="57" t="str">
        <f t="shared" si="34"/>
        <v/>
      </c>
      <c r="G215" s="57" t="str">
        <f t="shared" si="35"/>
        <v/>
      </c>
      <c r="H215" s="57" t="str">
        <f t="shared" si="33"/>
        <v/>
      </c>
      <c r="I215" s="58" t="str">
        <f t="shared" si="38"/>
        <v/>
      </c>
      <c r="J215" s="58" t="str">
        <f t="shared" si="36"/>
        <v/>
      </c>
      <c r="K215" s="58" t="str">
        <f t="shared" si="39"/>
        <v/>
      </c>
      <c r="L215" s="58" t="str">
        <f t="shared" si="40"/>
        <v/>
      </c>
      <c r="M215" s="58" t="str">
        <f t="shared" si="41"/>
        <v/>
      </c>
      <c r="N215" s="59" t="str">
        <f t="shared" si="37"/>
        <v/>
      </c>
      <c r="O215" s="60"/>
      <c r="P215" s="105"/>
    </row>
    <row r="216" spans="1:16" x14ac:dyDescent="0.3">
      <c r="A216" s="54"/>
      <c r="B216" s="55"/>
      <c r="C216" s="56"/>
      <c r="D216" s="57"/>
      <c r="E216" s="58"/>
      <c r="F216" s="57" t="str">
        <f t="shared" si="34"/>
        <v/>
      </c>
      <c r="G216" s="57" t="str">
        <f t="shared" si="35"/>
        <v/>
      </c>
      <c r="H216" s="57" t="str">
        <f t="shared" si="33"/>
        <v/>
      </c>
      <c r="I216" s="58" t="str">
        <f t="shared" si="38"/>
        <v/>
      </c>
      <c r="J216" s="58" t="str">
        <f t="shared" si="36"/>
        <v/>
      </c>
      <c r="K216" s="58" t="str">
        <f t="shared" si="39"/>
        <v/>
      </c>
      <c r="L216" s="58" t="str">
        <f t="shared" si="40"/>
        <v/>
      </c>
      <c r="M216" s="58" t="str">
        <f t="shared" si="41"/>
        <v/>
      </c>
      <c r="N216" s="59" t="str">
        <f t="shared" si="37"/>
        <v/>
      </c>
      <c r="O216" s="60"/>
      <c r="P216" s="105"/>
    </row>
    <row r="217" spans="1:16" x14ac:dyDescent="0.3">
      <c r="A217" s="54"/>
      <c r="B217" s="55"/>
      <c r="C217" s="56"/>
      <c r="D217" s="57"/>
      <c r="E217" s="58"/>
      <c r="F217" s="57" t="str">
        <f t="shared" si="34"/>
        <v/>
      </c>
      <c r="G217" s="57" t="str">
        <f t="shared" si="35"/>
        <v/>
      </c>
      <c r="H217" s="57" t="str">
        <f t="shared" si="33"/>
        <v/>
      </c>
      <c r="I217" s="58" t="str">
        <f t="shared" si="38"/>
        <v/>
      </c>
      <c r="J217" s="58" t="str">
        <f t="shared" si="36"/>
        <v/>
      </c>
      <c r="K217" s="58" t="str">
        <f t="shared" si="39"/>
        <v/>
      </c>
      <c r="L217" s="58" t="str">
        <f t="shared" si="40"/>
        <v/>
      </c>
      <c r="M217" s="58" t="str">
        <f t="shared" si="41"/>
        <v/>
      </c>
      <c r="N217" s="59" t="str">
        <f t="shared" si="37"/>
        <v/>
      </c>
      <c r="O217" s="60"/>
      <c r="P217" s="105"/>
    </row>
    <row r="218" spans="1:16" x14ac:dyDescent="0.3">
      <c r="A218" s="54"/>
      <c r="B218" s="55"/>
      <c r="C218" s="56"/>
      <c r="D218" s="57"/>
      <c r="E218" s="58"/>
      <c r="F218" s="57" t="str">
        <f t="shared" si="34"/>
        <v/>
      </c>
      <c r="G218" s="57" t="str">
        <f t="shared" si="35"/>
        <v/>
      </c>
      <c r="H218" s="57" t="str">
        <f t="shared" si="33"/>
        <v/>
      </c>
      <c r="I218" s="58" t="str">
        <f t="shared" si="38"/>
        <v/>
      </c>
      <c r="J218" s="58" t="str">
        <f t="shared" si="36"/>
        <v/>
      </c>
      <c r="K218" s="58" t="str">
        <f t="shared" si="39"/>
        <v/>
      </c>
      <c r="L218" s="58" t="str">
        <f t="shared" si="40"/>
        <v/>
      </c>
      <c r="M218" s="58" t="str">
        <f t="shared" si="41"/>
        <v/>
      </c>
      <c r="N218" s="59" t="str">
        <f t="shared" si="37"/>
        <v/>
      </c>
      <c r="O218" s="60"/>
      <c r="P218" s="105"/>
    </row>
    <row r="219" spans="1:16" x14ac:dyDescent="0.3">
      <c r="A219" s="54"/>
      <c r="B219" s="55"/>
      <c r="C219" s="56"/>
      <c r="D219" s="57"/>
      <c r="E219" s="58"/>
      <c r="F219" s="57" t="str">
        <f t="shared" si="34"/>
        <v/>
      </c>
      <c r="G219" s="57" t="str">
        <f t="shared" si="35"/>
        <v/>
      </c>
      <c r="H219" s="57" t="str">
        <f t="shared" si="33"/>
        <v/>
      </c>
      <c r="I219" s="58" t="str">
        <f t="shared" si="38"/>
        <v/>
      </c>
      <c r="J219" s="58" t="str">
        <f t="shared" si="36"/>
        <v/>
      </c>
      <c r="K219" s="58" t="str">
        <f t="shared" si="39"/>
        <v/>
      </c>
      <c r="L219" s="58" t="str">
        <f t="shared" si="40"/>
        <v/>
      </c>
      <c r="M219" s="58" t="str">
        <f t="shared" si="41"/>
        <v/>
      </c>
      <c r="N219" s="59" t="str">
        <f t="shared" si="37"/>
        <v/>
      </c>
      <c r="O219" s="60"/>
      <c r="P219" s="105"/>
    </row>
    <row r="220" spans="1:16" x14ac:dyDescent="0.3">
      <c r="A220" s="54"/>
      <c r="B220" s="55"/>
      <c r="C220" s="56"/>
      <c r="D220" s="57"/>
      <c r="E220" s="58"/>
      <c r="F220" s="57" t="str">
        <f t="shared" si="34"/>
        <v/>
      </c>
      <c r="G220" s="57" t="str">
        <f t="shared" si="35"/>
        <v/>
      </c>
      <c r="H220" s="57" t="str">
        <f t="shared" si="33"/>
        <v/>
      </c>
      <c r="I220" s="58" t="str">
        <f t="shared" si="38"/>
        <v/>
      </c>
      <c r="J220" s="58" t="str">
        <f t="shared" si="36"/>
        <v/>
      </c>
      <c r="K220" s="58" t="str">
        <f t="shared" si="39"/>
        <v/>
      </c>
      <c r="L220" s="58" t="str">
        <f t="shared" si="40"/>
        <v/>
      </c>
      <c r="M220" s="58" t="str">
        <f t="shared" si="41"/>
        <v/>
      </c>
      <c r="N220" s="59" t="str">
        <f t="shared" si="37"/>
        <v/>
      </c>
      <c r="O220" s="60"/>
      <c r="P220" s="105"/>
    </row>
    <row r="221" spans="1:16" x14ac:dyDescent="0.3">
      <c r="A221" s="54"/>
      <c r="B221" s="55"/>
      <c r="C221" s="56"/>
      <c r="D221" s="57"/>
      <c r="E221" s="58"/>
      <c r="F221" s="57" t="str">
        <f t="shared" si="34"/>
        <v/>
      </c>
      <c r="G221" s="57" t="str">
        <f t="shared" si="35"/>
        <v/>
      </c>
      <c r="H221" s="57" t="str">
        <f t="shared" si="33"/>
        <v/>
      </c>
      <c r="I221" s="58" t="str">
        <f t="shared" si="38"/>
        <v/>
      </c>
      <c r="J221" s="58" t="str">
        <f t="shared" si="36"/>
        <v/>
      </c>
      <c r="K221" s="58" t="str">
        <f t="shared" si="39"/>
        <v/>
      </c>
      <c r="L221" s="58" t="str">
        <f t="shared" si="40"/>
        <v/>
      </c>
      <c r="M221" s="58" t="str">
        <f t="shared" si="41"/>
        <v/>
      </c>
      <c r="N221" s="59" t="str">
        <f t="shared" si="37"/>
        <v/>
      </c>
      <c r="O221" s="60"/>
      <c r="P221" s="105"/>
    </row>
    <row r="222" spans="1:16" x14ac:dyDescent="0.3">
      <c r="A222" s="54"/>
      <c r="B222" s="55"/>
      <c r="C222" s="56"/>
      <c r="D222" s="57"/>
      <c r="E222" s="58"/>
      <c r="F222" s="57" t="str">
        <f t="shared" si="34"/>
        <v/>
      </c>
      <c r="G222" s="57" t="str">
        <f t="shared" si="35"/>
        <v/>
      </c>
      <c r="H222" s="57" t="str">
        <f t="shared" si="33"/>
        <v/>
      </c>
      <c r="I222" s="58" t="str">
        <f t="shared" si="38"/>
        <v/>
      </c>
      <c r="J222" s="58" t="str">
        <f t="shared" si="36"/>
        <v/>
      </c>
      <c r="K222" s="58" t="str">
        <f t="shared" si="39"/>
        <v/>
      </c>
      <c r="L222" s="58" t="str">
        <f t="shared" si="40"/>
        <v/>
      </c>
      <c r="M222" s="58" t="str">
        <f t="shared" si="41"/>
        <v/>
      </c>
      <c r="N222" s="59" t="str">
        <f t="shared" si="37"/>
        <v/>
      </c>
      <c r="O222" s="60"/>
      <c r="P222" s="105"/>
    </row>
    <row r="223" spans="1:16" x14ac:dyDescent="0.3">
      <c r="A223" s="54"/>
      <c r="B223" s="55"/>
      <c r="C223" s="56"/>
      <c r="D223" s="57"/>
      <c r="E223" s="58"/>
      <c r="F223" s="57" t="str">
        <f t="shared" si="34"/>
        <v/>
      </c>
      <c r="G223" s="57" t="str">
        <f t="shared" si="35"/>
        <v/>
      </c>
      <c r="H223" s="57" t="str">
        <f t="shared" si="33"/>
        <v/>
      </c>
      <c r="I223" s="58" t="str">
        <f t="shared" si="38"/>
        <v/>
      </c>
      <c r="J223" s="58" t="str">
        <f t="shared" si="36"/>
        <v/>
      </c>
      <c r="K223" s="58" t="str">
        <f t="shared" si="39"/>
        <v/>
      </c>
      <c r="L223" s="58" t="str">
        <f t="shared" si="40"/>
        <v/>
      </c>
      <c r="M223" s="58" t="str">
        <f t="shared" si="41"/>
        <v/>
      </c>
      <c r="N223" s="59" t="str">
        <f t="shared" si="37"/>
        <v/>
      </c>
      <c r="O223" s="60"/>
      <c r="P223" s="105"/>
    </row>
    <row r="224" spans="1:16" x14ac:dyDescent="0.3">
      <c r="A224" s="54"/>
      <c r="B224" s="55"/>
      <c r="C224" s="56"/>
      <c r="D224" s="57"/>
      <c r="E224" s="58"/>
      <c r="F224" s="57" t="str">
        <f t="shared" si="34"/>
        <v/>
      </c>
      <c r="G224" s="57" t="str">
        <f t="shared" si="35"/>
        <v/>
      </c>
      <c r="H224" s="57" t="str">
        <f t="shared" si="33"/>
        <v/>
      </c>
      <c r="I224" s="58" t="str">
        <f t="shared" si="38"/>
        <v/>
      </c>
      <c r="J224" s="58" t="str">
        <f t="shared" si="36"/>
        <v/>
      </c>
      <c r="K224" s="58" t="str">
        <f t="shared" si="39"/>
        <v/>
      </c>
      <c r="L224" s="58" t="str">
        <f t="shared" si="40"/>
        <v/>
      </c>
      <c r="M224" s="58" t="str">
        <f t="shared" si="41"/>
        <v/>
      </c>
      <c r="N224" s="59" t="str">
        <f t="shared" si="37"/>
        <v/>
      </c>
      <c r="O224" s="60"/>
      <c r="P224" s="105"/>
    </row>
    <row r="225" spans="1:16" x14ac:dyDescent="0.3">
      <c r="A225" s="54"/>
      <c r="B225" s="55"/>
      <c r="C225" s="56"/>
      <c r="D225" s="57"/>
      <c r="E225" s="58"/>
      <c r="F225" s="57" t="str">
        <f t="shared" si="34"/>
        <v/>
      </c>
      <c r="G225" s="57" t="str">
        <f t="shared" si="35"/>
        <v/>
      </c>
      <c r="H225" s="57" t="str">
        <f t="shared" si="33"/>
        <v/>
      </c>
      <c r="I225" s="58" t="str">
        <f t="shared" si="38"/>
        <v/>
      </c>
      <c r="J225" s="58" t="str">
        <f t="shared" si="36"/>
        <v/>
      </c>
      <c r="K225" s="58" t="str">
        <f t="shared" si="39"/>
        <v/>
      </c>
      <c r="L225" s="58" t="str">
        <f t="shared" si="40"/>
        <v/>
      </c>
      <c r="M225" s="58" t="str">
        <f t="shared" si="41"/>
        <v/>
      </c>
      <c r="N225" s="59" t="str">
        <f t="shared" si="37"/>
        <v/>
      </c>
      <c r="O225" s="60"/>
      <c r="P225" s="105"/>
    </row>
    <row r="226" spans="1:16" x14ac:dyDescent="0.3">
      <c r="A226" s="54"/>
      <c r="B226" s="55"/>
      <c r="C226" s="56"/>
      <c r="D226" s="57"/>
      <c r="E226" s="58"/>
      <c r="F226" s="57" t="str">
        <f t="shared" si="34"/>
        <v/>
      </c>
      <c r="G226" s="57" t="str">
        <f t="shared" si="35"/>
        <v/>
      </c>
      <c r="H226" s="57" t="str">
        <f t="shared" si="33"/>
        <v/>
      </c>
      <c r="I226" s="58" t="str">
        <f t="shared" si="38"/>
        <v/>
      </c>
      <c r="J226" s="58" t="str">
        <f t="shared" si="36"/>
        <v/>
      </c>
      <c r="K226" s="58" t="str">
        <f t="shared" si="39"/>
        <v/>
      </c>
      <c r="L226" s="58" t="str">
        <f t="shared" si="40"/>
        <v/>
      </c>
      <c r="M226" s="58" t="str">
        <f t="shared" si="41"/>
        <v/>
      </c>
      <c r="N226" s="59" t="str">
        <f t="shared" si="37"/>
        <v/>
      </c>
      <c r="O226" s="60"/>
      <c r="P226" s="105"/>
    </row>
    <row r="227" spans="1:16" x14ac:dyDescent="0.3">
      <c r="A227" s="54"/>
      <c r="B227" s="55"/>
      <c r="C227" s="56"/>
      <c r="D227" s="57"/>
      <c r="E227" s="58"/>
      <c r="F227" s="57" t="str">
        <f t="shared" si="34"/>
        <v/>
      </c>
      <c r="G227" s="57" t="str">
        <f t="shared" si="35"/>
        <v/>
      </c>
      <c r="H227" s="57" t="str">
        <f t="shared" si="33"/>
        <v/>
      </c>
      <c r="I227" s="58" t="str">
        <f t="shared" si="38"/>
        <v/>
      </c>
      <c r="J227" s="58" t="str">
        <f t="shared" si="36"/>
        <v/>
      </c>
      <c r="K227" s="58" t="str">
        <f t="shared" si="39"/>
        <v/>
      </c>
      <c r="L227" s="58" t="str">
        <f t="shared" si="40"/>
        <v/>
      </c>
      <c r="M227" s="58" t="str">
        <f t="shared" si="41"/>
        <v/>
      </c>
      <c r="N227" s="59" t="str">
        <f t="shared" si="37"/>
        <v/>
      </c>
      <c r="O227" s="60"/>
      <c r="P227" s="105"/>
    </row>
    <row r="228" spans="1:16" x14ac:dyDescent="0.3">
      <c r="A228" s="54"/>
      <c r="B228" s="55"/>
      <c r="C228" s="56"/>
      <c r="D228" s="57"/>
      <c r="E228" s="58"/>
      <c r="F228" s="57" t="str">
        <f t="shared" si="34"/>
        <v/>
      </c>
      <c r="G228" s="57" t="str">
        <f t="shared" si="35"/>
        <v/>
      </c>
      <c r="H228" s="57" t="str">
        <f t="shared" si="33"/>
        <v/>
      </c>
      <c r="I228" s="58" t="str">
        <f t="shared" si="38"/>
        <v/>
      </c>
      <c r="J228" s="58" t="str">
        <f t="shared" si="36"/>
        <v/>
      </c>
      <c r="K228" s="58" t="str">
        <f t="shared" si="39"/>
        <v/>
      </c>
      <c r="L228" s="58" t="str">
        <f t="shared" si="40"/>
        <v/>
      </c>
      <c r="M228" s="58" t="str">
        <f t="shared" si="41"/>
        <v/>
      </c>
      <c r="N228" s="59" t="str">
        <f t="shared" si="37"/>
        <v/>
      </c>
      <c r="O228" s="60"/>
      <c r="P228" s="105"/>
    </row>
    <row r="229" spans="1:16" x14ac:dyDescent="0.3">
      <c r="A229" s="54"/>
      <c r="B229" s="55"/>
      <c r="C229" s="56"/>
      <c r="D229" s="57"/>
      <c r="E229" s="58"/>
      <c r="F229" s="57" t="str">
        <f t="shared" si="34"/>
        <v/>
      </c>
      <c r="G229" s="57" t="str">
        <f t="shared" si="35"/>
        <v/>
      </c>
      <c r="H229" s="57" t="str">
        <f t="shared" si="33"/>
        <v/>
      </c>
      <c r="I229" s="58" t="str">
        <f t="shared" si="38"/>
        <v/>
      </c>
      <c r="J229" s="58" t="str">
        <f t="shared" si="36"/>
        <v/>
      </c>
      <c r="K229" s="58" t="str">
        <f t="shared" si="39"/>
        <v/>
      </c>
      <c r="L229" s="58" t="str">
        <f t="shared" si="40"/>
        <v/>
      </c>
      <c r="M229" s="58" t="str">
        <f t="shared" si="41"/>
        <v/>
      </c>
      <c r="N229" s="59" t="str">
        <f t="shared" si="37"/>
        <v/>
      </c>
      <c r="O229" s="60"/>
      <c r="P229" s="105"/>
    </row>
    <row r="230" spans="1:16" x14ac:dyDescent="0.3">
      <c r="A230" s="54"/>
      <c r="B230" s="55"/>
      <c r="C230" s="56"/>
      <c r="D230" s="57"/>
      <c r="E230" s="58"/>
      <c r="F230" s="57" t="str">
        <f t="shared" si="34"/>
        <v/>
      </c>
      <c r="G230" s="57" t="str">
        <f t="shared" si="35"/>
        <v/>
      </c>
      <c r="H230" s="57" t="str">
        <f t="shared" si="33"/>
        <v/>
      </c>
      <c r="I230" s="58" t="str">
        <f t="shared" si="38"/>
        <v/>
      </c>
      <c r="J230" s="58" t="str">
        <f t="shared" si="36"/>
        <v/>
      </c>
      <c r="K230" s="58" t="str">
        <f t="shared" si="39"/>
        <v/>
      </c>
      <c r="L230" s="58" t="str">
        <f t="shared" si="40"/>
        <v/>
      </c>
      <c r="M230" s="58" t="str">
        <f t="shared" si="41"/>
        <v/>
      </c>
      <c r="N230" s="59" t="str">
        <f t="shared" si="37"/>
        <v/>
      </c>
      <c r="O230" s="60"/>
      <c r="P230" s="105"/>
    </row>
    <row r="231" spans="1:16" x14ac:dyDescent="0.3">
      <c r="A231" s="54"/>
      <c r="B231" s="55"/>
      <c r="C231" s="56"/>
      <c r="D231" s="57"/>
      <c r="E231" s="58"/>
      <c r="F231" s="57" t="str">
        <f t="shared" si="34"/>
        <v/>
      </c>
      <c r="G231" s="57" t="str">
        <f t="shared" si="35"/>
        <v/>
      </c>
      <c r="H231" s="57" t="str">
        <f t="shared" si="33"/>
        <v/>
      </c>
      <c r="I231" s="58" t="str">
        <f t="shared" si="38"/>
        <v/>
      </c>
      <c r="J231" s="58" t="str">
        <f t="shared" si="36"/>
        <v/>
      </c>
      <c r="K231" s="58" t="str">
        <f t="shared" si="39"/>
        <v/>
      </c>
      <c r="L231" s="58" t="str">
        <f t="shared" si="40"/>
        <v/>
      </c>
      <c r="M231" s="58" t="str">
        <f t="shared" si="41"/>
        <v/>
      </c>
      <c r="N231" s="59" t="str">
        <f t="shared" si="37"/>
        <v/>
      </c>
      <c r="O231" s="60"/>
      <c r="P231" s="105"/>
    </row>
    <row r="232" spans="1:16" x14ac:dyDescent="0.3">
      <c r="A232" s="54"/>
      <c r="B232" s="55"/>
      <c r="C232" s="56"/>
      <c r="D232" s="57"/>
      <c r="E232" s="58"/>
      <c r="F232" s="57" t="str">
        <f t="shared" si="34"/>
        <v/>
      </c>
      <c r="G232" s="57" t="str">
        <f t="shared" si="35"/>
        <v/>
      </c>
      <c r="H232" s="57" t="str">
        <f t="shared" si="33"/>
        <v/>
      </c>
      <c r="I232" s="58" t="str">
        <f t="shared" si="38"/>
        <v/>
      </c>
      <c r="J232" s="58" t="str">
        <f t="shared" si="36"/>
        <v/>
      </c>
      <c r="K232" s="58" t="str">
        <f t="shared" si="39"/>
        <v/>
      </c>
      <c r="L232" s="58" t="str">
        <f t="shared" si="40"/>
        <v/>
      </c>
      <c r="M232" s="58" t="str">
        <f t="shared" si="41"/>
        <v/>
      </c>
      <c r="N232" s="59" t="str">
        <f t="shared" si="37"/>
        <v/>
      </c>
      <c r="O232" s="60"/>
      <c r="P232" s="105"/>
    </row>
    <row r="233" spans="1:16" x14ac:dyDescent="0.3">
      <c r="A233" s="54"/>
      <c r="B233" s="55"/>
      <c r="C233" s="56"/>
      <c r="D233" s="57"/>
      <c r="E233" s="58"/>
      <c r="F233" s="57" t="str">
        <f t="shared" si="34"/>
        <v/>
      </c>
      <c r="G233" s="57" t="str">
        <f t="shared" si="35"/>
        <v/>
      </c>
      <c r="H233" s="57" t="str">
        <f t="shared" si="33"/>
        <v/>
      </c>
      <c r="I233" s="58" t="str">
        <f t="shared" si="38"/>
        <v/>
      </c>
      <c r="J233" s="58" t="str">
        <f t="shared" si="36"/>
        <v/>
      </c>
      <c r="K233" s="58" t="str">
        <f t="shared" si="39"/>
        <v/>
      </c>
      <c r="L233" s="58" t="str">
        <f t="shared" si="40"/>
        <v/>
      </c>
      <c r="M233" s="58" t="str">
        <f t="shared" si="41"/>
        <v/>
      </c>
      <c r="N233" s="59" t="str">
        <f t="shared" si="37"/>
        <v/>
      </c>
      <c r="O233" s="60"/>
      <c r="P233" s="105"/>
    </row>
    <row r="234" spans="1:16" x14ac:dyDescent="0.3">
      <c r="A234" s="54"/>
      <c r="B234" s="55"/>
      <c r="C234" s="56"/>
      <c r="D234" s="57"/>
      <c r="E234" s="58"/>
      <c r="F234" s="57" t="str">
        <f t="shared" si="34"/>
        <v/>
      </c>
      <c r="G234" s="57" t="str">
        <f t="shared" si="35"/>
        <v/>
      </c>
      <c r="H234" s="57" t="str">
        <f t="shared" si="33"/>
        <v/>
      </c>
      <c r="I234" s="58" t="str">
        <f t="shared" si="38"/>
        <v/>
      </c>
      <c r="J234" s="58" t="str">
        <f t="shared" si="36"/>
        <v/>
      </c>
      <c r="K234" s="58" t="str">
        <f t="shared" si="39"/>
        <v/>
      </c>
      <c r="L234" s="58" t="str">
        <f t="shared" si="40"/>
        <v/>
      </c>
      <c r="M234" s="58" t="str">
        <f t="shared" si="41"/>
        <v/>
      </c>
      <c r="N234" s="59" t="str">
        <f t="shared" si="37"/>
        <v/>
      </c>
      <c r="O234" s="60"/>
      <c r="P234" s="105"/>
    </row>
    <row r="235" spans="1:16" x14ac:dyDescent="0.3">
      <c r="A235" s="54"/>
      <c r="B235" s="55"/>
      <c r="C235" s="56"/>
      <c r="D235" s="57"/>
      <c r="E235" s="58"/>
      <c r="F235" s="57" t="str">
        <f t="shared" si="34"/>
        <v/>
      </c>
      <c r="G235" s="57" t="str">
        <f t="shared" si="35"/>
        <v/>
      </c>
      <c r="H235" s="57" t="str">
        <f t="shared" si="33"/>
        <v/>
      </c>
      <c r="I235" s="58" t="str">
        <f t="shared" si="38"/>
        <v/>
      </c>
      <c r="J235" s="58" t="str">
        <f t="shared" si="36"/>
        <v/>
      </c>
      <c r="K235" s="58" t="str">
        <f t="shared" si="39"/>
        <v/>
      </c>
      <c r="L235" s="58" t="str">
        <f t="shared" si="40"/>
        <v/>
      </c>
      <c r="M235" s="58" t="str">
        <f t="shared" si="41"/>
        <v/>
      </c>
      <c r="N235" s="59" t="str">
        <f t="shared" si="37"/>
        <v/>
      </c>
      <c r="O235" s="60"/>
      <c r="P235" s="105"/>
    </row>
    <row r="236" spans="1:16" x14ac:dyDescent="0.3">
      <c r="A236" s="54"/>
      <c r="B236" s="55"/>
      <c r="C236" s="56"/>
      <c r="D236" s="57"/>
      <c r="E236" s="58"/>
      <c r="F236" s="57" t="str">
        <f t="shared" si="34"/>
        <v/>
      </c>
      <c r="G236" s="57" t="str">
        <f t="shared" si="35"/>
        <v/>
      </c>
      <c r="H236" s="57" t="str">
        <f t="shared" si="33"/>
        <v/>
      </c>
      <c r="I236" s="58" t="str">
        <f t="shared" si="38"/>
        <v/>
      </c>
      <c r="J236" s="58" t="str">
        <f t="shared" si="36"/>
        <v/>
      </c>
      <c r="K236" s="58" t="str">
        <f t="shared" si="39"/>
        <v/>
      </c>
      <c r="L236" s="58" t="str">
        <f t="shared" si="40"/>
        <v/>
      </c>
      <c r="M236" s="58" t="str">
        <f t="shared" si="41"/>
        <v/>
      </c>
      <c r="N236" s="59" t="str">
        <f t="shared" si="37"/>
        <v/>
      </c>
      <c r="O236" s="60"/>
      <c r="P236" s="105"/>
    </row>
    <row r="237" spans="1:16" x14ac:dyDescent="0.3">
      <c r="A237" s="54"/>
      <c r="B237" s="55"/>
      <c r="C237" s="56"/>
      <c r="D237" s="57"/>
      <c r="E237" s="58"/>
      <c r="F237" s="57" t="str">
        <f t="shared" si="34"/>
        <v/>
      </c>
      <c r="G237" s="57" t="str">
        <f t="shared" si="35"/>
        <v/>
      </c>
      <c r="H237" s="57" t="str">
        <f t="shared" si="33"/>
        <v/>
      </c>
      <c r="I237" s="58" t="str">
        <f t="shared" si="38"/>
        <v/>
      </c>
      <c r="J237" s="58" t="str">
        <f t="shared" si="36"/>
        <v/>
      </c>
      <c r="K237" s="58" t="str">
        <f t="shared" si="39"/>
        <v/>
      </c>
      <c r="L237" s="58" t="str">
        <f t="shared" si="40"/>
        <v/>
      </c>
      <c r="M237" s="58" t="str">
        <f t="shared" si="41"/>
        <v/>
      </c>
      <c r="N237" s="59" t="str">
        <f t="shared" si="37"/>
        <v/>
      </c>
      <c r="O237" s="60"/>
      <c r="P237" s="105"/>
    </row>
    <row r="238" spans="1:16" x14ac:dyDescent="0.3">
      <c r="A238" s="54"/>
      <c r="B238" s="55"/>
      <c r="C238" s="56"/>
      <c r="D238" s="57"/>
      <c r="E238" s="58"/>
      <c r="F238" s="57" t="str">
        <f t="shared" si="34"/>
        <v/>
      </c>
      <c r="G238" s="57" t="str">
        <f t="shared" si="35"/>
        <v/>
      </c>
      <c r="H238" s="57" t="str">
        <f t="shared" si="33"/>
        <v/>
      </c>
      <c r="I238" s="58" t="str">
        <f t="shared" si="38"/>
        <v/>
      </c>
      <c r="J238" s="58" t="str">
        <f t="shared" si="36"/>
        <v/>
      </c>
      <c r="K238" s="58" t="str">
        <f t="shared" si="39"/>
        <v/>
      </c>
      <c r="L238" s="58" t="str">
        <f t="shared" si="40"/>
        <v/>
      </c>
      <c r="M238" s="58" t="str">
        <f t="shared" si="41"/>
        <v/>
      </c>
      <c r="N238" s="59" t="str">
        <f t="shared" si="37"/>
        <v/>
      </c>
      <c r="O238" s="60"/>
      <c r="P238" s="105"/>
    </row>
    <row r="239" spans="1:16" x14ac:dyDescent="0.3">
      <c r="A239" s="54"/>
      <c r="B239" s="55"/>
      <c r="C239" s="56"/>
      <c r="D239" s="57"/>
      <c r="E239" s="58"/>
      <c r="F239" s="57" t="str">
        <f t="shared" si="34"/>
        <v/>
      </c>
      <c r="G239" s="57" t="str">
        <f t="shared" si="35"/>
        <v/>
      </c>
      <c r="H239" s="57" t="str">
        <f t="shared" si="33"/>
        <v/>
      </c>
      <c r="I239" s="58" t="str">
        <f t="shared" si="38"/>
        <v/>
      </c>
      <c r="J239" s="58" t="str">
        <f t="shared" si="36"/>
        <v/>
      </c>
      <c r="K239" s="58" t="str">
        <f t="shared" si="39"/>
        <v/>
      </c>
      <c r="L239" s="58" t="str">
        <f t="shared" si="40"/>
        <v/>
      </c>
      <c r="M239" s="58" t="str">
        <f t="shared" si="41"/>
        <v/>
      </c>
      <c r="N239" s="59" t="str">
        <f t="shared" si="37"/>
        <v/>
      </c>
      <c r="O239" s="60"/>
      <c r="P239" s="105"/>
    </row>
    <row r="240" spans="1:16" x14ac:dyDescent="0.3">
      <c r="A240" s="54"/>
      <c r="B240" s="55"/>
      <c r="C240" s="56"/>
      <c r="D240" s="57"/>
      <c r="E240" s="58"/>
      <c r="F240" s="57" t="str">
        <f t="shared" si="34"/>
        <v/>
      </c>
      <c r="G240" s="57" t="str">
        <f t="shared" si="35"/>
        <v/>
      </c>
      <c r="H240" s="57" t="str">
        <f t="shared" si="33"/>
        <v/>
      </c>
      <c r="I240" s="58" t="str">
        <f t="shared" si="38"/>
        <v/>
      </c>
      <c r="J240" s="58" t="str">
        <f t="shared" si="36"/>
        <v/>
      </c>
      <c r="K240" s="58" t="str">
        <f t="shared" si="39"/>
        <v/>
      </c>
      <c r="L240" s="58" t="str">
        <f t="shared" si="40"/>
        <v/>
      </c>
      <c r="M240" s="58" t="str">
        <f t="shared" si="41"/>
        <v/>
      </c>
      <c r="N240" s="59" t="str">
        <f t="shared" si="37"/>
        <v/>
      </c>
      <c r="O240" s="60"/>
      <c r="P240" s="105"/>
    </row>
    <row r="241" spans="1:16" x14ac:dyDescent="0.3">
      <c r="A241" s="54"/>
      <c r="B241" s="55"/>
      <c r="C241" s="56"/>
      <c r="D241" s="57"/>
      <c r="E241" s="58"/>
      <c r="F241" s="57" t="str">
        <f t="shared" si="34"/>
        <v/>
      </c>
      <c r="G241" s="57" t="str">
        <f t="shared" si="35"/>
        <v/>
      </c>
      <c r="H241" s="57" t="str">
        <f t="shared" si="33"/>
        <v/>
      </c>
      <c r="I241" s="58" t="str">
        <f t="shared" si="38"/>
        <v/>
      </c>
      <c r="J241" s="58" t="str">
        <f t="shared" si="36"/>
        <v/>
      </c>
      <c r="K241" s="58" t="str">
        <f t="shared" si="39"/>
        <v/>
      </c>
      <c r="L241" s="58" t="str">
        <f t="shared" si="40"/>
        <v/>
      </c>
      <c r="M241" s="58" t="str">
        <f t="shared" si="41"/>
        <v/>
      </c>
      <c r="N241" s="59" t="str">
        <f t="shared" si="37"/>
        <v/>
      </c>
      <c r="O241" s="60"/>
      <c r="P241" s="105"/>
    </row>
    <row r="242" spans="1:16" x14ac:dyDescent="0.3">
      <c r="A242" s="54"/>
      <c r="B242" s="55"/>
      <c r="C242" s="56"/>
      <c r="D242" s="57"/>
      <c r="E242" s="58"/>
      <c r="F242" s="57" t="str">
        <f t="shared" si="34"/>
        <v/>
      </c>
      <c r="G242" s="57" t="str">
        <f t="shared" si="35"/>
        <v/>
      </c>
      <c r="H242" s="57" t="str">
        <f t="shared" si="33"/>
        <v/>
      </c>
      <c r="I242" s="58" t="str">
        <f t="shared" si="38"/>
        <v/>
      </c>
      <c r="J242" s="58" t="str">
        <f t="shared" si="36"/>
        <v/>
      </c>
      <c r="K242" s="58" t="str">
        <f t="shared" si="39"/>
        <v/>
      </c>
      <c r="L242" s="58" t="str">
        <f t="shared" si="40"/>
        <v/>
      </c>
      <c r="M242" s="58" t="str">
        <f t="shared" si="41"/>
        <v/>
      </c>
      <c r="N242" s="59" t="str">
        <f t="shared" si="37"/>
        <v/>
      </c>
      <c r="O242" s="60"/>
      <c r="P242" s="105"/>
    </row>
    <row r="243" spans="1:16" x14ac:dyDescent="0.3">
      <c r="A243" s="54"/>
      <c r="B243" s="55"/>
      <c r="C243" s="56"/>
      <c r="D243" s="57"/>
      <c r="E243" s="58"/>
      <c r="F243" s="57" t="str">
        <f t="shared" si="34"/>
        <v/>
      </c>
      <c r="G243" s="57" t="str">
        <f t="shared" si="35"/>
        <v/>
      </c>
      <c r="H243" s="57" t="str">
        <f t="shared" ref="H243:H306" si="42">IF($A243="","",IF($A243&lt;&gt;$A244,0,MAX(0,H244+E244-D244)))</f>
        <v/>
      </c>
      <c r="I243" s="58" t="str">
        <f t="shared" si="38"/>
        <v/>
      </c>
      <c r="J243" s="58" t="str">
        <f t="shared" si="36"/>
        <v/>
      </c>
      <c r="K243" s="58" t="str">
        <f t="shared" si="39"/>
        <v/>
      </c>
      <c r="L243" s="58" t="str">
        <f t="shared" si="40"/>
        <v/>
      </c>
      <c r="M243" s="58" t="str">
        <f t="shared" si="41"/>
        <v/>
      </c>
      <c r="N243" s="59" t="str">
        <f t="shared" si="37"/>
        <v/>
      </c>
      <c r="O243" s="60"/>
      <c r="P243" s="105"/>
    </row>
    <row r="244" spans="1:16" x14ac:dyDescent="0.3">
      <c r="A244" s="54"/>
      <c r="B244" s="55"/>
      <c r="C244" s="56"/>
      <c r="D244" s="57"/>
      <c r="E244" s="58"/>
      <c r="F244" s="57" t="str">
        <f t="shared" si="34"/>
        <v/>
      </c>
      <c r="G244" s="57" t="str">
        <f t="shared" si="35"/>
        <v/>
      </c>
      <c r="H244" s="57" t="str">
        <f t="shared" si="42"/>
        <v/>
      </c>
      <c r="I244" s="58" t="str">
        <f t="shared" si="38"/>
        <v/>
      </c>
      <c r="J244" s="58" t="str">
        <f t="shared" si="36"/>
        <v/>
      </c>
      <c r="K244" s="58" t="str">
        <f t="shared" si="39"/>
        <v/>
      </c>
      <c r="L244" s="58" t="str">
        <f t="shared" si="40"/>
        <v/>
      </c>
      <c r="M244" s="58" t="str">
        <f t="shared" si="41"/>
        <v/>
      </c>
      <c r="N244" s="59" t="str">
        <f t="shared" si="37"/>
        <v/>
      </c>
      <c r="O244" s="60"/>
      <c r="P244" s="105"/>
    </row>
    <row r="245" spans="1:16" x14ac:dyDescent="0.3">
      <c r="A245" s="54"/>
      <c r="B245" s="55"/>
      <c r="C245" s="56"/>
      <c r="D245" s="57"/>
      <c r="E245" s="58"/>
      <c r="F245" s="57" t="str">
        <f t="shared" si="34"/>
        <v/>
      </c>
      <c r="G245" s="57" t="str">
        <f t="shared" si="35"/>
        <v/>
      </c>
      <c r="H245" s="57" t="str">
        <f t="shared" si="42"/>
        <v/>
      </c>
      <c r="I245" s="58" t="str">
        <f t="shared" si="38"/>
        <v/>
      </c>
      <c r="J245" s="58" t="str">
        <f t="shared" si="36"/>
        <v/>
      </c>
      <c r="K245" s="58" t="str">
        <f t="shared" si="39"/>
        <v/>
      </c>
      <c r="L245" s="58" t="str">
        <f t="shared" si="40"/>
        <v/>
      </c>
      <c r="M245" s="58" t="str">
        <f t="shared" si="41"/>
        <v/>
      </c>
      <c r="N245" s="59" t="str">
        <f t="shared" si="37"/>
        <v/>
      </c>
      <c r="O245" s="60"/>
      <c r="P245" s="105"/>
    </row>
    <row r="246" spans="1:16" x14ac:dyDescent="0.3">
      <c r="A246" s="54"/>
      <c r="B246" s="55"/>
      <c r="C246" s="56"/>
      <c r="D246" s="57"/>
      <c r="E246" s="58"/>
      <c r="F246" s="57" t="str">
        <f t="shared" si="34"/>
        <v/>
      </c>
      <c r="G246" s="57" t="str">
        <f t="shared" si="35"/>
        <v/>
      </c>
      <c r="H246" s="57" t="str">
        <f t="shared" si="42"/>
        <v/>
      </c>
      <c r="I246" s="58" t="str">
        <f t="shared" si="38"/>
        <v/>
      </c>
      <c r="J246" s="58" t="str">
        <f t="shared" si="36"/>
        <v/>
      </c>
      <c r="K246" s="58" t="str">
        <f t="shared" si="39"/>
        <v/>
      </c>
      <c r="L246" s="58" t="str">
        <f t="shared" si="40"/>
        <v/>
      </c>
      <c r="M246" s="58" t="str">
        <f t="shared" si="41"/>
        <v/>
      </c>
      <c r="N246" s="59" t="str">
        <f t="shared" si="37"/>
        <v/>
      </c>
      <c r="O246" s="60"/>
      <c r="P246" s="105"/>
    </row>
    <row r="247" spans="1:16" x14ac:dyDescent="0.3">
      <c r="A247" s="54"/>
      <c r="B247" s="55"/>
      <c r="C247" s="56"/>
      <c r="D247" s="57"/>
      <c r="E247" s="58"/>
      <c r="F247" s="57" t="str">
        <f t="shared" si="34"/>
        <v/>
      </c>
      <c r="G247" s="57" t="str">
        <f t="shared" si="35"/>
        <v/>
      </c>
      <c r="H247" s="57" t="str">
        <f t="shared" si="42"/>
        <v/>
      </c>
      <c r="I247" s="58" t="str">
        <f t="shared" si="38"/>
        <v/>
      </c>
      <c r="J247" s="58" t="str">
        <f t="shared" si="36"/>
        <v/>
      </c>
      <c r="K247" s="58" t="str">
        <f t="shared" si="39"/>
        <v/>
      </c>
      <c r="L247" s="58" t="str">
        <f t="shared" si="40"/>
        <v/>
      </c>
      <c r="M247" s="58" t="str">
        <f t="shared" si="41"/>
        <v/>
      </c>
      <c r="N247" s="59" t="str">
        <f t="shared" si="37"/>
        <v/>
      </c>
      <c r="O247" s="60"/>
      <c r="P247" s="105"/>
    </row>
    <row r="248" spans="1:16" x14ac:dyDescent="0.3">
      <c r="A248" s="54"/>
      <c r="B248" s="55"/>
      <c r="C248" s="56"/>
      <c r="D248" s="57"/>
      <c r="E248" s="58"/>
      <c r="F248" s="57" t="str">
        <f t="shared" si="34"/>
        <v/>
      </c>
      <c r="G248" s="57" t="str">
        <f t="shared" si="35"/>
        <v/>
      </c>
      <c r="H248" s="57" t="str">
        <f t="shared" si="42"/>
        <v/>
      </c>
      <c r="I248" s="58" t="str">
        <f t="shared" si="38"/>
        <v/>
      </c>
      <c r="J248" s="58" t="str">
        <f t="shared" si="36"/>
        <v/>
      </c>
      <c r="K248" s="58" t="str">
        <f t="shared" si="39"/>
        <v/>
      </c>
      <c r="L248" s="58" t="str">
        <f t="shared" si="40"/>
        <v/>
      </c>
      <c r="M248" s="58" t="str">
        <f t="shared" si="41"/>
        <v/>
      </c>
      <c r="N248" s="59" t="str">
        <f t="shared" si="37"/>
        <v/>
      </c>
      <c r="O248" s="60"/>
      <c r="P248" s="105"/>
    </row>
    <row r="249" spans="1:16" x14ac:dyDescent="0.3">
      <c r="A249" s="54"/>
      <c r="B249" s="55"/>
      <c r="C249" s="56"/>
      <c r="D249" s="57"/>
      <c r="E249" s="58"/>
      <c r="F249" s="57" t="str">
        <f t="shared" si="34"/>
        <v/>
      </c>
      <c r="G249" s="57" t="str">
        <f t="shared" si="35"/>
        <v/>
      </c>
      <c r="H249" s="57" t="str">
        <f t="shared" si="42"/>
        <v/>
      </c>
      <c r="I249" s="58" t="str">
        <f t="shared" si="38"/>
        <v/>
      </c>
      <c r="J249" s="58" t="str">
        <f t="shared" si="36"/>
        <v/>
      </c>
      <c r="K249" s="58" t="str">
        <f t="shared" si="39"/>
        <v/>
      </c>
      <c r="L249" s="58" t="str">
        <f t="shared" si="40"/>
        <v/>
      </c>
      <c r="M249" s="58" t="str">
        <f t="shared" si="41"/>
        <v/>
      </c>
      <c r="N249" s="59" t="str">
        <f t="shared" si="37"/>
        <v/>
      </c>
      <c r="O249" s="60"/>
      <c r="P249" s="105"/>
    </row>
    <row r="250" spans="1:16" x14ac:dyDescent="0.3">
      <c r="A250" s="54"/>
      <c r="B250" s="55"/>
      <c r="C250" s="56"/>
      <c r="D250" s="57"/>
      <c r="E250" s="58"/>
      <c r="F250" s="57" t="str">
        <f t="shared" si="34"/>
        <v/>
      </c>
      <c r="G250" s="57" t="str">
        <f t="shared" si="35"/>
        <v/>
      </c>
      <c r="H250" s="57" t="str">
        <f t="shared" si="42"/>
        <v/>
      </c>
      <c r="I250" s="58" t="str">
        <f t="shared" si="38"/>
        <v/>
      </c>
      <c r="J250" s="58" t="str">
        <f t="shared" si="36"/>
        <v/>
      </c>
      <c r="K250" s="58" t="str">
        <f t="shared" si="39"/>
        <v/>
      </c>
      <c r="L250" s="58" t="str">
        <f t="shared" si="40"/>
        <v/>
      </c>
      <c r="M250" s="58" t="str">
        <f t="shared" si="41"/>
        <v/>
      </c>
      <c r="N250" s="59" t="str">
        <f t="shared" si="37"/>
        <v/>
      </c>
      <c r="O250" s="60"/>
      <c r="P250" s="105"/>
    </row>
    <row r="251" spans="1:16" x14ac:dyDescent="0.3">
      <c r="A251" s="54"/>
      <c r="B251" s="55"/>
      <c r="C251" s="56"/>
      <c r="D251" s="57"/>
      <c r="E251" s="58"/>
      <c r="F251" s="57" t="str">
        <f t="shared" si="34"/>
        <v/>
      </c>
      <c r="G251" s="57" t="str">
        <f t="shared" si="35"/>
        <v/>
      </c>
      <c r="H251" s="57" t="str">
        <f t="shared" si="42"/>
        <v/>
      </c>
      <c r="I251" s="58" t="str">
        <f t="shared" si="38"/>
        <v/>
      </c>
      <c r="J251" s="58" t="str">
        <f t="shared" si="36"/>
        <v/>
      </c>
      <c r="K251" s="58" t="str">
        <f t="shared" si="39"/>
        <v/>
      </c>
      <c r="L251" s="58" t="str">
        <f t="shared" si="40"/>
        <v/>
      </c>
      <c r="M251" s="58" t="str">
        <f t="shared" si="41"/>
        <v/>
      </c>
      <c r="N251" s="59" t="str">
        <f t="shared" si="37"/>
        <v/>
      </c>
      <c r="O251" s="60"/>
      <c r="P251" s="105"/>
    </row>
    <row r="252" spans="1:16" x14ac:dyDescent="0.3">
      <c r="A252" s="54"/>
      <c r="B252" s="55"/>
      <c r="C252" s="56"/>
      <c r="D252" s="57"/>
      <c r="E252" s="58"/>
      <c r="F252" s="57" t="str">
        <f t="shared" si="34"/>
        <v/>
      </c>
      <c r="G252" s="57" t="str">
        <f t="shared" si="35"/>
        <v/>
      </c>
      <c r="H252" s="57" t="str">
        <f t="shared" si="42"/>
        <v/>
      </c>
      <c r="I252" s="58" t="str">
        <f t="shared" si="38"/>
        <v/>
      </c>
      <c r="J252" s="58" t="str">
        <f t="shared" si="36"/>
        <v/>
      </c>
      <c r="K252" s="58" t="str">
        <f t="shared" si="39"/>
        <v/>
      </c>
      <c r="L252" s="58" t="str">
        <f t="shared" si="40"/>
        <v/>
      </c>
      <c r="M252" s="58" t="str">
        <f t="shared" si="41"/>
        <v/>
      </c>
      <c r="N252" s="59" t="str">
        <f t="shared" si="37"/>
        <v/>
      </c>
      <c r="O252" s="60"/>
      <c r="P252" s="105"/>
    </row>
    <row r="253" spans="1:16" x14ac:dyDescent="0.3">
      <c r="A253" s="54"/>
      <c r="B253" s="55"/>
      <c r="C253" s="56"/>
      <c r="D253" s="57"/>
      <c r="E253" s="58"/>
      <c r="F253" s="57" t="str">
        <f t="shared" si="34"/>
        <v/>
      </c>
      <c r="G253" s="57" t="str">
        <f t="shared" si="35"/>
        <v/>
      </c>
      <c r="H253" s="57" t="str">
        <f t="shared" si="42"/>
        <v/>
      </c>
      <c r="I253" s="58" t="str">
        <f t="shared" si="38"/>
        <v/>
      </c>
      <c r="J253" s="58" t="str">
        <f t="shared" si="36"/>
        <v/>
      </c>
      <c r="K253" s="58" t="str">
        <f t="shared" si="39"/>
        <v/>
      </c>
      <c r="L253" s="58" t="str">
        <f t="shared" si="40"/>
        <v/>
      </c>
      <c r="M253" s="58" t="str">
        <f t="shared" si="41"/>
        <v/>
      </c>
      <c r="N253" s="59" t="str">
        <f t="shared" si="37"/>
        <v/>
      </c>
      <c r="O253" s="60"/>
      <c r="P253" s="105"/>
    </row>
    <row r="254" spans="1:16" x14ac:dyDescent="0.3">
      <c r="A254" s="54"/>
      <c r="B254" s="55"/>
      <c r="C254" s="56"/>
      <c r="D254" s="57"/>
      <c r="E254" s="58"/>
      <c r="F254" s="57" t="str">
        <f t="shared" si="34"/>
        <v/>
      </c>
      <c r="G254" s="57" t="str">
        <f t="shared" si="35"/>
        <v/>
      </c>
      <c r="H254" s="57" t="str">
        <f t="shared" si="42"/>
        <v/>
      </c>
      <c r="I254" s="58" t="str">
        <f t="shared" si="38"/>
        <v/>
      </c>
      <c r="J254" s="58" t="str">
        <f t="shared" si="36"/>
        <v/>
      </c>
      <c r="K254" s="58" t="str">
        <f t="shared" si="39"/>
        <v/>
      </c>
      <c r="L254" s="58" t="str">
        <f t="shared" si="40"/>
        <v/>
      </c>
      <c r="M254" s="58" t="str">
        <f t="shared" si="41"/>
        <v/>
      </c>
      <c r="N254" s="59" t="str">
        <f t="shared" si="37"/>
        <v/>
      </c>
      <c r="O254" s="60"/>
      <c r="P254" s="105"/>
    </row>
    <row r="255" spans="1:16" x14ac:dyDescent="0.3">
      <c r="A255" s="54"/>
      <c r="B255" s="55"/>
      <c r="C255" s="56"/>
      <c r="D255" s="57"/>
      <c r="E255" s="58"/>
      <c r="F255" s="57" t="str">
        <f t="shared" si="34"/>
        <v/>
      </c>
      <c r="G255" s="57" t="str">
        <f t="shared" si="35"/>
        <v/>
      </c>
      <c r="H255" s="57" t="str">
        <f t="shared" si="42"/>
        <v/>
      </c>
      <c r="I255" s="58" t="str">
        <f t="shared" si="38"/>
        <v/>
      </c>
      <c r="J255" s="58" t="str">
        <f t="shared" si="36"/>
        <v/>
      </c>
      <c r="K255" s="58" t="str">
        <f t="shared" si="39"/>
        <v/>
      </c>
      <c r="L255" s="58" t="str">
        <f t="shared" si="40"/>
        <v/>
      </c>
      <c r="M255" s="58" t="str">
        <f t="shared" si="41"/>
        <v/>
      </c>
      <c r="N255" s="59" t="str">
        <f t="shared" si="37"/>
        <v/>
      </c>
      <c r="O255" s="60"/>
      <c r="P255" s="105"/>
    </row>
    <row r="256" spans="1:16" x14ac:dyDescent="0.3">
      <c r="A256" s="54" t="str">
        <f>IF([2]weekly_demand!A257="","",[2]weekly_demand!A257)</f>
        <v/>
      </c>
      <c r="B256" s="55" t="str">
        <f>IF($A256="","",[2]weekly_demand!F257)</f>
        <v/>
      </c>
      <c r="C256" s="56" t="str">
        <f>IF($A256="","",[2]weekly_demand!H257)</f>
        <v/>
      </c>
      <c r="D256" s="57" t="str">
        <f>IF($A256="","",IF(SUMIFS([2]Fixture_Capacity_Input!$C:$C,[2]Fixture_Capacity_Input!$A:$A,$B256,[2]Fixture_Capacity_Input!$B:$B,$C256)&gt;0,SUMIFS([2]Fixture_Capacity_Input!$C:$C,[2]Fixture_Capacity_Input!$A:$A,$B256,[2]Fixture_Capacity_Input!$B:$B,$C256),[2]weekly_demand!G257))</f>
        <v/>
      </c>
      <c r="E256" s="58" t="str">
        <f>IF($A256="","",[2]weekly_demand!I257)</f>
        <v/>
      </c>
      <c r="F256" s="57" t="str">
        <f t="shared" si="34"/>
        <v/>
      </c>
      <c r="G256" s="57" t="str">
        <f t="shared" si="35"/>
        <v/>
      </c>
      <c r="H256" s="57" t="str">
        <f t="shared" si="42"/>
        <v/>
      </c>
      <c r="I256" s="58" t="str">
        <f t="shared" si="38"/>
        <v/>
      </c>
      <c r="J256" s="58" t="str">
        <f t="shared" si="36"/>
        <v/>
      </c>
      <c r="K256" s="58" t="str">
        <f t="shared" si="39"/>
        <v/>
      </c>
      <c r="L256" s="58" t="str">
        <f t="shared" si="40"/>
        <v/>
      </c>
      <c r="M256" s="58" t="str">
        <f t="shared" si="41"/>
        <v/>
      </c>
      <c r="N256" s="59" t="str">
        <f t="shared" si="37"/>
        <v/>
      </c>
      <c r="O256" s="60"/>
      <c r="P256" s="105"/>
    </row>
    <row r="257" spans="1:16" x14ac:dyDescent="0.3">
      <c r="A257" s="54" t="str">
        <f>IF([2]weekly_demand!A258="","",[2]weekly_demand!A258)</f>
        <v/>
      </c>
      <c r="B257" s="55" t="str">
        <f>IF($A257="","",[2]weekly_demand!F258)</f>
        <v/>
      </c>
      <c r="C257" s="56" t="str">
        <f>IF($A257="","",[2]weekly_demand!H258)</f>
        <v/>
      </c>
      <c r="D257" s="57" t="str">
        <f>IF($A257="","",IF(SUMIFS([2]Fixture_Capacity_Input!$C:$C,[2]Fixture_Capacity_Input!$A:$A,$B257,[2]Fixture_Capacity_Input!$B:$B,$C257)&gt;0,SUMIFS([2]Fixture_Capacity_Input!$C:$C,[2]Fixture_Capacity_Input!$A:$A,$B257,[2]Fixture_Capacity_Input!$B:$B,$C257),[2]weekly_demand!G258))</f>
        <v/>
      </c>
      <c r="E257" s="58" t="str">
        <f>IF($A257="","",[2]weekly_demand!I258)</f>
        <v/>
      </c>
      <c r="F257" s="57" t="str">
        <f t="shared" si="34"/>
        <v/>
      </c>
      <c r="G257" s="57" t="str">
        <f t="shared" si="35"/>
        <v/>
      </c>
      <c r="H257" s="57" t="str">
        <f t="shared" si="42"/>
        <v/>
      </c>
      <c r="I257" s="58" t="str">
        <f t="shared" si="38"/>
        <v/>
      </c>
      <c r="J257" s="58" t="str">
        <f t="shared" si="36"/>
        <v/>
      </c>
      <c r="K257" s="58" t="str">
        <f t="shared" si="39"/>
        <v/>
      </c>
      <c r="L257" s="58" t="str">
        <f t="shared" si="40"/>
        <v/>
      </c>
      <c r="M257" s="58" t="str">
        <f t="shared" si="41"/>
        <v/>
      </c>
      <c r="N257" s="59" t="str">
        <f t="shared" si="37"/>
        <v/>
      </c>
      <c r="O257" s="60"/>
      <c r="P257" s="105"/>
    </row>
    <row r="258" spans="1:16" x14ac:dyDescent="0.3">
      <c r="A258" s="54" t="str">
        <f>IF([2]weekly_demand!A259="","",[2]weekly_demand!A259)</f>
        <v/>
      </c>
      <c r="B258" s="55" t="str">
        <f>IF($A258="","",[2]weekly_demand!F259)</f>
        <v/>
      </c>
      <c r="C258" s="56" t="str">
        <f>IF($A258="","",[2]weekly_demand!H259)</f>
        <v/>
      </c>
      <c r="D258" s="57" t="str">
        <f>IF($A258="","",IF(SUMIFS([2]Fixture_Capacity_Input!$C:$C,[2]Fixture_Capacity_Input!$A:$A,$B258,[2]Fixture_Capacity_Input!$B:$B,$C258)&gt;0,SUMIFS([2]Fixture_Capacity_Input!$C:$C,[2]Fixture_Capacity_Input!$A:$A,$B258,[2]Fixture_Capacity_Input!$B:$B,$C258),[2]weekly_demand!G259))</f>
        <v/>
      </c>
      <c r="E258" s="58" t="str">
        <f>IF($A258="","",[2]weekly_demand!I259)</f>
        <v/>
      </c>
      <c r="F258" s="57" t="str">
        <f t="shared" ref="F258:F321" si="43">IF($A258="","",IF($A258&lt;&gt;$A257,_xlfn.XLOOKUP($A258,$Q$2:$Q$7,$R$2:$R$7,0),K257))</f>
        <v/>
      </c>
      <c r="G258" s="57" t="str">
        <f t="shared" ref="G258:G321" si="44">IF($A258="","",_xlfn.XLOOKUP($A258,$Q$2:$Q$7,$S$2:$S$7,0))</f>
        <v/>
      </c>
      <c r="H258" s="57" t="str">
        <f t="shared" si="42"/>
        <v/>
      </c>
      <c r="I258" s="58" t="str">
        <f t="shared" si="38"/>
        <v/>
      </c>
      <c r="J258" s="58" t="str">
        <f t="shared" ref="J258:J321" si="45">IF($A258="","",MIN($D258,$I258,MAX(0,$E258+$G258-$F258)))</f>
        <v/>
      </c>
      <c r="K258" s="58" t="str">
        <f t="shared" si="39"/>
        <v/>
      </c>
      <c r="L258" s="58" t="str">
        <f t="shared" si="40"/>
        <v/>
      </c>
      <c r="M258" s="58" t="str">
        <f t="shared" si="41"/>
        <v/>
      </c>
      <c r="N258" s="59" t="str">
        <f t="shared" ref="N258:N321" si="46">IF($A258="","",IFERROR(J258/D258,0))</f>
        <v/>
      </c>
      <c r="O258" s="60"/>
      <c r="P258" s="105"/>
    </row>
    <row r="259" spans="1:16" x14ac:dyDescent="0.3">
      <c r="A259" s="54" t="str">
        <f>IF([2]weekly_demand!A260="","",[2]weekly_demand!A260)</f>
        <v/>
      </c>
      <c r="B259" s="55" t="str">
        <f>IF($A259="","",[2]weekly_demand!F260)</f>
        <v/>
      </c>
      <c r="C259" s="56" t="str">
        <f>IF($A259="","",[2]weekly_demand!H260)</f>
        <v/>
      </c>
      <c r="D259" s="57" t="str">
        <f>IF($A259="","",IF(SUMIFS([2]Fixture_Capacity_Input!$C:$C,[2]Fixture_Capacity_Input!$A:$A,$B259,[2]Fixture_Capacity_Input!$B:$B,$C259)&gt;0,SUMIFS([2]Fixture_Capacity_Input!$C:$C,[2]Fixture_Capacity_Input!$A:$A,$B259,[2]Fixture_Capacity_Input!$B:$B,$C259),[2]weekly_demand!G260))</f>
        <v/>
      </c>
      <c r="E259" s="58" t="str">
        <f>IF($A259="","",[2]weekly_demand!I260)</f>
        <v/>
      </c>
      <c r="F259" s="57" t="str">
        <f t="shared" si="43"/>
        <v/>
      </c>
      <c r="G259" s="57" t="str">
        <f t="shared" si="44"/>
        <v/>
      </c>
      <c r="H259" s="57" t="str">
        <f t="shared" si="42"/>
        <v/>
      </c>
      <c r="I259" s="58" t="str">
        <f t="shared" ref="I259:I322" si="47">IF($A259="","",MAX(0,E259+H259-F259))</f>
        <v/>
      </c>
      <c r="J259" s="58" t="str">
        <f t="shared" si="45"/>
        <v/>
      </c>
      <c r="K259" s="58" t="str">
        <f t="shared" ref="K259:K322" si="48">IF($A259="","",MIN($G259,MAX(0,$F259+$J259-$E259)))</f>
        <v/>
      </c>
      <c r="L259" s="58" t="str">
        <f t="shared" ref="L259:L322" si="49">IF($A259="","",MAX(0,E259-F259-J259))</f>
        <v/>
      </c>
      <c r="M259" s="58" t="str">
        <f t="shared" ref="M259:M322" si="50">IF($A259="","",MAX(0,F259+J259-E259))</f>
        <v/>
      </c>
      <c r="N259" s="59" t="str">
        <f t="shared" si="46"/>
        <v/>
      </c>
      <c r="O259" s="60"/>
      <c r="P259" s="105"/>
    </row>
    <row r="260" spans="1:16" x14ac:dyDescent="0.3">
      <c r="A260" s="54" t="str">
        <f>IF([2]weekly_demand!A261="","",[2]weekly_demand!A261)</f>
        <v/>
      </c>
      <c r="B260" s="55" t="str">
        <f>IF($A260="","",[2]weekly_demand!F261)</f>
        <v/>
      </c>
      <c r="C260" s="56" t="str">
        <f>IF($A260="","",[2]weekly_demand!H261)</f>
        <v/>
      </c>
      <c r="D260" s="57" t="str">
        <f>IF($A260="","",IF(SUMIFS([2]Fixture_Capacity_Input!$C:$C,[2]Fixture_Capacity_Input!$A:$A,$B260,[2]Fixture_Capacity_Input!$B:$B,$C260)&gt;0,SUMIFS([2]Fixture_Capacity_Input!$C:$C,[2]Fixture_Capacity_Input!$A:$A,$B260,[2]Fixture_Capacity_Input!$B:$B,$C260),[2]weekly_demand!G261))</f>
        <v/>
      </c>
      <c r="E260" s="58" t="str">
        <f>IF($A260="","",[2]weekly_demand!I261)</f>
        <v/>
      </c>
      <c r="F260" s="57" t="str">
        <f t="shared" si="43"/>
        <v/>
      </c>
      <c r="G260" s="57" t="str">
        <f t="shared" si="44"/>
        <v/>
      </c>
      <c r="H260" s="57" t="str">
        <f t="shared" si="42"/>
        <v/>
      </c>
      <c r="I260" s="58" t="str">
        <f t="shared" si="47"/>
        <v/>
      </c>
      <c r="J260" s="58" t="str">
        <f t="shared" si="45"/>
        <v/>
      </c>
      <c r="K260" s="58" t="str">
        <f t="shared" si="48"/>
        <v/>
      </c>
      <c r="L260" s="58" t="str">
        <f t="shared" si="49"/>
        <v/>
      </c>
      <c r="M260" s="58" t="str">
        <f t="shared" si="50"/>
        <v/>
      </c>
      <c r="N260" s="59" t="str">
        <f t="shared" si="46"/>
        <v/>
      </c>
      <c r="O260" s="60"/>
      <c r="P260" s="105"/>
    </row>
    <row r="261" spans="1:16" x14ac:dyDescent="0.3">
      <c r="A261" s="54" t="str">
        <f>IF([2]weekly_demand!A262="","",[2]weekly_demand!A262)</f>
        <v/>
      </c>
      <c r="B261" s="55" t="str">
        <f>IF($A261="","",[2]weekly_demand!F262)</f>
        <v/>
      </c>
      <c r="C261" s="56" t="str">
        <f>IF($A261="","",[2]weekly_demand!H262)</f>
        <v/>
      </c>
      <c r="D261" s="57" t="str">
        <f>IF($A261="","",IF(SUMIFS([2]Fixture_Capacity_Input!$C:$C,[2]Fixture_Capacity_Input!$A:$A,$B261,[2]Fixture_Capacity_Input!$B:$B,$C261)&gt;0,SUMIFS([2]Fixture_Capacity_Input!$C:$C,[2]Fixture_Capacity_Input!$A:$A,$B261,[2]Fixture_Capacity_Input!$B:$B,$C261),[2]weekly_demand!G262))</f>
        <v/>
      </c>
      <c r="E261" s="58" t="str">
        <f>IF($A261="","",[2]weekly_demand!I262)</f>
        <v/>
      </c>
      <c r="F261" s="57" t="str">
        <f t="shared" si="43"/>
        <v/>
      </c>
      <c r="G261" s="57" t="str">
        <f t="shared" si="44"/>
        <v/>
      </c>
      <c r="H261" s="57" t="str">
        <f t="shared" si="42"/>
        <v/>
      </c>
      <c r="I261" s="58" t="str">
        <f t="shared" si="47"/>
        <v/>
      </c>
      <c r="J261" s="58" t="str">
        <f t="shared" si="45"/>
        <v/>
      </c>
      <c r="K261" s="58" t="str">
        <f t="shared" si="48"/>
        <v/>
      </c>
      <c r="L261" s="58" t="str">
        <f t="shared" si="49"/>
        <v/>
      </c>
      <c r="M261" s="58" t="str">
        <f t="shared" si="50"/>
        <v/>
      </c>
      <c r="N261" s="59" t="str">
        <f t="shared" si="46"/>
        <v/>
      </c>
      <c r="O261" s="60"/>
      <c r="P261" s="105"/>
    </row>
    <row r="262" spans="1:16" x14ac:dyDescent="0.3">
      <c r="A262" s="54" t="str">
        <f>IF([2]weekly_demand!A263="","",[2]weekly_demand!A263)</f>
        <v/>
      </c>
      <c r="B262" s="55" t="str">
        <f>IF($A262="","",[2]weekly_demand!F263)</f>
        <v/>
      </c>
      <c r="C262" s="56" t="str">
        <f>IF($A262="","",[2]weekly_demand!H263)</f>
        <v/>
      </c>
      <c r="D262" s="57" t="str">
        <f>IF($A262="","",IF(SUMIFS([2]Fixture_Capacity_Input!$C:$C,[2]Fixture_Capacity_Input!$A:$A,$B262,[2]Fixture_Capacity_Input!$B:$B,$C262)&gt;0,SUMIFS([2]Fixture_Capacity_Input!$C:$C,[2]Fixture_Capacity_Input!$A:$A,$B262,[2]Fixture_Capacity_Input!$B:$B,$C262),[2]weekly_demand!G263))</f>
        <v/>
      </c>
      <c r="E262" s="58" t="str">
        <f>IF($A262="","",[2]weekly_demand!I263)</f>
        <v/>
      </c>
      <c r="F262" s="57" t="str">
        <f t="shared" si="43"/>
        <v/>
      </c>
      <c r="G262" s="57" t="str">
        <f t="shared" si="44"/>
        <v/>
      </c>
      <c r="H262" s="57" t="str">
        <f t="shared" si="42"/>
        <v/>
      </c>
      <c r="I262" s="58" t="str">
        <f t="shared" si="47"/>
        <v/>
      </c>
      <c r="J262" s="58" t="str">
        <f t="shared" si="45"/>
        <v/>
      </c>
      <c r="K262" s="58" t="str">
        <f t="shared" si="48"/>
        <v/>
      </c>
      <c r="L262" s="58" t="str">
        <f t="shared" si="49"/>
        <v/>
      </c>
      <c r="M262" s="58" t="str">
        <f t="shared" si="50"/>
        <v/>
      </c>
      <c r="N262" s="59" t="str">
        <f t="shared" si="46"/>
        <v/>
      </c>
      <c r="O262" s="60"/>
      <c r="P262" s="105"/>
    </row>
    <row r="263" spans="1:16" x14ac:dyDescent="0.3">
      <c r="A263" s="54" t="str">
        <f>IF([2]weekly_demand!A264="","",[2]weekly_demand!A264)</f>
        <v/>
      </c>
      <c r="B263" s="55" t="str">
        <f>IF($A263="","",[2]weekly_demand!F264)</f>
        <v/>
      </c>
      <c r="C263" s="56" t="str">
        <f>IF($A263="","",[2]weekly_demand!H264)</f>
        <v/>
      </c>
      <c r="D263" s="57" t="str">
        <f>IF($A263="","",IF(SUMIFS([2]Fixture_Capacity_Input!$C:$C,[2]Fixture_Capacity_Input!$A:$A,$B263,[2]Fixture_Capacity_Input!$B:$B,$C263)&gt;0,SUMIFS([2]Fixture_Capacity_Input!$C:$C,[2]Fixture_Capacity_Input!$A:$A,$B263,[2]Fixture_Capacity_Input!$B:$B,$C263),[2]weekly_demand!G264))</f>
        <v/>
      </c>
      <c r="E263" s="58" t="str">
        <f>IF($A263="","",[2]weekly_demand!I264)</f>
        <v/>
      </c>
      <c r="F263" s="57" t="str">
        <f t="shared" si="43"/>
        <v/>
      </c>
      <c r="G263" s="57" t="str">
        <f t="shared" si="44"/>
        <v/>
      </c>
      <c r="H263" s="57" t="str">
        <f t="shared" si="42"/>
        <v/>
      </c>
      <c r="I263" s="58" t="str">
        <f t="shared" si="47"/>
        <v/>
      </c>
      <c r="J263" s="58" t="str">
        <f t="shared" si="45"/>
        <v/>
      </c>
      <c r="K263" s="58" t="str">
        <f t="shared" si="48"/>
        <v/>
      </c>
      <c r="L263" s="58" t="str">
        <f t="shared" si="49"/>
        <v/>
      </c>
      <c r="M263" s="58" t="str">
        <f t="shared" si="50"/>
        <v/>
      </c>
      <c r="N263" s="59" t="str">
        <f t="shared" si="46"/>
        <v/>
      </c>
      <c r="O263" s="60"/>
      <c r="P263" s="105"/>
    </row>
    <row r="264" spans="1:16" x14ac:dyDescent="0.3">
      <c r="A264" s="54" t="str">
        <f>IF([2]weekly_demand!A265="","",[2]weekly_demand!A265)</f>
        <v/>
      </c>
      <c r="B264" s="55" t="str">
        <f>IF($A264="","",[2]weekly_demand!F265)</f>
        <v/>
      </c>
      <c r="C264" s="56" t="str">
        <f>IF($A264="","",[2]weekly_demand!H265)</f>
        <v/>
      </c>
      <c r="D264" s="57" t="str">
        <f>IF($A264="","",IF(SUMIFS([2]Fixture_Capacity_Input!$C:$C,[2]Fixture_Capacity_Input!$A:$A,$B264,[2]Fixture_Capacity_Input!$B:$B,$C264)&gt;0,SUMIFS([2]Fixture_Capacity_Input!$C:$C,[2]Fixture_Capacity_Input!$A:$A,$B264,[2]Fixture_Capacity_Input!$B:$B,$C264),[2]weekly_demand!G265))</f>
        <v/>
      </c>
      <c r="E264" s="58" t="str">
        <f>IF($A264="","",[2]weekly_demand!I265)</f>
        <v/>
      </c>
      <c r="F264" s="57" t="str">
        <f t="shared" si="43"/>
        <v/>
      </c>
      <c r="G264" s="57" t="str">
        <f t="shared" si="44"/>
        <v/>
      </c>
      <c r="H264" s="57" t="str">
        <f t="shared" si="42"/>
        <v/>
      </c>
      <c r="I264" s="58" t="str">
        <f t="shared" si="47"/>
        <v/>
      </c>
      <c r="J264" s="58" t="str">
        <f t="shared" si="45"/>
        <v/>
      </c>
      <c r="K264" s="58" t="str">
        <f t="shared" si="48"/>
        <v/>
      </c>
      <c r="L264" s="58" t="str">
        <f t="shared" si="49"/>
        <v/>
      </c>
      <c r="M264" s="58" t="str">
        <f t="shared" si="50"/>
        <v/>
      </c>
      <c r="N264" s="59" t="str">
        <f t="shared" si="46"/>
        <v/>
      </c>
      <c r="O264" s="60"/>
      <c r="P264" s="105"/>
    </row>
    <row r="265" spans="1:16" x14ac:dyDescent="0.3">
      <c r="A265" s="54" t="str">
        <f>IF([2]weekly_demand!A266="","",[2]weekly_demand!A266)</f>
        <v/>
      </c>
      <c r="B265" s="55" t="str">
        <f>IF($A265="","",[2]weekly_demand!F266)</f>
        <v/>
      </c>
      <c r="C265" s="56" t="str">
        <f>IF($A265="","",[2]weekly_demand!H266)</f>
        <v/>
      </c>
      <c r="D265" s="57" t="str">
        <f>IF($A265="","",IF(SUMIFS([2]Fixture_Capacity_Input!$C:$C,[2]Fixture_Capacity_Input!$A:$A,$B265,[2]Fixture_Capacity_Input!$B:$B,$C265)&gt;0,SUMIFS([2]Fixture_Capacity_Input!$C:$C,[2]Fixture_Capacity_Input!$A:$A,$B265,[2]Fixture_Capacity_Input!$B:$B,$C265),[2]weekly_demand!G266))</f>
        <v/>
      </c>
      <c r="E265" s="58" t="str">
        <f>IF($A265="","",[2]weekly_demand!I266)</f>
        <v/>
      </c>
      <c r="F265" s="57" t="str">
        <f t="shared" si="43"/>
        <v/>
      </c>
      <c r="G265" s="57" t="str">
        <f t="shared" si="44"/>
        <v/>
      </c>
      <c r="H265" s="57" t="str">
        <f t="shared" si="42"/>
        <v/>
      </c>
      <c r="I265" s="58" t="str">
        <f t="shared" si="47"/>
        <v/>
      </c>
      <c r="J265" s="58" t="str">
        <f t="shared" si="45"/>
        <v/>
      </c>
      <c r="K265" s="58" t="str">
        <f t="shared" si="48"/>
        <v/>
      </c>
      <c r="L265" s="58" t="str">
        <f t="shared" si="49"/>
        <v/>
      </c>
      <c r="M265" s="58" t="str">
        <f t="shared" si="50"/>
        <v/>
      </c>
      <c r="N265" s="59" t="str">
        <f t="shared" si="46"/>
        <v/>
      </c>
      <c r="O265" s="60"/>
      <c r="P265" s="105"/>
    </row>
    <row r="266" spans="1:16" x14ac:dyDescent="0.3">
      <c r="A266" s="54" t="str">
        <f>IF([2]weekly_demand!A267="","",[2]weekly_demand!A267)</f>
        <v/>
      </c>
      <c r="B266" s="55" t="str">
        <f>IF($A266="","",[2]weekly_demand!F267)</f>
        <v/>
      </c>
      <c r="C266" s="56" t="str">
        <f>IF($A266="","",[2]weekly_demand!H267)</f>
        <v/>
      </c>
      <c r="D266" s="57" t="str">
        <f>IF($A266="","",IF(SUMIFS([2]Fixture_Capacity_Input!$C:$C,[2]Fixture_Capacity_Input!$A:$A,$B266,[2]Fixture_Capacity_Input!$B:$B,$C266)&gt;0,SUMIFS([2]Fixture_Capacity_Input!$C:$C,[2]Fixture_Capacity_Input!$A:$A,$B266,[2]Fixture_Capacity_Input!$B:$B,$C266),[2]weekly_demand!G267))</f>
        <v/>
      </c>
      <c r="E266" s="58" t="str">
        <f>IF($A266="","",[2]weekly_demand!I267)</f>
        <v/>
      </c>
      <c r="F266" s="57" t="str">
        <f t="shared" si="43"/>
        <v/>
      </c>
      <c r="G266" s="57" t="str">
        <f t="shared" si="44"/>
        <v/>
      </c>
      <c r="H266" s="57" t="str">
        <f t="shared" si="42"/>
        <v/>
      </c>
      <c r="I266" s="58" t="str">
        <f t="shared" si="47"/>
        <v/>
      </c>
      <c r="J266" s="58" t="str">
        <f t="shared" si="45"/>
        <v/>
      </c>
      <c r="K266" s="58" t="str">
        <f t="shared" si="48"/>
        <v/>
      </c>
      <c r="L266" s="58" t="str">
        <f t="shared" si="49"/>
        <v/>
      </c>
      <c r="M266" s="58" t="str">
        <f t="shared" si="50"/>
        <v/>
      </c>
      <c r="N266" s="59" t="str">
        <f t="shared" si="46"/>
        <v/>
      </c>
      <c r="O266" s="60"/>
      <c r="P266" s="105"/>
    </row>
    <row r="267" spans="1:16" x14ac:dyDescent="0.3">
      <c r="A267" s="54" t="str">
        <f>IF([2]weekly_demand!A268="","",[2]weekly_demand!A268)</f>
        <v/>
      </c>
      <c r="B267" s="55" t="str">
        <f>IF($A267="","",[2]weekly_demand!F268)</f>
        <v/>
      </c>
      <c r="C267" s="56" t="str">
        <f>IF($A267="","",[2]weekly_demand!H268)</f>
        <v/>
      </c>
      <c r="D267" s="57" t="str">
        <f>IF($A267="","",IF(SUMIFS([2]Fixture_Capacity_Input!$C:$C,[2]Fixture_Capacity_Input!$A:$A,$B267,[2]Fixture_Capacity_Input!$B:$B,$C267)&gt;0,SUMIFS([2]Fixture_Capacity_Input!$C:$C,[2]Fixture_Capacity_Input!$A:$A,$B267,[2]Fixture_Capacity_Input!$B:$B,$C267),[2]weekly_demand!G268))</f>
        <v/>
      </c>
      <c r="E267" s="58" t="str">
        <f>IF($A267="","",[2]weekly_demand!I268)</f>
        <v/>
      </c>
      <c r="F267" s="57" t="str">
        <f t="shared" si="43"/>
        <v/>
      </c>
      <c r="G267" s="57" t="str">
        <f t="shared" si="44"/>
        <v/>
      </c>
      <c r="H267" s="57" t="str">
        <f t="shared" si="42"/>
        <v/>
      </c>
      <c r="I267" s="58" t="str">
        <f t="shared" si="47"/>
        <v/>
      </c>
      <c r="J267" s="58" t="str">
        <f t="shared" si="45"/>
        <v/>
      </c>
      <c r="K267" s="58" t="str">
        <f t="shared" si="48"/>
        <v/>
      </c>
      <c r="L267" s="58" t="str">
        <f t="shared" si="49"/>
        <v/>
      </c>
      <c r="M267" s="58" t="str">
        <f t="shared" si="50"/>
        <v/>
      </c>
      <c r="N267" s="59" t="str">
        <f t="shared" si="46"/>
        <v/>
      </c>
      <c r="O267" s="60"/>
      <c r="P267" s="105"/>
    </row>
    <row r="268" spans="1:16" x14ac:dyDescent="0.3">
      <c r="A268" s="54" t="str">
        <f>IF([2]weekly_demand!A269="","",[2]weekly_demand!A269)</f>
        <v/>
      </c>
      <c r="B268" s="55" t="str">
        <f>IF($A268="","",[2]weekly_demand!F269)</f>
        <v/>
      </c>
      <c r="C268" s="56" t="str">
        <f>IF($A268="","",[2]weekly_demand!H269)</f>
        <v/>
      </c>
      <c r="D268" s="57" t="str">
        <f>IF($A268="","",IF(SUMIFS([2]Fixture_Capacity_Input!$C:$C,[2]Fixture_Capacity_Input!$A:$A,$B268,[2]Fixture_Capacity_Input!$B:$B,$C268)&gt;0,SUMIFS([2]Fixture_Capacity_Input!$C:$C,[2]Fixture_Capacity_Input!$A:$A,$B268,[2]Fixture_Capacity_Input!$B:$B,$C268),[2]weekly_demand!G269))</f>
        <v/>
      </c>
      <c r="E268" s="58" t="str">
        <f>IF($A268="","",[2]weekly_demand!I269)</f>
        <v/>
      </c>
      <c r="F268" s="57" t="str">
        <f t="shared" si="43"/>
        <v/>
      </c>
      <c r="G268" s="57" t="str">
        <f t="shared" si="44"/>
        <v/>
      </c>
      <c r="H268" s="57" t="str">
        <f t="shared" si="42"/>
        <v/>
      </c>
      <c r="I268" s="58" t="str">
        <f t="shared" si="47"/>
        <v/>
      </c>
      <c r="J268" s="58" t="str">
        <f t="shared" si="45"/>
        <v/>
      </c>
      <c r="K268" s="58" t="str">
        <f t="shared" si="48"/>
        <v/>
      </c>
      <c r="L268" s="58" t="str">
        <f t="shared" si="49"/>
        <v/>
      </c>
      <c r="M268" s="58" t="str">
        <f t="shared" si="50"/>
        <v/>
      </c>
      <c r="N268" s="59" t="str">
        <f t="shared" si="46"/>
        <v/>
      </c>
      <c r="O268" s="60"/>
      <c r="P268" s="105"/>
    </row>
    <row r="269" spans="1:16" x14ac:dyDescent="0.3">
      <c r="A269" s="54" t="str">
        <f>IF([2]weekly_demand!A270="","",[2]weekly_demand!A270)</f>
        <v/>
      </c>
      <c r="B269" s="55" t="str">
        <f>IF($A269="","",[2]weekly_demand!F270)</f>
        <v/>
      </c>
      <c r="C269" s="56" t="str">
        <f>IF($A269="","",[2]weekly_demand!H270)</f>
        <v/>
      </c>
      <c r="D269" s="57" t="str">
        <f>IF($A269="","",IF(SUMIFS([2]Fixture_Capacity_Input!$C:$C,[2]Fixture_Capacity_Input!$A:$A,$B269,[2]Fixture_Capacity_Input!$B:$B,$C269)&gt;0,SUMIFS([2]Fixture_Capacity_Input!$C:$C,[2]Fixture_Capacity_Input!$A:$A,$B269,[2]Fixture_Capacity_Input!$B:$B,$C269),[2]weekly_demand!G270))</f>
        <v/>
      </c>
      <c r="E269" s="58" t="str">
        <f>IF($A269="","",[2]weekly_demand!I270)</f>
        <v/>
      </c>
      <c r="F269" s="57" t="str">
        <f t="shared" si="43"/>
        <v/>
      </c>
      <c r="G269" s="57" t="str">
        <f t="shared" si="44"/>
        <v/>
      </c>
      <c r="H269" s="57" t="str">
        <f t="shared" si="42"/>
        <v/>
      </c>
      <c r="I269" s="58" t="str">
        <f t="shared" si="47"/>
        <v/>
      </c>
      <c r="J269" s="58" t="str">
        <f t="shared" si="45"/>
        <v/>
      </c>
      <c r="K269" s="58" t="str">
        <f t="shared" si="48"/>
        <v/>
      </c>
      <c r="L269" s="58" t="str">
        <f t="shared" si="49"/>
        <v/>
      </c>
      <c r="M269" s="58" t="str">
        <f t="shared" si="50"/>
        <v/>
      </c>
      <c r="N269" s="59" t="str">
        <f t="shared" si="46"/>
        <v/>
      </c>
      <c r="O269" s="60"/>
      <c r="P269" s="105"/>
    </row>
    <row r="270" spans="1:16" x14ac:dyDescent="0.3">
      <c r="A270" s="54" t="str">
        <f>IF([2]weekly_demand!A271="","",[2]weekly_demand!A271)</f>
        <v/>
      </c>
      <c r="B270" s="55" t="str">
        <f>IF($A270="","",[2]weekly_demand!F271)</f>
        <v/>
      </c>
      <c r="C270" s="56" t="str">
        <f>IF($A270="","",[2]weekly_demand!H271)</f>
        <v/>
      </c>
      <c r="D270" s="57" t="str">
        <f>IF($A270="","",IF(SUMIFS([2]Fixture_Capacity_Input!$C:$C,[2]Fixture_Capacity_Input!$A:$A,$B270,[2]Fixture_Capacity_Input!$B:$B,$C270)&gt;0,SUMIFS([2]Fixture_Capacity_Input!$C:$C,[2]Fixture_Capacity_Input!$A:$A,$B270,[2]Fixture_Capacity_Input!$B:$B,$C270),[2]weekly_demand!G271))</f>
        <v/>
      </c>
      <c r="E270" s="58" t="str">
        <f>IF($A270="","",[2]weekly_demand!I271)</f>
        <v/>
      </c>
      <c r="F270" s="57" t="str">
        <f t="shared" si="43"/>
        <v/>
      </c>
      <c r="G270" s="57" t="str">
        <f t="shared" si="44"/>
        <v/>
      </c>
      <c r="H270" s="57" t="str">
        <f t="shared" si="42"/>
        <v/>
      </c>
      <c r="I270" s="58" t="str">
        <f t="shared" si="47"/>
        <v/>
      </c>
      <c r="J270" s="58" t="str">
        <f t="shared" si="45"/>
        <v/>
      </c>
      <c r="K270" s="58" t="str">
        <f t="shared" si="48"/>
        <v/>
      </c>
      <c r="L270" s="58" t="str">
        <f t="shared" si="49"/>
        <v/>
      </c>
      <c r="M270" s="58" t="str">
        <f t="shared" si="50"/>
        <v/>
      </c>
      <c r="N270" s="59" t="str">
        <f t="shared" si="46"/>
        <v/>
      </c>
      <c r="O270" s="60"/>
      <c r="P270" s="105"/>
    </row>
    <row r="271" spans="1:16" x14ac:dyDescent="0.3">
      <c r="A271" s="54" t="str">
        <f>IF([2]weekly_demand!A272="","",[2]weekly_demand!A272)</f>
        <v/>
      </c>
      <c r="B271" s="55" t="str">
        <f>IF($A271="","",[2]weekly_demand!F272)</f>
        <v/>
      </c>
      <c r="C271" s="56" t="str">
        <f>IF($A271="","",[2]weekly_demand!H272)</f>
        <v/>
      </c>
      <c r="D271" s="57" t="str">
        <f>IF($A271="","",IF(SUMIFS([2]Fixture_Capacity_Input!$C:$C,[2]Fixture_Capacity_Input!$A:$A,$B271,[2]Fixture_Capacity_Input!$B:$B,$C271)&gt;0,SUMIFS([2]Fixture_Capacity_Input!$C:$C,[2]Fixture_Capacity_Input!$A:$A,$B271,[2]Fixture_Capacity_Input!$B:$B,$C271),[2]weekly_demand!G272))</f>
        <v/>
      </c>
      <c r="E271" s="58" t="str">
        <f>IF($A271="","",[2]weekly_demand!I272)</f>
        <v/>
      </c>
      <c r="F271" s="57" t="str">
        <f t="shared" si="43"/>
        <v/>
      </c>
      <c r="G271" s="57" t="str">
        <f t="shared" si="44"/>
        <v/>
      </c>
      <c r="H271" s="57" t="str">
        <f t="shared" si="42"/>
        <v/>
      </c>
      <c r="I271" s="58" t="str">
        <f t="shared" si="47"/>
        <v/>
      </c>
      <c r="J271" s="58" t="str">
        <f t="shared" si="45"/>
        <v/>
      </c>
      <c r="K271" s="58" t="str">
        <f t="shared" si="48"/>
        <v/>
      </c>
      <c r="L271" s="58" t="str">
        <f t="shared" si="49"/>
        <v/>
      </c>
      <c r="M271" s="58" t="str">
        <f t="shared" si="50"/>
        <v/>
      </c>
      <c r="N271" s="59" t="str">
        <f t="shared" si="46"/>
        <v/>
      </c>
      <c r="O271" s="60"/>
      <c r="P271" s="105"/>
    </row>
    <row r="272" spans="1:16" x14ac:dyDescent="0.3">
      <c r="A272" s="54" t="str">
        <f>IF([2]weekly_demand!A273="","",[2]weekly_demand!A273)</f>
        <v/>
      </c>
      <c r="B272" s="55" t="str">
        <f>IF($A272="","",[2]weekly_demand!F273)</f>
        <v/>
      </c>
      <c r="C272" s="56" t="str">
        <f>IF($A272="","",[2]weekly_demand!H273)</f>
        <v/>
      </c>
      <c r="D272" s="57" t="str">
        <f>IF($A272="","",IF(SUMIFS([2]Fixture_Capacity_Input!$C:$C,[2]Fixture_Capacity_Input!$A:$A,$B272,[2]Fixture_Capacity_Input!$B:$B,$C272)&gt;0,SUMIFS([2]Fixture_Capacity_Input!$C:$C,[2]Fixture_Capacity_Input!$A:$A,$B272,[2]Fixture_Capacity_Input!$B:$B,$C272),[2]weekly_demand!G273))</f>
        <v/>
      </c>
      <c r="E272" s="58" t="str">
        <f>IF($A272="","",[2]weekly_demand!I273)</f>
        <v/>
      </c>
      <c r="F272" s="57" t="str">
        <f t="shared" si="43"/>
        <v/>
      </c>
      <c r="G272" s="57" t="str">
        <f t="shared" si="44"/>
        <v/>
      </c>
      <c r="H272" s="57" t="str">
        <f t="shared" si="42"/>
        <v/>
      </c>
      <c r="I272" s="58" t="str">
        <f t="shared" si="47"/>
        <v/>
      </c>
      <c r="J272" s="58" t="str">
        <f t="shared" si="45"/>
        <v/>
      </c>
      <c r="K272" s="58" t="str">
        <f t="shared" si="48"/>
        <v/>
      </c>
      <c r="L272" s="58" t="str">
        <f t="shared" si="49"/>
        <v/>
      </c>
      <c r="M272" s="58" t="str">
        <f t="shared" si="50"/>
        <v/>
      </c>
      <c r="N272" s="59" t="str">
        <f t="shared" si="46"/>
        <v/>
      </c>
      <c r="O272" s="60"/>
      <c r="P272" s="105"/>
    </row>
    <row r="273" spans="1:16" x14ac:dyDescent="0.3">
      <c r="A273" s="54" t="str">
        <f>IF([2]weekly_demand!A274="","",[2]weekly_demand!A274)</f>
        <v/>
      </c>
      <c r="B273" s="55" t="str">
        <f>IF($A273="","",[2]weekly_demand!F274)</f>
        <v/>
      </c>
      <c r="C273" s="56" t="str">
        <f>IF($A273="","",[2]weekly_demand!H274)</f>
        <v/>
      </c>
      <c r="D273" s="57" t="str">
        <f>IF($A273="","",IF(SUMIFS([2]Fixture_Capacity_Input!$C:$C,[2]Fixture_Capacity_Input!$A:$A,$B273,[2]Fixture_Capacity_Input!$B:$B,$C273)&gt;0,SUMIFS([2]Fixture_Capacity_Input!$C:$C,[2]Fixture_Capacity_Input!$A:$A,$B273,[2]Fixture_Capacity_Input!$B:$B,$C273),[2]weekly_demand!G274))</f>
        <v/>
      </c>
      <c r="E273" s="58" t="str">
        <f>IF($A273="","",[2]weekly_demand!I274)</f>
        <v/>
      </c>
      <c r="F273" s="57" t="str">
        <f t="shared" si="43"/>
        <v/>
      </c>
      <c r="G273" s="57" t="str">
        <f t="shared" si="44"/>
        <v/>
      </c>
      <c r="H273" s="57" t="str">
        <f t="shared" si="42"/>
        <v/>
      </c>
      <c r="I273" s="58" t="str">
        <f t="shared" si="47"/>
        <v/>
      </c>
      <c r="J273" s="58" t="str">
        <f t="shared" si="45"/>
        <v/>
      </c>
      <c r="K273" s="58" t="str">
        <f t="shared" si="48"/>
        <v/>
      </c>
      <c r="L273" s="58" t="str">
        <f t="shared" si="49"/>
        <v/>
      </c>
      <c r="M273" s="58" t="str">
        <f t="shared" si="50"/>
        <v/>
      </c>
      <c r="N273" s="59" t="str">
        <f t="shared" si="46"/>
        <v/>
      </c>
      <c r="O273" s="60"/>
      <c r="P273" s="105"/>
    </row>
    <row r="274" spans="1:16" x14ac:dyDescent="0.3">
      <c r="A274" s="54" t="str">
        <f>IF([2]weekly_demand!A275="","",[2]weekly_demand!A275)</f>
        <v/>
      </c>
      <c r="B274" s="55" t="str">
        <f>IF($A274="","",[2]weekly_demand!F275)</f>
        <v/>
      </c>
      <c r="C274" s="56" t="str">
        <f>IF($A274="","",[2]weekly_demand!H275)</f>
        <v/>
      </c>
      <c r="D274" s="57" t="str">
        <f>IF($A274="","",IF(SUMIFS([2]Fixture_Capacity_Input!$C:$C,[2]Fixture_Capacity_Input!$A:$A,$B274,[2]Fixture_Capacity_Input!$B:$B,$C274)&gt;0,SUMIFS([2]Fixture_Capacity_Input!$C:$C,[2]Fixture_Capacity_Input!$A:$A,$B274,[2]Fixture_Capacity_Input!$B:$B,$C274),[2]weekly_demand!G275))</f>
        <v/>
      </c>
      <c r="E274" s="58" t="str">
        <f>IF($A274="","",[2]weekly_demand!I275)</f>
        <v/>
      </c>
      <c r="F274" s="57" t="str">
        <f t="shared" si="43"/>
        <v/>
      </c>
      <c r="G274" s="57" t="str">
        <f t="shared" si="44"/>
        <v/>
      </c>
      <c r="H274" s="57" t="str">
        <f t="shared" si="42"/>
        <v/>
      </c>
      <c r="I274" s="58" t="str">
        <f t="shared" si="47"/>
        <v/>
      </c>
      <c r="J274" s="58" t="str">
        <f t="shared" si="45"/>
        <v/>
      </c>
      <c r="K274" s="58" t="str">
        <f t="shared" si="48"/>
        <v/>
      </c>
      <c r="L274" s="58" t="str">
        <f t="shared" si="49"/>
        <v/>
      </c>
      <c r="M274" s="58" t="str">
        <f t="shared" si="50"/>
        <v/>
      </c>
      <c r="N274" s="59" t="str">
        <f t="shared" si="46"/>
        <v/>
      </c>
      <c r="O274" s="60"/>
      <c r="P274" s="105"/>
    </row>
    <row r="275" spans="1:16" x14ac:dyDescent="0.3">
      <c r="A275" s="54" t="str">
        <f>IF([2]weekly_demand!A276="","",[2]weekly_demand!A276)</f>
        <v/>
      </c>
      <c r="B275" s="55" t="str">
        <f>IF($A275="","",[2]weekly_demand!F276)</f>
        <v/>
      </c>
      <c r="C275" s="56" t="str">
        <f>IF($A275="","",[2]weekly_demand!H276)</f>
        <v/>
      </c>
      <c r="D275" s="57" t="str">
        <f>IF($A275="","",IF(SUMIFS([2]Fixture_Capacity_Input!$C:$C,[2]Fixture_Capacity_Input!$A:$A,$B275,[2]Fixture_Capacity_Input!$B:$B,$C275)&gt;0,SUMIFS([2]Fixture_Capacity_Input!$C:$C,[2]Fixture_Capacity_Input!$A:$A,$B275,[2]Fixture_Capacity_Input!$B:$B,$C275),[2]weekly_demand!G276))</f>
        <v/>
      </c>
      <c r="E275" s="58" t="str">
        <f>IF($A275="","",[2]weekly_demand!I276)</f>
        <v/>
      </c>
      <c r="F275" s="57" t="str">
        <f t="shared" si="43"/>
        <v/>
      </c>
      <c r="G275" s="57" t="str">
        <f t="shared" si="44"/>
        <v/>
      </c>
      <c r="H275" s="57" t="str">
        <f t="shared" si="42"/>
        <v/>
      </c>
      <c r="I275" s="58" t="str">
        <f t="shared" si="47"/>
        <v/>
      </c>
      <c r="J275" s="58" t="str">
        <f t="shared" si="45"/>
        <v/>
      </c>
      <c r="K275" s="58" t="str">
        <f t="shared" si="48"/>
        <v/>
      </c>
      <c r="L275" s="58" t="str">
        <f t="shared" si="49"/>
        <v/>
      </c>
      <c r="M275" s="58" t="str">
        <f t="shared" si="50"/>
        <v/>
      </c>
      <c r="N275" s="59" t="str">
        <f t="shared" si="46"/>
        <v/>
      </c>
      <c r="O275" s="60"/>
      <c r="P275" s="105"/>
    </row>
    <row r="276" spans="1:16" x14ac:dyDescent="0.3">
      <c r="A276" s="54" t="str">
        <f>IF([2]weekly_demand!A277="","",[2]weekly_demand!A277)</f>
        <v/>
      </c>
      <c r="B276" s="55" t="str">
        <f>IF($A276="","",[2]weekly_demand!F277)</f>
        <v/>
      </c>
      <c r="C276" s="56" t="str">
        <f>IF($A276="","",[2]weekly_demand!H277)</f>
        <v/>
      </c>
      <c r="D276" s="57" t="str">
        <f>IF($A276="","",IF(SUMIFS([2]Fixture_Capacity_Input!$C:$C,[2]Fixture_Capacity_Input!$A:$A,$B276,[2]Fixture_Capacity_Input!$B:$B,$C276)&gt;0,SUMIFS([2]Fixture_Capacity_Input!$C:$C,[2]Fixture_Capacity_Input!$A:$A,$B276,[2]Fixture_Capacity_Input!$B:$B,$C276),[2]weekly_demand!G277))</f>
        <v/>
      </c>
      <c r="E276" s="58" t="str">
        <f>IF($A276="","",[2]weekly_demand!I277)</f>
        <v/>
      </c>
      <c r="F276" s="57" t="str">
        <f t="shared" si="43"/>
        <v/>
      </c>
      <c r="G276" s="57" t="str">
        <f t="shared" si="44"/>
        <v/>
      </c>
      <c r="H276" s="57" t="str">
        <f t="shared" si="42"/>
        <v/>
      </c>
      <c r="I276" s="58" t="str">
        <f t="shared" si="47"/>
        <v/>
      </c>
      <c r="J276" s="58" t="str">
        <f t="shared" si="45"/>
        <v/>
      </c>
      <c r="K276" s="58" t="str">
        <f t="shared" si="48"/>
        <v/>
      </c>
      <c r="L276" s="58" t="str">
        <f t="shared" si="49"/>
        <v/>
      </c>
      <c r="M276" s="58" t="str">
        <f t="shared" si="50"/>
        <v/>
      </c>
      <c r="N276" s="59" t="str">
        <f t="shared" si="46"/>
        <v/>
      </c>
      <c r="O276" s="60"/>
      <c r="P276" s="105"/>
    </row>
    <row r="277" spans="1:16" x14ac:dyDescent="0.3">
      <c r="A277" s="54" t="str">
        <f>IF([2]weekly_demand!A278="","",[2]weekly_demand!A278)</f>
        <v/>
      </c>
      <c r="B277" s="55" t="str">
        <f>IF($A277="","",[2]weekly_demand!F278)</f>
        <v/>
      </c>
      <c r="C277" s="56" t="str">
        <f>IF($A277="","",[2]weekly_demand!H278)</f>
        <v/>
      </c>
      <c r="D277" s="57" t="str">
        <f>IF($A277="","",IF(SUMIFS([2]Fixture_Capacity_Input!$C:$C,[2]Fixture_Capacity_Input!$A:$A,$B277,[2]Fixture_Capacity_Input!$B:$B,$C277)&gt;0,SUMIFS([2]Fixture_Capacity_Input!$C:$C,[2]Fixture_Capacity_Input!$A:$A,$B277,[2]Fixture_Capacity_Input!$B:$B,$C277),[2]weekly_demand!G278))</f>
        <v/>
      </c>
      <c r="E277" s="58" t="str">
        <f>IF($A277="","",[2]weekly_demand!I278)</f>
        <v/>
      </c>
      <c r="F277" s="57" t="str">
        <f t="shared" si="43"/>
        <v/>
      </c>
      <c r="G277" s="57" t="str">
        <f t="shared" si="44"/>
        <v/>
      </c>
      <c r="H277" s="57" t="str">
        <f t="shared" si="42"/>
        <v/>
      </c>
      <c r="I277" s="58" t="str">
        <f t="shared" si="47"/>
        <v/>
      </c>
      <c r="J277" s="58" t="str">
        <f t="shared" si="45"/>
        <v/>
      </c>
      <c r="K277" s="58" t="str">
        <f t="shared" si="48"/>
        <v/>
      </c>
      <c r="L277" s="58" t="str">
        <f t="shared" si="49"/>
        <v/>
      </c>
      <c r="M277" s="58" t="str">
        <f t="shared" si="50"/>
        <v/>
      </c>
      <c r="N277" s="59" t="str">
        <f t="shared" si="46"/>
        <v/>
      </c>
      <c r="O277" s="60"/>
      <c r="P277" s="105"/>
    </row>
    <row r="278" spans="1:16" x14ac:dyDescent="0.3">
      <c r="A278" s="54" t="str">
        <f>IF([2]weekly_demand!A279="","",[2]weekly_demand!A279)</f>
        <v/>
      </c>
      <c r="B278" s="55" t="str">
        <f>IF($A278="","",[2]weekly_demand!F279)</f>
        <v/>
      </c>
      <c r="C278" s="56" t="str">
        <f>IF($A278="","",[2]weekly_demand!H279)</f>
        <v/>
      </c>
      <c r="D278" s="57" t="str">
        <f>IF($A278="","",IF(SUMIFS([2]Fixture_Capacity_Input!$C:$C,[2]Fixture_Capacity_Input!$A:$A,$B278,[2]Fixture_Capacity_Input!$B:$B,$C278)&gt;0,SUMIFS([2]Fixture_Capacity_Input!$C:$C,[2]Fixture_Capacity_Input!$A:$A,$B278,[2]Fixture_Capacity_Input!$B:$B,$C278),[2]weekly_demand!G279))</f>
        <v/>
      </c>
      <c r="E278" s="58" t="str">
        <f>IF($A278="","",[2]weekly_demand!I279)</f>
        <v/>
      </c>
      <c r="F278" s="57" t="str">
        <f t="shared" si="43"/>
        <v/>
      </c>
      <c r="G278" s="57" t="str">
        <f t="shared" si="44"/>
        <v/>
      </c>
      <c r="H278" s="57" t="str">
        <f t="shared" si="42"/>
        <v/>
      </c>
      <c r="I278" s="58" t="str">
        <f t="shared" si="47"/>
        <v/>
      </c>
      <c r="J278" s="58" t="str">
        <f t="shared" si="45"/>
        <v/>
      </c>
      <c r="K278" s="58" t="str">
        <f t="shared" si="48"/>
        <v/>
      </c>
      <c r="L278" s="58" t="str">
        <f t="shared" si="49"/>
        <v/>
      </c>
      <c r="M278" s="58" t="str">
        <f t="shared" si="50"/>
        <v/>
      </c>
      <c r="N278" s="59" t="str">
        <f t="shared" si="46"/>
        <v/>
      </c>
      <c r="O278" s="60"/>
      <c r="P278" s="105"/>
    </row>
    <row r="279" spans="1:16" x14ac:dyDescent="0.3">
      <c r="A279" s="54" t="str">
        <f>IF([2]weekly_demand!A280="","",[2]weekly_demand!A280)</f>
        <v/>
      </c>
      <c r="B279" s="55" t="str">
        <f>IF($A279="","",[2]weekly_demand!F280)</f>
        <v/>
      </c>
      <c r="C279" s="56" t="str">
        <f>IF($A279="","",[2]weekly_demand!H280)</f>
        <v/>
      </c>
      <c r="D279" s="57" t="str">
        <f>IF($A279="","",IF(SUMIFS([2]Fixture_Capacity_Input!$C:$C,[2]Fixture_Capacity_Input!$A:$A,$B279,[2]Fixture_Capacity_Input!$B:$B,$C279)&gt;0,SUMIFS([2]Fixture_Capacity_Input!$C:$C,[2]Fixture_Capacity_Input!$A:$A,$B279,[2]Fixture_Capacity_Input!$B:$B,$C279),[2]weekly_demand!G280))</f>
        <v/>
      </c>
      <c r="E279" s="58" t="str">
        <f>IF($A279="","",[2]weekly_demand!I280)</f>
        <v/>
      </c>
      <c r="F279" s="57" t="str">
        <f t="shared" si="43"/>
        <v/>
      </c>
      <c r="G279" s="57" t="str">
        <f t="shared" si="44"/>
        <v/>
      </c>
      <c r="H279" s="57" t="str">
        <f t="shared" si="42"/>
        <v/>
      </c>
      <c r="I279" s="58" t="str">
        <f t="shared" si="47"/>
        <v/>
      </c>
      <c r="J279" s="58" t="str">
        <f t="shared" si="45"/>
        <v/>
      </c>
      <c r="K279" s="58" t="str">
        <f t="shared" si="48"/>
        <v/>
      </c>
      <c r="L279" s="58" t="str">
        <f t="shared" si="49"/>
        <v/>
      </c>
      <c r="M279" s="58" t="str">
        <f t="shared" si="50"/>
        <v/>
      </c>
      <c r="N279" s="59" t="str">
        <f t="shared" si="46"/>
        <v/>
      </c>
      <c r="O279" s="60"/>
      <c r="P279" s="105"/>
    </row>
    <row r="280" spans="1:16" x14ac:dyDescent="0.3">
      <c r="A280" s="54" t="str">
        <f>IF([2]weekly_demand!A281="","",[2]weekly_demand!A281)</f>
        <v/>
      </c>
      <c r="B280" s="55" t="str">
        <f>IF($A280="","",[2]weekly_demand!F281)</f>
        <v/>
      </c>
      <c r="C280" s="56" t="str">
        <f>IF($A280="","",[2]weekly_demand!H281)</f>
        <v/>
      </c>
      <c r="D280" s="57" t="str">
        <f>IF($A280="","",IF(SUMIFS([2]Fixture_Capacity_Input!$C:$C,[2]Fixture_Capacity_Input!$A:$A,$B280,[2]Fixture_Capacity_Input!$B:$B,$C280)&gt;0,SUMIFS([2]Fixture_Capacity_Input!$C:$C,[2]Fixture_Capacity_Input!$A:$A,$B280,[2]Fixture_Capacity_Input!$B:$B,$C280),[2]weekly_demand!G281))</f>
        <v/>
      </c>
      <c r="E280" s="58" t="str">
        <f>IF($A280="","",[2]weekly_demand!I281)</f>
        <v/>
      </c>
      <c r="F280" s="57" t="str">
        <f t="shared" si="43"/>
        <v/>
      </c>
      <c r="G280" s="57" t="str">
        <f t="shared" si="44"/>
        <v/>
      </c>
      <c r="H280" s="57" t="str">
        <f t="shared" si="42"/>
        <v/>
      </c>
      <c r="I280" s="58" t="str">
        <f t="shared" si="47"/>
        <v/>
      </c>
      <c r="J280" s="58" t="str">
        <f t="shared" si="45"/>
        <v/>
      </c>
      <c r="K280" s="58" t="str">
        <f t="shared" si="48"/>
        <v/>
      </c>
      <c r="L280" s="58" t="str">
        <f t="shared" si="49"/>
        <v/>
      </c>
      <c r="M280" s="58" t="str">
        <f t="shared" si="50"/>
        <v/>
      </c>
      <c r="N280" s="59" t="str">
        <f t="shared" si="46"/>
        <v/>
      </c>
      <c r="O280" s="60"/>
      <c r="P280" s="105"/>
    </row>
    <row r="281" spans="1:16" x14ac:dyDescent="0.3">
      <c r="A281" s="54" t="str">
        <f>IF([2]weekly_demand!A282="","",[2]weekly_demand!A282)</f>
        <v/>
      </c>
      <c r="B281" s="55" t="str">
        <f>IF($A281="","",[2]weekly_demand!F282)</f>
        <v/>
      </c>
      <c r="C281" s="56" t="str">
        <f>IF($A281="","",[2]weekly_demand!H282)</f>
        <v/>
      </c>
      <c r="D281" s="57" t="str">
        <f>IF($A281="","",IF(SUMIFS([2]Fixture_Capacity_Input!$C:$C,[2]Fixture_Capacity_Input!$A:$A,$B281,[2]Fixture_Capacity_Input!$B:$B,$C281)&gt;0,SUMIFS([2]Fixture_Capacity_Input!$C:$C,[2]Fixture_Capacity_Input!$A:$A,$B281,[2]Fixture_Capacity_Input!$B:$B,$C281),[2]weekly_demand!G282))</f>
        <v/>
      </c>
      <c r="E281" s="58" t="str">
        <f>IF($A281="","",[2]weekly_demand!I282)</f>
        <v/>
      </c>
      <c r="F281" s="57" t="str">
        <f t="shared" si="43"/>
        <v/>
      </c>
      <c r="G281" s="57" t="str">
        <f t="shared" si="44"/>
        <v/>
      </c>
      <c r="H281" s="57" t="str">
        <f t="shared" si="42"/>
        <v/>
      </c>
      <c r="I281" s="58" t="str">
        <f t="shared" si="47"/>
        <v/>
      </c>
      <c r="J281" s="58" t="str">
        <f t="shared" si="45"/>
        <v/>
      </c>
      <c r="K281" s="58" t="str">
        <f t="shared" si="48"/>
        <v/>
      </c>
      <c r="L281" s="58" t="str">
        <f t="shared" si="49"/>
        <v/>
      </c>
      <c r="M281" s="58" t="str">
        <f t="shared" si="50"/>
        <v/>
      </c>
      <c r="N281" s="59" t="str">
        <f t="shared" si="46"/>
        <v/>
      </c>
      <c r="O281" s="60"/>
      <c r="P281" s="105"/>
    </row>
    <row r="282" spans="1:16" x14ac:dyDescent="0.3">
      <c r="A282" s="54" t="str">
        <f>IF([2]weekly_demand!A283="","",[2]weekly_demand!A283)</f>
        <v/>
      </c>
      <c r="B282" s="55" t="str">
        <f>IF($A282="","",[2]weekly_demand!F283)</f>
        <v/>
      </c>
      <c r="C282" s="56" t="str">
        <f>IF($A282="","",[2]weekly_demand!H283)</f>
        <v/>
      </c>
      <c r="D282" s="57" t="str">
        <f>IF($A282="","",IF(SUMIFS([2]Fixture_Capacity_Input!$C:$C,[2]Fixture_Capacity_Input!$A:$A,$B282,[2]Fixture_Capacity_Input!$B:$B,$C282)&gt;0,SUMIFS([2]Fixture_Capacity_Input!$C:$C,[2]Fixture_Capacity_Input!$A:$A,$B282,[2]Fixture_Capacity_Input!$B:$B,$C282),[2]weekly_demand!G283))</f>
        <v/>
      </c>
      <c r="E282" s="58" t="str">
        <f>IF($A282="","",[2]weekly_demand!I283)</f>
        <v/>
      </c>
      <c r="F282" s="57" t="str">
        <f t="shared" si="43"/>
        <v/>
      </c>
      <c r="G282" s="57" t="str">
        <f t="shared" si="44"/>
        <v/>
      </c>
      <c r="H282" s="57" t="str">
        <f t="shared" si="42"/>
        <v/>
      </c>
      <c r="I282" s="58" t="str">
        <f t="shared" si="47"/>
        <v/>
      </c>
      <c r="J282" s="58" t="str">
        <f t="shared" si="45"/>
        <v/>
      </c>
      <c r="K282" s="58" t="str">
        <f t="shared" si="48"/>
        <v/>
      </c>
      <c r="L282" s="58" t="str">
        <f t="shared" si="49"/>
        <v/>
      </c>
      <c r="M282" s="58" t="str">
        <f t="shared" si="50"/>
        <v/>
      </c>
      <c r="N282" s="59" t="str">
        <f t="shared" si="46"/>
        <v/>
      </c>
      <c r="O282" s="60"/>
      <c r="P282" s="105"/>
    </row>
    <row r="283" spans="1:16" x14ac:dyDescent="0.3">
      <c r="A283" s="54" t="str">
        <f>IF([2]weekly_demand!A284="","",[2]weekly_demand!A284)</f>
        <v/>
      </c>
      <c r="B283" s="55" t="str">
        <f>IF($A283="","",[2]weekly_demand!F284)</f>
        <v/>
      </c>
      <c r="C283" s="56" t="str">
        <f>IF($A283="","",[2]weekly_demand!H284)</f>
        <v/>
      </c>
      <c r="D283" s="57" t="str">
        <f>IF($A283="","",IF(SUMIFS([2]Fixture_Capacity_Input!$C:$C,[2]Fixture_Capacity_Input!$A:$A,$B283,[2]Fixture_Capacity_Input!$B:$B,$C283)&gt;0,SUMIFS([2]Fixture_Capacity_Input!$C:$C,[2]Fixture_Capacity_Input!$A:$A,$B283,[2]Fixture_Capacity_Input!$B:$B,$C283),[2]weekly_demand!G284))</f>
        <v/>
      </c>
      <c r="E283" s="58" t="str">
        <f>IF($A283="","",[2]weekly_demand!I284)</f>
        <v/>
      </c>
      <c r="F283" s="57" t="str">
        <f t="shared" si="43"/>
        <v/>
      </c>
      <c r="G283" s="57" t="str">
        <f t="shared" si="44"/>
        <v/>
      </c>
      <c r="H283" s="57" t="str">
        <f t="shared" si="42"/>
        <v/>
      </c>
      <c r="I283" s="58" t="str">
        <f t="shared" si="47"/>
        <v/>
      </c>
      <c r="J283" s="58" t="str">
        <f t="shared" si="45"/>
        <v/>
      </c>
      <c r="K283" s="58" t="str">
        <f t="shared" si="48"/>
        <v/>
      </c>
      <c r="L283" s="58" t="str">
        <f t="shared" si="49"/>
        <v/>
      </c>
      <c r="M283" s="58" t="str">
        <f t="shared" si="50"/>
        <v/>
      </c>
      <c r="N283" s="59" t="str">
        <f t="shared" si="46"/>
        <v/>
      </c>
      <c r="O283" s="60"/>
      <c r="P283" s="105"/>
    </row>
    <row r="284" spans="1:16" x14ac:dyDescent="0.3">
      <c r="A284" s="54" t="str">
        <f>IF([2]weekly_demand!A285="","",[2]weekly_demand!A285)</f>
        <v/>
      </c>
      <c r="B284" s="55" t="str">
        <f>IF($A284="","",[2]weekly_demand!F285)</f>
        <v/>
      </c>
      <c r="C284" s="56" t="str">
        <f>IF($A284="","",[2]weekly_demand!H285)</f>
        <v/>
      </c>
      <c r="D284" s="57" t="str">
        <f>IF($A284="","",IF(SUMIFS([2]Fixture_Capacity_Input!$C:$C,[2]Fixture_Capacity_Input!$A:$A,$B284,[2]Fixture_Capacity_Input!$B:$B,$C284)&gt;0,SUMIFS([2]Fixture_Capacity_Input!$C:$C,[2]Fixture_Capacity_Input!$A:$A,$B284,[2]Fixture_Capacity_Input!$B:$B,$C284),[2]weekly_demand!G285))</f>
        <v/>
      </c>
      <c r="E284" s="58" t="str">
        <f>IF($A284="","",[2]weekly_demand!I285)</f>
        <v/>
      </c>
      <c r="F284" s="57" t="str">
        <f t="shared" si="43"/>
        <v/>
      </c>
      <c r="G284" s="57" t="str">
        <f t="shared" si="44"/>
        <v/>
      </c>
      <c r="H284" s="57" t="str">
        <f t="shared" si="42"/>
        <v/>
      </c>
      <c r="I284" s="58" t="str">
        <f t="shared" si="47"/>
        <v/>
      </c>
      <c r="J284" s="58" t="str">
        <f t="shared" si="45"/>
        <v/>
      </c>
      <c r="K284" s="58" t="str">
        <f t="shared" si="48"/>
        <v/>
      </c>
      <c r="L284" s="58" t="str">
        <f t="shared" si="49"/>
        <v/>
      </c>
      <c r="M284" s="58" t="str">
        <f t="shared" si="50"/>
        <v/>
      </c>
      <c r="N284" s="59" t="str">
        <f t="shared" si="46"/>
        <v/>
      </c>
      <c r="O284" s="60"/>
      <c r="P284" s="105"/>
    </row>
    <row r="285" spans="1:16" x14ac:dyDescent="0.3">
      <c r="A285" s="54" t="str">
        <f>IF([2]weekly_demand!A286="","",[2]weekly_demand!A286)</f>
        <v/>
      </c>
      <c r="B285" s="55" t="str">
        <f>IF($A285="","",[2]weekly_demand!F286)</f>
        <v/>
      </c>
      <c r="C285" s="56" t="str">
        <f>IF($A285="","",[2]weekly_demand!H286)</f>
        <v/>
      </c>
      <c r="D285" s="57" t="str">
        <f>IF($A285="","",IF(SUMIFS([2]Fixture_Capacity_Input!$C:$C,[2]Fixture_Capacity_Input!$A:$A,$B285,[2]Fixture_Capacity_Input!$B:$B,$C285)&gt;0,SUMIFS([2]Fixture_Capacity_Input!$C:$C,[2]Fixture_Capacity_Input!$A:$A,$B285,[2]Fixture_Capacity_Input!$B:$B,$C285),[2]weekly_demand!G286))</f>
        <v/>
      </c>
      <c r="E285" s="58" t="str">
        <f>IF($A285="","",[2]weekly_demand!I286)</f>
        <v/>
      </c>
      <c r="F285" s="57" t="str">
        <f t="shared" si="43"/>
        <v/>
      </c>
      <c r="G285" s="57" t="str">
        <f t="shared" si="44"/>
        <v/>
      </c>
      <c r="H285" s="57" t="str">
        <f t="shared" si="42"/>
        <v/>
      </c>
      <c r="I285" s="58" t="str">
        <f t="shared" si="47"/>
        <v/>
      </c>
      <c r="J285" s="58" t="str">
        <f t="shared" si="45"/>
        <v/>
      </c>
      <c r="K285" s="58" t="str">
        <f t="shared" si="48"/>
        <v/>
      </c>
      <c r="L285" s="58" t="str">
        <f t="shared" si="49"/>
        <v/>
      </c>
      <c r="M285" s="58" t="str">
        <f t="shared" si="50"/>
        <v/>
      </c>
      <c r="N285" s="59" t="str">
        <f t="shared" si="46"/>
        <v/>
      </c>
      <c r="O285" s="60"/>
      <c r="P285" s="105"/>
    </row>
    <row r="286" spans="1:16" x14ac:dyDescent="0.3">
      <c r="A286" s="54" t="str">
        <f>IF([2]weekly_demand!A287="","",[2]weekly_demand!A287)</f>
        <v/>
      </c>
      <c r="B286" s="55" t="str">
        <f>IF($A286="","",[2]weekly_demand!F287)</f>
        <v/>
      </c>
      <c r="C286" s="56" t="str">
        <f>IF($A286="","",[2]weekly_demand!H287)</f>
        <v/>
      </c>
      <c r="D286" s="57" t="str">
        <f>IF($A286="","",IF(SUMIFS([2]Fixture_Capacity_Input!$C:$C,[2]Fixture_Capacity_Input!$A:$A,$B286,[2]Fixture_Capacity_Input!$B:$B,$C286)&gt;0,SUMIFS([2]Fixture_Capacity_Input!$C:$C,[2]Fixture_Capacity_Input!$A:$A,$B286,[2]Fixture_Capacity_Input!$B:$B,$C286),[2]weekly_demand!G287))</f>
        <v/>
      </c>
      <c r="E286" s="58" t="str">
        <f>IF($A286="","",[2]weekly_demand!I287)</f>
        <v/>
      </c>
      <c r="F286" s="57" t="str">
        <f t="shared" si="43"/>
        <v/>
      </c>
      <c r="G286" s="57" t="str">
        <f t="shared" si="44"/>
        <v/>
      </c>
      <c r="H286" s="57" t="str">
        <f t="shared" si="42"/>
        <v/>
      </c>
      <c r="I286" s="58" t="str">
        <f t="shared" si="47"/>
        <v/>
      </c>
      <c r="J286" s="58" t="str">
        <f t="shared" si="45"/>
        <v/>
      </c>
      <c r="K286" s="58" t="str">
        <f t="shared" si="48"/>
        <v/>
      </c>
      <c r="L286" s="58" t="str">
        <f t="shared" si="49"/>
        <v/>
      </c>
      <c r="M286" s="58" t="str">
        <f t="shared" si="50"/>
        <v/>
      </c>
      <c r="N286" s="59" t="str">
        <f t="shared" si="46"/>
        <v/>
      </c>
      <c r="O286" s="60"/>
      <c r="P286" s="105"/>
    </row>
    <row r="287" spans="1:16" x14ac:dyDescent="0.3">
      <c r="A287" s="54" t="str">
        <f>IF([2]weekly_demand!A288="","",[2]weekly_demand!A288)</f>
        <v/>
      </c>
      <c r="B287" s="55" t="str">
        <f>IF($A287="","",[2]weekly_demand!F288)</f>
        <v/>
      </c>
      <c r="C287" s="56" t="str">
        <f>IF($A287="","",[2]weekly_demand!H288)</f>
        <v/>
      </c>
      <c r="D287" s="57" t="str">
        <f>IF($A287="","",IF(SUMIFS([2]Fixture_Capacity_Input!$C:$C,[2]Fixture_Capacity_Input!$A:$A,$B287,[2]Fixture_Capacity_Input!$B:$B,$C287)&gt;0,SUMIFS([2]Fixture_Capacity_Input!$C:$C,[2]Fixture_Capacity_Input!$A:$A,$B287,[2]Fixture_Capacity_Input!$B:$B,$C287),[2]weekly_demand!G288))</f>
        <v/>
      </c>
      <c r="E287" s="58" t="str">
        <f>IF($A287="","",[2]weekly_demand!I288)</f>
        <v/>
      </c>
      <c r="F287" s="57" t="str">
        <f t="shared" si="43"/>
        <v/>
      </c>
      <c r="G287" s="57" t="str">
        <f t="shared" si="44"/>
        <v/>
      </c>
      <c r="H287" s="57" t="str">
        <f t="shared" si="42"/>
        <v/>
      </c>
      <c r="I287" s="58" t="str">
        <f t="shared" si="47"/>
        <v/>
      </c>
      <c r="J287" s="58" t="str">
        <f t="shared" si="45"/>
        <v/>
      </c>
      <c r="K287" s="58" t="str">
        <f t="shared" si="48"/>
        <v/>
      </c>
      <c r="L287" s="58" t="str">
        <f t="shared" si="49"/>
        <v/>
      </c>
      <c r="M287" s="58" t="str">
        <f t="shared" si="50"/>
        <v/>
      </c>
      <c r="N287" s="59" t="str">
        <f t="shared" si="46"/>
        <v/>
      </c>
      <c r="O287" s="60"/>
      <c r="P287" s="105"/>
    </row>
    <row r="288" spans="1:16" x14ac:dyDescent="0.3">
      <c r="A288" s="54" t="str">
        <f>IF([2]weekly_demand!A289="","",[2]weekly_demand!A289)</f>
        <v/>
      </c>
      <c r="B288" s="55" t="str">
        <f>IF($A288="","",[2]weekly_demand!F289)</f>
        <v/>
      </c>
      <c r="C288" s="56" t="str">
        <f>IF($A288="","",[2]weekly_demand!H289)</f>
        <v/>
      </c>
      <c r="D288" s="57" t="str">
        <f>IF($A288="","",IF(SUMIFS([2]Fixture_Capacity_Input!$C:$C,[2]Fixture_Capacity_Input!$A:$A,$B288,[2]Fixture_Capacity_Input!$B:$B,$C288)&gt;0,SUMIFS([2]Fixture_Capacity_Input!$C:$C,[2]Fixture_Capacity_Input!$A:$A,$B288,[2]Fixture_Capacity_Input!$B:$B,$C288),[2]weekly_demand!G289))</f>
        <v/>
      </c>
      <c r="E288" s="58" t="str">
        <f>IF($A288="","",[2]weekly_demand!I289)</f>
        <v/>
      </c>
      <c r="F288" s="57" t="str">
        <f t="shared" si="43"/>
        <v/>
      </c>
      <c r="G288" s="57" t="str">
        <f t="shared" si="44"/>
        <v/>
      </c>
      <c r="H288" s="57" t="str">
        <f t="shared" si="42"/>
        <v/>
      </c>
      <c r="I288" s="58" t="str">
        <f t="shared" si="47"/>
        <v/>
      </c>
      <c r="J288" s="58" t="str">
        <f t="shared" si="45"/>
        <v/>
      </c>
      <c r="K288" s="58" t="str">
        <f t="shared" si="48"/>
        <v/>
      </c>
      <c r="L288" s="58" t="str">
        <f t="shared" si="49"/>
        <v/>
      </c>
      <c r="M288" s="58" t="str">
        <f t="shared" si="50"/>
        <v/>
      </c>
      <c r="N288" s="59" t="str">
        <f t="shared" si="46"/>
        <v/>
      </c>
      <c r="O288" s="60"/>
      <c r="P288" s="105"/>
    </row>
    <row r="289" spans="1:16" x14ac:dyDescent="0.3">
      <c r="A289" s="54" t="str">
        <f>IF([2]weekly_demand!A290="","",[2]weekly_demand!A290)</f>
        <v/>
      </c>
      <c r="B289" s="55" t="str">
        <f>IF($A289="","",[2]weekly_demand!F290)</f>
        <v/>
      </c>
      <c r="C289" s="56" t="str">
        <f>IF($A289="","",[2]weekly_demand!H290)</f>
        <v/>
      </c>
      <c r="D289" s="57" t="str">
        <f>IF($A289="","",IF(SUMIFS([2]Fixture_Capacity_Input!$C:$C,[2]Fixture_Capacity_Input!$A:$A,$B289,[2]Fixture_Capacity_Input!$B:$B,$C289)&gt;0,SUMIFS([2]Fixture_Capacity_Input!$C:$C,[2]Fixture_Capacity_Input!$A:$A,$B289,[2]Fixture_Capacity_Input!$B:$B,$C289),[2]weekly_demand!G290))</f>
        <v/>
      </c>
      <c r="E289" s="58" t="str">
        <f>IF($A289="","",[2]weekly_demand!I290)</f>
        <v/>
      </c>
      <c r="F289" s="57" t="str">
        <f t="shared" si="43"/>
        <v/>
      </c>
      <c r="G289" s="57" t="str">
        <f t="shared" si="44"/>
        <v/>
      </c>
      <c r="H289" s="57" t="str">
        <f t="shared" si="42"/>
        <v/>
      </c>
      <c r="I289" s="58" t="str">
        <f t="shared" si="47"/>
        <v/>
      </c>
      <c r="J289" s="58" t="str">
        <f t="shared" si="45"/>
        <v/>
      </c>
      <c r="K289" s="58" t="str">
        <f t="shared" si="48"/>
        <v/>
      </c>
      <c r="L289" s="58" t="str">
        <f t="shared" si="49"/>
        <v/>
      </c>
      <c r="M289" s="58" t="str">
        <f t="shared" si="50"/>
        <v/>
      </c>
      <c r="N289" s="59" t="str">
        <f t="shared" si="46"/>
        <v/>
      </c>
      <c r="O289" s="60"/>
      <c r="P289" s="105"/>
    </row>
    <row r="290" spans="1:16" x14ac:dyDescent="0.3">
      <c r="A290" s="54" t="str">
        <f>IF([2]weekly_demand!A291="","",[2]weekly_demand!A291)</f>
        <v/>
      </c>
      <c r="B290" s="55" t="str">
        <f>IF($A290="","",[2]weekly_demand!F291)</f>
        <v/>
      </c>
      <c r="C290" s="56" t="str">
        <f>IF($A290="","",[2]weekly_demand!H291)</f>
        <v/>
      </c>
      <c r="D290" s="57" t="str">
        <f>IF($A290="","",IF(SUMIFS([2]Fixture_Capacity_Input!$C:$C,[2]Fixture_Capacity_Input!$A:$A,$B290,[2]Fixture_Capacity_Input!$B:$B,$C290)&gt;0,SUMIFS([2]Fixture_Capacity_Input!$C:$C,[2]Fixture_Capacity_Input!$A:$A,$B290,[2]Fixture_Capacity_Input!$B:$B,$C290),[2]weekly_demand!G291))</f>
        <v/>
      </c>
      <c r="E290" s="58" t="str">
        <f>IF($A290="","",[2]weekly_demand!I291)</f>
        <v/>
      </c>
      <c r="F290" s="57" t="str">
        <f t="shared" si="43"/>
        <v/>
      </c>
      <c r="G290" s="57" t="str">
        <f t="shared" si="44"/>
        <v/>
      </c>
      <c r="H290" s="57" t="str">
        <f t="shared" si="42"/>
        <v/>
      </c>
      <c r="I290" s="58" t="str">
        <f t="shared" si="47"/>
        <v/>
      </c>
      <c r="J290" s="58" t="str">
        <f t="shared" si="45"/>
        <v/>
      </c>
      <c r="K290" s="58" t="str">
        <f t="shared" si="48"/>
        <v/>
      </c>
      <c r="L290" s="58" t="str">
        <f t="shared" si="49"/>
        <v/>
      </c>
      <c r="M290" s="58" t="str">
        <f t="shared" si="50"/>
        <v/>
      </c>
      <c r="N290" s="59" t="str">
        <f t="shared" si="46"/>
        <v/>
      </c>
      <c r="O290" s="60"/>
      <c r="P290" s="105"/>
    </row>
    <row r="291" spans="1:16" x14ac:dyDescent="0.3">
      <c r="A291" s="54" t="str">
        <f>IF([2]weekly_demand!A292="","",[2]weekly_demand!A292)</f>
        <v/>
      </c>
      <c r="B291" s="55" t="str">
        <f>IF($A291="","",[2]weekly_demand!F292)</f>
        <v/>
      </c>
      <c r="C291" s="56" t="str">
        <f>IF($A291="","",[2]weekly_demand!H292)</f>
        <v/>
      </c>
      <c r="D291" s="57" t="str">
        <f>IF($A291="","",IF(SUMIFS([2]Fixture_Capacity_Input!$C:$C,[2]Fixture_Capacity_Input!$A:$A,$B291,[2]Fixture_Capacity_Input!$B:$B,$C291)&gt;0,SUMIFS([2]Fixture_Capacity_Input!$C:$C,[2]Fixture_Capacity_Input!$A:$A,$B291,[2]Fixture_Capacity_Input!$B:$B,$C291),[2]weekly_demand!G292))</f>
        <v/>
      </c>
      <c r="E291" s="58" t="str">
        <f>IF($A291="","",[2]weekly_demand!I292)</f>
        <v/>
      </c>
      <c r="F291" s="57" t="str">
        <f t="shared" si="43"/>
        <v/>
      </c>
      <c r="G291" s="57" t="str">
        <f t="shared" si="44"/>
        <v/>
      </c>
      <c r="H291" s="57" t="str">
        <f t="shared" si="42"/>
        <v/>
      </c>
      <c r="I291" s="58" t="str">
        <f t="shared" si="47"/>
        <v/>
      </c>
      <c r="J291" s="58" t="str">
        <f t="shared" si="45"/>
        <v/>
      </c>
      <c r="K291" s="58" t="str">
        <f t="shared" si="48"/>
        <v/>
      </c>
      <c r="L291" s="58" t="str">
        <f t="shared" si="49"/>
        <v/>
      </c>
      <c r="M291" s="58" t="str">
        <f t="shared" si="50"/>
        <v/>
      </c>
      <c r="N291" s="59" t="str">
        <f t="shared" si="46"/>
        <v/>
      </c>
      <c r="O291" s="60"/>
      <c r="P291" s="105"/>
    </row>
    <row r="292" spans="1:16" x14ac:dyDescent="0.3">
      <c r="A292" s="54" t="str">
        <f>IF([2]weekly_demand!A293="","",[2]weekly_demand!A293)</f>
        <v/>
      </c>
      <c r="B292" s="55" t="str">
        <f>IF($A292="","",[2]weekly_demand!F293)</f>
        <v/>
      </c>
      <c r="C292" s="56" t="str">
        <f>IF($A292="","",[2]weekly_demand!H293)</f>
        <v/>
      </c>
      <c r="D292" s="57" t="str">
        <f>IF($A292="","",IF(SUMIFS([2]Fixture_Capacity_Input!$C:$C,[2]Fixture_Capacity_Input!$A:$A,$B292,[2]Fixture_Capacity_Input!$B:$B,$C292)&gt;0,SUMIFS([2]Fixture_Capacity_Input!$C:$C,[2]Fixture_Capacity_Input!$A:$A,$B292,[2]Fixture_Capacity_Input!$B:$B,$C292),[2]weekly_demand!G293))</f>
        <v/>
      </c>
      <c r="E292" s="58" t="str">
        <f>IF($A292="","",[2]weekly_demand!I293)</f>
        <v/>
      </c>
      <c r="F292" s="57" t="str">
        <f t="shared" si="43"/>
        <v/>
      </c>
      <c r="G292" s="57" t="str">
        <f t="shared" si="44"/>
        <v/>
      </c>
      <c r="H292" s="57" t="str">
        <f t="shared" si="42"/>
        <v/>
      </c>
      <c r="I292" s="58" t="str">
        <f t="shared" si="47"/>
        <v/>
      </c>
      <c r="J292" s="58" t="str">
        <f t="shared" si="45"/>
        <v/>
      </c>
      <c r="K292" s="58" t="str">
        <f t="shared" si="48"/>
        <v/>
      </c>
      <c r="L292" s="58" t="str">
        <f t="shared" si="49"/>
        <v/>
      </c>
      <c r="M292" s="58" t="str">
        <f t="shared" si="50"/>
        <v/>
      </c>
      <c r="N292" s="59" t="str">
        <f t="shared" si="46"/>
        <v/>
      </c>
      <c r="O292" s="60"/>
      <c r="P292" s="105"/>
    </row>
    <row r="293" spans="1:16" x14ac:dyDescent="0.3">
      <c r="A293" s="54" t="str">
        <f>IF([2]weekly_demand!A294="","",[2]weekly_demand!A294)</f>
        <v/>
      </c>
      <c r="B293" s="55" t="str">
        <f>IF($A293="","",[2]weekly_demand!F294)</f>
        <v/>
      </c>
      <c r="C293" s="56" t="str">
        <f>IF($A293="","",[2]weekly_demand!H294)</f>
        <v/>
      </c>
      <c r="D293" s="57" t="str">
        <f>IF($A293="","",IF(SUMIFS([2]Fixture_Capacity_Input!$C:$C,[2]Fixture_Capacity_Input!$A:$A,$B293,[2]Fixture_Capacity_Input!$B:$B,$C293)&gt;0,SUMIFS([2]Fixture_Capacity_Input!$C:$C,[2]Fixture_Capacity_Input!$A:$A,$B293,[2]Fixture_Capacity_Input!$B:$B,$C293),[2]weekly_demand!G294))</f>
        <v/>
      </c>
      <c r="E293" s="58" t="str">
        <f>IF($A293="","",[2]weekly_demand!I294)</f>
        <v/>
      </c>
      <c r="F293" s="57" t="str">
        <f t="shared" si="43"/>
        <v/>
      </c>
      <c r="G293" s="57" t="str">
        <f t="shared" si="44"/>
        <v/>
      </c>
      <c r="H293" s="57" t="str">
        <f t="shared" si="42"/>
        <v/>
      </c>
      <c r="I293" s="58" t="str">
        <f t="shared" si="47"/>
        <v/>
      </c>
      <c r="J293" s="58" t="str">
        <f t="shared" si="45"/>
        <v/>
      </c>
      <c r="K293" s="58" t="str">
        <f t="shared" si="48"/>
        <v/>
      </c>
      <c r="L293" s="58" t="str">
        <f t="shared" si="49"/>
        <v/>
      </c>
      <c r="M293" s="58" t="str">
        <f t="shared" si="50"/>
        <v/>
      </c>
      <c r="N293" s="59" t="str">
        <f t="shared" si="46"/>
        <v/>
      </c>
      <c r="O293" s="60"/>
      <c r="P293" s="105"/>
    </row>
    <row r="294" spans="1:16" x14ac:dyDescent="0.3">
      <c r="A294" s="54" t="str">
        <f>IF([2]weekly_demand!A295="","",[2]weekly_demand!A295)</f>
        <v/>
      </c>
      <c r="B294" s="55" t="str">
        <f>IF($A294="","",[2]weekly_demand!F295)</f>
        <v/>
      </c>
      <c r="C294" s="56" t="str">
        <f>IF($A294="","",[2]weekly_demand!H295)</f>
        <v/>
      </c>
      <c r="D294" s="57" t="str">
        <f>IF($A294="","",IF(SUMIFS([2]Fixture_Capacity_Input!$C:$C,[2]Fixture_Capacity_Input!$A:$A,$B294,[2]Fixture_Capacity_Input!$B:$B,$C294)&gt;0,SUMIFS([2]Fixture_Capacity_Input!$C:$C,[2]Fixture_Capacity_Input!$A:$A,$B294,[2]Fixture_Capacity_Input!$B:$B,$C294),[2]weekly_demand!G295))</f>
        <v/>
      </c>
      <c r="E294" s="58" t="str">
        <f>IF($A294="","",[2]weekly_demand!I295)</f>
        <v/>
      </c>
      <c r="F294" s="57" t="str">
        <f t="shared" si="43"/>
        <v/>
      </c>
      <c r="G294" s="57" t="str">
        <f t="shared" si="44"/>
        <v/>
      </c>
      <c r="H294" s="57" t="str">
        <f t="shared" si="42"/>
        <v/>
      </c>
      <c r="I294" s="58" t="str">
        <f t="shared" si="47"/>
        <v/>
      </c>
      <c r="J294" s="58" t="str">
        <f t="shared" si="45"/>
        <v/>
      </c>
      <c r="K294" s="58" t="str">
        <f t="shared" si="48"/>
        <v/>
      </c>
      <c r="L294" s="58" t="str">
        <f t="shared" si="49"/>
        <v/>
      </c>
      <c r="M294" s="58" t="str">
        <f t="shared" si="50"/>
        <v/>
      </c>
      <c r="N294" s="59" t="str">
        <f t="shared" si="46"/>
        <v/>
      </c>
      <c r="O294" s="60"/>
      <c r="P294" s="105"/>
    </row>
    <row r="295" spans="1:16" x14ac:dyDescent="0.3">
      <c r="A295" s="54" t="str">
        <f>IF([2]weekly_demand!A296="","",[2]weekly_demand!A296)</f>
        <v/>
      </c>
      <c r="B295" s="55" t="str">
        <f>IF($A295="","",[2]weekly_demand!F296)</f>
        <v/>
      </c>
      <c r="C295" s="56" t="str">
        <f>IF($A295="","",[2]weekly_demand!H296)</f>
        <v/>
      </c>
      <c r="D295" s="57" t="str">
        <f>IF($A295="","",IF(SUMIFS([2]Fixture_Capacity_Input!$C:$C,[2]Fixture_Capacity_Input!$A:$A,$B295,[2]Fixture_Capacity_Input!$B:$B,$C295)&gt;0,SUMIFS([2]Fixture_Capacity_Input!$C:$C,[2]Fixture_Capacity_Input!$A:$A,$B295,[2]Fixture_Capacity_Input!$B:$B,$C295),[2]weekly_demand!G296))</f>
        <v/>
      </c>
      <c r="E295" s="58" t="str">
        <f>IF($A295="","",[2]weekly_demand!I296)</f>
        <v/>
      </c>
      <c r="F295" s="57" t="str">
        <f t="shared" si="43"/>
        <v/>
      </c>
      <c r="G295" s="57" t="str">
        <f t="shared" si="44"/>
        <v/>
      </c>
      <c r="H295" s="57" t="str">
        <f t="shared" si="42"/>
        <v/>
      </c>
      <c r="I295" s="58" t="str">
        <f t="shared" si="47"/>
        <v/>
      </c>
      <c r="J295" s="58" t="str">
        <f t="shared" si="45"/>
        <v/>
      </c>
      <c r="K295" s="58" t="str">
        <f t="shared" si="48"/>
        <v/>
      </c>
      <c r="L295" s="58" t="str">
        <f t="shared" si="49"/>
        <v/>
      </c>
      <c r="M295" s="58" t="str">
        <f t="shared" si="50"/>
        <v/>
      </c>
      <c r="N295" s="59" t="str">
        <f t="shared" si="46"/>
        <v/>
      </c>
      <c r="O295" s="60"/>
      <c r="P295" s="105"/>
    </row>
    <row r="296" spans="1:16" x14ac:dyDescent="0.3">
      <c r="A296" s="54" t="str">
        <f>IF([2]weekly_demand!A297="","",[2]weekly_demand!A297)</f>
        <v/>
      </c>
      <c r="B296" s="55" t="str">
        <f>IF($A296="","",[2]weekly_demand!F297)</f>
        <v/>
      </c>
      <c r="C296" s="56" t="str">
        <f>IF($A296="","",[2]weekly_demand!H297)</f>
        <v/>
      </c>
      <c r="D296" s="57" t="str">
        <f>IF($A296="","",IF(SUMIFS([2]Fixture_Capacity_Input!$C:$C,[2]Fixture_Capacity_Input!$A:$A,$B296,[2]Fixture_Capacity_Input!$B:$B,$C296)&gt;0,SUMIFS([2]Fixture_Capacity_Input!$C:$C,[2]Fixture_Capacity_Input!$A:$A,$B296,[2]Fixture_Capacity_Input!$B:$B,$C296),[2]weekly_demand!G297))</f>
        <v/>
      </c>
      <c r="E296" s="58" t="str">
        <f>IF($A296="","",[2]weekly_demand!I297)</f>
        <v/>
      </c>
      <c r="F296" s="57" t="str">
        <f t="shared" si="43"/>
        <v/>
      </c>
      <c r="G296" s="57" t="str">
        <f t="shared" si="44"/>
        <v/>
      </c>
      <c r="H296" s="57" t="str">
        <f t="shared" si="42"/>
        <v/>
      </c>
      <c r="I296" s="58" t="str">
        <f t="shared" si="47"/>
        <v/>
      </c>
      <c r="J296" s="58" t="str">
        <f t="shared" si="45"/>
        <v/>
      </c>
      <c r="K296" s="58" t="str">
        <f t="shared" si="48"/>
        <v/>
      </c>
      <c r="L296" s="58" t="str">
        <f t="shared" si="49"/>
        <v/>
      </c>
      <c r="M296" s="58" t="str">
        <f t="shared" si="50"/>
        <v/>
      </c>
      <c r="N296" s="59" t="str">
        <f t="shared" si="46"/>
        <v/>
      </c>
      <c r="O296" s="60"/>
      <c r="P296" s="105"/>
    </row>
    <row r="297" spans="1:16" x14ac:dyDescent="0.3">
      <c r="A297" s="54" t="str">
        <f>IF([2]weekly_demand!A298="","",[2]weekly_demand!A298)</f>
        <v/>
      </c>
      <c r="B297" s="55" t="str">
        <f>IF($A297="","",[2]weekly_demand!F298)</f>
        <v/>
      </c>
      <c r="C297" s="56" t="str">
        <f>IF($A297="","",[2]weekly_demand!H298)</f>
        <v/>
      </c>
      <c r="D297" s="57" t="str">
        <f>IF($A297="","",IF(SUMIFS([2]Fixture_Capacity_Input!$C:$C,[2]Fixture_Capacity_Input!$A:$A,$B297,[2]Fixture_Capacity_Input!$B:$B,$C297)&gt;0,SUMIFS([2]Fixture_Capacity_Input!$C:$C,[2]Fixture_Capacity_Input!$A:$A,$B297,[2]Fixture_Capacity_Input!$B:$B,$C297),[2]weekly_demand!G298))</f>
        <v/>
      </c>
      <c r="E297" s="58" t="str">
        <f>IF($A297="","",[2]weekly_demand!I298)</f>
        <v/>
      </c>
      <c r="F297" s="57" t="str">
        <f t="shared" si="43"/>
        <v/>
      </c>
      <c r="G297" s="57" t="str">
        <f t="shared" si="44"/>
        <v/>
      </c>
      <c r="H297" s="57" t="str">
        <f t="shared" si="42"/>
        <v/>
      </c>
      <c r="I297" s="58" t="str">
        <f t="shared" si="47"/>
        <v/>
      </c>
      <c r="J297" s="58" t="str">
        <f t="shared" si="45"/>
        <v/>
      </c>
      <c r="K297" s="58" t="str">
        <f t="shared" si="48"/>
        <v/>
      </c>
      <c r="L297" s="58" t="str">
        <f t="shared" si="49"/>
        <v/>
      </c>
      <c r="M297" s="58" t="str">
        <f t="shared" si="50"/>
        <v/>
      </c>
      <c r="N297" s="59" t="str">
        <f t="shared" si="46"/>
        <v/>
      </c>
      <c r="O297" s="60"/>
      <c r="P297" s="105"/>
    </row>
    <row r="298" spans="1:16" x14ac:dyDescent="0.3">
      <c r="A298" s="54" t="str">
        <f>IF([2]weekly_demand!A299="","",[2]weekly_demand!A299)</f>
        <v/>
      </c>
      <c r="B298" s="55" t="str">
        <f>IF($A298="","",[2]weekly_demand!F299)</f>
        <v/>
      </c>
      <c r="C298" s="56" t="str">
        <f>IF($A298="","",[2]weekly_demand!H299)</f>
        <v/>
      </c>
      <c r="D298" s="57" t="str">
        <f>IF($A298="","",IF(SUMIFS([2]Fixture_Capacity_Input!$C:$C,[2]Fixture_Capacity_Input!$A:$A,$B298,[2]Fixture_Capacity_Input!$B:$B,$C298)&gt;0,SUMIFS([2]Fixture_Capacity_Input!$C:$C,[2]Fixture_Capacity_Input!$A:$A,$B298,[2]Fixture_Capacity_Input!$B:$B,$C298),[2]weekly_demand!G299))</f>
        <v/>
      </c>
      <c r="E298" s="58" t="str">
        <f>IF($A298="","",[2]weekly_demand!I299)</f>
        <v/>
      </c>
      <c r="F298" s="57" t="str">
        <f t="shared" si="43"/>
        <v/>
      </c>
      <c r="G298" s="57" t="str">
        <f t="shared" si="44"/>
        <v/>
      </c>
      <c r="H298" s="57" t="str">
        <f t="shared" si="42"/>
        <v/>
      </c>
      <c r="I298" s="58" t="str">
        <f t="shared" si="47"/>
        <v/>
      </c>
      <c r="J298" s="58" t="str">
        <f t="shared" si="45"/>
        <v/>
      </c>
      <c r="K298" s="58" t="str">
        <f t="shared" si="48"/>
        <v/>
      </c>
      <c r="L298" s="58" t="str">
        <f t="shared" si="49"/>
        <v/>
      </c>
      <c r="M298" s="58" t="str">
        <f t="shared" si="50"/>
        <v/>
      </c>
      <c r="N298" s="59" t="str">
        <f t="shared" si="46"/>
        <v/>
      </c>
      <c r="O298" s="60"/>
      <c r="P298" s="105"/>
    </row>
    <row r="299" spans="1:16" x14ac:dyDescent="0.3">
      <c r="A299" s="54" t="str">
        <f>IF([2]weekly_demand!A300="","",[2]weekly_demand!A300)</f>
        <v/>
      </c>
      <c r="B299" s="55" t="str">
        <f>IF($A299="","",[2]weekly_demand!F300)</f>
        <v/>
      </c>
      <c r="C299" s="56" t="str">
        <f>IF($A299="","",[2]weekly_demand!H300)</f>
        <v/>
      </c>
      <c r="D299" s="57" t="str">
        <f>IF($A299="","",IF(SUMIFS([2]Fixture_Capacity_Input!$C:$C,[2]Fixture_Capacity_Input!$A:$A,$B299,[2]Fixture_Capacity_Input!$B:$B,$C299)&gt;0,SUMIFS([2]Fixture_Capacity_Input!$C:$C,[2]Fixture_Capacity_Input!$A:$A,$B299,[2]Fixture_Capacity_Input!$B:$B,$C299),[2]weekly_demand!G300))</f>
        <v/>
      </c>
      <c r="E299" s="58" t="str">
        <f>IF($A299="","",[2]weekly_demand!I300)</f>
        <v/>
      </c>
      <c r="F299" s="57" t="str">
        <f t="shared" si="43"/>
        <v/>
      </c>
      <c r="G299" s="57" t="str">
        <f t="shared" si="44"/>
        <v/>
      </c>
      <c r="H299" s="57" t="str">
        <f t="shared" si="42"/>
        <v/>
      </c>
      <c r="I299" s="58" t="str">
        <f t="shared" si="47"/>
        <v/>
      </c>
      <c r="J299" s="58" t="str">
        <f t="shared" si="45"/>
        <v/>
      </c>
      <c r="K299" s="58" t="str">
        <f t="shared" si="48"/>
        <v/>
      </c>
      <c r="L299" s="58" t="str">
        <f t="shared" si="49"/>
        <v/>
      </c>
      <c r="M299" s="58" t="str">
        <f t="shared" si="50"/>
        <v/>
      </c>
      <c r="N299" s="59" t="str">
        <f t="shared" si="46"/>
        <v/>
      </c>
      <c r="O299" s="60"/>
      <c r="P299" s="105"/>
    </row>
    <row r="300" spans="1:16" x14ac:dyDescent="0.3">
      <c r="A300" s="54" t="str">
        <f>IF([2]weekly_demand!A301="","",[2]weekly_demand!A301)</f>
        <v/>
      </c>
      <c r="B300" s="55" t="str">
        <f>IF($A300="","",[2]weekly_demand!F301)</f>
        <v/>
      </c>
      <c r="C300" s="56" t="str">
        <f>IF($A300="","",[2]weekly_demand!H301)</f>
        <v/>
      </c>
      <c r="D300" s="57" t="str">
        <f>IF($A300="","",IF(SUMIFS([2]Fixture_Capacity_Input!$C:$C,[2]Fixture_Capacity_Input!$A:$A,$B300,[2]Fixture_Capacity_Input!$B:$B,$C300)&gt;0,SUMIFS([2]Fixture_Capacity_Input!$C:$C,[2]Fixture_Capacity_Input!$A:$A,$B300,[2]Fixture_Capacity_Input!$B:$B,$C300),[2]weekly_demand!G301))</f>
        <v/>
      </c>
      <c r="E300" s="58" t="str">
        <f>IF($A300="","",[2]weekly_demand!I301)</f>
        <v/>
      </c>
      <c r="F300" s="57" t="str">
        <f t="shared" si="43"/>
        <v/>
      </c>
      <c r="G300" s="57" t="str">
        <f t="shared" si="44"/>
        <v/>
      </c>
      <c r="H300" s="57" t="str">
        <f t="shared" si="42"/>
        <v/>
      </c>
      <c r="I300" s="58" t="str">
        <f t="shared" si="47"/>
        <v/>
      </c>
      <c r="J300" s="58" t="str">
        <f t="shared" si="45"/>
        <v/>
      </c>
      <c r="K300" s="58" t="str">
        <f t="shared" si="48"/>
        <v/>
      </c>
      <c r="L300" s="58" t="str">
        <f t="shared" si="49"/>
        <v/>
      </c>
      <c r="M300" s="58" t="str">
        <f t="shared" si="50"/>
        <v/>
      </c>
      <c r="N300" s="59" t="str">
        <f t="shared" si="46"/>
        <v/>
      </c>
      <c r="O300" s="60"/>
      <c r="P300" s="105"/>
    </row>
    <row r="301" spans="1:16" x14ac:dyDescent="0.3">
      <c r="A301" s="54" t="str">
        <f>IF([2]weekly_demand!A302="","",[2]weekly_demand!A302)</f>
        <v/>
      </c>
      <c r="B301" s="55" t="str">
        <f>IF($A301="","",[2]weekly_demand!F302)</f>
        <v/>
      </c>
      <c r="C301" s="56" t="str">
        <f>IF($A301="","",[2]weekly_demand!H302)</f>
        <v/>
      </c>
      <c r="D301" s="57" t="str">
        <f>IF($A301="","",IF(SUMIFS([2]Fixture_Capacity_Input!$C:$C,[2]Fixture_Capacity_Input!$A:$A,$B301,[2]Fixture_Capacity_Input!$B:$B,$C301)&gt;0,SUMIFS([2]Fixture_Capacity_Input!$C:$C,[2]Fixture_Capacity_Input!$A:$A,$B301,[2]Fixture_Capacity_Input!$B:$B,$C301),[2]weekly_demand!G302))</f>
        <v/>
      </c>
      <c r="E301" s="58" t="str">
        <f>IF($A301="","",[2]weekly_demand!I302)</f>
        <v/>
      </c>
      <c r="F301" s="57" t="str">
        <f t="shared" si="43"/>
        <v/>
      </c>
      <c r="G301" s="57" t="str">
        <f t="shared" si="44"/>
        <v/>
      </c>
      <c r="H301" s="57" t="str">
        <f t="shared" si="42"/>
        <v/>
      </c>
      <c r="I301" s="58" t="str">
        <f t="shared" si="47"/>
        <v/>
      </c>
      <c r="J301" s="58" t="str">
        <f t="shared" si="45"/>
        <v/>
      </c>
      <c r="K301" s="58" t="str">
        <f t="shared" si="48"/>
        <v/>
      </c>
      <c r="L301" s="58" t="str">
        <f t="shared" si="49"/>
        <v/>
      </c>
      <c r="M301" s="58" t="str">
        <f t="shared" si="50"/>
        <v/>
      </c>
      <c r="N301" s="59" t="str">
        <f t="shared" si="46"/>
        <v/>
      </c>
      <c r="O301" s="60"/>
      <c r="P301" s="105"/>
    </row>
    <row r="302" spans="1:16" x14ac:dyDescent="0.3">
      <c r="A302" s="54" t="str">
        <f>IF([2]weekly_demand!A303="","",[2]weekly_demand!A303)</f>
        <v/>
      </c>
      <c r="B302" s="55" t="str">
        <f>IF($A302="","",[2]weekly_demand!F303)</f>
        <v/>
      </c>
      <c r="C302" s="56" t="str">
        <f>IF($A302="","",[2]weekly_demand!H303)</f>
        <v/>
      </c>
      <c r="D302" s="57" t="str">
        <f>IF($A302="","",IF(SUMIFS([2]Fixture_Capacity_Input!$C:$C,[2]Fixture_Capacity_Input!$A:$A,$B302,[2]Fixture_Capacity_Input!$B:$B,$C302)&gt;0,SUMIFS([2]Fixture_Capacity_Input!$C:$C,[2]Fixture_Capacity_Input!$A:$A,$B302,[2]Fixture_Capacity_Input!$B:$B,$C302),[2]weekly_demand!G303))</f>
        <v/>
      </c>
      <c r="E302" s="58" t="str">
        <f>IF($A302="","",[2]weekly_demand!I303)</f>
        <v/>
      </c>
      <c r="F302" s="57" t="str">
        <f t="shared" si="43"/>
        <v/>
      </c>
      <c r="G302" s="57" t="str">
        <f t="shared" si="44"/>
        <v/>
      </c>
      <c r="H302" s="57" t="str">
        <f t="shared" si="42"/>
        <v/>
      </c>
      <c r="I302" s="58" t="str">
        <f t="shared" si="47"/>
        <v/>
      </c>
      <c r="J302" s="58" t="str">
        <f t="shared" si="45"/>
        <v/>
      </c>
      <c r="K302" s="58" t="str">
        <f t="shared" si="48"/>
        <v/>
      </c>
      <c r="L302" s="58" t="str">
        <f t="shared" si="49"/>
        <v/>
      </c>
      <c r="M302" s="58" t="str">
        <f t="shared" si="50"/>
        <v/>
      </c>
      <c r="N302" s="59" t="str">
        <f t="shared" si="46"/>
        <v/>
      </c>
      <c r="O302" s="60"/>
      <c r="P302" s="105"/>
    </row>
    <row r="303" spans="1:16" x14ac:dyDescent="0.3">
      <c r="A303" s="54" t="str">
        <f>IF([2]weekly_demand!A304="","",[2]weekly_demand!A304)</f>
        <v/>
      </c>
      <c r="B303" s="55" t="str">
        <f>IF($A303="","",[2]weekly_demand!F304)</f>
        <v/>
      </c>
      <c r="C303" s="56" t="str">
        <f>IF($A303="","",[2]weekly_demand!H304)</f>
        <v/>
      </c>
      <c r="D303" s="57" t="str">
        <f>IF($A303="","",IF(SUMIFS([2]Fixture_Capacity_Input!$C:$C,[2]Fixture_Capacity_Input!$A:$A,$B303,[2]Fixture_Capacity_Input!$B:$B,$C303)&gt;0,SUMIFS([2]Fixture_Capacity_Input!$C:$C,[2]Fixture_Capacity_Input!$A:$A,$B303,[2]Fixture_Capacity_Input!$B:$B,$C303),[2]weekly_demand!G304))</f>
        <v/>
      </c>
      <c r="E303" s="58" t="str">
        <f>IF($A303="","",[2]weekly_demand!I304)</f>
        <v/>
      </c>
      <c r="F303" s="57" t="str">
        <f t="shared" si="43"/>
        <v/>
      </c>
      <c r="G303" s="57" t="str">
        <f t="shared" si="44"/>
        <v/>
      </c>
      <c r="H303" s="57" t="str">
        <f t="shared" si="42"/>
        <v/>
      </c>
      <c r="I303" s="58" t="str">
        <f t="shared" si="47"/>
        <v/>
      </c>
      <c r="J303" s="58" t="str">
        <f t="shared" si="45"/>
        <v/>
      </c>
      <c r="K303" s="58" t="str">
        <f t="shared" si="48"/>
        <v/>
      </c>
      <c r="L303" s="58" t="str">
        <f t="shared" si="49"/>
        <v/>
      </c>
      <c r="M303" s="58" t="str">
        <f t="shared" si="50"/>
        <v/>
      </c>
      <c r="N303" s="59" t="str">
        <f t="shared" si="46"/>
        <v/>
      </c>
      <c r="O303" s="60"/>
      <c r="P303" s="105"/>
    </row>
    <row r="304" spans="1:16" x14ac:dyDescent="0.3">
      <c r="A304" s="54" t="str">
        <f>IF([2]weekly_demand!A305="","",[2]weekly_demand!A305)</f>
        <v/>
      </c>
      <c r="B304" s="55" t="str">
        <f>IF($A304="","",[2]weekly_demand!F305)</f>
        <v/>
      </c>
      <c r="C304" s="56" t="str">
        <f>IF($A304="","",[2]weekly_demand!H305)</f>
        <v/>
      </c>
      <c r="D304" s="57" t="str">
        <f>IF($A304="","",IF(SUMIFS([2]Fixture_Capacity_Input!$C:$C,[2]Fixture_Capacity_Input!$A:$A,$B304,[2]Fixture_Capacity_Input!$B:$B,$C304)&gt;0,SUMIFS([2]Fixture_Capacity_Input!$C:$C,[2]Fixture_Capacity_Input!$A:$A,$B304,[2]Fixture_Capacity_Input!$B:$B,$C304),[2]weekly_demand!G305))</f>
        <v/>
      </c>
      <c r="E304" s="58" t="str">
        <f>IF($A304="","",[2]weekly_demand!I305)</f>
        <v/>
      </c>
      <c r="F304" s="57" t="str">
        <f t="shared" si="43"/>
        <v/>
      </c>
      <c r="G304" s="57" t="str">
        <f t="shared" si="44"/>
        <v/>
      </c>
      <c r="H304" s="57" t="str">
        <f t="shared" si="42"/>
        <v/>
      </c>
      <c r="I304" s="58" t="str">
        <f t="shared" si="47"/>
        <v/>
      </c>
      <c r="J304" s="58" t="str">
        <f t="shared" si="45"/>
        <v/>
      </c>
      <c r="K304" s="58" t="str">
        <f t="shared" si="48"/>
        <v/>
      </c>
      <c r="L304" s="58" t="str">
        <f t="shared" si="49"/>
        <v/>
      </c>
      <c r="M304" s="58" t="str">
        <f t="shared" si="50"/>
        <v/>
      </c>
      <c r="N304" s="59" t="str">
        <f t="shared" si="46"/>
        <v/>
      </c>
      <c r="O304" s="60"/>
      <c r="P304" s="105"/>
    </row>
    <row r="305" spans="1:16" x14ac:dyDescent="0.3">
      <c r="A305" s="54" t="str">
        <f>IF([2]weekly_demand!A306="","",[2]weekly_demand!A306)</f>
        <v/>
      </c>
      <c r="B305" s="55" t="str">
        <f>IF($A305="","",[2]weekly_demand!F306)</f>
        <v/>
      </c>
      <c r="C305" s="56" t="str">
        <f>IF($A305="","",[2]weekly_demand!H306)</f>
        <v/>
      </c>
      <c r="D305" s="57" t="str">
        <f>IF($A305="","",IF(SUMIFS([2]Fixture_Capacity_Input!$C:$C,[2]Fixture_Capacity_Input!$A:$A,$B305,[2]Fixture_Capacity_Input!$B:$B,$C305)&gt;0,SUMIFS([2]Fixture_Capacity_Input!$C:$C,[2]Fixture_Capacity_Input!$A:$A,$B305,[2]Fixture_Capacity_Input!$B:$B,$C305),[2]weekly_demand!G306))</f>
        <v/>
      </c>
      <c r="E305" s="58" t="str">
        <f>IF($A305="","",[2]weekly_demand!I306)</f>
        <v/>
      </c>
      <c r="F305" s="57" t="str">
        <f t="shared" si="43"/>
        <v/>
      </c>
      <c r="G305" s="57" t="str">
        <f t="shared" si="44"/>
        <v/>
      </c>
      <c r="H305" s="57" t="str">
        <f t="shared" si="42"/>
        <v/>
      </c>
      <c r="I305" s="58" t="str">
        <f t="shared" si="47"/>
        <v/>
      </c>
      <c r="J305" s="58" t="str">
        <f t="shared" si="45"/>
        <v/>
      </c>
      <c r="K305" s="58" t="str">
        <f t="shared" si="48"/>
        <v/>
      </c>
      <c r="L305" s="58" t="str">
        <f t="shared" si="49"/>
        <v/>
      </c>
      <c r="M305" s="58" t="str">
        <f t="shared" si="50"/>
        <v/>
      </c>
      <c r="N305" s="59" t="str">
        <f t="shared" si="46"/>
        <v/>
      </c>
      <c r="O305" s="60"/>
      <c r="P305" s="105"/>
    </row>
    <row r="306" spans="1:16" x14ac:dyDescent="0.3">
      <c r="A306" s="54" t="str">
        <f>IF([2]weekly_demand!A307="","",[2]weekly_demand!A307)</f>
        <v/>
      </c>
      <c r="B306" s="55" t="str">
        <f>IF($A306="","",[2]weekly_demand!F307)</f>
        <v/>
      </c>
      <c r="C306" s="56" t="str">
        <f>IF($A306="","",[2]weekly_demand!H307)</f>
        <v/>
      </c>
      <c r="D306" s="57" t="str">
        <f>IF($A306="","",IF(SUMIFS([2]Fixture_Capacity_Input!$C:$C,[2]Fixture_Capacity_Input!$A:$A,$B306,[2]Fixture_Capacity_Input!$B:$B,$C306)&gt;0,SUMIFS([2]Fixture_Capacity_Input!$C:$C,[2]Fixture_Capacity_Input!$A:$A,$B306,[2]Fixture_Capacity_Input!$B:$B,$C306),[2]weekly_demand!G307))</f>
        <v/>
      </c>
      <c r="E306" s="58" t="str">
        <f>IF($A306="","",[2]weekly_demand!I307)</f>
        <v/>
      </c>
      <c r="F306" s="57" t="str">
        <f t="shared" si="43"/>
        <v/>
      </c>
      <c r="G306" s="57" t="str">
        <f t="shared" si="44"/>
        <v/>
      </c>
      <c r="H306" s="57" t="str">
        <f t="shared" si="42"/>
        <v/>
      </c>
      <c r="I306" s="58" t="str">
        <f t="shared" si="47"/>
        <v/>
      </c>
      <c r="J306" s="58" t="str">
        <f t="shared" si="45"/>
        <v/>
      </c>
      <c r="K306" s="58" t="str">
        <f t="shared" si="48"/>
        <v/>
      </c>
      <c r="L306" s="58" t="str">
        <f t="shared" si="49"/>
        <v/>
      </c>
      <c r="M306" s="58" t="str">
        <f t="shared" si="50"/>
        <v/>
      </c>
      <c r="N306" s="59" t="str">
        <f t="shared" si="46"/>
        <v/>
      </c>
      <c r="O306" s="60"/>
      <c r="P306" s="105"/>
    </row>
    <row r="307" spans="1:16" x14ac:dyDescent="0.3">
      <c r="A307" s="54" t="str">
        <f>IF([2]weekly_demand!A308="","",[2]weekly_demand!A308)</f>
        <v/>
      </c>
      <c r="B307" s="55" t="str">
        <f>IF($A307="","",[2]weekly_demand!F308)</f>
        <v/>
      </c>
      <c r="C307" s="56" t="str">
        <f>IF($A307="","",[2]weekly_demand!H308)</f>
        <v/>
      </c>
      <c r="D307" s="57" t="str">
        <f>IF($A307="","",IF(SUMIFS([2]Fixture_Capacity_Input!$C:$C,[2]Fixture_Capacity_Input!$A:$A,$B307,[2]Fixture_Capacity_Input!$B:$B,$C307)&gt;0,SUMIFS([2]Fixture_Capacity_Input!$C:$C,[2]Fixture_Capacity_Input!$A:$A,$B307,[2]Fixture_Capacity_Input!$B:$B,$C307),[2]weekly_demand!G308))</f>
        <v/>
      </c>
      <c r="E307" s="58" t="str">
        <f>IF($A307="","",[2]weekly_demand!I308)</f>
        <v/>
      </c>
      <c r="F307" s="57" t="str">
        <f t="shared" si="43"/>
        <v/>
      </c>
      <c r="G307" s="57" t="str">
        <f t="shared" si="44"/>
        <v/>
      </c>
      <c r="H307" s="57" t="str">
        <f t="shared" ref="H307:H370" si="51">IF($A307="","",IF($A307&lt;&gt;$A308,0,MAX(0,H308+E308-D308)))</f>
        <v/>
      </c>
      <c r="I307" s="58" t="str">
        <f t="shared" si="47"/>
        <v/>
      </c>
      <c r="J307" s="58" t="str">
        <f t="shared" si="45"/>
        <v/>
      </c>
      <c r="K307" s="58" t="str">
        <f t="shared" si="48"/>
        <v/>
      </c>
      <c r="L307" s="58" t="str">
        <f t="shared" si="49"/>
        <v/>
      </c>
      <c r="M307" s="58" t="str">
        <f t="shared" si="50"/>
        <v/>
      </c>
      <c r="N307" s="59" t="str">
        <f t="shared" si="46"/>
        <v/>
      </c>
      <c r="O307" s="60"/>
      <c r="P307" s="105"/>
    </row>
    <row r="308" spans="1:16" x14ac:dyDescent="0.3">
      <c r="A308" s="54" t="str">
        <f>IF([2]weekly_demand!A309="","",[2]weekly_demand!A309)</f>
        <v/>
      </c>
      <c r="B308" s="55" t="str">
        <f>IF($A308="","",[2]weekly_demand!F309)</f>
        <v/>
      </c>
      <c r="C308" s="56" t="str">
        <f>IF($A308="","",[2]weekly_demand!H309)</f>
        <v/>
      </c>
      <c r="D308" s="57" t="str">
        <f>IF($A308="","",IF(SUMIFS([2]Fixture_Capacity_Input!$C:$C,[2]Fixture_Capacity_Input!$A:$A,$B308,[2]Fixture_Capacity_Input!$B:$B,$C308)&gt;0,SUMIFS([2]Fixture_Capacity_Input!$C:$C,[2]Fixture_Capacity_Input!$A:$A,$B308,[2]Fixture_Capacity_Input!$B:$B,$C308),[2]weekly_demand!G309))</f>
        <v/>
      </c>
      <c r="E308" s="58" t="str">
        <f>IF($A308="","",[2]weekly_demand!I309)</f>
        <v/>
      </c>
      <c r="F308" s="57" t="str">
        <f t="shared" si="43"/>
        <v/>
      </c>
      <c r="G308" s="57" t="str">
        <f t="shared" si="44"/>
        <v/>
      </c>
      <c r="H308" s="57" t="str">
        <f t="shared" si="51"/>
        <v/>
      </c>
      <c r="I308" s="58" t="str">
        <f t="shared" si="47"/>
        <v/>
      </c>
      <c r="J308" s="58" t="str">
        <f t="shared" si="45"/>
        <v/>
      </c>
      <c r="K308" s="58" t="str">
        <f t="shared" si="48"/>
        <v/>
      </c>
      <c r="L308" s="58" t="str">
        <f t="shared" si="49"/>
        <v/>
      </c>
      <c r="M308" s="58" t="str">
        <f t="shared" si="50"/>
        <v/>
      </c>
      <c r="N308" s="59" t="str">
        <f t="shared" si="46"/>
        <v/>
      </c>
      <c r="O308" s="60"/>
      <c r="P308" s="105"/>
    </row>
    <row r="309" spans="1:16" x14ac:dyDescent="0.3">
      <c r="A309" s="54" t="str">
        <f>IF([2]weekly_demand!A310="","",[2]weekly_demand!A310)</f>
        <v/>
      </c>
      <c r="B309" s="55" t="str">
        <f>IF($A309="","",[2]weekly_demand!F310)</f>
        <v/>
      </c>
      <c r="C309" s="56" t="str">
        <f>IF($A309="","",[2]weekly_demand!H310)</f>
        <v/>
      </c>
      <c r="D309" s="57" t="str">
        <f>IF($A309="","",IF(SUMIFS([2]Fixture_Capacity_Input!$C:$C,[2]Fixture_Capacity_Input!$A:$A,$B309,[2]Fixture_Capacity_Input!$B:$B,$C309)&gt;0,SUMIFS([2]Fixture_Capacity_Input!$C:$C,[2]Fixture_Capacity_Input!$A:$A,$B309,[2]Fixture_Capacity_Input!$B:$B,$C309),[2]weekly_demand!G310))</f>
        <v/>
      </c>
      <c r="E309" s="58" t="str">
        <f>IF($A309="","",[2]weekly_demand!I310)</f>
        <v/>
      </c>
      <c r="F309" s="57" t="str">
        <f t="shared" si="43"/>
        <v/>
      </c>
      <c r="G309" s="57" t="str">
        <f t="shared" si="44"/>
        <v/>
      </c>
      <c r="H309" s="57" t="str">
        <f t="shared" si="51"/>
        <v/>
      </c>
      <c r="I309" s="58" t="str">
        <f t="shared" si="47"/>
        <v/>
      </c>
      <c r="J309" s="58" t="str">
        <f t="shared" si="45"/>
        <v/>
      </c>
      <c r="K309" s="58" t="str">
        <f t="shared" si="48"/>
        <v/>
      </c>
      <c r="L309" s="58" t="str">
        <f t="shared" si="49"/>
        <v/>
      </c>
      <c r="M309" s="58" t="str">
        <f t="shared" si="50"/>
        <v/>
      </c>
      <c r="N309" s="59" t="str">
        <f t="shared" si="46"/>
        <v/>
      </c>
      <c r="O309" s="60"/>
      <c r="P309" s="105"/>
    </row>
    <row r="310" spans="1:16" x14ac:dyDescent="0.3">
      <c r="A310" s="54" t="str">
        <f>IF([2]weekly_demand!A311="","",[2]weekly_demand!A311)</f>
        <v/>
      </c>
      <c r="B310" s="55" t="str">
        <f>IF($A310="","",[2]weekly_demand!F311)</f>
        <v/>
      </c>
      <c r="C310" s="56" t="str">
        <f>IF($A310="","",[2]weekly_demand!H311)</f>
        <v/>
      </c>
      <c r="D310" s="57" t="str">
        <f>IF($A310="","",IF(SUMIFS([2]Fixture_Capacity_Input!$C:$C,[2]Fixture_Capacity_Input!$A:$A,$B310,[2]Fixture_Capacity_Input!$B:$B,$C310)&gt;0,SUMIFS([2]Fixture_Capacity_Input!$C:$C,[2]Fixture_Capacity_Input!$A:$A,$B310,[2]Fixture_Capacity_Input!$B:$B,$C310),[2]weekly_demand!G311))</f>
        <v/>
      </c>
      <c r="E310" s="58" t="str">
        <f>IF($A310="","",[2]weekly_demand!I311)</f>
        <v/>
      </c>
      <c r="F310" s="57" t="str">
        <f t="shared" si="43"/>
        <v/>
      </c>
      <c r="G310" s="57" t="str">
        <f t="shared" si="44"/>
        <v/>
      </c>
      <c r="H310" s="57" t="str">
        <f t="shared" si="51"/>
        <v/>
      </c>
      <c r="I310" s="58" t="str">
        <f t="shared" si="47"/>
        <v/>
      </c>
      <c r="J310" s="58" t="str">
        <f t="shared" si="45"/>
        <v/>
      </c>
      <c r="K310" s="58" t="str">
        <f t="shared" si="48"/>
        <v/>
      </c>
      <c r="L310" s="58" t="str">
        <f t="shared" si="49"/>
        <v/>
      </c>
      <c r="M310" s="58" t="str">
        <f t="shared" si="50"/>
        <v/>
      </c>
      <c r="N310" s="59" t="str">
        <f t="shared" si="46"/>
        <v/>
      </c>
      <c r="O310" s="60"/>
      <c r="P310" s="105"/>
    </row>
    <row r="311" spans="1:16" x14ac:dyDescent="0.3">
      <c r="A311" s="54" t="str">
        <f>IF([2]weekly_demand!A312="","",[2]weekly_demand!A312)</f>
        <v/>
      </c>
      <c r="B311" s="55" t="str">
        <f>IF($A311="","",[2]weekly_demand!F312)</f>
        <v/>
      </c>
      <c r="C311" s="56" t="str">
        <f>IF($A311="","",[2]weekly_demand!H312)</f>
        <v/>
      </c>
      <c r="D311" s="57" t="str">
        <f>IF($A311="","",IF(SUMIFS([2]Fixture_Capacity_Input!$C:$C,[2]Fixture_Capacity_Input!$A:$A,$B311,[2]Fixture_Capacity_Input!$B:$B,$C311)&gt;0,SUMIFS([2]Fixture_Capacity_Input!$C:$C,[2]Fixture_Capacity_Input!$A:$A,$B311,[2]Fixture_Capacity_Input!$B:$B,$C311),[2]weekly_demand!G312))</f>
        <v/>
      </c>
      <c r="E311" s="58" t="str">
        <f>IF($A311="","",[2]weekly_demand!I312)</f>
        <v/>
      </c>
      <c r="F311" s="57" t="str">
        <f t="shared" si="43"/>
        <v/>
      </c>
      <c r="G311" s="57" t="str">
        <f t="shared" si="44"/>
        <v/>
      </c>
      <c r="H311" s="57" t="str">
        <f t="shared" si="51"/>
        <v/>
      </c>
      <c r="I311" s="58" t="str">
        <f t="shared" si="47"/>
        <v/>
      </c>
      <c r="J311" s="58" t="str">
        <f t="shared" si="45"/>
        <v/>
      </c>
      <c r="K311" s="58" t="str">
        <f t="shared" si="48"/>
        <v/>
      </c>
      <c r="L311" s="58" t="str">
        <f t="shared" si="49"/>
        <v/>
      </c>
      <c r="M311" s="58" t="str">
        <f t="shared" si="50"/>
        <v/>
      </c>
      <c r="N311" s="59" t="str">
        <f t="shared" si="46"/>
        <v/>
      </c>
      <c r="O311" s="60"/>
      <c r="P311" s="105"/>
    </row>
    <row r="312" spans="1:16" x14ac:dyDescent="0.3">
      <c r="A312" s="54" t="str">
        <f>IF([2]weekly_demand!A313="","",[2]weekly_demand!A313)</f>
        <v/>
      </c>
      <c r="B312" s="55" t="str">
        <f>IF($A312="","",[2]weekly_demand!F313)</f>
        <v/>
      </c>
      <c r="C312" s="56" t="str">
        <f>IF($A312="","",[2]weekly_demand!H313)</f>
        <v/>
      </c>
      <c r="D312" s="57" t="str">
        <f>IF($A312="","",IF(SUMIFS([2]Fixture_Capacity_Input!$C:$C,[2]Fixture_Capacity_Input!$A:$A,$B312,[2]Fixture_Capacity_Input!$B:$B,$C312)&gt;0,SUMIFS([2]Fixture_Capacity_Input!$C:$C,[2]Fixture_Capacity_Input!$A:$A,$B312,[2]Fixture_Capacity_Input!$B:$B,$C312),[2]weekly_demand!G313))</f>
        <v/>
      </c>
      <c r="E312" s="58" t="str">
        <f>IF($A312="","",[2]weekly_demand!I313)</f>
        <v/>
      </c>
      <c r="F312" s="57" t="str">
        <f t="shared" si="43"/>
        <v/>
      </c>
      <c r="G312" s="57" t="str">
        <f t="shared" si="44"/>
        <v/>
      </c>
      <c r="H312" s="57" t="str">
        <f t="shared" si="51"/>
        <v/>
      </c>
      <c r="I312" s="58" t="str">
        <f t="shared" si="47"/>
        <v/>
      </c>
      <c r="J312" s="58" t="str">
        <f t="shared" si="45"/>
        <v/>
      </c>
      <c r="K312" s="58" t="str">
        <f t="shared" si="48"/>
        <v/>
      </c>
      <c r="L312" s="58" t="str">
        <f t="shared" si="49"/>
        <v/>
      </c>
      <c r="M312" s="58" t="str">
        <f t="shared" si="50"/>
        <v/>
      </c>
      <c r="N312" s="59" t="str">
        <f t="shared" si="46"/>
        <v/>
      </c>
      <c r="O312" s="60"/>
      <c r="P312" s="105"/>
    </row>
    <row r="313" spans="1:16" x14ac:dyDescent="0.3">
      <c r="A313" s="54" t="str">
        <f>IF([2]weekly_demand!A314="","",[2]weekly_demand!A314)</f>
        <v/>
      </c>
      <c r="B313" s="55" t="str">
        <f>IF($A313="","",[2]weekly_demand!F314)</f>
        <v/>
      </c>
      <c r="C313" s="56" t="str">
        <f>IF($A313="","",[2]weekly_demand!H314)</f>
        <v/>
      </c>
      <c r="D313" s="57" t="str">
        <f>IF($A313="","",IF(SUMIFS([2]Fixture_Capacity_Input!$C:$C,[2]Fixture_Capacity_Input!$A:$A,$B313,[2]Fixture_Capacity_Input!$B:$B,$C313)&gt;0,SUMIFS([2]Fixture_Capacity_Input!$C:$C,[2]Fixture_Capacity_Input!$A:$A,$B313,[2]Fixture_Capacity_Input!$B:$B,$C313),[2]weekly_demand!G314))</f>
        <v/>
      </c>
      <c r="E313" s="58" t="str">
        <f>IF($A313="","",[2]weekly_demand!I314)</f>
        <v/>
      </c>
      <c r="F313" s="57" t="str">
        <f t="shared" si="43"/>
        <v/>
      </c>
      <c r="G313" s="57" t="str">
        <f t="shared" si="44"/>
        <v/>
      </c>
      <c r="H313" s="57" t="str">
        <f t="shared" si="51"/>
        <v/>
      </c>
      <c r="I313" s="58" t="str">
        <f t="shared" si="47"/>
        <v/>
      </c>
      <c r="J313" s="58" t="str">
        <f t="shared" si="45"/>
        <v/>
      </c>
      <c r="K313" s="58" t="str">
        <f t="shared" si="48"/>
        <v/>
      </c>
      <c r="L313" s="58" t="str">
        <f t="shared" si="49"/>
        <v/>
      </c>
      <c r="M313" s="58" t="str">
        <f t="shared" si="50"/>
        <v/>
      </c>
      <c r="N313" s="59" t="str">
        <f t="shared" si="46"/>
        <v/>
      </c>
      <c r="O313" s="60"/>
      <c r="P313" s="105"/>
    </row>
    <row r="314" spans="1:16" x14ac:dyDescent="0.3">
      <c r="A314" s="54" t="str">
        <f>IF([2]weekly_demand!A315="","",[2]weekly_demand!A315)</f>
        <v/>
      </c>
      <c r="B314" s="55" t="str">
        <f>IF($A314="","",[2]weekly_demand!F315)</f>
        <v/>
      </c>
      <c r="C314" s="56" t="str">
        <f>IF($A314="","",[2]weekly_demand!H315)</f>
        <v/>
      </c>
      <c r="D314" s="57" t="str">
        <f>IF($A314="","",IF(SUMIFS([2]Fixture_Capacity_Input!$C:$C,[2]Fixture_Capacity_Input!$A:$A,$B314,[2]Fixture_Capacity_Input!$B:$B,$C314)&gt;0,SUMIFS([2]Fixture_Capacity_Input!$C:$C,[2]Fixture_Capacity_Input!$A:$A,$B314,[2]Fixture_Capacity_Input!$B:$B,$C314),[2]weekly_demand!G315))</f>
        <v/>
      </c>
      <c r="E314" s="58" t="str">
        <f>IF($A314="","",[2]weekly_demand!I315)</f>
        <v/>
      </c>
      <c r="F314" s="57" t="str">
        <f t="shared" si="43"/>
        <v/>
      </c>
      <c r="G314" s="57" t="str">
        <f t="shared" si="44"/>
        <v/>
      </c>
      <c r="H314" s="57" t="str">
        <f t="shared" si="51"/>
        <v/>
      </c>
      <c r="I314" s="58" t="str">
        <f t="shared" si="47"/>
        <v/>
      </c>
      <c r="J314" s="58" t="str">
        <f t="shared" si="45"/>
        <v/>
      </c>
      <c r="K314" s="58" t="str">
        <f t="shared" si="48"/>
        <v/>
      </c>
      <c r="L314" s="58" t="str">
        <f t="shared" si="49"/>
        <v/>
      </c>
      <c r="M314" s="58" t="str">
        <f t="shared" si="50"/>
        <v/>
      </c>
      <c r="N314" s="59" t="str">
        <f t="shared" si="46"/>
        <v/>
      </c>
      <c r="O314" s="60"/>
      <c r="P314" s="105"/>
    </row>
    <row r="315" spans="1:16" x14ac:dyDescent="0.3">
      <c r="A315" s="54" t="str">
        <f>IF([2]weekly_demand!A316="","",[2]weekly_demand!A316)</f>
        <v/>
      </c>
      <c r="B315" s="55" t="str">
        <f>IF($A315="","",[2]weekly_demand!F316)</f>
        <v/>
      </c>
      <c r="C315" s="56" t="str">
        <f>IF($A315="","",[2]weekly_demand!H316)</f>
        <v/>
      </c>
      <c r="D315" s="57" t="str">
        <f>IF($A315="","",IF(SUMIFS([2]Fixture_Capacity_Input!$C:$C,[2]Fixture_Capacity_Input!$A:$A,$B315,[2]Fixture_Capacity_Input!$B:$B,$C315)&gt;0,SUMIFS([2]Fixture_Capacity_Input!$C:$C,[2]Fixture_Capacity_Input!$A:$A,$B315,[2]Fixture_Capacity_Input!$B:$B,$C315),[2]weekly_demand!G316))</f>
        <v/>
      </c>
      <c r="E315" s="58" t="str">
        <f>IF($A315="","",[2]weekly_demand!I316)</f>
        <v/>
      </c>
      <c r="F315" s="57" t="str">
        <f t="shared" si="43"/>
        <v/>
      </c>
      <c r="G315" s="57" t="str">
        <f t="shared" si="44"/>
        <v/>
      </c>
      <c r="H315" s="57" t="str">
        <f t="shared" si="51"/>
        <v/>
      </c>
      <c r="I315" s="58" t="str">
        <f t="shared" si="47"/>
        <v/>
      </c>
      <c r="J315" s="58" t="str">
        <f t="shared" si="45"/>
        <v/>
      </c>
      <c r="K315" s="58" t="str">
        <f t="shared" si="48"/>
        <v/>
      </c>
      <c r="L315" s="58" t="str">
        <f t="shared" si="49"/>
        <v/>
      </c>
      <c r="M315" s="58" t="str">
        <f t="shared" si="50"/>
        <v/>
      </c>
      <c r="N315" s="59" t="str">
        <f t="shared" si="46"/>
        <v/>
      </c>
      <c r="O315" s="60"/>
      <c r="P315" s="105"/>
    </row>
    <row r="316" spans="1:16" x14ac:dyDescent="0.3">
      <c r="A316" s="54" t="str">
        <f>IF([2]weekly_demand!A317="","",[2]weekly_demand!A317)</f>
        <v/>
      </c>
      <c r="B316" s="55" t="str">
        <f>IF($A316="","",[2]weekly_demand!F317)</f>
        <v/>
      </c>
      <c r="C316" s="56" t="str">
        <f>IF($A316="","",[2]weekly_demand!H317)</f>
        <v/>
      </c>
      <c r="D316" s="57" t="str">
        <f>IF($A316="","",IF(SUMIFS([2]Fixture_Capacity_Input!$C:$C,[2]Fixture_Capacity_Input!$A:$A,$B316,[2]Fixture_Capacity_Input!$B:$B,$C316)&gt;0,SUMIFS([2]Fixture_Capacity_Input!$C:$C,[2]Fixture_Capacity_Input!$A:$A,$B316,[2]Fixture_Capacity_Input!$B:$B,$C316),[2]weekly_demand!G317))</f>
        <v/>
      </c>
      <c r="E316" s="58" t="str">
        <f>IF($A316="","",[2]weekly_demand!I317)</f>
        <v/>
      </c>
      <c r="F316" s="57" t="str">
        <f t="shared" si="43"/>
        <v/>
      </c>
      <c r="G316" s="57" t="str">
        <f t="shared" si="44"/>
        <v/>
      </c>
      <c r="H316" s="57" t="str">
        <f t="shared" si="51"/>
        <v/>
      </c>
      <c r="I316" s="58" t="str">
        <f t="shared" si="47"/>
        <v/>
      </c>
      <c r="J316" s="58" t="str">
        <f t="shared" si="45"/>
        <v/>
      </c>
      <c r="K316" s="58" t="str">
        <f t="shared" si="48"/>
        <v/>
      </c>
      <c r="L316" s="58" t="str">
        <f t="shared" si="49"/>
        <v/>
      </c>
      <c r="M316" s="58" t="str">
        <f t="shared" si="50"/>
        <v/>
      </c>
      <c r="N316" s="59" t="str">
        <f t="shared" si="46"/>
        <v/>
      </c>
      <c r="O316" s="60"/>
      <c r="P316" s="105"/>
    </row>
    <row r="317" spans="1:16" x14ac:dyDescent="0.3">
      <c r="A317" s="54" t="str">
        <f>IF([2]weekly_demand!A318="","",[2]weekly_demand!A318)</f>
        <v/>
      </c>
      <c r="B317" s="55" t="str">
        <f>IF($A317="","",[2]weekly_demand!F318)</f>
        <v/>
      </c>
      <c r="C317" s="56" t="str">
        <f>IF($A317="","",[2]weekly_demand!H318)</f>
        <v/>
      </c>
      <c r="D317" s="57" t="str">
        <f>IF($A317="","",IF(SUMIFS([2]Fixture_Capacity_Input!$C:$C,[2]Fixture_Capacity_Input!$A:$A,$B317,[2]Fixture_Capacity_Input!$B:$B,$C317)&gt;0,SUMIFS([2]Fixture_Capacity_Input!$C:$C,[2]Fixture_Capacity_Input!$A:$A,$B317,[2]Fixture_Capacity_Input!$B:$B,$C317),[2]weekly_demand!G318))</f>
        <v/>
      </c>
      <c r="E317" s="58" t="str">
        <f>IF($A317="","",[2]weekly_demand!I318)</f>
        <v/>
      </c>
      <c r="F317" s="57" t="str">
        <f t="shared" si="43"/>
        <v/>
      </c>
      <c r="G317" s="57" t="str">
        <f t="shared" si="44"/>
        <v/>
      </c>
      <c r="H317" s="57" t="str">
        <f t="shared" si="51"/>
        <v/>
      </c>
      <c r="I317" s="58" t="str">
        <f t="shared" si="47"/>
        <v/>
      </c>
      <c r="J317" s="58" t="str">
        <f t="shared" si="45"/>
        <v/>
      </c>
      <c r="K317" s="58" t="str">
        <f t="shared" si="48"/>
        <v/>
      </c>
      <c r="L317" s="58" t="str">
        <f t="shared" si="49"/>
        <v/>
      </c>
      <c r="M317" s="58" t="str">
        <f t="shared" si="50"/>
        <v/>
      </c>
      <c r="N317" s="59" t="str">
        <f t="shared" si="46"/>
        <v/>
      </c>
      <c r="O317" s="60"/>
      <c r="P317" s="105"/>
    </row>
    <row r="318" spans="1:16" x14ac:dyDescent="0.3">
      <c r="A318" s="54" t="str">
        <f>IF([2]weekly_demand!A319="","",[2]weekly_demand!A319)</f>
        <v/>
      </c>
      <c r="B318" s="55" t="str">
        <f>IF($A318="","",[2]weekly_demand!F319)</f>
        <v/>
      </c>
      <c r="C318" s="56" t="str">
        <f>IF($A318="","",[2]weekly_demand!H319)</f>
        <v/>
      </c>
      <c r="D318" s="57" t="str">
        <f>IF($A318="","",IF(SUMIFS([2]Fixture_Capacity_Input!$C:$C,[2]Fixture_Capacity_Input!$A:$A,$B318,[2]Fixture_Capacity_Input!$B:$B,$C318)&gt;0,SUMIFS([2]Fixture_Capacity_Input!$C:$C,[2]Fixture_Capacity_Input!$A:$A,$B318,[2]Fixture_Capacity_Input!$B:$B,$C318),[2]weekly_demand!G319))</f>
        <v/>
      </c>
      <c r="E318" s="58" t="str">
        <f>IF($A318="","",[2]weekly_demand!I319)</f>
        <v/>
      </c>
      <c r="F318" s="57" t="str">
        <f t="shared" si="43"/>
        <v/>
      </c>
      <c r="G318" s="57" t="str">
        <f t="shared" si="44"/>
        <v/>
      </c>
      <c r="H318" s="57" t="str">
        <f t="shared" si="51"/>
        <v/>
      </c>
      <c r="I318" s="58" t="str">
        <f t="shared" si="47"/>
        <v/>
      </c>
      <c r="J318" s="58" t="str">
        <f t="shared" si="45"/>
        <v/>
      </c>
      <c r="K318" s="58" t="str">
        <f t="shared" si="48"/>
        <v/>
      </c>
      <c r="L318" s="58" t="str">
        <f t="shared" si="49"/>
        <v/>
      </c>
      <c r="M318" s="58" t="str">
        <f t="shared" si="50"/>
        <v/>
      </c>
      <c r="N318" s="59" t="str">
        <f t="shared" si="46"/>
        <v/>
      </c>
      <c r="O318" s="60"/>
      <c r="P318" s="105"/>
    </row>
    <row r="319" spans="1:16" x14ac:dyDescent="0.3">
      <c r="A319" s="54" t="str">
        <f>IF([2]weekly_demand!A320="","",[2]weekly_demand!A320)</f>
        <v/>
      </c>
      <c r="B319" s="55" t="str">
        <f>IF($A319="","",[2]weekly_demand!F320)</f>
        <v/>
      </c>
      <c r="C319" s="56" t="str">
        <f>IF($A319="","",[2]weekly_demand!H320)</f>
        <v/>
      </c>
      <c r="D319" s="57" t="str">
        <f>IF($A319="","",IF(SUMIFS([2]Fixture_Capacity_Input!$C:$C,[2]Fixture_Capacity_Input!$A:$A,$B319,[2]Fixture_Capacity_Input!$B:$B,$C319)&gt;0,SUMIFS([2]Fixture_Capacity_Input!$C:$C,[2]Fixture_Capacity_Input!$A:$A,$B319,[2]Fixture_Capacity_Input!$B:$B,$C319),[2]weekly_demand!G320))</f>
        <v/>
      </c>
      <c r="E319" s="58" t="str">
        <f>IF($A319="","",[2]weekly_demand!I320)</f>
        <v/>
      </c>
      <c r="F319" s="57" t="str">
        <f t="shared" si="43"/>
        <v/>
      </c>
      <c r="G319" s="57" t="str">
        <f t="shared" si="44"/>
        <v/>
      </c>
      <c r="H319" s="57" t="str">
        <f t="shared" si="51"/>
        <v/>
      </c>
      <c r="I319" s="58" t="str">
        <f t="shared" si="47"/>
        <v/>
      </c>
      <c r="J319" s="58" t="str">
        <f t="shared" si="45"/>
        <v/>
      </c>
      <c r="K319" s="58" t="str">
        <f t="shared" si="48"/>
        <v/>
      </c>
      <c r="L319" s="58" t="str">
        <f t="shared" si="49"/>
        <v/>
      </c>
      <c r="M319" s="58" t="str">
        <f t="shared" si="50"/>
        <v/>
      </c>
      <c r="N319" s="59" t="str">
        <f t="shared" si="46"/>
        <v/>
      </c>
      <c r="O319" s="60"/>
      <c r="P319" s="105"/>
    </row>
    <row r="320" spans="1:16" x14ac:dyDescent="0.3">
      <c r="A320" s="54" t="str">
        <f>IF([2]weekly_demand!A321="","",[2]weekly_demand!A321)</f>
        <v/>
      </c>
      <c r="B320" s="55" t="str">
        <f>IF($A320="","",[2]weekly_demand!F321)</f>
        <v/>
      </c>
      <c r="C320" s="56" t="str">
        <f>IF($A320="","",[2]weekly_demand!H321)</f>
        <v/>
      </c>
      <c r="D320" s="57" t="str">
        <f>IF($A320="","",IF(SUMIFS([2]Fixture_Capacity_Input!$C:$C,[2]Fixture_Capacity_Input!$A:$A,$B320,[2]Fixture_Capacity_Input!$B:$B,$C320)&gt;0,SUMIFS([2]Fixture_Capacity_Input!$C:$C,[2]Fixture_Capacity_Input!$A:$A,$B320,[2]Fixture_Capacity_Input!$B:$B,$C320),[2]weekly_demand!G321))</f>
        <v/>
      </c>
      <c r="E320" s="58" t="str">
        <f>IF($A320="","",[2]weekly_demand!I321)</f>
        <v/>
      </c>
      <c r="F320" s="57" t="str">
        <f t="shared" si="43"/>
        <v/>
      </c>
      <c r="G320" s="57" t="str">
        <f t="shared" si="44"/>
        <v/>
      </c>
      <c r="H320" s="57" t="str">
        <f t="shared" si="51"/>
        <v/>
      </c>
      <c r="I320" s="58" t="str">
        <f t="shared" si="47"/>
        <v/>
      </c>
      <c r="J320" s="58" t="str">
        <f t="shared" si="45"/>
        <v/>
      </c>
      <c r="K320" s="58" t="str">
        <f t="shared" si="48"/>
        <v/>
      </c>
      <c r="L320" s="58" t="str">
        <f t="shared" si="49"/>
        <v/>
      </c>
      <c r="M320" s="58" t="str">
        <f t="shared" si="50"/>
        <v/>
      </c>
      <c r="N320" s="59" t="str">
        <f t="shared" si="46"/>
        <v/>
      </c>
      <c r="O320" s="60"/>
      <c r="P320" s="105"/>
    </row>
    <row r="321" spans="1:16" x14ac:dyDescent="0.3">
      <c r="A321" s="54" t="str">
        <f>IF([2]weekly_demand!A322="","",[2]weekly_demand!A322)</f>
        <v/>
      </c>
      <c r="B321" s="55" t="str">
        <f>IF($A321="","",[2]weekly_demand!F322)</f>
        <v/>
      </c>
      <c r="C321" s="56" t="str">
        <f>IF($A321="","",[2]weekly_demand!H322)</f>
        <v/>
      </c>
      <c r="D321" s="57" t="str">
        <f>IF($A321="","",IF(SUMIFS([2]Fixture_Capacity_Input!$C:$C,[2]Fixture_Capacity_Input!$A:$A,$B321,[2]Fixture_Capacity_Input!$B:$B,$C321)&gt;0,SUMIFS([2]Fixture_Capacity_Input!$C:$C,[2]Fixture_Capacity_Input!$A:$A,$B321,[2]Fixture_Capacity_Input!$B:$B,$C321),[2]weekly_demand!G322))</f>
        <v/>
      </c>
      <c r="E321" s="58" t="str">
        <f>IF($A321="","",[2]weekly_demand!I322)</f>
        <v/>
      </c>
      <c r="F321" s="57" t="str">
        <f t="shared" si="43"/>
        <v/>
      </c>
      <c r="G321" s="57" t="str">
        <f t="shared" si="44"/>
        <v/>
      </c>
      <c r="H321" s="57" t="str">
        <f t="shared" si="51"/>
        <v/>
      </c>
      <c r="I321" s="58" t="str">
        <f t="shared" si="47"/>
        <v/>
      </c>
      <c r="J321" s="58" t="str">
        <f t="shared" si="45"/>
        <v/>
      </c>
      <c r="K321" s="58" t="str">
        <f t="shared" si="48"/>
        <v/>
      </c>
      <c r="L321" s="58" t="str">
        <f t="shared" si="49"/>
        <v/>
      </c>
      <c r="M321" s="58" t="str">
        <f t="shared" si="50"/>
        <v/>
      </c>
      <c r="N321" s="59" t="str">
        <f t="shared" si="46"/>
        <v/>
      </c>
      <c r="O321" s="60"/>
      <c r="P321" s="105"/>
    </row>
    <row r="322" spans="1:16" x14ac:dyDescent="0.3">
      <c r="A322" s="54" t="str">
        <f>IF([2]weekly_demand!A323="","",[2]weekly_demand!A323)</f>
        <v/>
      </c>
      <c r="B322" s="55" t="str">
        <f>IF($A322="","",[2]weekly_demand!F323)</f>
        <v/>
      </c>
      <c r="C322" s="56" t="str">
        <f>IF($A322="","",[2]weekly_demand!H323)</f>
        <v/>
      </c>
      <c r="D322" s="57" t="str">
        <f>IF($A322="","",IF(SUMIFS([2]Fixture_Capacity_Input!$C:$C,[2]Fixture_Capacity_Input!$A:$A,$B322,[2]Fixture_Capacity_Input!$B:$B,$C322)&gt;0,SUMIFS([2]Fixture_Capacity_Input!$C:$C,[2]Fixture_Capacity_Input!$A:$A,$B322,[2]Fixture_Capacity_Input!$B:$B,$C322),[2]weekly_demand!G323))</f>
        <v/>
      </c>
      <c r="E322" s="58" t="str">
        <f>IF($A322="","",[2]weekly_demand!I323)</f>
        <v/>
      </c>
      <c r="F322" s="57" t="str">
        <f t="shared" ref="F322:F385" si="52">IF($A322="","",IF($A322&lt;&gt;$A321,_xlfn.XLOOKUP($A322,$Q$2:$Q$7,$R$2:$R$7,0),K321))</f>
        <v/>
      </c>
      <c r="G322" s="57" t="str">
        <f t="shared" ref="G322:G385" si="53">IF($A322="","",_xlfn.XLOOKUP($A322,$Q$2:$Q$7,$S$2:$S$7,0))</f>
        <v/>
      </c>
      <c r="H322" s="57" t="str">
        <f t="shared" si="51"/>
        <v/>
      </c>
      <c r="I322" s="58" t="str">
        <f t="shared" si="47"/>
        <v/>
      </c>
      <c r="J322" s="58" t="str">
        <f t="shared" ref="J322:J385" si="54">IF($A322="","",MIN($D322,$I322,MAX(0,$E322+$G322-$F322)))</f>
        <v/>
      </c>
      <c r="K322" s="58" t="str">
        <f t="shared" si="48"/>
        <v/>
      </c>
      <c r="L322" s="58" t="str">
        <f t="shared" si="49"/>
        <v/>
      </c>
      <c r="M322" s="58" t="str">
        <f t="shared" si="50"/>
        <v/>
      </c>
      <c r="N322" s="59" t="str">
        <f t="shared" ref="N322:N385" si="55">IF($A322="","",IFERROR(J322/D322,0))</f>
        <v/>
      </c>
      <c r="O322" s="60"/>
      <c r="P322" s="105"/>
    </row>
    <row r="323" spans="1:16" x14ac:dyDescent="0.3">
      <c r="A323" s="54" t="str">
        <f>IF([2]weekly_demand!A324="","",[2]weekly_demand!A324)</f>
        <v/>
      </c>
      <c r="B323" s="55" t="str">
        <f>IF($A323="","",[2]weekly_demand!F324)</f>
        <v/>
      </c>
      <c r="C323" s="56" t="str">
        <f>IF($A323="","",[2]weekly_demand!H324)</f>
        <v/>
      </c>
      <c r="D323" s="57" t="str">
        <f>IF($A323="","",IF(SUMIFS([2]Fixture_Capacity_Input!$C:$C,[2]Fixture_Capacity_Input!$A:$A,$B323,[2]Fixture_Capacity_Input!$B:$B,$C323)&gt;0,SUMIFS([2]Fixture_Capacity_Input!$C:$C,[2]Fixture_Capacity_Input!$A:$A,$B323,[2]Fixture_Capacity_Input!$B:$B,$C323),[2]weekly_demand!G324))</f>
        <v/>
      </c>
      <c r="E323" s="58" t="str">
        <f>IF($A323="","",[2]weekly_demand!I324)</f>
        <v/>
      </c>
      <c r="F323" s="57" t="str">
        <f t="shared" si="52"/>
        <v/>
      </c>
      <c r="G323" s="57" t="str">
        <f t="shared" si="53"/>
        <v/>
      </c>
      <c r="H323" s="57" t="str">
        <f t="shared" si="51"/>
        <v/>
      </c>
      <c r="I323" s="58" t="str">
        <f t="shared" ref="I323:I386" si="56">IF($A323="","",MAX(0,E323+H323-F323))</f>
        <v/>
      </c>
      <c r="J323" s="58" t="str">
        <f t="shared" si="54"/>
        <v/>
      </c>
      <c r="K323" s="58" t="str">
        <f t="shared" ref="K323:K386" si="57">IF($A323="","",MIN($G323,MAX(0,$F323+$J323-$E323)))</f>
        <v/>
      </c>
      <c r="L323" s="58" t="str">
        <f t="shared" ref="L323:L386" si="58">IF($A323="","",MAX(0,E323-F323-J323))</f>
        <v/>
      </c>
      <c r="M323" s="58" t="str">
        <f t="shared" ref="M323:M386" si="59">IF($A323="","",MAX(0,F323+J323-E323))</f>
        <v/>
      </c>
      <c r="N323" s="59" t="str">
        <f t="shared" si="55"/>
        <v/>
      </c>
      <c r="O323" s="60"/>
      <c r="P323" s="105"/>
    </row>
    <row r="324" spans="1:16" x14ac:dyDescent="0.3">
      <c r="A324" s="54" t="str">
        <f>IF([2]weekly_demand!A325="","",[2]weekly_demand!A325)</f>
        <v/>
      </c>
      <c r="B324" s="55" t="str">
        <f>IF($A324="","",[2]weekly_demand!F325)</f>
        <v/>
      </c>
      <c r="C324" s="56" t="str">
        <f>IF($A324="","",[2]weekly_demand!H325)</f>
        <v/>
      </c>
      <c r="D324" s="57" t="str">
        <f>IF($A324="","",IF(SUMIFS([2]Fixture_Capacity_Input!$C:$C,[2]Fixture_Capacity_Input!$A:$A,$B324,[2]Fixture_Capacity_Input!$B:$B,$C324)&gt;0,SUMIFS([2]Fixture_Capacity_Input!$C:$C,[2]Fixture_Capacity_Input!$A:$A,$B324,[2]Fixture_Capacity_Input!$B:$B,$C324),[2]weekly_demand!G325))</f>
        <v/>
      </c>
      <c r="E324" s="58" t="str">
        <f>IF($A324="","",[2]weekly_demand!I325)</f>
        <v/>
      </c>
      <c r="F324" s="57" t="str">
        <f t="shared" si="52"/>
        <v/>
      </c>
      <c r="G324" s="57" t="str">
        <f t="shared" si="53"/>
        <v/>
      </c>
      <c r="H324" s="57" t="str">
        <f t="shared" si="51"/>
        <v/>
      </c>
      <c r="I324" s="58" t="str">
        <f t="shared" si="56"/>
        <v/>
      </c>
      <c r="J324" s="58" t="str">
        <f t="shared" si="54"/>
        <v/>
      </c>
      <c r="K324" s="58" t="str">
        <f t="shared" si="57"/>
        <v/>
      </c>
      <c r="L324" s="58" t="str">
        <f t="shared" si="58"/>
        <v/>
      </c>
      <c r="M324" s="58" t="str">
        <f t="shared" si="59"/>
        <v/>
      </c>
      <c r="N324" s="59" t="str">
        <f t="shared" si="55"/>
        <v/>
      </c>
      <c r="O324" s="60"/>
      <c r="P324" s="105"/>
    </row>
    <row r="325" spans="1:16" x14ac:dyDescent="0.3">
      <c r="A325" s="54" t="str">
        <f>IF([2]weekly_demand!A326="","",[2]weekly_demand!A326)</f>
        <v/>
      </c>
      <c r="B325" s="55" t="str">
        <f>IF($A325="","",[2]weekly_demand!F326)</f>
        <v/>
      </c>
      <c r="C325" s="56" t="str">
        <f>IF($A325="","",[2]weekly_demand!H326)</f>
        <v/>
      </c>
      <c r="D325" s="57" t="str">
        <f>IF($A325="","",IF(SUMIFS([2]Fixture_Capacity_Input!$C:$C,[2]Fixture_Capacity_Input!$A:$A,$B325,[2]Fixture_Capacity_Input!$B:$B,$C325)&gt;0,SUMIFS([2]Fixture_Capacity_Input!$C:$C,[2]Fixture_Capacity_Input!$A:$A,$B325,[2]Fixture_Capacity_Input!$B:$B,$C325),[2]weekly_demand!G326))</f>
        <v/>
      </c>
      <c r="E325" s="58" t="str">
        <f>IF($A325="","",[2]weekly_demand!I326)</f>
        <v/>
      </c>
      <c r="F325" s="57" t="str">
        <f t="shared" si="52"/>
        <v/>
      </c>
      <c r="G325" s="57" t="str">
        <f t="shared" si="53"/>
        <v/>
      </c>
      <c r="H325" s="57" t="str">
        <f t="shared" si="51"/>
        <v/>
      </c>
      <c r="I325" s="58" t="str">
        <f t="shared" si="56"/>
        <v/>
      </c>
      <c r="J325" s="58" t="str">
        <f t="shared" si="54"/>
        <v/>
      </c>
      <c r="K325" s="58" t="str">
        <f t="shared" si="57"/>
        <v/>
      </c>
      <c r="L325" s="58" t="str">
        <f t="shared" si="58"/>
        <v/>
      </c>
      <c r="M325" s="58" t="str">
        <f t="shared" si="59"/>
        <v/>
      </c>
      <c r="N325" s="59" t="str">
        <f t="shared" si="55"/>
        <v/>
      </c>
      <c r="O325" s="60"/>
      <c r="P325" s="105"/>
    </row>
    <row r="326" spans="1:16" x14ac:dyDescent="0.3">
      <c r="A326" s="54" t="str">
        <f>IF([2]weekly_demand!A327="","",[2]weekly_demand!A327)</f>
        <v/>
      </c>
      <c r="B326" s="55" t="str">
        <f>IF($A326="","",[2]weekly_demand!F327)</f>
        <v/>
      </c>
      <c r="C326" s="56" t="str">
        <f>IF($A326="","",[2]weekly_demand!H327)</f>
        <v/>
      </c>
      <c r="D326" s="57" t="str">
        <f>IF($A326="","",IF(SUMIFS([2]Fixture_Capacity_Input!$C:$C,[2]Fixture_Capacity_Input!$A:$A,$B326,[2]Fixture_Capacity_Input!$B:$B,$C326)&gt;0,SUMIFS([2]Fixture_Capacity_Input!$C:$C,[2]Fixture_Capacity_Input!$A:$A,$B326,[2]Fixture_Capacity_Input!$B:$B,$C326),[2]weekly_demand!G327))</f>
        <v/>
      </c>
      <c r="E326" s="58" t="str">
        <f>IF($A326="","",[2]weekly_demand!I327)</f>
        <v/>
      </c>
      <c r="F326" s="57" t="str">
        <f t="shared" si="52"/>
        <v/>
      </c>
      <c r="G326" s="57" t="str">
        <f t="shared" si="53"/>
        <v/>
      </c>
      <c r="H326" s="57" t="str">
        <f t="shared" si="51"/>
        <v/>
      </c>
      <c r="I326" s="58" t="str">
        <f t="shared" si="56"/>
        <v/>
      </c>
      <c r="J326" s="58" t="str">
        <f t="shared" si="54"/>
        <v/>
      </c>
      <c r="K326" s="58" t="str">
        <f t="shared" si="57"/>
        <v/>
      </c>
      <c r="L326" s="58" t="str">
        <f t="shared" si="58"/>
        <v/>
      </c>
      <c r="M326" s="58" t="str">
        <f t="shared" si="59"/>
        <v/>
      </c>
      <c r="N326" s="59" t="str">
        <f t="shared" si="55"/>
        <v/>
      </c>
      <c r="O326" s="60"/>
      <c r="P326" s="105"/>
    </row>
    <row r="327" spans="1:16" x14ac:dyDescent="0.3">
      <c r="A327" s="54" t="str">
        <f>IF([2]weekly_demand!A328="","",[2]weekly_demand!A328)</f>
        <v/>
      </c>
      <c r="B327" s="55" t="str">
        <f>IF($A327="","",[2]weekly_demand!F328)</f>
        <v/>
      </c>
      <c r="C327" s="56" t="str">
        <f>IF($A327="","",[2]weekly_demand!H328)</f>
        <v/>
      </c>
      <c r="D327" s="57" t="str">
        <f>IF($A327="","",IF(SUMIFS([2]Fixture_Capacity_Input!$C:$C,[2]Fixture_Capacity_Input!$A:$A,$B327,[2]Fixture_Capacity_Input!$B:$B,$C327)&gt;0,SUMIFS([2]Fixture_Capacity_Input!$C:$C,[2]Fixture_Capacity_Input!$A:$A,$B327,[2]Fixture_Capacity_Input!$B:$B,$C327),[2]weekly_demand!G328))</f>
        <v/>
      </c>
      <c r="E327" s="58" t="str">
        <f>IF($A327="","",[2]weekly_demand!I328)</f>
        <v/>
      </c>
      <c r="F327" s="57" t="str">
        <f t="shared" si="52"/>
        <v/>
      </c>
      <c r="G327" s="57" t="str">
        <f t="shared" si="53"/>
        <v/>
      </c>
      <c r="H327" s="57" t="str">
        <f t="shared" si="51"/>
        <v/>
      </c>
      <c r="I327" s="58" t="str">
        <f t="shared" si="56"/>
        <v/>
      </c>
      <c r="J327" s="58" t="str">
        <f t="shared" si="54"/>
        <v/>
      </c>
      <c r="K327" s="58" t="str">
        <f t="shared" si="57"/>
        <v/>
      </c>
      <c r="L327" s="58" t="str">
        <f t="shared" si="58"/>
        <v/>
      </c>
      <c r="M327" s="58" t="str">
        <f t="shared" si="59"/>
        <v/>
      </c>
      <c r="N327" s="59" t="str">
        <f t="shared" si="55"/>
        <v/>
      </c>
      <c r="O327" s="60"/>
      <c r="P327" s="105"/>
    </row>
    <row r="328" spans="1:16" x14ac:dyDescent="0.3">
      <c r="A328" s="54" t="str">
        <f>IF([2]weekly_demand!A329="","",[2]weekly_demand!A329)</f>
        <v/>
      </c>
      <c r="B328" s="55" t="str">
        <f>IF($A328="","",[2]weekly_demand!F329)</f>
        <v/>
      </c>
      <c r="C328" s="56" t="str">
        <f>IF($A328="","",[2]weekly_demand!H329)</f>
        <v/>
      </c>
      <c r="D328" s="57" t="str">
        <f>IF($A328="","",IF(SUMIFS([2]Fixture_Capacity_Input!$C:$C,[2]Fixture_Capacity_Input!$A:$A,$B328,[2]Fixture_Capacity_Input!$B:$B,$C328)&gt;0,SUMIFS([2]Fixture_Capacity_Input!$C:$C,[2]Fixture_Capacity_Input!$A:$A,$B328,[2]Fixture_Capacity_Input!$B:$B,$C328),[2]weekly_demand!G329))</f>
        <v/>
      </c>
      <c r="E328" s="58" t="str">
        <f>IF($A328="","",[2]weekly_demand!I329)</f>
        <v/>
      </c>
      <c r="F328" s="57" t="str">
        <f t="shared" si="52"/>
        <v/>
      </c>
      <c r="G328" s="57" t="str">
        <f t="shared" si="53"/>
        <v/>
      </c>
      <c r="H328" s="57" t="str">
        <f t="shared" si="51"/>
        <v/>
      </c>
      <c r="I328" s="58" t="str">
        <f t="shared" si="56"/>
        <v/>
      </c>
      <c r="J328" s="58" t="str">
        <f t="shared" si="54"/>
        <v/>
      </c>
      <c r="K328" s="58" t="str">
        <f t="shared" si="57"/>
        <v/>
      </c>
      <c r="L328" s="58" t="str">
        <f t="shared" si="58"/>
        <v/>
      </c>
      <c r="M328" s="58" t="str">
        <f t="shared" si="59"/>
        <v/>
      </c>
      <c r="N328" s="59" t="str">
        <f t="shared" si="55"/>
        <v/>
      </c>
      <c r="O328" s="60"/>
      <c r="P328" s="105"/>
    </row>
    <row r="329" spans="1:16" x14ac:dyDescent="0.3">
      <c r="A329" s="54" t="str">
        <f>IF([2]weekly_demand!A330="","",[2]weekly_demand!A330)</f>
        <v/>
      </c>
      <c r="B329" s="55" t="str">
        <f>IF($A329="","",[2]weekly_demand!F330)</f>
        <v/>
      </c>
      <c r="C329" s="56" t="str">
        <f>IF($A329="","",[2]weekly_demand!H330)</f>
        <v/>
      </c>
      <c r="D329" s="57" t="str">
        <f>IF($A329="","",IF(SUMIFS([2]Fixture_Capacity_Input!$C:$C,[2]Fixture_Capacity_Input!$A:$A,$B329,[2]Fixture_Capacity_Input!$B:$B,$C329)&gt;0,SUMIFS([2]Fixture_Capacity_Input!$C:$C,[2]Fixture_Capacity_Input!$A:$A,$B329,[2]Fixture_Capacity_Input!$B:$B,$C329),[2]weekly_demand!G330))</f>
        <v/>
      </c>
      <c r="E329" s="58" t="str">
        <f>IF($A329="","",[2]weekly_demand!I330)</f>
        <v/>
      </c>
      <c r="F329" s="57" t="str">
        <f t="shared" si="52"/>
        <v/>
      </c>
      <c r="G329" s="57" t="str">
        <f t="shared" si="53"/>
        <v/>
      </c>
      <c r="H329" s="57" t="str">
        <f t="shared" si="51"/>
        <v/>
      </c>
      <c r="I329" s="58" t="str">
        <f t="shared" si="56"/>
        <v/>
      </c>
      <c r="J329" s="58" t="str">
        <f t="shared" si="54"/>
        <v/>
      </c>
      <c r="K329" s="58" t="str">
        <f t="shared" si="57"/>
        <v/>
      </c>
      <c r="L329" s="58" t="str">
        <f t="shared" si="58"/>
        <v/>
      </c>
      <c r="M329" s="58" t="str">
        <f t="shared" si="59"/>
        <v/>
      </c>
      <c r="N329" s="59" t="str">
        <f t="shared" si="55"/>
        <v/>
      </c>
      <c r="O329" s="60"/>
      <c r="P329" s="105"/>
    </row>
    <row r="330" spans="1:16" x14ac:dyDescent="0.3">
      <c r="A330" s="54" t="str">
        <f>IF([2]weekly_demand!A331="","",[2]weekly_demand!A331)</f>
        <v/>
      </c>
      <c r="B330" s="55" t="str">
        <f>IF($A330="","",[2]weekly_demand!F331)</f>
        <v/>
      </c>
      <c r="C330" s="56" t="str">
        <f>IF($A330="","",[2]weekly_demand!H331)</f>
        <v/>
      </c>
      <c r="D330" s="57" t="str">
        <f>IF($A330="","",IF(SUMIFS([2]Fixture_Capacity_Input!$C:$C,[2]Fixture_Capacity_Input!$A:$A,$B330,[2]Fixture_Capacity_Input!$B:$B,$C330)&gt;0,SUMIFS([2]Fixture_Capacity_Input!$C:$C,[2]Fixture_Capacity_Input!$A:$A,$B330,[2]Fixture_Capacity_Input!$B:$B,$C330),[2]weekly_demand!G331))</f>
        <v/>
      </c>
      <c r="E330" s="58" t="str">
        <f>IF($A330="","",[2]weekly_demand!I331)</f>
        <v/>
      </c>
      <c r="F330" s="57" t="str">
        <f t="shared" si="52"/>
        <v/>
      </c>
      <c r="G330" s="57" t="str">
        <f t="shared" si="53"/>
        <v/>
      </c>
      <c r="H330" s="57" t="str">
        <f t="shared" si="51"/>
        <v/>
      </c>
      <c r="I330" s="58" t="str">
        <f t="shared" si="56"/>
        <v/>
      </c>
      <c r="J330" s="58" t="str">
        <f t="shared" si="54"/>
        <v/>
      </c>
      <c r="K330" s="58" t="str">
        <f t="shared" si="57"/>
        <v/>
      </c>
      <c r="L330" s="58" t="str">
        <f t="shared" si="58"/>
        <v/>
      </c>
      <c r="M330" s="58" t="str">
        <f t="shared" si="59"/>
        <v/>
      </c>
      <c r="N330" s="59" t="str">
        <f t="shared" si="55"/>
        <v/>
      </c>
      <c r="O330" s="60"/>
      <c r="P330" s="105"/>
    </row>
    <row r="331" spans="1:16" x14ac:dyDescent="0.3">
      <c r="A331" s="54" t="str">
        <f>IF([2]weekly_demand!A332="","",[2]weekly_demand!A332)</f>
        <v/>
      </c>
      <c r="B331" s="55" t="str">
        <f>IF($A331="","",[2]weekly_demand!F332)</f>
        <v/>
      </c>
      <c r="C331" s="56" t="str">
        <f>IF($A331="","",[2]weekly_demand!H332)</f>
        <v/>
      </c>
      <c r="D331" s="57" t="str">
        <f>IF($A331="","",IF(SUMIFS([2]Fixture_Capacity_Input!$C:$C,[2]Fixture_Capacity_Input!$A:$A,$B331,[2]Fixture_Capacity_Input!$B:$B,$C331)&gt;0,SUMIFS([2]Fixture_Capacity_Input!$C:$C,[2]Fixture_Capacity_Input!$A:$A,$B331,[2]Fixture_Capacity_Input!$B:$B,$C331),[2]weekly_demand!G332))</f>
        <v/>
      </c>
      <c r="E331" s="58" t="str">
        <f>IF($A331="","",[2]weekly_demand!I332)</f>
        <v/>
      </c>
      <c r="F331" s="57" t="str">
        <f t="shared" si="52"/>
        <v/>
      </c>
      <c r="G331" s="57" t="str">
        <f t="shared" si="53"/>
        <v/>
      </c>
      <c r="H331" s="57" t="str">
        <f t="shared" si="51"/>
        <v/>
      </c>
      <c r="I331" s="58" t="str">
        <f t="shared" si="56"/>
        <v/>
      </c>
      <c r="J331" s="58" t="str">
        <f t="shared" si="54"/>
        <v/>
      </c>
      <c r="K331" s="58" t="str">
        <f t="shared" si="57"/>
        <v/>
      </c>
      <c r="L331" s="58" t="str">
        <f t="shared" si="58"/>
        <v/>
      </c>
      <c r="M331" s="58" t="str">
        <f t="shared" si="59"/>
        <v/>
      </c>
      <c r="N331" s="59" t="str">
        <f t="shared" si="55"/>
        <v/>
      </c>
      <c r="O331" s="60"/>
      <c r="P331" s="105"/>
    </row>
    <row r="332" spans="1:16" x14ac:dyDescent="0.3">
      <c r="A332" s="54" t="str">
        <f>IF([2]weekly_demand!A333="","",[2]weekly_demand!A333)</f>
        <v/>
      </c>
      <c r="B332" s="55" t="str">
        <f>IF($A332="","",[2]weekly_demand!F333)</f>
        <v/>
      </c>
      <c r="C332" s="56" t="str">
        <f>IF($A332="","",[2]weekly_demand!H333)</f>
        <v/>
      </c>
      <c r="D332" s="57" t="str">
        <f>IF($A332="","",IF(SUMIFS([2]Fixture_Capacity_Input!$C:$C,[2]Fixture_Capacity_Input!$A:$A,$B332,[2]Fixture_Capacity_Input!$B:$B,$C332)&gt;0,SUMIFS([2]Fixture_Capacity_Input!$C:$C,[2]Fixture_Capacity_Input!$A:$A,$B332,[2]Fixture_Capacity_Input!$B:$B,$C332),[2]weekly_demand!G333))</f>
        <v/>
      </c>
      <c r="E332" s="58" t="str">
        <f>IF($A332="","",[2]weekly_demand!I333)</f>
        <v/>
      </c>
      <c r="F332" s="57" t="str">
        <f t="shared" si="52"/>
        <v/>
      </c>
      <c r="G332" s="57" t="str">
        <f t="shared" si="53"/>
        <v/>
      </c>
      <c r="H332" s="57" t="str">
        <f t="shared" si="51"/>
        <v/>
      </c>
      <c r="I332" s="58" t="str">
        <f t="shared" si="56"/>
        <v/>
      </c>
      <c r="J332" s="58" t="str">
        <f t="shared" si="54"/>
        <v/>
      </c>
      <c r="K332" s="58" t="str">
        <f t="shared" si="57"/>
        <v/>
      </c>
      <c r="L332" s="58" t="str">
        <f t="shared" si="58"/>
        <v/>
      </c>
      <c r="M332" s="58" t="str">
        <f t="shared" si="59"/>
        <v/>
      </c>
      <c r="N332" s="59" t="str">
        <f t="shared" si="55"/>
        <v/>
      </c>
      <c r="O332" s="60"/>
      <c r="P332" s="105"/>
    </row>
    <row r="333" spans="1:16" x14ac:dyDescent="0.3">
      <c r="A333" s="54" t="str">
        <f>IF([2]weekly_demand!A334="","",[2]weekly_demand!A334)</f>
        <v/>
      </c>
      <c r="B333" s="55" t="str">
        <f>IF($A333="","",[2]weekly_demand!F334)</f>
        <v/>
      </c>
      <c r="C333" s="56" t="str">
        <f>IF($A333="","",[2]weekly_demand!H334)</f>
        <v/>
      </c>
      <c r="D333" s="57" t="str">
        <f>IF($A333="","",IF(SUMIFS([2]Fixture_Capacity_Input!$C:$C,[2]Fixture_Capacity_Input!$A:$A,$B333,[2]Fixture_Capacity_Input!$B:$B,$C333)&gt;0,SUMIFS([2]Fixture_Capacity_Input!$C:$C,[2]Fixture_Capacity_Input!$A:$A,$B333,[2]Fixture_Capacity_Input!$B:$B,$C333),[2]weekly_demand!G334))</f>
        <v/>
      </c>
      <c r="E333" s="58" t="str">
        <f>IF($A333="","",[2]weekly_demand!I334)</f>
        <v/>
      </c>
      <c r="F333" s="57" t="str">
        <f t="shared" si="52"/>
        <v/>
      </c>
      <c r="G333" s="57" t="str">
        <f t="shared" si="53"/>
        <v/>
      </c>
      <c r="H333" s="57" t="str">
        <f t="shared" si="51"/>
        <v/>
      </c>
      <c r="I333" s="58" t="str">
        <f t="shared" si="56"/>
        <v/>
      </c>
      <c r="J333" s="58" t="str">
        <f t="shared" si="54"/>
        <v/>
      </c>
      <c r="K333" s="58" t="str">
        <f t="shared" si="57"/>
        <v/>
      </c>
      <c r="L333" s="58" t="str">
        <f t="shared" si="58"/>
        <v/>
      </c>
      <c r="M333" s="58" t="str">
        <f t="shared" si="59"/>
        <v/>
      </c>
      <c r="N333" s="59" t="str">
        <f t="shared" si="55"/>
        <v/>
      </c>
      <c r="O333" s="60"/>
      <c r="P333" s="105"/>
    </row>
    <row r="334" spans="1:16" x14ac:dyDescent="0.3">
      <c r="A334" s="54" t="str">
        <f>IF([2]weekly_demand!A335="","",[2]weekly_demand!A335)</f>
        <v/>
      </c>
      <c r="B334" s="55" t="str">
        <f>IF($A334="","",[2]weekly_demand!F335)</f>
        <v/>
      </c>
      <c r="C334" s="56" t="str">
        <f>IF($A334="","",[2]weekly_demand!H335)</f>
        <v/>
      </c>
      <c r="D334" s="57" t="str">
        <f>IF($A334="","",IF(SUMIFS([2]Fixture_Capacity_Input!$C:$C,[2]Fixture_Capacity_Input!$A:$A,$B334,[2]Fixture_Capacity_Input!$B:$B,$C334)&gt;0,SUMIFS([2]Fixture_Capacity_Input!$C:$C,[2]Fixture_Capacity_Input!$A:$A,$B334,[2]Fixture_Capacity_Input!$B:$B,$C334),[2]weekly_demand!G335))</f>
        <v/>
      </c>
      <c r="E334" s="58" t="str">
        <f>IF($A334="","",[2]weekly_demand!I335)</f>
        <v/>
      </c>
      <c r="F334" s="57" t="str">
        <f t="shared" si="52"/>
        <v/>
      </c>
      <c r="G334" s="57" t="str">
        <f t="shared" si="53"/>
        <v/>
      </c>
      <c r="H334" s="57" t="str">
        <f t="shared" si="51"/>
        <v/>
      </c>
      <c r="I334" s="58" t="str">
        <f t="shared" si="56"/>
        <v/>
      </c>
      <c r="J334" s="58" t="str">
        <f t="shared" si="54"/>
        <v/>
      </c>
      <c r="K334" s="58" t="str">
        <f t="shared" si="57"/>
        <v/>
      </c>
      <c r="L334" s="58" t="str">
        <f t="shared" si="58"/>
        <v/>
      </c>
      <c r="M334" s="58" t="str">
        <f t="shared" si="59"/>
        <v/>
      </c>
      <c r="N334" s="59" t="str">
        <f t="shared" si="55"/>
        <v/>
      </c>
      <c r="O334" s="60"/>
      <c r="P334" s="105"/>
    </row>
    <row r="335" spans="1:16" x14ac:dyDescent="0.3">
      <c r="A335" s="54" t="str">
        <f>IF([2]weekly_demand!A336="","",[2]weekly_demand!A336)</f>
        <v/>
      </c>
      <c r="B335" s="55" t="str">
        <f>IF($A335="","",[2]weekly_demand!F336)</f>
        <v/>
      </c>
      <c r="C335" s="56" t="str">
        <f>IF($A335="","",[2]weekly_demand!H336)</f>
        <v/>
      </c>
      <c r="D335" s="57" t="str">
        <f>IF($A335="","",IF(SUMIFS([2]Fixture_Capacity_Input!$C:$C,[2]Fixture_Capacity_Input!$A:$A,$B335,[2]Fixture_Capacity_Input!$B:$B,$C335)&gt;0,SUMIFS([2]Fixture_Capacity_Input!$C:$C,[2]Fixture_Capacity_Input!$A:$A,$B335,[2]Fixture_Capacity_Input!$B:$B,$C335),[2]weekly_demand!G336))</f>
        <v/>
      </c>
      <c r="E335" s="58" t="str">
        <f>IF($A335="","",[2]weekly_demand!I336)</f>
        <v/>
      </c>
      <c r="F335" s="57" t="str">
        <f t="shared" si="52"/>
        <v/>
      </c>
      <c r="G335" s="57" t="str">
        <f t="shared" si="53"/>
        <v/>
      </c>
      <c r="H335" s="57" t="str">
        <f t="shared" si="51"/>
        <v/>
      </c>
      <c r="I335" s="58" t="str">
        <f t="shared" si="56"/>
        <v/>
      </c>
      <c r="J335" s="58" t="str">
        <f t="shared" si="54"/>
        <v/>
      </c>
      <c r="K335" s="58" t="str">
        <f t="shared" si="57"/>
        <v/>
      </c>
      <c r="L335" s="58" t="str">
        <f t="shared" si="58"/>
        <v/>
      </c>
      <c r="M335" s="58" t="str">
        <f t="shared" si="59"/>
        <v/>
      </c>
      <c r="N335" s="59" t="str">
        <f t="shared" si="55"/>
        <v/>
      </c>
      <c r="O335" s="60"/>
      <c r="P335" s="105"/>
    </row>
    <row r="336" spans="1:16" x14ac:dyDescent="0.3">
      <c r="A336" s="54" t="str">
        <f>IF([2]weekly_demand!A337="","",[2]weekly_demand!A337)</f>
        <v/>
      </c>
      <c r="B336" s="55" t="str">
        <f>IF($A336="","",[2]weekly_demand!F337)</f>
        <v/>
      </c>
      <c r="C336" s="56" t="str">
        <f>IF($A336="","",[2]weekly_demand!H337)</f>
        <v/>
      </c>
      <c r="D336" s="57" t="str">
        <f>IF($A336="","",IF(SUMIFS([2]Fixture_Capacity_Input!$C:$C,[2]Fixture_Capacity_Input!$A:$A,$B336,[2]Fixture_Capacity_Input!$B:$B,$C336)&gt;0,SUMIFS([2]Fixture_Capacity_Input!$C:$C,[2]Fixture_Capacity_Input!$A:$A,$B336,[2]Fixture_Capacity_Input!$B:$B,$C336),[2]weekly_demand!G337))</f>
        <v/>
      </c>
      <c r="E336" s="58" t="str">
        <f>IF($A336="","",[2]weekly_demand!I337)</f>
        <v/>
      </c>
      <c r="F336" s="57" t="str">
        <f t="shared" si="52"/>
        <v/>
      </c>
      <c r="G336" s="57" t="str">
        <f t="shared" si="53"/>
        <v/>
      </c>
      <c r="H336" s="57" t="str">
        <f t="shared" si="51"/>
        <v/>
      </c>
      <c r="I336" s="58" t="str">
        <f t="shared" si="56"/>
        <v/>
      </c>
      <c r="J336" s="58" t="str">
        <f t="shared" si="54"/>
        <v/>
      </c>
      <c r="K336" s="58" t="str">
        <f t="shared" si="57"/>
        <v/>
      </c>
      <c r="L336" s="58" t="str">
        <f t="shared" si="58"/>
        <v/>
      </c>
      <c r="M336" s="58" t="str">
        <f t="shared" si="59"/>
        <v/>
      </c>
      <c r="N336" s="59" t="str">
        <f t="shared" si="55"/>
        <v/>
      </c>
      <c r="O336" s="60"/>
      <c r="P336" s="105"/>
    </row>
    <row r="337" spans="1:16" x14ac:dyDescent="0.3">
      <c r="A337" s="54" t="str">
        <f>IF([2]weekly_demand!A338="","",[2]weekly_demand!A338)</f>
        <v/>
      </c>
      <c r="B337" s="55" t="str">
        <f>IF($A337="","",[2]weekly_demand!F338)</f>
        <v/>
      </c>
      <c r="C337" s="56" t="str">
        <f>IF($A337="","",[2]weekly_demand!H338)</f>
        <v/>
      </c>
      <c r="D337" s="57" t="str">
        <f>IF($A337="","",IF(SUMIFS([2]Fixture_Capacity_Input!$C:$C,[2]Fixture_Capacity_Input!$A:$A,$B337,[2]Fixture_Capacity_Input!$B:$B,$C337)&gt;0,SUMIFS([2]Fixture_Capacity_Input!$C:$C,[2]Fixture_Capacity_Input!$A:$A,$B337,[2]Fixture_Capacity_Input!$B:$B,$C337),[2]weekly_demand!G338))</f>
        <v/>
      </c>
      <c r="E337" s="58" t="str">
        <f>IF($A337="","",[2]weekly_demand!I338)</f>
        <v/>
      </c>
      <c r="F337" s="57" t="str">
        <f t="shared" si="52"/>
        <v/>
      </c>
      <c r="G337" s="57" t="str">
        <f t="shared" si="53"/>
        <v/>
      </c>
      <c r="H337" s="57" t="str">
        <f t="shared" si="51"/>
        <v/>
      </c>
      <c r="I337" s="58" t="str">
        <f t="shared" si="56"/>
        <v/>
      </c>
      <c r="J337" s="58" t="str">
        <f t="shared" si="54"/>
        <v/>
      </c>
      <c r="K337" s="58" t="str">
        <f t="shared" si="57"/>
        <v/>
      </c>
      <c r="L337" s="58" t="str">
        <f t="shared" si="58"/>
        <v/>
      </c>
      <c r="M337" s="58" t="str">
        <f t="shared" si="59"/>
        <v/>
      </c>
      <c r="N337" s="59" t="str">
        <f t="shared" si="55"/>
        <v/>
      </c>
      <c r="O337" s="60"/>
      <c r="P337" s="105"/>
    </row>
    <row r="338" spans="1:16" x14ac:dyDescent="0.3">
      <c r="A338" s="54" t="str">
        <f>IF([2]weekly_demand!A339="","",[2]weekly_demand!A339)</f>
        <v/>
      </c>
      <c r="B338" s="55" t="str">
        <f>IF($A338="","",[2]weekly_demand!F339)</f>
        <v/>
      </c>
      <c r="C338" s="56" t="str">
        <f>IF($A338="","",[2]weekly_demand!H339)</f>
        <v/>
      </c>
      <c r="D338" s="57" t="str">
        <f>IF($A338="","",IF(SUMIFS([2]Fixture_Capacity_Input!$C:$C,[2]Fixture_Capacity_Input!$A:$A,$B338,[2]Fixture_Capacity_Input!$B:$B,$C338)&gt;0,SUMIFS([2]Fixture_Capacity_Input!$C:$C,[2]Fixture_Capacity_Input!$A:$A,$B338,[2]Fixture_Capacity_Input!$B:$B,$C338),[2]weekly_demand!G339))</f>
        <v/>
      </c>
      <c r="E338" s="58" t="str">
        <f>IF($A338="","",[2]weekly_demand!I339)</f>
        <v/>
      </c>
      <c r="F338" s="57" t="str">
        <f t="shared" si="52"/>
        <v/>
      </c>
      <c r="G338" s="57" t="str">
        <f t="shared" si="53"/>
        <v/>
      </c>
      <c r="H338" s="57" t="str">
        <f t="shared" si="51"/>
        <v/>
      </c>
      <c r="I338" s="58" t="str">
        <f t="shared" si="56"/>
        <v/>
      </c>
      <c r="J338" s="58" t="str">
        <f t="shared" si="54"/>
        <v/>
      </c>
      <c r="K338" s="58" t="str">
        <f t="shared" si="57"/>
        <v/>
      </c>
      <c r="L338" s="58" t="str">
        <f t="shared" si="58"/>
        <v/>
      </c>
      <c r="M338" s="58" t="str">
        <f t="shared" si="59"/>
        <v/>
      </c>
      <c r="N338" s="59" t="str">
        <f t="shared" si="55"/>
        <v/>
      </c>
      <c r="O338" s="60"/>
      <c r="P338" s="105"/>
    </row>
    <row r="339" spans="1:16" x14ac:dyDescent="0.3">
      <c r="A339" s="54" t="str">
        <f>IF([2]weekly_demand!A340="","",[2]weekly_demand!A340)</f>
        <v/>
      </c>
      <c r="B339" s="55" t="str">
        <f>IF($A339="","",[2]weekly_demand!F340)</f>
        <v/>
      </c>
      <c r="C339" s="56" t="str">
        <f>IF($A339="","",[2]weekly_demand!H340)</f>
        <v/>
      </c>
      <c r="D339" s="57" t="str">
        <f>IF($A339="","",IF(SUMIFS([2]Fixture_Capacity_Input!$C:$C,[2]Fixture_Capacity_Input!$A:$A,$B339,[2]Fixture_Capacity_Input!$B:$B,$C339)&gt;0,SUMIFS([2]Fixture_Capacity_Input!$C:$C,[2]Fixture_Capacity_Input!$A:$A,$B339,[2]Fixture_Capacity_Input!$B:$B,$C339),[2]weekly_demand!G340))</f>
        <v/>
      </c>
      <c r="E339" s="58" t="str">
        <f>IF($A339="","",[2]weekly_demand!I340)</f>
        <v/>
      </c>
      <c r="F339" s="57" t="str">
        <f t="shared" si="52"/>
        <v/>
      </c>
      <c r="G339" s="57" t="str">
        <f t="shared" si="53"/>
        <v/>
      </c>
      <c r="H339" s="57" t="str">
        <f t="shared" si="51"/>
        <v/>
      </c>
      <c r="I339" s="58" t="str">
        <f t="shared" si="56"/>
        <v/>
      </c>
      <c r="J339" s="58" t="str">
        <f t="shared" si="54"/>
        <v/>
      </c>
      <c r="K339" s="58" t="str">
        <f t="shared" si="57"/>
        <v/>
      </c>
      <c r="L339" s="58" t="str">
        <f t="shared" si="58"/>
        <v/>
      </c>
      <c r="M339" s="58" t="str">
        <f t="shared" si="59"/>
        <v/>
      </c>
      <c r="N339" s="59" t="str">
        <f t="shared" si="55"/>
        <v/>
      </c>
      <c r="O339" s="60"/>
      <c r="P339" s="105"/>
    </row>
    <row r="340" spans="1:16" x14ac:dyDescent="0.3">
      <c r="A340" s="54" t="str">
        <f>IF([2]weekly_demand!A341="","",[2]weekly_demand!A341)</f>
        <v/>
      </c>
      <c r="B340" s="55" t="str">
        <f>IF($A340="","",[2]weekly_demand!F341)</f>
        <v/>
      </c>
      <c r="C340" s="56" t="str">
        <f>IF($A340="","",[2]weekly_demand!H341)</f>
        <v/>
      </c>
      <c r="D340" s="57" t="str">
        <f>IF($A340="","",IF(SUMIFS([2]Fixture_Capacity_Input!$C:$C,[2]Fixture_Capacity_Input!$A:$A,$B340,[2]Fixture_Capacity_Input!$B:$B,$C340)&gt;0,SUMIFS([2]Fixture_Capacity_Input!$C:$C,[2]Fixture_Capacity_Input!$A:$A,$B340,[2]Fixture_Capacity_Input!$B:$B,$C340),[2]weekly_demand!G341))</f>
        <v/>
      </c>
      <c r="E340" s="58" t="str">
        <f>IF($A340="","",[2]weekly_demand!I341)</f>
        <v/>
      </c>
      <c r="F340" s="57" t="str">
        <f t="shared" si="52"/>
        <v/>
      </c>
      <c r="G340" s="57" t="str">
        <f t="shared" si="53"/>
        <v/>
      </c>
      <c r="H340" s="57" t="str">
        <f t="shared" si="51"/>
        <v/>
      </c>
      <c r="I340" s="58" t="str">
        <f t="shared" si="56"/>
        <v/>
      </c>
      <c r="J340" s="58" t="str">
        <f t="shared" si="54"/>
        <v/>
      </c>
      <c r="K340" s="58" t="str">
        <f t="shared" si="57"/>
        <v/>
      </c>
      <c r="L340" s="58" t="str">
        <f t="shared" si="58"/>
        <v/>
      </c>
      <c r="M340" s="58" t="str">
        <f t="shared" si="59"/>
        <v/>
      </c>
      <c r="N340" s="59" t="str">
        <f t="shared" si="55"/>
        <v/>
      </c>
      <c r="O340" s="60"/>
      <c r="P340" s="105"/>
    </row>
    <row r="341" spans="1:16" x14ac:dyDescent="0.3">
      <c r="A341" s="54" t="str">
        <f>IF([2]weekly_demand!A342="","",[2]weekly_demand!A342)</f>
        <v/>
      </c>
      <c r="B341" s="55" t="str">
        <f>IF($A341="","",[2]weekly_demand!F342)</f>
        <v/>
      </c>
      <c r="C341" s="56" t="str">
        <f>IF($A341="","",[2]weekly_demand!H342)</f>
        <v/>
      </c>
      <c r="D341" s="57" t="str">
        <f>IF($A341="","",IF(SUMIFS([2]Fixture_Capacity_Input!$C:$C,[2]Fixture_Capacity_Input!$A:$A,$B341,[2]Fixture_Capacity_Input!$B:$B,$C341)&gt;0,SUMIFS([2]Fixture_Capacity_Input!$C:$C,[2]Fixture_Capacity_Input!$A:$A,$B341,[2]Fixture_Capacity_Input!$B:$B,$C341),[2]weekly_demand!G342))</f>
        <v/>
      </c>
      <c r="E341" s="58" t="str">
        <f>IF($A341="","",[2]weekly_demand!I342)</f>
        <v/>
      </c>
      <c r="F341" s="57" t="str">
        <f t="shared" si="52"/>
        <v/>
      </c>
      <c r="G341" s="57" t="str">
        <f t="shared" si="53"/>
        <v/>
      </c>
      <c r="H341" s="57" t="str">
        <f t="shared" si="51"/>
        <v/>
      </c>
      <c r="I341" s="58" t="str">
        <f t="shared" si="56"/>
        <v/>
      </c>
      <c r="J341" s="58" t="str">
        <f t="shared" si="54"/>
        <v/>
      </c>
      <c r="K341" s="58" t="str">
        <f t="shared" si="57"/>
        <v/>
      </c>
      <c r="L341" s="58" t="str">
        <f t="shared" si="58"/>
        <v/>
      </c>
      <c r="M341" s="58" t="str">
        <f t="shared" si="59"/>
        <v/>
      </c>
      <c r="N341" s="59" t="str">
        <f t="shared" si="55"/>
        <v/>
      </c>
      <c r="O341" s="60"/>
      <c r="P341" s="105"/>
    </row>
    <row r="342" spans="1:16" x14ac:dyDescent="0.3">
      <c r="A342" s="54" t="str">
        <f>IF([2]weekly_demand!A343="","",[2]weekly_demand!A343)</f>
        <v/>
      </c>
      <c r="B342" s="55" t="str">
        <f>IF($A342="","",[2]weekly_demand!F343)</f>
        <v/>
      </c>
      <c r="C342" s="56" t="str">
        <f>IF($A342="","",[2]weekly_demand!H343)</f>
        <v/>
      </c>
      <c r="D342" s="57" t="str">
        <f>IF($A342="","",IF(SUMIFS([2]Fixture_Capacity_Input!$C:$C,[2]Fixture_Capacity_Input!$A:$A,$B342,[2]Fixture_Capacity_Input!$B:$B,$C342)&gt;0,SUMIFS([2]Fixture_Capacity_Input!$C:$C,[2]Fixture_Capacity_Input!$A:$A,$B342,[2]Fixture_Capacity_Input!$B:$B,$C342),[2]weekly_demand!G343))</f>
        <v/>
      </c>
      <c r="E342" s="58" t="str">
        <f>IF($A342="","",[2]weekly_demand!I343)</f>
        <v/>
      </c>
      <c r="F342" s="57" t="str">
        <f t="shared" si="52"/>
        <v/>
      </c>
      <c r="G342" s="57" t="str">
        <f t="shared" si="53"/>
        <v/>
      </c>
      <c r="H342" s="57" t="str">
        <f t="shared" si="51"/>
        <v/>
      </c>
      <c r="I342" s="58" t="str">
        <f t="shared" si="56"/>
        <v/>
      </c>
      <c r="J342" s="58" t="str">
        <f t="shared" si="54"/>
        <v/>
      </c>
      <c r="K342" s="58" t="str">
        <f t="shared" si="57"/>
        <v/>
      </c>
      <c r="L342" s="58" t="str">
        <f t="shared" si="58"/>
        <v/>
      </c>
      <c r="M342" s="58" t="str">
        <f t="shared" si="59"/>
        <v/>
      </c>
      <c r="N342" s="59" t="str">
        <f t="shared" si="55"/>
        <v/>
      </c>
      <c r="O342" s="60"/>
      <c r="P342" s="105"/>
    </row>
    <row r="343" spans="1:16" x14ac:dyDescent="0.3">
      <c r="A343" s="54" t="str">
        <f>IF([2]weekly_demand!A344="","",[2]weekly_demand!A344)</f>
        <v/>
      </c>
      <c r="B343" s="55" t="str">
        <f>IF($A343="","",[2]weekly_demand!F344)</f>
        <v/>
      </c>
      <c r="C343" s="56" t="str">
        <f>IF($A343="","",[2]weekly_demand!H344)</f>
        <v/>
      </c>
      <c r="D343" s="57" t="str">
        <f>IF($A343="","",IF(SUMIFS([2]Fixture_Capacity_Input!$C:$C,[2]Fixture_Capacity_Input!$A:$A,$B343,[2]Fixture_Capacity_Input!$B:$B,$C343)&gt;0,SUMIFS([2]Fixture_Capacity_Input!$C:$C,[2]Fixture_Capacity_Input!$A:$A,$B343,[2]Fixture_Capacity_Input!$B:$B,$C343),[2]weekly_demand!G344))</f>
        <v/>
      </c>
      <c r="E343" s="58" t="str">
        <f>IF($A343="","",[2]weekly_demand!I344)</f>
        <v/>
      </c>
      <c r="F343" s="57" t="str">
        <f t="shared" si="52"/>
        <v/>
      </c>
      <c r="G343" s="57" t="str">
        <f t="shared" si="53"/>
        <v/>
      </c>
      <c r="H343" s="57" t="str">
        <f t="shared" si="51"/>
        <v/>
      </c>
      <c r="I343" s="58" t="str">
        <f t="shared" si="56"/>
        <v/>
      </c>
      <c r="J343" s="58" t="str">
        <f t="shared" si="54"/>
        <v/>
      </c>
      <c r="K343" s="58" t="str">
        <f t="shared" si="57"/>
        <v/>
      </c>
      <c r="L343" s="58" t="str">
        <f t="shared" si="58"/>
        <v/>
      </c>
      <c r="M343" s="58" t="str">
        <f t="shared" si="59"/>
        <v/>
      </c>
      <c r="N343" s="59" t="str">
        <f t="shared" si="55"/>
        <v/>
      </c>
      <c r="O343" s="60"/>
      <c r="P343" s="105"/>
    </row>
    <row r="344" spans="1:16" x14ac:dyDescent="0.3">
      <c r="A344" s="54" t="str">
        <f>IF([2]weekly_demand!A345="","",[2]weekly_demand!A345)</f>
        <v/>
      </c>
      <c r="B344" s="55" t="str">
        <f>IF($A344="","",[2]weekly_demand!F345)</f>
        <v/>
      </c>
      <c r="C344" s="56" t="str">
        <f>IF($A344="","",[2]weekly_demand!H345)</f>
        <v/>
      </c>
      <c r="D344" s="57" t="str">
        <f>IF($A344="","",IF(SUMIFS([2]Fixture_Capacity_Input!$C:$C,[2]Fixture_Capacity_Input!$A:$A,$B344,[2]Fixture_Capacity_Input!$B:$B,$C344)&gt;0,SUMIFS([2]Fixture_Capacity_Input!$C:$C,[2]Fixture_Capacity_Input!$A:$A,$B344,[2]Fixture_Capacity_Input!$B:$B,$C344),[2]weekly_demand!G345))</f>
        <v/>
      </c>
      <c r="E344" s="58" t="str">
        <f>IF($A344="","",[2]weekly_demand!I345)</f>
        <v/>
      </c>
      <c r="F344" s="57" t="str">
        <f t="shared" si="52"/>
        <v/>
      </c>
      <c r="G344" s="57" t="str">
        <f t="shared" si="53"/>
        <v/>
      </c>
      <c r="H344" s="57" t="str">
        <f t="shared" si="51"/>
        <v/>
      </c>
      <c r="I344" s="58" t="str">
        <f t="shared" si="56"/>
        <v/>
      </c>
      <c r="J344" s="58" t="str">
        <f t="shared" si="54"/>
        <v/>
      </c>
      <c r="K344" s="58" t="str">
        <f t="shared" si="57"/>
        <v/>
      </c>
      <c r="L344" s="58" t="str">
        <f t="shared" si="58"/>
        <v/>
      </c>
      <c r="M344" s="58" t="str">
        <f t="shared" si="59"/>
        <v/>
      </c>
      <c r="N344" s="59" t="str">
        <f t="shared" si="55"/>
        <v/>
      </c>
      <c r="O344" s="60"/>
      <c r="P344" s="105"/>
    </row>
    <row r="345" spans="1:16" x14ac:dyDescent="0.3">
      <c r="A345" s="54" t="str">
        <f>IF([2]weekly_demand!A346="","",[2]weekly_demand!A346)</f>
        <v/>
      </c>
      <c r="B345" s="55" t="str">
        <f>IF($A345="","",[2]weekly_demand!F346)</f>
        <v/>
      </c>
      <c r="C345" s="56" t="str">
        <f>IF($A345="","",[2]weekly_demand!H346)</f>
        <v/>
      </c>
      <c r="D345" s="57" t="str">
        <f>IF($A345="","",IF(SUMIFS([2]Fixture_Capacity_Input!$C:$C,[2]Fixture_Capacity_Input!$A:$A,$B345,[2]Fixture_Capacity_Input!$B:$B,$C345)&gt;0,SUMIFS([2]Fixture_Capacity_Input!$C:$C,[2]Fixture_Capacity_Input!$A:$A,$B345,[2]Fixture_Capacity_Input!$B:$B,$C345),[2]weekly_demand!G346))</f>
        <v/>
      </c>
      <c r="E345" s="58" t="str">
        <f>IF($A345="","",[2]weekly_demand!I346)</f>
        <v/>
      </c>
      <c r="F345" s="57" t="str">
        <f t="shared" si="52"/>
        <v/>
      </c>
      <c r="G345" s="57" t="str">
        <f t="shared" si="53"/>
        <v/>
      </c>
      <c r="H345" s="57" t="str">
        <f t="shared" si="51"/>
        <v/>
      </c>
      <c r="I345" s="58" t="str">
        <f t="shared" si="56"/>
        <v/>
      </c>
      <c r="J345" s="58" t="str">
        <f t="shared" si="54"/>
        <v/>
      </c>
      <c r="K345" s="58" t="str">
        <f t="shared" si="57"/>
        <v/>
      </c>
      <c r="L345" s="58" t="str">
        <f t="shared" si="58"/>
        <v/>
      </c>
      <c r="M345" s="58" t="str">
        <f t="shared" si="59"/>
        <v/>
      </c>
      <c r="N345" s="59" t="str">
        <f t="shared" si="55"/>
        <v/>
      </c>
      <c r="O345" s="60"/>
      <c r="P345" s="105"/>
    </row>
    <row r="346" spans="1:16" x14ac:dyDescent="0.3">
      <c r="A346" s="54" t="str">
        <f>IF([2]weekly_demand!A347="","",[2]weekly_demand!A347)</f>
        <v/>
      </c>
      <c r="B346" s="55" t="str">
        <f>IF($A346="","",[2]weekly_demand!F347)</f>
        <v/>
      </c>
      <c r="C346" s="56" t="str">
        <f>IF($A346="","",[2]weekly_demand!H347)</f>
        <v/>
      </c>
      <c r="D346" s="57" t="str">
        <f>IF($A346="","",IF(SUMIFS([2]Fixture_Capacity_Input!$C:$C,[2]Fixture_Capacity_Input!$A:$A,$B346,[2]Fixture_Capacity_Input!$B:$B,$C346)&gt;0,SUMIFS([2]Fixture_Capacity_Input!$C:$C,[2]Fixture_Capacity_Input!$A:$A,$B346,[2]Fixture_Capacity_Input!$B:$B,$C346),[2]weekly_demand!G347))</f>
        <v/>
      </c>
      <c r="E346" s="58" t="str">
        <f>IF($A346="","",[2]weekly_demand!I347)</f>
        <v/>
      </c>
      <c r="F346" s="57" t="str">
        <f t="shared" si="52"/>
        <v/>
      </c>
      <c r="G346" s="57" t="str">
        <f t="shared" si="53"/>
        <v/>
      </c>
      <c r="H346" s="57" t="str">
        <f t="shared" si="51"/>
        <v/>
      </c>
      <c r="I346" s="58" t="str">
        <f t="shared" si="56"/>
        <v/>
      </c>
      <c r="J346" s="58" t="str">
        <f t="shared" si="54"/>
        <v/>
      </c>
      <c r="K346" s="58" t="str">
        <f t="shared" si="57"/>
        <v/>
      </c>
      <c r="L346" s="58" t="str">
        <f t="shared" si="58"/>
        <v/>
      </c>
      <c r="M346" s="58" t="str">
        <f t="shared" si="59"/>
        <v/>
      </c>
      <c r="N346" s="59" t="str">
        <f t="shared" si="55"/>
        <v/>
      </c>
      <c r="O346" s="60"/>
      <c r="P346" s="105"/>
    </row>
    <row r="347" spans="1:16" x14ac:dyDescent="0.3">
      <c r="A347" s="54" t="str">
        <f>IF([2]weekly_demand!A348="","",[2]weekly_demand!A348)</f>
        <v/>
      </c>
      <c r="B347" s="55" t="str">
        <f>IF($A347="","",[2]weekly_demand!F348)</f>
        <v/>
      </c>
      <c r="C347" s="56" t="str">
        <f>IF($A347="","",[2]weekly_demand!H348)</f>
        <v/>
      </c>
      <c r="D347" s="57" t="str">
        <f>IF($A347="","",IF(SUMIFS([2]Fixture_Capacity_Input!$C:$C,[2]Fixture_Capacity_Input!$A:$A,$B347,[2]Fixture_Capacity_Input!$B:$B,$C347)&gt;0,SUMIFS([2]Fixture_Capacity_Input!$C:$C,[2]Fixture_Capacity_Input!$A:$A,$B347,[2]Fixture_Capacity_Input!$B:$B,$C347),[2]weekly_demand!G348))</f>
        <v/>
      </c>
      <c r="E347" s="58" t="str">
        <f>IF($A347="","",[2]weekly_demand!I348)</f>
        <v/>
      </c>
      <c r="F347" s="57" t="str">
        <f t="shared" si="52"/>
        <v/>
      </c>
      <c r="G347" s="57" t="str">
        <f t="shared" si="53"/>
        <v/>
      </c>
      <c r="H347" s="57" t="str">
        <f t="shared" si="51"/>
        <v/>
      </c>
      <c r="I347" s="58" t="str">
        <f t="shared" si="56"/>
        <v/>
      </c>
      <c r="J347" s="58" t="str">
        <f t="shared" si="54"/>
        <v/>
      </c>
      <c r="K347" s="58" t="str">
        <f t="shared" si="57"/>
        <v/>
      </c>
      <c r="L347" s="58" t="str">
        <f t="shared" si="58"/>
        <v/>
      </c>
      <c r="M347" s="58" t="str">
        <f t="shared" si="59"/>
        <v/>
      </c>
      <c r="N347" s="59" t="str">
        <f t="shared" si="55"/>
        <v/>
      </c>
      <c r="O347" s="60"/>
      <c r="P347" s="105"/>
    </row>
    <row r="348" spans="1:16" x14ac:dyDescent="0.3">
      <c r="A348" s="54" t="str">
        <f>IF([2]weekly_demand!A349="","",[2]weekly_demand!A349)</f>
        <v/>
      </c>
      <c r="B348" s="55" t="str">
        <f>IF($A348="","",[2]weekly_demand!F349)</f>
        <v/>
      </c>
      <c r="C348" s="56" t="str">
        <f>IF($A348="","",[2]weekly_demand!H349)</f>
        <v/>
      </c>
      <c r="D348" s="57" t="str">
        <f>IF($A348="","",IF(SUMIFS([2]Fixture_Capacity_Input!$C:$C,[2]Fixture_Capacity_Input!$A:$A,$B348,[2]Fixture_Capacity_Input!$B:$B,$C348)&gt;0,SUMIFS([2]Fixture_Capacity_Input!$C:$C,[2]Fixture_Capacity_Input!$A:$A,$B348,[2]Fixture_Capacity_Input!$B:$B,$C348),[2]weekly_demand!G349))</f>
        <v/>
      </c>
      <c r="E348" s="58" t="str">
        <f>IF($A348="","",[2]weekly_demand!I349)</f>
        <v/>
      </c>
      <c r="F348" s="57" t="str">
        <f t="shared" si="52"/>
        <v/>
      </c>
      <c r="G348" s="57" t="str">
        <f t="shared" si="53"/>
        <v/>
      </c>
      <c r="H348" s="57" t="str">
        <f t="shared" si="51"/>
        <v/>
      </c>
      <c r="I348" s="58" t="str">
        <f t="shared" si="56"/>
        <v/>
      </c>
      <c r="J348" s="58" t="str">
        <f t="shared" si="54"/>
        <v/>
      </c>
      <c r="K348" s="58" t="str">
        <f t="shared" si="57"/>
        <v/>
      </c>
      <c r="L348" s="58" t="str">
        <f t="shared" si="58"/>
        <v/>
      </c>
      <c r="M348" s="58" t="str">
        <f t="shared" si="59"/>
        <v/>
      </c>
      <c r="N348" s="59" t="str">
        <f t="shared" si="55"/>
        <v/>
      </c>
      <c r="O348" s="60"/>
      <c r="P348" s="105"/>
    </row>
    <row r="349" spans="1:16" x14ac:dyDescent="0.3">
      <c r="A349" s="54" t="str">
        <f>IF([2]weekly_demand!A350="","",[2]weekly_demand!A350)</f>
        <v/>
      </c>
      <c r="B349" s="55" t="str">
        <f>IF($A349="","",[2]weekly_demand!F350)</f>
        <v/>
      </c>
      <c r="C349" s="56" t="str">
        <f>IF($A349="","",[2]weekly_demand!H350)</f>
        <v/>
      </c>
      <c r="D349" s="57" t="str">
        <f>IF($A349="","",IF(SUMIFS([2]Fixture_Capacity_Input!$C:$C,[2]Fixture_Capacity_Input!$A:$A,$B349,[2]Fixture_Capacity_Input!$B:$B,$C349)&gt;0,SUMIFS([2]Fixture_Capacity_Input!$C:$C,[2]Fixture_Capacity_Input!$A:$A,$B349,[2]Fixture_Capacity_Input!$B:$B,$C349),[2]weekly_demand!G350))</f>
        <v/>
      </c>
      <c r="E349" s="58" t="str">
        <f>IF($A349="","",[2]weekly_demand!I350)</f>
        <v/>
      </c>
      <c r="F349" s="57" t="str">
        <f t="shared" si="52"/>
        <v/>
      </c>
      <c r="G349" s="57" t="str">
        <f t="shared" si="53"/>
        <v/>
      </c>
      <c r="H349" s="57" t="str">
        <f t="shared" si="51"/>
        <v/>
      </c>
      <c r="I349" s="58" t="str">
        <f t="shared" si="56"/>
        <v/>
      </c>
      <c r="J349" s="58" t="str">
        <f t="shared" si="54"/>
        <v/>
      </c>
      <c r="K349" s="58" t="str">
        <f t="shared" si="57"/>
        <v/>
      </c>
      <c r="L349" s="58" t="str">
        <f t="shared" si="58"/>
        <v/>
      </c>
      <c r="M349" s="58" t="str">
        <f t="shared" si="59"/>
        <v/>
      </c>
      <c r="N349" s="59" t="str">
        <f t="shared" si="55"/>
        <v/>
      </c>
      <c r="O349" s="60"/>
      <c r="P349" s="105"/>
    </row>
    <row r="350" spans="1:16" x14ac:dyDescent="0.3">
      <c r="A350" s="54" t="str">
        <f>IF([2]weekly_demand!A351="","",[2]weekly_demand!A351)</f>
        <v/>
      </c>
      <c r="B350" s="55" t="str">
        <f>IF($A350="","",[2]weekly_demand!F351)</f>
        <v/>
      </c>
      <c r="C350" s="56" t="str">
        <f>IF($A350="","",[2]weekly_demand!H351)</f>
        <v/>
      </c>
      <c r="D350" s="57" t="str">
        <f>IF($A350="","",IF(SUMIFS([2]Fixture_Capacity_Input!$C:$C,[2]Fixture_Capacity_Input!$A:$A,$B350,[2]Fixture_Capacity_Input!$B:$B,$C350)&gt;0,SUMIFS([2]Fixture_Capacity_Input!$C:$C,[2]Fixture_Capacity_Input!$A:$A,$B350,[2]Fixture_Capacity_Input!$B:$B,$C350),[2]weekly_demand!G351))</f>
        <v/>
      </c>
      <c r="E350" s="58" t="str">
        <f>IF($A350="","",[2]weekly_demand!I351)</f>
        <v/>
      </c>
      <c r="F350" s="57" t="str">
        <f t="shared" si="52"/>
        <v/>
      </c>
      <c r="G350" s="57" t="str">
        <f t="shared" si="53"/>
        <v/>
      </c>
      <c r="H350" s="57" t="str">
        <f t="shared" si="51"/>
        <v/>
      </c>
      <c r="I350" s="58" t="str">
        <f t="shared" si="56"/>
        <v/>
      </c>
      <c r="J350" s="58" t="str">
        <f t="shared" si="54"/>
        <v/>
      </c>
      <c r="K350" s="58" t="str">
        <f t="shared" si="57"/>
        <v/>
      </c>
      <c r="L350" s="58" t="str">
        <f t="shared" si="58"/>
        <v/>
      </c>
      <c r="M350" s="58" t="str">
        <f t="shared" si="59"/>
        <v/>
      </c>
      <c r="N350" s="59" t="str">
        <f t="shared" si="55"/>
        <v/>
      </c>
      <c r="O350" s="60"/>
      <c r="P350" s="105"/>
    </row>
    <row r="351" spans="1:16" x14ac:dyDescent="0.3">
      <c r="A351" s="54" t="str">
        <f>IF([2]weekly_demand!A352="","",[2]weekly_demand!A352)</f>
        <v/>
      </c>
      <c r="B351" s="55" t="str">
        <f>IF($A351="","",[2]weekly_demand!F352)</f>
        <v/>
      </c>
      <c r="C351" s="56" t="str">
        <f>IF($A351="","",[2]weekly_demand!H352)</f>
        <v/>
      </c>
      <c r="D351" s="57" t="str">
        <f>IF($A351="","",IF(SUMIFS([2]Fixture_Capacity_Input!$C:$C,[2]Fixture_Capacity_Input!$A:$A,$B351,[2]Fixture_Capacity_Input!$B:$B,$C351)&gt;0,SUMIFS([2]Fixture_Capacity_Input!$C:$C,[2]Fixture_Capacity_Input!$A:$A,$B351,[2]Fixture_Capacity_Input!$B:$B,$C351),[2]weekly_demand!G352))</f>
        <v/>
      </c>
      <c r="E351" s="58" t="str">
        <f>IF($A351="","",[2]weekly_demand!I352)</f>
        <v/>
      </c>
      <c r="F351" s="57" t="str">
        <f t="shared" si="52"/>
        <v/>
      </c>
      <c r="G351" s="57" t="str">
        <f t="shared" si="53"/>
        <v/>
      </c>
      <c r="H351" s="57" t="str">
        <f t="shared" si="51"/>
        <v/>
      </c>
      <c r="I351" s="58" t="str">
        <f t="shared" si="56"/>
        <v/>
      </c>
      <c r="J351" s="58" t="str">
        <f t="shared" si="54"/>
        <v/>
      </c>
      <c r="K351" s="58" t="str">
        <f t="shared" si="57"/>
        <v/>
      </c>
      <c r="L351" s="58" t="str">
        <f t="shared" si="58"/>
        <v/>
      </c>
      <c r="M351" s="58" t="str">
        <f t="shared" si="59"/>
        <v/>
      </c>
      <c r="N351" s="59" t="str">
        <f t="shared" si="55"/>
        <v/>
      </c>
      <c r="O351" s="60"/>
      <c r="P351" s="105"/>
    </row>
    <row r="352" spans="1:16" x14ac:dyDescent="0.3">
      <c r="A352" s="54" t="str">
        <f>IF([2]weekly_demand!A353="","",[2]weekly_demand!A353)</f>
        <v/>
      </c>
      <c r="B352" s="55" t="str">
        <f>IF($A352="","",[2]weekly_demand!F353)</f>
        <v/>
      </c>
      <c r="C352" s="56" t="str">
        <f>IF($A352="","",[2]weekly_demand!H353)</f>
        <v/>
      </c>
      <c r="D352" s="57" t="str">
        <f>IF($A352="","",IF(SUMIFS([2]Fixture_Capacity_Input!$C:$C,[2]Fixture_Capacity_Input!$A:$A,$B352,[2]Fixture_Capacity_Input!$B:$B,$C352)&gt;0,SUMIFS([2]Fixture_Capacity_Input!$C:$C,[2]Fixture_Capacity_Input!$A:$A,$B352,[2]Fixture_Capacity_Input!$B:$B,$C352),[2]weekly_demand!G353))</f>
        <v/>
      </c>
      <c r="E352" s="58" t="str">
        <f>IF($A352="","",[2]weekly_demand!I353)</f>
        <v/>
      </c>
      <c r="F352" s="57" t="str">
        <f t="shared" si="52"/>
        <v/>
      </c>
      <c r="G352" s="57" t="str">
        <f t="shared" si="53"/>
        <v/>
      </c>
      <c r="H352" s="57" t="str">
        <f t="shared" si="51"/>
        <v/>
      </c>
      <c r="I352" s="58" t="str">
        <f t="shared" si="56"/>
        <v/>
      </c>
      <c r="J352" s="58" t="str">
        <f t="shared" si="54"/>
        <v/>
      </c>
      <c r="K352" s="58" t="str">
        <f t="shared" si="57"/>
        <v/>
      </c>
      <c r="L352" s="58" t="str">
        <f t="shared" si="58"/>
        <v/>
      </c>
      <c r="M352" s="58" t="str">
        <f t="shared" si="59"/>
        <v/>
      </c>
      <c r="N352" s="59" t="str">
        <f t="shared" si="55"/>
        <v/>
      </c>
      <c r="O352" s="60"/>
      <c r="P352" s="105"/>
    </row>
    <row r="353" spans="1:16" x14ac:dyDescent="0.3">
      <c r="A353" s="54" t="str">
        <f>IF([2]weekly_demand!A354="","",[2]weekly_demand!A354)</f>
        <v/>
      </c>
      <c r="B353" s="55" t="str">
        <f>IF($A353="","",[2]weekly_demand!F354)</f>
        <v/>
      </c>
      <c r="C353" s="56" t="str">
        <f>IF($A353="","",[2]weekly_demand!H354)</f>
        <v/>
      </c>
      <c r="D353" s="57" t="str">
        <f>IF($A353="","",IF(SUMIFS([2]Fixture_Capacity_Input!$C:$C,[2]Fixture_Capacity_Input!$A:$A,$B353,[2]Fixture_Capacity_Input!$B:$B,$C353)&gt;0,SUMIFS([2]Fixture_Capacity_Input!$C:$C,[2]Fixture_Capacity_Input!$A:$A,$B353,[2]Fixture_Capacity_Input!$B:$B,$C353),[2]weekly_demand!G354))</f>
        <v/>
      </c>
      <c r="E353" s="58" t="str">
        <f>IF($A353="","",[2]weekly_demand!I354)</f>
        <v/>
      </c>
      <c r="F353" s="57" t="str">
        <f t="shared" si="52"/>
        <v/>
      </c>
      <c r="G353" s="57" t="str">
        <f t="shared" si="53"/>
        <v/>
      </c>
      <c r="H353" s="57" t="str">
        <f t="shared" si="51"/>
        <v/>
      </c>
      <c r="I353" s="58" t="str">
        <f t="shared" si="56"/>
        <v/>
      </c>
      <c r="J353" s="58" t="str">
        <f t="shared" si="54"/>
        <v/>
      </c>
      <c r="K353" s="58" t="str">
        <f t="shared" si="57"/>
        <v/>
      </c>
      <c r="L353" s="58" t="str">
        <f t="shared" si="58"/>
        <v/>
      </c>
      <c r="M353" s="58" t="str">
        <f t="shared" si="59"/>
        <v/>
      </c>
      <c r="N353" s="59" t="str">
        <f t="shared" si="55"/>
        <v/>
      </c>
      <c r="O353" s="60"/>
      <c r="P353" s="105"/>
    </row>
    <row r="354" spans="1:16" x14ac:dyDescent="0.3">
      <c r="A354" s="54" t="str">
        <f>IF([2]weekly_demand!A355="","",[2]weekly_demand!A355)</f>
        <v/>
      </c>
      <c r="B354" s="55" t="str">
        <f>IF($A354="","",[2]weekly_demand!F355)</f>
        <v/>
      </c>
      <c r="C354" s="56" t="str">
        <f>IF($A354="","",[2]weekly_demand!H355)</f>
        <v/>
      </c>
      <c r="D354" s="57" t="str">
        <f>IF($A354="","",IF(SUMIFS([2]Fixture_Capacity_Input!$C:$C,[2]Fixture_Capacity_Input!$A:$A,$B354,[2]Fixture_Capacity_Input!$B:$B,$C354)&gt;0,SUMIFS([2]Fixture_Capacity_Input!$C:$C,[2]Fixture_Capacity_Input!$A:$A,$B354,[2]Fixture_Capacity_Input!$B:$B,$C354),[2]weekly_demand!G355))</f>
        <v/>
      </c>
      <c r="E354" s="58" t="str">
        <f>IF($A354="","",[2]weekly_demand!I355)</f>
        <v/>
      </c>
      <c r="F354" s="57" t="str">
        <f t="shared" si="52"/>
        <v/>
      </c>
      <c r="G354" s="57" t="str">
        <f t="shared" si="53"/>
        <v/>
      </c>
      <c r="H354" s="57" t="str">
        <f t="shared" si="51"/>
        <v/>
      </c>
      <c r="I354" s="58" t="str">
        <f t="shared" si="56"/>
        <v/>
      </c>
      <c r="J354" s="58" t="str">
        <f t="shared" si="54"/>
        <v/>
      </c>
      <c r="K354" s="58" t="str">
        <f t="shared" si="57"/>
        <v/>
      </c>
      <c r="L354" s="58" t="str">
        <f t="shared" si="58"/>
        <v/>
      </c>
      <c r="M354" s="58" t="str">
        <f t="shared" si="59"/>
        <v/>
      </c>
      <c r="N354" s="59" t="str">
        <f t="shared" si="55"/>
        <v/>
      </c>
      <c r="O354" s="60"/>
      <c r="P354" s="105"/>
    </row>
    <row r="355" spans="1:16" x14ac:dyDescent="0.3">
      <c r="A355" s="54" t="str">
        <f>IF([2]weekly_demand!A356="","",[2]weekly_demand!A356)</f>
        <v/>
      </c>
      <c r="B355" s="55" t="str">
        <f>IF($A355="","",[2]weekly_demand!F356)</f>
        <v/>
      </c>
      <c r="C355" s="56" t="str">
        <f>IF($A355="","",[2]weekly_demand!H356)</f>
        <v/>
      </c>
      <c r="D355" s="57" t="str">
        <f>IF($A355="","",IF(SUMIFS([2]Fixture_Capacity_Input!$C:$C,[2]Fixture_Capacity_Input!$A:$A,$B355,[2]Fixture_Capacity_Input!$B:$B,$C355)&gt;0,SUMIFS([2]Fixture_Capacity_Input!$C:$C,[2]Fixture_Capacity_Input!$A:$A,$B355,[2]Fixture_Capacity_Input!$B:$B,$C355),[2]weekly_demand!G356))</f>
        <v/>
      </c>
      <c r="E355" s="58" t="str">
        <f>IF($A355="","",[2]weekly_demand!I356)</f>
        <v/>
      </c>
      <c r="F355" s="57" t="str">
        <f t="shared" si="52"/>
        <v/>
      </c>
      <c r="G355" s="57" t="str">
        <f t="shared" si="53"/>
        <v/>
      </c>
      <c r="H355" s="57" t="str">
        <f t="shared" si="51"/>
        <v/>
      </c>
      <c r="I355" s="58" t="str">
        <f t="shared" si="56"/>
        <v/>
      </c>
      <c r="J355" s="58" t="str">
        <f t="shared" si="54"/>
        <v/>
      </c>
      <c r="K355" s="58" t="str">
        <f t="shared" si="57"/>
        <v/>
      </c>
      <c r="L355" s="58" t="str">
        <f t="shared" si="58"/>
        <v/>
      </c>
      <c r="M355" s="58" t="str">
        <f t="shared" si="59"/>
        <v/>
      </c>
      <c r="N355" s="59" t="str">
        <f t="shared" si="55"/>
        <v/>
      </c>
      <c r="O355" s="60"/>
      <c r="P355" s="105"/>
    </row>
    <row r="356" spans="1:16" x14ac:dyDescent="0.3">
      <c r="A356" s="54" t="str">
        <f>IF([2]weekly_demand!A357="","",[2]weekly_demand!A357)</f>
        <v/>
      </c>
      <c r="B356" s="55" t="str">
        <f>IF($A356="","",[2]weekly_demand!F357)</f>
        <v/>
      </c>
      <c r="C356" s="56" t="str">
        <f>IF($A356="","",[2]weekly_demand!H357)</f>
        <v/>
      </c>
      <c r="D356" s="57" t="str">
        <f>IF($A356="","",IF(SUMIFS([2]Fixture_Capacity_Input!$C:$C,[2]Fixture_Capacity_Input!$A:$A,$B356,[2]Fixture_Capacity_Input!$B:$B,$C356)&gt;0,SUMIFS([2]Fixture_Capacity_Input!$C:$C,[2]Fixture_Capacity_Input!$A:$A,$B356,[2]Fixture_Capacity_Input!$B:$B,$C356),[2]weekly_demand!G357))</f>
        <v/>
      </c>
      <c r="E356" s="58" t="str">
        <f>IF($A356="","",[2]weekly_demand!I357)</f>
        <v/>
      </c>
      <c r="F356" s="57" t="str">
        <f t="shared" si="52"/>
        <v/>
      </c>
      <c r="G356" s="57" t="str">
        <f t="shared" si="53"/>
        <v/>
      </c>
      <c r="H356" s="57" t="str">
        <f t="shared" si="51"/>
        <v/>
      </c>
      <c r="I356" s="58" t="str">
        <f t="shared" si="56"/>
        <v/>
      </c>
      <c r="J356" s="58" t="str">
        <f t="shared" si="54"/>
        <v/>
      </c>
      <c r="K356" s="58" t="str">
        <f t="shared" si="57"/>
        <v/>
      </c>
      <c r="L356" s="58" t="str">
        <f t="shared" si="58"/>
        <v/>
      </c>
      <c r="M356" s="58" t="str">
        <f t="shared" si="59"/>
        <v/>
      </c>
      <c r="N356" s="59" t="str">
        <f t="shared" si="55"/>
        <v/>
      </c>
      <c r="O356" s="60"/>
      <c r="P356" s="105"/>
    </row>
    <row r="357" spans="1:16" x14ac:dyDescent="0.3">
      <c r="A357" s="54" t="str">
        <f>IF([2]weekly_demand!A358="","",[2]weekly_demand!A358)</f>
        <v/>
      </c>
      <c r="B357" s="55" t="str">
        <f>IF($A357="","",[2]weekly_demand!F358)</f>
        <v/>
      </c>
      <c r="C357" s="56" t="str">
        <f>IF($A357="","",[2]weekly_demand!H358)</f>
        <v/>
      </c>
      <c r="D357" s="57" t="str">
        <f>IF($A357="","",IF(SUMIFS([2]Fixture_Capacity_Input!$C:$C,[2]Fixture_Capacity_Input!$A:$A,$B357,[2]Fixture_Capacity_Input!$B:$B,$C357)&gt;0,SUMIFS([2]Fixture_Capacity_Input!$C:$C,[2]Fixture_Capacity_Input!$A:$A,$B357,[2]Fixture_Capacity_Input!$B:$B,$C357),[2]weekly_demand!G358))</f>
        <v/>
      </c>
      <c r="E357" s="58" t="str">
        <f>IF($A357="","",[2]weekly_demand!I358)</f>
        <v/>
      </c>
      <c r="F357" s="57" t="str">
        <f t="shared" si="52"/>
        <v/>
      </c>
      <c r="G357" s="57" t="str">
        <f t="shared" si="53"/>
        <v/>
      </c>
      <c r="H357" s="57" t="str">
        <f t="shared" si="51"/>
        <v/>
      </c>
      <c r="I357" s="58" t="str">
        <f t="shared" si="56"/>
        <v/>
      </c>
      <c r="J357" s="58" t="str">
        <f t="shared" si="54"/>
        <v/>
      </c>
      <c r="K357" s="58" t="str">
        <f t="shared" si="57"/>
        <v/>
      </c>
      <c r="L357" s="58" t="str">
        <f t="shared" si="58"/>
        <v/>
      </c>
      <c r="M357" s="58" t="str">
        <f t="shared" si="59"/>
        <v/>
      </c>
      <c r="N357" s="59" t="str">
        <f t="shared" si="55"/>
        <v/>
      </c>
      <c r="O357" s="60"/>
      <c r="P357" s="105"/>
    </row>
    <row r="358" spans="1:16" x14ac:dyDescent="0.3">
      <c r="A358" s="54" t="str">
        <f>IF([2]weekly_demand!A359="","",[2]weekly_demand!A359)</f>
        <v/>
      </c>
      <c r="B358" s="55" t="str">
        <f>IF($A358="","",[2]weekly_demand!F359)</f>
        <v/>
      </c>
      <c r="C358" s="56" t="str">
        <f>IF($A358="","",[2]weekly_demand!H359)</f>
        <v/>
      </c>
      <c r="D358" s="57" t="str">
        <f>IF($A358="","",IF(SUMIFS([2]Fixture_Capacity_Input!$C:$C,[2]Fixture_Capacity_Input!$A:$A,$B358,[2]Fixture_Capacity_Input!$B:$B,$C358)&gt;0,SUMIFS([2]Fixture_Capacity_Input!$C:$C,[2]Fixture_Capacity_Input!$A:$A,$B358,[2]Fixture_Capacity_Input!$B:$B,$C358),[2]weekly_demand!G359))</f>
        <v/>
      </c>
      <c r="E358" s="58" t="str">
        <f>IF($A358="","",[2]weekly_demand!I359)</f>
        <v/>
      </c>
      <c r="F358" s="57" t="str">
        <f t="shared" si="52"/>
        <v/>
      </c>
      <c r="G358" s="57" t="str">
        <f t="shared" si="53"/>
        <v/>
      </c>
      <c r="H358" s="57" t="str">
        <f t="shared" si="51"/>
        <v/>
      </c>
      <c r="I358" s="58" t="str">
        <f t="shared" si="56"/>
        <v/>
      </c>
      <c r="J358" s="58" t="str">
        <f t="shared" si="54"/>
        <v/>
      </c>
      <c r="K358" s="58" t="str">
        <f t="shared" si="57"/>
        <v/>
      </c>
      <c r="L358" s="58" t="str">
        <f t="shared" si="58"/>
        <v/>
      </c>
      <c r="M358" s="58" t="str">
        <f t="shared" si="59"/>
        <v/>
      </c>
      <c r="N358" s="59" t="str">
        <f t="shared" si="55"/>
        <v/>
      </c>
      <c r="O358" s="60"/>
      <c r="P358" s="105"/>
    </row>
    <row r="359" spans="1:16" x14ac:dyDescent="0.3">
      <c r="A359" s="54" t="str">
        <f>IF([2]weekly_demand!A360="","",[2]weekly_demand!A360)</f>
        <v/>
      </c>
      <c r="B359" s="55" t="str">
        <f>IF($A359="","",[2]weekly_demand!F360)</f>
        <v/>
      </c>
      <c r="C359" s="56" t="str">
        <f>IF($A359="","",[2]weekly_demand!H360)</f>
        <v/>
      </c>
      <c r="D359" s="57" t="str">
        <f>IF($A359="","",IF(SUMIFS([2]Fixture_Capacity_Input!$C:$C,[2]Fixture_Capacity_Input!$A:$A,$B359,[2]Fixture_Capacity_Input!$B:$B,$C359)&gt;0,SUMIFS([2]Fixture_Capacity_Input!$C:$C,[2]Fixture_Capacity_Input!$A:$A,$B359,[2]Fixture_Capacity_Input!$B:$B,$C359),[2]weekly_demand!G360))</f>
        <v/>
      </c>
      <c r="E359" s="58" t="str">
        <f>IF($A359="","",[2]weekly_demand!I360)</f>
        <v/>
      </c>
      <c r="F359" s="57" t="str">
        <f t="shared" si="52"/>
        <v/>
      </c>
      <c r="G359" s="57" t="str">
        <f t="shared" si="53"/>
        <v/>
      </c>
      <c r="H359" s="57" t="str">
        <f t="shared" si="51"/>
        <v/>
      </c>
      <c r="I359" s="58" t="str">
        <f t="shared" si="56"/>
        <v/>
      </c>
      <c r="J359" s="58" t="str">
        <f t="shared" si="54"/>
        <v/>
      </c>
      <c r="K359" s="58" t="str">
        <f t="shared" si="57"/>
        <v/>
      </c>
      <c r="L359" s="58" t="str">
        <f t="shared" si="58"/>
        <v/>
      </c>
      <c r="M359" s="58" t="str">
        <f t="shared" si="59"/>
        <v/>
      </c>
      <c r="N359" s="59" t="str">
        <f t="shared" si="55"/>
        <v/>
      </c>
      <c r="O359" s="60"/>
      <c r="P359" s="105"/>
    </row>
    <row r="360" spans="1:16" x14ac:dyDescent="0.3">
      <c r="A360" s="54" t="str">
        <f>IF([2]weekly_demand!A361="","",[2]weekly_demand!A361)</f>
        <v/>
      </c>
      <c r="B360" s="55" t="str">
        <f>IF($A360="","",[2]weekly_demand!F361)</f>
        <v/>
      </c>
      <c r="C360" s="56" t="str">
        <f>IF($A360="","",[2]weekly_demand!H361)</f>
        <v/>
      </c>
      <c r="D360" s="57" t="str">
        <f>IF($A360="","",IF(SUMIFS([2]Fixture_Capacity_Input!$C:$C,[2]Fixture_Capacity_Input!$A:$A,$B360,[2]Fixture_Capacity_Input!$B:$B,$C360)&gt;0,SUMIFS([2]Fixture_Capacity_Input!$C:$C,[2]Fixture_Capacity_Input!$A:$A,$B360,[2]Fixture_Capacity_Input!$B:$B,$C360),[2]weekly_demand!G361))</f>
        <v/>
      </c>
      <c r="E360" s="58" t="str">
        <f>IF($A360="","",[2]weekly_demand!I361)</f>
        <v/>
      </c>
      <c r="F360" s="57" t="str">
        <f t="shared" si="52"/>
        <v/>
      </c>
      <c r="G360" s="57" t="str">
        <f t="shared" si="53"/>
        <v/>
      </c>
      <c r="H360" s="57" t="str">
        <f t="shared" si="51"/>
        <v/>
      </c>
      <c r="I360" s="58" t="str">
        <f t="shared" si="56"/>
        <v/>
      </c>
      <c r="J360" s="58" t="str">
        <f t="shared" si="54"/>
        <v/>
      </c>
      <c r="K360" s="58" t="str">
        <f t="shared" si="57"/>
        <v/>
      </c>
      <c r="L360" s="58" t="str">
        <f t="shared" si="58"/>
        <v/>
      </c>
      <c r="M360" s="58" t="str">
        <f t="shared" si="59"/>
        <v/>
      </c>
      <c r="N360" s="59" t="str">
        <f t="shared" si="55"/>
        <v/>
      </c>
      <c r="O360" s="60"/>
      <c r="P360" s="105"/>
    </row>
    <row r="361" spans="1:16" x14ac:dyDescent="0.3">
      <c r="A361" s="54" t="str">
        <f>IF([2]weekly_demand!A362="","",[2]weekly_demand!A362)</f>
        <v/>
      </c>
      <c r="B361" s="55" t="str">
        <f>IF($A361="","",[2]weekly_demand!F362)</f>
        <v/>
      </c>
      <c r="C361" s="56" t="str">
        <f>IF($A361="","",[2]weekly_demand!H362)</f>
        <v/>
      </c>
      <c r="D361" s="57" t="str">
        <f>IF($A361="","",IF(SUMIFS([2]Fixture_Capacity_Input!$C:$C,[2]Fixture_Capacity_Input!$A:$A,$B361,[2]Fixture_Capacity_Input!$B:$B,$C361)&gt;0,SUMIFS([2]Fixture_Capacity_Input!$C:$C,[2]Fixture_Capacity_Input!$A:$A,$B361,[2]Fixture_Capacity_Input!$B:$B,$C361),[2]weekly_demand!G362))</f>
        <v/>
      </c>
      <c r="E361" s="58" t="str">
        <f>IF($A361="","",[2]weekly_demand!I362)</f>
        <v/>
      </c>
      <c r="F361" s="57" t="str">
        <f t="shared" si="52"/>
        <v/>
      </c>
      <c r="G361" s="57" t="str">
        <f t="shared" si="53"/>
        <v/>
      </c>
      <c r="H361" s="57" t="str">
        <f t="shared" si="51"/>
        <v/>
      </c>
      <c r="I361" s="58" t="str">
        <f t="shared" si="56"/>
        <v/>
      </c>
      <c r="J361" s="58" t="str">
        <f t="shared" si="54"/>
        <v/>
      </c>
      <c r="K361" s="58" t="str">
        <f t="shared" si="57"/>
        <v/>
      </c>
      <c r="L361" s="58" t="str">
        <f t="shared" si="58"/>
        <v/>
      </c>
      <c r="M361" s="58" t="str">
        <f t="shared" si="59"/>
        <v/>
      </c>
      <c r="N361" s="59" t="str">
        <f t="shared" si="55"/>
        <v/>
      </c>
      <c r="O361" s="60"/>
      <c r="P361" s="105"/>
    </row>
    <row r="362" spans="1:16" x14ac:dyDescent="0.3">
      <c r="A362" s="54" t="str">
        <f>IF([2]weekly_demand!A363="","",[2]weekly_demand!A363)</f>
        <v/>
      </c>
      <c r="B362" s="55" t="str">
        <f>IF($A362="","",[2]weekly_demand!F363)</f>
        <v/>
      </c>
      <c r="C362" s="56" t="str">
        <f>IF($A362="","",[2]weekly_demand!H363)</f>
        <v/>
      </c>
      <c r="D362" s="57" t="str">
        <f>IF($A362="","",IF(SUMIFS([2]Fixture_Capacity_Input!$C:$C,[2]Fixture_Capacity_Input!$A:$A,$B362,[2]Fixture_Capacity_Input!$B:$B,$C362)&gt;0,SUMIFS([2]Fixture_Capacity_Input!$C:$C,[2]Fixture_Capacity_Input!$A:$A,$B362,[2]Fixture_Capacity_Input!$B:$B,$C362),[2]weekly_demand!G363))</f>
        <v/>
      </c>
      <c r="E362" s="58" t="str">
        <f>IF($A362="","",[2]weekly_demand!I363)</f>
        <v/>
      </c>
      <c r="F362" s="57" t="str">
        <f t="shared" si="52"/>
        <v/>
      </c>
      <c r="G362" s="57" t="str">
        <f t="shared" si="53"/>
        <v/>
      </c>
      <c r="H362" s="57" t="str">
        <f t="shared" si="51"/>
        <v/>
      </c>
      <c r="I362" s="58" t="str">
        <f t="shared" si="56"/>
        <v/>
      </c>
      <c r="J362" s="58" t="str">
        <f t="shared" si="54"/>
        <v/>
      </c>
      <c r="K362" s="58" t="str">
        <f t="shared" si="57"/>
        <v/>
      </c>
      <c r="L362" s="58" t="str">
        <f t="shared" si="58"/>
        <v/>
      </c>
      <c r="M362" s="58" t="str">
        <f t="shared" si="59"/>
        <v/>
      </c>
      <c r="N362" s="59" t="str">
        <f t="shared" si="55"/>
        <v/>
      </c>
      <c r="O362" s="60"/>
      <c r="P362" s="105"/>
    </row>
    <row r="363" spans="1:16" x14ac:dyDescent="0.3">
      <c r="A363" s="54" t="str">
        <f>IF([2]weekly_demand!A364="","",[2]weekly_demand!A364)</f>
        <v/>
      </c>
      <c r="B363" s="55" t="str">
        <f>IF($A363="","",[2]weekly_demand!F364)</f>
        <v/>
      </c>
      <c r="C363" s="56" t="str">
        <f>IF($A363="","",[2]weekly_demand!H364)</f>
        <v/>
      </c>
      <c r="D363" s="57" t="str">
        <f>IF($A363="","",IF(SUMIFS([2]Fixture_Capacity_Input!$C:$C,[2]Fixture_Capacity_Input!$A:$A,$B363,[2]Fixture_Capacity_Input!$B:$B,$C363)&gt;0,SUMIFS([2]Fixture_Capacity_Input!$C:$C,[2]Fixture_Capacity_Input!$A:$A,$B363,[2]Fixture_Capacity_Input!$B:$B,$C363),[2]weekly_demand!G364))</f>
        <v/>
      </c>
      <c r="E363" s="58" t="str">
        <f>IF($A363="","",[2]weekly_demand!I364)</f>
        <v/>
      </c>
      <c r="F363" s="57" t="str">
        <f t="shared" si="52"/>
        <v/>
      </c>
      <c r="G363" s="57" t="str">
        <f t="shared" si="53"/>
        <v/>
      </c>
      <c r="H363" s="57" t="str">
        <f t="shared" si="51"/>
        <v/>
      </c>
      <c r="I363" s="58" t="str">
        <f t="shared" si="56"/>
        <v/>
      </c>
      <c r="J363" s="58" t="str">
        <f t="shared" si="54"/>
        <v/>
      </c>
      <c r="K363" s="58" t="str">
        <f t="shared" si="57"/>
        <v/>
      </c>
      <c r="L363" s="58" t="str">
        <f t="shared" si="58"/>
        <v/>
      </c>
      <c r="M363" s="58" t="str">
        <f t="shared" si="59"/>
        <v/>
      </c>
      <c r="N363" s="59" t="str">
        <f t="shared" si="55"/>
        <v/>
      </c>
      <c r="O363" s="60"/>
      <c r="P363" s="105"/>
    </row>
    <row r="364" spans="1:16" x14ac:dyDescent="0.3">
      <c r="A364" s="54" t="str">
        <f>IF([2]weekly_demand!A365="","",[2]weekly_demand!A365)</f>
        <v/>
      </c>
      <c r="B364" s="55" t="str">
        <f>IF($A364="","",[2]weekly_demand!F365)</f>
        <v/>
      </c>
      <c r="C364" s="56" t="str">
        <f>IF($A364="","",[2]weekly_demand!H365)</f>
        <v/>
      </c>
      <c r="D364" s="57" t="str">
        <f>IF($A364="","",IF(SUMIFS([2]Fixture_Capacity_Input!$C:$C,[2]Fixture_Capacity_Input!$A:$A,$B364,[2]Fixture_Capacity_Input!$B:$B,$C364)&gt;0,SUMIFS([2]Fixture_Capacity_Input!$C:$C,[2]Fixture_Capacity_Input!$A:$A,$B364,[2]Fixture_Capacity_Input!$B:$B,$C364),[2]weekly_demand!G365))</f>
        <v/>
      </c>
      <c r="E364" s="58" t="str">
        <f>IF($A364="","",[2]weekly_demand!I365)</f>
        <v/>
      </c>
      <c r="F364" s="57" t="str">
        <f t="shared" si="52"/>
        <v/>
      </c>
      <c r="G364" s="57" t="str">
        <f t="shared" si="53"/>
        <v/>
      </c>
      <c r="H364" s="57" t="str">
        <f t="shared" si="51"/>
        <v/>
      </c>
      <c r="I364" s="58" t="str">
        <f t="shared" si="56"/>
        <v/>
      </c>
      <c r="J364" s="58" t="str">
        <f t="shared" si="54"/>
        <v/>
      </c>
      <c r="K364" s="58" t="str">
        <f t="shared" si="57"/>
        <v/>
      </c>
      <c r="L364" s="58" t="str">
        <f t="shared" si="58"/>
        <v/>
      </c>
      <c r="M364" s="58" t="str">
        <f t="shared" si="59"/>
        <v/>
      </c>
      <c r="N364" s="59" t="str">
        <f t="shared" si="55"/>
        <v/>
      </c>
      <c r="O364" s="60"/>
      <c r="P364" s="105"/>
    </row>
    <row r="365" spans="1:16" x14ac:dyDescent="0.3">
      <c r="A365" s="54" t="str">
        <f>IF([2]weekly_demand!A366="","",[2]weekly_demand!A366)</f>
        <v/>
      </c>
      <c r="B365" s="55" t="str">
        <f>IF($A365="","",[2]weekly_demand!F366)</f>
        <v/>
      </c>
      <c r="C365" s="56" t="str">
        <f>IF($A365="","",[2]weekly_demand!H366)</f>
        <v/>
      </c>
      <c r="D365" s="57" t="str">
        <f>IF($A365="","",IF(SUMIFS([2]Fixture_Capacity_Input!$C:$C,[2]Fixture_Capacity_Input!$A:$A,$B365,[2]Fixture_Capacity_Input!$B:$B,$C365)&gt;0,SUMIFS([2]Fixture_Capacity_Input!$C:$C,[2]Fixture_Capacity_Input!$A:$A,$B365,[2]Fixture_Capacity_Input!$B:$B,$C365),[2]weekly_demand!G366))</f>
        <v/>
      </c>
      <c r="E365" s="58" t="str">
        <f>IF($A365="","",[2]weekly_demand!I366)</f>
        <v/>
      </c>
      <c r="F365" s="57" t="str">
        <f t="shared" si="52"/>
        <v/>
      </c>
      <c r="G365" s="57" t="str">
        <f t="shared" si="53"/>
        <v/>
      </c>
      <c r="H365" s="57" t="str">
        <f t="shared" si="51"/>
        <v/>
      </c>
      <c r="I365" s="58" t="str">
        <f t="shared" si="56"/>
        <v/>
      </c>
      <c r="J365" s="58" t="str">
        <f t="shared" si="54"/>
        <v/>
      </c>
      <c r="K365" s="58" t="str">
        <f t="shared" si="57"/>
        <v/>
      </c>
      <c r="L365" s="58" t="str">
        <f t="shared" si="58"/>
        <v/>
      </c>
      <c r="M365" s="58" t="str">
        <f t="shared" si="59"/>
        <v/>
      </c>
      <c r="N365" s="59" t="str">
        <f t="shared" si="55"/>
        <v/>
      </c>
      <c r="O365" s="60"/>
      <c r="P365" s="105"/>
    </row>
    <row r="366" spans="1:16" x14ac:dyDescent="0.3">
      <c r="A366" s="54" t="str">
        <f>IF([2]weekly_demand!A367="","",[2]weekly_demand!A367)</f>
        <v/>
      </c>
      <c r="B366" s="55" t="str">
        <f>IF($A366="","",[2]weekly_demand!F367)</f>
        <v/>
      </c>
      <c r="C366" s="56" t="str">
        <f>IF($A366="","",[2]weekly_demand!H367)</f>
        <v/>
      </c>
      <c r="D366" s="57" t="str">
        <f>IF($A366="","",IF(SUMIFS([2]Fixture_Capacity_Input!$C:$C,[2]Fixture_Capacity_Input!$A:$A,$B366,[2]Fixture_Capacity_Input!$B:$B,$C366)&gt;0,SUMIFS([2]Fixture_Capacity_Input!$C:$C,[2]Fixture_Capacity_Input!$A:$A,$B366,[2]Fixture_Capacity_Input!$B:$B,$C366),[2]weekly_demand!G367))</f>
        <v/>
      </c>
      <c r="E366" s="58" t="str">
        <f>IF($A366="","",[2]weekly_demand!I367)</f>
        <v/>
      </c>
      <c r="F366" s="57" t="str">
        <f t="shared" si="52"/>
        <v/>
      </c>
      <c r="G366" s="57" t="str">
        <f t="shared" si="53"/>
        <v/>
      </c>
      <c r="H366" s="57" t="str">
        <f t="shared" si="51"/>
        <v/>
      </c>
      <c r="I366" s="58" t="str">
        <f t="shared" si="56"/>
        <v/>
      </c>
      <c r="J366" s="58" t="str">
        <f t="shared" si="54"/>
        <v/>
      </c>
      <c r="K366" s="58" t="str">
        <f t="shared" si="57"/>
        <v/>
      </c>
      <c r="L366" s="58" t="str">
        <f t="shared" si="58"/>
        <v/>
      </c>
      <c r="M366" s="58" t="str">
        <f t="shared" si="59"/>
        <v/>
      </c>
      <c r="N366" s="59" t="str">
        <f t="shared" si="55"/>
        <v/>
      </c>
      <c r="O366" s="60"/>
      <c r="P366" s="105"/>
    </row>
    <row r="367" spans="1:16" x14ac:dyDescent="0.3">
      <c r="A367" s="54" t="str">
        <f>IF([2]weekly_demand!A368="","",[2]weekly_demand!A368)</f>
        <v/>
      </c>
      <c r="B367" s="55" t="str">
        <f>IF($A367="","",[2]weekly_demand!F368)</f>
        <v/>
      </c>
      <c r="C367" s="56" t="str">
        <f>IF($A367="","",[2]weekly_demand!H368)</f>
        <v/>
      </c>
      <c r="D367" s="57" t="str">
        <f>IF($A367="","",IF(SUMIFS([2]Fixture_Capacity_Input!$C:$C,[2]Fixture_Capacity_Input!$A:$A,$B367,[2]Fixture_Capacity_Input!$B:$B,$C367)&gt;0,SUMIFS([2]Fixture_Capacity_Input!$C:$C,[2]Fixture_Capacity_Input!$A:$A,$B367,[2]Fixture_Capacity_Input!$B:$B,$C367),[2]weekly_demand!G368))</f>
        <v/>
      </c>
      <c r="E367" s="58" t="str">
        <f>IF($A367="","",[2]weekly_demand!I368)</f>
        <v/>
      </c>
      <c r="F367" s="57" t="str">
        <f t="shared" si="52"/>
        <v/>
      </c>
      <c r="G367" s="57" t="str">
        <f t="shared" si="53"/>
        <v/>
      </c>
      <c r="H367" s="57" t="str">
        <f t="shared" si="51"/>
        <v/>
      </c>
      <c r="I367" s="58" t="str">
        <f t="shared" si="56"/>
        <v/>
      </c>
      <c r="J367" s="58" t="str">
        <f t="shared" si="54"/>
        <v/>
      </c>
      <c r="K367" s="58" t="str">
        <f t="shared" si="57"/>
        <v/>
      </c>
      <c r="L367" s="58" t="str">
        <f t="shared" si="58"/>
        <v/>
      </c>
      <c r="M367" s="58" t="str">
        <f t="shared" si="59"/>
        <v/>
      </c>
      <c r="N367" s="59" t="str">
        <f t="shared" si="55"/>
        <v/>
      </c>
      <c r="O367" s="60"/>
      <c r="P367" s="105"/>
    </row>
    <row r="368" spans="1:16" x14ac:dyDescent="0.3">
      <c r="A368" s="54" t="str">
        <f>IF([2]weekly_demand!A369="","",[2]weekly_demand!A369)</f>
        <v/>
      </c>
      <c r="B368" s="55" t="str">
        <f>IF($A368="","",[2]weekly_demand!F369)</f>
        <v/>
      </c>
      <c r="C368" s="56" t="str">
        <f>IF($A368="","",[2]weekly_demand!H369)</f>
        <v/>
      </c>
      <c r="D368" s="57" t="str">
        <f>IF($A368="","",IF(SUMIFS([2]Fixture_Capacity_Input!$C:$C,[2]Fixture_Capacity_Input!$A:$A,$B368,[2]Fixture_Capacity_Input!$B:$B,$C368)&gt;0,SUMIFS([2]Fixture_Capacity_Input!$C:$C,[2]Fixture_Capacity_Input!$A:$A,$B368,[2]Fixture_Capacity_Input!$B:$B,$C368),[2]weekly_demand!G369))</f>
        <v/>
      </c>
      <c r="E368" s="58" t="str">
        <f>IF($A368="","",[2]weekly_demand!I369)</f>
        <v/>
      </c>
      <c r="F368" s="57" t="str">
        <f t="shared" si="52"/>
        <v/>
      </c>
      <c r="G368" s="57" t="str">
        <f t="shared" si="53"/>
        <v/>
      </c>
      <c r="H368" s="57" t="str">
        <f t="shared" si="51"/>
        <v/>
      </c>
      <c r="I368" s="58" t="str">
        <f t="shared" si="56"/>
        <v/>
      </c>
      <c r="J368" s="58" t="str">
        <f t="shared" si="54"/>
        <v/>
      </c>
      <c r="K368" s="58" t="str">
        <f t="shared" si="57"/>
        <v/>
      </c>
      <c r="L368" s="58" t="str">
        <f t="shared" si="58"/>
        <v/>
      </c>
      <c r="M368" s="58" t="str">
        <f t="shared" si="59"/>
        <v/>
      </c>
      <c r="N368" s="59" t="str">
        <f t="shared" si="55"/>
        <v/>
      </c>
      <c r="O368" s="60"/>
      <c r="P368" s="105"/>
    </row>
    <row r="369" spans="1:16" x14ac:dyDescent="0.3">
      <c r="A369" s="54" t="str">
        <f>IF([2]weekly_demand!A370="","",[2]weekly_demand!A370)</f>
        <v/>
      </c>
      <c r="B369" s="55" t="str">
        <f>IF($A369="","",[2]weekly_demand!F370)</f>
        <v/>
      </c>
      <c r="C369" s="56" t="str">
        <f>IF($A369="","",[2]weekly_demand!H370)</f>
        <v/>
      </c>
      <c r="D369" s="57" t="str">
        <f>IF($A369="","",IF(SUMIFS([2]Fixture_Capacity_Input!$C:$C,[2]Fixture_Capacity_Input!$A:$A,$B369,[2]Fixture_Capacity_Input!$B:$B,$C369)&gt;0,SUMIFS([2]Fixture_Capacity_Input!$C:$C,[2]Fixture_Capacity_Input!$A:$A,$B369,[2]Fixture_Capacity_Input!$B:$B,$C369),[2]weekly_demand!G370))</f>
        <v/>
      </c>
      <c r="E369" s="58" t="str">
        <f>IF($A369="","",[2]weekly_demand!I370)</f>
        <v/>
      </c>
      <c r="F369" s="57" t="str">
        <f t="shared" si="52"/>
        <v/>
      </c>
      <c r="G369" s="57" t="str">
        <f t="shared" si="53"/>
        <v/>
      </c>
      <c r="H369" s="57" t="str">
        <f t="shared" si="51"/>
        <v/>
      </c>
      <c r="I369" s="58" t="str">
        <f t="shared" si="56"/>
        <v/>
      </c>
      <c r="J369" s="58" t="str">
        <f t="shared" si="54"/>
        <v/>
      </c>
      <c r="K369" s="58" t="str">
        <f t="shared" si="57"/>
        <v/>
      </c>
      <c r="L369" s="58" t="str">
        <f t="shared" si="58"/>
        <v/>
      </c>
      <c r="M369" s="58" t="str">
        <f t="shared" si="59"/>
        <v/>
      </c>
      <c r="N369" s="59" t="str">
        <f t="shared" si="55"/>
        <v/>
      </c>
      <c r="O369" s="60"/>
      <c r="P369" s="105"/>
    </row>
    <row r="370" spans="1:16" x14ac:dyDescent="0.3">
      <c r="A370" s="54" t="str">
        <f>IF([2]weekly_demand!A371="","",[2]weekly_demand!A371)</f>
        <v/>
      </c>
      <c r="B370" s="55" t="str">
        <f>IF($A370="","",[2]weekly_demand!F371)</f>
        <v/>
      </c>
      <c r="C370" s="56" t="str">
        <f>IF($A370="","",[2]weekly_demand!H371)</f>
        <v/>
      </c>
      <c r="D370" s="57" t="str">
        <f>IF($A370="","",IF(SUMIFS([2]Fixture_Capacity_Input!$C:$C,[2]Fixture_Capacity_Input!$A:$A,$B370,[2]Fixture_Capacity_Input!$B:$B,$C370)&gt;0,SUMIFS([2]Fixture_Capacity_Input!$C:$C,[2]Fixture_Capacity_Input!$A:$A,$B370,[2]Fixture_Capacity_Input!$B:$B,$C370),[2]weekly_demand!G371))</f>
        <v/>
      </c>
      <c r="E370" s="58" t="str">
        <f>IF($A370="","",[2]weekly_demand!I371)</f>
        <v/>
      </c>
      <c r="F370" s="57" t="str">
        <f t="shared" si="52"/>
        <v/>
      </c>
      <c r="G370" s="57" t="str">
        <f t="shared" si="53"/>
        <v/>
      </c>
      <c r="H370" s="57" t="str">
        <f t="shared" si="51"/>
        <v/>
      </c>
      <c r="I370" s="58" t="str">
        <f t="shared" si="56"/>
        <v/>
      </c>
      <c r="J370" s="58" t="str">
        <f t="shared" si="54"/>
        <v/>
      </c>
      <c r="K370" s="58" t="str">
        <f t="shared" si="57"/>
        <v/>
      </c>
      <c r="L370" s="58" t="str">
        <f t="shared" si="58"/>
        <v/>
      </c>
      <c r="M370" s="58" t="str">
        <f t="shared" si="59"/>
        <v/>
      </c>
      <c r="N370" s="59" t="str">
        <f t="shared" si="55"/>
        <v/>
      </c>
      <c r="O370" s="60"/>
      <c r="P370" s="105"/>
    </row>
    <row r="371" spans="1:16" x14ac:dyDescent="0.3">
      <c r="A371" s="54" t="str">
        <f>IF([2]weekly_demand!A372="","",[2]weekly_demand!A372)</f>
        <v/>
      </c>
      <c r="B371" s="55" t="str">
        <f>IF($A371="","",[2]weekly_demand!F372)</f>
        <v/>
      </c>
      <c r="C371" s="56" t="str">
        <f>IF($A371="","",[2]weekly_demand!H372)</f>
        <v/>
      </c>
      <c r="D371" s="57" t="str">
        <f>IF($A371="","",IF(SUMIFS([2]Fixture_Capacity_Input!$C:$C,[2]Fixture_Capacity_Input!$A:$A,$B371,[2]Fixture_Capacity_Input!$B:$B,$C371)&gt;0,SUMIFS([2]Fixture_Capacity_Input!$C:$C,[2]Fixture_Capacity_Input!$A:$A,$B371,[2]Fixture_Capacity_Input!$B:$B,$C371),[2]weekly_demand!G372))</f>
        <v/>
      </c>
      <c r="E371" s="58" t="str">
        <f>IF($A371="","",[2]weekly_demand!I372)</f>
        <v/>
      </c>
      <c r="F371" s="57" t="str">
        <f t="shared" si="52"/>
        <v/>
      </c>
      <c r="G371" s="57" t="str">
        <f t="shared" si="53"/>
        <v/>
      </c>
      <c r="H371" s="57" t="str">
        <f t="shared" ref="H371:H434" si="60">IF($A371="","",IF($A371&lt;&gt;$A372,0,MAX(0,H372+E372-D372)))</f>
        <v/>
      </c>
      <c r="I371" s="58" t="str">
        <f t="shared" si="56"/>
        <v/>
      </c>
      <c r="J371" s="58" t="str">
        <f t="shared" si="54"/>
        <v/>
      </c>
      <c r="K371" s="58" t="str">
        <f t="shared" si="57"/>
        <v/>
      </c>
      <c r="L371" s="58" t="str">
        <f t="shared" si="58"/>
        <v/>
      </c>
      <c r="M371" s="58" t="str">
        <f t="shared" si="59"/>
        <v/>
      </c>
      <c r="N371" s="59" t="str">
        <f t="shared" si="55"/>
        <v/>
      </c>
      <c r="O371" s="60"/>
      <c r="P371" s="105"/>
    </row>
    <row r="372" spans="1:16" x14ac:dyDescent="0.3">
      <c r="A372" s="54" t="str">
        <f>IF([2]weekly_demand!A373="","",[2]weekly_demand!A373)</f>
        <v/>
      </c>
      <c r="B372" s="55" t="str">
        <f>IF($A372="","",[2]weekly_demand!F373)</f>
        <v/>
      </c>
      <c r="C372" s="56" t="str">
        <f>IF($A372="","",[2]weekly_demand!H373)</f>
        <v/>
      </c>
      <c r="D372" s="57" t="str">
        <f>IF($A372="","",IF(SUMIFS([2]Fixture_Capacity_Input!$C:$C,[2]Fixture_Capacity_Input!$A:$A,$B372,[2]Fixture_Capacity_Input!$B:$B,$C372)&gt;0,SUMIFS([2]Fixture_Capacity_Input!$C:$C,[2]Fixture_Capacity_Input!$A:$A,$B372,[2]Fixture_Capacity_Input!$B:$B,$C372),[2]weekly_demand!G373))</f>
        <v/>
      </c>
      <c r="E372" s="58" t="str">
        <f>IF($A372="","",[2]weekly_demand!I373)</f>
        <v/>
      </c>
      <c r="F372" s="57" t="str">
        <f t="shared" si="52"/>
        <v/>
      </c>
      <c r="G372" s="57" t="str">
        <f t="shared" si="53"/>
        <v/>
      </c>
      <c r="H372" s="57" t="str">
        <f t="shared" si="60"/>
        <v/>
      </c>
      <c r="I372" s="58" t="str">
        <f t="shared" si="56"/>
        <v/>
      </c>
      <c r="J372" s="58" t="str">
        <f t="shared" si="54"/>
        <v/>
      </c>
      <c r="K372" s="58" t="str">
        <f t="shared" si="57"/>
        <v/>
      </c>
      <c r="L372" s="58" t="str">
        <f t="shared" si="58"/>
        <v/>
      </c>
      <c r="M372" s="58" t="str">
        <f t="shared" si="59"/>
        <v/>
      </c>
      <c r="N372" s="59" t="str">
        <f t="shared" si="55"/>
        <v/>
      </c>
      <c r="O372" s="60"/>
      <c r="P372" s="105"/>
    </row>
    <row r="373" spans="1:16" x14ac:dyDescent="0.3">
      <c r="A373" s="54" t="str">
        <f>IF([2]weekly_demand!A374="","",[2]weekly_demand!A374)</f>
        <v/>
      </c>
      <c r="B373" s="55" t="str">
        <f>IF($A373="","",[2]weekly_demand!F374)</f>
        <v/>
      </c>
      <c r="C373" s="56" t="str">
        <f>IF($A373="","",[2]weekly_demand!H374)</f>
        <v/>
      </c>
      <c r="D373" s="57" t="str">
        <f>IF($A373="","",IF(SUMIFS([2]Fixture_Capacity_Input!$C:$C,[2]Fixture_Capacity_Input!$A:$A,$B373,[2]Fixture_Capacity_Input!$B:$B,$C373)&gt;0,SUMIFS([2]Fixture_Capacity_Input!$C:$C,[2]Fixture_Capacity_Input!$A:$A,$B373,[2]Fixture_Capacity_Input!$B:$B,$C373),[2]weekly_demand!G374))</f>
        <v/>
      </c>
      <c r="E373" s="58" t="str">
        <f>IF($A373="","",[2]weekly_demand!I374)</f>
        <v/>
      </c>
      <c r="F373" s="57" t="str">
        <f t="shared" si="52"/>
        <v/>
      </c>
      <c r="G373" s="57" t="str">
        <f t="shared" si="53"/>
        <v/>
      </c>
      <c r="H373" s="57" t="str">
        <f t="shared" si="60"/>
        <v/>
      </c>
      <c r="I373" s="58" t="str">
        <f t="shared" si="56"/>
        <v/>
      </c>
      <c r="J373" s="58" t="str">
        <f t="shared" si="54"/>
        <v/>
      </c>
      <c r="K373" s="58" t="str">
        <f t="shared" si="57"/>
        <v/>
      </c>
      <c r="L373" s="58" t="str">
        <f t="shared" si="58"/>
        <v/>
      </c>
      <c r="M373" s="58" t="str">
        <f t="shared" si="59"/>
        <v/>
      </c>
      <c r="N373" s="59" t="str">
        <f t="shared" si="55"/>
        <v/>
      </c>
      <c r="O373" s="60"/>
      <c r="P373" s="105"/>
    </row>
    <row r="374" spans="1:16" x14ac:dyDescent="0.3">
      <c r="A374" s="54" t="str">
        <f>IF([2]weekly_demand!A375="","",[2]weekly_demand!A375)</f>
        <v/>
      </c>
      <c r="B374" s="55" t="str">
        <f>IF($A374="","",[2]weekly_demand!F375)</f>
        <v/>
      </c>
      <c r="C374" s="56" t="str">
        <f>IF($A374="","",[2]weekly_demand!H375)</f>
        <v/>
      </c>
      <c r="D374" s="57" t="str">
        <f>IF($A374="","",IF(SUMIFS([2]Fixture_Capacity_Input!$C:$C,[2]Fixture_Capacity_Input!$A:$A,$B374,[2]Fixture_Capacity_Input!$B:$B,$C374)&gt;0,SUMIFS([2]Fixture_Capacity_Input!$C:$C,[2]Fixture_Capacity_Input!$A:$A,$B374,[2]Fixture_Capacity_Input!$B:$B,$C374),[2]weekly_demand!G375))</f>
        <v/>
      </c>
      <c r="E374" s="58" t="str">
        <f>IF($A374="","",[2]weekly_demand!I375)</f>
        <v/>
      </c>
      <c r="F374" s="57" t="str">
        <f t="shared" si="52"/>
        <v/>
      </c>
      <c r="G374" s="57" t="str">
        <f t="shared" si="53"/>
        <v/>
      </c>
      <c r="H374" s="57" t="str">
        <f t="shared" si="60"/>
        <v/>
      </c>
      <c r="I374" s="58" t="str">
        <f t="shared" si="56"/>
        <v/>
      </c>
      <c r="J374" s="58" t="str">
        <f t="shared" si="54"/>
        <v/>
      </c>
      <c r="K374" s="58" t="str">
        <f t="shared" si="57"/>
        <v/>
      </c>
      <c r="L374" s="58" t="str">
        <f t="shared" si="58"/>
        <v/>
      </c>
      <c r="M374" s="58" t="str">
        <f t="shared" si="59"/>
        <v/>
      </c>
      <c r="N374" s="59" t="str">
        <f t="shared" si="55"/>
        <v/>
      </c>
      <c r="O374" s="60"/>
      <c r="P374" s="105"/>
    </row>
    <row r="375" spans="1:16" x14ac:dyDescent="0.3">
      <c r="A375" s="54" t="str">
        <f>IF([2]weekly_demand!A376="","",[2]weekly_demand!A376)</f>
        <v/>
      </c>
      <c r="B375" s="55" t="str">
        <f>IF($A375="","",[2]weekly_demand!F376)</f>
        <v/>
      </c>
      <c r="C375" s="56" t="str">
        <f>IF($A375="","",[2]weekly_demand!H376)</f>
        <v/>
      </c>
      <c r="D375" s="57" t="str">
        <f>IF($A375="","",IF(SUMIFS([2]Fixture_Capacity_Input!$C:$C,[2]Fixture_Capacity_Input!$A:$A,$B375,[2]Fixture_Capacity_Input!$B:$B,$C375)&gt;0,SUMIFS([2]Fixture_Capacity_Input!$C:$C,[2]Fixture_Capacity_Input!$A:$A,$B375,[2]Fixture_Capacity_Input!$B:$B,$C375),[2]weekly_demand!G376))</f>
        <v/>
      </c>
      <c r="E375" s="58" t="str">
        <f>IF($A375="","",[2]weekly_demand!I376)</f>
        <v/>
      </c>
      <c r="F375" s="57" t="str">
        <f t="shared" si="52"/>
        <v/>
      </c>
      <c r="G375" s="57" t="str">
        <f t="shared" si="53"/>
        <v/>
      </c>
      <c r="H375" s="57" t="str">
        <f t="shared" si="60"/>
        <v/>
      </c>
      <c r="I375" s="58" t="str">
        <f t="shared" si="56"/>
        <v/>
      </c>
      <c r="J375" s="58" t="str">
        <f t="shared" si="54"/>
        <v/>
      </c>
      <c r="K375" s="58" t="str">
        <f t="shared" si="57"/>
        <v/>
      </c>
      <c r="L375" s="58" t="str">
        <f t="shared" si="58"/>
        <v/>
      </c>
      <c r="M375" s="58" t="str">
        <f t="shared" si="59"/>
        <v/>
      </c>
      <c r="N375" s="59" t="str">
        <f t="shared" si="55"/>
        <v/>
      </c>
      <c r="O375" s="60"/>
      <c r="P375" s="105"/>
    </row>
    <row r="376" spans="1:16" x14ac:dyDescent="0.3">
      <c r="A376" s="54" t="str">
        <f>IF([2]weekly_demand!A377="","",[2]weekly_demand!A377)</f>
        <v/>
      </c>
      <c r="B376" s="55" t="str">
        <f>IF($A376="","",[2]weekly_demand!F377)</f>
        <v/>
      </c>
      <c r="C376" s="56" t="str">
        <f>IF($A376="","",[2]weekly_demand!H377)</f>
        <v/>
      </c>
      <c r="D376" s="57" t="str">
        <f>IF($A376="","",IF(SUMIFS([2]Fixture_Capacity_Input!$C:$C,[2]Fixture_Capacity_Input!$A:$A,$B376,[2]Fixture_Capacity_Input!$B:$B,$C376)&gt;0,SUMIFS([2]Fixture_Capacity_Input!$C:$C,[2]Fixture_Capacity_Input!$A:$A,$B376,[2]Fixture_Capacity_Input!$B:$B,$C376),[2]weekly_demand!G377))</f>
        <v/>
      </c>
      <c r="E376" s="58" t="str">
        <f>IF($A376="","",[2]weekly_demand!I377)</f>
        <v/>
      </c>
      <c r="F376" s="57" t="str">
        <f t="shared" si="52"/>
        <v/>
      </c>
      <c r="G376" s="57" t="str">
        <f t="shared" si="53"/>
        <v/>
      </c>
      <c r="H376" s="57" t="str">
        <f t="shared" si="60"/>
        <v/>
      </c>
      <c r="I376" s="58" t="str">
        <f t="shared" si="56"/>
        <v/>
      </c>
      <c r="J376" s="58" t="str">
        <f t="shared" si="54"/>
        <v/>
      </c>
      <c r="K376" s="58" t="str">
        <f t="shared" si="57"/>
        <v/>
      </c>
      <c r="L376" s="58" t="str">
        <f t="shared" si="58"/>
        <v/>
      </c>
      <c r="M376" s="58" t="str">
        <f t="shared" si="59"/>
        <v/>
      </c>
      <c r="N376" s="59" t="str">
        <f t="shared" si="55"/>
        <v/>
      </c>
      <c r="O376" s="60"/>
      <c r="P376" s="105"/>
    </row>
    <row r="377" spans="1:16" x14ac:dyDescent="0.3">
      <c r="A377" s="54" t="str">
        <f>IF([2]weekly_demand!A378="","",[2]weekly_demand!A378)</f>
        <v/>
      </c>
      <c r="B377" s="55" t="str">
        <f>IF($A377="","",[2]weekly_demand!F378)</f>
        <v/>
      </c>
      <c r="C377" s="56" t="str">
        <f>IF($A377="","",[2]weekly_demand!H378)</f>
        <v/>
      </c>
      <c r="D377" s="57" t="str">
        <f>IF($A377="","",IF(SUMIFS([2]Fixture_Capacity_Input!$C:$C,[2]Fixture_Capacity_Input!$A:$A,$B377,[2]Fixture_Capacity_Input!$B:$B,$C377)&gt;0,SUMIFS([2]Fixture_Capacity_Input!$C:$C,[2]Fixture_Capacity_Input!$A:$A,$B377,[2]Fixture_Capacity_Input!$B:$B,$C377),[2]weekly_demand!G378))</f>
        <v/>
      </c>
      <c r="E377" s="58" t="str">
        <f>IF($A377="","",[2]weekly_demand!I378)</f>
        <v/>
      </c>
      <c r="F377" s="57" t="str">
        <f t="shared" si="52"/>
        <v/>
      </c>
      <c r="G377" s="57" t="str">
        <f t="shared" si="53"/>
        <v/>
      </c>
      <c r="H377" s="57" t="str">
        <f t="shared" si="60"/>
        <v/>
      </c>
      <c r="I377" s="58" t="str">
        <f t="shared" si="56"/>
        <v/>
      </c>
      <c r="J377" s="58" t="str">
        <f t="shared" si="54"/>
        <v/>
      </c>
      <c r="K377" s="58" t="str">
        <f t="shared" si="57"/>
        <v/>
      </c>
      <c r="L377" s="58" t="str">
        <f t="shared" si="58"/>
        <v/>
      </c>
      <c r="M377" s="58" t="str">
        <f t="shared" si="59"/>
        <v/>
      </c>
      <c r="N377" s="59" t="str">
        <f t="shared" si="55"/>
        <v/>
      </c>
      <c r="O377" s="60"/>
      <c r="P377" s="105"/>
    </row>
    <row r="378" spans="1:16" x14ac:dyDescent="0.3">
      <c r="A378" s="54" t="str">
        <f>IF([2]weekly_demand!A379="","",[2]weekly_demand!A379)</f>
        <v/>
      </c>
      <c r="B378" s="55" t="str">
        <f>IF($A378="","",[2]weekly_demand!F379)</f>
        <v/>
      </c>
      <c r="C378" s="56" t="str">
        <f>IF($A378="","",[2]weekly_demand!H379)</f>
        <v/>
      </c>
      <c r="D378" s="57" t="str">
        <f>IF($A378="","",IF(SUMIFS([2]Fixture_Capacity_Input!$C:$C,[2]Fixture_Capacity_Input!$A:$A,$B378,[2]Fixture_Capacity_Input!$B:$B,$C378)&gt;0,SUMIFS([2]Fixture_Capacity_Input!$C:$C,[2]Fixture_Capacity_Input!$A:$A,$B378,[2]Fixture_Capacity_Input!$B:$B,$C378),[2]weekly_demand!G379))</f>
        <v/>
      </c>
      <c r="E378" s="58" t="str">
        <f>IF($A378="","",[2]weekly_demand!I379)</f>
        <v/>
      </c>
      <c r="F378" s="57" t="str">
        <f t="shared" si="52"/>
        <v/>
      </c>
      <c r="G378" s="57" t="str">
        <f t="shared" si="53"/>
        <v/>
      </c>
      <c r="H378" s="57" t="str">
        <f t="shared" si="60"/>
        <v/>
      </c>
      <c r="I378" s="58" t="str">
        <f t="shared" si="56"/>
        <v/>
      </c>
      <c r="J378" s="58" t="str">
        <f t="shared" si="54"/>
        <v/>
      </c>
      <c r="K378" s="58" t="str">
        <f t="shared" si="57"/>
        <v/>
      </c>
      <c r="L378" s="58" t="str">
        <f t="shared" si="58"/>
        <v/>
      </c>
      <c r="M378" s="58" t="str">
        <f t="shared" si="59"/>
        <v/>
      </c>
      <c r="N378" s="59" t="str">
        <f t="shared" si="55"/>
        <v/>
      </c>
      <c r="O378" s="60"/>
      <c r="P378" s="105"/>
    </row>
    <row r="379" spans="1:16" x14ac:dyDescent="0.3">
      <c r="A379" s="54" t="str">
        <f>IF([2]weekly_demand!A380="","",[2]weekly_demand!A380)</f>
        <v/>
      </c>
      <c r="B379" s="55" t="str">
        <f>IF($A379="","",[2]weekly_demand!F380)</f>
        <v/>
      </c>
      <c r="C379" s="56" t="str">
        <f>IF($A379="","",[2]weekly_demand!H380)</f>
        <v/>
      </c>
      <c r="D379" s="57" t="str">
        <f>IF($A379="","",IF(SUMIFS([2]Fixture_Capacity_Input!$C:$C,[2]Fixture_Capacity_Input!$A:$A,$B379,[2]Fixture_Capacity_Input!$B:$B,$C379)&gt;0,SUMIFS([2]Fixture_Capacity_Input!$C:$C,[2]Fixture_Capacity_Input!$A:$A,$B379,[2]Fixture_Capacity_Input!$B:$B,$C379),[2]weekly_demand!G380))</f>
        <v/>
      </c>
      <c r="E379" s="58" t="str">
        <f>IF($A379="","",[2]weekly_demand!I380)</f>
        <v/>
      </c>
      <c r="F379" s="57" t="str">
        <f t="shared" si="52"/>
        <v/>
      </c>
      <c r="G379" s="57" t="str">
        <f t="shared" si="53"/>
        <v/>
      </c>
      <c r="H379" s="57" t="str">
        <f t="shared" si="60"/>
        <v/>
      </c>
      <c r="I379" s="58" t="str">
        <f t="shared" si="56"/>
        <v/>
      </c>
      <c r="J379" s="58" t="str">
        <f t="shared" si="54"/>
        <v/>
      </c>
      <c r="K379" s="58" t="str">
        <f t="shared" si="57"/>
        <v/>
      </c>
      <c r="L379" s="58" t="str">
        <f t="shared" si="58"/>
        <v/>
      </c>
      <c r="M379" s="58" t="str">
        <f t="shared" si="59"/>
        <v/>
      </c>
      <c r="N379" s="59" t="str">
        <f t="shared" si="55"/>
        <v/>
      </c>
      <c r="O379" s="60"/>
      <c r="P379" s="105"/>
    </row>
    <row r="380" spans="1:16" x14ac:dyDescent="0.3">
      <c r="A380" s="54" t="str">
        <f>IF([2]weekly_demand!A381="","",[2]weekly_demand!A381)</f>
        <v/>
      </c>
      <c r="B380" s="55" t="str">
        <f>IF($A380="","",[2]weekly_demand!F381)</f>
        <v/>
      </c>
      <c r="C380" s="56" t="str">
        <f>IF($A380="","",[2]weekly_demand!H381)</f>
        <v/>
      </c>
      <c r="D380" s="57" t="str">
        <f>IF($A380="","",IF(SUMIFS([2]Fixture_Capacity_Input!$C:$C,[2]Fixture_Capacity_Input!$A:$A,$B380,[2]Fixture_Capacity_Input!$B:$B,$C380)&gt;0,SUMIFS([2]Fixture_Capacity_Input!$C:$C,[2]Fixture_Capacity_Input!$A:$A,$B380,[2]Fixture_Capacity_Input!$B:$B,$C380),[2]weekly_demand!G381))</f>
        <v/>
      </c>
      <c r="E380" s="58" t="str">
        <f>IF($A380="","",[2]weekly_demand!I381)</f>
        <v/>
      </c>
      <c r="F380" s="57" t="str">
        <f t="shared" si="52"/>
        <v/>
      </c>
      <c r="G380" s="57" t="str">
        <f t="shared" si="53"/>
        <v/>
      </c>
      <c r="H380" s="57" t="str">
        <f t="shared" si="60"/>
        <v/>
      </c>
      <c r="I380" s="58" t="str">
        <f t="shared" si="56"/>
        <v/>
      </c>
      <c r="J380" s="58" t="str">
        <f t="shared" si="54"/>
        <v/>
      </c>
      <c r="K380" s="58" t="str">
        <f t="shared" si="57"/>
        <v/>
      </c>
      <c r="L380" s="58" t="str">
        <f t="shared" si="58"/>
        <v/>
      </c>
      <c r="M380" s="58" t="str">
        <f t="shared" si="59"/>
        <v/>
      </c>
      <c r="N380" s="59" t="str">
        <f t="shared" si="55"/>
        <v/>
      </c>
      <c r="O380" s="60"/>
      <c r="P380" s="105"/>
    </row>
    <row r="381" spans="1:16" x14ac:dyDescent="0.3">
      <c r="A381" s="54" t="str">
        <f>IF([2]weekly_demand!A382="","",[2]weekly_demand!A382)</f>
        <v/>
      </c>
      <c r="B381" s="55" t="str">
        <f>IF($A381="","",[2]weekly_demand!F382)</f>
        <v/>
      </c>
      <c r="C381" s="56" t="str">
        <f>IF($A381="","",[2]weekly_demand!H382)</f>
        <v/>
      </c>
      <c r="D381" s="57" t="str">
        <f>IF($A381="","",IF(SUMIFS([2]Fixture_Capacity_Input!$C:$C,[2]Fixture_Capacity_Input!$A:$A,$B381,[2]Fixture_Capacity_Input!$B:$B,$C381)&gt;0,SUMIFS([2]Fixture_Capacity_Input!$C:$C,[2]Fixture_Capacity_Input!$A:$A,$B381,[2]Fixture_Capacity_Input!$B:$B,$C381),[2]weekly_demand!G382))</f>
        <v/>
      </c>
      <c r="E381" s="58" t="str">
        <f>IF($A381="","",[2]weekly_demand!I382)</f>
        <v/>
      </c>
      <c r="F381" s="57" t="str">
        <f t="shared" si="52"/>
        <v/>
      </c>
      <c r="G381" s="57" t="str">
        <f t="shared" si="53"/>
        <v/>
      </c>
      <c r="H381" s="57" t="str">
        <f t="shared" si="60"/>
        <v/>
      </c>
      <c r="I381" s="58" t="str">
        <f t="shared" si="56"/>
        <v/>
      </c>
      <c r="J381" s="58" t="str">
        <f t="shared" si="54"/>
        <v/>
      </c>
      <c r="K381" s="58" t="str">
        <f t="shared" si="57"/>
        <v/>
      </c>
      <c r="L381" s="58" t="str">
        <f t="shared" si="58"/>
        <v/>
      </c>
      <c r="M381" s="58" t="str">
        <f t="shared" si="59"/>
        <v/>
      </c>
      <c r="N381" s="59" t="str">
        <f t="shared" si="55"/>
        <v/>
      </c>
      <c r="O381" s="60"/>
      <c r="P381" s="105"/>
    </row>
    <row r="382" spans="1:16" x14ac:dyDescent="0.3">
      <c r="A382" s="54" t="str">
        <f>IF([2]weekly_demand!A383="","",[2]weekly_demand!A383)</f>
        <v/>
      </c>
      <c r="B382" s="55" t="str">
        <f>IF($A382="","",[2]weekly_demand!F383)</f>
        <v/>
      </c>
      <c r="C382" s="56" t="str">
        <f>IF($A382="","",[2]weekly_demand!H383)</f>
        <v/>
      </c>
      <c r="D382" s="57" t="str">
        <f>IF($A382="","",IF(SUMIFS([2]Fixture_Capacity_Input!$C:$C,[2]Fixture_Capacity_Input!$A:$A,$B382,[2]Fixture_Capacity_Input!$B:$B,$C382)&gt;0,SUMIFS([2]Fixture_Capacity_Input!$C:$C,[2]Fixture_Capacity_Input!$A:$A,$B382,[2]Fixture_Capacity_Input!$B:$B,$C382),[2]weekly_demand!G383))</f>
        <v/>
      </c>
      <c r="E382" s="58" t="str">
        <f>IF($A382="","",[2]weekly_demand!I383)</f>
        <v/>
      </c>
      <c r="F382" s="57" t="str">
        <f t="shared" si="52"/>
        <v/>
      </c>
      <c r="G382" s="57" t="str">
        <f t="shared" si="53"/>
        <v/>
      </c>
      <c r="H382" s="57" t="str">
        <f t="shared" si="60"/>
        <v/>
      </c>
      <c r="I382" s="58" t="str">
        <f t="shared" si="56"/>
        <v/>
      </c>
      <c r="J382" s="58" t="str">
        <f t="shared" si="54"/>
        <v/>
      </c>
      <c r="K382" s="58" t="str">
        <f t="shared" si="57"/>
        <v/>
      </c>
      <c r="L382" s="58" t="str">
        <f t="shared" si="58"/>
        <v/>
      </c>
      <c r="M382" s="58" t="str">
        <f t="shared" si="59"/>
        <v/>
      </c>
      <c r="N382" s="59" t="str">
        <f t="shared" si="55"/>
        <v/>
      </c>
      <c r="O382" s="60"/>
      <c r="P382" s="105"/>
    </row>
    <row r="383" spans="1:16" x14ac:dyDescent="0.3">
      <c r="A383" s="54" t="str">
        <f>IF([2]weekly_demand!A384="","",[2]weekly_demand!A384)</f>
        <v/>
      </c>
      <c r="B383" s="55" t="str">
        <f>IF($A383="","",[2]weekly_demand!F384)</f>
        <v/>
      </c>
      <c r="C383" s="56" t="str">
        <f>IF($A383="","",[2]weekly_demand!H384)</f>
        <v/>
      </c>
      <c r="D383" s="57" t="str">
        <f>IF($A383="","",IF(SUMIFS([2]Fixture_Capacity_Input!$C:$C,[2]Fixture_Capacity_Input!$A:$A,$B383,[2]Fixture_Capacity_Input!$B:$B,$C383)&gt;0,SUMIFS([2]Fixture_Capacity_Input!$C:$C,[2]Fixture_Capacity_Input!$A:$A,$B383,[2]Fixture_Capacity_Input!$B:$B,$C383),[2]weekly_demand!G384))</f>
        <v/>
      </c>
      <c r="E383" s="58" t="str">
        <f>IF($A383="","",[2]weekly_demand!I384)</f>
        <v/>
      </c>
      <c r="F383" s="57" t="str">
        <f t="shared" si="52"/>
        <v/>
      </c>
      <c r="G383" s="57" t="str">
        <f t="shared" si="53"/>
        <v/>
      </c>
      <c r="H383" s="57" t="str">
        <f t="shared" si="60"/>
        <v/>
      </c>
      <c r="I383" s="58" t="str">
        <f t="shared" si="56"/>
        <v/>
      </c>
      <c r="J383" s="58" t="str">
        <f t="shared" si="54"/>
        <v/>
      </c>
      <c r="K383" s="58" t="str">
        <f t="shared" si="57"/>
        <v/>
      </c>
      <c r="L383" s="58" t="str">
        <f t="shared" si="58"/>
        <v/>
      </c>
      <c r="M383" s="58" t="str">
        <f t="shared" si="59"/>
        <v/>
      </c>
      <c r="N383" s="59" t="str">
        <f t="shared" si="55"/>
        <v/>
      </c>
      <c r="O383" s="60"/>
      <c r="P383" s="105"/>
    </row>
    <row r="384" spans="1:16" x14ac:dyDescent="0.3">
      <c r="A384" s="54" t="str">
        <f>IF([2]weekly_demand!A385="","",[2]weekly_demand!A385)</f>
        <v/>
      </c>
      <c r="B384" s="55" t="str">
        <f>IF($A384="","",[2]weekly_demand!F385)</f>
        <v/>
      </c>
      <c r="C384" s="56" t="str">
        <f>IF($A384="","",[2]weekly_demand!H385)</f>
        <v/>
      </c>
      <c r="D384" s="57" t="str">
        <f>IF($A384="","",IF(SUMIFS([2]Fixture_Capacity_Input!$C:$C,[2]Fixture_Capacity_Input!$A:$A,$B384,[2]Fixture_Capacity_Input!$B:$B,$C384)&gt;0,SUMIFS([2]Fixture_Capacity_Input!$C:$C,[2]Fixture_Capacity_Input!$A:$A,$B384,[2]Fixture_Capacity_Input!$B:$B,$C384),[2]weekly_demand!G385))</f>
        <v/>
      </c>
      <c r="E384" s="58" t="str">
        <f>IF($A384="","",[2]weekly_demand!I385)</f>
        <v/>
      </c>
      <c r="F384" s="57" t="str">
        <f t="shared" si="52"/>
        <v/>
      </c>
      <c r="G384" s="57" t="str">
        <f t="shared" si="53"/>
        <v/>
      </c>
      <c r="H384" s="57" t="str">
        <f t="shared" si="60"/>
        <v/>
      </c>
      <c r="I384" s="58" t="str">
        <f t="shared" si="56"/>
        <v/>
      </c>
      <c r="J384" s="58" t="str">
        <f t="shared" si="54"/>
        <v/>
      </c>
      <c r="K384" s="58" t="str">
        <f t="shared" si="57"/>
        <v/>
      </c>
      <c r="L384" s="58" t="str">
        <f t="shared" si="58"/>
        <v/>
      </c>
      <c r="M384" s="58" t="str">
        <f t="shared" si="59"/>
        <v/>
      </c>
      <c r="N384" s="59" t="str">
        <f t="shared" si="55"/>
        <v/>
      </c>
      <c r="O384" s="60"/>
      <c r="P384" s="105"/>
    </row>
    <row r="385" spans="1:16" x14ac:dyDescent="0.3">
      <c r="A385" s="54" t="str">
        <f>IF([2]weekly_demand!A386="","",[2]weekly_demand!A386)</f>
        <v/>
      </c>
      <c r="B385" s="55" t="str">
        <f>IF($A385="","",[2]weekly_demand!F386)</f>
        <v/>
      </c>
      <c r="C385" s="56" t="str">
        <f>IF($A385="","",[2]weekly_demand!H386)</f>
        <v/>
      </c>
      <c r="D385" s="57" t="str">
        <f>IF($A385="","",IF(SUMIFS([2]Fixture_Capacity_Input!$C:$C,[2]Fixture_Capacity_Input!$A:$A,$B385,[2]Fixture_Capacity_Input!$B:$B,$C385)&gt;0,SUMIFS([2]Fixture_Capacity_Input!$C:$C,[2]Fixture_Capacity_Input!$A:$A,$B385,[2]Fixture_Capacity_Input!$B:$B,$C385),[2]weekly_demand!G386))</f>
        <v/>
      </c>
      <c r="E385" s="58" t="str">
        <f>IF($A385="","",[2]weekly_demand!I386)</f>
        <v/>
      </c>
      <c r="F385" s="57" t="str">
        <f t="shared" si="52"/>
        <v/>
      </c>
      <c r="G385" s="57" t="str">
        <f t="shared" si="53"/>
        <v/>
      </c>
      <c r="H385" s="57" t="str">
        <f t="shared" si="60"/>
        <v/>
      </c>
      <c r="I385" s="58" t="str">
        <f t="shared" si="56"/>
        <v/>
      </c>
      <c r="J385" s="58" t="str">
        <f t="shared" si="54"/>
        <v/>
      </c>
      <c r="K385" s="58" t="str">
        <f t="shared" si="57"/>
        <v/>
      </c>
      <c r="L385" s="58" t="str">
        <f t="shared" si="58"/>
        <v/>
      </c>
      <c r="M385" s="58" t="str">
        <f t="shared" si="59"/>
        <v/>
      </c>
      <c r="N385" s="59" t="str">
        <f t="shared" si="55"/>
        <v/>
      </c>
      <c r="O385" s="60"/>
      <c r="P385" s="105"/>
    </row>
    <row r="386" spans="1:16" x14ac:dyDescent="0.3">
      <c r="A386" s="54" t="str">
        <f>IF([2]weekly_demand!A387="","",[2]weekly_demand!A387)</f>
        <v/>
      </c>
      <c r="B386" s="55" t="str">
        <f>IF($A386="","",[2]weekly_demand!F387)</f>
        <v/>
      </c>
      <c r="C386" s="56" t="str">
        <f>IF($A386="","",[2]weekly_demand!H387)</f>
        <v/>
      </c>
      <c r="D386" s="57" t="str">
        <f>IF($A386="","",IF(SUMIFS([2]Fixture_Capacity_Input!$C:$C,[2]Fixture_Capacity_Input!$A:$A,$B386,[2]Fixture_Capacity_Input!$B:$B,$C386)&gt;0,SUMIFS([2]Fixture_Capacity_Input!$C:$C,[2]Fixture_Capacity_Input!$A:$A,$B386,[2]Fixture_Capacity_Input!$B:$B,$C386),[2]weekly_demand!G387))</f>
        <v/>
      </c>
      <c r="E386" s="58" t="str">
        <f>IF($A386="","",[2]weekly_demand!I387)</f>
        <v/>
      </c>
      <c r="F386" s="57" t="str">
        <f t="shared" ref="F386:F449" si="61">IF($A386="","",IF($A386&lt;&gt;$A385,_xlfn.XLOOKUP($A386,$Q$2:$Q$7,$R$2:$R$7,0),K385))</f>
        <v/>
      </c>
      <c r="G386" s="57" t="str">
        <f t="shared" ref="G386:G449" si="62">IF($A386="","",_xlfn.XLOOKUP($A386,$Q$2:$Q$7,$S$2:$S$7,0))</f>
        <v/>
      </c>
      <c r="H386" s="57" t="str">
        <f t="shared" si="60"/>
        <v/>
      </c>
      <c r="I386" s="58" t="str">
        <f t="shared" si="56"/>
        <v/>
      </c>
      <c r="J386" s="58" t="str">
        <f t="shared" ref="J386:J449" si="63">IF($A386="","",MIN($D386,$I386,MAX(0,$E386+$G386-$F386)))</f>
        <v/>
      </c>
      <c r="K386" s="58" t="str">
        <f t="shared" si="57"/>
        <v/>
      </c>
      <c r="L386" s="58" t="str">
        <f t="shared" si="58"/>
        <v/>
      </c>
      <c r="M386" s="58" t="str">
        <f t="shared" si="59"/>
        <v/>
      </c>
      <c r="N386" s="59" t="str">
        <f t="shared" ref="N386:N449" si="64">IF($A386="","",IFERROR(J386/D386,0))</f>
        <v/>
      </c>
      <c r="O386" s="60"/>
      <c r="P386" s="105"/>
    </row>
    <row r="387" spans="1:16" x14ac:dyDescent="0.3">
      <c r="A387" s="54" t="str">
        <f>IF([2]weekly_demand!A388="","",[2]weekly_demand!A388)</f>
        <v/>
      </c>
      <c r="B387" s="55" t="str">
        <f>IF($A387="","",[2]weekly_demand!F388)</f>
        <v/>
      </c>
      <c r="C387" s="56" t="str">
        <f>IF($A387="","",[2]weekly_demand!H388)</f>
        <v/>
      </c>
      <c r="D387" s="57" t="str">
        <f>IF($A387="","",IF(SUMIFS([2]Fixture_Capacity_Input!$C:$C,[2]Fixture_Capacity_Input!$A:$A,$B387,[2]Fixture_Capacity_Input!$B:$B,$C387)&gt;0,SUMIFS([2]Fixture_Capacity_Input!$C:$C,[2]Fixture_Capacity_Input!$A:$A,$B387,[2]Fixture_Capacity_Input!$B:$B,$C387),[2]weekly_demand!G388))</f>
        <v/>
      </c>
      <c r="E387" s="58" t="str">
        <f>IF($A387="","",[2]weekly_demand!I388)</f>
        <v/>
      </c>
      <c r="F387" s="57" t="str">
        <f t="shared" si="61"/>
        <v/>
      </c>
      <c r="G387" s="57" t="str">
        <f t="shared" si="62"/>
        <v/>
      </c>
      <c r="H387" s="57" t="str">
        <f t="shared" si="60"/>
        <v/>
      </c>
      <c r="I387" s="58" t="str">
        <f t="shared" ref="I387:I450" si="65">IF($A387="","",MAX(0,E387+H387-F387))</f>
        <v/>
      </c>
      <c r="J387" s="58" t="str">
        <f t="shared" si="63"/>
        <v/>
      </c>
      <c r="K387" s="58" t="str">
        <f t="shared" ref="K387:K450" si="66">IF($A387="","",MIN($G387,MAX(0,$F387+$J387-$E387)))</f>
        <v/>
      </c>
      <c r="L387" s="58" t="str">
        <f t="shared" ref="L387:L450" si="67">IF($A387="","",MAX(0,E387-F387-J387))</f>
        <v/>
      </c>
      <c r="M387" s="58" t="str">
        <f t="shared" ref="M387:M450" si="68">IF($A387="","",MAX(0,F387+J387-E387))</f>
        <v/>
      </c>
      <c r="N387" s="59" t="str">
        <f t="shared" si="64"/>
        <v/>
      </c>
      <c r="O387" s="60"/>
      <c r="P387" s="105"/>
    </row>
    <row r="388" spans="1:16" x14ac:dyDescent="0.3">
      <c r="A388" s="54" t="str">
        <f>IF([2]weekly_demand!A389="","",[2]weekly_demand!A389)</f>
        <v/>
      </c>
      <c r="B388" s="55" t="str">
        <f>IF($A388="","",[2]weekly_demand!F389)</f>
        <v/>
      </c>
      <c r="C388" s="56" t="str">
        <f>IF($A388="","",[2]weekly_demand!H389)</f>
        <v/>
      </c>
      <c r="D388" s="57" t="str">
        <f>IF($A388="","",IF(SUMIFS([2]Fixture_Capacity_Input!$C:$C,[2]Fixture_Capacity_Input!$A:$A,$B388,[2]Fixture_Capacity_Input!$B:$B,$C388)&gt;0,SUMIFS([2]Fixture_Capacity_Input!$C:$C,[2]Fixture_Capacity_Input!$A:$A,$B388,[2]Fixture_Capacity_Input!$B:$B,$C388),[2]weekly_demand!G389))</f>
        <v/>
      </c>
      <c r="E388" s="58" t="str">
        <f>IF($A388="","",[2]weekly_demand!I389)</f>
        <v/>
      </c>
      <c r="F388" s="57" t="str">
        <f t="shared" si="61"/>
        <v/>
      </c>
      <c r="G388" s="57" t="str">
        <f t="shared" si="62"/>
        <v/>
      </c>
      <c r="H388" s="57" t="str">
        <f t="shared" si="60"/>
        <v/>
      </c>
      <c r="I388" s="58" t="str">
        <f t="shared" si="65"/>
        <v/>
      </c>
      <c r="J388" s="58" t="str">
        <f t="shared" si="63"/>
        <v/>
      </c>
      <c r="K388" s="58" t="str">
        <f t="shared" si="66"/>
        <v/>
      </c>
      <c r="L388" s="58" t="str">
        <f t="shared" si="67"/>
        <v/>
      </c>
      <c r="M388" s="58" t="str">
        <f t="shared" si="68"/>
        <v/>
      </c>
      <c r="N388" s="59" t="str">
        <f t="shared" si="64"/>
        <v/>
      </c>
      <c r="O388" s="60"/>
      <c r="P388" s="105"/>
    </row>
    <row r="389" spans="1:16" x14ac:dyDescent="0.3">
      <c r="A389" s="54" t="str">
        <f>IF([2]weekly_demand!A390="","",[2]weekly_demand!A390)</f>
        <v/>
      </c>
      <c r="B389" s="55" t="str">
        <f>IF($A389="","",[2]weekly_demand!F390)</f>
        <v/>
      </c>
      <c r="C389" s="56" t="str">
        <f>IF($A389="","",[2]weekly_demand!H390)</f>
        <v/>
      </c>
      <c r="D389" s="57" t="str">
        <f>IF($A389="","",IF(SUMIFS([2]Fixture_Capacity_Input!$C:$C,[2]Fixture_Capacity_Input!$A:$A,$B389,[2]Fixture_Capacity_Input!$B:$B,$C389)&gt;0,SUMIFS([2]Fixture_Capacity_Input!$C:$C,[2]Fixture_Capacity_Input!$A:$A,$B389,[2]Fixture_Capacity_Input!$B:$B,$C389),[2]weekly_demand!G390))</f>
        <v/>
      </c>
      <c r="E389" s="58" t="str">
        <f>IF($A389="","",[2]weekly_demand!I390)</f>
        <v/>
      </c>
      <c r="F389" s="57" t="str">
        <f t="shared" si="61"/>
        <v/>
      </c>
      <c r="G389" s="57" t="str">
        <f t="shared" si="62"/>
        <v/>
      </c>
      <c r="H389" s="57" t="str">
        <f t="shared" si="60"/>
        <v/>
      </c>
      <c r="I389" s="58" t="str">
        <f t="shared" si="65"/>
        <v/>
      </c>
      <c r="J389" s="58" t="str">
        <f t="shared" si="63"/>
        <v/>
      </c>
      <c r="K389" s="58" t="str">
        <f t="shared" si="66"/>
        <v/>
      </c>
      <c r="L389" s="58" t="str">
        <f t="shared" si="67"/>
        <v/>
      </c>
      <c r="M389" s="58" t="str">
        <f t="shared" si="68"/>
        <v/>
      </c>
      <c r="N389" s="59" t="str">
        <f t="shared" si="64"/>
        <v/>
      </c>
      <c r="O389" s="60"/>
      <c r="P389" s="105"/>
    </row>
    <row r="390" spans="1:16" x14ac:dyDescent="0.3">
      <c r="A390" s="54" t="str">
        <f>IF([2]weekly_demand!A391="","",[2]weekly_demand!A391)</f>
        <v/>
      </c>
      <c r="B390" s="55" t="str">
        <f>IF($A390="","",[2]weekly_demand!F391)</f>
        <v/>
      </c>
      <c r="C390" s="56" t="str">
        <f>IF($A390="","",[2]weekly_demand!H391)</f>
        <v/>
      </c>
      <c r="D390" s="57" t="str">
        <f>IF($A390="","",IF(SUMIFS([2]Fixture_Capacity_Input!$C:$C,[2]Fixture_Capacity_Input!$A:$A,$B390,[2]Fixture_Capacity_Input!$B:$B,$C390)&gt;0,SUMIFS([2]Fixture_Capacity_Input!$C:$C,[2]Fixture_Capacity_Input!$A:$A,$B390,[2]Fixture_Capacity_Input!$B:$B,$C390),[2]weekly_demand!G391))</f>
        <v/>
      </c>
      <c r="E390" s="58" t="str">
        <f>IF($A390="","",[2]weekly_demand!I391)</f>
        <v/>
      </c>
      <c r="F390" s="57" t="str">
        <f t="shared" si="61"/>
        <v/>
      </c>
      <c r="G390" s="57" t="str">
        <f t="shared" si="62"/>
        <v/>
      </c>
      <c r="H390" s="57" t="str">
        <f t="shared" si="60"/>
        <v/>
      </c>
      <c r="I390" s="58" t="str">
        <f t="shared" si="65"/>
        <v/>
      </c>
      <c r="J390" s="58" t="str">
        <f t="shared" si="63"/>
        <v/>
      </c>
      <c r="K390" s="58" t="str">
        <f t="shared" si="66"/>
        <v/>
      </c>
      <c r="L390" s="58" t="str">
        <f t="shared" si="67"/>
        <v/>
      </c>
      <c r="M390" s="58" t="str">
        <f t="shared" si="68"/>
        <v/>
      </c>
      <c r="N390" s="59" t="str">
        <f t="shared" si="64"/>
        <v/>
      </c>
      <c r="O390" s="60"/>
      <c r="P390" s="105"/>
    </row>
    <row r="391" spans="1:16" x14ac:dyDescent="0.3">
      <c r="A391" s="54" t="str">
        <f>IF([2]weekly_demand!A392="","",[2]weekly_demand!A392)</f>
        <v/>
      </c>
      <c r="B391" s="55" t="str">
        <f>IF($A391="","",[2]weekly_demand!F392)</f>
        <v/>
      </c>
      <c r="C391" s="56" t="str">
        <f>IF($A391="","",[2]weekly_demand!H392)</f>
        <v/>
      </c>
      <c r="D391" s="57" t="str">
        <f>IF($A391="","",IF(SUMIFS([2]Fixture_Capacity_Input!$C:$C,[2]Fixture_Capacity_Input!$A:$A,$B391,[2]Fixture_Capacity_Input!$B:$B,$C391)&gt;0,SUMIFS([2]Fixture_Capacity_Input!$C:$C,[2]Fixture_Capacity_Input!$A:$A,$B391,[2]Fixture_Capacity_Input!$B:$B,$C391),[2]weekly_demand!G392))</f>
        <v/>
      </c>
      <c r="E391" s="58" t="str">
        <f>IF($A391="","",[2]weekly_demand!I392)</f>
        <v/>
      </c>
      <c r="F391" s="57" t="str">
        <f t="shared" si="61"/>
        <v/>
      </c>
      <c r="G391" s="57" t="str">
        <f t="shared" si="62"/>
        <v/>
      </c>
      <c r="H391" s="57" t="str">
        <f t="shared" si="60"/>
        <v/>
      </c>
      <c r="I391" s="58" t="str">
        <f t="shared" si="65"/>
        <v/>
      </c>
      <c r="J391" s="58" t="str">
        <f t="shared" si="63"/>
        <v/>
      </c>
      <c r="K391" s="58" t="str">
        <f t="shared" si="66"/>
        <v/>
      </c>
      <c r="L391" s="58" t="str">
        <f t="shared" si="67"/>
        <v/>
      </c>
      <c r="M391" s="58" t="str">
        <f t="shared" si="68"/>
        <v/>
      </c>
      <c r="N391" s="59" t="str">
        <f t="shared" si="64"/>
        <v/>
      </c>
      <c r="O391" s="60"/>
      <c r="P391" s="105"/>
    </row>
    <row r="392" spans="1:16" x14ac:dyDescent="0.3">
      <c r="A392" s="54" t="str">
        <f>IF([2]weekly_demand!A393="","",[2]weekly_demand!A393)</f>
        <v/>
      </c>
      <c r="B392" s="55" t="str">
        <f>IF($A392="","",[2]weekly_demand!F393)</f>
        <v/>
      </c>
      <c r="C392" s="56" t="str">
        <f>IF($A392="","",[2]weekly_demand!H393)</f>
        <v/>
      </c>
      <c r="D392" s="57" t="str">
        <f>IF($A392="","",IF(SUMIFS([2]Fixture_Capacity_Input!$C:$C,[2]Fixture_Capacity_Input!$A:$A,$B392,[2]Fixture_Capacity_Input!$B:$B,$C392)&gt;0,SUMIFS([2]Fixture_Capacity_Input!$C:$C,[2]Fixture_Capacity_Input!$A:$A,$B392,[2]Fixture_Capacity_Input!$B:$B,$C392),[2]weekly_demand!G393))</f>
        <v/>
      </c>
      <c r="E392" s="58" t="str">
        <f>IF($A392="","",[2]weekly_demand!I393)</f>
        <v/>
      </c>
      <c r="F392" s="57" t="str">
        <f t="shared" si="61"/>
        <v/>
      </c>
      <c r="G392" s="57" t="str">
        <f t="shared" si="62"/>
        <v/>
      </c>
      <c r="H392" s="57" t="str">
        <f t="shared" si="60"/>
        <v/>
      </c>
      <c r="I392" s="58" t="str">
        <f t="shared" si="65"/>
        <v/>
      </c>
      <c r="J392" s="58" t="str">
        <f t="shared" si="63"/>
        <v/>
      </c>
      <c r="K392" s="58" t="str">
        <f t="shared" si="66"/>
        <v/>
      </c>
      <c r="L392" s="58" t="str">
        <f t="shared" si="67"/>
        <v/>
      </c>
      <c r="M392" s="58" t="str">
        <f t="shared" si="68"/>
        <v/>
      </c>
      <c r="N392" s="59" t="str">
        <f t="shared" si="64"/>
        <v/>
      </c>
      <c r="O392" s="60"/>
      <c r="P392" s="105"/>
    </row>
    <row r="393" spans="1:16" x14ac:dyDescent="0.3">
      <c r="A393" s="54" t="str">
        <f>IF([2]weekly_demand!A394="","",[2]weekly_demand!A394)</f>
        <v/>
      </c>
      <c r="B393" s="55" t="str">
        <f>IF($A393="","",[2]weekly_demand!F394)</f>
        <v/>
      </c>
      <c r="C393" s="56" t="str">
        <f>IF($A393="","",[2]weekly_demand!H394)</f>
        <v/>
      </c>
      <c r="D393" s="57" t="str">
        <f>IF($A393="","",IF(SUMIFS([2]Fixture_Capacity_Input!$C:$C,[2]Fixture_Capacity_Input!$A:$A,$B393,[2]Fixture_Capacity_Input!$B:$B,$C393)&gt;0,SUMIFS([2]Fixture_Capacity_Input!$C:$C,[2]Fixture_Capacity_Input!$A:$A,$B393,[2]Fixture_Capacity_Input!$B:$B,$C393),[2]weekly_demand!G394))</f>
        <v/>
      </c>
      <c r="E393" s="58" t="str">
        <f>IF($A393="","",[2]weekly_demand!I394)</f>
        <v/>
      </c>
      <c r="F393" s="57" t="str">
        <f t="shared" si="61"/>
        <v/>
      </c>
      <c r="G393" s="57" t="str">
        <f t="shared" si="62"/>
        <v/>
      </c>
      <c r="H393" s="57" t="str">
        <f t="shared" si="60"/>
        <v/>
      </c>
      <c r="I393" s="58" t="str">
        <f t="shared" si="65"/>
        <v/>
      </c>
      <c r="J393" s="58" t="str">
        <f t="shared" si="63"/>
        <v/>
      </c>
      <c r="K393" s="58" t="str">
        <f t="shared" si="66"/>
        <v/>
      </c>
      <c r="L393" s="58" t="str">
        <f t="shared" si="67"/>
        <v/>
      </c>
      <c r="M393" s="58" t="str">
        <f t="shared" si="68"/>
        <v/>
      </c>
      <c r="N393" s="59" t="str">
        <f t="shared" si="64"/>
        <v/>
      </c>
      <c r="O393" s="60"/>
      <c r="P393" s="105"/>
    </row>
    <row r="394" spans="1:16" x14ac:dyDescent="0.3">
      <c r="A394" s="54" t="str">
        <f>IF([2]weekly_demand!A395="","",[2]weekly_demand!A395)</f>
        <v/>
      </c>
      <c r="B394" s="55" t="str">
        <f>IF($A394="","",[2]weekly_demand!F395)</f>
        <v/>
      </c>
      <c r="C394" s="56" t="str">
        <f>IF($A394="","",[2]weekly_demand!H395)</f>
        <v/>
      </c>
      <c r="D394" s="57" t="str">
        <f>IF($A394="","",IF(SUMIFS([2]Fixture_Capacity_Input!$C:$C,[2]Fixture_Capacity_Input!$A:$A,$B394,[2]Fixture_Capacity_Input!$B:$B,$C394)&gt;0,SUMIFS([2]Fixture_Capacity_Input!$C:$C,[2]Fixture_Capacity_Input!$A:$A,$B394,[2]Fixture_Capacity_Input!$B:$B,$C394),[2]weekly_demand!G395))</f>
        <v/>
      </c>
      <c r="E394" s="58" t="str">
        <f>IF($A394="","",[2]weekly_demand!I395)</f>
        <v/>
      </c>
      <c r="F394" s="57" t="str">
        <f t="shared" si="61"/>
        <v/>
      </c>
      <c r="G394" s="57" t="str">
        <f t="shared" si="62"/>
        <v/>
      </c>
      <c r="H394" s="57" t="str">
        <f t="shared" si="60"/>
        <v/>
      </c>
      <c r="I394" s="58" t="str">
        <f t="shared" si="65"/>
        <v/>
      </c>
      <c r="J394" s="58" t="str">
        <f t="shared" si="63"/>
        <v/>
      </c>
      <c r="K394" s="58" t="str">
        <f t="shared" si="66"/>
        <v/>
      </c>
      <c r="L394" s="58" t="str">
        <f t="shared" si="67"/>
        <v/>
      </c>
      <c r="M394" s="58" t="str">
        <f t="shared" si="68"/>
        <v/>
      </c>
      <c r="N394" s="59" t="str">
        <f t="shared" si="64"/>
        <v/>
      </c>
      <c r="O394" s="60"/>
      <c r="P394" s="105"/>
    </row>
    <row r="395" spans="1:16" x14ac:dyDescent="0.3">
      <c r="A395" s="54" t="str">
        <f>IF([2]weekly_demand!A396="","",[2]weekly_demand!A396)</f>
        <v/>
      </c>
      <c r="B395" s="55" t="str">
        <f>IF($A395="","",[2]weekly_demand!F396)</f>
        <v/>
      </c>
      <c r="C395" s="56" t="str">
        <f>IF($A395="","",[2]weekly_demand!H396)</f>
        <v/>
      </c>
      <c r="D395" s="57" t="str">
        <f>IF($A395="","",IF(SUMIFS([2]Fixture_Capacity_Input!$C:$C,[2]Fixture_Capacity_Input!$A:$A,$B395,[2]Fixture_Capacity_Input!$B:$B,$C395)&gt;0,SUMIFS([2]Fixture_Capacity_Input!$C:$C,[2]Fixture_Capacity_Input!$A:$A,$B395,[2]Fixture_Capacity_Input!$B:$B,$C395),[2]weekly_demand!G396))</f>
        <v/>
      </c>
      <c r="E395" s="58" t="str">
        <f>IF($A395="","",[2]weekly_demand!I396)</f>
        <v/>
      </c>
      <c r="F395" s="57" t="str">
        <f t="shared" si="61"/>
        <v/>
      </c>
      <c r="G395" s="57" t="str">
        <f t="shared" si="62"/>
        <v/>
      </c>
      <c r="H395" s="57" t="str">
        <f t="shared" si="60"/>
        <v/>
      </c>
      <c r="I395" s="58" t="str">
        <f t="shared" si="65"/>
        <v/>
      </c>
      <c r="J395" s="58" t="str">
        <f t="shared" si="63"/>
        <v/>
      </c>
      <c r="K395" s="58" t="str">
        <f t="shared" si="66"/>
        <v/>
      </c>
      <c r="L395" s="58" t="str">
        <f t="shared" si="67"/>
        <v/>
      </c>
      <c r="M395" s="58" t="str">
        <f t="shared" si="68"/>
        <v/>
      </c>
      <c r="N395" s="59" t="str">
        <f t="shared" si="64"/>
        <v/>
      </c>
      <c r="O395" s="60"/>
      <c r="P395" s="105"/>
    </row>
    <row r="396" spans="1:16" x14ac:dyDescent="0.3">
      <c r="A396" s="54" t="str">
        <f>IF([2]weekly_demand!A397="","",[2]weekly_demand!A397)</f>
        <v/>
      </c>
      <c r="B396" s="55" t="str">
        <f>IF($A396="","",[2]weekly_demand!F397)</f>
        <v/>
      </c>
      <c r="C396" s="56" t="str">
        <f>IF($A396="","",[2]weekly_demand!H397)</f>
        <v/>
      </c>
      <c r="D396" s="57" t="str">
        <f>IF($A396="","",IF(SUMIFS([2]Fixture_Capacity_Input!$C:$C,[2]Fixture_Capacity_Input!$A:$A,$B396,[2]Fixture_Capacity_Input!$B:$B,$C396)&gt;0,SUMIFS([2]Fixture_Capacity_Input!$C:$C,[2]Fixture_Capacity_Input!$A:$A,$B396,[2]Fixture_Capacity_Input!$B:$B,$C396),[2]weekly_demand!G397))</f>
        <v/>
      </c>
      <c r="E396" s="58" t="str">
        <f>IF($A396="","",[2]weekly_demand!I397)</f>
        <v/>
      </c>
      <c r="F396" s="57" t="str">
        <f t="shared" si="61"/>
        <v/>
      </c>
      <c r="G396" s="57" t="str">
        <f t="shared" si="62"/>
        <v/>
      </c>
      <c r="H396" s="57" t="str">
        <f t="shared" si="60"/>
        <v/>
      </c>
      <c r="I396" s="58" t="str">
        <f t="shared" si="65"/>
        <v/>
      </c>
      <c r="J396" s="58" t="str">
        <f t="shared" si="63"/>
        <v/>
      </c>
      <c r="K396" s="58" t="str">
        <f t="shared" si="66"/>
        <v/>
      </c>
      <c r="L396" s="58" t="str">
        <f t="shared" si="67"/>
        <v/>
      </c>
      <c r="M396" s="58" t="str">
        <f t="shared" si="68"/>
        <v/>
      </c>
      <c r="N396" s="59" t="str">
        <f t="shared" si="64"/>
        <v/>
      </c>
      <c r="O396" s="60"/>
      <c r="P396" s="105"/>
    </row>
    <row r="397" spans="1:16" x14ac:dyDescent="0.3">
      <c r="A397" s="54" t="str">
        <f>IF([2]weekly_demand!A398="","",[2]weekly_demand!A398)</f>
        <v/>
      </c>
      <c r="B397" s="55" t="str">
        <f>IF($A397="","",[2]weekly_demand!F398)</f>
        <v/>
      </c>
      <c r="C397" s="56" t="str">
        <f>IF($A397="","",[2]weekly_demand!H398)</f>
        <v/>
      </c>
      <c r="D397" s="57" t="str">
        <f>IF($A397="","",IF(SUMIFS([2]Fixture_Capacity_Input!$C:$C,[2]Fixture_Capacity_Input!$A:$A,$B397,[2]Fixture_Capacity_Input!$B:$B,$C397)&gt;0,SUMIFS([2]Fixture_Capacity_Input!$C:$C,[2]Fixture_Capacity_Input!$A:$A,$B397,[2]Fixture_Capacity_Input!$B:$B,$C397),[2]weekly_demand!G398))</f>
        <v/>
      </c>
      <c r="E397" s="58" t="str">
        <f>IF($A397="","",[2]weekly_demand!I398)</f>
        <v/>
      </c>
      <c r="F397" s="57" t="str">
        <f t="shared" si="61"/>
        <v/>
      </c>
      <c r="G397" s="57" t="str">
        <f t="shared" si="62"/>
        <v/>
      </c>
      <c r="H397" s="57" t="str">
        <f t="shared" si="60"/>
        <v/>
      </c>
      <c r="I397" s="58" t="str">
        <f t="shared" si="65"/>
        <v/>
      </c>
      <c r="J397" s="58" t="str">
        <f t="shared" si="63"/>
        <v/>
      </c>
      <c r="K397" s="58" t="str">
        <f t="shared" si="66"/>
        <v/>
      </c>
      <c r="L397" s="58" t="str">
        <f t="shared" si="67"/>
        <v/>
      </c>
      <c r="M397" s="58" t="str">
        <f t="shared" si="68"/>
        <v/>
      </c>
      <c r="N397" s="59" t="str">
        <f t="shared" si="64"/>
        <v/>
      </c>
      <c r="O397" s="60"/>
      <c r="P397" s="105"/>
    </row>
    <row r="398" spans="1:16" x14ac:dyDescent="0.3">
      <c r="A398" s="54" t="str">
        <f>IF([2]weekly_demand!A399="","",[2]weekly_demand!A399)</f>
        <v/>
      </c>
      <c r="B398" s="55" t="str">
        <f>IF($A398="","",[2]weekly_demand!F399)</f>
        <v/>
      </c>
      <c r="C398" s="56" t="str">
        <f>IF($A398="","",[2]weekly_demand!H399)</f>
        <v/>
      </c>
      <c r="D398" s="57" t="str">
        <f>IF($A398="","",IF(SUMIFS([2]Fixture_Capacity_Input!$C:$C,[2]Fixture_Capacity_Input!$A:$A,$B398,[2]Fixture_Capacity_Input!$B:$B,$C398)&gt;0,SUMIFS([2]Fixture_Capacity_Input!$C:$C,[2]Fixture_Capacity_Input!$A:$A,$B398,[2]Fixture_Capacity_Input!$B:$B,$C398),[2]weekly_demand!G399))</f>
        <v/>
      </c>
      <c r="E398" s="58" t="str">
        <f>IF($A398="","",[2]weekly_demand!I399)</f>
        <v/>
      </c>
      <c r="F398" s="57" t="str">
        <f t="shared" si="61"/>
        <v/>
      </c>
      <c r="G398" s="57" t="str">
        <f t="shared" si="62"/>
        <v/>
      </c>
      <c r="H398" s="57" t="str">
        <f t="shared" si="60"/>
        <v/>
      </c>
      <c r="I398" s="58" t="str">
        <f t="shared" si="65"/>
        <v/>
      </c>
      <c r="J398" s="58" t="str">
        <f t="shared" si="63"/>
        <v/>
      </c>
      <c r="K398" s="58" t="str">
        <f t="shared" si="66"/>
        <v/>
      </c>
      <c r="L398" s="58" t="str">
        <f t="shared" si="67"/>
        <v/>
      </c>
      <c r="M398" s="58" t="str">
        <f t="shared" si="68"/>
        <v/>
      </c>
      <c r="N398" s="59" t="str">
        <f t="shared" si="64"/>
        <v/>
      </c>
      <c r="O398" s="60"/>
      <c r="P398" s="105"/>
    </row>
    <row r="399" spans="1:16" x14ac:dyDescent="0.3">
      <c r="A399" s="54" t="str">
        <f>IF([2]weekly_demand!A400="","",[2]weekly_demand!A400)</f>
        <v/>
      </c>
      <c r="B399" s="55" t="str">
        <f>IF($A399="","",[2]weekly_demand!F400)</f>
        <v/>
      </c>
      <c r="C399" s="56" t="str">
        <f>IF($A399="","",[2]weekly_demand!H400)</f>
        <v/>
      </c>
      <c r="D399" s="57" t="str">
        <f>IF($A399="","",IF(SUMIFS([2]Fixture_Capacity_Input!$C:$C,[2]Fixture_Capacity_Input!$A:$A,$B399,[2]Fixture_Capacity_Input!$B:$B,$C399)&gt;0,SUMIFS([2]Fixture_Capacity_Input!$C:$C,[2]Fixture_Capacity_Input!$A:$A,$B399,[2]Fixture_Capacity_Input!$B:$B,$C399),[2]weekly_demand!G400))</f>
        <v/>
      </c>
      <c r="E399" s="58" t="str">
        <f>IF($A399="","",[2]weekly_demand!I400)</f>
        <v/>
      </c>
      <c r="F399" s="57" t="str">
        <f t="shared" si="61"/>
        <v/>
      </c>
      <c r="G399" s="57" t="str">
        <f t="shared" si="62"/>
        <v/>
      </c>
      <c r="H399" s="57" t="str">
        <f t="shared" si="60"/>
        <v/>
      </c>
      <c r="I399" s="58" t="str">
        <f t="shared" si="65"/>
        <v/>
      </c>
      <c r="J399" s="58" t="str">
        <f t="shared" si="63"/>
        <v/>
      </c>
      <c r="K399" s="58" t="str">
        <f t="shared" si="66"/>
        <v/>
      </c>
      <c r="L399" s="58" t="str">
        <f t="shared" si="67"/>
        <v/>
      </c>
      <c r="M399" s="58" t="str">
        <f t="shared" si="68"/>
        <v/>
      </c>
      <c r="N399" s="59" t="str">
        <f t="shared" si="64"/>
        <v/>
      </c>
      <c r="O399" s="60"/>
      <c r="P399" s="105"/>
    </row>
    <row r="400" spans="1:16" x14ac:dyDescent="0.3">
      <c r="A400" s="54" t="str">
        <f>IF([2]weekly_demand!A401="","",[2]weekly_demand!A401)</f>
        <v/>
      </c>
      <c r="B400" s="55" t="str">
        <f>IF($A400="","",[2]weekly_demand!F401)</f>
        <v/>
      </c>
      <c r="C400" s="56" t="str">
        <f>IF($A400="","",[2]weekly_demand!H401)</f>
        <v/>
      </c>
      <c r="D400" s="57" t="str">
        <f>IF($A400="","",IF(SUMIFS([2]Fixture_Capacity_Input!$C:$C,[2]Fixture_Capacity_Input!$A:$A,$B400,[2]Fixture_Capacity_Input!$B:$B,$C400)&gt;0,SUMIFS([2]Fixture_Capacity_Input!$C:$C,[2]Fixture_Capacity_Input!$A:$A,$B400,[2]Fixture_Capacity_Input!$B:$B,$C400),[2]weekly_demand!G401))</f>
        <v/>
      </c>
      <c r="E400" s="58" t="str">
        <f>IF($A400="","",[2]weekly_demand!I401)</f>
        <v/>
      </c>
      <c r="F400" s="57" t="str">
        <f t="shared" si="61"/>
        <v/>
      </c>
      <c r="G400" s="57" t="str">
        <f t="shared" si="62"/>
        <v/>
      </c>
      <c r="H400" s="57" t="str">
        <f t="shared" si="60"/>
        <v/>
      </c>
      <c r="I400" s="58" t="str">
        <f t="shared" si="65"/>
        <v/>
      </c>
      <c r="J400" s="58" t="str">
        <f t="shared" si="63"/>
        <v/>
      </c>
      <c r="K400" s="58" t="str">
        <f t="shared" si="66"/>
        <v/>
      </c>
      <c r="L400" s="58" t="str">
        <f t="shared" si="67"/>
        <v/>
      </c>
      <c r="M400" s="58" t="str">
        <f t="shared" si="68"/>
        <v/>
      </c>
      <c r="N400" s="59" t="str">
        <f t="shared" si="64"/>
        <v/>
      </c>
      <c r="O400" s="60"/>
      <c r="P400" s="105"/>
    </row>
    <row r="401" spans="1:16" x14ac:dyDescent="0.3">
      <c r="A401" s="54" t="str">
        <f>IF([2]weekly_demand!A402="","",[2]weekly_demand!A402)</f>
        <v/>
      </c>
      <c r="B401" s="55" t="str">
        <f>IF($A401="","",[2]weekly_demand!F402)</f>
        <v/>
      </c>
      <c r="C401" s="56" t="str">
        <f>IF($A401="","",[2]weekly_demand!H402)</f>
        <v/>
      </c>
      <c r="D401" s="57" t="str">
        <f>IF($A401="","",IF(SUMIFS([2]Fixture_Capacity_Input!$C:$C,[2]Fixture_Capacity_Input!$A:$A,$B401,[2]Fixture_Capacity_Input!$B:$B,$C401)&gt;0,SUMIFS([2]Fixture_Capacity_Input!$C:$C,[2]Fixture_Capacity_Input!$A:$A,$B401,[2]Fixture_Capacity_Input!$B:$B,$C401),[2]weekly_demand!G402))</f>
        <v/>
      </c>
      <c r="E401" s="58" t="str">
        <f>IF($A401="","",[2]weekly_demand!I402)</f>
        <v/>
      </c>
      <c r="F401" s="57" t="str">
        <f t="shared" si="61"/>
        <v/>
      </c>
      <c r="G401" s="57" t="str">
        <f t="shared" si="62"/>
        <v/>
      </c>
      <c r="H401" s="57" t="str">
        <f t="shared" si="60"/>
        <v/>
      </c>
      <c r="I401" s="58" t="str">
        <f t="shared" si="65"/>
        <v/>
      </c>
      <c r="J401" s="58" t="str">
        <f t="shared" si="63"/>
        <v/>
      </c>
      <c r="K401" s="58" t="str">
        <f t="shared" si="66"/>
        <v/>
      </c>
      <c r="L401" s="58" t="str">
        <f t="shared" si="67"/>
        <v/>
      </c>
      <c r="M401" s="58" t="str">
        <f t="shared" si="68"/>
        <v/>
      </c>
      <c r="N401" s="59" t="str">
        <f t="shared" si="64"/>
        <v/>
      </c>
      <c r="O401" s="60"/>
      <c r="P401" s="105"/>
    </row>
    <row r="402" spans="1:16" x14ac:dyDescent="0.3">
      <c r="A402" s="54" t="str">
        <f>IF([2]weekly_demand!A403="","",[2]weekly_demand!A403)</f>
        <v/>
      </c>
      <c r="B402" s="55" t="str">
        <f>IF($A402="","",[2]weekly_demand!F403)</f>
        <v/>
      </c>
      <c r="C402" s="56" t="str">
        <f>IF($A402="","",[2]weekly_demand!H403)</f>
        <v/>
      </c>
      <c r="D402" s="57" t="str">
        <f>IF($A402="","",IF(SUMIFS([2]Fixture_Capacity_Input!$C:$C,[2]Fixture_Capacity_Input!$A:$A,$B402,[2]Fixture_Capacity_Input!$B:$B,$C402)&gt;0,SUMIFS([2]Fixture_Capacity_Input!$C:$C,[2]Fixture_Capacity_Input!$A:$A,$B402,[2]Fixture_Capacity_Input!$B:$B,$C402),[2]weekly_demand!G403))</f>
        <v/>
      </c>
      <c r="E402" s="58" t="str">
        <f>IF($A402="","",[2]weekly_demand!I403)</f>
        <v/>
      </c>
      <c r="F402" s="57" t="str">
        <f t="shared" si="61"/>
        <v/>
      </c>
      <c r="G402" s="57" t="str">
        <f t="shared" si="62"/>
        <v/>
      </c>
      <c r="H402" s="57" t="str">
        <f t="shared" si="60"/>
        <v/>
      </c>
      <c r="I402" s="58" t="str">
        <f t="shared" si="65"/>
        <v/>
      </c>
      <c r="J402" s="58" t="str">
        <f t="shared" si="63"/>
        <v/>
      </c>
      <c r="K402" s="58" t="str">
        <f t="shared" si="66"/>
        <v/>
      </c>
      <c r="L402" s="58" t="str">
        <f t="shared" si="67"/>
        <v/>
      </c>
      <c r="M402" s="58" t="str">
        <f t="shared" si="68"/>
        <v/>
      </c>
      <c r="N402" s="59" t="str">
        <f t="shared" si="64"/>
        <v/>
      </c>
      <c r="O402" s="60"/>
      <c r="P402" s="105"/>
    </row>
    <row r="403" spans="1:16" x14ac:dyDescent="0.3">
      <c r="A403" s="54" t="str">
        <f>IF([2]weekly_demand!A404="","",[2]weekly_demand!A404)</f>
        <v/>
      </c>
      <c r="B403" s="55" t="str">
        <f>IF($A403="","",[2]weekly_demand!F404)</f>
        <v/>
      </c>
      <c r="C403" s="56" t="str">
        <f>IF($A403="","",[2]weekly_demand!H404)</f>
        <v/>
      </c>
      <c r="D403" s="57" t="str">
        <f>IF($A403="","",IF(SUMIFS([2]Fixture_Capacity_Input!$C:$C,[2]Fixture_Capacity_Input!$A:$A,$B403,[2]Fixture_Capacity_Input!$B:$B,$C403)&gt;0,SUMIFS([2]Fixture_Capacity_Input!$C:$C,[2]Fixture_Capacity_Input!$A:$A,$B403,[2]Fixture_Capacity_Input!$B:$B,$C403),[2]weekly_demand!G404))</f>
        <v/>
      </c>
      <c r="E403" s="58" t="str">
        <f>IF($A403="","",[2]weekly_demand!I404)</f>
        <v/>
      </c>
      <c r="F403" s="57" t="str">
        <f t="shared" si="61"/>
        <v/>
      </c>
      <c r="G403" s="57" t="str">
        <f t="shared" si="62"/>
        <v/>
      </c>
      <c r="H403" s="57" t="str">
        <f t="shared" si="60"/>
        <v/>
      </c>
      <c r="I403" s="58" t="str">
        <f t="shared" si="65"/>
        <v/>
      </c>
      <c r="J403" s="58" t="str">
        <f t="shared" si="63"/>
        <v/>
      </c>
      <c r="K403" s="58" t="str">
        <f t="shared" si="66"/>
        <v/>
      </c>
      <c r="L403" s="58" t="str">
        <f t="shared" si="67"/>
        <v/>
      </c>
      <c r="M403" s="58" t="str">
        <f t="shared" si="68"/>
        <v/>
      </c>
      <c r="N403" s="59" t="str">
        <f t="shared" si="64"/>
        <v/>
      </c>
      <c r="O403" s="60"/>
      <c r="P403" s="105"/>
    </row>
    <row r="404" spans="1:16" x14ac:dyDescent="0.3">
      <c r="A404" s="54" t="str">
        <f>IF([2]weekly_demand!A405="","",[2]weekly_demand!A405)</f>
        <v/>
      </c>
      <c r="B404" s="55" t="str">
        <f>IF($A404="","",[2]weekly_demand!F405)</f>
        <v/>
      </c>
      <c r="C404" s="56" t="str">
        <f>IF($A404="","",[2]weekly_demand!H405)</f>
        <v/>
      </c>
      <c r="D404" s="57" t="str">
        <f>IF($A404="","",IF(SUMIFS([2]Fixture_Capacity_Input!$C:$C,[2]Fixture_Capacity_Input!$A:$A,$B404,[2]Fixture_Capacity_Input!$B:$B,$C404)&gt;0,SUMIFS([2]Fixture_Capacity_Input!$C:$C,[2]Fixture_Capacity_Input!$A:$A,$B404,[2]Fixture_Capacity_Input!$B:$B,$C404),[2]weekly_demand!G405))</f>
        <v/>
      </c>
      <c r="E404" s="58" t="str">
        <f>IF($A404="","",[2]weekly_demand!I405)</f>
        <v/>
      </c>
      <c r="F404" s="57" t="str">
        <f t="shared" si="61"/>
        <v/>
      </c>
      <c r="G404" s="57" t="str">
        <f t="shared" si="62"/>
        <v/>
      </c>
      <c r="H404" s="57" t="str">
        <f t="shared" si="60"/>
        <v/>
      </c>
      <c r="I404" s="58" t="str">
        <f t="shared" si="65"/>
        <v/>
      </c>
      <c r="J404" s="58" t="str">
        <f t="shared" si="63"/>
        <v/>
      </c>
      <c r="K404" s="58" t="str">
        <f t="shared" si="66"/>
        <v/>
      </c>
      <c r="L404" s="58" t="str">
        <f t="shared" si="67"/>
        <v/>
      </c>
      <c r="M404" s="58" t="str">
        <f t="shared" si="68"/>
        <v/>
      </c>
      <c r="N404" s="59" t="str">
        <f t="shared" si="64"/>
        <v/>
      </c>
      <c r="O404" s="60"/>
      <c r="P404" s="105"/>
    </row>
    <row r="405" spans="1:16" x14ac:dyDescent="0.3">
      <c r="A405" s="54" t="str">
        <f>IF([2]weekly_demand!A406="","",[2]weekly_demand!A406)</f>
        <v/>
      </c>
      <c r="B405" s="55" t="str">
        <f>IF($A405="","",[2]weekly_demand!F406)</f>
        <v/>
      </c>
      <c r="C405" s="56" t="str">
        <f>IF($A405="","",[2]weekly_demand!H406)</f>
        <v/>
      </c>
      <c r="D405" s="57" t="str">
        <f>IF($A405="","",IF(SUMIFS([2]Fixture_Capacity_Input!$C:$C,[2]Fixture_Capacity_Input!$A:$A,$B405,[2]Fixture_Capacity_Input!$B:$B,$C405)&gt;0,SUMIFS([2]Fixture_Capacity_Input!$C:$C,[2]Fixture_Capacity_Input!$A:$A,$B405,[2]Fixture_Capacity_Input!$B:$B,$C405),[2]weekly_demand!G406))</f>
        <v/>
      </c>
      <c r="E405" s="58" t="str">
        <f>IF($A405="","",[2]weekly_demand!I406)</f>
        <v/>
      </c>
      <c r="F405" s="57" t="str">
        <f t="shared" si="61"/>
        <v/>
      </c>
      <c r="G405" s="57" t="str">
        <f t="shared" si="62"/>
        <v/>
      </c>
      <c r="H405" s="57" t="str">
        <f t="shared" si="60"/>
        <v/>
      </c>
      <c r="I405" s="58" t="str">
        <f t="shared" si="65"/>
        <v/>
      </c>
      <c r="J405" s="58" t="str">
        <f t="shared" si="63"/>
        <v/>
      </c>
      <c r="K405" s="58" t="str">
        <f t="shared" si="66"/>
        <v/>
      </c>
      <c r="L405" s="58" t="str">
        <f t="shared" si="67"/>
        <v/>
      </c>
      <c r="M405" s="58" t="str">
        <f t="shared" si="68"/>
        <v/>
      </c>
      <c r="N405" s="59" t="str">
        <f t="shared" si="64"/>
        <v/>
      </c>
      <c r="O405" s="60"/>
      <c r="P405" s="105"/>
    </row>
    <row r="406" spans="1:16" x14ac:dyDescent="0.3">
      <c r="A406" s="54" t="str">
        <f>IF([2]weekly_demand!A407="","",[2]weekly_demand!A407)</f>
        <v/>
      </c>
      <c r="B406" s="55" t="str">
        <f>IF($A406="","",[2]weekly_demand!F407)</f>
        <v/>
      </c>
      <c r="C406" s="56" t="str">
        <f>IF($A406="","",[2]weekly_demand!H407)</f>
        <v/>
      </c>
      <c r="D406" s="57" t="str">
        <f>IF($A406="","",IF(SUMIFS([2]Fixture_Capacity_Input!$C:$C,[2]Fixture_Capacity_Input!$A:$A,$B406,[2]Fixture_Capacity_Input!$B:$B,$C406)&gt;0,SUMIFS([2]Fixture_Capacity_Input!$C:$C,[2]Fixture_Capacity_Input!$A:$A,$B406,[2]Fixture_Capacity_Input!$B:$B,$C406),[2]weekly_demand!G407))</f>
        <v/>
      </c>
      <c r="E406" s="58" t="str">
        <f>IF($A406="","",[2]weekly_demand!I407)</f>
        <v/>
      </c>
      <c r="F406" s="57" t="str">
        <f t="shared" si="61"/>
        <v/>
      </c>
      <c r="G406" s="57" t="str">
        <f t="shared" si="62"/>
        <v/>
      </c>
      <c r="H406" s="57" t="str">
        <f t="shared" si="60"/>
        <v/>
      </c>
      <c r="I406" s="58" t="str">
        <f t="shared" si="65"/>
        <v/>
      </c>
      <c r="J406" s="58" t="str">
        <f t="shared" si="63"/>
        <v/>
      </c>
      <c r="K406" s="58" t="str">
        <f t="shared" si="66"/>
        <v/>
      </c>
      <c r="L406" s="58" t="str">
        <f t="shared" si="67"/>
        <v/>
      </c>
      <c r="M406" s="58" t="str">
        <f t="shared" si="68"/>
        <v/>
      </c>
      <c r="N406" s="59" t="str">
        <f t="shared" si="64"/>
        <v/>
      </c>
      <c r="O406" s="60"/>
      <c r="P406" s="105"/>
    </row>
    <row r="407" spans="1:16" x14ac:dyDescent="0.3">
      <c r="A407" s="54" t="str">
        <f>IF([2]weekly_demand!A408="","",[2]weekly_demand!A408)</f>
        <v/>
      </c>
      <c r="B407" s="55" t="str">
        <f>IF($A407="","",[2]weekly_demand!F408)</f>
        <v/>
      </c>
      <c r="C407" s="56" t="str">
        <f>IF($A407="","",[2]weekly_demand!H408)</f>
        <v/>
      </c>
      <c r="D407" s="57" t="str">
        <f>IF($A407="","",IF(SUMIFS([2]Fixture_Capacity_Input!$C:$C,[2]Fixture_Capacity_Input!$A:$A,$B407,[2]Fixture_Capacity_Input!$B:$B,$C407)&gt;0,SUMIFS([2]Fixture_Capacity_Input!$C:$C,[2]Fixture_Capacity_Input!$A:$A,$B407,[2]Fixture_Capacity_Input!$B:$B,$C407),[2]weekly_demand!G408))</f>
        <v/>
      </c>
      <c r="E407" s="58" t="str">
        <f>IF($A407="","",[2]weekly_demand!I408)</f>
        <v/>
      </c>
      <c r="F407" s="57" t="str">
        <f t="shared" si="61"/>
        <v/>
      </c>
      <c r="G407" s="57" t="str">
        <f t="shared" si="62"/>
        <v/>
      </c>
      <c r="H407" s="57" t="str">
        <f t="shared" si="60"/>
        <v/>
      </c>
      <c r="I407" s="58" t="str">
        <f t="shared" si="65"/>
        <v/>
      </c>
      <c r="J407" s="58" t="str">
        <f t="shared" si="63"/>
        <v/>
      </c>
      <c r="K407" s="58" t="str">
        <f t="shared" si="66"/>
        <v/>
      </c>
      <c r="L407" s="58" t="str">
        <f t="shared" si="67"/>
        <v/>
      </c>
      <c r="M407" s="58" t="str">
        <f t="shared" si="68"/>
        <v/>
      </c>
      <c r="N407" s="59" t="str">
        <f t="shared" si="64"/>
        <v/>
      </c>
      <c r="O407" s="60"/>
      <c r="P407" s="105"/>
    </row>
    <row r="408" spans="1:16" x14ac:dyDescent="0.3">
      <c r="A408" s="54" t="str">
        <f>IF([2]weekly_demand!A409="","",[2]weekly_demand!A409)</f>
        <v/>
      </c>
      <c r="B408" s="55" t="str">
        <f>IF($A408="","",[2]weekly_demand!F409)</f>
        <v/>
      </c>
      <c r="C408" s="56" t="str">
        <f>IF($A408="","",[2]weekly_demand!H409)</f>
        <v/>
      </c>
      <c r="D408" s="57" t="str">
        <f>IF($A408="","",IF(SUMIFS([2]Fixture_Capacity_Input!$C:$C,[2]Fixture_Capacity_Input!$A:$A,$B408,[2]Fixture_Capacity_Input!$B:$B,$C408)&gt;0,SUMIFS([2]Fixture_Capacity_Input!$C:$C,[2]Fixture_Capacity_Input!$A:$A,$B408,[2]Fixture_Capacity_Input!$B:$B,$C408),[2]weekly_demand!G409))</f>
        <v/>
      </c>
      <c r="E408" s="58" t="str">
        <f>IF($A408="","",[2]weekly_demand!I409)</f>
        <v/>
      </c>
      <c r="F408" s="57" t="str">
        <f t="shared" si="61"/>
        <v/>
      </c>
      <c r="G408" s="57" t="str">
        <f t="shared" si="62"/>
        <v/>
      </c>
      <c r="H408" s="57" t="str">
        <f t="shared" si="60"/>
        <v/>
      </c>
      <c r="I408" s="58" t="str">
        <f t="shared" si="65"/>
        <v/>
      </c>
      <c r="J408" s="58" t="str">
        <f t="shared" si="63"/>
        <v/>
      </c>
      <c r="K408" s="58" t="str">
        <f t="shared" si="66"/>
        <v/>
      </c>
      <c r="L408" s="58" t="str">
        <f t="shared" si="67"/>
        <v/>
      </c>
      <c r="M408" s="58" t="str">
        <f t="shared" si="68"/>
        <v/>
      </c>
      <c r="N408" s="59" t="str">
        <f t="shared" si="64"/>
        <v/>
      </c>
      <c r="O408" s="60"/>
      <c r="P408" s="105"/>
    </row>
    <row r="409" spans="1:16" x14ac:dyDescent="0.3">
      <c r="A409" s="54" t="str">
        <f>IF([2]weekly_demand!A410="","",[2]weekly_demand!A410)</f>
        <v/>
      </c>
      <c r="B409" s="55" t="str">
        <f>IF($A409="","",[2]weekly_demand!F410)</f>
        <v/>
      </c>
      <c r="C409" s="56" t="str">
        <f>IF($A409="","",[2]weekly_demand!H410)</f>
        <v/>
      </c>
      <c r="D409" s="57" t="str">
        <f>IF($A409="","",IF(SUMIFS([2]Fixture_Capacity_Input!$C:$C,[2]Fixture_Capacity_Input!$A:$A,$B409,[2]Fixture_Capacity_Input!$B:$B,$C409)&gt;0,SUMIFS([2]Fixture_Capacity_Input!$C:$C,[2]Fixture_Capacity_Input!$A:$A,$B409,[2]Fixture_Capacity_Input!$B:$B,$C409),[2]weekly_demand!G410))</f>
        <v/>
      </c>
      <c r="E409" s="58" t="str">
        <f>IF($A409="","",[2]weekly_demand!I410)</f>
        <v/>
      </c>
      <c r="F409" s="57" t="str">
        <f t="shared" si="61"/>
        <v/>
      </c>
      <c r="G409" s="57" t="str">
        <f t="shared" si="62"/>
        <v/>
      </c>
      <c r="H409" s="57" t="str">
        <f t="shared" si="60"/>
        <v/>
      </c>
      <c r="I409" s="58" t="str">
        <f t="shared" si="65"/>
        <v/>
      </c>
      <c r="J409" s="58" t="str">
        <f t="shared" si="63"/>
        <v/>
      </c>
      <c r="K409" s="58" t="str">
        <f t="shared" si="66"/>
        <v/>
      </c>
      <c r="L409" s="58" t="str">
        <f t="shared" si="67"/>
        <v/>
      </c>
      <c r="M409" s="58" t="str">
        <f t="shared" si="68"/>
        <v/>
      </c>
      <c r="N409" s="59" t="str">
        <f t="shared" si="64"/>
        <v/>
      </c>
      <c r="O409" s="60"/>
      <c r="P409" s="105"/>
    </row>
    <row r="410" spans="1:16" x14ac:dyDescent="0.3">
      <c r="A410" s="54" t="str">
        <f>IF([2]weekly_demand!A411="","",[2]weekly_demand!A411)</f>
        <v/>
      </c>
      <c r="B410" s="55" t="str">
        <f>IF($A410="","",[2]weekly_demand!F411)</f>
        <v/>
      </c>
      <c r="C410" s="56" t="str">
        <f>IF($A410="","",[2]weekly_demand!H411)</f>
        <v/>
      </c>
      <c r="D410" s="57" t="str">
        <f>IF($A410="","",IF(SUMIFS([2]Fixture_Capacity_Input!$C:$C,[2]Fixture_Capacity_Input!$A:$A,$B410,[2]Fixture_Capacity_Input!$B:$B,$C410)&gt;0,SUMIFS([2]Fixture_Capacity_Input!$C:$C,[2]Fixture_Capacity_Input!$A:$A,$B410,[2]Fixture_Capacity_Input!$B:$B,$C410),[2]weekly_demand!G411))</f>
        <v/>
      </c>
      <c r="E410" s="58" t="str">
        <f>IF($A410="","",[2]weekly_demand!I411)</f>
        <v/>
      </c>
      <c r="F410" s="57" t="str">
        <f t="shared" si="61"/>
        <v/>
      </c>
      <c r="G410" s="57" t="str">
        <f t="shared" si="62"/>
        <v/>
      </c>
      <c r="H410" s="57" t="str">
        <f t="shared" si="60"/>
        <v/>
      </c>
      <c r="I410" s="58" t="str">
        <f t="shared" si="65"/>
        <v/>
      </c>
      <c r="J410" s="58" t="str">
        <f t="shared" si="63"/>
        <v/>
      </c>
      <c r="K410" s="58" t="str">
        <f t="shared" si="66"/>
        <v/>
      </c>
      <c r="L410" s="58" t="str">
        <f t="shared" si="67"/>
        <v/>
      </c>
      <c r="M410" s="58" t="str">
        <f t="shared" si="68"/>
        <v/>
      </c>
      <c r="N410" s="59" t="str">
        <f t="shared" si="64"/>
        <v/>
      </c>
      <c r="O410" s="60"/>
      <c r="P410" s="105"/>
    </row>
    <row r="411" spans="1:16" x14ac:dyDescent="0.3">
      <c r="A411" s="54" t="str">
        <f>IF([2]weekly_demand!A412="","",[2]weekly_demand!A412)</f>
        <v/>
      </c>
      <c r="B411" s="55" t="str">
        <f>IF($A411="","",[2]weekly_demand!F412)</f>
        <v/>
      </c>
      <c r="C411" s="56" t="str">
        <f>IF($A411="","",[2]weekly_demand!H412)</f>
        <v/>
      </c>
      <c r="D411" s="57" t="str">
        <f>IF($A411="","",IF(SUMIFS([2]Fixture_Capacity_Input!$C:$C,[2]Fixture_Capacity_Input!$A:$A,$B411,[2]Fixture_Capacity_Input!$B:$B,$C411)&gt;0,SUMIFS([2]Fixture_Capacity_Input!$C:$C,[2]Fixture_Capacity_Input!$A:$A,$B411,[2]Fixture_Capacity_Input!$B:$B,$C411),[2]weekly_demand!G412))</f>
        <v/>
      </c>
      <c r="E411" s="58" t="str">
        <f>IF($A411="","",[2]weekly_demand!I412)</f>
        <v/>
      </c>
      <c r="F411" s="57" t="str">
        <f t="shared" si="61"/>
        <v/>
      </c>
      <c r="G411" s="57" t="str">
        <f t="shared" si="62"/>
        <v/>
      </c>
      <c r="H411" s="57" t="str">
        <f t="shared" si="60"/>
        <v/>
      </c>
      <c r="I411" s="58" t="str">
        <f t="shared" si="65"/>
        <v/>
      </c>
      <c r="J411" s="58" t="str">
        <f t="shared" si="63"/>
        <v/>
      </c>
      <c r="K411" s="58" t="str">
        <f t="shared" si="66"/>
        <v/>
      </c>
      <c r="L411" s="58" t="str">
        <f t="shared" si="67"/>
        <v/>
      </c>
      <c r="M411" s="58" t="str">
        <f t="shared" si="68"/>
        <v/>
      </c>
      <c r="N411" s="59" t="str">
        <f t="shared" si="64"/>
        <v/>
      </c>
      <c r="O411" s="60"/>
      <c r="P411" s="105"/>
    </row>
    <row r="412" spans="1:16" x14ac:dyDescent="0.3">
      <c r="A412" s="54" t="str">
        <f>IF([2]weekly_demand!A413="","",[2]weekly_demand!A413)</f>
        <v/>
      </c>
      <c r="B412" s="55" t="str">
        <f>IF($A412="","",[2]weekly_demand!F413)</f>
        <v/>
      </c>
      <c r="C412" s="56" t="str">
        <f>IF($A412="","",[2]weekly_demand!H413)</f>
        <v/>
      </c>
      <c r="D412" s="57" t="str">
        <f>IF($A412="","",IF(SUMIFS([2]Fixture_Capacity_Input!$C:$C,[2]Fixture_Capacity_Input!$A:$A,$B412,[2]Fixture_Capacity_Input!$B:$B,$C412)&gt;0,SUMIFS([2]Fixture_Capacity_Input!$C:$C,[2]Fixture_Capacity_Input!$A:$A,$B412,[2]Fixture_Capacity_Input!$B:$B,$C412),[2]weekly_demand!G413))</f>
        <v/>
      </c>
      <c r="E412" s="58" t="str">
        <f>IF($A412="","",[2]weekly_demand!I413)</f>
        <v/>
      </c>
      <c r="F412" s="57" t="str">
        <f t="shared" si="61"/>
        <v/>
      </c>
      <c r="G412" s="57" t="str">
        <f t="shared" si="62"/>
        <v/>
      </c>
      <c r="H412" s="57" t="str">
        <f t="shared" si="60"/>
        <v/>
      </c>
      <c r="I412" s="58" t="str">
        <f t="shared" si="65"/>
        <v/>
      </c>
      <c r="J412" s="58" t="str">
        <f t="shared" si="63"/>
        <v/>
      </c>
      <c r="K412" s="58" t="str">
        <f t="shared" si="66"/>
        <v/>
      </c>
      <c r="L412" s="58" t="str">
        <f t="shared" si="67"/>
        <v/>
      </c>
      <c r="M412" s="58" t="str">
        <f t="shared" si="68"/>
        <v/>
      </c>
      <c r="N412" s="59" t="str">
        <f t="shared" si="64"/>
        <v/>
      </c>
      <c r="O412" s="60"/>
      <c r="P412" s="105"/>
    </row>
    <row r="413" spans="1:16" x14ac:dyDescent="0.3">
      <c r="A413" s="54" t="str">
        <f>IF([2]weekly_demand!A414="","",[2]weekly_demand!A414)</f>
        <v/>
      </c>
      <c r="B413" s="55" t="str">
        <f>IF($A413="","",[2]weekly_demand!F414)</f>
        <v/>
      </c>
      <c r="C413" s="56" t="str">
        <f>IF($A413="","",[2]weekly_demand!H414)</f>
        <v/>
      </c>
      <c r="D413" s="57" t="str">
        <f>IF($A413="","",IF(SUMIFS([2]Fixture_Capacity_Input!$C:$C,[2]Fixture_Capacity_Input!$A:$A,$B413,[2]Fixture_Capacity_Input!$B:$B,$C413)&gt;0,SUMIFS([2]Fixture_Capacity_Input!$C:$C,[2]Fixture_Capacity_Input!$A:$A,$B413,[2]Fixture_Capacity_Input!$B:$B,$C413),[2]weekly_demand!G414))</f>
        <v/>
      </c>
      <c r="E413" s="58" t="str">
        <f>IF($A413="","",[2]weekly_demand!I414)</f>
        <v/>
      </c>
      <c r="F413" s="57" t="str">
        <f t="shared" si="61"/>
        <v/>
      </c>
      <c r="G413" s="57" t="str">
        <f t="shared" si="62"/>
        <v/>
      </c>
      <c r="H413" s="57" t="str">
        <f t="shared" si="60"/>
        <v/>
      </c>
      <c r="I413" s="58" t="str">
        <f t="shared" si="65"/>
        <v/>
      </c>
      <c r="J413" s="58" t="str">
        <f t="shared" si="63"/>
        <v/>
      </c>
      <c r="K413" s="58" t="str">
        <f t="shared" si="66"/>
        <v/>
      </c>
      <c r="L413" s="58" t="str">
        <f t="shared" si="67"/>
        <v/>
      </c>
      <c r="M413" s="58" t="str">
        <f t="shared" si="68"/>
        <v/>
      </c>
      <c r="N413" s="59" t="str">
        <f t="shared" si="64"/>
        <v/>
      </c>
      <c r="O413" s="60"/>
      <c r="P413" s="105"/>
    </row>
    <row r="414" spans="1:16" x14ac:dyDescent="0.3">
      <c r="A414" s="54" t="str">
        <f>IF([2]weekly_demand!A415="","",[2]weekly_demand!A415)</f>
        <v/>
      </c>
      <c r="B414" s="55" t="str">
        <f>IF($A414="","",[2]weekly_demand!F415)</f>
        <v/>
      </c>
      <c r="C414" s="56" t="str">
        <f>IF($A414="","",[2]weekly_demand!H415)</f>
        <v/>
      </c>
      <c r="D414" s="57" t="str">
        <f>IF($A414="","",IF(SUMIFS([2]Fixture_Capacity_Input!$C:$C,[2]Fixture_Capacity_Input!$A:$A,$B414,[2]Fixture_Capacity_Input!$B:$B,$C414)&gt;0,SUMIFS([2]Fixture_Capacity_Input!$C:$C,[2]Fixture_Capacity_Input!$A:$A,$B414,[2]Fixture_Capacity_Input!$B:$B,$C414),[2]weekly_demand!G415))</f>
        <v/>
      </c>
      <c r="E414" s="58" t="str">
        <f>IF($A414="","",[2]weekly_demand!I415)</f>
        <v/>
      </c>
      <c r="F414" s="57" t="str">
        <f t="shared" si="61"/>
        <v/>
      </c>
      <c r="G414" s="57" t="str">
        <f t="shared" si="62"/>
        <v/>
      </c>
      <c r="H414" s="57" t="str">
        <f t="shared" si="60"/>
        <v/>
      </c>
      <c r="I414" s="58" t="str">
        <f t="shared" si="65"/>
        <v/>
      </c>
      <c r="J414" s="58" t="str">
        <f t="shared" si="63"/>
        <v/>
      </c>
      <c r="K414" s="58" t="str">
        <f t="shared" si="66"/>
        <v/>
      </c>
      <c r="L414" s="58" t="str">
        <f t="shared" si="67"/>
        <v/>
      </c>
      <c r="M414" s="58" t="str">
        <f t="shared" si="68"/>
        <v/>
      </c>
      <c r="N414" s="59" t="str">
        <f t="shared" si="64"/>
        <v/>
      </c>
      <c r="O414" s="60"/>
      <c r="P414" s="105"/>
    </row>
    <row r="415" spans="1:16" x14ac:dyDescent="0.3">
      <c r="A415" s="54" t="str">
        <f>IF([2]weekly_demand!A416="","",[2]weekly_demand!A416)</f>
        <v/>
      </c>
      <c r="B415" s="55" t="str">
        <f>IF($A415="","",[2]weekly_demand!F416)</f>
        <v/>
      </c>
      <c r="C415" s="56" t="str">
        <f>IF($A415="","",[2]weekly_demand!H416)</f>
        <v/>
      </c>
      <c r="D415" s="57" t="str">
        <f>IF($A415="","",IF(SUMIFS([2]Fixture_Capacity_Input!$C:$C,[2]Fixture_Capacity_Input!$A:$A,$B415,[2]Fixture_Capacity_Input!$B:$B,$C415)&gt;0,SUMIFS([2]Fixture_Capacity_Input!$C:$C,[2]Fixture_Capacity_Input!$A:$A,$B415,[2]Fixture_Capacity_Input!$B:$B,$C415),[2]weekly_demand!G416))</f>
        <v/>
      </c>
      <c r="E415" s="58" t="str">
        <f>IF($A415="","",[2]weekly_demand!I416)</f>
        <v/>
      </c>
      <c r="F415" s="57" t="str">
        <f t="shared" si="61"/>
        <v/>
      </c>
      <c r="G415" s="57" t="str">
        <f t="shared" si="62"/>
        <v/>
      </c>
      <c r="H415" s="57" t="str">
        <f t="shared" si="60"/>
        <v/>
      </c>
      <c r="I415" s="58" t="str">
        <f t="shared" si="65"/>
        <v/>
      </c>
      <c r="J415" s="58" t="str">
        <f t="shared" si="63"/>
        <v/>
      </c>
      <c r="K415" s="58" t="str">
        <f t="shared" si="66"/>
        <v/>
      </c>
      <c r="L415" s="58" t="str">
        <f t="shared" si="67"/>
        <v/>
      </c>
      <c r="M415" s="58" t="str">
        <f t="shared" si="68"/>
        <v/>
      </c>
      <c r="N415" s="59" t="str">
        <f t="shared" si="64"/>
        <v/>
      </c>
      <c r="O415" s="60"/>
      <c r="P415" s="105"/>
    </row>
    <row r="416" spans="1:16" x14ac:dyDescent="0.3">
      <c r="A416" s="54" t="str">
        <f>IF([2]weekly_demand!A417="","",[2]weekly_demand!A417)</f>
        <v/>
      </c>
      <c r="B416" s="55" t="str">
        <f>IF($A416="","",[2]weekly_demand!F417)</f>
        <v/>
      </c>
      <c r="C416" s="56" t="str">
        <f>IF($A416="","",[2]weekly_demand!H417)</f>
        <v/>
      </c>
      <c r="D416" s="57" t="str">
        <f>IF($A416="","",IF(SUMIFS([2]Fixture_Capacity_Input!$C:$C,[2]Fixture_Capacity_Input!$A:$A,$B416,[2]Fixture_Capacity_Input!$B:$B,$C416)&gt;0,SUMIFS([2]Fixture_Capacity_Input!$C:$C,[2]Fixture_Capacity_Input!$A:$A,$B416,[2]Fixture_Capacity_Input!$B:$B,$C416),[2]weekly_demand!G417))</f>
        <v/>
      </c>
      <c r="E416" s="58" t="str">
        <f>IF($A416="","",[2]weekly_demand!I417)</f>
        <v/>
      </c>
      <c r="F416" s="57" t="str">
        <f t="shared" si="61"/>
        <v/>
      </c>
      <c r="G416" s="57" t="str">
        <f t="shared" si="62"/>
        <v/>
      </c>
      <c r="H416" s="57" t="str">
        <f t="shared" si="60"/>
        <v/>
      </c>
      <c r="I416" s="58" t="str">
        <f t="shared" si="65"/>
        <v/>
      </c>
      <c r="J416" s="58" t="str">
        <f t="shared" si="63"/>
        <v/>
      </c>
      <c r="K416" s="58" t="str">
        <f t="shared" si="66"/>
        <v/>
      </c>
      <c r="L416" s="58" t="str">
        <f t="shared" si="67"/>
        <v/>
      </c>
      <c r="M416" s="58" t="str">
        <f t="shared" si="68"/>
        <v/>
      </c>
      <c r="N416" s="59" t="str">
        <f t="shared" si="64"/>
        <v/>
      </c>
      <c r="O416" s="60"/>
      <c r="P416" s="105"/>
    </row>
    <row r="417" spans="1:16" x14ac:dyDescent="0.3">
      <c r="A417" s="54" t="str">
        <f>IF([2]weekly_demand!A418="","",[2]weekly_demand!A418)</f>
        <v/>
      </c>
      <c r="B417" s="55" t="str">
        <f>IF($A417="","",[2]weekly_demand!F418)</f>
        <v/>
      </c>
      <c r="C417" s="56" t="str">
        <f>IF($A417="","",[2]weekly_demand!H418)</f>
        <v/>
      </c>
      <c r="D417" s="57" t="str">
        <f>IF($A417="","",IF(SUMIFS([2]Fixture_Capacity_Input!$C:$C,[2]Fixture_Capacity_Input!$A:$A,$B417,[2]Fixture_Capacity_Input!$B:$B,$C417)&gt;0,SUMIFS([2]Fixture_Capacity_Input!$C:$C,[2]Fixture_Capacity_Input!$A:$A,$B417,[2]Fixture_Capacity_Input!$B:$B,$C417),[2]weekly_demand!G418))</f>
        <v/>
      </c>
      <c r="E417" s="58" t="str">
        <f>IF($A417="","",[2]weekly_demand!I418)</f>
        <v/>
      </c>
      <c r="F417" s="57" t="str">
        <f t="shared" si="61"/>
        <v/>
      </c>
      <c r="G417" s="57" t="str">
        <f t="shared" si="62"/>
        <v/>
      </c>
      <c r="H417" s="57" t="str">
        <f t="shared" si="60"/>
        <v/>
      </c>
      <c r="I417" s="58" t="str">
        <f t="shared" si="65"/>
        <v/>
      </c>
      <c r="J417" s="58" t="str">
        <f t="shared" si="63"/>
        <v/>
      </c>
      <c r="K417" s="58" t="str">
        <f t="shared" si="66"/>
        <v/>
      </c>
      <c r="L417" s="58" t="str">
        <f t="shared" si="67"/>
        <v/>
      </c>
      <c r="M417" s="58" t="str">
        <f t="shared" si="68"/>
        <v/>
      </c>
      <c r="N417" s="59" t="str">
        <f t="shared" si="64"/>
        <v/>
      </c>
      <c r="O417" s="60"/>
      <c r="P417" s="105"/>
    </row>
    <row r="418" spans="1:16" x14ac:dyDescent="0.3">
      <c r="A418" s="54" t="str">
        <f>IF([2]weekly_demand!A419="","",[2]weekly_demand!A419)</f>
        <v/>
      </c>
      <c r="B418" s="55" t="str">
        <f>IF($A418="","",[2]weekly_demand!F419)</f>
        <v/>
      </c>
      <c r="C418" s="56" t="str">
        <f>IF($A418="","",[2]weekly_demand!H419)</f>
        <v/>
      </c>
      <c r="D418" s="57" t="str">
        <f>IF($A418="","",IF(SUMIFS([2]Fixture_Capacity_Input!$C:$C,[2]Fixture_Capacity_Input!$A:$A,$B418,[2]Fixture_Capacity_Input!$B:$B,$C418)&gt;0,SUMIFS([2]Fixture_Capacity_Input!$C:$C,[2]Fixture_Capacity_Input!$A:$A,$B418,[2]Fixture_Capacity_Input!$B:$B,$C418),[2]weekly_demand!G419))</f>
        <v/>
      </c>
      <c r="E418" s="58" t="str">
        <f>IF($A418="","",[2]weekly_demand!I419)</f>
        <v/>
      </c>
      <c r="F418" s="57" t="str">
        <f t="shared" si="61"/>
        <v/>
      </c>
      <c r="G418" s="57" t="str">
        <f t="shared" si="62"/>
        <v/>
      </c>
      <c r="H418" s="57" t="str">
        <f t="shared" si="60"/>
        <v/>
      </c>
      <c r="I418" s="58" t="str">
        <f t="shared" si="65"/>
        <v/>
      </c>
      <c r="J418" s="58" t="str">
        <f t="shared" si="63"/>
        <v/>
      </c>
      <c r="K418" s="58" t="str">
        <f t="shared" si="66"/>
        <v/>
      </c>
      <c r="L418" s="58" t="str">
        <f t="shared" si="67"/>
        <v/>
      </c>
      <c r="M418" s="58" t="str">
        <f t="shared" si="68"/>
        <v/>
      </c>
      <c r="N418" s="59" t="str">
        <f t="shared" si="64"/>
        <v/>
      </c>
      <c r="O418" s="60"/>
      <c r="P418" s="105"/>
    </row>
    <row r="419" spans="1:16" x14ac:dyDescent="0.3">
      <c r="A419" s="54" t="str">
        <f>IF([2]weekly_demand!A420="","",[2]weekly_demand!A420)</f>
        <v/>
      </c>
      <c r="B419" s="55" t="str">
        <f>IF($A419="","",[2]weekly_demand!F420)</f>
        <v/>
      </c>
      <c r="C419" s="56" t="str">
        <f>IF($A419="","",[2]weekly_demand!H420)</f>
        <v/>
      </c>
      <c r="D419" s="57" t="str">
        <f>IF($A419="","",IF(SUMIFS([2]Fixture_Capacity_Input!$C:$C,[2]Fixture_Capacity_Input!$A:$A,$B419,[2]Fixture_Capacity_Input!$B:$B,$C419)&gt;0,SUMIFS([2]Fixture_Capacity_Input!$C:$C,[2]Fixture_Capacity_Input!$A:$A,$B419,[2]Fixture_Capacity_Input!$B:$B,$C419),[2]weekly_demand!G420))</f>
        <v/>
      </c>
      <c r="E419" s="58" t="str">
        <f>IF($A419="","",[2]weekly_demand!I420)</f>
        <v/>
      </c>
      <c r="F419" s="57" t="str">
        <f t="shared" si="61"/>
        <v/>
      </c>
      <c r="G419" s="57" t="str">
        <f t="shared" si="62"/>
        <v/>
      </c>
      <c r="H419" s="57" t="str">
        <f t="shared" si="60"/>
        <v/>
      </c>
      <c r="I419" s="58" t="str">
        <f t="shared" si="65"/>
        <v/>
      </c>
      <c r="J419" s="58" t="str">
        <f t="shared" si="63"/>
        <v/>
      </c>
      <c r="K419" s="58" t="str">
        <f t="shared" si="66"/>
        <v/>
      </c>
      <c r="L419" s="58" t="str">
        <f t="shared" si="67"/>
        <v/>
      </c>
      <c r="M419" s="58" t="str">
        <f t="shared" si="68"/>
        <v/>
      </c>
      <c r="N419" s="59" t="str">
        <f t="shared" si="64"/>
        <v/>
      </c>
      <c r="O419" s="60"/>
      <c r="P419" s="105"/>
    </row>
    <row r="420" spans="1:16" x14ac:dyDescent="0.3">
      <c r="A420" s="54" t="str">
        <f>IF([2]weekly_demand!A421="","",[2]weekly_demand!A421)</f>
        <v/>
      </c>
      <c r="B420" s="55" t="str">
        <f>IF($A420="","",[2]weekly_demand!F421)</f>
        <v/>
      </c>
      <c r="C420" s="56" t="str">
        <f>IF($A420="","",[2]weekly_demand!H421)</f>
        <v/>
      </c>
      <c r="D420" s="57" t="str">
        <f>IF($A420="","",IF(SUMIFS([2]Fixture_Capacity_Input!$C:$C,[2]Fixture_Capacity_Input!$A:$A,$B420,[2]Fixture_Capacity_Input!$B:$B,$C420)&gt;0,SUMIFS([2]Fixture_Capacity_Input!$C:$C,[2]Fixture_Capacity_Input!$A:$A,$B420,[2]Fixture_Capacity_Input!$B:$B,$C420),[2]weekly_demand!G421))</f>
        <v/>
      </c>
      <c r="E420" s="58" t="str">
        <f>IF($A420="","",[2]weekly_demand!I421)</f>
        <v/>
      </c>
      <c r="F420" s="57" t="str">
        <f t="shared" si="61"/>
        <v/>
      </c>
      <c r="G420" s="57" t="str">
        <f t="shared" si="62"/>
        <v/>
      </c>
      <c r="H420" s="57" t="str">
        <f t="shared" si="60"/>
        <v/>
      </c>
      <c r="I420" s="58" t="str">
        <f t="shared" si="65"/>
        <v/>
      </c>
      <c r="J420" s="58" t="str">
        <f t="shared" si="63"/>
        <v/>
      </c>
      <c r="K420" s="58" t="str">
        <f t="shared" si="66"/>
        <v/>
      </c>
      <c r="L420" s="58" t="str">
        <f t="shared" si="67"/>
        <v/>
      </c>
      <c r="M420" s="58" t="str">
        <f t="shared" si="68"/>
        <v/>
      </c>
      <c r="N420" s="59" t="str">
        <f t="shared" si="64"/>
        <v/>
      </c>
      <c r="O420" s="60"/>
      <c r="P420" s="105"/>
    </row>
    <row r="421" spans="1:16" x14ac:dyDescent="0.3">
      <c r="A421" s="54" t="str">
        <f>IF([2]weekly_demand!A422="","",[2]weekly_demand!A422)</f>
        <v/>
      </c>
      <c r="B421" s="55" t="str">
        <f>IF($A421="","",[2]weekly_demand!F422)</f>
        <v/>
      </c>
      <c r="C421" s="56" t="str">
        <f>IF($A421="","",[2]weekly_demand!H422)</f>
        <v/>
      </c>
      <c r="D421" s="57" t="str">
        <f>IF($A421="","",IF(SUMIFS([2]Fixture_Capacity_Input!$C:$C,[2]Fixture_Capacity_Input!$A:$A,$B421,[2]Fixture_Capacity_Input!$B:$B,$C421)&gt;0,SUMIFS([2]Fixture_Capacity_Input!$C:$C,[2]Fixture_Capacity_Input!$A:$A,$B421,[2]Fixture_Capacity_Input!$B:$B,$C421),[2]weekly_demand!G422))</f>
        <v/>
      </c>
      <c r="E421" s="58" t="str">
        <f>IF($A421="","",[2]weekly_demand!I422)</f>
        <v/>
      </c>
      <c r="F421" s="57" t="str">
        <f t="shared" si="61"/>
        <v/>
      </c>
      <c r="G421" s="57" t="str">
        <f t="shared" si="62"/>
        <v/>
      </c>
      <c r="H421" s="57" t="str">
        <f t="shared" si="60"/>
        <v/>
      </c>
      <c r="I421" s="58" t="str">
        <f t="shared" si="65"/>
        <v/>
      </c>
      <c r="J421" s="58" t="str">
        <f t="shared" si="63"/>
        <v/>
      </c>
      <c r="K421" s="58" t="str">
        <f t="shared" si="66"/>
        <v/>
      </c>
      <c r="L421" s="58" t="str">
        <f t="shared" si="67"/>
        <v/>
      </c>
      <c r="M421" s="58" t="str">
        <f t="shared" si="68"/>
        <v/>
      </c>
      <c r="N421" s="59" t="str">
        <f t="shared" si="64"/>
        <v/>
      </c>
      <c r="O421" s="60"/>
      <c r="P421" s="105"/>
    </row>
    <row r="422" spans="1:16" x14ac:dyDescent="0.3">
      <c r="A422" s="54" t="str">
        <f>IF([2]weekly_demand!A423="","",[2]weekly_demand!A423)</f>
        <v/>
      </c>
      <c r="B422" s="55" t="str">
        <f>IF($A422="","",[2]weekly_demand!F423)</f>
        <v/>
      </c>
      <c r="C422" s="56" t="str">
        <f>IF($A422="","",[2]weekly_demand!H423)</f>
        <v/>
      </c>
      <c r="D422" s="57" t="str">
        <f>IF($A422="","",IF(SUMIFS([2]Fixture_Capacity_Input!$C:$C,[2]Fixture_Capacity_Input!$A:$A,$B422,[2]Fixture_Capacity_Input!$B:$B,$C422)&gt;0,SUMIFS([2]Fixture_Capacity_Input!$C:$C,[2]Fixture_Capacity_Input!$A:$A,$B422,[2]Fixture_Capacity_Input!$B:$B,$C422),[2]weekly_demand!G423))</f>
        <v/>
      </c>
      <c r="E422" s="58" t="str">
        <f>IF($A422="","",[2]weekly_demand!I423)</f>
        <v/>
      </c>
      <c r="F422" s="57" t="str">
        <f t="shared" si="61"/>
        <v/>
      </c>
      <c r="G422" s="57" t="str">
        <f t="shared" si="62"/>
        <v/>
      </c>
      <c r="H422" s="57" t="str">
        <f t="shared" si="60"/>
        <v/>
      </c>
      <c r="I422" s="58" t="str">
        <f t="shared" si="65"/>
        <v/>
      </c>
      <c r="J422" s="58" t="str">
        <f t="shared" si="63"/>
        <v/>
      </c>
      <c r="K422" s="58" t="str">
        <f t="shared" si="66"/>
        <v/>
      </c>
      <c r="L422" s="58" t="str">
        <f t="shared" si="67"/>
        <v/>
      </c>
      <c r="M422" s="58" t="str">
        <f t="shared" si="68"/>
        <v/>
      </c>
      <c r="N422" s="59" t="str">
        <f t="shared" si="64"/>
        <v/>
      </c>
      <c r="O422" s="60"/>
      <c r="P422" s="105"/>
    </row>
    <row r="423" spans="1:16" x14ac:dyDescent="0.3">
      <c r="A423" s="54" t="str">
        <f>IF([2]weekly_demand!A424="","",[2]weekly_demand!A424)</f>
        <v/>
      </c>
      <c r="B423" s="55" t="str">
        <f>IF($A423="","",[2]weekly_demand!F424)</f>
        <v/>
      </c>
      <c r="C423" s="56" t="str">
        <f>IF($A423="","",[2]weekly_demand!H424)</f>
        <v/>
      </c>
      <c r="D423" s="57" t="str">
        <f>IF($A423="","",IF(SUMIFS([2]Fixture_Capacity_Input!$C:$C,[2]Fixture_Capacity_Input!$A:$A,$B423,[2]Fixture_Capacity_Input!$B:$B,$C423)&gt;0,SUMIFS([2]Fixture_Capacity_Input!$C:$C,[2]Fixture_Capacity_Input!$A:$A,$B423,[2]Fixture_Capacity_Input!$B:$B,$C423),[2]weekly_demand!G424))</f>
        <v/>
      </c>
      <c r="E423" s="58" t="str">
        <f>IF($A423="","",[2]weekly_demand!I424)</f>
        <v/>
      </c>
      <c r="F423" s="57" t="str">
        <f t="shared" si="61"/>
        <v/>
      </c>
      <c r="G423" s="57" t="str">
        <f t="shared" si="62"/>
        <v/>
      </c>
      <c r="H423" s="57" t="str">
        <f t="shared" si="60"/>
        <v/>
      </c>
      <c r="I423" s="58" t="str">
        <f t="shared" si="65"/>
        <v/>
      </c>
      <c r="J423" s="58" t="str">
        <f t="shared" si="63"/>
        <v/>
      </c>
      <c r="K423" s="58" t="str">
        <f t="shared" si="66"/>
        <v/>
      </c>
      <c r="L423" s="58" t="str">
        <f t="shared" si="67"/>
        <v/>
      </c>
      <c r="M423" s="58" t="str">
        <f t="shared" si="68"/>
        <v/>
      </c>
      <c r="N423" s="59" t="str">
        <f t="shared" si="64"/>
        <v/>
      </c>
      <c r="O423" s="60"/>
      <c r="P423" s="105"/>
    </row>
    <row r="424" spans="1:16" x14ac:dyDescent="0.3">
      <c r="A424" s="54" t="str">
        <f>IF([2]weekly_demand!A425="","",[2]weekly_demand!A425)</f>
        <v/>
      </c>
      <c r="B424" s="55" t="str">
        <f>IF($A424="","",[2]weekly_demand!F425)</f>
        <v/>
      </c>
      <c r="C424" s="56" t="str">
        <f>IF($A424="","",[2]weekly_demand!H425)</f>
        <v/>
      </c>
      <c r="D424" s="57" t="str">
        <f>IF($A424="","",IF(SUMIFS([2]Fixture_Capacity_Input!$C:$C,[2]Fixture_Capacity_Input!$A:$A,$B424,[2]Fixture_Capacity_Input!$B:$B,$C424)&gt;0,SUMIFS([2]Fixture_Capacity_Input!$C:$C,[2]Fixture_Capacity_Input!$A:$A,$B424,[2]Fixture_Capacity_Input!$B:$B,$C424),[2]weekly_demand!G425))</f>
        <v/>
      </c>
      <c r="E424" s="58" t="str">
        <f>IF($A424="","",[2]weekly_demand!I425)</f>
        <v/>
      </c>
      <c r="F424" s="57" t="str">
        <f t="shared" si="61"/>
        <v/>
      </c>
      <c r="G424" s="57" t="str">
        <f t="shared" si="62"/>
        <v/>
      </c>
      <c r="H424" s="57" t="str">
        <f t="shared" si="60"/>
        <v/>
      </c>
      <c r="I424" s="58" t="str">
        <f t="shared" si="65"/>
        <v/>
      </c>
      <c r="J424" s="58" t="str">
        <f t="shared" si="63"/>
        <v/>
      </c>
      <c r="K424" s="58" t="str">
        <f t="shared" si="66"/>
        <v/>
      </c>
      <c r="L424" s="58" t="str">
        <f t="shared" si="67"/>
        <v/>
      </c>
      <c r="M424" s="58" t="str">
        <f t="shared" si="68"/>
        <v/>
      </c>
      <c r="N424" s="59" t="str">
        <f t="shared" si="64"/>
        <v/>
      </c>
      <c r="O424" s="60"/>
      <c r="P424" s="105"/>
    </row>
    <row r="425" spans="1:16" x14ac:dyDescent="0.3">
      <c r="A425" s="54" t="str">
        <f>IF([2]weekly_demand!A426="","",[2]weekly_demand!A426)</f>
        <v/>
      </c>
      <c r="B425" s="55" t="str">
        <f>IF($A425="","",[2]weekly_demand!F426)</f>
        <v/>
      </c>
      <c r="C425" s="56" t="str">
        <f>IF($A425="","",[2]weekly_demand!H426)</f>
        <v/>
      </c>
      <c r="D425" s="57" t="str">
        <f>IF($A425="","",IF(SUMIFS([2]Fixture_Capacity_Input!$C:$C,[2]Fixture_Capacity_Input!$A:$A,$B425,[2]Fixture_Capacity_Input!$B:$B,$C425)&gt;0,SUMIFS([2]Fixture_Capacity_Input!$C:$C,[2]Fixture_Capacity_Input!$A:$A,$B425,[2]Fixture_Capacity_Input!$B:$B,$C425),[2]weekly_demand!G426))</f>
        <v/>
      </c>
      <c r="E425" s="58" t="str">
        <f>IF($A425="","",[2]weekly_demand!I426)</f>
        <v/>
      </c>
      <c r="F425" s="57" t="str">
        <f t="shared" si="61"/>
        <v/>
      </c>
      <c r="G425" s="57" t="str">
        <f t="shared" si="62"/>
        <v/>
      </c>
      <c r="H425" s="57" t="str">
        <f t="shared" si="60"/>
        <v/>
      </c>
      <c r="I425" s="58" t="str">
        <f t="shared" si="65"/>
        <v/>
      </c>
      <c r="J425" s="58" t="str">
        <f t="shared" si="63"/>
        <v/>
      </c>
      <c r="K425" s="58" t="str">
        <f t="shared" si="66"/>
        <v/>
      </c>
      <c r="L425" s="58" t="str">
        <f t="shared" si="67"/>
        <v/>
      </c>
      <c r="M425" s="58" t="str">
        <f t="shared" si="68"/>
        <v/>
      </c>
      <c r="N425" s="59" t="str">
        <f t="shared" si="64"/>
        <v/>
      </c>
      <c r="O425" s="60"/>
      <c r="P425" s="105"/>
    </row>
    <row r="426" spans="1:16" x14ac:dyDescent="0.3">
      <c r="A426" s="54" t="str">
        <f>IF([2]weekly_demand!A427="","",[2]weekly_demand!A427)</f>
        <v/>
      </c>
      <c r="B426" s="55" t="str">
        <f>IF($A426="","",[2]weekly_demand!F427)</f>
        <v/>
      </c>
      <c r="C426" s="56" t="str">
        <f>IF($A426="","",[2]weekly_demand!H427)</f>
        <v/>
      </c>
      <c r="D426" s="57" t="str">
        <f>IF($A426="","",IF(SUMIFS([2]Fixture_Capacity_Input!$C:$C,[2]Fixture_Capacity_Input!$A:$A,$B426,[2]Fixture_Capacity_Input!$B:$B,$C426)&gt;0,SUMIFS([2]Fixture_Capacity_Input!$C:$C,[2]Fixture_Capacity_Input!$A:$A,$B426,[2]Fixture_Capacity_Input!$B:$B,$C426),[2]weekly_demand!G427))</f>
        <v/>
      </c>
      <c r="E426" s="58" t="str">
        <f>IF($A426="","",[2]weekly_demand!I427)</f>
        <v/>
      </c>
      <c r="F426" s="57" t="str">
        <f t="shared" si="61"/>
        <v/>
      </c>
      <c r="G426" s="57" t="str">
        <f t="shared" si="62"/>
        <v/>
      </c>
      <c r="H426" s="57" t="str">
        <f t="shared" si="60"/>
        <v/>
      </c>
      <c r="I426" s="58" t="str">
        <f t="shared" si="65"/>
        <v/>
      </c>
      <c r="J426" s="58" t="str">
        <f t="shared" si="63"/>
        <v/>
      </c>
      <c r="K426" s="58" t="str">
        <f t="shared" si="66"/>
        <v/>
      </c>
      <c r="L426" s="58" t="str">
        <f t="shared" si="67"/>
        <v/>
      </c>
      <c r="M426" s="58" t="str">
        <f t="shared" si="68"/>
        <v/>
      </c>
      <c r="N426" s="59" t="str">
        <f t="shared" si="64"/>
        <v/>
      </c>
      <c r="O426" s="60"/>
      <c r="P426" s="105"/>
    </row>
    <row r="427" spans="1:16" x14ac:dyDescent="0.3">
      <c r="A427" s="54" t="str">
        <f>IF([2]weekly_demand!A428="","",[2]weekly_demand!A428)</f>
        <v/>
      </c>
      <c r="B427" s="55" t="str">
        <f>IF($A427="","",[2]weekly_demand!F428)</f>
        <v/>
      </c>
      <c r="C427" s="56" t="str">
        <f>IF($A427="","",[2]weekly_demand!H428)</f>
        <v/>
      </c>
      <c r="D427" s="57" t="str">
        <f>IF($A427="","",IF(SUMIFS([2]Fixture_Capacity_Input!$C:$C,[2]Fixture_Capacity_Input!$A:$A,$B427,[2]Fixture_Capacity_Input!$B:$B,$C427)&gt;0,SUMIFS([2]Fixture_Capacity_Input!$C:$C,[2]Fixture_Capacity_Input!$A:$A,$B427,[2]Fixture_Capacity_Input!$B:$B,$C427),[2]weekly_demand!G428))</f>
        <v/>
      </c>
      <c r="E427" s="58" t="str">
        <f>IF($A427="","",[2]weekly_demand!I428)</f>
        <v/>
      </c>
      <c r="F427" s="57" t="str">
        <f t="shared" si="61"/>
        <v/>
      </c>
      <c r="G427" s="57" t="str">
        <f t="shared" si="62"/>
        <v/>
      </c>
      <c r="H427" s="57" t="str">
        <f t="shared" si="60"/>
        <v/>
      </c>
      <c r="I427" s="58" t="str">
        <f t="shared" si="65"/>
        <v/>
      </c>
      <c r="J427" s="58" t="str">
        <f t="shared" si="63"/>
        <v/>
      </c>
      <c r="K427" s="58" t="str">
        <f t="shared" si="66"/>
        <v/>
      </c>
      <c r="L427" s="58" t="str">
        <f t="shared" si="67"/>
        <v/>
      </c>
      <c r="M427" s="58" t="str">
        <f t="shared" si="68"/>
        <v/>
      </c>
      <c r="N427" s="59" t="str">
        <f t="shared" si="64"/>
        <v/>
      </c>
      <c r="O427" s="60"/>
      <c r="P427" s="105"/>
    </row>
    <row r="428" spans="1:16" x14ac:dyDescent="0.3">
      <c r="A428" s="54" t="str">
        <f>IF([2]weekly_demand!A429="","",[2]weekly_demand!A429)</f>
        <v/>
      </c>
      <c r="B428" s="55" t="str">
        <f>IF($A428="","",[2]weekly_demand!F429)</f>
        <v/>
      </c>
      <c r="C428" s="56" t="str">
        <f>IF($A428="","",[2]weekly_demand!H429)</f>
        <v/>
      </c>
      <c r="D428" s="57" t="str">
        <f>IF($A428="","",IF(SUMIFS([2]Fixture_Capacity_Input!$C:$C,[2]Fixture_Capacity_Input!$A:$A,$B428,[2]Fixture_Capacity_Input!$B:$B,$C428)&gt;0,SUMIFS([2]Fixture_Capacity_Input!$C:$C,[2]Fixture_Capacity_Input!$A:$A,$B428,[2]Fixture_Capacity_Input!$B:$B,$C428),[2]weekly_demand!G429))</f>
        <v/>
      </c>
      <c r="E428" s="58" t="str">
        <f>IF($A428="","",[2]weekly_demand!I429)</f>
        <v/>
      </c>
      <c r="F428" s="57" t="str">
        <f t="shared" si="61"/>
        <v/>
      </c>
      <c r="G428" s="57" t="str">
        <f t="shared" si="62"/>
        <v/>
      </c>
      <c r="H428" s="57" t="str">
        <f t="shared" si="60"/>
        <v/>
      </c>
      <c r="I428" s="58" t="str">
        <f t="shared" si="65"/>
        <v/>
      </c>
      <c r="J428" s="58" t="str">
        <f t="shared" si="63"/>
        <v/>
      </c>
      <c r="K428" s="58" t="str">
        <f t="shared" si="66"/>
        <v/>
      </c>
      <c r="L428" s="58" t="str">
        <f t="shared" si="67"/>
        <v/>
      </c>
      <c r="M428" s="58" t="str">
        <f t="shared" si="68"/>
        <v/>
      </c>
      <c r="N428" s="59" t="str">
        <f t="shared" si="64"/>
        <v/>
      </c>
      <c r="O428" s="60"/>
      <c r="P428" s="105"/>
    </row>
    <row r="429" spans="1:16" x14ac:dyDescent="0.3">
      <c r="A429" s="54" t="str">
        <f>IF([2]weekly_demand!A430="","",[2]weekly_demand!A430)</f>
        <v/>
      </c>
      <c r="B429" s="55" t="str">
        <f>IF($A429="","",[2]weekly_demand!F430)</f>
        <v/>
      </c>
      <c r="C429" s="56" t="str">
        <f>IF($A429="","",[2]weekly_demand!H430)</f>
        <v/>
      </c>
      <c r="D429" s="57" t="str">
        <f>IF($A429="","",IF(SUMIFS([2]Fixture_Capacity_Input!$C:$C,[2]Fixture_Capacity_Input!$A:$A,$B429,[2]Fixture_Capacity_Input!$B:$B,$C429)&gt;0,SUMIFS([2]Fixture_Capacity_Input!$C:$C,[2]Fixture_Capacity_Input!$A:$A,$B429,[2]Fixture_Capacity_Input!$B:$B,$C429),[2]weekly_demand!G430))</f>
        <v/>
      </c>
      <c r="E429" s="58" t="str">
        <f>IF($A429="","",[2]weekly_demand!I430)</f>
        <v/>
      </c>
      <c r="F429" s="57" t="str">
        <f t="shared" si="61"/>
        <v/>
      </c>
      <c r="G429" s="57" t="str">
        <f t="shared" si="62"/>
        <v/>
      </c>
      <c r="H429" s="57" t="str">
        <f t="shared" si="60"/>
        <v/>
      </c>
      <c r="I429" s="58" t="str">
        <f t="shared" si="65"/>
        <v/>
      </c>
      <c r="J429" s="58" t="str">
        <f t="shared" si="63"/>
        <v/>
      </c>
      <c r="K429" s="58" t="str">
        <f t="shared" si="66"/>
        <v/>
      </c>
      <c r="L429" s="58" t="str">
        <f t="shared" si="67"/>
        <v/>
      </c>
      <c r="M429" s="58" t="str">
        <f t="shared" si="68"/>
        <v/>
      </c>
      <c r="N429" s="59" t="str">
        <f t="shared" si="64"/>
        <v/>
      </c>
      <c r="O429" s="60"/>
      <c r="P429" s="105"/>
    </row>
    <row r="430" spans="1:16" x14ac:dyDescent="0.3">
      <c r="A430" s="54" t="str">
        <f>IF([2]weekly_demand!A431="","",[2]weekly_demand!A431)</f>
        <v/>
      </c>
      <c r="B430" s="55" t="str">
        <f>IF($A430="","",[2]weekly_demand!F431)</f>
        <v/>
      </c>
      <c r="C430" s="56" t="str">
        <f>IF($A430="","",[2]weekly_demand!H431)</f>
        <v/>
      </c>
      <c r="D430" s="57" t="str">
        <f>IF($A430="","",IF(SUMIFS([2]Fixture_Capacity_Input!$C:$C,[2]Fixture_Capacity_Input!$A:$A,$B430,[2]Fixture_Capacity_Input!$B:$B,$C430)&gt;0,SUMIFS([2]Fixture_Capacity_Input!$C:$C,[2]Fixture_Capacity_Input!$A:$A,$B430,[2]Fixture_Capacity_Input!$B:$B,$C430),[2]weekly_demand!G431))</f>
        <v/>
      </c>
      <c r="E430" s="58" t="str">
        <f>IF($A430="","",[2]weekly_demand!I431)</f>
        <v/>
      </c>
      <c r="F430" s="57" t="str">
        <f t="shared" si="61"/>
        <v/>
      </c>
      <c r="G430" s="57" t="str">
        <f t="shared" si="62"/>
        <v/>
      </c>
      <c r="H430" s="57" t="str">
        <f t="shared" si="60"/>
        <v/>
      </c>
      <c r="I430" s="58" t="str">
        <f t="shared" si="65"/>
        <v/>
      </c>
      <c r="J430" s="58" t="str">
        <f t="shared" si="63"/>
        <v/>
      </c>
      <c r="K430" s="58" t="str">
        <f t="shared" si="66"/>
        <v/>
      </c>
      <c r="L430" s="58" t="str">
        <f t="shared" si="67"/>
        <v/>
      </c>
      <c r="M430" s="58" t="str">
        <f t="shared" si="68"/>
        <v/>
      </c>
      <c r="N430" s="59" t="str">
        <f t="shared" si="64"/>
        <v/>
      </c>
      <c r="O430" s="60"/>
      <c r="P430" s="105"/>
    </row>
    <row r="431" spans="1:16" x14ac:dyDescent="0.3">
      <c r="A431" s="54" t="str">
        <f>IF([2]weekly_demand!A432="","",[2]weekly_demand!A432)</f>
        <v/>
      </c>
      <c r="B431" s="55" t="str">
        <f>IF($A431="","",[2]weekly_demand!F432)</f>
        <v/>
      </c>
      <c r="C431" s="56" t="str">
        <f>IF($A431="","",[2]weekly_demand!H432)</f>
        <v/>
      </c>
      <c r="D431" s="57" t="str">
        <f>IF($A431="","",IF(SUMIFS([2]Fixture_Capacity_Input!$C:$C,[2]Fixture_Capacity_Input!$A:$A,$B431,[2]Fixture_Capacity_Input!$B:$B,$C431)&gt;0,SUMIFS([2]Fixture_Capacity_Input!$C:$C,[2]Fixture_Capacity_Input!$A:$A,$B431,[2]Fixture_Capacity_Input!$B:$B,$C431),[2]weekly_demand!G432))</f>
        <v/>
      </c>
      <c r="E431" s="58" t="str">
        <f>IF($A431="","",[2]weekly_demand!I432)</f>
        <v/>
      </c>
      <c r="F431" s="57" t="str">
        <f t="shared" si="61"/>
        <v/>
      </c>
      <c r="G431" s="57" t="str">
        <f t="shared" si="62"/>
        <v/>
      </c>
      <c r="H431" s="57" t="str">
        <f t="shared" si="60"/>
        <v/>
      </c>
      <c r="I431" s="58" t="str">
        <f t="shared" si="65"/>
        <v/>
      </c>
      <c r="J431" s="58" t="str">
        <f t="shared" si="63"/>
        <v/>
      </c>
      <c r="K431" s="58" t="str">
        <f t="shared" si="66"/>
        <v/>
      </c>
      <c r="L431" s="58" t="str">
        <f t="shared" si="67"/>
        <v/>
      </c>
      <c r="M431" s="58" t="str">
        <f t="shared" si="68"/>
        <v/>
      </c>
      <c r="N431" s="59" t="str">
        <f t="shared" si="64"/>
        <v/>
      </c>
      <c r="O431" s="60"/>
      <c r="P431" s="105"/>
    </row>
    <row r="432" spans="1:16" x14ac:dyDescent="0.3">
      <c r="A432" s="54" t="str">
        <f>IF([2]weekly_demand!A433="","",[2]weekly_demand!A433)</f>
        <v/>
      </c>
      <c r="B432" s="55" t="str">
        <f>IF($A432="","",[2]weekly_demand!F433)</f>
        <v/>
      </c>
      <c r="C432" s="56" t="str">
        <f>IF($A432="","",[2]weekly_demand!H433)</f>
        <v/>
      </c>
      <c r="D432" s="57" t="str">
        <f>IF($A432="","",IF(SUMIFS([2]Fixture_Capacity_Input!$C:$C,[2]Fixture_Capacity_Input!$A:$A,$B432,[2]Fixture_Capacity_Input!$B:$B,$C432)&gt;0,SUMIFS([2]Fixture_Capacity_Input!$C:$C,[2]Fixture_Capacity_Input!$A:$A,$B432,[2]Fixture_Capacity_Input!$B:$B,$C432),[2]weekly_demand!G433))</f>
        <v/>
      </c>
      <c r="E432" s="58" t="str">
        <f>IF($A432="","",[2]weekly_demand!I433)</f>
        <v/>
      </c>
      <c r="F432" s="57" t="str">
        <f t="shared" si="61"/>
        <v/>
      </c>
      <c r="G432" s="57" t="str">
        <f t="shared" si="62"/>
        <v/>
      </c>
      <c r="H432" s="57" t="str">
        <f t="shared" si="60"/>
        <v/>
      </c>
      <c r="I432" s="58" t="str">
        <f t="shared" si="65"/>
        <v/>
      </c>
      <c r="J432" s="58" t="str">
        <f t="shared" si="63"/>
        <v/>
      </c>
      <c r="K432" s="58" t="str">
        <f t="shared" si="66"/>
        <v/>
      </c>
      <c r="L432" s="58" t="str">
        <f t="shared" si="67"/>
        <v/>
      </c>
      <c r="M432" s="58" t="str">
        <f t="shared" si="68"/>
        <v/>
      </c>
      <c r="N432" s="59" t="str">
        <f t="shared" si="64"/>
        <v/>
      </c>
      <c r="O432" s="60"/>
      <c r="P432" s="105"/>
    </row>
    <row r="433" spans="1:16" x14ac:dyDescent="0.3">
      <c r="A433" s="54" t="str">
        <f>IF([2]weekly_demand!A434="","",[2]weekly_demand!A434)</f>
        <v/>
      </c>
      <c r="B433" s="55" t="str">
        <f>IF($A433="","",[2]weekly_demand!F434)</f>
        <v/>
      </c>
      <c r="C433" s="56" t="str">
        <f>IF($A433="","",[2]weekly_demand!H434)</f>
        <v/>
      </c>
      <c r="D433" s="57" t="str">
        <f>IF($A433="","",IF(SUMIFS([2]Fixture_Capacity_Input!$C:$C,[2]Fixture_Capacity_Input!$A:$A,$B433,[2]Fixture_Capacity_Input!$B:$B,$C433)&gt;0,SUMIFS([2]Fixture_Capacity_Input!$C:$C,[2]Fixture_Capacity_Input!$A:$A,$B433,[2]Fixture_Capacity_Input!$B:$B,$C433),[2]weekly_demand!G434))</f>
        <v/>
      </c>
      <c r="E433" s="58" t="str">
        <f>IF($A433="","",[2]weekly_demand!I434)</f>
        <v/>
      </c>
      <c r="F433" s="57" t="str">
        <f t="shared" si="61"/>
        <v/>
      </c>
      <c r="G433" s="57" t="str">
        <f t="shared" si="62"/>
        <v/>
      </c>
      <c r="H433" s="57" t="str">
        <f t="shared" si="60"/>
        <v/>
      </c>
      <c r="I433" s="58" t="str">
        <f t="shared" si="65"/>
        <v/>
      </c>
      <c r="J433" s="58" t="str">
        <f t="shared" si="63"/>
        <v/>
      </c>
      <c r="K433" s="58" t="str">
        <f t="shared" si="66"/>
        <v/>
      </c>
      <c r="L433" s="58" t="str">
        <f t="shared" si="67"/>
        <v/>
      </c>
      <c r="M433" s="58" t="str">
        <f t="shared" si="68"/>
        <v/>
      </c>
      <c r="N433" s="59" t="str">
        <f t="shared" si="64"/>
        <v/>
      </c>
      <c r="O433" s="60"/>
      <c r="P433" s="105"/>
    </row>
    <row r="434" spans="1:16" x14ac:dyDescent="0.3">
      <c r="A434" s="54" t="str">
        <f>IF([2]weekly_demand!A435="","",[2]weekly_demand!A435)</f>
        <v/>
      </c>
      <c r="B434" s="55" t="str">
        <f>IF($A434="","",[2]weekly_demand!F435)</f>
        <v/>
      </c>
      <c r="C434" s="56" t="str">
        <f>IF($A434="","",[2]weekly_demand!H435)</f>
        <v/>
      </c>
      <c r="D434" s="57" t="str">
        <f>IF($A434="","",IF(SUMIFS([2]Fixture_Capacity_Input!$C:$C,[2]Fixture_Capacity_Input!$A:$A,$B434,[2]Fixture_Capacity_Input!$B:$B,$C434)&gt;0,SUMIFS([2]Fixture_Capacity_Input!$C:$C,[2]Fixture_Capacity_Input!$A:$A,$B434,[2]Fixture_Capacity_Input!$B:$B,$C434),[2]weekly_demand!G435))</f>
        <v/>
      </c>
      <c r="E434" s="58" t="str">
        <f>IF($A434="","",[2]weekly_demand!I435)</f>
        <v/>
      </c>
      <c r="F434" s="57" t="str">
        <f t="shared" si="61"/>
        <v/>
      </c>
      <c r="G434" s="57" t="str">
        <f t="shared" si="62"/>
        <v/>
      </c>
      <c r="H434" s="57" t="str">
        <f t="shared" si="60"/>
        <v/>
      </c>
      <c r="I434" s="58" t="str">
        <f t="shared" si="65"/>
        <v/>
      </c>
      <c r="J434" s="58" t="str">
        <f t="shared" si="63"/>
        <v/>
      </c>
      <c r="K434" s="58" t="str">
        <f t="shared" si="66"/>
        <v/>
      </c>
      <c r="L434" s="58" t="str">
        <f t="shared" si="67"/>
        <v/>
      </c>
      <c r="M434" s="58" t="str">
        <f t="shared" si="68"/>
        <v/>
      </c>
      <c r="N434" s="59" t="str">
        <f t="shared" si="64"/>
        <v/>
      </c>
      <c r="O434" s="60"/>
      <c r="P434" s="105"/>
    </row>
    <row r="435" spans="1:16" x14ac:dyDescent="0.3">
      <c r="A435" s="54" t="str">
        <f>IF([2]weekly_demand!A436="","",[2]weekly_demand!A436)</f>
        <v/>
      </c>
      <c r="B435" s="55" t="str">
        <f>IF($A435="","",[2]weekly_demand!F436)</f>
        <v/>
      </c>
      <c r="C435" s="56" t="str">
        <f>IF($A435="","",[2]weekly_demand!H436)</f>
        <v/>
      </c>
      <c r="D435" s="57" t="str">
        <f>IF($A435="","",IF(SUMIFS([2]Fixture_Capacity_Input!$C:$C,[2]Fixture_Capacity_Input!$A:$A,$B435,[2]Fixture_Capacity_Input!$B:$B,$C435)&gt;0,SUMIFS([2]Fixture_Capacity_Input!$C:$C,[2]Fixture_Capacity_Input!$A:$A,$B435,[2]Fixture_Capacity_Input!$B:$B,$C435),[2]weekly_demand!G436))</f>
        <v/>
      </c>
      <c r="E435" s="58" t="str">
        <f>IF($A435="","",[2]weekly_demand!I436)</f>
        <v/>
      </c>
      <c r="F435" s="57" t="str">
        <f t="shared" si="61"/>
        <v/>
      </c>
      <c r="G435" s="57" t="str">
        <f t="shared" si="62"/>
        <v/>
      </c>
      <c r="H435" s="57" t="str">
        <f t="shared" ref="H435:H498" si="69">IF($A435="","",IF($A435&lt;&gt;$A436,0,MAX(0,H436+E436-D436)))</f>
        <v/>
      </c>
      <c r="I435" s="58" t="str">
        <f t="shared" si="65"/>
        <v/>
      </c>
      <c r="J435" s="58" t="str">
        <f t="shared" si="63"/>
        <v/>
      </c>
      <c r="K435" s="58" t="str">
        <f t="shared" si="66"/>
        <v/>
      </c>
      <c r="L435" s="58" t="str">
        <f t="shared" si="67"/>
        <v/>
      </c>
      <c r="M435" s="58" t="str">
        <f t="shared" si="68"/>
        <v/>
      </c>
      <c r="N435" s="59" t="str">
        <f t="shared" si="64"/>
        <v/>
      </c>
      <c r="O435" s="60"/>
      <c r="P435" s="105"/>
    </row>
    <row r="436" spans="1:16" x14ac:dyDescent="0.3">
      <c r="A436" s="54" t="str">
        <f>IF([2]weekly_demand!A437="","",[2]weekly_demand!A437)</f>
        <v/>
      </c>
      <c r="B436" s="55" t="str">
        <f>IF($A436="","",[2]weekly_demand!F437)</f>
        <v/>
      </c>
      <c r="C436" s="56" t="str">
        <f>IF($A436="","",[2]weekly_demand!H437)</f>
        <v/>
      </c>
      <c r="D436" s="57" t="str">
        <f>IF($A436="","",IF(SUMIFS([2]Fixture_Capacity_Input!$C:$C,[2]Fixture_Capacity_Input!$A:$A,$B436,[2]Fixture_Capacity_Input!$B:$B,$C436)&gt;0,SUMIFS([2]Fixture_Capacity_Input!$C:$C,[2]Fixture_Capacity_Input!$A:$A,$B436,[2]Fixture_Capacity_Input!$B:$B,$C436),[2]weekly_demand!G437))</f>
        <v/>
      </c>
      <c r="E436" s="58" t="str">
        <f>IF($A436="","",[2]weekly_demand!I437)</f>
        <v/>
      </c>
      <c r="F436" s="57" t="str">
        <f t="shared" si="61"/>
        <v/>
      </c>
      <c r="G436" s="57" t="str">
        <f t="shared" si="62"/>
        <v/>
      </c>
      <c r="H436" s="57" t="str">
        <f t="shared" si="69"/>
        <v/>
      </c>
      <c r="I436" s="58" t="str">
        <f t="shared" si="65"/>
        <v/>
      </c>
      <c r="J436" s="58" t="str">
        <f t="shared" si="63"/>
        <v/>
      </c>
      <c r="K436" s="58" t="str">
        <f t="shared" si="66"/>
        <v/>
      </c>
      <c r="L436" s="58" t="str">
        <f t="shared" si="67"/>
        <v/>
      </c>
      <c r="M436" s="58" t="str">
        <f t="shared" si="68"/>
        <v/>
      </c>
      <c r="N436" s="59" t="str">
        <f t="shared" si="64"/>
        <v/>
      </c>
      <c r="O436" s="60"/>
      <c r="P436" s="105"/>
    </row>
    <row r="437" spans="1:16" x14ac:dyDescent="0.3">
      <c r="A437" s="54" t="str">
        <f>IF([2]weekly_demand!A438="","",[2]weekly_demand!A438)</f>
        <v/>
      </c>
      <c r="B437" s="55" t="str">
        <f>IF($A437="","",[2]weekly_demand!F438)</f>
        <v/>
      </c>
      <c r="C437" s="56" t="str">
        <f>IF($A437="","",[2]weekly_demand!H438)</f>
        <v/>
      </c>
      <c r="D437" s="57" t="str">
        <f>IF($A437="","",IF(SUMIFS([2]Fixture_Capacity_Input!$C:$C,[2]Fixture_Capacity_Input!$A:$A,$B437,[2]Fixture_Capacity_Input!$B:$B,$C437)&gt;0,SUMIFS([2]Fixture_Capacity_Input!$C:$C,[2]Fixture_Capacity_Input!$A:$A,$B437,[2]Fixture_Capacity_Input!$B:$B,$C437),[2]weekly_demand!G438))</f>
        <v/>
      </c>
      <c r="E437" s="58" t="str">
        <f>IF($A437="","",[2]weekly_demand!I438)</f>
        <v/>
      </c>
      <c r="F437" s="57" t="str">
        <f t="shared" si="61"/>
        <v/>
      </c>
      <c r="G437" s="57" t="str">
        <f t="shared" si="62"/>
        <v/>
      </c>
      <c r="H437" s="57" t="str">
        <f t="shared" si="69"/>
        <v/>
      </c>
      <c r="I437" s="58" t="str">
        <f t="shared" si="65"/>
        <v/>
      </c>
      <c r="J437" s="58" t="str">
        <f t="shared" si="63"/>
        <v/>
      </c>
      <c r="K437" s="58" t="str">
        <f t="shared" si="66"/>
        <v/>
      </c>
      <c r="L437" s="58" t="str">
        <f t="shared" si="67"/>
        <v/>
      </c>
      <c r="M437" s="58" t="str">
        <f t="shared" si="68"/>
        <v/>
      </c>
      <c r="N437" s="59" t="str">
        <f t="shared" si="64"/>
        <v/>
      </c>
      <c r="O437" s="60"/>
      <c r="P437" s="105"/>
    </row>
    <row r="438" spans="1:16" x14ac:dyDescent="0.3">
      <c r="A438" s="54" t="str">
        <f>IF([2]weekly_demand!A439="","",[2]weekly_demand!A439)</f>
        <v/>
      </c>
      <c r="B438" s="55" t="str">
        <f>IF($A438="","",[2]weekly_demand!F439)</f>
        <v/>
      </c>
      <c r="C438" s="56" t="str">
        <f>IF($A438="","",[2]weekly_demand!H439)</f>
        <v/>
      </c>
      <c r="D438" s="57" t="str">
        <f>IF($A438="","",IF(SUMIFS([2]Fixture_Capacity_Input!$C:$C,[2]Fixture_Capacity_Input!$A:$A,$B438,[2]Fixture_Capacity_Input!$B:$B,$C438)&gt;0,SUMIFS([2]Fixture_Capacity_Input!$C:$C,[2]Fixture_Capacity_Input!$A:$A,$B438,[2]Fixture_Capacity_Input!$B:$B,$C438),[2]weekly_demand!G439))</f>
        <v/>
      </c>
      <c r="E438" s="58" t="str">
        <f>IF($A438="","",[2]weekly_demand!I439)</f>
        <v/>
      </c>
      <c r="F438" s="57" t="str">
        <f t="shared" si="61"/>
        <v/>
      </c>
      <c r="G438" s="57" t="str">
        <f t="shared" si="62"/>
        <v/>
      </c>
      <c r="H438" s="57" t="str">
        <f t="shared" si="69"/>
        <v/>
      </c>
      <c r="I438" s="58" t="str">
        <f t="shared" si="65"/>
        <v/>
      </c>
      <c r="J438" s="58" t="str">
        <f t="shared" si="63"/>
        <v/>
      </c>
      <c r="K438" s="58" t="str">
        <f t="shared" si="66"/>
        <v/>
      </c>
      <c r="L438" s="58" t="str">
        <f t="shared" si="67"/>
        <v/>
      </c>
      <c r="M438" s="58" t="str">
        <f t="shared" si="68"/>
        <v/>
      </c>
      <c r="N438" s="59" t="str">
        <f t="shared" si="64"/>
        <v/>
      </c>
      <c r="O438" s="60"/>
      <c r="P438" s="105"/>
    </row>
    <row r="439" spans="1:16" x14ac:dyDescent="0.3">
      <c r="A439" s="54" t="str">
        <f>IF([2]weekly_demand!A440="","",[2]weekly_demand!A440)</f>
        <v/>
      </c>
      <c r="B439" s="55" t="str">
        <f>IF($A439="","",[2]weekly_demand!F440)</f>
        <v/>
      </c>
      <c r="C439" s="56" t="str">
        <f>IF($A439="","",[2]weekly_demand!H440)</f>
        <v/>
      </c>
      <c r="D439" s="57" t="str">
        <f>IF($A439="","",IF(SUMIFS([2]Fixture_Capacity_Input!$C:$C,[2]Fixture_Capacity_Input!$A:$A,$B439,[2]Fixture_Capacity_Input!$B:$B,$C439)&gt;0,SUMIFS([2]Fixture_Capacity_Input!$C:$C,[2]Fixture_Capacity_Input!$A:$A,$B439,[2]Fixture_Capacity_Input!$B:$B,$C439),[2]weekly_demand!G440))</f>
        <v/>
      </c>
      <c r="E439" s="58" t="str">
        <f>IF($A439="","",[2]weekly_demand!I440)</f>
        <v/>
      </c>
      <c r="F439" s="57" t="str">
        <f t="shared" si="61"/>
        <v/>
      </c>
      <c r="G439" s="57" t="str">
        <f t="shared" si="62"/>
        <v/>
      </c>
      <c r="H439" s="57" t="str">
        <f t="shared" si="69"/>
        <v/>
      </c>
      <c r="I439" s="58" t="str">
        <f t="shared" si="65"/>
        <v/>
      </c>
      <c r="J439" s="58" t="str">
        <f t="shared" si="63"/>
        <v/>
      </c>
      <c r="K439" s="58" t="str">
        <f t="shared" si="66"/>
        <v/>
      </c>
      <c r="L439" s="58" t="str">
        <f t="shared" si="67"/>
        <v/>
      </c>
      <c r="M439" s="58" t="str">
        <f t="shared" si="68"/>
        <v/>
      </c>
      <c r="N439" s="59" t="str">
        <f t="shared" si="64"/>
        <v/>
      </c>
      <c r="O439" s="60"/>
      <c r="P439" s="105"/>
    </row>
    <row r="440" spans="1:16" x14ac:dyDescent="0.3">
      <c r="A440" s="54" t="str">
        <f>IF([2]weekly_demand!A441="","",[2]weekly_demand!A441)</f>
        <v/>
      </c>
      <c r="B440" s="55" t="str">
        <f>IF($A440="","",[2]weekly_demand!F441)</f>
        <v/>
      </c>
      <c r="C440" s="56" t="str">
        <f>IF($A440="","",[2]weekly_demand!H441)</f>
        <v/>
      </c>
      <c r="D440" s="57" t="str">
        <f>IF($A440="","",IF(SUMIFS([2]Fixture_Capacity_Input!$C:$C,[2]Fixture_Capacity_Input!$A:$A,$B440,[2]Fixture_Capacity_Input!$B:$B,$C440)&gt;0,SUMIFS([2]Fixture_Capacity_Input!$C:$C,[2]Fixture_Capacity_Input!$A:$A,$B440,[2]Fixture_Capacity_Input!$B:$B,$C440),[2]weekly_demand!G441))</f>
        <v/>
      </c>
      <c r="E440" s="58" t="str">
        <f>IF($A440="","",[2]weekly_demand!I441)</f>
        <v/>
      </c>
      <c r="F440" s="57" t="str">
        <f t="shared" si="61"/>
        <v/>
      </c>
      <c r="G440" s="57" t="str">
        <f t="shared" si="62"/>
        <v/>
      </c>
      <c r="H440" s="57" t="str">
        <f t="shared" si="69"/>
        <v/>
      </c>
      <c r="I440" s="58" t="str">
        <f t="shared" si="65"/>
        <v/>
      </c>
      <c r="J440" s="58" t="str">
        <f t="shared" si="63"/>
        <v/>
      </c>
      <c r="K440" s="58" t="str">
        <f t="shared" si="66"/>
        <v/>
      </c>
      <c r="L440" s="58" t="str">
        <f t="shared" si="67"/>
        <v/>
      </c>
      <c r="M440" s="58" t="str">
        <f t="shared" si="68"/>
        <v/>
      </c>
      <c r="N440" s="59" t="str">
        <f t="shared" si="64"/>
        <v/>
      </c>
      <c r="O440" s="60"/>
      <c r="P440" s="105"/>
    </row>
    <row r="441" spans="1:16" x14ac:dyDescent="0.3">
      <c r="A441" s="54" t="str">
        <f>IF([2]weekly_demand!A442="","",[2]weekly_demand!A442)</f>
        <v/>
      </c>
      <c r="B441" s="55" t="str">
        <f>IF($A441="","",[2]weekly_demand!F442)</f>
        <v/>
      </c>
      <c r="C441" s="56" t="str">
        <f>IF($A441="","",[2]weekly_demand!H442)</f>
        <v/>
      </c>
      <c r="D441" s="57" t="str">
        <f>IF($A441="","",IF(SUMIFS([2]Fixture_Capacity_Input!$C:$C,[2]Fixture_Capacity_Input!$A:$A,$B441,[2]Fixture_Capacity_Input!$B:$B,$C441)&gt;0,SUMIFS([2]Fixture_Capacity_Input!$C:$C,[2]Fixture_Capacity_Input!$A:$A,$B441,[2]Fixture_Capacity_Input!$B:$B,$C441),[2]weekly_demand!G442))</f>
        <v/>
      </c>
      <c r="E441" s="58" t="str">
        <f>IF($A441="","",[2]weekly_demand!I442)</f>
        <v/>
      </c>
      <c r="F441" s="57" t="str">
        <f t="shared" si="61"/>
        <v/>
      </c>
      <c r="G441" s="57" t="str">
        <f t="shared" si="62"/>
        <v/>
      </c>
      <c r="H441" s="57" t="str">
        <f t="shared" si="69"/>
        <v/>
      </c>
      <c r="I441" s="58" t="str">
        <f t="shared" si="65"/>
        <v/>
      </c>
      <c r="J441" s="58" t="str">
        <f t="shared" si="63"/>
        <v/>
      </c>
      <c r="K441" s="58" t="str">
        <f t="shared" si="66"/>
        <v/>
      </c>
      <c r="L441" s="58" t="str">
        <f t="shared" si="67"/>
        <v/>
      </c>
      <c r="M441" s="58" t="str">
        <f t="shared" si="68"/>
        <v/>
      </c>
      <c r="N441" s="59" t="str">
        <f t="shared" si="64"/>
        <v/>
      </c>
      <c r="O441" s="60"/>
      <c r="P441" s="105"/>
    </row>
    <row r="442" spans="1:16" x14ac:dyDescent="0.3">
      <c r="A442" s="54" t="str">
        <f>IF([2]weekly_demand!A443="","",[2]weekly_demand!A443)</f>
        <v/>
      </c>
      <c r="B442" s="55" t="str">
        <f>IF($A442="","",[2]weekly_demand!F443)</f>
        <v/>
      </c>
      <c r="C442" s="56" t="str">
        <f>IF($A442="","",[2]weekly_demand!H443)</f>
        <v/>
      </c>
      <c r="D442" s="57" t="str">
        <f>IF($A442="","",IF(SUMIFS([2]Fixture_Capacity_Input!$C:$C,[2]Fixture_Capacity_Input!$A:$A,$B442,[2]Fixture_Capacity_Input!$B:$B,$C442)&gt;0,SUMIFS([2]Fixture_Capacity_Input!$C:$C,[2]Fixture_Capacity_Input!$A:$A,$B442,[2]Fixture_Capacity_Input!$B:$B,$C442),[2]weekly_demand!G443))</f>
        <v/>
      </c>
      <c r="E442" s="58" t="str">
        <f>IF($A442="","",[2]weekly_demand!I443)</f>
        <v/>
      </c>
      <c r="F442" s="57" t="str">
        <f t="shared" si="61"/>
        <v/>
      </c>
      <c r="G442" s="57" t="str">
        <f t="shared" si="62"/>
        <v/>
      </c>
      <c r="H442" s="57" t="str">
        <f t="shared" si="69"/>
        <v/>
      </c>
      <c r="I442" s="58" t="str">
        <f t="shared" si="65"/>
        <v/>
      </c>
      <c r="J442" s="58" t="str">
        <f t="shared" si="63"/>
        <v/>
      </c>
      <c r="K442" s="58" t="str">
        <f t="shared" si="66"/>
        <v/>
      </c>
      <c r="L442" s="58" t="str">
        <f t="shared" si="67"/>
        <v/>
      </c>
      <c r="M442" s="58" t="str">
        <f t="shared" si="68"/>
        <v/>
      </c>
      <c r="N442" s="59" t="str">
        <f t="shared" si="64"/>
        <v/>
      </c>
      <c r="O442" s="60"/>
      <c r="P442" s="105"/>
    </row>
    <row r="443" spans="1:16" x14ac:dyDescent="0.3">
      <c r="A443" s="54" t="str">
        <f>IF([2]weekly_demand!A444="","",[2]weekly_demand!A444)</f>
        <v/>
      </c>
      <c r="B443" s="55" t="str">
        <f>IF($A443="","",[2]weekly_demand!F444)</f>
        <v/>
      </c>
      <c r="C443" s="56" t="str">
        <f>IF($A443="","",[2]weekly_demand!H444)</f>
        <v/>
      </c>
      <c r="D443" s="57" t="str">
        <f>IF($A443="","",IF(SUMIFS([2]Fixture_Capacity_Input!$C:$C,[2]Fixture_Capacity_Input!$A:$A,$B443,[2]Fixture_Capacity_Input!$B:$B,$C443)&gt;0,SUMIFS([2]Fixture_Capacity_Input!$C:$C,[2]Fixture_Capacity_Input!$A:$A,$B443,[2]Fixture_Capacity_Input!$B:$B,$C443),[2]weekly_demand!G444))</f>
        <v/>
      </c>
      <c r="E443" s="58" t="str">
        <f>IF($A443="","",[2]weekly_demand!I444)</f>
        <v/>
      </c>
      <c r="F443" s="57" t="str">
        <f t="shared" si="61"/>
        <v/>
      </c>
      <c r="G443" s="57" t="str">
        <f t="shared" si="62"/>
        <v/>
      </c>
      <c r="H443" s="57" t="str">
        <f t="shared" si="69"/>
        <v/>
      </c>
      <c r="I443" s="58" t="str">
        <f t="shared" si="65"/>
        <v/>
      </c>
      <c r="J443" s="58" t="str">
        <f t="shared" si="63"/>
        <v/>
      </c>
      <c r="K443" s="58" t="str">
        <f t="shared" si="66"/>
        <v/>
      </c>
      <c r="L443" s="58" t="str">
        <f t="shared" si="67"/>
        <v/>
      </c>
      <c r="M443" s="58" t="str">
        <f t="shared" si="68"/>
        <v/>
      </c>
      <c r="N443" s="59" t="str">
        <f t="shared" si="64"/>
        <v/>
      </c>
      <c r="O443" s="60"/>
      <c r="P443" s="105"/>
    </row>
    <row r="444" spans="1:16" x14ac:dyDescent="0.3">
      <c r="A444" s="54" t="str">
        <f>IF([2]weekly_demand!A445="","",[2]weekly_demand!A445)</f>
        <v/>
      </c>
      <c r="B444" s="55" t="str">
        <f>IF($A444="","",[2]weekly_demand!F445)</f>
        <v/>
      </c>
      <c r="C444" s="56" t="str">
        <f>IF($A444="","",[2]weekly_demand!H445)</f>
        <v/>
      </c>
      <c r="D444" s="57" t="str">
        <f>IF($A444="","",IF(SUMIFS([2]Fixture_Capacity_Input!$C:$C,[2]Fixture_Capacity_Input!$A:$A,$B444,[2]Fixture_Capacity_Input!$B:$B,$C444)&gt;0,SUMIFS([2]Fixture_Capacity_Input!$C:$C,[2]Fixture_Capacity_Input!$A:$A,$B444,[2]Fixture_Capacity_Input!$B:$B,$C444),[2]weekly_demand!G445))</f>
        <v/>
      </c>
      <c r="E444" s="58" t="str">
        <f>IF($A444="","",[2]weekly_demand!I445)</f>
        <v/>
      </c>
      <c r="F444" s="57" t="str">
        <f t="shared" si="61"/>
        <v/>
      </c>
      <c r="G444" s="57" t="str">
        <f t="shared" si="62"/>
        <v/>
      </c>
      <c r="H444" s="57" t="str">
        <f t="shared" si="69"/>
        <v/>
      </c>
      <c r="I444" s="58" t="str">
        <f t="shared" si="65"/>
        <v/>
      </c>
      <c r="J444" s="58" t="str">
        <f t="shared" si="63"/>
        <v/>
      </c>
      <c r="K444" s="58" t="str">
        <f t="shared" si="66"/>
        <v/>
      </c>
      <c r="L444" s="58" t="str">
        <f t="shared" si="67"/>
        <v/>
      </c>
      <c r="M444" s="58" t="str">
        <f t="shared" si="68"/>
        <v/>
      </c>
      <c r="N444" s="59" t="str">
        <f t="shared" si="64"/>
        <v/>
      </c>
      <c r="O444" s="60"/>
      <c r="P444" s="105"/>
    </row>
    <row r="445" spans="1:16" x14ac:dyDescent="0.3">
      <c r="A445" s="54" t="str">
        <f>IF([2]weekly_demand!A446="","",[2]weekly_demand!A446)</f>
        <v/>
      </c>
      <c r="B445" s="55" t="str">
        <f>IF($A445="","",[2]weekly_demand!F446)</f>
        <v/>
      </c>
      <c r="C445" s="56" t="str">
        <f>IF($A445="","",[2]weekly_demand!H446)</f>
        <v/>
      </c>
      <c r="D445" s="57" t="str">
        <f>IF($A445="","",IF(SUMIFS([2]Fixture_Capacity_Input!$C:$C,[2]Fixture_Capacity_Input!$A:$A,$B445,[2]Fixture_Capacity_Input!$B:$B,$C445)&gt;0,SUMIFS([2]Fixture_Capacity_Input!$C:$C,[2]Fixture_Capacity_Input!$A:$A,$B445,[2]Fixture_Capacity_Input!$B:$B,$C445),[2]weekly_demand!G446))</f>
        <v/>
      </c>
      <c r="E445" s="58" t="str">
        <f>IF($A445="","",[2]weekly_demand!I446)</f>
        <v/>
      </c>
      <c r="F445" s="57" t="str">
        <f t="shared" si="61"/>
        <v/>
      </c>
      <c r="G445" s="57" t="str">
        <f t="shared" si="62"/>
        <v/>
      </c>
      <c r="H445" s="57" t="str">
        <f t="shared" si="69"/>
        <v/>
      </c>
      <c r="I445" s="58" t="str">
        <f t="shared" si="65"/>
        <v/>
      </c>
      <c r="J445" s="58" t="str">
        <f t="shared" si="63"/>
        <v/>
      </c>
      <c r="K445" s="58" t="str">
        <f t="shared" si="66"/>
        <v/>
      </c>
      <c r="L445" s="58" t="str">
        <f t="shared" si="67"/>
        <v/>
      </c>
      <c r="M445" s="58" t="str">
        <f t="shared" si="68"/>
        <v/>
      </c>
      <c r="N445" s="59" t="str">
        <f t="shared" si="64"/>
        <v/>
      </c>
      <c r="O445" s="60"/>
      <c r="P445" s="105"/>
    </row>
    <row r="446" spans="1:16" x14ac:dyDescent="0.3">
      <c r="A446" s="54" t="str">
        <f>IF([2]weekly_demand!A447="","",[2]weekly_demand!A447)</f>
        <v/>
      </c>
      <c r="B446" s="55" t="str">
        <f>IF($A446="","",[2]weekly_demand!F447)</f>
        <v/>
      </c>
      <c r="C446" s="56" t="str">
        <f>IF($A446="","",[2]weekly_demand!H447)</f>
        <v/>
      </c>
      <c r="D446" s="57" t="str">
        <f>IF($A446="","",IF(SUMIFS([2]Fixture_Capacity_Input!$C:$C,[2]Fixture_Capacity_Input!$A:$A,$B446,[2]Fixture_Capacity_Input!$B:$B,$C446)&gt;0,SUMIFS([2]Fixture_Capacity_Input!$C:$C,[2]Fixture_Capacity_Input!$A:$A,$B446,[2]Fixture_Capacity_Input!$B:$B,$C446),[2]weekly_demand!G447))</f>
        <v/>
      </c>
      <c r="E446" s="58" t="str">
        <f>IF($A446="","",[2]weekly_demand!I447)</f>
        <v/>
      </c>
      <c r="F446" s="57" t="str">
        <f t="shared" si="61"/>
        <v/>
      </c>
      <c r="G446" s="57" t="str">
        <f t="shared" si="62"/>
        <v/>
      </c>
      <c r="H446" s="57" t="str">
        <f t="shared" si="69"/>
        <v/>
      </c>
      <c r="I446" s="58" t="str">
        <f t="shared" si="65"/>
        <v/>
      </c>
      <c r="J446" s="58" t="str">
        <f t="shared" si="63"/>
        <v/>
      </c>
      <c r="K446" s="58" t="str">
        <f t="shared" si="66"/>
        <v/>
      </c>
      <c r="L446" s="58" t="str">
        <f t="shared" si="67"/>
        <v/>
      </c>
      <c r="M446" s="58" t="str">
        <f t="shared" si="68"/>
        <v/>
      </c>
      <c r="N446" s="59" t="str">
        <f t="shared" si="64"/>
        <v/>
      </c>
      <c r="O446" s="60"/>
      <c r="P446" s="105"/>
    </row>
    <row r="447" spans="1:16" x14ac:dyDescent="0.3">
      <c r="A447" s="54" t="str">
        <f>IF([2]weekly_demand!A448="","",[2]weekly_demand!A448)</f>
        <v/>
      </c>
      <c r="B447" s="55" t="str">
        <f>IF($A447="","",[2]weekly_demand!F448)</f>
        <v/>
      </c>
      <c r="C447" s="56" t="str">
        <f>IF($A447="","",[2]weekly_demand!H448)</f>
        <v/>
      </c>
      <c r="D447" s="57" t="str">
        <f>IF($A447="","",IF(SUMIFS([2]Fixture_Capacity_Input!$C:$C,[2]Fixture_Capacity_Input!$A:$A,$B447,[2]Fixture_Capacity_Input!$B:$B,$C447)&gt;0,SUMIFS([2]Fixture_Capacity_Input!$C:$C,[2]Fixture_Capacity_Input!$A:$A,$B447,[2]Fixture_Capacity_Input!$B:$B,$C447),[2]weekly_demand!G448))</f>
        <v/>
      </c>
      <c r="E447" s="58" t="str">
        <f>IF($A447="","",[2]weekly_demand!I448)</f>
        <v/>
      </c>
      <c r="F447" s="57" t="str">
        <f t="shared" si="61"/>
        <v/>
      </c>
      <c r="G447" s="57" t="str">
        <f t="shared" si="62"/>
        <v/>
      </c>
      <c r="H447" s="57" t="str">
        <f t="shared" si="69"/>
        <v/>
      </c>
      <c r="I447" s="58" t="str">
        <f t="shared" si="65"/>
        <v/>
      </c>
      <c r="J447" s="58" t="str">
        <f t="shared" si="63"/>
        <v/>
      </c>
      <c r="K447" s="58" t="str">
        <f t="shared" si="66"/>
        <v/>
      </c>
      <c r="L447" s="58" t="str">
        <f t="shared" si="67"/>
        <v/>
      </c>
      <c r="M447" s="58" t="str">
        <f t="shared" si="68"/>
        <v/>
      </c>
      <c r="N447" s="59" t="str">
        <f t="shared" si="64"/>
        <v/>
      </c>
      <c r="O447" s="60"/>
      <c r="P447" s="105"/>
    </row>
    <row r="448" spans="1:16" x14ac:dyDescent="0.3">
      <c r="A448" s="54" t="str">
        <f>IF([2]weekly_demand!A449="","",[2]weekly_demand!A449)</f>
        <v/>
      </c>
      <c r="B448" s="55" t="str">
        <f>IF($A448="","",[2]weekly_demand!F449)</f>
        <v/>
      </c>
      <c r="C448" s="56" t="str">
        <f>IF($A448="","",[2]weekly_demand!H449)</f>
        <v/>
      </c>
      <c r="D448" s="57" t="str">
        <f>IF($A448="","",IF(SUMIFS([2]Fixture_Capacity_Input!$C:$C,[2]Fixture_Capacity_Input!$A:$A,$B448,[2]Fixture_Capacity_Input!$B:$B,$C448)&gt;0,SUMIFS([2]Fixture_Capacity_Input!$C:$C,[2]Fixture_Capacity_Input!$A:$A,$B448,[2]Fixture_Capacity_Input!$B:$B,$C448),[2]weekly_demand!G449))</f>
        <v/>
      </c>
      <c r="E448" s="58" t="str">
        <f>IF($A448="","",[2]weekly_demand!I449)</f>
        <v/>
      </c>
      <c r="F448" s="57" t="str">
        <f t="shared" si="61"/>
        <v/>
      </c>
      <c r="G448" s="57" t="str">
        <f t="shared" si="62"/>
        <v/>
      </c>
      <c r="H448" s="57" t="str">
        <f t="shared" si="69"/>
        <v/>
      </c>
      <c r="I448" s="58" t="str">
        <f t="shared" si="65"/>
        <v/>
      </c>
      <c r="J448" s="58" t="str">
        <f t="shared" si="63"/>
        <v/>
      </c>
      <c r="K448" s="58" t="str">
        <f t="shared" si="66"/>
        <v/>
      </c>
      <c r="L448" s="58" t="str">
        <f t="shared" si="67"/>
        <v/>
      </c>
      <c r="M448" s="58" t="str">
        <f t="shared" si="68"/>
        <v/>
      </c>
      <c r="N448" s="59" t="str">
        <f t="shared" si="64"/>
        <v/>
      </c>
      <c r="O448" s="60"/>
      <c r="P448" s="105"/>
    </row>
    <row r="449" spans="1:16" x14ac:dyDescent="0.3">
      <c r="A449" s="54" t="str">
        <f>IF([2]weekly_demand!A450="","",[2]weekly_demand!A450)</f>
        <v/>
      </c>
      <c r="B449" s="55" t="str">
        <f>IF($A449="","",[2]weekly_demand!F450)</f>
        <v/>
      </c>
      <c r="C449" s="56" t="str">
        <f>IF($A449="","",[2]weekly_demand!H450)</f>
        <v/>
      </c>
      <c r="D449" s="57" t="str">
        <f>IF($A449="","",IF(SUMIFS([2]Fixture_Capacity_Input!$C:$C,[2]Fixture_Capacity_Input!$A:$A,$B449,[2]Fixture_Capacity_Input!$B:$B,$C449)&gt;0,SUMIFS([2]Fixture_Capacity_Input!$C:$C,[2]Fixture_Capacity_Input!$A:$A,$B449,[2]Fixture_Capacity_Input!$B:$B,$C449),[2]weekly_demand!G450))</f>
        <v/>
      </c>
      <c r="E449" s="58" t="str">
        <f>IF($A449="","",[2]weekly_demand!I450)</f>
        <v/>
      </c>
      <c r="F449" s="57" t="str">
        <f t="shared" si="61"/>
        <v/>
      </c>
      <c r="G449" s="57" t="str">
        <f t="shared" si="62"/>
        <v/>
      </c>
      <c r="H449" s="57" t="str">
        <f t="shared" si="69"/>
        <v/>
      </c>
      <c r="I449" s="58" t="str">
        <f t="shared" si="65"/>
        <v/>
      </c>
      <c r="J449" s="58" t="str">
        <f t="shared" si="63"/>
        <v/>
      </c>
      <c r="K449" s="58" t="str">
        <f t="shared" si="66"/>
        <v/>
      </c>
      <c r="L449" s="58" t="str">
        <f t="shared" si="67"/>
        <v/>
      </c>
      <c r="M449" s="58" t="str">
        <f t="shared" si="68"/>
        <v/>
      </c>
      <c r="N449" s="59" t="str">
        <f t="shared" si="64"/>
        <v/>
      </c>
      <c r="O449" s="60"/>
      <c r="P449" s="105"/>
    </row>
    <row r="450" spans="1:16" x14ac:dyDescent="0.3">
      <c r="A450" s="54" t="str">
        <f>IF([2]weekly_demand!A451="","",[2]weekly_demand!A451)</f>
        <v/>
      </c>
      <c r="B450" s="55" t="str">
        <f>IF($A450="","",[2]weekly_demand!F451)</f>
        <v/>
      </c>
      <c r="C450" s="56" t="str">
        <f>IF($A450="","",[2]weekly_demand!H451)</f>
        <v/>
      </c>
      <c r="D450" s="57" t="str">
        <f>IF($A450="","",IF(SUMIFS([2]Fixture_Capacity_Input!$C:$C,[2]Fixture_Capacity_Input!$A:$A,$B450,[2]Fixture_Capacity_Input!$B:$B,$C450)&gt;0,SUMIFS([2]Fixture_Capacity_Input!$C:$C,[2]Fixture_Capacity_Input!$A:$A,$B450,[2]Fixture_Capacity_Input!$B:$B,$C450),[2]weekly_demand!G451))</f>
        <v/>
      </c>
      <c r="E450" s="58" t="str">
        <f>IF($A450="","",[2]weekly_demand!I451)</f>
        <v/>
      </c>
      <c r="F450" s="57" t="str">
        <f t="shared" ref="F450:F513" si="70">IF($A450="","",IF($A450&lt;&gt;$A449,_xlfn.XLOOKUP($A450,$Q$2:$Q$7,$R$2:$R$7,0),K449))</f>
        <v/>
      </c>
      <c r="G450" s="57" t="str">
        <f t="shared" ref="G450:G513" si="71">IF($A450="","",_xlfn.XLOOKUP($A450,$Q$2:$Q$7,$S$2:$S$7,0))</f>
        <v/>
      </c>
      <c r="H450" s="57" t="str">
        <f t="shared" si="69"/>
        <v/>
      </c>
      <c r="I450" s="58" t="str">
        <f t="shared" si="65"/>
        <v/>
      </c>
      <c r="J450" s="58" t="str">
        <f t="shared" ref="J450:J513" si="72">IF($A450="","",MIN($D450,$I450,MAX(0,$E450+$G450-$F450)))</f>
        <v/>
      </c>
      <c r="K450" s="58" t="str">
        <f t="shared" si="66"/>
        <v/>
      </c>
      <c r="L450" s="58" t="str">
        <f t="shared" si="67"/>
        <v/>
      </c>
      <c r="M450" s="58" t="str">
        <f t="shared" si="68"/>
        <v/>
      </c>
      <c r="N450" s="59" t="str">
        <f t="shared" ref="N450:N513" si="73">IF($A450="","",IFERROR(J450/D450,0))</f>
        <v/>
      </c>
      <c r="O450" s="60"/>
      <c r="P450" s="105"/>
    </row>
    <row r="451" spans="1:16" x14ac:dyDescent="0.3">
      <c r="A451" s="54" t="str">
        <f>IF([2]weekly_demand!A452="","",[2]weekly_demand!A452)</f>
        <v/>
      </c>
      <c r="B451" s="55" t="str">
        <f>IF($A451="","",[2]weekly_demand!F452)</f>
        <v/>
      </c>
      <c r="C451" s="56" t="str">
        <f>IF($A451="","",[2]weekly_demand!H452)</f>
        <v/>
      </c>
      <c r="D451" s="57" t="str">
        <f>IF($A451="","",IF(SUMIFS([2]Fixture_Capacity_Input!$C:$C,[2]Fixture_Capacity_Input!$A:$A,$B451,[2]Fixture_Capacity_Input!$B:$B,$C451)&gt;0,SUMIFS([2]Fixture_Capacity_Input!$C:$C,[2]Fixture_Capacity_Input!$A:$A,$B451,[2]Fixture_Capacity_Input!$B:$B,$C451),[2]weekly_demand!G452))</f>
        <v/>
      </c>
      <c r="E451" s="58" t="str">
        <f>IF($A451="","",[2]weekly_demand!I452)</f>
        <v/>
      </c>
      <c r="F451" s="57" t="str">
        <f t="shared" si="70"/>
        <v/>
      </c>
      <c r="G451" s="57" t="str">
        <f t="shared" si="71"/>
        <v/>
      </c>
      <c r="H451" s="57" t="str">
        <f t="shared" si="69"/>
        <v/>
      </c>
      <c r="I451" s="58" t="str">
        <f t="shared" ref="I451:I514" si="74">IF($A451="","",MAX(0,E451+H451-F451))</f>
        <v/>
      </c>
      <c r="J451" s="58" t="str">
        <f t="shared" si="72"/>
        <v/>
      </c>
      <c r="K451" s="58" t="str">
        <f t="shared" ref="K451:K514" si="75">IF($A451="","",MIN($G451,MAX(0,$F451+$J451-$E451)))</f>
        <v/>
      </c>
      <c r="L451" s="58" t="str">
        <f t="shared" ref="L451:L514" si="76">IF($A451="","",MAX(0,E451-F451-J451))</f>
        <v/>
      </c>
      <c r="M451" s="58" t="str">
        <f t="shared" ref="M451:M514" si="77">IF($A451="","",MAX(0,F451+J451-E451))</f>
        <v/>
      </c>
      <c r="N451" s="59" t="str">
        <f t="shared" si="73"/>
        <v/>
      </c>
      <c r="O451" s="60"/>
      <c r="P451" s="105"/>
    </row>
    <row r="452" spans="1:16" x14ac:dyDescent="0.3">
      <c r="A452" s="54" t="str">
        <f>IF([2]weekly_demand!A453="","",[2]weekly_demand!A453)</f>
        <v/>
      </c>
      <c r="B452" s="55" t="str">
        <f>IF($A452="","",[2]weekly_demand!F453)</f>
        <v/>
      </c>
      <c r="C452" s="56" t="str">
        <f>IF($A452="","",[2]weekly_demand!H453)</f>
        <v/>
      </c>
      <c r="D452" s="57" t="str">
        <f>IF($A452="","",IF(SUMIFS([2]Fixture_Capacity_Input!$C:$C,[2]Fixture_Capacity_Input!$A:$A,$B452,[2]Fixture_Capacity_Input!$B:$B,$C452)&gt;0,SUMIFS([2]Fixture_Capacity_Input!$C:$C,[2]Fixture_Capacity_Input!$A:$A,$B452,[2]Fixture_Capacity_Input!$B:$B,$C452),[2]weekly_demand!G453))</f>
        <v/>
      </c>
      <c r="E452" s="58" t="str">
        <f>IF($A452="","",[2]weekly_demand!I453)</f>
        <v/>
      </c>
      <c r="F452" s="57" t="str">
        <f t="shared" si="70"/>
        <v/>
      </c>
      <c r="G452" s="57" t="str">
        <f t="shared" si="71"/>
        <v/>
      </c>
      <c r="H452" s="57" t="str">
        <f t="shared" si="69"/>
        <v/>
      </c>
      <c r="I452" s="58" t="str">
        <f t="shared" si="74"/>
        <v/>
      </c>
      <c r="J452" s="58" t="str">
        <f t="shared" si="72"/>
        <v/>
      </c>
      <c r="K452" s="58" t="str">
        <f t="shared" si="75"/>
        <v/>
      </c>
      <c r="L452" s="58" t="str">
        <f t="shared" si="76"/>
        <v/>
      </c>
      <c r="M452" s="58" t="str">
        <f t="shared" si="77"/>
        <v/>
      </c>
      <c r="N452" s="59" t="str">
        <f t="shared" si="73"/>
        <v/>
      </c>
      <c r="O452" s="60"/>
      <c r="P452" s="105"/>
    </row>
    <row r="453" spans="1:16" x14ac:dyDescent="0.3">
      <c r="A453" s="54" t="str">
        <f>IF([2]weekly_demand!A454="","",[2]weekly_demand!A454)</f>
        <v/>
      </c>
      <c r="B453" s="55" t="str">
        <f>IF($A453="","",[2]weekly_demand!F454)</f>
        <v/>
      </c>
      <c r="C453" s="56" t="str">
        <f>IF($A453="","",[2]weekly_demand!H454)</f>
        <v/>
      </c>
      <c r="D453" s="57" t="str">
        <f>IF($A453="","",IF(SUMIFS([2]Fixture_Capacity_Input!$C:$C,[2]Fixture_Capacity_Input!$A:$A,$B453,[2]Fixture_Capacity_Input!$B:$B,$C453)&gt;0,SUMIFS([2]Fixture_Capacity_Input!$C:$C,[2]Fixture_Capacity_Input!$A:$A,$B453,[2]Fixture_Capacity_Input!$B:$B,$C453),[2]weekly_demand!G454))</f>
        <v/>
      </c>
      <c r="E453" s="58" t="str">
        <f>IF($A453="","",[2]weekly_demand!I454)</f>
        <v/>
      </c>
      <c r="F453" s="57" t="str">
        <f t="shared" si="70"/>
        <v/>
      </c>
      <c r="G453" s="57" t="str">
        <f t="shared" si="71"/>
        <v/>
      </c>
      <c r="H453" s="57" t="str">
        <f t="shared" si="69"/>
        <v/>
      </c>
      <c r="I453" s="58" t="str">
        <f t="shared" si="74"/>
        <v/>
      </c>
      <c r="J453" s="58" t="str">
        <f t="shared" si="72"/>
        <v/>
      </c>
      <c r="K453" s="58" t="str">
        <f t="shared" si="75"/>
        <v/>
      </c>
      <c r="L453" s="58" t="str">
        <f t="shared" si="76"/>
        <v/>
      </c>
      <c r="M453" s="58" t="str">
        <f t="shared" si="77"/>
        <v/>
      </c>
      <c r="N453" s="59" t="str">
        <f t="shared" si="73"/>
        <v/>
      </c>
      <c r="O453" s="60"/>
      <c r="P453" s="105"/>
    </row>
    <row r="454" spans="1:16" x14ac:dyDescent="0.3">
      <c r="A454" s="54" t="str">
        <f>IF([2]weekly_demand!A455="","",[2]weekly_demand!A455)</f>
        <v/>
      </c>
      <c r="B454" s="55" t="str">
        <f>IF($A454="","",[2]weekly_demand!F455)</f>
        <v/>
      </c>
      <c r="C454" s="56" t="str">
        <f>IF($A454="","",[2]weekly_demand!H455)</f>
        <v/>
      </c>
      <c r="D454" s="57" t="str">
        <f>IF($A454="","",IF(SUMIFS([2]Fixture_Capacity_Input!$C:$C,[2]Fixture_Capacity_Input!$A:$A,$B454,[2]Fixture_Capacity_Input!$B:$B,$C454)&gt;0,SUMIFS([2]Fixture_Capacity_Input!$C:$C,[2]Fixture_Capacity_Input!$A:$A,$B454,[2]Fixture_Capacity_Input!$B:$B,$C454),[2]weekly_demand!G455))</f>
        <v/>
      </c>
      <c r="E454" s="58" t="str">
        <f>IF($A454="","",[2]weekly_demand!I455)</f>
        <v/>
      </c>
      <c r="F454" s="57" t="str">
        <f t="shared" si="70"/>
        <v/>
      </c>
      <c r="G454" s="57" t="str">
        <f t="shared" si="71"/>
        <v/>
      </c>
      <c r="H454" s="57" t="str">
        <f t="shared" si="69"/>
        <v/>
      </c>
      <c r="I454" s="58" t="str">
        <f t="shared" si="74"/>
        <v/>
      </c>
      <c r="J454" s="58" t="str">
        <f t="shared" si="72"/>
        <v/>
      </c>
      <c r="K454" s="58" t="str">
        <f t="shared" si="75"/>
        <v/>
      </c>
      <c r="L454" s="58" t="str">
        <f t="shared" si="76"/>
        <v/>
      </c>
      <c r="M454" s="58" t="str">
        <f t="shared" si="77"/>
        <v/>
      </c>
      <c r="N454" s="59" t="str">
        <f t="shared" si="73"/>
        <v/>
      </c>
      <c r="O454" s="60"/>
      <c r="P454" s="105"/>
    </row>
    <row r="455" spans="1:16" x14ac:dyDescent="0.3">
      <c r="A455" s="54" t="str">
        <f>IF([2]weekly_demand!A456="","",[2]weekly_demand!A456)</f>
        <v/>
      </c>
      <c r="B455" s="55" t="str">
        <f>IF($A455="","",[2]weekly_demand!F456)</f>
        <v/>
      </c>
      <c r="C455" s="56" t="str">
        <f>IF($A455="","",[2]weekly_demand!H456)</f>
        <v/>
      </c>
      <c r="D455" s="57" t="str">
        <f>IF($A455="","",IF(SUMIFS([2]Fixture_Capacity_Input!$C:$C,[2]Fixture_Capacity_Input!$A:$A,$B455,[2]Fixture_Capacity_Input!$B:$B,$C455)&gt;0,SUMIFS([2]Fixture_Capacity_Input!$C:$C,[2]Fixture_Capacity_Input!$A:$A,$B455,[2]Fixture_Capacity_Input!$B:$B,$C455),[2]weekly_demand!G456))</f>
        <v/>
      </c>
      <c r="E455" s="58" t="str">
        <f>IF($A455="","",[2]weekly_demand!I456)</f>
        <v/>
      </c>
      <c r="F455" s="57" t="str">
        <f t="shared" si="70"/>
        <v/>
      </c>
      <c r="G455" s="57" t="str">
        <f t="shared" si="71"/>
        <v/>
      </c>
      <c r="H455" s="57" t="str">
        <f t="shared" si="69"/>
        <v/>
      </c>
      <c r="I455" s="58" t="str">
        <f t="shared" si="74"/>
        <v/>
      </c>
      <c r="J455" s="58" t="str">
        <f t="shared" si="72"/>
        <v/>
      </c>
      <c r="K455" s="58" t="str">
        <f t="shared" si="75"/>
        <v/>
      </c>
      <c r="L455" s="58" t="str">
        <f t="shared" si="76"/>
        <v/>
      </c>
      <c r="M455" s="58" t="str">
        <f t="shared" si="77"/>
        <v/>
      </c>
      <c r="N455" s="59" t="str">
        <f t="shared" si="73"/>
        <v/>
      </c>
      <c r="O455" s="60"/>
      <c r="P455" s="105"/>
    </row>
    <row r="456" spans="1:16" x14ac:dyDescent="0.3">
      <c r="A456" s="54" t="str">
        <f>IF([2]weekly_demand!A457="","",[2]weekly_demand!A457)</f>
        <v/>
      </c>
      <c r="B456" s="55" t="str">
        <f>IF($A456="","",[2]weekly_demand!F457)</f>
        <v/>
      </c>
      <c r="C456" s="56" t="str">
        <f>IF($A456="","",[2]weekly_demand!H457)</f>
        <v/>
      </c>
      <c r="D456" s="57" t="str">
        <f>IF($A456="","",IF(SUMIFS([2]Fixture_Capacity_Input!$C:$C,[2]Fixture_Capacity_Input!$A:$A,$B456,[2]Fixture_Capacity_Input!$B:$B,$C456)&gt;0,SUMIFS([2]Fixture_Capacity_Input!$C:$C,[2]Fixture_Capacity_Input!$A:$A,$B456,[2]Fixture_Capacity_Input!$B:$B,$C456),[2]weekly_demand!G457))</f>
        <v/>
      </c>
      <c r="E456" s="58" t="str">
        <f>IF($A456="","",[2]weekly_demand!I457)</f>
        <v/>
      </c>
      <c r="F456" s="57" t="str">
        <f t="shared" si="70"/>
        <v/>
      </c>
      <c r="G456" s="57" t="str">
        <f t="shared" si="71"/>
        <v/>
      </c>
      <c r="H456" s="57" t="str">
        <f t="shared" si="69"/>
        <v/>
      </c>
      <c r="I456" s="58" t="str">
        <f t="shared" si="74"/>
        <v/>
      </c>
      <c r="J456" s="58" t="str">
        <f t="shared" si="72"/>
        <v/>
      </c>
      <c r="K456" s="58" t="str">
        <f t="shared" si="75"/>
        <v/>
      </c>
      <c r="L456" s="58" t="str">
        <f t="shared" si="76"/>
        <v/>
      </c>
      <c r="M456" s="58" t="str">
        <f t="shared" si="77"/>
        <v/>
      </c>
      <c r="N456" s="59" t="str">
        <f t="shared" si="73"/>
        <v/>
      </c>
      <c r="O456" s="60"/>
      <c r="P456" s="105"/>
    </row>
    <row r="457" spans="1:16" x14ac:dyDescent="0.3">
      <c r="A457" s="54" t="str">
        <f>IF([2]weekly_demand!A458="","",[2]weekly_demand!A458)</f>
        <v/>
      </c>
      <c r="B457" s="55" t="str">
        <f>IF($A457="","",[2]weekly_demand!F458)</f>
        <v/>
      </c>
      <c r="C457" s="56" t="str">
        <f>IF($A457="","",[2]weekly_demand!H458)</f>
        <v/>
      </c>
      <c r="D457" s="57" t="str">
        <f>IF($A457="","",IF(SUMIFS([2]Fixture_Capacity_Input!$C:$C,[2]Fixture_Capacity_Input!$A:$A,$B457,[2]Fixture_Capacity_Input!$B:$B,$C457)&gt;0,SUMIFS([2]Fixture_Capacity_Input!$C:$C,[2]Fixture_Capacity_Input!$A:$A,$B457,[2]Fixture_Capacity_Input!$B:$B,$C457),[2]weekly_demand!G458))</f>
        <v/>
      </c>
      <c r="E457" s="58" t="str">
        <f>IF($A457="","",[2]weekly_demand!I458)</f>
        <v/>
      </c>
      <c r="F457" s="57" t="str">
        <f t="shared" si="70"/>
        <v/>
      </c>
      <c r="G457" s="57" t="str">
        <f t="shared" si="71"/>
        <v/>
      </c>
      <c r="H457" s="57" t="str">
        <f t="shared" si="69"/>
        <v/>
      </c>
      <c r="I457" s="58" t="str">
        <f t="shared" si="74"/>
        <v/>
      </c>
      <c r="J457" s="58" t="str">
        <f t="shared" si="72"/>
        <v/>
      </c>
      <c r="K457" s="58" t="str">
        <f t="shared" si="75"/>
        <v/>
      </c>
      <c r="L457" s="58" t="str">
        <f t="shared" si="76"/>
        <v/>
      </c>
      <c r="M457" s="58" t="str">
        <f t="shared" si="77"/>
        <v/>
      </c>
      <c r="N457" s="59" t="str">
        <f t="shared" si="73"/>
        <v/>
      </c>
      <c r="O457" s="60"/>
      <c r="P457" s="105"/>
    </row>
    <row r="458" spans="1:16" x14ac:dyDescent="0.3">
      <c r="A458" s="54" t="str">
        <f>IF([2]weekly_demand!A459="","",[2]weekly_demand!A459)</f>
        <v/>
      </c>
      <c r="B458" s="55" t="str">
        <f>IF($A458="","",[2]weekly_demand!F459)</f>
        <v/>
      </c>
      <c r="C458" s="56" t="str">
        <f>IF($A458="","",[2]weekly_demand!H459)</f>
        <v/>
      </c>
      <c r="D458" s="57" t="str">
        <f>IF($A458="","",IF(SUMIFS([2]Fixture_Capacity_Input!$C:$C,[2]Fixture_Capacity_Input!$A:$A,$B458,[2]Fixture_Capacity_Input!$B:$B,$C458)&gt;0,SUMIFS([2]Fixture_Capacity_Input!$C:$C,[2]Fixture_Capacity_Input!$A:$A,$B458,[2]Fixture_Capacity_Input!$B:$B,$C458),[2]weekly_demand!G459))</f>
        <v/>
      </c>
      <c r="E458" s="58" t="str">
        <f>IF($A458="","",[2]weekly_demand!I459)</f>
        <v/>
      </c>
      <c r="F458" s="57" t="str">
        <f t="shared" si="70"/>
        <v/>
      </c>
      <c r="G458" s="57" t="str">
        <f t="shared" si="71"/>
        <v/>
      </c>
      <c r="H458" s="57" t="str">
        <f t="shared" si="69"/>
        <v/>
      </c>
      <c r="I458" s="58" t="str">
        <f t="shared" si="74"/>
        <v/>
      </c>
      <c r="J458" s="58" t="str">
        <f t="shared" si="72"/>
        <v/>
      </c>
      <c r="K458" s="58" t="str">
        <f t="shared" si="75"/>
        <v/>
      </c>
      <c r="L458" s="58" t="str">
        <f t="shared" si="76"/>
        <v/>
      </c>
      <c r="M458" s="58" t="str">
        <f t="shared" si="77"/>
        <v/>
      </c>
      <c r="N458" s="59" t="str">
        <f t="shared" si="73"/>
        <v/>
      </c>
      <c r="O458" s="60"/>
      <c r="P458" s="105"/>
    </row>
    <row r="459" spans="1:16" x14ac:dyDescent="0.3">
      <c r="A459" s="54" t="str">
        <f>IF([2]weekly_demand!A460="","",[2]weekly_demand!A460)</f>
        <v/>
      </c>
      <c r="B459" s="55" t="str">
        <f>IF($A459="","",[2]weekly_demand!F460)</f>
        <v/>
      </c>
      <c r="C459" s="56" t="str">
        <f>IF($A459="","",[2]weekly_demand!H460)</f>
        <v/>
      </c>
      <c r="D459" s="57" t="str">
        <f>IF($A459="","",IF(SUMIFS([2]Fixture_Capacity_Input!$C:$C,[2]Fixture_Capacity_Input!$A:$A,$B459,[2]Fixture_Capacity_Input!$B:$B,$C459)&gt;0,SUMIFS([2]Fixture_Capacity_Input!$C:$C,[2]Fixture_Capacity_Input!$A:$A,$B459,[2]Fixture_Capacity_Input!$B:$B,$C459),[2]weekly_demand!G460))</f>
        <v/>
      </c>
      <c r="E459" s="58" t="str">
        <f>IF($A459="","",[2]weekly_demand!I460)</f>
        <v/>
      </c>
      <c r="F459" s="57" t="str">
        <f t="shared" si="70"/>
        <v/>
      </c>
      <c r="G459" s="57" t="str">
        <f t="shared" si="71"/>
        <v/>
      </c>
      <c r="H459" s="57" t="str">
        <f t="shared" si="69"/>
        <v/>
      </c>
      <c r="I459" s="58" t="str">
        <f t="shared" si="74"/>
        <v/>
      </c>
      <c r="J459" s="58" t="str">
        <f t="shared" si="72"/>
        <v/>
      </c>
      <c r="K459" s="58" t="str">
        <f t="shared" si="75"/>
        <v/>
      </c>
      <c r="L459" s="58" t="str">
        <f t="shared" si="76"/>
        <v/>
      </c>
      <c r="M459" s="58" t="str">
        <f t="shared" si="77"/>
        <v/>
      </c>
      <c r="N459" s="59" t="str">
        <f t="shared" si="73"/>
        <v/>
      </c>
      <c r="O459" s="60"/>
      <c r="P459" s="105"/>
    </row>
    <row r="460" spans="1:16" x14ac:dyDescent="0.3">
      <c r="A460" s="54" t="str">
        <f>IF([2]weekly_demand!A461="","",[2]weekly_demand!A461)</f>
        <v/>
      </c>
      <c r="B460" s="55" t="str">
        <f>IF($A460="","",[2]weekly_demand!F461)</f>
        <v/>
      </c>
      <c r="C460" s="56" t="str">
        <f>IF($A460="","",[2]weekly_demand!H461)</f>
        <v/>
      </c>
      <c r="D460" s="57" t="str">
        <f>IF($A460="","",IF(SUMIFS([2]Fixture_Capacity_Input!$C:$C,[2]Fixture_Capacity_Input!$A:$A,$B460,[2]Fixture_Capacity_Input!$B:$B,$C460)&gt;0,SUMIFS([2]Fixture_Capacity_Input!$C:$C,[2]Fixture_Capacity_Input!$A:$A,$B460,[2]Fixture_Capacity_Input!$B:$B,$C460),[2]weekly_demand!G461))</f>
        <v/>
      </c>
      <c r="E460" s="58" t="str">
        <f>IF($A460="","",[2]weekly_demand!I461)</f>
        <v/>
      </c>
      <c r="F460" s="57" t="str">
        <f t="shared" si="70"/>
        <v/>
      </c>
      <c r="G460" s="57" t="str">
        <f t="shared" si="71"/>
        <v/>
      </c>
      <c r="H460" s="57" t="str">
        <f t="shared" si="69"/>
        <v/>
      </c>
      <c r="I460" s="58" t="str">
        <f t="shared" si="74"/>
        <v/>
      </c>
      <c r="J460" s="58" t="str">
        <f t="shared" si="72"/>
        <v/>
      </c>
      <c r="K460" s="58" t="str">
        <f t="shared" si="75"/>
        <v/>
      </c>
      <c r="L460" s="58" t="str">
        <f t="shared" si="76"/>
        <v/>
      </c>
      <c r="M460" s="58" t="str">
        <f t="shared" si="77"/>
        <v/>
      </c>
      <c r="N460" s="59" t="str">
        <f t="shared" si="73"/>
        <v/>
      </c>
      <c r="O460" s="60"/>
      <c r="P460" s="105"/>
    </row>
    <row r="461" spans="1:16" x14ac:dyDescent="0.3">
      <c r="A461" s="54" t="str">
        <f>IF([2]weekly_demand!A462="","",[2]weekly_demand!A462)</f>
        <v/>
      </c>
      <c r="B461" s="55" t="str">
        <f>IF($A461="","",[2]weekly_demand!F462)</f>
        <v/>
      </c>
      <c r="C461" s="56" t="str">
        <f>IF($A461="","",[2]weekly_demand!H462)</f>
        <v/>
      </c>
      <c r="D461" s="57" t="str">
        <f>IF($A461="","",IF(SUMIFS([2]Fixture_Capacity_Input!$C:$C,[2]Fixture_Capacity_Input!$A:$A,$B461,[2]Fixture_Capacity_Input!$B:$B,$C461)&gt;0,SUMIFS([2]Fixture_Capacity_Input!$C:$C,[2]Fixture_Capacity_Input!$A:$A,$B461,[2]Fixture_Capacity_Input!$B:$B,$C461),[2]weekly_demand!G462))</f>
        <v/>
      </c>
      <c r="E461" s="58" t="str">
        <f>IF($A461="","",[2]weekly_demand!I462)</f>
        <v/>
      </c>
      <c r="F461" s="57" t="str">
        <f t="shared" si="70"/>
        <v/>
      </c>
      <c r="G461" s="57" t="str">
        <f t="shared" si="71"/>
        <v/>
      </c>
      <c r="H461" s="57" t="str">
        <f t="shared" si="69"/>
        <v/>
      </c>
      <c r="I461" s="58" t="str">
        <f t="shared" si="74"/>
        <v/>
      </c>
      <c r="J461" s="58" t="str">
        <f t="shared" si="72"/>
        <v/>
      </c>
      <c r="K461" s="58" t="str">
        <f t="shared" si="75"/>
        <v/>
      </c>
      <c r="L461" s="58" t="str">
        <f t="shared" si="76"/>
        <v/>
      </c>
      <c r="M461" s="58" t="str">
        <f t="shared" si="77"/>
        <v/>
      </c>
      <c r="N461" s="59" t="str">
        <f t="shared" si="73"/>
        <v/>
      </c>
      <c r="O461" s="60"/>
      <c r="P461" s="105"/>
    </row>
    <row r="462" spans="1:16" x14ac:dyDescent="0.3">
      <c r="A462" s="54" t="str">
        <f>IF([2]weekly_demand!A463="","",[2]weekly_demand!A463)</f>
        <v/>
      </c>
      <c r="B462" s="55" t="str">
        <f>IF($A462="","",[2]weekly_demand!F463)</f>
        <v/>
      </c>
      <c r="C462" s="56" t="str">
        <f>IF($A462="","",[2]weekly_demand!H463)</f>
        <v/>
      </c>
      <c r="D462" s="57" t="str">
        <f>IF($A462="","",IF(SUMIFS([2]Fixture_Capacity_Input!$C:$C,[2]Fixture_Capacity_Input!$A:$A,$B462,[2]Fixture_Capacity_Input!$B:$B,$C462)&gt;0,SUMIFS([2]Fixture_Capacity_Input!$C:$C,[2]Fixture_Capacity_Input!$A:$A,$B462,[2]Fixture_Capacity_Input!$B:$B,$C462),[2]weekly_demand!G463))</f>
        <v/>
      </c>
      <c r="E462" s="58" t="str">
        <f>IF($A462="","",[2]weekly_demand!I463)</f>
        <v/>
      </c>
      <c r="F462" s="57" t="str">
        <f t="shared" si="70"/>
        <v/>
      </c>
      <c r="G462" s="57" t="str">
        <f t="shared" si="71"/>
        <v/>
      </c>
      <c r="H462" s="57" t="str">
        <f t="shared" si="69"/>
        <v/>
      </c>
      <c r="I462" s="58" t="str">
        <f t="shared" si="74"/>
        <v/>
      </c>
      <c r="J462" s="58" t="str">
        <f t="shared" si="72"/>
        <v/>
      </c>
      <c r="K462" s="58" t="str">
        <f t="shared" si="75"/>
        <v/>
      </c>
      <c r="L462" s="58" t="str">
        <f t="shared" si="76"/>
        <v/>
      </c>
      <c r="M462" s="58" t="str">
        <f t="shared" si="77"/>
        <v/>
      </c>
      <c r="N462" s="59" t="str">
        <f t="shared" si="73"/>
        <v/>
      </c>
      <c r="O462" s="60"/>
      <c r="P462" s="105"/>
    </row>
    <row r="463" spans="1:16" x14ac:dyDescent="0.3">
      <c r="A463" s="54" t="str">
        <f>IF([2]weekly_demand!A464="","",[2]weekly_demand!A464)</f>
        <v/>
      </c>
      <c r="B463" s="55" t="str">
        <f>IF($A463="","",[2]weekly_demand!F464)</f>
        <v/>
      </c>
      <c r="C463" s="56" t="str">
        <f>IF($A463="","",[2]weekly_demand!H464)</f>
        <v/>
      </c>
      <c r="D463" s="57" t="str">
        <f>IF($A463="","",IF(SUMIFS([2]Fixture_Capacity_Input!$C:$C,[2]Fixture_Capacity_Input!$A:$A,$B463,[2]Fixture_Capacity_Input!$B:$B,$C463)&gt;0,SUMIFS([2]Fixture_Capacity_Input!$C:$C,[2]Fixture_Capacity_Input!$A:$A,$B463,[2]Fixture_Capacity_Input!$B:$B,$C463),[2]weekly_demand!G464))</f>
        <v/>
      </c>
      <c r="E463" s="58" t="str">
        <f>IF($A463="","",[2]weekly_demand!I464)</f>
        <v/>
      </c>
      <c r="F463" s="57" t="str">
        <f t="shared" si="70"/>
        <v/>
      </c>
      <c r="G463" s="57" t="str">
        <f t="shared" si="71"/>
        <v/>
      </c>
      <c r="H463" s="57" t="str">
        <f t="shared" si="69"/>
        <v/>
      </c>
      <c r="I463" s="58" t="str">
        <f t="shared" si="74"/>
        <v/>
      </c>
      <c r="J463" s="58" t="str">
        <f t="shared" si="72"/>
        <v/>
      </c>
      <c r="K463" s="58" t="str">
        <f t="shared" si="75"/>
        <v/>
      </c>
      <c r="L463" s="58" t="str">
        <f t="shared" si="76"/>
        <v/>
      </c>
      <c r="M463" s="58" t="str">
        <f t="shared" si="77"/>
        <v/>
      </c>
      <c r="N463" s="59" t="str">
        <f t="shared" si="73"/>
        <v/>
      </c>
      <c r="O463" s="60"/>
      <c r="P463" s="105"/>
    </row>
    <row r="464" spans="1:16" x14ac:dyDescent="0.3">
      <c r="A464" s="54" t="str">
        <f>IF([2]weekly_demand!A465="","",[2]weekly_demand!A465)</f>
        <v/>
      </c>
      <c r="B464" s="55" t="str">
        <f>IF($A464="","",[2]weekly_demand!F465)</f>
        <v/>
      </c>
      <c r="C464" s="56" t="str">
        <f>IF($A464="","",[2]weekly_demand!H465)</f>
        <v/>
      </c>
      <c r="D464" s="57" t="str">
        <f>IF($A464="","",IF(SUMIFS([2]Fixture_Capacity_Input!$C:$C,[2]Fixture_Capacity_Input!$A:$A,$B464,[2]Fixture_Capacity_Input!$B:$B,$C464)&gt;0,SUMIFS([2]Fixture_Capacity_Input!$C:$C,[2]Fixture_Capacity_Input!$A:$A,$B464,[2]Fixture_Capacity_Input!$B:$B,$C464),[2]weekly_demand!G465))</f>
        <v/>
      </c>
      <c r="E464" s="58" t="str">
        <f>IF($A464="","",[2]weekly_demand!I465)</f>
        <v/>
      </c>
      <c r="F464" s="57" t="str">
        <f t="shared" si="70"/>
        <v/>
      </c>
      <c r="G464" s="57" t="str">
        <f t="shared" si="71"/>
        <v/>
      </c>
      <c r="H464" s="57" t="str">
        <f t="shared" si="69"/>
        <v/>
      </c>
      <c r="I464" s="58" t="str">
        <f t="shared" si="74"/>
        <v/>
      </c>
      <c r="J464" s="58" t="str">
        <f t="shared" si="72"/>
        <v/>
      </c>
      <c r="K464" s="58" t="str">
        <f t="shared" si="75"/>
        <v/>
      </c>
      <c r="L464" s="58" t="str">
        <f t="shared" si="76"/>
        <v/>
      </c>
      <c r="M464" s="58" t="str">
        <f t="shared" si="77"/>
        <v/>
      </c>
      <c r="N464" s="59" t="str">
        <f t="shared" si="73"/>
        <v/>
      </c>
      <c r="O464" s="60"/>
      <c r="P464" s="105"/>
    </row>
    <row r="465" spans="1:16" x14ac:dyDescent="0.3">
      <c r="A465" s="54" t="str">
        <f>IF([2]weekly_demand!A466="","",[2]weekly_demand!A466)</f>
        <v/>
      </c>
      <c r="B465" s="55" t="str">
        <f>IF($A465="","",[2]weekly_demand!F466)</f>
        <v/>
      </c>
      <c r="C465" s="56" t="str">
        <f>IF($A465="","",[2]weekly_demand!H466)</f>
        <v/>
      </c>
      <c r="D465" s="57" t="str">
        <f>IF($A465="","",IF(SUMIFS([2]Fixture_Capacity_Input!$C:$C,[2]Fixture_Capacity_Input!$A:$A,$B465,[2]Fixture_Capacity_Input!$B:$B,$C465)&gt;0,SUMIFS([2]Fixture_Capacity_Input!$C:$C,[2]Fixture_Capacity_Input!$A:$A,$B465,[2]Fixture_Capacity_Input!$B:$B,$C465),[2]weekly_demand!G466))</f>
        <v/>
      </c>
      <c r="E465" s="58" t="str">
        <f>IF($A465="","",[2]weekly_demand!I466)</f>
        <v/>
      </c>
      <c r="F465" s="57" t="str">
        <f t="shared" si="70"/>
        <v/>
      </c>
      <c r="G465" s="57" t="str">
        <f t="shared" si="71"/>
        <v/>
      </c>
      <c r="H465" s="57" t="str">
        <f t="shared" si="69"/>
        <v/>
      </c>
      <c r="I465" s="58" t="str">
        <f t="shared" si="74"/>
        <v/>
      </c>
      <c r="J465" s="58" t="str">
        <f t="shared" si="72"/>
        <v/>
      </c>
      <c r="K465" s="58" t="str">
        <f t="shared" si="75"/>
        <v/>
      </c>
      <c r="L465" s="58" t="str">
        <f t="shared" si="76"/>
        <v/>
      </c>
      <c r="M465" s="58" t="str">
        <f t="shared" si="77"/>
        <v/>
      </c>
      <c r="N465" s="59" t="str">
        <f t="shared" si="73"/>
        <v/>
      </c>
      <c r="O465" s="60"/>
      <c r="P465" s="105"/>
    </row>
    <row r="466" spans="1:16" x14ac:dyDescent="0.3">
      <c r="A466" s="54" t="str">
        <f>IF([2]weekly_demand!A467="","",[2]weekly_demand!A467)</f>
        <v/>
      </c>
      <c r="B466" s="55" t="str">
        <f>IF($A466="","",[2]weekly_demand!F467)</f>
        <v/>
      </c>
      <c r="C466" s="56" t="str">
        <f>IF($A466="","",[2]weekly_demand!H467)</f>
        <v/>
      </c>
      <c r="D466" s="57" t="str">
        <f>IF($A466="","",IF(SUMIFS([2]Fixture_Capacity_Input!$C:$C,[2]Fixture_Capacity_Input!$A:$A,$B466,[2]Fixture_Capacity_Input!$B:$B,$C466)&gt;0,SUMIFS([2]Fixture_Capacity_Input!$C:$C,[2]Fixture_Capacity_Input!$A:$A,$B466,[2]Fixture_Capacity_Input!$B:$B,$C466),[2]weekly_demand!G467))</f>
        <v/>
      </c>
      <c r="E466" s="58" t="str">
        <f>IF($A466="","",[2]weekly_demand!I467)</f>
        <v/>
      </c>
      <c r="F466" s="57" t="str">
        <f t="shared" si="70"/>
        <v/>
      </c>
      <c r="G466" s="57" t="str">
        <f t="shared" si="71"/>
        <v/>
      </c>
      <c r="H466" s="57" t="str">
        <f t="shared" si="69"/>
        <v/>
      </c>
      <c r="I466" s="58" t="str">
        <f t="shared" si="74"/>
        <v/>
      </c>
      <c r="J466" s="58" t="str">
        <f t="shared" si="72"/>
        <v/>
      </c>
      <c r="K466" s="58" t="str">
        <f t="shared" si="75"/>
        <v/>
      </c>
      <c r="L466" s="58" t="str">
        <f t="shared" si="76"/>
        <v/>
      </c>
      <c r="M466" s="58" t="str">
        <f t="shared" si="77"/>
        <v/>
      </c>
      <c r="N466" s="59" t="str">
        <f t="shared" si="73"/>
        <v/>
      </c>
      <c r="O466" s="60"/>
      <c r="P466" s="105"/>
    </row>
    <row r="467" spans="1:16" x14ac:dyDescent="0.3">
      <c r="A467" s="54" t="str">
        <f>IF([2]weekly_demand!A468="","",[2]weekly_demand!A468)</f>
        <v/>
      </c>
      <c r="B467" s="55" t="str">
        <f>IF($A467="","",[2]weekly_demand!F468)</f>
        <v/>
      </c>
      <c r="C467" s="56" t="str">
        <f>IF($A467="","",[2]weekly_demand!H468)</f>
        <v/>
      </c>
      <c r="D467" s="57" t="str">
        <f>IF($A467="","",IF(SUMIFS([2]Fixture_Capacity_Input!$C:$C,[2]Fixture_Capacity_Input!$A:$A,$B467,[2]Fixture_Capacity_Input!$B:$B,$C467)&gt;0,SUMIFS([2]Fixture_Capacity_Input!$C:$C,[2]Fixture_Capacity_Input!$A:$A,$B467,[2]Fixture_Capacity_Input!$B:$B,$C467),[2]weekly_demand!G468))</f>
        <v/>
      </c>
      <c r="E467" s="58" t="str">
        <f>IF($A467="","",[2]weekly_demand!I468)</f>
        <v/>
      </c>
      <c r="F467" s="57" t="str">
        <f t="shared" si="70"/>
        <v/>
      </c>
      <c r="G467" s="57" t="str">
        <f t="shared" si="71"/>
        <v/>
      </c>
      <c r="H467" s="57" t="str">
        <f t="shared" si="69"/>
        <v/>
      </c>
      <c r="I467" s="58" t="str">
        <f t="shared" si="74"/>
        <v/>
      </c>
      <c r="J467" s="58" t="str">
        <f t="shared" si="72"/>
        <v/>
      </c>
      <c r="K467" s="58" t="str">
        <f t="shared" si="75"/>
        <v/>
      </c>
      <c r="L467" s="58" t="str">
        <f t="shared" si="76"/>
        <v/>
      </c>
      <c r="M467" s="58" t="str">
        <f t="shared" si="77"/>
        <v/>
      </c>
      <c r="N467" s="59" t="str">
        <f t="shared" si="73"/>
        <v/>
      </c>
      <c r="O467" s="60"/>
      <c r="P467" s="105"/>
    </row>
    <row r="468" spans="1:16" x14ac:dyDescent="0.3">
      <c r="A468" s="54" t="str">
        <f>IF([2]weekly_demand!A469="","",[2]weekly_demand!A469)</f>
        <v/>
      </c>
      <c r="B468" s="55" t="str">
        <f>IF($A468="","",[2]weekly_demand!F469)</f>
        <v/>
      </c>
      <c r="C468" s="56" t="str">
        <f>IF($A468="","",[2]weekly_demand!H469)</f>
        <v/>
      </c>
      <c r="D468" s="57" t="str">
        <f>IF($A468="","",IF(SUMIFS([2]Fixture_Capacity_Input!$C:$C,[2]Fixture_Capacity_Input!$A:$A,$B468,[2]Fixture_Capacity_Input!$B:$B,$C468)&gt;0,SUMIFS([2]Fixture_Capacity_Input!$C:$C,[2]Fixture_Capacity_Input!$A:$A,$B468,[2]Fixture_Capacity_Input!$B:$B,$C468),[2]weekly_demand!G469))</f>
        <v/>
      </c>
      <c r="E468" s="58" t="str">
        <f>IF($A468="","",[2]weekly_demand!I469)</f>
        <v/>
      </c>
      <c r="F468" s="57" t="str">
        <f t="shared" si="70"/>
        <v/>
      </c>
      <c r="G468" s="57" t="str">
        <f t="shared" si="71"/>
        <v/>
      </c>
      <c r="H468" s="57" t="str">
        <f t="shared" si="69"/>
        <v/>
      </c>
      <c r="I468" s="58" t="str">
        <f t="shared" si="74"/>
        <v/>
      </c>
      <c r="J468" s="58" t="str">
        <f t="shared" si="72"/>
        <v/>
      </c>
      <c r="K468" s="58" t="str">
        <f t="shared" si="75"/>
        <v/>
      </c>
      <c r="L468" s="58" t="str">
        <f t="shared" si="76"/>
        <v/>
      </c>
      <c r="M468" s="58" t="str">
        <f t="shared" si="77"/>
        <v/>
      </c>
      <c r="N468" s="59" t="str">
        <f t="shared" si="73"/>
        <v/>
      </c>
      <c r="O468" s="60"/>
      <c r="P468" s="105"/>
    </row>
    <row r="469" spans="1:16" x14ac:dyDescent="0.3">
      <c r="A469" s="54" t="str">
        <f>IF([2]weekly_demand!A470="","",[2]weekly_demand!A470)</f>
        <v/>
      </c>
      <c r="B469" s="55" t="str">
        <f>IF($A469="","",[2]weekly_demand!F470)</f>
        <v/>
      </c>
      <c r="C469" s="56" t="str">
        <f>IF($A469="","",[2]weekly_demand!H470)</f>
        <v/>
      </c>
      <c r="D469" s="57" t="str">
        <f>IF($A469="","",IF(SUMIFS([2]Fixture_Capacity_Input!$C:$C,[2]Fixture_Capacity_Input!$A:$A,$B469,[2]Fixture_Capacity_Input!$B:$B,$C469)&gt;0,SUMIFS([2]Fixture_Capacity_Input!$C:$C,[2]Fixture_Capacity_Input!$A:$A,$B469,[2]Fixture_Capacity_Input!$B:$B,$C469),[2]weekly_demand!G470))</f>
        <v/>
      </c>
      <c r="E469" s="58" t="str">
        <f>IF($A469="","",[2]weekly_demand!I470)</f>
        <v/>
      </c>
      <c r="F469" s="57" t="str">
        <f t="shared" si="70"/>
        <v/>
      </c>
      <c r="G469" s="57" t="str">
        <f t="shared" si="71"/>
        <v/>
      </c>
      <c r="H469" s="57" t="str">
        <f t="shared" si="69"/>
        <v/>
      </c>
      <c r="I469" s="58" t="str">
        <f t="shared" si="74"/>
        <v/>
      </c>
      <c r="J469" s="58" t="str">
        <f t="shared" si="72"/>
        <v/>
      </c>
      <c r="K469" s="58" t="str">
        <f t="shared" si="75"/>
        <v/>
      </c>
      <c r="L469" s="58" t="str">
        <f t="shared" si="76"/>
        <v/>
      </c>
      <c r="M469" s="58" t="str">
        <f t="shared" si="77"/>
        <v/>
      </c>
      <c r="N469" s="59" t="str">
        <f t="shared" si="73"/>
        <v/>
      </c>
      <c r="O469" s="60"/>
      <c r="P469" s="105"/>
    </row>
    <row r="470" spans="1:16" x14ac:dyDescent="0.3">
      <c r="A470" s="54" t="str">
        <f>IF([2]weekly_demand!A471="","",[2]weekly_demand!A471)</f>
        <v/>
      </c>
      <c r="B470" s="55" t="str">
        <f>IF($A470="","",[2]weekly_demand!F471)</f>
        <v/>
      </c>
      <c r="C470" s="56" t="str">
        <f>IF($A470="","",[2]weekly_demand!H471)</f>
        <v/>
      </c>
      <c r="D470" s="57" t="str">
        <f>IF($A470="","",IF(SUMIFS([2]Fixture_Capacity_Input!$C:$C,[2]Fixture_Capacity_Input!$A:$A,$B470,[2]Fixture_Capacity_Input!$B:$B,$C470)&gt;0,SUMIFS([2]Fixture_Capacity_Input!$C:$C,[2]Fixture_Capacity_Input!$A:$A,$B470,[2]Fixture_Capacity_Input!$B:$B,$C470),[2]weekly_demand!G471))</f>
        <v/>
      </c>
      <c r="E470" s="58" t="str">
        <f>IF($A470="","",[2]weekly_demand!I471)</f>
        <v/>
      </c>
      <c r="F470" s="57" t="str">
        <f t="shared" si="70"/>
        <v/>
      </c>
      <c r="G470" s="57" t="str">
        <f t="shared" si="71"/>
        <v/>
      </c>
      <c r="H470" s="57" t="str">
        <f t="shared" si="69"/>
        <v/>
      </c>
      <c r="I470" s="58" t="str">
        <f t="shared" si="74"/>
        <v/>
      </c>
      <c r="J470" s="58" t="str">
        <f t="shared" si="72"/>
        <v/>
      </c>
      <c r="K470" s="58" t="str">
        <f t="shared" si="75"/>
        <v/>
      </c>
      <c r="L470" s="58" t="str">
        <f t="shared" si="76"/>
        <v/>
      </c>
      <c r="M470" s="58" t="str">
        <f t="shared" si="77"/>
        <v/>
      </c>
      <c r="N470" s="59" t="str">
        <f t="shared" si="73"/>
        <v/>
      </c>
      <c r="O470" s="60"/>
      <c r="P470" s="105"/>
    </row>
    <row r="471" spans="1:16" x14ac:dyDescent="0.3">
      <c r="A471" s="54" t="str">
        <f>IF([2]weekly_demand!A472="","",[2]weekly_demand!A472)</f>
        <v/>
      </c>
      <c r="B471" s="55" t="str">
        <f>IF($A471="","",[2]weekly_demand!F472)</f>
        <v/>
      </c>
      <c r="C471" s="56" t="str">
        <f>IF($A471="","",[2]weekly_demand!H472)</f>
        <v/>
      </c>
      <c r="D471" s="57" t="str">
        <f>IF($A471="","",IF(SUMIFS([2]Fixture_Capacity_Input!$C:$C,[2]Fixture_Capacity_Input!$A:$A,$B471,[2]Fixture_Capacity_Input!$B:$B,$C471)&gt;0,SUMIFS([2]Fixture_Capacity_Input!$C:$C,[2]Fixture_Capacity_Input!$A:$A,$B471,[2]Fixture_Capacity_Input!$B:$B,$C471),[2]weekly_demand!G472))</f>
        <v/>
      </c>
      <c r="E471" s="58" t="str">
        <f>IF($A471="","",[2]weekly_demand!I472)</f>
        <v/>
      </c>
      <c r="F471" s="57" t="str">
        <f t="shared" si="70"/>
        <v/>
      </c>
      <c r="G471" s="57" t="str">
        <f t="shared" si="71"/>
        <v/>
      </c>
      <c r="H471" s="57" t="str">
        <f t="shared" si="69"/>
        <v/>
      </c>
      <c r="I471" s="58" t="str">
        <f t="shared" si="74"/>
        <v/>
      </c>
      <c r="J471" s="58" t="str">
        <f t="shared" si="72"/>
        <v/>
      </c>
      <c r="K471" s="58" t="str">
        <f t="shared" si="75"/>
        <v/>
      </c>
      <c r="L471" s="58" t="str">
        <f t="shared" si="76"/>
        <v/>
      </c>
      <c r="M471" s="58" t="str">
        <f t="shared" si="77"/>
        <v/>
      </c>
      <c r="N471" s="59" t="str">
        <f t="shared" si="73"/>
        <v/>
      </c>
      <c r="O471" s="60"/>
      <c r="P471" s="105"/>
    </row>
    <row r="472" spans="1:16" x14ac:dyDescent="0.3">
      <c r="A472" s="54" t="str">
        <f>IF([2]weekly_demand!A473="","",[2]weekly_demand!A473)</f>
        <v/>
      </c>
      <c r="B472" s="55" t="str">
        <f>IF($A472="","",[2]weekly_demand!F473)</f>
        <v/>
      </c>
      <c r="C472" s="56" t="str">
        <f>IF($A472="","",[2]weekly_demand!H473)</f>
        <v/>
      </c>
      <c r="D472" s="57" t="str">
        <f>IF($A472="","",IF(SUMIFS([2]Fixture_Capacity_Input!$C:$C,[2]Fixture_Capacity_Input!$A:$A,$B472,[2]Fixture_Capacity_Input!$B:$B,$C472)&gt;0,SUMIFS([2]Fixture_Capacity_Input!$C:$C,[2]Fixture_Capacity_Input!$A:$A,$B472,[2]Fixture_Capacity_Input!$B:$B,$C472),[2]weekly_demand!G473))</f>
        <v/>
      </c>
      <c r="E472" s="58" t="str">
        <f>IF($A472="","",[2]weekly_demand!I473)</f>
        <v/>
      </c>
      <c r="F472" s="57" t="str">
        <f t="shared" si="70"/>
        <v/>
      </c>
      <c r="G472" s="57" t="str">
        <f t="shared" si="71"/>
        <v/>
      </c>
      <c r="H472" s="57" t="str">
        <f t="shared" si="69"/>
        <v/>
      </c>
      <c r="I472" s="58" t="str">
        <f t="shared" si="74"/>
        <v/>
      </c>
      <c r="J472" s="58" t="str">
        <f t="shared" si="72"/>
        <v/>
      </c>
      <c r="K472" s="58" t="str">
        <f t="shared" si="75"/>
        <v/>
      </c>
      <c r="L472" s="58" t="str">
        <f t="shared" si="76"/>
        <v/>
      </c>
      <c r="M472" s="58" t="str">
        <f t="shared" si="77"/>
        <v/>
      </c>
      <c r="N472" s="59" t="str">
        <f t="shared" si="73"/>
        <v/>
      </c>
      <c r="O472" s="60"/>
      <c r="P472" s="105"/>
    </row>
    <row r="473" spans="1:16" x14ac:dyDescent="0.3">
      <c r="A473" s="54" t="str">
        <f>IF([2]weekly_demand!A474="","",[2]weekly_demand!A474)</f>
        <v/>
      </c>
      <c r="B473" s="55" t="str">
        <f>IF($A473="","",[2]weekly_demand!F474)</f>
        <v/>
      </c>
      <c r="C473" s="56" t="str">
        <f>IF($A473="","",[2]weekly_demand!H474)</f>
        <v/>
      </c>
      <c r="D473" s="57" t="str">
        <f>IF($A473="","",IF(SUMIFS([2]Fixture_Capacity_Input!$C:$C,[2]Fixture_Capacity_Input!$A:$A,$B473,[2]Fixture_Capacity_Input!$B:$B,$C473)&gt;0,SUMIFS([2]Fixture_Capacity_Input!$C:$C,[2]Fixture_Capacity_Input!$A:$A,$B473,[2]Fixture_Capacity_Input!$B:$B,$C473),[2]weekly_demand!G474))</f>
        <v/>
      </c>
      <c r="E473" s="58" t="str">
        <f>IF($A473="","",[2]weekly_demand!I474)</f>
        <v/>
      </c>
      <c r="F473" s="57" t="str">
        <f t="shared" si="70"/>
        <v/>
      </c>
      <c r="G473" s="57" t="str">
        <f t="shared" si="71"/>
        <v/>
      </c>
      <c r="H473" s="57" t="str">
        <f t="shared" si="69"/>
        <v/>
      </c>
      <c r="I473" s="58" t="str">
        <f t="shared" si="74"/>
        <v/>
      </c>
      <c r="J473" s="58" t="str">
        <f t="shared" si="72"/>
        <v/>
      </c>
      <c r="K473" s="58" t="str">
        <f t="shared" si="75"/>
        <v/>
      </c>
      <c r="L473" s="58" t="str">
        <f t="shared" si="76"/>
        <v/>
      </c>
      <c r="M473" s="58" t="str">
        <f t="shared" si="77"/>
        <v/>
      </c>
      <c r="N473" s="59" t="str">
        <f t="shared" si="73"/>
        <v/>
      </c>
      <c r="O473" s="60"/>
      <c r="P473" s="105"/>
    </row>
    <row r="474" spans="1:16" x14ac:dyDescent="0.3">
      <c r="A474" s="54" t="str">
        <f>IF([2]weekly_demand!A475="","",[2]weekly_demand!A475)</f>
        <v/>
      </c>
      <c r="B474" s="55" t="str">
        <f>IF($A474="","",[2]weekly_demand!F475)</f>
        <v/>
      </c>
      <c r="C474" s="56" t="str">
        <f>IF($A474="","",[2]weekly_demand!H475)</f>
        <v/>
      </c>
      <c r="D474" s="57" t="str">
        <f>IF($A474="","",IF(SUMIFS([2]Fixture_Capacity_Input!$C:$C,[2]Fixture_Capacity_Input!$A:$A,$B474,[2]Fixture_Capacity_Input!$B:$B,$C474)&gt;0,SUMIFS([2]Fixture_Capacity_Input!$C:$C,[2]Fixture_Capacity_Input!$A:$A,$B474,[2]Fixture_Capacity_Input!$B:$B,$C474),[2]weekly_demand!G475))</f>
        <v/>
      </c>
      <c r="E474" s="58" t="str">
        <f>IF($A474="","",[2]weekly_demand!I475)</f>
        <v/>
      </c>
      <c r="F474" s="57" t="str">
        <f t="shared" si="70"/>
        <v/>
      </c>
      <c r="G474" s="57" t="str">
        <f t="shared" si="71"/>
        <v/>
      </c>
      <c r="H474" s="57" t="str">
        <f t="shared" si="69"/>
        <v/>
      </c>
      <c r="I474" s="58" t="str">
        <f t="shared" si="74"/>
        <v/>
      </c>
      <c r="J474" s="58" t="str">
        <f t="shared" si="72"/>
        <v/>
      </c>
      <c r="K474" s="58" t="str">
        <f t="shared" si="75"/>
        <v/>
      </c>
      <c r="L474" s="58" t="str">
        <f t="shared" si="76"/>
        <v/>
      </c>
      <c r="M474" s="58" t="str">
        <f t="shared" si="77"/>
        <v/>
      </c>
      <c r="N474" s="59" t="str">
        <f t="shared" si="73"/>
        <v/>
      </c>
      <c r="O474" s="60"/>
      <c r="P474" s="105"/>
    </row>
    <row r="475" spans="1:16" x14ac:dyDescent="0.3">
      <c r="A475" s="54" t="str">
        <f>IF([2]weekly_demand!A476="","",[2]weekly_demand!A476)</f>
        <v/>
      </c>
      <c r="B475" s="55" t="str">
        <f>IF($A475="","",[2]weekly_demand!F476)</f>
        <v/>
      </c>
      <c r="C475" s="56" t="str">
        <f>IF($A475="","",[2]weekly_demand!H476)</f>
        <v/>
      </c>
      <c r="D475" s="57" t="str">
        <f>IF($A475="","",IF(SUMIFS([2]Fixture_Capacity_Input!$C:$C,[2]Fixture_Capacity_Input!$A:$A,$B475,[2]Fixture_Capacity_Input!$B:$B,$C475)&gt;0,SUMIFS([2]Fixture_Capacity_Input!$C:$C,[2]Fixture_Capacity_Input!$A:$A,$B475,[2]Fixture_Capacity_Input!$B:$B,$C475),[2]weekly_demand!G476))</f>
        <v/>
      </c>
      <c r="E475" s="58" t="str">
        <f>IF($A475="","",[2]weekly_demand!I476)</f>
        <v/>
      </c>
      <c r="F475" s="57" t="str">
        <f t="shared" si="70"/>
        <v/>
      </c>
      <c r="G475" s="57" t="str">
        <f t="shared" si="71"/>
        <v/>
      </c>
      <c r="H475" s="57" t="str">
        <f t="shared" si="69"/>
        <v/>
      </c>
      <c r="I475" s="58" t="str">
        <f t="shared" si="74"/>
        <v/>
      </c>
      <c r="J475" s="58" t="str">
        <f t="shared" si="72"/>
        <v/>
      </c>
      <c r="K475" s="58" t="str">
        <f t="shared" si="75"/>
        <v/>
      </c>
      <c r="L475" s="58" t="str">
        <f t="shared" si="76"/>
        <v/>
      </c>
      <c r="M475" s="58" t="str">
        <f t="shared" si="77"/>
        <v/>
      </c>
      <c r="N475" s="59" t="str">
        <f t="shared" si="73"/>
        <v/>
      </c>
      <c r="O475" s="60"/>
      <c r="P475" s="105"/>
    </row>
    <row r="476" spans="1:16" x14ac:dyDescent="0.3">
      <c r="A476" s="54" t="str">
        <f>IF([2]weekly_demand!A477="","",[2]weekly_demand!A477)</f>
        <v/>
      </c>
      <c r="B476" s="55" t="str">
        <f>IF($A476="","",[2]weekly_demand!F477)</f>
        <v/>
      </c>
      <c r="C476" s="56" t="str">
        <f>IF($A476="","",[2]weekly_demand!H477)</f>
        <v/>
      </c>
      <c r="D476" s="57" t="str">
        <f>IF($A476="","",IF(SUMIFS([2]Fixture_Capacity_Input!$C:$C,[2]Fixture_Capacity_Input!$A:$A,$B476,[2]Fixture_Capacity_Input!$B:$B,$C476)&gt;0,SUMIFS([2]Fixture_Capacity_Input!$C:$C,[2]Fixture_Capacity_Input!$A:$A,$B476,[2]Fixture_Capacity_Input!$B:$B,$C476),[2]weekly_demand!G477))</f>
        <v/>
      </c>
      <c r="E476" s="58" t="str">
        <f>IF($A476="","",[2]weekly_demand!I477)</f>
        <v/>
      </c>
      <c r="F476" s="57" t="str">
        <f t="shared" si="70"/>
        <v/>
      </c>
      <c r="G476" s="57" t="str">
        <f t="shared" si="71"/>
        <v/>
      </c>
      <c r="H476" s="57" t="str">
        <f t="shared" si="69"/>
        <v/>
      </c>
      <c r="I476" s="58" t="str">
        <f t="shared" si="74"/>
        <v/>
      </c>
      <c r="J476" s="58" t="str">
        <f t="shared" si="72"/>
        <v/>
      </c>
      <c r="K476" s="58" t="str">
        <f t="shared" si="75"/>
        <v/>
      </c>
      <c r="L476" s="58" t="str">
        <f t="shared" si="76"/>
        <v/>
      </c>
      <c r="M476" s="58" t="str">
        <f t="shared" si="77"/>
        <v/>
      </c>
      <c r="N476" s="59" t="str">
        <f t="shared" si="73"/>
        <v/>
      </c>
      <c r="O476" s="60"/>
      <c r="P476" s="105"/>
    </row>
    <row r="477" spans="1:16" x14ac:dyDescent="0.3">
      <c r="A477" s="54" t="str">
        <f>IF([2]weekly_demand!A478="","",[2]weekly_demand!A478)</f>
        <v/>
      </c>
      <c r="B477" s="55" t="str">
        <f>IF($A477="","",[2]weekly_demand!F478)</f>
        <v/>
      </c>
      <c r="C477" s="56" t="str">
        <f>IF($A477="","",[2]weekly_demand!H478)</f>
        <v/>
      </c>
      <c r="D477" s="57" t="str">
        <f>IF($A477="","",IF(SUMIFS([2]Fixture_Capacity_Input!$C:$C,[2]Fixture_Capacity_Input!$A:$A,$B477,[2]Fixture_Capacity_Input!$B:$B,$C477)&gt;0,SUMIFS([2]Fixture_Capacity_Input!$C:$C,[2]Fixture_Capacity_Input!$A:$A,$B477,[2]Fixture_Capacity_Input!$B:$B,$C477),[2]weekly_demand!G478))</f>
        <v/>
      </c>
      <c r="E477" s="58" t="str">
        <f>IF($A477="","",[2]weekly_demand!I478)</f>
        <v/>
      </c>
      <c r="F477" s="57" t="str">
        <f t="shared" si="70"/>
        <v/>
      </c>
      <c r="G477" s="57" t="str">
        <f t="shared" si="71"/>
        <v/>
      </c>
      <c r="H477" s="57" t="str">
        <f t="shared" si="69"/>
        <v/>
      </c>
      <c r="I477" s="58" t="str">
        <f t="shared" si="74"/>
        <v/>
      </c>
      <c r="J477" s="58" t="str">
        <f t="shared" si="72"/>
        <v/>
      </c>
      <c r="K477" s="58" t="str">
        <f t="shared" si="75"/>
        <v/>
      </c>
      <c r="L477" s="58" t="str">
        <f t="shared" si="76"/>
        <v/>
      </c>
      <c r="M477" s="58" t="str">
        <f t="shared" si="77"/>
        <v/>
      </c>
      <c r="N477" s="59" t="str">
        <f t="shared" si="73"/>
        <v/>
      </c>
      <c r="O477" s="60"/>
      <c r="P477" s="105"/>
    </row>
    <row r="478" spans="1:16" x14ac:dyDescent="0.3">
      <c r="A478" s="54" t="str">
        <f>IF([2]weekly_demand!A479="","",[2]weekly_demand!A479)</f>
        <v/>
      </c>
      <c r="B478" s="55" t="str">
        <f>IF($A478="","",[2]weekly_demand!F479)</f>
        <v/>
      </c>
      <c r="C478" s="56" t="str">
        <f>IF($A478="","",[2]weekly_demand!H479)</f>
        <v/>
      </c>
      <c r="D478" s="57" t="str">
        <f>IF($A478="","",IF(SUMIFS([2]Fixture_Capacity_Input!$C:$C,[2]Fixture_Capacity_Input!$A:$A,$B478,[2]Fixture_Capacity_Input!$B:$B,$C478)&gt;0,SUMIFS([2]Fixture_Capacity_Input!$C:$C,[2]Fixture_Capacity_Input!$A:$A,$B478,[2]Fixture_Capacity_Input!$B:$B,$C478),[2]weekly_demand!G479))</f>
        <v/>
      </c>
      <c r="E478" s="58" t="str">
        <f>IF($A478="","",[2]weekly_demand!I479)</f>
        <v/>
      </c>
      <c r="F478" s="57" t="str">
        <f t="shared" si="70"/>
        <v/>
      </c>
      <c r="G478" s="57" t="str">
        <f t="shared" si="71"/>
        <v/>
      </c>
      <c r="H478" s="57" t="str">
        <f t="shared" si="69"/>
        <v/>
      </c>
      <c r="I478" s="58" t="str">
        <f t="shared" si="74"/>
        <v/>
      </c>
      <c r="J478" s="58" t="str">
        <f t="shared" si="72"/>
        <v/>
      </c>
      <c r="K478" s="58" t="str">
        <f t="shared" si="75"/>
        <v/>
      </c>
      <c r="L478" s="58" t="str">
        <f t="shared" si="76"/>
        <v/>
      </c>
      <c r="M478" s="58" t="str">
        <f t="shared" si="77"/>
        <v/>
      </c>
      <c r="N478" s="59" t="str">
        <f t="shared" si="73"/>
        <v/>
      </c>
      <c r="O478" s="60"/>
      <c r="P478" s="105"/>
    </row>
    <row r="479" spans="1:16" x14ac:dyDescent="0.3">
      <c r="A479" s="54" t="str">
        <f>IF([2]weekly_demand!A480="","",[2]weekly_demand!A480)</f>
        <v/>
      </c>
      <c r="B479" s="55" t="str">
        <f>IF($A479="","",[2]weekly_demand!F480)</f>
        <v/>
      </c>
      <c r="C479" s="56" t="str">
        <f>IF($A479="","",[2]weekly_demand!H480)</f>
        <v/>
      </c>
      <c r="D479" s="57" t="str">
        <f>IF($A479="","",IF(SUMIFS([2]Fixture_Capacity_Input!$C:$C,[2]Fixture_Capacity_Input!$A:$A,$B479,[2]Fixture_Capacity_Input!$B:$B,$C479)&gt;0,SUMIFS([2]Fixture_Capacity_Input!$C:$C,[2]Fixture_Capacity_Input!$A:$A,$B479,[2]Fixture_Capacity_Input!$B:$B,$C479),[2]weekly_demand!G480))</f>
        <v/>
      </c>
      <c r="E479" s="58" t="str">
        <f>IF($A479="","",[2]weekly_demand!I480)</f>
        <v/>
      </c>
      <c r="F479" s="57" t="str">
        <f t="shared" si="70"/>
        <v/>
      </c>
      <c r="G479" s="57" t="str">
        <f t="shared" si="71"/>
        <v/>
      </c>
      <c r="H479" s="57" t="str">
        <f t="shared" si="69"/>
        <v/>
      </c>
      <c r="I479" s="58" t="str">
        <f t="shared" si="74"/>
        <v/>
      </c>
      <c r="J479" s="58" t="str">
        <f t="shared" si="72"/>
        <v/>
      </c>
      <c r="K479" s="58" t="str">
        <f t="shared" si="75"/>
        <v/>
      </c>
      <c r="L479" s="58" t="str">
        <f t="shared" si="76"/>
        <v/>
      </c>
      <c r="M479" s="58" t="str">
        <f t="shared" si="77"/>
        <v/>
      </c>
      <c r="N479" s="59" t="str">
        <f t="shared" si="73"/>
        <v/>
      </c>
      <c r="O479" s="60"/>
      <c r="P479" s="105"/>
    </row>
    <row r="480" spans="1:16" x14ac:dyDescent="0.3">
      <c r="A480" s="54" t="str">
        <f>IF([2]weekly_demand!A481="","",[2]weekly_demand!A481)</f>
        <v/>
      </c>
      <c r="B480" s="55" t="str">
        <f>IF($A480="","",[2]weekly_demand!F481)</f>
        <v/>
      </c>
      <c r="C480" s="56" t="str">
        <f>IF($A480="","",[2]weekly_demand!H481)</f>
        <v/>
      </c>
      <c r="D480" s="57" t="str">
        <f>IF($A480="","",IF(SUMIFS([2]Fixture_Capacity_Input!$C:$C,[2]Fixture_Capacity_Input!$A:$A,$B480,[2]Fixture_Capacity_Input!$B:$B,$C480)&gt;0,SUMIFS([2]Fixture_Capacity_Input!$C:$C,[2]Fixture_Capacity_Input!$A:$A,$B480,[2]Fixture_Capacity_Input!$B:$B,$C480),[2]weekly_demand!G481))</f>
        <v/>
      </c>
      <c r="E480" s="58" t="str">
        <f>IF($A480="","",[2]weekly_demand!I481)</f>
        <v/>
      </c>
      <c r="F480" s="57" t="str">
        <f t="shared" si="70"/>
        <v/>
      </c>
      <c r="G480" s="57" t="str">
        <f t="shared" si="71"/>
        <v/>
      </c>
      <c r="H480" s="57" t="str">
        <f t="shared" si="69"/>
        <v/>
      </c>
      <c r="I480" s="58" t="str">
        <f t="shared" si="74"/>
        <v/>
      </c>
      <c r="J480" s="58" t="str">
        <f t="shared" si="72"/>
        <v/>
      </c>
      <c r="K480" s="58" t="str">
        <f t="shared" si="75"/>
        <v/>
      </c>
      <c r="L480" s="58" t="str">
        <f t="shared" si="76"/>
        <v/>
      </c>
      <c r="M480" s="58" t="str">
        <f t="shared" si="77"/>
        <v/>
      </c>
      <c r="N480" s="59" t="str">
        <f t="shared" si="73"/>
        <v/>
      </c>
      <c r="O480" s="60"/>
      <c r="P480" s="105"/>
    </row>
    <row r="481" spans="1:16" x14ac:dyDescent="0.3">
      <c r="A481" s="54" t="str">
        <f>IF([2]weekly_demand!A482="","",[2]weekly_demand!A482)</f>
        <v/>
      </c>
      <c r="B481" s="55" t="str">
        <f>IF($A481="","",[2]weekly_demand!F482)</f>
        <v/>
      </c>
      <c r="C481" s="56" t="str">
        <f>IF($A481="","",[2]weekly_demand!H482)</f>
        <v/>
      </c>
      <c r="D481" s="57" t="str">
        <f>IF($A481="","",IF(SUMIFS([2]Fixture_Capacity_Input!$C:$C,[2]Fixture_Capacity_Input!$A:$A,$B481,[2]Fixture_Capacity_Input!$B:$B,$C481)&gt;0,SUMIFS([2]Fixture_Capacity_Input!$C:$C,[2]Fixture_Capacity_Input!$A:$A,$B481,[2]Fixture_Capacity_Input!$B:$B,$C481),[2]weekly_demand!G482))</f>
        <v/>
      </c>
      <c r="E481" s="58" t="str">
        <f>IF($A481="","",[2]weekly_demand!I482)</f>
        <v/>
      </c>
      <c r="F481" s="57" t="str">
        <f t="shared" si="70"/>
        <v/>
      </c>
      <c r="G481" s="57" t="str">
        <f t="shared" si="71"/>
        <v/>
      </c>
      <c r="H481" s="57" t="str">
        <f t="shared" si="69"/>
        <v/>
      </c>
      <c r="I481" s="58" t="str">
        <f t="shared" si="74"/>
        <v/>
      </c>
      <c r="J481" s="58" t="str">
        <f t="shared" si="72"/>
        <v/>
      </c>
      <c r="K481" s="58" t="str">
        <f t="shared" si="75"/>
        <v/>
      </c>
      <c r="L481" s="58" t="str">
        <f t="shared" si="76"/>
        <v/>
      </c>
      <c r="M481" s="58" t="str">
        <f t="shared" si="77"/>
        <v/>
      </c>
      <c r="N481" s="59" t="str">
        <f t="shared" si="73"/>
        <v/>
      </c>
      <c r="O481" s="60"/>
      <c r="P481" s="105"/>
    </row>
    <row r="482" spans="1:16" x14ac:dyDescent="0.3">
      <c r="A482" s="54" t="str">
        <f>IF([2]weekly_demand!A483="","",[2]weekly_demand!A483)</f>
        <v/>
      </c>
      <c r="B482" s="55" t="str">
        <f>IF($A482="","",[2]weekly_demand!F483)</f>
        <v/>
      </c>
      <c r="C482" s="56" t="str">
        <f>IF($A482="","",[2]weekly_demand!H483)</f>
        <v/>
      </c>
      <c r="D482" s="57" t="str">
        <f>IF($A482="","",IF(SUMIFS([2]Fixture_Capacity_Input!$C:$C,[2]Fixture_Capacity_Input!$A:$A,$B482,[2]Fixture_Capacity_Input!$B:$B,$C482)&gt;0,SUMIFS([2]Fixture_Capacity_Input!$C:$C,[2]Fixture_Capacity_Input!$A:$A,$B482,[2]Fixture_Capacity_Input!$B:$B,$C482),[2]weekly_demand!G483))</f>
        <v/>
      </c>
      <c r="E482" s="58" t="str">
        <f>IF($A482="","",[2]weekly_demand!I483)</f>
        <v/>
      </c>
      <c r="F482" s="57" t="str">
        <f t="shared" si="70"/>
        <v/>
      </c>
      <c r="G482" s="57" t="str">
        <f t="shared" si="71"/>
        <v/>
      </c>
      <c r="H482" s="57" t="str">
        <f t="shared" si="69"/>
        <v/>
      </c>
      <c r="I482" s="58" t="str">
        <f t="shared" si="74"/>
        <v/>
      </c>
      <c r="J482" s="58" t="str">
        <f t="shared" si="72"/>
        <v/>
      </c>
      <c r="K482" s="58" t="str">
        <f t="shared" si="75"/>
        <v/>
      </c>
      <c r="L482" s="58" t="str">
        <f t="shared" si="76"/>
        <v/>
      </c>
      <c r="M482" s="58" t="str">
        <f t="shared" si="77"/>
        <v/>
      </c>
      <c r="N482" s="59" t="str">
        <f t="shared" si="73"/>
        <v/>
      </c>
      <c r="O482" s="60"/>
      <c r="P482" s="105"/>
    </row>
    <row r="483" spans="1:16" x14ac:dyDescent="0.3">
      <c r="A483" s="54" t="str">
        <f>IF([2]weekly_demand!A484="","",[2]weekly_demand!A484)</f>
        <v/>
      </c>
      <c r="B483" s="55" t="str">
        <f>IF($A483="","",[2]weekly_demand!F484)</f>
        <v/>
      </c>
      <c r="C483" s="56" t="str">
        <f>IF($A483="","",[2]weekly_demand!H484)</f>
        <v/>
      </c>
      <c r="D483" s="57" t="str">
        <f>IF($A483="","",IF(SUMIFS([2]Fixture_Capacity_Input!$C:$C,[2]Fixture_Capacity_Input!$A:$A,$B483,[2]Fixture_Capacity_Input!$B:$B,$C483)&gt;0,SUMIFS([2]Fixture_Capacity_Input!$C:$C,[2]Fixture_Capacity_Input!$A:$A,$B483,[2]Fixture_Capacity_Input!$B:$B,$C483),[2]weekly_demand!G484))</f>
        <v/>
      </c>
      <c r="E483" s="58" t="str">
        <f>IF($A483="","",[2]weekly_demand!I484)</f>
        <v/>
      </c>
      <c r="F483" s="57" t="str">
        <f t="shared" si="70"/>
        <v/>
      </c>
      <c r="G483" s="57" t="str">
        <f t="shared" si="71"/>
        <v/>
      </c>
      <c r="H483" s="57" t="str">
        <f t="shared" si="69"/>
        <v/>
      </c>
      <c r="I483" s="58" t="str">
        <f t="shared" si="74"/>
        <v/>
      </c>
      <c r="J483" s="58" t="str">
        <f t="shared" si="72"/>
        <v/>
      </c>
      <c r="K483" s="58" t="str">
        <f t="shared" si="75"/>
        <v/>
      </c>
      <c r="L483" s="58" t="str">
        <f t="shared" si="76"/>
        <v/>
      </c>
      <c r="M483" s="58" t="str">
        <f t="shared" si="77"/>
        <v/>
      </c>
      <c r="N483" s="59" t="str">
        <f t="shared" si="73"/>
        <v/>
      </c>
      <c r="O483" s="60"/>
      <c r="P483" s="105"/>
    </row>
    <row r="484" spans="1:16" x14ac:dyDescent="0.3">
      <c r="A484" s="54" t="str">
        <f>IF([2]weekly_demand!A485="","",[2]weekly_demand!A485)</f>
        <v/>
      </c>
      <c r="B484" s="55" t="str">
        <f>IF($A484="","",[2]weekly_demand!F485)</f>
        <v/>
      </c>
      <c r="C484" s="56" t="str">
        <f>IF($A484="","",[2]weekly_demand!H485)</f>
        <v/>
      </c>
      <c r="D484" s="57" t="str">
        <f>IF($A484="","",IF(SUMIFS([2]Fixture_Capacity_Input!$C:$C,[2]Fixture_Capacity_Input!$A:$A,$B484,[2]Fixture_Capacity_Input!$B:$B,$C484)&gt;0,SUMIFS([2]Fixture_Capacity_Input!$C:$C,[2]Fixture_Capacity_Input!$A:$A,$B484,[2]Fixture_Capacity_Input!$B:$B,$C484),[2]weekly_demand!G485))</f>
        <v/>
      </c>
      <c r="E484" s="58" t="str">
        <f>IF($A484="","",[2]weekly_demand!I485)</f>
        <v/>
      </c>
      <c r="F484" s="57" t="str">
        <f t="shared" si="70"/>
        <v/>
      </c>
      <c r="G484" s="57" t="str">
        <f t="shared" si="71"/>
        <v/>
      </c>
      <c r="H484" s="57" t="str">
        <f t="shared" si="69"/>
        <v/>
      </c>
      <c r="I484" s="58" t="str">
        <f t="shared" si="74"/>
        <v/>
      </c>
      <c r="J484" s="58" t="str">
        <f t="shared" si="72"/>
        <v/>
      </c>
      <c r="K484" s="58" t="str">
        <f t="shared" si="75"/>
        <v/>
      </c>
      <c r="L484" s="58" t="str">
        <f t="shared" si="76"/>
        <v/>
      </c>
      <c r="M484" s="58" t="str">
        <f t="shared" si="77"/>
        <v/>
      </c>
      <c r="N484" s="59" t="str">
        <f t="shared" si="73"/>
        <v/>
      </c>
      <c r="O484" s="60"/>
      <c r="P484" s="105"/>
    </row>
    <row r="485" spans="1:16" x14ac:dyDescent="0.3">
      <c r="A485" s="54" t="str">
        <f>IF([2]weekly_demand!A486="","",[2]weekly_demand!A486)</f>
        <v/>
      </c>
      <c r="B485" s="55" t="str">
        <f>IF($A485="","",[2]weekly_demand!F486)</f>
        <v/>
      </c>
      <c r="C485" s="56" t="str">
        <f>IF($A485="","",[2]weekly_demand!H486)</f>
        <v/>
      </c>
      <c r="D485" s="57" t="str">
        <f>IF($A485="","",IF(SUMIFS([2]Fixture_Capacity_Input!$C:$C,[2]Fixture_Capacity_Input!$A:$A,$B485,[2]Fixture_Capacity_Input!$B:$B,$C485)&gt;0,SUMIFS([2]Fixture_Capacity_Input!$C:$C,[2]Fixture_Capacity_Input!$A:$A,$B485,[2]Fixture_Capacity_Input!$B:$B,$C485),[2]weekly_demand!G486))</f>
        <v/>
      </c>
      <c r="E485" s="58" t="str">
        <f>IF($A485="","",[2]weekly_demand!I486)</f>
        <v/>
      </c>
      <c r="F485" s="57" t="str">
        <f t="shared" si="70"/>
        <v/>
      </c>
      <c r="G485" s="57" t="str">
        <f t="shared" si="71"/>
        <v/>
      </c>
      <c r="H485" s="57" t="str">
        <f t="shared" si="69"/>
        <v/>
      </c>
      <c r="I485" s="58" t="str">
        <f t="shared" si="74"/>
        <v/>
      </c>
      <c r="J485" s="58" t="str">
        <f t="shared" si="72"/>
        <v/>
      </c>
      <c r="K485" s="58" t="str">
        <f t="shared" si="75"/>
        <v/>
      </c>
      <c r="L485" s="58" t="str">
        <f t="shared" si="76"/>
        <v/>
      </c>
      <c r="M485" s="58" t="str">
        <f t="shared" si="77"/>
        <v/>
      </c>
      <c r="N485" s="59" t="str">
        <f t="shared" si="73"/>
        <v/>
      </c>
      <c r="O485" s="60"/>
      <c r="P485" s="105"/>
    </row>
    <row r="486" spans="1:16" x14ac:dyDescent="0.3">
      <c r="A486" s="54" t="str">
        <f>IF([2]weekly_demand!A487="","",[2]weekly_demand!A487)</f>
        <v/>
      </c>
      <c r="B486" s="55" t="str">
        <f>IF($A486="","",[2]weekly_demand!F487)</f>
        <v/>
      </c>
      <c r="C486" s="56" t="str">
        <f>IF($A486="","",[2]weekly_demand!H487)</f>
        <v/>
      </c>
      <c r="D486" s="57" t="str">
        <f>IF($A486="","",IF(SUMIFS([2]Fixture_Capacity_Input!$C:$C,[2]Fixture_Capacity_Input!$A:$A,$B486,[2]Fixture_Capacity_Input!$B:$B,$C486)&gt;0,SUMIFS([2]Fixture_Capacity_Input!$C:$C,[2]Fixture_Capacity_Input!$A:$A,$B486,[2]Fixture_Capacity_Input!$B:$B,$C486),[2]weekly_demand!G487))</f>
        <v/>
      </c>
      <c r="E486" s="58" t="str">
        <f>IF($A486="","",[2]weekly_demand!I487)</f>
        <v/>
      </c>
      <c r="F486" s="57" t="str">
        <f t="shared" si="70"/>
        <v/>
      </c>
      <c r="G486" s="57" t="str">
        <f t="shared" si="71"/>
        <v/>
      </c>
      <c r="H486" s="57" t="str">
        <f t="shared" si="69"/>
        <v/>
      </c>
      <c r="I486" s="58" t="str">
        <f t="shared" si="74"/>
        <v/>
      </c>
      <c r="J486" s="58" t="str">
        <f t="shared" si="72"/>
        <v/>
      </c>
      <c r="K486" s="58" t="str">
        <f t="shared" si="75"/>
        <v/>
      </c>
      <c r="L486" s="58" t="str">
        <f t="shared" si="76"/>
        <v/>
      </c>
      <c r="M486" s="58" t="str">
        <f t="shared" si="77"/>
        <v/>
      </c>
      <c r="N486" s="59" t="str">
        <f t="shared" si="73"/>
        <v/>
      </c>
      <c r="O486" s="60"/>
      <c r="P486" s="105"/>
    </row>
    <row r="487" spans="1:16" x14ac:dyDescent="0.3">
      <c r="A487" s="54" t="str">
        <f>IF([2]weekly_demand!A488="","",[2]weekly_demand!A488)</f>
        <v/>
      </c>
      <c r="B487" s="55" t="str">
        <f>IF($A487="","",[2]weekly_demand!F488)</f>
        <v/>
      </c>
      <c r="C487" s="56" t="str">
        <f>IF($A487="","",[2]weekly_demand!H488)</f>
        <v/>
      </c>
      <c r="D487" s="57" t="str">
        <f>IF($A487="","",IF(SUMIFS([2]Fixture_Capacity_Input!$C:$C,[2]Fixture_Capacity_Input!$A:$A,$B487,[2]Fixture_Capacity_Input!$B:$B,$C487)&gt;0,SUMIFS([2]Fixture_Capacity_Input!$C:$C,[2]Fixture_Capacity_Input!$A:$A,$B487,[2]Fixture_Capacity_Input!$B:$B,$C487),[2]weekly_demand!G488))</f>
        <v/>
      </c>
      <c r="E487" s="58" t="str">
        <f>IF($A487="","",[2]weekly_demand!I488)</f>
        <v/>
      </c>
      <c r="F487" s="57" t="str">
        <f t="shared" si="70"/>
        <v/>
      </c>
      <c r="G487" s="57" t="str">
        <f t="shared" si="71"/>
        <v/>
      </c>
      <c r="H487" s="57" t="str">
        <f t="shared" si="69"/>
        <v/>
      </c>
      <c r="I487" s="58" t="str">
        <f t="shared" si="74"/>
        <v/>
      </c>
      <c r="J487" s="58" t="str">
        <f t="shared" si="72"/>
        <v/>
      </c>
      <c r="K487" s="58" t="str">
        <f t="shared" si="75"/>
        <v/>
      </c>
      <c r="L487" s="58" t="str">
        <f t="shared" si="76"/>
        <v/>
      </c>
      <c r="M487" s="58" t="str">
        <f t="shared" si="77"/>
        <v/>
      </c>
      <c r="N487" s="59" t="str">
        <f t="shared" si="73"/>
        <v/>
      </c>
      <c r="O487" s="60"/>
      <c r="P487" s="105"/>
    </row>
    <row r="488" spans="1:16" x14ac:dyDescent="0.3">
      <c r="A488" s="54" t="str">
        <f>IF([2]weekly_demand!A489="","",[2]weekly_demand!A489)</f>
        <v/>
      </c>
      <c r="B488" s="55" t="str">
        <f>IF($A488="","",[2]weekly_demand!F489)</f>
        <v/>
      </c>
      <c r="C488" s="56" t="str">
        <f>IF($A488="","",[2]weekly_demand!H489)</f>
        <v/>
      </c>
      <c r="D488" s="57" t="str">
        <f>IF($A488="","",IF(SUMIFS([2]Fixture_Capacity_Input!$C:$C,[2]Fixture_Capacity_Input!$A:$A,$B488,[2]Fixture_Capacity_Input!$B:$B,$C488)&gt;0,SUMIFS([2]Fixture_Capacity_Input!$C:$C,[2]Fixture_Capacity_Input!$A:$A,$B488,[2]Fixture_Capacity_Input!$B:$B,$C488),[2]weekly_demand!G489))</f>
        <v/>
      </c>
      <c r="E488" s="58" t="str">
        <f>IF($A488="","",[2]weekly_demand!I489)</f>
        <v/>
      </c>
      <c r="F488" s="57" t="str">
        <f t="shared" si="70"/>
        <v/>
      </c>
      <c r="G488" s="57" t="str">
        <f t="shared" si="71"/>
        <v/>
      </c>
      <c r="H488" s="57" t="str">
        <f t="shared" si="69"/>
        <v/>
      </c>
      <c r="I488" s="58" t="str">
        <f t="shared" si="74"/>
        <v/>
      </c>
      <c r="J488" s="58" t="str">
        <f t="shared" si="72"/>
        <v/>
      </c>
      <c r="K488" s="58" t="str">
        <f t="shared" si="75"/>
        <v/>
      </c>
      <c r="L488" s="58" t="str">
        <f t="shared" si="76"/>
        <v/>
      </c>
      <c r="M488" s="58" t="str">
        <f t="shared" si="77"/>
        <v/>
      </c>
      <c r="N488" s="59" t="str">
        <f t="shared" si="73"/>
        <v/>
      </c>
      <c r="O488" s="60"/>
      <c r="P488" s="105"/>
    </row>
    <row r="489" spans="1:16" x14ac:dyDescent="0.3">
      <c r="A489" s="54" t="str">
        <f>IF([2]weekly_demand!A490="","",[2]weekly_demand!A490)</f>
        <v/>
      </c>
      <c r="B489" s="55" t="str">
        <f>IF($A489="","",[2]weekly_demand!F490)</f>
        <v/>
      </c>
      <c r="C489" s="56" t="str">
        <f>IF($A489="","",[2]weekly_demand!H490)</f>
        <v/>
      </c>
      <c r="D489" s="57" t="str">
        <f>IF($A489="","",IF(SUMIFS([2]Fixture_Capacity_Input!$C:$C,[2]Fixture_Capacity_Input!$A:$A,$B489,[2]Fixture_Capacity_Input!$B:$B,$C489)&gt;0,SUMIFS([2]Fixture_Capacity_Input!$C:$C,[2]Fixture_Capacity_Input!$A:$A,$B489,[2]Fixture_Capacity_Input!$B:$B,$C489),[2]weekly_demand!G490))</f>
        <v/>
      </c>
      <c r="E489" s="58" t="str">
        <f>IF($A489="","",[2]weekly_demand!I490)</f>
        <v/>
      </c>
      <c r="F489" s="57" t="str">
        <f t="shared" si="70"/>
        <v/>
      </c>
      <c r="G489" s="57" t="str">
        <f t="shared" si="71"/>
        <v/>
      </c>
      <c r="H489" s="57" t="str">
        <f t="shared" si="69"/>
        <v/>
      </c>
      <c r="I489" s="58" t="str">
        <f t="shared" si="74"/>
        <v/>
      </c>
      <c r="J489" s="58" t="str">
        <f t="shared" si="72"/>
        <v/>
      </c>
      <c r="K489" s="58" t="str">
        <f t="shared" si="75"/>
        <v/>
      </c>
      <c r="L489" s="58" t="str">
        <f t="shared" si="76"/>
        <v/>
      </c>
      <c r="M489" s="58" t="str">
        <f t="shared" si="77"/>
        <v/>
      </c>
      <c r="N489" s="59" t="str">
        <f t="shared" si="73"/>
        <v/>
      </c>
      <c r="O489" s="60"/>
      <c r="P489" s="105"/>
    </row>
    <row r="490" spans="1:16" x14ac:dyDescent="0.3">
      <c r="A490" s="54" t="str">
        <f>IF([2]weekly_demand!A491="","",[2]weekly_demand!A491)</f>
        <v/>
      </c>
      <c r="B490" s="55" t="str">
        <f>IF($A490="","",[2]weekly_demand!F491)</f>
        <v/>
      </c>
      <c r="C490" s="56" t="str">
        <f>IF($A490="","",[2]weekly_demand!H491)</f>
        <v/>
      </c>
      <c r="D490" s="57" t="str">
        <f>IF($A490="","",IF(SUMIFS([2]Fixture_Capacity_Input!$C:$C,[2]Fixture_Capacity_Input!$A:$A,$B490,[2]Fixture_Capacity_Input!$B:$B,$C490)&gt;0,SUMIFS([2]Fixture_Capacity_Input!$C:$C,[2]Fixture_Capacity_Input!$A:$A,$B490,[2]Fixture_Capacity_Input!$B:$B,$C490),[2]weekly_demand!G491))</f>
        <v/>
      </c>
      <c r="E490" s="58" t="str">
        <f>IF($A490="","",[2]weekly_demand!I491)</f>
        <v/>
      </c>
      <c r="F490" s="57" t="str">
        <f t="shared" si="70"/>
        <v/>
      </c>
      <c r="G490" s="57" t="str">
        <f t="shared" si="71"/>
        <v/>
      </c>
      <c r="H490" s="57" t="str">
        <f t="shared" si="69"/>
        <v/>
      </c>
      <c r="I490" s="58" t="str">
        <f t="shared" si="74"/>
        <v/>
      </c>
      <c r="J490" s="58" t="str">
        <f t="shared" si="72"/>
        <v/>
      </c>
      <c r="K490" s="58" t="str">
        <f t="shared" si="75"/>
        <v/>
      </c>
      <c r="L490" s="58" t="str">
        <f t="shared" si="76"/>
        <v/>
      </c>
      <c r="M490" s="58" t="str">
        <f t="shared" si="77"/>
        <v/>
      </c>
      <c r="N490" s="59" t="str">
        <f t="shared" si="73"/>
        <v/>
      </c>
      <c r="O490" s="60"/>
      <c r="P490" s="105"/>
    </row>
    <row r="491" spans="1:16" x14ac:dyDescent="0.3">
      <c r="A491" s="54" t="str">
        <f>IF([2]weekly_demand!A492="","",[2]weekly_demand!A492)</f>
        <v/>
      </c>
      <c r="B491" s="55" t="str">
        <f>IF($A491="","",[2]weekly_demand!F492)</f>
        <v/>
      </c>
      <c r="C491" s="56" t="str">
        <f>IF($A491="","",[2]weekly_demand!H492)</f>
        <v/>
      </c>
      <c r="D491" s="57" t="str">
        <f>IF($A491="","",IF(SUMIFS([2]Fixture_Capacity_Input!$C:$C,[2]Fixture_Capacity_Input!$A:$A,$B491,[2]Fixture_Capacity_Input!$B:$B,$C491)&gt;0,SUMIFS([2]Fixture_Capacity_Input!$C:$C,[2]Fixture_Capacity_Input!$A:$A,$B491,[2]Fixture_Capacity_Input!$B:$B,$C491),[2]weekly_demand!G492))</f>
        <v/>
      </c>
      <c r="E491" s="58" t="str">
        <f>IF($A491="","",[2]weekly_demand!I492)</f>
        <v/>
      </c>
      <c r="F491" s="57" t="str">
        <f t="shared" si="70"/>
        <v/>
      </c>
      <c r="G491" s="57" t="str">
        <f t="shared" si="71"/>
        <v/>
      </c>
      <c r="H491" s="57" t="str">
        <f t="shared" si="69"/>
        <v/>
      </c>
      <c r="I491" s="58" t="str">
        <f t="shared" si="74"/>
        <v/>
      </c>
      <c r="J491" s="58" t="str">
        <f t="shared" si="72"/>
        <v/>
      </c>
      <c r="K491" s="58" t="str">
        <f t="shared" si="75"/>
        <v/>
      </c>
      <c r="L491" s="58" t="str">
        <f t="shared" si="76"/>
        <v/>
      </c>
      <c r="M491" s="58" t="str">
        <f t="shared" si="77"/>
        <v/>
      </c>
      <c r="N491" s="59" t="str">
        <f t="shared" si="73"/>
        <v/>
      </c>
      <c r="O491" s="60"/>
      <c r="P491" s="105"/>
    </row>
    <row r="492" spans="1:16" x14ac:dyDescent="0.3">
      <c r="A492" s="54" t="str">
        <f>IF([2]weekly_demand!A493="","",[2]weekly_demand!A493)</f>
        <v/>
      </c>
      <c r="B492" s="55" t="str">
        <f>IF($A492="","",[2]weekly_demand!F493)</f>
        <v/>
      </c>
      <c r="C492" s="56" t="str">
        <f>IF($A492="","",[2]weekly_demand!H493)</f>
        <v/>
      </c>
      <c r="D492" s="57" t="str">
        <f>IF($A492="","",IF(SUMIFS([2]Fixture_Capacity_Input!$C:$C,[2]Fixture_Capacity_Input!$A:$A,$B492,[2]Fixture_Capacity_Input!$B:$B,$C492)&gt;0,SUMIFS([2]Fixture_Capacity_Input!$C:$C,[2]Fixture_Capacity_Input!$A:$A,$B492,[2]Fixture_Capacity_Input!$B:$B,$C492),[2]weekly_demand!G493))</f>
        <v/>
      </c>
      <c r="E492" s="58" t="str">
        <f>IF($A492="","",[2]weekly_demand!I493)</f>
        <v/>
      </c>
      <c r="F492" s="57" t="str">
        <f t="shared" si="70"/>
        <v/>
      </c>
      <c r="G492" s="57" t="str">
        <f t="shared" si="71"/>
        <v/>
      </c>
      <c r="H492" s="57" t="str">
        <f t="shared" si="69"/>
        <v/>
      </c>
      <c r="I492" s="58" t="str">
        <f t="shared" si="74"/>
        <v/>
      </c>
      <c r="J492" s="58" t="str">
        <f t="shared" si="72"/>
        <v/>
      </c>
      <c r="K492" s="58" t="str">
        <f t="shared" si="75"/>
        <v/>
      </c>
      <c r="L492" s="58" t="str">
        <f t="shared" si="76"/>
        <v/>
      </c>
      <c r="M492" s="58" t="str">
        <f t="shared" si="77"/>
        <v/>
      </c>
      <c r="N492" s="59" t="str">
        <f t="shared" si="73"/>
        <v/>
      </c>
      <c r="O492" s="60"/>
      <c r="P492" s="105"/>
    </row>
    <row r="493" spans="1:16" x14ac:dyDescent="0.3">
      <c r="A493" s="54" t="str">
        <f>IF([2]weekly_demand!A494="","",[2]weekly_demand!A494)</f>
        <v/>
      </c>
      <c r="B493" s="55" t="str">
        <f>IF($A493="","",[2]weekly_demand!F494)</f>
        <v/>
      </c>
      <c r="C493" s="56" t="str">
        <f>IF($A493="","",[2]weekly_demand!H494)</f>
        <v/>
      </c>
      <c r="D493" s="57" t="str">
        <f>IF($A493="","",IF(SUMIFS([2]Fixture_Capacity_Input!$C:$C,[2]Fixture_Capacity_Input!$A:$A,$B493,[2]Fixture_Capacity_Input!$B:$B,$C493)&gt;0,SUMIFS([2]Fixture_Capacity_Input!$C:$C,[2]Fixture_Capacity_Input!$A:$A,$B493,[2]Fixture_Capacity_Input!$B:$B,$C493),[2]weekly_demand!G494))</f>
        <v/>
      </c>
      <c r="E493" s="58" t="str">
        <f>IF($A493="","",[2]weekly_demand!I494)</f>
        <v/>
      </c>
      <c r="F493" s="57" t="str">
        <f t="shared" si="70"/>
        <v/>
      </c>
      <c r="G493" s="57" t="str">
        <f t="shared" si="71"/>
        <v/>
      </c>
      <c r="H493" s="57" t="str">
        <f t="shared" si="69"/>
        <v/>
      </c>
      <c r="I493" s="58" t="str">
        <f t="shared" si="74"/>
        <v/>
      </c>
      <c r="J493" s="58" t="str">
        <f t="shared" si="72"/>
        <v/>
      </c>
      <c r="K493" s="58" t="str">
        <f t="shared" si="75"/>
        <v/>
      </c>
      <c r="L493" s="58" t="str">
        <f t="shared" si="76"/>
        <v/>
      </c>
      <c r="M493" s="58" t="str">
        <f t="shared" si="77"/>
        <v/>
      </c>
      <c r="N493" s="59" t="str">
        <f t="shared" si="73"/>
        <v/>
      </c>
      <c r="O493" s="60"/>
      <c r="P493" s="105"/>
    </row>
    <row r="494" spans="1:16" x14ac:dyDescent="0.3">
      <c r="A494" s="54" t="str">
        <f>IF([2]weekly_demand!A495="","",[2]weekly_demand!A495)</f>
        <v/>
      </c>
      <c r="B494" s="55" t="str">
        <f>IF($A494="","",[2]weekly_demand!F495)</f>
        <v/>
      </c>
      <c r="C494" s="56" t="str">
        <f>IF($A494="","",[2]weekly_demand!H495)</f>
        <v/>
      </c>
      <c r="D494" s="57" t="str">
        <f>IF($A494="","",IF(SUMIFS([2]Fixture_Capacity_Input!$C:$C,[2]Fixture_Capacity_Input!$A:$A,$B494,[2]Fixture_Capacity_Input!$B:$B,$C494)&gt;0,SUMIFS([2]Fixture_Capacity_Input!$C:$C,[2]Fixture_Capacity_Input!$A:$A,$B494,[2]Fixture_Capacity_Input!$B:$B,$C494),[2]weekly_demand!G495))</f>
        <v/>
      </c>
      <c r="E494" s="58" t="str">
        <f>IF($A494="","",[2]weekly_demand!I495)</f>
        <v/>
      </c>
      <c r="F494" s="57" t="str">
        <f t="shared" si="70"/>
        <v/>
      </c>
      <c r="G494" s="57" t="str">
        <f t="shared" si="71"/>
        <v/>
      </c>
      <c r="H494" s="57" t="str">
        <f t="shared" si="69"/>
        <v/>
      </c>
      <c r="I494" s="58" t="str">
        <f t="shared" si="74"/>
        <v/>
      </c>
      <c r="J494" s="58" t="str">
        <f t="shared" si="72"/>
        <v/>
      </c>
      <c r="K494" s="58" t="str">
        <f t="shared" si="75"/>
        <v/>
      </c>
      <c r="L494" s="58" t="str">
        <f t="shared" si="76"/>
        <v/>
      </c>
      <c r="M494" s="58" t="str">
        <f t="shared" si="77"/>
        <v/>
      </c>
      <c r="N494" s="59" t="str">
        <f t="shared" si="73"/>
        <v/>
      </c>
      <c r="O494" s="60"/>
      <c r="P494" s="105"/>
    </row>
    <row r="495" spans="1:16" x14ac:dyDescent="0.3">
      <c r="A495" s="54" t="str">
        <f>IF([2]weekly_demand!A496="","",[2]weekly_demand!A496)</f>
        <v/>
      </c>
      <c r="B495" s="55" t="str">
        <f>IF($A495="","",[2]weekly_demand!F496)</f>
        <v/>
      </c>
      <c r="C495" s="56" t="str">
        <f>IF($A495="","",[2]weekly_demand!H496)</f>
        <v/>
      </c>
      <c r="D495" s="57" t="str">
        <f>IF($A495="","",IF(SUMIFS([2]Fixture_Capacity_Input!$C:$C,[2]Fixture_Capacity_Input!$A:$A,$B495,[2]Fixture_Capacity_Input!$B:$B,$C495)&gt;0,SUMIFS([2]Fixture_Capacity_Input!$C:$C,[2]Fixture_Capacity_Input!$A:$A,$B495,[2]Fixture_Capacity_Input!$B:$B,$C495),[2]weekly_demand!G496))</f>
        <v/>
      </c>
      <c r="E495" s="58" t="str">
        <f>IF($A495="","",[2]weekly_demand!I496)</f>
        <v/>
      </c>
      <c r="F495" s="57" t="str">
        <f t="shared" si="70"/>
        <v/>
      </c>
      <c r="G495" s="57" t="str">
        <f t="shared" si="71"/>
        <v/>
      </c>
      <c r="H495" s="57" t="str">
        <f t="shared" si="69"/>
        <v/>
      </c>
      <c r="I495" s="58" t="str">
        <f t="shared" si="74"/>
        <v/>
      </c>
      <c r="J495" s="58" t="str">
        <f t="shared" si="72"/>
        <v/>
      </c>
      <c r="K495" s="58" t="str">
        <f t="shared" si="75"/>
        <v/>
      </c>
      <c r="L495" s="58" t="str">
        <f t="shared" si="76"/>
        <v/>
      </c>
      <c r="M495" s="58" t="str">
        <f t="shared" si="77"/>
        <v/>
      </c>
      <c r="N495" s="59" t="str">
        <f t="shared" si="73"/>
        <v/>
      </c>
      <c r="O495" s="60"/>
      <c r="P495" s="105"/>
    </row>
    <row r="496" spans="1:16" x14ac:dyDescent="0.3">
      <c r="A496" s="54" t="str">
        <f>IF([2]weekly_demand!A497="","",[2]weekly_demand!A497)</f>
        <v/>
      </c>
      <c r="B496" s="55" t="str">
        <f>IF($A496="","",[2]weekly_demand!F497)</f>
        <v/>
      </c>
      <c r="C496" s="56" t="str">
        <f>IF($A496="","",[2]weekly_demand!H497)</f>
        <v/>
      </c>
      <c r="D496" s="57" t="str">
        <f>IF($A496="","",IF(SUMIFS([2]Fixture_Capacity_Input!$C:$C,[2]Fixture_Capacity_Input!$A:$A,$B496,[2]Fixture_Capacity_Input!$B:$B,$C496)&gt;0,SUMIFS([2]Fixture_Capacity_Input!$C:$C,[2]Fixture_Capacity_Input!$A:$A,$B496,[2]Fixture_Capacity_Input!$B:$B,$C496),[2]weekly_demand!G497))</f>
        <v/>
      </c>
      <c r="E496" s="58" t="str">
        <f>IF($A496="","",[2]weekly_demand!I497)</f>
        <v/>
      </c>
      <c r="F496" s="57" t="str">
        <f t="shared" si="70"/>
        <v/>
      </c>
      <c r="G496" s="57" t="str">
        <f t="shared" si="71"/>
        <v/>
      </c>
      <c r="H496" s="57" t="str">
        <f t="shared" si="69"/>
        <v/>
      </c>
      <c r="I496" s="58" t="str">
        <f t="shared" si="74"/>
        <v/>
      </c>
      <c r="J496" s="58" t="str">
        <f t="shared" si="72"/>
        <v/>
      </c>
      <c r="K496" s="58" t="str">
        <f t="shared" si="75"/>
        <v/>
      </c>
      <c r="L496" s="58" t="str">
        <f t="shared" si="76"/>
        <v/>
      </c>
      <c r="M496" s="58" t="str">
        <f t="shared" si="77"/>
        <v/>
      </c>
      <c r="N496" s="59" t="str">
        <f t="shared" si="73"/>
        <v/>
      </c>
      <c r="O496" s="60"/>
      <c r="P496" s="105"/>
    </row>
    <row r="497" spans="1:16" x14ac:dyDescent="0.3">
      <c r="A497" s="54" t="str">
        <f>IF([2]weekly_demand!A498="","",[2]weekly_demand!A498)</f>
        <v/>
      </c>
      <c r="B497" s="55" t="str">
        <f>IF($A497="","",[2]weekly_demand!F498)</f>
        <v/>
      </c>
      <c r="C497" s="56" t="str">
        <f>IF($A497="","",[2]weekly_demand!H498)</f>
        <v/>
      </c>
      <c r="D497" s="57" t="str">
        <f>IF($A497="","",IF(SUMIFS([2]Fixture_Capacity_Input!$C:$C,[2]Fixture_Capacity_Input!$A:$A,$B497,[2]Fixture_Capacity_Input!$B:$B,$C497)&gt;0,SUMIFS([2]Fixture_Capacity_Input!$C:$C,[2]Fixture_Capacity_Input!$A:$A,$B497,[2]Fixture_Capacity_Input!$B:$B,$C497),[2]weekly_demand!G498))</f>
        <v/>
      </c>
      <c r="E497" s="58" t="str">
        <f>IF($A497="","",[2]weekly_demand!I498)</f>
        <v/>
      </c>
      <c r="F497" s="57" t="str">
        <f t="shared" si="70"/>
        <v/>
      </c>
      <c r="G497" s="57" t="str">
        <f t="shared" si="71"/>
        <v/>
      </c>
      <c r="H497" s="57" t="str">
        <f t="shared" si="69"/>
        <v/>
      </c>
      <c r="I497" s="58" t="str">
        <f t="shared" si="74"/>
        <v/>
      </c>
      <c r="J497" s="58" t="str">
        <f t="shared" si="72"/>
        <v/>
      </c>
      <c r="K497" s="58" t="str">
        <f t="shared" si="75"/>
        <v/>
      </c>
      <c r="L497" s="58" t="str">
        <f t="shared" si="76"/>
        <v/>
      </c>
      <c r="M497" s="58" t="str">
        <f t="shared" si="77"/>
        <v/>
      </c>
      <c r="N497" s="59" t="str">
        <f t="shared" si="73"/>
        <v/>
      </c>
      <c r="O497" s="60"/>
      <c r="P497" s="105"/>
    </row>
    <row r="498" spans="1:16" x14ac:dyDescent="0.3">
      <c r="A498" s="54" t="str">
        <f>IF([2]weekly_demand!A499="","",[2]weekly_demand!A499)</f>
        <v/>
      </c>
      <c r="B498" s="55" t="str">
        <f>IF($A498="","",[2]weekly_demand!F499)</f>
        <v/>
      </c>
      <c r="C498" s="56" t="str">
        <f>IF($A498="","",[2]weekly_demand!H499)</f>
        <v/>
      </c>
      <c r="D498" s="57" t="str">
        <f>IF($A498="","",IF(SUMIFS([2]Fixture_Capacity_Input!$C:$C,[2]Fixture_Capacity_Input!$A:$A,$B498,[2]Fixture_Capacity_Input!$B:$B,$C498)&gt;0,SUMIFS([2]Fixture_Capacity_Input!$C:$C,[2]Fixture_Capacity_Input!$A:$A,$B498,[2]Fixture_Capacity_Input!$B:$B,$C498),[2]weekly_demand!G499))</f>
        <v/>
      </c>
      <c r="E498" s="58" t="str">
        <f>IF($A498="","",[2]weekly_demand!I499)</f>
        <v/>
      </c>
      <c r="F498" s="57" t="str">
        <f t="shared" si="70"/>
        <v/>
      </c>
      <c r="G498" s="57" t="str">
        <f t="shared" si="71"/>
        <v/>
      </c>
      <c r="H498" s="57" t="str">
        <f t="shared" si="69"/>
        <v/>
      </c>
      <c r="I498" s="58" t="str">
        <f t="shared" si="74"/>
        <v/>
      </c>
      <c r="J498" s="58" t="str">
        <f t="shared" si="72"/>
        <v/>
      </c>
      <c r="K498" s="58" t="str">
        <f t="shared" si="75"/>
        <v/>
      </c>
      <c r="L498" s="58" t="str">
        <f t="shared" si="76"/>
        <v/>
      </c>
      <c r="M498" s="58" t="str">
        <f t="shared" si="77"/>
        <v/>
      </c>
      <c r="N498" s="59" t="str">
        <f t="shared" si="73"/>
        <v/>
      </c>
      <c r="O498" s="60"/>
      <c r="P498" s="105"/>
    </row>
    <row r="499" spans="1:16" x14ac:dyDescent="0.3">
      <c r="A499" s="54" t="str">
        <f>IF([2]weekly_demand!A500="","",[2]weekly_demand!A500)</f>
        <v/>
      </c>
      <c r="B499" s="55" t="str">
        <f>IF($A499="","",[2]weekly_demand!F500)</f>
        <v/>
      </c>
      <c r="C499" s="56" t="str">
        <f>IF($A499="","",[2]weekly_demand!H500)</f>
        <v/>
      </c>
      <c r="D499" s="57" t="str">
        <f>IF($A499="","",IF(SUMIFS([2]Fixture_Capacity_Input!$C:$C,[2]Fixture_Capacity_Input!$A:$A,$B499,[2]Fixture_Capacity_Input!$B:$B,$C499)&gt;0,SUMIFS([2]Fixture_Capacity_Input!$C:$C,[2]Fixture_Capacity_Input!$A:$A,$B499,[2]Fixture_Capacity_Input!$B:$B,$C499),[2]weekly_demand!G500))</f>
        <v/>
      </c>
      <c r="E499" s="58" t="str">
        <f>IF($A499="","",[2]weekly_demand!I500)</f>
        <v/>
      </c>
      <c r="F499" s="57" t="str">
        <f t="shared" si="70"/>
        <v/>
      </c>
      <c r="G499" s="57" t="str">
        <f t="shared" si="71"/>
        <v/>
      </c>
      <c r="H499" s="57" t="str">
        <f t="shared" ref="H499:H562" si="78">IF($A499="","",IF($A499&lt;&gt;$A500,0,MAX(0,H500+E500-D500)))</f>
        <v/>
      </c>
      <c r="I499" s="58" t="str">
        <f t="shared" si="74"/>
        <v/>
      </c>
      <c r="J499" s="58" t="str">
        <f t="shared" si="72"/>
        <v/>
      </c>
      <c r="K499" s="58" t="str">
        <f t="shared" si="75"/>
        <v/>
      </c>
      <c r="L499" s="58" t="str">
        <f t="shared" si="76"/>
        <v/>
      </c>
      <c r="M499" s="58" t="str">
        <f t="shared" si="77"/>
        <v/>
      </c>
      <c r="N499" s="59" t="str">
        <f t="shared" si="73"/>
        <v/>
      </c>
      <c r="O499" s="60"/>
      <c r="P499" s="105"/>
    </row>
    <row r="500" spans="1:16" x14ac:dyDescent="0.3">
      <c r="A500" s="54" t="str">
        <f>IF([2]weekly_demand!A501="","",[2]weekly_demand!A501)</f>
        <v/>
      </c>
      <c r="B500" s="55" t="str">
        <f>IF($A500="","",[2]weekly_demand!F501)</f>
        <v/>
      </c>
      <c r="C500" s="56" t="str">
        <f>IF($A500="","",[2]weekly_demand!H501)</f>
        <v/>
      </c>
      <c r="D500" s="57" t="str">
        <f>IF($A500="","",IF(SUMIFS([2]Fixture_Capacity_Input!$C:$C,[2]Fixture_Capacity_Input!$A:$A,$B500,[2]Fixture_Capacity_Input!$B:$B,$C500)&gt;0,SUMIFS([2]Fixture_Capacity_Input!$C:$C,[2]Fixture_Capacity_Input!$A:$A,$B500,[2]Fixture_Capacity_Input!$B:$B,$C500),[2]weekly_demand!G501))</f>
        <v/>
      </c>
      <c r="E500" s="58" t="str">
        <f>IF($A500="","",[2]weekly_demand!I501)</f>
        <v/>
      </c>
      <c r="F500" s="57" t="str">
        <f t="shared" si="70"/>
        <v/>
      </c>
      <c r="G500" s="57" t="str">
        <f t="shared" si="71"/>
        <v/>
      </c>
      <c r="H500" s="57" t="str">
        <f t="shared" si="78"/>
        <v/>
      </c>
      <c r="I500" s="58" t="str">
        <f t="shared" si="74"/>
        <v/>
      </c>
      <c r="J500" s="58" t="str">
        <f t="shared" si="72"/>
        <v/>
      </c>
      <c r="K500" s="58" t="str">
        <f t="shared" si="75"/>
        <v/>
      </c>
      <c r="L500" s="58" t="str">
        <f t="shared" si="76"/>
        <v/>
      </c>
      <c r="M500" s="58" t="str">
        <f t="shared" si="77"/>
        <v/>
      </c>
      <c r="N500" s="59" t="str">
        <f t="shared" si="73"/>
        <v/>
      </c>
      <c r="O500" s="60"/>
      <c r="P500" s="105"/>
    </row>
    <row r="501" spans="1:16" x14ac:dyDescent="0.3">
      <c r="A501" s="54" t="str">
        <f>IF([2]weekly_demand!A502="","",[2]weekly_demand!A502)</f>
        <v/>
      </c>
      <c r="B501" s="55" t="str">
        <f>IF($A501="","",[2]weekly_demand!F502)</f>
        <v/>
      </c>
      <c r="C501" s="56" t="str">
        <f>IF($A501="","",[2]weekly_demand!H502)</f>
        <v/>
      </c>
      <c r="D501" s="57" t="str">
        <f>IF($A501="","",IF(SUMIFS([2]Fixture_Capacity_Input!$C:$C,[2]Fixture_Capacity_Input!$A:$A,$B501,[2]Fixture_Capacity_Input!$B:$B,$C501)&gt;0,SUMIFS([2]Fixture_Capacity_Input!$C:$C,[2]Fixture_Capacity_Input!$A:$A,$B501,[2]Fixture_Capacity_Input!$B:$B,$C501),[2]weekly_demand!G502))</f>
        <v/>
      </c>
      <c r="E501" s="58" t="str">
        <f>IF($A501="","",[2]weekly_demand!I502)</f>
        <v/>
      </c>
      <c r="F501" s="57" t="str">
        <f t="shared" si="70"/>
        <v/>
      </c>
      <c r="G501" s="57" t="str">
        <f t="shared" si="71"/>
        <v/>
      </c>
      <c r="H501" s="57" t="str">
        <f t="shared" si="78"/>
        <v/>
      </c>
      <c r="I501" s="58" t="str">
        <f t="shared" si="74"/>
        <v/>
      </c>
      <c r="J501" s="58" t="str">
        <f t="shared" si="72"/>
        <v/>
      </c>
      <c r="K501" s="58" t="str">
        <f t="shared" si="75"/>
        <v/>
      </c>
      <c r="L501" s="58" t="str">
        <f t="shared" si="76"/>
        <v/>
      </c>
      <c r="M501" s="58" t="str">
        <f t="shared" si="77"/>
        <v/>
      </c>
      <c r="N501" s="59" t="str">
        <f t="shared" si="73"/>
        <v/>
      </c>
      <c r="O501" s="60"/>
      <c r="P501" s="105"/>
    </row>
    <row r="502" spans="1:16" x14ac:dyDescent="0.3">
      <c r="A502" s="54" t="str">
        <f>IF([2]weekly_demand!A503="","",[2]weekly_demand!A503)</f>
        <v/>
      </c>
      <c r="B502" s="55" t="str">
        <f>IF($A502="","",[2]weekly_demand!F503)</f>
        <v/>
      </c>
      <c r="C502" s="56" t="str">
        <f>IF($A502="","",[2]weekly_demand!H503)</f>
        <v/>
      </c>
      <c r="D502" s="57" t="str">
        <f>IF($A502="","",IF(SUMIFS([2]Fixture_Capacity_Input!$C:$C,[2]Fixture_Capacity_Input!$A:$A,$B502,[2]Fixture_Capacity_Input!$B:$B,$C502)&gt;0,SUMIFS([2]Fixture_Capacity_Input!$C:$C,[2]Fixture_Capacity_Input!$A:$A,$B502,[2]Fixture_Capacity_Input!$B:$B,$C502),[2]weekly_demand!G503))</f>
        <v/>
      </c>
      <c r="E502" s="58" t="str">
        <f>IF($A502="","",[2]weekly_demand!I503)</f>
        <v/>
      </c>
      <c r="F502" s="57" t="str">
        <f t="shared" si="70"/>
        <v/>
      </c>
      <c r="G502" s="57" t="str">
        <f t="shared" si="71"/>
        <v/>
      </c>
      <c r="H502" s="57" t="str">
        <f t="shared" si="78"/>
        <v/>
      </c>
      <c r="I502" s="58" t="str">
        <f t="shared" si="74"/>
        <v/>
      </c>
      <c r="J502" s="58" t="str">
        <f t="shared" si="72"/>
        <v/>
      </c>
      <c r="K502" s="58" t="str">
        <f t="shared" si="75"/>
        <v/>
      </c>
      <c r="L502" s="58" t="str">
        <f t="shared" si="76"/>
        <v/>
      </c>
      <c r="M502" s="58" t="str">
        <f t="shared" si="77"/>
        <v/>
      </c>
      <c r="N502" s="59" t="str">
        <f t="shared" si="73"/>
        <v/>
      </c>
      <c r="O502" s="60"/>
      <c r="P502" s="105"/>
    </row>
    <row r="503" spans="1:16" x14ac:dyDescent="0.3">
      <c r="A503" s="54" t="str">
        <f>IF([2]weekly_demand!A504="","",[2]weekly_demand!A504)</f>
        <v/>
      </c>
      <c r="B503" s="55" t="str">
        <f>IF($A503="","",[2]weekly_demand!F504)</f>
        <v/>
      </c>
      <c r="C503" s="56" t="str">
        <f>IF($A503="","",[2]weekly_demand!H504)</f>
        <v/>
      </c>
      <c r="D503" s="57" t="str">
        <f>IF($A503="","",IF(SUMIFS([2]Fixture_Capacity_Input!$C:$C,[2]Fixture_Capacity_Input!$A:$A,$B503,[2]Fixture_Capacity_Input!$B:$B,$C503)&gt;0,SUMIFS([2]Fixture_Capacity_Input!$C:$C,[2]Fixture_Capacity_Input!$A:$A,$B503,[2]Fixture_Capacity_Input!$B:$B,$C503),[2]weekly_demand!G504))</f>
        <v/>
      </c>
      <c r="E503" s="58" t="str">
        <f>IF($A503="","",[2]weekly_demand!I504)</f>
        <v/>
      </c>
      <c r="F503" s="57" t="str">
        <f t="shared" si="70"/>
        <v/>
      </c>
      <c r="G503" s="57" t="str">
        <f t="shared" si="71"/>
        <v/>
      </c>
      <c r="H503" s="57" t="str">
        <f t="shared" si="78"/>
        <v/>
      </c>
      <c r="I503" s="58" t="str">
        <f t="shared" si="74"/>
        <v/>
      </c>
      <c r="J503" s="58" t="str">
        <f t="shared" si="72"/>
        <v/>
      </c>
      <c r="K503" s="58" t="str">
        <f t="shared" si="75"/>
        <v/>
      </c>
      <c r="L503" s="58" t="str">
        <f t="shared" si="76"/>
        <v/>
      </c>
      <c r="M503" s="58" t="str">
        <f t="shared" si="77"/>
        <v/>
      </c>
      <c r="N503" s="59" t="str">
        <f t="shared" si="73"/>
        <v/>
      </c>
      <c r="O503" s="60"/>
      <c r="P503" s="105"/>
    </row>
    <row r="504" spans="1:16" x14ac:dyDescent="0.3">
      <c r="A504" s="54" t="str">
        <f>IF([2]weekly_demand!A505="","",[2]weekly_demand!A505)</f>
        <v/>
      </c>
      <c r="B504" s="55" t="str">
        <f>IF($A504="","",[2]weekly_demand!F505)</f>
        <v/>
      </c>
      <c r="C504" s="56" t="str">
        <f>IF($A504="","",[2]weekly_demand!H505)</f>
        <v/>
      </c>
      <c r="D504" s="57" t="str">
        <f>IF($A504="","",IF(SUMIFS([2]Fixture_Capacity_Input!$C:$C,[2]Fixture_Capacity_Input!$A:$A,$B504,[2]Fixture_Capacity_Input!$B:$B,$C504)&gt;0,SUMIFS([2]Fixture_Capacity_Input!$C:$C,[2]Fixture_Capacity_Input!$A:$A,$B504,[2]Fixture_Capacity_Input!$B:$B,$C504),[2]weekly_demand!G505))</f>
        <v/>
      </c>
      <c r="E504" s="58" t="str">
        <f>IF($A504="","",[2]weekly_demand!I505)</f>
        <v/>
      </c>
      <c r="F504" s="57" t="str">
        <f t="shared" si="70"/>
        <v/>
      </c>
      <c r="G504" s="57" t="str">
        <f t="shared" si="71"/>
        <v/>
      </c>
      <c r="H504" s="57" t="str">
        <f t="shared" si="78"/>
        <v/>
      </c>
      <c r="I504" s="58" t="str">
        <f t="shared" si="74"/>
        <v/>
      </c>
      <c r="J504" s="58" t="str">
        <f t="shared" si="72"/>
        <v/>
      </c>
      <c r="K504" s="58" t="str">
        <f t="shared" si="75"/>
        <v/>
      </c>
      <c r="L504" s="58" t="str">
        <f t="shared" si="76"/>
        <v/>
      </c>
      <c r="M504" s="58" t="str">
        <f t="shared" si="77"/>
        <v/>
      </c>
      <c r="N504" s="59" t="str">
        <f t="shared" si="73"/>
        <v/>
      </c>
      <c r="O504" s="60"/>
      <c r="P504" s="105"/>
    </row>
    <row r="505" spans="1:16" x14ac:dyDescent="0.3">
      <c r="A505" s="54" t="str">
        <f>IF([2]weekly_demand!A506="","",[2]weekly_demand!A506)</f>
        <v/>
      </c>
      <c r="B505" s="55" t="str">
        <f>IF($A505="","",[2]weekly_demand!F506)</f>
        <v/>
      </c>
      <c r="C505" s="56" t="str">
        <f>IF($A505="","",[2]weekly_demand!H506)</f>
        <v/>
      </c>
      <c r="D505" s="57" t="str">
        <f>IF($A505="","",IF(SUMIFS([2]Fixture_Capacity_Input!$C:$C,[2]Fixture_Capacity_Input!$A:$A,$B505,[2]Fixture_Capacity_Input!$B:$B,$C505)&gt;0,SUMIFS([2]Fixture_Capacity_Input!$C:$C,[2]Fixture_Capacity_Input!$A:$A,$B505,[2]Fixture_Capacity_Input!$B:$B,$C505),[2]weekly_demand!G506))</f>
        <v/>
      </c>
      <c r="E505" s="58" t="str">
        <f>IF($A505="","",[2]weekly_demand!I506)</f>
        <v/>
      </c>
      <c r="F505" s="57" t="str">
        <f t="shared" si="70"/>
        <v/>
      </c>
      <c r="G505" s="57" t="str">
        <f t="shared" si="71"/>
        <v/>
      </c>
      <c r="H505" s="57" t="str">
        <f t="shared" si="78"/>
        <v/>
      </c>
      <c r="I505" s="58" t="str">
        <f t="shared" si="74"/>
        <v/>
      </c>
      <c r="J505" s="58" t="str">
        <f t="shared" si="72"/>
        <v/>
      </c>
      <c r="K505" s="58" t="str">
        <f t="shared" si="75"/>
        <v/>
      </c>
      <c r="L505" s="58" t="str">
        <f t="shared" si="76"/>
        <v/>
      </c>
      <c r="M505" s="58" t="str">
        <f t="shared" si="77"/>
        <v/>
      </c>
      <c r="N505" s="59" t="str">
        <f t="shared" si="73"/>
        <v/>
      </c>
      <c r="O505" s="60"/>
      <c r="P505" s="105"/>
    </row>
    <row r="506" spans="1:16" x14ac:dyDescent="0.3">
      <c r="A506" s="54" t="str">
        <f>IF([2]weekly_demand!A507="","",[2]weekly_demand!A507)</f>
        <v/>
      </c>
      <c r="B506" s="55" t="str">
        <f>IF($A506="","",[2]weekly_demand!F507)</f>
        <v/>
      </c>
      <c r="C506" s="56" t="str">
        <f>IF($A506="","",[2]weekly_demand!H507)</f>
        <v/>
      </c>
      <c r="D506" s="57" t="str">
        <f>IF($A506="","",IF(SUMIFS([2]Fixture_Capacity_Input!$C:$C,[2]Fixture_Capacity_Input!$A:$A,$B506,[2]Fixture_Capacity_Input!$B:$B,$C506)&gt;0,SUMIFS([2]Fixture_Capacity_Input!$C:$C,[2]Fixture_Capacity_Input!$A:$A,$B506,[2]Fixture_Capacity_Input!$B:$B,$C506),[2]weekly_demand!G507))</f>
        <v/>
      </c>
      <c r="E506" s="58" t="str">
        <f>IF($A506="","",[2]weekly_demand!I507)</f>
        <v/>
      </c>
      <c r="F506" s="57" t="str">
        <f t="shared" si="70"/>
        <v/>
      </c>
      <c r="G506" s="57" t="str">
        <f t="shared" si="71"/>
        <v/>
      </c>
      <c r="H506" s="57" t="str">
        <f t="shared" si="78"/>
        <v/>
      </c>
      <c r="I506" s="58" t="str">
        <f t="shared" si="74"/>
        <v/>
      </c>
      <c r="J506" s="58" t="str">
        <f t="shared" si="72"/>
        <v/>
      </c>
      <c r="K506" s="58" t="str">
        <f t="shared" si="75"/>
        <v/>
      </c>
      <c r="L506" s="58" t="str">
        <f t="shared" si="76"/>
        <v/>
      </c>
      <c r="M506" s="58" t="str">
        <f t="shared" si="77"/>
        <v/>
      </c>
      <c r="N506" s="59" t="str">
        <f t="shared" si="73"/>
        <v/>
      </c>
      <c r="O506" s="60"/>
      <c r="P506" s="105"/>
    </row>
    <row r="507" spans="1:16" x14ac:dyDescent="0.3">
      <c r="A507" s="54" t="str">
        <f>IF([2]weekly_demand!A508="","",[2]weekly_demand!A508)</f>
        <v/>
      </c>
      <c r="B507" s="55" t="str">
        <f>IF($A507="","",[2]weekly_demand!F508)</f>
        <v/>
      </c>
      <c r="C507" s="56" t="str">
        <f>IF($A507="","",[2]weekly_demand!H508)</f>
        <v/>
      </c>
      <c r="D507" s="57" t="str">
        <f>IF($A507="","",IF(SUMIFS([2]Fixture_Capacity_Input!$C:$C,[2]Fixture_Capacity_Input!$A:$A,$B507,[2]Fixture_Capacity_Input!$B:$B,$C507)&gt;0,SUMIFS([2]Fixture_Capacity_Input!$C:$C,[2]Fixture_Capacity_Input!$A:$A,$B507,[2]Fixture_Capacity_Input!$B:$B,$C507),[2]weekly_demand!G508))</f>
        <v/>
      </c>
      <c r="E507" s="58" t="str">
        <f>IF($A507="","",[2]weekly_demand!I508)</f>
        <v/>
      </c>
      <c r="F507" s="57" t="str">
        <f t="shared" si="70"/>
        <v/>
      </c>
      <c r="G507" s="57" t="str">
        <f t="shared" si="71"/>
        <v/>
      </c>
      <c r="H507" s="57" t="str">
        <f t="shared" si="78"/>
        <v/>
      </c>
      <c r="I507" s="58" t="str">
        <f t="shared" si="74"/>
        <v/>
      </c>
      <c r="J507" s="58" t="str">
        <f t="shared" si="72"/>
        <v/>
      </c>
      <c r="K507" s="58" t="str">
        <f t="shared" si="75"/>
        <v/>
      </c>
      <c r="L507" s="58" t="str">
        <f t="shared" si="76"/>
        <v/>
      </c>
      <c r="M507" s="58" t="str">
        <f t="shared" si="77"/>
        <v/>
      </c>
      <c r="N507" s="59" t="str">
        <f t="shared" si="73"/>
        <v/>
      </c>
      <c r="O507" s="60"/>
      <c r="P507" s="105"/>
    </row>
    <row r="508" spans="1:16" x14ac:dyDescent="0.3">
      <c r="A508" s="54" t="str">
        <f>IF([2]weekly_demand!A509="","",[2]weekly_demand!A509)</f>
        <v/>
      </c>
      <c r="B508" s="55" t="str">
        <f>IF($A508="","",[2]weekly_demand!F509)</f>
        <v/>
      </c>
      <c r="C508" s="56" t="str">
        <f>IF($A508="","",[2]weekly_demand!H509)</f>
        <v/>
      </c>
      <c r="D508" s="57" t="str">
        <f>IF($A508="","",IF(SUMIFS([2]Fixture_Capacity_Input!$C:$C,[2]Fixture_Capacity_Input!$A:$A,$B508,[2]Fixture_Capacity_Input!$B:$B,$C508)&gt;0,SUMIFS([2]Fixture_Capacity_Input!$C:$C,[2]Fixture_Capacity_Input!$A:$A,$B508,[2]Fixture_Capacity_Input!$B:$B,$C508),[2]weekly_demand!G509))</f>
        <v/>
      </c>
      <c r="E508" s="58" t="str">
        <f>IF($A508="","",[2]weekly_demand!I509)</f>
        <v/>
      </c>
      <c r="F508" s="57" t="str">
        <f t="shared" si="70"/>
        <v/>
      </c>
      <c r="G508" s="57" t="str">
        <f t="shared" si="71"/>
        <v/>
      </c>
      <c r="H508" s="57" t="str">
        <f t="shared" si="78"/>
        <v/>
      </c>
      <c r="I508" s="58" t="str">
        <f t="shared" si="74"/>
        <v/>
      </c>
      <c r="J508" s="58" t="str">
        <f t="shared" si="72"/>
        <v/>
      </c>
      <c r="K508" s="58" t="str">
        <f t="shared" si="75"/>
        <v/>
      </c>
      <c r="L508" s="58" t="str">
        <f t="shared" si="76"/>
        <v/>
      </c>
      <c r="M508" s="58" t="str">
        <f t="shared" si="77"/>
        <v/>
      </c>
      <c r="N508" s="59" t="str">
        <f t="shared" si="73"/>
        <v/>
      </c>
      <c r="O508" s="60"/>
      <c r="P508" s="105"/>
    </row>
    <row r="509" spans="1:16" x14ac:dyDescent="0.3">
      <c r="A509" s="54" t="str">
        <f>IF([2]weekly_demand!A510="","",[2]weekly_demand!A510)</f>
        <v/>
      </c>
      <c r="B509" s="55" t="str">
        <f>IF($A509="","",[2]weekly_demand!F510)</f>
        <v/>
      </c>
      <c r="C509" s="56" t="str">
        <f>IF($A509="","",[2]weekly_demand!H510)</f>
        <v/>
      </c>
      <c r="D509" s="57" t="str">
        <f>IF($A509="","",IF(SUMIFS([2]Fixture_Capacity_Input!$C:$C,[2]Fixture_Capacity_Input!$A:$A,$B509,[2]Fixture_Capacity_Input!$B:$B,$C509)&gt;0,SUMIFS([2]Fixture_Capacity_Input!$C:$C,[2]Fixture_Capacity_Input!$A:$A,$B509,[2]Fixture_Capacity_Input!$B:$B,$C509),[2]weekly_demand!G510))</f>
        <v/>
      </c>
      <c r="E509" s="58" t="str">
        <f>IF($A509="","",[2]weekly_demand!I510)</f>
        <v/>
      </c>
      <c r="F509" s="57" t="str">
        <f t="shared" si="70"/>
        <v/>
      </c>
      <c r="G509" s="57" t="str">
        <f t="shared" si="71"/>
        <v/>
      </c>
      <c r="H509" s="57" t="str">
        <f t="shared" si="78"/>
        <v/>
      </c>
      <c r="I509" s="58" t="str">
        <f t="shared" si="74"/>
        <v/>
      </c>
      <c r="J509" s="58" t="str">
        <f t="shared" si="72"/>
        <v/>
      </c>
      <c r="K509" s="58" t="str">
        <f t="shared" si="75"/>
        <v/>
      </c>
      <c r="L509" s="58" t="str">
        <f t="shared" si="76"/>
        <v/>
      </c>
      <c r="M509" s="58" t="str">
        <f t="shared" si="77"/>
        <v/>
      </c>
      <c r="N509" s="59" t="str">
        <f t="shared" si="73"/>
        <v/>
      </c>
      <c r="O509" s="60"/>
      <c r="P509" s="105"/>
    </row>
    <row r="510" spans="1:16" x14ac:dyDescent="0.3">
      <c r="A510" s="54" t="str">
        <f>IF([2]weekly_demand!A511="","",[2]weekly_demand!A511)</f>
        <v/>
      </c>
      <c r="B510" s="55" t="str">
        <f>IF($A510="","",[2]weekly_demand!F511)</f>
        <v/>
      </c>
      <c r="C510" s="56" t="str">
        <f>IF($A510="","",[2]weekly_demand!H511)</f>
        <v/>
      </c>
      <c r="D510" s="57" t="str">
        <f>IF($A510="","",IF(SUMIFS([2]Fixture_Capacity_Input!$C:$C,[2]Fixture_Capacity_Input!$A:$A,$B510,[2]Fixture_Capacity_Input!$B:$B,$C510)&gt;0,SUMIFS([2]Fixture_Capacity_Input!$C:$C,[2]Fixture_Capacity_Input!$A:$A,$B510,[2]Fixture_Capacity_Input!$B:$B,$C510),[2]weekly_demand!G511))</f>
        <v/>
      </c>
      <c r="E510" s="58" t="str">
        <f>IF($A510="","",[2]weekly_demand!I511)</f>
        <v/>
      </c>
      <c r="F510" s="57" t="str">
        <f t="shared" si="70"/>
        <v/>
      </c>
      <c r="G510" s="57" t="str">
        <f t="shared" si="71"/>
        <v/>
      </c>
      <c r="H510" s="57" t="str">
        <f t="shared" si="78"/>
        <v/>
      </c>
      <c r="I510" s="58" t="str">
        <f t="shared" si="74"/>
        <v/>
      </c>
      <c r="J510" s="58" t="str">
        <f t="shared" si="72"/>
        <v/>
      </c>
      <c r="K510" s="58" t="str">
        <f t="shared" si="75"/>
        <v/>
      </c>
      <c r="L510" s="58" t="str">
        <f t="shared" si="76"/>
        <v/>
      </c>
      <c r="M510" s="58" t="str">
        <f t="shared" si="77"/>
        <v/>
      </c>
      <c r="N510" s="59" t="str">
        <f t="shared" si="73"/>
        <v/>
      </c>
      <c r="O510" s="60"/>
      <c r="P510" s="105"/>
    </row>
    <row r="511" spans="1:16" x14ac:dyDescent="0.3">
      <c r="A511" s="54" t="str">
        <f>IF([2]weekly_demand!A512="","",[2]weekly_demand!A512)</f>
        <v/>
      </c>
      <c r="B511" s="55" t="str">
        <f>IF($A511="","",[2]weekly_demand!F512)</f>
        <v/>
      </c>
      <c r="C511" s="56" t="str">
        <f>IF($A511="","",[2]weekly_demand!H512)</f>
        <v/>
      </c>
      <c r="D511" s="57" t="str">
        <f>IF($A511="","",IF(SUMIFS([2]Fixture_Capacity_Input!$C:$C,[2]Fixture_Capacity_Input!$A:$A,$B511,[2]Fixture_Capacity_Input!$B:$B,$C511)&gt;0,SUMIFS([2]Fixture_Capacity_Input!$C:$C,[2]Fixture_Capacity_Input!$A:$A,$B511,[2]Fixture_Capacity_Input!$B:$B,$C511),[2]weekly_demand!G512))</f>
        <v/>
      </c>
      <c r="E511" s="58" t="str">
        <f>IF($A511="","",[2]weekly_demand!I512)</f>
        <v/>
      </c>
      <c r="F511" s="57" t="str">
        <f t="shared" si="70"/>
        <v/>
      </c>
      <c r="G511" s="57" t="str">
        <f t="shared" si="71"/>
        <v/>
      </c>
      <c r="H511" s="57" t="str">
        <f t="shared" si="78"/>
        <v/>
      </c>
      <c r="I511" s="58" t="str">
        <f t="shared" si="74"/>
        <v/>
      </c>
      <c r="J511" s="58" t="str">
        <f t="shared" si="72"/>
        <v/>
      </c>
      <c r="K511" s="58" t="str">
        <f t="shared" si="75"/>
        <v/>
      </c>
      <c r="L511" s="58" t="str">
        <f t="shared" si="76"/>
        <v/>
      </c>
      <c r="M511" s="58" t="str">
        <f t="shared" si="77"/>
        <v/>
      </c>
      <c r="N511" s="59" t="str">
        <f t="shared" si="73"/>
        <v/>
      </c>
      <c r="O511" s="60"/>
      <c r="P511" s="105"/>
    </row>
    <row r="512" spans="1:16" x14ac:dyDescent="0.3">
      <c r="A512" s="54" t="str">
        <f>IF([2]weekly_demand!A513="","",[2]weekly_demand!A513)</f>
        <v/>
      </c>
      <c r="B512" s="55" t="str">
        <f>IF($A512="","",[2]weekly_demand!F513)</f>
        <v/>
      </c>
      <c r="C512" s="56" t="str">
        <f>IF($A512="","",[2]weekly_demand!H513)</f>
        <v/>
      </c>
      <c r="D512" s="57" t="str">
        <f>IF($A512="","",IF(SUMIFS([2]Fixture_Capacity_Input!$C:$C,[2]Fixture_Capacity_Input!$A:$A,$B512,[2]Fixture_Capacity_Input!$B:$B,$C512)&gt;0,SUMIFS([2]Fixture_Capacity_Input!$C:$C,[2]Fixture_Capacity_Input!$A:$A,$B512,[2]Fixture_Capacity_Input!$B:$B,$C512),[2]weekly_demand!G513))</f>
        <v/>
      </c>
      <c r="E512" s="58" t="str">
        <f>IF($A512="","",[2]weekly_demand!I513)</f>
        <v/>
      </c>
      <c r="F512" s="57" t="str">
        <f t="shared" si="70"/>
        <v/>
      </c>
      <c r="G512" s="57" t="str">
        <f t="shared" si="71"/>
        <v/>
      </c>
      <c r="H512" s="57" t="str">
        <f t="shared" si="78"/>
        <v/>
      </c>
      <c r="I512" s="58" t="str">
        <f t="shared" si="74"/>
        <v/>
      </c>
      <c r="J512" s="58" t="str">
        <f t="shared" si="72"/>
        <v/>
      </c>
      <c r="K512" s="58" t="str">
        <f t="shared" si="75"/>
        <v/>
      </c>
      <c r="L512" s="58" t="str">
        <f t="shared" si="76"/>
        <v/>
      </c>
      <c r="M512" s="58" t="str">
        <f t="shared" si="77"/>
        <v/>
      </c>
      <c r="N512" s="59" t="str">
        <f t="shared" si="73"/>
        <v/>
      </c>
      <c r="O512" s="60"/>
      <c r="P512" s="105"/>
    </row>
    <row r="513" spans="1:16" x14ac:dyDescent="0.3">
      <c r="A513" s="54" t="str">
        <f>IF([2]weekly_demand!A514="","",[2]weekly_demand!A514)</f>
        <v/>
      </c>
      <c r="B513" s="55" t="str">
        <f>IF($A513="","",[2]weekly_demand!F514)</f>
        <v/>
      </c>
      <c r="C513" s="56" t="str">
        <f>IF($A513="","",[2]weekly_demand!H514)</f>
        <v/>
      </c>
      <c r="D513" s="57" t="str">
        <f>IF($A513="","",IF(SUMIFS([2]Fixture_Capacity_Input!$C:$C,[2]Fixture_Capacity_Input!$A:$A,$B513,[2]Fixture_Capacity_Input!$B:$B,$C513)&gt;0,SUMIFS([2]Fixture_Capacity_Input!$C:$C,[2]Fixture_Capacity_Input!$A:$A,$B513,[2]Fixture_Capacity_Input!$B:$B,$C513),[2]weekly_demand!G514))</f>
        <v/>
      </c>
      <c r="E513" s="58" t="str">
        <f>IF($A513="","",[2]weekly_demand!I514)</f>
        <v/>
      </c>
      <c r="F513" s="57" t="str">
        <f t="shared" si="70"/>
        <v/>
      </c>
      <c r="G513" s="57" t="str">
        <f t="shared" si="71"/>
        <v/>
      </c>
      <c r="H513" s="57" t="str">
        <f t="shared" si="78"/>
        <v/>
      </c>
      <c r="I513" s="58" t="str">
        <f t="shared" si="74"/>
        <v/>
      </c>
      <c r="J513" s="58" t="str">
        <f t="shared" si="72"/>
        <v/>
      </c>
      <c r="K513" s="58" t="str">
        <f t="shared" si="75"/>
        <v/>
      </c>
      <c r="L513" s="58" t="str">
        <f t="shared" si="76"/>
        <v/>
      </c>
      <c r="M513" s="58" t="str">
        <f t="shared" si="77"/>
        <v/>
      </c>
      <c r="N513" s="59" t="str">
        <f t="shared" si="73"/>
        <v/>
      </c>
      <c r="O513" s="60"/>
      <c r="P513" s="105"/>
    </row>
    <row r="514" spans="1:16" x14ac:dyDescent="0.3">
      <c r="A514" s="54" t="str">
        <f>IF([2]weekly_demand!A515="","",[2]weekly_demand!A515)</f>
        <v/>
      </c>
      <c r="B514" s="55" t="str">
        <f>IF($A514="","",[2]weekly_demand!F515)</f>
        <v/>
      </c>
      <c r="C514" s="56" t="str">
        <f>IF($A514="","",[2]weekly_demand!H515)</f>
        <v/>
      </c>
      <c r="D514" s="57" t="str">
        <f>IF($A514="","",IF(SUMIFS([2]Fixture_Capacity_Input!$C:$C,[2]Fixture_Capacity_Input!$A:$A,$B514,[2]Fixture_Capacity_Input!$B:$B,$C514)&gt;0,SUMIFS([2]Fixture_Capacity_Input!$C:$C,[2]Fixture_Capacity_Input!$A:$A,$B514,[2]Fixture_Capacity_Input!$B:$B,$C514),[2]weekly_demand!G515))</f>
        <v/>
      </c>
      <c r="E514" s="58" t="str">
        <f>IF($A514="","",[2]weekly_demand!I515)</f>
        <v/>
      </c>
      <c r="F514" s="57" t="str">
        <f t="shared" ref="F514:F577" si="79">IF($A514="","",IF($A514&lt;&gt;$A513,_xlfn.XLOOKUP($A514,$Q$2:$Q$7,$R$2:$R$7,0),K513))</f>
        <v/>
      </c>
      <c r="G514" s="57" t="str">
        <f t="shared" ref="G514:G577" si="80">IF($A514="","",_xlfn.XLOOKUP($A514,$Q$2:$Q$7,$S$2:$S$7,0))</f>
        <v/>
      </c>
      <c r="H514" s="57" t="str">
        <f t="shared" si="78"/>
        <v/>
      </c>
      <c r="I514" s="58" t="str">
        <f t="shared" si="74"/>
        <v/>
      </c>
      <c r="J514" s="58" t="str">
        <f t="shared" ref="J514:J577" si="81">IF($A514="","",MIN($D514,$I514,MAX(0,$E514+$G514-$F514)))</f>
        <v/>
      </c>
      <c r="K514" s="58" t="str">
        <f t="shared" si="75"/>
        <v/>
      </c>
      <c r="L514" s="58" t="str">
        <f t="shared" si="76"/>
        <v/>
      </c>
      <c r="M514" s="58" t="str">
        <f t="shared" si="77"/>
        <v/>
      </c>
      <c r="N514" s="59" t="str">
        <f t="shared" ref="N514:N577" si="82">IF($A514="","",IFERROR(J514/D514,0))</f>
        <v/>
      </c>
      <c r="O514" s="60"/>
      <c r="P514" s="105"/>
    </row>
    <row r="515" spans="1:16" x14ac:dyDescent="0.3">
      <c r="A515" s="54" t="str">
        <f>IF([2]weekly_demand!A516="","",[2]weekly_demand!A516)</f>
        <v/>
      </c>
      <c r="B515" s="55" t="str">
        <f>IF($A515="","",[2]weekly_demand!F516)</f>
        <v/>
      </c>
      <c r="C515" s="56" t="str">
        <f>IF($A515="","",[2]weekly_demand!H516)</f>
        <v/>
      </c>
      <c r="D515" s="57" t="str">
        <f>IF($A515="","",IF(SUMIFS([2]Fixture_Capacity_Input!$C:$C,[2]Fixture_Capacity_Input!$A:$A,$B515,[2]Fixture_Capacity_Input!$B:$B,$C515)&gt;0,SUMIFS([2]Fixture_Capacity_Input!$C:$C,[2]Fixture_Capacity_Input!$A:$A,$B515,[2]Fixture_Capacity_Input!$B:$B,$C515),[2]weekly_demand!G516))</f>
        <v/>
      </c>
      <c r="E515" s="58" t="str">
        <f>IF($A515="","",[2]weekly_demand!I516)</f>
        <v/>
      </c>
      <c r="F515" s="57" t="str">
        <f t="shared" si="79"/>
        <v/>
      </c>
      <c r="G515" s="57" t="str">
        <f t="shared" si="80"/>
        <v/>
      </c>
      <c r="H515" s="57" t="str">
        <f t="shared" si="78"/>
        <v/>
      </c>
      <c r="I515" s="58" t="str">
        <f t="shared" ref="I515:I578" si="83">IF($A515="","",MAX(0,E515+H515-F515))</f>
        <v/>
      </c>
      <c r="J515" s="58" t="str">
        <f t="shared" si="81"/>
        <v/>
      </c>
      <c r="K515" s="58" t="str">
        <f t="shared" ref="K515:K578" si="84">IF($A515="","",MIN($G515,MAX(0,$F515+$J515-$E515)))</f>
        <v/>
      </c>
      <c r="L515" s="58" t="str">
        <f t="shared" ref="L515:L578" si="85">IF($A515="","",MAX(0,E515-F515-J515))</f>
        <v/>
      </c>
      <c r="M515" s="58" t="str">
        <f t="shared" ref="M515:M578" si="86">IF($A515="","",MAX(0,F515+J515-E515))</f>
        <v/>
      </c>
      <c r="N515" s="59" t="str">
        <f t="shared" si="82"/>
        <v/>
      </c>
      <c r="O515" s="60"/>
      <c r="P515" s="105"/>
    </row>
    <row r="516" spans="1:16" x14ac:dyDescent="0.3">
      <c r="A516" s="54" t="str">
        <f>IF([2]weekly_demand!A517="","",[2]weekly_demand!A517)</f>
        <v/>
      </c>
      <c r="B516" s="55" t="str">
        <f>IF($A516="","",[2]weekly_demand!F517)</f>
        <v/>
      </c>
      <c r="C516" s="56" t="str">
        <f>IF($A516="","",[2]weekly_demand!H517)</f>
        <v/>
      </c>
      <c r="D516" s="57" t="str">
        <f>IF($A516="","",IF(SUMIFS([2]Fixture_Capacity_Input!$C:$C,[2]Fixture_Capacity_Input!$A:$A,$B516,[2]Fixture_Capacity_Input!$B:$B,$C516)&gt;0,SUMIFS([2]Fixture_Capacity_Input!$C:$C,[2]Fixture_Capacity_Input!$A:$A,$B516,[2]Fixture_Capacity_Input!$B:$B,$C516),[2]weekly_demand!G517))</f>
        <v/>
      </c>
      <c r="E516" s="58" t="str">
        <f>IF($A516="","",[2]weekly_demand!I517)</f>
        <v/>
      </c>
      <c r="F516" s="57" t="str">
        <f t="shared" si="79"/>
        <v/>
      </c>
      <c r="G516" s="57" t="str">
        <f t="shared" si="80"/>
        <v/>
      </c>
      <c r="H516" s="57" t="str">
        <f t="shared" si="78"/>
        <v/>
      </c>
      <c r="I516" s="58" t="str">
        <f t="shared" si="83"/>
        <v/>
      </c>
      <c r="J516" s="58" t="str">
        <f t="shared" si="81"/>
        <v/>
      </c>
      <c r="K516" s="58" t="str">
        <f t="shared" si="84"/>
        <v/>
      </c>
      <c r="L516" s="58" t="str">
        <f t="shared" si="85"/>
        <v/>
      </c>
      <c r="M516" s="58" t="str">
        <f t="shared" si="86"/>
        <v/>
      </c>
      <c r="N516" s="59" t="str">
        <f t="shared" si="82"/>
        <v/>
      </c>
      <c r="O516" s="60"/>
      <c r="P516" s="105"/>
    </row>
    <row r="517" spans="1:16" x14ac:dyDescent="0.3">
      <c r="A517" s="54" t="str">
        <f>IF([2]weekly_demand!A518="","",[2]weekly_demand!A518)</f>
        <v/>
      </c>
      <c r="B517" s="55" t="str">
        <f>IF($A517="","",[2]weekly_demand!F518)</f>
        <v/>
      </c>
      <c r="C517" s="56" t="str">
        <f>IF($A517="","",[2]weekly_demand!H518)</f>
        <v/>
      </c>
      <c r="D517" s="57" t="str">
        <f>IF($A517="","",IF(SUMIFS([2]Fixture_Capacity_Input!$C:$C,[2]Fixture_Capacity_Input!$A:$A,$B517,[2]Fixture_Capacity_Input!$B:$B,$C517)&gt;0,SUMIFS([2]Fixture_Capacity_Input!$C:$C,[2]Fixture_Capacity_Input!$A:$A,$B517,[2]Fixture_Capacity_Input!$B:$B,$C517),[2]weekly_demand!G518))</f>
        <v/>
      </c>
      <c r="E517" s="58" t="str">
        <f>IF($A517="","",[2]weekly_demand!I518)</f>
        <v/>
      </c>
      <c r="F517" s="57" t="str">
        <f t="shared" si="79"/>
        <v/>
      </c>
      <c r="G517" s="57" t="str">
        <f t="shared" si="80"/>
        <v/>
      </c>
      <c r="H517" s="57" t="str">
        <f t="shared" si="78"/>
        <v/>
      </c>
      <c r="I517" s="58" t="str">
        <f t="shared" si="83"/>
        <v/>
      </c>
      <c r="J517" s="58" t="str">
        <f t="shared" si="81"/>
        <v/>
      </c>
      <c r="K517" s="58" t="str">
        <f t="shared" si="84"/>
        <v/>
      </c>
      <c r="L517" s="58" t="str">
        <f t="shared" si="85"/>
        <v/>
      </c>
      <c r="M517" s="58" t="str">
        <f t="shared" si="86"/>
        <v/>
      </c>
      <c r="N517" s="59" t="str">
        <f t="shared" si="82"/>
        <v/>
      </c>
      <c r="O517" s="60"/>
      <c r="P517" s="105"/>
    </row>
    <row r="518" spans="1:16" x14ac:dyDescent="0.3">
      <c r="A518" s="54" t="str">
        <f>IF([2]weekly_demand!A519="","",[2]weekly_demand!A519)</f>
        <v/>
      </c>
      <c r="B518" s="55" t="str">
        <f>IF($A518="","",[2]weekly_demand!F519)</f>
        <v/>
      </c>
      <c r="C518" s="56" t="str">
        <f>IF($A518="","",[2]weekly_demand!H519)</f>
        <v/>
      </c>
      <c r="D518" s="57" t="str">
        <f>IF($A518="","",IF(SUMIFS([2]Fixture_Capacity_Input!$C:$C,[2]Fixture_Capacity_Input!$A:$A,$B518,[2]Fixture_Capacity_Input!$B:$B,$C518)&gt;0,SUMIFS([2]Fixture_Capacity_Input!$C:$C,[2]Fixture_Capacity_Input!$A:$A,$B518,[2]Fixture_Capacity_Input!$B:$B,$C518),[2]weekly_demand!G519))</f>
        <v/>
      </c>
      <c r="E518" s="58" t="str">
        <f>IF($A518="","",[2]weekly_demand!I519)</f>
        <v/>
      </c>
      <c r="F518" s="57" t="str">
        <f t="shared" si="79"/>
        <v/>
      </c>
      <c r="G518" s="57" t="str">
        <f t="shared" si="80"/>
        <v/>
      </c>
      <c r="H518" s="57" t="str">
        <f t="shared" si="78"/>
        <v/>
      </c>
      <c r="I518" s="58" t="str">
        <f t="shared" si="83"/>
        <v/>
      </c>
      <c r="J518" s="58" t="str">
        <f t="shared" si="81"/>
        <v/>
      </c>
      <c r="K518" s="58" t="str">
        <f t="shared" si="84"/>
        <v/>
      </c>
      <c r="L518" s="58" t="str">
        <f t="shared" si="85"/>
        <v/>
      </c>
      <c r="M518" s="58" t="str">
        <f t="shared" si="86"/>
        <v/>
      </c>
      <c r="N518" s="59" t="str">
        <f t="shared" si="82"/>
        <v/>
      </c>
      <c r="O518" s="60"/>
      <c r="P518" s="105"/>
    </row>
    <row r="519" spans="1:16" x14ac:dyDescent="0.3">
      <c r="A519" s="54" t="str">
        <f>IF([2]weekly_demand!A520="","",[2]weekly_demand!A520)</f>
        <v/>
      </c>
      <c r="B519" s="55" t="str">
        <f>IF($A519="","",[2]weekly_demand!F520)</f>
        <v/>
      </c>
      <c r="C519" s="56" t="str">
        <f>IF($A519="","",[2]weekly_demand!H520)</f>
        <v/>
      </c>
      <c r="D519" s="57" t="str">
        <f>IF($A519="","",IF(SUMIFS([2]Fixture_Capacity_Input!$C:$C,[2]Fixture_Capacity_Input!$A:$A,$B519,[2]Fixture_Capacity_Input!$B:$B,$C519)&gt;0,SUMIFS([2]Fixture_Capacity_Input!$C:$C,[2]Fixture_Capacity_Input!$A:$A,$B519,[2]Fixture_Capacity_Input!$B:$B,$C519),[2]weekly_demand!G520))</f>
        <v/>
      </c>
      <c r="E519" s="58" t="str">
        <f>IF($A519="","",[2]weekly_demand!I520)</f>
        <v/>
      </c>
      <c r="F519" s="57" t="str">
        <f t="shared" si="79"/>
        <v/>
      </c>
      <c r="G519" s="57" t="str">
        <f t="shared" si="80"/>
        <v/>
      </c>
      <c r="H519" s="57" t="str">
        <f t="shared" si="78"/>
        <v/>
      </c>
      <c r="I519" s="58" t="str">
        <f t="shared" si="83"/>
        <v/>
      </c>
      <c r="J519" s="58" t="str">
        <f t="shared" si="81"/>
        <v/>
      </c>
      <c r="K519" s="58" t="str">
        <f t="shared" si="84"/>
        <v/>
      </c>
      <c r="L519" s="58" t="str">
        <f t="shared" si="85"/>
        <v/>
      </c>
      <c r="M519" s="58" t="str">
        <f t="shared" si="86"/>
        <v/>
      </c>
      <c r="N519" s="59" t="str">
        <f t="shared" si="82"/>
        <v/>
      </c>
      <c r="O519" s="60"/>
      <c r="P519" s="105"/>
    </row>
    <row r="520" spans="1:16" x14ac:dyDescent="0.3">
      <c r="A520" s="54" t="str">
        <f>IF([2]weekly_demand!A521="","",[2]weekly_demand!A521)</f>
        <v/>
      </c>
      <c r="B520" s="55" t="str">
        <f>IF($A520="","",[2]weekly_demand!F521)</f>
        <v/>
      </c>
      <c r="C520" s="56" t="str">
        <f>IF($A520="","",[2]weekly_demand!H521)</f>
        <v/>
      </c>
      <c r="D520" s="57" t="str">
        <f>IF($A520="","",IF(SUMIFS([2]Fixture_Capacity_Input!$C:$C,[2]Fixture_Capacity_Input!$A:$A,$B520,[2]Fixture_Capacity_Input!$B:$B,$C520)&gt;0,SUMIFS([2]Fixture_Capacity_Input!$C:$C,[2]Fixture_Capacity_Input!$A:$A,$B520,[2]Fixture_Capacity_Input!$B:$B,$C520),[2]weekly_demand!G521))</f>
        <v/>
      </c>
      <c r="E520" s="58" t="str">
        <f>IF($A520="","",[2]weekly_demand!I521)</f>
        <v/>
      </c>
      <c r="F520" s="57" t="str">
        <f t="shared" si="79"/>
        <v/>
      </c>
      <c r="G520" s="57" t="str">
        <f t="shared" si="80"/>
        <v/>
      </c>
      <c r="H520" s="57" t="str">
        <f t="shared" si="78"/>
        <v/>
      </c>
      <c r="I520" s="58" t="str">
        <f t="shared" si="83"/>
        <v/>
      </c>
      <c r="J520" s="58" t="str">
        <f t="shared" si="81"/>
        <v/>
      </c>
      <c r="K520" s="58" t="str">
        <f t="shared" si="84"/>
        <v/>
      </c>
      <c r="L520" s="58" t="str">
        <f t="shared" si="85"/>
        <v/>
      </c>
      <c r="M520" s="58" t="str">
        <f t="shared" si="86"/>
        <v/>
      </c>
      <c r="N520" s="59" t="str">
        <f t="shared" si="82"/>
        <v/>
      </c>
      <c r="O520" s="60"/>
      <c r="P520" s="105"/>
    </row>
    <row r="521" spans="1:16" x14ac:dyDescent="0.3">
      <c r="A521" s="54" t="str">
        <f>IF([2]weekly_demand!A522="","",[2]weekly_demand!A522)</f>
        <v/>
      </c>
      <c r="B521" s="55" t="str">
        <f>IF($A521="","",[2]weekly_demand!F522)</f>
        <v/>
      </c>
      <c r="C521" s="56" t="str">
        <f>IF($A521="","",[2]weekly_demand!H522)</f>
        <v/>
      </c>
      <c r="D521" s="57" t="str">
        <f>IF($A521="","",IF(SUMIFS([2]Fixture_Capacity_Input!$C:$C,[2]Fixture_Capacity_Input!$A:$A,$B521,[2]Fixture_Capacity_Input!$B:$B,$C521)&gt;0,SUMIFS([2]Fixture_Capacity_Input!$C:$C,[2]Fixture_Capacity_Input!$A:$A,$B521,[2]Fixture_Capacity_Input!$B:$B,$C521),[2]weekly_demand!G522))</f>
        <v/>
      </c>
      <c r="E521" s="58" t="str">
        <f>IF($A521="","",[2]weekly_demand!I522)</f>
        <v/>
      </c>
      <c r="F521" s="57" t="str">
        <f t="shared" si="79"/>
        <v/>
      </c>
      <c r="G521" s="57" t="str">
        <f t="shared" si="80"/>
        <v/>
      </c>
      <c r="H521" s="57" t="str">
        <f t="shared" si="78"/>
        <v/>
      </c>
      <c r="I521" s="58" t="str">
        <f t="shared" si="83"/>
        <v/>
      </c>
      <c r="J521" s="58" t="str">
        <f t="shared" si="81"/>
        <v/>
      </c>
      <c r="K521" s="58" t="str">
        <f t="shared" si="84"/>
        <v/>
      </c>
      <c r="L521" s="58" t="str">
        <f t="shared" si="85"/>
        <v/>
      </c>
      <c r="M521" s="58" t="str">
        <f t="shared" si="86"/>
        <v/>
      </c>
      <c r="N521" s="59" t="str">
        <f t="shared" si="82"/>
        <v/>
      </c>
      <c r="O521" s="60"/>
      <c r="P521" s="105"/>
    </row>
    <row r="522" spans="1:16" x14ac:dyDescent="0.3">
      <c r="A522" s="54" t="str">
        <f>IF([2]weekly_demand!A523="","",[2]weekly_demand!A523)</f>
        <v/>
      </c>
      <c r="B522" s="55" t="str">
        <f>IF($A522="","",[2]weekly_demand!F523)</f>
        <v/>
      </c>
      <c r="C522" s="56" t="str">
        <f>IF($A522="","",[2]weekly_demand!H523)</f>
        <v/>
      </c>
      <c r="D522" s="57" t="str">
        <f>IF($A522="","",IF(SUMIFS([2]Fixture_Capacity_Input!$C:$C,[2]Fixture_Capacity_Input!$A:$A,$B522,[2]Fixture_Capacity_Input!$B:$B,$C522)&gt;0,SUMIFS([2]Fixture_Capacity_Input!$C:$C,[2]Fixture_Capacity_Input!$A:$A,$B522,[2]Fixture_Capacity_Input!$B:$B,$C522),[2]weekly_demand!G523))</f>
        <v/>
      </c>
      <c r="E522" s="58" t="str">
        <f>IF($A522="","",[2]weekly_demand!I523)</f>
        <v/>
      </c>
      <c r="F522" s="57" t="str">
        <f t="shared" si="79"/>
        <v/>
      </c>
      <c r="G522" s="57" t="str">
        <f t="shared" si="80"/>
        <v/>
      </c>
      <c r="H522" s="57" t="str">
        <f t="shared" si="78"/>
        <v/>
      </c>
      <c r="I522" s="58" t="str">
        <f t="shared" si="83"/>
        <v/>
      </c>
      <c r="J522" s="58" t="str">
        <f t="shared" si="81"/>
        <v/>
      </c>
      <c r="K522" s="58" t="str">
        <f t="shared" si="84"/>
        <v/>
      </c>
      <c r="L522" s="58" t="str">
        <f t="shared" si="85"/>
        <v/>
      </c>
      <c r="M522" s="58" t="str">
        <f t="shared" si="86"/>
        <v/>
      </c>
      <c r="N522" s="59" t="str">
        <f t="shared" si="82"/>
        <v/>
      </c>
      <c r="O522" s="60"/>
      <c r="P522" s="105"/>
    </row>
    <row r="523" spans="1:16" x14ac:dyDescent="0.3">
      <c r="A523" s="54" t="str">
        <f>IF([2]weekly_demand!A524="","",[2]weekly_demand!A524)</f>
        <v/>
      </c>
      <c r="B523" s="55" t="str">
        <f>IF($A523="","",[2]weekly_demand!F524)</f>
        <v/>
      </c>
      <c r="C523" s="56" t="str">
        <f>IF($A523="","",[2]weekly_demand!H524)</f>
        <v/>
      </c>
      <c r="D523" s="57" t="str">
        <f>IF($A523="","",IF(SUMIFS([2]Fixture_Capacity_Input!$C:$C,[2]Fixture_Capacity_Input!$A:$A,$B523,[2]Fixture_Capacity_Input!$B:$B,$C523)&gt;0,SUMIFS([2]Fixture_Capacity_Input!$C:$C,[2]Fixture_Capacity_Input!$A:$A,$B523,[2]Fixture_Capacity_Input!$B:$B,$C523),[2]weekly_demand!G524))</f>
        <v/>
      </c>
      <c r="E523" s="58" t="str">
        <f>IF($A523="","",[2]weekly_demand!I524)</f>
        <v/>
      </c>
      <c r="F523" s="57" t="str">
        <f t="shared" si="79"/>
        <v/>
      </c>
      <c r="G523" s="57" t="str">
        <f t="shared" si="80"/>
        <v/>
      </c>
      <c r="H523" s="57" t="str">
        <f t="shared" si="78"/>
        <v/>
      </c>
      <c r="I523" s="58" t="str">
        <f t="shared" si="83"/>
        <v/>
      </c>
      <c r="J523" s="58" t="str">
        <f t="shared" si="81"/>
        <v/>
      </c>
      <c r="K523" s="58" t="str">
        <f t="shared" si="84"/>
        <v/>
      </c>
      <c r="L523" s="58" t="str">
        <f t="shared" si="85"/>
        <v/>
      </c>
      <c r="M523" s="58" t="str">
        <f t="shared" si="86"/>
        <v/>
      </c>
      <c r="N523" s="59" t="str">
        <f t="shared" si="82"/>
        <v/>
      </c>
      <c r="O523" s="60"/>
      <c r="P523" s="105"/>
    </row>
    <row r="524" spans="1:16" x14ac:dyDescent="0.3">
      <c r="A524" s="54" t="str">
        <f>IF([2]weekly_demand!A525="","",[2]weekly_demand!A525)</f>
        <v/>
      </c>
      <c r="B524" s="55" t="str">
        <f>IF($A524="","",[2]weekly_demand!F525)</f>
        <v/>
      </c>
      <c r="C524" s="56" t="str">
        <f>IF($A524="","",[2]weekly_demand!H525)</f>
        <v/>
      </c>
      <c r="D524" s="57" t="str">
        <f>IF($A524="","",IF(SUMIFS([2]Fixture_Capacity_Input!$C:$C,[2]Fixture_Capacity_Input!$A:$A,$B524,[2]Fixture_Capacity_Input!$B:$B,$C524)&gt;0,SUMIFS([2]Fixture_Capacity_Input!$C:$C,[2]Fixture_Capacity_Input!$A:$A,$B524,[2]Fixture_Capacity_Input!$B:$B,$C524),[2]weekly_demand!G525))</f>
        <v/>
      </c>
      <c r="E524" s="58" t="str">
        <f>IF($A524="","",[2]weekly_demand!I525)</f>
        <v/>
      </c>
      <c r="F524" s="57" t="str">
        <f t="shared" si="79"/>
        <v/>
      </c>
      <c r="G524" s="57" t="str">
        <f t="shared" si="80"/>
        <v/>
      </c>
      <c r="H524" s="57" t="str">
        <f t="shared" si="78"/>
        <v/>
      </c>
      <c r="I524" s="58" t="str">
        <f t="shared" si="83"/>
        <v/>
      </c>
      <c r="J524" s="58" t="str">
        <f t="shared" si="81"/>
        <v/>
      </c>
      <c r="K524" s="58" t="str">
        <f t="shared" si="84"/>
        <v/>
      </c>
      <c r="L524" s="58" t="str">
        <f t="shared" si="85"/>
        <v/>
      </c>
      <c r="M524" s="58" t="str">
        <f t="shared" si="86"/>
        <v/>
      </c>
      <c r="N524" s="59" t="str">
        <f t="shared" si="82"/>
        <v/>
      </c>
      <c r="O524" s="60"/>
      <c r="P524" s="105"/>
    </row>
    <row r="525" spans="1:16" x14ac:dyDescent="0.3">
      <c r="A525" s="54" t="str">
        <f>IF([2]weekly_demand!A526="","",[2]weekly_demand!A526)</f>
        <v/>
      </c>
      <c r="B525" s="55" t="str">
        <f>IF($A525="","",[2]weekly_demand!F526)</f>
        <v/>
      </c>
      <c r="C525" s="56" t="str">
        <f>IF($A525="","",[2]weekly_demand!H526)</f>
        <v/>
      </c>
      <c r="D525" s="57" t="str">
        <f>IF($A525="","",IF(SUMIFS([2]Fixture_Capacity_Input!$C:$C,[2]Fixture_Capacity_Input!$A:$A,$B525,[2]Fixture_Capacity_Input!$B:$B,$C525)&gt;0,SUMIFS([2]Fixture_Capacity_Input!$C:$C,[2]Fixture_Capacity_Input!$A:$A,$B525,[2]Fixture_Capacity_Input!$B:$B,$C525),[2]weekly_demand!G526))</f>
        <v/>
      </c>
      <c r="E525" s="58" t="str">
        <f>IF($A525="","",[2]weekly_demand!I526)</f>
        <v/>
      </c>
      <c r="F525" s="57" t="str">
        <f t="shared" si="79"/>
        <v/>
      </c>
      <c r="G525" s="57" t="str">
        <f t="shared" si="80"/>
        <v/>
      </c>
      <c r="H525" s="57" t="str">
        <f t="shared" si="78"/>
        <v/>
      </c>
      <c r="I525" s="58" t="str">
        <f t="shared" si="83"/>
        <v/>
      </c>
      <c r="J525" s="58" t="str">
        <f t="shared" si="81"/>
        <v/>
      </c>
      <c r="K525" s="58" t="str">
        <f t="shared" si="84"/>
        <v/>
      </c>
      <c r="L525" s="58" t="str">
        <f t="shared" si="85"/>
        <v/>
      </c>
      <c r="M525" s="58" t="str">
        <f t="shared" si="86"/>
        <v/>
      </c>
      <c r="N525" s="59" t="str">
        <f t="shared" si="82"/>
        <v/>
      </c>
      <c r="O525" s="60"/>
      <c r="P525" s="105"/>
    </row>
    <row r="526" spans="1:16" x14ac:dyDescent="0.3">
      <c r="A526" s="54" t="str">
        <f>IF([2]weekly_demand!A527="","",[2]weekly_demand!A527)</f>
        <v/>
      </c>
      <c r="B526" s="55" t="str">
        <f>IF($A526="","",[2]weekly_demand!F527)</f>
        <v/>
      </c>
      <c r="C526" s="56" t="str">
        <f>IF($A526="","",[2]weekly_demand!H527)</f>
        <v/>
      </c>
      <c r="D526" s="57" t="str">
        <f>IF($A526="","",IF(SUMIFS([2]Fixture_Capacity_Input!$C:$C,[2]Fixture_Capacity_Input!$A:$A,$B526,[2]Fixture_Capacity_Input!$B:$B,$C526)&gt;0,SUMIFS([2]Fixture_Capacity_Input!$C:$C,[2]Fixture_Capacity_Input!$A:$A,$B526,[2]Fixture_Capacity_Input!$B:$B,$C526),[2]weekly_demand!G527))</f>
        <v/>
      </c>
      <c r="E526" s="58" t="str">
        <f>IF($A526="","",[2]weekly_demand!I527)</f>
        <v/>
      </c>
      <c r="F526" s="57" t="str">
        <f t="shared" si="79"/>
        <v/>
      </c>
      <c r="G526" s="57" t="str">
        <f t="shared" si="80"/>
        <v/>
      </c>
      <c r="H526" s="57" t="str">
        <f t="shared" si="78"/>
        <v/>
      </c>
      <c r="I526" s="58" t="str">
        <f t="shared" si="83"/>
        <v/>
      </c>
      <c r="J526" s="58" t="str">
        <f t="shared" si="81"/>
        <v/>
      </c>
      <c r="K526" s="58" t="str">
        <f t="shared" si="84"/>
        <v/>
      </c>
      <c r="L526" s="58" t="str">
        <f t="shared" si="85"/>
        <v/>
      </c>
      <c r="M526" s="58" t="str">
        <f t="shared" si="86"/>
        <v/>
      </c>
      <c r="N526" s="59" t="str">
        <f t="shared" si="82"/>
        <v/>
      </c>
      <c r="O526" s="60"/>
      <c r="P526" s="105"/>
    </row>
    <row r="527" spans="1:16" x14ac:dyDescent="0.3">
      <c r="A527" s="54" t="str">
        <f>IF([2]weekly_demand!A528="","",[2]weekly_demand!A528)</f>
        <v/>
      </c>
      <c r="B527" s="55" t="str">
        <f>IF($A527="","",[2]weekly_demand!F528)</f>
        <v/>
      </c>
      <c r="C527" s="56" t="str">
        <f>IF($A527="","",[2]weekly_demand!H528)</f>
        <v/>
      </c>
      <c r="D527" s="57" t="str">
        <f>IF($A527="","",IF(SUMIFS([2]Fixture_Capacity_Input!$C:$C,[2]Fixture_Capacity_Input!$A:$A,$B527,[2]Fixture_Capacity_Input!$B:$B,$C527)&gt;0,SUMIFS([2]Fixture_Capacity_Input!$C:$C,[2]Fixture_Capacity_Input!$A:$A,$B527,[2]Fixture_Capacity_Input!$B:$B,$C527),[2]weekly_demand!G528))</f>
        <v/>
      </c>
      <c r="E527" s="58" t="str">
        <f>IF($A527="","",[2]weekly_demand!I528)</f>
        <v/>
      </c>
      <c r="F527" s="57" t="str">
        <f t="shared" si="79"/>
        <v/>
      </c>
      <c r="G527" s="57" t="str">
        <f t="shared" si="80"/>
        <v/>
      </c>
      <c r="H527" s="57" t="str">
        <f t="shared" si="78"/>
        <v/>
      </c>
      <c r="I527" s="58" t="str">
        <f t="shared" si="83"/>
        <v/>
      </c>
      <c r="J527" s="58" t="str">
        <f t="shared" si="81"/>
        <v/>
      </c>
      <c r="K527" s="58" t="str">
        <f t="shared" si="84"/>
        <v/>
      </c>
      <c r="L527" s="58" t="str">
        <f t="shared" si="85"/>
        <v/>
      </c>
      <c r="M527" s="58" t="str">
        <f t="shared" si="86"/>
        <v/>
      </c>
      <c r="N527" s="59" t="str">
        <f t="shared" si="82"/>
        <v/>
      </c>
      <c r="O527" s="60"/>
      <c r="P527" s="105"/>
    </row>
    <row r="528" spans="1:16" x14ac:dyDescent="0.3">
      <c r="A528" s="54" t="str">
        <f>IF([2]weekly_demand!A529="","",[2]weekly_demand!A529)</f>
        <v/>
      </c>
      <c r="B528" s="55" t="str">
        <f>IF($A528="","",[2]weekly_demand!F529)</f>
        <v/>
      </c>
      <c r="C528" s="56" t="str">
        <f>IF($A528="","",[2]weekly_demand!H529)</f>
        <v/>
      </c>
      <c r="D528" s="57" t="str">
        <f>IF($A528="","",IF(SUMIFS([2]Fixture_Capacity_Input!$C:$C,[2]Fixture_Capacity_Input!$A:$A,$B528,[2]Fixture_Capacity_Input!$B:$B,$C528)&gt;0,SUMIFS([2]Fixture_Capacity_Input!$C:$C,[2]Fixture_Capacity_Input!$A:$A,$B528,[2]Fixture_Capacity_Input!$B:$B,$C528),[2]weekly_demand!G529))</f>
        <v/>
      </c>
      <c r="E528" s="58" t="str">
        <f>IF($A528="","",[2]weekly_demand!I529)</f>
        <v/>
      </c>
      <c r="F528" s="57" t="str">
        <f t="shared" si="79"/>
        <v/>
      </c>
      <c r="G528" s="57" t="str">
        <f t="shared" si="80"/>
        <v/>
      </c>
      <c r="H528" s="57" t="str">
        <f t="shared" si="78"/>
        <v/>
      </c>
      <c r="I528" s="58" t="str">
        <f t="shared" si="83"/>
        <v/>
      </c>
      <c r="J528" s="58" t="str">
        <f t="shared" si="81"/>
        <v/>
      </c>
      <c r="K528" s="58" t="str">
        <f t="shared" si="84"/>
        <v/>
      </c>
      <c r="L528" s="58" t="str">
        <f t="shared" si="85"/>
        <v/>
      </c>
      <c r="M528" s="58" t="str">
        <f t="shared" si="86"/>
        <v/>
      </c>
      <c r="N528" s="59" t="str">
        <f t="shared" si="82"/>
        <v/>
      </c>
      <c r="O528" s="60"/>
      <c r="P528" s="105"/>
    </row>
    <row r="529" spans="1:16" x14ac:dyDescent="0.3">
      <c r="A529" s="54" t="str">
        <f>IF([2]weekly_demand!A530="","",[2]weekly_demand!A530)</f>
        <v/>
      </c>
      <c r="B529" s="55" t="str">
        <f>IF($A529="","",[2]weekly_demand!F530)</f>
        <v/>
      </c>
      <c r="C529" s="56" t="str">
        <f>IF($A529="","",[2]weekly_demand!H530)</f>
        <v/>
      </c>
      <c r="D529" s="57" t="str">
        <f>IF($A529="","",IF(SUMIFS([2]Fixture_Capacity_Input!$C:$C,[2]Fixture_Capacity_Input!$A:$A,$B529,[2]Fixture_Capacity_Input!$B:$B,$C529)&gt;0,SUMIFS([2]Fixture_Capacity_Input!$C:$C,[2]Fixture_Capacity_Input!$A:$A,$B529,[2]Fixture_Capacity_Input!$B:$B,$C529),[2]weekly_demand!G530))</f>
        <v/>
      </c>
      <c r="E529" s="58" t="str">
        <f>IF($A529="","",[2]weekly_demand!I530)</f>
        <v/>
      </c>
      <c r="F529" s="57" t="str">
        <f t="shared" si="79"/>
        <v/>
      </c>
      <c r="G529" s="57" t="str">
        <f t="shared" si="80"/>
        <v/>
      </c>
      <c r="H529" s="57" t="str">
        <f t="shared" si="78"/>
        <v/>
      </c>
      <c r="I529" s="58" t="str">
        <f t="shared" si="83"/>
        <v/>
      </c>
      <c r="J529" s="58" t="str">
        <f t="shared" si="81"/>
        <v/>
      </c>
      <c r="K529" s="58" t="str">
        <f t="shared" si="84"/>
        <v/>
      </c>
      <c r="L529" s="58" t="str">
        <f t="shared" si="85"/>
        <v/>
      </c>
      <c r="M529" s="58" t="str">
        <f t="shared" si="86"/>
        <v/>
      </c>
      <c r="N529" s="59" t="str">
        <f t="shared" si="82"/>
        <v/>
      </c>
      <c r="O529" s="60"/>
      <c r="P529" s="105"/>
    </row>
    <row r="530" spans="1:16" x14ac:dyDescent="0.3">
      <c r="A530" s="54" t="str">
        <f>IF([2]weekly_demand!A531="","",[2]weekly_demand!A531)</f>
        <v/>
      </c>
      <c r="B530" s="55" t="str">
        <f>IF($A530="","",[2]weekly_demand!F531)</f>
        <v/>
      </c>
      <c r="C530" s="56" t="str">
        <f>IF($A530="","",[2]weekly_demand!H531)</f>
        <v/>
      </c>
      <c r="D530" s="57" t="str">
        <f>IF($A530="","",IF(SUMIFS([2]Fixture_Capacity_Input!$C:$C,[2]Fixture_Capacity_Input!$A:$A,$B530,[2]Fixture_Capacity_Input!$B:$B,$C530)&gt;0,SUMIFS([2]Fixture_Capacity_Input!$C:$C,[2]Fixture_Capacity_Input!$A:$A,$B530,[2]Fixture_Capacity_Input!$B:$B,$C530),[2]weekly_demand!G531))</f>
        <v/>
      </c>
      <c r="E530" s="58" t="str">
        <f>IF($A530="","",[2]weekly_demand!I531)</f>
        <v/>
      </c>
      <c r="F530" s="57" t="str">
        <f t="shared" si="79"/>
        <v/>
      </c>
      <c r="G530" s="57" t="str">
        <f t="shared" si="80"/>
        <v/>
      </c>
      <c r="H530" s="57" t="str">
        <f t="shared" si="78"/>
        <v/>
      </c>
      <c r="I530" s="58" t="str">
        <f t="shared" si="83"/>
        <v/>
      </c>
      <c r="J530" s="58" t="str">
        <f t="shared" si="81"/>
        <v/>
      </c>
      <c r="K530" s="58" t="str">
        <f t="shared" si="84"/>
        <v/>
      </c>
      <c r="L530" s="58" t="str">
        <f t="shared" si="85"/>
        <v/>
      </c>
      <c r="M530" s="58" t="str">
        <f t="shared" si="86"/>
        <v/>
      </c>
      <c r="N530" s="59" t="str">
        <f t="shared" si="82"/>
        <v/>
      </c>
      <c r="O530" s="60"/>
      <c r="P530" s="105"/>
    </row>
    <row r="531" spans="1:16" x14ac:dyDescent="0.3">
      <c r="A531" s="54" t="str">
        <f>IF([2]weekly_demand!A532="","",[2]weekly_demand!A532)</f>
        <v/>
      </c>
      <c r="B531" s="55" t="str">
        <f>IF($A531="","",[2]weekly_demand!F532)</f>
        <v/>
      </c>
      <c r="C531" s="56" t="str">
        <f>IF($A531="","",[2]weekly_demand!H532)</f>
        <v/>
      </c>
      <c r="D531" s="57" t="str">
        <f>IF($A531="","",IF(SUMIFS([2]Fixture_Capacity_Input!$C:$C,[2]Fixture_Capacity_Input!$A:$A,$B531,[2]Fixture_Capacity_Input!$B:$B,$C531)&gt;0,SUMIFS([2]Fixture_Capacity_Input!$C:$C,[2]Fixture_Capacity_Input!$A:$A,$B531,[2]Fixture_Capacity_Input!$B:$B,$C531),[2]weekly_demand!G532))</f>
        <v/>
      </c>
      <c r="E531" s="58" t="str">
        <f>IF($A531="","",[2]weekly_demand!I532)</f>
        <v/>
      </c>
      <c r="F531" s="57" t="str">
        <f t="shared" si="79"/>
        <v/>
      </c>
      <c r="G531" s="57" t="str">
        <f t="shared" si="80"/>
        <v/>
      </c>
      <c r="H531" s="57" t="str">
        <f t="shared" si="78"/>
        <v/>
      </c>
      <c r="I531" s="58" t="str">
        <f t="shared" si="83"/>
        <v/>
      </c>
      <c r="J531" s="58" t="str">
        <f t="shared" si="81"/>
        <v/>
      </c>
      <c r="K531" s="58" t="str">
        <f t="shared" si="84"/>
        <v/>
      </c>
      <c r="L531" s="58" t="str">
        <f t="shared" si="85"/>
        <v/>
      </c>
      <c r="M531" s="58" t="str">
        <f t="shared" si="86"/>
        <v/>
      </c>
      <c r="N531" s="59" t="str">
        <f t="shared" si="82"/>
        <v/>
      </c>
      <c r="O531" s="60"/>
      <c r="P531" s="105"/>
    </row>
    <row r="532" spans="1:16" x14ac:dyDescent="0.3">
      <c r="A532" s="54" t="str">
        <f>IF([2]weekly_demand!A533="","",[2]weekly_demand!A533)</f>
        <v/>
      </c>
      <c r="B532" s="55" t="str">
        <f>IF($A532="","",[2]weekly_demand!F533)</f>
        <v/>
      </c>
      <c r="C532" s="56" t="str">
        <f>IF($A532="","",[2]weekly_demand!H533)</f>
        <v/>
      </c>
      <c r="D532" s="57" t="str">
        <f>IF($A532="","",IF(SUMIFS([2]Fixture_Capacity_Input!$C:$C,[2]Fixture_Capacity_Input!$A:$A,$B532,[2]Fixture_Capacity_Input!$B:$B,$C532)&gt;0,SUMIFS([2]Fixture_Capacity_Input!$C:$C,[2]Fixture_Capacity_Input!$A:$A,$B532,[2]Fixture_Capacity_Input!$B:$B,$C532),[2]weekly_demand!G533))</f>
        <v/>
      </c>
      <c r="E532" s="58" t="str">
        <f>IF($A532="","",[2]weekly_demand!I533)</f>
        <v/>
      </c>
      <c r="F532" s="57" t="str">
        <f t="shared" si="79"/>
        <v/>
      </c>
      <c r="G532" s="57" t="str">
        <f t="shared" si="80"/>
        <v/>
      </c>
      <c r="H532" s="57" t="str">
        <f t="shared" si="78"/>
        <v/>
      </c>
      <c r="I532" s="58" t="str">
        <f t="shared" si="83"/>
        <v/>
      </c>
      <c r="J532" s="58" t="str">
        <f t="shared" si="81"/>
        <v/>
      </c>
      <c r="K532" s="58" t="str">
        <f t="shared" si="84"/>
        <v/>
      </c>
      <c r="L532" s="58" t="str">
        <f t="shared" si="85"/>
        <v/>
      </c>
      <c r="M532" s="58" t="str">
        <f t="shared" si="86"/>
        <v/>
      </c>
      <c r="N532" s="59" t="str">
        <f t="shared" si="82"/>
        <v/>
      </c>
      <c r="O532" s="60"/>
      <c r="P532" s="105"/>
    </row>
    <row r="533" spans="1:16" x14ac:dyDescent="0.3">
      <c r="A533" s="54" t="str">
        <f>IF([2]weekly_demand!A534="","",[2]weekly_demand!A534)</f>
        <v/>
      </c>
      <c r="B533" s="55" t="str">
        <f>IF($A533="","",[2]weekly_demand!F534)</f>
        <v/>
      </c>
      <c r="C533" s="56" t="str">
        <f>IF($A533="","",[2]weekly_demand!H534)</f>
        <v/>
      </c>
      <c r="D533" s="57" t="str">
        <f>IF($A533="","",IF(SUMIFS([2]Fixture_Capacity_Input!$C:$C,[2]Fixture_Capacity_Input!$A:$A,$B533,[2]Fixture_Capacity_Input!$B:$B,$C533)&gt;0,SUMIFS([2]Fixture_Capacity_Input!$C:$C,[2]Fixture_Capacity_Input!$A:$A,$B533,[2]Fixture_Capacity_Input!$B:$B,$C533),[2]weekly_demand!G534))</f>
        <v/>
      </c>
      <c r="E533" s="58" t="str">
        <f>IF($A533="","",[2]weekly_demand!I534)</f>
        <v/>
      </c>
      <c r="F533" s="57" t="str">
        <f t="shared" si="79"/>
        <v/>
      </c>
      <c r="G533" s="57" t="str">
        <f t="shared" si="80"/>
        <v/>
      </c>
      <c r="H533" s="57" t="str">
        <f t="shared" si="78"/>
        <v/>
      </c>
      <c r="I533" s="58" t="str">
        <f t="shared" si="83"/>
        <v/>
      </c>
      <c r="J533" s="58" t="str">
        <f t="shared" si="81"/>
        <v/>
      </c>
      <c r="K533" s="58" t="str">
        <f t="shared" si="84"/>
        <v/>
      </c>
      <c r="L533" s="58" t="str">
        <f t="shared" si="85"/>
        <v/>
      </c>
      <c r="M533" s="58" t="str">
        <f t="shared" si="86"/>
        <v/>
      </c>
      <c r="N533" s="59" t="str">
        <f t="shared" si="82"/>
        <v/>
      </c>
      <c r="O533" s="60"/>
      <c r="P533" s="105"/>
    </row>
    <row r="534" spans="1:16" x14ac:dyDescent="0.3">
      <c r="A534" s="54" t="str">
        <f>IF([2]weekly_demand!A535="","",[2]weekly_demand!A535)</f>
        <v/>
      </c>
      <c r="B534" s="55" t="str">
        <f>IF($A534="","",[2]weekly_demand!F535)</f>
        <v/>
      </c>
      <c r="C534" s="56" t="str">
        <f>IF($A534="","",[2]weekly_demand!H535)</f>
        <v/>
      </c>
      <c r="D534" s="57" t="str">
        <f>IF($A534="","",IF(SUMIFS([2]Fixture_Capacity_Input!$C:$C,[2]Fixture_Capacity_Input!$A:$A,$B534,[2]Fixture_Capacity_Input!$B:$B,$C534)&gt;0,SUMIFS([2]Fixture_Capacity_Input!$C:$C,[2]Fixture_Capacity_Input!$A:$A,$B534,[2]Fixture_Capacity_Input!$B:$B,$C534),[2]weekly_demand!G535))</f>
        <v/>
      </c>
      <c r="E534" s="58" t="str">
        <f>IF($A534="","",[2]weekly_demand!I535)</f>
        <v/>
      </c>
      <c r="F534" s="57" t="str">
        <f t="shared" si="79"/>
        <v/>
      </c>
      <c r="G534" s="57" t="str">
        <f t="shared" si="80"/>
        <v/>
      </c>
      <c r="H534" s="57" t="str">
        <f t="shared" si="78"/>
        <v/>
      </c>
      <c r="I534" s="58" t="str">
        <f t="shared" si="83"/>
        <v/>
      </c>
      <c r="J534" s="58" t="str">
        <f t="shared" si="81"/>
        <v/>
      </c>
      <c r="K534" s="58" t="str">
        <f t="shared" si="84"/>
        <v/>
      </c>
      <c r="L534" s="58" t="str">
        <f t="shared" si="85"/>
        <v/>
      </c>
      <c r="M534" s="58" t="str">
        <f t="shared" si="86"/>
        <v/>
      </c>
      <c r="N534" s="59" t="str">
        <f t="shared" si="82"/>
        <v/>
      </c>
      <c r="O534" s="60"/>
      <c r="P534" s="105"/>
    </row>
    <row r="535" spans="1:16" x14ac:dyDescent="0.3">
      <c r="A535" s="54" t="str">
        <f>IF([2]weekly_demand!A536="","",[2]weekly_demand!A536)</f>
        <v/>
      </c>
      <c r="B535" s="55" t="str">
        <f>IF($A535="","",[2]weekly_demand!F536)</f>
        <v/>
      </c>
      <c r="C535" s="56" t="str">
        <f>IF($A535="","",[2]weekly_demand!H536)</f>
        <v/>
      </c>
      <c r="D535" s="57" t="str">
        <f>IF($A535="","",IF(SUMIFS([2]Fixture_Capacity_Input!$C:$C,[2]Fixture_Capacity_Input!$A:$A,$B535,[2]Fixture_Capacity_Input!$B:$B,$C535)&gt;0,SUMIFS([2]Fixture_Capacity_Input!$C:$C,[2]Fixture_Capacity_Input!$A:$A,$B535,[2]Fixture_Capacity_Input!$B:$B,$C535),[2]weekly_demand!G536))</f>
        <v/>
      </c>
      <c r="E535" s="58" t="str">
        <f>IF($A535="","",[2]weekly_demand!I536)</f>
        <v/>
      </c>
      <c r="F535" s="57" t="str">
        <f t="shared" si="79"/>
        <v/>
      </c>
      <c r="G535" s="57" t="str">
        <f t="shared" si="80"/>
        <v/>
      </c>
      <c r="H535" s="57" t="str">
        <f t="shared" si="78"/>
        <v/>
      </c>
      <c r="I535" s="58" t="str">
        <f t="shared" si="83"/>
        <v/>
      </c>
      <c r="J535" s="58" t="str">
        <f t="shared" si="81"/>
        <v/>
      </c>
      <c r="K535" s="58" t="str">
        <f t="shared" si="84"/>
        <v/>
      </c>
      <c r="L535" s="58" t="str">
        <f t="shared" si="85"/>
        <v/>
      </c>
      <c r="M535" s="58" t="str">
        <f t="shared" si="86"/>
        <v/>
      </c>
      <c r="N535" s="59" t="str">
        <f t="shared" si="82"/>
        <v/>
      </c>
      <c r="O535" s="60"/>
      <c r="P535" s="105"/>
    </row>
    <row r="536" spans="1:16" x14ac:dyDescent="0.3">
      <c r="A536" s="54" t="str">
        <f>IF([2]weekly_demand!A537="","",[2]weekly_demand!A537)</f>
        <v/>
      </c>
      <c r="B536" s="55" t="str">
        <f>IF($A536="","",[2]weekly_demand!F537)</f>
        <v/>
      </c>
      <c r="C536" s="56" t="str">
        <f>IF($A536="","",[2]weekly_demand!H537)</f>
        <v/>
      </c>
      <c r="D536" s="57" t="str">
        <f>IF($A536="","",IF(SUMIFS([2]Fixture_Capacity_Input!$C:$C,[2]Fixture_Capacity_Input!$A:$A,$B536,[2]Fixture_Capacity_Input!$B:$B,$C536)&gt;0,SUMIFS([2]Fixture_Capacity_Input!$C:$C,[2]Fixture_Capacity_Input!$A:$A,$B536,[2]Fixture_Capacity_Input!$B:$B,$C536),[2]weekly_demand!G537))</f>
        <v/>
      </c>
      <c r="E536" s="58" t="str">
        <f>IF($A536="","",[2]weekly_demand!I537)</f>
        <v/>
      </c>
      <c r="F536" s="57" t="str">
        <f t="shared" si="79"/>
        <v/>
      </c>
      <c r="G536" s="57" t="str">
        <f t="shared" si="80"/>
        <v/>
      </c>
      <c r="H536" s="57" t="str">
        <f t="shared" si="78"/>
        <v/>
      </c>
      <c r="I536" s="58" t="str">
        <f t="shared" si="83"/>
        <v/>
      </c>
      <c r="J536" s="58" t="str">
        <f t="shared" si="81"/>
        <v/>
      </c>
      <c r="K536" s="58" t="str">
        <f t="shared" si="84"/>
        <v/>
      </c>
      <c r="L536" s="58" t="str">
        <f t="shared" si="85"/>
        <v/>
      </c>
      <c r="M536" s="58" t="str">
        <f t="shared" si="86"/>
        <v/>
      </c>
      <c r="N536" s="59" t="str">
        <f t="shared" si="82"/>
        <v/>
      </c>
      <c r="O536" s="60"/>
      <c r="P536" s="105"/>
    </row>
    <row r="537" spans="1:16" x14ac:dyDescent="0.3">
      <c r="A537" s="54" t="str">
        <f>IF([2]weekly_demand!A538="","",[2]weekly_demand!A538)</f>
        <v/>
      </c>
      <c r="B537" s="55" t="str">
        <f>IF($A537="","",[2]weekly_demand!F538)</f>
        <v/>
      </c>
      <c r="C537" s="56" t="str">
        <f>IF($A537="","",[2]weekly_demand!H538)</f>
        <v/>
      </c>
      <c r="D537" s="57" t="str">
        <f>IF($A537="","",IF(SUMIFS([2]Fixture_Capacity_Input!$C:$C,[2]Fixture_Capacity_Input!$A:$A,$B537,[2]Fixture_Capacity_Input!$B:$B,$C537)&gt;0,SUMIFS([2]Fixture_Capacity_Input!$C:$C,[2]Fixture_Capacity_Input!$A:$A,$B537,[2]Fixture_Capacity_Input!$B:$B,$C537),[2]weekly_demand!G538))</f>
        <v/>
      </c>
      <c r="E537" s="58" t="str">
        <f>IF($A537="","",[2]weekly_demand!I538)</f>
        <v/>
      </c>
      <c r="F537" s="57" t="str">
        <f t="shared" si="79"/>
        <v/>
      </c>
      <c r="G537" s="57" t="str">
        <f t="shared" si="80"/>
        <v/>
      </c>
      <c r="H537" s="57" t="str">
        <f t="shared" si="78"/>
        <v/>
      </c>
      <c r="I537" s="58" t="str">
        <f t="shared" si="83"/>
        <v/>
      </c>
      <c r="J537" s="58" t="str">
        <f t="shared" si="81"/>
        <v/>
      </c>
      <c r="K537" s="58" t="str">
        <f t="shared" si="84"/>
        <v/>
      </c>
      <c r="L537" s="58" t="str">
        <f t="shared" si="85"/>
        <v/>
      </c>
      <c r="M537" s="58" t="str">
        <f t="shared" si="86"/>
        <v/>
      </c>
      <c r="N537" s="59" t="str">
        <f t="shared" si="82"/>
        <v/>
      </c>
      <c r="O537" s="60"/>
      <c r="P537" s="105"/>
    </row>
    <row r="538" spans="1:16" x14ac:dyDescent="0.3">
      <c r="A538" s="54" t="str">
        <f>IF([2]weekly_demand!A539="","",[2]weekly_demand!A539)</f>
        <v/>
      </c>
      <c r="B538" s="55" t="str">
        <f>IF($A538="","",[2]weekly_demand!F539)</f>
        <v/>
      </c>
      <c r="C538" s="56" t="str">
        <f>IF($A538="","",[2]weekly_demand!H539)</f>
        <v/>
      </c>
      <c r="D538" s="57" t="str">
        <f>IF($A538="","",IF(SUMIFS([2]Fixture_Capacity_Input!$C:$C,[2]Fixture_Capacity_Input!$A:$A,$B538,[2]Fixture_Capacity_Input!$B:$B,$C538)&gt;0,SUMIFS([2]Fixture_Capacity_Input!$C:$C,[2]Fixture_Capacity_Input!$A:$A,$B538,[2]Fixture_Capacity_Input!$B:$B,$C538),[2]weekly_demand!G539))</f>
        <v/>
      </c>
      <c r="E538" s="58" t="str">
        <f>IF($A538="","",[2]weekly_demand!I539)</f>
        <v/>
      </c>
      <c r="F538" s="57" t="str">
        <f t="shared" si="79"/>
        <v/>
      </c>
      <c r="G538" s="57" t="str">
        <f t="shared" si="80"/>
        <v/>
      </c>
      <c r="H538" s="57" t="str">
        <f t="shared" si="78"/>
        <v/>
      </c>
      <c r="I538" s="58" t="str">
        <f t="shared" si="83"/>
        <v/>
      </c>
      <c r="J538" s="58" t="str">
        <f t="shared" si="81"/>
        <v/>
      </c>
      <c r="K538" s="58" t="str">
        <f t="shared" si="84"/>
        <v/>
      </c>
      <c r="L538" s="58" t="str">
        <f t="shared" si="85"/>
        <v/>
      </c>
      <c r="M538" s="58" t="str">
        <f t="shared" si="86"/>
        <v/>
      </c>
      <c r="N538" s="59" t="str">
        <f t="shared" si="82"/>
        <v/>
      </c>
      <c r="O538" s="60"/>
      <c r="P538" s="105"/>
    </row>
    <row r="539" spans="1:16" x14ac:dyDescent="0.3">
      <c r="A539" s="54" t="str">
        <f>IF([2]weekly_demand!A540="","",[2]weekly_demand!A540)</f>
        <v/>
      </c>
      <c r="B539" s="55" t="str">
        <f>IF($A539="","",[2]weekly_demand!F540)</f>
        <v/>
      </c>
      <c r="C539" s="56" t="str">
        <f>IF($A539="","",[2]weekly_demand!H540)</f>
        <v/>
      </c>
      <c r="D539" s="57" t="str">
        <f>IF($A539="","",IF(SUMIFS([2]Fixture_Capacity_Input!$C:$C,[2]Fixture_Capacity_Input!$A:$A,$B539,[2]Fixture_Capacity_Input!$B:$B,$C539)&gt;0,SUMIFS([2]Fixture_Capacity_Input!$C:$C,[2]Fixture_Capacity_Input!$A:$A,$B539,[2]Fixture_Capacity_Input!$B:$B,$C539),[2]weekly_demand!G540))</f>
        <v/>
      </c>
      <c r="E539" s="58" t="str">
        <f>IF($A539="","",[2]weekly_demand!I540)</f>
        <v/>
      </c>
      <c r="F539" s="57" t="str">
        <f t="shared" si="79"/>
        <v/>
      </c>
      <c r="G539" s="57" t="str">
        <f t="shared" si="80"/>
        <v/>
      </c>
      <c r="H539" s="57" t="str">
        <f t="shared" si="78"/>
        <v/>
      </c>
      <c r="I539" s="58" t="str">
        <f t="shared" si="83"/>
        <v/>
      </c>
      <c r="J539" s="58" t="str">
        <f t="shared" si="81"/>
        <v/>
      </c>
      <c r="K539" s="58" t="str">
        <f t="shared" si="84"/>
        <v/>
      </c>
      <c r="L539" s="58" t="str">
        <f t="shared" si="85"/>
        <v/>
      </c>
      <c r="M539" s="58" t="str">
        <f t="shared" si="86"/>
        <v/>
      </c>
      <c r="N539" s="59" t="str">
        <f t="shared" si="82"/>
        <v/>
      </c>
      <c r="O539" s="60"/>
      <c r="P539" s="105"/>
    </row>
    <row r="540" spans="1:16" x14ac:dyDescent="0.3">
      <c r="A540" s="54" t="str">
        <f>IF([2]weekly_demand!A541="","",[2]weekly_demand!A541)</f>
        <v/>
      </c>
      <c r="B540" s="55" t="str">
        <f>IF($A540="","",[2]weekly_demand!F541)</f>
        <v/>
      </c>
      <c r="C540" s="56" t="str">
        <f>IF($A540="","",[2]weekly_demand!H541)</f>
        <v/>
      </c>
      <c r="D540" s="57" t="str">
        <f>IF($A540="","",IF(SUMIFS([2]Fixture_Capacity_Input!$C:$C,[2]Fixture_Capacity_Input!$A:$A,$B540,[2]Fixture_Capacity_Input!$B:$B,$C540)&gt;0,SUMIFS([2]Fixture_Capacity_Input!$C:$C,[2]Fixture_Capacity_Input!$A:$A,$B540,[2]Fixture_Capacity_Input!$B:$B,$C540),[2]weekly_demand!G541))</f>
        <v/>
      </c>
      <c r="E540" s="58" t="str">
        <f>IF($A540="","",[2]weekly_demand!I541)</f>
        <v/>
      </c>
      <c r="F540" s="57" t="str">
        <f t="shared" si="79"/>
        <v/>
      </c>
      <c r="G540" s="57" t="str">
        <f t="shared" si="80"/>
        <v/>
      </c>
      <c r="H540" s="57" t="str">
        <f t="shared" si="78"/>
        <v/>
      </c>
      <c r="I540" s="58" t="str">
        <f t="shared" si="83"/>
        <v/>
      </c>
      <c r="J540" s="58" t="str">
        <f t="shared" si="81"/>
        <v/>
      </c>
      <c r="K540" s="58" t="str">
        <f t="shared" si="84"/>
        <v/>
      </c>
      <c r="L540" s="58" t="str">
        <f t="shared" si="85"/>
        <v/>
      </c>
      <c r="M540" s="58" t="str">
        <f t="shared" si="86"/>
        <v/>
      </c>
      <c r="N540" s="59" t="str">
        <f t="shared" si="82"/>
        <v/>
      </c>
      <c r="O540" s="60"/>
      <c r="P540" s="105"/>
    </row>
    <row r="541" spans="1:16" x14ac:dyDescent="0.3">
      <c r="A541" s="54" t="str">
        <f>IF([2]weekly_demand!A542="","",[2]weekly_demand!A542)</f>
        <v/>
      </c>
      <c r="B541" s="55" t="str">
        <f>IF($A541="","",[2]weekly_demand!F542)</f>
        <v/>
      </c>
      <c r="C541" s="56" t="str">
        <f>IF($A541="","",[2]weekly_demand!H542)</f>
        <v/>
      </c>
      <c r="D541" s="57" t="str">
        <f>IF($A541="","",IF(SUMIFS([2]Fixture_Capacity_Input!$C:$C,[2]Fixture_Capacity_Input!$A:$A,$B541,[2]Fixture_Capacity_Input!$B:$B,$C541)&gt;0,SUMIFS([2]Fixture_Capacity_Input!$C:$C,[2]Fixture_Capacity_Input!$A:$A,$B541,[2]Fixture_Capacity_Input!$B:$B,$C541),[2]weekly_demand!G542))</f>
        <v/>
      </c>
      <c r="E541" s="58" t="str">
        <f>IF($A541="","",[2]weekly_demand!I542)</f>
        <v/>
      </c>
      <c r="F541" s="57" t="str">
        <f t="shared" si="79"/>
        <v/>
      </c>
      <c r="G541" s="57" t="str">
        <f t="shared" si="80"/>
        <v/>
      </c>
      <c r="H541" s="57" t="str">
        <f t="shared" si="78"/>
        <v/>
      </c>
      <c r="I541" s="58" t="str">
        <f t="shared" si="83"/>
        <v/>
      </c>
      <c r="J541" s="58" t="str">
        <f t="shared" si="81"/>
        <v/>
      </c>
      <c r="K541" s="58" t="str">
        <f t="shared" si="84"/>
        <v/>
      </c>
      <c r="L541" s="58" t="str">
        <f t="shared" si="85"/>
        <v/>
      </c>
      <c r="M541" s="58" t="str">
        <f t="shared" si="86"/>
        <v/>
      </c>
      <c r="N541" s="59" t="str">
        <f t="shared" si="82"/>
        <v/>
      </c>
      <c r="O541" s="60"/>
      <c r="P541" s="105"/>
    </row>
    <row r="542" spans="1:16" x14ac:dyDescent="0.3">
      <c r="A542" s="54" t="str">
        <f>IF([2]weekly_demand!A543="","",[2]weekly_demand!A543)</f>
        <v/>
      </c>
      <c r="B542" s="55" t="str">
        <f>IF($A542="","",[2]weekly_demand!F543)</f>
        <v/>
      </c>
      <c r="C542" s="56" t="str">
        <f>IF($A542="","",[2]weekly_demand!H543)</f>
        <v/>
      </c>
      <c r="D542" s="57" t="str">
        <f>IF($A542="","",IF(SUMIFS([2]Fixture_Capacity_Input!$C:$C,[2]Fixture_Capacity_Input!$A:$A,$B542,[2]Fixture_Capacity_Input!$B:$B,$C542)&gt;0,SUMIFS([2]Fixture_Capacity_Input!$C:$C,[2]Fixture_Capacity_Input!$A:$A,$B542,[2]Fixture_Capacity_Input!$B:$B,$C542),[2]weekly_demand!G543))</f>
        <v/>
      </c>
      <c r="E542" s="58" t="str">
        <f>IF($A542="","",[2]weekly_demand!I543)</f>
        <v/>
      </c>
      <c r="F542" s="57" t="str">
        <f t="shared" si="79"/>
        <v/>
      </c>
      <c r="G542" s="57" t="str">
        <f t="shared" si="80"/>
        <v/>
      </c>
      <c r="H542" s="57" t="str">
        <f t="shared" si="78"/>
        <v/>
      </c>
      <c r="I542" s="58" t="str">
        <f t="shared" si="83"/>
        <v/>
      </c>
      <c r="J542" s="58" t="str">
        <f t="shared" si="81"/>
        <v/>
      </c>
      <c r="K542" s="58" t="str">
        <f t="shared" si="84"/>
        <v/>
      </c>
      <c r="L542" s="58" t="str">
        <f t="shared" si="85"/>
        <v/>
      </c>
      <c r="M542" s="58" t="str">
        <f t="shared" si="86"/>
        <v/>
      </c>
      <c r="N542" s="59" t="str">
        <f t="shared" si="82"/>
        <v/>
      </c>
      <c r="O542" s="60"/>
      <c r="P542" s="105"/>
    </row>
    <row r="543" spans="1:16" x14ac:dyDescent="0.3">
      <c r="A543" s="54" t="str">
        <f>IF([2]weekly_demand!A544="","",[2]weekly_demand!A544)</f>
        <v/>
      </c>
      <c r="B543" s="55" t="str">
        <f>IF($A543="","",[2]weekly_demand!F544)</f>
        <v/>
      </c>
      <c r="C543" s="56" t="str">
        <f>IF($A543="","",[2]weekly_demand!H544)</f>
        <v/>
      </c>
      <c r="D543" s="57" t="str">
        <f>IF($A543="","",IF(SUMIFS([2]Fixture_Capacity_Input!$C:$C,[2]Fixture_Capacity_Input!$A:$A,$B543,[2]Fixture_Capacity_Input!$B:$B,$C543)&gt;0,SUMIFS([2]Fixture_Capacity_Input!$C:$C,[2]Fixture_Capacity_Input!$A:$A,$B543,[2]Fixture_Capacity_Input!$B:$B,$C543),[2]weekly_demand!G544))</f>
        <v/>
      </c>
      <c r="E543" s="58" t="str">
        <f>IF($A543="","",[2]weekly_demand!I544)</f>
        <v/>
      </c>
      <c r="F543" s="57" t="str">
        <f t="shared" si="79"/>
        <v/>
      </c>
      <c r="G543" s="57" t="str">
        <f t="shared" si="80"/>
        <v/>
      </c>
      <c r="H543" s="57" t="str">
        <f t="shared" si="78"/>
        <v/>
      </c>
      <c r="I543" s="58" t="str">
        <f t="shared" si="83"/>
        <v/>
      </c>
      <c r="J543" s="58" t="str">
        <f t="shared" si="81"/>
        <v/>
      </c>
      <c r="K543" s="58" t="str">
        <f t="shared" si="84"/>
        <v/>
      </c>
      <c r="L543" s="58" t="str">
        <f t="shared" si="85"/>
        <v/>
      </c>
      <c r="M543" s="58" t="str">
        <f t="shared" si="86"/>
        <v/>
      </c>
      <c r="N543" s="59" t="str">
        <f t="shared" si="82"/>
        <v/>
      </c>
      <c r="O543" s="60"/>
      <c r="P543" s="105"/>
    </row>
    <row r="544" spans="1:16" x14ac:dyDescent="0.3">
      <c r="A544" s="54" t="str">
        <f>IF([2]weekly_demand!A545="","",[2]weekly_demand!A545)</f>
        <v/>
      </c>
      <c r="B544" s="55" t="str">
        <f>IF($A544="","",[2]weekly_demand!F545)</f>
        <v/>
      </c>
      <c r="C544" s="56" t="str">
        <f>IF($A544="","",[2]weekly_demand!H545)</f>
        <v/>
      </c>
      <c r="D544" s="57" t="str">
        <f>IF($A544="","",IF(SUMIFS([2]Fixture_Capacity_Input!$C:$C,[2]Fixture_Capacity_Input!$A:$A,$B544,[2]Fixture_Capacity_Input!$B:$B,$C544)&gt;0,SUMIFS([2]Fixture_Capacity_Input!$C:$C,[2]Fixture_Capacity_Input!$A:$A,$B544,[2]Fixture_Capacity_Input!$B:$B,$C544),[2]weekly_demand!G545))</f>
        <v/>
      </c>
      <c r="E544" s="58" t="str">
        <f>IF($A544="","",[2]weekly_demand!I545)</f>
        <v/>
      </c>
      <c r="F544" s="57" t="str">
        <f t="shared" si="79"/>
        <v/>
      </c>
      <c r="G544" s="57" t="str">
        <f t="shared" si="80"/>
        <v/>
      </c>
      <c r="H544" s="57" t="str">
        <f t="shared" si="78"/>
        <v/>
      </c>
      <c r="I544" s="58" t="str">
        <f t="shared" si="83"/>
        <v/>
      </c>
      <c r="J544" s="58" t="str">
        <f t="shared" si="81"/>
        <v/>
      </c>
      <c r="K544" s="58" t="str">
        <f t="shared" si="84"/>
        <v/>
      </c>
      <c r="L544" s="58" t="str">
        <f t="shared" si="85"/>
        <v/>
      </c>
      <c r="M544" s="58" t="str">
        <f t="shared" si="86"/>
        <v/>
      </c>
      <c r="N544" s="59" t="str">
        <f t="shared" si="82"/>
        <v/>
      </c>
      <c r="O544" s="60"/>
      <c r="P544" s="105"/>
    </row>
    <row r="545" spans="1:16" x14ac:dyDescent="0.3">
      <c r="A545" s="54" t="str">
        <f>IF([2]weekly_demand!A546="","",[2]weekly_demand!A546)</f>
        <v/>
      </c>
      <c r="B545" s="55" t="str">
        <f>IF($A545="","",[2]weekly_demand!F546)</f>
        <v/>
      </c>
      <c r="C545" s="56" t="str">
        <f>IF($A545="","",[2]weekly_demand!H546)</f>
        <v/>
      </c>
      <c r="D545" s="57" t="str">
        <f>IF($A545="","",IF(SUMIFS([2]Fixture_Capacity_Input!$C:$C,[2]Fixture_Capacity_Input!$A:$A,$B545,[2]Fixture_Capacity_Input!$B:$B,$C545)&gt;0,SUMIFS([2]Fixture_Capacity_Input!$C:$C,[2]Fixture_Capacity_Input!$A:$A,$B545,[2]Fixture_Capacity_Input!$B:$B,$C545),[2]weekly_demand!G546))</f>
        <v/>
      </c>
      <c r="E545" s="58" t="str">
        <f>IF($A545="","",[2]weekly_demand!I546)</f>
        <v/>
      </c>
      <c r="F545" s="57" t="str">
        <f t="shared" si="79"/>
        <v/>
      </c>
      <c r="G545" s="57" t="str">
        <f t="shared" si="80"/>
        <v/>
      </c>
      <c r="H545" s="57" t="str">
        <f t="shared" si="78"/>
        <v/>
      </c>
      <c r="I545" s="58" t="str">
        <f t="shared" si="83"/>
        <v/>
      </c>
      <c r="J545" s="58" t="str">
        <f t="shared" si="81"/>
        <v/>
      </c>
      <c r="K545" s="58" t="str">
        <f t="shared" si="84"/>
        <v/>
      </c>
      <c r="L545" s="58" t="str">
        <f t="shared" si="85"/>
        <v/>
      </c>
      <c r="M545" s="58" t="str">
        <f t="shared" si="86"/>
        <v/>
      </c>
      <c r="N545" s="59" t="str">
        <f t="shared" si="82"/>
        <v/>
      </c>
      <c r="O545" s="60"/>
      <c r="P545" s="105"/>
    </row>
    <row r="546" spans="1:16" x14ac:dyDescent="0.3">
      <c r="A546" s="54" t="str">
        <f>IF([2]weekly_demand!A547="","",[2]weekly_demand!A547)</f>
        <v/>
      </c>
      <c r="B546" s="55" t="str">
        <f>IF($A546="","",[2]weekly_demand!F547)</f>
        <v/>
      </c>
      <c r="C546" s="56" t="str">
        <f>IF($A546="","",[2]weekly_demand!H547)</f>
        <v/>
      </c>
      <c r="D546" s="57" t="str">
        <f>IF($A546="","",IF(SUMIFS([2]Fixture_Capacity_Input!$C:$C,[2]Fixture_Capacity_Input!$A:$A,$B546,[2]Fixture_Capacity_Input!$B:$B,$C546)&gt;0,SUMIFS([2]Fixture_Capacity_Input!$C:$C,[2]Fixture_Capacity_Input!$A:$A,$B546,[2]Fixture_Capacity_Input!$B:$B,$C546),[2]weekly_demand!G547))</f>
        <v/>
      </c>
      <c r="E546" s="58" t="str">
        <f>IF($A546="","",[2]weekly_demand!I547)</f>
        <v/>
      </c>
      <c r="F546" s="57" t="str">
        <f t="shared" si="79"/>
        <v/>
      </c>
      <c r="G546" s="57" t="str">
        <f t="shared" si="80"/>
        <v/>
      </c>
      <c r="H546" s="57" t="str">
        <f t="shared" si="78"/>
        <v/>
      </c>
      <c r="I546" s="58" t="str">
        <f t="shared" si="83"/>
        <v/>
      </c>
      <c r="J546" s="58" t="str">
        <f t="shared" si="81"/>
        <v/>
      </c>
      <c r="K546" s="58" t="str">
        <f t="shared" si="84"/>
        <v/>
      </c>
      <c r="L546" s="58" t="str">
        <f t="shared" si="85"/>
        <v/>
      </c>
      <c r="M546" s="58" t="str">
        <f t="shared" si="86"/>
        <v/>
      </c>
      <c r="N546" s="59" t="str">
        <f t="shared" si="82"/>
        <v/>
      </c>
      <c r="O546" s="60"/>
      <c r="P546" s="105"/>
    </row>
    <row r="547" spans="1:16" x14ac:dyDescent="0.3">
      <c r="A547" s="54" t="str">
        <f>IF([2]weekly_demand!A548="","",[2]weekly_demand!A548)</f>
        <v/>
      </c>
      <c r="B547" s="55" t="str">
        <f>IF($A547="","",[2]weekly_demand!F548)</f>
        <v/>
      </c>
      <c r="C547" s="56" t="str">
        <f>IF($A547="","",[2]weekly_demand!H548)</f>
        <v/>
      </c>
      <c r="D547" s="57" t="str">
        <f>IF($A547="","",IF(SUMIFS([2]Fixture_Capacity_Input!$C:$C,[2]Fixture_Capacity_Input!$A:$A,$B547,[2]Fixture_Capacity_Input!$B:$B,$C547)&gt;0,SUMIFS([2]Fixture_Capacity_Input!$C:$C,[2]Fixture_Capacity_Input!$A:$A,$B547,[2]Fixture_Capacity_Input!$B:$B,$C547),[2]weekly_demand!G548))</f>
        <v/>
      </c>
      <c r="E547" s="58" t="str">
        <f>IF($A547="","",[2]weekly_demand!I548)</f>
        <v/>
      </c>
      <c r="F547" s="57" t="str">
        <f t="shared" si="79"/>
        <v/>
      </c>
      <c r="G547" s="57" t="str">
        <f t="shared" si="80"/>
        <v/>
      </c>
      <c r="H547" s="57" t="str">
        <f t="shared" si="78"/>
        <v/>
      </c>
      <c r="I547" s="58" t="str">
        <f t="shared" si="83"/>
        <v/>
      </c>
      <c r="J547" s="58" t="str">
        <f t="shared" si="81"/>
        <v/>
      </c>
      <c r="K547" s="58" t="str">
        <f t="shared" si="84"/>
        <v/>
      </c>
      <c r="L547" s="58" t="str">
        <f t="shared" si="85"/>
        <v/>
      </c>
      <c r="M547" s="58" t="str">
        <f t="shared" si="86"/>
        <v/>
      </c>
      <c r="N547" s="59" t="str">
        <f t="shared" si="82"/>
        <v/>
      </c>
      <c r="O547" s="60"/>
      <c r="P547" s="105"/>
    </row>
    <row r="548" spans="1:16" x14ac:dyDescent="0.3">
      <c r="A548" s="54" t="str">
        <f>IF([2]weekly_demand!A549="","",[2]weekly_demand!A549)</f>
        <v/>
      </c>
      <c r="B548" s="55" t="str">
        <f>IF($A548="","",[2]weekly_demand!F549)</f>
        <v/>
      </c>
      <c r="C548" s="56" t="str">
        <f>IF($A548="","",[2]weekly_demand!H549)</f>
        <v/>
      </c>
      <c r="D548" s="57" t="str">
        <f>IF($A548="","",IF(SUMIFS([2]Fixture_Capacity_Input!$C:$C,[2]Fixture_Capacity_Input!$A:$A,$B548,[2]Fixture_Capacity_Input!$B:$B,$C548)&gt;0,SUMIFS([2]Fixture_Capacity_Input!$C:$C,[2]Fixture_Capacity_Input!$A:$A,$B548,[2]Fixture_Capacity_Input!$B:$B,$C548),[2]weekly_demand!G549))</f>
        <v/>
      </c>
      <c r="E548" s="58" t="str">
        <f>IF($A548="","",[2]weekly_demand!I549)</f>
        <v/>
      </c>
      <c r="F548" s="57" t="str">
        <f t="shared" si="79"/>
        <v/>
      </c>
      <c r="G548" s="57" t="str">
        <f t="shared" si="80"/>
        <v/>
      </c>
      <c r="H548" s="57" t="str">
        <f t="shared" si="78"/>
        <v/>
      </c>
      <c r="I548" s="58" t="str">
        <f t="shared" si="83"/>
        <v/>
      </c>
      <c r="J548" s="58" t="str">
        <f t="shared" si="81"/>
        <v/>
      </c>
      <c r="K548" s="58" t="str">
        <f t="shared" si="84"/>
        <v/>
      </c>
      <c r="L548" s="58" t="str">
        <f t="shared" si="85"/>
        <v/>
      </c>
      <c r="M548" s="58" t="str">
        <f t="shared" si="86"/>
        <v/>
      </c>
      <c r="N548" s="59" t="str">
        <f t="shared" si="82"/>
        <v/>
      </c>
      <c r="O548" s="60"/>
      <c r="P548" s="105"/>
    </row>
    <row r="549" spans="1:16" x14ac:dyDescent="0.3">
      <c r="A549" s="54" t="str">
        <f>IF([2]weekly_demand!A550="","",[2]weekly_demand!A550)</f>
        <v/>
      </c>
      <c r="B549" s="55" t="str">
        <f>IF($A549="","",[2]weekly_demand!F550)</f>
        <v/>
      </c>
      <c r="C549" s="56" t="str">
        <f>IF($A549="","",[2]weekly_demand!H550)</f>
        <v/>
      </c>
      <c r="D549" s="57" t="str">
        <f>IF($A549="","",IF(SUMIFS([2]Fixture_Capacity_Input!$C:$C,[2]Fixture_Capacity_Input!$A:$A,$B549,[2]Fixture_Capacity_Input!$B:$B,$C549)&gt;0,SUMIFS([2]Fixture_Capacity_Input!$C:$C,[2]Fixture_Capacity_Input!$A:$A,$B549,[2]Fixture_Capacity_Input!$B:$B,$C549),[2]weekly_demand!G550))</f>
        <v/>
      </c>
      <c r="E549" s="58" t="str">
        <f>IF($A549="","",[2]weekly_demand!I550)</f>
        <v/>
      </c>
      <c r="F549" s="57" t="str">
        <f t="shared" si="79"/>
        <v/>
      </c>
      <c r="G549" s="57" t="str">
        <f t="shared" si="80"/>
        <v/>
      </c>
      <c r="H549" s="57" t="str">
        <f t="shared" si="78"/>
        <v/>
      </c>
      <c r="I549" s="58" t="str">
        <f t="shared" si="83"/>
        <v/>
      </c>
      <c r="J549" s="58" t="str">
        <f t="shared" si="81"/>
        <v/>
      </c>
      <c r="K549" s="58" t="str">
        <f t="shared" si="84"/>
        <v/>
      </c>
      <c r="L549" s="58" t="str">
        <f t="shared" si="85"/>
        <v/>
      </c>
      <c r="M549" s="58" t="str">
        <f t="shared" si="86"/>
        <v/>
      </c>
      <c r="N549" s="59" t="str">
        <f t="shared" si="82"/>
        <v/>
      </c>
      <c r="O549" s="60"/>
      <c r="P549" s="105"/>
    </row>
    <row r="550" spans="1:16" x14ac:dyDescent="0.3">
      <c r="A550" s="54" t="str">
        <f>IF([2]weekly_demand!A551="","",[2]weekly_demand!A551)</f>
        <v/>
      </c>
      <c r="B550" s="55" t="str">
        <f>IF($A550="","",[2]weekly_demand!F551)</f>
        <v/>
      </c>
      <c r="C550" s="56" t="str">
        <f>IF($A550="","",[2]weekly_demand!H551)</f>
        <v/>
      </c>
      <c r="D550" s="57" t="str">
        <f>IF($A550="","",IF(SUMIFS([2]Fixture_Capacity_Input!$C:$C,[2]Fixture_Capacity_Input!$A:$A,$B550,[2]Fixture_Capacity_Input!$B:$B,$C550)&gt;0,SUMIFS([2]Fixture_Capacity_Input!$C:$C,[2]Fixture_Capacity_Input!$A:$A,$B550,[2]Fixture_Capacity_Input!$B:$B,$C550),[2]weekly_demand!G551))</f>
        <v/>
      </c>
      <c r="E550" s="58" t="str">
        <f>IF($A550="","",[2]weekly_demand!I551)</f>
        <v/>
      </c>
      <c r="F550" s="57" t="str">
        <f t="shared" si="79"/>
        <v/>
      </c>
      <c r="G550" s="57" t="str">
        <f t="shared" si="80"/>
        <v/>
      </c>
      <c r="H550" s="57" t="str">
        <f t="shared" si="78"/>
        <v/>
      </c>
      <c r="I550" s="58" t="str">
        <f t="shared" si="83"/>
        <v/>
      </c>
      <c r="J550" s="58" t="str">
        <f t="shared" si="81"/>
        <v/>
      </c>
      <c r="K550" s="58" t="str">
        <f t="shared" si="84"/>
        <v/>
      </c>
      <c r="L550" s="58" t="str">
        <f t="shared" si="85"/>
        <v/>
      </c>
      <c r="M550" s="58" t="str">
        <f t="shared" si="86"/>
        <v/>
      </c>
      <c r="N550" s="59" t="str">
        <f t="shared" si="82"/>
        <v/>
      </c>
      <c r="O550" s="60"/>
      <c r="P550" s="105"/>
    </row>
    <row r="551" spans="1:16" x14ac:dyDescent="0.3">
      <c r="A551" s="54" t="str">
        <f>IF([2]weekly_demand!A552="","",[2]weekly_demand!A552)</f>
        <v/>
      </c>
      <c r="B551" s="55" t="str">
        <f>IF($A551="","",[2]weekly_demand!F552)</f>
        <v/>
      </c>
      <c r="C551" s="56" t="str">
        <f>IF($A551="","",[2]weekly_demand!H552)</f>
        <v/>
      </c>
      <c r="D551" s="57" t="str">
        <f>IF($A551="","",IF(SUMIFS([2]Fixture_Capacity_Input!$C:$C,[2]Fixture_Capacity_Input!$A:$A,$B551,[2]Fixture_Capacity_Input!$B:$B,$C551)&gt;0,SUMIFS([2]Fixture_Capacity_Input!$C:$C,[2]Fixture_Capacity_Input!$A:$A,$B551,[2]Fixture_Capacity_Input!$B:$B,$C551),[2]weekly_demand!G552))</f>
        <v/>
      </c>
      <c r="E551" s="58" t="str">
        <f>IF($A551="","",[2]weekly_demand!I552)</f>
        <v/>
      </c>
      <c r="F551" s="57" t="str">
        <f t="shared" si="79"/>
        <v/>
      </c>
      <c r="G551" s="57" t="str">
        <f t="shared" si="80"/>
        <v/>
      </c>
      <c r="H551" s="57" t="str">
        <f t="shared" si="78"/>
        <v/>
      </c>
      <c r="I551" s="58" t="str">
        <f t="shared" si="83"/>
        <v/>
      </c>
      <c r="J551" s="58" t="str">
        <f t="shared" si="81"/>
        <v/>
      </c>
      <c r="K551" s="58" t="str">
        <f t="shared" si="84"/>
        <v/>
      </c>
      <c r="L551" s="58" t="str">
        <f t="shared" si="85"/>
        <v/>
      </c>
      <c r="M551" s="58" t="str">
        <f t="shared" si="86"/>
        <v/>
      </c>
      <c r="N551" s="59" t="str">
        <f t="shared" si="82"/>
        <v/>
      </c>
      <c r="O551" s="60"/>
      <c r="P551" s="105"/>
    </row>
    <row r="552" spans="1:16" x14ac:dyDescent="0.3">
      <c r="A552" s="54" t="str">
        <f>IF([2]weekly_demand!A553="","",[2]weekly_demand!A553)</f>
        <v/>
      </c>
      <c r="B552" s="55" t="str">
        <f>IF($A552="","",[2]weekly_demand!F553)</f>
        <v/>
      </c>
      <c r="C552" s="56" t="str">
        <f>IF($A552="","",[2]weekly_demand!H553)</f>
        <v/>
      </c>
      <c r="D552" s="57" t="str">
        <f>IF($A552="","",IF(SUMIFS([2]Fixture_Capacity_Input!$C:$C,[2]Fixture_Capacity_Input!$A:$A,$B552,[2]Fixture_Capacity_Input!$B:$B,$C552)&gt;0,SUMIFS([2]Fixture_Capacity_Input!$C:$C,[2]Fixture_Capacity_Input!$A:$A,$B552,[2]Fixture_Capacity_Input!$B:$B,$C552),[2]weekly_demand!G553))</f>
        <v/>
      </c>
      <c r="E552" s="58" t="str">
        <f>IF($A552="","",[2]weekly_demand!I553)</f>
        <v/>
      </c>
      <c r="F552" s="57" t="str">
        <f t="shared" si="79"/>
        <v/>
      </c>
      <c r="G552" s="57" t="str">
        <f t="shared" si="80"/>
        <v/>
      </c>
      <c r="H552" s="57" t="str">
        <f t="shared" si="78"/>
        <v/>
      </c>
      <c r="I552" s="58" t="str">
        <f t="shared" si="83"/>
        <v/>
      </c>
      <c r="J552" s="58" t="str">
        <f t="shared" si="81"/>
        <v/>
      </c>
      <c r="K552" s="58" t="str">
        <f t="shared" si="84"/>
        <v/>
      </c>
      <c r="L552" s="58" t="str">
        <f t="shared" si="85"/>
        <v/>
      </c>
      <c r="M552" s="58" t="str">
        <f t="shared" si="86"/>
        <v/>
      </c>
      <c r="N552" s="59" t="str">
        <f t="shared" si="82"/>
        <v/>
      </c>
      <c r="O552" s="60"/>
      <c r="P552" s="105"/>
    </row>
    <row r="553" spans="1:16" x14ac:dyDescent="0.3">
      <c r="A553" s="54" t="str">
        <f>IF([2]weekly_demand!A554="","",[2]weekly_demand!A554)</f>
        <v/>
      </c>
      <c r="B553" s="55" t="str">
        <f>IF($A553="","",[2]weekly_demand!F554)</f>
        <v/>
      </c>
      <c r="C553" s="56" t="str">
        <f>IF($A553="","",[2]weekly_demand!H554)</f>
        <v/>
      </c>
      <c r="D553" s="57" t="str">
        <f>IF($A553="","",IF(SUMIFS([2]Fixture_Capacity_Input!$C:$C,[2]Fixture_Capacity_Input!$A:$A,$B553,[2]Fixture_Capacity_Input!$B:$B,$C553)&gt;0,SUMIFS([2]Fixture_Capacity_Input!$C:$C,[2]Fixture_Capacity_Input!$A:$A,$B553,[2]Fixture_Capacity_Input!$B:$B,$C553),[2]weekly_demand!G554))</f>
        <v/>
      </c>
      <c r="E553" s="58" t="str">
        <f>IF($A553="","",[2]weekly_demand!I554)</f>
        <v/>
      </c>
      <c r="F553" s="57" t="str">
        <f t="shared" si="79"/>
        <v/>
      </c>
      <c r="G553" s="57" t="str">
        <f t="shared" si="80"/>
        <v/>
      </c>
      <c r="H553" s="57" t="str">
        <f t="shared" si="78"/>
        <v/>
      </c>
      <c r="I553" s="58" t="str">
        <f t="shared" si="83"/>
        <v/>
      </c>
      <c r="J553" s="58" t="str">
        <f t="shared" si="81"/>
        <v/>
      </c>
      <c r="K553" s="58" t="str">
        <f t="shared" si="84"/>
        <v/>
      </c>
      <c r="L553" s="58" t="str">
        <f t="shared" si="85"/>
        <v/>
      </c>
      <c r="M553" s="58" t="str">
        <f t="shared" si="86"/>
        <v/>
      </c>
      <c r="N553" s="59" t="str">
        <f t="shared" si="82"/>
        <v/>
      </c>
      <c r="O553" s="60"/>
      <c r="P553" s="105"/>
    </row>
    <row r="554" spans="1:16" x14ac:dyDescent="0.3">
      <c r="A554" s="54" t="str">
        <f>IF([2]weekly_demand!A555="","",[2]weekly_demand!A555)</f>
        <v/>
      </c>
      <c r="B554" s="55" t="str">
        <f>IF($A554="","",[2]weekly_demand!F555)</f>
        <v/>
      </c>
      <c r="C554" s="56" t="str">
        <f>IF($A554="","",[2]weekly_demand!H555)</f>
        <v/>
      </c>
      <c r="D554" s="57" t="str">
        <f>IF($A554="","",IF(SUMIFS([2]Fixture_Capacity_Input!$C:$C,[2]Fixture_Capacity_Input!$A:$A,$B554,[2]Fixture_Capacity_Input!$B:$B,$C554)&gt;0,SUMIFS([2]Fixture_Capacity_Input!$C:$C,[2]Fixture_Capacity_Input!$A:$A,$B554,[2]Fixture_Capacity_Input!$B:$B,$C554),[2]weekly_demand!G555))</f>
        <v/>
      </c>
      <c r="E554" s="58" t="str">
        <f>IF($A554="","",[2]weekly_demand!I555)</f>
        <v/>
      </c>
      <c r="F554" s="57" t="str">
        <f t="shared" si="79"/>
        <v/>
      </c>
      <c r="G554" s="57" t="str">
        <f t="shared" si="80"/>
        <v/>
      </c>
      <c r="H554" s="57" t="str">
        <f t="shared" si="78"/>
        <v/>
      </c>
      <c r="I554" s="58" t="str">
        <f t="shared" si="83"/>
        <v/>
      </c>
      <c r="J554" s="58" t="str">
        <f t="shared" si="81"/>
        <v/>
      </c>
      <c r="K554" s="58" t="str">
        <f t="shared" si="84"/>
        <v/>
      </c>
      <c r="L554" s="58" t="str">
        <f t="shared" si="85"/>
        <v/>
      </c>
      <c r="M554" s="58" t="str">
        <f t="shared" si="86"/>
        <v/>
      </c>
      <c r="N554" s="59" t="str">
        <f t="shared" si="82"/>
        <v/>
      </c>
      <c r="O554" s="60"/>
      <c r="P554" s="105"/>
    </row>
    <row r="555" spans="1:16" x14ac:dyDescent="0.3">
      <c r="A555" s="54" t="str">
        <f>IF([2]weekly_demand!A556="","",[2]weekly_demand!A556)</f>
        <v/>
      </c>
      <c r="B555" s="55" t="str">
        <f>IF($A555="","",[2]weekly_demand!F556)</f>
        <v/>
      </c>
      <c r="C555" s="56" t="str">
        <f>IF($A555="","",[2]weekly_demand!H556)</f>
        <v/>
      </c>
      <c r="D555" s="57" t="str">
        <f>IF($A555="","",IF(SUMIFS([2]Fixture_Capacity_Input!$C:$C,[2]Fixture_Capacity_Input!$A:$A,$B555,[2]Fixture_Capacity_Input!$B:$B,$C555)&gt;0,SUMIFS([2]Fixture_Capacity_Input!$C:$C,[2]Fixture_Capacity_Input!$A:$A,$B555,[2]Fixture_Capacity_Input!$B:$B,$C555),[2]weekly_demand!G556))</f>
        <v/>
      </c>
      <c r="E555" s="58" t="str">
        <f>IF($A555="","",[2]weekly_demand!I556)</f>
        <v/>
      </c>
      <c r="F555" s="57" t="str">
        <f t="shared" si="79"/>
        <v/>
      </c>
      <c r="G555" s="57" t="str">
        <f t="shared" si="80"/>
        <v/>
      </c>
      <c r="H555" s="57" t="str">
        <f t="shared" si="78"/>
        <v/>
      </c>
      <c r="I555" s="58" t="str">
        <f t="shared" si="83"/>
        <v/>
      </c>
      <c r="J555" s="58" t="str">
        <f t="shared" si="81"/>
        <v/>
      </c>
      <c r="K555" s="58" t="str">
        <f t="shared" si="84"/>
        <v/>
      </c>
      <c r="L555" s="58" t="str">
        <f t="shared" si="85"/>
        <v/>
      </c>
      <c r="M555" s="58" t="str">
        <f t="shared" si="86"/>
        <v/>
      </c>
      <c r="N555" s="59" t="str">
        <f t="shared" si="82"/>
        <v/>
      </c>
      <c r="O555" s="60"/>
      <c r="P555" s="105"/>
    </row>
    <row r="556" spans="1:16" x14ac:dyDescent="0.3">
      <c r="A556" s="54" t="str">
        <f>IF([2]weekly_demand!A557="","",[2]weekly_demand!A557)</f>
        <v/>
      </c>
      <c r="B556" s="55" t="str">
        <f>IF($A556="","",[2]weekly_demand!F557)</f>
        <v/>
      </c>
      <c r="C556" s="56" t="str">
        <f>IF($A556="","",[2]weekly_demand!H557)</f>
        <v/>
      </c>
      <c r="D556" s="57" t="str">
        <f>IF($A556="","",IF(SUMIFS([2]Fixture_Capacity_Input!$C:$C,[2]Fixture_Capacity_Input!$A:$A,$B556,[2]Fixture_Capacity_Input!$B:$B,$C556)&gt;0,SUMIFS([2]Fixture_Capacity_Input!$C:$C,[2]Fixture_Capacity_Input!$A:$A,$B556,[2]Fixture_Capacity_Input!$B:$B,$C556),[2]weekly_demand!G557))</f>
        <v/>
      </c>
      <c r="E556" s="58" t="str">
        <f>IF($A556="","",[2]weekly_demand!I557)</f>
        <v/>
      </c>
      <c r="F556" s="57" t="str">
        <f t="shared" si="79"/>
        <v/>
      </c>
      <c r="G556" s="57" t="str">
        <f t="shared" si="80"/>
        <v/>
      </c>
      <c r="H556" s="57" t="str">
        <f t="shared" si="78"/>
        <v/>
      </c>
      <c r="I556" s="58" t="str">
        <f t="shared" si="83"/>
        <v/>
      </c>
      <c r="J556" s="58" t="str">
        <f t="shared" si="81"/>
        <v/>
      </c>
      <c r="K556" s="58" t="str">
        <f t="shared" si="84"/>
        <v/>
      </c>
      <c r="L556" s="58" t="str">
        <f t="shared" si="85"/>
        <v/>
      </c>
      <c r="M556" s="58" t="str">
        <f t="shared" si="86"/>
        <v/>
      </c>
      <c r="N556" s="59" t="str">
        <f t="shared" si="82"/>
        <v/>
      </c>
      <c r="O556" s="60"/>
      <c r="P556" s="105"/>
    </row>
    <row r="557" spans="1:16" x14ac:dyDescent="0.3">
      <c r="A557" s="54" t="str">
        <f>IF([2]weekly_demand!A558="","",[2]weekly_demand!A558)</f>
        <v/>
      </c>
      <c r="B557" s="55" t="str">
        <f>IF($A557="","",[2]weekly_demand!F558)</f>
        <v/>
      </c>
      <c r="C557" s="56" t="str">
        <f>IF($A557="","",[2]weekly_demand!H558)</f>
        <v/>
      </c>
      <c r="D557" s="57" t="str">
        <f>IF($A557="","",IF(SUMIFS([2]Fixture_Capacity_Input!$C:$C,[2]Fixture_Capacity_Input!$A:$A,$B557,[2]Fixture_Capacity_Input!$B:$B,$C557)&gt;0,SUMIFS([2]Fixture_Capacity_Input!$C:$C,[2]Fixture_Capacity_Input!$A:$A,$B557,[2]Fixture_Capacity_Input!$B:$B,$C557),[2]weekly_demand!G558))</f>
        <v/>
      </c>
      <c r="E557" s="58" t="str">
        <f>IF($A557="","",[2]weekly_demand!I558)</f>
        <v/>
      </c>
      <c r="F557" s="57" t="str">
        <f t="shared" si="79"/>
        <v/>
      </c>
      <c r="G557" s="57" t="str">
        <f t="shared" si="80"/>
        <v/>
      </c>
      <c r="H557" s="57" t="str">
        <f t="shared" si="78"/>
        <v/>
      </c>
      <c r="I557" s="58" t="str">
        <f t="shared" si="83"/>
        <v/>
      </c>
      <c r="J557" s="58" t="str">
        <f t="shared" si="81"/>
        <v/>
      </c>
      <c r="K557" s="58" t="str">
        <f t="shared" si="84"/>
        <v/>
      </c>
      <c r="L557" s="58" t="str">
        <f t="shared" si="85"/>
        <v/>
      </c>
      <c r="M557" s="58" t="str">
        <f t="shared" si="86"/>
        <v/>
      </c>
      <c r="N557" s="59" t="str">
        <f t="shared" si="82"/>
        <v/>
      </c>
      <c r="O557" s="60"/>
      <c r="P557" s="105"/>
    </row>
    <row r="558" spans="1:16" x14ac:dyDescent="0.3">
      <c r="A558" s="54" t="str">
        <f>IF([2]weekly_demand!A559="","",[2]weekly_demand!A559)</f>
        <v/>
      </c>
      <c r="B558" s="55" t="str">
        <f>IF($A558="","",[2]weekly_demand!F559)</f>
        <v/>
      </c>
      <c r="C558" s="56" t="str">
        <f>IF($A558="","",[2]weekly_demand!H559)</f>
        <v/>
      </c>
      <c r="D558" s="57" t="str">
        <f>IF($A558="","",IF(SUMIFS([2]Fixture_Capacity_Input!$C:$C,[2]Fixture_Capacity_Input!$A:$A,$B558,[2]Fixture_Capacity_Input!$B:$B,$C558)&gt;0,SUMIFS([2]Fixture_Capacity_Input!$C:$C,[2]Fixture_Capacity_Input!$A:$A,$B558,[2]Fixture_Capacity_Input!$B:$B,$C558),[2]weekly_demand!G559))</f>
        <v/>
      </c>
      <c r="E558" s="58" t="str">
        <f>IF($A558="","",[2]weekly_demand!I559)</f>
        <v/>
      </c>
      <c r="F558" s="57" t="str">
        <f t="shared" si="79"/>
        <v/>
      </c>
      <c r="G558" s="57" t="str">
        <f t="shared" si="80"/>
        <v/>
      </c>
      <c r="H558" s="57" t="str">
        <f t="shared" si="78"/>
        <v/>
      </c>
      <c r="I558" s="58" t="str">
        <f t="shared" si="83"/>
        <v/>
      </c>
      <c r="J558" s="58" t="str">
        <f t="shared" si="81"/>
        <v/>
      </c>
      <c r="K558" s="58" t="str">
        <f t="shared" si="84"/>
        <v/>
      </c>
      <c r="L558" s="58" t="str">
        <f t="shared" si="85"/>
        <v/>
      </c>
      <c r="M558" s="58" t="str">
        <f t="shared" si="86"/>
        <v/>
      </c>
      <c r="N558" s="59" t="str">
        <f t="shared" si="82"/>
        <v/>
      </c>
      <c r="O558" s="60"/>
      <c r="P558" s="105"/>
    </row>
    <row r="559" spans="1:16" x14ac:dyDescent="0.3">
      <c r="A559" s="54" t="str">
        <f>IF([2]weekly_demand!A560="","",[2]weekly_demand!A560)</f>
        <v/>
      </c>
      <c r="B559" s="55" t="str">
        <f>IF($A559="","",[2]weekly_demand!F560)</f>
        <v/>
      </c>
      <c r="C559" s="56" t="str">
        <f>IF($A559="","",[2]weekly_demand!H560)</f>
        <v/>
      </c>
      <c r="D559" s="57" t="str">
        <f>IF($A559="","",IF(SUMIFS([2]Fixture_Capacity_Input!$C:$C,[2]Fixture_Capacity_Input!$A:$A,$B559,[2]Fixture_Capacity_Input!$B:$B,$C559)&gt;0,SUMIFS([2]Fixture_Capacity_Input!$C:$C,[2]Fixture_Capacity_Input!$A:$A,$B559,[2]Fixture_Capacity_Input!$B:$B,$C559),[2]weekly_demand!G560))</f>
        <v/>
      </c>
      <c r="E559" s="58" t="str">
        <f>IF($A559="","",[2]weekly_demand!I560)</f>
        <v/>
      </c>
      <c r="F559" s="57" t="str">
        <f t="shared" si="79"/>
        <v/>
      </c>
      <c r="G559" s="57" t="str">
        <f t="shared" si="80"/>
        <v/>
      </c>
      <c r="H559" s="57" t="str">
        <f t="shared" si="78"/>
        <v/>
      </c>
      <c r="I559" s="58" t="str">
        <f t="shared" si="83"/>
        <v/>
      </c>
      <c r="J559" s="58" t="str">
        <f t="shared" si="81"/>
        <v/>
      </c>
      <c r="K559" s="58" t="str">
        <f t="shared" si="84"/>
        <v/>
      </c>
      <c r="L559" s="58" t="str">
        <f t="shared" si="85"/>
        <v/>
      </c>
      <c r="M559" s="58" t="str">
        <f t="shared" si="86"/>
        <v/>
      </c>
      <c r="N559" s="59" t="str">
        <f t="shared" si="82"/>
        <v/>
      </c>
      <c r="O559" s="60"/>
      <c r="P559" s="105"/>
    </row>
    <row r="560" spans="1:16" x14ac:dyDescent="0.3">
      <c r="A560" s="54" t="str">
        <f>IF([2]weekly_demand!A561="","",[2]weekly_demand!A561)</f>
        <v/>
      </c>
      <c r="B560" s="55" t="str">
        <f>IF($A560="","",[2]weekly_demand!F561)</f>
        <v/>
      </c>
      <c r="C560" s="56" t="str">
        <f>IF($A560="","",[2]weekly_demand!H561)</f>
        <v/>
      </c>
      <c r="D560" s="57" t="str">
        <f>IF($A560="","",IF(SUMIFS([2]Fixture_Capacity_Input!$C:$C,[2]Fixture_Capacity_Input!$A:$A,$B560,[2]Fixture_Capacity_Input!$B:$B,$C560)&gt;0,SUMIFS([2]Fixture_Capacity_Input!$C:$C,[2]Fixture_Capacity_Input!$A:$A,$B560,[2]Fixture_Capacity_Input!$B:$B,$C560),[2]weekly_demand!G561))</f>
        <v/>
      </c>
      <c r="E560" s="58" t="str">
        <f>IF($A560="","",[2]weekly_demand!I561)</f>
        <v/>
      </c>
      <c r="F560" s="57" t="str">
        <f t="shared" si="79"/>
        <v/>
      </c>
      <c r="G560" s="57" t="str">
        <f t="shared" si="80"/>
        <v/>
      </c>
      <c r="H560" s="57" t="str">
        <f t="shared" si="78"/>
        <v/>
      </c>
      <c r="I560" s="58" t="str">
        <f t="shared" si="83"/>
        <v/>
      </c>
      <c r="J560" s="58" t="str">
        <f t="shared" si="81"/>
        <v/>
      </c>
      <c r="K560" s="58" t="str">
        <f t="shared" si="84"/>
        <v/>
      </c>
      <c r="L560" s="58" t="str">
        <f t="shared" si="85"/>
        <v/>
      </c>
      <c r="M560" s="58" t="str">
        <f t="shared" si="86"/>
        <v/>
      </c>
      <c r="N560" s="59" t="str">
        <f t="shared" si="82"/>
        <v/>
      </c>
      <c r="O560" s="60"/>
      <c r="P560" s="105"/>
    </row>
    <row r="561" spans="1:16" x14ac:dyDescent="0.3">
      <c r="A561" s="54" t="str">
        <f>IF([2]weekly_demand!A562="","",[2]weekly_demand!A562)</f>
        <v/>
      </c>
      <c r="B561" s="55" t="str">
        <f>IF($A561="","",[2]weekly_demand!F562)</f>
        <v/>
      </c>
      <c r="C561" s="56" t="str">
        <f>IF($A561="","",[2]weekly_demand!H562)</f>
        <v/>
      </c>
      <c r="D561" s="57" t="str">
        <f>IF($A561="","",IF(SUMIFS([2]Fixture_Capacity_Input!$C:$C,[2]Fixture_Capacity_Input!$A:$A,$B561,[2]Fixture_Capacity_Input!$B:$B,$C561)&gt;0,SUMIFS([2]Fixture_Capacity_Input!$C:$C,[2]Fixture_Capacity_Input!$A:$A,$B561,[2]Fixture_Capacity_Input!$B:$B,$C561),[2]weekly_demand!G562))</f>
        <v/>
      </c>
      <c r="E561" s="58" t="str">
        <f>IF($A561="","",[2]weekly_demand!I562)</f>
        <v/>
      </c>
      <c r="F561" s="57" t="str">
        <f t="shared" si="79"/>
        <v/>
      </c>
      <c r="G561" s="57" t="str">
        <f t="shared" si="80"/>
        <v/>
      </c>
      <c r="H561" s="57" t="str">
        <f t="shared" si="78"/>
        <v/>
      </c>
      <c r="I561" s="58" t="str">
        <f t="shared" si="83"/>
        <v/>
      </c>
      <c r="J561" s="58" t="str">
        <f t="shared" si="81"/>
        <v/>
      </c>
      <c r="K561" s="58" t="str">
        <f t="shared" si="84"/>
        <v/>
      </c>
      <c r="L561" s="58" t="str">
        <f t="shared" si="85"/>
        <v/>
      </c>
      <c r="M561" s="58" t="str">
        <f t="shared" si="86"/>
        <v/>
      </c>
      <c r="N561" s="59" t="str">
        <f t="shared" si="82"/>
        <v/>
      </c>
      <c r="O561" s="60"/>
      <c r="P561" s="105"/>
    </row>
    <row r="562" spans="1:16" x14ac:dyDescent="0.3">
      <c r="A562" s="54" t="str">
        <f>IF([2]weekly_demand!A563="","",[2]weekly_demand!A563)</f>
        <v/>
      </c>
      <c r="B562" s="55" t="str">
        <f>IF($A562="","",[2]weekly_demand!F563)</f>
        <v/>
      </c>
      <c r="C562" s="56" t="str">
        <f>IF($A562="","",[2]weekly_demand!H563)</f>
        <v/>
      </c>
      <c r="D562" s="57" t="str">
        <f>IF($A562="","",IF(SUMIFS([2]Fixture_Capacity_Input!$C:$C,[2]Fixture_Capacity_Input!$A:$A,$B562,[2]Fixture_Capacity_Input!$B:$B,$C562)&gt;0,SUMIFS([2]Fixture_Capacity_Input!$C:$C,[2]Fixture_Capacity_Input!$A:$A,$B562,[2]Fixture_Capacity_Input!$B:$B,$C562),[2]weekly_demand!G563))</f>
        <v/>
      </c>
      <c r="E562" s="58" t="str">
        <f>IF($A562="","",[2]weekly_demand!I563)</f>
        <v/>
      </c>
      <c r="F562" s="57" t="str">
        <f t="shared" si="79"/>
        <v/>
      </c>
      <c r="G562" s="57" t="str">
        <f t="shared" si="80"/>
        <v/>
      </c>
      <c r="H562" s="57" t="str">
        <f t="shared" si="78"/>
        <v/>
      </c>
      <c r="I562" s="58" t="str">
        <f t="shared" si="83"/>
        <v/>
      </c>
      <c r="J562" s="58" t="str">
        <f t="shared" si="81"/>
        <v/>
      </c>
      <c r="K562" s="58" t="str">
        <f t="shared" si="84"/>
        <v/>
      </c>
      <c r="L562" s="58" t="str">
        <f t="shared" si="85"/>
        <v/>
      </c>
      <c r="M562" s="58" t="str">
        <f t="shared" si="86"/>
        <v/>
      </c>
      <c r="N562" s="59" t="str">
        <f t="shared" si="82"/>
        <v/>
      </c>
      <c r="O562" s="60"/>
      <c r="P562" s="105"/>
    </row>
    <row r="563" spans="1:16" x14ac:dyDescent="0.3">
      <c r="A563" s="54" t="str">
        <f>IF([2]weekly_demand!A564="","",[2]weekly_demand!A564)</f>
        <v/>
      </c>
      <c r="B563" s="55" t="str">
        <f>IF($A563="","",[2]weekly_demand!F564)</f>
        <v/>
      </c>
      <c r="C563" s="56" t="str">
        <f>IF($A563="","",[2]weekly_demand!H564)</f>
        <v/>
      </c>
      <c r="D563" s="57" t="str">
        <f>IF($A563="","",IF(SUMIFS([2]Fixture_Capacity_Input!$C:$C,[2]Fixture_Capacity_Input!$A:$A,$B563,[2]Fixture_Capacity_Input!$B:$B,$C563)&gt;0,SUMIFS([2]Fixture_Capacity_Input!$C:$C,[2]Fixture_Capacity_Input!$A:$A,$B563,[2]Fixture_Capacity_Input!$B:$B,$C563),[2]weekly_demand!G564))</f>
        <v/>
      </c>
      <c r="E563" s="58" t="str">
        <f>IF($A563="","",[2]weekly_demand!I564)</f>
        <v/>
      </c>
      <c r="F563" s="57" t="str">
        <f t="shared" si="79"/>
        <v/>
      </c>
      <c r="G563" s="57" t="str">
        <f t="shared" si="80"/>
        <v/>
      </c>
      <c r="H563" s="57" t="str">
        <f t="shared" ref="H563:H626" si="87">IF($A563="","",IF($A563&lt;&gt;$A564,0,MAX(0,H564+E564-D564)))</f>
        <v/>
      </c>
      <c r="I563" s="58" t="str">
        <f t="shared" si="83"/>
        <v/>
      </c>
      <c r="J563" s="58" t="str">
        <f t="shared" si="81"/>
        <v/>
      </c>
      <c r="K563" s="58" t="str">
        <f t="shared" si="84"/>
        <v/>
      </c>
      <c r="L563" s="58" t="str">
        <f t="shared" si="85"/>
        <v/>
      </c>
      <c r="M563" s="58" t="str">
        <f t="shared" si="86"/>
        <v/>
      </c>
      <c r="N563" s="59" t="str">
        <f t="shared" si="82"/>
        <v/>
      </c>
      <c r="O563" s="60"/>
      <c r="P563" s="105"/>
    </row>
    <row r="564" spans="1:16" x14ac:dyDescent="0.3">
      <c r="A564" s="54" t="str">
        <f>IF([2]weekly_demand!A565="","",[2]weekly_demand!A565)</f>
        <v/>
      </c>
      <c r="B564" s="55" t="str">
        <f>IF($A564="","",[2]weekly_demand!F565)</f>
        <v/>
      </c>
      <c r="C564" s="56" t="str">
        <f>IF($A564="","",[2]weekly_demand!H565)</f>
        <v/>
      </c>
      <c r="D564" s="57" t="str">
        <f>IF($A564="","",IF(SUMIFS([2]Fixture_Capacity_Input!$C:$C,[2]Fixture_Capacity_Input!$A:$A,$B564,[2]Fixture_Capacity_Input!$B:$B,$C564)&gt;0,SUMIFS([2]Fixture_Capacity_Input!$C:$C,[2]Fixture_Capacity_Input!$A:$A,$B564,[2]Fixture_Capacity_Input!$B:$B,$C564),[2]weekly_demand!G565))</f>
        <v/>
      </c>
      <c r="E564" s="58" t="str">
        <f>IF($A564="","",[2]weekly_demand!I565)</f>
        <v/>
      </c>
      <c r="F564" s="57" t="str">
        <f t="shared" si="79"/>
        <v/>
      </c>
      <c r="G564" s="57" t="str">
        <f t="shared" si="80"/>
        <v/>
      </c>
      <c r="H564" s="57" t="str">
        <f t="shared" si="87"/>
        <v/>
      </c>
      <c r="I564" s="58" t="str">
        <f t="shared" si="83"/>
        <v/>
      </c>
      <c r="J564" s="58" t="str">
        <f t="shared" si="81"/>
        <v/>
      </c>
      <c r="K564" s="58" t="str">
        <f t="shared" si="84"/>
        <v/>
      </c>
      <c r="L564" s="58" t="str">
        <f t="shared" si="85"/>
        <v/>
      </c>
      <c r="M564" s="58" t="str">
        <f t="shared" si="86"/>
        <v/>
      </c>
      <c r="N564" s="59" t="str">
        <f t="shared" si="82"/>
        <v/>
      </c>
      <c r="O564" s="60"/>
      <c r="P564" s="105"/>
    </row>
    <row r="565" spans="1:16" x14ac:dyDescent="0.3">
      <c r="A565" s="54" t="str">
        <f>IF([2]weekly_demand!A566="","",[2]weekly_demand!A566)</f>
        <v/>
      </c>
      <c r="B565" s="55" t="str">
        <f>IF($A565="","",[2]weekly_demand!F566)</f>
        <v/>
      </c>
      <c r="C565" s="56" t="str">
        <f>IF($A565="","",[2]weekly_demand!H566)</f>
        <v/>
      </c>
      <c r="D565" s="57" t="str">
        <f>IF($A565="","",IF(SUMIFS([2]Fixture_Capacity_Input!$C:$C,[2]Fixture_Capacity_Input!$A:$A,$B565,[2]Fixture_Capacity_Input!$B:$B,$C565)&gt;0,SUMIFS([2]Fixture_Capacity_Input!$C:$C,[2]Fixture_Capacity_Input!$A:$A,$B565,[2]Fixture_Capacity_Input!$B:$B,$C565),[2]weekly_demand!G566))</f>
        <v/>
      </c>
      <c r="E565" s="58" t="str">
        <f>IF($A565="","",[2]weekly_demand!I566)</f>
        <v/>
      </c>
      <c r="F565" s="57" t="str">
        <f t="shared" si="79"/>
        <v/>
      </c>
      <c r="G565" s="57" t="str">
        <f t="shared" si="80"/>
        <v/>
      </c>
      <c r="H565" s="57" t="str">
        <f t="shared" si="87"/>
        <v/>
      </c>
      <c r="I565" s="58" t="str">
        <f t="shared" si="83"/>
        <v/>
      </c>
      <c r="J565" s="58" t="str">
        <f t="shared" si="81"/>
        <v/>
      </c>
      <c r="K565" s="58" t="str">
        <f t="shared" si="84"/>
        <v/>
      </c>
      <c r="L565" s="58" t="str">
        <f t="shared" si="85"/>
        <v/>
      </c>
      <c r="M565" s="58" t="str">
        <f t="shared" si="86"/>
        <v/>
      </c>
      <c r="N565" s="59" t="str">
        <f t="shared" si="82"/>
        <v/>
      </c>
      <c r="O565" s="60"/>
      <c r="P565" s="105"/>
    </row>
    <row r="566" spans="1:16" x14ac:dyDescent="0.3">
      <c r="A566" s="54" t="str">
        <f>IF([2]weekly_demand!A567="","",[2]weekly_demand!A567)</f>
        <v/>
      </c>
      <c r="B566" s="55" t="str">
        <f>IF($A566="","",[2]weekly_demand!F567)</f>
        <v/>
      </c>
      <c r="C566" s="56" t="str">
        <f>IF($A566="","",[2]weekly_demand!H567)</f>
        <v/>
      </c>
      <c r="D566" s="57" t="str">
        <f>IF($A566="","",IF(SUMIFS([2]Fixture_Capacity_Input!$C:$C,[2]Fixture_Capacity_Input!$A:$A,$B566,[2]Fixture_Capacity_Input!$B:$B,$C566)&gt;0,SUMIFS([2]Fixture_Capacity_Input!$C:$C,[2]Fixture_Capacity_Input!$A:$A,$B566,[2]Fixture_Capacity_Input!$B:$B,$C566),[2]weekly_demand!G567))</f>
        <v/>
      </c>
      <c r="E566" s="58" t="str">
        <f>IF($A566="","",[2]weekly_demand!I567)</f>
        <v/>
      </c>
      <c r="F566" s="57" t="str">
        <f t="shared" si="79"/>
        <v/>
      </c>
      <c r="G566" s="57" t="str">
        <f t="shared" si="80"/>
        <v/>
      </c>
      <c r="H566" s="57" t="str">
        <f t="shared" si="87"/>
        <v/>
      </c>
      <c r="I566" s="58" t="str">
        <f t="shared" si="83"/>
        <v/>
      </c>
      <c r="J566" s="58" t="str">
        <f t="shared" si="81"/>
        <v/>
      </c>
      <c r="K566" s="58" t="str">
        <f t="shared" si="84"/>
        <v/>
      </c>
      <c r="L566" s="58" t="str">
        <f t="shared" si="85"/>
        <v/>
      </c>
      <c r="M566" s="58" t="str">
        <f t="shared" si="86"/>
        <v/>
      </c>
      <c r="N566" s="59" t="str">
        <f t="shared" si="82"/>
        <v/>
      </c>
      <c r="O566" s="60"/>
      <c r="P566" s="105"/>
    </row>
    <row r="567" spans="1:16" x14ac:dyDescent="0.3">
      <c r="A567" s="54" t="str">
        <f>IF([2]weekly_demand!A568="","",[2]weekly_demand!A568)</f>
        <v/>
      </c>
      <c r="B567" s="55" t="str">
        <f>IF($A567="","",[2]weekly_demand!F568)</f>
        <v/>
      </c>
      <c r="C567" s="56" t="str">
        <f>IF($A567="","",[2]weekly_demand!H568)</f>
        <v/>
      </c>
      <c r="D567" s="57" t="str">
        <f>IF($A567="","",IF(SUMIFS([2]Fixture_Capacity_Input!$C:$C,[2]Fixture_Capacity_Input!$A:$A,$B567,[2]Fixture_Capacity_Input!$B:$B,$C567)&gt;0,SUMIFS([2]Fixture_Capacity_Input!$C:$C,[2]Fixture_Capacity_Input!$A:$A,$B567,[2]Fixture_Capacity_Input!$B:$B,$C567),[2]weekly_demand!G568))</f>
        <v/>
      </c>
      <c r="E567" s="58" t="str">
        <f>IF($A567="","",[2]weekly_demand!I568)</f>
        <v/>
      </c>
      <c r="F567" s="57" t="str">
        <f t="shared" si="79"/>
        <v/>
      </c>
      <c r="G567" s="57" t="str">
        <f t="shared" si="80"/>
        <v/>
      </c>
      <c r="H567" s="57" t="str">
        <f t="shared" si="87"/>
        <v/>
      </c>
      <c r="I567" s="58" t="str">
        <f t="shared" si="83"/>
        <v/>
      </c>
      <c r="J567" s="58" t="str">
        <f t="shared" si="81"/>
        <v/>
      </c>
      <c r="K567" s="58" t="str">
        <f t="shared" si="84"/>
        <v/>
      </c>
      <c r="L567" s="58" t="str">
        <f t="shared" si="85"/>
        <v/>
      </c>
      <c r="M567" s="58" t="str">
        <f t="shared" si="86"/>
        <v/>
      </c>
      <c r="N567" s="59" t="str">
        <f t="shared" si="82"/>
        <v/>
      </c>
      <c r="O567" s="60"/>
      <c r="P567" s="105"/>
    </row>
    <row r="568" spans="1:16" x14ac:dyDescent="0.3">
      <c r="A568" s="54" t="str">
        <f>IF([2]weekly_demand!A569="","",[2]weekly_demand!A569)</f>
        <v/>
      </c>
      <c r="B568" s="55" t="str">
        <f>IF($A568="","",[2]weekly_demand!F569)</f>
        <v/>
      </c>
      <c r="C568" s="56" t="str">
        <f>IF($A568="","",[2]weekly_demand!H569)</f>
        <v/>
      </c>
      <c r="D568" s="57" t="str">
        <f>IF($A568="","",IF(SUMIFS([2]Fixture_Capacity_Input!$C:$C,[2]Fixture_Capacity_Input!$A:$A,$B568,[2]Fixture_Capacity_Input!$B:$B,$C568)&gt;0,SUMIFS([2]Fixture_Capacity_Input!$C:$C,[2]Fixture_Capacity_Input!$A:$A,$B568,[2]Fixture_Capacity_Input!$B:$B,$C568),[2]weekly_demand!G569))</f>
        <v/>
      </c>
      <c r="E568" s="58" t="str">
        <f>IF($A568="","",[2]weekly_demand!I569)</f>
        <v/>
      </c>
      <c r="F568" s="57" t="str">
        <f t="shared" si="79"/>
        <v/>
      </c>
      <c r="G568" s="57" t="str">
        <f t="shared" si="80"/>
        <v/>
      </c>
      <c r="H568" s="57" t="str">
        <f t="shared" si="87"/>
        <v/>
      </c>
      <c r="I568" s="58" t="str">
        <f t="shared" si="83"/>
        <v/>
      </c>
      <c r="J568" s="58" t="str">
        <f t="shared" si="81"/>
        <v/>
      </c>
      <c r="K568" s="58" t="str">
        <f t="shared" si="84"/>
        <v/>
      </c>
      <c r="L568" s="58" t="str">
        <f t="shared" si="85"/>
        <v/>
      </c>
      <c r="M568" s="58" t="str">
        <f t="shared" si="86"/>
        <v/>
      </c>
      <c r="N568" s="59" t="str">
        <f t="shared" si="82"/>
        <v/>
      </c>
      <c r="O568" s="60"/>
      <c r="P568" s="105"/>
    </row>
    <row r="569" spans="1:16" x14ac:dyDescent="0.3">
      <c r="A569" s="54" t="str">
        <f>IF([2]weekly_demand!A570="","",[2]weekly_demand!A570)</f>
        <v/>
      </c>
      <c r="B569" s="55" t="str">
        <f>IF($A569="","",[2]weekly_demand!F570)</f>
        <v/>
      </c>
      <c r="C569" s="56" t="str">
        <f>IF($A569="","",[2]weekly_demand!H570)</f>
        <v/>
      </c>
      <c r="D569" s="57" t="str">
        <f>IF($A569="","",IF(SUMIFS([2]Fixture_Capacity_Input!$C:$C,[2]Fixture_Capacity_Input!$A:$A,$B569,[2]Fixture_Capacity_Input!$B:$B,$C569)&gt;0,SUMIFS([2]Fixture_Capacity_Input!$C:$C,[2]Fixture_Capacity_Input!$A:$A,$B569,[2]Fixture_Capacity_Input!$B:$B,$C569),[2]weekly_demand!G570))</f>
        <v/>
      </c>
      <c r="E569" s="58" t="str">
        <f>IF($A569="","",[2]weekly_demand!I570)</f>
        <v/>
      </c>
      <c r="F569" s="57" t="str">
        <f t="shared" si="79"/>
        <v/>
      </c>
      <c r="G569" s="57" t="str">
        <f t="shared" si="80"/>
        <v/>
      </c>
      <c r="H569" s="57" t="str">
        <f t="shared" si="87"/>
        <v/>
      </c>
      <c r="I569" s="58" t="str">
        <f t="shared" si="83"/>
        <v/>
      </c>
      <c r="J569" s="58" t="str">
        <f t="shared" si="81"/>
        <v/>
      </c>
      <c r="K569" s="58" t="str">
        <f t="shared" si="84"/>
        <v/>
      </c>
      <c r="L569" s="58" t="str">
        <f t="shared" si="85"/>
        <v/>
      </c>
      <c r="M569" s="58" t="str">
        <f t="shared" si="86"/>
        <v/>
      </c>
      <c r="N569" s="59" t="str">
        <f t="shared" si="82"/>
        <v/>
      </c>
      <c r="O569" s="60"/>
      <c r="P569" s="105"/>
    </row>
    <row r="570" spans="1:16" x14ac:dyDescent="0.3">
      <c r="A570" s="54" t="str">
        <f>IF([2]weekly_demand!A571="","",[2]weekly_demand!A571)</f>
        <v/>
      </c>
      <c r="B570" s="55" t="str">
        <f>IF($A570="","",[2]weekly_demand!F571)</f>
        <v/>
      </c>
      <c r="C570" s="56" t="str">
        <f>IF($A570="","",[2]weekly_demand!H571)</f>
        <v/>
      </c>
      <c r="D570" s="57" t="str">
        <f>IF($A570="","",IF(SUMIFS([2]Fixture_Capacity_Input!$C:$C,[2]Fixture_Capacity_Input!$A:$A,$B570,[2]Fixture_Capacity_Input!$B:$B,$C570)&gt;0,SUMIFS([2]Fixture_Capacity_Input!$C:$C,[2]Fixture_Capacity_Input!$A:$A,$B570,[2]Fixture_Capacity_Input!$B:$B,$C570),[2]weekly_demand!G571))</f>
        <v/>
      </c>
      <c r="E570" s="58" t="str">
        <f>IF($A570="","",[2]weekly_demand!I571)</f>
        <v/>
      </c>
      <c r="F570" s="57" t="str">
        <f t="shared" si="79"/>
        <v/>
      </c>
      <c r="G570" s="57" t="str">
        <f t="shared" si="80"/>
        <v/>
      </c>
      <c r="H570" s="57" t="str">
        <f t="shared" si="87"/>
        <v/>
      </c>
      <c r="I570" s="58" t="str">
        <f t="shared" si="83"/>
        <v/>
      </c>
      <c r="J570" s="58" t="str">
        <f t="shared" si="81"/>
        <v/>
      </c>
      <c r="K570" s="58" t="str">
        <f t="shared" si="84"/>
        <v/>
      </c>
      <c r="L570" s="58" t="str">
        <f t="shared" si="85"/>
        <v/>
      </c>
      <c r="M570" s="58" t="str">
        <f t="shared" si="86"/>
        <v/>
      </c>
      <c r="N570" s="59" t="str">
        <f t="shared" si="82"/>
        <v/>
      </c>
      <c r="O570" s="60"/>
      <c r="P570" s="105"/>
    </row>
    <row r="571" spans="1:16" x14ac:dyDescent="0.3">
      <c r="A571" s="54" t="str">
        <f>IF([2]weekly_demand!A572="","",[2]weekly_demand!A572)</f>
        <v/>
      </c>
      <c r="B571" s="55" t="str">
        <f>IF($A571="","",[2]weekly_demand!F572)</f>
        <v/>
      </c>
      <c r="C571" s="56" t="str">
        <f>IF($A571="","",[2]weekly_demand!H572)</f>
        <v/>
      </c>
      <c r="D571" s="57" t="str">
        <f>IF($A571="","",IF(SUMIFS([2]Fixture_Capacity_Input!$C:$C,[2]Fixture_Capacity_Input!$A:$A,$B571,[2]Fixture_Capacity_Input!$B:$B,$C571)&gt;0,SUMIFS([2]Fixture_Capacity_Input!$C:$C,[2]Fixture_Capacity_Input!$A:$A,$B571,[2]Fixture_Capacity_Input!$B:$B,$C571),[2]weekly_demand!G572))</f>
        <v/>
      </c>
      <c r="E571" s="58" t="str">
        <f>IF($A571="","",[2]weekly_demand!I572)</f>
        <v/>
      </c>
      <c r="F571" s="57" t="str">
        <f t="shared" si="79"/>
        <v/>
      </c>
      <c r="G571" s="57" t="str">
        <f t="shared" si="80"/>
        <v/>
      </c>
      <c r="H571" s="57" t="str">
        <f t="shared" si="87"/>
        <v/>
      </c>
      <c r="I571" s="58" t="str">
        <f t="shared" si="83"/>
        <v/>
      </c>
      <c r="J571" s="58" t="str">
        <f t="shared" si="81"/>
        <v/>
      </c>
      <c r="K571" s="58" t="str">
        <f t="shared" si="84"/>
        <v/>
      </c>
      <c r="L571" s="58" t="str">
        <f t="shared" si="85"/>
        <v/>
      </c>
      <c r="M571" s="58" t="str">
        <f t="shared" si="86"/>
        <v/>
      </c>
      <c r="N571" s="59" t="str">
        <f t="shared" si="82"/>
        <v/>
      </c>
      <c r="O571" s="60"/>
      <c r="P571" s="105"/>
    </row>
    <row r="572" spans="1:16" x14ac:dyDescent="0.3">
      <c r="A572" s="54" t="str">
        <f>IF([2]weekly_demand!A573="","",[2]weekly_demand!A573)</f>
        <v/>
      </c>
      <c r="B572" s="55" t="str">
        <f>IF($A572="","",[2]weekly_demand!F573)</f>
        <v/>
      </c>
      <c r="C572" s="56" t="str">
        <f>IF($A572="","",[2]weekly_demand!H573)</f>
        <v/>
      </c>
      <c r="D572" s="57" t="str">
        <f>IF($A572="","",IF(SUMIFS([2]Fixture_Capacity_Input!$C:$C,[2]Fixture_Capacity_Input!$A:$A,$B572,[2]Fixture_Capacity_Input!$B:$B,$C572)&gt;0,SUMIFS([2]Fixture_Capacity_Input!$C:$C,[2]Fixture_Capacity_Input!$A:$A,$B572,[2]Fixture_Capacity_Input!$B:$B,$C572),[2]weekly_demand!G573))</f>
        <v/>
      </c>
      <c r="E572" s="58" t="str">
        <f>IF($A572="","",[2]weekly_demand!I573)</f>
        <v/>
      </c>
      <c r="F572" s="57" t="str">
        <f t="shared" si="79"/>
        <v/>
      </c>
      <c r="G572" s="57" t="str">
        <f t="shared" si="80"/>
        <v/>
      </c>
      <c r="H572" s="57" t="str">
        <f t="shared" si="87"/>
        <v/>
      </c>
      <c r="I572" s="58" t="str">
        <f t="shared" si="83"/>
        <v/>
      </c>
      <c r="J572" s="58" t="str">
        <f t="shared" si="81"/>
        <v/>
      </c>
      <c r="K572" s="58" t="str">
        <f t="shared" si="84"/>
        <v/>
      </c>
      <c r="L572" s="58" t="str">
        <f t="shared" si="85"/>
        <v/>
      </c>
      <c r="M572" s="58" t="str">
        <f t="shared" si="86"/>
        <v/>
      </c>
      <c r="N572" s="59" t="str">
        <f t="shared" si="82"/>
        <v/>
      </c>
      <c r="O572" s="60"/>
      <c r="P572" s="105"/>
    </row>
    <row r="573" spans="1:16" x14ac:dyDescent="0.3">
      <c r="A573" s="54" t="str">
        <f>IF([2]weekly_demand!A574="","",[2]weekly_demand!A574)</f>
        <v/>
      </c>
      <c r="B573" s="55" t="str">
        <f>IF($A573="","",[2]weekly_demand!F574)</f>
        <v/>
      </c>
      <c r="C573" s="56" t="str">
        <f>IF($A573="","",[2]weekly_demand!H574)</f>
        <v/>
      </c>
      <c r="D573" s="57" t="str">
        <f>IF($A573="","",IF(SUMIFS([2]Fixture_Capacity_Input!$C:$C,[2]Fixture_Capacity_Input!$A:$A,$B573,[2]Fixture_Capacity_Input!$B:$B,$C573)&gt;0,SUMIFS([2]Fixture_Capacity_Input!$C:$C,[2]Fixture_Capacity_Input!$A:$A,$B573,[2]Fixture_Capacity_Input!$B:$B,$C573),[2]weekly_demand!G574))</f>
        <v/>
      </c>
      <c r="E573" s="58" t="str">
        <f>IF($A573="","",[2]weekly_demand!I574)</f>
        <v/>
      </c>
      <c r="F573" s="57" t="str">
        <f t="shared" si="79"/>
        <v/>
      </c>
      <c r="G573" s="57" t="str">
        <f t="shared" si="80"/>
        <v/>
      </c>
      <c r="H573" s="57" t="str">
        <f t="shared" si="87"/>
        <v/>
      </c>
      <c r="I573" s="58" t="str">
        <f t="shared" si="83"/>
        <v/>
      </c>
      <c r="J573" s="58" t="str">
        <f t="shared" si="81"/>
        <v/>
      </c>
      <c r="K573" s="58" t="str">
        <f t="shared" si="84"/>
        <v/>
      </c>
      <c r="L573" s="58" t="str">
        <f t="shared" si="85"/>
        <v/>
      </c>
      <c r="M573" s="58" t="str">
        <f t="shared" si="86"/>
        <v/>
      </c>
      <c r="N573" s="59" t="str">
        <f t="shared" si="82"/>
        <v/>
      </c>
      <c r="O573" s="60"/>
      <c r="P573" s="105"/>
    </row>
    <row r="574" spans="1:16" x14ac:dyDescent="0.3">
      <c r="A574" s="54" t="str">
        <f>IF([2]weekly_demand!A575="","",[2]weekly_demand!A575)</f>
        <v/>
      </c>
      <c r="B574" s="55" t="str">
        <f>IF($A574="","",[2]weekly_demand!F575)</f>
        <v/>
      </c>
      <c r="C574" s="56" t="str">
        <f>IF($A574="","",[2]weekly_demand!H575)</f>
        <v/>
      </c>
      <c r="D574" s="57" t="str">
        <f>IF($A574="","",IF(SUMIFS([2]Fixture_Capacity_Input!$C:$C,[2]Fixture_Capacity_Input!$A:$A,$B574,[2]Fixture_Capacity_Input!$B:$B,$C574)&gt;0,SUMIFS([2]Fixture_Capacity_Input!$C:$C,[2]Fixture_Capacity_Input!$A:$A,$B574,[2]Fixture_Capacity_Input!$B:$B,$C574),[2]weekly_demand!G575))</f>
        <v/>
      </c>
      <c r="E574" s="58" t="str">
        <f>IF($A574="","",[2]weekly_demand!I575)</f>
        <v/>
      </c>
      <c r="F574" s="57" t="str">
        <f t="shared" si="79"/>
        <v/>
      </c>
      <c r="G574" s="57" t="str">
        <f t="shared" si="80"/>
        <v/>
      </c>
      <c r="H574" s="57" t="str">
        <f t="shared" si="87"/>
        <v/>
      </c>
      <c r="I574" s="58" t="str">
        <f t="shared" si="83"/>
        <v/>
      </c>
      <c r="J574" s="58" t="str">
        <f t="shared" si="81"/>
        <v/>
      </c>
      <c r="K574" s="58" t="str">
        <f t="shared" si="84"/>
        <v/>
      </c>
      <c r="L574" s="58" t="str">
        <f t="shared" si="85"/>
        <v/>
      </c>
      <c r="M574" s="58" t="str">
        <f t="shared" si="86"/>
        <v/>
      </c>
      <c r="N574" s="59" t="str">
        <f t="shared" si="82"/>
        <v/>
      </c>
      <c r="O574" s="60"/>
      <c r="P574" s="105"/>
    </row>
    <row r="575" spans="1:16" x14ac:dyDescent="0.3">
      <c r="A575" s="54" t="str">
        <f>IF([2]weekly_demand!A576="","",[2]weekly_demand!A576)</f>
        <v/>
      </c>
      <c r="B575" s="55" t="str">
        <f>IF($A575="","",[2]weekly_demand!F576)</f>
        <v/>
      </c>
      <c r="C575" s="56" t="str">
        <f>IF($A575="","",[2]weekly_demand!H576)</f>
        <v/>
      </c>
      <c r="D575" s="57" t="str">
        <f>IF($A575="","",IF(SUMIFS([2]Fixture_Capacity_Input!$C:$C,[2]Fixture_Capacity_Input!$A:$A,$B575,[2]Fixture_Capacity_Input!$B:$B,$C575)&gt;0,SUMIFS([2]Fixture_Capacity_Input!$C:$C,[2]Fixture_Capacity_Input!$A:$A,$B575,[2]Fixture_Capacity_Input!$B:$B,$C575),[2]weekly_demand!G576))</f>
        <v/>
      </c>
      <c r="E575" s="58" t="str">
        <f>IF($A575="","",[2]weekly_demand!I576)</f>
        <v/>
      </c>
      <c r="F575" s="57" t="str">
        <f t="shared" si="79"/>
        <v/>
      </c>
      <c r="G575" s="57" t="str">
        <f t="shared" si="80"/>
        <v/>
      </c>
      <c r="H575" s="57" t="str">
        <f t="shared" si="87"/>
        <v/>
      </c>
      <c r="I575" s="58" t="str">
        <f t="shared" si="83"/>
        <v/>
      </c>
      <c r="J575" s="58" t="str">
        <f t="shared" si="81"/>
        <v/>
      </c>
      <c r="K575" s="58" t="str">
        <f t="shared" si="84"/>
        <v/>
      </c>
      <c r="L575" s="58" t="str">
        <f t="shared" si="85"/>
        <v/>
      </c>
      <c r="M575" s="58" t="str">
        <f t="shared" si="86"/>
        <v/>
      </c>
      <c r="N575" s="59" t="str">
        <f t="shared" si="82"/>
        <v/>
      </c>
      <c r="O575" s="60"/>
      <c r="P575" s="105"/>
    </row>
    <row r="576" spans="1:16" x14ac:dyDescent="0.3">
      <c r="A576" s="54" t="str">
        <f>IF([2]weekly_demand!A577="","",[2]weekly_demand!A577)</f>
        <v/>
      </c>
      <c r="B576" s="55" t="str">
        <f>IF($A576="","",[2]weekly_demand!F577)</f>
        <v/>
      </c>
      <c r="C576" s="56" t="str">
        <f>IF($A576="","",[2]weekly_demand!H577)</f>
        <v/>
      </c>
      <c r="D576" s="57" t="str">
        <f>IF($A576="","",IF(SUMIFS([2]Fixture_Capacity_Input!$C:$C,[2]Fixture_Capacity_Input!$A:$A,$B576,[2]Fixture_Capacity_Input!$B:$B,$C576)&gt;0,SUMIFS([2]Fixture_Capacity_Input!$C:$C,[2]Fixture_Capacity_Input!$A:$A,$B576,[2]Fixture_Capacity_Input!$B:$B,$C576),[2]weekly_demand!G577))</f>
        <v/>
      </c>
      <c r="E576" s="58" t="str">
        <f>IF($A576="","",[2]weekly_demand!I577)</f>
        <v/>
      </c>
      <c r="F576" s="57" t="str">
        <f t="shared" si="79"/>
        <v/>
      </c>
      <c r="G576" s="57" t="str">
        <f t="shared" si="80"/>
        <v/>
      </c>
      <c r="H576" s="57" t="str">
        <f t="shared" si="87"/>
        <v/>
      </c>
      <c r="I576" s="58" t="str">
        <f t="shared" si="83"/>
        <v/>
      </c>
      <c r="J576" s="58" t="str">
        <f t="shared" si="81"/>
        <v/>
      </c>
      <c r="K576" s="58" t="str">
        <f t="shared" si="84"/>
        <v/>
      </c>
      <c r="L576" s="58" t="str">
        <f t="shared" si="85"/>
        <v/>
      </c>
      <c r="M576" s="58" t="str">
        <f t="shared" si="86"/>
        <v/>
      </c>
      <c r="N576" s="59" t="str">
        <f t="shared" si="82"/>
        <v/>
      </c>
      <c r="O576" s="60"/>
      <c r="P576" s="105"/>
    </row>
    <row r="577" spans="1:16" x14ac:dyDescent="0.3">
      <c r="A577" s="54" t="str">
        <f>IF([2]weekly_demand!A578="","",[2]weekly_demand!A578)</f>
        <v/>
      </c>
      <c r="B577" s="55" t="str">
        <f>IF($A577="","",[2]weekly_demand!F578)</f>
        <v/>
      </c>
      <c r="C577" s="56" t="str">
        <f>IF($A577="","",[2]weekly_demand!H578)</f>
        <v/>
      </c>
      <c r="D577" s="57" t="str">
        <f>IF($A577="","",IF(SUMIFS([2]Fixture_Capacity_Input!$C:$C,[2]Fixture_Capacity_Input!$A:$A,$B577,[2]Fixture_Capacity_Input!$B:$B,$C577)&gt;0,SUMIFS([2]Fixture_Capacity_Input!$C:$C,[2]Fixture_Capacity_Input!$A:$A,$B577,[2]Fixture_Capacity_Input!$B:$B,$C577),[2]weekly_demand!G578))</f>
        <v/>
      </c>
      <c r="E577" s="58" t="str">
        <f>IF($A577="","",[2]weekly_demand!I578)</f>
        <v/>
      </c>
      <c r="F577" s="57" t="str">
        <f t="shared" si="79"/>
        <v/>
      </c>
      <c r="G577" s="57" t="str">
        <f t="shared" si="80"/>
        <v/>
      </c>
      <c r="H577" s="57" t="str">
        <f t="shared" si="87"/>
        <v/>
      </c>
      <c r="I577" s="58" t="str">
        <f t="shared" si="83"/>
        <v/>
      </c>
      <c r="J577" s="58" t="str">
        <f t="shared" si="81"/>
        <v/>
      </c>
      <c r="K577" s="58" t="str">
        <f t="shared" si="84"/>
        <v/>
      </c>
      <c r="L577" s="58" t="str">
        <f t="shared" si="85"/>
        <v/>
      </c>
      <c r="M577" s="58" t="str">
        <f t="shared" si="86"/>
        <v/>
      </c>
      <c r="N577" s="59" t="str">
        <f t="shared" si="82"/>
        <v/>
      </c>
      <c r="O577" s="60"/>
      <c r="P577" s="105"/>
    </row>
    <row r="578" spans="1:16" x14ac:dyDescent="0.3">
      <c r="A578" s="54" t="str">
        <f>IF([2]weekly_demand!A579="","",[2]weekly_demand!A579)</f>
        <v/>
      </c>
      <c r="B578" s="55" t="str">
        <f>IF($A578="","",[2]weekly_demand!F579)</f>
        <v/>
      </c>
      <c r="C578" s="56" t="str">
        <f>IF($A578="","",[2]weekly_demand!H579)</f>
        <v/>
      </c>
      <c r="D578" s="57" t="str">
        <f>IF($A578="","",IF(SUMIFS([2]Fixture_Capacity_Input!$C:$C,[2]Fixture_Capacity_Input!$A:$A,$B578,[2]Fixture_Capacity_Input!$B:$B,$C578)&gt;0,SUMIFS([2]Fixture_Capacity_Input!$C:$C,[2]Fixture_Capacity_Input!$A:$A,$B578,[2]Fixture_Capacity_Input!$B:$B,$C578),[2]weekly_demand!G579))</f>
        <v/>
      </c>
      <c r="E578" s="58" t="str">
        <f>IF($A578="","",[2]weekly_demand!I579)</f>
        <v/>
      </c>
      <c r="F578" s="57" t="str">
        <f t="shared" ref="F578:F641" si="88">IF($A578="","",IF($A578&lt;&gt;$A577,_xlfn.XLOOKUP($A578,$Q$2:$Q$7,$R$2:$R$7,0),K577))</f>
        <v/>
      </c>
      <c r="G578" s="57" t="str">
        <f t="shared" ref="G578:G641" si="89">IF($A578="","",_xlfn.XLOOKUP($A578,$Q$2:$Q$7,$S$2:$S$7,0))</f>
        <v/>
      </c>
      <c r="H578" s="57" t="str">
        <f t="shared" si="87"/>
        <v/>
      </c>
      <c r="I578" s="58" t="str">
        <f t="shared" si="83"/>
        <v/>
      </c>
      <c r="J578" s="58" t="str">
        <f t="shared" ref="J578:J641" si="90">IF($A578="","",MIN($D578,$I578,MAX(0,$E578+$G578-$F578)))</f>
        <v/>
      </c>
      <c r="K578" s="58" t="str">
        <f t="shared" si="84"/>
        <v/>
      </c>
      <c r="L578" s="58" t="str">
        <f t="shared" si="85"/>
        <v/>
      </c>
      <c r="M578" s="58" t="str">
        <f t="shared" si="86"/>
        <v/>
      </c>
      <c r="N578" s="59" t="str">
        <f t="shared" ref="N578:N641" si="91">IF($A578="","",IFERROR(J578/D578,0))</f>
        <v/>
      </c>
      <c r="O578" s="60"/>
      <c r="P578" s="105"/>
    </row>
    <row r="579" spans="1:16" x14ac:dyDescent="0.3">
      <c r="A579" s="54" t="str">
        <f>IF([2]weekly_demand!A580="","",[2]weekly_demand!A580)</f>
        <v/>
      </c>
      <c r="B579" s="55" t="str">
        <f>IF($A579="","",[2]weekly_demand!F580)</f>
        <v/>
      </c>
      <c r="C579" s="56" t="str">
        <f>IF($A579="","",[2]weekly_demand!H580)</f>
        <v/>
      </c>
      <c r="D579" s="57" t="str">
        <f>IF($A579="","",IF(SUMIFS([2]Fixture_Capacity_Input!$C:$C,[2]Fixture_Capacity_Input!$A:$A,$B579,[2]Fixture_Capacity_Input!$B:$B,$C579)&gt;0,SUMIFS([2]Fixture_Capacity_Input!$C:$C,[2]Fixture_Capacity_Input!$A:$A,$B579,[2]Fixture_Capacity_Input!$B:$B,$C579),[2]weekly_demand!G580))</f>
        <v/>
      </c>
      <c r="E579" s="58" t="str">
        <f>IF($A579="","",[2]weekly_demand!I580)</f>
        <v/>
      </c>
      <c r="F579" s="57" t="str">
        <f t="shared" si="88"/>
        <v/>
      </c>
      <c r="G579" s="57" t="str">
        <f t="shared" si="89"/>
        <v/>
      </c>
      <c r="H579" s="57" t="str">
        <f t="shared" si="87"/>
        <v/>
      </c>
      <c r="I579" s="58" t="str">
        <f t="shared" ref="I579:I642" si="92">IF($A579="","",MAX(0,E579+H579-F579))</f>
        <v/>
      </c>
      <c r="J579" s="58" t="str">
        <f t="shared" si="90"/>
        <v/>
      </c>
      <c r="K579" s="58" t="str">
        <f t="shared" ref="K579:K642" si="93">IF($A579="","",MIN($G579,MAX(0,$F579+$J579-$E579)))</f>
        <v/>
      </c>
      <c r="L579" s="58" t="str">
        <f t="shared" ref="L579:L642" si="94">IF($A579="","",MAX(0,E579-F579-J579))</f>
        <v/>
      </c>
      <c r="M579" s="58" t="str">
        <f t="shared" ref="M579:M642" si="95">IF($A579="","",MAX(0,F579+J579-E579))</f>
        <v/>
      </c>
      <c r="N579" s="59" t="str">
        <f t="shared" si="91"/>
        <v/>
      </c>
      <c r="O579" s="60"/>
      <c r="P579" s="105"/>
    </row>
    <row r="580" spans="1:16" x14ac:dyDescent="0.3">
      <c r="A580" s="54" t="str">
        <f>IF([2]weekly_demand!A581="","",[2]weekly_demand!A581)</f>
        <v/>
      </c>
      <c r="B580" s="55" t="str">
        <f>IF($A580="","",[2]weekly_demand!F581)</f>
        <v/>
      </c>
      <c r="C580" s="56" t="str">
        <f>IF($A580="","",[2]weekly_demand!H581)</f>
        <v/>
      </c>
      <c r="D580" s="57" t="str">
        <f>IF($A580="","",IF(SUMIFS([2]Fixture_Capacity_Input!$C:$C,[2]Fixture_Capacity_Input!$A:$A,$B580,[2]Fixture_Capacity_Input!$B:$B,$C580)&gt;0,SUMIFS([2]Fixture_Capacity_Input!$C:$C,[2]Fixture_Capacity_Input!$A:$A,$B580,[2]Fixture_Capacity_Input!$B:$B,$C580),[2]weekly_demand!G581))</f>
        <v/>
      </c>
      <c r="E580" s="58" t="str">
        <f>IF($A580="","",[2]weekly_demand!I581)</f>
        <v/>
      </c>
      <c r="F580" s="57" t="str">
        <f t="shared" si="88"/>
        <v/>
      </c>
      <c r="G580" s="57" t="str">
        <f t="shared" si="89"/>
        <v/>
      </c>
      <c r="H580" s="57" t="str">
        <f t="shared" si="87"/>
        <v/>
      </c>
      <c r="I580" s="58" t="str">
        <f t="shared" si="92"/>
        <v/>
      </c>
      <c r="J580" s="58" t="str">
        <f t="shared" si="90"/>
        <v/>
      </c>
      <c r="K580" s="58" t="str">
        <f t="shared" si="93"/>
        <v/>
      </c>
      <c r="L580" s="58" t="str">
        <f t="shared" si="94"/>
        <v/>
      </c>
      <c r="M580" s="58" t="str">
        <f t="shared" si="95"/>
        <v/>
      </c>
      <c r="N580" s="59" t="str">
        <f t="shared" si="91"/>
        <v/>
      </c>
      <c r="O580" s="60"/>
      <c r="P580" s="105"/>
    </row>
    <row r="581" spans="1:16" x14ac:dyDescent="0.3">
      <c r="A581" s="54" t="str">
        <f>IF([2]weekly_demand!A582="","",[2]weekly_demand!A582)</f>
        <v/>
      </c>
      <c r="B581" s="55" t="str">
        <f>IF($A581="","",[2]weekly_demand!F582)</f>
        <v/>
      </c>
      <c r="C581" s="56" t="str">
        <f>IF($A581="","",[2]weekly_demand!H582)</f>
        <v/>
      </c>
      <c r="D581" s="57" t="str">
        <f>IF($A581="","",IF(SUMIFS([2]Fixture_Capacity_Input!$C:$C,[2]Fixture_Capacity_Input!$A:$A,$B581,[2]Fixture_Capacity_Input!$B:$B,$C581)&gt;0,SUMIFS([2]Fixture_Capacity_Input!$C:$C,[2]Fixture_Capacity_Input!$A:$A,$B581,[2]Fixture_Capacity_Input!$B:$B,$C581),[2]weekly_demand!G582))</f>
        <v/>
      </c>
      <c r="E581" s="58" t="str">
        <f>IF($A581="","",[2]weekly_demand!I582)</f>
        <v/>
      </c>
      <c r="F581" s="57" t="str">
        <f t="shared" si="88"/>
        <v/>
      </c>
      <c r="G581" s="57" t="str">
        <f t="shared" si="89"/>
        <v/>
      </c>
      <c r="H581" s="57" t="str">
        <f t="shared" si="87"/>
        <v/>
      </c>
      <c r="I581" s="58" t="str">
        <f t="shared" si="92"/>
        <v/>
      </c>
      <c r="J581" s="58" t="str">
        <f t="shared" si="90"/>
        <v/>
      </c>
      <c r="K581" s="58" t="str">
        <f t="shared" si="93"/>
        <v/>
      </c>
      <c r="L581" s="58" t="str">
        <f t="shared" si="94"/>
        <v/>
      </c>
      <c r="M581" s="58" t="str">
        <f t="shared" si="95"/>
        <v/>
      </c>
      <c r="N581" s="59" t="str">
        <f t="shared" si="91"/>
        <v/>
      </c>
      <c r="O581" s="60"/>
      <c r="P581" s="105"/>
    </row>
    <row r="582" spans="1:16" x14ac:dyDescent="0.3">
      <c r="A582" s="54" t="str">
        <f>IF([2]weekly_demand!A583="","",[2]weekly_demand!A583)</f>
        <v/>
      </c>
      <c r="B582" s="55" t="str">
        <f>IF($A582="","",[2]weekly_demand!F583)</f>
        <v/>
      </c>
      <c r="C582" s="56" t="str">
        <f>IF($A582="","",[2]weekly_demand!H583)</f>
        <v/>
      </c>
      <c r="D582" s="57" t="str">
        <f>IF($A582="","",IF(SUMIFS([2]Fixture_Capacity_Input!$C:$C,[2]Fixture_Capacity_Input!$A:$A,$B582,[2]Fixture_Capacity_Input!$B:$B,$C582)&gt;0,SUMIFS([2]Fixture_Capacity_Input!$C:$C,[2]Fixture_Capacity_Input!$A:$A,$B582,[2]Fixture_Capacity_Input!$B:$B,$C582),[2]weekly_demand!G583))</f>
        <v/>
      </c>
      <c r="E582" s="58" t="str">
        <f>IF($A582="","",[2]weekly_demand!I583)</f>
        <v/>
      </c>
      <c r="F582" s="57" t="str">
        <f t="shared" si="88"/>
        <v/>
      </c>
      <c r="G582" s="57" t="str">
        <f t="shared" si="89"/>
        <v/>
      </c>
      <c r="H582" s="57" t="str">
        <f t="shared" si="87"/>
        <v/>
      </c>
      <c r="I582" s="58" t="str">
        <f t="shared" si="92"/>
        <v/>
      </c>
      <c r="J582" s="58" t="str">
        <f t="shared" si="90"/>
        <v/>
      </c>
      <c r="K582" s="58" t="str">
        <f t="shared" si="93"/>
        <v/>
      </c>
      <c r="L582" s="58" t="str">
        <f t="shared" si="94"/>
        <v/>
      </c>
      <c r="M582" s="58" t="str">
        <f t="shared" si="95"/>
        <v/>
      </c>
      <c r="N582" s="59" t="str">
        <f t="shared" si="91"/>
        <v/>
      </c>
      <c r="O582" s="60"/>
      <c r="P582" s="105"/>
    </row>
    <row r="583" spans="1:16" x14ac:dyDescent="0.3">
      <c r="A583" s="54" t="str">
        <f>IF([2]weekly_demand!A584="","",[2]weekly_demand!A584)</f>
        <v/>
      </c>
      <c r="B583" s="55" t="str">
        <f>IF($A583="","",[2]weekly_demand!F584)</f>
        <v/>
      </c>
      <c r="C583" s="56" t="str">
        <f>IF($A583="","",[2]weekly_demand!H584)</f>
        <v/>
      </c>
      <c r="D583" s="57" t="str">
        <f>IF($A583="","",IF(SUMIFS([2]Fixture_Capacity_Input!$C:$C,[2]Fixture_Capacity_Input!$A:$A,$B583,[2]Fixture_Capacity_Input!$B:$B,$C583)&gt;0,SUMIFS([2]Fixture_Capacity_Input!$C:$C,[2]Fixture_Capacity_Input!$A:$A,$B583,[2]Fixture_Capacity_Input!$B:$B,$C583),[2]weekly_demand!G584))</f>
        <v/>
      </c>
      <c r="E583" s="58" t="str">
        <f>IF($A583="","",[2]weekly_demand!I584)</f>
        <v/>
      </c>
      <c r="F583" s="57" t="str">
        <f t="shared" si="88"/>
        <v/>
      </c>
      <c r="G583" s="57" t="str">
        <f t="shared" si="89"/>
        <v/>
      </c>
      <c r="H583" s="57" t="str">
        <f t="shared" si="87"/>
        <v/>
      </c>
      <c r="I583" s="58" t="str">
        <f t="shared" si="92"/>
        <v/>
      </c>
      <c r="J583" s="58" t="str">
        <f t="shared" si="90"/>
        <v/>
      </c>
      <c r="K583" s="58" t="str">
        <f t="shared" si="93"/>
        <v/>
      </c>
      <c r="L583" s="58" t="str">
        <f t="shared" si="94"/>
        <v/>
      </c>
      <c r="M583" s="58" t="str">
        <f t="shared" si="95"/>
        <v/>
      </c>
      <c r="N583" s="59" t="str">
        <f t="shared" si="91"/>
        <v/>
      </c>
      <c r="O583" s="60"/>
      <c r="P583" s="105"/>
    </row>
    <row r="584" spans="1:16" x14ac:dyDescent="0.3">
      <c r="A584" s="54" t="str">
        <f>IF([2]weekly_demand!A585="","",[2]weekly_demand!A585)</f>
        <v/>
      </c>
      <c r="B584" s="55" t="str">
        <f>IF($A584="","",[2]weekly_demand!F585)</f>
        <v/>
      </c>
      <c r="C584" s="56" t="str">
        <f>IF($A584="","",[2]weekly_demand!H585)</f>
        <v/>
      </c>
      <c r="D584" s="57" t="str">
        <f>IF($A584="","",IF(SUMIFS([2]Fixture_Capacity_Input!$C:$C,[2]Fixture_Capacity_Input!$A:$A,$B584,[2]Fixture_Capacity_Input!$B:$B,$C584)&gt;0,SUMIFS([2]Fixture_Capacity_Input!$C:$C,[2]Fixture_Capacity_Input!$A:$A,$B584,[2]Fixture_Capacity_Input!$B:$B,$C584),[2]weekly_demand!G585))</f>
        <v/>
      </c>
      <c r="E584" s="58" t="str">
        <f>IF($A584="","",[2]weekly_demand!I585)</f>
        <v/>
      </c>
      <c r="F584" s="57" t="str">
        <f t="shared" si="88"/>
        <v/>
      </c>
      <c r="G584" s="57" t="str">
        <f t="shared" si="89"/>
        <v/>
      </c>
      <c r="H584" s="57" t="str">
        <f t="shared" si="87"/>
        <v/>
      </c>
      <c r="I584" s="58" t="str">
        <f t="shared" si="92"/>
        <v/>
      </c>
      <c r="J584" s="58" t="str">
        <f t="shared" si="90"/>
        <v/>
      </c>
      <c r="K584" s="58" t="str">
        <f t="shared" si="93"/>
        <v/>
      </c>
      <c r="L584" s="58" t="str">
        <f t="shared" si="94"/>
        <v/>
      </c>
      <c r="M584" s="58" t="str">
        <f t="shared" si="95"/>
        <v/>
      </c>
      <c r="N584" s="59" t="str">
        <f t="shared" si="91"/>
        <v/>
      </c>
      <c r="O584" s="60"/>
      <c r="P584" s="105"/>
    </row>
    <row r="585" spans="1:16" x14ac:dyDescent="0.3">
      <c r="A585" s="54" t="str">
        <f>IF([2]weekly_demand!A586="","",[2]weekly_demand!A586)</f>
        <v/>
      </c>
      <c r="B585" s="55" t="str">
        <f>IF($A585="","",[2]weekly_demand!F586)</f>
        <v/>
      </c>
      <c r="C585" s="56" t="str">
        <f>IF($A585="","",[2]weekly_demand!H586)</f>
        <v/>
      </c>
      <c r="D585" s="57" t="str">
        <f>IF($A585="","",IF(SUMIFS([2]Fixture_Capacity_Input!$C:$C,[2]Fixture_Capacity_Input!$A:$A,$B585,[2]Fixture_Capacity_Input!$B:$B,$C585)&gt;0,SUMIFS([2]Fixture_Capacity_Input!$C:$C,[2]Fixture_Capacity_Input!$A:$A,$B585,[2]Fixture_Capacity_Input!$B:$B,$C585),[2]weekly_demand!G586))</f>
        <v/>
      </c>
      <c r="E585" s="58" t="str">
        <f>IF($A585="","",[2]weekly_demand!I586)</f>
        <v/>
      </c>
      <c r="F585" s="57" t="str">
        <f t="shared" si="88"/>
        <v/>
      </c>
      <c r="G585" s="57" t="str">
        <f t="shared" si="89"/>
        <v/>
      </c>
      <c r="H585" s="57" t="str">
        <f t="shared" si="87"/>
        <v/>
      </c>
      <c r="I585" s="58" t="str">
        <f t="shared" si="92"/>
        <v/>
      </c>
      <c r="J585" s="58" t="str">
        <f t="shared" si="90"/>
        <v/>
      </c>
      <c r="K585" s="58" t="str">
        <f t="shared" si="93"/>
        <v/>
      </c>
      <c r="L585" s="58" t="str">
        <f t="shared" si="94"/>
        <v/>
      </c>
      <c r="M585" s="58" t="str">
        <f t="shared" si="95"/>
        <v/>
      </c>
      <c r="N585" s="59" t="str">
        <f t="shared" si="91"/>
        <v/>
      </c>
      <c r="O585" s="60"/>
      <c r="P585" s="105"/>
    </row>
    <row r="586" spans="1:16" x14ac:dyDescent="0.3">
      <c r="A586" s="54" t="str">
        <f>IF([2]weekly_demand!A587="","",[2]weekly_demand!A587)</f>
        <v/>
      </c>
      <c r="B586" s="55" t="str">
        <f>IF($A586="","",[2]weekly_demand!F587)</f>
        <v/>
      </c>
      <c r="C586" s="56" t="str">
        <f>IF($A586="","",[2]weekly_demand!H587)</f>
        <v/>
      </c>
      <c r="D586" s="57" t="str">
        <f>IF($A586="","",IF(SUMIFS([2]Fixture_Capacity_Input!$C:$C,[2]Fixture_Capacity_Input!$A:$A,$B586,[2]Fixture_Capacity_Input!$B:$B,$C586)&gt;0,SUMIFS([2]Fixture_Capacity_Input!$C:$C,[2]Fixture_Capacity_Input!$A:$A,$B586,[2]Fixture_Capacity_Input!$B:$B,$C586),[2]weekly_demand!G587))</f>
        <v/>
      </c>
      <c r="E586" s="58" t="str">
        <f>IF($A586="","",[2]weekly_demand!I587)</f>
        <v/>
      </c>
      <c r="F586" s="57" t="str">
        <f t="shared" si="88"/>
        <v/>
      </c>
      <c r="G586" s="57" t="str">
        <f t="shared" si="89"/>
        <v/>
      </c>
      <c r="H586" s="57" t="str">
        <f t="shared" si="87"/>
        <v/>
      </c>
      <c r="I586" s="58" t="str">
        <f t="shared" si="92"/>
        <v/>
      </c>
      <c r="J586" s="58" t="str">
        <f t="shared" si="90"/>
        <v/>
      </c>
      <c r="K586" s="58" t="str">
        <f t="shared" si="93"/>
        <v/>
      </c>
      <c r="L586" s="58" t="str">
        <f t="shared" si="94"/>
        <v/>
      </c>
      <c r="M586" s="58" t="str">
        <f t="shared" si="95"/>
        <v/>
      </c>
      <c r="N586" s="59" t="str">
        <f t="shared" si="91"/>
        <v/>
      </c>
      <c r="O586" s="60"/>
      <c r="P586" s="105"/>
    </row>
    <row r="587" spans="1:16" x14ac:dyDescent="0.3">
      <c r="A587" s="54" t="str">
        <f>IF([2]weekly_demand!A588="","",[2]weekly_demand!A588)</f>
        <v/>
      </c>
      <c r="B587" s="55" t="str">
        <f>IF($A587="","",[2]weekly_demand!F588)</f>
        <v/>
      </c>
      <c r="C587" s="56" t="str">
        <f>IF($A587="","",[2]weekly_demand!H588)</f>
        <v/>
      </c>
      <c r="D587" s="57" t="str">
        <f>IF($A587="","",IF(SUMIFS([2]Fixture_Capacity_Input!$C:$C,[2]Fixture_Capacity_Input!$A:$A,$B587,[2]Fixture_Capacity_Input!$B:$B,$C587)&gt;0,SUMIFS([2]Fixture_Capacity_Input!$C:$C,[2]Fixture_Capacity_Input!$A:$A,$B587,[2]Fixture_Capacity_Input!$B:$B,$C587),[2]weekly_demand!G588))</f>
        <v/>
      </c>
      <c r="E587" s="58" t="str">
        <f>IF($A587="","",[2]weekly_demand!I588)</f>
        <v/>
      </c>
      <c r="F587" s="57" t="str">
        <f t="shared" si="88"/>
        <v/>
      </c>
      <c r="G587" s="57" t="str">
        <f t="shared" si="89"/>
        <v/>
      </c>
      <c r="H587" s="57" t="str">
        <f t="shared" si="87"/>
        <v/>
      </c>
      <c r="I587" s="58" t="str">
        <f t="shared" si="92"/>
        <v/>
      </c>
      <c r="J587" s="58" t="str">
        <f t="shared" si="90"/>
        <v/>
      </c>
      <c r="K587" s="58" t="str">
        <f t="shared" si="93"/>
        <v/>
      </c>
      <c r="L587" s="58" t="str">
        <f t="shared" si="94"/>
        <v/>
      </c>
      <c r="M587" s="58" t="str">
        <f t="shared" si="95"/>
        <v/>
      </c>
      <c r="N587" s="59" t="str">
        <f t="shared" si="91"/>
        <v/>
      </c>
      <c r="O587" s="60"/>
      <c r="P587" s="105"/>
    </row>
    <row r="588" spans="1:16" x14ac:dyDescent="0.3">
      <c r="A588" s="54" t="str">
        <f>IF([2]weekly_demand!A589="","",[2]weekly_demand!A589)</f>
        <v/>
      </c>
      <c r="B588" s="55" t="str">
        <f>IF($A588="","",[2]weekly_demand!F589)</f>
        <v/>
      </c>
      <c r="C588" s="56" t="str">
        <f>IF($A588="","",[2]weekly_demand!H589)</f>
        <v/>
      </c>
      <c r="D588" s="57" t="str">
        <f>IF($A588="","",IF(SUMIFS([2]Fixture_Capacity_Input!$C:$C,[2]Fixture_Capacity_Input!$A:$A,$B588,[2]Fixture_Capacity_Input!$B:$B,$C588)&gt;0,SUMIFS([2]Fixture_Capacity_Input!$C:$C,[2]Fixture_Capacity_Input!$A:$A,$B588,[2]Fixture_Capacity_Input!$B:$B,$C588),[2]weekly_demand!G589))</f>
        <v/>
      </c>
      <c r="E588" s="58" t="str">
        <f>IF($A588="","",[2]weekly_demand!I589)</f>
        <v/>
      </c>
      <c r="F588" s="57" t="str">
        <f t="shared" si="88"/>
        <v/>
      </c>
      <c r="G588" s="57" t="str">
        <f t="shared" si="89"/>
        <v/>
      </c>
      <c r="H588" s="57" t="str">
        <f t="shared" si="87"/>
        <v/>
      </c>
      <c r="I588" s="58" t="str">
        <f t="shared" si="92"/>
        <v/>
      </c>
      <c r="J588" s="58" t="str">
        <f t="shared" si="90"/>
        <v/>
      </c>
      <c r="K588" s="58" t="str">
        <f t="shared" si="93"/>
        <v/>
      </c>
      <c r="L588" s="58" t="str">
        <f t="shared" si="94"/>
        <v/>
      </c>
      <c r="M588" s="58" t="str">
        <f t="shared" si="95"/>
        <v/>
      </c>
      <c r="N588" s="59" t="str">
        <f t="shared" si="91"/>
        <v/>
      </c>
      <c r="O588" s="60"/>
      <c r="P588" s="105"/>
    </row>
    <row r="589" spans="1:16" x14ac:dyDescent="0.3">
      <c r="A589" s="54" t="str">
        <f>IF([2]weekly_demand!A590="","",[2]weekly_demand!A590)</f>
        <v/>
      </c>
      <c r="B589" s="55" t="str">
        <f>IF($A589="","",[2]weekly_demand!F590)</f>
        <v/>
      </c>
      <c r="C589" s="56" t="str">
        <f>IF($A589="","",[2]weekly_demand!H590)</f>
        <v/>
      </c>
      <c r="D589" s="57" t="str">
        <f>IF($A589="","",IF(SUMIFS([2]Fixture_Capacity_Input!$C:$C,[2]Fixture_Capacity_Input!$A:$A,$B589,[2]Fixture_Capacity_Input!$B:$B,$C589)&gt;0,SUMIFS([2]Fixture_Capacity_Input!$C:$C,[2]Fixture_Capacity_Input!$A:$A,$B589,[2]Fixture_Capacity_Input!$B:$B,$C589),[2]weekly_demand!G590))</f>
        <v/>
      </c>
      <c r="E589" s="58" t="str">
        <f>IF($A589="","",[2]weekly_demand!I590)</f>
        <v/>
      </c>
      <c r="F589" s="57" t="str">
        <f t="shared" si="88"/>
        <v/>
      </c>
      <c r="G589" s="57" t="str">
        <f t="shared" si="89"/>
        <v/>
      </c>
      <c r="H589" s="57" t="str">
        <f t="shared" si="87"/>
        <v/>
      </c>
      <c r="I589" s="58" t="str">
        <f t="shared" si="92"/>
        <v/>
      </c>
      <c r="J589" s="58" t="str">
        <f t="shared" si="90"/>
        <v/>
      </c>
      <c r="K589" s="58" t="str">
        <f t="shared" si="93"/>
        <v/>
      </c>
      <c r="L589" s="58" t="str">
        <f t="shared" si="94"/>
        <v/>
      </c>
      <c r="M589" s="58" t="str">
        <f t="shared" si="95"/>
        <v/>
      </c>
      <c r="N589" s="59" t="str">
        <f t="shared" si="91"/>
        <v/>
      </c>
      <c r="O589" s="60"/>
      <c r="P589" s="105"/>
    </row>
    <row r="590" spans="1:16" x14ac:dyDescent="0.3">
      <c r="A590" s="54" t="str">
        <f>IF([2]weekly_demand!A591="","",[2]weekly_demand!A591)</f>
        <v/>
      </c>
      <c r="B590" s="55" t="str">
        <f>IF($A590="","",[2]weekly_demand!F591)</f>
        <v/>
      </c>
      <c r="C590" s="56" t="str">
        <f>IF($A590="","",[2]weekly_demand!H591)</f>
        <v/>
      </c>
      <c r="D590" s="57" t="str">
        <f>IF($A590="","",IF(SUMIFS([2]Fixture_Capacity_Input!$C:$C,[2]Fixture_Capacity_Input!$A:$A,$B590,[2]Fixture_Capacity_Input!$B:$B,$C590)&gt;0,SUMIFS([2]Fixture_Capacity_Input!$C:$C,[2]Fixture_Capacity_Input!$A:$A,$B590,[2]Fixture_Capacity_Input!$B:$B,$C590),[2]weekly_demand!G591))</f>
        <v/>
      </c>
      <c r="E590" s="58" t="str">
        <f>IF($A590="","",[2]weekly_demand!I591)</f>
        <v/>
      </c>
      <c r="F590" s="57" t="str">
        <f t="shared" si="88"/>
        <v/>
      </c>
      <c r="G590" s="57" t="str">
        <f t="shared" si="89"/>
        <v/>
      </c>
      <c r="H590" s="57" t="str">
        <f t="shared" si="87"/>
        <v/>
      </c>
      <c r="I590" s="58" t="str">
        <f t="shared" si="92"/>
        <v/>
      </c>
      <c r="J590" s="58" t="str">
        <f t="shared" si="90"/>
        <v/>
      </c>
      <c r="K590" s="58" t="str">
        <f t="shared" si="93"/>
        <v/>
      </c>
      <c r="L590" s="58" t="str">
        <f t="shared" si="94"/>
        <v/>
      </c>
      <c r="M590" s="58" t="str">
        <f t="shared" si="95"/>
        <v/>
      </c>
      <c r="N590" s="59" t="str">
        <f t="shared" si="91"/>
        <v/>
      </c>
      <c r="O590" s="60"/>
      <c r="P590" s="105"/>
    </row>
    <row r="591" spans="1:16" x14ac:dyDescent="0.3">
      <c r="A591" s="54" t="str">
        <f>IF([2]weekly_demand!A592="","",[2]weekly_demand!A592)</f>
        <v/>
      </c>
      <c r="B591" s="55" t="str">
        <f>IF($A591="","",[2]weekly_demand!F592)</f>
        <v/>
      </c>
      <c r="C591" s="56" t="str">
        <f>IF($A591="","",[2]weekly_demand!H592)</f>
        <v/>
      </c>
      <c r="D591" s="57" t="str">
        <f>IF($A591="","",IF(SUMIFS([2]Fixture_Capacity_Input!$C:$C,[2]Fixture_Capacity_Input!$A:$A,$B591,[2]Fixture_Capacity_Input!$B:$B,$C591)&gt;0,SUMIFS([2]Fixture_Capacity_Input!$C:$C,[2]Fixture_Capacity_Input!$A:$A,$B591,[2]Fixture_Capacity_Input!$B:$B,$C591),[2]weekly_demand!G592))</f>
        <v/>
      </c>
      <c r="E591" s="58" t="str">
        <f>IF($A591="","",[2]weekly_demand!I592)</f>
        <v/>
      </c>
      <c r="F591" s="57" t="str">
        <f t="shared" si="88"/>
        <v/>
      </c>
      <c r="G591" s="57" t="str">
        <f t="shared" si="89"/>
        <v/>
      </c>
      <c r="H591" s="57" t="str">
        <f t="shared" si="87"/>
        <v/>
      </c>
      <c r="I591" s="58" t="str">
        <f t="shared" si="92"/>
        <v/>
      </c>
      <c r="J591" s="58" t="str">
        <f t="shared" si="90"/>
        <v/>
      </c>
      <c r="K591" s="58" t="str">
        <f t="shared" si="93"/>
        <v/>
      </c>
      <c r="L591" s="58" t="str">
        <f t="shared" si="94"/>
        <v/>
      </c>
      <c r="M591" s="58" t="str">
        <f t="shared" si="95"/>
        <v/>
      </c>
      <c r="N591" s="59" t="str">
        <f t="shared" si="91"/>
        <v/>
      </c>
      <c r="O591" s="60"/>
      <c r="P591" s="105"/>
    </row>
    <row r="592" spans="1:16" x14ac:dyDescent="0.3">
      <c r="A592" s="54" t="str">
        <f>IF([2]weekly_demand!A593="","",[2]weekly_demand!A593)</f>
        <v/>
      </c>
      <c r="B592" s="55" t="str">
        <f>IF($A592="","",[2]weekly_demand!F593)</f>
        <v/>
      </c>
      <c r="C592" s="56" t="str">
        <f>IF($A592="","",[2]weekly_demand!H593)</f>
        <v/>
      </c>
      <c r="D592" s="57" t="str">
        <f>IF($A592="","",IF(SUMIFS([2]Fixture_Capacity_Input!$C:$C,[2]Fixture_Capacity_Input!$A:$A,$B592,[2]Fixture_Capacity_Input!$B:$B,$C592)&gt;0,SUMIFS([2]Fixture_Capacity_Input!$C:$C,[2]Fixture_Capacity_Input!$A:$A,$B592,[2]Fixture_Capacity_Input!$B:$B,$C592),[2]weekly_demand!G593))</f>
        <v/>
      </c>
      <c r="E592" s="58" t="str">
        <f>IF($A592="","",[2]weekly_demand!I593)</f>
        <v/>
      </c>
      <c r="F592" s="57" t="str">
        <f t="shared" si="88"/>
        <v/>
      </c>
      <c r="G592" s="57" t="str">
        <f t="shared" si="89"/>
        <v/>
      </c>
      <c r="H592" s="57" t="str">
        <f t="shared" si="87"/>
        <v/>
      </c>
      <c r="I592" s="58" t="str">
        <f t="shared" si="92"/>
        <v/>
      </c>
      <c r="J592" s="58" t="str">
        <f t="shared" si="90"/>
        <v/>
      </c>
      <c r="K592" s="58" t="str">
        <f t="shared" si="93"/>
        <v/>
      </c>
      <c r="L592" s="58" t="str">
        <f t="shared" si="94"/>
        <v/>
      </c>
      <c r="M592" s="58" t="str">
        <f t="shared" si="95"/>
        <v/>
      </c>
      <c r="N592" s="59" t="str">
        <f t="shared" si="91"/>
        <v/>
      </c>
      <c r="O592" s="60"/>
      <c r="P592" s="105"/>
    </row>
    <row r="593" spans="1:16" x14ac:dyDescent="0.3">
      <c r="A593" s="54" t="str">
        <f>IF([2]weekly_demand!A594="","",[2]weekly_demand!A594)</f>
        <v/>
      </c>
      <c r="B593" s="55" t="str">
        <f>IF($A593="","",[2]weekly_demand!F594)</f>
        <v/>
      </c>
      <c r="C593" s="56" t="str">
        <f>IF($A593="","",[2]weekly_demand!H594)</f>
        <v/>
      </c>
      <c r="D593" s="57" t="str">
        <f>IF($A593="","",IF(SUMIFS([2]Fixture_Capacity_Input!$C:$C,[2]Fixture_Capacity_Input!$A:$A,$B593,[2]Fixture_Capacity_Input!$B:$B,$C593)&gt;0,SUMIFS([2]Fixture_Capacity_Input!$C:$C,[2]Fixture_Capacity_Input!$A:$A,$B593,[2]Fixture_Capacity_Input!$B:$B,$C593),[2]weekly_demand!G594))</f>
        <v/>
      </c>
      <c r="E593" s="58" t="str">
        <f>IF($A593="","",[2]weekly_demand!I594)</f>
        <v/>
      </c>
      <c r="F593" s="57" t="str">
        <f t="shared" si="88"/>
        <v/>
      </c>
      <c r="G593" s="57" t="str">
        <f t="shared" si="89"/>
        <v/>
      </c>
      <c r="H593" s="57" t="str">
        <f t="shared" si="87"/>
        <v/>
      </c>
      <c r="I593" s="58" t="str">
        <f t="shared" si="92"/>
        <v/>
      </c>
      <c r="J593" s="58" t="str">
        <f t="shared" si="90"/>
        <v/>
      </c>
      <c r="K593" s="58" t="str">
        <f t="shared" si="93"/>
        <v/>
      </c>
      <c r="L593" s="58" t="str">
        <f t="shared" si="94"/>
        <v/>
      </c>
      <c r="M593" s="58" t="str">
        <f t="shared" si="95"/>
        <v/>
      </c>
      <c r="N593" s="59" t="str">
        <f t="shared" si="91"/>
        <v/>
      </c>
      <c r="O593" s="60"/>
      <c r="P593" s="105"/>
    </row>
    <row r="594" spans="1:16" x14ac:dyDescent="0.3">
      <c r="A594" s="54" t="str">
        <f>IF([2]weekly_demand!A595="","",[2]weekly_demand!A595)</f>
        <v/>
      </c>
      <c r="B594" s="55" t="str">
        <f>IF($A594="","",[2]weekly_demand!F595)</f>
        <v/>
      </c>
      <c r="C594" s="56" t="str">
        <f>IF($A594="","",[2]weekly_demand!H595)</f>
        <v/>
      </c>
      <c r="D594" s="57" t="str">
        <f>IF($A594="","",IF(SUMIFS([2]Fixture_Capacity_Input!$C:$C,[2]Fixture_Capacity_Input!$A:$A,$B594,[2]Fixture_Capacity_Input!$B:$B,$C594)&gt;0,SUMIFS([2]Fixture_Capacity_Input!$C:$C,[2]Fixture_Capacity_Input!$A:$A,$B594,[2]Fixture_Capacity_Input!$B:$B,$C594),[2]weekly_demand!G595))</f>
        <v/>
      </c>
      <c r="E594" s="58" t="str">
        <f>IF($A594="","",[2]weekly_demand!I595)</f>
        <v/>
      </c>
      <c r="F594" s="57" t="str">
        <f t="shared" si="88"/>
        <v/>
      </c>
      <c r="G594" s="57" t="str">
        <f t="shared" si="89"/>
        <v/>
      </c>
      <c r="H594" s="57" t="str">
        <f t="shared" si="87"/>
        <v/>
      </c>
      <c r="I594" s="58" t="str">
        <f t="shared" si="92"/>
        <v/>
      </c>
      <c r="J594" s="58" t="str">
        <f t="shared" si="90"/>
        <v/>
      </c>
      <c r="K594" s="58" t="str">
        <f t="shared" si="93"/>
        <v/>
      </c>
      <c r="L594" s="58" t="str">
        <f t="shared" si="94"/>
        <v/>
      </c>
      <c r="M594" s="58" t="str">
        <f t="shared" si="95"/>
        <v/>
      </c>
      <c r="N594" s="59" t="str">
        <f t="shared" si="91"/>
        <v/>
      </c>
      <c r="O594" s="60"/>
      <c r="P594" s="105"/>
    </row>
    <row r="595" spans="1:16" x14ac:dyDescent="0.3">
      <c r="A595" s="54" t="str">
        <f>IF([2]weekly_demand!A596="","",[2]weekly_demand!A596)</f>
        <v/>
      </c>
      <c r="B595" s="55" t="str">
        <f>IF($A595="","",[2]weekly_demand!F596)</f>
        <v/>
      </c>
      <c r="C595" s="56" t="str">
        <f>IF($A595="","",[2]weekly_demand!H596)</f>
        <v/>
      </c>
      <c r="D595" s="57" t="str">
        <f>IF($A595="","",IF(SUMIFS([2]Fixture_Capacity_Input!$C:$C,[2]Fixture_Capacity_Input!$A:$A,$B595,[2]Fixture_Capacity_Input!$B:$B,$C595)&gt;0,SUMIFS([2]Fixture_Capacity_Input!$C:$C,[2]Fixture_Capacity_Input!$A:$A,$B595,[2]Fixture_Capacity_Input!$B:$B,$C595),[2]weekly_demand!G596))</f>
        <v/>
      </c>
      <c r="E595" s="58" t="str">
        <f>IF($A595="","",[2]weekly_demand!I596)</f>
        <v/>
      </c>
      <c r="F595" s="57" t="str">
        <f t="shared" si="88"/>
        <v/>
      </c>
      <c r="G595" s="57" t="str">
        <f t="shared" si="89"/>
        <v/>
      </c>
      <c r="H595" s="57" t="str">
        <f t="shared" si="87"/>
        <v/>
      </c>
      <c r="I595" s="58" t="str">
        <f t="shared" si="92"/>
        <v/>
      </c>
      <c r="J595" s="58" t="str">
        <f t="shared" si="90"/>
        <v/>
      </c>
      <c r="K595" s="58" t="str">
        <f t="shared" si="93"/>
        <v/>
      </c>
      <c r="L595" s="58" t="str">
        <f t="shared" si="94"/>
        <v/>
      </c>
      <c r="M595" s="58" t="str">
        <f t="shared" si="95"/>
        <v/>
      </c>
      <c r="N595" s="59" t="str">
        <f t="shared" si="91"/>
        <v/>
      </c>
      <c r="O595" s="60"/>
      <c r="P595" s="105"/>
    </row>
    <row r="596" spans="1:16" x14ac:dyDescent="0.3">
      <c r="A596" s="54" t="str">
        <f>IF([2]weekly_demand!A597="","",[2]weekly_demand!A597)</f>
        <v/>
      </c>
      <c r="B596" s="55" t="str">
        <f>IF($A596="","",[2]weekly_demand!F597)</f>
        <v/>
      </c>
      <c r="C596" s="56" t="str">
        <f>IF($A596="","",[2]weekly_demand!H597)</f>
        <v/>
      </c>
      <c r="D596" s="57" t="str">
        <f>IF($A596="","",IF(SUMIFS([2]Fixture_Capacity_Input!$C:$C,[2]Fixture_Capacity_Input!$A:$A,$B596,[2]Fixture_Capacity_Input!$B:$B,$C596)&gt;0,SUMIFS([2]Fixture_Capacity_Input!$C:$C,[2]Fixture_Capacity_Input!$A:$A,$B596,[2]Fixture_Capacity_Input!$B:$B,$C596),[2]weekly_demand!G597))</f>
        <v/>
      </c>
      <c r="E596" s="58" t="str">
        <f>IF($A596="","",[2]weekly_demand!I597)</f>
        <v/>
      </c>
      <c r="F596" s="57" t="str">
        <f t="shared" si="88"/>
        <v/>
      </c>
      <c r="G596" s="57" t="str">
        <f t="shared" si="89"/>
        <v/>
      </c>
      <c r="H596" s="57" t="str">
        <f t="shared" si="87"/>
        <v/>
      </c>
      <c r="I596" s="58" t="str">
        <f t="shared" si="92"/>
        <v/>
      </c>
      <c r="J596" s="58" t="str">
        <f t="shared" si="90"/>
        <v/>
      </c>
      <c r="K596" s="58" t="str">
        <f t="shared" si="93"/>
        <v/>
      </c>
      <c r="L596" s="58" t="str">
        <f t="shared" si="94"/>
        <v/>
      </c>
      <c r="M596" s="58" t="str">
        <f t="shared" si="95"/>
        <v/>
      </c>
      <c r="N596" s="59" t="str">
        <f t="shared" si="91"/>
        <v/>
      </c>
      <c r="O596" s="60"/>
      <c r="P596" s="105"/>
    </row>
    <row r="597" spans="1:16" x14ac:dyDescent="0.3">
      <c r="A597" s="54" t="str">
        <f>IF([2]weekly_demand!A598="","",[2]weekly_demand!A598)</f>
        <v/>
      </c>
      <c r="B597" s="55" t="str">
        <f>IF($A597="","",[2]weekly_demand!F598)</f>
        <v/>
      </c>
      <c r="C597" s="56" t="str">
        <f>IF($A597="","",[2]weekly_demand!H598)</f>
        <v/>
      </c>
      <c r="D597" s="57" t="str">
        <f>IF($A597="","",IF(SUMIFS([2]Fixture_Capacity_Input!$C:$C,[2]Fixture_Capacity_Input!$A:$A,$B597,[2]Fixture_Capacity_Input!$B:$B,$C597)&gt;0,SUMIFS([2]Fixture_Capacity_Input!$C:$C,[2]Fixture_Capacity_Input!$A:$A,$B597,[2]Fixture_Capacity_Input!$B:$B,$C597),[2]weekly_demand!G598))</f>
        <v/>
      </c>
      <c r="E597" s="58" t="str">
        <f>IF($A597="","",[2]weekly_demand!I598)</f>
        <v/>
      </c>
      <c r="F597" s="57" t="str">
        <f t="shared" si="88"/>
        <v/>
      </c>
      <c r="G597" s="57" t="str">
        <f t="shared" si="89"/>
        <v/>
      </c>
      <c r="H597" s="57" t="str">
        <f t="shared" si="87"/>
        <v/>
      </c>
      <c r="I597" s="58" t="str">
        <f t="shared" si="92"/>
        <v/>
      </c>
      <c r="J597" s="58" t="str">
        <f t="shared" si="90"/>
        <v/>
      </c>
      <c r="K597" s="58" t="str">
        <f t="shared" si="93"/>
        <v/>
      </c>
      <c r="L597" s="58" t="str">
        <f t="shared" si="94"/>
        <v/>
      </c>
      <c r="M597" s="58" t="str">
        <f t="shared" si="95"/>
        <v/>
      </c>
      <c r="N597" s="59" t="str">
        <f t="shared" si="91"/>
        <v/>
      </c>
      <c r="O597" s="60"/>
      <c r="P597" s="105"/>
    </row>
    <row r="598" spans="1:16" x14ac:dyDescent="0.3">
      <c r="A598" s="54" t="str">
        <f>IF([2]weekly_demand!A599="","",[2]weekly_demand!A599)</f>
        <v/>
      </c>
      <c r="B598" s="55" t="str">
        <f>IF($A598="","",[2]weekly_demand!F599)</f>
        <v/>
      </c>
      <c r="C598" s="56" t="str">
        <f>IF($A598="","",[2]weekly_demand!H599)</f>
        <v/>
      </c>
      <c r="D598" s="57" t="str">
        <f>IF($A598="","",IF(SUMIFS([2]Fixture_Capacity_Input!$C:$C,[2]Fixture_Capacity_Input!$A:$A,$B598,[2]Fixture_Capacity_Input!$B:$B,$C598)&gt;0,SUMIFS([2]Fixture_Capacity_Input!$C:$C,[2]Fixture_Capacity_Input!$A:$A,$B598,[2]Fixture_Capacity_Input!$B:$B,$C598),[2]weekly_demand!G599))</f>
        <v/>
      </c>
      <c r="E598" s="58" t="str">
        <f>IF($A598="","",[2]weekly_demand!I599)</f>
        <v/>
      </c>
      <c r="F598" s="57" t="str">
        <f t="shared" si="88"/>
        <v/>
      </c>
      <c r="G598" s="57" t="str">
        <f t="shared" si="89"/>
        <v/>
      </c>
      <c r="H598" s="57" t="str">
        <f t="shared" si="87"/>
        <v/>
      </c>
      <c r="I598" s="58" t="str">
        <f t="shared" si="92"/>
        <v/>
      </c>
      <c r="J598" s="58" t="str">
        <f t="shared" si="90"/>
        <v/>
      </c>
      <c r="K598" s="58" t="str">
        <f t="shared" si="93"/>
        <v/>
      </c>
      <c r="L598" s="58" t="str">
        <f t="shared" si="94"/>
        <v/>
      </c>
      <c r="M598" s="58" t="str">
        <f t="shared" si="95"/>
        <v/>
      </c>
      <c r="N598" s="59" t="str">
        <f t="shared" si="91"/>
        <v/>
      </c>
      <c r="O598" s="60"/>
      <c r="P598" s="105"/>
    </row>
    <row r="599" spans="1:16" x14ac:dyDescent="0.3">
      <c r="A599" s="54" t="str">
        <f>IF([2]weekly_demand!A600="","",[2]weekly_demand!A600)</f>
        <v/>
      </c>
      <c r="B599" s="55" t="str">
        <f>IF($A599="","",[2]weekly_demand!F600)</f>
        <v/>
      </c>
      <c r="C599" s="56" t="str">
        <f>IF($A599="","",[2]weekly_demand!H600)</f>
        <v/>
      </c>
      <c r="D599" s="57" t="str">
        <f>IF($A599="","",IF(SUMIFS([2]Fixture_Capacity_Input!$C:$C,[2]Fixture_Capacity_Input!$A:$A,$B599,[2]Fixture_Capacity_Input!$B:$B,$C599)&gt;0,SUMIFS([2]Fixture_Capacity_Input!$C:$C,[2]Fixture_Capacity_Input!$A:$A,$B599,[2]Fixture_Capacity_Input!$B:$B,$C599),[2]weekly_demand!G600))</f>
        <v/>
      </c>
      <c r="E599" s="58" t="str">
        <f>IF($A599="","",[2]weekly_demand!I600)</f>
        <v/>
      </c>
      <c r="F599" s="57" t="str">
        <f t="shared" si="88"/>
        <v/>
      </c>
      <c r="G599" s="57" t="str">
        <f t="shared" si="89"/>
        <v/>
      </c>
      <c r="H599" s="57" t="str">
        <f t="shared" si="87"/>
        <v/>
      </c>
      <c r="I599" s="58" t="str">
        <f t="shared" si="92"/>
        <v/>
      </c>
      <c r="J599" s="58" t="str">
        <f t="shared" si="90"/>
        <v/>
      </c>
      <c r="K599" s="58" t="str">
        <f t="shared" si="93"/>
        <v/>
      </c>
      <c r="L599" s="58" t="str">
        <f t="shared" si="94"/>
        <v/>
      </c>
      <c r="M599" s="58" t="str">
        <f t="shared" si="95"/>
        <v/>
      </c>
      <c r="N599" s="59" t="str">
        <f t="shared" si="91"/>
        <v/>
      </c>
      <c r="O599" s="60"/>
      <c r="P599" s="105"/>
    </row>
    <row r="600" spans="1:16" x14ac:dyDescent="0.3">
      <c r="A600" s="54" t="str">
        <f>IF([2]weekly_demand!A601="","",[2]weekly_demand!A601)</f>
        <v/>
      </c>
      <c r="B600" s="55" t="str">
        <f>IF($A600="","",[2]weekly_demand!F601)</f>
        <v/>
      </c>
      <c r="C600" s="56" t="str">
        <f>IF($A600="","",[2]weekly_demand!H601)</f>
        <v/>
      </c>
      <c r="D600" s="57" t="str">
        <f>IF($A600="","",IF(SUMIFS([2]Fixture_Capacity_Input!$C:$C,[2]Fixture_Capacity_Input!$A:$A,$B600,[2]Fixture_Capacity_Input!$B:$B,$C600)&gt;0,SUMIFS([2]Fixture_Capacity_Input!$C:$C,[2]Fixture_Capacity_Input!$A:$A,$B600,[2]Fixture_Capacity_Input!$B:$B,$C600),[2]weekly_demand!G601))</f>
        <v/>
      </c>
      <c r="E600" s="58" t="str">
        <f>IF($A600="","",[2]weekly_demand!I601)</f>
        <v/>
      </c>
      <c r="F600" s="57" t="str">
        <f t="shared" si="88"/>
        <v/>
      </c>
      <c r="G600" s="57" t="str">
        <f t="shared" si="89"/>
        <v/>
      </c>
      <c r="H600" s="57" t="str">
        <f t="shared" si="87"/>
        <v/>
      </c>
      <c r="I600" s="58" t="str">
        <f t="shared" si="92"/>
        <v/>
      </c>
      <c r="J600" s="58" t="str">
        <f t="shared" si="90"/>
        <v/>
      </c>
      <c r="K600" s="58" t="str">
        <f t="shared" si="93"/>
        <v/>
      </c>
      <c r="L600" s="58" t="str">
        <f t="shared" si="94"/>
        <v/>
      </c>
      <c r="M600" s="58" t="str">
        <f t="shared" si="95"/>
        <v/>
      </c>
      <c r="N600" s="59" t="str">
        <f t="shared" si="91"/>
        <v/>
      </c>
      <c r="O600" s="60"/>
      <c r="P600" s="105"/>
    </row>
    <row r="601" spans="1:16" x14ac:dyDescent="0.3">
      <c r="A601" s="54" t="str">
        <f>IF([2]weekly_demand!A602="","",[2]weekly_demand!A602)</f>
        <v/>
      </c>
      <c r="B601" s="55" t="str">
        <f>IF($A601="","",[2]weekly_demand!F602)</f>
        <v/>
      </c>
      <c r="C601" s="56" t="str">
        <f>IF($A601="","",[2]weekly_demand!H602)</f>
        <v/>
      </c>
      <c r="D601" s="57" t="str">
        <f>IF($A601="","",IF(SUMIFS([2]Fixture_Capacity_Input!$C:$C,[2]Fixture_Capacity_Input!$A:$A,$B601,[2]Fixture_Capacity_Input!$B:$B,$C601)&gt;0,SUMIFS([2]Fixture_Capacity_Input!$C:$C,[2]Fixture_Capacity_Input!$A:$A,$B601,[2]Fixture_Capacity_Input!$B:$B,$C601),[2]weekly_demand!G602))</f>
        <v/>
      </c>
      <c r="E601" s="58" t="str">
        <f>IF($A601="","",[2]weekly_demand!I602)</f>
        <v/>
      </c>
      <c r="F601" s="57" t="str">
        <f t="shared" si="88"/>
        <v/>
      </c>
      <c r="G601" s="57" t="str">
        <f t="shared" si="89"/>
        <v/>
      </c>
      <c r="H601" s="57" t="str">
        <f t="shared" si="87"/>
        <v/>
      </c>
      <c r="I601" s="58" t="str">
        <f t="shared" si="92"/>
        <v/>
      </c>
      <c r="J601" s="58" t="str">
        <f t="shared" si="90"/>
        <v/>
      </c>
      <c r="K601" s="58" t="str">
        <f t="shared" si="93"/>
        <v/>
      </c>
      <c r="L601" s="58" t="str">
        <f t="shared" si="94"/>
        <v/>
      </c>
      <c r="M601" s="58" t="str">
        <f t="shared" si="95"/>
        <v/>
      </c>
      <c r="N601" s="59" t="str">
        <f t="shared" si="91"/>
        <v/>
      </c>
      <c r="O601" s="60"/>
      <c r="P601" s="105"/>
    </row>
    <row r="602" spans="1:16" x14ac:dyDescent="0.3">
      <c r="A602" s="54" t="str">
        <f>IF([2]weekly_demand!A603="","",[2]weekly_demand!A603)</f>
        <v/>
      </c>
      <c r="B602" s="55" t="str">
        <f>IF($A602="","",[2]weekly_demand!F603)</f>
        <v/>
      </c>
      <c r="C602" s="56" t="str">
        <f>IF($A602="","",[2]weekly_demand!H603)</f>
        <v/>
      </c>
      <c r="D602" s="57" t="str">
        <f>IF($A602="","",IF(SUMIFS([2]Fixture_Capacity_Input!$C:$C,[2]Fixture_Capacity_Input!$A:$A,$B602,[2]Fixture_Capacity_Input!$B:$B,$C602)&gt;0,SUMIFS([2]Fixture_Capacity_Input!$C:$C,[2]Fixture_Capacity_Input!$A:$A,$B602,[2]Fixture_Capacity_Input!$B:$B,$C602),[2]weekly_demand!G603))</f>
        <v/>
      </c>
      <c r="E602" s="58" t="str">
        <f>IF($A602="","",[2]weekly_demand!I603)</f>
        <v/>
      </c>
      <c r="F602" s="57" t="str">
        <f t="shared" si="88"/>
        <v/>
      </c>
      <c r="G602" s="57" t="str">
        <f t="shared" si="89"/>
        <v/>
      </c>
      <c r="H602" s="57" t="str">
        <f t="shared" si="87"/>
        <v/>
      </c>
      <c r="I602" s="58" t="str">
        <f t="shared" si="92"/>
        <v/>
      </c>
      <c r="J602" s="58" t="str">
        <f t="shared" si="90"/>
        <v/>
      </c>
      <c r="K602" s="58" t="str">
        <f t="shared" si="93"/>
        <v/>
      </c>
      <c r="L602" s="58" t="str">
        <f t="shared" si="94"/>
        <v/>
      </c>
      <c r="M602" s="58" t="str">
        <f t="shared" si="95"/>
        <v/>
      </c>
      <c r="N602" s="59" t="str">
        <f t="shared" si="91"/>
        <v/>
      </c>
      <c r="O602" s="60"/>
      <c r="P602" s="105"/>
    </row>
    <row r="603" spans="1:16" x14ac:dyDescent="0.3">
      <c r="A603" s="54" t="str">
        <f>IF([2]weekly_demand!A604="","",[2]weekly_demand!A604)</f>
        <v/>
      </c>
      <c r="B603" s="55" t="str">
        <f>IF($A603="","",[2]weekly_demand!F604)</f>
        <v/>
      </c>
      <c r="C603" s="56" t="str">
        <f>IF($A603="","",[2]weekly_demand!H604)</f>
        <v/>
      </c>
      <c r="D603" s="57" t="str">
        <f>IF($A603="","",IF(SUMIFS([2]Fixture_Capacity_Input!$C:$C,[2]Fixture_Capacity_Input!$A:$A,$B603,[2]Fixture_Capacity_Input!$B:$B,$C603)&gt;0,SUMIFS([2]Fixture_Capacity_Input!$C:$C,[2]Fixture_Capacity_Input!$A:$A,$B603,[2]Fixture_Capacity_Input!$B:$B,$C603),[2]weekly_demand!G604))</f>
        <v/>
      </c>
      <c r="E603" s="58" t="str">
        <f>IF($A603="","",[2]weekly_demand!I604)</f>
        <v/>
      </c>
      <c r="F603" s="57" t="str">
        <f t="shared" si="88"/>
        <v/>
      </c>
      <c r="G603" s="57" t="str">
        <f t="shared" si="89"/>
        <v/>
      </c>
      <c r="H603" s="57" t="str">
        <f t="shared" si="87"/>
        <v/>
      </c>
      <c r="I603" s="58" t="str">
        <f t="shared" si="92"/>
        <v/>
      </c>
      <c r="J603" s="58" t="str">
        <f t="shared" si="90"/>
        <v/>
      </c>
      <c r="K603" s="58" t="str">
        <f t="shared" si="93"/>
        <v/>
      </c>
      <c r="L603" s="58" t="str">
        <f t="shared" si="94"/>
        <v/>
      </c>
      <c r="M603" s="58" t="str">
        <f t="shared" si="95"/>
        <v/>
      </c>
      <c r="N603" s="59" t="str">
        <f t="shared" si="91"/>
        <v/>
      </c>
      <c r="O603" s="60"/>
      <c r="P603" s="105"/>
    </row>
    <row r="604" spans="1:16" x14ac:dyDescent="0.3">
      <c r="A604" s="54" t="str">
        <f>IF([2]weekly_demand!A605="","",[2]weekly_demand!A605)</f>
        <v/>
      </c>
      <c r="B604" s="55" t="str">
        <f>IF($A604="","",[2]weekly_demand!F605)</f>
        <v/>
      </c>
      <c r="C604" s="56" t="str">
        <f>IF($A604="","",[2]weekly_demand!H605)</f>
        <v/>
      </c>
      <c r="D604" s="57" t="str">
        <f>IF($A604="","",IF(SUMIFS([2]Fixture_Capacity_Input!$C:$C,[2]Fixture_Capacity_Input!$A:$A,$B604,[2]Fixture_Capacity_Input!$B:$B,$C604)&gt;0,SUMIFS([2]Fixture_Capacity_Input!$C:$C,[2]Fixture_Capacity_Input!$A:$A,$B604,[2]Fixture_Capacity_Input!$B:$B,$C604),[2]weekly_demand!G605))</f>
        <v/>
      </c>
      <c r="E604" s="58" t="str">
        <f>IF($A604="","",[2]weekly_demand!I605)</f>
        <v/>
      </c>
      <c r="F604" s="57" t="str">
        <f t="shared" si="88"/>
        <v/>
      </c>
      <c r="G604" s="57" t="str">
        <f t="shared" si="89"/>
        <v/>
      </c>
      <c r="H604" s="57" t="str">
        <f t="shared" si="87"/>
        <v/>
      </c>
      <c r="I604" s="58" t="str">
        <f t="shared" si="92"/>
        <v/>
      </c>
      <c r="J604" s="58" t="str">
        <f t="shared" si="90"/>
        <v/>
      </c>
      <c r="K604" s="58" t="str">
        <f t="shared" si="93"/>
        <v/>
      </c>
      <c r="L604" s="58" t="str">
        <f t="shared" si="94"/>
        <v/>
      </c>
      <c r="M604" s="58" t="str">
        <f t="shared" si="95"/>
        <v/>
      </c>
      <c r="N604" s="59" t="str">
        <f t="shared" si="91"/>
        <v/>
      </c>
      <c r="O604" s="60"/>
      <c r="P604" s="105"/>
    </row>
    <row r="605" spans="1:16" x14ac:dyDescent="0.3">
      <c r="A605" s="54" t="str">
        <f>IF([2]weekly_demand!A606="","",[2]weekly_demand!A606)</f>
        <v/>
      </c>
      <c r="B605" s="55" t="str">
        <f>IF($A605="","",[2]weekly_demand!F606)</f>
        <v/>
      </c>
      <c r="C605" s="56" t="str">
        <f>IF($A605="","",[2]weekly_demand!H606)</f>
        <v/>
      </c>
      <c r="D605" s="57" t="str">
        <f>IF($A605="","",IF(SUMIFS([2]Fixture_Capacity_Input!$C:$C,[2]Fixture_Capacity_Input!$A:$A,$B605,[2]Fixture_Capacity_Input!$B:$B,$C605)&gt;0,SUMIFS([2]Fixture_Capacity_Input!$C:$C,[2]Fixture_Capacity_Input!$A:$A,$B605,[2]Fixture_Capacity_Input!$B:$B,$C605),[2]weekly_demand!G606))</f>
        <v/>
      </c>
      <c r="E605" s="58" t="str">
        <f>IF($A605="","",[2]weekly_demand!I606)</f>
        <v/>
      </c>
      <c r="F605" s="57" t="str">
        <f t="shared" si="88"/>
        <v/>
      </c>
      <c r="G605" s="57" t="str">
        <f t="shared" si="89"/>
        <v/>
      </c>
      <c r="H605" s="57" t="str">
        <f t="shared" si="87"/>
        <v/>
      </c>
      <c r="I605" s="58" t="str">
        <f t="shared" si="92"/>
        <v/>
      </c>
      <c r="J605" s="58" t="str">
        <f t="shared" si="90"/>
        <v/>
      </c>
      <c r="K605" s="58" t="str">
        <f t="shared" si="93"/>
        <v/>
      </c>
      <c r="L605" s="58" t="str">
        <f t="shared" si="94"/>
        <v/>
      </c>
      <c r="M605" s="58" t="str">
        <f t="shared" si="95"/>
        <v/>
      </c>
      <c r="N605" s="59" t="str">
        <f t="shared" si="91"/>
        <v/>
      </c>
      <c r="O605" s="60"/>
      <c r="P605" s="105"/>
    </row>
    <row r="606" spans="1:16" x14ac:dyDescent="0.3">
      <c r="A606" s="54" t="str">
        <f>IF([2]weekly_demand!A607="","",[2]weekly_demand!A607)</f>
        <v/>
      </c>
      <c r="B606" s="55" t="str">
        <f>IF($A606="","",[2]weekly_demand!F607)</f>
        <v/>
      </c>
      <c r="C606" s="56" t="str">
        <f>IF($A606="","",[2]weekly_demand!H607)</f>
        <v/>
      </c>
      <c r="D606" s="57" t="str">
        <f>IF($A606="","",IF(SUMIFS([2]Fixture_Capacity_Input!$C:$C,[2]Fixture_Capacity_Input!$A:$A,$B606,[2]Fixture_Capacity_Input!$B:$B,$C606)&gt;0,SUMIFS([2]Fixture_Capacity_Input!$C:$C,[2]Fixture_Capacity_Input!$A:$A,$B606,[2]Fixture_Capacity_Input!$B:$B,$C606),[2]weekly_demand!G607))</f>
        <v/>
      </c>
      <c r="E606" s="58" t="str">
        <f>IF($A606="","",[2]weekly_demand!I607)</f>
        <v/>
      </c>
      <c r="F606" s="57" t="str">
        <f t="shared" si="88"/>
        <v/>
      </c>
      <c r="G606" s="57" t="str">
        <f t="shared" si="89"/>
        <v/>
      </c>
      <c r="H606" s="57" t="str">
        <f t="shared" si="87"/>
        <v/>
      </c>
      <c r="I606" s="58" t="str">
        <f t="shared" si="92"/>
        <v/>
      </c>
      <c r="J606" s="58" t="str">
        <f t="shared" si="90"/>
        <v/>
      </c>
      <c r="K606" s="58" t="str">
        <f t="shared" si="93"/>
        <v/>
      </c>
      <c r="L606" s="58" t="str">
        <f t="shared" si="94"/>
        <v/>
      </c>
      <c r="M606" s="58" t="str">
        <f t="shared" si="95"/>
        <v/>
      </c>
      <c r="N606" s="59" t="str">
        <f t="shared" si="91"/>
        <v/>
      </c>
      <c r="O606" s="60"/>
      <c r="P606" s="105"/>
    </row>
    <row r="607" spans="1:16" x14ac:dyDescent="0.3">
      <c r="A607" s="54" t="str">
        <f>IF([2]weekly_demand!A608="","",[2]weekly_demand!A608)</f>
        <v/>
      </c>
      <c r="B607" s="55" t="str">
        <f>IF($A607="","",[2]weekly_demand!F608)</f>
        <v/>
      </c>
      <c r="C607" s="56" t="str">
        <f>IF($A607="","",[2]weekly_demand!H608)</f>
        <v/>
      </c>
      <c r="D607" s="57" t="str">
        <f>IF($A607="","",IF(SUMIFS([2]Fixture_Capacity_Input!$C:$C,[2]Fixture_Capacity_Input!$A:$A,$B607,[2]Fixture_Capacity_Input!$B:$B,$C607)&gt;0,SUMIFS([2]Fixture_Capacity_Input!$C:$C,[2]Fixture_Capacity_Input!$A:$A,$B607,[2]Fixture_Capacity_Input!$B:$B,$C607),[2]weekly_demand!G608))</f>
        <v/>
      </c>
      <c r="E607" s="58" t="str">
        <f>IF($A607="","",[2]weekly_demand!I608)</f>
        <v/>
      </c>
      <c r="F607" s="57" t="str">
        <f t="shared" si="88"/>
        <v/>
      </c>
      <c r="G607" s="57" t="str">
        <f t="shared" si="89"/>
        <v/>
      </c>
      <c r="H607" s="57" t="str">
        <f t="shared" si="87"/>
        <v/>
      </c>
      <c r="I607" s="58" t="str">
        <f t="shared" si="92"/>
        <v/>
      </c>
      <c r="J607" s="58" t="str">
        <f t="shared" si="90"/>
        <v/>
      </c>
      <c r="K607" s="58" t="str">
        <f t="shared" si="93"/>
        <v/>
      </c>
      <c r="L607" s="58" t="str">
        <f t="shared" si="94"/>
        <v/>
      </c>
      <c r="M607" s="58" t="str">
        <f t="shared" si="95"/>
        <v/>
      </c>
      <c r="N607" s="59" t="str">
        <f t="shared" si="91"/>
        <v/>
      </c>
      <c r="O607" s="60"/>
      <c r="P607" s="105"/>
    </row>
    <row r="608" spans="1:16" x14ac:dyDescent="0.3">
      <c r="A608" s="54" t="str">
        <f>IF([2]weekly_demand!A609="","",[2]weekly_demand!A609)</f>
        <v/>
      </c>
      <c r="B608" s="55" t="str">
        <f>IF($A608="","",[2]weekly_demand!F609)</f>
        <v/>
      </c>
      <c r="C608" s="56" t="str">
        <f>IF($A608="","",[2]weekly_demand!H609)</f>
        <v/>
      </c>
      <c r="D608" s="57" t="str">
        <f>IF($A608="","",IF(SUMIFS([2]Fixture_Capacity_Input!$C:$C,[2]Fixture_Capacity_Input!$A:$A,$B608,[2]Fixture_Capacity_Input!$B:$B,$C608)&gt;0,SUMIFS([2]Fixture_Capacity_Input!$C:$C,[2]Fixture_Capacity_Input!$A:$A,$B608,[2]Fixture_Capacity_Input!$B:$B,$C608),[2]weekly_demand!G609))</f>
        <v/>
      </c>
      <c r="E608" s="58" t="str">
        <f>IF($A608="","",[2]weekly_demand!I609)</f>
        <v/>
      </c>
      <c r="F608" s="57" t="str">
        <f t="shared" si="88"/>
        <v/>
      </c>
      <c r="G608" s="57" t="str">
        <f t="shared" si="89"/>
        <v/>
      </c>
      <c r="H608" s="57" t="str">
        <f t="shared" si="87"/>
        <v/>
      </c>
      <c r="I608" s="58" t="str">
        <f t="shared" si="92"/>
        <v/>
      </c>
      <c r="J608" s="58" t="str">
        <f t="shared" si="90"/>
        <v/>
      </c>
      <c r="K608" s="58" t="str">
        <f t="shared" si="93"/>
        <v/>
      </c>
      <c r="L608" s="58" t="str">
        <f t="shared" si="94"/>
        <v/>
      </c>
      <c r="M608" s="58" t="str">
        <f t="shared" si="95"/>
        <v/>
      </c>
      <c r="N608" s="59" t="str">
        <f t="shared" si="91"/>
        <v/>
      </c>
      <c r="O608" s="60"/>
      <c r="P608" s="105"/>
    </row>
    <row r="609" spans="1:16" x14ac:dyDescent="0.3">
      <c r="A609" s="54" t="str">
        <f>IF([2]weekly_demand!A610="","",[2]weekly_demand!A610)</f>
        <v/>
      </c>
      <c r="B609" s="55" t="str">
        <f>IF($A609="","",[2]weekly_demand!F610)</f>
        <v/>
      </c>
      <c r="C609" s="56" t="str">
        <f>IF($A609="","",[2]weekly_demand!H610)</f>
        <v/>
      </c>
      <c r="D609" s="57" t="str">
        <f>IF($A609="","",IF(SUMIFS([2]Fixture_Capacity_Input!$C:$C,[2]Fixture_Capacity_Input!$A:$A,$B609,[2]Fixture_Capacity_Input!$B:$B,$C609)&gt;0,SUMIFS([2]Fixture_Capacity_Input!$C:$C,[2]Fixture_Capacity_Input!$A:$A,$B609,[2]Fixture_Capacity_Input!$B:$B,$C609),[2]weekly_demand!G610))</f>
        <v/>
      </c>
      <c r="E609" s="58" t="str">
        <f>IF($A609="","",[2]weekly_demand!I610)</f>
        <v/>
      </c>
      <c r="F609" s="57" t="str">
        <f t="shared" si="88"/>
        <v/>
      </c>
      <c r="G609" s="57" t="str">
        <f t="shared" si="89"/>
        <v/>
      </c>
      <c r="H609" s="57" t="str">
        <f t="shared" si="87"/>
        <v/>
      </c>
      <c r="I609" s="58" t="str">
        <f t="shared" si="92"/>
        <v/>
      </c>
      <c r="J609" s="58" t="str">
        <f t="shared" si="90"/>
        <v/>
      </c>
      <c r="K609" s="58" t="str">
        <f t="shared" si="93"/>
        <v/>
      </c>
      <c r="L609" s="58" t="str">
        <f t="shared" si="94"/>
        <v/>
      </c>
      <c r="M609" s="58" t="str">
        <f t="shared" si="95"/>
        <v/>
      </c>
      <c r="N609" s="59" t="str">
        <f t="shared" si="91"/>
        <v/>
      </c>
      <c r="O609" s="60"/>
      <c r="P609" s="105"/>
    </row>
    <row r="610" spans="1:16" x14ac:dyDescent="0.3">
      <c r="A610" s="54" t="str">
        <f>IF([2]weekly_demand!A611="","",[2]weekly_demand!A611)</f>
        <v/>
      </c>
      <c r="B610" s="55" t="str">
        <f>IF($A610="","",[2]weekly_demand!F611)</f>
        <v/>
      </c>
      <c r="C610" s="56" t="str">
        <f>IF($A610="","",[2]weekly_demand!H611)</f>
        <v/>
      </c>
      <c r="D610" s="57" t="str">
        <f>IF($A610="","",IF(SUMIFS([2]Fixture_Capacity_Input!$C:$C,[2]Fixture_Capacity_Input!$A:$A,$B610,[2]Fixture_Capacity_Input!$B:$B,$C610)&gt;0,SUMIFS([2]Fixture_Capacity_Input!$C:$C,[2]Fixture_Capacity_Input!$A:$A,$B610,[2]Fixture_Capacity_Input!$B:$B,$C610),[2]weekly_demand!G611))</f>
        <v/>
      </c>
      <c r="E610" s="58" t="str">
        <f>IF($A610="","",[2]weekly_demand!I611)</f>
        <v/>
      </c>
      <c r="F610" s="57" t="str">
        <f t="shared" si="88"/>
        <v/>
      </c>
      <c r="G610" s="57" t="str">
        <f t="shared" si="89"/>
        <v/>
      </c>
      <c r="H610" s="57" t="str">
        <f t="shared" si="87"/>
        <v/>
      </c>
      <c r="I610" s="58" t="str">
        <f t="shared" si="92"/>
        <v/>
      </c>
      <c r="J610" s="58" t="str">
        <f t="shared" si="90"/>
        <v/>
      </c>
      <c r="K610" s="58" t="str">
        <f t="shared" si="93"/>
        <v/>
      </c>
      <c r="L610" s="58" t="str">
        <f t="shared" si="94"/>
        <v/>
      </c>
      <c r="M610" s="58" t="str">
        <f t="shared" si="95"/>
        <v/>
      </c>
      <c r="N610" s="59" t="str">
        <f t="shared" si="91"/>
        <v/>
      </c>
      <c r="O610" s="60"/>
      <c r="P610" s="105"/>
    </row>
    <row r="611" spans="1:16" x14ac:dyDescent="0.3">
      <c r="A611" s="54" t="str">
        <f>IF([2]weekly_demand!A612="","",[2]weekly_demand!A612)</f>
        <v/>
      </c>
      <c r="B611" s="55" t="str">
        <f>IF($A611="","",[2]weekly_demand!F612)</f>
        <v/>
      </c>
      <c r="C611" s="56" t="str">
        <f>IF($A611="","",[2]weekly_demand!H612)</f>
        <v/>
      </c>
      <c r="D611" s="57" t="str">
        <f>IF($A611="","",IF(SUMIFS([2]Fixture_Capacity_Input!$C:$C,[2]Fixture_Capacity_Input!$A:$A,$B611,[2]Fixture_Capacity_Input!$B:$B,$C611)&gt;0,SUMIFS([2]Fixture_Capacity_Input!$C:$C,[2]Fixture_Capacity_Input!$A:$A,$B611,[2]Fixture_Capacity_Input!$B:$B,$C611),[2]weekly_demand!G612))</f>
        <v/>
      </c>
      <c r="E611" s="58" t="str">
        <f>IF($A611="","",[2]weekly_demand!I612)</f>
        <v/>
      </c>
      <c r="F611" s="57" t="str">
        <f t="shared" si="88"/>
        <v/>
      </c>
      <c r="G611" s="57" t="str">
        <f t="shared" si="89"/>
        <v/>
      </c>
      <c r="H611" s="57" t="str">
        <f t="shared" si="87"/>
        <v/>
      </c>
      <c r="I611" s="58" t="str">
        <f t="shared" si="92"/>
        <v/>
      </c>
      <c r="J611" s="58" t="str">
        <f t="shared" si="90"/>
        <v/>
      </c>
      <c r="K611" s="58" t="str">
        <f t="shared" si="93"/>
        <v/>
      </c>
      <c r="L611" s="58" t="str">
        <f t="shared" si="94"/>
        <v/>
      </c>
      <c r="M611" s="58" t="str">
        <f t="shared" si="95"/>
        <v/>
      </c>
      <c r="N611" s="59" t="str">
        <f t="shared" si="91"/>
        <v/>
      </c>
      <c r="O611" s="60"/>
      <c r="P611" s="105"/>
    </row>
    <row r="612" spans="1:16" x14ac:dyDescent="0.3">
      <c r="A612" s="54" t="str">
        <f>IF([2]weekly_demand!A613="","",[2]weekly_demand!A613)</f>
        <v/>
      </c>
      <c r="B612" s="55" t="str">
        <f>IF($A612="","",[2]weekly_demand!F613)</f>
        <v/>
      </c>
      <c r="C612" s="56" t="str">
        <f>IF($A612="","",[2]weekly_demand!H613)</f>
        <v/>
      </c>
      <c r="D612" s="57" t="str">
        <f>IF($A612="","",IF(SUMIFS([2]Fixture_Capacity_Input!$C:$C,[2]Fixture_Capacity_Input!$A:$A,$B612,[2]Fixture_Capacity_Input!$B:$B,$C612)&gt;0,SUMIFS([2]Fixture_Capacity_Input!$C:$C,[2]Fixture_Capacity_Input!$A:$A,$B612,[2]Fixture_Capacity_Input!$B:$B,$C612),[2]weekly_demand!G613))</f>
        <v/>
      </c>
      <c r="E612" s="58" t="str">
        <f>IF($A612="","",[2]weekly_demand!I613)</f>
        <v/>
      </c>
      <c r="F612" s="57" t="str">
        <f t="shared" si="88"/>
        <v/>
      </c>
      <c r="G612" s="57" t="str">
        <f t="shared" si="89"/>
        <v/>
      </c>
      <c r="H612" s="57" t="str">
        <f t="shared" si="87"/>
        <v/>
      </c>
      <c r="I612" s="58" t="str">
        <f t="shared" si="92"/>
        <v/>
      </c>
      <c r="J612" s="58" t="str">
        <f t="shared" si="90"/>
        <v/>
      </c>
      <c r="K612" s="58" t="str">
        <f t="shared" si="93"/>
        <v/>
      </c>
      <c r="L612" s="58" t="str">
        <f t="shared" si="94"/>
        <v/>
      </c>
      <c r="M612" s="58" t="str">
        <f t="shared" si="95"/>
        <v/>
      </c>
      <c r="N612" s="59" t="str">
        <f t="shared" si="91"/>
        <v/>
      </c>
      <c r="O612" s="60"/>
      <c r="P612" s="105"/>
    </row>
    <row r="613" spans="1:16" x14ac:dyDescent="0.3">
      <c r="A613" s="54" t="str">
        <f>IF([2]weekly_demand!A614="","",[2]weekly_demand!A614)</f>
        <v/>
      </c>
      <c r="B613" s="55" t="str">
        <f>IF($A613="","",[2]weekly_demand!F614)</f>
        <v/>
      </c>
      <c r="C613" s="56" t="str">
        <f>IF($A613="","",[2]weekly_demand!H614)</f>
        <v/>
      </c>
      <c r="D613" s="57" t="str">
        <f>IF($A613="","",IF(SUMIFS([2]Fixture_Capacity_Input!$C:$C,[2]Fixture_Capacity_Input!$A:$A,$B613,[2]Fixture_Capacity_Input!$B:$B,$C613)&gt;0,SUMIFS([2]Fixture_Capacity_Input!$C:$C,[2]Fixture_Capacity_Input!$A:$A,$B613,[2]Fixture_Capacity_Input!$B:$B,$C613),[2]weekly_demand!G614))</f>
        <v/>
      </c>
      <c r="E613" s="58" t="str">
        <f>IF($A613="","",[2]weekly_demand!I614)</f>
        <v/>
      </c>
      <c r="F613" s="57" t="str">
        <f t="shared" si="88"/>
        <v/>
      </c>
      <c r="G613" s="57" t="str">
        <f t="shared" si="89"/>
        <v/>
      </c>
      <c r="H613" s="57" t="str">
        <f t="shared" si="87"/>
        <v/>
      </c>
      <c r="I613" s="58" t="str">
        <f t="shared" si="92"/>
        <v/>
      </c>
      <c r="J613" s="58" t="str">
        <f t="shared" si="90"/>
        <v/>
      </c>
      <c r="K613" s="58" t="str">
        <f t="shared" si="93"/>
        <v/>
      </c>
      <c r="L613" s="58" t="str">
        <f t="shared" si="94"/>
        <v/>
      </c>
      <c r="M613" s="58" t="str">
        <f t="shared" si="95"/>
        <v/>
      </c>
      <c r="N613" s="59" t="str">
        <f t="shared" si="91"/>
        <v/>
      </c>
      <c r="O613" s="60"/>
      <c r="P613" s="105"/>
    </row>
    <row r="614" spans="1:16" x14ac:dyDescent="0.3">
      <c r="A614" s="54" t="str">
        <f>IF([2]weekly_demand!A615="","",[2]weekly_demand!A615)</f>
        <v/>
      </c>
      <c r="B614" s="55" t="str">
        <f>IF($A614="","",[2]weekly_demand!F615)</f>
        <v/>
      </c>
      <c r="C614" s="56" t="str">
        <f>IF($A614="","",[2]weekly_demand!H615)</f>
        <v/>
      </c>
      <c r="D614" s="57" t="str">
        <f>IF($A614="","",IF(SUMIFS([2]Fixture_Capacity_Input!$C:$C,[2]Fixture_Capacity_Input!$A:$A,$B614,[2]Fixture_Capacity_Input!$B:$B,$C614)&gt;0,SUMIFS([2]Fixture_Capacity_Input!$C:$C,[2]Fixture_Capacity_Input!$A:$A,$B614,[2]Fixture_Capacity_Input!$B:$B,$C614),[2]weekly_demand!G615))</f>
        <v/>
      </c>
      <c r="E614" s="58" t="str">
        <f>IF($A614="","",[2]weekly_demand!I615)</f>
        <v/>
      </c>
      <c r="F614" s="57" t="str">
        <f t="shared" si="88"/>
        <v/>
      </c>
      <c r="G614" s="57" t="str">
        <f t="shared" si="89"/>
        <v/>
      </c>
      <c r="H614" s="57" t="str">
        <f t="shared" si="87"/>
        <v/>
      </c>
      <c r="I614" s="58" t="str">
        <f t="shared" si="92"/>
        <v/>
      </c>
      <c r="J614" s="58" t="str">
        <f t="shared" si="90"/>
        <v/>
      </c>
      <c r="K614" s="58" t="str">
        <f t="shared" si="93"/>
        <v/>
      </c>
      <c r="L614" s="58" t="str">
        <f t="shared" si="94"/>
        <v/>
      </c>
      <c r="M614" s="58" t="str">
        <f t="shared" si="95"/>
        <v/>
      </c>
      <c r="N614" s="59" t="str">
        <f t="shared" si="91"/>
        <v/>
      </c>
      <c r="O614" s="60"/>
      <c r="P614" s="105"/>
    </row>
    <row r="615" spans="1:16" x14ac:dyDescent="0.3">
      <c r="A615" s="54" t="str">
        <f>IF([2]weekly_demand!A616="","",[2]weekly_demand!A616)</f>
        <v/>
      </c>
      <c r="B615" s="55" t="str">
        <f>IF($A615="","",[2]weekly_demand!F616)</f>
        <v/>
      </c>
      <c r="C615" s="56" t="str">
        <f>IF($A615="","",[2]weekly_demand!H616)</f>
        <v/>
      </c>
      <c r="D615" s="57" t="str">
        <f>IF($A615="","",IF(SUMIFS([2]Fixture_Capacity_Input!$C:$C,[2]Fixture_Capacity_Input!$A:$A,$B615,[2]Fixture_Capacity_Input!$B:$B,$C615)&gt;0,SUMIFS([2]Fixture_Capacity_Input!$C:$C,[2]Fixture_Capacity_Input!$A:$A,$B615,[2]Fixture_Capacity_Input!$B:$B,$C615),[2]weekly_demand!G616))</f>
        <v/>
      </c>
      <c r="E615" s="58" t="str">
        <f>IF($A615="","",[2]weekly_demand!I616)</f>
        <v/>
      </c>
      <c r="F615" s="57" t="str">
        <f t="shared" si="88"/>
        <v/>
      </c>
      <c r="G615" s="57" t="str">
        <f t="shared" si="89"/>
        <v/>
      </c>
      <c r="H615" s="57" t="str">
        <f t="shared" si="87"/>
        <v/>
      </c>
      <c r="I615" s="58" t="str">
        <f t="shared" si="92"/>
        <v/>
      </c>
      <c r="J615" s="58" t="str">
        <f t="shared" si="90"/>
        <v/>
      </c>
      <c r="K615" s="58" t="str">
        <f t="shared" si="93"/>
        <v/>
      </c>
      <c r="L615" s="58" t="str">
        <f t="shared" si="94"/>
        <v/>
      </c>
      <c r="M615" s="58" t="str">
        <f t="shared" si="95"/>
        <v/>
      </c>
      <c r="N615" s="59" t="str">
        <f t="shared" si="91"/>
        <v/>
      </c>
      <c r="O615" s="60"/>
      <c r="P615" s="105"/>
    </row>
    <row r="616" spans="1:16" x14ac:dyDescent="0.3">
      <c r="A616" s="54" t="str">
        <f>IF([2]weekly_demand!A617="","",[2]weekly_demand!A617)</f>
        <v/>
      </c>
      <c r="B616" s="55" t="str">
        <f>IF($A616="","",[2]weekly_demand!F617)</f>
        <v/>
      </c>
      <c r="C616" s="56" t="str">
        <f>IF($A616="","",[2]weekly_demand!H617)</f>
        <v/>
      </c>
      <c r="D616" s="57" t="str">
        <f>IF($A616="","",IF(SUMIFS([2]Fixture_Capacity_Input!$C:$C,[2]Fixture_Capacity_Input!$A:$A,$B616,[2]Fixture_Capacity_Input!$B:$B,$C616)&gt;0,SUMIFS([2]Fixture_Capacity_Input!$C:$C,[2]Fixture_Capacity_Input!$A:$A,$B616,[2]Fixture_Capacity_Input!$B:$B,$C616),[2]weekly_demand!G617))</f>
        <v/>
      </c>
      <c r="E616" s="58" t="str">
        <f>IF($A616="","",[2]weekly_demand!I617)</f>
        <v/>
      </c>
      <c r="F616" s="57" t="str">
        <f t="shared" si="88"/>
        <v/>
      </c>
      <c r="G616" s="57" t="str">
        <f t="shared" si="89"/>
        <v/>
      </c>
      <c r="H616" s="57" t="str">
        <f t="shared" si="87"/>
        <v/>
      </c>
      <c r="I616" s="58" t="str">
        <f t="shared" si="92"/>
        <v/>
      </c>
      <c r="J616" s="58" t="str">
        <f t="shared" si="90"/>
        <v/>
      </c>
      <c r="K616" s="58" t="str">
        <f t="shared" si="93"/>
        <v/>
      </c>
      <c r="L616" s="58" t="str">
        <f t="shared" si="94"/>
        <v/>
      </c>
      <c r="M616" s="58" t="str">
        <f t="shared" si="95"/>
        <v/>
      </c>
      <c r="N616" s="59" t="str">
        <f t="shared" si="91"/>
        <v/>
      </c>
      <c r="O616" s="60"/>
      <c r="P616" s="105"/>
    </row>
    <row r="617" spans="1:16" x14ac:dyDescent="0.3">
      <c r="A617" s="54" t="str">
        <f>IF([2]weekly_demand!A618="","",[2]weekly_demand!A618)</f>
        <v/>
      </c>
      <c r="B617" s="55" t="str">
        <f>IF($A617="","",[2]weekly_demand!F618)</f>
        <v/>
      </c>
      <c r="C617" s="56" t="str">
        <f>IF($A617="","",[2]weekly_demand!H618)</f>
        <v/>
      </c>
      <c r="D617" s="57" t="str">
        <f>IF($A617="","",IF(SUMIFS([2]Fixture_Capacity_Input!$C:$C,[2]Fixture_Capacity_Input!$A:$A,$B617,[2]Fixture_Capacity_Input!$B:$B,$C617)&gt;0,SUMIFS([2]Fixture_Capacity_Input!$C:$C,[2]Fixture_Capacity_Input!$A:$A,$B617,[2]Fixture_Capacity_Input!$B:$B,$C617),[2]weekly_demand!G618))</f>
        <v/>
      </c>
      <c r="E617" s="58" t="str">
        <f>IF($A617="","",[2]weekly_demand!I618)</f>
        <v/>
      </c>
      <c r="F617" s="57" t="str">
        <f t="shared" si="88"/>
        <v/>
      </c>
      <c r="G617" s="57" t="str">
        <f t="shared" si="89"/>
        <v/>
      </c>
      <c r="H617" s="57" t="str">
        <f t="shared" si="87"/>
        <v/>
      </c>
      <c r="I617" s="58" t="str">
        <f t="shared" si="92"/>
        <v/>
      </c>
      <c r="J617" s="58" t="str">
        <f t="shared" si="90"/>
        <v/>
      </c>
      <c r="K617" s="58" t="str">
        <f t="shared" si="93"/>
        <v/>
      </c>
      <c r="L617" s="58" t="str">
        <f t="shared" si="94"/>
        <v/>
      </c>
      <c r="M617" s="58" t="str">
        <f t="shared" si="95"/>
        <v/>
      </c>
      <c r="N617" s="59" t="str">
        <f t="shared" si="91"/>
        <v/>
      </c>
      <c r="O617" s="60"/>
      <c r="P617" s="105"/>
    </row>
    <row r="618" spans="1:16" x14ac:dyDescent="0.3">
      <c r="A618" s="54" t="str">
        <f>IF([2]weekly_demand!A619="","",[2]weekly_demand!A619)</f>
        <v/>
      </c>
      <c r="B618" s="55" t="str">
        <f>IF($A618="","",[2]weekly_demand!F619)</f>
        <v/>
      </c>
      <c r="C618" s="56" t="str">
        <f>IF($A618="","",[2]weekly_demand!H619)</f>
        <v/>
      </c>
      <c r="D618" s="57" t="str">
        <f>IF($A618="","",IF(SUMIFS([2]Fixture_Capacity_Input!$C:$C,[2]Fixture_Capacity_Input!$A:$A,$B618,[2]Fixture_Capacity_Input!$B:$B,$C618)&gt;0,SUMIFS([2]Fixture_Capacity_Input!$C:$C,[2]Fixture_Capacity_Input!$A:$A,$B618,[2]Fixture_Capacity_Input!$B:$B,$C618),[2]weekly_demand!G619))</f>
        <v/>
      </c>
      <c r="E618" s="58" t="str">
        <f>IF($A618="","",[2]weekly_demand!I619)</f>
        <v/>
      </c>
      <c r="F618" s="57" t="str">
        <f t="shared" si="88"/>
        <v/>
      </c>
      <c r="G618" s="57" t="str">
        <f t="shared" si="89"/>
        <v/>
      </c>
      <c r="H618" s="57" t="str">
        <f t="shared" si="87"/>
        <v/>
      </c>
      <c r="I618" s="58" t="str">
        <f t="shared" si="92"/>
        <v/>
      </c>
      <c r="J618" s="58" t="str">
        <f t="shared" si="90"/>
        <v/>
      </c>
      <c r="K618" s="58" t="str">
        <f t="shared" si="93"/>
        <v/>
      </c>
      <c r="L618" s="58" t="str">
        <f t="shared" si="94"/>
        <v/>
      </c>
      <c r="M618" s="58" t="str">
        <f t="shared" si="95"/>
        <v/>
      </c>
      <c r="N618" s="59" t="str">
        <f t="shared" si="91"/>
        <v/>
      </c>
      <c r="O618" s="60"/>
      <c r="P618" s="105"/>
    </row>
    <row r="619" spans="1:16" x14ac:dyDescent="0.3">
      <c r="A619" s="54" t="str">
        <f>IF([2]weekly_demand!A620="","",[2]weekly_demand!A620)</f>
        <v/>
      </c>
      <c r="B619" s="55" t="str">
        <f>IF($A619="","",[2]weekly_demand!F620)</f>
        <v/>
      </c>
      <c r="C619" s="56" t="str">
        <f>IF($A619="","",[2]weekly_demand!H620)</f>
        <v/>
      </c>
      <c r="D619" s="57" t="str">
        <f>IF($A619="","",IF(SUMIFS([2]Fixture_Capacity_Input!$C:$C,[2]Fixture_Capacity_Input!$A:$A,$B619,[2]Fixture_Capacity_Input!$B:$B,$C619)&gt;0,SUMIFS([2]Fixture_Capacity_Input!$C:$C,[2]Fixture_Capacity_Input!$A:$A,$B619,[2]Fixture_Capacity_Input!$B:$B,$C619),[2]weekly_demand!G620))</f>
        <v/>
      </c>
      <c r="E619" s="58" t="str">
        <f>IF($A619="","",[2]weekly_demand!I620)</f>
        <v/>
      </c>
      <c r="F619" s="57" t="str">
        <f t="shared" si="88"/>
        <v/>
      </c>
      <c r="G619" s="57" t="str">
        <f t="shared" si="89"/>
        <v/>
      </c>
      <c r="H619" s="57" t="str">
        <f t="shared" si="87"/>
        <v/>
      </c>
      <c r="I619" s="58" t="str">
        <f t="shared" si="92"/>
        <v/>
      </c>
      <c r="J619" s="58" t="str">
        <f t="shared" si="90"/>
        <v/>
      </c>
      <c r="K619" s="58" t="str">
        <f t="shared" si="93"/>
        <v/>
      </c>
      <c r="L619" s="58" t="str">
        <f t="shared" si="94"/>
        <v/>
      </c>
      <c r="M619" s="58" t="str">
        <f t="shared" si="95"/>
        <v/>
      </c>
      <c r="N619" s="59" t="str">
        <f t="shared" si="91"/>
        <v/>
      </c>
      <c r="O619" s="60"/>
      <c r="P619" s="105"/>
    </row>
    <row r="620" spans="1:16" x14ac:dyDescent="0.3">
      <c r="A620" s="54" t="str">
        <f>IF([2]weekly_demand!A621="","",[2]weekly_demand!A621)</f>
        <v/>
      </c>
      <c r="B620" s="55" t="str">
        <f>IF($A620="","",[2]weekly_demand!F621)</f>
        <v/>
      </c>
      <c r="C620" s="56" t="str">
        <f>IF($A620="","",[2]weekly_demand!H621)</f>
        <v/>
      </c>
      <c r="D620" s="57" t="str">
        <f>IF($A620="","",IF(SUMIFS([2]Fixture_Capacity_Input!$C:$C,[2]Fixture_Capacity_Input!$A:$A,$B620,[2]Fixture_Capacity_Input!$B:$B,$C620)&gt;0,SUMIFS([2]Fixture_Capacity_Input!$C:$C,[2]Fixture_Capacity_Input!$A:$A,$B620,[2]Fixture_Capacity_Input!$B:$B,$C620),[2]weekly_demand!G621))</f>
        <v/>
      </c>
      <c r="E620" s="58" t="str">
        <f>IF($A620="","",[2]weekly_demand!I621)</f>
        <v/>
      </c>
      <c r="F620" s="57" t="str">
        <f t="shared" si="88"/>
        <v/>
      </c>
      <c r="G620" s="57" t="str">
        <f t="shared" si="89"/>
        <v/>
      </c>
      <c r="H620" s="57" t="str">
        <f t="shared" si="87"/>
        <v/>
      </c>
      <c r="I620" s="58" t="str">
        <f t="shared" si="92"/>
        <v/>
      </c>
      <c r="J620" s="58" t="str">
        <f t="shared" si="90"/>
        <v/>
      </c>
      <c r="K620" s="58" t="str">
        <f t="shared" si="93"/>
        <v/>
      </c>
      <c r="L620" s="58" t="str">
        <f t="shared" si="94"/>
        <v/>
      </c>
      <c r="M620" s="58" t="str">
        <f t="shared" si="95"/>
        <v/>
      </c>
      <c r="N620" s="59" t="str">
        <f t="shared" si="91"/>
        <v/>
      </c>
      <c r="O620" s="60"/>
      <c r="P620" s="105"/>
    </row>
    <row r="621" spans="1:16" x14ac:dyDescent="0.3">
      <c r="A621" s="54" t="str">
        <f>IF([2]weekly_demand!A622="","",[2]weekly_demand!A622)</f>
        <v/>
      </c>
      <c r="B621" s="55" t="str">
        <f>IF($A621="","",[2]weekly_demand!F622)</f>
        <v/>
      </c>
      <c r="C621" s="56" t="str">
        <f>IF($A621="","",[2]weekly_demand!H622)</f>
        <v/>
      </c>
      <c r="D621" s="57" t="str">
        <f>IF($A621="","",IF(SUMIFS([2]Fixture_Capacity_Input!$C:$C,[2]Fixture_Capacity_Input!$A:$A,$B621,[2]Fixture_Capacity_Input!$B:$B,$C621)&gt;0,SUMIFS([2]Fixture_Capacity_Input!$C:$C,[2]Fixture_Capacity_Input!$A:$A,$B621,[2]Fixture_Capacity_Input!$B:$B,$C621),[2]weekly_demand!G622))</f>
        <v/>
      </c>
      <c r="E621" s="58" t="str">
        <f>IF($A621="","",[2]weekly_demand!I622)</f>
        <v/>
      </c>
      <c r="F621" s="57" t="str">
        <f t="shared" si="88"/>
        <v/>
      </c>
      <c r="G621" s="57" t="str">
        <f t="shared" si="89"/>
        <v/>
      </c>
      <c r="H621" s="57" t="str">
        <f t="shared" si="87"/>
        <v/>
      </c>
      <c r="I621" s="58" t="str">
        <f t="shared" si="92"/>
        <v/>
      </c>
      <c r="J621" s="58" t="str">
        <f t="shared" si="90"/>
        <v/>
      </c>
      <c r="K621" s="58" t="str">
        <f t="shared" si="93"/>
        <v/>
      </c>
      <c r="L621" s="58" t="str">
        <f t="shared" si="94"/>
        <v/>
      </c>
      <c r="M621" s="58" t="str">
        <f t="shared" si="95"/>
        <v/>
      </c>
      <c r="N621" s="59" t="str">
        <f t="shared" si="91"/>
        <v/>
      </c>
      <c r="O621" s="60"/>
      <c r="P621" s="105"/>
    </row>
    <row r="622" spans="1:16" x14ac:dyDescent="0.3">
      <c r="A622" s="54" t="str">
        <f>IF([2]weekly_demand!A623="","",[2]weekly_demand!A623)</f>
        <v/>
      </c>
      <c r="B622" s="55" t="str">
        <f>IF($A622="","",[2]weekly_demand!F623)</f>
        <v/>
      </c>
      <c r="C622" s="56" t="str">
        <f>IF($A622="","",[2]weekly_demand!H623)</f>
        <v/>
      </c>
      <c r="D622" s="57" t="str">
        <f>IF($A622="","",IF(SUMIFS([2]Fixture_Capacity_Input!$C:$C,[2]Fixture_Capacity_Input!$A:$A,$B622,[2]Fixture_Capacity_Input!$B:$B,$C622)&gt;0,SUMIFS([2]Fixture_Capacity_Input!$C:$C,[2]Fixture_Capacity_Input!$A:$A,$B622,[2]Fixture_Capacity_Input!$B:$B,$C622),[2]weekly_demand!G623))</f>
        <v/>
      </c>
      <c r="E622" s="58" t="str">
        <f>IF($A622="","",[2]weekly_demand!I623)</f>
        <v/>
      </c>
      <c r="F622" s="57" t="str">
        <f t="shared" si="88"/>
        <v/>
      </c>
      <c r="G622" s="57" t="str">
        <f t="shared" si="89"/>
        <v/>
      </c>
      <c r="H622" s="57" t="str">
        <f t="shared" si="87"/>
        <v/>
      </c>
      <c r="I622" s="58" t="str">
        <f t="shared" si="92"/>
        <v/>
      </c>
      <c r="J622" s="58" t="str">
        <f t="shared" si="90"/>
        <v/>
      </c>
      <c r="K622" s="58" t="str">
        <f t="shared" si="93"/>
        <v/>
      </c>
      <c r="L622" s="58" t="str">
        <f t="shared" si="94"/>
        <v/>
      </c>
      <c r="M622" s="58" t="str">
        <f t="shared" si="95"/>
        <v/>
      </c>
      <c r="N622" s="59" t="str">
        <f t="shared" si="91"/>
        <v/>
      </c>
      <c r="O622" s="60"/>
      <c r="P622" s="105"/>
    </row>
    <row r="623" spans="1:16" x14ac:dyDescent="0.3">
      <c r="A623" s="54" t="str">
        <f>IF([2]weekly_demand!A624="","",[2]weekly_demand!A624)</f>
        <v/>
      </c>
      <c r="B623" s="55" t="str">
        <f>IF($A623="","",[2]weekly_demand!F624)</f>
        <v/>
      </c>
      <c r="C623" s="56" t="str">
        <f>IF($A623="","",[2]weekly_demand!H624)</f>
        <v/>
      </c>
      <c r="D623" s="57" t="str">
        <f>IF($A623="","",IF(SUMIFS([2]Fixture_Capacity_Input!$C:$C,[2]Fixture_Capacity_Input!$A:$A,$B623,[2]Fixture_Capacity_Input!$B:$B,$C623)&gt;0,SUMIFS([2]Fixture_Capacity_Input!$C:$C,[2]Fixture_Capacity_Input!$A:$A,$B623,[2]Fixture_Capacity_Input!$B:$B,$C623),[2]weekly_demand!G624))</f>
        <v/>
      </c>
      <c r="E623" s="58" t="str">
        <f>IF($A623="","",[2]weekly_demand!I624)</f>
        <v/>
      </c>
      <c r="F623" s="57" t="str">
        <f t="shared" si="88"/>
        <v/>
      </c>
      <c r="G623" s="57" t="str">
        <f t="shared" si="89"/>
        <v/>
      </c>
      <c r="H623" s="57" t="str">
        <f t="shared" si="87"/>
        <v/>
      </c>
      <c r="I623" s="58" t="str">
        <f t="shared" si="92"/>
        <v/>
      </c>
      <c r="J623" s="58" t="str">
        <f t="shared" si="90"/>
        <v/>
      </c>
      <c r="K623" s="58" t="str">
        <f t="shared" si="93"/>
        <v/>
      </c>
      <c r="L623" s="58" t="str">
        <f t="shared" si="94"/>
        <v/>
      </c>
      <c r="M623" s="58" t="str">
        <f t="shared" si="95"/>
        <v/>
      </c>
      <c r="N623" s="59" t="str">
        <f t="shared" si="91"/>
        <v/>
      </c>
      <c r="O623" s="60"/>
      <c r="P623" s="105"/>
    </row>
    <row r="624" spans="1:16" x14ac:dyDescent="0.3">
      <c r="A624" s="54" t="str">
        <f>IF([2]weekly_demand!A625="","",[2]weekly_demand!A625)</f>
        <v/>
      </c>
      <c r="B624" s="55" t="str">
        <f>IF($A624="","",[2]weekly_demand!F625)</f>
        <v/>
      </c>
      <c r="C624" s="56" t="str">
        <f>IF($A624="","",[2]weekly_demand!H625)</f>
        <v/>
      </c>
      <c r="D624" s="57" t="str">
        <f>IF($A624="","",IF(SUMIFS([2]Fixture_Capacity_Input!$C:$C,[2]Fixture_Capacity_Input!$A:$A,$B624,[2]Fixture_Capacity_Input!$B:$B,$C624)&gt;0,SUMIFS([2]Fixture_Capacity_Input!$C:$C,[2]Fixture_Capacity_Input!$A:$A,$B624,[2]Fixture_Capacity_Input!$B:$B,$C624),[2]weekly_demand!G625))</f>
        <v/>
      </c>
      <c r="E624" s="58" t="str">
        <f>IF($A624="","",[2]weekly_demand!I625)</f>
        <v/>
      </c>
      <c r="F624" s="57" t="str">
        <f t="shared" si="88"/>
        <v/>
      </c>
      <c r="G624" s="57" t="str">
        <f t="shared" si="89"/>
        <v/>
      </c>
      <c r="H624" s="57" t="str">
        <f t="shared" si="87"/>
        <v/>
      </c>
      <c r="I624" s="58" t="str">
        <f t="shared" si="92"/>
        <v/>
      </c>
      <c r="J624" s="58" t="str">
        <f t="shared" si="90"/>
        <v/>
      </c>
      <c r="K624" s="58" t="str">
        <f t="shared" si="93"/>
        <v/>
      </c>
      <c r="L624" s="58" t="str">
        <f t="shared" si="94"/>
        <v/>
      </c>
      <c r="M624" s="58" t="str">
        <f t="shared" si="95"/>
        <v/>
      </c>
      <c r="N624" s="59" t="str">
        <f t="shared" si="91"/>
        <v/>
      </c>
      <c r="O624" s="60"/>
      <c r="P624" s="105"/>
    </row>
    <row r="625" spans="1:16" x14ac:dyDescent="0.3">
      <c r="A625" s="54" t="str">
        <f>IF([2]weekly_demand!A626="","",[2]weekly_demand!A626)</f>
        <v/>
      </c>
      <c r="B625" s="55" t="str">
        <f>IF($A625="","",[2]weekly_demand!F626)</f>
        <v/>
      </c>
      <c r="C625" s="56" t="str">
        <f>IF($A625="","",[2]weekly_demand!H626)</f>
        <v/>
      </c>
      <c r="D625" s="57" t="str">
        <f>IF($A625="","",IF(SUMIFS([2]Fixture_Capacity_Input!$C:$C,[2]Fixture_Capacity_Input!$A:$A,$B625,[2]Fixture_Capacity_Input!$B:$B,$C625)&gt;0,SUMIFS([2]Fixture_Capacity_Input!$C:$C,[2]Fixture_Capacity_Input!$A:$A,$B625,[2]Fixture_Capacity_Input!$B:$B,$C625),[2]weekly_demand!G626))</f>
        <v/>
      </c>
      <c r="E625" s="58" t="str">
        <f>IF($A625="","",[2]weekly_demand!I626)</f>
        <v/>
      </c>
      <c r="F625" s="57" t="str">
        <f t="shared" si="88"/>
        <v/>
      </c>
      <c r="G625" s="57" t="str">
        <f t="shared" si="89"/>
        <v/>
      </c>
      <c r="H625" s="57" t="str">
        <f t="shared" si="87"/>
        <v/>
      </c>
      <c r="I625" s="58" t="str">
        <f t="shared" si="92"/>
        <v/>
      </c>
      <c r="J625" s="58" t="str">
        <f t="shared" si="90"/>
        <v/>
      </c>
      <c r="K625" s="58" t="str">
        <f t="shared" si="93"/>
        <v/>
      </c>
      <c r="L625" s="58" t="str">
        <f t="shared" si="94"/>
        <v/>
      </c>
      <c r="M625" s="58" t="str">
        <f t="shared" si="95"/>
        <v/>
      </c>
      <c r="N625" s="59" t="str">
        <f t="shared" si="91"/>
        <v/>
      </c>
      <c r="O625" s="60"/>
      <c r="P625" s="105"/>
    </row>
    <row r="626" spans="1:16" x14ac:dyDescent="0.3">
      <c r="A626" s="54" t="str">
        <f>IF([2]weekly_demand!A627="","",[2]weekly_demand!A627)</f>
        <v/>
      </c>
      <c r="B626" s="55" t="str">
        <f>IF($A626="","",[2]weekly_demand!F627)</f>
        <v/>
      </c>
      <c r="C626" s="56" t="str">
        <f>IF($A626="","",[2]weekly_demand!H627)</f>
        <v/>
      </c>
      <c r="D626" s="57" t="str">
        <f>IF($A626="","",IF(SUMIFS([2]Fixture_Capacity_Input!$C:$C,[2]Fixture_Capacity_Input!$A:$A,$B626,[2]Fixture_Capacity_Input!$B:$B,$C626)&gt;0,SUMIFS([2]Fixture_Capacity_Input!$C:$C,[2]Fixture_Capacity_Input!$A:$A,$B626,[2]Fixture_Capacity_Input!$B:$B,$C626),[2]weekly_demand!G627))</f>
        <v/>
      </c>
      <c r="E626" s="58" t="str">
        <f>IF($A626="","",[2]weekly_demand!I627)</f>
        <v/>
      </c>
      <c r="F626" s="57" t="str">
        <f t="shared" si="88"/>
        <v/>
      </c>
      <c r="G626" s="57" t="str">
        <f t="shared" si="89"/>
        <v/>
      </c>
      <c r="H626" s="57" t="str">
        <f t="shared" si="87"/>
        <v/>
      </c>
      <c r="I626" s="58" t="str">
        <f t="shared" si="92"/>
        <v/>
      </c>
      <c r="J626" s="58" t="str">
        <f t="shared" si="90"/>
        <v/>
      </c>
      <c r="K626" s="58" t="str">
        <f t="shared" si="93"/>
        <v/>
      </c>
      <c r="L626" s="58" t="str">
        <f t="shared" si="94"/>
        <v/>
      </c>
      <c r="M626" s="58" t="str">
        <f t="shared" si="95"/>
        <v/>
      </c>
      <c r="N626" s="59" t="str">
        <f t="shared" si="91"/>
        <v/>
      </c>
      <c r="O626" s="60"/>
      <c r="P626" s="105"/>
    </row>
    <row r="627" spans="1:16" x14ac:dyDescent="0.3">
      <c r="A627" s="54" t="str">
        <f>IF([2]weekly_demand!A628="","",[2]weekly_demand!A628)</f>
        <v/>
      </c>
      <c r="B627" s="55" t="str">
        <f>IF($A627="","",[2]weekly_demand!F628)</f>
        <v/>
      </c>
      <c r="C627" s="56" t="str">
        <f>IF($A627="","",[2]weekly_demand!H628)</f>
        <v/>
      </c>
      <c r="D627" s="57" t="str">
        <f>IF($A627="","",IF(SUMIFS([2]Fixture_Capacity_Input!$C:$C,[2]Fixture_Capacity_Input!$A:$A,$B627,[2]Fixture_Capacity_Input!$B:$B,$C627)&gt;0,SUMIFS([2]Fixture_Capacity_Input!$C:$C,[2]Fixture_Capacity_Input!$A:$A,$B627,[2]Fixture_Capacity_Input!$B:$B,$C627),[2]weekly_demand!G628))</f>
        <v/>
      </c>
      <c r="E627" s="58" t="str">
        <f>IF($A627="","",[2]weekly_demand!I628)</f>
        <v/>
      </c>
      <c r="F627" s="57" t="str">
        <f t="shared" si="88"/>
        <v/>
      </c>
      <c r="G627" s="57" t="str">
        <f t="shared" si="89"/>
        <v/>
      </c>
      <c r="H627" s="57" t="str">
        <f t="shared" ref="H627:H690" si="96">IF($A627="","",IF($A627&lt;&gt;$A628,0,MAX(0,H628+E628-D628)))</f>
        <v/>
      </c>
      <c r="I627" s="58" t="str">
        <f t="shared" si="92"/>
        <v/>
      </c>
      <c r="J627" s="58" t="str">
        <f t="shared" si="90"/>
        <v/>
      </c>
      <c r="K627" s="58" t="str">
        <f t="shared" si="93"/>
        <v/>
      </c>
      <c r="L627" s="58" t="str">
        <f t="shared" si="94"/>
        <v/>
      </c>
      <c r="M627" s="58" t="str">
        <f t="shared" si="95"/>
        <v/>
      </c>
      <c r="N627" s="59" t="str">
        <f t="shared" si="91"/>
        <v/>
      </c>
      <c r="O627" s="60"/>
      <c r="P627" s="105"/>
    </row>
    <row r="628" spans="1:16" x14ac:dyDescent="0.3">
      <c r="A628" s="54" t="str">
        <f>IF([2]weekly_demand!A629="","",[2]weekly_demand!A629)</f>
        <v/>
      </c>
      <c r="B628" s="55" t="str">
        <f>IF($A628="","",[2]weekly_demand!F629)</f>
        <v/>
      </c>
      <c r="C628" s="56" t="str">
        <f>IF($A628="","",[2]weekly_demand!H629)</f>
        <v/>
      </c>
      <c r="D628" s="57" t="str">
        <f>IF($A628="","",IF(SUMIFS([2]Fixture_Capacity_Input!$C:$C,[2]Fixture_Capacity_Input!$A:$A,$B628,[2]Fixture_Capacity_Input!$B:$B,$C628)&gt;0,SUMIFS([2]Fixture_Capacity_Input!$C:$C,[2]Fixture_Capacity_Input!$A:$A,$B628,[2]Fixture_Capacity_Input!$B:$B,$C628),[2]weekly_demand!G629))</f>
        <v/>
      </c>
      <c r="E628" s="58" t="str">
        <f>IF($A628="","",[2]weekly_demand!I629)</f>
        <v/>
      </c>
      <c r="F628" s="57" t="str">
        <f t="shared" si="88"/>
        <v/>
      </c>
      <c r="G628" s="57" t="str">
        <f t="shared" si="89"/>
        <v/>
      </c>
      <c r="H628" s="57" t="str">
        <f t="shared" si="96"/>
        <v/>
      </c>
      <c r="I628" s="58" t="str">
        <f t="shared" si="92"/>
        <v/>
      </c>
      <c r="J628" s="58" t="str">
        <f t="shared" si="90"/>
        <v/>
      </c>
      <c r="K628" s="58" t="str">
        <f t="shared" si="93"/>
        <v/>
      </c>
      <c r="L628" s="58" t="str">
        <f t="shared" si="94"/>
        <v/>
      </c>
      <c r="M628" s="58" t="str">
        <f t="shared" si="95"/>
        <v/>
      </c>
      <c r="N628" s="59" t="str">
        <f t="shared" si="91"/>
        <v/>
      </c>
      <c r="O628" s="60"/>
      <c r="P628" s="105"/>
    </row>
    <row r="629" spans="1:16" x14ac:dyDescent="0.3">
      <c r="A629" s="54" t="str">
        <f>IF([2]weekly_demand!A630="","",[2]weekly_demand!A630)</f>
        <v/>
      </c>
      <c r="B629" s="55" t="str">
        <f>IF($A629="","",[2]weekly_demand!F630)</f>
        <v/>
      </c>
      <c r="C629" s="56" t="str">
        <f>IF($A629="","",[2]weekly_demand!H630)</f>
        <v/>
      </c>
      <c r="D629" s="57" t="str">
        <f>IF($A629="","",IF(SUMIFS([2]Fixture_Capacity_Input!$C:$C,[2]Fixture_Capacity_Input!$A:$A,$B629,[2]Fixture_Capacity_Input!$B:$B,$C629)&gt;0,SUMIFS([2]Fixture_Capacity_Input!$C:$C,[2]Fixture_Capacity_Input!$A:$A,$B629,[2]Fixture_Capacity_Input!$B:$B,$C629),[2]weekly_demand!G630))</f>
        <v/>
      </c>
      <c r="E629" s="58" t="str">
        <f>IF($A629="","",[2]weekly_demand!I630)</f>
        <v/>
      </c>
      <c r="F629" s="57" t="str">
        <f t="shared" si="88"/>
        <v/>
      </c>
      <c r="G629" s="57" t="str">
        <f t="shared" si="89"/>
        <v/>
      </c>
      <c r="H629" s="57" t="str">
        <f t="shared" si="96"/>
        <v/>
      </c>
      <c r="I629" s="58" t="str">
        <f t="shared" si="92"/>
        <v/>
      </c>
      <c r="J629" s="58" t="str">
        <f t="shared" si="90"/>
        <v/>
      </c>
      <c r="K629" s="58" t="str">
        <f t="shared" si="93"/>
        <v/>
      </c>
      <c r="L629" s="58" t="str">
        <f t="shared" si="94"/>
        <v/>
      </c>
      <c r="M629" s="58" t="str">
        <f t="shared" si="95"/>
        <v/>
      </c>
      <c r="N629" s="59" t="str">
        <f t="shared" si="91"/>
        <v/>
      </c>
      <c r="O629" s="60"/>
      <c r="P629" s="105"/>
    </row>
    <row r="630" spans="1:16" x14ac:dyDescent="0.3">
      <c r="A630" s="54" t="str">
        <f>IF([2]weekly_demand!A631="","",[2]weekly_demand!A631)</f>
        <v/>
      </c>
      <c r="B630" s="55" t="str">
        <f>IF($A630="","",[2]weekly_demand!F631)</f>
        <v/>
      </c>
      <c r="C630" s="56" t="str">
        <f>IF($A630="","",[2]weekly_demand!H631)</f>
        <v/>
      </c>
      <c r="D630" s="57" t="str">
        <f>IF($A630="","",IF(SUMIFS([2]Fixture_Capacity_Input!$C:$C,[2]Fixture_Capacity_Input!$A:$A,$B630,[2]Fixture_Capacity_Input!$B:$B,$C630)&gt;0,SUMIFS([2]Fixture_Capacity_Input!$C:$C,[2]Fixture_Capacity_Input!$A:$A,$B630,[2]Fixture_Capacity_Input!$B:$B,$C630),[2]weekly_demand!G631))</f>
        <v/>
      </c>
      <c r="E630" s="58" t="str">
        <f>IF($A630="","",[2]weekly_demand!I631)</f>
        <v/>
      </c>
      <c r="F630" s="57" t="str">
        <f t="shared" si="88"/>
        <v/>
      </c>
      <c r="G630" s="57" t="str">
        <f t="shared" si="89"/>
        <v/>
      </c>
      <c r="H630" s="57" t="str">
        <f t="shared" si="96"/>
        <v/>
      </c>
      <c r="I630" s="58" t="str">
        <f t="shared" si="92"/>
        <v/>
      </c>
      <c r="J630" s="58" t="str">
        <f t="shared" si="90"/>
        <v/>
      </c>
      <c r="K630" s="58" t="str">
        <f t="shared" si="93"/>
        <v/>
      </c>
      <c r="L630" s="58" t="str">
        <f t="shared" si="94"/>
        <v/>
      </c>
      <c r="M630" s="58" t="str">
        <f t="shared" si="95"/>
        <v/>
      </c>
      <c r="N630" s="59" t="str">
        <f t="shared" si="91"/>
        <v/>
      </c>
      <c r="O630" s="60"/>
      <c r="P630" s="105"/>
    </row>
    <row r="631" spans="1:16" x14ac:dyDescent="0.3">
      <c r="A631" s="54" t="str">
        <f>IF([2]weekly_demand!A632="","",[2]weekly_demand!A632)</f>
        <v/>
      </c>
      <c r="B631" s="55" t="str">
        <f>IF($A631="","",[2]weekly_demand!F632)</f>
        <v/>
      </c>
      <c r="C631" s="56" t="str">
        <f>IF($A631="","",[2]weekly_demand!H632)</f>
        <v/>
      </c>
      <c r="D631" s="57" t="str">
        <f>IF($A631="","",IF(SUMIFS([2]Fixture_Capacity_Input!$C:$C,[2]Fixture_Capacity_Input!$A:$A,$B631,[2]Fixture_Capacity_Input!$B:$B,$C631)&gt;0,SUMIFS([2]Fixture_Capacity_Input!$C:$C,[2]Fixture_Capacity_Input!$A:$A,$B631,[2]Fixture_Capacity_Input!$B:$B,$C631),[2]weekly_demand!G632))</f>
        <v/>
      </c>
      <c r="E631" s="58" t="str">
        <f>IF($A631="","",[2]weekly_demand!I632)</f>
        <v/>
      </c>
      <c r="F631" s="57" t="str">
        <f t="shared" si="88"/>
        <v/>
      </c>
      <c r="G631" s="57" t="str">
        <f t="shared" si="89"/>
        <v/>
      </c>
      <c r="H631" s="57" t="str">
        <f t="shared" si="96"/>
        <v/>
      </c>
      <c r="I631" s="58" t="str">
        <f t="shared" si="92"/>
        <v/>
      </c>
      <c r="J631" s="58" t="str">
        <f t="shared" si="90"/>
        <v/>
      </c>
      <c r="K631" s="58" t="str">
        <f t="shared" si="93"/>
        <v/>
      </c>
      <c r="L631" s="58" t="str">
        <f t="shared" si="94"/>
        <v/>
      </c>
      <c r="M631" s="58" t="str">
        <f t="shared" si="95"/>
        <v/>
      </c>
      <c r="N631" s="59" t="str">
        <f t="shared" si="91"/>
        <v/>
      </c>
      <c r="O631" s="60"/>
      <c r="P631" s="105"/>
    </row>
    <row r="632" spans="1:16" x14ac:dyDescent="0.3">
      <c r="A632" s="54" t="str">
        <f>IF([2]weekly_demand!A633="","",[2]weekly_demand!A633)</f>
        <v/>
      </c>
      <c r="B632" s="55" t="str">
        <f>IF($A632="","",[2]weekly_demand!F633)</f>
        <v/>
      </c>
      <c r="C632" s="56" t="str">
        <f>IF($A632="","",[2]weekly_demand!H633)</f>
        <v/>
      </c>
      <c r="D632" s="57" t="str">
        <f>IF($A632="","",IF(SUMIFS([2]Fixture_Capacity_Input!$C:$C,[2]Fixture_Capacity_Input!$A:$A,$B632,[2]Fixture_Capacity_Input!$B:$B,$C632)&gt;0,SUMIFS([2]Fixture_Capacity_Input!$C:$C,[2]Fixture_Capacity_Input!$A:$A,$B632,[2]Fixture_Capacity_Input!$B:$B,$C632),[2]weekly_demand!G633))</f>
        <v/>
      </c>
      <c r="E632" s="58" t="str">
        <f>IF($A632="","",[2]weekly_demand!I633)</f>
        <v/>
      </c>
      <c r="F632" s="57" t="str">
        <f t="shared" si="88"/>
        <v/>
      </c>
      <c r="G632" s="57" t="str">
        <f t="shared" si="89"/>
        <v/>
      </c>
      <c r="H632" s="57" t="str">
        <f t="shared" si="96"/>
        <v/>
      </c>
      <c r="I632" s="58" t="str">
        <f t="shared" si="92"/>
        <v/>
      </c>
      <c r="J632" s="58" t="str">
        <f t="shared" si="90"/>
        <v/>
      </c>
      <c r="K632" s="58" t="str">
        <f t="shared" si="93"/>
        <v/>
      </c>
      <c r="L632" s="58" t="str">
        <f t="shared" si="94"/>
        <v/>
      </c>
      <c r="M632" s="58" t="str">
        <f t="shared" si="95"/>
        <v/>
      </c>
      <c r="N632" s="59" t="str">
        <f t="shared" si="91"/>
        <v/>
      </c>
      <c r="O632" s="60"/>
      <c r="P632" s="105"/>
    </row>
    <row r="633" spans="1:16" x14ac:dyDescent="0.3">
      <c r="A633" s="54" t="str">
        <f>IF([2]weekly_demand!A634="","",[2]weekly_demand!A634)</f>
        <v/>
      </c>
      <c r="B633" s="55" t="str">
        <f>IF($A633="","",[2]weekly_demand!F634)</f>
        <v/>
      </c>
      <c r="C633" s="56" t="str">
        <f>IF($A633="","",[2]weekly_demand!H634)</f>
        <v/>
      </c>
      <c r="D633" s="57" t="str">
        <f>IF($A633="","",IF(SUMIFS([2]Fixture_Capacity_Input!$C:$C,[2]Fixture_Capacity_Input!$A:$A,$B633,[2]Fixture_Capacity_Input!$B:$B,$C633)&gt;0,SUMIFS([2]Fixture_Capacity_Input!$C:$C,[2]Fixture_Capacity_Input!$A:$A,$B633,[2]Fixture_Capacity_Input!$B:$B,$C633),[2]weekly_demand!G634))</f>
        <v/>
      </c>
      <c r="E633" s="58" t="str">
        <f>IF($A633="","",[2]weekly_demand!I634)</f>
        <v/>
      </c>
      <c r="F633" s="57" t="str">
        <f t="shared" si="88"/>
        <v/>
      </c>
      <c r="G633" s="57" t="str">
        <f t="shared" si="89"/>
        <v/>
      </c>
      <c r="H633" s="57" t="str">
        <f t="shared" si="96"/>
        <v/>
      </c>
      <c r="I633" s="58" t="str">
        <f t="shared" si="92"/>
        <v/>
      </c>
      <c r="J633" s="58" t="str">
        <f t="shared" si="90"/>
        <v/>
      </c>
      <c r="K633" s="58" t="str">
        <f t="shared" si="93"/>
        <v/>
      </c>
      <c r="L633" s="58" t="str">
        <f t="shared" si="94"/>
        <v/>
      </c>
      <c r="M633" s="58" t="str">
        <f t="shared" si="95"/>
        <v/>
      </c>
      <c r="N633" s="59" t="str">
        <f t="shared" si="91"/>
        <v/>
      </c>
      <c r="O633" s="60"/>
      <c r="P633" s="105"/>
    </row>
    <row r="634" spans="1:16" x14ac:dyDescent="0.3">
      <c r="A634" s="54" t="str">
        <f>IF([2]weekly_demand!A635="","",[2]weekly_demand!A635)</f>
        <v/>
      </c>
      <c r="B634" s="55" t="str">
        <f>IF($A634="","",[2]weekly_demand!F635)</f>
        <v/>
      </c>
      <c r="C634" s="56" t="str">
        <f>IF($A634="","",[2]weekly_demand!H635)</f>
        <v/>
      </c>
      <c r="D634" s="57" t="str">
        <f>IF($A634="","",IF(SUMIFS([2]Fixture_Capacity_Input!$C:$C,[2]Fixture_Capacity_Input!$A:$A,$B634,[2]Fixture_Capacity_Input!$B:$B,$C634)&gt;0,SUMIFS([2]Fixture_Capacity_Input!$C:$C,[2]Fixture_Capacity_Input!$A:$A,$B634,[2]Fixture_Capacity_Input!$B:$B,$C634),[2]weekly_demand!G635))</f>
        <v/>
      </c>
      <c r="E634" s="58" t="str">
        <f>IF($A634="","",[2]weekly_demand!I635)</f>
        <v/>
      </c>
      <c r="F634" s="57" t="str">
        <f t="shared" si="88"/>
        <v/>
      </c>
      <c r="G634" s="57" t="str">
        <f t="shared" si="89"/>
        <v/>
      </c>
      <c r="H634" s="57" t="str">
        <f t="shared" si="96"/>
        <v/>
      </c>
      <c r="I634" s="58" t="str">
        <f t="shared" si="92"/>
        <v/>
      </c>
      <c r="J634" s="58" t="str">
        <f t="shared" si="90"/>
        <v/>
      </c>
      <c r="K634" s="58" t="str">
        <f t="shared" si="93"/>
        <v/>
      </c>
      <c r="L634" s="58" t="str">
        <f t="shared" si="94"/>
        <v/>
      </c>
      <c r="M634" s="58" t="str">
        <f t="shared" si="95"/>
        <v/>
      </c>
      <c r="N634" s="59" t="str">
        <f t="shared" si="91"/>
        <v/>
      </c>
      <c r="O634" s="60"/>
      <c r="P634" s="105"/>
    </row>
    <row r="635" spans="1:16" x14ac:dyDescent="0.3">
      <c r="A635" s="54" t="str">
        <f>IF([2]weekly_demand!A636="","",[2]weekly_demand!A636)</f>
        <v/>
      </c>
      <c r="B635" s="55" t="str">
        <f>IF($A635="","",[2]weekly_demand!F636)</f>
        <v/>
      </c>
      <c r="C635" s="56" t="str">
        <f>IF($A635="","",[2]weekly_demand!H636)</f>
        <v/>
      </c>
      <c r="D635" s="57" t="str">
        <f>IF($A635="","",IF(SUMIFS([2]Fixture_Capacity_Input!$C:$C,[2]Fixture_Capacity_Input!$A:$A,$B635,[2]Fixture_Capacity_Input!$B:$B,$C635)&gt;0,SUMIFS([2]Fixture_Capacity_Input!$C:$C,[2]Fixture_Capacity_Input!$A:$A,$B635,[2]Fixture_Capacity_Input!$B:$B,$C635),[2]weekly_demand!G636))</f>
        <v/>
      </c>
      <c r="E635" s="58" t="str">
        <f>IF($A635="","",[2]weekly_demand!I636)</f>
        <v/>
      </c>
      <c r="F635" s="57" t="str">
        <f t="shared" si="88"/>
        <v/>
      </c>
      <c r="G635" s="57" t="str">
        <f t="shared" si="89"/>
        <v/>
      </c>
      <c r="H635" s="57" t="str">
        <f t="shared" si="96"/>
        <v/>
      </c>
      <c r="I635" s="58" t="str">
        <f t="shared" si="92"/>
        <v/>
      </c>
      <c r="J635" s="58" t="str">
        <f t="shared" si="90"/>
        <v/>
      </c>
      <c r="K635" s="58" t="str">
        <f t="shared" si="93"/>
        <v/>
      </c>
      <c r="L635" s="58" t="str">
        <f t="shared" si="94"/>
        <v/>
      </c>
      <c r="M635" s="58" t="str">
        <f t="shared" si="95"/>
        <v/>
      </c>
      <c r="N635" s="59" t="str">
        <f t="shared" si="91"/>
        <v/>
      </c>
      <c r="O635" s="60"/>
      <c r="P635" s="105"/>
    </row>
    <row r="636" spans="1:16" x14ac:dyDescent="0.3">
      <c r="A636" s="54" t="str">
        <f>IF([2]weekly_demand!A637="","",[2]weekly_demand!A637)</f>
        <v/>
      </c>
      <c r="B636" s="55" t="str">
        <f>IF($A636="","",[2]weekly_demand!F637)</f>
        <v/>
      </c>
      <c r="C636" s="56" t="str">
        <f>IF($A636="","",[2]weekly_demand!H637)</f>
        <v/>
      </c>
      <c r="D636" s="57" t="str">
        <f>IF($A636="","",IF(SUMIFS([2]Fixture_Capacity_Input!$C:$C,[2]Fixture_Capacity_Input!$A:$A,$B636,[2]Fixture_Capacity_Input!$B:$B,$C636)&gt;0,SUMIFS([2]Fixture_Capacity_Input!$C:$C,[2]Fixture_Capacity_Input!$A:$A,$B636,[2]Fixture_Capacity_Input!$B:$B,$C636),[2]weekly_demand!G637))</f>
        <v/>
      </c>
      <c r="E636" s="58" t="str">
        <f>IF($A636="","",[2]weekly_demand!I637)</f>
        <v/>
      </c>
      <c r="F636" s="57" t="str">
        <f t="shared" si="88"/>
        <v/>
      </c>
      <c r="G636" s="57" t="str">
        <f t="shared" si="89"/>
        <v/>
      </c>
      <c r="H636" s="57" t="str">
        <f t="shared" si="96"/>
        <v/>
      </c>
      <c r="I636" s="58" t="str">
        <f t="shared" si="92"/>
        <v/>
      </c>
      <c r="J636" s="58" t="str">
        <f t="shared" si="90"/>
        <v/>
      </c>
      <c r="K636" s="58" t="str">
        <f t="shared" si="93"/>
        <v/>
      </c>
      <c r="L636" s="58" t="str">
        <f t="shared" si="94"/>
        <v/>
      </c>
      <c r="M636" s="58" t="str">
        <f t="shared" si="95"/>
        <v/>
      </c>
      <c r="N636" s="59" t="str">
        <f t="shared" si="91"/>
        <v/>
      </c>
      <c r="O636" s="60"/>
      <c r="P636" s="105"/>
    </row>
    <row r="637" spans="1:16" x14ac:dyDescent="0.3">
      <c r="A637" s="54" t="str">
        <f>IF([2]weekly_demand!A638="","",[2]weekly_demand!A638)</f>
        <v/>
      </c>
      <c r="B637" s="55" t="str">
        <f>IF($A637="","",[2]weekly_demand!F638)</f>
        <v/>
      </c>
      <c r="C637" s="56" t="str">
        <f>IF($A637="","",[2]weekly_demand!H638)</f>
        <v/>
      </c>
      <c r="D637" s="57" t="str">
        <f>IF($A637="","",IF(SUMIFS([2]Fixture_Capacity_Input!$C:$C,[2]Fixture_Capacity_Input!$A:$A,$B637,[2]Fixture_Capacity_Input!$B:$B,$C637)&gt;0,SUMIFS([2]Fixture_Capacity_Input!$C:$C,[2]Fixture_Capacity_Input!$A:$A,$B637,[2]Fixture_Capacity_Input!$B:$B,$C637),[2]weekly_demand!G638))</f>
        <v/>
      </c>
      <c r="E637" s="58" t="str">
        <f>IF($A637="","",[2]weekly_demand!I638)</f>
        <v/>
      </c>
      <c r="F637" s="57" t="str">
        <f t="shared" si="88"/>
        <v/>
      </c>
      <c r="G637" s="57" t="str">
        <f t="shared" si="89"/>
        <v/>
      </c>
      <c r="H637" s="57" t="str">
        <f t="shared" si="96"/>
        <v/>
      </c>
      <c r="I637" s="58" t="str">
        <f t="shared" si="92"/>
        <v/>
      </c>
      <c r="J637" s="58" t="str">
        <f t="shared" si="90"/>
        <v/>
      </c>
      <c r="K637" s="58" t="str">
        <f t="shared" si="93"/>
        <v/>
      </c>
      <c r="L637" s="58" t="str">
        <f t="shared" si="94"/>
        <v/>
      </c>
      <c r="M637" s="58" t="str">
        <f t="shared" si="95"/>
        <v/>
      </c>
      <c r="N637" s="59" t="str">
        <f t="shared" si="91"/>
        <v/>
      </c>
      <c r="O637" s="60"/>
      <c r="P637" s="105"/>
    </row>
    <row r="638" spans="1:16" x14ac:dyDescent="0.3">
      <c r="A638" s="54" t="str">
        <f>IF([2]weekly_demand!A639="","",[2]weekly_demand!A639)</f>
        <v/>
      </c>
      <c r="B638" s="55" t="str">
        <f>IF($A638="","",[2]weekly_demand!F639)</f>
        <v/>
      </c>
      <c r="C638" s="56" t="str">
        <f>IF($A638="","",[2]weekly_demand!H639)</f>
        <v/>
      </c>
      <c r="D638" s="57" t="str">
        <f>IF($A638="","",IF(SUMIFS([2]Fixture_Capacity_Input!$C:$C,[2]Fixture_Capacity_Input!$A:$A,$B638,[2]Fixture_Capacity_Input!$B:$B,$C638)&gt;0,SUMIFS([2]Fixture_Capacity_Input!$C:$C,[2]Fixture_Capacity_Input!$A:$A,$B638,[2]Fixture_Capacity_Input!$B:$B,$C638),[2]weekly_demand!G639))</f>
        <v/>
      </c>
      <c r="E638" s="58" t="str">
        <f>IF($A638="","",[2]weekly_demand!I639)</f>
        <v/>
      </c>
      <c r="F638" s="57" t="str">
        <f t="shared" si="88"/>
        <v/>
      </c>
      <c r="G638" s="57" t="str">
        <f t="shared" si="89"/>
        <v/>
      </c>
      <c r="H638" s="57" t="str">
        <f t="shared" si="96"/>
        <v/>
      </c>
      <c r="I638" s="58" t="str">
        <f t="shared" si="92"/>
        <v/>
      </c>
      <c r="J638" s="58" t="str">
        <f t="shared" si="90"/>
        <v/>
      </c>
      <c r="K638" s="58" t="str">
        <f t="shared" si="93"/>
        <v/>
      </c>
      <c r="L638" s="58" t="str">
        <f t="shared" si="94"/>
        <v/>
      </c>
      <c r="M638" s="58" t="str">
        <f t="shared" si="95"/>
        <v/>
      </c>
      <c r="N638" s="59" t="str">
        <f t="shared" si="91"/>
        <v/>
      </c>
      <c r="O638" s="60"/>
      <c r="P638" s="105"/>
    </row>
    <row r="639" spans="1:16" x14ac:dyDescent="0.3">
      <c r="A639" s="54" t="str">
        <f>IF([2]weekly_demand!A640="","",[2]weekly_demand!A640)</f>
        <v/>
      </c>
      <c r="B639" s="55" t="str">
        <f>IF($A639="","",[2]weekly_demand!F640)</f>
        <v/>
      </c>
      <c r="C639" s="56" t="str">
        <f>IF($A639="","",[2]weekly_demand!H640)</f>
        <v/>
      </c>
      <c r="D639" s="57" t="str">
        <f>IF($A639="","",IF(SUMIFS([2]Fixture_Capacity_Input!$C:$C,[2]Fixture_Capacity_Input!$A:$A,$B639,[2]Fixture_Capacity_Input!$B:$B,$C639)&gt;0,SUMIFS([2]Fixture_Capacity_Input!$C:$C,[2]Fixture_Capacity_Input!$A:$A,$B639,[2]Fixture_Capacity_Input!$B:$B,$C639),[2]weekly_demand!G640))</f>
        <v/>
      </c>
      <c r="E639" s="58" t="str">
        <f>IF($A639="","",[2]weekly_demand!I640)</f>
        <v/>
      </c>
      <c r="F639" s="57" t="str">
        <f t="shared" si="88"/>
        <v/>
      </c>
      <c r="G639" s="57" t="str">
        <f t="shared" si="89"/>
        <v/>
      </c>
      <c r="H639" s="57" t="str">
        <f t="shared" si="96"/>
        <v/>
      </c>
      <c r="I639" s="58" t="str">
        <f t="shared" si="92"/>
        <v/>
      </c>
      <c r="J639" s="58" t="str">
        <f t="shared" si="90"/>
        <v/>
      </c>
      <c r="K639" s="58" t="str">
        <f t="shared" si="93"/>
        <v/>
      </c>
      <c r="L639" s="58" t="str">
        <f t="shared" si="94"/>
        <v/>
      </c>
      <c r="M639" s="58" t="str">
        <f t="shared" si="95"/>
        <v/>
      </c>
      <c r="N639" s="59" t="str">
        <f t="shared" si="91"/>
        <v/>
      </c>
      <c r="O639" s="60"/>
      <c r="P639" s="105"/>
    </row>
    <row r="640" spans="1:16" x14ac:dyDescent="0.3">
      <c r="A640" s="54" t="str">
        <f>IF([2]weekly_demand!A641="","",[2]weekly_demand!A641)</f>
        <v/>
      </c>
      <c r="B640" s="55" t="str">
        <f>IF($A640="","",[2]weekly_demand!F641)</f>
        <v/>
      </c>
      <c r="C640" s="56" t="str">
        <f>IF($A640="","",[2]weekly_demand!H641)</f>
        <v/>
      </c>
      <c r="D640" s="57" t="str">
        <f>IF($A640="","",IF(SUMIFS([2]Fixture_Capacity_Input!$C:$C,[2]Fixture_Capacity_Input!$A:$A,$B640,[2]Fixture_Capacity_Input!$B:$B,$C640)&gt;0,SUMIFS([2]Fixture_Capacity_Input!$C:$C,[2]Fixture_Capacity_Input!$A:$A,$B640,[2]Fixture_Capacity_Input!$B:$B,$C640),[2]weekly_demand!G641))</f>
        <v/>
      </c>
      <c r="E640" s="58" t="str">
        <f>IF($A640="","",[2]weekly_demand!I641)</f>
        <v/>
      </c>
      <c r="F640" s="57" t="str">
        <f t="shared" si="88"/>
        <v/>
      </c>
      <c r="G640" s="57" t="str">
        <f t="shared" si="89"/>
        <v/>
      </c>
      <c r="H640" s="57" t="str">
        <f t="shared" si="96"/>
        <v/>
      </c>
      <c r="I640" s="58" t="str">
        <f t="shared" si="92"/>
        <v/>
      </c>
      <c r="J640" s="58" t="str">
        <f t="shared" si="90"/>
        <v/>
      </c>
      <c r="K640" s="58" t="str">
        <f t="shared" si="93"/>
        <v/>
      </c>
      <c r="L640" s="58" t="str">
        <f t="shared" si="94"/>
        <v/>
      </c>
      <c r="M640" s="58" t="str">
        <f t="shared" si="95"/>
        <v/>
      </c>
      <c r="N640" s="59" t="str">
        <f t="shared" si="91"/>
        <v/>
      </c>
      <c r="O640" s="60"/>
      <c r="P640" s="105"/>
    </row>
    <row r="641" spans="1:16" x14ac:dyDescent="0.3">
      <c r="A641" s="54" t="str">
        <f>IF([2]weekly_demand!A642="","",[2]weekly_demand!A642)</f>
        <v/>
      </c>
      <c r="B641" s="55" t="str">
        <f>IF($A641="","",[2]weekly_demand!F642)</f>
        <v/>
      </c>
      <c r="C641" s="56" t="str">
        <f>IF($A641="","",[2]weekly_demand!H642)</f>
        <v/>
      </c>
      <c r="D641" s="57" t="str">
        <f>IF($A641="","",IF(SUMIFS([2]Fixture_Capacity_Input!$C:$C,[2]Fixture_Capacity_Input!$A:$A,$B641,[2]Fixture_Capacity_Input!$B:$B,$C641)&gt;0,SUMIFS([2]Fixture_Capacity_Input!$C:$C,[2]Fixture_Capacity_Input!$A:$A,$B641,[2]Fixture_Capacity_Input!$B:$B,$C641),[2]weekly_demand!G642))</f>
        <v/>
      </c>
      <c r="E641" s="58" t="str">
        <f>IF($A641="","",[2]weekly_demand!I642)</f>
        <v/>
      </c>
      <c r="F641" s="57" t="str">
        <f t="shared" si="88"/>
        <v/>
      </c>
      <c r="G641" s="57" t="str">
        <f t="shared" si="89"/>
        <v/>
      </c>
      <c r="H641" s="57" t="str">
        <f t="shared" si="96"/>
        <v/>
      </c>
      <c r="I641" s="58" t="str">
        <f t="shared" si="92"/>
        <v/>
      </c>
      <c r="J641" s="58" t="str">
        <f t="shared" si="90"/>
        <v/>
      </c>
      <c r="K641" s="58" t="str">
        <f t="shared" si="93"/>
        <v/>
      </c>
      <c r="L641" s="58" t="str">
        <f t="shared" si="94"/>
        <v/>
      </c>
      <c r="M641" s="58" t="str">
        <f t="shared" si="95"/>
        <v/>
      </c>
      <c r="N641" s="59" t="str">
        <f t="shared" si="91"/>
        <v/>
      </c>
      <c r="O641" s="60"/>
      <c r="P641" s="105"/>
    </row>
    <row r="642" spans="1:16" x14ac:dyDescent="0.3">
      <c r="A642" s="54" t="str">
        <f>IF([2]weekly_demand!A643="","",[2]weekly_demand!A643)</f>
        <v/>
      </c>
      <c r="B642" s="55" t="str">
        <f>IF($A642="","",[2]weekly_demand!F643)</f>
        <v/>
      </c>
      <c r="C642" s="56" t="str">
        <f>IF($A642="","",[2]weekly_demand!H643)</f>
        <v/>
      </c>
      <c r="D642" s="57" t="str">
        <f>IF($A642="","",IF(SUMIFS([2]Fixture_Capacity_Input!$C:$C,[2]Fixture_Capacity_Input!$A:$A,$B642,[2]Fixture_Capacity_Input!$B:$B,$C642)&gt;0,SUMIFS([2]Fixture_Capacity_Input!$C:$C,[2]Fixture_Capacity_Input!$A:$A,$B642,[2]Fixture_Capacity_Input!$B:$B,$C642),[2]weekly_demand!G643))</f>
        <v/>
      </c>
      <c r="E642" s="58" t="str">
        <f>IF($A642="","",[2]weekly_demand!I643)</f>
        <v/>
      </c>
      <c r="F642" s="57" t="str">
        <f t="shared" ref="F642:F705" si="97">IF($A642="","",IF($A642&lt;&gt;$A641,_xlfn.XLOOKUP($A642,$Q$2:$Q$7,$R$2:$R$7,0),K641))</f>
        <v/>
      </c>
      <c r="G642" s="57" t="str">
        <f t="shared" ref="G642:G705" si="98">IF($A642="","",_xlfn.XLOOKUP($A642,$Q$2:$Q$7,$S$2:$S$7,0))</f>
        <v/>
      </c>
      <c r="H642" s="57" t="str">
        <f t="shared" si="96"/>
        <v/>
      </c>
      <c r="I642" s="58" t="str">
        <f t="shared" si="92"/>
        <v/>
      </c>
      <c r="J642" s="58" t="str">
        <f t="shared" ref="J642:J705" si="99">IF($A642="","",MIN($D642,$I642,MAX(0,$E642+$G642-$F642)))</f>
        <v/>
      </c>
      <c r="K642" s="58" t="str">
        <f t="shared" si="93"/>
        <v/>
      </c>
      <c r="L642" s="58" t="str">
        <f t="shared" si="94"/>
        <v/>
      </c>
      <c r="M642" s="58" t="str">
        <f t="shared" si="95"/>
        <v/>
      </c>
      <c r="N642" s="59" t="str">
        <f t="shared" ref="N642:N705" si="100">IF($A642="","",IFERROR(J642/D642,0))</f>
        <v/>
      </c>
      <c r="O642" s="60"/>
      <c r="P642" s="105"/>
    </row>
    <row r="643" spans="1:16" x14ac:dyDescent="0.3">
      <c r="A643" s="54" t="str">
        <f>IF([2]weekly_demand!A644="","",[2]weekly_demand!A644)</f>
        <v/>
      </c>
      <c r="B643" s="55" t="str">
        <f>IF($A643="","",[2]weekly_demand!F644)</f>
        <v/>
      </c>
      <c r="C643" s="56" t="str">
        <f>IF($A643="","",[2]weekly_demand!H644)</f>
        <v/>
      </c>
      <c r="D643" s="57" t="str">
        <f>IF($A643="","",IF(SUMIFS([2]Fixture_Capacity_Input!$C:$C,[2]Fixture_Capacity_Input!$A:$A,$B643,[2]Fixture_Capacity_Input!$B:$B,$C643)&gt;0,SUMIFS([2]Fixture_Capacity_Input!$C:$C,[2]Fixture_Capacity_Input!$A:$A,$B643,[2]Fixture_Capacity_Input!$B:$B,$C643),[2]weekly_demand!G644))</f>
        <v/>
      </c>
      <c r="E643" s="58" t="str">
        <f>IF($A643="","",[2]weekly_demand!I644)</f>
        <v/>
      </c>
      <c r="F643" s="57" t="str">
        <f t="shared" si="97"/>
        <v/>
      </c>
      <c r="G643" s="57" t="str">
        <f t="shared" si="98"/>
        <v/>
      </c>
      <c r="H643" s="57" t="str">
        <f t="shared" si="96"/>
        <v/>
      </c>
      <c r="I643" s="58" t="str">
        <f t="shared" ref="I643:I706" si="101">IF($A643="","",MAX(0,E643+H643-F643))</f>
        <v/>
      </c>
      <c r="J643" s="58" t="str">
        <f t="shared" si="99"/>
        <v/>
      </c>
      <c r="K643" s="58" t="str">
        <f t="shared" ref="K643:K706" si="102">IF($A643="","",MIN($G643,MAX(0,$F643+$J643-$E643)))</f>
        <v/>
      </c>
      <c r="L643" s="58" t="str">
        <f t="shared" ref="L643:L706" si="103">IF($A643="","",MAX(0,E643-F643-J643))</f>
        <v/>
      </c>
      <c r="M643" s="58" t="str">
        <f t="shared" ref="M643:M706" si="104">IF($A643="","",MAX(0,F643+J643-E643))</f>
        <v/>
      </c>
      <c r="N643" s="59" t="str">
        <f t="shared" si="100"/>
        <v/>
      </c>
      <c r="O643" s="60"/>
      <c r="P643" s="105"/>
    </row>
    <row r="644" spans="1:16" x14ac:dyDescent="0.3">
      <c r="A644" s="54" t="str">
        <f>IF([2]weekly_demand!A645="","",[2]weekly_demand!A645)</f>
        <v/>
      </c>
      <c r="B644" s="55" t="str">
        <f>IF($A644="","",[2]weekly_demand!F645)</f>
        <v/>
      </c>
      <c r="C644" s="56" t="str">
        <f>IF($A644="","",[2]weekly_demand!H645)</f>
        <v/>
      </c>
      <c r="D644" s="57" t="str">
        <f>IF($A644="","",IF(SUMIFS([2]Fixture_Capacity_Input!$C:$C,[2]Fixture_Capacity_Input!$A:$A,$B644,[2]Fixture_Capacity_Input!$B:$B,$C644)&gt;0,SUMIFS([2]Fixture_Capacity_Input!$C:$C,[2]Fixture_Capacity_Input!$A:$A,$B644,[2]Fixture_Capacity_Input!$B:$B,$C644),[2]weekly_demand!G645))</f>
        <v/>
      </c>
      <c r="E644" s="58" t="str">
        <f>IF($A644="","",[2]weekly_demand!I645)</f>
        <v/>
      </c>
      <c r="F644" s="57" t="str">
        <f t="shared" si="97"/>
        <v/>
      </c>
      <c r="G644" s="57" t="str">
        <f t="shared" si="98"/>
        <v/>
      </c>
      <c r="H644" s="57" t="str">
        <f t="shared" si="96"/>
        <v/>
      </c>
      <c r="I644" s="58" t="str">
        <f t="shared" si="101"/>
        <v/>
      </c>
      <c r="J644" s="58" t="str">
        <f t="shared" si="99"/>
        <v/>
      </c>
      <c r="K644" s="58" t="str">
        <f t="shared" si="102"/>
        <v/>
      </c>
      <c r="L644" s="58" t="str">
        <f t="shared" si="103"/>
        <v/>
      </c>
      <c r="M644" s="58" t="str">
        <f t="shared" si="104"/>
        <v/>
      </c>
      <c r="N644" s="59" t="str">
        <f t="shared" si="100"/>
        <v/>
      </c>
      <c r="O644" s="60"/>
      <c r="P644" s="105"/>
    </row>
    <row r="645" spans="1:16" x14ac:dyDescent="0.3">
      <c r="A645" s="54" t="str">
        <f>IF([2]weekly_demand!A646="","",[2]weekly_demand!A646)</f>
        <v/>
      </c>
      <c r="B645" s="55" t="str">
        <f>IF($A645="","",[2]weekly_demand!F646)</f>
        <v/>
      </c>
      <c r="C645" s="56" t="str">
        <f>IF($A645="","",[2]weekly_demand!H646)</f>
        <v/>
      </c>
      <c r="D645" s="57" t="str">
        <f>IF($A645="","",IF(SUMIFS([2]Fixture_Capacity_Input!$C:$C,[2]Fixture_Capacity_Input!$A:$A,$B645,[2]Fixture_Capacity_Input!$B:$B,$C645)&gt;0,SUMIFS([2]Fixture_Capacity_Input!$C:$C,[2]Fixture_Capacity_Input!$A:$A,$B645,[2]Fixture_Capacity_Input!$B:$B,$C645),[2]weekly_demand!G646))</f>
        <v/>
      </c>
      <c r="E645" s="58" t="str">
        <f>IF($A645="","",[2]weekly_demand!I646)</f>
        <v/>
      </c>
      <c r="F645" s="57" t="str">
        <f t="shared" si="97"/>
        <v/>
      </c>
      <c r="G645" s="57" t="str">
        <f t="shared" si="98"/>
        <v/>
      </c>
      <c r="H645" s="57" t="str">
        <f t="shared" si="96"/>
        <v/>
      </c>
      <c r="I645" s="58" t="str">
        <f t="shared" si="101"/>
        <v/>
      </c>
      <c r="J645" s="58" t="str">
        <f t="shared" si="99"/>
        <v/>
      </c>
      <c r="K645" s="58" t="str">
        <f t="shared" si="102"/>
        <v/>
      </c>
      <c r="L645" s="58" t="str">
        <f t="shared" si="103"/>
        <v/>
      </c>
      <c r="M645" s="58" t="str">
        <f t="shared" si="104"/>
        <v/>
      </c>
      <c r="N645" s="59" t="str">
        <f t="shared" si="100"/>
        <v/>
      </c>
      <c r="O645" s="60"/>
      <c r="P645" s="105"/>
    </row>
    <row r="646" spans="1:16" x14ac:dyDescent="0.3">
      <c r="A646" s="54" t="str">
        <f>IF([2]weekly_demand!A647="","",[2]weekly_demand!A647)</f>
        <v/>
      </c>
      <c r="B646" s="55" t="str">
        <f>IF($A646="","",[2]weekly_demand!F647)</f>
        <v/>
      </c>
      <c r="C646" s="56" t="str">
        <f>IF($A646="","",[2]weekly_demand!H647)</f>
        <v/>
      </c>
      <c r="D646" s="57" t="str">
        <f>IF($A646="","",IF(SUMIFS([2]Fixture_Capacity_Input!$C:$C,[2]Fixture_Capacity_Input!$A:$A,$B646,[2]Fixture_Capacity_Input!$B:$B,$C646)&gt;0,SUMIFS([2]Fixture_Capacity_Input!$C:$C,[2]Fixture_Capacity_Input!$A:$A,$B646,[2]Fixture_Capacity_Input!$B:$B,$C646),[2]weekly_demand!G647))</f>
        <v/>
      </c>
      <c r="E646" s="58" t="str">
        <f>IF($A646="","",[2]weekly_demand!I647)</f>
        <v/>
      </c>
      <c r="F646" s="57" t="str">
        <f t="shared" si="97"/>
        <v/>
      </c>
      <c r="G646" s="57" t="str">
        <f t="shared" si="98"/>
        <v/>
      </c>
      <c r="H646" s="57" t="str">
        <f t="shared" si="96"/>
        <v/>
      </c>
      <c r="I646" s="58" t="str">
        <f t="shared" si="101"/>
        <v/>
      </c>
      <c r="J646" s="58" t="str">
        <f t="shared" si="99"/>
        <v/>
      </c>
      <c r="K646" s="58" t="str">
        <f t="shared" si="102"/>
        <v/>
      </c>
      <c r="L646" s="58" t="str">
        <f t="shared" si="103"/>
        <v/>
      </c>
      <c r="M646" s="58" t="str">
        <f t="shared" si="104"/>
        <v/>
      </c>
      <c r="N646" s="59" t="str">
        <f t="shared" si="100"/>
        <v/>
      </c>
      <c r="O646" s="60"/>
      <c r="P646" s="105"/>
    </row>
    <row r="647" spans="1:16" x14ac:dyDescent="0.3">
      <c r="A647" s="54" t="str">
        <f>IF([2]weekly_demand!A648="","",[2]weekly_demand!A648)</f>
        <v/>
      </c>
      <c r="B647" s="55" t="str">
        <f>IF($A647="","",[2]weekly_demand!F648)</f>
        <v/>
      </c>
      <c r="C647" s="56" t="str">
        <f>IF($A647="","",[2]weekly_demand!H648)</f>
        <v/>
      </c>
      <c r="D647" s="57" t="str">
        <f>IF($A647="","",IF(SUMIFS([2]Fixture_Capacity_Input!$C:$C,[2]Fixture_Capacity_Input!$A:$A,$B647,[2]Fixture_Capacity_Input!$B:$B,$C647)&gt;0,SUMIFS([2]Fixture_Capacity_Input!$C:$C,[2]Fixture_Capacity_Input!$A:$A,$B647,[2]Fixture_Capacity_Input!$B:$B,$C647),[2]weekly_demand!G648))</f>
        <v/>
      </c>
      <c r="E647" s="58" t="str">
        <f>IF($A647="","",[2]weekly_demand!I648)</f>
        <v/>
      </c>
      <c r="F647" s="57" t="str">
        <f t="shared" si="97"/>
        <v/>
      </c>
      <c r="G647" s="57" t="str">
        <f t="shared" si="98"/>
        <v/>
      </c>
      <c r="H647" s="57" t="str">
        <f t="shared" si="96"/>
        <v/>
      </c>
      <c r="I647" s="58" t="str">
        <f t="shared" si="101"/>
        <v/>
      </c>
      <c r="J647" s="58" t="str">
        <f t="shared" si="99"/>
        <v/>
      </c>
      <c r="K647" s="58" t="str">
        <f t="shared" si="102"/>
        <v/>
      </c>
      <c r="L647" s="58" t="str">
        <f t="shared" si="103"/>
        <v/>
      </c>
      <c r="M647" s="58" t="str">
        <f t="shared" si="104"/>
        <v/>
      </c>
      <c r="N647" s="59" t="str">
        <f t="shared" si="100"/>
        <v/>
      </c>
      <c r="O647" s="60"/>
      <c r="P647" s="105"/>
    </row>
    <row r="648" spans="1:16" x14ac:dyDescent="0.3">
      <c r="A648" s="54" t="str">
        <f>IF([2]weekly_demand!A649="","",[2]weekly_demand!A649)</f>
        <v/>
      </c>
      <c r="B648" s="55" t="str">
        <f>IF($A648="","",[2]weekly_demand!F649)</f>
        <v/>
      </c>
      <c r="C648" s="56" t="str">
        <f>IF($A648="","",[2]weekly_demand!H649)</f>
        <v/>
      </c>
      <c r="D648" s="57" t="str">
        <f>IF($A648="","",IF(SUMIFS([2]Fixture_Capacity_Input!$C:$C,[2]Fixture_Capacity_Input!$A:$A,$B648,[2]Fixture_Capacity_Input!$B:$B,$C648)&gt;0,SUMIFS([2]Fixture_Capacity_Input!$C:$C,[2]Fixture_Capacity_Input!$A:$A,$B648,[2]Fixture_Capacity_Input!$B:$B,$C648),[2]weekly_demand!G649))</f>
        <v/>
      </c>
      <c r="E648" s="58" t="str">
        <f>IF($A648="","",[2]weekly_demand!I649)</f>
        <v/>
      </c>
      <c r="F648" s="57" t="str">
        <f t="shared" si="97"/>
        <v/>
      </c>
      <c r="G648" s="57" t="str">
        <f t="shared" si="98"/>
        <v/>
      </c>
      <c r="H648" s="57" t="str">
        <f t="shared" si="96"/>
        <v/>
      </c>
      <c r="I648" s="58" t="str">
        <f t="shared" si="101"/>
        <v/>
      </c>
      <c r="J648" s="58" t="str">
        <f t="shared" si="99"/>
        <v/>
      </c>
      <c r="K648" s="58" t="str">
        <f t="shared" si="102"/>
        <v/>
      </c>
      <c r="L648" s="58" t="str">
        <f t="shared" si="103"/>
        <v/>
      </c>
      <c r="M648" s="58" t="str">
        <f t="shared" si="104"/>
        <v/>
      </c>
      <c r="N648" s="59" t="str">
        <f t="shared" si="100"/>
        <v/>
      </c>
      <c r="O648" s="60"/>
      <c r="P648" s="105"/>
    </row>
    <row r="649" spans="1:16" x14ac:dyDescent="0.3">
      <c r="A649" s="54" t="str">
        <f>IF([2]weekly_demand!A650="","",[2]weekly_demand!A650)</f>
        <v/>
      </c>
      <c r="B649" s="55" t="str">
        <f>IF($A649="","",[2]weekly_demand!F650)</f>
        <v/>
      </c>
      <c r="C649" s="56" t="str">
        <f>IF($A649="","",[2]weekly_demand!H650)</f>
        <v/>
      </c>
      <c r="D649" s="57" t="str">
        <f>IF($A649="","",IF(SUMIFS([2]Fixture_Capacity_Input!$C:$C,[2]Fixture_Capacity_Input!$A:$A,$B649,[2]Fixture_Capacity_Input!$B:$B,$C649)&gt;0,SUMIFS([2]Fixture_Capacity_Input!$C:$C,[2]Fixture_Capacity_Input!$A:$A,$B649,[2]Fixture_Capacity_Input!$B:$B,$C649),[2]weekly_demand!G650))</f>
        <v/>
      </c>
      <c r="E649" s="58" t="str">
        <f>IF($A649="","",[2]weekly_demand!I650)</f>
        <v/>
      </c>
      <c r="F649" s="57" t="str">
        <f t="shared" si="97"/>
        <v/>
      </c>
      <c r="G649" s="57" t="str">
        <f t="shared" si="98"/>
        <v/>
      </c>
      <c r="H649" s="57" t="str">
        <f t="shared" si="96"/>
        <v/>
      </c>
      <c r="I649" s="58" t="str">
        <f t="shared" si="101"/>
        <v/>
      </c>
      <c r="J649" s="58" t="str">
        <f t="shared" si="99"/>
        <v/>
      </c>
      <c r="K649" s="58" t="str">
        <f t="shared" si="102"/>
        <v/>
      </c>
      <c r="L649" s="58" t="str">
        <f t="shared" si="103"/>
        <v/>
      </c>
      <c r="M649" s="58" t="str">
        <f t="shared" si="104"/>
        <v/>
      </c>
      <c r="N649" s="59" t="str">
        <f t="shared" si="100"/>
        <v/>
      </c>
      <c r="O649" s="60"/>
      <c r="P649" s="105"/>
    </row>
    <row r="650" spans="1:16" x14ac:dyDescent="0.3">
      <c r="A650" s="54" t="str">
        <f>IF([2]weekly_demand!A651="","",[2]weekly_demand!A651)</f>
        <v/>
      </c>
      <c r="B650" s="55" t="str">
        <f>IF($A650="","",[2]weekly_demand!F651)</f>
        <v/>
      </c>
      <c r="C650" s="56" t="str">
        <f>IF($A650="","",[2]weekly_demand!H651)</f>
        <v/>
      </c>
      <c r="D650" s="57" t="str">
        <f>IF($A650="","",IF(SUMIFS([2]Fixture_Capacity_Input!$C:$C,[2]Fixture_Capacity_Input!$A:$A,$B650,[2]Fixture_Capacity_Input!$B:$B,$C650)&gt;0,SUMIFS([2]Fixture_Capacity_Input!$C:$C,[2]Fixture_Capacity_Input!$A:$A,$B650,[2]Fixture_Capacity_Input!$B:$B,$C650),[2]weekly_demand!G651))</f>
        <v/>
      </c>
      <c r="E650" s="58" t="str">
        <f>IF($A650="","",[2]weekly_demand!I651)</f>
        <v/>
      </c>
      <c r="F650" s="57" t="str">
        <f t="shared" si="97"/>
        <v/>
      </c>
      <c r="G650" s="57" t="str">
        <f t="shared" si="98"/>
        <v/>
      </c>
      <c r="H650" s="57" t="str">
        <f t="shared" si="96"/>
        <v/>
      </c>
      <c r="I650" s="58" t="str">
        <f t="shared" si="101"/>
        <v/>
      </c>
      <c r="J650" s="58" t="str">
        <f t="shared" si="99"/>
        <v/>
      </c>
      <c r="K650" s="58" t="str">
        <f t="shared" si="102"/>
        <v/>
      </c>
      <c r="L650" s="58" t="str">
        <f t="shared" si="103"/>
        <v/>
      </c>
      <c r="M650" s="58" t="str">
        <f t="shared" si="104"/>
        <v/>
      </c>
      <c r="N650" s="59" t="str">
        <f t="shared" si="100"/>
        <v/>
      </c>
      <c r="O650" s="60"/>
      <c r="P650" s="105"/>
    </row>
    <row r="651" spans="1:16" x14ac:dyDescent="0.3">
      <c r="A651" s="54" t="str">
        <f>IF([2]weekly_demand!A652="","",[2]weekly_demand!A652)</f>
        <v/>
      </c>
      <c r="B651" s="55" t="str">
        <f>IF($A651="","",[2]weekly_demand!F652)</f>
        <v/>
      </c>
      <c r="C651" s="56" t="str">
        <f>IF($A651="","",[2]weekly_demand!H652)</f>
        <v/>
      </c>
      <c r="D651" s="57" t="str">
        <f>IF($A651="","",IF(SUMIFS([2]Fixture_Capacity_Input!$C:$C,[2]Fixture_Capacity_Input!$A:$A,$B651,[2]Fixture_Capacity_Input!$B:$B,$C651)&gt;0,SUMIFS([2]Fixture_Capacity_Input!$C:$C,[2]Fixture_Capacity_Input!$A:$A,$B651,[2]Fixture_Capacity_Input!$B:$B,$C651),[2]weekly_demand!G652))</f>
        <v/>
      </c>
      <c r="E651" s="58" t="str">
        <f>IF($A651="","",[2]weekly_demand!I652)</f>
        <v/>
      </c>
      <c r="F651" s="57" t="str">
        <f t="shared" si="97"/>
        <v/>
      </c>
      <c r="G651" s="57" t="str">
        <f t="shared" si="98"/>
        <v/>
      </c>
      <c r="H651" s="57" t="str">
        <f t="shared" si="96"/>
        <v/>
      </c>
      <c r="I651" s="58" t="str">
        <f t="shared" si="101"/>
        <v/>
      </c>
      <c r="J651" s="58" t="str">
        <f t="shared" si="99"/>
        <v/>
      </c>
      <c r="K651" s="58" t="str">
        <f t="shared" si="102"/>
        <v/>
      </c>
      <c r="L651" s="58" t="str">
        <f t="shared" si="103"/>
        <v/>
      </c>
      <c r="M651" s="58" t="str">
        <f t="shared" si="104"/>
        <v/>
      </c>
      <c r="N651" s="59" t="str">
        <f t="shared" si="100"/>
        <v/>
      </c>
      <c r="O651" s="60"/>
      <c r="P651" s="105"/>
    </row>
    <row r="652" spans="1:16" x14ac:dyDescent="0.3">
      <c r="A652" s="54" t="str">
        <f>IF([2]weekly_demand!A653="","",[2]weekly_demand!A653)</f>
        <v/>
      </c>
      <c r="B652" s="55" t="str">
        <f>IF($A652="","",[2]weekly_demand!F653)</f>
        <v/>
      </c>
      <c r="C652" s="56" t="str">
        <f>IF($A652="","",[2]weekly_demand!H653)</f>
        <v/>
      </c>
      <c r="D652" s="57" t="str">
        <f>IF($A652="","",IF(SUMIFS([2]Fixture_Capacity_Input!$C:$C,[2]Fixture_Capacity_Input!$A:$A,$B652,[2]Fixture_Capacity_Input!$B:$B,$C652)&gt;0,SUMIFS([2]Fixture_Capacity_Input!$C:$C,[2]Fixture_Capacity_Input!$A:$A,$B652,[2]Fixture_Capacity_Input!$B:$B,$C652),[2]weekly_demand!G653))</f>
        <v/>
      </c>
      <c r="E652" s="58" t="str">
        <f>IF($A652="","",[2]weekly_demand!I653)</f>
        <v/>
      </c>
      <c r="F652" s="57" t="str">
        <f t="shared" si="97"/>
        <v/>
      </c>
      <c r="G652" s="57" t="str">
        <f t="shared" si="98"/>
        <v/>
      </c>
      <c r="H652" s="57" t="str">
        <f t="shared" si="96"/>
        <v/>
      </c>
      <c r="I652" s="58" t="str">
        <f t="shared" si="101"/>
        <v/>
      </c>
      <c r="J652" s="58" t="str">
        <f t="shared" si="99"/>
        <v/>
      </c>
      <c r="K652" s="58" t="str">
        <f t="shared" si="102"/>
        <v/>
      </c>
      <c r="L652" s="58" t="str">
        <f t="shared" si="103"/>
        <v/>
      </c>
      <c r="M652" s="58" t="str">
        <f t="shared" si="104"/>
        <v/>
      </c>
      <c r="N652" s="59" t="str">
        <f t="shared" si="100"/>
        <v/>
      </c>
      <c r="O652" s="60"/>
      <c r="P652" s="105"/>
    </row>
    <row r="653" spans="1:16" x14ac:dyDescent="0.3">
      <c r="A653" s="54" t="str">
        <f>IF([2]weekly_demand!A654="","",[2]weekly_demand!A654)</f>
        <v/>
      </c>
      <c r="B653" s="55" t="str">
        <f>IF($A653="","",[2]weekly_demand!F654)</f>
        <v/>
      </c>
      <c r="C653" s="56" t="str">
        <f>IF($A653="","",[2]weekly_demand!H654)</f>
        <v/>
      </c>
      <c r="D653" s="57" t="str">
        <f>IF($A653="","",IF(SUMIFS([2]Fixture_Capacity_Input!$C:$C,[2]Fixture_Capacity_Input!$A:$A,$B653,[2]Fixture_Capacity_Input!$B:$B,$C653)&gt;0,SUMIFS([2]Fixture_Capacity_Input!$C:$C,[2]Fixture_Capacity_Input!$A:$A,$B653,[2]Fixture_Capacity_Input!$B:$B,$C653),[2]weekly_demand!G654))</f>
        <v/>
      </c>
      <c r="E653" s="58" t="str">
        <f>IF($A653="","",[2]weekly_demand!I654)</f>
        <v/>
      </c>
      <c r="F653" s="57" t="str">
        <f t="shared" si="97"/>
        <v/>
      </c>
      <c r="G653" s="57" t="str">
        <f t="shared" si="98"/>
        <v/>
      </c>
      <c r="H653" s="57" t="str">
        <f t="shared" si="96"/>
        <v/>
      </c>
      <c r="I653" s="58" t="str">
        <f t="shared" si="101"/>
        <v/>
      </c>
      <c r="J653" s="58" t="str">
        <f t="shared" si="99"/>
        <v/>
      </c>
      <c r="K653" s="58" t="str">
        <f t="shared" si="102"/>
        <v/>
      </c>
      <c r="L653" s="58" t="str">
        <f t="shared" si="103"/>
        <v/>
      </c>
      <c r="M653" s="58" t="str">
        <f t="shared" si="104"/>
        <v/>
      </c>
      <c r="N653" s="59" t="str">
        <f t="shared" si="100"/>
        <v/>
      </c>
      <c r="O653" s="60"/>
      <c r="P653" s="105"/>
    </row>
    <row r="654" spans="1:16" x14ac:dyDescent="0.3">
      <c r="A654" s="54" t="str">
        <f>IF([2]weekly_demand!A655="","",[2]weekly_demand!A655)</f>
        <v/>
      </c>
      <c r="B654" s="55" t="str">
        <f>IF($A654="","",[2]weekly_demand!F655)</f>
        <v/>
      </c>
      <c r="C654" s="56" t="str">
        <f>IF($A654="","",[2]weekly_demand!H655)</f>
        <v/>
      </c>
      <c r="D654" s="57" t="str">
        <f>IF($A654="","",IF(SUMIFS([2]Fixture_Capacity_Input!$C:$C,[2]Fixture_Capacity_Input!$A:$A,$B654,[2]Fixture_Capacity_Input!$B:$B,$C654)&gt;0,SUMIFS([2]Fixture_Capacity_Input!$C:$C,[2]Fixture_Capacity_Input!$A:$A,$B654,[2]Fixture_Capacity_Input!$B:$B,$C654),[2]weekly_demand!G655))</f>
        <v/>
      </c>
      <c r="E654" s="58" t="str">
        <f>IF($A654="","",[2]weekly_demand!I655)</f>
        <v/>
      </c>
      <c r="F654" s="57" t="str">
        <f t="shared" si="97"/>
        <v/>
      </c>
      <c r="G654" s="57" t="str">
        <f t="shared" si="98"/>
        <v/>
      </c>
      <c r="H654" s="57" t="str">
        <f t="shared" si="96"/>
        <v/>
      </c>
      <c r="I654" s="58" t="str">
        <f t="shared" si="101"/>
        <v/>
      </c>
      <c r="J654" s="58" t="str">
        <f t="shared" si="99"/>
        <v/>
      </c>
      <c r="K654" s="58" t="str">
        <f t="shared" si="102"/>
        <v/>
      </c>
      <c r="L654" s="58" t="str">
        <f t="shared" si="103"/>
        <v/>
      </c>
      <c r="M654" s="58" t="str">
        <f t="shared" si="104"/>
        <v/>
      </c>
      <c r="N654" s="59" t="str">
        <f t="shared" si="100"/>
        <v/>
      </c>
      <c r="O654" s="60"/>
      <c r="P654" s="105"/>
    </row>
    <row r="655" spans="1:16" x14ac:dyDescent="0.3">
      <c r="A655" s="54" t="str">
        <f>IF([2]weekly_demand!A656="","",[2]weekly_demand!A656)</f>
        <v/>
      </c>
      <c r="B655" s="55" t="str">
        <f>IF($A655="","",[2]weekly_demand!F656)</f>
        <v/>
      </c>
      <c r="C655" s="56" t="str">
        <f>IF($A655="","",[2]weekly_demand!H656)</f>
        <v/>
      </c>
      <c r="D655" s="57" t="str">
        <f>IF($A655="","",IF(SUMIFS([2]Fixture_Capacity_Input!$C:$C,[2]Fixture_Capacity_Input!$A:$A,$B655,[2]Fixture_Capacity_Input!$B:$B,$C655)&gt;0,SUMIFS([2]Fixture_Capacity_Input!$C:$C,[2]Fixture_Capacity_Input!$A:$A,$B655,[2]Fixture_Capacity_Input!$B:$B,$C655),[2]weekly_demand!G656))</f>
        <v/>
      </c>
      <c r="E655" s="58" t="str">
        <f>IF($A655="","",[2]weekly_demand!I656)</f>
        <v/>
      </c>
      <c r="F655" s="57" t="str">
        <f t="shared" si="97"/>
        <v/>
      </c>
      <c r="G655" s="57" t="str">
        <f t="shared" si="98"/>
        <v/>
      </c>
      <c r="H655" s="57" t="str">
        <f t="shared" si="96"/>
        <v/>
      </c>
      <c r="I655" s="58" t="str">
        <f t="shared" si="101"/>
        <v/>
      </c>
      <c r="J655" s="58" t="str">
        <f t="shared" si="99"/>
        <v/>
      </c>
      <c r="K655" s="58" t="str">
        <f t="shared" si="102"/>
        <v/>
      </c>
      <c r="L655" s="58" t="str">
        <f t="shared" si="103"/>
        <v/>
      </c>
      <c r="M655" s="58" t="str">
        <f t="shared" si="104"/>
        <v/>
      </c>
      <c r="N655" s="59" t="str">
        <f t="shared" si="100"/>
        <v/>
      </c>
      <c r="O655" s="60"/>
      <c r="P655" s="105"/>
    </row>
    <row r="656" spans="1:16" x14ac:dyDescent="0.3">
      <c r="A656" s="54" t="str">
        <f>IF([2]weekly_demand!A657="","",[2]weekly_demand!A657)</f>
        <v/>
      </c>
      <c r="B656" s="55" t="str">
        <f>IF($A656="","",[2]weekly_demand!F657)</f>
        <v/>
      </c>
      <c r="C656" s="56" t="str">
        <f>IF($A656="","",[2]weekly_demand!H657)</f>
        <v/>
      </c>
      <c r="D656" s="57" t="str">
        <f>IF($A656="","",IF(SUMIFS([2]Fixture_Capacity_Input!$C:$C,[2]Fixture_Capacity_Input!$A:$A,$B656,[2]Fixture_Capacity_Input!$B:$B,$C656)&gt;0,SUMIFS([2]Fixture_Capacity_Input!$C:$C,[2]Fixture_Capacity_Input!$A:$A,$B656,[2]Fixture_Capacity_Input!$B:$B,$C656),[2]weekly_demand!G657))</f>
        <v/>
      </c>
      <c r="E656" s="58" t="str">
        <f>IF($A656="","",[2]weekly_demand!I657)</f>
        <v/>
      </c>
      <c r="F656" s="57" t="str">
        <f t="shared" si="97"/>
        <v/>
      </c>
      <c r="G656" s="57" t="str">
        <f t="shared" si="98"/>
        <v/>
      </c>
      <c r="H656" s="57" t="str">
        <f t="shared" si="96"/>
        <v/>
      </c>
      <c r="I656" s="58" t="str">
        <f t="shared" si="101"/>
        <v/>
      </c>
      <c r="J656" s="58" t="str">
        <f t="shared" si="99"/>
        <v/>
      </c>
      <c r="K656" s="58" t="str">
        <f t="shared" si="102"/>
        <v/>
      </c>
      <c r="L656" s="58" t="str">
        <f t="shared" si="103"/>
        <v/>
      </c>
      <c r="M656" s="58" t="str">
        <f t="shared" si="104"/>
        <v/>
      </c>
      <c r="N656" s="59" t="str">
        <f t="shared" si="100"/>
        <v/>
      </c>
      <c r="O656" s="60"/>
      <c r="P656" s="105"/>
    </row>
    <row r="657" spans="1:16" x14ac:dyDescent="0.3">
      <c r="A657" s="54" t="str">
        <f>IF([2]weekly_demand!A658="","",[2]weekly_demand!A658)</f>
        <v/>
      </c>
      <c r="B657" s="55" t="str">
        <f>IF($A657="","",[2]weekly_demand!F658)</f>
        <v/>
      </c>
      <c r="C657" s="56" t="str">
        <f>IF($A657="","",[2]weekly_demand!H658)</f>
        <v/>
      </c>
      <c r="D657" s="57" t="str">
        <f>IF($A657="","",IF(SUMIFS([2]Fixture_Capacity_Input!$C:$C,[2]Fixture_Capacity_Input!$A:$A,$B657,[2]Fixture_Capacity_Input!$B:$B,$C657)&gt;0,SUMIFS([2]Fixture_Capacity_Input!$C:$C,[2]Fixture_Capacity_Input!$A:$A,$B657,[2]Fixture_Capacity_Input!$B:$B,$C657),[2]weekly_demand!G658))</f>
        <v/>
      </c>
      <c r="E657" s="58" t="str">
        <f>IF($A657="","",[2]weekly_demand!I658)</f>
        <v/>
      </c>
      <c r="F657" s="57" t="str">
        <f t="shared" si="97"/>
        <v/>
      </c>
      <c r="G657" s="57" t="str">
        <f t="shared" si="98"/>
        <v/>
      </c>
      <c r="H657" s="57" t="str">
        <f t="shared" si="96"/>
        <v/>
      </c>
      <c r="I657" s="58" t="str">
        <f t="shared" si="101"/>
        <v/>
      </c>
      <c r="J657" s="58" t="str">
        <f t="shared" si="99"/>
        <v/>
      </c>
      <c r="K657" s="58" t="str">
        <f t="shared" si="102"/>
        <v/>
      </c>
      <c r="L657" s="58" t="str">
        <f t="shared" si="103"/>
        <v/>
      </c>
      <c r="M657" s="58" t="str">
        <f t="shared" si="104"/>
        <v/>
      </c>
      <c r="N657" s="59" t="str">
        <f t="shared" si="100"/>
        <v/>
      </c>
      <c r="O657" s="60"/>
      <c r="P657" s="105"/>
    </row>
    <row r="658" spans="1:16" x14ac:dyDescent="0.3">
      <c r="A658" s="54" t="str">
        <f>IF([2]weekly_demand!A659="","",[2]weekly_demand!A659)</f>
        <v/>
      </c>
      <c r="B658" s="55" t="str">
        <f>IF($A658="","",[2]weekly_demand!F659)</f>
        <v/>
      </c>
      <c r="C658" s="56" t="str">
        <f>IF($A658="","",[2]weekly_demand!H659)</f>
        <v/>
      </c>
      <c r="D658" s="57" t="str">
        <f>IF($A658="","",IF(SUMIFS([2]Fixture_Capacity_Input!$C:$C,[2]Fixture_Capacity_Input!$A:$A,$B658,[2]Fixture_Capacity_Input!$B:$B,$C658)&gt;0,SUMIFS([2]Fixture_Capacity_Input!$C:$C,[2]Fixture_Capacity_Input!$A:$A,$B658,[2]Fixture_Capacity_Input!$B:$B,$C658),[2]weekly_demand!G659))</f>
        <v/>
      </c>
      <c r="E658" s="58" t="str">
        <f>IF($A658="","",[2]weekly_demand!I659)</f>
        <v/>
      </c>
      <c r="F658" s="57" t="str">
        <f t="shared" si="97"/>
        <v/>
      </c>
      <c r="G658" s="57" t="str">
        <f t="shared" si="98"/>
        <v/>
      </c>
      <c r="H658" s="57" t="str">
        <f t="shared" si="96"/>
        <v/>
      </c>
      <c r="I658" s="58" t="str">
        <f t="shared" si="101"/>
        <v/>
      </c>
      <c r="J658" s="58" t="str">
        <f t="shared" si="99"/>
        <v/>
      </c>
      <c r="K658" s="58" t="str">
        <f t="shared" si="102"/>
        <v/>
      </c>
      <c r="L658" s="58" t="str">
        <f t="shared" si="103"/>
        <v/>
      </c>
      <c r="M658" s="58" t="str">
        <f t="shared" si="104"/>
        <v/>
      </c>
      <c r="N658" s="59" t="str">
        <f t="shared" si="100"/>
        <v/>
      </c>
      <c r="O658" s="60"/>
      <c r="P658" s="105"/>
    </row>
    <row r="659" spans="1:16" x14ac:dyDescent="0.3">
      <c r="A659" s="54" t="str">
        <f>IF([2]weekly_demand!A660="","",[2]weekly_demand!A660)</f>
        <v/>
      </c>
      <c r="B659" s="55" t="str">
        <f>IF($A659="","",[2]weekly_demand!F660)</f>
        <v/>
      </c>
      <c r="C659" s="56" t="str">
        <f>IF($A659="","",[2]weekly_demand!H660)</f>
        <v/>
      </c>
      <c r="D659" s="57" t="str">
        <f>IF($A659="","",IF(SUMIFS([2]Fixture_Capacity_Input!$C:$C,[2]Fixture_Capacity_Input!$A:$A,$B659,[2]Fixture_Capacity_Input!$B:$B,$C659)&gt;0,SUMIFS([2]Fixture_Capacity_Input!$C:$C,[2]Fixture_Capacity_Input!$A:$A,$B659,[2]Fixture_Capacity_Input!$B:$B,$C659),[2]weekly_demand!G660))</f>
        <v/>
      </c>
      <c r="E659" s="58" t="str">
        <f>IF($A659="","",[2]weekly_demand!I660)</f>
        <v/>
      </c>
      <c r="F659" s="57" t="str">
        <f t="shared" si="97"/>
        <v/>
      </c>
      <c r="G659" s="57" t="str">
        <f t="shared" si="98"/>
        <v/>
      </c>
      <c r="H659" s="57" t="str">
        <f t="shared" si="96"/>
        <v/>
      </c>
      <c r="I659" s="58" t="str">
        <f t="shared" si="101"/>
        <v/>
      </c>
      <c r="J659" s="58" t="str">
        <f t="shared" si="99"/>
        <v/>
      </c>
      <c r="K659" s="58" t="str">
        <f t="shared" si="102"/>
        <v/>
      </c>
      <c r="L659" s="58" t="str">
        <f t="shared" si="103"/>
        <v/>
      </c>
      <c r="M659" s="58" t="str">
        <f t="shared" si="104"/>
        <v/>
      </c>
      <c r="N659" s="59" t="str">
        <f t="shared" si="100"/>
        <v/>
      </c>
      <c r="O659" s="60"/>
      <c r="P659" s="105"/>
    </row>
    <row r="660" spans="1:16" x14ac:dyDescent="0.3">
      <c r="A660" s="54" t="str">
        <f>IF([2]weekly_demand!A661="","",[2]weekly_demand!A661)</f>
        <v/>
      </c>
      <c r="B660" s="55" t="str">
        <f>IF($A660="","",[2]weekly_demand!F661)</f>
        <v/>
      </c>
      <c r="C660" s="56" t="str">
        <f>IF($A660="","",[2]weekly_demand!H661)</f>
        <v/>
      </c>
      <c r="D660" s="57" t="str">
        <f>IF($A660="","",IF(SUMIFS([2]Fixture_Capacity_Input!$C:$C,[2]Fixture_Capacity_Input!$A:$A,$B660,[2]Fixture_Capacity_Input!$B:$B,$C660)&gt;0,SUMIFS([2]Fixture_Capacity_Input!$C:$C,[2]Fixture_Capacity_Input!$A:$A,$B660,[2]Fixture_Capacity_Input!$B:$B,$C660),[2]weekly_demand!G661))</f>
        <v/>
      </c>
      <c r="E660" s="58" t="str">
        <f>IF($A660="","",[2]weekly_demand!I661)</f>
        <v/>
      </c>
      <c r="F660" s="57" t="str">
        <f t="shared" si="97"/>
        <v/>
      </c>
      <c r="G660" s="57" t="str">
        <f t="shared" si="98"/>
        <v/>
      </c>
      <c r="H660" s="57" t="str">
        <f t="shared" si="96"/>
        <v/>
      </c>
      <c r="I660" s="58" t="str">
        <f t="shared" si="101"/>
        <v/>
      </c>
      <c r="J660" s="58" t="str">
        <f t="shared" si="99"/>
        <v/>
      </c>
      <c r="K660" s="58" t="str">
        <f t="shared" si="102"/>
        <v/>
      </c>
      <c r="L660" s="58" t="str">
        <f t="shared" si="103"/>
        <v/>
      </c>
      <c r="M660" s="58" t="str">
        <f t="shared" si="104"/>
        <v/>
      </c>
      <c r="N660" s="59" t="str">
        <f t="shared" si="100"/>
        <v/>
      </c>
      <c r="O660" s="60"/>
      <c r="P660" s="105"/>
    </row>
    <row r="661" spans="1:16" x14ac:dyDescent="0.3">
      <c r="A661" s="54" t="str">
        <f>IF([2]weekly_demand!A662="","",[2]weekly_demand!A662)</f>
        <v/>
      </c>
      <c r="B661" s="55" t="str">
        <f>IF($A661="","",[2]weekly_demand!F662)</f>
        <v/>
      </c>
      <c r="C661" s="56" t="str">
        <f>IF($A661="","",[2]weekly_demand!H662)</f>
        <v/>
      </c>
      <c r="D661" s="57" t="str">
        <f>IF($A661="","",IF(SUMIFS([2]Fixture_Capacity_Input!$C:$C,[2]Fixture_Capacity_Input!$A:$A,$B661,[2]Fixture_Capacity_Input!$B:$B,$C661)&gt;0,SUMIFS([2]Fixture_Capacity_Input!$C:$C,[2]Fixture_Capacity_Input!$A:$A,$B661,[2]Fixture_Capacity_Input!$B:$B,$C661),[2]weekly_demand!G662))</f>
        <v/>
      </c>
      <c r="E661" s="58" t="str">
        <f>IF($A661="","",[2]weekly_demand!I662)</f>
        <v/>
      </c>
      <c r="F661" s="57" t="str">
        <f t="shared" si="97"/>
        <v/>
      </c>
      <c r="G661" s="57" t="str">
        <f t="shared" si="98"/>
        <v/>
      </c>
      <c r="H661" s="57" t="str">
        <f t="shared" si="96"/>
        <v/>
      </c>
      <c r="I661" s="58" t="str">
        <f t="shared" si="101"/>
        <v/>
      </c>
      <c r="J661" s="58" t="str">
        <f t="shared" si="99"/>
        <v/>
      </c>
      <c r="K661" s="58" t="str">
        <f t="shared" si="102"/>
        <v/>
      </c>
      <c r="L661" s="58" t="str">
        <f t="shared" si="103"/>
        <v/>
      </c>
      <c r="M661" s="58" t="str">
        <f t="shared" si="104"/>
        <v/>
      </c>
      <c r="N661" s="59" t="str">
        <f t="shared" si="100"/>
        <v/>
      </c>
      <c r="O661" s="60"/>
      <c r="P661" s="105"/>
    </row>
    <row r="662" spans="1:16" x14ac:dyDescent="0.3">
      <c r="A662" s="54" t="str">
        <f>IF([2]weekly_demand!A663="","",[2]weekly_demand!A663)</f>
        <v/>
      </c>
      <c r="B662" s="55" t="str">
        <f>IF($A662="","",[2]weekly_demand!F663)</f>
        <v/>
      </c>
      <c r="C662" s="56" t="str">
        <f>IF($A662="","",[2]weekly_demand!H663)</f>
        <v/>
      </c>
      <c r="D662" s="57" t="str">
        <f>IF($A662="","",IF(SUMIFS([2]Fixture_Capacity_Input!$C:$C,[2]Fixture_Capacity_Input!$A:$A,$B662,[2]Fixture_Capacity_Input!$B:$B,$C662)&gt;0,SUMIFS([2]Fixture_Capacity_Input!$C:$C,[2]Fixture_Capacity_Input!$A:$A,$B662,[2]Fixture_Capacity_Input!$B:$B,$C662),[2]weekly_demand!G663))</f>
        <v/>
      </c>
      <c r="E662" s="58" t="str">
        <f>IF($A662="","",[2]weekly_demand!I663)</f>
        <v/>
      </c>
      <c r="F662" s="57" t="str">
        <f t="shared" si="97"/>
        <v/>
      </c>
      <c r="G662" s="57" t="str">
        <f t="shared" si="98"/>
        <v/>
      </c>
      <c r="H662" s="57" t="str">
        <f t="shared" si="96"/>
        <v/>
      </c>
      <c r="I662" s="58" t="str">
        <f t="shared" si="101"/>
        <v/>
      </c>
      <c r="J662" s="58" t="str">
        <f t="shared" si="99"/>
        <v/>
      </c>
      <c r="K662" s="58" t="str">
        <f t="shared" si="102"/>
        <v/>
      </c>
      <c r="L662" s="58" t="str">
        <f t="shared" si="103"/>
        <v/>
      </c>
      <c r="M662" s="58" t="str">
        <f t="shared" si="104"/>
        <v/>
      </c>
      <c r="N662" s="59" t="str">
        <f t="shared" si="100"/>
        <v/>
      </c>
      <c r="O662" s="60"/>
      <c r="P662" s="105"/>
    </row>
    <row r="663" spans="1:16" x14ac:dyDescent="0.3">
      <c r="A663" s="54" t="str">
        <f>IF([2]weekly_demand!A664="","",[2]weekly_demand!A664)</f>
        <v/>
      </c>
      <c r="B663" s="55" t="str">
        <f>IF($A663="","",[2]weekly_demand!F664)</f>
        <v/>
      </c>
      <c r="C663" s="56" t="str">
        <f>IF($A663="","",[2]weekly_demand!H664)</f>
        <v/>
      </c>
      <c r="D663" s="57" t="str">
        <f>IF($A663="","",IF(SUMIFS([2]Fixture_Capacity_Input!$C:$C,[2]Fixture_Capacity_Input!$A:$A,$B663,[2]Fixture_Capacity_Input!$B:$B,$C663)&gt;0,SUMIFS([2]Fixture_Capacity_Input!$C:$C,[2]Fixture_Capacity_Input!$A:$A,$B663,[2]Fixture_Capacity_Input!$B:$B,$C663),[2]weekly_demand!G664))</f>
        <v/>
      </c>
      <c r="E663" s="58" t="str">
        <f>IF($A663="","",[2]weekly_demand!I664)</f>
        <v/>
      </c>
      <c r="F663" s="57" t="str">
        <f t="shared" si="97"/>
        <v/>
      </c>
      <c r="G663" s="57" t="str">
        <f t="shared" si="98"/>
        <v/>
      </c>
      <c r="H663" s="57" t="str">
        <f t="shared" si="96"/>
        <v/>
      </c>
      <c r="I663" s="58" t="str">
        <f t="shared" si="101"/>
        <v/>
      </c>
      <c r="J663" s="58" t="str">
        <f t="shared" si="99"/>
        <v/>
      </c>
      <c r="K663" s="58" t="str">
        <f t="shared" si="102"/>
        <v/>
      </c>
      <c r="L663" s="58" t="str">
        <f t="shared" si="103"/>
        <v/>
      </c>
      <c r="M663" s="58" t="str">
        <f t="shared" si="104"/>
        <v/>
      </c>
      <c r="N663" s="59" t="str">
        <f t="shared" si="100"/>
        <v/>
      </c>
      <c r="O663" s="60"/>
      <c r="P663" s="105"/>
    </row>
    <row r="664" spans="1:16" x14ac:dyDescent="0.3">
      <c r="A664" s="54" t="str">
        <f>IF([2]weekly_demand!A665="","",[2]weekly_demand!A665)</f>
        <v/>
      </c>
      <c r="B664" s="55" t="str">
        <f>IF($A664="","",[2]weekly_demand!F665)</f>
        <v/>
      </c>
      <c r="C664" s="56" t="str">
        <f>IF($A664="","",[2]weekly_demand!H665)</f>
        <v/>
      </c>
      <c r="D664" s="57" t="str">
        <f>IF($A664="","",IF(SUMIFS([2]Fixture_Capacity_Input!$C:$C,[2]Fixture_Capacity_Input!$A:$A,$B664,[2]Fixture_Capacity_Input!$B:$B,$C664)&gt;0,SUMIFS([2]Fixture_Capacity_Input!$C:$C,[2]Fixture_Capacity_Input!$A:$A,$B664,[2]Fixture_Capacity_Input!$B:$B,$C664),[2]weekly_demand!G665))</f>
        <v/>
      </c>
      <c r="E664" s="58" t="str">
        <f>IF($A664="","",[2]weekly_demand!I665)</f>
        <v/>
      </c>
      <c r="F664" s="57" t="str">
        <f t="shared" si="97"/>
        <v/>
      </c>
      <c r="G664" s="57" t="str">
        <f t="shared" si="98"/>
        <v/>
      </c>
      <c r="H664" s="57" t="str">
        <f t="shared" si="96"/>
        <v/>
      </c>
      <c r="I664" s="58" t="str">
        <f t="shared" si="101"/>
        <v/>
      </c>
      <c r="J664" s="58" t="str">
        <f t="shared" si="99"/>
        <v/>
      </c>
      <c r="K664" s="58" t="str">
        <f t="shared" si="102"/>
        <v/>
      </c>
      <c r="L664" s="58" t="str">
        <f t="shared" si="103"/>
        <v/>
      </c>
      <c r="M664" s="58" t="str">
        <f t="shared" si="104"/>
        <v/>
      </c>
      <c r="N664" s="59" t="str">
        <f t="shared" si="100"/>
        <v/>
      </c>
      <c r="O664" s="60"/>
      <c r="P664" s="105"/>
    </row>
    <row r="665" spans="1:16" x14ac:dyDescent="0.3">
      <c r="A665" s="54" t="str">
        <f>IF([2]weekly_demand!A666="","",[2]weekly_demand!A666)</f>
        <v/>
      </c>
      <c r="B665" s="55" t="str">
        <f>IF($A665="","",[2]weekly_demand!F666)</f>
        <v/>
      </c>
      <c r="C665" s="56" t="str">
        <f>IF($A665="","",[2]weekly_demand!H666)</f>
        <v/>
      </c>
      <c r="D665" s="57" t="str">
        <f>IF($A665="","",IF(SUMIFS([2]Fixture_Capacity_Input!$C:$C,[2]Fixture_Capacity_Input!$A:$A,$B665,[2]Fixture_Capacity_Input!$B:$B,$C665)&gt;0,SUMIFS([2]Fixture_Capacity_Input!$C:$C,[2]Fixture_Capacity_Input!$A:$A,$B665,[2]Fixture_Capacity_Input!$B:$B,$C665),[2]weekly_demand!G666))</f>
        <v/>
      </c>
      <c r="E665" s="58" t="str">
        <f>IF($A665="","",[2]weekly_demand!I666)</f>
        <v/>
      </c>
      <c r="F665" s="57" t="str">
        <f t="shared" si="97"/>
        <v/>
      </c>
      <c r="G665" s="57" t="str">
        <f t="shared" si="98"/>
        <v/>
      </c>
      <c r="H665" s="57" t="str">
        <f t="shared" si="96"/>
        <v/>
      </c>
      <c r="I665" s="58" t="str">
        <f t="shared" si="101"/>
        <v/>
      </c>
      <c r="J665" s="58" t="str">
        <f t="shared" si="99"/>
        <v/>
      </c>
      <c r="K665" s="58" t="str">
        <f t="shared" si="102"/>
        <v/>
      </c>
      <c r="L665" s="58" t="str">
        <f t="shared" si="103"/>
        <v/>
      </c>
      <c r="M665" s="58" t="str">
        <f t="shared" si="104"/>
        <v/>
      </c>
      <c r="N665" s="59" t="str">
        <f t="shared" si="100"/>
        <v/>
      </c>
      <c r="O665" s="60"/>
      <c r="P665" s="105"/>
    </row>
    <row r="666" spans="1:16" x14ac:dyDescent="0.3">
      <c r="A666" s="54" t="str">
        <f>IF([2]weekly_demand!A667="","",[2]weekly_demand!A667)</f>
        <v/>
      </c>
      <c r="B666" s="55" t="str">
        <f>IF($A666="","",[2]weekly_demand!F667)</f>
        <v/>
      </c>
      <c r="C666" s="56" t="str">
        <f>IF($A666="","",[2]weekly_demand!H667)</f>
        <v/>
      </c>
      <c r="D666" s="57" t="str">
        <f>IF($A666="","",IF(SUMIFS([2]Fixture_Capacity_Input!$C:$C,[2]Fixture_Capacity_Input!$A:$A,$B666,[2]Fixture_Capacity_Input!$B:$B,$C666)&gt;0,SUMIFS([2]Fixture_Capacity_Input!$C:$C,[2]Fixture_Capacity_Input!$A:$A,$B666,[2]Fixture_Capacity_Input!$B:$B,$C666),[2]weekly_demand!G667))</f>
        <v/>
      </c>
      <c r="E666" s="58" t="str">
        <f>IF($A666="","",[2]weekly_demand!I667)</f>
        <v/>
      </c>
      <c r="F666" s="57" t="str">
        <f t="shared" si="97"/>
        <v/>
      </c>
      <c r="G666" s="57" t="str">
        <f t="shared" si="98"/>
        <v/>
      </c>
      <c r="H666" s="57" t="str">
        <f t="shared" si="96"/>
        <v/>
      </c>
      <c r="I666" s="58" t="str">
        <f t="shared" si="101"/>
        <v/>
      </c>
      <c r="J666" s="58" t="str">
        <f t="shared" si="99"/>
        <v/>
      </c>
      <c r="K666" s="58" t="str">
        <f t="shared" si="102"/>
        <v/>
      </c>
      <c r="L666" s="58" t="str">
        <f t="shared" si="103"/>
        <v/>
      </c>
      <c r="M666" s="58" t="str">
        <f t="shared" si="104"/>
        <v/>
      </c>
      <c r="N666" s="59" t="str">
        <f t="shared" si="100"/>
        <v/>
      </c>
      <c r="O666" s="60"/>
      <c r="P666" s="105"/>
    </row>
    <row r="667" spans="1:16" x14ac:dyDescent="0.3">
      <c r="A667" s="54" t="str">
        <f>IF([2]weekly_demand!A668="","",[2]weekly_demand!A668)</f>
        <v/>
      </c>
      <c r="B667" s="55" t="str">
        <f>IF($A667="","",[2]weekly_demand!F668)</f>
        <v/>
      </c>
      <c r="C667" s="56" t="str">
        <f>IF($A667="","",[2]weekly_demand!H668)</f>
        <v/>
      </c>
      <c r="D667" s="57" t="str">
        <f>IF($A667="","",IF(SUMIFS([2]Fixture_Capacity_Input!$C:$C,[2]Fixture_Capacity_Input!$A:$A,$B667,[2]Fixture_Capacity_Input!$B:$B,$C667)&gt;0,SUMIFS([2]Fixture_Capacity_Input!$C:$C,[2]Fixture_Capacity_Input!$A:$A,$B667,[2]Fixture_Capacity_Input!$B:$B,$C667),[2]weekly_demand!G668))</f>
        <v/>
      </c>
      <c r="E667" s="58" t="str">
        <f>IF($A667="","",[2]weekly_demand!I668)</f>
        <v/>
      </c>
      <c r="F667" s="57" t="str">
        <f t="shared" si="97"/>
        <v/>
      </c>
      <c r="G667" s="57" t="str">
        <f t="shared" si="98"/>
        <v/>
      </c>
      <c r="H667" s="57" t="str">
        <f t="shared" si="96"/>
        <v/>
      </c>
      <c r="I667" s="58" t="str">
        <f t="shared" si="101"/>
        <v/>
      </c>
      <c r="J667" s="58" t="str">
        <f t="shared" si="99"/>
        <v/>
      </c>
      <c r="K667" s="58" t="str">
        <f t="shared" si="102"/>
        <v/>
      </c>
      <c r="L667" s="58" t="str">
        <f t="shared" si="103"/>
        <v/>
      </c>
      <c r="M667" s="58" t="str">
        <f t="shared" si="104"/>
        <v/>
      </c>
      <c r="N667" s="59" t="str">
        <f t="shared" si="100"/>
        <v/>
      </c>
      <c r="O667" s="60"/>
      <c r="P667" s="105"/>
    </row>
    <row r="668" spans="1:16" x14ac:dyDescent="0.3">
      <c r="A668" s="54" t="str">
        <f>IF([2]weekly_demand!A669="","",[2]weekly_demand!A669)</f>
        <v/>
      </c>
      <c r="B668" s="55" t="str">
        <f>IF($A668="","",[2]weekly_demand!F669)</f>
        <v/>
      </c>
      <c r="C668" s="56" t="str">
        <f>IF($A668="","",[2]weekly_demand!H669)</f>
        <v/>
      </c>
      <c r="D668" s="57" t="str">
        <f>IF($A668="","",IF(SUMIFS([2]Fixture_Capacity_Input!$C:$C,[2]Fixture_Capacity_Input!$A:$A,$B668,[2]Fixture_Capacity_Input!$B:$B,$C668)&gt;0,SUMIFS([2]Fixture_Capacity_Input!$C:$C,[2]Fixture_Capacity_Input!$A:$A,$B668,[2]Fixture_Capacity_Input!$B:$B,$C668),[2]weekly_demand!G669))</f>
        <v/>
      </c>
      <c r="E668" s="58" t="str">
        <f>IF($A668="","",[2]weekly_demand!I669)</f>
        <v/>
      </c>
      <c r="F668" s="57" t="str">
        <f t="shared" si="97"/>
        <v/>
      </c>
      <c r="G668" s="57" t="str">
        <f t="shared" si="98"/>
        <v/>
      </c>
      <c r="H668" s="57" t="str">
        <f t="shared" si="96"/>
        <v/>
      </c>
      <c r="I668" s="58" t="str">
        <f t="shared" si="101"/>
        <v/>
      </c>
      <c r="J668" s="58" t="str">
        <f t="shared" si="99"/>
        <v/>
      </c>
      <c r="K668" s="58" t="str">
        <f t="shared" si="102"/>
        <v/>
      </c>
      <c r="L668" s="58" t="str">
        <f t="shared" si="103"/>
        <v/>
      </c>
      <c r="M668" s="58" t="str">
        <f t="shared" si="104"/>
        <v/>
      </c>
      <c r="N668" s="59" t="str">
        <f t="shared" si="100"/>
        <v/>
      </c>
      <c r="O668" s="60"/>
      <c r="P668" s="105"/>
    </row>
    <row r="669" spans="1:16" x14ac:dyDescent="0.3">
      <c r="A669" s="54" t="str">
        <f>IF([2]weekly_demand!A670="","",[2]weekly_demand!A670)</f>
        <v/>
      </c>
      <c r="B669" s="55" t="str">
        <f>IF($A669="","",[2]weekly_demand!F670)</f>
        <v/>
      </c>
      <c r="C669" s="56" t="str">
        <f>IF($A669="","",[2]weekly_demand!H670)</f>
        <v/>
      </c>
      <c r="D669" s="57" t="str">
        <f>IF($A669="","",IF(SUMIFS([2]Fixture_Capacity_Input!$C:$C,[2]Fixture_Capacity_Input!$A:$A,$B669,[2]Fixture_Capacity_Input!$B:$B,$C669)&gt;0,SUMIFS([2]Fixture_Capacity_Input!$C:$C,[2]Fixture_Capacity_Input!$A:$A,$B669,[2]Fixture_Capacity_Input!$B:$B,$C669),[2]weekly_demand!G670))</f>
        <v/>
      </c>
      <c r="E669" s="58" t="str">
        <f>IF($A669="","",[2]weekly_demand!I670)</f>
        <v/>
      </c>
      <c r="F669" s="57" t="str">
        <f t="shared" si="97"/>
        <v/>
      </c>
      <c r="G669" s="57" t="str">
        <f t="shared" si="98"/>
        <v/>
      </c>
      <c r="H669" s="57" t="str">
        <f t="shared" si="96"/>
        <v/>
      </c>
      <c r="I669" s="58" t="str">
        <f t="shared" si="101"/>
        <v/>
      </c>
      <c r="J669" s="58" t="str">
        <f t="shared" si="99"/>
        <v/>
      </c>
      <c r="K669" s="58" t="str">
        <f t="shared" si="102"/>
        <v/>
      </c>
      <c r="L669" s="58" t="str">
        <f t="shared" si="103"/>
        <v/>
      </c>
      <c r="M669" s="58" t="str">
        <f t="shared" si="104"/>
        <v/>
      </c>
      <c r="N669" s="59" t="str">
        <f t="shared" si="100"/>
        <v/>
      </c>
      <c r="O669" s="60"/>
      <c r="P669" s="105"/>
    </row>
    <row r="670" spans="1:16" x14ac:dyDescent="0.3">
      <c r="A670" s="54" t="str">
        <f>IF([2]weekly_demand!A671="","",[2]weekly_demand!A671)</f>
        <v/>
      </c>
      <c r="B670" s="55" t="str">
        <f>IF($A670="","",[2]weekly_demand!F671)</f>
        <v/>
      </c>
      <c r="C670" s="56" t="str">
        <f>IF($A670="","",[2]weekly_demand!H671)</f>
        <v/>
      </c>
      <c r="D670" s="57" t="str">
        <f>IF($A670="","",IF(SUMIFS([2]Fixture_Capacity_Input!$C:$C,[2]Fixture_Capacity_Input!$A:$A,$B670,[2]Fixture_Capacity_Input!$B:$B,$C670)&gt;0,SUMIFS([2]Fixture_Capacity_Input!$C:$C,[2]Fixture_Capacity_Input!$A:$A,$B670,[2]Fixture_Capacity_Input!$B:$B,$C670),[2]weekly_demand!G671))</f>
        <v/>
      </c>
      <c r="E670" s="58" t="str">
        <f>IF($A670="","",[2]weekly_demand!I671)</f>
        <v/>
      </c>
      <c r="F670" s="57" t="str">
        <f t="shared" si="97"/>
        <v/>
      </c>
      <c r="G670" s="57" t="str">
        <f t="shared" si="98"/>
        <v/>
      </c>
      <c r="H670" s="57" t="str">
        <f t="shared" si="96"/>
        <v/>
      </c>
      <c r="I670" s="58" t="str">
        <f t="shared" si="101"/>
        <v/>
      </c>
      <c r="J670" s="58" t="str">
        <f t="shared" si="99"/>
        <v/>
      </c>
      <c r="K670" s="58" t="str">
        <f t="shared" si="102"/>
        <v/>
      </c>
      <c r="L670" s="58" t="str">
        <f t="shared" si="103"/>
        <v/>
      </c>
      <c r="M670" s="58" t="str">
        <f t="shared" si="104"/>
        <v/>
      </c>
      <c r="N670" s="59" t="str">
        <f t="shared" si="100"/>
        <v/>
      </c>
      <c r="O670" s="60"/>
      <c r="P670" s="105"/>
    </row>
    <row r="671" spans="1:16" x14ac:dyDescent="0.3">
      <c r="A671" s="54" t="str">
        <f>IF([2]weekly_demand!A672="","",[2]weekly_demand!A672)</f>
        <v/>
      </c>
      <c r="B671" s="55" t="str">
        <f>IF($A671="","",[2]weekly_demand!F672)</f>
        <v/>
      </c>
      <c r="C671" s="56" t="str">
        <f>IF($A671="","",[2]weekly_demand!H672)</f>
        <v/>
      </c>
      <c r="D671" s="57" t="str">
        <f>IF($A671="","",IF(SUMIFS([2]Fixture_Capacity_Input!$C:$C,[2]Fixture_Capacity_Input!$A:$A,$B671,[2]Fixture_Capacity_Input!$B:$B,$C671)&gt;0,SUMIFS([2]Fixture_Capacity_Input!$C:$C,[2]Fixture_Capacity_Input!$A:$A,$B671,[2]Fixture_Capacity_Input!$B:$B,$C671),[2]weekly_demand!G672))</f>
        <v/>
      </c>
      <c r="E671" s="58" t="str">
        <f>IF($A671="","",[2]weekly_demand!I672)</f>
        <v/>
      </c>
      <c r="F671" s="57" t="str">
        <f t="shared" si="97"/>
        <v/>
      </c>
      <c r="G671" s="57" t="str">
        <f t="shared" si="98"/>
        <v/>
      </c>
      <c r="H671" s="57" t="str">
        <f t="shared" si="96"/>
        <v/>
      </c>
      <c r="I671" s="58" t="str">
        <f t="shared" si="101"/>
        <v/>
      </c>
      <c r="J671" s="58" t="str">
        <f t="shared" si="99"/>
        <v/>
      </c>
      <c r="K671" s="58" t="str">
        <f t="shared" si="102"/>
        <v/>
      </c>
      <c r="L671" s="58" t="str">
        <f t="shared" si="103"/>
        <v/>
      </c>
      <c r="M671" s="58" t="str">
        <f t="shared" si="104"/>
        <v/>
      </c>
      <c r="N671" s="59" t="str">
        <f t="shared" si="100"/>
        <v/>
      </c>
      <c r="O671" s="60"/>
      <c r="P671" s="105"/>
    </row>
    <row r="672" spans="1:16" x14ac:dyDescent="0.3">
      <c r="A672" s="54" t="str">
        <f>IF([2]weekly_demand!A673="","",[2]weekly_demand!A673)</f>
        <v/>
      </c>
      <c r="B672" s="55" t="str">
        <f>IF($A672="","",[2]weekly_demand!F673)</f>
        <v/>
      </c>
      <c r="C672" s="56" t="str">
        <f>IF($A672="","",[2]weekly_demand!H673)</f>
        <v/>
      </c>
      <c r="D672" s="57" t="str">
        <f>IF($A672="","",IF(SUMIFS([2]Fixture_Capacity_Input!$C:$C,[2]Fixture_Capacity_Input!$A:$A,$B672,[2]Fixture_Capacity_Input!$B:$B,$C672)&gt;0,SUMIFS([2]Fixture_Capacity_Input!$C:$C,[2]Fixture_Capacity_Input!$A:$A,$B672,[2]Fixture_Capacity_Input!$B:$B,$C672),[2]weekly_demand!G673))</f>
        <v/>
      </c>
      <c r="E672" s="58" t="str">
        <f>IF($A672="","",[2]weekly_demand!I673)</f>
        <v/>
      </c>
      <c r="F672" s="57" t="str">
        <f t="shared" si="97"/>
        <v/>
      </c>
      <c r="G672" s="57" t="str">
        <f t="shared" si="98"/>
        <v/>
      </c>
      <c r="H672" s="57" t="str">
        <f t="shared" si="96"/>
        <v/>
      </c>
      <c r="I672" s="58" t="str">
        <f t="shared" si="101"/>
        <v/>
      </c>
      <c r="J672" s="58" t="str">
        <f t="shared" si="99"/>
        <v/>
      </c>
      <c r="K672" s="58" t="str">
        <f t="shared" si="102"/>
        <v/>
      </c>
      <c r="L672" s="58" t="str">
        <f t="shared" si="103"/>
        <v/>
      </c>
      <c r="M672" s="58" t="str">
        <f t="shared" si="104"/>
        <v/>
      </c>
      <c r="N672" s="59" t="str">
        <f t="shared" si="100"/>
        <v/>
      </c>
      <c r="O672" s="60"/>
      <c r="P672" s="105"/>
    </row>
    <row r="673" spans="1:16" x14ac:dyDescent="0.3">
      <c r="A673" s="54" t="str">
        <f>IF([2]weekly_demand!A674="","",[2]weekly_demand!A674)</f>
        <v/>
      </c>
      <c r="B673" s="55" t="str">
        <f>IF($A673="","",[2]weekly_demand!F674)</f>
        <v/>
      </c>
      <c r="C673" s="56" t="str">
        <f>IF($A673="","",[2]weekly_demand!H674)</f>
        <v/>
      </c>
      <c r="D673" s="57" t="str">
        <f>IF($A673="","",IF(SUMIFS([2]Fixture_Capacity_Input!$C:$C,[2]Fixture_Capacity_Input!$A:$A,$B673,[2]Fixture_Capacity_Input!$B:$B,$C673)&gt;0,SUMIFS([2]Fixture_Capacity_Input!$C:$C,[2]Fixture_Capacity_Input!$A:$A,$B673,[2]Fixture_Capacity_Input!$B:$B,$C673),[2]weekly_demand!G674))</f>
        <v/>
      </c>
      <c r="E673" s="58" t="str">
        <f>IF($A673="","",[2]weekly_demand!I674)</f>
        <v/>
      </c>
      <c r="F673" s="57" t="str">
        <f t="shared" si="97"/>
        <v/>
      </c>
      <c r="G673" s="57" t="str">
        <f t="shared" si="98"/>
        <v/>
      </c>
      <c r="H673" s="57" t="str">
        <f t="shared" si="96"/>
        <v/>
      </c>
      <c r="I673" s="58" t="str">
        <f t="shared" si="101"/>
        <v/>
      </c>
      <c r="J673" s="58" t="str">
        <f t="shared" si="99"/>
        <v/>
      </c>
      <c r="K673" s="58" t="str">
        <f t="shared" si="102"/>
        <v/>
      </c>
      <c r="L673" s="58" t="str">
        <f t="shared" si="103"/>
        <v/>
      </c>
      <c r="M673" s="58" t="str">
        <f t="shared" si="104"/>
        <v/>
      </c>
      <c r="N673" s="59" t="str">
        <f t="shared" si="100"/>
        <v/>
      </c>
      <c r="O673" s="60"/>
      <c r="P673" s="105"/>
    </row>
    <row r="674" spans="1:16" x14ac:dyDescent="0.3">
      <c r="A674" s="54" t="str">
        <f>IF([2]weekly_demand!A675="","",[2]weekly_demand!A675)</f>
        <v/>
      </c>
      <c r="B674" s="55" t="str">
        <f>IF($A674="","",[2]weekly_demand!F675)</f>
        <v/>
      </c>
      <c r="C674" s="56" t="str">
        <f>IF($A674="","",[2]weekly_demand!H675)</f>
        <v/>
      </c>
      <c r="D674" s="57" t="str">
        <f>IF($A674="","",IF(SUMIFS([2]Fixture_Capacity_Input!$C:$C,[2]Fixture_Capacity_Input!$A:$A,$B674,[2]Fixture_Capacity_Input!$B:$B,$C674)&gt;0,SUMIFS([2]Fixture_Capacity_Input!$C:$C,[2]Fixture_Capacity_Input!$A:$A,$B674,[2]Fixture_Capacity_Input!$B:$B,$C674),[2]weekly_demand!G675))</f>
        <v/>
      </c>
      <c r="E674" s="58" t="str">
        <f>IF($A674="","",[2]weekly_demand!I675)</f>
        <v/>
      </c>
      <c r="F674" s="57" t="str">
        <f t="shared" si="97"/>
        <v/>
      </c>
      <c r="G674" s="57" t="str">
        <f t="shared" si="98"/>
        <v/>
      </c>
      <c r="H674" s="57" t="str">
        <f t="shared" si="96"/>
        <v/>
      </c>
      <c r="I674" s="58" t="str">
        <f t="shared" si="101"/>
        <v/>
      </c>
      <c r="J674" s="58" t="str">
        <f t="shared" si="99"/>
        <v/>
      </c>
      <c r="K674" s="58" t="str">
        <f t="shared" si="102"/>
        <v/>
      </c>
      <c r="L674" s="58" t="str">
        <f t="shared" si="103"/>
        <v/>
      </c>
      <c r="M674" s="58" t="str">
        <f t="shared" si="104"/>
        <v/>
      </c>
      <c r="N674" s="59" t="str">
        <f t="shared" si="100"/>
        <v/>
      </c>
      <c r="O674" s="60"/>
      <c r="P674" s="105"/>
    </row>
    <row r="675" spans="1:16" x14ac:dyDescent="0.3">
      <c r="A675" s="54" t="str">
        <f>IF([2]weekly_demand!A676="","",[2]weekly_demand!A676)</f>
        <v/>
      </c>
      <c r="B675" s="55" t="str">
        <f>IF($A675="","",[2]weekly_demand!F676)</f>
        <v/>
      </c>
      <c r="C675" s="56" t="str">
        <f>IF($A675="","",[2]weekly_demand!H676)</f>
        <v/>
      </c>
      <c r="D675" s="57" t="str">
        <f>IF($A675="","",IF(SUMIFS([2]Fixture_Capacity_Input!$C:$C,[2]Fixture_Capacity_Input!$A:$A,$B675,[2]Fixture_Capacity_Input!$B:$B,$C675)&gt;0,SUMIFS([2]Fixture_Capacity_Input!$C:$C,[2]Fixture_Capacity_Input!$A:$A,$B675,[2]Fixture_Capacity_Input!$B:$B,$C675),[2]weekly_demand!G676))</f>
        <v/>
      </c>
      <c r="E675" s="58" t="str">
        <f>IF($A675="","",[2]weekly_demand!I676)</f>
        <v/>
      </c>
      <c r="F675" s="57" t="str">
        <f t="shared" si="97"/>
        <v/>
      </c>
      <c r="G675" s="57" t="str">
        <f t="shared" si="98"/>
        <v/>
      </c>
      <c r="H675" s="57" t="str">
        <f t="shared" si="96"/>
        <v/>
      </c>
      <c r="I675" s="58" t="str">
        <f t="shared" si="101"/>
        <v/>
      </c>
      <c r="J675" s="58" t="str">
        <f t="shared" si="99"/>
        <v/>
      </c>
      <c r="K675" s="58" t="str">
        <f t="shared" si="102"/>
        <v/>
      </c>
      <c r="L675" s="58" t="str">
        <f t="shared" si="103"/>
        <v/>
      </c>
      <c r="M675" s="58" t="str">
        <f t="shared" si="104"/>
        <v/>
      </c>
      <c r="N675" s="59" t="str">
        <f t="shared" si="100"/>
        <v/>
      </c>
      <c r="O675" s="60"/>
      <c r="P675" s="105"/>
    </row>
    <row r="676" spans="1:16" x14ac:dyDescent="0.3">
      <c r="A676" s="54" t="str">
        <f>IF([2]weekly_demand!A677="","",[2]weekly_demand!A677)</f>
        <v/>
      </c>
      <c r="B676" s="55" t="str">
        <f>IF($A676="","",[2]weekly_demand!F677)</f>
        <v/>
      </c>
      <c r="C676" s="56" t="str">
        <f>IF($A676="","",[2]weekly_demand!H677)</f>
        <v/>
      </c>
      <c r="D676" s="57" t="str">
        <f>IF($A676="","",IF(SUMIFS([2]Fixture_Capacity_Input!$C:$C,[2]Fixture_Capacity_Input!$A:$A,$B676,[2]Fixture_Capacity_Input!$B:$B,$C676)&gt;0,SUMIFS([2]Fixture_Capacity_Input!$C:$C,[2]Fixture_Capacity_Input!$A:$A,$B676,[2]Fixture_Capacity_Input!$B:$B,$C676),[2]weekly_demand!G677))</f>
        <v/>
      </c>
      <c r="E676" s="58" t="str">
        <f>IF($A676="","",[2]weekly_demand!I677)</f>
        <v/>
      </c>
      <c r="F676" s="57" t="str">
        <f t="shared" si="97"/>
        <v/>
      </c>
      <c r="G676" s="57" t="str">
        <f t="shared" si="98"/>
        <v/>
      </c>
      <c r="H676" s="57" t="str">
        <f t="shared" si="96"/>
        <v/>
      </c>
      <c r="I676" s="58" t="str">
        <f t="shared" si="101"/>
        <v/>
      </c>
      <c r="J676" s="58" t="str">
        <f t="shared" si="99"/>
        <v/>
      </c>
      <c r="K676" s="58" t="str">
        <f t="shared" si="102"/>
        <v/>
      </c>
      <c r="L676" s="58" t="str">
        <f t="shared" si="103"/>
        <v/>
      </c>
      <c r="M676" s="58" t="str">
        <f t="shared" si="104"/>
        <v/>
      </c>
      <c r="N676" s="59" t="str">
        <f t="shared" si="100"/>
        <v/>
      </c>
      <c r="O676" s="60"/>
      <c r="P676" s="105"/>
    </row>
    <row r="677" spans="1:16" x14ac:dyDescent="0.3">
      <c r="A677" s="54" t="str">
        <f>IF([2]weekly_demand!A678="","",[2]weekly_demand!A678)</f>
        <v/>
      </c>
      <c r="B677" s="55" t="str">
        <f>IF($A677="","",[2]weekly_demand!F678)</f>
        <v/>
      </c>
      <c r="C677" s="56" t="str">
        <f>IF($A677="","",[2]weekly_demand!H678)</f>
        <v/>
      </c>
      <c r="D677" s="57" t="str">
        <f>IF($A677="","",IF(SUMIFS([2]Fixture_Capacity_Input!$C:$C,[2]Fixture_Capacity_Input!$A:$A,$B677,[2]Fixture_Capacity_Input!$B:$B,$C677)&gt;0,SUMIFS([2]Fixture_Capacity_Input!$C:$C,[2]Fixture_Capacity_Input!$A:$A,$B677,[2]Fixture_Capacity_Input!$B:$B,$C677),[2]weekly_demand!G678))</f>
        <v/>
      </c>
      <c r="E677" s="58" t="str">
        <f>IF($A677="","",[2]weekly_demand!I678)</f>
        <v/>
      </c>
      <c r="F677" s="57" t="str">
        <f t="shared" si="97"/>
        <v/>
      </c>
      <c r="G677" s="57" t="str">
        <f t="shared" si="98"/>
        <v/>
      </c>
      <c r="H677" s="57" t="str">
        <f t="shared" si="96"/>
        <v/>
      </c>
      <c r="I677" s="58" t="str">
        <f t="shared" si="101"/>
        <v/>
      </c>
      <c r="J677" s="58" t="str">
        <f t="shared" si="99"/>
        <v/>
      </c>
      <c r="K677" s="58" t="str">
        <f t="shared" si="102"/>
        <v/>
      </c>
      <c r="L677" s="58" t="str">
        <f t="shared" si="103"/>
        <v/>
      </c>
      <c r="M677" s="58" t="str">
        <f t="shared" si="104"/>
        <v/>
      </c>
      <c r="N677" s="59" t="str">
        <f t="shared" si="100"/>
        <v/>
      </c>
      <c r="O677" s="60"/>
      <c r="P677" s="105"/>
    </row>
    <row r="678" spans="1:16" x14ac:dyDescent="0.3">
      <c r="A678" s="54" t="str">
        <f>IF([2]weekly_demand!A679="","",[2]weekly_demand!A679)</f>
        <v/>
      </c>
      <c r="B678" s="55" t="str">
        <f>IF($A678="","",[2]weekly_demand!F679)</f>
        <v/>
      </c>
      <c r="C678" s="56" t="str">
        <f>IF($A678="","",[2]weekly_demand!H679)</f>
        <v/>
      </c>
      <c r="D678" s="57" t="str">
        <f>IF($A678="","",IF(SUMIFS([2]Fixture_Capacity_Input!$C:$C,[2]Fixture_Capacity_Input!$A:$A,$B678,[2]Fixture_Capacity_Input!$B:$B,$C678)&gt;0,SUMIFS([2]Fixture_Capacity_Input!$C:$C,[2]Fixture_Capacity_Input!$A:$A,$B678,[2]Fixture_Capacity_Input!$B:$B,$C678),[2]weekly_demand!G679))</f>
        <v/>
      </c>
      <c r="E678" s="58" t="str">
        <f>IF($A678="","",[2]weekly_demand!I679)</f>
        <v/>
      </c>
      <c r="F678" s="57" t="str">
        <f t="shared" si="97"/>
        <v/>
      </c>
      <c r="G678" s="57" t="str">
        <f t="shared" si="98"/>
        <v/>
      </c>
      <c r="H678" s="57" t="str">
        <f t="shared" si="96"/>
        <v/>
      </c>
      <c r="I678" s="58" t="str">
        <f t="shared" si="101"/>
        <v/>
      </c>
      <c r="J678" s="58" t="str">
        <f t="shared" si="99"/>
        <v/>
      </c>
      <c r="K678" s="58" t="str">
        <f t="shared" si="102"/>
        <v/>
      </c>
      <c r="L678" s="58" t="str">
        <f t="shared" si="103"/>
        <v/>
      </c>
      <c r="M678" s="58" t="str">
        <f t="shared" si="104"/>
        <v/>
      </c>
      <c r="N678" s="59" t="str">
        <f t="shared" si="100"/>
        <v/>
      </c>
      <c r="O678" s="60"/>
      <c r="P678" s="105"/>
    </row>
    <row r="679" spans="1:16" x14ac:dyDescent="0.3">
      <c r="A679" s="54" t="str">
        <f>IF([2]weekly_demand!A680="","",[2]weekly_demand!A680)</f>
        <v/>
      </c>
      <c r="B679" s="55" t="str">
        <f>IF($A679="","",[2]weekly_demand!F680)</f>
        <v/>
      </c>
      <c r="C679" s="56" t="str">
        <f>IF($A679="","",[2]weekly_demand!H680)</f>
        <v/>
      </c>
      <c r="D679" s="57" t="str">
        <f>IF($A679="","",IF(SUMIFS([2]Fixture_Capacity_Input!$C:$C,[2]Fixture_Capacity_Input!$A:$A,$B679,[2]Fixture_Capacity_Input!$B:$B,$C679)&gt;0,SUMIFS([2]Fixture_Capacity_Input!$C:$C,[2]Fixture_Capacity_Input!$A:$A,$B679,[2]Fixture_Capacity_Input!$B:$B,$C679),[2]weekly_demand!G680))</f>
        <v/>
      </c>
      <c r="E679" s="58" t="str">
        <f>IF($A679="","",[2]weekly_demand!I680)</f>
        <v/>
      </c>
      <c r="F679" s="57" t="str">
        <f t="shared" si="97"/>
        <v/>
      </c>
      <c r="G679" s="57" t="str">
        <f t="shared" si="98"/>
        <v/>
      </c>
      <c r="H679" s="57" t="str">
        <f t="shared" si="96"/>
        <v/>
      </c>
      <c r="I679" s="58" t="str">
        <f t="shared" si="101"/>
        <v/>
      </c>
      <c r="J679" s="58" t="str">
        <f t="shared" si="99"/>
        <v/>
      </c>
      <c r="K679" s="58" t="str">
        <f t="shared" si="102"/>
        <v/>
      </c>
      <c r="L679" s="58" t="str">
        <f t="shared" si="103"/>
        <v/>
      </c>
      <c r="M679" s="58" t="str">
        <f t="shared" si="104"/>
        <v/>
      </c>
      <c r="N679" s="59" t="str">
        <f t="shared" si="100"/>
        <v/>
      </c>
      <c r="O679" s="60"/>
      <c r="P679" s="105"/>
    </row>
    <row r="680" spans="1:16" x14ac:dyDescent="0.3">
      <c r="A680" s="54" t="str">
        <f>IF([2]weekly_demand!A681="","",[2]weekly_demand!A681)</f>
        <v/>
      </c>
      <c r="B680" s="55" t="str">
        <f>IF($A680="","",[2]weekly_demand!F681)</f>
        <v/>
      </c>
      <c r="C680" s="56" t="str">
        <f>IF($A680="","",[2]weekly_demand!H681)</f>
        <v/>
      </c>
      <c r="D680" s="57" t="str">
        <f>IF($A680="","",IF(SUMIFS([2]Fixture_Capacity_Input!$C:$C,[2]Fixture_Capacity_Input!$A:$A,$B680,[2]Fixture_Capacity_Input!$B:$B,$C680)&gt;0,SUMIFS([2]Fixture_Capacity_Input!$C:$C,[2]Fixture_Capacity_Input!$A:$A,$B680,[2]Fixture_Capacity_Input!$B:$B,$C680),[2]weekly_demand!G681))</f>
        <v/>
      </c>
      <c r="E680" s="58" t="str">
        <f>IF($A680="","",[2]weekly_demand!I681)</f>
        <v/>
      </c>
      <c r="F680" s="57" t="str">
        <f t="shared" si="97"/>
        <v/>
      </c>
      <c r="G680" s="57" t="str">
        <f t="shared" si="98"/>
        <v/>
      </c>
      <c r="H680" s="57" t="str">
        <f t="shared" si="96"/>
        <v/>
      </c>
      <c r="I680" s="58" t="str">
        <f t="shared" si="101"/>
        <v/>
      </c>
      <c r="J680" s="58" t="str">
        <f t="shared" si="99"/>
        <v/>
      </c>
      <c r="K680" s="58" t="str">
        <f t="shared" si="102"/>
        <v/>
      </c>
      <c r="L680" s="58" t="str">
        <f t="shared" si="103"/>
        <v/>
      </c>
      <c r="M680" s="58" t="str">
        <f t="shared" si="104"/>
        <v/>
      </c>
      <c r="N680" s="59" t="str">
        <f t="shared" si="100"/>
        <v/>
      </c>
      <c r="O680" s="60"/>
      <c r="P680" s="105"/>
    </row>
    <row r="681" spans="1:16" x14ac:dyDescent="0.3">
      <c r="A681" s="54" t="str">
        <f>IF([2]weekly_demand!A682="","",[2]weekly_demand!A682)</f>
        <v/>
      </c>
      <c r="B681" s="55" t="str">
        <f>IF($A681="","",[2]weekly_demand!F682)</f>
        <v/>
      </c>
      <c r="C681" s="56" t="str">
        <f>IF($A681="","",[2]weekly_demand!H682)</f>
        <v/>
      </c>
      <c r="D681" s="57" t="str">
        <f>IF($A681="","",IF(SUMIFS([2]Fixture_Capacity_Input!$C:$C,[2]Fixture_Capacity_Input!$A:$A,$B681,[2]Fixture_Capacity_Input!$B:$B,$C681)&gt;0,SUMIFS([2]Fixture_Capacity_Input!$C:$C,[2]Fixture_Capacity_Input!$A:$A,$B681,[2]Fixture_Capacity_Input!$B:$B,$C681),[2]weekly_demand!G682))</f>
        <v/>
      </c>
      <c r="E681" s="58" t="str">
        <f>IF($A681="","",[2]weekly_demand!I682)</f>
        <v/>
      </c>
      <c r="F681" s="57" t="str">
        <f t="shared" si="97"/>
        <v/>
      </c>
      <c r="G681" s="57" t="str">
        <f t="shared" si="98"/>
        <v/>
      </c>
      <c r="H681" s="57" t="str">
        <f t="shared" si="96"/>
        <v/>
      </c>
      <c r="I681" s="58" t="str">
        <f t="shared" si="101"/>
        <v/>
      </c>
      <c r="J681" s="58" t="str">
        <f t="shared" si="99"/>
        <v/>
      </c>
      <c r="K681" s="58" t="str">
        <f t="shared" si="102"/>
        <v/>
      </c>
      <c r="L681" s="58" t="str">
        <f t="shared" si="103"/>
        <v/>
      </c>
      <c r="M681" s="58" t="str">
        <f t="shared" si="104"/>
        <v/>
      </c>
      <c r="N681" s="59" t="str">
        <f t="shared" si="100"/>
        <v/>
      </c>
      <c r="O681" s="60"/>
      <c r="P681" s="105"/>
    </row>
    <row r="682" spans="1:16" x14ac:dyDescent="0.3">
      <c r="A682" s="54" t="str">
        <f>IF([2]weekly_demand!A683="","",[2]weekly_demand!A683)</f>
        <v/>
      </c>
      <c r="B682" s="55" t="str">
        <f>IF($A682="","",[2]weekly_demand!F683)</f>
        <v/>
      </c>
      <c r="C682" s="56" t="str">
        <f>IF($A682="","",[2]weekly_demand!H683)</f>
        <v/>
      </c>
      <c r="D682" s="57" t="str">
        <f>IF($A682="","",IF(SUMIFS([2]Fixture_Capacity_Input!$C:$C,[2]Fixture_Capacity_Input!$A:$A,$B682,[2]Fixture_Capacity_Input!$B:$B,$C682)&gt;0,SUMIFS([2]Fixture_Capacity_Input!$C:$C,[2]Fixture_Capacity_Input!$A:$A,$B682,[2]Fixture_Capacity_Input!$B:$B,$C682),[2]weekly_demand!G683))</f>
        <v/>
      </c>
      <c r="E682" s="58" t="str">
        <f>IF($A682="","",[2]weekly_demand!I683)</f>
        <v/>
      </c>
      <c r="F682" s="57" t="str">
        <f t="shared" si="97"/>
        <v/>
      </c>
      <c r="G682" s="57" t="str">
        <f t="shared" si="98"/>
        <v/>
      </c>
      <c r="H682" s="57" t="str">
        <f t="shared" si="96"/>
        <v/>
      </c>
      <c r="I682" s="58" t="str">
        <f t="shared" si="101"/>
        <v/>
      </c>
      <c r="J682" s="58" t="str">
        <f t="shared" si="99"/>
        <v/>
      </c>
      <c r="K682" s="58" t="str">
        <f t="shared" si="102"/>
        <v/>
      </c>
      <c r="L682" s="58" t="str">
        <f t="shared" si="103"/>
        <v/>
      </c>
      <c r="M682" s="58" t="str">
        <f t="shared" si="104"/>
        <v/>
      </c>
      <c r="N682" s="59" t="str">
        <f t="shared" si="100"/>
        <v/>
      </c>
      <c r="O682" s="60"/>
      <c r="P682" s="105"/>
    </row>
    <row r="683" spans="1:16" x14ac:dyDescent="0.3">
      <c r="A683" s="54" t="str">
        <f>IF([2]weekly_demand!A684="","",[2]weekly_demand!A684)</f>
        <v/>
      </c>
      <c r="B683" s="55" t="str">
        <f>IF($A683="","",[2]weekly_demand!F684)</f>
        <v/>
      </c>
      <c r="C683" s="56" t="str">
        <f>IF($A683="","",[2]weekly_demand!H684)</f>
        <v/>
      </c>
      <c r="D683" s="57" t="str">
        <f>IF($A683="","",IF(SUMIFS([2]Fixture_Capacity_Input!$C:$C,[2]Fixture_Capacity_Input!$A:$A,$B683,[2]Fixture_Capacity_Input!$B:$B,$C683)&gt;0,SUMIFS([2]Fixture_Capacity_Input!$C:$C,[2]Fixture_Capacity_Input!$A:$A,$B683,[2]Fixture_Capacity_Input!$B:$B,$C683),[2]weekly_demand!G684))</f>
        <v/>
      </c>
      <c r="E683" s="58" t="str">
        <f>IF($A683="","",[2]weekly_demand!I684)</f>
        <v/>
      </c>
      <c r="F683" s="57" t="str">
        <f t="shared" si="97"/>
        <v/>
      </c>
      <c r="G683" s="57" t="str">
        <f t="shared" si="98"/>
        <v/>
      </c>
      <c r="H683" s="57" t="str">
        <f t="shared" si="96"/>
        <v/>
      </c>
      <c r="I683" s="58" t="str">
        <f t="shared" si="101"/>
        <v/>
      </c>
      <c r="J683" s="58" t="str">
        <f t="shared" si="99"/>
        <v/>
      </c>
      <c r="K683" s="58" t="str">
        <f t="shared" si="102"/>
        <v/>
      </c>
      <c r="L683" s="58" t="str">
        <f t="shared" si="103"/>
        <v/>
      </c>
      <c r="M683" s="58" t="str">
        <f t="shared" si="104"/>
        <v/>
      </c>
      <c r="N683" s="59" t="str">
        <f t="shared" si="100"/>
        <v/>
      </c>
      <c r="O683" s="60"/>
      <c r="P683" s="105"/>
    </row>
    <row r="684" spans="1:16" x14ac:dyDescent="0.3">
      <c r="A684" s="54" t="str">
        <f>IF([2]weekly_demand!A685="","",[2]weekly_demand!A685)</f>
        <v/>
      </c>
      <c r="B684" s="55" t="str">
        <f>IF($A684="","",[2]weekly_demand!F685)</f>
        <v/>
      </c>
      <c r="C684" s="56" t="str">
        <f>IF($A684="","",[2]weekly_demand!H685)</f>
        <v/>
      </c>
      <c r="D684" s="57" t="str">
        <f>IF($A684="","",IF(SUMIFS([2]Fixture_Capacity_Input!$C:$C,[2]Fixture_Capacity_Input!$A:$A,$B684,[2]Fixture_Capacity_Input!$B:$B,$C684)&gt;0,SUMIFS([2]Fixture_Capacity_Input!$C:$C,[2]Fixture_Capacity_Input!$A:$A,$B684,[2]Fixture_Capacity_Input!$B:$B,$C684),[2]weekly_demand!G685))</f>
        <v/>
      </c>
      <c r="E684" s="58" t="str">
        <f>IF($A684="","",[2]weekly_demand!I685)</f>
        <v/>
      </c>
      <c r="F684" s="57" t="str">
        <f t="shared" si="97"/>
        <v/>
      </c>
      <c r="G684" s="57" t="str">
        <f t="shared" si="98"/>
        <v/>
      </c>
      <c r="H684" s="57" t="str">
        <f t="shared" si="96"/>
        <v/>
      </c>
      <c r="I684" s="58" t="str">
        <f t="shared" si="101"/>
        <v/>
      </c>
      <c r="J684" s="58" t="str">
        <f t="shared" si="99"/>
        <v/>
      </c>
      <c r="K684" s="58" t="str">
        <f t="shared" si="102"/>
        <v/>
      </c>
      <c r="L684" s="58" t="str">
        <f t="shared" si="103"/>
        <v/>
      </c>
      <c r="M684" s="58" t="str">
        <f t="shared" si="104"/>
        <v/>
      </c>
      <c r="N684" s="59" t="str">
        <f t="shared" si="100"/>
        <v/>
      </c>
      <c r="O684" s="60"/>
      <c r="P684" s="105"/>
    </row>
    <row r="685" spans="1:16" x14ac:dyDescent="0.3">
      <c r="A685" s="54" t="str">
        <f>IF([2]weekly_demand!A686="","",[2]weekly_demand!A686)</f>
        <v/>
      </c>
      <c r="B685" s="55" t="str">
        <f>IF($A685="","",[2]weekly_demand!F686)</f>
        <v/>
      </c>
      <c r="C685" s="56" t="str">
        <f>IF($A685="","",[2]weekly_demand!H686)</f>
        <v/>
      </c>
      <c r="D685" s="57" t="str">
        <f>IF($A685="","",IF(SUMIFS([2]Fixture_Capacity_Input!$C:$C,[2]Fixture_Capacity_Input!$A:$A,$B685,[2]Fixture_Capacity_Input!$B:$B,$C685)&gt;0,SUMIFS([2]Fixture_Capacity_Input!$C:$C,[2]Fixture_Capacity_Input!$A:$A,$B685,[2]Fixture_Capacity_Input!$B:$B,$C685),[2]weekly_demand!G686))</f>
        <v/>
      </c>
      <c r="E685" s="58" t="str">
        <f>IF($A685="","",[2]weekly_demand!I686)</f>
        <v/>
      </c>
      <c r="F685" s="57" t="str">
        <f t="shared" si="97"/>
        <v/>
      </c>
      <c r="G685" s="57" t="str">
        <f t="shared" si="98"/>
        <v/>
      </c>
      <c r="H685" s="57" t="str">
        <f t="shared" si="96"/>
        <v/>
      </c>
      <c r="I685" s="58" t="str">
        <f t="shared" si="101"/>
        <v/>
      </c>
      <c r="J685" s="58" t="str">
        <f t="shared" si="99"/>
        <v/>
      </c>
      <c r="K685" s="58" t="str">
        <f t="shared" si="102"/>
        <v/>
      </c>
      <c r="L685" s="58" t="str">
        <f t="shared" si="103"/>
        <v/>
      </c>
      <c r="M685" s="58" t="str">
        <f t="shared" si="104"/>
        <v/>
      </c>
      <c r="N685" s="59" t="str">
        <f t="shared" si="100"/>
        <v/>
      </c>
      <c r="O685" s="60"/>
      <c r="P685" s="105"/>
    </row>
    <row r="686" spans="1:16" x14ac:dyDescent="0.3">
      <c r="A686" s="54" t="str">
        <f>IF([2]weekly_demand!A687="","",[2]weekly_demand!A687)</f>
        <v/>
      </c>
      <c r="B686" s="55" t="str">
        <f>IF($A686="","",[2]weekly_demand!F687)</f>
        <v/>
      </c>
      <c r="C686" s="56" t="str">
        <f>IF($A686="","",[2]weekly_demand!H687)</f>
        <v/>
      </c>
      <c r="D686" s="57" t="str">
        <f>IF($A686="","",IF(SUMIFS([2]Fixture_Capacity_Input!$C:$C,[2]Fixture_Capacity_Input!$A:$A,$B686,[2]Fixture_Capacity_Input!$B:$B,$C686)&gt;0,SUMIFS([2]Fixture_Capacity_Input!$C:$C,[2]Fixture_Capacity_Input!$A:$A,$B686,[2]Fixture_Capacity_Input!$B:$B,$C686),[2]weekly_demand!G687))</f>
        <v/>
      </c>
      <c r="E686" s="58" t="str">
        <f>IF($A686="","",[2]weekly_demand!I687)</f>
        <v/>
      </c>
      <c r="F686" s="57" t="str">
        <f t="shared" si="97"/>
        <v/>
      </c>
      <c r="G686" s="57" t="str">
        <f t="shared" si="98"/>
        <v/>
      </c>
      <c r="H686" s="57" t="str">
        <f t="shared" si="96"/>
        <v/>
      </c>
      <c r="I686" s="58" t="str">
        <f t="shared" si="101"/>
        <v/>
      </c>
      <c r="J686" s="58" t="str">
        <f t="shared" si="99"/>
        <v/>
      </c>
      <c r="K686" s="58" t="str">
        <f t="shared" si="102"/>
        <v/>
      </c>
      <c r="L686" s="58" t="str">
        <f t="shared" si="103"/>
        <v/>
      </c>
      <c r="M686" s="58" t="str">
        <f t="shared" si="104"/>
        <v/>
      </c>
      <c r="N686" s="59" t="str">
        <f t="shared" si="100"/>
        <v/>
      </c>
      <c r="O686" s="60"/>
      <c r="P686" s="105"/>
    </row>
    <row r="687" spans="1:16" x14ac:dyDescent="0.3">
      <c r="A687" s="54" t="str">
        <f>IF([2]weekly_demand!A688="","",[2]weekly_demand!A688)</f>
        <v/>
      </c>
      <c r="B687" s="55" t="str">
        <f>IF($A687="","",[2]weekly_demand!F688)</f>
        <v/>
      </c>
      <c r="C687" s="56" t="str">
        <f>IF($A687="","",[2]weekly_demand!H688)</f>
        <v/>
      </c>
      <c r="D687" s="57" t="str">
        <f>IF($A687="","",IF(SUMIFS([2]Fixture_Capacity_Input!$C:$C,[2]Fixture_Capacity_Input!$A:$A,$B687,[2]Fixture_Capacity_Input!$B:$B,$C687)&gt;0,SUMIFS([2]Fixture_Capacity_Input!$C:$C,[2]Fixture_Capacity_Input!$A:$A,$B687,[2]Fixture_Capacity_Input!$B:$B,$C687),[2]weekly_demand!G688))</f>
        <v/>
      </c>
      <c r="E687" s="58" t="str">
        <f>IF($A687="","",[2]weekly_demand!I688)</f>
        <v/>
      </c>
      <c r="F687" s="57" t="str">
        <f t="shared" si="97"/>
        <v/>
      </c>
      <c r="G687" s="57" t="str">
        <f t="shared" si="98"/>
        <v/>
      </c>
      <c r="H687" s="57" t="str">
        <f t="shared" si="96"/>
        <v/>
      </c>
      <c r="I687" s="58" t="str">
        <f t="shared" si="101"/>
        <v/>
      </c>
      <c r="J687" s="58" t="str">
        <f t="shared" si="99"/>
        <v/>
      </c>
      <c r="K687" s="58" t="str">
        <f t="shared" si="102"/>
        <v/>
      </c>
      <c r="L687" s="58" t="str">
        <f t="shared" si="103"/>
        <v/>
      </c>
      <c r="M687" s="58" t="str">
        <f t="shared" si="104"/>
        <v/>
      </c>
      <c r="N687" s="59" t="str">
        <f t="shared" si="100"/>
        <v/>
      </c>
      <c r="O687" s="60"/>
      <c r="P687" s="105"/>
    </row>
    <row r="688" spans="1:16" x14ac:dyDescent="0.3">
      <c r="A688" s="54" t="str">
        <f>IF([2]weekly_demand!A689="","",[2]weekly_demand!A689)</f>
        <v/>
      </c>
      <c r="B688" s="55" t="str">
        <f>IF($A688="","",[2]weekly_demand!F689)</f>
        <v/>
      </c>
      <c r="C688" s="56" t="str">
        <f>IF($A688="","",[2]weekly_demand!H689)</f>
        <v/>
      </c>
      <c r="D688" s="57" t="str">
        <f>IF($A688="","",IF(SUMIFS([2]Fixture_Capacity_Input!$C:$C,[2]Fixture_Capacity_Input!$A:$A,$B688,[2]Fixture_Capacity_Input!$B:$B,$C688)&gt;0,SUMIFS([2]Fixture_Capacity_Input!$C:$C,[2]Fixture_Capacity_Input!$A:$A,$B688,[2]Fixture_Capacity_Input!$B:$B,$C688),[2]weekly_demand!G689))</f>
        <v/>
      </c>
      <c r="E688" s="58" t="str">
        <f>IF($A688="","",[2]weekly_demand!I689)</f>
        <v/>
      </c>
      <c r="F688" s="57" t="str">
        <f t="shared" si="97"/>
        <v/>
      </c>
      <c r="G688" s="57" t="str">
        <f t="shared" si="98"/>
        <v/>
      </c>
      <c r="H688" s="57" t="str">
        <f t="shared" si="96"/>
        <v/>
      </c>
      <c r="I688" s="58" t="str">
        <f t="shared" si="101"/>
        <v/>
      </c>
      <c r="J688" s="58" t="str">
        <f t="shared" si="99"/>
        <v/>
      </c>
      <c r="K688" s="58" t="str">
        <f t="shared" si="102"/>
        <v/>
      </c>
      <c r="L688" s="58" t="str">
        <f t="shared" si="103"/>
        <v/>
      </c>
      <c r="M688" s="58" t="str">
        <f t="shared" si="104"/>
        <v/>
      </c>
      <c r="N688" s="59" t="str">
        <f t="shared" si="100"/>
        <v/>
      </c>
      <c r="O688" s="60"/>
      <c r="P688" s="105"/>
    </row>
    <row r="689" spans="1:16" x14ac:dyDescent="0.3">
      <c r="A689" s="54" t="str">
        <f>IF([2]weekly_demand!A690="","",[2]weekly_demand!A690)</f>
        <v/>
      </c>
      <c r="B689" s="55" t="str">
        <f>IF($A689="","",[2]weekly_demand!F690)</f>
        <v/>
      </c>
      <c r="C689" s="56" t="str">
        <f>IF($A689="","",[2]weekly_demand!H690)</f>
        <v/>
      </c>
      <c r="D689" s="57" t="str">
        <f>IF($A689="","",IF(SUMIFS([2]Fixture_Capacity_Input!$C:$C,[2]Fixture_Capacity_Input!$A:$A,$B689,[2]Fixture_Capacity_Input!$B:$B,$C689)&gt;0,SUMIFS([2]Fixture_Capacity_Input!$C:$C,[2]Fixture_Capacity_Input!$A:$A,$B689,[2]Fixture_Capacity_Input!$B:$B,$C689),[2]weekly_demand!G690))</f>
        <v/>
      </c>
      <c r="E689" s="58" t="str">
        <f>IF($A689="","",[2]weekly_demand!I690)</f>
        <v/>
      </c>
      <c r="F689" s="57" t="str">
        <f t="shared" si="97"/>
        <v/>
      </c>
      <c r="G689" s="57" t="str">
        <f t="shared" si="98"/>
        <v/>
      </c>
      <c r="H689" s="57" t="str">
        <f t="shared" si="96"/>
        <v/>
      </c>
      <c r="I689" s="58" t="str">
        <f t="shared" si="101"/>
        <v/>
      </c>
      <c r="J689" s="58" t="str">
        <f t="shared" si="99"/>
        <v/>
      </c>
      <c r="K689" s="58" t="str">
        <f t="shared" si="102"/>
        <v/>
      </c>
      <c r="L689" s="58" t="str">
        <f t="shared" si="103"/>
        <v/>
      </c>
      <c r="M689" s="58" t="str">
        <f t="shared" si="104"/>
        <v/>
      </c>
      <c r="N689" s="59" t="str">
        <f t="shared" si="100"/>
        <v/>
      </c>
      <c r="O689" s="60"/>
      <c r="P689" s="105"/>
    </row>
    <row r="690" spans="1:16" x14ac:dyDescent="0.3">
      <c r="A690" s="54" t="str">
        <f>IF([2]weekly_demand!A691="","",[2]weekly_demand!A691)</f>
        <v/>
      </c>
      <c r="B690" s="55" t="str">
        <f>IF($A690="","",[2]weekly_demand!F691)</f>
        <v/>
      </c>
      <c r="C690" s="56" t="str">
        <f>IF($A690="","",[2]weekly_demand!H691)</f>
        <v/>
      </c>
      <c r="D690" s="57" t="str">
        <f>IF($A690="","",IF(SUMIFS([2]Fixture_Capacity_Input!$C:$C,[2]Fixture_Capacity_Input!$A:$A,$B690,[2]Fixture_Capacity_Input!$B:$B,$C690)&gt;0,SUMIFS([2]Fixture_Capacity_Input!$C:$C,[2]Fixture_Capacity_Input!$A:$A,$B690,[2]Fixture_Capacity_Input!$B:$B,$C690),[2]weekly_demand!G691))</f>
        <v/>
      </c>
      <c r="E690" s="58" t="str">
        <f>IF($A690="","",[2]weekly_demand!I691)</f>
        <v/>
      </c>
      <c r="F690" s="57" t="str">
        <f t="shared" si="97"/>
        <v/>
      </c>
      <c r="G690" s="57" t="str">
        <f t="shared" si="98"/>
        <v/>
      </c>
      <c r="H690" s="57" t="str">
        <f t="shared" si="96"/>
        <v/>
      </c>
      <c r="I690" s="58" t="str">
        <f t="shared" si="101"/>
        <v/>
      </c>
      <c r="J690" s="58" t="str">
        <f t="shared" si="99"/>
        <v/>
      </c>
      <c r="K690" s="58" t="str">
        <f t="shared" si="102"/>
        <v/>
      </c>
      <c r="L690" s="58" t="str">
        <f t="shared" si="103"/>
        <v/>
      </c>
      <c r="M690" s="58" t="str">
        <f t="shared" si="104"/>
        <v/>
      </c>
      <c r="N690" s="59" t="str">
        <f t="shared" si="100"/>
        <v/>
      </c>
      <c r="O690" s="60"/>
      <c r="P690" s="105"/>
    </row>
    <row r="691" spans="1:16" x14ac:dyDescent="0.3">
      <c r="A691" s="54" t="str">
        <f>IF([2]weekly_demand!A692="","",[2]weekly_demand!A692)</f>
        <v/>
      </c>
      <c r="B691" s="55" t="str">
        <f>IF($A691="","",[2]weekly_demand!F692)</f>
        <v/>
      </c>
      <c r="C691" s="56" t="str">
        <f>IF($A691="","",[2]weekly_demand!H692)</f>
        <v/>
      </c>
      <c r="D691" s="57" t="str">
        <f>IF($A691="","",IF(SUMIFS([2]Fixture_Capacity_Input!$C:$C,[2]Fixture_Capacity_Input!$A:$A,$B691,[2]Fixture_Capacity_Input!$B:$B,$C691)&gt;0,SUMIFS([2]Fixture_Capacity_Input!$C:$C,[2]Fixture_Capacity_Input!$A:$A,$B691,[2]Fixture_Capacity_Input!$B:$B,$C691),[2]weekly_demand!G692))</f>
        <v/>
      </c>
      <c r="E691" s="58" t="str">
        <f>IF($A691="","",[2]weekly_demand!I692)</f>
        <v/>
      </c>
      <c r="F691" s="57" t="str">
        <f t="shared" si="97"/>
        <v/>
      </c>
      <c r="G691" s="57" t="str">
        <f t="shared" si="98"/>
        <v/>
      </c>
      <c r="H691" s="57" t="str">
        <f t="shared" ref="H691:H754" si="105">IF($A691="","",IF($A691&lt;&gt;$A692,0,MAX(0,H692+E692-D692)))</f>
        <v/>
      </c>
      <c r="I691" s="58" t="str">
        <f t="shared" si="101"/>
        <v/>
      </c>
      <c r="J691" s="58" t="str">
        <f t="shared" si="99"/>
        <v/>
      </c>
      <c r="K691" s="58" t="str">
        <f t="shared" si="102"/>
        <v/>
      </c>
      <c r="L691" s="58" t="str">
        <f t="shared" si="103"/>
        <v/>
      </c>
      <c r="M691" s="58" t="str">
        <f t="shared" si="104"/>
        <v/>
      </c>
      <c r="N691" s="59" t="str">
        <f t="shared" si="100"/>
        <v/>
      </c>
      <c r="O691" s="60"/>
      <c r="P691" s="105"/>
    </row>
    <row r="692" spans="1:16" x14ac:dyDescent="0.3">
      <c r="A692" s="54" t="str">
        <f>IF([2]weekly_demand!A693="","",[2]weekly_demand!A693)</f>
        <v/>
      </c>
      <c r="B692" s="55" t="str">
        <f>IF($A692="","",[2]weekly_demand!F693)</f>
        <v/>
      </c>
      <c r="C692" s="56" t="str">
        <f>IF($A692="","",[2]weekly_demand!H693)</f>
        <v/>
      </c>
      <c r="D692" s="57" t="str">
        <f>IF($A692="","",IF(SUMIFS([2]Fixture_Capacity_Input!$C:$C,[2]Fixture_Capacity_Input!$A:$A,$B692,[2]Fixture_Capacity_Input!$B:$B,$C692)&gt;0,SUMIFS([2]Fixture_Capacity_Input!$C:$C,[2]Fixture_Capacity_Input!$A:$A,$B692,[2]Fixture_Capacity_Input!$B:$B,$C692),[2]weekly_demand!G693))</f>
        <v/>
      </c>
      <c r="E692" s="58" t="str">
        <f>IF($A692="","",[2]weekly_demand!I693)</f>
        <v/>
      </c>
      <c r="F692" s="57" t="str">
        <f t="shared" si="97"/>
        <v/>
      </c>
      <c r="G692" s="57" t="str">
        <f t="shared" si="98"/>
        <v/>
      </c>
      <c r="H692" s="57" t="str">
        <f t="shared" si="105"/>
        <v/>
      </c>
      <c r="I692" s="58" t="str">
        <f t="shared" si="101"/>
        <v/>
      </c>
      <c r="J692" s="58" t="str">
        <f t="shared" si="99"/>
        <v/>
      </c>
      <c r="K692" s="58" t="str">
        <f t="shared" si="102"/>
        <v/>
      </c>
      <c r="L692" s="58" t="str">
        <f t="shared" si="103"/>
        <v/>
      </c>
      <c r="M692" s="58" t="str">
        <f t="shared" si="104"/>
        <v/>
      </c>
      <c r="N692" s="59" t="str">
        <f t="shared" si="100"/>
        <v/>
      </c>
      <c r="O692" s="60"/>
      <c r="P692" s="105"/>
    </row>
    <row r="693" spans="1:16" x14ac:dyDescent="0.3">
      <c r="A693" s="54" t="str">
        <f>IF([2]weekly_demand!A694="","",[2]weekly_demand!A694)</f>
        <v/>
      </c>
      <c r="B693" s="55" t="str">
        <f>IF($A693="","",[2]weekly_demand!F694)</f>
        <v/>
      </c>
      <c r="C693" s="56" t="str">
        <f>IF($A693="","",[2]weekly_demand!H694)</f>
        <v/>
      </c>
      <c r="D693" s="57" t="str">
        <f>IF($A693="","",IF(SUMIFS([2]Fixture_Capacity_Input!$C:$C,[2]Fixture_Capacity_Input!$A:$A,$B693,[2]Fixture_Capacity_Input!$B:$B,$C693)&gt;0,SUMIFS([2]Fixture_Capacity_Input!$C:$C,[2]Fixture_Capacity_Input!$A:$A,$B693,[2]Fixture_Capacity_Input!$B:$B,$C693),[2]weekly_demand!G694))</f>
        <v/>
      </c>
      <c r="E693" s="58" t="str">
        <f>IF($A693="","",[2]weekly_demand!I694)</f>
        <v/>
      </c>
      <c r="F693" s="57" t="str">
        <f t="shared" si="97"/>
        <v/>
      </c>
      <c r="G693" s="57" t="str">
        <f t="shared" si="98"/>
        <v/>
      </c>
      <c r="H693" s="57" t="str">
        <f t="shared" si="105"/>
        <v/>
      </c>
      <c r="I693" s="58" t="str">
        <f t="shared" si="101"/>
        <v/>
      </c>
      <c r="J693" s="58" t="str">
        <f t="shared" si="99"/>
        <v/>
      </c>
      <c r="K693" s="58" t="str">
        <f t="shared" si="102"/>
        <v/>
      </c>
      <c r="L693" s="58" t="str">
        <f t="shared" si="103"/>
        <v/>
      </c>
      <c r="M693" s="58" t="str">
        <f t="shared" si="104"/>
        <v/>
      </c>
      <c r="N693" s="59" t="str">
        <f t="shared" si="100"/>
        <v/>
      </c>
      <c r="O693" s="60"/>
      <c r="P693" s="105"/>
    </row>
    <row r="694" spans="1:16" x14ac:dyDescent="0.3">
      <c r="A694" s="54" t="str">
        <f>IF([2]weekly_demand!A695="","",[2]weekly_demand!A695)</f>
        <v/>
      </c>
      <c r="B694" s="55" t="str">
        <f>IF($A694="","",[2]weekly_demand!F695)</f>
        <v/>
      </c>
      <c r="C694" s="56" t="str">
        <f>IF($A694="","",[2]weekly_demand!H695)</f>
        <v/>
      </c>
      <c r="D694" s="57" t="str">
        <f>IF($A694="","",IF(SUMIFS([2]Fixture_Capacity_Input!$C:$C,[2]Fixture_Capacity_Input!$A:$A,$B694,[2]Fixture_Capacity_Input!$B:$B,$C694)&gt;0,SUMIFS([2]Fixture_Capacity_Input!$C:$C,[2]Fixture_Capacity_Input!$A:$A,$B694,[2]Fixture_Capacity_Input!$B:$B,$C694),[2]weekly_demand!G695))</f>
        <v/>
      </c>
      <c r="E694" s="58" t="str">
        <f>IF($A694="","",[2]weekly_demand!I695)</f>
        <v/>
      </c>
      <c r="F694" s="57" t="str">
        <f t="shared" si="97"/>
        <v/>
      </c>
      <c r="G694" s="57" t="str">
        <f t="shared" si="98"/>
        <v/>
      </c>
      <c r="H694" s="57" t="str">
        <f t="shared" si="105"/>
        <v/>
      </c>
      <c r="I694" s="58" t="str">
        <f t="shared" si="101"/>
        <v/>
      </c>
      <c r="J694" s="58" t="str">
        <f t="shared" si="99"/>
        <v/>
      </c>
      <c r="K694" s="58" t="str">
        <f t="shared" si="102"/>
        <v/>
      </c>
      <c r="L694" s="58" t="str">
        <f t="shared" si="103"/>
        <v/>
      </c>
      <c r="M694" s="58" t="str">
        <f t="shared" si="104"/>
        <v/>
      </c>
      <c r="N694" s="59" t="str">
        <f t="shared" si="100"/>
        <v/>
      </c>
      <c r="O694" s="60"/>
      <c r="P694" s="105"/>
    </row>
    <row r="695" spans="1:16" x14ac:dyDescent="0.3">
      <c r="A695" s="54" t="str">
        <f>IF([2]weekly_demand!A696="","",[2]weekly_demand!A696)</f>
        <v/>
      </c>
      <c r="B695" s="55" t="str">
        <f>IF($A695="","",[2]weekly_demand!F696)</f>
        <v/>
      </c>
      <c r="C695" s="56" t="str">
        <f>IF($A695="","",[2]weekly_demand!H696)</f>
        <v/>
      </c>
      <c r="D695" s="57" t="str">
        <f>IF($A695="","",IF(SUMIFS([2]Fixture_Capacity_Input!$C:$C,[2]Fixture_Capacity_Input!$A:$A,$B695,[2]Fixture_Capacity_Input!$B:$B,$C695)&gt;0,SUMIFS([2]Fixture_Capacity_Input!$C:$C,[2]Fixture_Capacity_Input!$A:$A,$B695,[2]Fixture_Capacity_Input!$B:$B,$C695),[2]weekly_demand!G696))</f>
        <v/>
      </c>
      <c r="E695" s="58" t="str">
        <f>IF($A695="","",[2]weekly_demand!I696)</f>
        <v/>
      </c>
      <c r="F695" s="57" t="str">
        <f t="shared" si="97"/>
        <v/>
      </c>
      <c r="G695" s="57" t="str">
        <f t="shared" si="98"/>
        <v/>
      </c>
      <c r="H695" s="57" t="str">
        <f t="shared" si="105"/>
        <v/>
      </c>
      <c r="I695" s="58" t="str">
        <f t="shared" si="101"/>
        <v/>
      </c>
      <c r="J695" s="58" t="str">
        <f t="shared" si="99"/>
        <v/>
      </c>
      <c r="K695" s="58" t="str">
        <f t="shared" si="102"/>
        <v/>
      </c>
      <c r="L695" s="58" t="str">
        <f t="shared" si="103"/>
        <v/>
      </c>
      <c r="M695" s="58" t="str">
        <f t="shared" si="104"/>
        <v/>
      </c>
      <c r="N695" s="59" t="str">
        <f t="shared" si="100"/>
        <v/>
      </c>
      <c r="O695" s="60"/>
      <c r="P695" s="105"/>
    </row>
    <row r="696" spans="1:16" x14ac:dyDescent="0.3">
      <c r="A696" s="54" t="str">
        <f>IF([2]weekly_demand!A697="","",[2]weekly_demand!A697)</f>
        <v/>
      </c>
      <c r="B696" s="55" t="str">
        <f>IF($A696="","",[2]weekly_demand!F697)</f>
        <v/>
      </c>
      <c r="C696" s="56" t="str">
        <f>IF($A696="","",[2]weekly_demand!H697)</f>
        <v/>
      </c>
      <c r="D696" s="57" t="str">
        <f>IF($A696="","",IF(SUMIFS([2]Fixture_Capacity_Input!$C:$C,[2]Fixture_Capacity_Input!$A:$A,$B696,[2]Fixture_Capacity_Input!$B:$B,$C696)&gt;0,SUMIFS([2]Fixture_Capacity_Input!$C:$C,[2]Fixture_Capacity_Input!$A:$A,$B696,[2]Fixture_Capacity_Input!$B:$B,$C696),[2]weekly_demand!G697))</f>
        <v/>
      </c>
      <c r="E696" s="58" t="str">
        <f>IF($A696="","",[2]weekly_demand!I697)</f>
        <v/>
      </c>
      <c r="F696" s="57" t="str">
        <f t="shared" si="97"/>
        <v/>
      </c>
      <c r="G696" s="57" t="str">
        <f t="shared" si="98"/>
        <v/>
      </c>
      <c r="H696" s="57" t="str">
        <f t="shared" si="105"/>
        <v/>
      </c>
      <c r="I696" s="58" t="str">
        <f t="shared" si="101"/>
        <v/>
      </c>
      <c r="J696" s="58" t="str">
        <f t="shared" si="99"/>
        <v/>
      </c>
      <c r="K696" s="58" t="str">
        <f t="shared" si="102"/>
        <v/>
      </c>
      <c r="L696" s="58" t="str">
        <f t="shared" si="103"/>
        <v/>
      </c>
      <c r="M696" s="58" t="str">
        <f t="shared" si="104"/>
        <v/>
      </c>
      <c r="N696" s="59" t="str">
        <f t="shared" si="100"/>
        <v/>
      </c>
      <c r="O696" s="60"/>
      <c r="P696" s="105"/>
    </row>
    <row r="697" spans="1:16" x14ac:dyDescent="0.3">
      <c r="A697" s="54" t="str">
        <f>IF([2]weekly_demand!A698="","",[2]weekly_demand!A698)</f>
        <v/>
      </c>
      <c r="B697" s="55" t="str">
        <f>IF($A697="","",[2]weekly_demand!F698)</f>
        <v/>
      </c>
      <c r="C697" s="56" t="str">
        <f>IF($A697="","",[2]weekly_demand!H698)</f>
        <v/>
      </c>
      <c r="D697" s="57" t="str">
        <f>IF($A697="","",IF(SUMIFS([2]Fixture_Capacity_Input!$C:$C,[2]Fixture_Capacity_Input!$A:$A,$B697,[2]Fixture_Capacity_Input!$B:$B,$C697)&gt;0,SUMIFS([2]Fixture_Capacity_Input!$C:$C,[2]Fixture_Capacity_Input!$A:$A,$B697,[2]Fixture_Capacity_Input!$B:$B,$C697),[2]weekly_demand!G698))</f>
        <v/>
      </c>
      <c r="E697" s="58" t="str">
        <f>IF($A697="","",[2]weekly_demand!I698)</f>
        <v/>
      </c>
      <c r="F697" s="57" t="str">
        <f t="shared" si="97"/>
        <v/>
      </c>
      <c r="G697" s="57" t="str">
        <f t="shared" si="98"/>
        <v/>
      </c>
      <c r="H697" s="57" t="str">
        <f t="shared" si="105"/>
        <v/>
      </c>
      <c r="I697" s="58" t="str">
        <f t="shared" si="101"/>
        <v/>
      </c>
      <c r="J697" s="58" t="str">
        <f t="shared" si="99"/>
        <v/>
      </c>
      <c r="K697" s="58" t="str">
        <f t="shared" si="102"/>
        <v/>
      </c>
      <c r="L697" s="58" t="str">
        <f t="shared" si="103"/>
        <v/>
      </c>
      <c r="M697" s="58" t="str">
        <f t="shared" si="104"/>
        <v/>
      </c>
      <c r="N697" s="59" t="str">
        <f t="shared" si="100"/>
        <v/>
      </c>
      <c r="O697" s="60"/>
      <c r="P697" s="105"/>
    </row>
    <row r="698" spans="1:16" x14ac:dyDescent="0.3">
      <c r="A698" s="54" t="str">
        <f>IF([2]weekly_demand!A699="","",[2]weekly_demand!A699)</f>
        <v/>
      </c>
      <c r="B698" s="55" t="str">
        <f>IF($A698="","",[2]weekly_demand!F699)</f>
        <v/>
      </c>
      <c r="C698" s="56" t="str">
        <f>IF($A698="","",[2]weekly_demand!H699)</f>
        <v/>
      </c>
      <c r="D698" s="57" t="str">
        <f>IF($A698="","",IF(SUMIFS([2]Fixture_Capacity_Input!$C:$C,[2]Fixture_Capacity_Input!$A:$A,$B698,[2]Fixture_Capacity_Input!$B:$B,$C698)&gt;0,SUMIFS([2]Fixture_Capacity_Input!$C:$C,[2]Fixture_Capacity_Input!$A:$A,$B698,[2]Fixture_Capacity_Input!$B:$B,$C698),[2]weekly_demand!G699))</f>
        <v/>
      </c>
      <c r="E698" s="58" t="str">
        <f>IF($A698="","",[2]weekly_demand!I699)</f>
        <v/>
      </c>
      <c r="F698" s="57" t="str">
        <f t="shared" si="97"/>
        <v/>
      </c>
      <c r="G698" s="57" t="str">
        <f t="shared" si="98"/>
        <v/>
      </c>
      <c r="H698" s="57" t="str">
        <f t="shared" si="105"/>
        <v/>
      </c>
      <c r="I698" s="58" t="str">
        <f t="shared" si="101"/>
        <v/>
      </c>
      <c r="J698" s="58" t="str">
        <f t="shared" si="99"/>
        <v/>
      </c>
      <c r="K698" s="58" t="str">
        <f t="shared" si="102"/>
        <v/>
      </c>
      <c r="L698" s="58" t="str">
        <f t="shared" si="103"/>
        <v/>
      </c>
      <c r="M698" s="58" t="str">
        <f t="shared" si="104"/>
        <v/>
      </c>
      <c r="N698" s="59" t="str">
        <f t="shared" si="100"/>
        <v/>
      </c>
      <c r="O698" s="60"/>
      <c r="P698" s="105"/>
    </row>
    <row r="699" spans="1:16" x14ac:dyDescent="0.3">
      <c r="A699" s="54" t="str">
        <f>IF([2]weekly_demand!A700="","",[2]weekly_demand!A700)</f>
        <v/>
      </c>
      <c r="B699" s="55" t="str">
        <f>IF($A699="","",[2]weekly_demand!F700)</f>
        <v/>
      </c>
      <c r="C699" s="56" t="str">
        <f>IF($A699="","",[2]weekly_demand!H700)</f>
        <v/>
      </c>
      <c r="D699" s="57" t="str">
        <f>IF($A699="","",IF(SUMIFS([2]Fixture_Capacity_Input!$C:$C,[2]Fixture_Capacity_Input!$A:$A,$B699,[2]Fixture_Capacity_Input!$B:$B,$C699)&gt;0,SUMIFS([2]Fixture_Capacity_Input!$C:$C,[2]Fixture_Capacity_Input!$A:$A,$B699,[2]Fixture_Capacity_Input!$B:$B,$C699),[2]weekly_demand!G700))</f>
        <v/>
      </c>
      <c r="E699" s="58" t="str">
        <f>IF($A699="","",[2]weekly_demand!I700)</f>
        <v/>
      </c>
      <c r="F699" s="57" t="str">
        <f t="shared" si="97"/>
        <v/>
      </c>
      <c r="G699" s="57" t="str">
        <f t="shared" si="98"/>
        <v/>
      </c>
      <c r="H699" s="57" t="str">
        <f t="shared" si="105"/>
        <v/>
      </c>
      <c r="I699" s="58" t="str">
        <f t="shared" si="101"/>
        <v/>
      </c>
      <c r="J699" s="58" t="str">
        <f t="shared" si="99"/>
        <v/>
      </c>
      <c r="K699" s="58" t="str">
        <f t="shared" si="102"/>
        <v/>
      </c>
      <c r="L699" s="58" t="str">
        <f t="shared" si="103"/>
        <v/>
      </c>
      <c r="M699" s="58" t="str">
        <f t="shared" si="104"/>
        <v/>
      </c>
      <c r="N699" s="59" t="str">
        <f t="shared" si="100"/>
        <v/>
      </c>
      <c r="O699" s="60"/>
      <c r="P699" s="105"/>
    </row>
    <row r="700" spans="1:16" x14ac:dyDescent="0.3">
      <c r="A700" s="54" t="str">
        <f>IF([2]weekly_demand!A701="","",[2]weekly_demand!A701)</f>
        <v/>
      </c>
      <c r="B700" s="55" t="str">
        <f>IF($A700="","",[2]weekly_demand!F701)</f>
        <v/>
      </c>
      <c r="C700" s="56" t="str">
        <f>IF($A700="","",[2]weekly_demand!H701)</f>
        <v/>
      </c>
      <c r="D700" s="57" t="str">
        <f>IF($A700="","",IF(SUMIFS([2]Fixture_Capacity_Input!$C:$C,[2]Fixture_Capacity_Input!$A:$A,$B700,[2]Fixture_Capacity_Input!$B:$B,$C700)&gt;0,SUMIFS([2]Fixture_Capacity_Input!$C:$C,[2]Fixture_Capacity_Input!$A:$A,$B700,[2]Fixture_Capacity_Input!$B:$B,$C700),[2]weekly_demand!G701))</f>
        <v/>
      </c>
      <c r="E700" s="58" t="str">
        <f>IF($A700="","",[2]weekly_demand!I701)</f>
        <v/>
      </c>
      <c r="F700" s="57" t="str">
        <f t="shared" si="97"/>
        <v/>
      </c>
      <c r="G700" s="57" t="str">
        <f t="shared" si="98"/>
        <v/>
      </c>
      <c r="H700" s="57" t="str">
        <f t="shared" si="105"/>
        <v/>
      </c>
      <c r="I700" s="58" t="str">
        <f t="shared" si="101"/>
        <v/>
      </c>
      <c r="J700" s="58" t="str">
        <f t="shared" si="99"/>
        <v/>
      </c>
      <c r="K700" s="58" t="str">
        <f t="shared" si="102"/>
        <v/>
      </c>
      <c r="L700" s="58" t="str">
        <f t="shared" si="103"/>
        <v/>
      </c>
      <c r="M700" s="58" t="str">
        <f t="shared" si="104"/>
        <v/>
      </c>
      <c r="N700" s="59" t="str">
        <f t="shared" si="100"/>
        <v/>
      </c>
      <c r="O700" s="60"/>
      <c r="P700" s="105"/>
    </row>
    <row r="701" spans="1:16" x14ac:dyDescent="0.3">
      <c r="A701" s="54" t="str">
        <f>IF([2]weekly_demand!A702="","",[2]weekly_demand!A702)</f>
        <v/>
      </c>
      <c r="B701" s="55" t="str">
        <f>IF($A701="","",[2]weekly_demand!F702)</f>
        <v/>
      </c>
      <c r="C701" s="56" t="str">
        <f>IF($A701="","",[2]weekly_demand!H702)</f>
        <v/>
      </c>
      <c r="D701" s="57" t="str">
        <f>IF($A701="","",IF(SUMIFS([2]Fixture_Capacity_Input!$C:$C,[2]Fixture_Capacity_Input!$A:$A,$B701,[2]Fixture_Capacity_Input!$B:$B,$C701)&gt;0,SUMIFS([2]Fixture_Capacity_Input!$C:$C,[2]Fixture_Capacity_Input!$A:$A,$B701,[2]Fixture_Capacity_Input!$B:$B,$C701),[2]weekly_demand!G702))</f>
        <v/>
      </c>
      <c r="E701" s="58" t="str">
        <f>IF($A701="","",[2]weekly_demand!I702)</f>
        <v/>
      </c>
      <c r="F701" s="57" t="str">
        <f t="shared" si="97"/>
        <v/>
      </c>
      <c r="G701" s="57" t="str">
        <f t="shared" si="98"/>
        <v/>
      </c>
      <c r="H701" s="57" t="str">
        <f t="shared" si="105"/>
        <v/>
      </c>
      <c r="I701" s="58" t="str">
        <f t="shared" si="101"/>
        <v/>
      </c>
      <c r="J701" s="58" t="str">
        <f t="shared" si="99"/>
        <v/>
      </c>
      <c r="K701" s="58" t="str">
        <f t="shared" si="102"/>
        <v/>
      </c>
      <c r="L701" s="58" t="str">
        <f t="shared" si="103"/>
        <v/>
      </c>
      <c r="M701" s="58" t="str">
        <f t="shared" si="104"/>
        <v/>
      </c>
      <c r="N701" s="59" t="str">
        <f t="shared" si="100"/>
        <v/>
      </c>
      <c r="O701" s="60"/>
      <c r="P701" s="105"/>
    </row>
    <row r="702" spans="1:16" x14ac:dyDescent="0.3">
      <c r="A702" s="54" t="str">
        <f>IF([2]weekly_demand!A703="","",[2]weekly_demand!A703)</f>
        <v/>
      </c>
      <c r="B702" s="55" t="str">
        <f>IF($A702="","",[2]weekly_demand!F703)</f>
        <v/>
      </c>
      <c r="C702" s="56" t="str">
        <f>IF($A702="","",[2]weekly_demand!H703)</f>
        <v/>
      </c>
      <c r="D702" s="57" t="str">
        <f>IF($A702="","",IF(SUMIFS([2]Fixture_Capacity_Input!$C:$C,[2]Fixture_Capacity_Input!$A:$A,$B702,[2]Fixture_Capacity_Input!$B:$B,$C702)&gt;0,SUMIFS([2]Fixture_Capacity_Input!$C:$C,[2]Fixture_Capacity_Input!$A:$A,$B702,[2]Fixture_Capacity_Input!$B:$B,$C702),[2]weekly_demand!G703))</f>
        <v/>
      </c>
      <c r="E702" s="58" t="str">
        <f>IF($A702="","",[2]weekly_demand!I703)</f>
        <v/>
      </c>
      <c r="F702" s="57" t="str">
        <f t="shared" si="97"/>
        <v/>
      </c>
      <c r="G702" s="57" t="str">
        <f t="shared" si="98"/>
        <v/>
      </c>
      <c r="H702" s="57" t="str">
        <f t="shared" si="105"/>
        <v/>
      </c>
      <c r="I702" s="58" t="str">
        <f t="shared" si="101"/>
        <v/>
      </c>
      <c r="J702" s="58" t="str">
        <f t="shared" si="99"/>
        <v/>
      </c>
      <c r="K702" s="58" t="str">
        <f t="shared" si="102"/>
        <v/>
      </c>
      <c r="L702" s="58" t="str">
        <f t="shared" si="103"/>
        <v/>
      </c>
      <c r="M702" s="58" t="str">
        <f t="shared" si="104"/>
        <v/>
      </c>
      <c r="N702" s="59" t="str">
        <f t="shared" si="100"/>
        <v/>
      </c>
      <c r="O702" s="60"/>
      <c r="P702" s="105"/>
    </row>
    <row r="703" spans="1:16" x14ac:dyDescent="0.3">
      <c r="A703" s="54" t="str">
        <f>IF([2]weekly_demand!A704="","",[2]weekly_demand!A704)</f>
        <v/>
      </c>
      <c r="B703" s="55" t="str">
        <f>IF($A703="","",[2]weekly_demand!F704)</f>
        <v/>
      </c>
      <c r="C703" s="56" t="str">
        <f>IF($A703="","",[2]weekly_demand!H704)</f>
        <v/>
      </c>
      <c r="D703" s="57" t="str">
        <f>IF($A703="","",IF(SUMIFS([2]Fixture_Capacity_Input!$C:$C,[2]Fixture_Capacity_Input!$A:$A,$B703,[2]Fixture_Capacity_Input!$B:$B,$C703)&gt;0,SUMIFS([2]Fixture_Capacity_Input!$C:$C,[2]Fixture_Capacity_Input!$A:$A,$B703,[2]Fixture_Capacity_Input!$B:$B,$C703),[2]weekly_demand!G704))</f>
        <v/>
      </c>
      <c r="E703" s="58" t="str">
        <f>IF($A703="","",[2]weekly_demand!I704)</f>
        <v/>
      </c>
      <c r="F703" s="57" t="str">
        <f t="shared" si="97"/>
        <v/>
      </c>
      <c r="G703" s="57" t="str">
        <f t="shared" si="98"/>
        <v/>
      </c>
      <c r="H703" s="57" t="str">
        <f t="shared" si="105"/>
        <v/>
      </c>
      <c r="I703" s="58" t="str">
        <f t="shared" si="101"/>
        <v/>
      </c>
      <c r="J703" s="58" t="str">
        <f t="shared" si="99"/>
        <v/>
      </c>
      <c r="K703" s="58" t="str">
        <f t="shared" si="102"/>
        <v/>
      </c>
      <c r="L703" s="58" t="str">
        <f t="shared" si="103"/>
        <v/>
      </c>
      <c r="M703" s="58" t="str">
        <f t="shared" si="104"/>
        <v/>
      </c>
      <c r="N703" s="59" t="str">
        <f t="shared" si="100"/>
        <v/>
      </c>
      <c r="O703" s="60"/>
      <c r="P703" s="105"/>
    </row>
    <row r="704" spans="1:16" x14ac:dyDescent="0.3">
      <c r="A704" s="54" t="str">
        <f>IF([2]weekly_demand!A705="","",[2]weekly_demand!A705)</f>
        <v/>
      </c>
      <c r="B704" s="55" t="str">
        <f>IF($A704="","",[2]weekly_demand!F705)</f>
        <v/>
      </c>
      <c r="C704" s="56" t="str">
        <f>IF($A704="","",[2]weekly_demand!H705)</f>
        <v/>
      </c>
      <c r="D704" s="57" t="str">
        <f>IF($A704="","",IF(SUMIFS([2]Fixture_Capacity_Input!$C:$C,[2]Fixture_Capacity_Input!$A:$A,$B704,[2]Fixture_Capacity_Input!$B:$B,$C704)&gt;0,SUMIFS([2]Fixture_Capacity_Input!$C:$C,[2]Fixture_Capacity_Input!$A:$A,$B704,[2]Fixture_Capacity_Input!$B:$B,$C704),[2]weekly_demand!G705))</f>
        <v/>
      </c>
      <c r="E704" s="58" t="str">
        <f>IF($A704="","",[2]weekly_demand!I705)</f>
        <v/>
      </c>
      <c r="F704" s="57" t="str">
        <f t="shared" si="97"/>
        <v/>
      </c>
      <c r="G704" s="57" t="str">
        <f t="shared" si="98"/>
        <v/>
      </c>
      <c r="H704" s="57" t="str">
        <f t="shared" si="105"/>
        <v/>
      </c>
      <c r="I704" s="58" t="str">
        <f t="shared" si="101"/>
        <v/>
      </c>
      <c r="J704" s="58" t="str">
        <f t="shared" si="99"/>
        <v/>
      </c>
      <c r="K704" s="58" t="str">
        <f t="shared" si="102"/>
        <v/>
      </c>
      <c r="L704" s="58" t="str">
        <f t="shared" si="103"/>
        <v/>
      </c>
      <c r="M704" s="58" t="str">
        <f t="shared" si="104"/>
        <v/>
      </c>
      <c r="N704" s="59" t="str">
        <f t="shared" si="100"/>
        <v/>
      </c>
      <c r="O704" s="60"/>
      <c r="P704" s="105"/>
    </row>
    <row r="705" spans="1:16" x14ac:dyDescent="0.3">
      <c r="A705" s="54" t="str">
        <f>IF([2]weekly_demand!A706="","",[2]weekly_demand!A706)</f>
        <v/>
      </c>
      <c r="B705" s="55" t="str">
        <f>IF($A705="","",[2]weekly_demand!F706)</f>
        <v/>
      </c>
      <c r="C705" s="56" t="str">
        <f>IF($A705="","",[2]weekly_demand!H706)</f>
        <v/>
      </c>
      <c r="D705" s="57" t="str">
        <f>IF($A705="","",IF(SUMIFS([2]Fixture_Capacity_Input!$C:$C,[2]Fixture_Capacity_Input!$A:$A,$B705,[2]Fixture_Capacity_Input!$B:$B,$C705)&gt;0,SUMIFS([2]Fixture_Capacity_Input!$C:$C,[2]Fixture_Capacity_Input!$A:$A,$B705,[2]Fixture_Capacity_Input!$B:$B,$C705),[2]weekly_demand!G706))</f>
        <v/>
      </c>
      <c r="E705" s="58" t="str">
        <f>IF($A705="","",[2]weekly_demand!I706)</f>
        <v/>
      </c>
      <c r="F705" s="57" t="str">
        <f t="shared" si="97"/>
        <v/>
      </c>
      <c r="G705" s="57" t="str">
        <f t="shared" si="98"/>
        <v/>
      </c>
      <c r="H705" s="57" t="str">
        <f t="shared" si="105"/>
        <v/>
      </c>
      <c r="I705" s="58" t="str">
        <f t="shared" si="101"/>
        <v/>
      </c>
      <c r="J705" s="58" t="str">
        <f t="shared" si="99"/>
        <v/>
      </c>
      <c r="K705" s="58" t="str">
        <f t="shared" si="102"/>
        <v/>
      </c>
      <c r="L705" s="58" t="str">
        <f t="shared" si="103"/>
        <v/>
      </c>
      <c r="M705" s="58" t="str">
        <f t="shared" si="104"/>
        <v/>
      </c>
      <c r="N705" s="59" t="str">
        <f t="shared" si="100"/>
        <v/>
      </c>
      <c r="O705" s="60"/>
      <c r="P705" s="105"/>
    </row>
    <row r="706" spans="1:16" x14ac:dyDescent="0.3">
      <c r="A706" s="54" t="str">
        <f>IF([2]weekly_demand!A707="","",[2]weekly_demand!A707)</f>
        <v/>
      </c>
      <c r="B706" s="55" t="str">
        <f>IF($A706="","",[2]weekly_demand!F707)</f>
        <v/>
      </c>
      <c r="C706" s="56" t="str">
        <f>IF($A706="","",[2]weekly_demand!H707)</f>
        <v/>
      </c>
      <c r="D706" s="57" t="str">
        <f>IF($A706="","",IF(SUMIFS([2]Fixture_Capacity_Input!$C:$C,[2]Fixture_Capacity_Input!$A:$A,$B706,[2]Fixture_Capacity_Input!$B:$B,$C706)&gt;0,SUMIFS([2]Fixture_Capacity_Input!$C:$C,[2]Fixture_Capacity_Input!$A:$A,$B706,[2]Fixture_Capacity_Input!$B:$B,$C706),[2]weekly_demand!G707))</f>
        <v/>
      </c>
      <c r="E706" s="58" t="str">
        <f>IF($A706="","",[2]weekly_demand!I707)</f>
        <v/>
      </c>
      <c r="F706" s="57" t="str">
        <f t="shared" ref="F706:F769" si="106">IF($A706="","",IF($A706&lt;&gt;$A705,_xlfn.XLOOKUP($A706,$Q$2:$Q$7,$R$2:$R$7,0),K705))</f>
        <v/>
      </c>
      <c r="G706" s="57" t="str">
        <f t="shared" ref="G706:G769" si="107">IF($A706="","",_xlfn.XLOOKUP($A706,$Q$2:$Q$7,$S$2:$S$7,0))</f>
        <v/>
      </c>
      <c r="H706" s="57" t="str">
        <f t="shared" si="105"/>
        <v/>
      </c>
      <c r="I706" s="58" t="str">
        <f t="shared" si="101"/>
        <v/>
      </c>
      <c r="J706" s="58" t="str">
        <f t="shared" ref="J706:J769" si="108">IF($A706="","",MIN($D706,$I706,MAX(0,$E706+$G706-$F706)))</f>
        <v/>
      </c>
      <c r="K706" s="58" t="str">
        <f t="shared" si="102"/>
        <v/>
      </c>
      <c r="L706" s="58" t="str">
        <f t="shared" si="103"/>
        <v/>
      </c>
      <c r="M706" s="58" t="str">
        <f t="shared" si="104"/>
        <v/>
      </c>
      <c r="N706" s="59" t="str">
        <f t="shared" ref="N706:N769" si="109">IF($A706="","",IFERROR(J706/D706,0))</f>
        <v/>
      </c>
      <c r="O706" s="60"/>
      <c r="P706" s="105"/>
    </row>
    <row r="707" spans="1:16" x14ac:dyDescent="0.3">
      <c r="A707" s="54" t="str">
        <f>IF([2]weekly_demand!A708="","",[2]weekly_demand!A708)</f>
        <v/>
      </c>
      <c r="B707" s="55" t="str">
        <f>IF($A707="","",[2]weekly_demand!F708)</f>
        <v/>
      </c>
      <c r="C707" s="56" t="str">
        <f>IF($A707="","",[2]weekly_demand!H708)</f>
        <v/>
      </c>
      <c r="D707" s="57" t="str">
        <f>IF($A707="","",IF(SUMIFS([2]Fixture_Capacity_Input!$C:$C,[2]Fixture_Capacity_Input!$A:$A,$B707,[2]Fixture_Capacity_Input!$B:$B,$C707)&gt;0,SUMIFS([2]Fixture_Capacity_Input!$C:$C,[2]Fixture_Capacity_Input!$A:$A,$B707,[2]Fixture_Capacity_Input!$B:$B,$C707),[2]weekly_demand!G708))</f>
        <v/>
      </c>
      <c r="E707" s="58" t="str">
        <f>IF($A707="","",[2]weekly_demand!I708)</f>
        <v/>
      </c>
      <c r="F707" s="57" t="str">
        <f t="shared" si="106"/>
        <v/>
      </c>
      <c r="G707" s="57" t="str">
        <f t="shared" si="107"/>
        <v/>
      </c>
      <c r="H707" s="57" t="str">
        <f t="shared" si="105"/>
        <v/>
      </c>
      <c r="I707" s="58" t="str">
        <f t="shared" ref="I707:I770" si="110">IF($A707="","",MAX(0,E707+H707-F707))</f>
        <v/>
      </c>
      <c r="J707" s="58" t="str">
        <f t="shared" si="108"/>
        <v/>
      </c>
      <c r="K707" s="58" t="str">
        <f t="shared" ref="K707:K770" si="111">IF($A707="","",MIN($G707,MAX(0,$F707+$J707-$E707)))</f>
        <v/>
      </c>
      <c r="L707" s="58" t="str">
        <f t="shared" ref="L707:L770" si="112">IF($A707="","",MAX(0,E707-F707-J707))</f>
        <v/>
      </c>
      <c r="M707" s="58" t="str">
        <f t="shared" ref="M707:M770" si="113">IF($A707="","",MAX(0,F707+J707-E707))</f>
        <v/>
      </c>
      <c r="N707" s="59" t="str">
        <f t="shared" si="109"/>
        <v/>
      </c>
      <c r="O707" s="60"/>
      <c r="P707" s="105"/>
    </row>
    <row r="708" spans="1:16" x14ac:dyDescent="0.3">
      <c r="A708" s="54" t="str">
        <f>IF([2]weekly_demand!A709="","",[2]weekly_demand!A709)</f>
        <v/>
      </c>
      <c r="B708" s="55" t="str">
        <f>IF($A708="","",[2]weekly_demand!F709)</f>
        <v/>
      </c>
      <c r="C708" s="56" t="str">
        <f>IF($A708="","",[2]weekly_demand!H709)</f>
        <v/>
      </c>
      <c r="D708" s="57" t="str">
        <f>IF($A708="","",IF(SUMIFS([2]Fixture_Capacity_Input!$C:$C,[2]Fixture_Capacity_Input!$A:$A,$B708,[2]Fixture_Capacity_Input!$B:$B,$C708)&gt;0,SUMIFS([2]Fixture_Capacity_Input!$C:$C,[2]Fixture_Capacity_Input!$A:$A,$B708,[2]Fixture_Capacity_Input!$B:$B,$C708),[2]weekly_demand!G709))</f>
        <v/>
      </c>
      <c r="E708" s="58" t="str">
        <f>IF($A708="","",[2]weekly_demand!I709)</f>
        <v/>
      </c>
      <c r="F708" s="57" t="str">
        <f t="shared" si="106"/>
        <v/>
      </c>
      <c r="G708" s="57" t="str">
        <f t="shared" si="107"/>
        <v/>
      </c>
      <c r="H708" s="57" t="str">
        <f t="shared" si="105"/>
        <v/>
      </c>
      <c r="I708" s="58" t="str">
        <f t="shared" si="110"/>
        <v/>
      </c>
      <c r="J708" s="58" t="str">
        <f t="shared" si="108"/>
        <v/>
      </c>
      <c r="K708" s="58" t="str">
        <f t="shared" si="111"/>
        <v/>
      </c>
      <c r="L708" s="58" t="str">
        <f t="shared" si="112"/>
        <v/>
      </c>
      <c r="M708" s="58" t="str">
        <f t="shared" si="113"/>
        <v/>
      </c>
      <c r="N708" s="59" t="str">
        <f t="shared" si="109"/>
        <v/>
      </c>
      <c r="O708" s="60"/>
      <c r="P708" s="105"/>
    </row>
    <row r="709" spans="1:16" x14ac:dyDescent="0.3">
      <c r="A709" s="54" t="str">
        <f>IF([2]weekly_demand!A710="","",[2]weekly_demand!A710)</f>
        <v/>
      </c>
      <c r="B709" s="55" t="str">
        <f>IF($A709="","",[2]weekly_demand!F710)</f>
        <v/>
      </c>
      <c r="C709" s="56" t="str">
        <f>IF($A709="","",[2]weekly_demand!H710)</f>
        <v/>
      </c>
      <c r="D709" s="57" t="str">
        <f>IF($A709="","",IF(SUMIFS([2]Fixture_Capacity_Input!$C:$C,[2]Fixture_Capacity_Input!$A:$A,$B709,[2]Fixture_Capacity_Input!$B:$B,$C709)&gt;0,SUMIFS([2]Fixture_Capacity_Input!$C:$C,[2]Fixture_Capacity_Input!$A:$A,$B709,[2]Fixture_Capacity_Input!$B:$B,$C709),[2]weekly_demand!G710))</f>
        <v/>
      </c>
      <c r="E709" s="58" t="str">
        <f>IF($A709="","",[2]weekly_demand!I710)</f>
        <v/>
      </c>
      <c r="F709" s="57" t="str">
        <f t="shared" si="106"/>
        <v/>
      </c>
      <c r="G709" s="57" t="str">
        <f t="shared" si="107"/>
        <v/>
      </c>
      <c r="H709" s="57" t="str">
        <f t="shared" si="105"/>
        <v/>
      </c>
      <c r="I709" s="58" t="str">
        <f t="shared" si="110"/>
        <v/>
      </c>
      <c r="J709" s="58" t="str">
        <f t="shared" si="108"/>
        <v/>
      </c>
      <c r="K709" s="58" t="str">
        <f t="shared" si="111"/>
        <v/>
      </c>
      <c r="L709" s="58" t="str">
        <f t="shared" si="112"/>
        <v/>
      </c>
      <c r="M709" s="58" t="str">
        <f t="shared" si="113"/>
        <v/>
      </c>
      <c r="N709" s="59" t="str">
        <f t="shared" si="109"/>
        <v/>
      </c>
      <c r="O709" s="60"/>
      <c r="P709" s="105"/>
    </row>
    <row r="710" spans="1:16" x14ac:dyDescent="0.3">
      <c r="A710" s="54" t="str">
        <f>IF([2]weekly_demand!A711="","",[2]weekly_demand!A711)</f>
        <v/>
      </c>
      <c r="B710" s="55" t="str">
        <f>IF($A710="","",[2]weekly_demand!F711)</f>
        <v/>
      </c>
      <c r="C710" s="56" t="str">
        <f>IF($A710="","",[2]weekly_demand!H711)</f>
        <v/>
      </c>
      <c r="D710" s="57" t="str">
        <f>IF($A710="","",IF(SUMIFS([2]Fixture_Capacity_Input!$C:$C,[2]Fixture_Capacity_Input!$A:$A,$B710,[2]Fixture_Capacity_Input!$B:$B,$C710)&gt;0,SUMIFS([2]Fixture_Capacity_Input!$C:$C,[2]Fixture_Capacity_Input!$A:$A,$B710,[2]Fixture_Capacity_Input!$B:$B,$C710),[2]weekly_demand!G711))</f>
        <v/>
      </c>
      <c r="E710" s="58" t="str">
        <f>IF($A710="","",[2]weekly_demand!I711)</f>
        <v/>
      </c>
      <c r="F710" s="57" t="str">
        <f t="shared" si="106"/>
        <v/>
      </c>
      <c r="G710" s="57" t="str">
        <f t="shared" si="107"/>
        <v/>
      </c>
      <c r="H710" s="57" t="str">
        <f t="shared" si="105"/>
        <v/>
      </c>
      <c r="I710" s="58" t="str">
        <f t="shared" si="110"/>
        <v/>
      </c>
      <c r="J710" s="58" t="str">
        <f t="shared" si="108"/>
        <v/>
      </c>
      <c r="K710" s="58" t="str">
        <f t="shared" si="111"/>
        <v/>
      </c>
      <c r="L710" s="58" t="str">
        <f t="shared" si="112"/>
        <v/>
      </c>
      <c r="M710" s="58" t="str">
        <f t="shared" si="113"/>
        <v/>
      </c>
      <c r="N710" s="59" t="str">
        <f t="shared" si="109"/>
        <v/>
      </c>
      <c r="O710" s="60"/>
      <c r="P710" s="105"/>
    </row>
    <row r="711" spans="1:16" x14ac:dyDescent="0.3">
      <c r="A711" s="54" t="str">
        <f>IF([2]weekly_demand!A712="","",[2]weekly_demand!A712)</f>
        <v/>
      </c>
      <c r="B711" s="55" t="str">
        <f>IF($A711="","",[2]weekly_demand!F712)</f>
        <v/>
      </c>
      <c r="C711" s="56" t="str">
        <f>IF($A711="","",[2]weekly_demand!H712)</f>
        <v/>
      </c>
      <c r="D711" s="57" t="str">
        <f>IF($A711="","",IF(SUMIFS([2]Fixture_Capacity_Input!$C:$C,[2]Fixture_Capacity_Input!$A:$A,$B711,[2]Fixture_Capacity_Input!$B:$B,$C711)&gt;0,SUMIFS([2]Fixture_Capacity_Input!$C:$C,[2]Fixture_Capacity_Input!$A:$A,$B711,[2]Fixture_Capacity_Input!$B:$B,$C711),[2]weekly_demand!G712))</f>
        <v/>
      </c>
      <c r="E711" s="58" t="str">
        <f>IF($A711="","",[2]weekly_demand!I712)</f>
        <v/>
      </c>
      <c r="F711" s="57" t="str">
        <f t="shared" si="106"/>
        <v/>
      </c>
      <c r="G711" s="57" t="str">
        <f t="shared" si="107"/>
        <v/>
      </c>
      <c r="H711" s="57" t="str">
        <f t="shared" si="105"/>
        <v/>
      </c>
      <c r="I711" s="58" t="str">
        <f t="shared" si="110"/>
        <v/>
      </c>
      <c r="J711" s="58" t="str">
        <f t="shared" si="108"/>
        <v/>
      </c>
      <c r="K711" s="58" t="str">
        <f t="shared" si="111"/>
        <v/>
      </c>
      <c r="L711" s="58" t="str">
        <f t="shared" si="112"/>
        <v/>
      </c>
      <c r="M711" s="58" t="str">
        <f t="shared" si="113"/>
        <v/>
      </c>
      <c r="N711" s="59" t="str">
        <f t="shared" si="109"/>
        <v/>
      </c>
      <c r="O711" s="60"/>
      <c r="P711" s="105"/>
    </row>
    <row r="712" spans="1:16" x14ac:dyDescent="0.3">
      <c r="A712" s="54" t="str">
        <f>IF([2]weekly_demand!A713="","",[2]weekly_demand!A713)</f>
        <v/>
      </c>
      <c r="B712" s="55" t="str">
        <f>IF($A712="","",[2]weekly_demand!F713)</f>
        <v/>
      </c>
      <c r="C712" s="56" t="str">
        <f>IF($A712="","",[2]weekly_demand!H713)</f>
        <v/>
      </c>
      <c r="D712" s="57" t="str">
        <f>IF($A712="","",IF(SUMIFS([2]Fixture_Capacity_Input!$C:$C,[2]Fixture_Capacity_Input!$A:$A,$B712,[2]Fixture_Capacity_Input!$B:$B,$C712)&gt;0,SUMIFS([2]Fixture_Capacity_Input!$C:$C,[2]Fixture_Capacity_Input!$A:$A,$B712,[2]Fixture_Capacity_Input!$B:$B,$C712),[2]weekly_demand!G713))</f>
        <v/>
      </c>
      <c r="E712" s="58" t="str">
        <f>IF($A712="","",[2]weekly_demand!I713)</f>
        <v/>
      </c>
      <c r="F712" s="57" t="str">
        <f t="shared" si="106"/>
        <v/>
      </c>
      <c r="G712" s="57" t="str">
        <f t="shared" si="107"/>
        <v/>
      </c>
      <c r="H712" s="57" t="str">
        <f t="shared" si="105"/>
        <v/>
      </c>
      <c r="I712" s="58" t="str">
        <f t="shared" si="110"/>
        <v/>
      </c>
      <c r="J712" s="58" t="str">
        <f t="shared" si="108"/>
        <v/>
      </c>
      <c r="K712" s="58" t="str">
        <f t="shared" si="111"/>
        <v/>
      </c>
      <c r="L712" s="58" t="str">
        <f t="shared" si="112"/>
        <v/>
      </c>
      <c r="M712" s="58" t="str">
        <f t="shared" si="113"/>
        <v/>
      </c>
      <c r="N712" s="59" t="str">
        <f t="shared" si="109"/>
        <v/>
      </c>
      <c r="O712" s="60"/>
      <c r="P712" s="105"/>
    </row>
    <row r="713" spans="1:16" x14ac:dyDescent="0.3">
      <c r="A713" s="54" t="str">
        <f>IF([2]weekly_demand!A714="","",[2]weekly_demand!A714)</f>
        <v/>
      </c>
      <c r="B713" s="55" t="str">
        <f>IF($A713="","",[2]weekly_demand!F714)</f>
        <v/>
      </c>
      <c r="C713" s="56" t="str">
        <f>IF($A713="","",[2]weekly_demand!H714)</f>
        <v/>
      </c>
      <c r="D713" s="57" t="str">
        <f>IF($A713="","",IF(SUMIFS([2]Fixture_Capacity_Input!$C:$C,[2]Fixture_Capacity_Input!$A:$A,$B713,[2]Fixture_Capacity_Input!$B:$B,$C713)&gt;0,SUMIFS([2]Fixture_Capacity_Input!$C:$C,[2]Fixture_Capacity_Input!$A:$A,$B713,[2]Fixture_Capacity_Input!$B:$B,$C713),[2]weekly_demand!G714))</f>
        <v/>
      </c>
      <c r="E713" s="58" t="str">
        <f>IF($A713="","",[2]weekly_demand!I714)</f>
        <v/>
      </c>
      <c r="F713" s="57" t="str">
        <f t="shared" si="106"/>
        <v/>
      </c>
      <c r="G713" s="57" t="str">
        <f t="shared" si="107"/>
        <v/>
      </c>
      <c r="H713" s="57" t="str">
        <f t="shared" si="105"/>
        <v/>
      </c>
      <c r="I713" s="58" t="str">
        <f t="shared" si="110"/>
        <v/>
      </c>
      <c r="J713" s="58" t="str">
        <f t="shared" si="108"/>
        <v/>
      </c>
      <c r="K713" s="58" t="str">
        <f t="shared" si="111"/>
        <v/>
      </c>
      <c r="L713" s="58" t="str">
        <f t="shared" si="112"/>
        <v/>
      </c>
      <c r="M713" s="58" t="str">
        <f t="shared" si="113"/>
        <v/>
      </c>
      <c r="N713" s="59" t="str">
        <f t="shared" si="109"/>
        <v/>
      </c>
      <c r="O713" s="60"/>
      <c r="P713" s="105"/>
    </row>
    <row r="714" spans="1:16" x14ac:dyDescent="0.3">
      <c r="A714" s="54" t="str">
        <f>IF([2]weekly_demand!A715="","",[2]weekly_demand!A715)</f>
        <v/>
      </c>
      <c r="B714" s="55" t="str">
        <f>IF($A714="","",[2]weekly_demand!F715)</f>
        <v/>
      </c>
      <c r="C714" s="56" t="str">
        <f>IF($A714="","",[2]weekly_demand!H715)</f>
        <v/>
      </c>
      <c r="D714" s="57" t="str">
        <f>IF($A714="","",IF(SUMIFS([2]Fixture_Capacity_Input!$C:$C,[2]Fixture_Capacity_Input!$A:$A,$B714,[2]Fixture_Capacity_Input!$B:$B,$C714)&gt;0,SUMIFS([2]Fixture_Capacity_Input!$C:$C,[2]Fixture_Capacity_Input!$A:$A,$B714,[2]Fixture_Capacity_Input!$B:$B,$C714),[2]weekly_demand!G715))</f>
        <v/>
      </c>
      <c r="E714" s="58" t="str">
        <f>IF($A714="","",[2]weekly_demand!I715)</f>
        <v/>
      </c>
      <c r="F714" s="57" t="str">
        <f t="shared" si="106"/>
        <v/>
      </c>
      <c r="G714" s="57" t="str">
        <f t="shared" si="107"/>
        <v/>
      </c>
      <c r="H714" s="57" t="str">
        <f t="shared" si="105"/>
        <v/>
      </c>
      <c r="I714" s="58" t="str">
        <f t="shared" si="110"/>
        <v/>
      </c>
      <c r="J714" s="58" t="str">
        <f t="shared" si="108"/>
        <v/>
      </c>
      <c r="K714" s="58" t="str">
        <f t="shared" si="111"/>
        <v/>
      </c>
      <c r="L714" s="58" t="str">
        <f t="shared" si="112"/>
        <v/>
      </c>
      <c r="M714" s="58" t="str">
        <f t="shared" si="113"/>
        <v/>
      </c>
      <c r="N714" s="59" t="str">
        <f t="shared" si="109"/>
        <v/>
      </c>
      <c r="O714" s="60"/>
      <c r="P714" s="105"/>
    </row>
    <row r="715" spans="1:16" x14ac:dyDescent="0.3">
      <c r="A715" s="54" t="str">
        <f>IF([2]weekly_demand!A716="","",[2]weekly_demand!A716)</f>
        <v/>
      </c>
      <c r="B715" s="55" t="str">
        <f>IF($A715="","",[2]weekly_demand!F716)</f>
        <v/>
      </c>
      <c r="C715" s="56" t="str">
        <f>IF($A715="","",[2]weekly_demand!H716)</f>
        <v/>
      </c>
      <c r="D715" s="57" t="str">
        <f>IF($A715="","",IF(SUMIFS([2]Fixture_Capacity_Input!$C:$C,[2]Fixture_Capacity_Input!$A:$A,$B715,[2]Fixture_Capacity_Input!$B:$B,$C715)&gt;0,SUMIFS([2]Fixture_Capacity_Input!$C:$C,[2]Fixture_Capacity_Input!$A:$A,$B715,[2]Fixture_Capacity_Input!$B:$B,$C715),[2]weekly_demand!G716))</f>
        <v/>
      </c>
      <c r="E715" s="58" t="str">
        <f>IF($A715="","",[2]weekly_demand!I716)</f>
        <v/>
      </c>
      <c r="F715" s="57" t="str">
        <f t="shared" si="106"/>
        <v/>
      </c>
      <c r="G715" s="57" t="str">
        <f t="shared" si="107"/>
        <v/>
      </c>
      <c r="H715" s="57" t="str">
        <f t="shared" si="105"/>
        <v/>
      </c>
      <c r="I715" s="58" t="str">
        <f t="shared" si="110"/>
        <v/>
      </c>
      <c r="J715" s="58" t="str">
        <f t="shared" si="108"/>
        <v/>
      </c>
      <c r="K715" s="58" t="str">
        <f t="shared" si="111"/>
        <v/>
      </c>
      <c r="L715" s="58" t="str">
        <f t="shared" si="112"/>
        <v/>
      </c>
      <c r="M715" s="58" t="str">
        <f t="shared" si="113"/>
        <v/>
      </c>
      <c r="N715" s="59" t="str">
        <f t="shared" si="109"/>
        <v/>
      </c>
      <c r="O715" s="60"/>
      <c r="P715" s="105"/>
    </row>
    <row r="716" spans="1:16" x14ac:dyDescent="0.3">
      <c r="A716" s="54" t="str">
        <f>IF([2]weekly_demand!A717="","",[2]weekly_demand!A717)</f>
        <v/>
      </c>
      <c r="B716" s="55" t="str">
        <f>IF($A716="","",[2]weekly_demand!F717)</f>
        <v/>
      </c>
      <c r="C716" s="56" t="str">
        <f>IF($A716="","",[2]weekly_demand!H717)</f>
        <v/>
      </c>
      <c r="D716" s="57" t="str">
        <f>IF($A716="","",IF(SUMIFS([2]Fixture_Capacity_Input!$C:$C,[2]Fixture_Capacity_Input!$A:$A,$B716,[2]Fixture_Capacity_Input!$B:$B,$C716)&gt;0,SUMIFS([2]Fixture_Capacity_Input!$C:$C,[2]Fixture_Capacity_Input!$A:$A,$B716,[2]Fixture_Capacity_Input!$B:$B,$C716),[2]weekly_demand!G717))</f>
        <v/>
      </c>
      <c r="E716" s="58" t="str">
        <f>IF($A716="","",[2]weekly_demand!I717)</f>
        <v/>
      </c>
      <c r="F716" s="57" t="str">
        <f t="shared" si="106"/>
        <v/>
      </c>
      <c r="G716" s="57" t="str">
        <f t="shared" si="107"/>
        <v/>
      </c>
      <c r="H716" s="57" t="str">
        <f t="shared" si="105"/>
        <v/>
      </c>
      <c r="I716" s="58" t="str">
        <f t="shared" si="110"/>
        <v/>
      </c>
      <c r="J716" s="58" t="str">
        <f t="shared" si="108"/>
        <v/>
      </c>
      <c r="K716" s="58" t="str">
        <f t="shared" si="111"/>
        <v/>
      </c>
      <c r="L716" s="58" t="str">
        <f t="shared" si="112"/>
        <v/>
      </c>
      <c r="M716" s="58" t="str">
        <f t="shared" si="113"/>
        <v/>
      </c>
      <c r="N716" s="59" t="str">
        <f t="shared" si="109"/>
        <v/>
      </c>
      <c r="O716" s="60"/>
      <c r="P716" s="105"/>
    </row>
    <row r="717" spans="1:16" x14ac:dyDescent="0.3">
      <c r="A717" s="54" t="str">
        <f>IF([2]weekly_demand!A718="","",[2]weekly_demand!A718)</f>
        <v/>
      </c>
      <c r="B717" s="55" t="str">
        <f>IF($A717="","",[2]weekly_demand!F718)</f>
        <v/>
      </c>
      <c r="C717" s="56" t="str">
        <f>IF($A717="","",[2]weekly_demand!H718)</f>
        <v/>
      </c>
      <c r="D717" s="57" t="str">
        <f>IF($A717="","",IF(SUMIFS([2]Fixture_Capacity_Input!$C:$C,[2]Fixture_Capacity_Input!$A:$A,$B717,[2]Fixture_Capacity_Input!$B:$B,$C717)&gt;0,SUMIFS([2]Fixture_Capacity_Input!$C:$C,[2]Fixture_Capacity_Input!$A:$A,$B717,[2]Fixture_Capacity_Input!$B:$B,$C717),[2]weekly_demand!G718))</f>
        <v/>
      </c>
      <c r="E717" s="58" t="str">
        <f>IF($A717="","",[2]weekly_demand!I718)</f>
        <v/>
      </c>
      <c r="F717" s="57" t="str">
        <f t="shared" si="106"/>
        <v/>
      </c>
      <c r="G717" s="57" t="str">
        <f t="shared" si="107"/>
        <v/>
      </c>
      <c r="H717" s="57" t="str">
        <f t="shared" si="105"/>
        <v/>
      </c>
      <c r="I717" s="58" t="str">
        <f t="shared" si="110"/>
        <v/>
      </c>
      <c r="J717" s="58" t="str">
        <f t="shared" si="108"/>
        <v/>
      </c>
      <c r="K717" s="58" t="str">
        <f t="shared" si="111"/>
        <v/>
      </c>
      <c r="L717" s="58" t="str">
        <f t="shared" si="112"/>
        <v/>
      </c>
      <c r="M717" s="58" t="str">
        <f t="shared" si="113"/>
        <v/>
      </c>
      <c r="N717" s="59" t="str">
        <f t="shared" si="109"/>
        <v/>
      </c>
      <c r="O717" s="60"/>
      <c r="P717" s="105"/>
    </row>
    <row r="718" spans="1:16" x14ac:dyDescent="0.3">
      <c r="A718" s="54" t="str">
        <f>IF([2]weekly_demand!A719="","",[2]weekly_demand!A719)</f>
        <v/>
      </c>
      <c r="B718" s="55" t="str">
        <f>IF($A718="","",[2]weekly_demand!F719)</f>
        <v/>
      </c>
      <c r="C718" s="56" t="str">
        <f>IF($A718="","",[2]weekly_demand!H719)</f>
        <v/>
      </c>
      <c r="D718" s="57" t="str">
        <f>IF($A718="","",IF(SUMIFS([2]Fixture_Capacity_Input!$C:$C,[2]Fixture_Capacity_Input!$A:$A,$B718,[2]Fixture_Capacity_Input!$B:$B,$C718)&gt;0,SUMIFS([2]Fixture_Capacity_Input!$C:$C,[2]Fixture_Capacity_Input!$A:$A,$B718,[2]Fixture_Capacity_Input!$B:$B,$C718),[2]weekly_demand!G719))</f>
        <v/>
      </c>
      <c r="E718" s="58" t="str">
        <f>IF($A718="","",[2]weekly_demand!I719)</f>
        <v/>
      </c>
      <c r="F718" s="57" t="str">
        <f t="shared" si="106"/>
        <v/>
      </c>
      <c r="G718" s="57" t="str">
        <f t="shared" si="107"/>
        <v/>
      </c>
      <c r="H718" s="57" t="str">
        <f t="shared" si="105"/>
        <v/>
      </c>
      <c r="I718" s="58" t="str">
        <f t="shared" si="110"/>
        <v/>
      </c>
      <c r="J718" s="58" t="str">
        <f t="shared" si="108"/>
        <v/>
      </c>
      <c r="K718" s="58" t="str">
        <f t="shared" si="111"/>
        <v/>
      </c>
      <c r="L718" s="58" t="str">
        <f t="shared" si="112"/>
        <v/>
      </c>
      <c r="M718" s="58" t="str">
        <f t="shared" si="113"/>
        <v/>
      </c>
      <c r="N718" s="59" t="str">
        <f t="shared" si="109"/>
        <v/>
      </c>
      <c r="O718" s="60"/>
      <c r="P718" s="105"/>
    </row>
    <row r="719" spans="1:16" x14ac:dyDescent="0.3">
      <c r="A719" s="54" t="str">
        <f>IF([2]weekly_demand!A720="","",[2]weekly_demand!A720)</f>
        <v/>
      </c>
      <c r="B719" s="55" t="str">
        <f>IF($A719="","",[2]weekly_demand!F720)</f>
        <v/>
      </c>
      <c r="C719" s="56" t="str">
        <f>IF($A719="","",[2]weekly_demand!H720)</f>
        <v/>
      </c>
      <c r="D719" s="57" t="str">
        <f>IF($A719="","",IF(SUMIFS([2]Fixture_Capacity_Input!$C:$C,[2]Fixture_Capacity_Input!$A:$A,$B719,[2]Fixture_Capacity_Input!$B:$B,$C719)&gt;0,SUMIFS([2]Fixture_Capacity_Input!$C:$C,[2]Fixture_Capacity_Input!$A:$A,$B719,[2]Fixture_Capacity_Input!$B:$B,$C719),[2]weekly_demand!G720))</f>
        <v/>
      </c>
      <c r="E719" s="58" t="str">
        <f>IF($A719="","",[2]weekly_demand!I720)</f>
        <v/>
      </c>
      <c r="F719" s="57" t="str">
        <f t="shared" si="106"/>
        <v/>
      </c>
      <c r="G719" s="57" t="str">
        <f t="shared" si="107"/>
        <v/>
      </c>
      <c r="H719" s="57" t="str">
        <f t="shared" si="105"/>
        <v/>
      </c>
      <c r="I719" s="58" t="str">
        <f t="shared" si="110"/>
        <v/>
      </c>
      <c r="J719" s="58" t="str">
        <f t="shared" si="108"/>
        <v/>
      </c>
      <c r="K719" s="58" t="str">
        <f t="shared" si="111"/>
        <v/>
      </c>
      <c r="L719" s="58" t="str">
        <f t="shared" si="112"/>
        <v/>
      </c>
      <c r="M719" s="58" t="str">
        <f t="shared" si="113"/>
        <v/>
      </c>
      <c r="N719" s="59" t="str">
        <f t="shared" si="109"/>
        <v/>
      </c>
      <c r="O719" s="60"/>
      <c r="P719" s="105"/>
    </row>
    <row r="720" spans="1:16" x14ac:dyDescent="0.3">
      <c r="A720" s="54" t="str">
        <f>IF([2]weekly_demand!A721="","",[2]weekly_demand!A721)</f>
        <v/>
      </c>
      <c r="B720" s="55" t="str">
        <f>IF($A720="","",[2]weekly_demand!F721)</f>
        <v/>
      </c>
      <c r="C720" s="56" t="str">
        <f>IF($A720="","",[2]weekly_demand!H721)</f>
        <v/>
      </c>
      <c r="D720" s="57" t="str">
        <f>IF($A720="","",IF(SUMIFS([2]Fixture_Capacity_Input!$C:$C,[2]Fixture_Capacity_Input!$A:$A,$B720,[2]Fixture_Capacity_Input!$B:$B,$C720)&gt;0,SUMIFS([2]Fixture_Capacity_Input!$C:$C,[2]Fixture_Capacity_Input!$A:$A,$B720,[2]Fixture_Capacity_Input!$B:$B,$C720),[2]weekly_demand!G721))</f>
        <v/>
      </c>
      <c r="E720" s="58" t="str">
        <f>IF($A720="","",[2]weekly_demand!I721)</f>
        <v/>
      </c>
      <c r="F720" s="57" t="str">
        <f t="shared" si="106"/>
        <v/>
      </c>
      <c r="G720" s="57" t="str">
        <f t="shared" si="107"/>
        <v/>
      </c>
      <c r="H720" s="57" t="str">
        <f t="shared" si="105"/>
        <v/>
      </c>
      <c r="I720" s="58" t="str">
        <f t="shared" si="110"/>
        <v/>
      </c>
      <c r="J720" s="58" t="str">
        <f t="shared" si="108"/>
        <v/>
      </c>
      <c r="K720" s="58" t="str">
        <f t="shared" si="111"/>
        <v/>
      </c>
      <c r="L720" s="58" t="str">
        <f t="shared" si="112"/>
        <v/>
      </c>
      <c r="M720" s="58" t="str">
        <f t="shared" si="113"/>
        <v/>
      </c>
      <c r="N720" s="59" t="str">
        <f t="shared" si="109"/>
        <v/>
      </c>
      <c r="O720" s="60"/>
      <c r="P720" s="105"/>
    </row>
    <row r="721" spans="1:16" x14ac:dyDescent="0.3">
      <c r="A721" s="54" t="str">
        <f>IF([2]weekly_demand!A722="","",[2]weekly_demand!A722)</f>
        <v/>
      </c>
      <c r="B721" s="55" t="str">
        <f>IF($A721="","",[2]weekly_demand!F722)</f>
        <v/>
      </c>
      <c r="C721" s="56" t="str">
        <f>IF($A721="","",[2]weekly_demand!H722)</f>
        <v/>
      </c>
      <c r="D721" s="57" t="str">
        <f>IF($A721="","",IF(SUMIFS([2]Fixture_Capacity_Input!$C:$C,[2]Fixture_Capacity_Input!$A:$A,$B721,[2]Fixture_Capacity_Input!$B:$B,$C721)&gt;0,SUMIFS([2]Fixture_Capacity_Input!$C:$C,[2]Fixture_Capacity_Input!$A:$A,$B721,[2]Fixture_Capacity_Input!$B:$B,$C721),[2]weekly_demand!G722))</f>
        <v/>
      </c>
      <c r="E721" s="58" t="str">
        <f>IF($A721="","",[2]weekly_demand!I722)</f>
        <v/>
      </c>
      <c r="F721" s="57" t="str">
        <f t="shared" si="106"/>
        <v/>
      </c>
      <c r="G721" s="57" t="str">
        <f t="shared" si="107"/>
        <v/>
      </c>
      <c r="H721" s="57" t="str">
        <f t="shared" si="105"/>
        <v/>
      </c>
      <c r="I721" s="58" t="str">
        <f t="shared" si="110"/>
        <v/>
      </c>
      <c r="J721" s="58" t="str">
        <f t="shared" si="108"/>
        <v/>
      </c>
      <c r="K721" s="58" t="str">
        <f t="shared" si="111"/>
        <v/>
      </c>
      <c r="L721" s="58" t="str">
        <f t="shared" si="112"/>
        <v/>
      </c>
      <c r="M721" s="58" t="str">
        <f t="shared" si="113"/>
        <v/>
      </c>
      <c r="N721" s="59" t="str">
        <f t="shared" si="109"/>
        <v/>
      </c>
      <c r="O721" s="60"/>
      <c r="P721" s="105"/>
    </row>
    <row r="722" spans="1:16" x14ac:dyDescent="0.3">
      <c r="A722" s="54" t="str">
        <f>IF([2]weekly_demand!A723="","",[2]weekly_demand!A723)</f>
        <v/>
      </c>
      <c r="B722" s="55" t="str">
        <f>IF($A722="","",[2]weekly_demand!F723)</f>
        <v/>
      </c>
      <c r="C722" s="56" t="str">
        <f>IF($A722="","",[2]weekly_demand!H723)</f>
        <v/>
      </c>
      <c r="D722" s="57" t="str">
        <f>IF($A722="","",IF(SUMIFS([2]Fixture_Capacity_Input!$C:$C,[2]Fixture_Capacity_Input!$A:$A,$B722,[2]Fixture_Capacity_Input!$B:$B,$C722)&gt;0,SUMIFS([2]Fixture_Capacity_Input!$C:$C,[2]Fixture_Capacity_Input!$A:$A,$B722,[2]Fixture_Capacity_Input!$B:$B,$C722),[2]weekly_demand!G723))</f>
        <v/>
      </c>
      <c r="E722" s="58" t="str">
        <f>IF($A722="","",[2]weekly_demand!I723)</f>
        <v/>
      </c>
      <c r="F722" s="57" t="str">
        <f t="shared" si="106"/>
        <v/>
      </c>
      <c r="G722" s="57" t="str">
        <f t="shared" si="107"/>
        <v/>
      </c>
      <c r="H722" s="57" t="str">
        <f t="shared" si="105"/>
        <v/>
      </c>
      <c r="I722" s="58" t="str">
        <f t="shared" si="110"/>
        <v/>
      </c>
      <c r="J722" s="58" t="str">
        <f t="shared" si="108"/>
        <v/>
      </c>
      <c r="K722" s="58" t="str">
        <f t="shared" si="111"/>
        <v/>
      </c>
      <c r="L722" s="58" t="str">
        <f t="shared" si="112"/>
        <v/>
      </c>
      <c r="M722" s="58" t="str">
        <f t="shared" si="113"/>
        <v/>
      </c>
      <c r="N722" s="59" t="str">
        <f t="shared" si="109"/>
        <v/>
      </c>
      <c r="O722" s="60"/>
      <c r="P722" s="105"/>
    </row>
    <row r="723" spans="1:16" x14ac:dyDescent="0.3">
      <c r="A723" s="54" t="str">
        <f>IF([2]weekly_demand!A724="","",[2]weekly_demand!A724)</f>
        <v/>
      </c>
      <c r="B723" s="55" t="str">
        <f>IF($A723="","",[2]weekly_demand!F724)</f>
        <v/>
      </c>
      <c r="C723" s="56" t="str">
        <f>IF($A723="","",[2]weekly_demand!H724)</f>
        <v/>
      </c>
      <c r="D723" s="57" t="str">
        <f>IF($A723="","",IF(SUMIFS([2]Fixture_Capacity_Input!$C:$C,[2]Fixture_Capacity_Input!$A:$A,$B723,[2]Fixture_Capacity_Input!$B:$B,$C723)&gt;0,SUMIFS([2]Fixture_Capacity_Input!$C:$C,[2]Fixture_Capacity_Input!$A:$A,$B723,[2]Fixture_Capacity_Input!$B:$B,$C723),[2]weekly_demand!G724))</f>
        <v/>
      </c>
      <c r="E723" s="58" t="str">
        <f>IF($A723="","",[2]weekly_demand!I724)</f>
        <v/>
      </c>
      <c r="F723" s="57" t="str">
        <f t="shared" si="106"/>
        <v/>
      </c>
      <c r="G723" s="57" t="str">
        <f t="shared" si="107"/>
        <v/>
      </c>
      <c r="H723" s="57" t="str">
        <f t="shared" si="105"/>
        <v/>
      </c>
      <c r="I723" s="58" t="str">
        <f t="shared" si="110"/>
        <v/>
      </c>
      <c r="J723" s="58" t="str">
        <f t="shared" si="108"/>
        <v/>
      </c>
      <c r="K723" s="58" t="str">
        <f t="shared" si="111"/>
        <v/>
      </c>
      <c r="L723" s="58" t="str">
        <f t="shared" si="112"/>
        <v/>
      </c>
      <c r="M723" s="58" t="str">
        <f t="shared" si="113"/>
        <v/>
      </c>
      <c r="N723" s="59" t="str">
        <f t="shared" si="109"/>
        <v/>
      </c>
      <c r="O723" s="60"/>
      <c r="P723" s="105"/>
    </row>
    <row r="724" spans="1:16" x14ac:dyDescent="0.3">
      <c r="A724" s="54" t="str">
        <f>IF([2]weekly_demand!A725="","",[2]weekly_demand!A725)</f>
        <v/>
      </c>
      <c r="B724" s="55" t="str">
        <f>IF($A724="","",[2]weekly_demand!F725)</f>
        <v/>
      </c>
      <c r="C724" s="56" t="str">
        <f>IF($A724="","",[2]weekly_demand!H725)</f>
        <v/>
      </c>
      <c r="D724" s="57" t="str">
        <f>IF($A724="","",IF(SUMIFS([2]Fixture_Capacity_Input!$C:$C,[2]Fixture_Capacity_Input!$A:$A,$B724,[2]Fixture_Capacity_Input!$B:$B,$C724)&gt;0,SUMIFS([2]Fixture_Capacity_Input!$C:$C,[2]Fixture_Capacity_Input!$A:$A,$B724,[2]Fixture_Capacity_Input!$B:$B,$C724),[2]weekly_demand!G725))</f>
        <v/>
      </c>
      <c r="E724" s="58" t="str">
        <f>IF($A724="","",[2]weekly_demand!I725)</f>
        <v/>
      </c>
      <c r="F724" s="57" t="str">
        <f t="shared" si="106"/>
        <v/>
      </c>
      <c r="G724" s="57" t="str">
        <f t="shared" si="107"/>
        <v/>
      </c>
      <c r="H724" s="57" t="str">
        <f t="shared" si="105"/>
        <v/>
      </c>
      <c r="I724" s="58" t="str">
        <f t="shared" si="110"/>
        <v/>
      </c>
      <c r="J724" s="58" t="str">
        <f t="shared" si="108"/>
        <v/>
      </c>
      <c r="K724" s="58" t="str">
        <f t="shared" si="111"/>
        <v/>
      </c>
      <c r="L724" s="58" t="str">
        <f t="shared" si="112"/>
        <v/>
      </c>
      <c r="M724" s="58" t="str">
        <f t="shared" si="113"/>
        <v/>
      </c>
      <c r="N724" s="59" t="str">
        <f t="shared" si="109"/>
        <v/>
      </c>
      <c r="O724" s="60"/>
      <c r="P724" s="105"/>
    </row>
    <row r="725" spans="1:16" x14ac:dyDescent="0.3">
      <c r="A725" s="54" t="str">
        <f>IF([2]weekly_demand!A726="","",[2]weekly_demand!A726)</f>
        <v/>
      </c>
      <c r="B725" s="55" t="str">
        <f>IF($A725="","",[2]weekly_demand!F726)</f>
        <v/>
      </c>
      <c r="C725" s="56" t="str">
        <f>IF($A725="","",[2]weekly_demand!H726)</f>
        <v/>
      </c>
      <c r="D725" s="57" t="str">
        <f>IF($A725="","",IF(SUMIFS([2]Fixture_Capacity_Input!$C:$C,[2]Fixture_Capacity_Input!$A:$A,$B725,[2]Fixture_Capacity_Input!$B:$B,$C725)&gt;0,SUMIFS([2]Fixture_Capacity_Input!$C:$C,[2]Fixture_Capacity_Input!$A:$A,$B725,[2]Fixture_Capacity_Input!$B:$B,$C725),[2]weekly_demand!G726))</f>
        <v/>
      </c>
      <c r="E725" s="58" t="str">
        <f>IF($A725="","",[2]weekly_demand!I726)</f>
        <v/>
      </c>
      <c r="F725" s="57" t="str">
        <f t="shared" si="106"/>
        <v/>
      </c>
      <c r="G725" s="57" t="str">
        <f t="shared" si="107"/>
        <v/>
      </c>
      <c r="H725" s="57" t="str">
        <f t="shared" si="105"/>
        <v/>
      </c>
      <c r="I725" s="58" t="str">
        <f t="shared" si="110"/>
        <v/>
      </c>
      <c r="J725" s="58" t="str">
        <f t="shared" si="108"/>
        <v/>
      </c>
      <c r="K725" s="58" t="str">
        <f t="shared" si="111"/>
        <v/>
      </c>
      <c r="L725" s="58" t="str">
        <f t="shared" si="112"/>
        <v/>
      </c>
      <c r="M725" s="58" t="str">
        <f t="shared" si="113"/>
        <v/>
      </c>
      <c r="N725" s="59" t="str">
        <f t="shared" si="109"/>
        <v/>
      </c>
      <c r="O725" s="60"/>
      <c r="P725" s="105"/>
    </row>
    <row r="726" spans="1:16" x14ac:dyDescent="0.3">
      <c r="A726" s="54" t="str">
        <f>IF([2]weekly_demand!A727="","",[2]weekly_demand!A727)</f>
        <v/>
      </c>
      <c r="B726" s="55" t="str">
        <f>IF($A726="","",[2]weekly_demand!F727)</f>
        <v/>
      </c>
      <c r="C726" s="56" t="str">
        <f>IF($A726="","",[2]weekly_demand!H727)</f>
        <v/>
      </c>
      <c r="D726" s="57" t="str">
        <f>IF($A726="","",IF(SUMIFS([2]Fixture_Capacity_Input!$C:$C,[2]Fixture_Capacity_Input!$A:$A,$B726,[2]Fixture_Capacity_Input!$B:$B,$C726)&gt;0,SUMIFS([2]Fixture_Capacity_Input!$C:$C,[2]Fixture_Capacity_Input!$A:$A,$B726,[2]Fixture_Capacity_Input!$B:$B,$C726),[2]weekly_demand!G727))</f>
        <v/>
      </c>
      <c r="E726" s="58" t="str">
        <f>IF($A726="","",[2]weekly_demand!I727)</f>
        <v/>
      </c>
      <c r="F726" s="57" t="str">
        <f t="shared" si="106"/>
        <v/>
      </c>
      <c r="G726" s="57" t="str">
        <f t="shared" si="107"/>
        <v/>
      </c>
      <c r="H726" s="57" t="str">
        <f t="shared" si="105"/>
        <v/>
      </c>
      <c r="I726" s="58" t="str">
        <f t="shared" si="110"/>
        <v/>
      </c>
      <c r="J726" s="58" t="str">
        <f t="shared" si="108"/>
        <v/>
      </c>
      <c r="K726" s="58" t="str">
        <f t="shared" si="111"/>
        <v/>
      </c>
      <c r="L726" s="58" t="str">
        <f t="shared" si="112"/>
        <v/>
      </c>
      <c r="M726" s="58" t="str">
        <f t="shared" si="113"/>
        <v/>
      </c>
      <c r="N726" s="59" t="str">
        <f t="shared" si="109"/>
        <v/>
      </c>
      <c r="O726" s="60"/>
      <c r="P726" s="105"/>
    </row>
    <row r="727" spans="1:16" x14ac:dyDescent="0.3">
      <c r="A727" s="54" t="str">
        <f>IF([2]weekly_demand!A728="","",[2]weekly_demand!A728)</f>
        <v/>
      </c>
      <c r="B727" s="55" t="str">
        <f>IF($A727="","",[2]weekly_demand!F728)</f>
        <v/>
      </c>
      <c r="C727" s="56" t="str">
        <f>IF($A727="","",[2]weekly_demand!H728)</f>
        <v/>
      </c>
      <c r="D727" s="57" t="str">
        <f>IF($A727="","",IF(SUMIFS([2]Fixture_Capacity_Input!$C:$C,[2]Fixture_Capacity_Input!$A:$A,$B727,[2]Fixture_Capacity_Input!$B:$B,$C727)&gt;0,SUMIFS([2]Fixture_Capacity_Input!$C:$C,[2]Fixture_Capacity_Input!$A:$A,$B727,[2]Fixture_Capacity_Input!$B:$B,$C727),[2]weekly_demand!G728))</f>
        <v/>
      </c>
      <c r="E727" s="58" t="str">
        <f>IF($A727="","",[2]weekly_demand!I728)</f>
        <v/>
      </c>
      <c r="F727" s="57" t="str">
        <f t="shared" si="106"/>
        <v/>
      </c>
      <c r="G727" s="57" t="str">
        <f t="shared" si="107"/>
        <v/>
      </c>
      <c r="H727" s="57" t="str">
        <f t="shared" si="105"/>
        <v/>
      </c>
      <c r="I727" s="58" t="str">
        <f t="shared" si="110"/>
        <v/>
      </c>
      <c r="J727" s="58" t="str">
        <f t="shared" si="108"/>
        <v/>
      </c>
      <c r="K727" s="58" t="str">
        <f t="shared" si="111"/>
        <v/>
      </c>
      <c r="L727" s="58" t="str">
        <f t="shared" si="112"/>
        <v/>
      </c>
      <c r="M727" s="58" t="str">
        <f t="shared" si="113"/>
        <v/>
      </c>
      <c r="N727" s="59" t="str">
        <f t="shared" si="109"/>
        <v/>
      </c>
      <c r="O727" s="60"/>
      <c r="P727" s="105"/>
    </row>
    <row r="728" spans="1:16" x14ac:dyDescent="0.3">
      <c r="A728" s="54" t="str">
        <f>IF([2]weekly_demand!A729="","",[2]weekly_demand!A729)</f>
        <v/>
      </c>
      <c r="B728" s="55" t="str">
        <f>IF($A728="","",[2]weekly_demand!F729)</f>
        <v/>
      </c>
      <c r="C728" s="56" t="str">
        <f>IF($A728="","",[2]weekly_demand!H729)</f>
        <v/>
      </c>
      <c r="D728" s="57" t="str">
        <f>IF($A728="","",IF(SUMIFS([2]Fixture_Capacity_Input!$C:$C,[2]Fixture_Capacity_Input!$A:$A,$B728,[2]Fixture_Capacity_Input!$B:$B,$C728)&gt;0,SUMIFS([2]Fixture_Capacity_Input!$C:$C,[2]Fixture_Capacity_Input!$A:$A,$B728,[2]Fixture_Capacity_Input!$B:$B,$C728),[2]weekly_demand!G729))</f>
        <v/>
      </c>
      <c r="E728" s="58" t="str">
        <f>IF($A728="","",[2]weekly_demand!I729)</f>
        <v/>
      </c>
      <c r="F728" s="57" t="str">
        <f t="shared" si="106"/>
        <v/>
      </c>
      <c r="G728" s="57" t="str">
        <f t="shared" si="107"/>
        <v/>
      </c>
      <c r="H728" s="57" t="str">
        <f t="shared" si="105"/>
        <v/>
      </c>
      <c r="I728" s="58" t="str">
        <f t="shared" si="110"/>
        <v/>
      </c>
      <c r="J728" s="58" t="str">
        <f t="shared" si="108"/>
        <v/>
      </c>
      <c r="K728" s="58" t="str">
        <f t="shared" si="111"/>
        <v/>
      </c>
      <c r="L728" s="58" t="str">
        <f t="shared" si="112"/>
        <v/>
      </c>
      <c r="M728" s="58" t="str">
        <f t="shared" si="113"/>
        <v/>
      </c>
      <c r="N728" s="59" t="str">
        <f t="shared" si="109"/>
        <v/>
      </c>
      <c r="O728" s="60"/>
      <c r="P728" s="105"/>
    </row>
    <row r="729" spans="1:16" x14ac:dyDescent="0.3">
      <c r="A729" s="54" t="str">
        <f>IF([2]weekly_demand!A730="","",[2]weekly_demand!A730)</f>
        <v/>
      </c>
      <c r="B729" s="55" t="str">
        <f>IF($A729="","",[2]weekly_demand!F730)</f>
        <v/>
      </c>
      <c r="C729" s="56" t="str">
        <f>IF($A729="","",[2]weekly_demand!H730)</f>
        <v/>
      </c>
      <c r="D729" s="57" t="str">
        <f>IF($A729="","",IF(SUMIFS([2]Fixture_Capacity_Input!$C:$C,[2]Fixture_Capacity_Input!$A:$A,$B729,[2]Fixture_Capacity_Input!$B:$B,$C729)&gt;0,SUMIFS([2]Fixture_Capacity_Input!$C:$C,[2]Fixture_Capacity_Input!$A:$A,$B729,[2]Fixture_Capacity_Input!$B:$B,$C729),[2]weekly_demand!G730))</f>
        <v/>
      </c>
      <c r="E729" s="58" t="str">
        <f>IF($A729="","",[2]weekly_demand!I730)</f>
        <v/>
      </c>
      <c r="F729" s="57" t="str">
        <f t="shared" si="106"/>
        <v/>
      </c>
      <c r="G729" s="57" t="str">
        <f t="shared" si="107"/>
        <v/>
      </c>
      <c r="H729" s="57" t="str">
        <f t="shared" si="105"/>
        <v/>
      </c>
      <c r="I729" s="58" t="str">
        <f t="shared" si="110"/>
        <v/>
      </c>
      <c r="J729" s="58" t="str">
        <f t="shared" si="108"/>
        <v/>
      </c>
      <c r="K729" s="58" t="str">
        <f t="shared" si="111"/>
        <v/>
      </c>
      <c r="L729" s="58" t="str">
        <f t="shared" si="112"/>
        <v/>
      </c>
      <c r="M729" s="58" t="str">
        <f t="shared" si="113"/>
        <v/>
      </c>
      <c r="N729" s="59" t="str">
        <f t="shared" si="109"/>
        <v/>
      </c>
      <c r="O729" s="60"/>
      <c r="P729" s="105"/>
    </row>
    <row r="730" spans="1:16" x14ac:dyDescent="0.3">
      <c r="A730" s="54" t="str">
        <f>IF([2]weekly_demand!A731="","",[2]weekly_demand!A731)</f>
        <v/>
      </c>
      <c r="B730" s="55" t="str">
        <f>IF($A730="","",[2]weekly_demand!F731)</f>
        <v/>
      </c>
      <c r="C730" s="56" t="str">
        <f>IF($A730="","",[2]weekly_demand!H731)</f>
        <v/>
      </c>
      <c r="D730" s="57" t="str">
        <f>IF($A730="","",IF(SUMIFS([2]Fixture_Capacity_Input!$C:$C,[2]Fixture_Capacity_Input!$A:$A,$B730,[2]Fixture_Capacity_Input!$B:$B,$C730)&gt;0,SUMIFS([2]Fixture_Capacity_Input!$C:$C,[2]Fixture_Capacity_Input!$A:$A,$B730,[2]Fixture_Capacity_Input!$B:$B,$C730),[2]weekly_demand!G731))</f>
        <v/>
      </c>
      <c r="E730" s="58" t="str">
        <f>IF($A730="","",[2]weekly_demand!I731)</f>
        <v/>
      </c>
      <c r="F730" s="57" t="str">
        <f t="shared" si="106"/>
        <v/>
      </c>
      <c r="G730" s="57" t="str">
        <f t="shared" si="107"/>
        <v/>
      </c>
      <c r="H730" s="57" t="str">
        <f t="shared" si="105"/>
        <v/>
      </c>
      <c r="I730" s="58" t="str">
        <f t="shared" si="110"/>
        <v/>
      </c>
      <c r="J730" s="58" t="str">
        <f t="shared" si="108"/>
        <v/>
      </c>
      <c r="K730" s="58" t="str">
        <f t="shared" si="111"/>
        <v/>
      </c>
      <c r="L730" s="58" t="str">
        <f t="shared" si="112"/>
        <v/>
      </c>
      <c r="M730" s="58" t="str">
        <f t="shared" si="113"/>
        <v/>
      </c>
      <c r="N730" s="59" t="str">
        <f t="shared" si="109"/>
        <v/>
      </c>
      <c r="O730" s="60"/>
      <c r="P730" s="105"/>
    </row>
    <row r="731" spans="1:16" x14ac:dyDescent="0.3">
      <c r="A731" s="54" t="str">
        <f>IF([2]weekly_demand!A732="","",[2]weekly_demand!A732)</f>
        <v/>
      </c>
      <c r="B731" s="55" t="str">
        <f>IF($A731="","",[2]weekly_demand!F732)</f>
        <v/>
      </c>
      <c r="C731" s="56" t="str">
        <f>IF($A731="","",[2]weekly_demand!H732)</f>
        <v/>
      </c>
      <c r="D731" s="57" t="str">
        <f>IF($A731="","",IF(SUMIFS([2]Fixture_Capacity_Input!$C:$C,[2]Fixture_Capacity_Input!$A:$A,$B731,[2]Fixture_Capacity_Input!$B:$B,$C731)&gt;0,SUMIFS([2]Fixture_Capacity_Input!$C:$C,[2]Fixture_Capacity_Input!$A:$A,$B731,[2]Fixture_Capacity_Input!$B:$B,$C731),[2]weekly_demand!G732))</f>
        <v/>
      </c>
      <c r="E731" s="58" t="str">
        <f>IF($A731="","",[2]weekly_demand!I732)</f>
        <v/>
      </c>
      <c r="F731" s="57" t="str">
        <f t="shared" si="106"/>
        <v/>
      </c>
      <c r="G731" s="57" t="str">
        <f t="shared" si="107"/>
        <v/>
      </c>
      <c r="H731" s="57" t="str">
        <f t="shared" si="105"/>
        <v/>
      </c>
      <c r="I731" s="58" t="str">
        <f t="shared" si="110"/>
        <v/>
      </c>
      <c r="J731" s="58" t="str">
        <f t="shared" si="108"/>
        <v/>
      </c>
      <c r="K731" s="58" t="str">
        <f t="shared" si="111"/>
        <v/>
      </c>
      <c r="L731" s="58" t="str">
        <f t="shared" si="112"/>
        <v/>
      </c>
      <c r="M731" s="58" t="str">
        <f t="shared" si="113"/>
        <v/>
      </c>
      <c r="N731" s="59" t="str">
        <f t="shared" si="109"/>
        <v/>
      </c>
      <c r="O731" s="60"/>
      <c r="P731" s="105"/>
    </row>
    <row r="732" spans="1:16" x14ac:dyDescent="0.3">
      <c r="A732" s="54" t="str">
        <f>IF([2]weekly_demand!A733="","",[2]weekly_demand!A733)</f>
        <v/>
      </c>
      <c r="B732" s="55" t="str">
        <f>IF($A732="","",[2]weekly_demand!F733)</f>
        <v/>
      </c>
      <c r="C732" s="56" t="str">
        <f>IF($A732="","",[2]weekly_demand!H733)</f>
        <v/>
      </c>
      <c r="D732" s="57" t="str">
        <f>IF($A732="","",IF(SUMIFS([2]Fixture_Capacity_Input!$C:$C,[2]Fixture_Capacity_Input!$A:$A,$B732,[2]Fixture_Capacity_Input!$B:$B,$C732)&gt;0,SUMIFS([2]Fixture_Capacity_Input!$C:$C,[2]Fixture_Capacity_Input!$A:$A,$B732,[2]Fixture_Capacity_Input!$B:$B,$C732),[2]weekly_demand!G733))</f>
        <v/>
      </c>
      <c r="E732" s="58" t="str">
        <f>IF($A732="","",[2]weekly_demand!I733)</f>
        <v/>
      </c>
      <c r="F732" s="57" t="str">
        <f t="shared" si="106"/>
        <v/>
      </c>
      <c r="G732" s="57" t="str">
        <f t="shared" si="107"/>
        <v/>
      </c>
      <c r="H732" s="57" t="str">
        <f t="shared" si="105"/>
        <v/>
      </c>
      <c r="I732" s="58" t="str">
        <f t="shared" si="110"/>
        <v/>
      </c>
      <c r="J732" s="58" t="str">
        <f t="shared" si="108"/>
        <v/>
      </c>
      <c r="K732" s="58" t="str">
        <f t="shared" si="111"/>
        <v/>
      </c>
      <c r="L732" s="58" t="str">
        <f t="shared" si="112"/>
        <v/>
      </c>
      <c r="M732" s="58" t="str">
        <f t="shared" si="113"/>
        <v/>
      </c>
      <c r="N732" s="59" t="str">
        <f t="shared" si="109"/>
        <v/>
      </c>
      <c r="O732" s="60"/>
      <c r="P732" s="105"/>
    </row>
    <row r="733" spans="1:16" x14ac:dyDescent="0.3">
      <c r="A733" s="54" t="str">
        <f>IF([2]weekly_demand!A734="","",[2]weekly_demand!A734)</f>
        <v/>
      </c>
      <c r="B733" s="55" t="str">
        <f>IF($A733="","",[2]weekly_demand!F734)</f>
        <v/>
      </c>
      <c r="C733" s="56" t="str">
        <f>IF($A733="","",[2]weekly_demand!H734)</f>
        <v/>
      </c>
      <c r="D733" s="57" t="str">
        <f>IF($A733="","",IF(SUMIFS([2]Fixture_Capacity_Input!$C:$C,[2]Fixture_Capacity_Input!$A:$A,$B733,[2]Fixture_Capacity_Input!$B:$B,$C733)&gt;0,SUMIFS([2]Fixture_Capacity_Input!$C:$C,[2]Fixture_Capacity_Input!$A:$A,$B733,[2]Fixture_Capacity_Input!$B:$B,$C733),[2]weekly_demand!G734))</f>
        <v/>
      </c>
      <c r="E733" s="58" t="str">
        <f>IF($A733="","",[2]weekly_demand!I734)</f>
        <v/>
      </c>
      <c r="F733" s="57" t="str">
        <f t="shared" si="106"/>
        <v/>
      </c>
      <c r="G733" s="57" t="str">
        <f t="shared" si="107"/>
        <v/>
      </c>
      <c r="H733" s="57" t="str">
        <f t="shared" si="105"/>
        <v/>
      </c>
      <c r="I733" s="58" t="str">
        <f t="shared" si="110"/>
        <v/>
      </c>
      <c r="J733" s="58" t="str">
        <f t="shared" si="108"/>
        <v/>
      </c>
      <c r="K733" s="58" t="str">
        <f t="shared" si="111"/>
        <v/>
      </c>
      <c r="L733" s="58" t="str">
        <f t="shared" si="112"/>
        <v/>
      </c>
      <c r="M733" s="58" t="str">
        <f t="shared" si="113"/>
        <v/>
      </c>
      <c r="N733" s="59" t="str">
        <f t="shared" si="109"/>
        <v/>
      </c>
      <c r="O733" s="60"/>
      <c r="P733" s="105"/>
    </row>
    <row r="734" spans="1:16" x14ac:dyDescent="0.3">
      <c r="A734" s="54" t="str">
        <f>IF([2]weekly_demand!A735="","",[2]weekly_demand!A735)</f>
        <v/>
      </c>
      <c r="B734" s="55" t="str">
        <f>IF($A734="","",[2]weekly_demand!F735)</f>
        <v/>
      </c>
      <c r="C734" s="56" t="str">
        <f>IF($A734="","",[2]weekly_demand!H735)</f>
        <v/>
      </c>
      <c r="D734" s="57" t="str">
        <f>IF($A734="","",IF(SUMIFS([2]Fixture_Capacity_Input!$C:$C,[2]Fixture_Capacity_Input!$A:$A,$B734,[2]Fixture_Capacity_Input!$B:$B,$C734)&gt;0,SUMIFS([2]Fixture_Capacity_Input!$C:$C,[2]Fixture_Capacity_Input!$A:$A,$B734,[2]Fixture_Capacity_Input!$B:$B,$C734),[2]weekly_demand!G735))</f>
        <v/>
      </c>
      <c r="E734" s="58" t="str">
        <f>IF($A734="","",[2]weekly_demand!I735)</f>
        <v/>
      </c>
      <c r="F734" s="57" t="str">
        <f t="shared" si="106"/>
        <v/>
      </c>
      <c r="G734" s="57" t="str">
        <f t="shared" si="107"/>
        <v/>
      </c>
      <c r="H734" s="57" t="str">
        <f t="shared" si="105"/>
        <v/>
      </c>
      <c r="I734" s="58" t="str">
        <f t="shared" si="110"/>
        <v/>
      </c>
      <c r="J734" s="58" t="str">
        <f t="shared" si="108"/>
        <v/>
      </c>
      <c r="K734" s="58" t="str">
        <f t="shared" si="111"/>
        <v/>
      </c>
      <c r="L734" s="58" t="str">
        <f t="shared" si="112"/>
        <v/>
      </c>
      <c r="M734" s="58" t="str">
        <f t="shared" si="113"/>
        <v/>
      </c>
      <c r="N734" s="59" t="str">
        <f t="shared" si="109"/>
        <v/>
      </c>
      <c r="O734" s="60"/>
      <c r="P734" s="105"/>
    </row>
    <row r="735" spans="1:16" x14ac:dyDescent="0.3">
      <c r="A735" s="54" t="str">
        <f>IF([2]weekly_demand!A736="","",[2]weekly_demand!A736)</f>
        <v/>
      </c>
      <c r="B735" s="55" t="str">
        <f>IF($A735="","",[2]weekly_demand!F736)</f>
        <v/>
      </c>
      <c r="C735" s="56" t="str">
        <f>IF($A735="","",[2]weekly_demand!H736)</f>
        <v/>
      </c>
      <c r="D735" s="57" t="str">
        <f>IF($A735="","",IF(SUMIFS([2]Fixture_Capacity_Input!$C:$C,[2]Fixture_Capacity_Input!$A:$A,$B735,[2]Fixture_Capacity_Input!$B:$B,$C735)&gt;0,SUMIFS([2]Fixture_Capacity_Input!$C:$C,[2]Fixture_Capacity_Input!$A:$A,$B735,[2]Fixture_Capacity_Input!$B:$B,$C735),[2]weekly_demand!G736))</f>
        <v/>
      </c>
      <c r="E735" s="58" t="str">
        <f>IF($A735="","",[2]weekly_demand!I736)</f>
        <v/>
      </c>
      <c r="F735" s="57" t="str">
        <f t="shared" si="106"/>
        <v/>
      </c>
      <c r="G735" s="57" t="str">
        <f t="shared" si="107"/>
        <v/>
      </c>
      <c r="H735" s="57" t="str">
        <f t="shared" si="105"/>
        <v/>
      </c>
      <c r="I735" s="58" t="str">
        <f t="shared" si="110"/>
        <v/>
      </c>
      <c r="J735" s="58" t="str">
        <f t="shared" si="108"/>
        <v/>
      </c>
      <c r="K735" s="58" t="str">
        <f t="shared" si="111"/>
        <v/>
      </c>
      <c r="L735" s="58" t="str">
        <f t="shared" si="112"/>
        <v/>
      </c>
      <c r="M735" s="58" t="str">
        <f t="shared" si="113"/>
        <v/>
      </c>
      <c r="N735" s="59" t="str">
        <f t="shared" si="109"/>
        <v/>
      </c>
      <c r="O735" s="60"/>
      <c r="P735" s="105"/>
    </row>
    <row r="736" spans="1:16" x14ac:dyDescent="0.3">
      <c r="A736" s="54" t="str">
        <f>IF([2]weekly_demand!A737="","",[2]weekly_demand!A737)</f>
        <v/>
      </c>
      <c r="B736" s="55" t="str">
        <f>IF($A736="","",[2]weekly_demand!F737)</f>
        <v/>
      </c>
      <c r="C736" s="56" t="str">
        <f>IF($A736="","",[2]weekly_demand!H737)</f>
        <v/>
      </c>
      <c r="D736" s="57" t="str">
        <f>IF($A736="","",IF(SUMIFS([2]Fixture_Capacity_Input!$C:$C,[2]Fixture_Capacity_Input!$A:$A,$B736,[2]Fixture_Capacity_Input!$B:$B,$C736)&gt;0,SUMIFS([2]Fixture_Capacity_Input!$C:$C,[2]Fixture_Capacity_Input!$A:$A,$B736,[2]Fixture_Capacity_Input!$B:$B,$C736),[2]weekly_demand!G737))</f>
        <v/>
      </c>
      <c r="E736" s="58" t="str">
        <f>IF($A736="","",[2]weekly_demand!I737)</f>
        <v/>
      </c>
      <c r="F736" s="57" t="str">
        <f t="shared" si="106"/>
        <v/>
      </c>
      <c r="G736" s="57" t="str">
        <f t="shared" si="107"/>
        <v/>
      </c>
      <c r="H736" s="57" t="str">
        <f t="shared" si="105"/>
        <v/>
      </c>
      <c r="I736" s="58" t="str">
        <f t="shared" si="110"/>
        <v/>
      </c>
      <c r="J736" s="58" t="str">
        <f t="shared" si="108"/>
        <v/>
      </c>
      <c r="K736" s="58" t="str">
        <f t="shared" si="111"/>
        <v/>
      </c>
      <c r="L736" s="58" t="str">
        <f t="shared" si="112"/>
        <v/>
      </c>
      <c r="M736" s="58" t="str">
        <f t="shared" si="113"/>
        <v/>
      </c>
      <c r="N736" s="59" t="str">
        <f t="shared" si="109"/>
        <v/>
      </c>
      <c r="O736" s="60"/>
      <c r="P736" s="105"/>
    </row>
    <row r="737" spans="1:16" x14ac:dyDescent="0.3">
      <c r="A737" s="54" t="str">
        <f>IF([2]weekly_demand!A738="","",[2]weekly_demand!A738)</f>
        <v/>
      </c>
      <c r="B737" s="55" t="str">
        <f>IF($A737="","",[2]weekly_demand!F738)</f>
        <v/>
      </c>
      <c r="C737" s="56" t="str">
        <f>IF($A737="","",[2]weekly_demand!H738)</f>
        <v/>
      </c>
      <c r="D737" s="57" t="str">
        <f>IF($A737="","",IF(SUMIFS([2]Fixture_Capacity_Input!$C:$C,[2]Fixture_Capacity_Input!$A:$A,$B737,[2]Fixture_Capacity_Input!$B:$B,$C737)&gt;0,SUMIFS([2]Fixture_Capacity_Input!$C:$C,[2]Fixture_Capacity_Input!$A:$A,$B737,[2]Fixture_Capacity_Input!$B:$B,$C737),[2]weekly_demand!G738))</f>
        <v/>
      </c>
      <c r="E737" s="58" t="str">
        <f>IF($A737="","",[2]weekly_demand!I738)</f>
        <v/>
      </c>
      <c r="F737" s="57" t="str">
        <f t="shared" si="106"/>
        <v/>
      </c>
      <c r="G737" s="57" t="str">
        <f t="shared" si="107"/>
        <v/>
      </c>
      <c r="H737" s="57" t="str">
        <f t="shared" si="105"/>
        <v/>
      </c>
      <c r="I737" s="58" t="str">
        <f t="shared" si="110"/>
        <v/>
      </c>
      <c r="J737" s="58" t="str">
        <f t="shared" si="108"/>
        <v/>
      </c>
      <c r="K737" s="58" t="str">
        <f t="shared" si="111"/>
        <v/>
      </c>
      <c r="L737" s="58" t="str">
        <f t="shared" si="112"/>
        <v/>
      </c>
      <c r="M737" s="58" t="str">
        <f t="shared" si="113"/>
        <v/>
      </c>
      <c r="N737" s="59" t="str">
        <f t="shared" si="109"/>
        <v/>
      </c>
      <c r="O737" s="60"/>
      <c r="P737" s="105"/>
    </row>
    <row r="738" spans="1:16" x14ac:dyDescent="0.3">
      <c r="A738" s="54" t="str">
        <f>IF([2]weekly_demand!A739="","",[2]weekly_demand!A739)</f>
        <v/>
      </c>
      <c r="B738" s="55" t="str">
        <f>IF($A738="","",[2]weekly_demand!F739)</f>
        <v/>
      </c>
      <c r="C738" s="56" t="str">
        <f>IF($A738="","",[2]weekly_demand!H739)</f>
        <v/>
      </c>
      <c r="D738" s="57" t="str">
        <f>IF($A738="","",IF(SUMIFS([2]Fixture_Capacity_Input!$C:$C,[2]Fixture_Capacity_Input!$A:$A,$B738,[2]Fixture_Capacity_Input!$B:$B,$C738)&gt;0,SUMIFS([2]Fixture_Capacity_Input!$C:$C,[2]Fixture_Capacity_Input!$A:$A,$B738,[2]Fixture_Capacity_Input!$B:$B,$C738),[2]weekly_demand!G739))</f>
        <v/>
      </c>
      <c r="E738" s="58" t="str">
        <f>IF($A738="","",[2]weekly_demand!I739)</f>
        <v/>
      </c>
      <c r="F738" s="57" t="str">
        <f t="shared" si="106"/>
        <v/>
      </c>
      <c r="G738" s="57" t="str">
        <f t="shared" si="107"/>
        <v/>
      </c>
      <c r="H738" s="57" t="str">
        <f t="shared" si="105"/>
        <v/>
      </c>
      <c r="I738" s="58" t="str">
        <f t="shared" si="110"/>
        <v/>
      </c>
      <c r="J738" s="58" t="str">
        <f t="shared" si="108"/>
        <v/>
      </c>
      <c r="K738" s="58" t="str">
        <f t="shared" si="111"/>
        <v/>
      </c>
      <c r="L738" s="58" t="str">
        <f t="shared" si="112"/>
        <v/>
      </c>
      <c r="M738" s="58" t="str">
        <f t="shared" si="113"/>
        <v/>
      </c>
      <c r="N738" s="59" t="str">
        <f t="shared" si="109"/>
        <v/>
      </c>
      <c r="O738" s="60"/>
      <c r="P738" s="105"/>
    </row>
    <row r="739" spans="1:16" x14ac:dyDescent="0.3">
      <c r="A739" s="54" t="str">
        <f>IF([2]weekly_demand!A740="","",[2]weekly_demand!A740)</f>
        <v/>
      </c>
      <c r="B739" s="55" t="str">
        <f>IF($A739="","",[2]weekly_demand!F740)</f>
        <v/>
      </c>
      <c r="C739" s="56" t="str">
        <f>IF($A739="","",[2]weekly_demand!H740)</f>
        <v/>
      </c>
      <c r="D739" s="57" t="str">
        <f>IF($A739="","",IF(SUMIFS([2]Fixture_Capacity_Input!$C:$C,[2]Fixture_Capacity_Input!$A:$A,$B739,[2]Fixture_Capacity_Input!$B:$B,$C739)&gt;0,SUMIFS([2]Fixture_Capacity_Input!$C:$C,[2]Fixture_Capacity_Input!$A:$A,$B739,[2]Fixture_Capacity_Input!$B:$B,$C739),[2]weekly_demand!G740))</f>
        <v/>
      </c>
      <c r="E739" s="58" t="str">
        <f>IF($A739="","",[2]weekly_demand!I740)</f>
        <v/>
      </c>
      <c r="F739" s="57" t="str">
        <f t="shared" si="106"/>
        <v/>
      </c>
      <c r="G739" s="57" t="str">
        <f t="shared" si="107"/>
        <v/>
      </c>
      <c r="H739" s="57" t="str">
        <f t="shared" si="105"/>
        <v/>
      </c>
      <c r="I739" s="58" t="str">
        <f t="shared" si="110"/>
        <v/>
      </c>
      <c r="J739" s="58" t="str">
        <f t="shared" si="108"/>
        <v/>
      </c>
      <c r="K739" s="58" t="str">
        <f t="shared" si="111"/>
        <v/>
      </c>
      <c r="L739" s="58" t="str">
        <f t="shared" si="112"/>
        <v/>
      </c>
      <c r="M739" s="58" t="str">
        <f t="shared" si="113"/>
        <v/>
      </c>
      <c r="N739" s="59" t="str">
        <f t="shared" si="109"/>
        <v/>
      </c>
      <c r="O739" s="60"/>
      <c r="P739" s="105"/>
    </row>
    <row r="740" spans="1:16" x14ac:dyDescent="0.3">
      <c r="A740" s="54" t="str">
        <f>IF([2]weekly_demand!A741="","",[2]weekly_demand!A741)</f>
        <v/>
      </c>
      <c r="B740" s="55" t="str">
        <f>IF($A740="","",[2]weekly_demand!F741)</f>
        <v/>
      </c>
      <c r="C740" s="56" t="str">
        <f>IF($A740="","",[2]weekly_demand!H741)</f>
        <v/>
      </c>
      <c r="D740" s="57" t="str">
        <f>IF($A740="","",IF(SUMIFS([2]Fixture_Capacity_Input!$C:$C,[2]Fixture_Capacity_Input!$A:$A,$B740,[2]Fixture_Capacity_Input!$B:$B,$C740)&gt;0,SUMIFS([2]Fixture_Capacity_Input!$C:$C,[2]Fixture_Capacity_Input!$A:$A,$B740,[2]Fixture_Capacity_Input!$B:$B,$C740),[2]weekly_demand!G741))</f>
        <v/>
      </c>
      <c r="E740" s="58" t="str">
        <f>IF($A740="","",[2]weekly_demand!I741)</f>
        <v/>
      </c>
      <c r="F740" s="57" t="str">
        <f t="shared" si="106"/>
        <v/>
      </c>
      <c r="G740" s="57" t="str">
        <f t="shared" si="107"/>
        <v/>
      </c>
      <c r="H740" s="57" t="str">
        <f t="shared" si="105"/>
        <v/>
      </c>
      <c r="I740" s="58" t="str">
        <f t="shared" si="110"/>
        <v/>
      </c>
      <c r="J740" s="58" t="str">
        <f t="shared" si="108"/>
        <v/>
      </c>
      <c r="K740" s="58" t="str">
        <f t="shared" si="111"/>
        <v/>
      </c>
      <c r="L740" s="58" t="str">
        <f t="shared" si="112"/>
        <v/>
      </c>
      <c r="M740" s="58" t="str">
        <f t="shared" si="113"/>
        <v/>
      </c>
      <c r="N740" s="59" t="str">
        <f t="shared" si="109"/>
        <v/>
      </c>
      <c r="O740" s="60"/>
      <c r="P740" s="105"/>
    </row>
    <row r="741" spans="1:16" x14ac:dyDescent="0.3">
      <c r="A741" s="54" t="str">
        <f>IF([2]weekly_demand!A742="","",[2]weekly_demand!A742)</f>
        <v/>
      </c>
      <c r="B741" s="55" t="str">
        <f>IF($A741="","",[2]weekly_demand!F742)</f>
        <v/>
      </c>
      <c r="C741" s="56" t="str">
        <f>IF($A741="","",[2]weekly_demand!H742)</f>
        <v/>
      </c>
      <c r="D741" s="57" t="str">
        <f>IF($A741="","",IF(SUMIFS([2]Fixture_Capacity_Input!$C:$C,[2]Fixture_Capacity_Input!$A:$A,$B741,[2]Fixture_Capacity_Input!$B:$B,$C741)&gt;0,SUMIFS([2]Fixture_Capacity_Input!$C:$C,[2]Fixture_Capacity_Input!$A:$A,$B741,[2]Fixture_Capacity_Input!$B:$B,$C741),[2]weekly_demand!G742))</f>
        <v/>
      </c>
      <c r="E741" s="58" t="str">
        <f>IF($A741="","",[2]weekly_demand!I742)</f>
        <v/>
      </c>
      <c r="F741" s="57" t="str">
        <f t="shared" si="106"/>
        <v/>
      </c>
      <c r="G741" s="57" t="str">
        <f t="shared" si="107"/>
        <v/>
      </c>
      <c r="H741" s="57" t="str">
        <f t="shared" si="105"/>
        <v/>
      </c>
      <c r="I741" s="58" t="str">
        <f t="shared" si="110"/>
        <v/>
      </c>
      <c r="J741" s="58" t="str">
        <f t="shared" si="108"/>
        <v/>
      </c>
      <c r="K741" s="58" t="str">
        <f t="shared" si="111"/>
        <v/>
      </c>
      <c r="L741" s="58" t="str">
        <f t="shared" si="112"/>
        <v/>
      </c>
      <c r="M741" s="58" t="str">
        <f t="shared" si="113"/>
        <v/>
      </c>
      <c r="N741" s="59" t="str">
        <f t="shared" si="109"/>
        <v/>
      </c>
      <c r="O741" s="60"/>
      <c r="P741" s="105"/>
    </row>
    <row r="742" spans="1:16" x14ac:dyDescent="0.3">
      <c r="A742" s="54" t="str">
        <f>IF([2]weekly_demand!A743="","",[2]weekly_demand!A743)</f>
        <v/>
      </c>
      <c r="B742" s="55" t="str">
        <f>IF($A742="","",[2]weekly_demand!F743)</f>
        <v/>
      </c>
      <c r="C742" s="56" t="str">
        <f>IF($A742="","",[2]weekly_demand!H743)</f>
        <v/>
      </c>
      <c r="D742" s="57" t="str">
        <f>IF($A742="","",IF(SUMIFS([2]Fixture_Capacity_Input!$C:$C,[2]Fixture_Capacity_Input!$A:$A,$B742,[2]Fixture_Capacity_Input!$B:$B,$C742)&gt;0,SUMIFS([2]Fixture_Capacity_Input!$C:$C,[2]Fixture_Capacity_Input!$A:$A,$B742,[2]Fixture_Capacity_Input!$B:$B,$C742),[2]weekly_demand!G743))</f>
        <v/>
      </c>
      <c r="E742" s="58" t="str">
        <f>IF($A742="","",[2]weekly_demand!I743)</f>
        <v/>
      </c>
      <c r="F742" s="57" t="str">
        <f t="shared" si="106"/>
        <v/>
      </c>
      <c r="G742" s="57" t="str">
        <f t="shared" si="107"/>
        <v/>
      </c>
      <c r="H742" s="57" t="str">
        <f t="shared" si="105"/>
        <v/>
      </c>
      <c r="I742" s="58" t="str">
        <f t="shared" si="110"/>
        <v/>
      </c>
      <c r="J742" s="58" t="str">
        <f t="shared" si="108"/>
        <v/>
      </c>
      <c r="K742" s="58" t="str">
        <f t="shared" si="111"/>
        <v/>
      </c>
      <c r="L742" s="58" t="str">
        <f t="shared" si="112"/>
        <v/>
      </c>
      <c r="M742" s="58" t="str">
        <f t="shared" si="113"/>
        <v/>
      </c>
      <c r="N742" s="59" t="str">
        <f t="shared" si="109"/>
        <v/>
      </c>
      <c r="O742" s="60"/>
      <c r="P742" s="105"/>
    </row>
    <row r="743" spans="1:16" x14ac:dyDescent="0.3">
      <c r="A743" s="54" t="str">
        <f>IF([2]weekly_demand!A744="","",[2]weekly_demand!A744)</f>
        <v/>
      </c>
      <c r="B743" s="55" t="str">
        <f>IF($A743="","",[2]weekly_demand!F744)</f>
        <v/>
      </c>
      <c r="C743" s="56" t="str">
        <f>IF($A743="","",[2]weekly_demand!H744)</f>
        <v/>
      </c>
      <c r="D743" s="57" t="str">
        <f>IF($A743="","",IF(SUMIFS([2]Fixture_Capacity_Input!$C:$C,[2]Fixture_Capacity_Input!$A:$A,$B743,[2]Fixture_Capacity_Input!$B:$B,$C743)&gt;0,SUMIFS([2]Fixture_Capacity_Input!$C:$C,[2]Fixture_Capacity_Input!$A:$A,$B743,[2]Fixture_Capacity_Input!$B:$B,$C743),[2]weekly_demand!G744))</f>
        <v/>
      </c>
      <c r="E743" s="58" t="str">
        <f>IF($A743="","",[2]weekly_demand!I744)</f>
        <v/>
      </c>
      <c r="F743" s="57" t="str">
        <f t="shared" si="106"/>
        <v/>
      </c>
      <c r="G743" s="57" t="str">
        <f t="shared" si="107"/>
        <v/>
      </c>
      <c r="H743" s="57" t="str">
        <f t="shared" si="105"/>
        <v/>
      </c>
      <c r="I743" s="58" t="str">
        <f t="shared" si="110"/>
        <v/>
      </c>
      <c r="J743" s="58" t="str">
        <f t="shared" si="108"/>
        <v/>
      </c>
      <c r="K743" s="58" t="str">
        <f t="shared" si="111"/>
        <v/>
      </c>
      <c r="L743" s="58" t="str">
        <f t="shared" si="112"/>
        <v/>
      </c>
      <c r="M743" s="58" t="str">
        <f t="shared" si="113"/>
        <v/>
      </c>
      <c r="N743" s="59" t="str">
        <f t="shared" si="109"/>
        <v/>
      </c>
      <c r="O743" s="60"/>
      <c r="P743" s="105"/>
    </row>
    <row r="744" spans="1:16" x14ac:dyDescent="0.3">
      <c r="A744" s="54" t="str">
        <f>IF([2]weekly_demand!A745="","",[2]weekly_demand!A745)</f>
        <v/>
      </c>
      <c r="B744" s="55" t="str">
        <f>IF($A744="","",[2]weekly_demand!F745)</f>
        <v/>
      </c>
      <c r="C744" s="56" t="str">
        <f>IF($A744="","",[2]weekly_demand!H745)</f>
        <v/>
      </c>
      <c r="D744" s="57" t="str">
        <f>IF($A744="","",IF(SUMIFS([2]Fixture_Capacity_Input!$C:$C,[2]Fixture_Capacity_Input!$A:$A,$B744,[2]Fixture_Capacity_Input!$B:$B,$C744)&gt;0,SUMIFS([2]Fixture_Capacity_Input!$C:$C,[2]Fixture_Capacity_Input!$A:$A,$B744,[2]Fixture_Capacity_Input!$B:$B,$C744),[2]weekly_demand!G745))</f>
        <v/>
      </c>
      <c r="E744" s="58" t="str">
        <f>IF($A744="","",[2]weekly_demand!I745)</f>
        <v/>
      </c>
      <c r="F744" s="57" t="str">
        <f t="shared" si="106"/>
        <v/>
      </c>
      <c r="G744" s="57" t="str">
        <f t="shared" si="107"/>
        <v/>
      </c>
      <c r="H744" s="57" t="str">
        <f t="shared" si="105"/>
        <v/>
      </c>
      <c r="I744" s="58" t="str">
        <f t="shared" si="110"/>
        <v/>
      </c>
      <c r="J744" s="58" t="str">
        <f t="shared" si="108"/>
        <v/>
      </c>
      <c r="K744" s="58" t="str">
        <f t="shared" si="111"/>
        <v/>
      </c>
      <c r="L744" s="58" t="str">
        <f t="shared" si="112"/>
        <v/>
      </c>
      <c r="M744" s="58" t="str">
        <f t="shared" si="113"/>
        <v/>
      </c>
      <c r="N744" s="59" t="str">
        <f t="shared" si="109"/>
        <v/>
      </c>
      <c r="O744" s="60"/>
      <c r="P744" s="105"/>
    </row>
    <row r="745" spans="1:16" x14ac:dyDescent="0.3">
      <c r="A745" s="54" t="str">
        <f>IF([2]weekly_demand!A746="","",[2]weekly_demand!A746)</f>
        <v/>
      </c>
      <c r="B745" s="55" t="str">
        <f>IF($A745="","",[2]weekly_demand!F746)</f>
        <v/>
      </c>
      <c r="C745" s="56" t="str">
        <f>IF($A745="","",[2]weekly_demand!H746)</f>
        <v/>
      </c>
      <c r="D745" s="57" t="str">
        <f>IF($A745="","",IF(SUMIFS([2]Fixture_Capacity_Input!$C:$C,[2]Fixture_Capacity_Input!$A:$A,$B745,[2]Fixture_Capacity_Input!$B:$B,$C745)&gt;0,SUMIFS([2]Fixture_Capacity_Input!$C:$C,[2]Fixture_Capacity_Input!$A:$A,$B745,[2]Fixture_Capacity_Input!$B:$B,$C745),[2]weekly_demand!G746))</f>
        <v/>
      </c>
      <c r="E745" s="58" t="str">
        <f>IF($A745="","",[2]weekly_demand!I746)</f>
        <v/>
      </c>
      <c r="F745" s="57" t="str">
        <f t="shared" si="106"/>
        <v/>
      </c>
      <c r="G745" s="57" t="str">
        <f t="shared" si="107"/>
        <v/>
      </c>
      <c r="H745" s="57" t="str">
        <f t="shared" si="105"/>
        <v/>
      </c>
      <c r="I745" s="58" t="str">
        <f t="shared" si="110"/>
        <v/>
      </c>
      <c r="J745" s="58" t="str">
        <f t="shared" si="108"/>
        <v/>
      </c>
      <c r="K745" s="58" t="str">
        <f t="shared" si="111"/>
        <v/>
      </c>
      <c r="L745" s="58" t="str">
        <f t="shared" si="112"/>
        <v/>
      </c>
      <c r="M745" s="58" t="str">
        <f t="shared" si="113"/>
        <v/>
      </c>
      <c r="N745" s="59" t="str">
        <f t="shared" si="109"/>
        <v/>
      </c>
      <c r="O745" s="60"/>
      <c r="P745" s="105"/>
    </row>
    <row r="746" spans="1:16" x14ac:dyDescent="0.3">
      <c r="A746" s="54" t="str">
        <f>IF([2]weekly_demand!A747="","",[2]weekly_demand!A747)</f>
        <v/>
      </c>
      <c r="B746" s="55" t="str">
        <f>IF($A746="","",[2]weekly_demand!F747)</f>
        <v/>
      </c>
      <c r="C746" s="56" t="str">
        <f>IF($A746="","",[2]weekly_demand!H747)</f>
        <v/>
      </c>
      <c r="D746" s="57" t="str">
        <f>IF($A746="","",IF(SUMIFS([2]Fixture_Capacity_Input!$C:$C,[2]Fixture_Capacity_Input!$A:$A,$B746,[2]Fixture_Capacity_Input!$B:$B,$C746)&gt;0,SUMIFS([2]Fixture_Capacity_Input!$C:$C,[2]Fixture_Capacity_Input!$A:$A,$B746,[2]Fixture_Capacity_Input!$B:$B,$C746),[2]weekly_demand!G747))</f>
        <v/>
      </c>
      <c r="E746" s="58" t="str">
        <f>IF($A746="","",[2]weekly_demand!I747)</f>
        <v/>
      </c>
      <c r="F746" s="57" t="str">
        <f t="shared" si="106"/>
        <v/>
      </c>
      <c r="G746" s="57" t="str">
        <f t="shared" si="107"/>
        <v/>
      </c>
      <c r="H746" s="57" t="str">
        <f t="shared" si="105"/>
        <v/>
      </c>
      <c r="I746" s="58" t="str">
        <f t="shared" si="110"/>
        <v/>
      </c>
      <c r="J746" s="58" t="str">
        <f t="shared" si="108"/>
        <v/>
      </c>
      <c r="K746" s="58" t="str">
        <f t="shared" si="111"/>
        <v/>
      </c>
      <c r="L746" s="58" t="str">
        <f t="shared" si="112"/>
        <v/>
      </c>
      <c r="M746" s="58" t="str">
        <f t="shared" si="113"/>
        <v/>
      </c>
      <c r="N746" s="59" t="str">
        <f t="shared" si="109"/>
        <v/>
      </c>
      <c r="O746" s="60"/>
      <c r="P746" s="105"/>
    </row>
    <row r="747" spans="1:16" x14ac:dyDescent="0.3">
      <c r="A747" s="54" t="str">
        <f>IF([2]weekly_demand!A748="","",[2]weekly_demand!A748)</f>
        <v/>
      </c>
      <c r="B747" s="55" t="str">
        <f>IF($A747="","",[2]weekly_demand!F748)</f>
        <v/>
      </c>
      <c r="C747" s="56" t="str">
        <f>IF($A747="","",[2]weekly_demand!H748)</f>
        <v/>
      </c>
      <c r="D747" s="57" t="str">
        <f>IF($A747="","",IF(SUMIFS([2]Fixture_Capacity_Input!$C:$C,[2]Fixture_Capacity_Input!$A:$A,$B747,[2]Fixture_Capacity_Input!$B:$B,$C747)&gt;0,SUMIFS([2]Fixture_Capacity_Input!$C:$C,[2]Fixture_Capacity_Input!$A:$A,$B747,[2]Fixture_Capacity_Input!$B:$B,$C747),[2]weekly_demand!G748))</f>
        <v/>
      </c>
      <c r="E747" s="58" t="str">
        <f>IF($A747="","",[2]weekly_demand!I748)</f>
        <v/>
      </c>
      <c r="F747" s="57" t="str">
        <f t="shared" si="106"/>
        <v/>
      </c>
      <c r="G747" s="57" t="str">
        <f t="shared" si="107"/>
        <v/>
      </c>
      <c r="H747" s="57" t="str">
        <f t="shared" si="105"/>
        <v/>
      </c>
      <c r="I747" s="58" t="str">
        <f t="shared" si="110"/>
        <v/>
      </c>
      <c r="J747" s="58" t="str">
        <f t="shared" si="108"/>
        <v/>
      </c>
      <c r="K747" s="58" t="str">
        <f t="shared" si="111"/>
        <v/>
      </c>
      <c r="L747" s="58" t="str">
        <f t="shared" si="112"/>
        <v/>
      </c>
      <c r="M747" s="58" t="str">
        <f t="shared" si="113"/>
        <v/>
      </c>
      <c r="N747" s="59" t="str">
        <f t="shared" si="109"/>
        <v/>
      </c>
      <c r="O747" s="60"/>
      <c r="P747" s="105"/>
    </row>
    <row r="748" spans="1:16" x14ac:dyDescent="0.3">
      <c r="A748" s="54" t="str">
        <f>IF([2]weekly_demand!A749="","",[2]weekly_demand!A749)</f>
        <v/>
      </c>
      <c r="B748" s="55" t="str">
        <f>IF($A748="","",[2]weekly_demand!F749)</f>
        <v/>
      </c>
      <c r="C748" s="56" t="str">
        <f>IF($A748="","",[2]weekly_demand!H749)</f>
        <v/>
      </c>
      <c r="D748" s="57" t="str">
        <f>IF($A748="","",IF(SUMIFS([2]Fixture_Capacity_Input!$C:$C,[2]Fixture_Capacity_Input!$A:$A,$B748,[2]Fixture_Capacity_Input!$B:$B,$C748)&gt;0,SUMIFS([2]Fixture_Capacity_Input!$C:$C,[2]Fixture_Capacity_Input!$A:$A,$B748,[2]Fixture_Capacity_Input!$B:$B,$C748),[2]weekly_demand!G749))</f>
        <v/>
      </c>
      <c r="E748" s="58" t="str">
        <f>IF($A748="","",[2]weekly_demand!I749)</f>
        <v/>
      </c>
      <c r="F748" s="57" t="str">
        <f t="shared" si="106"/>
        <v/>
      </c>
      <c r="G748" s="57" t="str">
        <f t="shared" si="107"/>
        <v/>
      </c>
      <c r="H748" s="57" t="str">
        <f t="shared" si="105"/>
        <v/>
      </c>
      <c r="I748" s="58" t="str">
        <f t="shared" si="110"/>
        <v/>
      </c>
      <c r="J748" s="58" t="str">
        <f t="shared" si="108"/>
        <v/>
      </c>
      <c r="K748" s="58" t="str">
        <f t="shared" si="111"/>
        <v/>
      </c>
      <c r="L748" s="58" t="str">
        <f t="shared" si="112"/>
        <v/>
      </c>
      <c r="M748" s="58" t="str">
        <f t="shared" si="113"/>
        <v/>
      </c>
      <c r="N748" s="59" t="str">
        <f t="shared" si="109"/>
        <v/>
      </c>
      <c r="O748" s="60"/>
      <c r="P748" s="105"/>
    </row>
    <row r="749" spans="1:16" x14ac:dyDescent="0.3">
      <c r="A749" s="54" t="str">
        <f>IF([2]weekly_demand!A750="","",[2]weekly_demand!A750)</f>
        <v/>
      </c>
      <c r="B749" s="55" t="str">
        <f>IF($A749="","",[2]weekly_demand!F750)</f>
        <v/>
      </c>
      <c r="C749" s="56" t="str">
        <f>IF($A749="","",[2]weekly_demand!H750)</f>
        <v/>
      </c>
      <c r="D749" s="57" t="str">
        <f>IF($A749="","",IF(SUMIFS([2]Fixture_Capacity_Input!$C:$C,[2]Fixture_Capacity_Input!$A:$A,$B749,[2]Fixture_Capacity_Input!$B:$B,$C749)&gt;0,SUMIFS([2]Fixture_Capacity_Input!$C:$C,[2]Fixture_Capacity_Input!$A:$A,$B749,[2]Fixture_Capacity_Input!$B:$B,$C749),[2]weekly_demand!G750))</f>
        <v/>
      </c>
      <c r="E749" s="58" t="str">
        <f>IF($A749="","",[2]weekly_demand!I750)</f>
        <v/>
      </c>
      <c r="F749" s="57" t="str">
        <f t="shared" si="106"/>
        <v/>
      </c>
      <c r="G749" s="57" t="str">
        <f t="shared" si="107"/>
        <v/>
      </c>
      <c r="H749" s="57" t="str">
        <f t="shared" si="105"/>
        <v/>
      </c>
      <c r="I749" s="58" t="str">
        <f t="shared" si="110"/>
        <v/>
      </c>
      <c r="J749" s="58" t="str">
        <f t="shared" si="108"/>
        <v/>
      </c>
      <c r="K749" s="58" t="str">
        <f t="shared" si="111"/>
        <v/>
      </c>
      <c r="L749" s="58" t="str">
        <f t="shared" si="112"/>
        <v/>
      </c>
      <c r="M749" s="58" t="str">
        <f t="shared" si="113"/>
        <v/>
      </c>
      <c r="N749" s="59" t="str">
        <f t="shared" si="109"/>
        <v/>
      </c>
      <c r="O749" s="60"/>
      <c r="P749" s="105"/>
    </row>
    <row r="750" spans="1:16" x14ac:dyDescent="0.3">
      <c r="A750" s="54" t="str">
        <f>IF([2]weekly_demand!A751="","",[2]weekly_demand!A751)</f>
        <v/>
      </c>
      <c r="B750" s="55" t="str">
        <f>IF($A750="","",[2]weekly_demand!F751)</f>
        <v/>
      </c>
      <c r="C750" s="56" t="str">
        <f>IF($A750="","",[2]weekly_demand!H751)</f>
        <v/>
      </c>
      <c r="D750" s="57" t="str">
        <f>IF($A750="","",IF(SUMIFS([2]Fixture_Capacity_Input!$C:$C,[2]Fixture_Capacity_Input!$A:$A,$B750,[2]Fixture_Capacity_Input!$B:$B,$C750)&gt;0,SUMIFS([2]Fixture_Capacity_Input!$C:$C,[2]Fixture_Capacity_Input!$A:$A,$B750,[2]Fixture_Capacity_Input!$B:$B,$C750),[2]weekly_demand!G751))</f>
        <v/>
      </c>
      <c r="E750" s="58" t="str">
        <f>IF($A750="","",[2]weekly_demand!I751)</f>
        <v/>
      </c>
      <c r="F750" s="57" t="str">
        <f t="shared" si="106"/>
        <v/>
      </c>
      <c r="G750" s="57" t="str">
        <f t="shared" si="107"/>
        <v/>
      </c>
      <c r="H750" s="57" t="str">
        <f t="shared" si="105"/>
        <v/>
      </c>
      <c r="I750" s="58" t="str">
        <f t="shared" si="110"/>
        <v/>
      </c>
      <c r="J750" s="58" t="str">
        <f t="shared" si="108"/>
        <v/>
      </c>
      <c r="K750" s="58" t="str">
        <f t="shared" si="111"/>
        <v/>
      </c>
      <c r="L750" s="58" t="str">
        <f t="shared" si="112"/>
        <v/>
      </c>
      <c r="M750" s="58" t="str">
        <f t="shared" si="113"/>
        <v/>
      </c>
      <c r="N750" s="59" t="str">
        <f t="shared" si="109"/>
        <v/>
      </c>
      <c r="O750" s="60"/>
      <c r="P750" s="105"/>
    </row>
    <row r="751" spans="1:16" x14ac:dyDescent="0.3">
      <c r="A751" s="54" t="str">
        <f>IF([2]weekly_demand!A752="","",[2]weekly_demand!A752)</f>
        <v/>
      </c>
      <c r="B751" s="55" t="str">
        <f>IF($A751="","",[2]weekly_demand!F752)</f>
        <v/>
      </c>
      <c r="C751" s="56" t="str">
        <f>IF($A751="","",[2]weekly_demand!H752)</f>
        <v/>
      </c>
      <c r="D751" s="57" t="str">
        <f>IF($A751="","",IF(SUMIFS([2]Fixture_Capacity_Input!$C:$C,[2]Fixture_Capacity_Input!$A:$A,$B751,[2]Fixture_Capacity_Input!$B:$B,$C751)&gt;0,SUMIFS([2]Fixture_Capacity_Input!$C:$C,[2]Fixture_Capacity_Input!$A:$A,$B751,[2]Fixture_Capacity_Input!$B:$B,$C751),[2]weekly_demand!G752))</f>
        <v/>
      </c>
      <c r="E751" s="58" t="str">
        <f>IF($A751="","",[2]weekly_demand!I752)</f>
        <v/>
      </c>
      <c r="F751" s="57" t="str">
        <f t="shared" si="106"/>
        <v/>
      </c>
      <c r="G751" s="57" t="str">
        <f t="shared" si="107"/>
        <v/>
      </c>
      <c r="H751" s="57" t="str">
        <f t="shared" si="105"/>
        <v/>
      </c>
      <c r="I751" s="58" t="str">
        <f t="shared" si="110"/>
        <v/>
      </c>
      <c r="J751" s="58" t="str">
        <f t="shared" si="108"/>
        <v/>
      </c>
      <c r="K751" s="58" t="str">
        <f t="shared" si="111"/>
        <v/>
      </c>
      <c r="L751" s="58" t="str">
        <f t="shared" si="112"/>
        <v/>
      </c>
      <c r="M751" s="58" t="str">
        <f t="shared" si="113"/>
        <v/>
      </c>
      <c r="N751" s="59" t="str">
        <f t="shared" si="109"/>
        <v/>
      </c>
      <c r="O751" s="60"/>
      <c r="P751" s="105"/>
    </row>
    <row r="752" spans="1:16" x14ac:dyDescent="0.3">
      <c r="A752" s="54" t="str">
        <f>IF([2]weekly_demand!A753="","",[2]weekly_demand!A753)</f>
        <v/>
      </c>
      <c r="B752" s="55" t="str">
        <f>IF($A752="","",[2]weekly_demand!F753)</f>
        <v/>
      </c>
      <c r="C752" s="56" t="str">
        <f>IF($A752="","",[2]weekly_demand!H753)</f>
        <v/>
      </c>
      <c r="D752" s="57" t="str">
        <f>IF($A752="","",IF(SUMIFS([2]Fixture_Capacity_Input!$C:$C,[2]Fixture_Capacity_Input!$A:$A,$B752,[2]Fixture_Capacity_Input!$B:$B,$C752)&gt;0,SUMIFS([2]Fixture_Capacity_Input!$C:$C,[2]Fixture_Capacity_Input!$A:$A,$B752,[2]Fixture_Capacity_Input!$B:$B,$C752),[2]weekly_demand!G753))</f>
        <v/>
      </c>
      <c r="E752" s="58" t="str">
        <f>IF($A752="","",[2]weekly_demand!I753)</f>
        <v/>
      </c>
      <c r="F752" s="57" t="str">
        <f t="shared" si="106"/>
        <v/>
      </c>
      <c r="G752" s="57" t="str">
        <f t="shared" si="107"/>
        <v/>
      </c>
      <c r="H752" s="57" t="str">
        <f t="shared" si="105"/>
        <v/>
      </c>
      <c r="I752" s="58" t="str">
        <f t="shared" si="110"/>
        <v/>
      </c>
      <c r="J752" s="58" t="str">
        <f t="shared" si="108"/>
        <v/>
      </c>
      <c r="K752" s="58" t="str">
        <f t="shared" si="111"/>
        <v/>
      </c>
      <c r="L752" s="58" t="str">
        <f t="shared" si="112"/>
        <v/>
      </c>
      <c r="M752" s="58" t="str">
        <f t="shared" si="113"/>
        <v/>
      </c>
      <c r="N752" s="59" t="str">
        <f t="shared" si="109"/>
        <v/>
      </c>
      <c r="O752" s="60"/>
      <c r="P752" s="105"/>
    </row>
    <row r="753" spans="1:16" x14ac:dyDescent="0.3">
      <c r="A753" s="54" t="str">
        <f>IF([2]weekly_demand!A754="","",[2]weekly_demand!A754)</f>
        <v/>
      </c>
      <c r="B753" s="55" t="str">
        <f>IF($A753="","",[2]weekly_demand!F754)</f>
        <v/>
      </c>
      <c r="C753" s="56" t="str">
        <f>IF($A753="","",[2]weekly_demand!H754)</f>
        <v/>
      </c>
      <c r="D753" s="57" t="str">
        <f>IF($A753="","",IF(SUMIFS([2]Fixture_Capacity_Input!$C:$C,[2]Fixture_Capacity_Input!$A:$A,$B753,[2]Fixture_Capacity_Input!$B:$B,$C753)&gt;0,SUMIFS([2]Fixture_Capacity_Input!$C:$C,[2]Fixture_Capacity_Input!$A:$A,$B753,[2]Fixture_Capacity_Input!$B:$B,$C753),[2]weekly_demand!G754))</f>
        <v/>
      </c>
      <c r="E753" s="58" t="str">
        <f>IF($A753="","",[2]weekly_demand!I754)</f>
        <v/>
      </c>
      <c r="F753" s="57" t="str">
        <f t="shared" si="106"/>
        <v/>
      </c>
      <c r="G753" s="57" t="str">
        <f t="shared" si="107"/>
        <v/>
      </c>
      <c r="H753" s="57" t="str">
        <f t="shared" si="105"/>
        <v/>
      </c>
      <c r="I753" s="58" t="str">
        <f t="shared" si="110"/>
        <v/>
      </c>
      <c r="J753" s="58" t="str">
        <f t="shared" si="108"/>
        <v/>
      </c>
      <c r="K753" s="58" t="str">
        <f t="shared" si="111"/>
        <v/>
      </c>
      <c r="L753" s="58" t="str">
        <f t="shared" si="112"/>
        <v/>
      </c>
      <c r="M753" s="58" t="str">
        <f t="shared" si="113"/>
        <v/>
      </c>
      <c r="N753" s="59" t="str">
        <f t="shared" si="109"/>
        <v/>
      </c>
      <c r="O753" s="60"/>
      <c r="P753" s="105"/>
    </row>
    <row r="754" spans="1:16" x14ac:dyDescent="0.3">
      <c r="A754" s="54" t="str">
        <f>IF([2]weekly_demand!A755="","",[2]weekly_demand!A755)</f>
        <v/>
      </c>
      <c r="B754" s="55" t="str">
        <f>IF($A754="","",[2]weekly_demand!F755)</f>
        <v/>
      </c>
      <c r="C754" s="56" t="str">
        <f>IF($A754="","",[2]weekly_demand!H755)</f>
        <v/>
      </c>
      <c r="D754" s="57" t="str">
        <f>IF($A754="","",IF(SUMIFS([2]Fixture_Capacity_Input!$C:$C,[2]Fixture_Capacity_Input!$A:$A,$B754,[2]Fixture_Capacity_Input!$B:$B,$C754)&gt;0,SUMIFS([2]Fixture_Capacity_Input!$C:$C,[2]Fixture_Capacity_Input!$A:$A,$B754,[2]Fixture_Capacity_Input!$B:$B,$C754),[2]weekly_demand!G755))</f>
        <v/>
      </c>
      <c r="E754" s="58" t="str">
        <f>IF($A754="","",[2]weekly_demand!I755)</f>
        <v/>
      </c>
      <c r="F754" s="57" t="str">
        <f t="shared" si="106"/>
        <v/>
      </c>
      <c r="G754" s="57" t="str">
        <f t="shared" si="107"/>
        <v/>
      </c>
      <c r="H754" s="57" t="str">
        <f t="shared" si="105"/>
        <v/>
      </c>
      <c r="I754" s="58" t="str">
        <f t="shared" si="110"/>
        <v/>
      </c>
      <c r="J754" s="58" t="str">
        <f t="shared" si="108"/>
        <v/>
      </c>
      <c r="K754" s="58" t="str">
        <f t="shared" si="111"/>
        <v/>
      </c>
      <c r="L754" s="58" t="str">
        <f t="shared" si="112"/>
        <v/>
      </c>
      <c r="M754" s="58" t="str">
        <f t="shared" si="113"/>
        <v/>
      </c>
      <c r="N754" s="59" t="str">
        <f t="shared" si="109"/>
        <v/>
      </c>
      <c r="O754" s="60"/>
      <c r="P754" s="105"/>
    </row>
    <row r="755" spans="1:16" x14ac:dyDescent="0.3">
      <c r="A755" s="54" t="str">
        <f>IF([2]weekly_demand!A756="","",[2]weekly_demand!A756)</f>
        <v/>
      </c>
      <c r="B755" s="55" t="str">
        <f>IF($A755="","",[2]weekly_demand!F756)</f>
        <v/>
      </c>
      <c r="C755" s="56" t="str">
        <f>IF($A755="","",[2]weekly_demand!H756)</f>
        <v/>
      </c>
      <c r="D755" s="57" t="str">
        <f>IF($A755="","",IF(SUMIFS([2]Fixture_Capacity_Input!$C:$C,[2]Fixture_Capacity_Input!$A:$A,$B755,[2]Fixture_Capacity_Input!$B:$B,$C755)&gt;0,SUMIFS([2]Fixture_Capacity_Input!$C:$C,[2]Fixture_Capacity_Input!$A:$A,$B755,[2]Fixture_Capacity_Input!$B:$B,$C755),[2]weekly_demand!G756))</f>
        <v/>
      </c>
      <c r="E755" s="58" t="str">
        <f>IF($A755="","",[2]weekly_demand!I756)</f>
        <v/>
      </c>
      <c r="F755" s="57" t="str">
        <f t="shared" si="106"/>
        <v/>
      </c>
      <c r="G755" s="57" t="str">
        <f t="shared" si="107"/>
        <v/>
      </c>
      <c r="H755" s="57" t="str">
        <f t="shared" ref="H755:H818" si="114">IF($A755="","",IF($A755&lt;&gt;$A756,0,MAX(0,H756+E756-D756)))</f>
        <v/>
      </c>
      <c r="I755" s="58" t="str">
        <f t="shared" si="110"/>
        <v/>
      </c>
      <c r="J755" s="58" t="str">
        <f t="shared" si="108"/>
        <v/>
      </c>
      <c r="K755" s="58" t="str">
        <f t="shared" si="111"/>
        <v/>
      </c>
      <c r="L755" s="58" t="str">
        <f t="shared" si="112"/>
        <v/>
      </c>
      <c r="M755" s="58" t="str">
        <f t="shared" si="113"/>
        <v/>
      </c>
      <c r="N755" s="59" t="str">
        <f t="shared" si="109"/>
        <v/>
      </c>
      <c r="O755" s="60"/>
      <c r="P755" s="105"/>
    </row>
    <row r="756" spans="1:16" x14ac:dyDescent="0.3">
      <c r="A756" s="54" t="str">
        <f>IF([2]weekly_demand!A757="","",[2]weekly_demand!A757)</f>
        <v/>
      </c>
      <c r="B756" s="55" t="str">
        <f>IF($A756="","",[2]weekly_demand!F757)</f>
        <v/>
      </c>
      <c r="C756" s="56" t="str">
        <f>IF($A756="","",[2]weekly_demand!H757)</f>
        <v/>
      </c>
      <c r="D756" s="57" t="str">
        <f>IF($A756="","",IF(SUMIFS([2]Fixture_Capacity_Input!$C:$C,[2]Fixture_Capacity_Input!$A:$A,$B756,[2]Fixture_Capacity_Input!$B:$B,$C756)&gt;0,SUMIFS([2]Fixture_Capacity_Input!$C:$C,[2]Fixture_Capacity_Input!$A:$A,$B756,[2]Fixture_Capacity_Input!$B:$B,$C756),[2]weekly_demand!G757))</f>
        <v/>
      </c>
      <c r="E756" s="58" t="str">
        <f>IF($A756="","",[2]weekly_demand!I757)</f>
        <v/>
      </c>
      <c r="F756" s="57" t="str">
        <f t="shared" si="106"/>
        <v/>
      </c>
      <c r="G756" s="57" t="str">
        <f t="shared" si="107"/>
        <v/>
      </c>
      <c r="H756" s="57" t="str">
        <f t="shared" si="114"/>
        <v/>
      </c>
      <c r="I756" s="58" t="str">
        <f t="shared" si="110"/>
        <v/>
      </c>
      <c r="J756" s="58" t="str">
        <f t="shared" si="108"/>
        <v/>
      </c>
      <c r="K756" s="58" t="str">
        <f t="shared" si="111"/>
        <v/>
      </c>
      <c r="L756" s="58" t="str">
        <f t="shared" si="112"/>
        <v/>
      </c>
      <c r="M756" s="58" t="str">
        <f t="shared" si="113"/>
        <v/>
      </c>
      <c r="N756" s="59" t="str">
        <f t="shared" si="109"/>
        <v/>
      </c>
      <c r="O756" s="60"/>
      <c r="P756" s="105"/>
    </row>
    <row r="757" spans="1:16" x14ac:dyDescent="0.3">
      <c r="A757" s="54" t="str">
        <f>IF([2]weekly_demand!A758="","",[2]weekly_demand!A758)</f>
        <v/>
      </c>
      <c r="B757" s="55" t="str">
        <f>IF($A757="","",[2]weekly_demand!F758)</f>
        <v/>
      </c>
      <c r="C757" s="56" t="str">
        <f>IF($A757="","",[2]weekly_demand!H758)</f>
        <v/>
      </c>
      <c r="D757" s="57" t="str">
        <f>IF($A757="","",IF(SUMIFS([2]Fixture_Capacity_Input!$C:$C,[2]Fixture_Capacity_Input!$A:$A,$B757,[2]Fixture_Capacity_Input!$B:$B,$C757)&gt;0,SUMIFS([2]Fixture_Capacity_Input!$C:$C,[2]Fixture_Capacity_Input!$A:$A,$B757,[2]Fixture_Capacity_Input!$B:$B,$C757),[2]weekly_demand!G758))</f>
        <v/>
      </c>
      <c r="E757" s="58" t="str">
        <f>IF($A757="","",[2]weekly_demand!I758)</f>
        <v/>
      </c>
      <c r="F757" s="57" t="str">
        <f t="shared" si="106"/>
        <v/>
      </c>
      <c r="G757" s="57" t="str">
        <f t="shared" si="107"/>
        <v/>
      </c>
      <c r="H757" s="57" t="str">
        <f t="shared" si="114"/>
        <v/>
      </c>
      <c r="I757" s="58" t="str">
        <f t="shared" si="110"/>
        <v/>
      </c>
      <c r="J757" s="58" t="str">
        <f t="shared" si="108"/>
        <v/>
      </c>
      <c r="K757" s="58" t="str">
        <f t="shared" si="111"/>
        <v/>
      </c>
      <c r="L757" s="58" t="str">
        <f t="shared" si="112"/>
        <v/>
      </c>
      <c r="M757" s="58" t="str">
        <f t="shared" si="113"/>
        <v/>
      </c>
      <c r="N757" s="59" t="str">
        <f t="shared" si="109"/>
        <v/>
      </c>
      <c r="O757" s="60"/>
      <c r="P757" s="105"/>
    </row>
    <row r="758" spans="1:16" x14ac:dyDescent="0.3">
      <c r="A758" s="54" t="str">
        <f>IF([2]weekly_demand!A759="","",[2]weekly_demand!A759)</f>
        <v/>
      </c>
      <c r="B758" s="55" t="str">
        <f>IF($A758="","",[2]weekly_demand!F759)</f>
        <v/>
      </c>
      <c r="C758" s="56" t="str">
        <f>IF($A758="","",[2]weekly_demand!H759)</f>
        <v/>
      </c>
      <c r="D758" s="57" t="str">
        <f>IF($A758="","",IF(SUMIFS([2]Fixture_Capacity_Input!$C:$C,[2]Fixture_Capacity_Input!$A:$A,$B758,[2]Fixture_Capacity_Input!$B:$B,$C758)&gt;0,SUMIFS([2]Fixture_Capacity_Input!$C:$C,[2]Fixture_Capacity_Input!$A:$A,$B758,[2]Fixture_Capacity_Input!$B:$B,$C758),[2]weekly_demand!G759))</f>
        <v/>
      </c>
      <c r="E758" s="58" t="str">
        <f>IF($A758="","",[2]weekly_demand!I759)</f>
        <v/>
      </c>
      <c r="F758" s="57" t="str">
        <f t="shared" si="106"/>
        <v/>
      </c>
      <c r="G758" s="57" t="str">
        <f t="shared" si="107"/>
        <v/>
      </c>
      <c r="H758" s="57" t="str">
        <f t="shared" si="114"/>
        <v/>
      </c>
      <c r="I758" s="58" t="str">
        <f t="shared" si="110"/>
        <v/>
      </c>
      <c r="J758" s="58" t="str">
        <f t="shared" si="108"/>
        <v/>
      </c>
      <c r="K758" s="58" t="str">
        <f t="shared" si="111"/>
        <v/>
      </c>
      <c r="L758" s="58" t="str">
        <f t="shared" si="112"/>
        <v/>
      </c>
      <c r="M758" s="58" t="str">
        <f t="shared" si="113"/>
        <v/>
      </c>
      <c r="N758" s="59" t="str">
        <f t="shared" si="109"/>
        <v/>
      </c>
      <c r="O758" s="60"/>
      <c r="P758" s="105"/>
    </row>
    <row r="759" spans="1:16" x14ac:dyDescent="0.3">
      <c r="A759" s="54" t="str">
        <f>IF([2]weekly_demand!A760="","",[2]weekly_demand!A760)</f>
        <v/>
      </c>
      <c r="B759" s="55" t="str">
        <f>IF($A759="","",[2]weekly_demand!F760)</f>
        <v/>
      </c>
      <c r="C759" s="56" t="str">
        <f>IF($A759="","",[2]weekly_demand!H760)</f>
        <v/>
      </c>
      <c r="D759" s="57" t="str">
        <f>IF($A759="","",IF(SUMIFS([2]Fixture_Capacity_Input!$C:$C,[2]Fixture_Capacity_Input!$A:$A,$B759,[2]Fixture_Capacity_Input!$B:$B,$C759)&gt;0,SUMIFS([2]Fixture_Capacity_Input!$C:$C,[2]Fixture_Capacity_Input!$A:$A,$B759,[2]Fixture_Capacity_Input!$B:$B,$C759),[2]weekly_demand!G760))</f>
        <v/>
      </c>
      <c r="E759" s="58" t="str">
        <f>IF($A759="","",[2]weekly_demand!I760)</f>
        <v/>
      </c>
      <c r="F759" s="57" t="str">
        <f t="shared" si="106"/>
        <v/>
      </c>
      <c r="G759" s="57" t="str">
        <f t="shared" si="107"/>
        <v/>
      </c>
      <c r="H759" s="57" t="str">
        <f t="shared" si="114"/>
        <v/>
      </c>
      <c r="I759" s="58" t="str">
        <f t="shared" si="110"/>
        <v/>
      </c>
      <c r="J759" s="58" t="str">
        <f t="shared" si="108"/>
        <v/>
      </c>
      <c r="K759" s="58" t="str">
        <f t="shared" si="111"/>
        <v/>
      </c>
      <c r="L759" s="58" t="str">
        <f t="shared" si="112"/>
        <v/>
      </c>
      <c r="M759" s="58" t="str">
        <f t="shared" si="113"/>
        <v/>
      </c>
      <c r="N759" s="59" t="str">
        <f t="shared" si="109"/>
        <v/>
      </c>
      <c r="O759" s="60"/>
      <c r="P759" s="105"/>
    </row>
    <row r="760" spans="1:16" x14ac:dyDescent="0.3">
      <c r="A760" s="54" t="str">
        <f>IF([2]weekly_demand!A761="","",[2]weekly_demand!A761)</f>
        <v/>
      </c>
      <c r="B760" s="55" t="str">
        <f>IF($A760="","",[2]weekly_demand!F761)</f>
        <v/>
      </c>
      <c r="C760" s="56" t="str">
        <f>IF($A760="","",[2]weekly_demand!H761)</f>
        <v/>
      </c>
      <c r="D760" s="57" t="str">
        <f>IF($A760="","",IF(SUMIFS([2]Fixture_Capacity_Input!$C:$C,[2]Fixture_Capacity_Input!$A:$A,$B760,[2]Fixture_Capacity_Input!$B:$B,$C760)&gt;0,SUMIFS([2]Fixture_Capacity_Input!$C:$C,[2]Fixture_Capacity_Input!$A:$A,$B760,[2]Fixture_Capacity_Input!$B:$B,$C760),[2]weekly_demand!G761))</f>
        <v/>
      </c>
      <c r="E760" s="58" t="str">
        <f>IF($A760="","",[2]weekly_demand!I761)</f>
        <v/>
      </c>
      <c r="F760" s="57" t="str">
        <f t="shared" si="106"/>
        <v/>
      </c>
      <c r="G760" s="57" t="str">
        <f t="shared" si="107"/>
        <v/>
      </c>
      <c r="H760" s="57" t="str">
        <f t="shared" si="114"/>
        <v/>
      </c>
      <c r="I760" s="58" t="str">
        <f t="shared" si="110"/>
        <v/>
      </c>
      <c r="J760" s="58" t="str">
        <f t="shared" si="108"/>
        <v/>
      </c>
      <c r="K760" s="58" t="str">
        <f t="shared" si="111"/>
        <v/>
      </c>
      <c r="L760" s="58" t="str">
        <f t="shared" si="112"/>
        <v/>
      </c>
      <c r="M760" s="58" t="str">
        <f t="shared" si="113"/>
        <v/>
      </c>
      <c r="N760" s="59" t="str">
        <f t="shared" si="109"/>
        <v/>
      </c>
      <c r="O760" s="60"/>
      <c r="P760" s="105"/>
    </row>
    <row r="761" spans="1:16" x14ac:dyDescent="0.3">
      <c r="A761" s="54" t="str">
        <f>IF([2]weekly_demand!A762="","",[2]weekly_demand!A762)</f>
        <v/>
      </c>
      <c r="B761" s="55" t="str">
        <f>IF($A761="","",[2]weekly_demand!F762)</f>
        <v/>
      </c>
      <c r="C761" s="56" t="str">
        <f>IF($A761="","",[2]weekly_demand!H762)</f>
        <v/>
      </c>
      <c r="D761" s="57" t="str">
        <f>IF($A761="","",IF(SUMIFS([2]Fixture_Capacity_Input!$C:$C,[2]Fixture_Capacity_Input!$A:$A,$B761,[2]Fixture_Capacity_Input!$B:$B,$C761)&gt;0,SUMIFS([2]Fixture_Capacity_Input!$C:$C,[2]Fixture_Capacity_Input!$A:$A,$B761,[2]Fixture_Capacity_Input!$B:$B,$C761),[2]weekly_demand!G762))</f>
        <v/>
      </c>
      <c r="E761" s="58" t="str">
        <f>IF($A761="","",[2]weekly_demand!I762)</f>
        <v/>
      </c>
      <c r="F761" s="57" t="str">
        <f t="shared" si="106"/>
        <v/>
      </c>
      <c r="G761" s="57" t="str">
        <f t="shared" si="107"/>
        <v/>
      </c>
      <c r="H761" s="57" t="str">
        <f t="shared" si="114"/>
        <v/>
      </c>
      <c r="I761" s="58" t="str">
        <f t="shared" si="110"/>
        <v/>
      </c>
      <c r="J761" s="58" t="str">
        <f t="shared" si="108"/>
        <v/>
      </c>
      <c r="K761" s="58" t="str">
        <f t="shared" si="111"/>
        <v/>
      </c>
      <c r="L761" s="58" t="str">
        <f t="shared" si="112"/>
        <v/>
      </c>
      <c r="M761" s="58" t="str">
        <f t="shared" si="113"/>
        <v/>
      </c>
      <c r="N761" s="59" t="str">
        <f t="shared" si="109"/>
        <v/>
      </c>
      <c r="O761" s="60"/>
      <c r="P761" s="105"/>
    </row>
    <row r="762" spans="1:16" x14ac:dyDescent="0.3">
      <c r="A762" s="54" t="str">
        <f>IF([2]weekly_demand!A763="","",[2]weekly_demand!A763)</f>
        <v/>
      </c>
      <c r="B762" s="55" t="str">
        <f>IF($A762="","",[2]weekly_demand!F763)</f>
        <v/>
      </c>
      <c r="C762" s="56" t="str">
        <f>IF($A762="","",[2]weekly_demand!H763)</f>
        <v/>
      </c>
      <c r="D762" s="57" t="str">
        <f>IF($A762="","",IF(SUMIFS([2]Fixture_Capacity_Input!$C:$C,[2]Fixture_Capacity_Input!$A:$A,$B762,[2]Fixture_Capacity_Input!$B:$B,$C762)&gt;0,SUMIFS([2]Fixture_Capacity_Input!$C:$C,[2]Fixture_Capacity_Input!$A:$A,$B762,[2]Fixture_Capacity_Input!$B:$B,$C762),[2]weekly_demand!G763))</f>
        <v/>
      </c>
      <c r="E762" s="58" t="str">
        <f>IF($A762="","",[2]weekly_demand!I763)</f>
        <v/>
      </c>
      <c r="F762" s="57" t="str">
        <f t="shared" si="106"/>
        <v/>
      </c>
      <c r="G762" s="57" t="str">
        <f t="shared" si="107"/>
        <v/>
      </c>
      <c r="H762" s="57" t="str">
        <f t="shared" si="114"/>
        <v/>
      </c>
      <c r="I762" s="58" t="str">
        <f t="shared" si="110"/>
        <v/>
      </c>
      <c r="J762" s="58" t="str">
        <f t="shared" si="108"/>
        <v/>
      </c>
      <c r="K762" s="58" t="str">
        <f t="shared" si="111"/>
        <v/>
      </c>
      <c r="L762" s="58" t="str">
        <f t="shared" si="112"/>
        <v/>
      </c>
      <c r="M762" s="58" t="str">
        <f t="shared" si="113"/>
        <v/>
      </c>
      <c r="N762" s="59" t="str">
        <f t="shared" si="109"/>
        <v/>
      </c>
      <c r="O762" s="60"/>
      <c r="P762" s="105"/>
    </row>
    <row r="763" spans="1:16" x14ac:dyDescent="0.3">
      <c r="A763" s="54" t="str">
        <f>IF([2]weekly_demand!A764="","",[2]weekly_demand!A764)</f>
        <v/>
      </c>
      <c r="B763" s="55" t="str">
        <f>IF($A763="","",[2]weekly_demand!F764)</f>
        <v/>
      </c>
      <c r="C763" s="56" t="str">
        <f>IF($A763="","",[2]weekly_demand!H764)</f>
        <v/>
      </c>
      <c r="D763" s="57" t="str">
        <f>IF($A763="","",IF(SUMIFS([2]Fixture_Capacity_Input!$C:$C,[2]Fixture_Capacity_Input!$A:$A,$B763,[2]Fixture_Capacity_Input!$B:$B,$C763)&gt;0,SUMIFS([2]Fixture_Capacity_Input!$C:$C,[2]Fixture_Capacity_Input!$A:$A,$B763,[2]Fixture_Capacity_Input!$B:$B,$C763),[2]weekly_demand!G764))</f>
        <v/>
      </c>
      <c r="E763" s="58" t="str">
        <f>IF($A763="","",[2]weekly_demand!I764)</f>
        <v/>
      </c>
      <c r="F763" s="57" t="str">
        <f t="shared" si="106"/>
        <v/>
      </c>
      <c r="G763" s="57" t="str">
        <f t="shared" si="107"/>
        <v/>
      </c>
      <c r="H763" s="57" t="str">
        <f t="shared" si="114"/>
        <v/>
      </c>
      <c r="I763" s="58" t="str">
        <f t="shared" si="110"/>
        <v/>
      </c>
      <c r="J763" s="58" t="str">
        <f t="shared" si="108"/>
        <v/>
      </c>
      <c r="K763" s="58" t="str">
        <f t="shared" si="111"/>
        <v/>
      </c>
      <c r="L763" s="58" t="str">
        <f t="shared" si="112"/>
        <v/>
      </c>
      <c r="M763" s="58" t="str">
        <f t="shared" si="113"/>
        <v/>
      </c>
      <c r="N763" s="59" t="str">
        <f t="shared" si="109"/>
        <v/>
      </c>
      <c r="O763" s="60"/>
      <c r="P763" s="105"/>
    </row>
    <row r="764" spans="1:16" x14ac:dyDescent="0.3">
      <c r="A764" s="54" t="str">
        <f>IF([2]weekly_demand!A765="","",[2]weekly_demand!A765)</f>
        <v/>
      </c>
      <c r="B764" s="55" t="str">
        <f>IF($A764="","",[2]weekly_demand!F765)</f>
        <v/>
      </c>
      <c r="C764" s="56" t="str">
        <f>IF($A764="","",[2]weekly_demand!H765)</f>
        <v/>
      </c>
      <c r="D764" s="57" t="str">
        <f>IF($A764="","",IF(SUMIFS([2]Fixture_Capacity_Input!$C:$C,[2]Fixture_Capacity_Input!$A:$A,$B764,[2]Fixture_Capacity_Input!$B:$B,$C764)&gt;0,SUMIFS([2]Fixture_Capacity_Input!$C:$C,[2]Fixture_Capacity_Input!$A:$A,$B764,[2]Fixture_Capacity_Input!$B:$B,$C764),[2]weekly_demand!G765))</f>
        <v/>
      </c>
      <c r="E764" s="58" t="str">
        <f>IF($A764="","",[2]weekly_demand!I765)</f>
        <v/>
      </c>
      <c r="F764" s="57" t="str">
        <f t="shared" si="106"/>
        <v/>
      </c>
      <c r="G764" s="57" t="str">
        <f t="shared" si="107"/>
        <v/>
      </c>
      <c r="H764" s="57" t="str">
        <f t="shared" si="114"/>
        <v/>
      </c>
      <c r="I764" s="58" t="str">
        <f t="shared" si="110"/>
        <v/>
      </c>
      <c r="J764" s="58" t="str">
        <f t="shared" si="108"/>
        <v/>
      </c>
      <c r="K764" s="58" t="str">
        <f t="shared" si="111"/>
        <v/>
      </c>
      <c r="L764" s="58" t="str">
        <f t="shared" si="112"/>
        <v/>
      </c>
      <c r="M764" s="58" t="str">
        <f t="shared" si="113"/>
        <v/>
      </c>
      <c r="N764" s="59" t="str">
        <f t="shared" si="109"/>
        <v/>
      </c>
      <c r="O764" s="60"/>
      <c r="P764" s="105"/>
    </row>
    <row r="765" spans="1:16" x14ac:dyDescent="0.3">
      <c r="A765" s="54" t="str">
        <f>IF([2]weekly_demand!A766="","",[2]weekly_demand!A766)</f>
        <v/>
      </c>
      <c r="B765" s="55" t="str">
        <f>IF($A765="","",[2]weekly_demand!F766)</f>
        <v/>
      </c>
      <c r="C765" s="56" t="str">
        <f>IF($A765="","",[2]weekly_demand!H766)</f>
        <v/>
      </c>
      <c r="D765" s="57" t="str">
        <f>IF($A765="","",IF(SUMIFS([2]Fixture_Capacity_Input!$C:$C,[2]Fixture_Capacity_Input!$A:$A,$B765,[2]Fixture_Capacity_Input!$B:$B,$C765)&gt;0,SUMIFS([2]Fixture_Capacity_Input!$C:$C,[2]Fixture_Capacity_Input!$A:$A,$B765,[2]Fixture_Capacity_Input!$B:$B,$C765),[2]weekly_demand!G766))</f>
        <v/>
      </c>
      <c r="E765" s="58" t="str">
        <f>IF($A765="","",[2]weekly_demand!I766)</f>
        <v/>
      </c>
      <c r="F765" s="57" t="str">
        <f t="shared" si="106"/>
        <v/>
      </c>
      <c r="G765" s="57" t="str">
        <f t="shared" si="107"/>
        <v/>
      </c>
      <c r="H765" s="57" t="str">
        <f t="shared" si="114"/>
        <v/>
      </c>
      <c r="I765" s="58" t="str">
        <f t="shared" si="110"/>
        <v/>
      </c>
      <c r="J765" s="58" t="str">
        <f t="shared" si="108"/>
        <v/>
      </c>
      <c r="K765" s="58" t="str">
        <f t="shared" si="111"/>
        <v/>
      </c>
      <c r="L765" s="58" t="str">
        <f t="shared" si="112"/>
        <v/>
      </c>
      <c r="M765" s="58" t="str">
        <f t="shared" si="113"/>
        <v/>
      </c>
      <c r="N765" s="59" t="str">
        <f t="shared" si="109"/>
        <v/>
      </c>
      <c r="O765" s="60"/>
      <c r="P765" s="105"/>
    </row>
    <row r="766" spans="1:16" x14ac:dyDescent="0.3">
      <c r="A766" s="54" t="str">
        <f>IF([2]weekly_demand!A767="","",[2]weekly_demand!A767)</f>
        <v/>
      </c>
      <c r="B766" s="55" t="str">
        <f>IF($A766="","",[2]weekly_demand!F767)</f>
        <v/>
      </c>
      <c r="C766" s="56" t="str">
        <f>IF($A766="","",[2]weekly_demand!H767)</f>
        <v/>
      </c>
      <c r="D766" s="57" t="str">
        <f>IF($A766="","",IF(SUMIFS([2]Fixture_Capacity_Input!$C:$C,[2]Fixture_Capacity_Input!$A:$A,$B766,[2]Fixture_Capacity_Input!$B:$B,$C766)&gt;0,SUMIFS([2]Fixture_Capacity_Input!$C:$C,[2]Fixture_Capacity_Input!$A:$A,$B766,[2]Fixture_Capacity_Input!$B:$B,$C766),[2]weekly_demand!G767))</f>
        <v/>
      </c>
      <c r="E766" s="58" t="str">
        <f>IF($A766="","",[2]weekly_demand!I767)</f>
        <v/>
      </c>
      <c r="F766" s="57" t="str">
        <f t="shared" si="106"/>
        <v/>
      </c>
      <c r="G766" s="57" t="str">
        <f t="shared" si="107"/>
        <v/>
      </c>
      <c r="H766" s="57" t="str">
        <f t="shared" si="114"/>
        <v/>
      </c>
      <c r="I766" s="58" t="str">
        <f t="shared" si="110"/>
        <v/>
      </c>
      <c r="J766" s="58" t="str">
        <f t="shared" si="108"/>
        <v/>
      </c>
      <c r="K766" s="58" t="str">
        <f t="shared" si="111"/>
        <v/>
      </c>
      <c r="L766" s="58" t="str">
        <f t="shared" si="112"/>
        <v/>
      </c>
      <c r="M766" s="58" t="str">
        <f t="shared" si="113"/>
        <v/>
      </c>
      <c r="N766" s="59" t="str">
        <f t="shared" si="109"/>
        <v/>
      </c>
      <c r="O766" s="60"/>
      <c r="P766" s="105"/>
    </row>
    <row r="767" spans="1:16" x14ac:dyDescent="0.3">
      <c r="A767" s="54" t="str">
        <f>IF([2]weekly_demand!A768="","",[2]weekly_demand!A768)</f>
        <v/>
      </c>
      <c r="B767" s="55" t="str">
        <f>IF($A767="","",[2]weekly_demand!F768)</f>
        <v/>
      </c>
      <c r="C767" s="56" t="str">
        <f>IF($A767="","",[2]weekly_demand!H768)</f>
        <v/>
      </c>
      <c r="D767" s="57" t="str">
        <f>IF($A767="","",IF(SUMIFS([2]Fixture_Capacity_Input!$C:$C,[2]Fixture_Capacity_Input!$A:$A,$B767,[2]Fixture_Capacity_Input!$B:$B,$C767)&gt;0,SUMIFS([2]Fixture_Capacity_Input!$C:$C,[2]Fixture_Capacity_Input!$A:$A,$B767,[2]Fixture_Capacity_Input!$B:$B,$C767),[2]weekly_demand!G768))</f>
        <v/>
      </c>
      <c r="E767" s="58" t="str">
        <f>IF($A767="","",[2]weekly_demand!I768)</f>
        <v/>
      </c>
      <c r="F767" s="57" t="str">
        <f t="shared" si="106"/>
        <v/>
      </c>
      <c r="G767" s="57" t="str">
        <f t="shared" si="107"/>
        <v/>
      </c>
      <c r="H767" s="57" t="str">
        <f t="shared" si="114"/>
        <v/>
      </c>
      <c r="I767" s="58" t="str">
        <f t="shared" si="110"/>
        <v/>
      </c>
      <c r="J767" s="58" t="str">
        <f t="shared" si="108"/>
        <v/>
      </c>
      <c r="K767" s="58" t="str">
        <f t="shared" si="111"/>
        <v/>
      </c>
      <c r="L767" s="58" t="str">
        <f t="shared" si="112"/>
        <v/>
      </c>
      <c r="M767" s="58" t="str">
        <f t="shared" si="113"/>
        <v/>
      </c>
      <c r="N767" s="59" t="str">
        <f t="shared" si="109"/>
        <v/>
      </c>
      <c r="O767" s="60"/>
      <c r="P767" s="105"/>
    </row>
    <row r="768" spans="1:16" x14ac:dyDescent="0.3">
      <c r="A768" s="54" t="str">
        <f>IF([2]weekly_demand!A769="","",[2]weekly_demand!A769)</f>
        <v/>
      </c>
      <c r="B768" s="55" t="str">
        <f>IF($A768="","",[2]weekly_demand!F769)</f>
        <v/>
      </c>
      <c r="C768" s="56" t="str">
        <f>IF($A768="","",[2]weekly_demand!H769)</f>
        <v/>
      </c>
      <c r="D768" s="57" t="str">
        <f>IF($A768="","",IF(SUMIFS([2]Fixture_Capacity_Input!$C:$C,[2]Fixture_Capacity_Input!$A:$A,$B768,[2]Fixture_Capacity_Input!$B:$B,$C768)&gt;0,SUMIFS([2]Fixture_Capacity_Input!$C:$C,[2]Fixture_Capacity_Input!$A:$A,$B768,[2]Fixture_Capacity_Input!$B:$B,$C768),[2]weekly_demand!G769))</f>
        <v/>
      </c>
      <c r="E768" s="58" t="str">
        <f>IF($A768="","",[2]weekly_demand!I769)</f>
        <v/>
      </c>
      <c r="F768" s="57" t="str">
        <f t="shared" si="106"/>
        <v/>
      </c>
      <c r="G768" s="57" t="str">
        <f t="shared" si="107"/>
        <v/>
      </c>
      <c r="H768" s="57" t="str">
        <f t="shared" si="114"/>
        <v/>
      </c>
      <c r="I768" s="58" t="str">
        <f t="shared" si="110"/>
        <v/>
      </c>
      <c r="J768" s="58" t="str">
        <f t="shared" si="108"/>
        <v/>
      </c>
      <c r="K768" s="58" t="str">
        <f t="shared" si="111"/>
        <v/>
      </c>
      <c r="L768" s="58" t="str">
        <f t="shared" si="112"/>
        <v/>
      </c>
      <c r="M768" s="58" t="str">
        <f t="shared" si="113"/>
        <v/>
      </c>
      <c r="N768" s="59" t="str">
        <f t="shared" si="109"/>
        <v/>
      </c>
      <c r="O768" s="60"/>
      <c r="P768" s="105"/>
    </row>
    <row r="769" spans="1:16" x14ac:dyDescent="0.3">
      <c r="A769" s="54" t="str">
        <f>IF([2]weekly_demand!A770="","",[2]weekly_demand!A770)</f>
        <v/>
      </c>
      <c r="B769" s="55" t="str">
        <f>IF($A769="","",[2]weekly_demand!F770)</f>
        <v/>
      </c>
      <c r="C769" s="56" t="str">
        <f>IF($A769="","",[2]weekly_demand!H770)</f>
        <v/>
      </c>
      <c r="D769" s="57" t="str">
        <f>IF($A769="","",IF(SUMIFS([2]Fixture_Capacity_Input!$C:$C,[2]Fixture_Capacity_Input!$A:$A,$B769,[2]Fixture_Capacity_Input!$B:$B,$C769)&gt;0,SUMIFS([2]Fixture_Capacity_Input!$C:$C,[2]Fixture_Capacity_Input!$A:$A,$B769,[2]Fixture_Capacity_Input!$B:$B,$C769),[2]weekly_demand!G770))</f>
        <v/>
      </c>
      <c r="E769" s="58" t="str">
        <f>IF($A769="","",[2]weekly_demand!I770)</f>
        <v/>
      </c>
      <c r="F769" s="57" t="str">
        <f t="shared" si="106"/>
        <v/>
      </c>
      <c r="G769" s="57" t="str">
        <f t="shared" si="107"/>
        <v/>
      </c>
      <c r="H769" s="57" t="str">
        <f t="shared" si="114"/>
        <v/>
      </c>
      <c r="I769" s="58" t="str">
        <f t="shared" si="110"/>
        <v/>
      </c>
      <c r="J769" s="58" t="str">
        <f t="shared" si="108"/>
        <v/>
      </c>
      <c r="K769" s="58" t="str">
        <f t="shared" si="111"/>
        <v/>
      </c>
      <c r="L769" s="58" t="str">
        <f t="shared" si="112"/>
        <v/>
      </c>
      <c r="M769" s="58" t="str">
        <f t="shared" si="113"/>
        <v/>
      </c>
      <c r="N769" s="59" t="str">
        <f t="shared" si="109"/>
        <v/>
      </c>
      <c r="O769" s="60"/>
      <c r="P769" s="105"/>
    </row>
    <row r="770" spans="1:16" x14ac:dyDescent="0.3">
      <c r="A770" s="54" t="str">
        <f>IF([2]weekly_demand!A771="","",[2]weekly_demand!A771)</f>
        <v/>
      </c>
      <c r="B770" s="55" t="str">
        <f>IF($A770="","",[2]weekly_demand!F771)</f>
        <v/>
      </c>
      <c r="C770" s="56" t="str">
        <f>IF($A770="","",[2]weekly_demand!H771)</f>
        <v/>
      </c>
      <c r="D770" s="57" t="str">
        <f>IF($A770="","",IF(SUMIFS([2]Fixture_Capacity_Input!$C:$C,[2]Fixture_Capacity_Input!$A:$A,$B770,[2]Fixture_Capacity_Input!$B:$B,$C770)&gt;0,SUMIFS([2]Fixture_Capacity_Input!$C:$C,[2]Fixture_Capacity_Input!$A:$A,$B770,[2]Fixture_Capacity_Input!$B:$B,$C770),[2]weekly_demand!G771))</f>
        <v/>
      </c>
      <c r="E770" s="58" t="str">
        <f>IF($A770="","",[2]weekly_demand!I771)</f>
        <v/>
      </c>
      <c r="F770" s="57" t="str">
        <f t="shared" ref="F770:F833" si="115">IF($A770="","",IF($A770&lt;&gt;$A769,_xlfn.XLOOKUP($A770,$Q$2:$Q$7,$R$2:$R$7,0),K769))</f>
        <v/>
      </c>
      <c r="G770" s="57" t="str">
        <f t="shared" ref="G770:G833" si="116">IF($A770="","",_xlfn.XLOOKUP($A770,$Q$2:$Q$7,$S$2:$S$7,0))</f>
        <v/>
      </c>
      <c r="H770" s="57" t="str">
        <f t="shared" si="114"/>
        <v/>
      </c>
      <c r="I770" s="58" t="str">
        <f t="shared" si="110"/>
        <v/>
      </c>
      <c r="J770" s="58" t="str">
        <f t="shared" ref="J770:J833" si="117">IF($A770="","",MIN($D770,$I770,MAX(0,$E770+$G770-$F770)))</f>
        <v/>
      </c>
      <c r="K770" s="58" t="str">
        <f t="shared" si="111"/>
        <v/>
      </c>
      <c r="L770" s="58" t="str">
        <f t="shared" si="112"/>
        <v/>
      </c>
      <c r="M770" s="58" t="str">
        <f t="shared" si="113"/>
        <v/>
      </c>
      <c r="N770" s="59" t="str">
        <f t="shared" ref="N770:N833" si="118">IF($A770="","",IFERROR(J770/D770,0))</f>
        <v/>
      </c>
      <c r="O770" s="60"/>
      <c r="P770" s="105"/>
    </row>
    <row r="771" spans="1:16" x14ac:dyDescent="0.3">
      <c r="A771" s="54" t="str">
        <f>IF([2]weekly_demand!A772="","",[2]weekly_demand!A772)</f>
        <v/>
      </c>
      <c r="B771" s="55" t="str">
        <f>IF($A771="","",[2]weekly_demand!F772)</f>
        <v/>
      </c>
      <c r="C771" s="56" t="str">
        <f>IF($A771="","",[2]weekly_demand!H772)</f>
        <v/>
      </c>
      <c r="D771" s="57" t="str">
        <f>IF($A771="","",IF(SUMIFS([2]Fixture_Capacity_Input!$C:$C,[2]Fixture_Capacity_Input!$A:$A,$B771,[2]Fixture_Capacity_Input!$B:$B,$C771)&gt;0,SUMIFS([2]Fixture_Capacity_Input!$C:$C,[2]Fixture_Capacity_Input!$A:$A,$B771,[2]Fixture_Capacity_Input!$B:$B,$C771),[2]weekly_demand!G772))</f>
        <v/>
      </c>
      <c r="E771" s="58" t="str">
        <f>IF($A771="","",[2]weekly_demand!I772)</f>
        <v/>
      </c>
      <c r="F771" s="57" t="str">
        <f t="shared" si="115"/>
        <v/>
      </c>
      <c r="G771" s="57" t="str">
        <f t="shared" si="116"/>
        <v/>
      </c>
      <c r="H771" s="57" t="str">
        <f t="shared" si="114"/>
        <v/>
      </c>
      <c r="I771" s="58" t="str">
        <f t="shared" ref="I771:I834" si="119">IF($A771="","",MAX(0,E771+H771-F771))</f>
        <v/>
      </c>
      <c r="J771" s="58" t="str">
        <f t="shared" si="117"/>
        <v/>
      </c>
      <c r="K771" s="58" t="str">
        <f t="shared" ref="K771:K834" si="120">IF($A771="","",MIN($G771,MAX(0,$F771+$J771-$E771)))</f>
        <v/>
      </c>
      <c r="L771" s="58" t="str">
        <f t="shared" ref="L771:L834" si="121">IF($A771="","",MAX(0,E771-F771-J771))</f>
        <v/>
      </c>
      <c r="M771" s="58" t="str">
        <f t="shared" ref="M771:M834" si="122">IF($A771="","",MAX(0,F771+J771-E771))</f>
        <v/>
      </c>
      <c r="N771" s="59" t="str">
        <f t="shared" si="118"/>
        <v/>
      </c>
      <c r="O771" s="60"/>
      <c r="P771" s="105"/>
    </row>
    <row r="772" spans="1:16" x14ac:dyDescent="0.3">
      <c r="A772" s="54" t="str">
        <f>IF([2]weekly_demand!A773="","",[2]weekly_demand!A773)</f>
        <v/>
      </c>
      <c r="B772" s="55" t="str">
        <f>IF($A772="","",[2]weekly_demand!F773)</f>
        <v/>
      </c>
      <c r="C772" s="56" t="str">
        <f>IF($A772="","",[2]weekly_demand!H773)</f>
        <v/>
      </c>
      <c r="D772" s="57" t="str">
        <f>IF($A772="","",IF(SUMIFS([2]Fixture_Capacity_Input!$C:$C,[2]Fixture_Capacity_Input!$A:$A,$B772,[2]Fixture_Capacity_Input!$B:$B,$C772)&gt;0,SUMIFS([2]Fixture_Capacity_Input!$C:$C,[2]Fixture_Capacity_Input!$A:$A,$B772,[2]Fixture_Capacity_Input!$B:$B,$C772),[2]weekly_demand!G773))</f>
        <v/>
      </c>
      <c r="E772" s="58" t="str">
        <f>IF($A772="","",[2]weekly_demand!I773)</f>
        <v/>
      </c>
      <c r="F772" s="57" t="str">
        <f t="shared" si="115"/>
        <v/>
      </c>
      <c r="G772" s="57" t="str">
        <f t="shared" si="116"/>
        <v/>
      </c>
      <c r="H772" s="57" t="str">
        <f t="shared" si="114"/>
        <v/>
      </c>
      <c r="I772" s="58" t="str">
        <f t="shared" si="119"/>
        <v/>
      </c>
      <c r="J772" s="58" t="str">
        <f t="shared" si="117"/>
        <v/>
      </c>
      <c r="K772" s="58" t="str">
        <f t="shared" si="120"/>
        <v/>
      </c>
      <c r="L772" s="58" t="str">
        <f t="shared" si="121"/>
        <v/>
      </c>
      <c r="M772" s="58" t="str">
        <f t="shared" si="122"/>
        <v/>
      </c>
      <c r="N772" s="59" t="str">
        <f t="shared" si="118"/>
        <v/>
      </c>
      <c r="O772" s="60"/>
      <c r="P772" s="105"/>
    </row>
    <row r="773" spans="1:16" x14ac:dyDescent="0.3">
      <c r="A773" s="54" t="str">
        <f>IF([2]weekly_demand!A774="","",[2]weekly_demand!A774)</f>
        <v/>
      </c>
      <c r="B773" s="55" t="str">
        <f>IF($A773="","",[2]weekly_demand!F774)</f>
        <v/>
      </c>
      <c r="C773" s="56" t="str">
        <f>IF($A773="","",[2]weekly_demand!H774)</f>
        <v/>
      </c>
      <c r="D773" s="57" t="str">
        <f>IF($A773="","",IF(SUMIFS([2]Fixture_Capacity_Input!$C:$C,[2]Fixture_Capacity_Input!$A:$A,$B773,[2]Fixture_Capacity_Input!$B:$B,$C773)&gt;0,SUMIFS([2]Fixture_Capacity_Input!$C:$C,[2]Fixture_Capacity_Input!$A:$A,$B773,[2]Fixture_Capacity_Input!$B:$B,$C773),[2]weekly_demand!G774))</f>
        <v/>
      </c>
      <c r="E773" s="58" t="str">
        <f>IF($A773="","",[2]weekly_demand!I774)</f>
        <v/>
      </c>
      <c r="F773" s="57" t="str">
        <f t="shared" si="115"/>
        <v/>
      </c>
      <c r="G773" s="57" t="str">
        <f t="shared" si="116"/>
        <v/>
      </c>
      <c r="H773" s="57" t="str">
        <f t="shared" si="114"/>
        <v/>
      </c>
      <c r="I773" s="58" t="str">
        <f t="shared" si="119"/>
        <v/>
      </c>
      <c r="J773" s="58" t="str">
        <f t="shared" si="117"/>
        <v/>
      </c>
      <c r="K773" s="58" t="str">
        <f t="shared" si="120"/>
        <v/>
      </c>
      <c r="L773" s="58" t="str">
        <f t="shared" si="121"/>
        <v/>
      </c>
      <c r="M773" s="58" t="str">
        <f t="shared" si="122"/>
        <v/>
      </c>
      <c r="N773" s="59" t="str">
        <f t="shared" si="118"/>
        <v/>
      </c>
      <c r="O773" s="60"/>
      <c r="P773" s="105"/>
    </row>
    <row r="774" spans="1:16" x14ac:dyDescent="0.3">
      <c r="A774" s="54" t="str">
        <f>IF([2]weekly_demand!A775="","",[2]weekly_demand!A775)</f>
        <v/>
      </c>
      <c r="B774" s="55" t="str">
        <f>IF($A774="","",[2]weekly_demand!F775)</f>
        <v/>
      </c>
      <c r="C774" s="56" t="str">
        <f>IF($A774="","",[2]weekly_demand!H775)</f>
        <v/>
      </c>
      <c r="D774" s="57" t="str">
        <f>IF($A774="","",IF(SUMIFS([2]Fixture_Capacity_Input!$C:$C,[2]Fixture_Capacity_Input!$A:$A,$B774,[2]Fixture_Capacity_Input!$B:$B,$C774)&gt;0,SUMIFS([2]Fixture_Capacity_Input!$C:$C,[2]Fixture_Capacity_Input!$A:$A,$B774,[2]Fixture_Capacity_Input!$B:$B,$C774),[2]weekly_demand!G775))</f>
        <v/>
      </c>
      <c r="E774" s="58" t="str">
        <f>IF($A774="","",[2]weekly_demand!I775)</f>
        <v/>
      </c>
      <c r="F774" s="57" t="str">
        <f t="shared" si="115"/>
        <v/>
      </c>
      <c r="G774" s="57" t="str">
        <f t="shared" si="116"/>
        <v/>
      </c>
      <c r="H774" s="57" t="str">
        <f t="shared" si="114"/>
        <v/>
      </c>
      <c r="I774" s="58" t="str">
        <f t="shared" si="119"/>
        <v/>
      </c>
      <c r="J774" s="58" t="str">
        <f t="shared" si="117"/>
        <v/>
      </c>
      <c r="K774" s="58" t="str">
        <f t="shared" si="120"/>
        <v/>
      </c>
      <c r="L774" s="58" t="str">
        <f t="shared" si="121"/>
        <v/>
      </c>
      <c r="M774" s="58" t="str">
        <f t="shared" si="122"/>
        <v/>
      </c>
      <c r="N774" s="59" t="str">
        <f t="shared" si="118"/>
        <v/>
      </c>
      <c r="O774" s="60"/>
      <c r="P774" s="105"/>
    </row>
    <row r="775" spans="1:16" x14ac:dyDescent="0.3">
      <c r="A775" s="54" t="str">
        <f>IF([2]weekly_demand!A776="","",[2]weekly_demand!A776)</f>
        <v/>
      </c>
      <c r="B775" s="55" t="str">
        <f>IF($A775="","",[2]weekly_demand!F776)</f>
        <v/>
      </c>
      <c r="C775" s="56" t="str">
        <f>IF($A775="","",[2]weekly_demand!H776)</f>
        <v/>
      </c>
      <c r="D775" s="57" t="str">
        <f>IF($A775="","",IF(SUMIFS([2]Fixture_Capacity_Input!$C:$C,[2]Fixture_Capacity_Input!$A:$A,$B775,[2]Fixture_Capacity_Input!$B:$B,$C775)&gt;0,SUMIFS([2]Fixture_Capacity_Input!$C:$C,[2]Fixture_Capacity_Input!$A:$A,$B775,[2]Fixture_Capacity_Input!$B:$B,$C775),[2]weekly_demand!G776))</f>
        <v/>
      </c>
      <c r="E775" s="58" t="str">
        <f>IF($A775="","",[2]weekly_demand!I776)</f>
        <v/>
      </c>
      <c r="F775" s="57" t="str">
        <f t="shared" si="115"/>
        <v/>
      </c>
      <c r="G775" s="57" t="str">
        <f t="shared" si="116"/>
        <v/>
      </c>
      <c r="H775" s="57" t="str">
        <f t="shared" si="114"/>
        <v/>
      </c>
      <c r="I775" s="58" t="str">
        <f t="shared" si="119"/>
        <v/>
      </c>
      <c r="J775" s="58" t="str">
        <f t="shared" si="117"/>
        <v/>
      </c>
      <c r="K775" s="58" t="str">
        <f t="shared" si="120"/>
        <v/>
      </c>
      <c r="L775" s="58" t="str">
        <f t="shared" si="121"/>
        <v/>
      </c>
      <c r="M775" s="58" t="str">
        <f t="shared" si="122"/>
        <v/>
      </c>
      <c r="N775" s="59" t="str">
        <f t="shared" si="118"/>
        <v/>
      </c>
      <c r="O775" s="60"/>
      <c r="P775" s="105"/>
    </row>
    <row r="776" spans="1:16" x14ac:dyDescent="0.3">
      <c r="A776" s="54" t="str">
        <f>IF([2]weekly_demand!A777="","",[2]weekly_demand!A777)</f>
        <v/>
      </c>
      <c r="B776" s="55" t="str">
        <f>IF($A776="","",[2]weekly_demand!F777)</f>
        <v/>
      </c>
      <c r="C776" s="56" t="str">
        <f>IF($A776="","",[2]weekly_demand!H777)</f>
        <v/>
      </c>
      <c r="D776" s="57" t="str">
        <f>IF($A776="","",IF(SUMIFS([2]Fixture_Capacity_Input!$C:$C,[2]Fixture_Capacity_Input!$A:$A,$B776,[2]Fixture_Capacity_Input!$B:$B,$C776)&gt;0,SUMIFS([2]Fixture_Capacity_Input!$C:$C,[2]Fixture_Capacity_Input!$A:$A,$B776,[2]Fixture_Capacity_Input!$B:$B,$C776),[2]weekly_demand!G777))</f>
        <v/>
      </c>
      <c r="E776" s="58" t="str">
        <f>IF($A776="","",[2]weekly_demand!I777)</f>
        <v/>
      </c>
      <c r="F776" s="57" t="str">
        <f t="shared" si="115"/>
        <v/>
      </c>
      <c r="G776" s="57" t="str">
        <f t="shared" si="116"/>
        <v/>
      </c>
      <c r="H776" s="57" t="str">
        <f t="shared" si="114"/>
        <v/>
      </c>
      <c r="I776" s="58" t="str">
        <f t="shared" si="119"/>
        <v/>
      </c>
      <c r="J776" s="58" t="str">
        <f t="shared" si="117"/>
        <v/>
      </c>
      <c r="K776" s="58" t="str">
        <f t="shared" si="120"/>
        <v/>
      </c>
      <c r="L776" s="58" t="str">
        <f t="shared" si="121"/>
        <v/>
      </c>
      <c r="M776" s="58" t="str">
        <f t="shared" si="122"/>
        <v/>
      </c>
      <c r="N776" s="59" t="str">
        <f t="shared" si="118"/>
        <v/>
      </c>
      <c r="O776" s="60"/>
      <c r="P776" s="105"/>
    </row>
    <row r="777" spans="1:16" x14ac:dyDescent="0.3">
      <c r="A777" s="54" t="str">
        <f>IF([2]weekly_demand!A778="","",[2]weekly_demand!A778)</f>
        <v/>
      </c>
      <c r="B777" s="55" t="str">
        <f>IF($A777="","",[2]weekly_demand!F778)</f>
        <v/>
      </c>
      <c r="C777" s="56" t="str">
        <f>IF($A777="","",[2]weekly_demand!H778)</f>
        <v/>
      </c>
      <c r="D777" s="57" t="str">
        <f>IF($A777="","",IF(SUMIFS([2]Fixture_Capacity_Input!$C:$C,[2]Fixture_Capacity_Input!$A:$A,$B777,[2]Fixture_Capacity_Input!$B:$B,$C777)&gt;0,SUMIFS([2]Fixture_Capacity_Input!$C:$C,[2]Fixture_Capacity_Input!$A:$A,$B777,[2]Fixture_Capacity_Input!$B:$B,$C777),[2]weekly_demand!G778))</f>
        <v/>
      </c>
      <c r="E777" s="58" t="str">
        <f>IF($A777="","",[2]weekly_demand!I778)</f>
        <v/>
      </c>
      <c r="F777" s="57" t="str">
        <f t="shared" si="115"/>
        <v/>
      </c>
      <c r="G777" s="57" t="str">
        <f t="shared" si="116"/>
        <v/>
      </c>
      <c r="H777" s="57" t="str">
        <f t="shared" si="114"/>
        <v/>
      </c>
      <c r="I777" s="58" t="str">
        <f t="shared" si="119"/>
        <v/>
      </c>
      <c r="J777" s="58" t="str">
        <f t="shared" si="117"/>
        <v/>
      </c>
      <c r="K777" s="58" t="str">
        <f t="shared" si="120"/>
        <v/>
      </c>
      <c r="L777" s="58" t="str">
        <f t="shared" si="121"/>
        <v/>
      </c>
      <c r="M777" s="58" t="str">
        <f t="shared" si="122"/>
        <v/>
      </c>
      <c r="N777" s="59" t="str">
        <f t="shared" si="118"/>
        <v/>
      </c>
      <c r="O777" s="60"/>
      <c r="P777" s="105"/>
    </row>
    <row r="778" spans="1:16" x14ac:dyDescent="0.3">
      <c r="A778" s="54" t="str">
        <f>IF([2]weekly_demand!A779="","",[2]weekly_demand!A779)</f>
        <v/>
      </c>
      <c r="B778" s="55" t="str">
        <f>IF($A778="","",[2]weekly_demand!F779)</f>
        <v/>
      </c>
      <c r="C778" s="56" t="str">
        <f>IF($A778="","",[2]weekly_demand!H779)</f>
        <v/>
      </c>
      <c r="D778" s="57" t="str">
        <f>IF($A778="","",IF(SUMIFS([2]Fixture_Capacity_Input!$C:$C,[2]Fixture_Capacity_Input!$A:$A,$B778,[2]Fixture_Capacity_Input!$B:$B,$C778)&gt;0,SUMIFS([2]Fixture_Capacity_Input!$C:$C,[2]Fixture_Capacity_Input!$A:$A,$B778,[2]Fixture_Capacity_Input!$B:$B,$C778),[2]weekly_demand!G779))</f>
        <v/>
      </c>
      <c r="E778" s="58" t="str">
        <f>IF($A778="","",[2]weekly_demand!I779)</f>
        <v/>
      </c>
      <c r="F778" s="57" t="str">
        <f t="shared" si="115"/>
        <v/>
      </c>
      <c r="G778" s="57" t="str">
        <f t="shared" si="116"/>
        <v/>
      </c>
      <c r="H778" s="57" t="str">
        <f t="shared" si="114"/>
        <v/>
      </c>
      <c r="I778" s="58" t="str">
        <f t="shared" si="119"/>
        <v/>
      </c>
      <c r="J778" s="58" t="str">
        <f t="shared" si="117"/>
        <v/>
      </c>
      <c r="K778" s="58" t="str">
        <f t="shared" si="120"/>
        <v/>
      </c>
      <c r="L778" s="58" t="str">
        <f t="shared" si="121"/>
        <v/>
      </c>
      <c r="M778" s="58" t="str">
        <f t="shared" si="122"/>
        <v/>
      </c>
      <c r="N778" s="59" t="str">
        <f t="shared" si="118"/>
        <v/>
      </c>
      <c r="O778" s="60"/>
      <c r="P778" s="105"/>
    </row>
    <row r="779" spans="1:16" x14ac:dyDescent="0.3">
      <c r="A779" s="54" t="str">
        <f>IF([2]weekly_demand!A780="","",[2]weekly_demand!A780)</f>
        <v/>
      </c>
      <c r="B779" s="55" t="str">
        <f>IF($A779="","",[2]weekly_demand!F780)</f>
        <v/>
      </c>
      <c r="C779" s="56" t="str">
        <f>IF($A779="","",[2]weekly_demand!H780)</f>
        <v/>
      </c>
      <c r="D779" s="57" t="str">
        <f>IF($A779="","",IF(SUMIFS([2]Fixture_Capacity_Input!$C:$C,[2]Fixture_Capacity_Input!$A:$A,$B779,[2]Fixture_Capacity_Input!$B:$B,$C779)&gt;0,SUMIFS([2]Fixture_Capacity_Input!$C:$C,[2]Fixture_Capacity_Input!$A:$A,$B779,[2]Fixture_Capacity_Input!$B:$B,$C779),[2]weekly_demand!G780))</f>
        <v/>
      </c>
      <c r="E779" s="58" t="str">
        <f>IF($A779="","",[2]weekly_demand!I780)</f>
        <v/>
      </c>
      <c r="F779" s="57" t="str">
        <f t="shared" si="115"/>
        <v/>
      </c>
      <c r="G779" s="57" t="str">
        <f t="shared" si="116"/>
        <v/>
      </c>
      <c r="H779" s="57" t="str">
        <f t="shared" si="114"/>
        <v/>
      </c>
      <c r="I779" s="58" t="str">
        <f t="shared" si="119"/>
        <v/>
      </c>
      <c r="J779" s="58" t="str">
        <f t="shared" si="117"/>
        <v/>
      </c>
      <c r="K779" s="58" t="str">
        <f t="shared" si="120"/>
        <v/>
      </c>
      <c r="L779" s="58" t="str">
        <f t="shared" si="121"/>
        <v/>
      </c>
      <c r="M779" s="58" t="str">
        <f t="shared" si="122"/>
        <v/>
      </c>
      <c r="N779" s="59" t="str">
        <f t="shared" si="118"/>
        <v/>
      </c>
      <c r="O779" s="60"/>
      <c r="P779" s="105"/>
    </row>
    <row r="780" spans="1:16" x14ac:dyDescent="0.3">
      <c r="A780" s="54" t="str">
        <f>IF([2]weekly_demand!A781="","",[2]weekly_demand!A781)</f>
        <v/>
      </c>
      <c r="B780" s="55" t="str">
        <f>IF($A780="","",[2]weekly_demand!F781)</f>
        <v/>
      </c>
      <c r="C780" s="56" t="str">
        <f>IF($A780="","",[2]weekly_demand!H781)</f>
        <v/>
      </c>
      <c r="D780" s="57" t="str">
        <f>IF($A780="","",IF(SUMIFS([2]Fixture_Capacity_Input!$C:$C,[2]Fixture_Capacity_Input!$A:$A,$B780,[2]Fixture_Capacity_Input!$B:$B,$C780)&gt;0,SUMIFS([2]Fixture_Capacity_Input!$C:$C,[2]Fixture_Capacity_Input!$A:$A,$B780,[2]Fixture_Capacity_Input!$B:$B,$C780),[2]weekly_demand!G781))</f>
        <v/>
      </c>
      <c r="E780" s="58" t="str">
        <f>IF($A780="","",[2]weekly_demand!I781)</f>
        <v/>
      </c>
      <c r="F780" s="57" t="str">
        <f t="shared" si="115"/>
        <v/>
      </c>
      <c r="G780" s="57" t="str">
        <f t="shared" si="116"/>
        <v/>
      </c>
      <c r="H780" s="57" t="str">
        <f t="shared" si="114"/>
        <v/>
      </c>
      <c r="I780" s="58" t="str">
        <f t="shared" si="119"/>
        <v/>
      </c>
      <c r="J780" s="58" t="str">
        <f t="shared" si="117"/>
        <v/>
      </c>
      <c r="K780" s="58" t="str">
        <f t="shared" si="120"/>
        <v/>
      </c>
      <c r="L780" s="58" t="str">
        <f t="shared" si="121"/>
        <v/>
      </c>
      <c r="M780" s="58" t="str">
        <f t="shared" si="122"/>
        <v/>
      </c>
      <c r="N780" s="59" t="str">
        <f t="shared" si="118"/>
        <v/>
      </c>
      <c r="O780" s="60"/>
      <c r="P780" s="105"/>
    </row>
    <row r="781" spans="1:16" x14ac:dyDescent="0.3">
      <c r="A781" s="54" t="str">
        <f>IF([2]weekly_demand!A782="","",[2]weekly_demand!A782)</f>
        <v/>
      </c>
      <c r="B781" s="55" t="str">
        <f>IF($A781="","",[2]weekly_demand!F782)</f>
        <v/>
      </c>
      <c r="C781" s="56" t="str">
        <f>IF($A781="","",[2]weekly_demand!H782)</f>
        <v/>
      </c>
      <c r="D781" s="57" t="str">
        <f>IF($A781="","",IF(SUMIFS([2]Fixture_Capacity_Input!$C:$C,[2]Fixture_Capacity_Input!$A:$A,$B781,[2]Fixture_Capacity_Input!$B:$B,$C781)&gt;0,SUMIFS([2]Fixture_Capacity_Input!$C:$C,[2]Fixture_Capacity_Input!$A:$A,$B781,[2]Fixture_Capacity_Input!$B:$B,$C781),[2]weekly_demand!G782))</f>
        <v/>
      </c>
      <c r="E781" s="58" t="str">
        <f>IF($A781="","",[2]weekly_demand!I782)</f>
        <v/>
      </c>
      <c r="F781" s="57" t="str">
        <f t="shared" si="115"/>
        <v/>
      </c>
      <c r="G781" s="57" t="str">
        <f t="shared" si="116"/>
        <v/>
      </c>
      <c r="H781" s="57" t="str">
        <f t="shared" si="114"/>
        <v/>
      </c>
      <c r="I781" s="58" t="str">
        <f t="shared" si="119"/>
        <v/>
      </c>
      <c r="J781" s="58" t="str">
        <f t="shared" si="117"/>
        <v/>
      </c>
      <c r="K781" s="58" t="str">
        <f t="shared" si="120"/>
        <v/>
      </c>
      <c r="L781" s="58" t="str">
        <f t="shared" si="121"/>
        <v/>
      </c>
      <c r="M781" s="58" t="str">
        <f t="shared" si="122"/>
        <v/>
      </c>
      <c r="N781" s="59" t="str">
        <f t="shared" si="118"/>
        <v/>
      </c>
      <c r="O781" s="60"/>
      <c r="P781" s="105"/>
    </row>
    <row r="782" spans="1:16" x14ac:dyDescent="0.3">
      <c r="A782" s="54" t="str">
        <f>IF([2]weekly_demand!A783="","",[2]weekly_demand!A783)</f>
        <v/>
      </c>
      <c r="B782" s="55" t="str">
        <f>IF($A782="","",[2]weekly_demand!F783)</f>
        <v/>
      </c>
      <c r="C782" s="56" t="str">
        <f>IF($A782="","",[2]weekly_demand!H783)</f>
        <v/>
      </c>
      <c r="D782" s="57" t="str">
        <f>IF($A782="","",IF(SUMIFS([2]Fixture_Capacity_Input!$C:$C,[2]Fixture_Capacity_Input!$A:$A,$B782,[2]Fixture_Capacity_Input!$B:$B,$C782)&gt;0,SUMIFS([2]Fixture_Capacity_Input!$C:$C,[2]Fixture_Capacity_Input!$A:$A,$B782,[2]Fixture_Capacity_Input!$B:$B,$C782),[2]weekly_demand!G783))</f>
        <v/>
      </c>
      <c r="E782" s="58" t="str">
        <f>IF($A782="","",[2]weekly_demand!I783)</f>
        <v/>
      </c>
      <c r="F782" s="57" t="str">
        <f t="shared" si="115"/>
        <v/>
      </c>
      <c r="G782" s="57" t="str">
        <f t="shared" si="116"/>
        <v/>
      </c>
      <c r="H782" s="57" t="str">
        <f t="shared" si="114"/>
        <v/>
      </c>
      <c r="I782" s="58" t="str">
        <f t="shared" si="119"/>
        <v/>
      </c>
      <c r="J782" s="58" t="str">
        <f t="shared" si="117"/>
        <v/>
      </c>
      <c r="K782" s="58" t="str">
        <f t="shared" si="120"/>
        <v/>
      </c>
      <c r="L782" s="58" t="str">
        <f t="shared" si="121"/>
        <v/>
      </c>
      <c r="M782" s="58" t="str">
        <f t="shared" si="122"/>
        <v/>
      </c>
      <c r="N782" s="59" t="str">
        <f t="shared" si="118"/>
        <v/>
      </c>
      <c r="O782" s="60"/>
      <c r="P782" s="105"/>
    </row>
    <row r="783" spans="1:16" x14ac:dyDescent="0.3">
      <c r="A783" s="54" t="str">
        <f>IF([2]weekly_demand!A784="","",[2]weekly_demand!A784)</f>
        <v/>
      </c>
      <c r="B783" s="55" t="str">
        <f>IF($A783="","",[2]weekly_demand!F784)</f>
        <v/>
      </c>
      <c r="C783" s="56" t="str">
        <f>IF($A783="","",[2]weekly_demand!H784)</f>
        <v/>
      </c>
      <c r="D783" s="57" t="str">
        <f>IF($A783="","",IF(SUMIFS([2]Fixture_Capacity_Input!$C:$C,[2]Fixture_Capacity_Input!$A:$A,$B783,[2]Fixture_Capacity_Input!$B:$B,$C783)&gt;0,SUMIFS([2]Fixture_Capacity_Input!$C:$C,[2]Fixture_Capacity_Input!$A:$A,$B783,[2]Fixture_Capacity_Input!$B:$B,$C783),[2]weekly_demand!G784))</f>
        <v/>
      </c>
      <c r="E783" s="58" t="str">
        <f>IF($A783="","",[2]weekly_demand!I784)</f>
        <v/>
      </c>
      <c r="F783" s="57" t="str">
        <f t="shared" si="115"/>
        <v/>
      </c>
      <c r="G783" s="57" t="str">
        <f t="shared" si="116"/>
        <v/>
      </c>
      <c r="H783" s="57" t="str">
        <f t="shared" si="114"/>
        <v/>
      </c>
      <c r="I783" s="58" t="str">
        <f t="shared" si="119"/>
        <v/>
      </c>
      <c r="J783" s="58" t="str">
        <f t="shared" si="117"/>
        <v/>
      </c>
      <c r="K783" s="58" t="str">
        <f t="shared" si="120"/>
        <v/>
      </c>
      <c r="L783" s="58" t="str">
        <f t="shared" si="121"/>
        <v/>
      </c>
      <c r="M783" s="58" t="str">
        <f t="shared" si="122"/>
        <v/>
      </c>
      <c r="N783" s="59" t="str">
        <f t="shared" si="118"/>
        <v/>
      </c>
      <c r="O783" s="60"/>
      <c r="P783" s="105"/>
    </row>
    <row r="784" spans="1:16" x14ac:dyDescent="0.3">
      <c r="A784" s="54" t="str">
        <f>IF([2]weekly_demand!A785="","",[2]weekly_demand!A785)</f>
        <v/>
      </c>
      <c r="B784" s="55" t="str">
        <f>IF($A784="","",[2]weekly_demand!F785)</f>
        <v/>
      </c>
      <c r="C784" s="56" t="str">
        <f>IF($A784="","",[2]weekly_demand!H785)</f>
        <v/>
      </c>
      <c r="D784" s="57" t="str">
        <f>IF($A784="","",IF(SUMIFS([2]Fixture_Capacity_Input!$C:$C,[2]Fixture_Capacity_Input!$A:$A,$B784,[2]Fixture_Capacity_Input!$B:$B,$C784)&gt;0,SUMIFS([2]Fixture_Capacity_Input!$C:$C,[2]Fixture_Capacity_Input!$A:$A,$B784,[2]Fixture_Capacity_Input!$B:$B,$C784),[2]weekly_demand!G785))</f>
        <v/>
      </c>
      <c r="E784" s="58" t="str">
        <f>IF($A784="","",[2]weekly_demand!I785)</f>
        <v/>
      </c>
      <c r="F784" s="57" t="str">
        <f t="shared" si="115"/>
        <v/>
      </c>
      <c r="G784" s="57" t="str">
        <f t="shared" si="116"/>
        <v/>
      </c>
      <c r="H784" s="57" t="str">
        <f t="shared" si="114"/>
        <v/>
      </c>
      <c r="I784" s="58" t="str">
        <f t="shared" si="119"/>
        <v/>
      </c>
      <c r="J784" s="58" t="str">
        <f t="shared" si="117"/>
        <v/>
      </c>
      <c r="K784" s="58" t="str">
        <f t="shared" si="120"/>
        <v/>
      </c>
      <c r="L784" s="58" t="str">
        <f t="shared" si="121"/>
        <v/>
      </c>
      <c r="M784" s="58" t="str">
        <f t="shared" si="122"/>
        <v/>
      </c>
      <c r="N784" s="59" t="str">
        <f t="shared" si="118"/>
        <v/>
      </c>
      <c r="O784" s="60"/>
      <c r="P784" s="105"/>
    </row>
    <row r="785" spans="1:16" x14ac:dyDescent="0.3">
      <c r="A785" s="54" t="str">
        <f>IF([2]weekly_demand!A786="","",[2]weekly_demand!A786)</f>
        <v/>
      </c>
      <c r="B785" s="55" t="str">
        <f>IF($A785="","",[2]weekly_demand!F786)</f>
        <v/>
      </c>
      <c r="C785" s="56" t="str">
        <f>IF($A785="","",[2]weekly_demand!H786)</f>
        <v/>
      </c>
      <c r="D785" s="57" t="str">
        <f>IF($A785="","",IF(SUMIFS([2]Fixture_Capacity_Input!$C:$C,[2]Fixture_Capacity_Input!$A:$A,$B785,[2]Fixture_Capacity_Input!$B:$B,$C785)&gt;0,SUMIFS([2]Fixture_Capacity_Input!$C:$C,[2]Fixture_Capacity_Input!$A:$A,$B785,[2]Fixture_Capacity_Input!$B:$B,$C785),[2]weekly_demand!G786))</f>
        <v/>
      </c>
      <c r="E785" s="58" t="str">
        <f>IF($A785="","",[2]weekly_demand!I786)</f>
        <v/>
      </c>
      <c r="F785" s="57" t="str">
        <f t="shared" si="115"/>
        <v/>
      </c>
      <c r="G785" s="57" t="str">
        <f t="shared" si="116"/>
        <v/>
      </c>
      <c r="H785" s="57" t="str">
        <f t="shared" si="114"/>
        <v/>
      </c>
      <c r="I785" s="58" t="str">
        <f t="shared" si="119"/>
        <v/>
      </c>
      <c r="J785" s="58" t="str">
        <f t="shared" si="117"/>
        <v/>
      </c>
      <c r="K785" s="58" t="str">
        <f t="shared" si="120"/>
        <v/>
      </c>
      <c r="L785" s="58" t="str">
        <f t="shared" si="121"/>
        <v/>
      </c>
      <c r="M785" s="58" t="str">
        <f t="shared" si="122"/>
        <v/>
      </c>
      <c r="N785" s="59" t="str">
        <f t="shared" si="118"/>
        <v/>
      </c>
      <c r="O785" s="60"/>
      <c r="P785" s="105"/>
    </row>
    <row r="786" spans="1:16" x14ac:dyDescent="0.3">
      <c r="A786" s="54" t="str">
        <f>IF([2]weekly_demand!A787="","",[2]weekly_demand!A787)</f>
        <v/>
      </c>
      <c r="B786" s="55" t="str">
        <f>IF($A786="","",[2]weekly_demand!F787)</f>
        <v/>
      </c>
      <c r="C786" s="56" t="str">
        <f>IF($A786="","",[2]weekly_demand!H787)</f>
        <v/>
      </c>
      <c r="D786" s="57" t="str">
        <f>IF($A786="","",IF(SUMIFS([2]Fixture_Capacity_Input!$C:$C,[2]Fixture_Capacity_Input!$A:$A,$B786,[2]Fixture_Capacity_Input!$B:$B,$C786)&gt;0,SUMIFS([2]Fixture_Capacity_Input!$C:$C,[2]Fixture_Capacity_Input!$A:$A,$B786,[2]Fixture_Capacity_Input!$B:$B,$C786),[2]weekly_demand!G787))</f>
        <v/>
      </c>
      <c r="E786" s="58" t="str">
        <f>IF($A786="","",[2]weekly_demand!I787)</f>
        <v/>
      </c>
      <c r="F786" s="57" t="str">
        <f t="shared" si="115"/>
        <v/>
      </c>
      <c r="G786" s="57" t="str">
        <f t="shared" si="116"/>
        <v/>
      </c>
      <c r="H786" s="57" t="str">
        <f t="shared" si="114"/>
        <v/>
      </c>
      <c r="I786" s="58" t="str">
        <f t="shared" si="119"/>
        <v/>
      </c>
      <c r="J786" s="58" t="str">
        <f t="shared" si="117"/>
        <v/>
      </c>
      <c r="K786" s="58" t="str">
        <f t="shared" si="120"/>
        <v/>
      </c>
      <c r="L786" s="58" t="str">
        <f t="shared" si="121"/>
        <v/>
      </c>
      <c r="M786" s="58" t="str">
        <f t="shared" si="122"/>
        <v/>
      </c>
      <c r="N786" s="59" t="str">
        <f t="shared" si="118"/>
        <v/>
      </c>
      <c r="O786" s="60"/>
      <c r="P786" s="105"/>
    </row>
    <row r="787" spans="1:16" x14ac:dyDescent="0.3">
      <c r="A787" s="54" t="str">
        <f>IF([2]weekly_demand!A788="","",[2]weekly_demand!A788)</f>
        <v/>
      </c>
      <c r="B787" s="55" t="str">
        <f>IF($A787="","",[2]weekly_demand!F788)</f>
        <v/>
      </c>
      <c r="C787" s="56" t="str">
        <f>IF($A787="","",[2]weekly_demand!H788)</f>
        <v/>
      </c>
      <c r="D787" s="57" t="str">
        <f>IF($A787="","",IF(SUMIFS([2]Fixture_Capacity_Input!$C:$C,[2]Fixture_Capacity_Input!$A:$A,$B787,[2]Fixture_Capacity_Input!$B:$B,$C787)&gt;0,SUMIFS([2]Fixture_Capacity_Input!$C:$C,[2]Fixture_Capacity_Input!$A:$A,$B787,[2]Fixture_Capacity_Input!$B:$B,$C787),[2]weekly_demand!G788))</f>
        <v/>
      </c>
      <c r="E787" s="58" t="str">
        <f>IF($A787="","",[2]weekly_demand!I788)</f>
        <v/>
      </c>
      <c r="F787" s="57" t="str">
        <f t="shared" si="115"/>
        <v/>
      </c>
      <c r="G787" s="57" t="str">
        <f t="shared" si="116"/>
        <v/>
      </c>
      <c r="H787" s="57" t="str">
        <f t="shared" si="114"/>
        <v/>
      </c>
      <c r="I787" s="58" t="str">
        <f t="shared" si="119"/>
        <v/>
      </c>
      <c r="J787" s="58" t="str">
        <f t="shared" si="117"/>
        <v/>
      </c>
      <c r="K787" s="58" t="str">
        <f t="shared" si="120"/>
        <v/>
      </c>
      <c r="L787" s="58" t="str">
        <f t="shared" si="121"/>
        <v/>
      </c>
      <c r="M787" s="58" t="str">
        <f t="shared" si="122"/>
        <v/>
      </c>
      <c r="N787" s="59" t="str">
        <f t="shared" si="118"/>
        <v/>
      </c>
      <c r="O787" s="60"/>
      <c r="P787" s="105"/>
    </row>
    <row r="788" spans="1:16" x14ac:dyDescent="0.3">
      <c r="A788" s="54" t="str">
        <f>IF([2]weekly_demand!A789="","",[2]weekly_demand!A789)</f>
        <v/>
      </c>
      <c r="B788" s="55" t="str">
        <f>IF($A788="","",[2]weekly_demand!F789)</f>
        <v/>
      </c>
      <c r="C788" s="56" t="str">
        <f>IF($A788="","",[2]weekly_demand!H789)</f>
        <v/>
      </c>
      <c r="D788" s="57" t="str">
        <f>IF($A788="","",IF(SUMIFS([2]Fixture_Capacity_Input!$C:$C,[2]Fixture_Capacity_Input!$A:$A,$B788,[2]Fixture_Capacity_Input!$B:$B,$C788)&gt;0,SUMIFS([2]Fixture_Capacity_Input!$C:$C,[2]Fixture_Capacity_Input!$A:$A,$B788,[2]Fixture_Capacity_Input!$B:$B,$C788),[2]weekly_demand!G789))</f>
        <v/>
      </c>
      <c r="E788" s="58" t="str">
        <f>IF($A788="","",[2]weekly_demand!I789)</f>
        <v/>
      </c>
      <c r="F788" s="57" t="str">
        <f t="shared" si="115"/>
        <v/>
      </c>
      <c r="G788" s="57" t="str">
        <f t="shared" si="116"/>
        <v/>
      </c>
      <c r="H788" s="57" t="str">
        <f t="shared" si="114"/>
        <v/>
      </c>
      <c r="I788" s="58" t="str">
        <f t="shared" si="119"/>
        <v/>
      </c>
      <c r="J788" s="58" t="str">
        <f t="shared" si="117"/>
        <v/>
      </c>
      <c r="K788" s="58" t="str">
        <f t="shared" si="120"/>
        <v/>
      </c>
      <c r="L788" s="58" t="str">
        <f t="shared" si="121"/>
        <v/>
      </c>
      <c r="M788" s="58" t="str">
        <f t="shared" si="122"/>
        <v/>
      </c>
      <c r="N788" s="59" t="str">
        <f t="shared" si="118"/>
        <v/>
      </c>
      <c r="O788" s="60"/>
      <c r="P788" s="105"/>
    </row>
    <row r="789" spans="1:16" x14ac:dyDescent="0.3">
      <c r="A789" s="54" t="str">
        <f>IF([2]weekly_demand!A790="","",[2]weekly_demand!A790)</f>
        <v/>
      </c>
      <c r="B789" s="55" t="str">
        <f>IF($A789="","",[2]weekly_demand!F790)</f>
        <v/>
      </c>
      <c r="C789" s="56" t="str">
        <f>IF($A789="","",[2]weekly_demand!H790)</f>
        <v/>
      </c>
      <c r="D789" s="57" t="str">
        <f>IF($A789="","",IF(SUMIFS([2]Fixture_Capacity_Input!$C:$C,[2]Fixture_Capacity_Input!$A:$A,$B789,[2]Fixture_Capacity_Input!$B:$B,$C789)&gt;0,SUMIFS([2]Fixture_Capacity_Input!$C:$C,[2]Fixture_Capacity_Input!$A:$A,$B789,[2]Fixture_Capacity_Input!$B:$B,$C789),[2]weekly_demand!G790))</f>
        <v/>
      </c>
      <c r="E789" s="58" t="str">
        <f>IF($A789="","",[2]weekly_demand!I790)</f>
        <v/>
      </c>
      <c r="F789" s="57" t="str">
        <f t="shared" si="115"/>
        <v/>
      </c>
      <c r="G789" s="57" t="str">
        <f t="shared" si="116"/>
        <v/>
      </c>
      <c r="H789" s="57" t="str">
        <f t="shared" si="114"/>
        <v/>
      </c>
      <c r="I789" s="58" t="str">
        <f t="shared" si="119"/>
        <v/>
      </c>
      <c r="J789" s="58" t="str">
        <f t="shared" si="117"/>
        <v/>
      </c>
      <c r="K789" s="58" t="str">
        <f t="shared" si="120"/>
        <v/>
      </c>
      <c r="L789" s="58" t="str">
        <f t="shared" si="121"/>
        <v/>
      </c>
      <c r="M789" s="58" t="str">
        <f t="shared" si="122"/>
        <v/>
      </c>
      <c r="N789" s="59" t="str">
        <f t="shared" si="118"/>
        <v/>
      </c>
      <c r="O789" s="60"/>
      <c r="P789" s="105"/>
    </row>
    <row r="790" spans="1:16" x14ac:dyDescent="0.3">
      <c r="A790" s="54" t="str">
        <f>IF([2]weekly_demand!A791="","",[2]weekly_demand!A791)</f>
        <v/>
      </c>
      <c r="B790" s="55" t="str">
        <f>IF($A790="","",[2]weekly_demand!F791)</f>
        <v/>
      </c>
      <c r="C790" s="56" t="str">
        <f>IF($A790="","",[2]weekly_demand!H791)</f>
        <v/>
      </c>
      <c r="D790" s="57" t="str">
        <f>IF($A790="","",IF(SUMIFS([2]Fixture_Capacity_Input!$C:$C,[2]Fixture_Capacity_Input!$A:$A,$B790,[2]Fixture_Capacity_Input!$B:$B,$C790)&gt;0,SUMIFS([2]Fixture_Capacity_Input!$C:$C,[2]Fixture_Capacity_Input!$A:$A,$B790,[2]Fixture_Capacity_Input!$B:$B,$C790),[2]weekly_demand!G791))</f>
        <v/>
      </c>
      <c r="E790" s="58" t="str">
        <f>IF($A790="","",[2]weekly_demand!I791)</f>
        <v/>
      </c>
      <c r="F790" s="57" t="str">
        <f t="shared" si="115"/>
        <v/>
      </c>
      <c r="G790" s="57" t="str">
        <f t="shared" si="116"/>
        <v/>
      </c>
      <c r="H790" s="57" t="str">
        <f t="shared" si="114"/>
        <v/>
      </c>
      <c r="I790" s="58" t="str">
        <f t="shared" si="119"/>
        <v/>
      </c>
      <c r="J790" s="58" t="str">
        <f t="shared" si="117"/>
        <v/>
      </c>
      <c r="K790" s="58" t="str">
        <f t="shared" si="120"/>
        <v/>
      </c>
      <c r="L790" s="58" t="str">
        <f t="shared" si="121"/>
        <v/>
      </c>
      <c r="M790" s="58" t="str">
        <f t="shared" si="122"/>
        <v/>
      </c>
      <c r="N790" s="59" t="str">
        <f t="shared" si="118"/>
        <v/>
      </c>
      <c r="O790" s="60"/>
      <c r="P790" s="105"/>
    </row>
    <row r="791" spans="1:16" x14ac:dyDescent="0.3">
      <c r="A791" s="54" t="str">
        <f>IF([2]weekly_demand!A792="","",[2]weekly_demand!A792)</f>
        <v/>
      </c>
      <c r="B791" s="55" t="str">
        <f>IF($A791="","",[2]weekly_demand!F792)</f>
        <v/>
      </c>
      <c r="C791" s="56" t="str">
        <f>IF($A791="","",[2]weekly_demand!H792)</f>
        <v/>
      </c>
      <c r="D791" s="57" t="str">
        <f>IF($A791="","",IF(SUMIFS([2]Fixture_Capacity_Input!$C:$C,[2]Fixture_Capacity_Input!$A:$A,$B791,[2]Fixture_Capacity_Input!$B:$B,$C791)&gt;0,SUMIFS([2]Fixture_Capacity_Input!$C:$C,[2]Fixture_Capacity_Input!$A:$A,$B791,[2]Fixture_Capacity_Input!$B:$B,$C791),[2]weekly_demand!G792))</f>
        <v/>
      </c>
      <c r="E791" s="58" t="str">
        <f>IF($A791="","",[2]weekly_demand!I792)</f>
        <v/>
      </c>
      <c r="F791" s="57" t="str">
        <f t="shared" si="115"/>
        <v/>
      </c>
      <c r="G791" s="57" t="str">
        <f t="shared" si="116"/>
        <v/>
      </c>
      <c r="H791" s="57" t="str">
        <f t="shared" si="114"/>
        <v/>
      </c>
      <c r="I791" s="58" t="str">
        <f t="shared" si="119"/>
        <v/>
      </c>
      <c r="J791" s="58" t="str">
        <f t="shared" si="117"/>
        <v/>
      </c>
      <c r="K791" s="58" t="str">
        <f t="shared" si="120"/>
        <v/>
      </c>
      <c r="L791" s="58" t="str">
        <f t="shared" si="121"/>
        <v/>
      </c>
      <c r="M791" s="58" t="str">
        <f t="shared" si="122"/>
        <v/>
      </c>
      <c r="N791" s="59" t="str">
        <f t="shared" si="118"/>
        <v/>
      </c>
      <c r="O791" s="60"/>
      <c r="P791" s="105"/>
    </row>
    <row r="792" spans="1:16" x14ac:dyDescent="0.3">
      <c r="A792" s="54" t="str">
        <f>IF([2]weekly_demand!A793="","",[2]weekly_demand!A793)</f>
        <v/>
      </c>
      <c r="B792" s="55" t="str">
        <f>IF($A792="","",[2]weekly_demand!F793)</f>
        <v/>
      </c>
      <c r="C792" s="56" t="str">
        <f>IF($A792="","",[2]weekly_demand!H793)</f>
        <v/>
      </c>
      <c r="D792" s="57" t="str">
        <f>IF($A792="","",IF(SUMIFS([2]Fixture_Capacity_Input!$C:$C,[2]Fixture_Capacity_Input!$A:$A,$B792,[2]Fixture_Capacity_Input!$B:$B,$C792)&gt;0,SUMIFS([2]Fixture_Capacity_Input!$C:$C,[2]Fixture_Capacity_Input!$A:$A,$B792,[2]Fixture_Capacity_Input!$B:$B,$C792),[2]weekly_demand!G793))</f>
        <v/>
      </c>
      <c r="E792" s="58" t="str">
        <f>IF($A792="","",[2]weekly_demand!I793)</f>
        <v/>
      </c>
      <c r="F792" s="57" t="str">
        <f t="shared" si="115"/>
        <v/>
      </c>
      <c r="G792" s="57" t="str">
        <f t="shared" si="116"/>
        <v/>
      </c>
      <c r="H792" s="57" t="str">
        <f t="shared" si="114"/>
        <v/>
      </c>
      <c r="I792" s="58" t="str">
        <f t="shared" si="119"/>
        <v/>
      </c>
      <c r="J792" s="58" t="str">
        <f t="shared" si="117"/>
        <v/>
      </c>
      <c r="K792" s="58" t="str">
        <f t="shared" si="120"/>
        <v/>
      </c>
      <c r="L792" s="58" t="str">
        <f t="shared" si="121"/>
        <v/>
      </c>
      <c r="M792" s="58" t="str">
        <f t="shared" si="122"/>
        <v/>
      </c>
      <c r="N792" s="59" t="str">
        <f t="shared" si="118"/>
        <v/>
      </c>
      <c r="O792" s="60"/>
      <c r="P792" s="105"/>
    </row>
    <row r="793" spans="1:16" x14ac:dyDescent="0.3">
      <c r="A793" s="54" t="str">
        <f>IF([2]weekly_demand!A794="","",[2]weekly_demand!A794)</f>
        <v/>
      </c>
      <c r="B793" s="55" t="str">
        <f>IF($A793="","",[2]weekly_demand!F794)</f>
        <v/>
      </c>
      <c r="C793" s="56" t="str">
        <f>IF($A793="","",[2]weekly_demand!H794)</f>
        <v/>
      </c>
      <c r="D793" s="57" t="str">
        <f>IF($A793="","",IF(SUMIFS([2]Fixture_Capacity_Input!$C:$C,[2]Fixture_Capacity_Input!$A:$A,$B793,[2]Fixture_Capacity_Input!$B:$B,$C793)&gt;0,SUMIFS([2]Fixture_Capacity_Input!$C:$C,[2]Fixture_Capacity_Input!$A:$A,$B793,[2]Fixture_Capacity_Input!$B:$B,$C793),[2]weekly_demand!G794))</f>
        <v/>
      </c>
      <c r="E793" s="58" t="str">
        <f>IF($A793="","",[2]weekly_demand!I794)</f>
        <v/>
      </c>
      <c r="F793" s="57" t="str">
        <f t="shared" si="115"/>
        <v/>
      </c>
      <c r="G793" s="57" t="str">
        <f t="shared" si="116"/>
        <v/>
      </c>
      <c r="H793" s="57" t="str">
        <f t="shared" si="114"/>
        <v/>
      </c>
      <c r="I793" s="58" t="str">
        <f t="shared" si="119"/>
        <v/>
      </c>
      <c r="J793" s="58" t="str">
        <f t="shared" si="117"/>
        <v/>
      </c>
      <c r="K793" s="58" t="str">
        <f t="shared" si="120"/>
        <v/>
      </c>
      <c r="L793" s="58" t="str">
        <f t="shared" si="121"/>
        <v/>
      </c>
      <c r="M793" s="58" t="str">
        <f t="shared" si="122"/>
        <v/>
      </c>
      <c r="N793" s="59" t="str">
        <f t="shared" si="118"/>
        <v/>
      </c>
      <c r="O793" s="60"/>
      <c r="P793" s="105"/>
    </row>
    <row r="794" spans="1:16" x14ac:dyDescent="0.3">
      <c r="A794" s="54" t="str">
        <f>IF([2]weekly_demand!A795="","",[2]weekly_demand!A795)</f>
        <v/>
      </c>
      <c r="B794" s="55" t="str">
        <f>IF($A794="","",[2]weekly_demand!F795)</f>
        <v/>
      </c>
      <c r="C794" s="56" t="str">
        <f>IF($A794="","",[2]weekly_demand!H795)</f>
        <v/>
      </c>
      <c r="D794" s="57" t="str">
        <f>IF($A794="","",IF(SUMIFS([2]Fixture_Capacity_Input!$C:$C,[2]Fixture_Capacity_Input!$A:$A,$B794,[2]Fixture_Capacity_Input!$B:$B,$C794)&gt;0,SUMIFS([2]Fixture_Capacity_Input!$C:$C,[2]Fixture_Capacity_Input!$A:$A,$B794,[2]Fixture_Capacity_Input!$B:$B,$C794),[2]weekly_demand!G795))</f>
        <v/>
      </c>
      <c r="E794" s="58" t="str">
        <f>IF($A794="","",[2]weekly_demand!I795)</f>
        <v/>
      </c>
      <c r="F794" s="57" t="str">
        <f t="shared" si="115"/>
        <v/>
      </c>
      <c r="G794" s="57" t="str">
        <f t="shared" si="116"/>
        <v/>
      </c>
      <c r="H794" s="57" t="str">
        <f t="shared" si="114"/>
        <v/>
      </c>
      <c r="I794" s="58" t="str">
        <f t="shared" si="119"/>
        <v/>
      </c>
      <c r="J794" s="58" t="str">
        <f t="shared" si="117"/>
        <v/>
      </c>
      <c r="K794" s="58" t="str">
        <f t="shared" si="120"/>
        <v/>
      </c>
      <c r="L794" s="58" t="str">
        <f t="shared" si="121"/>
        <v/>
      </c>
      <c r="M794" s="58" t="str">
        <f t="shared" si="122"/>
        <v/>
      </c>
      <c r="N794" s="59" t="str">
        <f t="shared" si="118"/>
        <v/>
      </c>
      <c r="O794" s="60"/>
      <c r="P794" s="105"/>
    </row>
    <row r="795" spans="1:16" x14ac:dyDescent="0.3">
      <c r="A795" s="54" t="str">
        <f>IF([2]weekly_demand!A796="","",[2]weekly_demand!A796)</f>
        <v/>
      </c>
      <c r="B795" s="55" t="str">
        <f>IF($A795="","",[2]weekly_demand!F796)</f>
        <v/>
      </c>
      <c r="C795" s="56" t="str">
        <f>IF($A795="","",[2]weekly_demand!H796)</f>
        <v/>
      </c>
      <c r="D795" s="57" t="str">
        <f>IF($A795="","",IF(SUMIFS([2]Fixture_Capacity_Input!$C:$C,[2]Fixture_Capacity_Input!$A:$A,$B795,[2]Fixture_Capacity_Input!$B:$B,$C795)&gt;0,SUMIFS([2]Fixture_Capacity_Input!$C:$C,[2]Fixture_Capacity_Input!$A:$A,$B795,[2]Fixture_Capacity_Input!$B:$B,$C795),[2]weekly_demand!G796))</f>
        <v/>
      </c>
      <c r="E795" s="58" t="str">
        <f>IF($A795="","",[2]weekly_demand!I796)</f>
        <v/>
      </c>
      <c r="F795" s="57" t="str">
        <f t="shared" si="115"/>
        <v/>
      </c>
      <c r="G795" s="57" t="str">
        <f t="shared" si="116"/>
        <v/>
      </c>
      <c r="H795" s="57" t="str">
        <f t="shared" si="114"/>
        <v/>
      </c>
      <c r="I795" s="58" t="str">
        <f t="shared" si="119"/>
        <v/>
      </c>
      <c r="J795" s="58" t="str">
        <f t="shared" si="117"/>
        <v/>
      </c>
      <c r="K795" s="58" t="str">
        <f t="shared" si="120"/>
        <v/>
      </c>
      <c r="L795" s="58" t="str">
        <f t="shared" si="121"/>
        <v/>
      </c>
      <c r="M795" s="58" t="str">
        <f t="shared" si="122"/>
        <v/>
      </c>
      <c r="N795" s="59" t="str">
        <f t="shared" si="118"/>
        <v/>
      </c>
      <c r="O795" s="60"/>
      <c r="P795" s="105"/>
    </row>
    <row r="796" spans="1:16" x14ac:dyDescent="0.3">
      <c r="A796" s="54" t="str">
        <f>IF([2]weekly_demand!A797="","",[2]weekly_demand!A797)</f>
        <v/>
      </c>
      <c r="B796" s="55" t="str">
        <f>IF($A796="","",[2]weekly_demand!F797)</f>
        <v/>
      </c>
      <c r="C796" s="56" t="str">
        <f>IF($A796="","",[2]weekly_demand!H797)</f>
        <v/>
      </c>
      <c r="D796" s="57" t="str">
        <f>IF($A796="","",IF(SUMIFS([2]Fixture_Capacity_Input!$C:$C,[2]Fixture_Capacity_Input!$A:$A,$B796,[2]Fixture_Capacity_Input!$B:$B,$C796)&gt;0,SUMIFS([2]Fixture_Capacity_Input!$C:$C,[2]Fixture_Capacity_Input!$A:$A,$B796,[2]Fixture_Capacity_Input!$B:$B,$C796),[2]weekly_demand!G797))</f>
        <v/>
      </c>
      <c r="E796" s="58" t="str">
        <f>IF($A796="","",[2]weekly_demand!I797)</f>
        <v/>
      </c>
      <c r="F796" s="57" t="str">
        <f t="shared" si="115"/>
        <v/>
      </c>
      <c r="G796" s="57" t="str">
        <f t="shared" si="116"/>
        <v/>
      </c>
      <c r="H796" s="57" t="str">
        <f t="shared" si="114"/>
        <v/>
      </c>
      <c r="I796" s="58" t="str">
        <f t="shared" si="119"/>
        <v/>
      </c>
      <c r="J796" s="58" t="str">
        <f t="shared" si="117"/>
        <v/>
      </c>
      <c r="K796" s="58" t="str">
        <f t="shared" si="120"/>
        <v/>
      </c>
      <c r="L796" s="58" t="str">
        <f t="shared" si="121"/>
        <v/>
      </c>
      <c r="M796" s="58" t="str">
        <f t="shared" si="122"/>
        <v/>
      </c>
      <c r="N796" s="59" t="str">
        <f t="shared" si="118"/>
        <v/>
      </c>
      <c r="O796" s="60"/>
      <c r="P796" s="105"/>
    </row>
    <row r="797" spans="1:16" x14ac:dyDescent="0.3">
      <c r="A797" s="54" t="str">
        <f>IF([2]weekly_demand!A798="","",[2]weekly_demand!A798)</f>
        <v/>
      </c>
      <c r="B797" s="55" t="str">
        <f>IF($A797="","",[2]weekly_demand!F798)</f>
        <v/>
      </c>
      <c r="C797" s="56" t="str">
        <f>IF($A797="","",[2]weekly_demand!H798)</f>
        <v/>
      </c>
      <c r="D797" s="57" t="str">
        <f>IF($A797="","",IF(SUMIFS([2]Fixture_Capacity_Input!$C:$C,[2]Fixture_Capacity_Input!$A:$A,$B797,[2]Fixture_Capacity_Input!$B:$B,$C797)&gt;0,SUMIFS([2]Fixture_Capacity_Input!$C:$C,[2]Fixture_Capacity_Input!$A:$A,$B797,[2]Fixture_Capacity_Input!$B:$B,$C797),[2]weekly_demand!G798))</f>
        <v/>
      </c>
      <c r="E797" s="58" t="str">
        <f>IF($A797="","",[2]weekly_demand!I798)</f>
        <v/>
      </c>
      <c r="F797" s="57" t="str">
        <f t="shared" si="115"/>
        <v/>
      </c>
      <c r="G797" s="57" t="str">
        <f t="shared" si="116"/>
        <v/>
      </c>
      <c r="H797" s="57" t="str">
        <f t="shared" si="114"/>
        <v/>
      </c>
      <c r="I797" s="58" t="str">
        <f t="shared" si="119"/>
        <v/>
      </c>
      <c r="J797" s="58" t="str">
        <f t="shared" si="117"/>
        <v/>
      </c>
      <c r="K797" s="58" t="str">
        <f t="shared" si="120"/>
        <v/>
      </c>
      <c r="L797" s="58" t="str">
        <f t="shared" si="121"/>
        <v/>
      </c>
      <c r="M797" s="58" t="str">
        <f t="shared" si="122"/>
        <v/>
      </c>
      <c r="N797" s="59" t="str">
        <f t="shared" si="118"/>
        <v/>
      </c>
      <c r="O797" s="60"/>
      <c r="P797" s="105"/>
    </row>
    <row r="798" spans="1:16" x14ac:dyDescent="0.3">
      <c r="A798" s="54" t="str">
        <f>IF([2]weekly_demand!A799="","",[2]weekly_demand!A799)</f>
        <v/>
      </c>
      <c r="B798" s="55" t="str">
        <f>IF($A798="","",[2]weekly_demand!F799)</f>
        <v/>
      </c>
      <c r="C798" s="56" t="str">
        <f>IF($A798="","",[2]weekly_demand!H799)</f>
        <v/>
      </c>
      <c r="D798" s="57" t="str">
        <f>IF($A798="","",IF(SUMIFS([2]Fixture_Capacity_Input!$C:$C,[2]Fixture_Capacity_Input!$A:$A,$B798,[2]Fixture_Capacity_Input!$B:$B,$C798)&gt;0,SUMIFS([2]Fixture_Capacity_Input!$C:$C,[2]Fixture_Capacity_Input!$A:$A,$B798,[2]Fixture_Capacity_Input!$B:$B,$C798),[2]weekly_demand!G799))</f>
        <v/>
      </c>
      <c r="E798" s="58" t="str">
        <f>IF($A798="","",[2]weekly_demand!I799)</f>
        <v/>
      </c>
      <c r="F798" s="57" t="str">
        <f t="shared" si="115"/>
        <v/>
      </c>
      <c r="G798" s="57" t="str">
        <f t="shared" si="116"/>
        <v/>
      </c>
      <c r="H798" s="57" t="str">
        <f t="shared" si="114"/>
        <v/>
      </c>
      <c r="I798" s="58" t="str">
        <f t="shared" si="119"/>
        <v/>
      </c>
      <c r="J798" s="58" t="str">
        <f t="shared" si="117"/>
        <v/>
      </c>
      <c r="K798" s="58" t="str">
        <f t="shared" si="120"/>
        <v/>
      </c>
      <c r="L798" s="58" t="str">
        <f t="shared" si="121"/>
        <v/>
      </c>
      <c r="M798" s="58" t="str">
        <f t="shared" si="122"/>
        <v/>
      </c>
      <c r="N798" s="59" t="str">
        <f t="shared" si="118"/>
        <v/>
      </c>
      <c r="O798" s="60"/>
      <c r="P798" s="105"/>
    </row>
    <row r="799" spans="1:16" x14ac:dyDescent="0.3">
      <c r="A799" s="54" t="str">
        <f>IF([2]weekly_demand!A800="","",[2]weekly_demand!A800)</f>
        <v/>
      </c>
      <c r="B799" s="55" t="str">
        <f>IF($A799="","",[2]weekly_demand!F800)</f>
        <v/>
      </c>
      <c r="C799" s="56" t="str">
        <f>IF($A799="","",[2]weekly_demand!H800)</f>
        <v/>
      </c>
      <c r="D799" s="57" t="str">
        <f>IF($A799="","",IF(SUMIFS([2]Fixture_Capacity_Input!$C:$C,[2]Fixture_Capacity_Input!$A:$A,$B799,[2]Fixture_Capacity_Input!$B:$B,$C799)&gt;0,SUMIFS([2]Fixture_Capacity_Input!$C:$C,[2]Fixture_Capacity_Input!$A:$A,$B799,[2]Fixture_Capacity_Input!$B:$B,$C799),[2]weekly_demand!G800))</f>
        <v/>
      </c>
      <c r="E799" s="58" t="str">
        <f>IF($A799="","",[2]weekly_demand!I800)</f>
        <v/>
      </c>
      <c r="F799" s="57" t="str">
        <f t="shared" si="115"/>
        <v/>
      </c>
      <c r="G799" s="57" t="str">
        <f t="shared" si="116"/>
        <v/>
      </c>
      <c r="H799" s="57" t="str">
        <f t="shared" si="114"/>
        <v/>
      </c>
      <c r="I799" s="58" t="str">
        <f t="shared" si="119"/>
        <v/>
      </c>
      <c r="J799" s="58" t="str">
        <f t="shared" si="117"/>
        <v/>
      </c>
      <c r="K799" s="58" t="str">
        <f t="shared" si="120"/>
        <v/>
      </c>
      <c r="L799" s="58" t="str">
        <f t="shared" si="121"/>
        <v/>
      </c>
      <c r="M799" s="58" t="str">
        <f t="shared" si="122"/>
        <v/>
      </c>
      <c r="N799" s="59" t="str">
        <f t="shared" si="118"/>
        <v/>
      </c>
      <c r="O799" s="60"/>
      <c r="P799" s="105"/>
    </row>
    <row r="800" spans="1:16" x14ac:dyDescent="0.3">
      <c r="A800" s="54" t="str">
        <f>IF([2]weekly_demand!A801="","",[2]weekly_demand!A801)</f>
        <v/>
      </c>
      <c r="B800" s="55" t="str">
        <f>IF($A800="","",[2]weekly_demand!F801)</f>
        <v/>
      </c>
      <c r="C800" s="56" t="str">
        <f>IF($A800="","",[2]weekly_demand!H801)</f>
        <v/>
      </c>
      <c r="D800" s="57" t="str">
        <f>IF($A800="","",IF(SUMIFS([2]Fixture_Capacity_Input!$C:$C,[2]Fixture_Capacity_Input!$A:$A,$B800,[2]Fixture_Capacity_Input!$B:$B,$C800)&gt;0,SUMIFS([2]Fixture_Capacity_Input!$C:$C,[2]Fixture_Capacity_Input!$A:$A,$B800,[2]Fixture_Capacity_Input!$B:$B,$C800),[2]weekly_demand!G801))</f>
        <v/>
      </c>
      <c r="E800" s="58" t="str">
        <f>IF($A800="","",[2]weekly_demand!I801)</f>
        <v/>
      </c>
      <c r="F800" s="57" t="str">
        <f t="shared" si="115"/>
        <v/>
      </c>
      <c r="G800" s="57" t="str">
        <f t="shared" si="116"/>
        <v/>
      </c>
      <c r="H800" s="57" t="str">
        <f t="shared" si="114"/>
        <v/>
      </c>
      <c r="I800" s="58" t="str">
        <f t="shared" si="119"/>
        <v/>
      </c>
      <c r="J800" s="58" t="str">
        <f t="shared" si="117"/>
        <v/>
      </c>
      <c r="K800" s="58" t="str">
        <f t="shared" si="120"/>
        <v/>
      </c>
      <c r="L800" s="58" t="str">
        <f t="shared" si="121"/>
        <v/>
      </c>
      <c r="M800" s="58" t="str">
        <f t="shared" si="122"/>
        <v/>
      </c>
      <c r="N800" s="59" t="str">
        <f t="shared" si="118"/>
        <v/>
      </c>
      <c r="O800" s="60"/>
      <c r="P800" s="105"/>
    </row>
    <row r="801" spans="1:16" x14ac:dyDescent="0.3">
      <c r="A801" s="54" t="str">
        <f>IF([2]weekly_demand!A802="","",[2]weekly_demand!A802)</f>
        <v/>
      </c>
      <c r="B801" s="55" t="str">
        <f>IF($A801="","",[2]weekly_demand!F802)</f>
        <v/>
      </c>
      <c r="C801" s="56" t="str">
        <f>IF($A801="","",[2]weekly_demand!H802)</f>
        <v/>
      </c>
      <c r="D801" s="57" t="str">
        <f>IF($A801="","",IF(SUMIFS([2]Fixture_Capacity_Input!$C:$C,[2]Fixture_Capacity_Input!$A:$A,$B801,[2]Fixture_Capacity_Input!$B:$B,$C801)&gt;0,SUMIFS([2]Fixture_Capacity_Input!$C:$C,[2]Fixture_Capacity_Input!$A:$A,$B801,[2]Fixture_Capacity_Input!$B:$B,$C801),[2]weekly_demand!G802))</f>
        <v/>
      </c>
      <c r="E801" s="58" t="str">
        <f>IF($A801="","",[2]weekly_demand!I802)</f>
        <v/>
      </c>
      <c r="F801" s="57" t="str">
        <f t="shared" si="115"/>
        <v/>
      </c>
      <c r="G801" s="57" t="str">
        <f t="shared" si="116"/>
        <v/>
      </c>
      <c r="H801" s="57" t="str">
        <f t="shared" si="114"/>
        <v/>
      </c>
      <c r="I801" s="58" t="str">
        <f t="shared" si="119"/>
        <v/>
      </c>
      <c r="J801" s="58" t="str">
        <f t="shared" si="117"/>
        <v/>
      </c>
      <c r="K801" s="58" t="str">
        <f t="shared" si="120"/>
        <v/>
      </c>
      <c r="L801" s="58" t="str">
        <f t="shared" si="121"/>
        <v/>
      </c>
      <c r="M801" s="58" t="str">
        <f t="shared" si="122"/>
        <v/>
      </c>
      <c r="N801" s="59" t="str">
        <f t="shared" si="118"/>
        <v/>
      </c>
      <c r="O801" s="60"/>
      <c r="P801" s="105"/>
    </row>
    <row r="802" spans="1:16" x14ac:dyDescent="0.3">
      <c r="A802" s="54" t="str">
        <f>IF([2]weekly_demand!A803="","",[2]weekly_demand!A803)</f>
        <v/>
      </c>
      <c r="B802" s="55" t="str">
        <f>IF($A802="","",[2]weekly_demand!F803)</f>
        <v/>
      </c>
      <c r="C802" s="56" t="str">
        <f>IF($A802="","",[2]weekly_demand!H803)</f>
        <v/>
      </c>
      <c r="D802" s="57" t="str">
        <f>IF($A802="","",IF(SUMIFS([2]Fixture_Capacity_Input!$C:$C,[2]Fixture_Capacity_Input!$A:$A,$B802,[2]Fixture_Capacity_Input!$B:$B,$C802)&gt;0,SUMIFS([2]Fixture_Capacity_Input!$C:$C,[2]Fixture_Capacity_Input!$A:$A,$B802,[2]Fixture_Capacity_Input!$B:$B,$C802),[2]weekly_demand!G803))</f>
        <v/>
      </c>
      <c r="E802" s="58" t="str">
        <f>IF($A802="","",[2]weekly_demand!I803)</f>
        <v/>
      </c>
      <c r="F802" s="57" t="str">
        <f t="shared" si="115"/>
        <v/>
      </c>
      <c r="G802" s="57" t="str">
        <f t="shared" si="116"/>
        <v/>
      </c>
      <c r="H802" s="57" t="str">
        <f t="shared" si="114"/>
        <v/>
      </c>
      <c r="I802" s="58" t="str">
        <f t="shared" si="119"/>
        <v/>
      </c>
      <c r="J802" s="58" t="str">
        <f t="shared" si="117"/>
        <v/>
      </c>
      <c r="K802" s="58" t="str">
        <f t="shared" si="120"/>
        <v/>
      </c>
      <c r="L802" s="58" t="str">
        <f t="shared" si="121"/>
        <v/>
      </c>
      <c r="M802" s="58" t="str">
        <f t="shared" si="122"/>
        <v/>
      </c>
      <c r="N802" s="59" t="str">
        <f t="shared" si="118"/>
        <v/>
      </c>
      <c r="O802" s="60"/>
      <c r="P802" s="105"/>
    </row>
    <row r="803" spans="1:16" x14ac:dyDescent="0.3">
      <c r="A803" s="54" t="str">
        <f>IF([2]weekly_demand!A804="","",[2]weekly_demand!A804)</f>
        <v/>
      </c>
      <c r="B803" s="55" t="str">
        <f>IF($A803="","",[2]weekly_demand!F804)</f>
        <v/>
      </c>
      <c r="C803" s="56" t="str">
        <f>IF($A803="","",[2]weekly_demand!H804)</f>
        <v/>
      </c>
      <c r="D803" s="57" t="str">
        <f>IF($A803="","",IF(SUMIFS([2]Fixture_Capacity_Input!$C:$C,[2]Fixture_Capacity_Input!$A:$A,$B803,[2]Fixture_Capacity_Input!$B:$B,$C803)&gt;0,SUMIFS([2]Fixture_Capacity_Input!$C:$C,[2]Fixture_Capacity_Input!$A:$A,$B803,[2]Fixture_Capacity_Input!$B:$B,$C803),[2]weekly_demand!G804))</f>
        <v/>
      </c>
      <c r="E803" s="58" t="str">
        <f>IF($A803="","",[2]weekly_demand!I804)</f>
        <v/>
      </c>
      <c r="F803" s="57" t="str">
        <f t="shared" si="115"/>
        <v/>
      </c>
      <c r="G803" s="57" t="str">
        <f t="shared" si="116"/>
        <v/>
      </c>
      <c r="H803" s="57" t="str">
        <f t="shared" si="114"/>
        <v/>
      </c>
      <c r="I803" s="58" t="str">
        <f t="shared" si="119"/>
        <v/>
      </c>
      <c r="J803" s="58" t="str">
        <f t="shared" si="117"/>
        <v/>
      </c>
      <c r="K803" s="58" t="str">
        <f t="shared" si="120"/>
        <v/>
      </c>
      <c r="L803" s="58" t="str">
        <f t="shared" si="121"/>
        <v/>
      </c>
      <c r="M803" s="58" t="str">
        <f t="shared" si="122"/>
        <v/>
      </c>
      <c r="N803" s="59" t="str">
        <f t="shared" si="118"/>
        <v/>
      </c>
      <c r="O803" s="60"/>
      <c r="P803" s="105"/>
    </row>
    <row r="804" spans="1:16" x14ac:dyDescent="0.3">
      <c r="A804" s="54" t="str">
        <f>IF([2]weekly_demand!A805="","",[2]weekly_demand!A805)</f>
        <v/>
      </c>
      <c r="B804" s="55" t="str">
        <f>IF($A804="","",[2]weekly_demand!F805)</f>
        <v/>
      </c>
      <c r="C804" s="56" t="str">
        <f>IF($A804="","",[2]weekly_demand!H805)</f>
        <v/>
      </c>
      <c r="D804" s="57" t="str">
        <f>IF($A804="","",IF(SUMIFS([2]Fixture_Capacity_Input!$C:$C,[2]Fixture_Capacity_Input!$A:$A,$B804,[2]Fixture_Capacity_Input!$B:$B,$C804)&gt;0,SUMIFS([2]Fixture_Capacity_Input!$C:$C,[2]Fixture_Capacity_Input!$A:$A,$B804,[2]Fixture_Capacity_Input!$B:$B,$C804),[2]weekly_demand!G805))</f>
        <v/>
      </c>
      <c r="E804" s="58" t="str">
        <f>IF($A804="","",[2]weekly_demand!I805)</f>
        <v/>
      </c>
      <c r="F804" s="57" t="str">
        <f t="shared" si="115"/>
        <v/>
      </c>
      <c r="G804" s="57" t="str">
        <f t="shared" si="116"/>
        <v/>
      </c>
      <c r="H804" s="57" t="str">
        <f t="shared" si="114"/>
        <v/>
      </c>
      <c r="I804" s="58" t="str">
        <f t="shared" si="119"/>
        <v/>
      </c>
      <c r="J804" s="58" t="str">
        <f t="shared" si="117"/>
        <v/>
      </c>
      <c r="K804" s="58" t="str">
        <f t="shared" si="120"/>
        <v/>
      </c>
      <c r="L804" s="58" t="str">
        <f t="shared" si="121"/>
        <v/>
      </c>
      <c r="M804" s="58" t="str">
        <f t="shared" si="122"/>
        <v/>
      </c>
      <c r="N804" s="59" t="str">
        <f t="shared" si="118"/>
        <v/>
      </c>
      <c r="O804" s="60"/>
      <c r="P804" s="105"/>
    </row>
    <row r="805" spans="1:16" x14ac:dyDescent="0.3">
      <c r="A805" s="54" t="str">
        <f>IF([2]weekly_demand!A806="","",[2]weekly_demand!A806)</f>
        <v/>
      </c>
      <c r="B805" s="55" t="str">
        <f>IF($A805="","",[2]weekly_demand!F806)</f>
        <v/>
      </c>
      <c r="C805" s="56" t="str">
        <f>IF($A805="","",[2]weekly_demand!H806)</f>
        <v/>
      </c>
      <c r="D805" s="57" t="str">
        <f>IF($A805="","",IF(SUMIFS([2]Fixture_Capacity_Input!$C:$C,[2]Fixture_Capacity_Input!$A:$A,$B805,[2]Fixture_Capacity_Input!$B:$B,$C805)&gt;0,SUMIFS([2]Fixture_Capacity_Input!$C:$C,[2]Fixture_Capacity_Input!$A:$A,$B805,[2]Fixture_Capacity_Input!$B:$B,$C805),[2]weekly_demand!G806))</f>
        <v/>
      </c>
      <c r="E805" s="58" t="str">
        <f>IF($A805="","",[2]weekly_demand!I806)</f>
        <v/>
      </c>
      <c r="F805" s="57" t="str">
        <f t="shared" si="115"/>
        <v/>
      </c>
      <c r="G805" s="57" t="str">
        <f t="shared" si="116"/>
        <v/>
      </c>
      <c r="H805" s="57" t="str">
        <f t="shared" si="114"/>
        <v/>
      </c>
      <c r="I805" s="58" t="str">
        <f t="shared" si="119"/>
        <v/>
      </c>
      <c r="J805" s="58" t="str">
        <f t="shared" si="117"/>
        <v/>
      </c>
      <c r="K805" s="58" t="str">
        <f t="shared" si="120"/>
        <v/>
      </c>
      <c r="L805" s="58" t="str">
        <f t="shared" si="121"/>
        <v/>
      </c>
      <c r="M805" s="58" t="str">
        <f t="shared" si="122"/>
        <v/>
      </c>
      <c r="N805" s="59" t="str">
        <f t="shared" si="118"/>
        <v/>
      </c>
      <c r="O805" s="60"/>
      <c r="P805" s="105"/>
    </row>
    <row r="806" spans="1:16" x14ac:dyDescent="0.3">
      <c r="A806" s="54" t="str">
        <f>IF([2]weekly_demand!A807="","",[2]weekly_demand!A807)</f>
        <v/>
      </c>
      <c r="B806" s="55" t="str">
        <f>IF($A806="","",[2]weekly_demand!F807)</f>
        <v/>
      </c>
      <c r="C806" s="56" t="str">
        <f>IF($A806="","",[2]weekly_demand!H807)</f>
        <v/>
      </c>
      <c r="D806" s="57" t="str">
        <f>IF($A806="","",IF(SUMIFS([2]Fixture_Capacity_Input!$C:$C,[2]Fixture_Capacity_Input!$A:$A,$B806,[2]Fixture_Capacity_Input!$B:$B,$C806)&gt;0,SUMIFS([2]Fixture_Capacity_Input!$C:$C,[2]Fixture_Capacity_Input!$A:$A,$B806,[2]Fixture_Capacity_Input!$B:$B,$C806),[2]weekly_demand!G807))</f>
        <v/>
      </c>
      <c r="E806" s="58" t="str">
        <f>IF($A806="","",[2]weekly_demand!I807)</f>
        <v/>
      </c>
      <c r="F806" s="57" t="str">
        <f t="shared" si="115"/>
        <v/>
      </c>
      <c r="G806" s="57" t="str">
        <f t="shared" si="116"/>
        <v/>
      </c>
      <c r="H806" s="57" t="str">
        <f t="shared" si="114"/>
        <v/>
      </c>
      <c r="I806" s="58" t="str">
        <f t="shared" si="119"/>
        <v/>
      </c>
      <c r="J806" s="58" t="str">
        <f t="shared" si="117"/>
        <v/>
      </c>
      <c r="K806" s="58" t="str">
        <f t="shared" si="120"/>
        <v/>
      </c>
      <c r="L806" s="58" t="str">
        <f t="shared" si="121"/>
        <v/>
      </c>
      <c r="M806" s="58" t="str">
        <f t="shared" si="122"/>
        <v/>
      </c>
      <c r="N806" s="59" t="str">
        <f t="shared" si="118"/>
        <v/>
      </c>
      <c r="O806" s="60"/>
      <c r="P806" s="105"/>
    </row>
    <row r="807" spans="1:16" x14ac:dyDescent="0.3">
      <c r="A807" s="54" t="str">
        <f>IF([2]weekly_demand!A808="","",[2]weekly_demand!A808)</f>
        <v/>
      </c>
      <c r="B807" s="55" t="str">
        <f>IF($A807="","",[2]weekly_demand!F808)</f>
        <v/>
      </c>
      <c r="C807" s="56" t="str">
        <f>IF($A807="","",[2]weekly_demand!H808)</f>
        <v/>
      </c>
      <c r="D807" s="57" t="str">
        <f>IF($A807="","",IF(SUMIFS([2]Fixture_Capacity_Input!$C:$C,[2]Fixture_Capacity_Input!$A:$A,$B807,[2]Fixture_Capacity_Input!$B:$B,$C807)&gt;0,SUMIFS([2]Fixture_Capacity_Input!$C:$C,[2]Fixture_Capacity_Input!$A:$A,$B807,[2]Fixture_Capacity_Input!$B:$B,$C807),[2]weekly_demand!G808))</f>
        <v/>
      </c>
      <c r="E807" s="58" t="str">
        <f>IF($A807="","",[2]weekly_demand!I808)</f>
        <v/>
      </c>
      <c r="F807" s="57" t="str">
        <f t="shared" si="115"/>
        <v/>
      </c>
      <c r="G807" s="57" t="str">
        <f t="shared" si="116"/>
        <v/>
      </c>
      <c r="H807" s="57" t="str">
        <f t="shared" si="114"/>
        <v/>
      </c>
      <c r="I807" s="58" t="str">
        <f t="shared" si="119"/>
        <v/>
      </c>
      <c r="J807" s="58" t="str">
        <f t="shared" si="117"/>
        <v/>
      </c>
      <c r="K807" s="58" t="str">
        <f t="shared" si="120"/>
        <v/>
      </c>
      <c r="L807" s="58" t="str">
        <f t="shared" si="121"/>
        <v/>
      </c>
      <c r="M807" s="58" t="str">
        <f t="shared" si="122"/>
        <v/>
      </c>
      <c r="N807" s="59" t="str">
        <f t="shared" si="118"/>
        <v/>
      </c>
      <c r="O807" s="60"/>
      <c r="P807" s="105"/>
    </row>
    <row r="808" spans="1:16" x14ac:dyDescent="0.3">
      <c r="A808" s="54" t="str">
        <f>IF([2]weekly_demand!A809="","",[2]weekly_demand!A809)</f>
        <v/>
      </c>
      <c r="B808" s="55" t="str">
        <f>IF($A808="","",[2]weekly_demand!F809)</f>
        <v/>
      </c>
      <c r="C808" s="56" t="str">
        <f>IF($A808="","",[2]weekly_demand!H809)</f>
        <v/>
      </c>
      <c r="D808" s="57" t="str">
        <f>IF($A808="","",IF(SUMIFS([2]Fixture_Capacity_Input!$C:$C,[2]Fixture_Capacity_Input!$A:$A,$B808,[2]Fixture_Capacity_Input!$B:$B,$C808)&gt;0,SUMIFS([2]Fixture_Capacity_Input!$C:$C,[2]Fixture_Capacity_Input!$A:$A,$B808,[2]Fixture_Capacity_Input!$B:$B,$C808),[2]weekly_demand!G809))</f>
        <v/>
      </c>
      <c r="E808" s="58" t="str">
        <f>IF($A808="","",[2]weekly_demand!I809)</f>
        <v/>
      </c>
      <c r="F808" s="57" t="str">
        <f t="shared" si="115"/>
        <v/>
      </c>
      <c r="G808" s="57" t="str">
        <f t="shared" si="116"/>
        <v/>
      </c>
      <c r="H808" s="57" t="str">
        <f t="shared" si="114"/>
        <v/>
      </c>
      <c r="I808" s="58" t="str">
        <f t="shared" si="119"/>
        <v/>
      </c>
      <c r="J808" s="58" t="str">
        <f t="shared" si="117"/>
        <v/>
      </c>
      <c r="K808" s="58" t="str">
        <f t="shared" si="120"/>
        <v/>
      </c>
      <c r="L808" s="58" t="str">
        <f t="shared" si="121"/>
        <v/>
      </c>
      <c r="M808" s="58" t="str">
        <f t="shared" si="122"/>
        <v/>
      </c>
      <c r="N808" s="59" t="str">
        <f t="shared" si="118"/>
        <v/>
      </c>
      <c r="O808" s="60"/>
      <c r="P808" s="105"/>
    </row>
    <row r="809" spans="1:16" x14ac:dyDescent="0.3">
      <c r="A809" s="54" t="str">
        <f>IF([2]weekly_demand!A810="","",[2]weekly_demand!A810)</f>
        <v/>
      </c>
      <c r="B809" s="55" t="str">
        <f>IF($A809="","",[2]weekly_demand!F810)</f>
        <v/>
      </c>
      <c r="C809" s="56" t="str">
        <f>IF($A809="","",[2]weekly_demand!H810)</f>
        <v/>
      </c>
      <c r="D809" s="57" t="str">
        <f>IF($A809="","",IF(SUMIFS([2]Fixture_Capacity_Input!$C:$C,[2]Fixture_Capacity_Input!$A:$A,$B809,[2]Fixture_Capacity_Input!$B:$B,$C809)&gt;0,SUMIFS([2]Fixture_Capacity_Input!$C:$C,[2]Fixture_Capacity_Input!$A:$A,$B809,[2]Fixture_Capacity_Input!$B:$B,$C809),[2]weekly_demand!G810))</f>
        <v/>
      </c>
      <c r="E809" s="58" t="str">
        <f>IF($A809="","",[2]weekly_demand!I810)</f>
        <v/>
      </c>
      <c r="F809" s="57" t="str">
        <f t="shared" si="115"/>
        <v/>
      </c>
      <c r="G809" s="57" t="str">
        <f t="shared" si="116"/>
        <v/>
      </c>
      <c r="H809" s="57" t="str">
        <f t="shared" si="114"/>
        <v/>
      </c>
      <c r="I809" s="58" t="str">
        <f t="shared" si="119"/>
        <v/>
      </c>
      <c r="J809" s="58" t="str">
        <f t="shared" si="117"/>
        <v/>
      </c>
      <c r="K809" s="58" t="str">
        <f t="shared" si="120"/>
        <v/>
      </c>
      <c r="L809" s="58" t="str">
        <f t="shared" si="121"/>
        <v/>
      </c>
      <c r="M809" s="58" t="str">
        <f t="shared" si="122"/>
        <v/>
      </c>
      <c r="N809" s="59" t="str">
        <f t="shared" si="118"/>
        <v/>
      </c>
      <c r="O809" s="60"/>
      <c r="P809" s="105"/>
    </row>
    <row r="810" spans="1:16" x14ac:dyDescent="0.3">
      <c r="A810" s="54" t="str">
        <f>IF([2]weekly_demand!A811="","",[2]weekly_demand!A811)</f>
        <v/>
      </c>
      <c r="B810" s="55" t="str">
        <f>IF($A810="","",[2]weekly_demand!F811)</f>
        <v/>
      </c>
      <c r="C810" s="56" t="str">
        <f>IF($A810="","",[2]weekly_demand!H811)</f>
        <v/>
      </c>
      <c r="D810" s="57" t="str">
        <f>IF($A810="","",IF(SUMIFS([2]Fixture_Capacity_Input!$C:$C,[2]Fixture_Capacity_Input!$A:$A,$B810,[2]Fixture_Capacity_Input!$B:$B,$C810)&gt;0,SUMIFS([2]Fixture_Capacity_Input!$C:$C,[2]Fixture_Capacity_Input!$A:$A,$B810,[2]Fixture_Capacity_Input!$B:$B,$C810),[2]weekly_demand!G811))</f>
        <v/>
      </c>
      <c r="E810" s="58" t="str">
        <f>IF($A810="","",[2]weekly_demand!I811)</f>
        <v/>
      </c>
      <c r="F810" s="57" t="str">
        <f t="shared" si="115"/>
        <v/>
      </c>
      <c r="G810" s="57" t="str">
        <f t="shared" si="116"/>
        <v/>
      </c>
      <c r="H810" s="57" t="str">
        <f t="shared" si="114"/>
        <v/>
      </c>
      <c r="I810" s="58" t="str">
        <f t="shared" si="119"/>
        <v/>
      </c>
      <c r="J810" s="58" t="str">
        <f t="shared" si="117"/>
        <v/>
      </c>
      <c r="K810" s="58" t="str">
        <f t="shared" si="120"/>
        <v/>
      </c>
      <c r="L810" s="58" t="str">
        <f t="shared" si="121"/>
        <v/>
      </c>
      <c r="M810" s="58" t="str">
        <f t="shared" si="122"/>
        <v/>
      </c>
      <c r="N810" s="59" t="str">
        <f t="shared" si="118"/>
        <v/>
      </c>
      <c r="O810" s="60"/>
      <c r="P810" s="105"/>
    </row>
    <row r="811" spans="1:16" x14ac:dyDescent="0.3">
      <c r="A811" s="54" t="str">
        <f>IF([2]weekly_demand!A812="","",[2]weekly_demand!A812)</f>
        <v/>
      </c>
      <c r="B811" s="55" t="str">
        <f>IF($A811="","",[2]weekly_demand!F812)</f>
        <v/>
      </c>
      <c r="C811" s="56" t="str">
        <f>IF($A811="","",[2]weekly_demand!H812)</f>
        <v/>
      </c>
      <c r="D811" s="57" t="str">
        <f>IF($A811="","",IF(SUMIFS([2]Fixture_Capacity_Input!$C:$C,[2]Fixture_Capacity_Input!$A:$A,$B811,[2]Fixture_Capacity_Input!$B:$B,$C811)&gt;0,SUMIFS([2]Fixture_Capacity_Input!$C:$C,[2]Fixture_Capacity_Input!$A:$A,$B811,[2]Fixture_Capacity_Input!$B:$B,$C811),[2]weekly_demand!G812))</f>
        <v/>
      </c>
      <c r="E811" s="58" t="str">
        <f>IF($A811="","",[2]weekly_demand!I812)</f>
        <v/>
      </c>
      <c r="F811" s="57" t="str">
        <f t="shared" si="115"/>
        <v/>
      </c>
      <c r="G811" s="57" t="str">
        <f t="shared" si="116"/>
        <v/>
      </c>
      <c r="H811" s="57" t="str">
        <f t="shared" si="114"/>
        <v/>
      </c>
      <c r="I811" s="58" t="str">
        <f t="shared" si="119"/>
        <v/>
      </c>
      <c r="J811" s="58" t="str">
        <f t="shared" si="117"/>
        <v/>
      </c>
      <c r="K811" s="58" t="str">
        <f t="shared" si="120"/>
        <v/>
      </c>
      <c r="L811" s="58" t="str">
        <f t="shared" si="121"/>
        <v/>
      </c>
      <c r="M811" s="58" t="str">
        <f t="shared" si="122"/>
        <v/>
      </c>
      <c r="N811" s="59" t="str">
        <f t="shared" si="118"/>
        <v/>
      </c>
      <c r="O811" s="60"/>
      <c r="P811" s="105"/>
    </row>
    <row r="812" spans="1:16" x14ac:dyDescent="0.3">
      <c r="A812" s="54" t="str">
        <f>IF([2]weekly_demand!A813="","",[2]weekly_demand!A813)</f>
        <v/>
      </c>
      <c r="B812" s="55" t="str">
        <f>IF($A812="","",[2]weekly_demand!F813)</f>
        <v/>
      </c>
      <c r="C812" s="56" t="str">
        <f>IF($A812="","",[2]weekly_demand!H813)</f>
        <v/>
      </c>
      <c r="D812" s="57" t="str">
        <f>IF($A812="","",IF(SUMIFS([2]Fixture_Capacity_Input!$C:$C,[2]Fixture_Capacity_Input!$A:$A,$B812,[2]Fixture_Capacity_Input!$B:$B,$C812)&gt;0,SUMIFS([2]Fixture_Capacity_Input!$C:$C,[2]Fixture_Capacity_Input!$A:$A,$B812,[2]Fixture_Capacity_Input!$B:$B,$C812),[2]weekly_demand!G813))</f>
        <v/>
      </c>
      <c r="E812" s="58" t="str">
        <f>IF($A812="","",[2]weekly_demand!I813)</f>
        <v/>
      </c>
      <c r="F812" s="57" t="str">
        <f t="shared" si="115"/>
        <v/>
      </c>
      <c r="G812" s="57" t="str">
        <f t="shared" si="116"/>
        <v/>
      </c>
      <c r="H812" s="57" t="str">
        <f t="shared" si="114"/>
        <v/>
      </c>
      <c r="I812" s="58" t="str">
        <f t="shared" si="119"/>
        <v/>
      </c>
      <c r="J812" s="58" t="str">
        <f t="shared" si="117"/>
        <v/>
      </c>
      <c r="K812" s="58" t="str">
        <f t="shared" si="120"/>
        <v/>
      </c>
      <c r="L812" s="58" t="str">
        <f t="shared" si="121"/>
        <v/>
      </c>
      <c r="M812" s="58" t="str">
        <f t="shared" si="122"/>
        <v/>
      </c>
      <c r="N812" s="59" t="str">
        <f t="shared" si="118"/>
        <v/>
      </c>
      <c r="O812" s="60"/>
      <c r="P812" s="105"/>
    </row>
    <row r="813" spans="1:16" x14ac:dyDescent="0.3">
      <c r="A813" s="54" t="str">
        <f>IF([2]weekly_demand!A814="","",[2]weekly_demand!A814)</f>
        <v/>
      </c>
      <c r="B813" s="55" t="str">
        <f>IF($A813="","",[2]weekly_demand!F814)</f>
        <v/>
      </c>
      <c r="C813" s="56" t="str">
        <f>IF($A813="","",[2]weekly_demand!H814)</f>
        <v/>
      </c>
      <c r="D813" s="57" t="str">
        <f>IF($A813="","",IF(SUMIFS([2]Fixture_Capacity_Input!$C:$C,[2]Fixture_Capacity_Input!$A:$A,$B813,[2]Fixture_Capacity_Input!$B:$B,$C813)&gt;0,SUMIFS([2]Fixture_Capacity_Input!$C:$C,[2]Fixture_Capacity_Input!$A:$A,$B813,[2]Fixture_Capacity_Input!$B:$B,$C813),[2]weekly_demand!G814))</f>
        <v/>
      </c>
      <c r="E813" s="58" t="str">
        <f>IF($A813="","",[2]weekly_demand!I814)</f>
        <v/>
      </c>
      <c r="F813" s="57" t="str">
        <f t="shared" si="115"/>
        <v/>
      </c>
      <c r="G813" s="57" t="str">
        <f t="shared" si="116"/>
        <v/>
      </c>
      <c r="H813" s="57" t="str">
        <f t="shared" si="114"/>
        <v/>
      </c>
      <c r="I813" s="58" t="str">
        <f t="shared" si="119"/>
        <v/>
      </c>
      <c r="J813" s="58" t="str">
        <f t="shared" si="117"/>
        <v/>
      </c>
      <c r="K813" s="58" t="str">
        <f t="shared" si="120"/>
        <v/>
      </c>
      <c r="L813" s="58" t="str">
        <f t="shared" si="121"/>
        <v/>
      </c>
      <c r="M813" s="58" t="str">
        <f t="shared" si="122"/>
        <v/>
      </c>
      <c r="N813" s="59" t="str">
        <f t="shared" si="118"/>
        <v/>
      </c>
      <c r="O813" s="60"/>
      <c r="P813" s="105"/>
    </row>
    <row r="814" spans="1:16" x14ac:dyDescent="0.3">
      <c r="A814" s="54" t="str">
        <f>IF([2]weekly_demand!A815="","",[2]weekly_demand!A815)</f>
        <v/>
      </c>
      <c r="B814" s="55" t="str">
        <f>IF($A814="","",[2]weekly_demand!F815)</f>
        <v/>
      </c>
      <c r="C814" s="56" t="str">
        <f>IF($A814="","",[2]weekly_demand!H815)</f>
        <v/>
      </c>
      <c r="D814" s="57" t="str">
        <f>IF($A814="","",IF(SUMIFS([2]Fixture_Capacity_Input!$C:$C,[2]Fixture_Capacity_Input!$A:$A,$B814,[2]Fixture_Capacity_Input!$B:$B,$C814)&gt;0,SUMIFS([2]Fixture_Capacity_Input!$C:$C,[2]Fixture_Capacity_Input!$A:$A,$B814,[2]Fixture_Capacity_Input!$B:$B,$C814),[2]weekly_demand!G815))</f>
        <v/>
      </c>
      <c r="E814" s="58" t="str">
        <f>IF($A814="","",[2]weekly_demand!I815)</f>
        <v/>
      </c>
      <c r="F814" s="57" t="str">
        <f t="shared" si="115"/>
        <v/>
      </c>
      <c r="G814" s="57" t="str">
        <f t="shared" si="116"/>
        <v/>
      </c>
      <c r="H814" s="57" t="str">
        <f t="shared" si="114"/>
        <v/>
      </c>
      <c r="I814" s="58" t="str">
        <f t="shared" si="119"/>
        <v/>
      </c>
      <c r="J814" s="58" t="str">
        <f t="shared" si="117"/>
        <v/>
      </c>
      <c r="K814" s="58" t="str">
        <f t="shared" si="120"/>
        <v/>
      </c>
      <c r="L814" s="58" t="str">
        <f t="shared" si="121"/>
        <v/>
      </c>
      <c r="M814" s="58" t="str">
        <f t="shared" si="122"/>
        <v/>
      </c>
      <c r="N814" s="59" t="str">
        <f t="shared" si="118"/>
        <v/>
      </c>
      <c r="O814" s="60"/>
      <c r="P814" s="105"/>
    </row>
    <row r="815" spans="1:16" x14ac:dyDescent="0.3">
      <c r="A815" s="54" t="str">
        <f>IF([2]weekly_demand!A816="","",[2]weekly_demand!A816)</f>
        <v/>
      </c>
      <c r="B815" s="55" t="str">
        <f>IF($A815="","",[2]weekly_demand!F816)</f>
        <v/>
      </c>
      <c r="C815" s="56" t="str">
        <f>IF($A815="","",[2]weekly_demand!H816)</f>
        <v/>
      </c>
      <c r="D815" s="57" t="str">
        <f>IF($A815="","",IF(SUMIFS([2]Fixture_Capacity_Input!$C:$C,[2]Fixture_Capacity_Input!$A:$A,$B815,[2]Fixture_Capacity_Input!$B:$B,$C815)&gt;0,SUMIFS([2]Fixture_Capacity_Input!$C:$C,[2]Fixture_Capacity_Input!$A:$A,$B815,[2]Fixture_Capacity_Input!$B:$B,$C815),[2]weekly_demand!G816))</f>
        <v/>
      </c>
      <c r="E815" s="58" t="str">
        <f>IF($A815="","",[2]weekly_demand!I816)</f>
        <v/>
      </c>
      <c r="F815" s="57" t="str">
        <f t="shared" si="115"/>
        <v/>
      </c>
      <c r="G815" s="57" t="str">
        <f t="shared" si="116"/>
        <v/>
      </c>
      <c r="H815" s="57" t="str">
        <f t="shared" si="114"/>
        <v/>
      </c>
      <c r="I815" s="58" t="str">
        <f t="shared" si="119"/>
        <v/>
      </c>
      <c r="J815" s="58" t="str">
        <f t="shared" si="117"/>
        <v/>
      </c>
      <c r="K815" s="58" t="str">
        <f t="shared" si="120"/>
        <v/>
      </c>
      <c r="L815" s="58" t="str">
        <f t="shared" si="121"/>
        <v/>
      </c>
      <c r="M815" s="58" t="str">
        <f t="shared" si="122"/>
        <v/>
      </c>
      <c r="N815" s="59" t="str">
        <f t="shared" si="118"/>
        <v/>
      </c>
      <c r="O815" s="60"/>
      <c r="P815" s="105"/>
    </row>
    <row r="816" spans="1:16" x14ac:dyDescent="0.3">
      <c r="A816" s="54" t="str">
        <f>IF([2]weekly_demand!A817="","",[2]weekly_demand!A817)</f>
        <v/>
      </c>
      <c r="B816" s="55" t="str">
        <f>IF($A816="","",[2]weekly_demand!F817)</f>
        <v/>
      </c>
      <c r="C816" s="56" t="str">
        <f>IF($A816="","",[2]weekly_demand!H817)</f>
        <v/>
      </c>
      <c r="D816" s="57" t="str">
        <f>IF($A816="","",IF(SUMIFS([2]Fixture_Capacity_Input!$C:$C,[2]Fixture_Capacity_Input!$A:$A,$B816,[2]Fixture_Capacity_Input!$B:$B,$C816)&gt;0,SUMIFS([2]Fixture_Capacity_Input!$C:$C,[2]Fixture_Capacity_Input!$A:$A,$B816,[2]Fixture_Capacity_Input!$B:$B,$C816),[2]weekly_demand!G817))</f>
        <v/>
      </c>
      <c r="E816" s="58" t="str">
        <f>IF($A816="","",[2]weekly_demand!I817)</f>
        <v/>
      </c>
      <c r="F816" s="57" t="str">
        <f t="shared" si="115"/>
        <v/>
      </c>
      <c r="G816" s="57" t="str">
        <f t="shared" si="116"/>
        <v/>
      </c>
      <c r="H816" s="57" t="str">
        <f t="shared" si="114"/>
        <v/>
      </c>
      <c r="I816" s="58" t="str">
        <f t="shared" si="119"/>
        <v/>
      </c>
      <c r="J816" s="58" t="str">
        <f t="shared" si="117"/>
        <v/>
      </c>
      <c r="K816" s="58" t="str">
        <f t="shared" si="120"/>
        <v/>
      </c>
      <c r="L816" s="58" t="str">
        <f t="shared" si="121"/>
        <v/>
      </c>
      <c r="M816" s="58" t="str">
        <f t="shared" si="122"/>
        <v/>
      </c>
      <c r="N816" s="59" t="str">
        <f t="shared" si="118"/>
        <v/>
      </c>
      <c r="O816" s="60"/>
      <c r="P816" s="105"/>
    </row>
    <row r="817" spans="1:16" x14ac:dyDescent="0.3">
      <c r="A817" s="54" t="str">
        <f>IF([2]weekly_demand!A818="","",[2]weekly_demand!A818)</f>
        <v/>
      </c>
      <c r="B817" s="55" t="str">
        <f>IF($A817="","",[2]weekly_demand!F818)</f>
        <v/>
      </c>
      <c r="C817" s="56" t="str">
        <f>IF($A817="","",[2]weekly_demand!H818)</f>
        <v/>
      </c>
      <c r="D817" s="57" t="str">
        <f>IF($A817="","",IF(SUMIFS([2]Fixture_Capacity_Input!$C:$C,[2]Fixture_Capacity_Input!$A:$A,$B817,[2]Fixture_Capacity_Input!$B:$B,$C817)&gt;0,SUMIFS([2]Fixture_Capacity_Input!$C:$C,[2]Fixture_Capacity_Input!$A:$A,$B817,[2]Fixture_Capacity_Input!$B:$B,$C817),[2]weekly_demand!G818))</f>
        <v/>
      </c>
      <c r="E817" s="58" t="str">
        <f>IF($A817="","",[2]weekly_demand!I818)</f>
        <v/>
      </c>
      <c r="F817" s="57" t="str">
        <f t="shared" si="115"/>
        <v/>
      </c>
      <c r="G817" s="57" t="str">
        <f t="shared" si="116"/>
        <v/>
      </c>
      <c r="H817" s="57" t="str">
        <f t="shared" si="114"/>
        <v/>
      </c>
      <c r="I817" s="58" t="str">
        <f t="shared" si="119"/>
        <v/>
      </c>
      <c r="J817" s="58" t="str">
        <f t="shared" si="117"/>
        <v/>
      </c>
      <c r="K817" s="58" t="str">
        <f t="shared" si="120"/>
        <v/>
      </c>
      <c r="L817" s="58" t="str">
        <f t="shared" si="121"/>
        <v/>
      </c>
      <c r="M817" s="58" t="str">
        <f t="shared" si="122"/>
        <v/>
      </c>
      <c r="N817" s="59" t="str">
        <f t="shared" si="118"/>
        <v/>
      </c>
      <c r="O817" s="60"/>
      <c r="P817" s="105"/>
    </row>
    <row r="818" spans="1:16" x14ac:dyDescent="0.3">
      <c r="A818" s="54" t="str">
        <f>IF([2]weekly_demand!A819="","",[2]weekly_demand!A819)</f>
        <v/>
      </c>
      <c r="B818" s="55" t="str">
        <f>IF($A818="","",[2]weekly_demand!F819)</f>
        <v/>
      </c>
      <c r="C818" s="56" t="str">
        <f>IF($A818="","",[2]weekly_demand!H819)</f>
        <v/>
      </c>
      <c r="D818" s="57" t="str">
        <f>IF($A818="","",IF(SUMIFS([2]Fixture_Capacity_Input!$C:$C,[2]Fixture_Capacity_Input!$A:$A,$B818,[2]Fixture_Capacity_Input!$B:$B,$C818)&gt;0,SUMIFS([2]Fixture_Capacity_Input!$C:$C,[2]Fixture_Capacity_Input!$A:$A,$B818,[2]Fixture_Capacity_Input!$B:$B,$C818),[2]weekly_demand!G819))</f>
        <v/>
      </c>
      <c r="E818" s="58" t="str">
        <f>IF($A818="","",[2]weekly_demand!I819)</f>
        <v/>
      </c>
      <c r="F818" s="57" t="str">
        <f t="shared" si="115"/>
        <v/>
      </c>
      <c r="G818" s="57" t="str">
        <f t="shared" si="116"/>
        <v/>
      </c>
      <c r="H818" s="57" t="str">
        <f t="shared" si="114"/>
        <v/>
      </c>
      <c r="I818" s="58" t="str">
        <f t="shared" si="119"/>
        <v/>
      </c>
      <c r="J818" s="58" t="str">
        <f t="shared" si="117"/>
        <v/>
      </c>
      <c r="K818" s="58" t="str">
        <f t="shared" si="120"/>
        <v/>
      </c>
      <c r="L818" s="58" t="str">
        <f t="shared" si="121"/>
        <v/>
      </c>
      <c r="M818" s="58" t="str">
        <f t="shared" si="122"/>
        <v/>
      </c>
      <c r="N818" s="59" t="str">
        <f t="shared" si="118"/>
        <v/>
      </c>
      <c r="O818" s="60"/>
      <c r="P818" s="105"/>
    </row>
    <row r="819" spans="1:16" x14ac:dyDescent="0.3">
      <c r="A819" s="54" t="str">
        <f>IF([2]weekly_demand!A820="","",[2]weekly_demand!A820)</f>
        <v/>
      </c>
      <c r="B819" s="55" t="str">
        <f>IF($A819="","",[2]weekly_demand!F820)</f>
        <v/>
      </c>
      <c r="C819" s="56" t="str">
        <f>IF($A819="","",[2]weekly_demand!H820)</f>
        <v/>
      </c>
      <c r="D819" s="57" t="str">
        <f>IF($A819="","",IF(SUMIFS([2]Fixture_Capacity_Input!$C:$C,[2]Fixture_Capacity_Input!$A:$A,$B819,[2]Fixture_Capacity_Input!$B:$B,$C819)&gt;0,SUMIFS([2]Fixture_Capacity_Input!$C:$C,[2]Fixture_Capacity_Input!$A:$A,$B819,[2]Fixture_Capacity_Input!$B:$B,$C819),[2]weekly_demand!G820))</f>
        <v/>
      </c>
      <c r="E819" s="58" t="str">
        <f>IF($A819="","",[2]weekly_demand!I820)</f>
        <v/>
      </c>
      <c r="F819" s="57" t="str">
        <f t="shared" si="115"/>
        <v/>
      </c>
      <c r="G819" s="57" t="str">
        <f t="shared" si="116"/>
        <v/>
      </c>
      <c r="H819" s="57" t="str">
        <f t="shared" ref="H819:H882" si="123">IF($A819="","",IF($A819&lt;&gt;$A820,0,MAX(0,H820+E820-D820)))</f>
        <v/>
      </c>
      <c r="I819" s="58" t="str">
        <f t="shared" si="119"/>
        <v/>
      </c>
      <c r="J819" s="58" t="str">
        <f t="shared" si="117"/>
        <v/>
      </c>
      <c r="K819" s="58" t="str">
        <f t="shared" si="120"/>
        <v/>
      </c>
      <c r="L819" s="58" t="str">
        <f t="shared" si="121"/>
        <v/>
      </c>
      <c r="M819" s="58" t="str">
        <f t="shared" si="122"/>
        <v/>
      </c>
      <c r="N819" s="59" t="str">
        <f t="shared" si="118"/>
        <v/>
      </c>
      <c r="O819" s="60"/>
      <c r="P819" s="105"/>
    </row>
    <row r="820" spans="1:16" x14ac:dyDescent="0.3">
      <c r="A820" s="54" t="str">
        <f>IF([2]weekly_demand!A821="","",[2]weekly_demand!A821)</f>
        <v/>
      </c>
      <c r="B820" s="55" t="str">
        <f>IF($A820="","",[2]weekly_demand!F821)</f>
        <v/>
      </c>
      <c r="C820" s="56" t="str">
        <f>IF($A820="","",[2]weekly_demand!H821)</f>
        <v/>
      </c>
      <c r="D820" s="57" t="str">
        <f>IF($A820="","",IF(SUMIFS([2]Fixture_Capacity_Input!$C:$C,[2]Fixture_Capacity_Input!$A:$A,$B820,[2]Fixture_Capacity_Input!$B:$B,$C820)&gt;0,SUMIFS([2]Fixture_Capacity_Input!$C:$C,[2]Fixture_Capacity_Input!$A:$A,$B820,[2]Fixture_Capacity_Input!$B:$B,$C820),[2]weekly_demand!G821))</f>
        <v/>
      </c>
      <c r="E820" s="58" t="str">
        <f>IF($A820="","",[2]weekly_demand!I821)</f>
        <v/>
      </c>
      <c r="F820" s="57" t="str">
        <f t="shared" si="115"/>
        <v/>
      </c>
      <c r="G820" s="57" t="str">
        <f t="shared" si="116"/>
        <v/>
      </c>
      <c r="H820" s="57" t="str">
        <f t="shared" si="123"/>
        <v/>
      </c>
      <c r="I820" s="58" t="str">
        <f t="shared" si="119"/>
        <v/>
      </c>
      <c r="J820" s="58" t="str">
        <f t="shared" si="117"/>
        <v/>
      </c>
      <c r="K820" s="58" t="str">
        <f t="shared" si="120"/>
        <v/>
      </c>
      <c r="L820" s="58" t="str">
        <f t="shared" si="121"/>
        <v/>
      </c>
      <c r="M820" s="58" t="str">
        <f t="shared" si="122"/>
        <v/>
      </c>
      <c r="N820" s="59" t="str">
        <f t="shared" si="118"/>
        <v/>
      </c>
      <c r="O820" s="60"/>
      <c r="P820" s="105"/>
    </row>
    <row r="821" spans="1:16" x14ac:dyDescent="0.3">
      <c r="A821" s="54" t="str">
        <f>IF([2]weekly_demand!A822="","",[2]weekly_demand!A822)</f>
        <v/>
      </c>
      <c r="B821" s="55" t="str">
        <f>IF($A821="","",[2]weekly_demand!F822)</f>
        <v/>
      </c>
      <c r="C821" s="56" t="str">
        <f>IF($A821="","",[2]weekly_demand!H822)</f>
        <v/>
      </c>
      <c r="D821" s="57" t="str">
        <f>IF($A821="","",IF(SUMIFS([2]Fixture_Capacity_Input!$C:$C,[2]Fixture_Capacity_Input!$A:$A,$B821,[2]Fixture_Capacity_Input!$B:$B,$C821)&gt;0,SUMIFS([2]Fixture_Capacity_Input!$C:$C,[2]Fixture_Capacity_Input!$A:$A,$B821,[2]Fixture_Capacity_Input!$B:$B,$C821),[2]weekly_demand!G822))</f>
        <v/>
      </c>
      <c r="E821" s="58" t="str">
        <f>IF($A821="","",[2]weekly_demand!I822)</f>
        <v/>
      </c>
      <c r="F821" s="57" t="str">
        <f t="shared" si="115"/>
        <v/>
      </c>
      <c r="G821" s="57" t="str">
        <f t="shared" si="116"/>
        <v/>
      </c>
      <c r="H821" s="57" t="str">
        <f t="shared" si="123"/>
        <v/>
      </c>
      <c r="I821" s="58" t="str">
        <f t="shared" si="119"/>
        <v/>
      </c>
      <c r="J821" s="58" t="str">
        <f t="shared" si="117"/>
        <v/>
      </c>
      <c r="K821" s="58" t="str">
        <f t="shared" si="120"/>
        <v/>
      </c>
      <c r="L821" s="58" t="str">
        <f t="shared" si="121"/>
        <v/>
      </c>
      <c r="M821" s="58" t="str">
        <f t="shared" si="122"/>
        <v/>
      </c>
      <c r="N821" s="59" t="str">
        <f t="shared" si="118"/>
        <v/>
      </c>
      <c r="O821" s="60"/>
      <c r="P821" s="105"/>
    </row>
    <row r="822" spans="1:16" x14ac:dyDescent="0.3">
      <c r="A822" s="54" t="str">
        <f>IF([2]weekly_demand!A823="","",[2]weekly_demand!A823)</f>
        <v/>
      </c>
      <c r="B822" s="55" t="str">
        <f>IF($A822="","",[2]weekly_demand!F823)</f>
        <v/>
      </c>
      <c r="C822" s="56" t="str">
        <f>IF($A822="","",[2]weekly_demand!H823)</f>
        <v/>
      </c>
      <c r="D822" s="57" t="str">
        <f>IF($A822="","",IF(SUMIFS([2]Fixture_Capacity_Input!$C:$C,[2]Fixture_Capacity_Input!$A:$A,$B822,[2]Fixture_Capacity_Input!$B:$B,$C822)&gt;0,SUMIFS([2]Fixture_Capacity_Input!$C:$C,[2]Fixture_Capacity_Input!$A:$A,$B822,[2]Fixture_Capacity_Input!$B:$B,$C822),[2]weekly_demand!G823))</f>
        <v/>
      </c>
      <c r="E822" s="58" t="str">
        <f>IF($A822="","",[2]weekly_demand!I823)</f>
        <v/>
      </c>
      <c r="F822" s="57" t="str">
        <f t="shared" si="115"/>
        <v/>
      </c>
      <c r="G822" s="57" t="str">
        <f t="shared" si="116"/>
        <v/>
      </c>
      <c r="H822" s="57" t="str">
        <f t="shared" si="123"/>
        <v/>
      </c>
      <c r="I822" s="58" t="str">
        <f t="shared" si="119"/>
        <v/>
      </c>
      <c r="J822" s="58" t="str">
        <f t="shared" si="117"/>
        <v/>
      </c>
      <c r="K822" s="58" t="str">
        <f t="shared" si="120"/>
        <v/>
      </c>
      <c r="L822" s="58" t="str">
        <f t="shared" si="121"/>
        <v/>
      </c>
      <c r="M822" s="58" t="str">
        <f t="shared" si="122"/>
        <v/>
      </c>
      <c r="N822" s="59" t="str">
        <f t="shared" si="118"/>
        <v/>
      </c>
      <c r="O822" s="60"/>
      <c r="P822" s="105"/>
    </row>
    <row r="823" spans="1:16" x14ac:dyDescent="0.3">
      <c r="A823" s="54" t="str">
        <f>IF([2]weekly_demand!A824="","",[2]weekly_demand!A824)</f>
        <v/>
      </c>
      <c r="B823" s="55" t="str">
        <f>IF($A823="","",[2]weekly_demand!F824)</f>
        <v/>
      </c>
      <c r="C823" s="56" t="str">
        <f>IF($A823="","",[2]weekly_demand!H824)</f>
        <v/>
      </c>
      <c r="D823" s="57" t="str">
        <f>IF($A823="","",IF(SUMIFS([2]Fixture_Capacity_Input!$C:$C,[2]Fixture_Capacity_Input!$A:$A,$B823,[2]Fixture_Capacity_Input!$B:$B,$C823)&gt;0,SUMIFS([2]Fixture_Capacity_Input!$C:$C,[2]Fixture_Capacity_Input!$A:$A,$B823,[2]Fixture_Capacity_Input!$B:$B,$C823),[2]weekly_demand!G824))</f>
        <v/>
      </c>
      <c r="E823" s="58" t="str">
        <f>IF($A823="","",[2]weekly_demand!I824)</f>
        <v/>
      </c>
      <c r="F823" s="57" t="str">
        <f t="shared" si="115"/>
        <v/>
      </c>
      <c r="G823" s="57" t="str">
        <f t="shared" si="116"/>
        <v/>
      </c>
      <c r="H823" s="57" t="str">
        <f t="shared" si="123"/>
        <v/>
      </c>
      <c r="I823" s="58" t="str">
        <f t="shared" si="119"/>
        <v/>
      </c>
      <c r="J823" s="58" t="str">
        <f t="shared" si="117"/>
        <v/>
      </c>
      <c r="K823" s="58" t="str">
        <f t="shared" si="120"/>
        <v/>
      </c>
      <c r="L823" s="58" t="str">
        <f t="shared" si="121"/>
        <v/>
      </c>
      <c r="M823" s="58" t="str">
        <f t="shared" si="122"/>
        <v/>
      </c>
      <c r="N823" s="59" t="str">
        <f t="shared" si="118"/>
        <v/>
      </c>
      <c r="O823" s="60"/>
      <c r="P823" s="105"/>
    </row>
    <row r="824" spans="1:16" x14ac:dyDescent="0.3">
      <c r="A824" s="54" t="str">
        <f>IF([2]weekly_demand!A825="","",[2]weekly_demand!A825)</f>
        <v/>
      </c>
      <c r="B824" s="55" t="str">
        <f>IF($A824="","",[2]weekly_demand!F825)</f>
        <v/>
      </c>
      <c r="C824" s="56" t="str">
        <f>IF($A824="","",[2]weekly_demand!H825)</f>
        <v/>
      </c>
      <c r="D824" s="57" t="str">
        <f>IF($A824="","",IF(SUMIFS([2]Fixture_Capacity_Input!$C:$C,[2]Fixture_Capacity_Input!$A:$A,$B824,[2]Fixture_Capacity_Input!$B:$B,$C824)&gt;0,SUMIFS([2]Fixture_Capacity_Input!$C:$C,[2]Fixture_Capacity_Input!$A:$A,$B824,[2]Fixture_Capacity_Input!$B:$B,$C824),[2]weekly_demand!G825))</f>
        <v/>
      </c>
      <c r="E824" s="58" t="str">
        <f>IF($A824="","",[2]weekly_demand!I825)</f>
        <v/>
      </c>
      <c r="F824" s="57" t="str">
        <f t="shared" si="115"/>
        <v/>
      </c>
      <c r="G824" s="57" t="str">
        <f t="shared" si="116"/>
        <v/>
      </c>
      <c r="H824" s="57" t="str">
        <f t="shared" si="123"/>
        <v/>
      </c>
      <c r="I824" s="58" t="str">
        <f t="shared" si="119"/>
        <v/>
      </c>
      <c r="J824" s="58" t="str">
        <f t="shared" si="117"/>
        <v/>
      </c>
      <c r="K824" s="58" t="str">
        <f t="shared" si="120"/>
        <v/>
      </c>
      <c r="L824" s="58" t="str">
        <f t="shared" si="121"/>
        <v/>
      </c>
      <c r="M824" s="58" t="str">
        <f t="shared" si="122"/>
        <v/>
      </c>
      <c r="N824" s="59" t="str">
        <f t="shared" si="118"/>
        <v/>
      </c>
      <c r="O824" s="60"/>
      <c r="P824" s="105"/>
    </row>
    <row r="825" spans="1:16" x14ac:dyDescent="0.3">
      <c r="A825" s="54" t="str">
        <f>IF([2]weekly_demand!A826="","",[2]weekly_demand!A826)</f>
        <v/>
      </c>
      <c r="B825" s="55" t="str">
        <f>IF($A825="","",[2]weekly_demand!F826)</f>
        <v/>
      </c>
      <c r="C825" s="56" t="str">
        <f>IF($A825="","",[2]weekly_demand!H826)</f>
        <v/>
      </c>
      <c r="D825" s="57" t="str">
        <f>IF($A825="","",IF(SUMIFS([2]Fixture_Capacity_Input!$C:$C,[2]Fixture_Capacity_Input!$A:$A,$B825,[2]Fixture_Capacity_Input!$B:$B,$C825)&gt;0,SUMIFS([2]Fixture_Capacity_Input!$C:$C,[2]Fixture_Capacity_Input!$A:$A,$B825,[2]Fixture_Capacity_Input!$B:$B,$C825),[2]weekly_demand!G826))</f>
        <v/>
      </c>
      <c r="E825" s="58" t="str">
        <f>IF($A825="","",[2]weekly_demand!I826)</f>
        <v/>
      </c>
      <c r="F825" s="57" t="str">
        <f t="shared" si="115"/>
        <v/>
      </c>
      <c r="G825" s="57" t="str">
        <f t="shared" si="116"/>
        <v/>
      </c>
      <c r="H825" s="57" t="str">
        <f t="shared" si="123"/>
        <v/>
      </c>
      <c r="I825" s="58" t="str">
        <f t="shared" si="119"/>
        <v/>
      </c>
      <c r="J825" s="58" t="str">
        <f t="shared" si="117"/>
        <v/>
      </c>
      <c r="K825" s="58" t="str">
        <f t="shared" si="120"/>
        <v/>
      </c>
      <c r="L825" s="58" t="str">
        <f t="shared" si="121"/>
        <v/>
      </c>
      <c r="M825" s="58" t="str">
        <f t="shared" si="122"/>
        <v/>
      </c>
      <c r="N825" s="59" t="str">
        <f t="shared" si="118"/>
        <v/>
      </c>
      <c r="O825" s="60"/>
      <c r="P825" s="105"/>
    </row>
    <row r="826" spans="1:16" x14ac:dyDescent="0.3">
      <c r="A826" s="54" t="str">
        <f>IF([2]weekly_demand!A827="","",[2]weekly_demand!A827)</f>
        <v/>
      </c>
      <c r="B826" s="55" t="str">
        <f>IF($A826="","",[2]weekly_demand!F827)</f>
        <v/>
      </c>
      <c r="C826" s="56" t="str">
        <f>IF($A826="","",[2]weekly_demand!H827)</f>
        <v/>
      </c>
      <c r="D826" s="57" t="str">
        <f>IF($A826="","",IF(SUMIFS([2]Fixture_Capacity_Input!$C:$C,[2]Fixture_Capacity_Input!$A:$A,$B826,[2]Fixture_Capacity_Input!$B:$B,$C826)&gt;0,SUMIFS([2]Fixture_Capacity_Input!$C:$C,[2]Fixture_Capacity_Input!$A:$A,$B826,[2]Fixture_Capacity_Input!$B:$B,$C826),[2]weekly_demand!G827))</f>
        <v/>
      </c>
      <c r="E826" s="58" t="str">
        <f>IF($A826="","",[2]weekly_demand!I827)</f>
        <v/>
      </c>
      <c r="F826" s="57" t="str">
        <f t="shared" si="115"/>
        <v/>
      </c>
      <c r="G826" s="57" t="str">
        <f t="shared" si="116"/>
        <v/>
      </c>
      <c r="H826" s="57" t="str">
        <f t="shared" si="123"/>
        <v/>
      </c>
      <c r="I826" s="58" t="str">
        <f t="shared" si="119"/>
        <v/>
      </c>
      <c r="J826" s="58" t="str">
        <f t="shared" si="117"/>
        <v/>
      </c>
      <c r="K826" s="58" t="str">
        <f t="shared" si="120"/>
        <v/>
      </c>
      <c r="L826" s="58" t="str">
        <f t="shared" si="121"/>
        <v/>
      </c>
      <c r="M826" s="58" t="str">
        <f t="shared" si="122"/>
        <v/>
      </c>
      <c r="N826" s="59" t="str">
        <f t="shared" si="118"/>
        <v/>
      </c>
      <c r="O826" s="60"/>
      <c r="P826" s="105"/>
    </row>
    <row r="827" spans="1:16" x14ac:dyDescent="0.3">
      <c r="A827" s="54" t="str">
        <f>IF([2]weekly_demand!A828="","",[2]weekly_demand!A828)</f>
        <v/>
      </c>
      <c r="B827" s="55" t="str">
        <f>IF($A827="","",[2]weekly_demand!F828)</f>
        <v/>
      </c>
      <c r="C827" s="56" t="str">
        <f>IF($A827="","",[2]weekly_demand!H828)</f>
        <v/>
      </c>
      <c r="D827" s="57" t="str">
        <f>IF($A827="","",IF(SUMIFS([2]Fixture_Capacity_Input!$C:$C,[2]Fixture_Capacity_Input!$A:$A,$B827,[2]Fixture_Capacity_Input!$B:$B,$C827)&gt;0,SUMIFS([2]Fixture_Capacity_Input!$C:$C,[2]Fixture_Capacity_Input!$A:$A,$B827,[2]Fixture_Capacity_Input!$B:$B,$C827),[2]weekly_demand!G828))</f>
        <v/>
      </c>
      <c r="E827" s="58" t="str">
        <f>IF($A827="","",[2]weekly_demand!I828)</f>
        <v/>
      </c>
      <c r="F827" s="57" t="str">
        <f t="shared" si="115"/>
        <v/>
      </c>
      <c r="G827" s="57" t="str">
        <f t="shared" si="116"/>
        <v/>
      </c>
      <c r="H827" s="57" t="str">
        <f t="shared" si="123"/>
        <v/>
      </c>
      <c r="I827" s="58" t="str">
        <f t="shared" si="119"/>
        <v/>
      </c>
      <c r="J827" s="58" t="str">
        <f t="shared" si="117"/>
        <v/>
      </c>
      <c r="K827" s="58" t="str">
        <f t="shared" si="120"/>
        <v/>
      </c>
      <c r="L827" s="58" t="str">
        <f t="shared" si="121"/>
        <v/>
      </c>
      <c r="M827" s="58" t="str">
        <f t="shared" si="122"/>
        <v/>
      </c>
      <c r="N827" s="59" t="str">
        <f t="shared" si="118"/>
        <v/>
      </c>
      <c r="O827" s="60"/>
      <c r="P827" s="105"/>
    </row>
    <row r="828" spans="1:16" x14ac:dyDescent="0.3">
      <c r="A828" s="54" t="str">
        <f>IF([2]weekly_demand!A829="","",[2]weekly_demand!A829)</f>
        <v/>
      </c>
      <c r="B828" s="55" t="str">
        <f>IF($A828="","",[2]weekly_demand!F829)</f>
        <v/>
      </c>
      <c r="C828" s="56" t="str">
        <f>IF($A828="","",[2]weekly_demand!H829)</f>
        <v/>
      </c>
      <c r="D828" s="57" t="str">
        <f>IF($A828="","",IF(SUMIFS([2]Fixture_Capacity_Input!$C:$C,[2]Fixture_Capacity_Input!$A:$A,$B828,[2]Fixture_Capacity_Input!$B:$B,$C828)&gt;0,SUMIFS([2]Fixture_Capacity_Input!$C:$C,[2]Fixture_Capacity_Input!$A:$A,$B828,[2]Fixture_Capacity_Input!$B:$B,$C828),[2]weekly_demand!G829))</f>
        <v/>
      </c>
      <c r="E828" s="58" t="str">
        <f>IF($A828="","",[2]weekly_demand!I829)</f>
        <v/>
      </c>
      <c r="F828" s="57" t="str">
        <f t="shared" si="115"/>
        <v/>
      </c>
      <c r="G828" s="57" t="str">
        <f t="shared" si="116"/>
        <v/>
      </c>
      <c r="H828" s="57" t="str">
        <f t="shared" si="123"/>
        <v/>
      </c>
      <c r="I828" s="58" t="str">
        <f t="shared" si="119"/>
        <v/>
      </c>
      <c r="J828" s="58" t="str">
        <f t="shared" si="117"/>
        <v/>
      </c>
      <c r="K828" s="58" t="str">
        <f t="shared" si="120"/>
        <v/>
      </c>
      <c r="L828" s="58" t="str">
        <f t="shared" si="121"/>
        <v/>
      </c>
      <c r="M828" s="58" t="str">
        <f t="shared" si="122"/>
        <v/>
      </c>
      <c r="N828" s="59" t="str">
        <f t="shared" si="118"/>
        <v/>
      </c>
      <c r="O828" s="60"/>
      <c r="P828" s="105"/>
    </row>
    <row r="829" spans="1:16" x14ac:dyDescent="0.3">
      <c r="A829" s="54" t="str">
        <f>IF([2]weekly_demand!A830="","",[2]weekly_demand!A830)</f>
        <v/>
      </c>
      <c r="B829" s="55" t="str">
        <f>IF($A829="","",[2]weekly_demand!F830)</f>
        <v/>
      </c>
      <c r="C829" s="56" t="str">
        <f>IF($A829="","",[2]weekly_demand!H830)</f>
        <v/>
      </c>
      <c r="D829" s="57" t="str">
        <f>IF($A829="","",IF(SUMIFS([2]Fixture_Capacity_Input!$C:$C,[2]Fixture_Capacity_Input!$A:$A,$B829,[2]Fixture_Capacity_Input!$B:$B,$C829)&gt;0,SUMIFS([2]Fixture_Capacity_Input!$C:$C,[2]Fixture_Capacity_Input!$A:$A,$B829,[2]Fixture_Capacity_Input!$B:$B,$C829),[2]weekly_demand!G830))</f>
        <v/>
      </c>
      <c r="E829" s="58" t="str">
        <f>IF($A829="","",[2]weekly_demand!I830)</f>
        <v/>
      </c>
      <c r="F829" s="57" t="str">
        <f t="shared" si="115"/>
        <v/>
      </c>
      <c r="G829" s="57" t="str">
        <f t="shared" si="116"/>
        <v/>
      </c>
      <c r="H829" s="57" t="str">
        <f t="shared" si="123"/>
        <v/>
      </c>
      <c r="I829" s="58" t="str">
        <f t="shared" si="119"/>
        <v/>
      </c>
      <c r="J829" s="58" t="str">
        <f t="shared" si="117"/>
        <v/>
      </c>
      <c r="K829" s="58" t="str">
        <f t="shared" si="120"/>
        <v/>
      </c>
      <c r="L829" s="58" t="str">
        <f t="shared" si="121"/>
        <v/>
      </c>
      <c r="M829" s="58" t="str">
        <f t="shared" si="122"/>
        <v/>
      </c>
      <c r="N829" s="59" t="str">
        <f t="shared" si="118"/>
        <v/>
      </c>
      <c r="O829" s="60"/>
      <c r="P829" s="105"/>
    </row>
    <row r="830" spans="1:16" x14ac:dyDescent="0.3">
      <c r="A830" s="54" t="str">
        <f>IF([2]weekly_demand!A831="","",[2]weekly_demand!A831)</f>
        <v/>
      </c>
      <c r="B830" s="55" t="str">
        <f>IF($A830="","",[2]weekly_demand!F831)</f>
        <v/>
      </c>
      <c r="C830" s="56" t="str">
        <f>IF($A830="","",[2]weekly_demand!H831)</f>
        <v/>
      </c>
      <c r="D830" s="57" t="str">
        <f>IF($A830="","",IF(SUMIFS([2]Fixture_Capacity_Input!$C:$C,[2]Fixture_Capacity_Input!$A:$A,$B830,[2]Fixture_Capacity_Input!$B:$B,$C830)&gt;0,SUMIFS([2]Fixture_Capacity_Input!$C:$C,[2]Fixture_Capacity_Input!$A:$A,$B830,[2]Fixture_Capacity_Input!$B:$B,$C830),[2]weekly_demand!G831))</f>
        <v/>
      </c>
      <c r="E830" s="58" t="str">
        <f>IF($A830="","",[2]weekly_demand!I831)</f>
        <v/>
      </c>
      <c r="F830" s="57" t="str">
        <f t="shared" si="115"/>
        <v/>
      </c>
      <c r="G830" s="57" t="str">
        <f t="shared" si="116"/>
        <v/>
      </c>
      <c r="H830" s="57" t="str">
        <f t="shared" si="123"/>
        <v/>
      </c>
      <c r="I830" s="58" t="str">
        <f t="shared" si="119"/>
        <v/>
      </c>
      <c r="J830" s="58" t="str">
        <f t="shared" si="117"/>
        <v/>
      </c>
      <c r="K830" s="58" t="str">
        <f t="shared" si="120"/>
        <v/>
      </c>
      <c r="L830" s="58" t="str">
        <f t="shared" si="121"/>
        <v/>
      </c>
      <c r="M830" s="58" t="str">
        <f t="shared" si="122"/>
        <v/>
      </c>
      <c r="N830" s="59" t="str">
        <f t="shared" si="118"/>
        <v/>
      </c>
      <c r="O830" s="60"/>
      <c r="P830" s="105"/>
    </row>
    <row r="831" spans="1:16" x14ac:dyDescent="0.3">
      <c r="A831" s="54" t="str">
        <f>IF([2]weekly_demand!A832="","",[2]weekly_demand!A832)</f>
        <v/>
      </c>
      <c r="B831" s="55" t="str">
        <f>IF($A831="","",[2]weekly_demand!F832)</f>
        <v/>
      </c>
      <c r="C831" s="56" t="str">
        <f>IF($A831="","",[2]weekly_demand!H832)</f>
        <v/>
      </c>
      <c r="D831" s="57" t="str">
        <f>IF($A831="","",IF(SUMIFS([2]Fixture_Capacity_Input!$C:$C,[2]Fixture_Capacity_Input!$A:$A,$B831,[2]Fixture_Capacity_Input!$B:$B,$C831)&gt;0,SUMIFS([2]Fixture_Capacity_Input!$C:$C,[2]Fixture_Capacity_Input!$A:$A,$B831,[2]Fixture_Capacity_Input!$B:$B,$C831),[2]weekly_demand!G832))</f>
        <v/>
      </c>
      <c r="E831" s="58" t="str">
        <f>IF($A831="","",[2]weekly_demand!I832)</f>
        <v/>
      </c>
      <c r="F831" s="57" t="str">
        <f t="shared" si="115"/>
        <v/>
      </c>
      <c r="G831" s="57" t="str">
        <f t="shared" si="116"/>
        <v/>
      </c>
      <c r="H831" s="57" t="str">
        <f t="shared" si="123"/>
        <v/>
      </c>
      <c r="I831" s="58" t="str">
        <f t="shared" si="119"/>
        <v/>
      </c>
      <c r="J831" s="58" t="str">
        <f t="shared" si="117"/>
        <v/>
      </c>
      <c r="K831" s="58" t="str">
        <f t="shared" si="120"/>
        <v/>
      </c>
      <c r="L831" s="58" t="str">
        <f t="shared" si="121"/>
        <v/>
      </c>
      <c r="M831" s="58" t="str">
        <f t="shared" si="122"/>
        <v/>
      </c>
      <c r="N831" s="59" t="str">
        <f t="shared" si="118"/>
        <v/>
      </c>
      <c r="O831" s="60"/>
      <c r="P831" s="105"/>
    </row>
    <row r="832" spans="1:16" x14ac:dyDescent="0.3">
      <c r="A832" s="54" t="str">
        <f>IF([2]weekly_demand!A833="","",[2]weekly_demand!A833)</f>
        <v/>
      </c>
      <c r="B832" s="55" t="str">
        <f>IF($A832="","",[2]weekly_demand!F833)</f>
        <v/>
      </c>
      <c r="C832" s="56" t="str">
        <f>IF($A832="","",[2]weekly_demand!H833)</f>
        <v/>
      </c>
      <c r="D832" s="57" t="str">
        <f>IF($A832="","",IF(SUMIFS([2]Fixture_Capacity_Input!$C:$C,[2]Fixture_Capacity_Input!$A:$A,$B832,[2]Fixture_Capacity_Input!$B:$B,$C832)&gt;0,SUMIFS([2]Fixture_Capacity_Input!$C:$C,[2]Fixture_Capacity_Input!$A:$A,$B832,[2]Fixture_Capacity_Input!$B:$B,$C832),[2]weekly_demand!G833))</f>
        <v/>
      </c>
      <c r="E832" s="58" t="str">
        <f>IF($A832="","",[2]weekly_demand!I833)</f>
        <v/>
      </c>
      <c r="F832" s="57" t="str">
        <f t="shared" si="115"/>
        <v/>
      </c>
      <c r="G832" s="57" t="str">
        <f t="shared" si="116"/>
        <v/>
      </c>
      <c r="H832" s="57" t="str">
        <f t="shared" si="123"/>
        <v/>
      </c>
      <c r="I832" s="58" t="str">
        <f t="shared" si="119"/>
        <v/>
      </c>
      <c r="J832" s="58" t="str">
        <f t="shared" si="117"/>
        <v/>
      </c>
      <c r="K832" s="58" t="str">
        <f t="shared" si="120"/>
        <v/>
      </c>
      <c r="L832" s="58" t="str">
        <f t="shared" si="121"/>
        <v/>
      </c>
      <c r="M832" s="58" t="str">
        <f t="shared" si="122"/>
        <v/>
      </c>
      <c r="N832" s="59" t="str">
        <f t="shared" si="118"/>
        <v/>
      </c>
      <c r="O832" s="60"/>
      <c r="P832" s="105"/>
    </row>
    <row r="833" spans="1:16" x14ac:dyDescent="0.3">
      <c r="A833" s="54" t="str">
        <f>IF([2]weekly_demand!A834="","",[2]weekly_demand!A834)</f>
        <v/>
      </c>
      <c r="B833" s="55" t="str">
        <f>IF($A833="","",[2]weekly_demand!F834)</f>
        <v/>
      </c>
      <c r="C833" s="56" t="str">
        <f>IF($A833="","",[2]weekly_demand!H834)</f>
        <v/>
      </c>
      <c r="D833" s="57" t="str">
        <f>IF($A833="","",IF(SUMIFS([2]Fixture_Capacity_Input!$C:$C,[2]Fixture_Capacity_Input!$A:$A,$B833,[2]Fixture_Capacity_Input!$B:$B,$C833)&gt;0,SUMIFS([2]Fixture_Capacity_Input!$C:$C,[2]Fixture_Capacity_Input!$A:$A,$B833,[2]Fixture_Capacity_Input!$B:$B,$C833),[2]weekly_demand!G834))</f>
        <v/>
      </c>
      <c r="E833" s="58" t="str">
        <f>IF($A833="","",[2]weekly_demand!I834)</f>
        <v/>
      </c>
      <c r="F833" s="57" t="str">
        <f t="shared" si="115"/>
        <v/>
      </c>
      <c r="G833" s="57" t="str">
        <f t="shared" si="116"/>
        <v/>
      </c>
      <c r="H833" s="57" t="str">
        <f t="shared" si="123"/>
        <v/>
      </c>
      <c r="I833" s="58" t="str">
        <f t="shared" si="119"/>
        <v/>
      </c>
      <c r="J833" s="58" t="str">
        <f t="shared" si="117"/>
        <v/>
      </c>
      <c r="K833" s="58" t="str">
        <f t="shared" si="120"/>
        <v/>
      </c>
      <c r="L833" s="58" t="str">
        <f t="shared" si="121"/>
        <v/>
      </c>
      <c r="M833" s="58" t="str">
        <f t="shared" si="122"/>
        <v/>
      </c>
      <c r="N833" s="59" t="str">
        <f t="shared" si="118"/>
        <v/>
      </c>
      <c r="O833" s="60"/>
      <c r="P833" s="105"/>
    </row>
    <row r="834" spans="1:16" x14ac:dyDescent="0.3">
      <c r="A834" s="54" t="str">
        <f>IF([2]weekly_demand!A835="","",[2]weekly_demand!A835)</f>
        <v/>
      </c>
      <c r="B834" s="55" t="str">
        <f>IF($A834="","",[2]weekly_demand!F835)</f>
        <v/>
      </c>
      <c r="C834" s="56" t="str">
        <f>IF($A834="","",[2]weekly_demand!H835)</f>
        <v/>
      </c>
      <c r="D834" s="57" t="str">
        <f>IF($A834="","",IF(SUMIFS([2]Fixture_Capacity_Input!$C:$C,[2]Fixture_Capacity_Input!$A:$A,$B834,[2]Fixture_Capacity_Input!$B:$B,$C834)&gt;0,SUMIFS([2]Fixture_Capacity_Input!$C:$C,[2]Fixture_Capacity_Input!$A:$A,$B834,[2]Fixture_Capacity_Input!$B:$B,$C834),[2]weekly_demand!G835))</f>
        <v/>
      </c>
      <c r="E834" s="58" t="str">
        <f>IF($A834="","",[2]weekly_demand!I835)</f>
        <v/>
      </c>
      <c r="F834" s="57" t="str">
        <f t="shared" ref="F834:F897" si="124">IF($A834="","",IF($A834&lt;&gt;$A833,_xlfn.XLOOKUP($A834,$Q$2:$Q$7,$R$2:$R$7,0),K833))</f>
        <v/>
      </c>
      <c r="G834" s="57" t="str">
        <f t="shared" ref="G834:G897" si="125">IF($A834="","",_xlfn.XLOOKUP($A834,$Q$2:$Q$7,$S$2:$S$7,0))</f>
        <v/>
      </c>
      <c r="H834" s="57" t="str">
        <f t="shared" si="123"/>
        <v/>
      </c>
      <c r="I834" s="58" t="str">
        <f t="shared" si="119"/>
        <v/>
      </c>
      <c r="J834" s="58" t="str">
        <f t="shared" ref="J834:J897" si="126">IF($A834="","",MIN($D834,$I834,MAX(0,$E834+$G834-$F834)))</f>
        <v/>
      </c>
      <c r="K834" s="58" t="str">
        <f t="shared" si="120"/>
        <v/>
      </c>
      <c r="L834" s="58" t="str">
        <f t="shared" si="121"/>
        <v/>
      </c>
      <c r="M834" s="58" t="str">
        <f t="shared" si="122"/>
        <v/>
      </c>
      <c r="N834" s="59" t="str">
        <f t="shared" ref="N834:N897" si="127">IF($A834="","",IFERROR(J834/D834,0))</f>
        <v/>
      </c>
      <c r="O834" s="60"/>
      <c r="P834" s="105"/>
    </row>
    <row r="835" spans="1:16" x14ac:dyDescent="0.3">
      <c r="A835" s="54" t="str">
        <f>IF([2]weekly_demand!A836="","",[2]weekly_demand!A836)</f>
        <v/>
      </c>
      <c r="B835" s="55" t="str">
        <f>IF($A835="","",[2]weekly_demand!F836)</f>
        <v/>
      </c>
      <c r="C835" s="56" t="str">
        <f>IF($A835="","",[2]weekly_demand!H836)</f>
        <v/>
      </c>
      <c r="D835" s="57" t="str">
        <f>IF($A835="","",IF(SUMIFS([2]Fixture_Capacity_Input!$C:$C,[2]Fixture_Capacity_Input!$A:$A,$B835,[2]Fixture_Capacity_Input!$B:$B,$C835)&gt;0,SUMIFS([2]Fixture_Capacity_Input!$C:$C,[2]Fixture_Capacity_Input!$A:$A,$B835,[2]Fixture_Capacity_Input!$B:$B,$C835),[2]weekly_demand!G836))</f>
        <v/>
      </c>
      <c r="E835" s="58" t="str">
        <f>IF($A835="","",[2]weekly_demand!I836)</f>
        <v/>
      </c>
      <c r="F835" s="57" t="str">
        <f t="shared" si="124"/>
        <v/>
      </c>
      <c r="G835" s="57" t="str">
        <f t="shared" si="125"/>
        <v/>
      </c>
      <c r="H835" s="57" t="str">
        <f t="shared" si="123"/>
        <v/>
      </c>
      <c r="I835" s="58" t="str">
        <f t="shared" ref="I835:I898" si="128">IF($A835="","",MAX(0,E835+H835-F835))</f>
        <v/>
      </c>
      <c r="J835" s="58" t="str">
        <f t="shared" si="126"/>
        <v/>
      </c>
      <c r="K835" s="58" t="str">
        <f t="shared" ref="K835:K898" si="129">IF($A835="","",MIN($G835,MAX(0,$F835+$J835-$E835)))</f>
        <v/>
      </c>
      <c r="L835" s="58" t="str">
        <f t="shared" ref="L835:L898" si="130">IF($A835="","",MAX(0,E835-F835-J835))</f>
        <v/>
      </c>
      <c r="M835" s="58" t="str">
        <f t="shared" ref="M835:M898" si="131">IF($A835="","",MAX(0,F835+J835-E835))</f>
        <v/>
      </c>
      <c r="N835" s="59" t="str">
        <f t="shared" si="127"/>
        <v/>
      </c>
      <c r="O835" s="60"/>
      <c r="P835" s="105"/>
    </row>
    <row r="836" spans="1:16" x14ac:dyDescent="0.3">
      <c r="A836" s="54" t="str">
        <f>IF([2]weekly_demand!A837="","",[2]weekly_demand!A837)</f>
        <v/>
      </c>
      <c r="B836" s="55" t="str">
        <f>IF($A836="","",[2]weekly_demand!F837)</f>
        <v/>
      </c>
      <c r="C836" s="56" t="str">
        <f>IF($A836="","",[2]weekly_demand!H837)</f>
        <v/>
      </c>
      <c r="D836" s="57" t="str">
        <f>IF($A836="","",IF(SUMIFS([2]Fixture_Capacity_Input!$C:$C,[2]Fixture_Capacity_Input!$A:$A,$B836,[2]Fixture_Capacity_Input!$B:$B,$C836)&gt;0,SUMIFS([2]Fixture_Capacity_Input!$C:$C,[2]Fixture_Capacity_Input!$A:$A,$B836,[2]Fixture_Capacity_Input!$B:$B,$C836),[2]weekly_demand!G837))</f>
        <v/>
      </c>
      <c r="E836" s="58" t="str">
        <f>IF($A836="","",[2]weekly_demand!I837)</f>
        <v/>
      </c>
      <c r="F836" s="57" t="str">
        <f t="shared" si="124"/>
        <v/>
      </c>
      <c r="G836" s="57" t="str">
        <f t="shared" si="125"/>
        <v/>
      </c>
      <c r="H836" s="57" t="str">
        <f t="shared" si="123"/>
        <v/>
      </c>
      <c r="I836" s="58" t="str">
        <f t="shared" si="128"/>
        <v/>
      </c>
      <c r="J836" s="58" t="str">
        <f t="shared" si="126"/>
        <v/>
      </c>
      <c r="K836" s="58" t="str">
        <f t="shared" si="129"/>
        <v/>
      </c>
      <c r="L836" s="58" t="str">
        <f t="shared" si="130"/>
        <v/>
      </c>
      <c r="M836" s="58" t="str">
        <f t="shared" si="131"/>
        <v/>
      </c>
      <c r="N836" s="59" t="str">
        <f t="shared" si="127"/>
        <v/>
      </c>
      <c r="O836" s="60"/>
      <c r="P836" s="105"/>
    </row>
    <row r="837" spans="1:16" x14ac:dyDescent="0.3">
      <c r="A837" s="54" t="str">
        <f>IF([2]weekly_demand!A838="","",[2]weekly_demand!A838)</f>
        <v/>
      </c>
      <c r="B837" s="55" t="str">
        <f>IF($A837="","",[2]weekly_demand!F838)</f>
        <v/>
      </c>
      <c r="C837" s="56" t="str">
        <f>IF($A837="","",[2]weekly_demand!H838)</f>
        <v/>
      </c>
      <c r="D837" s="57" t="str">
        <f>IF($A837="","",IF(SUMIFS([2]Fixture_Capacity_Input!$C:$C,[2]Fixture_Capacity_Input!$A:$A,$B837,[2]Fixture_Capacity_Input!$B:$B,$C837)&gt;0,SUMIFS([2]Fixture_Capacity_Input!$C:$C,[2]Fixture_Capacity_Input!$A:$A,$B837,[2]Fixture_Capacity_Input!$B:$B,$C837),[2]weekly_demand!G838))</f>
        <v/>
      </c>
      <c r="E837" s="58" t="str">
        <f>IF($A837="","",[2]weekly_demand!I838)</f>
        <v/>
      </c>
      <c r="F837" s="57" t="str">
        <f t="shared" si="124"/>
        <v/>
      </c>
      <c r="G837" s="57" t="str">
        <f t="shared" si="125"/>
        <v/>
      </c>
      <c r="H837" s="57" t="str">
        <f t="shared" si="123"/>
        <v/>
      </c>
      <c r="I837" s="58" t="str">
        <f t="shared" si="128"/>
        <v/>
      </c>
      <c r="J837" s="58" t="str">
        <f t="shared" si="126"/>
        <v/>
      </c>
      <c r="K837" s="58" t="str">
        <f t="shared" si="129"/>
        <v/>
      </c>
      <c r="L837" s="58" t="str">
        <f t="shared" si="130"/>
        <v/>
      </c>
      <c r="M837" s="58" t="str">
        <f t="shared" si="131"/>
        <v/>
      </c>
      <c r="N837" s="59" t="str">
        <f t="shared" si="127"/>
        <v/>
      </c>
      <c r="O837" s="60"/>
      <c r="P837" s="105"/>
    </row>
    <row r="838" spans="1:16" x14ac:dyDescent="0.3">
      <c r="A838" s="54" t="str">
        <f>IF([2]weekly_demand!A839="","",[2]weekly_demand!A839)</f>
        <v/>
      </c>
      <c r="B838" s="55" t="str">
        <f>IF($A838="","",[2]weekly_demand!F839)</f>
        <v/>
      </c>
      <c r="C838" s="56" t="str">
        <f>IF($A838="","",[2]weekly_demand!H839)</f>
        <v/>
      </c>
      <c r="D838" s="57" t="str">
        <f>IF($A838="","",IF(SUMIFS([2]Fixture_Capacity_Input!$C:$C,[2]Fixture_Capacity_Input!$A:$A,$B838,[2]Fixture_Capacity_Input!$B:$B,$C838)&gt;0,SUMIFS([2]Fixture_Capacity_Input!$C:$C,[2]Fixture_Capacity_Input!$A:$A,$B838,[2]Fixture_Capacity_Input!$B:$B,$C838),[2]weekly_demand!G839))</f>
        <v/>
      </c>
      <c r="E838" s="58" t="str">
        <f>IF($A838="","",[2]weekly_demand!I839)</f>
        <v/>
      </c>
      <c r="F838" s="57" t="str">
        <f t="shared" si="124"/>
        <v/>
      </c>
      <c r="G838" s="57" t="str">
        <f t="shared" si="125"/>
        <v/>
      </c>
      <c r="H838" s="57" t="str">
        <f t="shared" si="123"/>
        <v/>
      </c>
      <c r="I838" s="58" t="str">
        <f t="shared" si="128"/>
        <v/>
      </c>
      <c r="J838" s="58" t="str">
        <f t="shared" si="126"/>
        <v/>
      </c>
      <c r="K838" s="58" t="str">
        <f t="shared" si="129"/>
        <v/>
      </c>
      <c r="L838" s="58" t="str">
        <f t="shared" si="130"/>
        <v/>
      </c>
      <c r="M838" s="58" t="str">
        <f t="shared" si="131"/>
        <v/>
      </c>
      <c r="N838" s="59" t="str">
        <f t="shared" si="127"/>
        <v/>
      </c>
      <c r="O838" s="60"/>
      <c r="P838" s="105"/>
    </row>
    <row r="839" spans="1:16" x14ac:dyDescent="0.3">
      <c r="A839" s="54" t="str">
        <f>IF([2]weekly_demand!A840="","",[2]weekly_demand!A840)</f>
        <v/>
      </c>
      <c r="B839" s="55" t="str">
        <f>IF($A839="","",[2]weekly_demand!F840)</f>
        <v/>
      </c>
      <c r="C839" s="56" t="str">
        <f>IF($A839="","",[2]weekly_demand!H840)</f>
        <v/>
      </c>
      <c r="D839" s="57" t="str">
        <f>IF($A839="","",IF(SUMIFS([2]Fixture_Capacity_Input!$C:$C,[2]Fixture_Capacity_Input!$A:$A,$B839,[2]Fixture_Capacity_Input!$B:$B,$C839)&gt;0,SUMIFS([2]Fixture_Capacity_Input!$C:$C,[2]Fixture_Capacity_Input!$A:$A,$B839,[2]Fixture_Capacity_Input!$B:$B,$C839),[2]weekly_demand!G840))</f>
        <v/>
      </c>
      <c r="E839" s="58" t="str">
        <f>IF($A839="","",[2]weekly_demand!I840)</f>
        <v/>
      </c>
      <c r="F839" s="57" t="str">
        <f t="shared" si="124"/>
        <v/>
      </c>
      <c r="G839" s="57" t="str">
        <f t="shared" si="125"/>
        <v/>
      </c>
      <c r="H839" s="57" t="str">
        <f t="shared" si="123"/>
        <v/>
      </c>
      <c r="I839" s="58" t="str">
        <f t="shared" si="128"/>
        <v/>
      </c>
      <c r="J839" s="58" t="str">
        <f t="shared" si="126"/>
        <v/>
      </c>
      <c r="K839" s="58" t="str">
        <f t="shared" si="129"/>
        <v/>
      </c>
      <c r="L839" s="58" t="str">
        <f t="shared" si="130"/>
        <v/>
      </c>
      <c r="M839" s="58" t="str">
        <f t="shared" si="131"/>
        <v/>
      </c>
      <c r="N839" s="59" t="str">
        <f t="shared" si="127"/>
        <v/>
      </c>
      <c r="O839" s="60"/>
      <c r="P839" s="105"/>
    </row>
    <row r="840" spans="1:16" x14ac:dyDescent="0.3">
      <c r="A840" s="54" t="str">
        <f>IF([2]weekly_demand!A841="","",[2]weekly_demand!A841)</f>
        <v/>
      </c>
      <c r="B840" s="55" t="str">
        <f>IF($A840="","",[2]weekly_demand!F841)</f>
        <v/>
      </c>
      <c r="C840" s="56" t="str">
        <f>IF($A840="","",[2]weekly_demand!H841)</f>
        <v/>
      </c>
      <c r="D840" s="57" t="str">
        <f>IF($A840="","",IF(SUMIFS([2]Fixture_Capacity_Input!$C:$C,[2]Fixture_Capacity_Input!$A:$A,$B840,[2]Fixture_Capacity_Input!$B:$B,$C840)&gt;0,SUMIFS([2]Fixture_Capacity_Input!$C:$C,[2]Fixture_Capacity_Input!$A:$A,$B840,[2]Fixture_Capacity_Input!$B:$B,$C840),[2]weekly_demand!G841))</f>
        <v/>
      </c>
      <c r="E840" s="58" t="str">
        <f>IF($A840="","",[2]weekly_demand!I841)</f>
        <v/>
      </c>
      <c r="F840" s="57" t="str">
        <f t="shared" si="124"/>
        <v/>
      </c>
      <c r="G840" s="57" t="str">
        <f t="shared" si="125"/>
        <v/>
      </c>
      <c r="H840" s="57" t="str">
        <f t="shared" si="123"/>
        <v/>
      </c>
      <c r="I840" s="58" t="str">
        <f t="shared" si="128"/>
        <v/>
      </c>
      <c r="J840" s="58" t="str">
        <f t="shared" si="126"/>
        <v/>
      </c>
      <c r="K840" s="58" t="str">
        <f t="shared" si="129"/>
        <v/>
      </c>
      <c r="L840" s="58" t="str">
        <f t="shared" si="130"/>
        <v/>
      </c>
      <c r="M840" s="58" t="str">
        <f t="shared" si="131"/>
        <v/>
      </c>
      <c r="N840" s="59" t="str">
        <f t="shared" si="127"/>
        <v/>
      </c>
      <c r="O840" s="60"/>
      <c r="P840" s="105"/>
    </row>
    <row r="841" spans="1:16" x14ac:dyDescent="0.3">
      <c r="A841" s="54" t="str">
        <f>IF([2]weekly_demand!A842="","",[2]weekly_demand!A842)</f>
        <v/>
      </c>
      <c r="B841" s="55" t="str">
        <f>IF($A841="","",[2]weekly_demand!F842)</f>
        <v/>
      </c>
      <c r="C841" s="56" t="str">
        <f>IF($A841="","",[2]weekly_demand!H842)</f>
        <v/>
      </c>
      <c r="D841" s="57" t="str">
        <f>IF($A841="","",IF(SUMIFS([2]Fixture_Capacity_Input!$C:$C,[2]Fixture_Capacity_Input!$A:$A,$B841,[2]Fixture_Capacity_Input!$B:$B,$C841)&gt;0,SUMIFS([2]Fixture_Capacity_Input!$C:$C,[2]Fixture_Capacity_Input!$A:$A,$B841,[2]Fixture_Capacity_Input!$B:$B,$C841),[2]weekly_demand!G842))</f>
        <v/>
      </c>
      <c r="E841" s="58" t="str">
        <f>IF($A841="","",[2]weekly_demand!I842)</f>
        <v/>
      </c>
      <c r="F841" s="57" t="str">
        <f t="shared" si="124"/>
        <v/>
      </c>
      <c r="G841" s="57" t="str">
        <f t="shared" si="125"/>
        <v/>
      </c>
      <c r="H841" s="57" t="str">
        <f t="shared" si="123"/>
        <v/>
      </c>
      <c r="I841" s="58" t="str">
        <f t="shared" si="128"/>
        <v/>
      </c>
      <c r="J841" s="58" t="str">
        <f t="shared" si="126"/>
        <v/>
      </c>
      <c r="K841" s="58" t="str">
        <f t="shared" si="129"/>
        <v/>
      </c>
      <c r="L841" s="58" t="str">
        <f t="shared" si="130"/>
        <v/>
      </c>
      <c r="M841" s="58" t="str">
        <f t="shared" si="131"/>
        <v/>
      </c>
      <c r="N841" s="59" t="str">
        <f t="shared" si="127"/>
        <v/>
      </c>
      <c r="O841" s="60"/>
      <c r="P841" s="105"/>
    </row>
    <row r="842" spans="1:16" x14ac:dyDescent="0.3">
      <c r="A842" s="54" t="str">
        <f>IF([2]weekly_demand!A843="","",[2]weekly_demand!A843)</f>
        <v/>
      </c>
      <c r="B842" s="55" t="str">
        <f>IF($A842="","",[2]weekly_demand!F843)</f>
        <v/>
      </c>
      <c r="C842" s="56" t="str">
        <f>IF($A842="","",[2]weekly_demand!H843)</f>
        <v/>
      </c>
      <c r="D842" s="57" t="str">
        <f>IF($A842="","",IF(SUMIFS([2]Fixture_Capacity_Input!$C:$C,[2]Fixture_Capacity_Input!$A:$A,$B842,[2]Fixture_Capacity_Input!$B:$B,$C842)&gt;0,SUMIFS([2]Fixture_Capacity_Input!$C:$C,[2]Fixture_Capacity_Input!$A:$A,$B842,[2]Fixture_Capacity_Input!$B:$B,$C842),[2]weekly_demand!G843))</f>
        <v/>
      </c>
      <c r="E842" s="58" t="str">
        <f>IF($A842="","",[2]weekly_demand!I843)</f>
        <v/>
      </c>
      <c r="F842" s="57" t="str">
        <f t="shared" si="124"/>
        <v/>
      </c>
      <c r="G842" s="57" t="str">
        <f t="shared" si="125"/>
        <v/>
      </c>
      <c r="H842" s="57" t="str">
        <f t="shared" si="123"/>
        <v/>
      </c>
      <c r="I842" s="58" t="str">
        <f t="shared" si="128"/>
        <v/>
      </c>
      <c r="J842" s="58" t="str">
        <f t="shared" si="126"/>
        <v/>
      </c>
      <c r="K842" s="58" t="str">
        <f t="shared" si="129"/>
        <v/>
      </c>
      <c r="L842" s="58" t="str">
        <f t="shared" si="130"/>
        <v/>
      </c>
      <c r="M842" s="58" t="str">
        <f t="shared" si="131"/>
        <v/>
      </c>
      <c r="N842" s="59" t="str">
        <f t="shared" si="127"/>
        <v/>
      </c>
      <c r="O842" s="60"/>
      <c r="P842" s="105"/>
    </row>
    <row r="843" spans="1:16" x14ac:dyDescent="0.3">
      <c r="A843" s="54" t="str">
        <f>IF([2]weekly_demand!A844="","",[2]weekly_demand!A844)</f>
        <v/>
      </c>
      <c r="B843" s="55" t="str">
        <f>IF($A843="","",[2]weekly_demand!F844)</f>
        <v/>
      </c>
      <c r="C843" s="56" t="str">
        <f>IF($A843="","",[2]weekly_demand!H844)</f>
        <v/>
      </c>
      <c r="D843" s="57" t="str">
        <f>IF($A843="","",IF(SUMIFS([2]Fixture_Capacity_Input!$C:$C,[2]Fixture_Capacity_Input!$A:$A,$B843,[2]Fixture_Capacity_Input!$B:$B,$C843)&gt;0,SUMIFS([2]Fixture_Capacity_Input!$C:$C,[2]Fixture_Capacity_Input!$A:$A,$B843,[2]Fixture_Capacity_Input!$B:$B,$C843),[2]weekly_demand!G844))</f>
        <v/>
      </c>
      <c r="E843" s="58" t="str">
        <f>IF($A843="","",[2]weekly_demand!I844)</f>
        <v/>
      </c>
      <c r="F843" s="57" t="str">
        <f t="shared" si="124"/>
        <v/>
      </c>
      <c r="G843" s="57" t="str">
        <f t="shared" si="125"/>
        <v/>
      </c>
      <c r="H843" s="57" t="str">
        <f t="shared" si="123"/>
        <v/>
      </c>
      <c r="I843" s="58" t="str">
        <f t="shared" si="128"/>
        <v/>
      </c>
      <c r="J843" s="58" t="str">
        <f t="shared" si="126"/>
        <v/>
      </c>
      <c r="K843" s="58" t="str">
        <f t="shared" si="129"/>
        <v/>
      </c>
      <c r="L843" s="58" t="str">
        <f t="shared" si="130"/>
        <v/>
      </c>
      <c r="M843" s="58" t="str">
        <f t="shared" si="131"/>
        <v/>
      </c>
      <c r="N843" s="59" t="str">
        <f t="shared" si="127"/>
        <v/>
      </c>
      <c r="O843" s="60"/>
      <c r="P843" s="105"/>
    </row>
    <row r="844" spans="1:16" x14ac:dyDescent="0.3">
      <c r="A844" s="54" t="str">
        <f>IF([2]weekly_demand!A845="","",[2]weekly_demand!A845)</f>
        <v/>
      </c>
      <c r="B844" s="55" t="str">
        <f>IF($A844="","",[2]weekly_demand!F845)</f>
        <v/>
      </c>
      <c r="C844" s="56" t="str">
        <f>IF($A844="","",[2]weekly_demand!H845)</f>
        <v/>
      </c>
      <c r="D844" s="57" t="str">
        <f>IF($A844="","",IF(SUMIFS([2]Fixture_Capacity_Input!$C:$C,[2]Fixture_Capacity_Input!$A:$A,$B844,[2]Fixture_Capacity_Input!$B:$B,$C844)&gt;0,SUMIFS([2]Fixture_Capacity_Input!$C:$C,[2]Fixture_Capacity_Input!$A:$A,$B844,[2]Fixture_Capacity_Input!$B:$B,$C844),[2]weekly_demand!G845))</f>
        <v/>
      </c>
      <c r="E844" s="58" t="str">
        <f>IF($A844="","",[2]weekly_demand!I845)</f>
        <v/>
      </c>
      <c r="F844" s="57" t="str">
        <f t="shared" si="124"/>
        <v/>
      </c>
      <c r="G844" s="57" t="str">
        <f t="shared" si="125"/>
        <v/>
      </c>
      <c r="H844" s="57" t="str">
        <f t="shared" si="123"/>
        <v/>
      </c>
      <c r="I844" s="58" t="str">
        <f t="shared" si="128"/>
        <v/>
      </c>
      <c r="J844" s="58" t="str">
        <f t="shared" si="126"/>
        <v/>
      </c>
      <c r="K844" s="58" t="str">
        <f t="shared" si="129"/>
        <v/>
      </c>
      <c r="L844" s="58" t="str">
        <f t="shared" si="130"/>
        <v/>
      </c>
      <c r="M844" s="58" t="str">
        <f t="shared" si="131"/>
        <v/>
      </c>
      <c r="N844" s="59" t="str">
        <f t="shared" si="127"/>
        <v/>
      </c>
      <c r="O844" s="60"/>
      <c r="P844" s="105"/>
    </row>
    <row r="845" spans="1:16" x14ac:dyDescent="0.3">
      <c r="A845" s="54" t="str">
        <f>IF([2]weekly_demand!A846="","",[2]weekly_demand!A846)</f>
        <v/>
      </c>
      <c r="B845" s="55" t="str">
        <f>IF($A845="","",[2]weekly_demand!F846)</f>
        <v/>
      </c>
      <c r="C845" s="56" t="str">
        <f>IF($A845="","",[2]weekly_demand!H846)</f>
        <v/>
      </c>
      <c r="D845" s="57" t="str">
        <f>IF($A845="","",IF(SUMIFS([2]Fixture_Capacity_Input!$C:$C,[2]Fixture_Capacity_Input!$A:$A,$B845,[2]Fixture_Capacity_Input!$B:$B,$C845)&gt;0,SUMIFS([2]Fixture_Capacity_Input!$C:$C,[2]Fixture_Capacity_Input!$A:$A,$B845,[2]Fixture_Capacity_Input!$B:$B,$C845),[2]weekly_demand!G846))</f>
        <v/>
      </c>
      <c r="E845" s="58" t="str">
        <f>IF($A845="","",[2]weekly_demand!I846)</f>
        <v/>
      </c>
      <c r="F845" s="57" t="str">
        <f t="shared" si="124"/>
        <v/>
      </c>
      <c r="G845" s="57" t="str">
        <f t="shared" si="125"/>
        <v/>
      </c>
      <c r="H845" s="57" t="str">
        <f t="shared" si="123"/>
        <v/>
      </c>
      <c r="I845" s="58" t="str">
        <f t="shared" si="128"/>
        <v/>
      </c>
      <c r="J845" s="58" t="str">
        <f t="shared" si="126"/>
        <v/>
      </c>
      <c r="K845" s="58" t="str">
        <f t="shared" si="129"/>
        <v/>
      </c>
      <c r="L845" s="58" t="str">
        <f t="shared" si="130"/>
        <v/>
      </c>
      <c r="M845" s="58" t="str">
        <f t="shared" si="131"/>
        <v/>
      </c>
      <c r="N845" s="59" t="str">
        <f t="shared" si="127"/>
        <v/>
      </c>
      <c r="O845" s="60"/>
      <c r="P845" s="105"/>
    </row>
    <row r="846" spans="1:16" x14ac:dyDescent="0.3">
      <c r="A846" s="54" t="str">
        <f>IF([2]weekly_demand!A847="","",[2]weekly_demand!A847)</f>
        <v/>
      </c>
      <c r="B846" s="55" t="str">
        <f>IF($A846="","",[2]weekly_demand!F847)</f>
        <v/>
      </c>
      <c r="C846" s="56" t="str">
        <f>IF($A846="","",[2]weekly_demand!H847)</f>
        <v/>
      </c>
      <c r="D846" s="57" t="str">
        <f>IF($A846="","",IF(SUMIFS([2]Fixture_Capacity_Input!$C:$C,[2]Fixture_Capacity_Input!$A:$A,$B846,[2]Fixture_Capacity_Input!$B:$B,$C846)&gt;0,SUMIFS([2]Fixture_Capacity_Input!$C:$C,[2]Fixture_Capacity_Input!$A:$A,$B846,[2]Fixture_Capacity_Input!$B:$B,$C846),[2]weekly_demand!G847))</f>
        <v/>
      </c>
      <c r="E846" s="58" t="str">
        <f>IF($A846="","",[2]weekly_demand!I847)</f>
        <v/>
      </c>
      <c r="F846" s="57" t="str">
        <f t="shared" si="124"/>
        <v/>
      </c>
      <c r="G846" s="57" t="str">
        <f t="shared" si="125"/>
        <v/>
      </c>
      <c r="H846" s="57" t="str">
        <f t="shared" si="123"/>
        <v/>
      </c>
      <c r="I846" s="58" t="str">
        <f t="shared" si="128"/>
        <v/>
      </c>
      <c r="J846" s="58" t="str">
        <f t="shared" si="126"/>
        <v/>
      </c>
      <c r="K846" s="58" t="str">
        <f t="shared" si="129"/>
        <v/>
      </c>
      <c r="L846" s="58" t="str">
        <f t="shared" si="130"/>
        <v/>
      </c>
      <c r="M846" s="58" t="str">
        <f t="shared" si="131"/>
        <v/>
      </c>
      <c r="N846" s="59" t="str">
        <f t="shared" si="127"/>
        <v/>
      </c>
      <c r="O846" s="60"/>
      <c r="P846" s="105"/>
    </row>
    <row r="847" spans="1:16" x14ac:dyDescent="0.3">
      <c r="A847" s="54" t="str">
        <f>IF([2]weekly_demand!A848="","",[2]weekly_demand!A848)</f>
        <v/>
      </c>
      <c r="B847" s="55" t="str">
        <f>IF($A847="","",[2]weekly_demand!F848)</f>
        <v/>
      </c>
      <c r="C847" s="56" t="str">
        <f>IF($A847="","",[2]weekly_demand!H848)</f>
        <v/>
      </c>
      <c r="D847" s="57" t="str">
        <f>IF($A847="","",IF(SUMIFS([2]Fixture_Capacity_Input!$C:$C,[2]Fixture_Capacity_Input!$A:$A,$B847,[2]Fixture_Capacity_Input!$B:$B,$C847)&gt;0,SUMIFS([2]Fixture_Capacity_Input!$C:$C,[2]Fixture_Capacity_Input!$A:$A,$B847,[2]Fixture_Capacity_Input!$B:$B,$C847),[2]weekly_demand!G848))</f>
        <v/>
      </c>
      <c r="E847" s="58" t="str">
        <f>IF($A847="","",[2]weekly_demand!I848)</f>
        <v/>
      </c>
      <c r="F847" s="57" t="str">
        <f t="shared" si="124"/>
        <v/>
      </c>
      <c r="G847" s="57" t="str">
        <f t="shared" si="125"/>
        <v/>
      </c>
      <c r="H847" s="57" t="str">
        <f t="shared" si="123"/>
        <v/>
      </c>
      <c r="I847" s="58" t="str">
        <f t="shared" si="128"/>
        <v/>
      </c>
      <c r="J847" s="58" t="str">
        <f t="shared" si="126"/>
        <v/>
      </c>
      <c r="K847" s="58" t="str">
        <f t="shared" si="129"/>
        <v/>
      </c>
      <c r="L847" s="58" t="str">
        <f t="shared" si="130"/>
        <v/>
      </c>
      <c r="M847" s="58" t="str">
        <f t="shared" si="131"/>
        <v/>
      </c>
      <c r="N847" s="59" t="str">
        <f t="shared" si="127"/>
        <v/>
      </c>
      <c r="O847" s="60"/>
      <c r="P847" s="105"/>
    </row>
    <row r="848" spans="1:16" x14ac:dyDescent="0.3">
      <c r="A848" s="54" t="str">
        <f>IF([2]weekly_demand!A849="","",[2]weekly_demand!A849)</f>
        <v/>
      </c>
      <c r="B848" s="55" t="str">
        <f>IF($A848="","",[2]weekly_demand!F849)</f>
        <v/>
      </c>
      <c r="C848" s="56" t="str">
        <f>IF($A848="","",[2]weekly_demand!H849)</f>
        <v/>
      </c>
      <c r="D848" s="57" t="str">
        <f>IF($A848="","",IF(SUMIFS([2]Fixture_Capacity_Input!$C:$C,[2]Fixture_Capacity_Input!$A:$A,$B848,[2]Fixture_Capacity_Input!$B:$B,$C848)&gt;0,SUMIFS([2]Fixture_Capacity_Input!$C:$C,[2]Fixture_Capacity_Input!$A:$A,$B848,[2]Fixture_Capacity_Input!$B:$B,$C848),[2]weekly_demand!G849))</f>
        <v/>
      </c>
      <c r="E848" s="58" t="str">
        <f>IF($A848="","",[2]weekly_demand!I849)</f>
        <v/>
      </c>
      <c r="F848" s="57" t="str">
        <f t="shared" si="124"/>
        <v/>
      </c>
      <c r="G848" s="57" t="str">
        <f t="shared" si="125"/>
        <v/>
      </c>
      <c r="H848" s="57" t="str">
        <f t="shared" si="123"/>
        <v/>
      </c>
      <c r="I848" s="58" t="str">
        <f t="shared" si="128"/>
        <v/>
      </c>
      <c r="J848" s="58" t="str">
        <f t="shared" si="126"/>
        <v/>
      </c>
      <c r="K848" s="58" t="str">
        <f t="shared" si="129"/>
        <v/>
      </c>
      <c r="L848" s="58" t="str">
        <f t="shared" si="130"/>
        <v/>
      </c>
      <c r="M848" s="58" t="str">
        <f t="shared" si="131"/>
        <v/>
      </c>
      <c r="N848" s="59" t="str">
        <f t="shared" si="127"/>
        <v/>
      </c>
      <c r="O848" s="60"/>
      <c r="P848" s="105"/>
    </row>
    <row r="849" spans="1:16" x14ac:dyDescent="0.3">
      <c r="A849" s="54" t="str">
        <f>IF([2]weekly_demand!A850="","",[2]weekly_demand!A850)</f>
        <v/>
      </c>
      <c r="B849" s="55" t="str">
        <f>IF($A849="","",[2]weekly_demand!F850)</f>
        <v/>
      </c>
      <c r="C849" s="56" t="str">
        <f>IF($A849="","",[2]weekly_demand!H850)</f>
        <v/>
      </c>
      <c r="D849" s="57" t="str">
        <f>IF($A849="","",IF(SUMIFS([2]Fixture_Capacity_Input!$C:$C,[2]Fixture_Capacity_Input!$A:$A,$B849,[2]Fixture_Capacity_Input!$B:$B,$C849)&gt;0,SUMIFS([2]Fixture_Capacity_Input!$C:$C,[2]Fixture_Capacity_Input!$A:$A,$B849,[2]Fixture_Capacity_Input!$B:$B,$C849),[2]weekly_demand!G850))</f>
        <v/>
      </c>
      <c r="E849" s="58" t="str">
        <f>IF($A849="","",[2]weekly_demand!I850)</f>
        <v/>
      </c>
      <c r="F849" s="57" t="str">
        <f t="shared" si="124"/>
        <v/>
      </c>
      <c r="G849" s="57" t="str">
        <f t="shared" si="125"/>
        <v/>
      </c>
      <c r="H849" s="57" t="str">
        <f t="shared" si="123"/>
        <v/>
      </c>
      <c r="I849" s="58" t="str">
        <f t="shared" si="128"/>
        <v/>
      </c>
      <c r="J849" s="58" t="str">
        <f t="shared" si="126"/>
        <v/>
      </c>
      <c r="K849" s="58" t="str">
        <f t="shared" si="129"/>
        <v/>
      </c>
      <c r="L849" s="58" t="str">
        <f t="shared" si="130"/>
        <v/>
      </c>
      <c r="M849" s="58" t="str">
        <f t="shared" si="131"/>
        <v/>
      </c>
      <c r="N849" s="59" t="str">
        <f t="shared" si="127"/>
        <v/>
      </c>
      <c r="O849" s="60"/>
      <c r="P849" s="105"/>
    </row>
    <row r="850" spans="1:16" x14ac:dyDescent="0.3">
      <c r="A850" s="54" t="str">
        <f>IF([2]weekly_demand!A851="","",[2]weekly_demand!A851)</f>
        <v/>
      </c>
      <c r="B850" s="55" t="str">
        <f>IF($A850="","",[2]weekly_demand!F851)</f>
        <v/>
      </c>
      <c r="C850" s="56" t="str">
        <f>IF($A850="","",[2]weekly_demand!H851)</f>
        <v/>
      </c>
      <c r="D850" s="57" t="str">
        <f>IF($A850="","",IF(SUMIFS([2]Fixture_Capacity_Input!$C:$C,[2]Fixture_Capacity_Input!$A:$A,$B850,[2]Fixture_Capacity_Input!$B:$B,$C850)&gt;0,SUMIFS([2]Fixture_Capacity_Input!$C:$C,[2]Fixture_Capacity_Input!$A:$A,$B850,[2]Fixture_Capacity_Input!$B:$B,$C850),[2]weekly_demand!G851))</f>
        <v/>
      </c>
      <c r="E850" s="58" t="str">
        <f>IF($A850="","",[2]weekly_demand!I851)</f>
        <v/>
      </c>
      <c r="F850" s="57" t="str">
        <f t="shared" si="124"/>
        <v/>
      </c>
      <c r="G850" s="57" t="str">
        <f t="shared" si="125"/>
        <v/>
      </c>
      <c r="H850" s="57" t="str">
        <f t="shared" si="123"/>
        <v/>
      </c>
      <c r="I850" s="58" t="str">
        <f t="shared" si="128"/>
        <v/>
      </c>
      <c r="J850" s="58" t="str">
        <f t="shared" si="126"/>
        <v/>
      </c>
      <c r="K850" s="58" t="str">
        <f t="shared" si="129"/>
        <v/>
      </c>
      <c r="L850" s="58" t="str">
        <f t="shared" si="130"/>
        <v/>
      </c>
      <c r="M850" s="58" t="str">
        <f t="shared" si="131"/>
        <v/>
      </c>
      <c r="N850" s="59" t="str">
        <f t="shared" si="127"/>
        <v/>
      </c>
      <c r="O850" s="60"/>
      <c r="P850" s="105"/>
    </row>
    <row r="851" spans="1:16" x14ac:dyDescent="0.3">
      <c r="A851" s="54" t="str">
        <f>IF([2]weekly_demand!A852="","",[2]weekly_demand!A852)</f>
        <v/>
      </c>
      <c r="B851" s="55" t="str">
        <f>IF($A851="","",[2]weekly_demand!F852)</f>
        <v/>
      </c>
      <c r="C851" s="56" t="str">
        <f>IF($A851="","",[2]weekly_demand!H852)</f>
        <v/>
      </c>
      <c r="D851" s="57" t="str">
        <f>IF($A851="","",IF(SUMIFS([2]Fixture_Capacity_Input!$C:$C,[2]Fixture_Capacity_Input!$A:$A,$B851,[2]Fixture_Capacity_Input!$B:$B,$C851)&gt;0,SUMIFS([2]Fixture_Capacity_Input!$C:$C,[2]Fixture_Capacity_Input!$A:$A,$B851,[2]Fixture_Capacity_Input!$B:$B,$C851),[2]weekly_demand!G852))</f>
        <v/>
      </c>
      <c r="E851" s="58" t="str">
        <f>IF($A851="","",[2]weekly_demand!I852)</f>
        <v/>
      </c>
      <c r="F851" s="57" t="str">
        <f t="shared" si="124"/>
        <v/>
      </c>
      <c r="G851" s="57" t="str">
        <f t="shared" si="125"/>
        <v/>
      </c>
      <c r="H851" s="57" t="str">
        <f t="shared" si="123"/>
        <v/>
      </c>
      <c r="I851" s="58" t="str">
        <f t="shared" si="128"/>
        <v/>
      </c>
      <c r="J851" s="58" t="str">
        <f t="shared" si="126"/>
        <v/>
      </c>
      <c r="K851" s="58" t="str">
        <f t="shared" si="129"/>
        <v/>
      </c>
      <c r="L851" s="58" t="str">
        <f t="shared" si="130"/>
        <v/>
      </c>
      <c r="M851" s="58" t="str">
        <f t="shared" si="131"/>
        <v/>
      </c>
      <c r="N851" s="59" t="str">
        <f t="shared" si="127"/>
        <v/>
      </c>
      <c r="O851" s="60"/>
      <c r="P851" s="105"/>
    </row>
    <row r="852" spans="1:16" x14ac:dyDescent="0.3">
      <c r="A852" s="54" t="str">
        <f>IF([2]weekly_demand!A853="","",[2]weekly_demand!A853)</f>
        <v/>
      </c>
      <c r="B852" s="55" t="str">
        <f>IF($A852="","",[2]weekly_demand!F853)</f>
        <v/>
      </c>
      <c r="C852" s="56" t="str">
        <f>IF($A852="","",[2]weekly_demand!H853)</f>
        <v/>
      </c>
      <c r="D852" s="57" t="str">
        <f>IF($A852="","",IF(SUMIFS([2]Fixture_Capacity_Input!$C:$C,[2]Fixture_Capacity_Input!$A:$A,$B852,[2]Fixture_Capacity_Input!$B:$B,$C852)&gt;0,SUMIFS([2]Fixture_Capacity_Input!$C:$C,[2]Fixture_Capacity_Input!$A:$A,$B852,[2]Fixture_Capacity_Input!$B:$B,$C852),[2]weekly_demand!G853))</f>
        <v/>
      </c>
      <c r="E852" s="58" t="str">
        <f>IF($A852="","",[2]weekly_demand!I853)</f>
        <v/>
      </c>
      <c r="F852" s="57" t="str">
        <f t="shared" si="124"/>
        <v/>
      </c>
      <c r="G852" s="57" t="str">
        <f t="shared" si="125"/>
        <v/>
      </c>
      <c r="H852" s="57" t="str">
        <f t="shared" si="123"/>
        <v/>
      </c>
      <c r="I852" s="58" t="str">
        <f t="shared" si="128"/>
        <v/>
      </c>
      <c r="J852" s="58" t="str">
        <f t="shared" si="126"/>
        <v/>
      </c>
      <c r="K852" s="58" t="str">
        <f t="shared" si="129"/>
        <v/>
      </c>
      <c r="L852" s="58" t="str">
        <f t="shared" si="130"/>
        <v/>
      </c>
      <c r="M852" s="58" t="str">
        <f t="shared" si="131"/>
        <v/>
      </c>
      <c r="N852" s="59" t="str">
        <f t="shared" si="127"/>
        <v/>
      </c>
      <c r="O852" s="60"/>
      <c r="P852" s="105"/>
    </row>
    <row r="853" spans="1:16" x14ac:dyDescent="0.3">
      <c r="A853" s="54" t="str">
        <f>IF([2]weekly_demand!A854="","",[2]weekly_demand!A854)</f>
        <v/>
      </c>
      <c r="B853" s="55" t="str">
        <f>IF($A853="","",[2]weekly_demand!F854)</f>
        <v/>
      </c>
      <c r="C853" s="56" t="str">
        <f>IF($A853="","",[2]weekly_demand!H854)</f>
        <v/>
      </c>
      <c r="D853" s="57" t="str">
        <f>IF($A853="","",IF(SUMIFS([2]Fixture_Capacity_Input!$C:$C,[2]Fixture_Capacity_Input!$A:$A,$B853,[2]Fixture_Capacity_Input!$B:$B,$C853)&gt;0,SUMIFS([2]Fixture_Capacity_Input!$C:$C,[2]Fixture_Capacity_Input!$A:$A,$B853,[2]Fixture_Capacity_Input!$B:$B,$C853),[2]weekly_demand!G854))</f>
        <v/>
      </c>
      <c r="E853" s="58" t="str">
        <f>IF($A853="","",[2]weekly_demand!I854)</f>
        <v/>
      </c>
      <c r="F853" s="57" t="str">
        <f t="shared" si="124"/>
        <v/>
      </c>
      <c r="G853" s="57" t="str">
        <f t="shared" si="125"/>
        <v/>
      </c>
      <c r="H853" s="57" t="str">
        <f t="shared" si="123"/>
        <v/>
      </c>
      <c r="I853" s="58" t="str">
        <f t="shared" si="128"/>
        <v/>
      </c>
      <c r="J853" s="58" t="str">
        <f t="shared" si="126"/>
        <v/>
      </c>
      <c r="K853" s="58" t="str">
        <f t="shared" si="129"/>
        <v/>
      </c>
      <c r="L853" s="58" t="str">
        <f t="shared" si="130"/>
        <v/>
      </c>
      <c r="M853" s="58" t="str">
        <f t="shared" si="131"/>
        <v/>
      </c>
      <c r="N853" s="59" t="str">
        <f t="shared" si="127"/>
        <v/>
      </c>
      <c r="O853" s="60"/>
      <c r="P853" s="105"/>
    </row>
    <row r="854" spans="1:16" x14ac:dyDescent="0.3">
      <c r="A854" s="54" t="str">
        <f>IF([2]weekly_demand!A855="","",[2]weekly_demand!A855)</f>
        <v/>
      </c>
      <c r="B854" s="55" t="str">
        <f>IF($A854="","",[2]weekly_demand!F855)</f>
        <v/>
      </c>
      <c r="C854" s="56" t="str">
        <f>IF($A854="","",[2]weekly_demand!H855)</f>
        <v/>
      </c>
      <c r="D854" s="57" t="str">
        <f>IF($A854="","",IF(SUMIFS([2]Fixture_Capacity_Input!$C:$C,[2]Fixture_Capacity_Input!$A:$A,$B854,[2]Fixture_Capacity_Input!$B:$B,$C854)&gt;0,SUMIFS([2]Fixture_Capacity_Input!$C:$C,[2]Fixture_Capacity_Input!$A:$A,$B854,[2]Fixture_Capacity_Input!$B:$B,$C854),[2]weekly_demand!G855))</f>
        <v/>
      </c>
      <c r="E854" s="58" t="str">
        <f>IF($A854="","",[2]weekly_demand!I855)</f>
        <v/>
      </c>
      <c r="F854" s="57" t="str">
        <f t="shared" si="124"/>
        <v/>
      </c>
      <c r="G854" s="57" t="str">
        <f t="shared" si="125"/>
        <v/>
      </c>
      <c r="H854" s="57" t="str">
        <f t="shared" si="123"/>
        <v/>
      </c>
      <c r="I854" s="58" t="str">
        <f t="shared" si="128"/>
        <v/>
      </c>
      <c r="J854" s="58" t="str">
        <f t="shared" si="126"/>
        <v/>
      </c>
      <c r="K854" s="58" t="str">
        <f t="shared" si="129"/>
        <v/>
      </c>
      <c r="L854" s="58" t="str">
        <f t="shared" si="130"/>
        <v/>
      </c>
      <c r="M854" s="58" t="str">
        <f t="shared" si="131"/>
        <v/>
      </c>
      <c r="N854" s="59" t="str">
        <f t="shared" si="127"/>
        <v/>
      </c>
      <c r="O854" s="60"/>
      <c r="P854" s="105"/>
    </row>
    <row r="855" spans="1:16" x14ac:dyDescent="0.3">
      <c r="A855" s="54" t="str">
        <f>IF([2]weekly_demand!A856="","",[2]weekly_demand!A856)</f>
        <v/>
      </c>
      <c r="B855" s="55" t="str">
        <f>IF($A855="","",[2]weekly_demand!F856)</f>
        <v/>
      </c>
      <c r="C855" s="56" t="str">
        <f>IF($A855="","",[2]weekly_demand!H856)</f>
        <v/>
      </c>
      <c r="D855" s="57" t="str">
        <f>IF($A855="","",IF(SUMIFS([2]Fixture_Capacity_Input!$C:$C,[2]Fixture_Capacity_Input!$A:$A,$B855,[2]Fixture_Capacity_Input!$B:$B,$C855)&gt;0,SUMIFS([2]Fixture_Capacity_Input!$C:$C,[2]Fixture_Capacity_Input!$A:$A,$B855,[2]Fixture_Capacity_Input!$B:$B,$C855),[2]weekly_demand!G856))</f>
        <v/>
      </c>
      <c r="E855" s="58" t="str">
        <f>IF($A855="","",[2]weekly_demand!I856)</f>
        <v/>
      </c>
      <c r="F855" s="57" t="str">
        <f t="shared" si="124"/>
        <v/>
      </c>
      <c r="G855" s="57" t="str">
        <f t="shared" si="125"/>
        <v/>
      </c>
      <c r="H855" s="57" t="str">
        <f t="shared" si="123"/>
        <v/>
      </c>
      <c r="I855" s="58" t="str">
        <f t="shared" si="128"/>
        <v/>
      </c>
      <c r="J855" s="58" t="str">
        <f t="shared" si="126"/>
        <v/>
      </c>
      <c r="K855" s="58" t="str">
        <f t="shared" si="129"/>
        <v/>
      </c>
      <c r="L855" s="58" t="str">
        <f t="shared" si="130"/>
        <v/>
      </c>
      <c r="M855" s="58" t="str">
        <f t="shared" si="131"/>
        <v/>
      </c>
      <c r="N855" s="59" t="str">
        <f t="shared" si="127"/>
        <v/>
      </c>
      <c r="O855" s="60"/>
      <c r="P855" s="105"/>
    </row>
    <row r="856" spans="1:16" x14ac:dyDescent="0.3">
      <c r="A856" s="54" t="str">
        <f>IF([2]weekly_demand!A857="","",[2]weekly_demand!A857)</f>
        <v/>
      </c>
      <c r="B856" s="55" t="str">
        <f>IF($A856="","",[2]weekly_demand!F857)</f>
        <v/>
      </c>
      <c r="C856" s="56" t="str">
        <f>IF($A856="","",[2]weekly_demand!H857)</f>
        <v/>
      </c>
      <c r="D856" s="57" t="str">
        <f>IF($A856="","",IF(SUMIFS([2]Fixture_Capacity_Input!$C:$C,[2]Fixture_Capacity_Input!$A:$A,$B856,[2]Fixture_Capacity_Input!$B:$B,$C856)&gt;0,SUMIFS([2]Fixture_Capacity_Input!$C:$C,[2]Fixture_Capacity_Input!$A:$A,$B856,[2]Fixture_Capacity_Input!$B:$B,$C856),[2]weekly_demand!G857))</f>
        <v/>
      </c>
      <c r="E856" s="58" t="str">
        <f>IF($A856="","",[2]weekly_demand!I857)</f>
        <v/>
      </c>
      <c r="F856" s="57" t="str">
        <f t="shared" si="124"/>
        <v/>
      </c>
      <c r="G856" s="57" t="str">
        <f t="shared" si="125"/>
        <v/>
      </c>
      <c r="H856" s="57" t="str">
        <f t="shared" si="123"/>
        <v/>
      </c>
      <c r="I856" s="58" t="str">
        <f t="shared" si="128"/>
        <v/>
      </c>
      <c r="J856" s="58" t="str">
        <f t="shared" si="126"/>
        <v/>
      </c>
      <c r="K856" s="58" t="str">
        <f t="shared" si="129"/>
        <v/>
      </c>
      <c r="L856" s="58" t="str">
        <f t="shared" si="130"/>
        <v/>
      </c>
      <c r="M856" s="58" t="str">
        <f t="shared" si="131"/>
        <v/>
      </c>
      <c r="N856" s="59" t="str">
        <f t="shared" si="127"/>
        <v/>
      </c>
      <c r="O856" s="60"/>
      <c r="P856" s="105"/>
    </row>
    <row r="857" spans="1:16" x14ac:dyDescent="0.3">
      <c r="A857" s="54" t="str">
        <f>IF([2]weekly_demand!A858="","",[2]weekly_demand!A858)</f>
        <v/>
      </c>
      <c r="B857" s="55" t="str">
        <f>IF($A857="","",[2]weekly_demand!F858)</f>
        <v/>
      </c>
      <c r="C857" s="56" t="str">
        <f>IF($A857="","",[2]weekly_demand!H858)</f>
        <v/>
      </c>
      <c r="D857" s="57" t="str">
        <f>IF($A857="","",IF(SUMIFS([2]Fixture_Capacity_Input!$C:$C,[2]Fixture_Capacity_Input!$A:$A,$B857,[2]Fixture_Capacity_Input!$B:$B,$C857)&gt;0,SUMIFS([2]Fixture_Capacity_Input!$C:$C,[2]Fixture_Capacity_Input!$A:$A,$B857,[2]Fixture_Capacity_Input!$B:$B,$C857),[2]weekly_demand!G858))</f>
        <v/>
      </c>
      <c r="E857" s="58" t="str">
        <f>IF($A857="","",[2]weekly_demand!I858)</f>
        <v/>
      </c>
      <c r="F857" s="57" t="str">
        <f t="shared" si="124"/>
        <v/>
      </c>
      <c r="G857" s="57" t="str">
        <f t="shared" si="125"/>
        <v/>
      </c>
      <c r="H857" s="57" t="str">
        <f t="shared" si="123"/>
        <v/>
      </c>
      <c r="I857" s="58" t="str">
        <f t="shared" si="128"/>
        <v/>
      </c>
      <c r="J857" s="58" t="str">
        <f t="shared" si="126"/>
        <v/>
      </c>
      <c r="K857" s="58" t="str">
        <f t="shared" si="129"/>
        <v/>
      </c>
      <c r="L857" s="58" t="str">
        <f t="shared" si="130"/>
        <v/>
      </c>
      <c r="M857" s="58" t="str">
        <f t="shared" si="131"/>
        <v/>
      </c>
      <c r="N857" s="59" t="str">
        <f t="shared" si="127"/>
        <v/>
      </c>
      <c r="O857" s="60"/>
      <c r="P857" s="105"/>
    </row>
    <row r="858" spans="1:16" x14ac:dyDescent="0.3">
      <c r="A858" s="54" t="str">
        <f>IF([2]weekly_demand!A859="","",[2]weekly_demand!A859)</f>
        <v/>
      </c>
      <c r="B858" s="55" t="str">
        <f>IF($A858="","",[2]weekly_demand!F859)</f>
        <v/>
      </c>
      <c r="C858" s="56" t="str">
        <f>IF($A858="","",[2]weekly_demand!H859)</f>
        <v/>
      </c>
      <c r="D858" s="57" t="str">
        <f>IF($A858="","",IF(SUMIFS([2]Fixture_Capacity_Input!$C:$C,[2]Fixture_Capacity_Input!$A:$A,$B858,[2]Fixture_Capacity_Input!$B:$B,$C858)&gt;0,SUMIFS([2]Fixture_Capacity_Input!$C:$C,[2]Fixture_Capacity_Input!$A:$A,$B858,[2]Fixture_Capacity_Input!$B:$B,$C858),[2]weekly_demand!G859))</f>
        <v/>
      </c>
      <c r="E858" s="58" t="str">
        <f>IF($A858="","",[2]weekly_demand!I859)</f>
        <v/>
      </c>
      <c r="F858" s="57" t="str">
        <f t="shared" si="124"/>
        <v/>
      </c>
      <c r="G858" s="57" t="str">
        <f t="shared" si="125"/>
        <v/>
      </c>
      <c r="H858" s="57" t="str">
        <f t="shared" si="123"/>
        <v/>
      </c>
      <c r="I858" s="58" t="str">
        <f t="shared" si="128"/>
        <v/>
      </c>
      <c r="J858" s="58" t="str">
        <f t="shared" si="126"/>
        <v/>
      </c>
      <c r="K858" s="58" t="str">
        <f t="shared" si="129"/>
        <v/>
      </c>
      <c r="L858" s="58" t="str">
        <f t="shared" si="130"/>
        <v/>
      </c>
      <c r="M858" s="58" t="str">
        <f t="shared" si="131"/>
        <v/>
      </c>
      <c r="N858" s="59" t="str">
        <f t="shared" si="127"/>
        <v/>
      </c>
      <c r="O858" s="60"/>
      <c r="P858" s="105"/>
    </row>
    <row r="859" spans="1:16" x14ac:dyDescent="0.3">
      <c r="A859" s="54" t="str">
        <f>IF([2]weekly_demand!A860="","",[2]weekly_demand!A860)</f>
        <v/>
      </c>
      <c r="B859" s="55" t="str">
        <f>IF($A859="","",[2]weekly_demand!F860)</f>
        <v/>
      </c>
      <c r="C859" s="56" t="str">
        <f>IF($A859="","",[2]weekly_demand!H860)</f>
        <v/>
      </c>
      <c r="D859" s="57" t="str">
        <f>IF($A859="","",IF(SUMIFS([2]Fixture_Capacity_Input!$C:$C,[2]Fixture_Capacity_Input!$A:$A,$B859,[2]Fixture_Capacity_Input!$B:$B,$C859)&gt;0,SUMIFS([2]Fixture_Capacity_Input!$C:$C,[2]Fixture_Capacity_Input!$A:$A,$B859,[2]Fixture_Capacity_Input!$B:$B,$C859),[2]weekly_demand!G860))</f>
        <v/>
      </c>
      <c r="E859" s="58" t="str">
        <f>IF($A859="","",[2]weekly_demand!I860)</f>
        <v/>
      </c>
      <c r="F859" s="57" t="str">
        <f t="shared" si="124"/>
        <v/>
      </c>
      <c r="G859" s="57" t="str">
        <f t="shared" si="125"/>
        <v/>
      </c>
      <c r="H859" s="57" t="str">
        <f t="shared" si="123"/>
        <v/>
      </c>
      <c r="I859" s="58" t="str">
        <f t="shared" si="128"/>
        <v/>
      </c>
      <c r="J859" s="58" t="str">
        <f t="shared" si="126"/>
        <v/>
      </c>
      <c r="K859" s="58" t="str">
        <f t="shared" si="129"/>
        <v/>
      </c>
      <c r="L859" s="58" t="str">
        <f t="shared" si="130"/>
        <v/>
      </c>
      <c r="M859" s="58" t="str">
        <f t="shared" si="131"/>
        <v/>
      </c>
      <c r="N859" s="59" t="str">
        <f t="shared" si="127"/>
        <v/>
      </c>
      <c r="O859" s="60"/>
      <c r="P859" s="105"/>
    </row>
    <row r="860" spans="1:16" x14ac:dyDescent="0.3">
      <c r="A860" s="54" t="str">
        <f>IF([2]weekly_demand!A861="","",[2]weekly_demand!A861)</f>
        <v/>
      </c>
      <c r="B860" s="55" t="str">
        <f>IF($A860="","",[2]weekly_demand!F861)</f>
        <v/>
      </c>
      <c r="C860" s="56" t="str">
        <f>IF($A860="","",[2]weekly_demand!H861)</f>
        <v/>
      </c>
      <c r="D860" s="57" t="str">
        <f>IF($A860="","",IF(SUMIFS([2]Fixture_Capacity_Input!$C:$C,[2]Fixture_Capacity_Input!$A:$A,$B860,[2]Fixture_Capacity_Input!$B:$B,$C860)&gt;0,SUMIFS([2]Fixture_Capacity_Input!$C:$C,[2]Fixture_Capacity_Input!$A:$A,$B860,[2]Fixture_Capacity_Input!$B:$B,$C860),[2]weekly_demand!G861))</f>
        <v/>
      </c>
      <c r="E860" s="58" t="str">
        <f>IF($A860="","",[2]weekly_demand!I861)</f>
        <v/>
      </c>
      <c r="F860" s="57" t="str">
        <f t="shared" si="124"/>
        <v/>
      </c>
      <c r="G860" s="57" t="str">
        <f t="shared" si="125"/>
        <v/>
      </c>
      <c r="H860" s="57" t="str">
        <f t="shared" si="123"/>
        <v/>
      </c>
      <c r="I860" s="58" t="str">
        <f t="shared" si="128"/>
        <v/>
      </c>
      <c r="J860" s="58" t="str">
        <f t="shared" si="126"/>
        <v/>
      </c>
      <c r="K860" s="58" t="str">
        <f t="shared" si="129"/>
        <v/>
      </c>
      <c r="L860" s="58" t="str">
        <f t="shared" si="130"/>
        <v/>
      </c>
      <c r="M860" s="58" t="str">
        <f t="shared" si="131"/>
        <v/>
      </c>
      <c r="N860" s="59" t="str">
        <f t="shared" si="127"/>
        <v/>
      </c>
      <c r="O860" s="60"/>
      <c r="P860" s="105"/>
    </row>
    <row r="861" spans="1:16" x14ac:dyDescent="0.3">
      <c r="A861" s="54" t="str">
        <f>IF([2]weekly_demand!A862="","",[2]weekly_demand!A862)</f>
        <v/>
      </c>
      <c r="B861" s="55" t="str">
        <f>IF($A861="","",[2]weekly_demand!F862)</f>
        <v/>
      </c>
      <c r="C861" s="56" t="str">
        <f>IF($A861="","",[2]weekly_demand!H862)</f>
        <v/>
      </c>
      <c r="D861" s="57" t="str">
        <f>IF($A861="","",IF(SUMIFS([2]Fixture_Capacity_Input!$C:$C,[2]Fixture_Capacity_Input!$A:$A,$B861,[2]Fixture_Capacity_Input!$B:$B,$C861)&gt;0,SUMIFS([2]Fixture_Capacity_Input!$C:$C,[2]Fixture_Capacity_Input!$A:$A,$B861,[2]Fixture_Capacity_Input!$B:$B,$C861),[2]weekly_demand!G862))</f>
        <v/>
      </c>
      <c r="E861" s="58" t="str">
        <f>IF($A861="","",[2]weekly_demand!I862)</f>
        <v/>
      </c>
      <c r="F861" s="57" t="str">
        <f t="shared" si="124"/>
        <v/>
      </c>
      <c r="G861" s="57" t="str">
        <f t="shared" si="125"/>
        <v/>
      </c>
      <c r="H861" s="57" t="str">
        <f t="shared" si="123"/>
        <v/>
      </c>
      <c r="I861" s="58" t="str">
        <f t="shared" si="128"/>
        <v/>
      </c>
      <c r="J861" s="58" t="str">
        <f t="shared" si="126"/>
        <v/>
      </c>
      <c r="K861" s="58" t="str">
        <f t="shared" si="129"/>
        <v/>
      </c>
      <c r="L861" s="58" t="str">
        <f t="shared" si="130"/>
        <v/>
      </c>
      <c r="M861" s="58" t="str">
        <f t="shared" si="131"/>
        <v/>
      </c>
      <c r="N861" s="59" t="str">
        <f t="shared" si="127"/>
        <v/>
      </c>
      <c r="O861" s="60"/>
      <c r="P861" s="105"/>
    </row>
    <row r="862" spans="1:16" x14ac:dyDescent="0.3">
      <c r="A862" s="54" t="str">
        <f>IF([2]weekly_demand!A863="","",[2]weekly_demand!A863)</f>
        <v/>
      </c>
      <c r="B862" s="55" t="str">
        <f>IF($A862="","",[2]weekly_demand!F863)</f>
        <v/>
      </c>
      <c r="C862" s="56" t="str">
        <f>IF($A862="","",[2]weekly_demand!H863)</f>
        <v/>
      </c>
      <c r="D862" s="57" t="str">
        <f>IF($A862="","",IF(SUMIFS([2]Fixture_Capacity_Input!$C:$C,[2]Fixture_Capacity_Input!$A:$A,$B862,[2]Fixture_Capacity_Input!$B:$B,$C862)&gt;0,SUMIFS([2]Fixture_Capacity_Input!$C:$C,[2]Fixture_Capacity_Input!$A:$A,$B862,[2]Fixture_Capacity_Input!$B:$B,$C862),[2]weekly_demand!G863))</f>
        <v/>
      </c>
      <c r="E862" s="58" t="str">
        <f>IF($A862="","",[2]weekly_demand!I863)</f>
        <v/>
      </c>
      <c r="F862" s="57" t="str">
        <f t="shared" si="124"/>
        <v/>
      </c>
      <c r="G862" s="57" t="str">
        <f t="shared" si="125"/>
        <v/>
      </c>
      <c r="H862" s="57" t="str">
        <f t="shared" si="123"/>
        <v/>
      </c>
      <c r="I862" s="58" t="str">
        <f t="shared" si="128"/>
        <v/>
      </c>
      <c r="J862" s="58" t="str">
        <f t="shared" si="126"/>
        <v/>
      </c>
      <c r="K862" s="58" t="str">
        <f t="shared" si="129"/>
        <v/>
      </c>
      <c r="L862" s="58" t="str">
        <f t="shared" si="130"/>
        <v/>
      </c>
      <c r="M862" s="58" t="str">
        <f t="shared" si="131"/>
        <v/>
      </c>
      <c r="N862" s="59" t="str">
        <f t="shared" si="127"/>
        <v/>
      </c>
      <c r="O862" s="60"/>
      <c r="P862" s="105"/>
    </row>
    <row r="863" spans="1:16" x14ac:dyDescent="0.3">
      <c r="A863" s="54" t="str">
        <f>IF([2]weekly_demand!A864="","",[2]weekly_demand!A864)</f>
        <v/>
      </c>
      <c r="B863" s="55" t="str">
        <f>IF($A863="","",[2]weekly_demand!F864)</f>
        <v/>
      </c>
      <c r="C863" s="56" t="str">
        <f>IF($A863="","",[2]weekly_demand!H864)</f>
        <v/>
      </c>
      <c r="D863" s="57" t="str">
        <f>IF($A863="","",IF(SUMIFS([2]Fixture_Capacity_Input!$C:$C,[2]Fixture_Capacity_Input!$A:$A,$B863,[2]Fixture_Capacity_Input!$B:$B,$C863)&gt;0,SUMIFS([2]Fixture_Capacity_Input!$C:$C,[2]Fixture_Capacity_Input!$A:$A,$B863,[2]Fixture_Capacity_Input!$B:$B,$C863),[2]weekly_demand!G864))</f>
        <v/>
      </c>
      <c r="E863" s="58" t="str">
        <f>IF($A863="","",[2]weekly_demand!I864)</f>
        <v/>
      </c>
      <c r="F863" s="57" t="str">
        <f t="shared" si="124"/>
        <v/>
      </c>
      <c r="G863" s="57" t="str">
        <f t="shared" si="125"/>
        <v/>
      </c>
      <c r="H863" s="57" t="str">
        <f t="shared" si="123"/>
        <v/>
      </c>
      <c r="I863" s="58" t="str">
        <f t="shared" si="128"/>
        <v/>
      </c>
      <c r="J863" s="58" t="str">
        <f t="shared" si="126"/>
        <v/>
      </c>
      <c r="K863" s="58" t="str">
        <f t="shared" si="129"/>
        <v/>
      </c>
      <c r="L863" s="58" t="str">
        <f t="shared" si="130"/>
        <v/>
      </c>
      <c r="M863" s="58" t="str">
        <f t="shared" si="131"/>
        <v/>
      </c>
      <c r="N863" s="59" t="str">
        <f t="shared" si="127"/>
        <v/>
      </c>
      <c r="O863" s="60"/>
      <c r="P863" s="105"/>
    </row>
    <row r="864" spans="1:16" x14ac:dyDescent="0.3">
      <c r="A864" s="54" t="str">
        <f>IF([2]weekly_demand!A865="","",[2]weekly_demand!A865)</f>
        <v/>
      </c>
      <c r="B864" s="55" t="str">
        <f>IF($A864="","",[2]weekly_demand!F865)</f>
        <v/>
      </c>
      <c r="C864" s="56" t="str">
        <f>IF($A864="","",[2]weekly_demand!H865)</f>
        <v/>
      </c>
      <c r="D864" s="57" t="str">
        <f>IF($A864="","",IF(SUMIFS([2]Fixture_Capacity_Input!$C:$C,[2]Fixture_Capacity_Input!$A:$A,$B864,[2]Fixture_Capacity_Input!$B:$B,$C864)&gt;0,SUMIFS([2]Fixture_Capacity_Input!$C:$C,[2]Fixture_Capacity_Input!$A:$A,$B864,[2]Fixture_Capacity_Input!$B:$B,$C864),[2]weekly_demand!G865))</f>
        <v/>
      </c>
      <c r="E864" s="58" t="str">
        <f>IF($A864="","",[2]weekly_demand!I865)</f>
        <v/>
      </c>
      <c r="F864" s="57" t="str">
        <f t="shared" si="124"/>
        <v/>
      </c>
      <c r="G864" s="57" t="str">
        <f t="shared" si="125"/>
        <v/>
      </c>
      <c r="H864" s="57" t="str">
        <f t="shared" si="123"/>
        <v/>
      </c>
      <c r="I864" s="58" t="str">
        <f t="shared" si="128"/>
        <v/>
      </c>
      <c r="J864" s="58" t="str">
        <f t="shared" si="126"/>
        <v/>
      </c>
      <c r="K864" s="58" t="str">
        <f t="shared" si="129"/>
        <v/>
      </c>
      <c r="L864" s="58" t="str">
        <f t="shared" si="130"/>
        <v/>
      </c>
      <c r="M864" s="58" t="str">
        <f t="shared" si="131"/>
        <v/>
      </c>
      <c r="N864" s="59" t="str">
        <f t="shared" si="127"/>
        <v/>
      </c>
      <c r="O864" s="60"/>
      <c r="P864" s="105"/>
    </row>
    <row r="865" spans="1:16" x14ac:dyDescent="0.3">
      <c r="A865" s="54" t="str">
        <f>IF([2]weekly_demand!A866="","",[2]weekly_demand!A866)</f>
        <v/>
      </c>
      <c r="B865" s="55" t="str">
        <f>IF($A865="","",[2]weekly_demand!F866)</f>
        <v/>
      </c>
      <c r="C865" s="56" t="str">
        <f>IF($A865="","",[2]weekly_demand!H866)</f>
        <v/>
      </c>
      <c r="D865" s="57" t="str">
        <f>IF($A865="","",IF(SUMIFS([2]Fixture_Capacity_Input!$C:$C,[2]Fixture_Capacity_Input!$A:$A,$B865,[2]Fixture_Capacity_Input!$B:$B,$C865)&gt;0,SUMIFS([2]Fixture_Capacity_Input!$C:$C,[2]Fixture_Capacity_Input!$A:$A,$B865,[2]Fixture_Capacity_Input!$B:$B,$C865),[2]weekly_demand!G866))</f>
        <v/>
      </c>
      <c r="E865" s="58" t="str">
        <f>IF($A865="","",[2]weekly_demand!I866)</f>
        <v/>
      </c>
      <c r="F865" s="57" t="str">
        <f t="shared" si="124"/>
        <v/>
      </c>
      <c r="G865" s="57" t="str">
        <f t="shared" si="125"/>
        <v/>
      </c>
      <c r="H865" s="57" t="str">
        <f t="shared" si="123"/>
        <v/>
      </c>
      <c r="I865" s="58" t="str">
        <f t="shared" si="128"/>
        <v/>
      </c>
      <c r="J865" s="58" t="str">
        <f t="shared" si="126"/>
        <v/>
      </c>
      <c r="K865" s="58" t="str">
        <f t="shared" si="129"/>
        <v/>
      </c>
      <c r="L865" s="58" t="str">
        <f t="shared" si="130"/>
        <v/>
      </c>
      <c r="M865" s="58" t="str">
        <f t="shared" si="131"/>
        <v/>
      </c>
      <c r="N865" s="59" t="str">
        <f t="shared" si="127"/>
        <v/>
      </c>
      <c r="O865" s="60"/>
      <c r="P865" s="105"/>
    </row>
    <row r="866" spans="1:16" x14ac:dyDescent="0.3">
      <c r="A866" s="54" t="str">
        <f>IF([2]weekly_demand!A867="","",[2]weekly_demand!A867)</f>
        <v/>
      </c>
      <c r="B866" s="55" t="str">
        <f>IF($A866="","",[2]weekly_demand!F867)</f>
        <v/>
      </c>
      <c r="C866" s="56" t="str">
        <f>IF($A866="","",[2]weekly_demand!H867)</f>
        <v/>
      </c>
      <c r="D866" s="57" t="str">
        <f>IF($A866="","",IF(SUMIFS([2]Fixture_Capacity_Input!$C:$C,[2]Fixture_Capacity_Input!$A:$A,$B866,[2]Fixture_Capacity_Input!$B:$B,$C866)&gt;0,SUMIFS([2]Fixture_Capacity_Input!$C:$C,[2]Fixture_Capacity_Input!$A:$A,$B866,[2]Fixture_Capacity_Input!$B:$B,$C866),[2]weekly_demand!G867))</f>
        <v/>
      </c>
      <c r="E866" s="58" t="str">
        <f>IF($A866="","",[2]weekly_demand!I867)</f>
        <v/>
      </c>
      <c r="F866" s="57" t="str">
        <f t="shared" si="124"/>
        <v/>
      </c>
      <c r="G866" s="57" t="str">
        <f t="shared" si="125"/>
        <v/>
      </c>
      <c r="H866" s="57" t="str">
        <f t="shared" si="123"/>
        <v/>
      </c>
      <c r="I866" s="58" t="str">
        <f t="shared" si="128"/>
        <v/>
      </c>
      <c r="J866" s="58" t="str">
        <f t="shared" si="126"/>
        <v/>
      </c>
      <c r="K866" s="58" t="str">
        <f t="shared" si="129"/>
        <v/>
      </c>
      <c r="L866" s="58" t="str">
        <f t="shared" si="130"/>
        <v/>
      </c>
      <c r="M866" s="58" t="str">
        <f t="shared" si="131"/>
        <v/>
      </c>
      <c r="N866" s="59" t="str">
        <f t="shared" si="127"/>
        <v/>
      </c>
      <c r="O866" s="60"/>
      <c r="P866" s="105"/>
    </row>
    <row r="867" spans="1:16" x14ac:dyDescent="0.3">
      <c r="A867" s="54" t="str">
        <f>IF([2]weekly_demand!A868="","",[2]weekly_demand!A868)</f>
        <v/>
      </c>
      <c r="B867" s="55" t="str">
        <f>IF($A867="","",[2]weekly_demand!F868)</f>
        <v/>
      </c>
      <c r="C867" s="56" t="str">
        <f>IF($A867="","",[2]weekly_demand!H868)</f>
        <v/>
      </c>
      <c r="D867" s="57" t="str">
        <f>IF($A867="","",IF(SUMIFS([2]Fixture_Capacity_Input!$C:$C,[2]Fixture_Capacity_Input!$A:$A,$B867,[2]Fixture_Capacity_Input!$B:$B,$C867)&gt;0,SUMIFS([2]Fixture_Capacity_Input!$C:$C,[2]Fixture_Capacity_Input!$A:$A,$B867,[2]Fixture_Capacity_Input!$B:$B,$C867),[2]weekly_demand!G868))</f>
        <v/>
      </c>
      <c r="E867" s="58" t="str">
        <f>IF($A867="","",[2]weekly_demand!I868)</f>
        <v/>
      </c>
      <c r="F867" s="57" t="str">
        <f t="shared" si="124"/>
        <v/>
      </c>
      <c r="G867" s="57" t="str">
        <f t="shared" si="125"/>
        <v/>
      </c>
      <c r="H867" s="57" t="str">
        <f t="shared" si="123"/>
        <v/>
      </c>
      <c r="I867" s="58" t="str">
        <f t="shared" si="128"/>
        <v/>
      </c>
      <c r="J867" s="58" t="str">
        <f t="shared" si="126"/>
        <v/>
      </c>
      <c r="K867" s="58" t="str">
        <f t="shared" si="129"/>
        <v/>
      </c>
      <c r="L867" s="58" t="str">
        <f t="shared" si="130"/>
        <v/>
      </c>
      <c r="M867" s="58" t="str">
        <f t="shared" si="131"/>
        <v/>
      </c>
      <c r="N867" s="59" t="str">
        <f t="shared" si="127"/>
        <v/>
      </c>
      <c r="O867" s="60"/>
      <c r="P867" s="105"/>
    </row>
    <row r="868" spans="1:16" x14ac:dyDescent="0.3">
      <c r="A868" s="54" t="str">
        <f>IF([2]weekly_demand!A869="","",[2]weekly_demand!A869)</f>
        <v/>
      </c>
      <c r="B868" s="55" t="str">
        <f>IF($A868="","",[2]weekly_demand!F869)</f>
        <v/>
      </c>
      <c r="C868" s="56" t="str">
        <f>IF($A868="","",[2]weekly_demand!H869)</f>
        <v/>
      </c>
      <c r="D868" s="57" t="str">
        <f>IF($A868="","",IF(SUMIFS([2]Fixture_Capacity_Input!$C:$C,[2]Fixture_Capacity_Input!$A:$A,$B868,[2]Fixture_Capacity_Input!$B:$B,$C868)&gt;0,SUMIFS([2]Fixture_Capacity_Input!$C:$C,[2]Fixture_Capacity_Input!$A:$A,$B868,[2]Fixture_Capacity_Input!$B:$B,$C868),[2]weekly_demand!G869))</f>
        <v/>
      </c>
      <c r="E868" s="58" t="str">
        <f>IF($A868="","",[2]weekly_demand!I869)</f>
        <v/>
      </c>
      <c r="F868" s="57" t="str">
        <f t="shared" si="124"/>
        <v/>
      </c>
      <c r="G868" s="57" t="str">
        <f t="shared" si="125"/>
        <v/>
      </c>
      <c r="H868" s="57" t="str">
        <f t="shared" si="123"/>
        <v/>
      </c>
      <c r="I868" s="58" t="str">
        <f t="shared" si="128"/>
        <v/>
      </c>
      <c r="J868" s="58" t="str">
        <f t="shared" si="126"/>
        <v/>
      </c>
      <c r="K868" s="58" t="str">
        <f t="shared" si="129"/>
        <v/>
      </c>
      <c r="L868" s="58" t="str">
        <f t="shared" si="130"/>
        <v/>
      </c>
      <c r="M868" s="58" t="str">
        <f t="shared" si="131"/>
        <v/>
      </c>
      <c r="N868" s="59" t="str">
        <f t="shared" si="127"/>
        <v/>
      </c>
      <c r="O868" s="60"/>
      <c r="P868" s="105"/>
    </row>
    <row r="869" spans="1:16" x14ac:dyDescent="0.3">
      <c r="A869" s="54" t="str">
        <f>IF([2]weekly_demand!A870="","",[2]weekly_demand!A870)</f>
        <v/>
      </c>
      <c r="B869" s="55" t="str">
        <f>IF($A869="","",[2]weekly_demand!F870)</f>
        <v/>
      </c>
      <c r="C869" s="56" t="str">
        <f>IF($A869="","",[2]weekly_demand!H870)</f>
        <v/>
      </c>
      <c r="D869" s="57" t="str">
        <f>IF($A869="","",IF(SUMIFS([2]Fixture_Capacity_Input!$C:$C,[2]Fixture_Capacity_Input!$A:$A,$B869,[2]Fixture_Capacity_Input!$B:$B,$C869)&gt;0,SUMIFS([2]Fixture_Capacity_Input!$C:$C,[2]Fixture_Capacity_Input!$A:$A,$B869,[2]Fixture_Capacity_Input!$B:$B,$C869),[2]weekly_demand!G870))</f>
        <v/>
      </c>
      <c r="E869" s="58" t="str">
        <f>IF($A869="","",[2]weekly_demand!I870)</f>
        <v/>
      </c>
      <c r="F869" s="57" t="str">
        <f t="shared" si="124"/>
        <v/>
      </c>
      <c r="G869" s="57" t="str">
        <f t="shared" si="125"/>
        <v/>
      </c>
      <c r="H869" s="57" t="str">
        <f t="shared" si="123"/>
        <v/>
      </c>
      <c r="I869" s="58" t="str">
        <f t="shared" si="128"/>
        <v/>
      </c>
      <c r="J869" s="58" t="str">
        <f t="shared" si="126"/>
        <v/>
      </c>
      <c r="K869" s="58" t="str">
        <f t="shared" si="129"/>
        <v/>
      </c>
      <c r="L869" s="58" t="str">
        <f t="shared" si="130"/>
        <v/>
      </c>
      <c r="M869" s="58" t="str">
        <f t="shared" si="131"/>
        <v/>
      </c>
      <c r="N869" s="59" t="str">
        <f t="shared" si="127"/>
        <v/>
      </c>
      <c r="O869" s="60"/>
      <c r="P869" s="105"/>
    </row>
    <row r="870" spans="1:16" x14ac:dyDescent="0.3">
      <c r="A870" s="54" t="str">
        <f>IF([2]weekly_demand!A871="","",[2]weekly_demand!A871)</f>
        <v/>
      </c>
      <c r="B870" s="55" t="str">
        <f>IF($A870="","",[2]weekly_demand!F871)</f>
        <v/>
      </c>
      <c r="C870" s="56" t="str">
        <f>IF($A870="","",[2]weekly_demand!H871)</f>
        <v/>
      </c>
      <c r="D870" s="57" t="str">
        <f>IF($A870="","",IF(SUMIFS([2]Fixture_Capacity_Input!$C:$C,[2]Fixture_Capacity_Input!$A:$A,$B870,[2]Fixture_Capacity_Input!$B:$B,$C870)&gt;0,SUMIFS([2]Fixture_Capacity_Input!$C:$C,[2]Fixture_Capacity_Input!$A:$A,$B870,[2]Fixture_Capacity_Input!$B:$B,$C870),[2]weekly_demand!G871))</f>
        <v/>
      </c>
      <c r="E870" s="58" t="str">
        <f>IF($A870="","",[2]weekly_demand!I871)</f>
        <v/>
      </c>
      <c r="F870" s="57" t="str">
        <f t="shared" si="124"/>
        <v/>
      </c>
      <c r="G870" s="57" t="str">
        <f t="shared" si="125"/>
        <v/>
      </c>
      <c r="H870" s="57" t="str">
        <f t="shared" si="123"/>
        <v/>
      </c>
      <c r="I870" s="58" t="str">
        <f t="shared" si="128"/>
        <v/>
      </c>
      <c r="J870" s="58" t="str">
        <f t="shared" si="126"/>
        <v/>
      </c>
      <c r="K870" s="58" t="str">
        <f t="shared" si="129"/>
        <v/>
      </c>
      <c r="L870" s="58" t="str">
        <f t="shared" si="130"/>
        <v/>
      </c>
      <c r="M870" s="58" t="str">
        <f t="shared" si="131"/>
        <v/>
      </c>
      <c r="N870" s="59" t="str">
        <f t="shared" si="127"/>
        <v/>
      </c>
      <c r="O870" s="60"/>
      <c r="P870" s="105"/>
    </row>
    <row r="871" spans="1:16" x14ac:dyDescent="0.3">
      <c r="A871" s="54" t="str">
        <f>IF([2]weekly_demand!A872="","",[2]weekly_demand!A872)</f>
        <v/>
      </c>
      <c r="B871" s="55" t="str">
        <f>IF($A871="","",[2]weekly_demand!F872)</f>
        <v/>
      </c>
      <c r="C871" s="56" t="str">
        <f>IF($A871="","",[2]weekly_demand!H872)</f>
        <v/>
      </c>
      <c r="D871" s="57" t="str">
        <f>IF($A871="","",IF(SUMIFS([2]Fixture_Capacity_Input!$C:$C,[2]Fixture_Capacity_Input!$A:$A,$B871,[2]Fixture_Capacity_Input!$B:$B,$C871)&gt;0,SUMIFS([2]Fixture_Capacity_Input!$C:$C,[2]Fixture_Capacity_Input!$A:$A,$B871,[2]Fixture_Capacity_Input!$B:$B,$C871),[2]weekly_demand!G872))</f>
        <v/>
      </c>
      <c r="E871" s="58" t="str">
        <f>IF($A871="","",[2]weekly_demand!I872)</f>
        <v/>
      </c>
      <c r="F871" s="57" t="str">
        <f t="shared" si="124"/>
        <v/>
      </c>
      <c r="G871" s="57" t="str">
        <f t="shared" si="125"/>
        <v/>
      </c>
      <c r="H871" s="57" t="str">
        <f t="shared" si="123"/>
        <v/>
      </c>
      <c r="I871" s="58" t="str">
        <f t="shared" si="128"/>
        <v/>
      </c>
      <c r="J871" s="58" t="str">
        <f t="shared" si="126"/>
        <v/>
      </c>
      <c r="K871" s="58" t="str">
        <f t="shared" si="129"/>
        <v/>
      </c>
      <c r="L871" s="58" t="str">
        <f t="shared" si="130"/>
        <v/>
      </c>
      <c r="M871" s="58" t="str">
        <f t="shared" si="131"/>
        <v/>
      </c>
      <c r="N871" s="59" t="str">
        <f t="shared" si="127"/>
        <v/>
      </c>
      <c r="O871" s="60"/>
      <c r="P871" s="105"/>
    </row>
    <row r="872" spans="1:16" x14ac:dyDescent="0.3">
      <c r="A872" s="54" t="str">
        <f>IF([2]weekly_demand!A873="","",[2]weekly_demand!A873)</f>
        <v/>
      </c>
      <c r="B872" s="55" t="str">
        <f>IF($A872="","",[2]weekly_demand!F873)</f>
        <v/>
      </c>
      <c r="C872" s="56" t="str">
        <f>IF($A872="","",[2]weekly_demand!H873)</f>
        <v/>
      </c>
      <c r="D872" s="57" t="str">
        <f>IF($A872="","",IF(SUMIFS([2]Fixture_Capacity_Input!$C:$C,[2]Fixture_Capacity_Input!$A:$A,$B872,[2]Fixture_Capacity_Input!$B:$B,$C872)&gt;0,SUMIFS([2]Fixture_Capacity_Input!$C:$C,[2]Fixture_Capacity_Input!$A:$A,$B872,[2]Fixture_Capacity_Input!$B:$B,$C872),[2]weekly_demand!G873))</f>
        <v/>
      </c>
      <c r="E872" s="58" t="str">
        <f>IF($A872="","",[2]weekly_demand!I873)</f>
        <v/>
      </c>
      <c r="F872" s="57" t="str">
        <f t="shared" si="124"/>
        <v/>
      </c>
      <c r="G872" s="57" t="str">
        <f t="shared" si="125"/>
        <v/>
      </c>
      <c r="H872" s="57" t="str">
        <f t="shared" si="123"/>
        <v/>
      </c>
      <c r="I872" s="58" t="str">
        <f t="shared" si="128"/>
        <v/>
      </c>
      <c r="J872" s="58" t="str">
        <f t="shared" si="126"/>
        <v/>
      </c>
      <c r="K872" s="58" t="str">
        <f t="shared" si="129"/>
        <v/>
      </c>
      <c r="L872" s="58" t="str">
        <f t="shared" si="130"/>
        <v/>
      </c>
      <c r="M872" s="58" t="str">
        <f t="shared" si="131"/>
        <v/>
      </c>
      <c r="N872" s="59" t="str">
        <f t="shared" si="127"/>
        <v/>
      </c>
      <c r="O872" s="60"/>
      <c r="P872" s="105"/>
    </row>
    <row r="873" spans="1:16" x14ac:dyDescent="0.3">
      <c r="A873" s="54" t="str">
        <f>IF([2]weekly_demand!A874="","",[2]weekly_demand!A874)</f>
        <v/>
      </c>
      <c r="B873" s="55" t="str">
        <f>IF($A873="","",[2]weekly_demand!F874)</f>
        <v/>
      </c>
      <c r="C873" s="56" t="str">
        <f>IF($A873="","",[2]weekly_demand!H874)</f>
        <v/>
      </c>
      <c r="D873" s="57" t="str">
        <f>IF($A873="","",IF(SUMIFS([2]Fixture_Capacity_Input!$C:$C,[2]Fixture_Capacity_Input!$A:$A,$B873,[2]Fixture_Capacity_Input!$B:$B,$C873)&gt;0,SUMIFS([2]Fixture_Capacity_Input!$C:$C,[2]Fixture_Capacity_Input!$A:$A,$B873,[2]Fixture_Capacity_Input!$B:$B,$C873),[2]weekly_demand!G874))</f>
        <v/>
      </c>
      <c r="E873" s="58" t="str">
        <f>IF($A873="","",[2]weekly_demand!I874)</f>
        <v/>
      </c>
      <c r="F873" s="57" t="str">
        <f t="shared" si="124"/>
        <v/>
      </c>
      <c r="G873" s="57" t="str">
        <f t="shared" si="125"/>
        <v/>
      </c>
      <c r="H873" s="57" t="str">
        <f t="shared" si="123"/>
        <v/>
      </c>
      <c r="I873" s="58" t="str">
        <f t="shared" si="128"/>
        <v/>
      </c>
      <c r="J873" s="58" t="str">
        <f t="shared" si="126"/>
        <v/>
      </c>
      <c r="K873" s="58" t="str">
        <f t="shared" si="129"/>
        <v/>
      </c>
      <c r="L873" s="58" t="str">
        <f t="shared" si="130"/>
        <v/>
      </c>
      <c r="M873" s="58" t="str">
        <f t="shared" si="131"/>
        <v/>
      </c>
      <c r="N873" s="59" t="str">
        <f t="shared" si="127"/>
        <v/>
      </c>
      <c r="O873" s="60"/>
      <c r="P873" s="105"/>
    </row>
    <row r="874" spans="1:16" x14ac:dyDescent="0.3">
      <c r="A874" s="54" t="str">
        <f>IF([2]weekly_demand!A875="","",[2]weekly_demand!A875)</f>
        <v/>
      </c>
      <c r="B874" s="55" t="str">
        <f>IF($A874="","",[2]weekly_demand!F875)</f>
        <v/>
      </c>
      <c r="C874" s="56" t="str">
        <f>IF($A874="","",[2]weekly_demand!H875)</f>
        <v/>
      </c>
      <c r="D874" s="57" t="str">
        <f>IF($A874="","",IF(SUMIFS([2]Fixture_Capacity_Input!$C:$C,[2]Fixture_Capacity_Input!$A:$A,$B874,[2]Fixture_Capacity_Input!$B:$B,$C874)&gt;0,SUMIFS([2]Fixture_Capacity_Input!$C:$C,[2]Fixture_Capacity_Input!$A:$A,$B874,[2]Fixture_Capacity_Input!$B:$B,$C874),[2]weekly_demand!G875))</f>
        <v/>
      </c>
      <c r="E874" s="58" t="str">
        <f>IF($A874="","",[2]weekly_demand!I875)</f>
        <v/>
      </c>
      <c r="F874" s="57" t="str">
        <f t="shared" si="124"/>
        <v/>
      </c>
      <c r="G874" s="57" t="str">
        <f t="shared" si="125"/>
        <v/>
      </c>
      <c r="H874" s="57" t="str">
        <f t="shared" si="123"/>
        <v/>
      </c>
      <c r="I874" s="58" t="str">
        <f t="shared" si="128"/>
        <v/>
      </c>
      <c r="J874" s="58" t="str">
        <f t="shared" si="126"/>
        <v/>
      </c>
      <c r="K874" s="58" t="str">
        <f t="shared" si="129"/>
        <v/>
      </c>
      <c r="L874" s="58" t="str">
        <f t="shared" si="130"/>
        <v/>
      </c>
      <c r="M874" s="58" t="str">
        <f t="shared" si="131"/>
        <v/>
      </c>
      <c r="N874" s="59" t="str">
        <f t="shared" si="127"/>
        <v/>
      </c>
      <c r="O874" s="60"/>
      <c r="P874" s="105"/>
    </row>
    <row r="875" spans="1:16" x14ac:dyDescent="0.3">
      <c r="A875" s="54" t="str">
        <f>IF([2]weekly_demand!A876="","",[2]weekly_demand!A876)</f>
        <v/>
      </c>
      <c r="B875" s="55" t="str">
        <f>IF($A875="","",[2]weekly_demand!F876)</f>
        <v/>
      </c>
      <c r="C875" s="56" t="str">
        <f>IF($A875="","",[2]weekly_demand!H876)</f>
        <v/>
      </c>
      <c r="D875" s="57" t="str">
        <f>IF($A875="","",IF(SUMIFS([2]Fixture_Capacity_Input!$C:$C,[2]Fixture_Capacity_Input!$A:$A,$B875,[2]Fixture_Capacity_Input!$B:$B,$C875)&gt;0,SUMIFS([2]Fixture_Capacity_Input!$C:$C,[2]Fixture_Capacity_Input!$A:$A,$B875,[2]Fixture_Capacity_Input!$B:$B,$C875),[2]weekly_demand!G876))</f>
        <v/>
      </c>
      <c r="E875" s="58" t="str">
        <f>IF($A875="","",[2]weekly_demand!I876)</f>
        <v/>
      </c>
      <c r="F875" s="57" t="str">
        <f t="shared" si="124"/>
        <v/>
      </c>
      <c r="G875" s="57" t="str">
        <f t="shared" si="125"/>
        <v/>
      </c>
      <c r="H875" s="57" t="str">
        <f t="shared" si="123"/>
        <v/>
      </c>
      <c r="I875" s="58" t="str">
        <f t="shared" si="128"/>
        <v/>
      </c>
      <c r="J875" s="58" t="str">
        <f t="shared" si="126"/>
        <v/>
      </c>
      <c r="K875" s="58" t="str">
        <f t="shared" si="129"/>
        <v/>
      </c>
      <c r="L875" s="58" t="str">
        <f t="shared" si="130"/>
        <v/>
      </c>
      <c r="M875" s="58" t="str">
        <f t="shared" si="131"/>
        <v/>
      </c>
      <c r="N875" s="59" t="str">
        <f t="shared" si="127"/>
        <v/>
      </c>
      <c r="O875" s="60"/>
      <c r="P875" s="105"/>
    </row>
    <row r="876" spans="1:16" x14ac:dyDescent="0.3">
      <c r="A876" s="54" t="str">
        <f>IF([2]weekly_demand!A877="","",[2]weekly_demand!A877)</f>
        <v/>
      </c>
      <c r="B876" s="55" t="str">
        <f>IF($A876="","",[2]weekly_demand!F877)</f>
        <v/>
      </c>
      <c r="C876" s="56" t="str">
        <f>IF($A876="","",[2]weekly_demand!H877)</f>
        <v/>
      </c>
      <c r="D876" s="57" t="str">
        <f>IF($A876="","",IF(SUMIFS([2]Fixture_Capacity_Input!$C:$C,[2]Fixture_Capacity_Input!$A:$A,$B876,[2]Fixture_Capacity_Input!$B:$B,$C876)&gt;0,SUMIFS([2]Fixture_Capacity_Input!$C:$C,[2]Fixture_Capacity_Input!$A:$A,$B876,[2]Fixture_Capacity_Input!$B:$B,$C876),[2]weekly_demand!G877))</f>
        <v/>
      </c>
      <c r="E876" s="58" t="str">
        <f>IF($A876="","",[2]weekly_demand!I877)</f>
        <v/>
      </c>
      <c r="F876" s="57" t="str">
        <f t="shared" si="124"/>
        <v/>
      </c>
      <c r="G876" s="57" t="str">
        <f t="shared" si="125"/>
        <v/>
      </c>
      <c r="H876" s="57" t="str">
        <f t="shared" si="123"/>
        <v/>
      </c>
      <c r="I876" s="58" t="str">
        <f t="shared" si="128"/>
        <v/>
      </c>
      <c r="J876" s="58" t="str">
        <f t="shared" si="126"/>
        <v/>
      </c>
      <c r="K876" s="58" t="str">
        <f t="shared" si="129"/>
        <v/>
      </c>
      <c r="L876" s="58" t="str">
        <f t="shared" si="130"/>
        <v/>
      </c>
      <c r="M876" s="58" t="str">
        <f t="shared" si="131"/>
        <v/>
      </c>
      <c r="N876" s="59" t="str">
        <f t="shared" si="127"/>
        <v/>
      </c>
      <c r="O876" s="60"/>
      <c r="P876" s="105"/>
    </row>
    <row r="877" spans="1:16" x14ac:dyDescent="0.3">
      <c r="A877" s="54" t="str">
        <f>IF([2]weekly_demand!A878="","",[2]weekly_demand!A878)</f>
        <v/>
      </c>
      <c r="B877" s="55" t="str">
        <f>IF($A877="","",[2]weekly_demand!F878)</f>
        <v/>
      </c>
      <c r="C877" s="56" t="str">
        <f>IF($A877="","",[2]weekly_demand!H878)</f>
        <v/>
      </c>
      <c r="D877" s="57" t="str">
        <f>IF($A877="","",IF(SUMIFS([2]Fixture_Capacity_Input!$C:$C,[2]Fixture_Capacity_Input!$A:$A,$B877,[2]Fixture_Capacity_Input!$B:$B,$C877)&gt;0,SUMIFS([2]Fixture_Capacity_Input!$C:$C,[2]Fixture_Capacity_Input!$A:$A,$B877,[2]Fixture_Capacity_Input!$B:$B,$C877),[2]weekly_demand!G878))</f>
        <v/>
      </c>
      <c r="E877" s="58" t="str">
        <f>IF($A877="","",[2]weekly_demand!I878)</f>
        <v/>
      </c>
      <c r="F877" s="57" t="str">
        <f t="shared" si="124"/>
        <v/>
      </c>
      <c r="G877" s="57" t="str">
        <f t="shared" si="125"/>
        <v/>
      </c>
      <c r="H877" s="57" t="str">
        <f t="shared" si="123"/>
        <v/>
      </c>
      <c r="I877" s="58" t="str">
        <f t="shared" si="128"/>
        <v/>
      </c>
      <c r="J877" s="58" t="str">
        <f t="shared" si="126"/>
        <v/>
      </c>
      <c r="K877" s="58" t="str">
        <f t="shared" si="129"/>
        <v/>
      </c>
      <c r="L877" s="58" t="str">
        <f t="shared" si="130"/>
        <v/>
      </c>
      <c r="M877" s="58" t="str">
        <f t="shared" si="131"/>
        <v/>
      </c>
      <c r="N877" s="59" t="str">
        <f t="shared" si="127"/>
        <v/>
      </c>
      <c r="O877" s="60"/>
      <c r="P877" s="105"/>
    </row>
    <row r="878" spans="1:16" x14ac:dyDescent="0.3">
      <c r="A878" s="54" t="str">
        <f>IF([2]weekly_demand!A879="","",[2]weekly_demand!A879)</f>
        <v/>
      </c>
      <c r="B878" s="55" t="str">
        <f>IF($A878="","",[2]weekly_demand!F879)</f>
        <v/>
      </c>
      <c r="C878" s="56" t="str">
        <f>IF($A878="","",[2]weekly_demand!H879)</f>
        <v/>
      </c>
      <c r="D878" s="57" t="str">
        <f>IF($A878="","",IF(SUMIFS([2]Fixture_Capacity_Input!$C:$C,[2]Fixture_Capacity_Input!$A:$A,$B878,[2]Fixture_Capacity_Input!$B:$B,$C878)&gt;0,SUMIFS([2]Fixture_Capacity_Input!$C:$C,[2]Fixture_Capacity_Input!$A:$A,$B878,[2]Fixture_Capacity_Input!$B:$B,$C878),[2]weekly_demand!G879))</f>
        <v/>
      </c>
      <c r="E878" s="58" t="str">
        <f>IF($A878="","",[2]weekly_demand!I879)</f>
        <v/>
      </c>
      <c r="F878" s="57" t="str">
        <f t="shared" si="124"/>
        <v/>
      </c>
      <c r="G878" s="57" t="str">
        <f t="shared" si="125"/>
        <v/>
      </c>
      <c r="H878" s="57" t="str">
        <f t="shared" si="123"/>
        <v/>
      </c>
      <c r="I878" s="58" t="str">
        <f t="shared" si="128"/>
        <v/>
      </c>
      <c r="J878" s="58" t="str">
        <f t="shared" si="126"/>
        <v/>
      </c>
      <c r="K878" s="58" t="str">
        <f t="shared" si="129"/>
        <v/>
      </c>
      <c r="L878" s="58" t="str">
        <f t="shared" si="130"/>
        <v/>
      </c>
      <c r="M878" s="58" t="str">
        <f t="shared" si="131"/>
        <v/>
      </c>
      <c r="N878" s="59" t="str">
        <f t="shared" si="127"/>
        <v/>
      </c>
      <c r="O878" s="60"/>
      <c r="P878" s="105"/>
    </row>
    <row r="879" spans="1:16" x14ac:dyDescent="0.3">
      <c r="A879" s="54" t="str">
        <f>IF([2]weekly_demand!A880="","",[2]weekly_demand!A880)</f>
        <v/>
      </c>
      <c r="B879" s="55" t="str">
        <f>IF($A879="","",[2]weekly_demand!F880)</f>
        <v/>
      </c>
      <c r="C879" s="56" t="str">
        <f>IF($A879="","",[2]weekly_demand!H880)</f>
        <v/>
      </c>
      <c r="D879" s="57" t="str">
        <f>IF($A879="","",IF(SUMIFS([2]Fixture_Capacity_Input!$C:$C,[2]Fixture_Capacity_Input!$A:$A,$B879,[2]Fixture_Capacity_Input!$B:$B,$C879)&gt;0,SUMIFS([2]Fixture_Capacity_Input!$C:$C,[2]Fixture_Capacity_Input!$A:$A,$B879,[2]Fixture_Capacity_Input!$B:$B,$C879),[2]weekly_demand!G880))</f>
        <v/>
      </c>
      <c r="E879" s="58" t="str">
        <f>IF($A879="","",[2]weekly_demand!I880)</f>
        <v/>
      </c>
      <c r="F879" s="57" t="str">
        <f t="shared" si="124"/>
        <v/>
      </c>
      <c r="G879" s="57" t="str">
        <f t="shared" si="125"/>
        <v/>
      </c>
      <c r="H879" s="57" t="str">
        <f t="shared" si="123"/>
        <v/>
      </c>
      <c r="I879" s="58" t="str">
        <f t="shared" si="128"/>
        <v/>
      </c>
      <c r="J879" s="58" t="str">
        <f t="shared" si="126"/>
        <v/>
      </c>
      <c r="K879" s="58" t="str">
        <f t="shared" si="129"/>
        <v/>
      </c>
      <c r="L879" s="58" t="str">
        <f t="shared" si="130"/>
        <v/>
      </c>
      <c r="M879" s="58" t="str">
        <f t="shared" si="131"/>
        <v/>
      </c>
      <c r="N879" s="59" t="str">
        <f t="shared" si="127"/>
        <v/>
      </c>
      <c r="O879" s="60"/>
      <c r="P879" s="105"/>
    </row>
    <row r="880" spans="1:16" x14ac:dyDescent="0.3">
      <c r="A880" s="54" t="str">
        <f>IF([2]weekly_demand!A881="","",[2]weekly_demand!A881)</f>
        <v/>
      </c>
      <c r="B880" s="55" t="str">
        <f>IF($A880="","",[2]weekly_demand!F881)</f>
        <v/>
      </c>
      <c r="C880" s="56" t="str">
        <f>IF($A880="","",[2]weekly_demand!H881)</f>
        <v/>
      </c>
      <c r="D880" s="57" t="str">
        <f>IF($A880="","",IF(SUMIFS([2]Fixture_Capacity_Input!$C:$C,[2]Fixture_Capacity_Input!$A:$A,$B880,[2]Fixture_Capacity_Input!$B:$B,$C880)&gt;0,SUMIFS([2]Fixture_Capacity_Input!$C:$C,[2]Fixture_Capacity_Input!$A:$A,$B880,[2]Fixture_Capacity_Input!$B:$B,$C880),[2]weekly_demand!G881))</f>
        <v/>
      </c>
      <c r="E880" s="58" t="str">
        <f>IF($A880="","",[2]weekly_demand!I881)</f>
        <v/>
      </c>
      <c r="F880" s="57" t="str">
        <f t="shared" si="124"/>
        <v/>
      </c>
      <c r="G880" s="57" t="str">
        <f t="shared" si="125"/>
        <v/>
      </c>
      <c r="H880" s="57" t="str">
        <f t="shared" si="123"/>
        <v/>
      </c>
      <c r="I880" s="58" t="str">
        <f t="shared" si="128"/>
        <v/>
      </c>
      <c r="J880" s="58" t="str">
        <f t="shared" si="126"/>
        <v/>
      </c>
      <c r="K880" s="58" t="str">
        <f t="shared" si="129"/>
        <v/>
      </c>
      <c r="L880" s="58" t="str">
        <f t="shared" si="130"/>
        <v/>
      </c>
      <c r="M880" s="58" t="str">
        <f t="shared" si="131"/>
        <v/>
      </c>
      <c r="N880" s="59" t="str">
        <f t="shared" si="127"/>
        <v/>
      </c>
      <c r="O880" s="60"/>
      <c r="P880" s="105"/>
    </row>
    <row r="881" spans="1:16" x14ac:dyDescent="0.3">
      <c r="A881" s="54" t="str">
        <f>IF([2]weekly_demand!A882="","",[2]weekly_demand!A882)</f>
        <v/>
      </c>
      <c r="B881" s="55" t="str">
        <f>IF($A881="","",[2]weekly_demand!F882)</f>
        <v/>
      </c>
      <c r="C881" s="56" t="str">
        <f>IF($A881="","",[2]weekly_demand!H882)</f>
        <v/>
      </c>
      <c r="D881" s="57" t="str">
        <f>IF($A881="","",IF(SUMIFS([2]Fixture_Capacity_Input!$C:$C,[2]Fixture_Capacity_Input!$A:$A,$B881,[2]Fixture_Capacity_Input!$B:$B,$C881)&gt;0,SUMIFS([2]Fixture_Capacity_Input!$C:$C,[2]Fixture_Capacity_Input!$A:$A,$B881,[2]Fixture_Capacity_Input!$B:$B,$C881),[2]weekly_demand!G882))</f>
        <v/>
      </c>
      <c r="E881" s="58" t="str">
        <f>IF($A881="","",[2]weekly_demand!I882)</f>
        <v/>
      </c>
      <c r="F881" s="57" t="str">
        <f t="shared" si="124"/>
        <v/>
      </c>
      <c r="G881" s="57" t="str">
        <f t="shared" si="125"/>
        <v/>
      </c>
      <c r="H881" s="57" t="str">
        <f t="shared" si="123"/>
        <v/>
      </c>
      <c r="I881" s="58" t="str">
        <f t="shared" si="128"/>
        <v/>
      </c>
      <c r="J881" s="58" t="str">
        <f t="shared" si="126"/>
        <v/>
      </c>
      <c r="K881" s="58" t="str">
        <f t="shared" si="129"/>
        <v/>
      </c>
      <c r="L881" s="58" t="str">
        <f t="shared" si="130"/>
        <v/>
      </c>
      <c r="M881" s="58" t="str">
        <f t="shared" si="131"/>
        <v/>
      </c>
      <c r="N881" s="59" t="str">
        <f t="shared" si="127"/>
        <v/>
      </c>
      <c r="O881" s="60"/>
      <c r="P881" s="105"/>
    </row>
    <row r="882" spans="1:16" x14ac:dyDescent="0.3">
      <c r="A882" s="54" t="str">
        <f>IF([2]weekly_demand!A883="","",[2]weekly_demand!A883)</f>
        <v/>
      </c>
      <c r="B882" s="55" t="str">
        <f>IF($A882="","",[2]weekly_demand!F883)</f>
        <v/>
      </c>
      <c r="C882" s="56" t="str">
        <f>IF($A882="","",[2]weekly_demand!H883)</f>
        <v/>
      </c>
      <c r="D882" s="57" t="str">
        <f>IF($A882="","",IF(SUMIFS([2]Fixture_Capacity_Input!$C:$C,[2]Fixture_Capacity_Input!$A:$A,$B882,[2]Fixture_Capacity_Input!$B:$B,$C882)&gt;0,SUMIFS([2]Fixture_Capacity_Input!$C:$C,[2]Fixture_Capacity_Input!$A:$A,$B882,[2]Fixture_Capacity_Input!$B:$B,$C882),[2]weekly_demand!G883))</f>
        <v/>
      </c>
      <c r="E882" s="58" t="str">
        <f>IF($A882="","",[2]weekly_demand!I883)</f>
        <v/>
      </c>
      <c r="F882" s="57" t="str">
        <f t="shared" si="124"/>
        <v/>
      </c>
      <c r="G882" s="57" t="str">
        <f t="shared" si="125"/>
        <v/>
      </c>
      <c r="H882" s="57" t="str">
        <f t="shared" si="123"/>
        <v/>
      </c>
      <c r="I882" s="58" t="str">
        <f t="shared" si="128"/>
        <v/>
      </c>
      <c r="J882" s="58" t="str">
        <f t="shared" si="126"/>
        <v/>
      </c>
      <c r="K882" s="58" t="str">
        <f t="shared" si="129"/>
        <v/>
      </c>
      <c r="L882" s="58" t="str">
        <f t="shared" si="130"/>
        <v/>
      </c>
      <c r="M882" s="58" t="str">
        <f t="shared" si="131"/>
        <v/>
      </c>
      <c r="N882" s="59" t="str">
        <f t="shared" si="127"/>
        <v/>
      </c>
      <c r="O882" s="60"/>
      <c r="P882" s="105"/>
    </row>
    <row r="883" spans="1:16" x14ac:dyDescent="0.3">
      <c r="A883" s="54" t="str">
        <f>IF([2]weekly_demand!A884="","",[2]weekly_demand!A884)</f>
        <v/>
      </c>
      <c r="B883" s="55" t="str">
        <f>IF($A883="","",[2]weekly_demand!F884)</f>
        <v/>
      </c>
      <c r="C883" s="56" t="str">
        <f>IF($A883="","",[2]weekly_demand!H884)</f>
        <v/>
      </c>
      <c r="D883" s="57" t="str">
        <f>IF($A883="","",IF(SUMIFS([2]Fixture_Capacity_Input!$C:$C,[2]Fixture_Capacity_Input!$A:$A,$B883,[2]Fixture_Capacity_Input!$B:$B,$C883)&gt;0,SUMIFS([2]Fixture_Capacity_Input!$C:$C,[2]Fixture_Capacity_Input!$A:$A,$B883,[2]Fixture_Capacity_Input!$B:$B,$C883),[2]weekly_demand!G884))</f>
        <v/>
      </c>
      <c r="E883" s="58" t="str">
        <f>IF($A883="","",[2]weekly_demand!I884)</f>
        <v/>
      </c>
      <c r="F883" s="57" t="str">
        <f t="shared" si="124"/>
        <v/>
      </c>
      <c r="G883" s="57" t="str">
        <f t="shared" si="125"/>
        <v/>
      </c>
      <c r="H883" s="57" t="str">
        <f t="shared" ref="H883:H946" si="132">IF($A883="","",IF($A883&lt;&gt;$A884,0,MAX(0,H884+E884-D884)))</f>
        <v/>
      </c>
      <c r="I883" s="58" t="str">
        <f t="shared" si="128"/>
        <v/>
      </c>
      <c r="J883" s="58" t="str">
        <f t="shared" si="126"/>
        <v/>
      </c>
      <c r="K883" s="58" t="str">
        <f t="shared" si="129"/>
        <v/>
      </c>
      <c r="L883" s="58" t="str">
        <f t="shared" si="130"/>
        <v/>
      </c>
      <c r="M883" s="58" t="str">
        <f t="shared" si="131"/>
        <v/>
      </c>
      <c r="N883" s="59" t="str">
        <f t="shared" si="127"/>
        <v/>
      </c>
      <c r="O883" s="60"/>
      <c r="P883" s="105"/>
    </row>
    <row r="884" spans="1:16" x14ac:dyDescent="0.3">
      <c r="A884" s="54" t="str">
        <f>IF([2]weekly_demand!A885="","",[2]weekly_demand!A885)</f>
        <v/>
      </c>
      <c r="B884" s="55" t="str">
        <f>IF($A884="","",[2]weekly_demand!F885)</f>
        <v/>
      </c>
      <c r="C884" s="56" t="str">
        <f>IF($A884="","",[2]weekly_demand!H885)</f>
        <v/>
      </c>
      <c r="D884" s="57" t="str">
        <f>IF($A884="","",IF(SUMIFS([2]Fixture_Capacity_Input!$C:$C,[2]Fixture_Capacity_Input!$A:$A,$B884,[2]Fixture_Capacity_Input!$B:$B,$C884)&gt;0,SUMIFS([2]Fixture_Capacity_Input!$C:$C,[2]Fixture_Capacity_Input!$A:$A,$B884,[2]Fixture_Capacity_Input!$B:$B,$C884),[2]weekly_demand!G885))</f>
        <v/>
      </c>
      <c r="E884" s="58" t="str">
        <f>IF($A884="","",[2]weekly_demand!I885)</f>
        <v/>
      </c>
      <c r="F884" s="57" t="str">
        <f t="shared" si="124"/>
        <v/>
      </c>
      <c r="G884" s="57" t="str">
        <f t="shared" si="125"/>
        <v/>
      </c>
      <c r="H884" s="57" t="str">
        <f t="shared" si="132"/>
        <v/>
      </c>
      <c r="I884" s="58" t="str">
        <f t="shared" si="128"/>
        <v/>
      </c>
      <c r="J884" s="58" t="str">
        <f t="shared" si="126"/>
        <v/>
      </c>
      <c r="K884" s="58" t="str">
        <f t="shared" si="129"/>
        <v/>
      </c>
      <c r="L884" s="58" t="str">
        <f t="shared" si="130"/>
        <v/>
      </c>
      <c r="M884" s="58" t="str">
        <f t="shared" si="131"/>
        <v/>
      </c>
      <c r="N884" s="59" t="str">
        <f t="shared" si="127"/>
        <v/>
      </c>
      <c r="O884" s="60"/>
      <c r="P884" s="105"/>
    </row>
    <row r="885" spans="1:16" x14ac:dyDescent="0.3">
      <c r="A885" s="54" t="str">
        <f>IF([2]weekly_demand!A886="","",[2]weekly_demand!A886)</f>
        <v/>
      </c>
      <c r="B885" s="55" t="str">
        <f>IF($A885="","",[2]weekly_demand!F886)</f>
        <v/>
      </c>
      <c r="C885" s="56" t="str">
        <f>IF($A885="","",[2]weekly_demand!H886)</f>
        <v/>
      </c>
      <c r="D885" s="57" t="str">
        <f>IF($A885="","",IF(SUMIFS([2]Fixture_Capacity_Input!$C:$C,[2]Fixture_Capacity_Input!$A:$A,$B885,[2]Fixture_Capacity_Input!$B:$B,$C885)&gt;0,SUMIFS([2]Fixture_Capacity_Input!$C:$C,[2]Fixture_Capacity_Input!$A:$A,$B885,[2]Fixture_Capacity_Input!$B:$B,$C885),[2]weekly_demand!G886))</f>
        <v/>
      </c>
      <c r="E885" s="58" t="str">
        <f>IF($A885="","",[2]weekly_demand!I886)</f>
        <v/>
      </c>
      <c r="F885" s="57" t="str">
        <f t="shared" si="124"/>
        <v/>
      </c>
      <c r="G885" s="57" t="str">
        <f t="shared" si="125"/>
        <v/>
      </c>
      <c r="H885" s="57" t="str">
        <f t="shared" si="132"/>
        <v/>
      </c>
      <c r="I885" s="58" t="str">
        <f t="shared" si="128"/>
        <v/>
      </c>
      <c r="J885" s="58" t="str">
        <f t="shared" si="126"/>
        <v/>
      </c>
      <c r="K885" s="58" t="str">
        <f t="shared" si="129"/>
        <v/>
      </c>
      <c r="L885" s="58" t="str">
        <f t="shared" si="130"/>
        <v/>
      </c>
      <c r="M885" s="58" t="str">
        <f t="shared" si="131"/>
        <v/>
      </c>
      <c r="N885" s="59" t="str">
        <f t="shared" si="127"/>
        <v/>
      </c>
      <c r="O885" s="60"/>
      <c r="P885" s="105"/>
    </row>
    <row r="886" spans="1:16" x14ac:dyDescent="0.3">
      <c r="A886" s="54" t="str">
        <f>IF([2]weekly_demand!A887="","",[2]weekly_demand!A887)</f>
        <v/>
      </c>
      <c r="B886" s="55" t="str">
        <f>IF($A886="","",[2]weekly_demand!F887)</f>
        <v/>
      </c>
      <c r="C886" s="56" t="str">
        <f>IF($A886="","",[2]weekly_demand!H887)</f>
        <v/>
      </c>
      <c r="D886" s="57" t="str">
        <f>IF($A886="","",IF(SUMIFS([2]Fixture_Capacity_Input!$C:$C,[2]Fixture_Capacity_Input!$A:$A,$B886,[2]Fixture_Capacity_Input!$B:$B,$C886)&gt;0,SUMIFS([2]Fixture_Capacity_Input!$C:$C,[2]Fixture_Capacity_Input!$A:$A,$B886,[2]Fixture_Capacity_Input!$B:$B,$C886),[2]weekly_demand!G887))</f>
        <v/>
      </c>
      <c r="E886" s="58" t="str">
        <f>IF($A886="","",[2]weekly_demand!I887)</f>
        <v/>
      </c>
      <c r="F886" s="57" t="str">
        <f t="shared" si="124"/>
        <v/>
      </c>
      <c r="G886" s="57" t="str">
        <f t="shared" si="125"/>
        <v/>
      </c>
      <c r="H886" s="57" t="str">
        <f t="shared" si="132"/>
        <v/>
      </c>
      <c r="I886" s="58" t="str">
        <f t="shared" si="128"/>
        <v/>
      </c>
      <c r="J886" s="58" t="str">
        <f t="shared" si="126"/>
        <v/>
      </c>
      <c r="K886" s="58" t="str">
        <f t="shared" si="129"/>
        <v/>
      </c>
      <c r="L886" s="58" t="str">
        <f t="shared" si="130"/>
        <v/>
      </c>
      <c r="M886" s="58" t="str">
        <f t="shared" si="131"/>
        <v/>
      </c>
      <c r="N886" s="59" t="str">
        <f t="shared" si="127"/>
        <v/>
      </c>
      <c r="O886" s="60"/>
      <c r="P886" s="105"/>
    </row>
    <row r="887" spans="1:16" x14ac:dyDescent="0.3">
      <c r="A887" s="54" t="str">
        <f>IF([2]weekly_demand!A888="","",[2]weekly_demand!A888)</f>
        <v/>
      </c>
      <c r="B887" s="55" t="str">
        <f>IF($A887="","",[2]weekly_demand!F888)</f>
        <v/>
      </c>
      <c r="C887" s="56" t="str">
        <f>IF($A887="","",[2]weekly_demand!H888)</f>
        <v/>
      </c>
      <c r="D887" s="57" t="str">
        <f>IF($A887="","",IF(SUMIFS([2]Fixture_Capacity_Input!$C:$C,[2]Fixture_Capacity_Input!$A:$A,$B887,[2]Fixture_Capacity_Input!$B:$B,$C887)&gt;0,SUMIFS([2]Fixture_Capacity_Input!$C:$C,[2]Fixture_Capacity_Input!$A:$A,$B887,[2]Fixture_Capacity_Input!$B:$B,$C887),[2]weekly_demand!G888))</f>
        <v/>
      </c>
      <c r="E887" s="58" t="str">
        <f>IF($A887="","",[2]weekly_demand!I888)</f>
        <v/>
      </c>
      <c r="F887" s="57" t="str">
        <f t="shared" si="124"/>
        <v/>
      </c>
      <c r="G887" s="57" t="str">
        <f t="shared" si="125"/>
        <v/>
      </c>
      <c r="H887" s="57" t="str">
        <f t="shared" si="132"/>
        <v/>
      </c>
      <c r="I887" s="58" t="str">
        <f t="shared" si="128"/>
        <v/>
      </c>
      <c r="J887" s="58" t="str">
        <f t="shared" si="126"/>
        <v/>
      </c>
      <c r="K887" s="58" t="str">
        <f t="shared" si="129"/>
        <v/>
      </c>
      <c r="L887" s="58" t="str">
        <f t="shared" si="130"/>
        <v/>
      </c>
      <c r="M887" s="58" t="str">
        <f t="shared" si="131"/>
        <v/>
      </c>
      <c r="N887" s="59" t="str">
        <f t="shared" si="127"/>
        <v/>
      </c>
      <c r="O887" s="60"/>
      <c r="P887" s="105"/>
    </row>
    <row r="888" spans="1:16" x14ac:dyDescent="0.3">
      <c r="A888" s="54" t="str">
        <f>IF([2]weekly_demand!A889="","",[2]weekly_demand!A889)</f>
        <v/>
      </c>
      <c r="B888" s="55" t="str">
        <f>IF($A888="","",[2]weekly_demand!F889)</f>
        <v/>
      </c>
      <c r="C888" s="56" t="str">
        <f>IF($A888="","",[2]weekly_demand!H889)</f>
        <v/>
      </c>
      <c r="D888" s="57" t="str">
        <f>IF($A888="","",IF(SUMIFS([2]Fixture_Capacity_Input!$C:$C,[2]Fixture_Capacity_Input!$A:$A,$B888,[2]Fixture_Capacity_Input!$B:$B,$C888)&gt;0,SUMIFS([2]Fixture_Capacity_Input!$C:$C,[2]Fixture_Capacity_Input!$A:$A,$B888,[2]Fixture_Capacity_Input!$B:$B,$C888),[2]weekly_demand!G889))</f>
        <v/>
      </c>
      <c r="E888" s="58" t="str">
        <f>IF($A888="","",[2]weekly_demand!I889)</f>
        <v/>
      </c>
      <c r="F888" s="57" t="str">
        <f t="shared" si="124"/>
        <v/>
      </c>
      <c r="G888" s="57" t="str">
        <f t="shared" si="125"/>
        <v/>
      </c>
      <c r="H888" s="57" t="str">
        <f t="shared" si="132"/>
        <v/>
      </c>
      <c r="I888" s="58" t="str">
        <f t="shared" si="128"/>
        <v/>
      </c>
      <c r="J888" s="58" t="str">
        <f t="shared" si="126"/>
        <v/>
      </c>
      <c r="K888" s="58" t="str">
        <f t="shared" si="129"/>
        <v/>
      </c>
      <c r="L888" s="58" t="str">
        <f t="shared" si="130"/>
        <v/>
      </c>
      <c r="M888" s="58" t="str">
        <f t="shared" si="131"/>
        <v/>
      </c>
      <c r="N888" s="59" t="str">
        <f t="shared" si="127"/>
        <v/>
      </c>
      <c r="O888" s="60"/>
      <c r="P888" s="105"/>
    </row>
    <row r="889" spans="1:16" x14ac:dyDescent="0.3">
      <c r="A889" s="54" t="str">
        <f>IF([2]weekly_demand!A890="","",[2]weekly_demand!A890)</f>
        <v/>
      </c>
      <c r="B889" s="55" t="str">
        <f>IF($A889="","",[2]weekly_demand!F890)</f>
        <v/>
      </c>
      <c r="C889" s="56" t="str">
        <f>IF($A889="","",[2]weekly_demand!H890)</f>
        <v/>
      </c>
      <c r="D889" s="57" t="str">
        <f>IF($A889="","",IF(SUMIFS([2]Fixture_Capacity_Input!$C:$C,[2]Fixture_Capacity_Input!$A:$A,$B889,[2]Fixture_Capacity_Input!$B:$B,$C889)&gt;0,SUMIFS([2]Fixture_Capacity_Input!$C:$C,[2]Fixture_Capacity_Input!$A:$A,$B889,[2]Fixture_Capacity_Input!$B:$B,$C889),[2]weekly_demand!G890))</f>
        <v/>
      </c>
      <c r="E889" s="58" t="str">
        <f>IF($A889="","",[2]weekly_demand!I890)</f>
        <v/>
      </c>
      <c r="F889" s="57" t="str">
        <f t="shared" si="124"/>
        <v/>
      </c>
      <c r="G889" s="57" t="str">
        <f t="shared" si="125"/>
        <v/>
      </c>
      <c r="H889" s="57" t="str">
        <f t="shared" si="132"/>
        <v/>
      </c>
      <c r="I889" s="58" t="str">
        <f t="shared" si="128"/>
        <v/>
      </c>
      <c r="J889" s="58" t="str">
        <f t="shared" si="126"/>
        <v/>
      </c>
      <c r="K889" s="58" t="str">
        <f t="shared" si="129"/>
        <v/>
      </c>
      <c r="L889" s="58" t="str">
        <f t="shared" si="130"/>
        <v/>
      </c>
      <c r="M889" s="58" t="str">
        <f t="shared" si="131"/>
        <v/>
      </c>
      <c r="N889" s="59" t="str">
        <f t="shared" si="127"/>
        <v/>
      </c>
      <c r="O889" s="60"/>
      <c r="P889" s="105"/>
    </row>
    <row r="890" spans="1:16" x14ac:dyDescent="0.3">
      <c r="A890" s="54" t="str">
        <f>IF([2]weekly_demand!A891="","",[2]weekly_demand!A891)</f>
        <v/>
      </c>
      <c r="B890" s="55" t="str">
        <f>IF($A890="","",[2]weekly_demand!F891)</f>
        <v/>
      </c>
      <c r="C890" s="56" t="str">
        <f>IF($A890="","",[2]weekly_demand!H891)</f>
        <v/>
      </c>
      <c r="D890" s="57" t="str">
        <f>IF($A890="","",IF(SUMIFS([2]Fixture_Capacity_Input!$C:$C,[2]Fixture_Capacity_Input!$A:$A,$B890,[2]Fixture_Capacity_Input!$B:$B,$C890)&gt;0,SUMIFS([2]Fixture_Capacity_Input!$C:$C,[2]Fixture_Capacity_Input!$A:$A,$B890,[2]Fixture_Capacity_Input!$B:$B,$C890),[2]weekly_demand!G891))</f>
        <v/>
      </c>
      <c r="E890" s="58" t="str">
        <f>IF($A890="","",[2]weekly_demand!I891)</f>
        <v/>
      </c>
      <c r="F890" s="57" t="str">
        <f t="shared" si="124"/>
        <v/>
      </c>
      <c r="G890" s="57" t="str">
        <f t="shared" si="125"/>
        <v/>
      </c>
      <c r="H890" s="57" t="str">
        <f t="shared" si="132"/>
        <v/>
      </c>
      <c r="I890" s="58" t="str">
        <f t="shared" si="128"/>
        <v/>
      </c>
      <c r="J890" s="58" t="str">
        <f t="shared" si="126"/>
        <v/>
      </c>
      <c r="K890" s="58" t="str">
        <f t="shared" si="129"/>
        <v/>
      </c>
      <c r="L890" s="58" t="str">
        <f t="shared" si="130"/>
        <v/>
      </c>
      <c r="M890" s="58" t="str">
        <f t="shared" si="131"/>
        <v/>
      </c>
      <c r="N890" s="59" t="str">
        <f t="shared" si="127"/>
        <v/>
      </c>
      <c r="O890" s="60"/>
      <c r="P890" s="105"/>
    </row>
    <row r="891" spans="1:16" x14ac:dyDescent="0.3">
      <c r="A891" s="54" t="str">
        <f>IF([2]weekly_demand!A892="","",[2]weekly_demand!A892)</f>
        <v/>
      </c>
      <c r="B891" s="55" t="str">
        <f>IF($A891="","",[2]weekly_demand!F892)</f>
        <v/>
      </c>
      <c r="C891" s="56" t="str">
        <f>IF($A891="","",[2]weekly_demand!H892)</f>
        <v/>
      </c>
      <c r="D891" s="57" t="str">
        <f>IF($A891="","",IF(SUMIFS([2]Fixture_Capacity_Input!$C:$C,[2]Fixture_Capacity_Input!$A:$A,$B891,[2]Fixture_Capacity_Input!$B:$B,$C891)&gt;0,SUMIFS([2]Fixture_Capacity_Input!$C:$C,[2]Fixture_Capacity_Input!$A:$A,$B891,[2]Fixture_Capacity_Input!$B:$B,$C891),[2]weekly_demand!G892))</f>
        <v/>
      </c>
      <c r="E891" s="58" t="str">
        <f>IF($A891="","",[2]weekly_demand!I892)</f>
        <v/>
      </c>
      <c r="F891" s="57" t="str">
        <f t="shared" si="124"/>
        <v/>
      </c>
      <c r="G891" s="57" t="str">
        <f t="shared" si="125"/>
        <v/>
      </c>
      <c r="H891" s="57" t="str">
        <f t="shared" si="132"/>
        <v/>
      </c>
      <c r="I891" s="58" t="str">
        <f t="shared" si="128"/>
        <v/>
      </c>
      <c r="J891" s="58" t="str">
        <f t="shared" si="126"/>
        <v/>
      </c>
      <c r="K891" s="58" t="str">
        <f t="shared" si="129"/>
        <v/>
      </c>
      <c r="L891" s="58" t="str">
        <f t="shared" si="130"/>
        <v/>
      </c>
      <c r="M891" s="58" t="str">
        <f t="shared" si="131"/>
        <v/>
      </c>
      <c r="N891" s="59" t="str">
        <f t="shared" si="127"/>
        <v/>
      </c>
      <c r="O891" s="60"/>
      <c r="P891" s="105"/>
    </row>
    <row r="892" spans="1:16" x14ac:dyDescent="0.3">
      <c r="A892" s="54" t="str">
        <f>IF([2]weekly_demand!A893="","",[2]weekly_demand!A893)</f>
        <v/>
      </c>
      <c r="B892" s="55" t="str">
        <f>IF($A892="","",[2]weekly_demand!F893)</f>
        <v/>
      </c>
      <c r="C892" s="56" t="str">
        <f>IF($A892="","",[2]weekly_demand!H893)</f>
        <v/>
      </c>
      <c r="D892" s="57" t="str">
        <f>IF($A892="","",IF(SUMIFS([2]Fixture_Capacity_Input!$C:$C,[2]Fixture_Capacity_Input!$A:$A,$B892,[2]Fixture_Capacity_Input!$B:$B,$C892)&gt;0,SUMIFS([2]Fixture_Capacity_Input!$C:$C,[2]Fixture_Capacity_Input!$A:$A,$B892,[2]Fixture_Capacity_Input!$B:$B,$C892),[2]weekly_demand!G893))</f>
        <v/>
      </c>
      <c r="E892" s="58" t="str">
        <f>IF($A892="","",[2]weekly_demand!I893)</f>
        <v/>
      </c>
      <c r="F892" s="57" t="str">
        <f t="shared" si="124"/>
        <v/>
      </c>
      <c r="G892" s="57" t="str">
        <f t="shared" si="125"/>
        <v/>
      </c>
      <c r="H892" s="57" t="str">
        <f t="shared" si="132"/>
        <v/>
      </c>
      <c r="I892" s="58" t="str">
        <f t="shared" si="128"/>
        <v/>
      </c>
      <c r="J892" s="58" t="str">
        <f t="shared" si="126"/>
        <v/>
      </c>
      <c r="K892" s="58" t="str">
        <f t="shared" si="129"/>
        <v/>
      </c>
      <c r="L892" s="58" t="str">
        <f t="shared" si="130"/>
        <v/>
      </c>
      <c r="M892" s="58" t="str">
        <f t="shared" si="131"/>
        <v/>
      </c>
      <c r="N892" s="59" t="str">
        <f t="shared" si="127"/>
        <v/>
      </c>
      <c r="O892" s="60"/>
      <c r="P892" s="105"/>
    </row>
    <row r="893" spans="1:16" x14ac:dyDescent="0.3">
      <c r="A893" s="54" t="str">
        <f>IF([2]weekly_demand!A894="","",[2]weekly_demand!A894)</f>
        <v/>
      </c>
      <c r="B893" s="55" t="str">
        <f>IF($A893="","",[2]weekly_demand!F894)</f>
        <v/>
      </c>
      <c r="C893" s="56" t="str">
        <f>IF($A893="","",[2]weekly_demand!H894)</f>
        <v/>
      </c>
      <c r="D893" s="57" t="str">
        <f>IF($A893="","",IF(SUMIFS([2]Fixture_Capacity_Input!$C:$C,[2]Fixture_Capacity_Input!$A:$A,$B893,[2]Fixture_Capacity_Input!$B:$B,$C893)&gt;0,SUMIFS([2]Fixture_Capacity_Input!$C:$C,[2]Fixture_Capacity_Input!$A:$A,$B893,[2]Fixture_Capacity_Input!$B:$B,$C893),[2]weekly_demand!G894))</f>
        <v/>
      </c>
      <c r="E893" s="58" t="str">
        <f>IF($A893="","",[2]weekly_demand!I894)</f>
        <v/>
      </c>
      <c r="F893" s="57" t="str">
        <f t="shared" si="124"/>
        <v/>
      </c>
      <c r="G893" s="57" t="str">
        <f t="shared" si="125"/>
        <v/>
      </c>
      <c r="H893" s="57" t="str">
        <f t="shared" si="132"/>
        <v/>
      </c>
      <c r="I893" s="58" t="str">
        <f t="shared" si="128"/>
        <v/>
      </c>
      <c r="J893" s="58" t="str">
        <f t="shared" si="126"/>
        <v/>
      </c>
      <c r="K893" s="58" t="str">
        <f t="shared" si="129"/>
        <v/>
      </c>
      <c r="L893" s="58" t="str">
        <f t="shared" si="130"/>
        <v/>
      </c>
      <c r="M893" s="58" t="str">
        <f t="shared" si="131"/>
        <v/>
      </c>
      <c r="N893" s="59" t="str">
        <f t="shared" si="127"/>
        <v/>
      </c>
      <c r="O893" s="60"/>
      <c r="P893" s="105"/>
    </row>
    <row r="894" spans="1:16" x14ac:dyDescent="0.3">
      <c r="A894" s="54" t="str">
        <f>IF([2]weekly_demand!A895="","",[2]weekly_demand!A895)</f>
        <v/>
      </c>
      <c r="B894" s="55" t="str">
        <f>IF($A894="","",[2]weekly_demand!F895)</f>
        <v/>
      </c>
      <c r="C894" s="56" t="str">
        <f>IF($A894="","",[2]weekly_demand!H895)</f>
        <v/>
      </c>
      <c r="D894" s="57" t="str">
        <f>IF($A894="","",IF(SUMIFS([2]Fixture_Capacity_Input!$C:$C,[2]Fixture_Capacity_Input!$A:$A,$B894,[2]Fixture_Capacity_Input!$B:$B,$C894)&gt;0,SUMIFS([2]Fixture_Capacity_Input!$C:$C,[2]Fixture_Capacity_Input!$A:$A,$B894,[2]Fixture_Capacity_Input!$B:$B,$C894),[2]weekly_demand!G895))</f>
        <v/>
      </c>
      <c r="E894" s="58" t="str">
        <f>IF($A894="","",[2]weekly_demand!I895)</f>
        <v/>
      </c>
      <c r="F894" s="57" t="str">
        <f t="shared" si="124"/>
        <v/>
      </c>
      <c r="G894" s="57" t="str">
        <f t="shared" si="125"/>
        <v/>
      </c>
      <c r="H894" s="57" t="str">
        <f t="shared" si="132"/>
        <v/>
      </c>
      <c r="I894" s="58" t="str">
        <f t="shared" si="128"/>
        <v/>
      </c>
      <c r="J894" s="58" t="str">
        <f t="shared" si="126"/>
        <v/>
      </c>
      <c r="K894" s="58" t="str">
        <f t="shared" si="129"/>
        <v/>
      </c>
      <c r="L894" s="58" t="str">
        <f t="shared" si="130"/>
        <v/>
      </c>
      <c r="M894" s="58" t="str">
        <f t="shared" si="131"/>
        <v/>
      </c>
      <c r="N894" s="59" t="str">
        <f t="shared" si="127"/>
        <v/>
      </c>
      <c r="O894" s="60"/>
      <c r="P894" s="105"/>
    </row>
    <row r="895" spans="1:16" x14ac:dyDescent="0.3">
      <c r="A895" s="54" t="str">
        <f>IF([2]weekly_demand!A896="","",[2]weekly_demand!A896)</f>
        <v/>
      </c>
      <c r="B895" s="55" t="str">
        <f>IF($A895="","",[2]weekly_demand!F896)</f>
        <v/>
      </c>
      <c r="C895" s="56" t="str">
        <f>IF($A895="","",[2]weekly_demand!H896)</f>
        <v/>
      </c>
      <c r="D895" s="57" t="str">
        <f>IF($A895="","",IF(SUMIFS([2]Fixture_Capacity_Input!$C:$C,[2]Fixture_Capacity_Input!$A:$A,$B895,[2]Fixture_Capacity_Input!$B:$B,$C895)&gt;0,SUMIFS([2]Fixture_Capacity_Input!$C:$C,[2]Fixture_Capacity_Input!$A:$A,$B895,[2]Fixture_Capacity_Input!$B:$B,$C895),[2]weekly_demand!G896))</f>
        <v/>
      </c>
      <c r="E895" s="58" t="str">
        <f>IF($A895="","",[2]weekly_demand!I896)</f>
        <v/>
      </c>
      <c r="F895" s="57" t="str">
        <f t="shared" si="124"/>
        <v/>
      </c>
      <c r="G895" s="57" t="str">
        <f t="shared" si="125"/>
        <v/>
      </c>
      <c r="H895" s="57" t="str">
        <f t="shared" si="132"/>
        <v/>
      </c>
      <c r="I895" s="58" t="str">
        <f t="shared" si="128"/>
        <v/>
      </c>
      <c r="J895" s="58" t="str">
        <f t="shared" si="126"/>
        <v/>
      </c>
      <c r="K895" s="58" t="str">
        <f t="shared" si="129"/>
        <v/>
      </c>
      <c r="L895" s="58" t="str">
        <f t="shared" si="130"/>
        <v/>
      </c>
      <c r="M895" s="58" t="str">
        <f t="shared" si="131"/>
        <v/>
      </c>
      <c r="N895" s="59" t="str">
        <f t="shared" si="127"/>
        <v/>
      </c>
      <c r="O895" s="60"/>
      <c r="P895" s="105"/>
    </row>
    <row r="896" spans="1:16" x14ac:dyDescent="0.3">
      <c r="A896" s="54" t="str">
        <f>IF([2]weekly_demand!A897="","",[2]weekly_demand!A897)</f>
        <v/>
      </c>
      <c r="B896" s="55" t="str">
        <f>IF($A896="","",[2]weekly_demand!F897)</f>
        <v/>
      </c>
      <c r="C896" s="56" t="str">
        <f>IF($A896="","",[2]weekly_demand!H897)</f>
        <v/>
      </c>
      <c r="D896" s="57" t="str">
        <f>IF($A896="","",IF(SUMIFS([2]Fixture_Capacity_Input!$C:$C,[2]Fixture_Capacity_Input!$A:$A,$B896,[2]Fixture_Capacity_Input!$B:$B,$C896)&gt;0,SUMIFS([2]Fixture_Capacity_Input!$C:$C,[2]Fixture_Capacity_Input!$A:$A,$B896,[2]Fixture_Capacity_Input!$B:$B,$C896),[2]weekly_demand!G897))</f>
        <v/>
      </c>
      <c r="E896" s="58" t="str">
        <f>IF($A896="","",[2]weekly_demand!I897)</f>
        <v/>
      </c>
      <c r="F896" s="57" t="str">
        <f t="shared" si="124"/>
        <v/>
      </c>
      <c r="G896" s="57" t="str">
        <f t="shared" si="125"/>
        <v/>
      </c>
      <c r="H896" s="57" t="str">
        <f t="shared" si="132"/>
        <v/>
      </c>
      <c r="I896" s="58" t="str">
        <f t="shared" si="128"/>
        <v/>
      </c>
      <c r="J896" s="58" t="str">
        <f t="shared" si="126"/>
        <v/>
      </c>
      <c r="K896" s="58" t="str">
        <f t="shared" si="129"/>
        <v/>
      </c>
      <c r="L896" s="58" t="str">
        <f t="shared" si="130"/>
        <v/>
      </c>
      <c r="M896" s="58" t="str">
        <f t="shared" si="131"/>
        <v/>
      </c>
      <c r="N896" s="59" t="str">
        <f t="shared" si="127"/>
        <v/>
      </c>
      <c r="O896" s="60"/>
      <c r="P896" s="105"/>
    </row>
    <row r="897" spans="1:16" x14ac:dyDescent="0.3">
      <c r="A897" s="54" t="str">
        <f>IF([2]weekly_demand!A898="","",[2]weekly_demand!A898)</f>
        <v/>
      </c>
      <c r="B897" s="55" t="str">
        <f>IF($A897="","",[2]weekly_demand!F898)</f>
        <v/>
      </c>
      <c r="C897" s="56" t="str">
        <f>IF($A897="","",[2]weekly_demand!H898)</f>
        <v/>
      </c>
      <c r="D897" s="57" t="str">
        <f>IF($A897="","",IF(SUMIFS([2]Fixture_Capacity_Input!$C:$C,[2]Fixture_Capacity_Input!$A:$A,$B897,[2]Fixture_Capacity_Input!$B:$B,$C897)&gt;0,SUMIFS([2]Fixture_Capacity_Input!$C:$C,[2]Fixture_Capacity_Input!$A:$A,$B897,[2]Fixture_Capacity_Input!$B:$B,$C897),[2]weekly_demand!G898))</f>
        <v/>
      </c>
      <c r="E897" s="58" t="str">
        <f>IF($A897="","",[2]weekly_demand!I898)</f>
        <v/>
      </c>
      <c r="F897" s="57" t="str">
        <f t="shared" si="124"/>
        <v/>
      </c>
      <c r="G897" s="57" t="str">
        <f t="shared" si="125"/>
        <v/>
      </c>
      <c r="H897" s="57" t="str">
        <f t="shared" si="132"/>
        <v/>
      </c>
      <c r="I897" s="58" t="str">
        <f t="shared" si="128"/>
        <v/>
      </c>
      <c r="J897" s="58" t="str">
        <f t="shared" si="126"/>
        <v/>
      </c>
      <c r="K897" s="58" t="str">
        <f t="shared" si="129"/>
        <v/>
      </c>
      <c r="L897" s="58" t="str">
        <f t="shared" si="130"/>
        <v/>
      </c>
      <c r="M897" s="58" t="str">
        <f t="shared" si="131"/>
        <v/>
      </c>
      <c r="N897" s="59" t="str">
        <f t="shared" si="127"/>
        <v/>
      </c>
      <c r="O897" s="60"/>
      <c r="P897" s="105"/>
    </row>
    <row r="898" spans="1:16" x14ac:dyDescent="0.3">
      <c r="A898" s="54" t="str">
        <f>IF([2]weekly_demand!A899="","",[2]weekly_demand!A899)</f>
        <v/>
      </c>
      <c r="B898" s="55" t="str">
        <f>IF($A898="","",[2]weekly_demand!F899)</f>
        <v/>
      </c>
      <c r="C898" s="56" t="str">
        <f>IF($A898="","",[2]weekly_demand!H899)</f>
        <v/>
      </c>
      <c r="D898" s="57" t="str">
        <f>IF($A898="","",IF(SUMIFS([2]Fixture_Capacity_Input!$C:$C,[2]Fixture_Capacity_Input!$A:$A,$B898,[2]Fixture_Capacity_Input!$B:$B,$C898)&gt;0,SUMIFS([2]Fixture_Capacity_Input!$C:$C,[2]Fixture_Capacity_Input!$A:$A,$B898,[2]Fixture_Capacity_Input!$B:$B,$C898),[2]weekly_demand!G899))</f>
        <v/>
      </c>
      <c r="E898" s="58" t="str">
        <f>IF($A898="","",[2]weekly_demand!I899)</f>
        <v/>
      </c>
      <c r="F898" s="57" t="str">
        <f t="shared" ref="F898:F961" si="133">IF($A898="","",IF($A898&lt;&gt;$A897,_xlfn.XLOOKUP($A898,$Q$2:$Q$7,$R$2:$R$7,0),K897))</f>
        <v/>
      </c>
      <c r="G898" s="57" t="str">
        <f t="shared" ref="G898:G961" si="134">IF($A898="","",_xlfn.XLOOKUP($A898,$Q$2:$Q$7,$S$2:$S$7,0))</f>
        <v/>
      </c>
      <c r="H898" s="57" t="str">
        <f t="shared" si="132"/>
        <v/>
      </c>
      <c r="I898" s="58" t="str">
        <f t="shared" si="128"/>
        <v/>
      </c>
      <c r="J898" s="58" t="str">
        <f t="shared" ref="J898:J961" si="135">IF($A898="","",MIN($D898,$I898,MAX(0,$E898+$G898-$F898)))</f>
        <v/>
      </c>
      <c r="K898" s="58" t="str">
        <f t="shared" si="129"/>
        <v/>
      </c>
      <c r="L898" s="58" t="str">
        <f t="shared" si="130"/>
        <v/>
      </c>
      <c r="M898" s="58" t="str">
        <f t="shared" si="131"/>
        <v/>
      </c>
      <c r="N898" s="59" t="str">
        <f t="shared" ref="N898:N961" si="136">IF($A898="","",IFERROR(J898/D898,0))</f>
        <v/>
      </c>
      <c r="O898" s="60"/>
      <c r="P898" s="105"/>
    </row>
    <row r="899" spans="1:16" x14ac:dyDescent="0.3">
      <c r="A899" s="54" t="str">
        <f>IF([2]weekly_demand!A900="","",[2]weekly_demand!A900)</f>
        <v/>
      </c>
      <c r="B899" s="55" t="str">
        <f>IF($A899="","",[2]weekly_demand!F900)</f>
        <v/>
      </c>
      <c r="C899" s="56" t="str">
        <f>IF($A899="","",[2]weekly_demand!H900)</f>
        <v/>
      </c>
      <c r="D899" s="57" t="str">
        <f>IF($A899="","",IF(SUMIFS([2]Fixture_Capacity_Input!$C:$C,[2]Fixture_Capacity_Input!$A:$A,$B899,[2]Fixture_Capacity_Input!$B:$B,$C899)&gt;0,SUMIFS([2]Fixture_Capacity_Input!$C:$C,[2]Fixture_Capacity_Input!$A:$A,$B899,[2]Fixture_Capacity_Input!$B:$B,$C899),[2]weekly_demand!G900))</f>
        <v/>
      </c>
      <c r="E899" s="58" t="str">
        <f>IF($A899="","",[2]weekly_demand!I900)</f>
        <v/>
      </c>
      <c r="F899" s="57" t="str">
        <f t="shared" si="133"/>
        <v/>
      </c>
      <c r="G899" s="57" t="str">
        <f t="shared" si="134"/>
        <v/>
      </c>
      <c r="H899" s="57" t="str">
        <f t="shared" si="132"/>
        <v/>
      </c>
      <c r="I899" s="58" t="str">
        <f t="shared" ref="I899:I962" si="137">IF($A899="","",MAX(0,E899+H899-F899))</f>
        <v/>
      </c>
      <c r="J899" s="58" t="str">
        <f t="shared" si="135"/>
        <v/>
      </c>
      <c r="K899" s="58" t="str">
        <f t="shared" ref="K899:K962" si="138">IF($A899="","",MIN($G899,MAX(0,$F899+$J899-$E899)))</f>
        <v/>
      </c>
      <c r="L899" s="58" t="str">
        <f t="shared" ref="L899:L962" si="139">IF($A899="","",MAX(0,E899-F899-J899))</f>
        <v/>
      </c>
      <c r="M899" s="58" t="str">
        <f t="shared" ref="M899:M962" si="140">IF($A899="","",MAX(0,F899+J899-E899))</f>
        <v/>
      </c>
      <c r="N899" s="59" t="str">
        <f t="shared" si="136"/>
        <v/>
      </c>
      <c r="O899" s="60"/>
      <c r="P899" s="105"/>
    </row>
    <row r="900" spans="1:16" x14ac:dyDescent="0.3">
      <c r="A900" s="54" t="str">
        <f>IF([2]weekly_demand!A901="","",[2]weekly_demand!A901)</f>
        <v/>
      </c>
      <c r="B900" s="55" t="str">
        <f>IF($A900="","",[2]weekly_demand!F901)</f>
        <v/>
      </c>
      <c r="C900" s="56" t="str">
        <f>IF($A900="","",[2]weekly_demand!H901)</f>
        <v/>
      </c>
      <c r="D900" s="57" t="str">
        <f>IF($A900="","",IF(SUMIFS([2]Fixture_Capacity_Input!$C:$C,[2]Fixture_Capacity_Input!$A:$A,$B900,[2]Fixture_Capacity_Input!$B:$B,$C900)&gt;0,SUMIFS([2]Fixture_Capacity_Input!$C:$C,[2]Fixture_Capacity_Input!$A:$A,$B900,[2]Fixture_Capacity_Input!$B:$B,$C900),[2]weekly_demand!G901))</f>
        <v/>
      </c>
      <c r="E900" s="58" t="str">
        <f>IF($A900="","",[2]weekly_demand!I901)</f>
        <v/>
      </c>
      <c r="F900" s="57" t="str">
        <f t="shared" si="133"/>
        <v/>
      </c>
      <c r="G900" s="57" t="str">
        <f t="shared" si="134"/>
        <v/>
      </c>
      <c r="H900" s="57" t="str">
        <f t="shared" si="132"/>
        <v/>
      </c>
      <c r="I900" s="58" t="str">
        <f t="shared" si="137"/>
        <v/>
      </c>
      <c r="J900" s="58" t="str">
        <f t="shared" si="135"/>
        <v/>
      </c>
      <c r="K900" s="58" t="str">
        <f t="shared" si="138"/>
        <v/>
      </c>
      <c r="L900" s="58" t="str">
        <f t="shared" si="139"/>
        <v/>
      </c>
      <c r="M900" s="58" t="str">
        <f t="shared" si="140"/>
        <v/>
      </c>
      <c r="N900" s="59" t="str">
        <f t="shared" si="136"/>
        <v/>
      </c>
      <c r="O900" s="60"/>
      <c r="P900" s="105"/>
    </row>
    <row r="901" spans="1:16" x14ac:dyDescent="0.3">
      <c r="A901" s="54" t="str">
        <f>IF([2]weekly_demand!A902="","",[2]weekly_demand!A902)</f>
        <v/>
      </c>
      <c r="B901" s="55" t="str">
        <f>IF($A901="","",[2]weekly_demand!F902)</f>
        <v/>
      </c>
      <c r="C901" s="56" t="str">
        <f>IF($A901="","",[2]weekly_demand!H902)</f>
        <v/>
      </c>
      <c r="D901" s="57" t="str">
        <f>IF($A901="","",IF(SUMIFS([2]Fixture_Capacity_Input!$C:$C,[2]Fixture_Capacity_Input!$A:$A,$B901,[2]Fixture_Capacity_Input!$B:$B,$C901)&gt;0,SUMIFS([2]Fixture_Capacity_Input!$C:$C,[2]Fixture_Capacity_Input!$A:$A,$B901,[2]Fixture_Capacity_Input!$B:$B,$C901),[2]weekly_demand!G902))</f>
        <v/>
      </c>
      <c r="E901" s="58" t="str">
        <f>IF($A901="","",[2]weekly_demand!I902)</f>
        <v/>
      </c>
      <c r="F901" s="57" t="str">
        <f t="shared" si="133"/>
        <v/>
      </c>
      <c r="G901" s="57" t="str">
        <f t="shared" si="134"/>
        <v/>
      </c>
      <c r="H901" s="57" t="str">
        <f t="shared" si="132"/>
        <v/>
      </c>
      <c r="I901" s="58" t="str">
        <f t="shared" si="137"/>
        <v/>
      </c>
      <c r="J901" s="58" t="str">
        <f t="shared" si="135"/>
        <v/>
      </c>
      <c r="K901" s="58" t="str">
        <f t="shared" si="138"/>
        <v/>
      </c>
      <c r="L901" s="58" t="str">
        <f t="shared" si="139"/>
        <v/>
      </c>
      <c r="M901" s="58" t="str">
        <f t="shared" si="140"/>
        <v/>
      </c>
      <c r="N901" s="59" t="str">
        <f t="shared" si="136"/>
        <v/>
      </c>
      <c r="O901" s="60"/>
      <c r="P901" s="105"/>
    </row>
    <row r="902" spans="1:16" x14ac:dyDescent="0.3">
      <c r="A902" s="54" t="str">
        <f>IF([2]weekly_demand!A903="","",[2]weekly_demand!A903)</f>
        <v/>
      </c>
      <c r="B902" s="55" t="str">
        <f>IF($A902="","",[2]weekly_demand!F903)</f>
        <v/>
      </c>
      <c r="C902" s="56" t="str">
        <f>IF($A902="","",[2]weekly_demand!H903)</f>
        <v/>
      </c>
      <c r="D902" s="57" t="str">
        <f>IF($A902="","",IF(SUMIFS([2]Fixture_Capacity_Input!$C:$C,[2]Fixture_Capacity_Input!$A:$A,$B902,[2]Fixture_Capacity_Input!$B:$B,$C902)&gt;0,SUMIFS([2]Fixture_Capacity_Input!$C:$C,[2]Fixture_Capacity_Input!$A:$A,$B902,[2]Fixture_Capacity_Input!$B:$B,$C902),[2]weekly_demand!G903))</f>
        <v/>
      </c>
      <c r="E902" s="58" t="str">
        <f>IF($A902="","",[2]weekly_demand!I903)</f>
        <v/>
      </c>
      <c r="F902" s="57" t="str">
        <f t="shared" si="133"/>
        <v/>
      </c>
      <c r="G902" s="57" t="str">
        <f t="shared" si="134"/>
        <v/>
      </c>
      <c r="H902" s="57" t="str">
        <f t="shared" si="132"/>
        <v/>
      </c>
      <c r="I902" s="58" t="str">
        <f t="shared" si="137"/>
        <v/>
      </c>
      <c r="J902" s="58" t="str">
        <f t="shared" si="135"/>
        <v/>
      </c>
      <c r="K902" s="58" t="str">
        <f t="shared" si="138"/>
        <v/>
      </c>
      <c r="L902" s="58" t="str">
        <f t="shared" si="139"/>
        <v/>
      </c>
      <c r="M902" s="58" t="str">
        <f t="shared" si="140"/>
        <v/>
      </c>
      <c r="N902" s="59" t="str">
        <f t="shared" si="136"/>
        <v/>
      </c>
      <c r="O902" s="60"/>
      <c r="P902" s="105"/>
    </row>
    <row r="903" spans="1:16" x14ac:dyDescent="0.3">
      <c r="A903" s="54" t="str">
        <f>IF([2]weekly_demand!A904="","",[2]weekly_demand!A904)</f>
        <v/>
      </c>
      <c r="B903" s="55" t="str">
        <f>IF($A903="","",[2]weekly_demand!F904)</f>
        <v/>
      </c>
      <c r="C903" s="56" t="str">
        <f>IF($A903="","",[2]weekly_demand!H904)</f>
        <v/>
      </c>
      <c r="D903" s="57" t="str">
        <f>IF($A903="","",IF(SUMIFS([2]Fixture_Capacity_Input!$C:$C,[2]Fixture_Capacity_Input!$A:$A,$B903,[2]Fixture_Capacity_Input!$B:$B,$C903)&gt;0,SUMIFS([2]Fixture_Capacity_Input!$C:$C,[2]Fixture_Capacity_Input!$A:$A,$B903,[2]Fixture_Capacity_Input!$B:$B,$C903),[2]weekly_demand!G904))</f>
        <v/>
      </c>
      <c r="E903" s="58" t="str">
        <f>IF($A903="","",[2]weekly_demand!I904)</f>
        <v/>
      </c>
      <c r="F903" s="57" t="str">
        <f t="shared" si="133"/>
        <v/>
      </c>
      <c r="G903" s="57" t="str">
        <f t="shared" si="134"/>
        <v/>
      </c>
      <c r="H903" s="57" t="str">
        <f t="shared" si="132"/>
        <v/>
      </c>
      <c r="I903" s="58" t="str">
        <f t="shared" si="137"/>
        <v/>
      </c>
      <c r="J903" s="58" t="str">
        <f t="shared" si="135"/>
        <v/>
      </c>
      <c r="K903" s="58" t="str">
        <f t="shared" si="138"/>
        <v/>
      </c>
      <c r="L903" s="58" t="str">
        <f t="shared" si="139"/>
        <v/>
      </c>
      <c r="M903" s="58" t="str">
        <f t="shared" si="140"/>
        <v/>
      </c>
      <c r="N903" s="59" t="str">
        <f t="shared" si="136"/>
        <v/>
      </c>
      <c r="O903" s="60"/>
      <c r="P903" s="105"/>
    </row>
    <row r="904" spans="1:16" x14ac:dyDescent="0.3">
      <c r="A904" s="54" t="str">
        <f>IF([2]weekly_demand!A905="","",[2]weekly_demand!A905)</f>
        <v/>
      </c>
      <c r="B904" s="55" t="str">
        <f>IF($A904="","",[2]weekly_demand!F905)</f>
        <v/>
      </c>
      <c r="C904" s="56" t="str">
        <f>IF($A904="","",[2]weekly_demand!H905)</f>
        <v/>
      </c>
      <c r="D904" s="57" t="str">
        <f>IF($A904="","",IF(SUMIFS([2]Fixture_Capacity_Input!$C:$C,[2]Fixture_Capacity_Input!$A:$A,$B904,[2]Fixture_Capacity_Input!$B:$B,$C904)&gt;0,SUMIFS([2]Fixture_Capacity_Input!$C:$C,[2]Fixture_Capacity_Input!$A:$A,$B904,[2]Fixture_Capacity_Input!$B:$B,$C904),[2]weekly_demand!G905))</f>
        <v/>
      </c>
      <c r="E904" s="58" t="str">
        <f>IF($A904="","",[2]weekly_demand!I905)</f>
        <v/>
      </c>
      <c r="F904" s="57" t="str">
        <f t="shared" si="133"/>
        <v/>
      </c>
      <c r="G904" s="57" t="str">
        <f t="shared" si="134"/>
        <v/>
      </c>
      <c r="H904" s="57" t="str">
        <f t="shared" si="132"/>
        <v/>
      </c>
      <c r="I904" s="58" t="str">
        <f t="shared" si="137"/>
        <v/>
      </c>
      <c r="J904" s="58" t="str">
        <f t="shared" si="135"/>
        <v/>
      </c>
      <c r="K904" s="58" t="str">
        <f t="shared" si="138"/>
        <v/>
      </c>
      <c r="L904" s="58" t="str">
        <f t="shared" si="139"/>
        <v/>
      </c>
      <c r="M904" s="58" t="str">
        <f t="shared" si="140"/>
        <v/>
      </c>
      <c r="N904" s="59" t="str">
        <f t="shared" si="136"/>
        <v/>
      </c>
      <c r="O904" s="60"/>
      <c r="P904" s="105"/>
    </row>
    <row r="905" spans="1:16" x14ac:dyDescent="0.3">
      <c r="A905" s="54" t="str">
        <f>IF([2]weekly_demand!A906="","",[2]weekly_demand!A906)</f>
        <v/>
      </c>
      <c r="B905" s="55" t="str">
        <f>IF($A905="","",[2]weekly_demand!F906)</f>
        <v/>
      </c>
      <c r="C905" s="56" t="str">
        <f>IF($A905="","",[2]weekly_demand!H906)</f>
        <v/>
      </c>
      <c r="D905" s="57" t="str">
        <f>IF($A905="","",IF(SUMIFS([2]Fixture_Capacity_Input!$C:$C,[2]Fixture_Capacity_Input!$A:$A,$B905,[2]Fixture_Capacity_Input!$B:$B,$C905)&gt;0,SUMIFS([2]Fixture_Capacity_Input!$C:$C,[2]Fixture_Capacity_Input!$A:$A,$B905,[2]Fixture_Capacity_Input!$B:$B,$C905),[2]weekly_demand!G906))</f>
        <v/>
      </c>
      <c r="E905" s="58" t="str">
        <f>IF($A905="","",[2]weekly_demand!I906)</f>
        <v/>
      </c>
      <c r="F905" s="57" t="str">
        <f t="shared" si="133"/>
        <v/>
      </c>
      <c r="G905" s="57" t="str">
        <f t="shared" si="134"/>
        <v/>
      </c>
      <c r="H905" s="57" t="str">
        <f t="shared" si="132"/>
        <v/>
      </c>
      <c r="I905" s="58" t="str">
        <f t="shared" si="137"/>
        <v/>
      </c>
      <c r="J905" s="58" t="str">
        <f t="shared" si="135"/>
        <v/>
      </c>
      <c r="K905" s="58" t="str">
        <f t="shared" si="138"/>
        <v/>
      </c>
      <c r="L905" s="58" t="str">
        <f t="shared" si="139"/>
        <v/>
      </c>
      <c r="M905" s="58" t="str">
        <f t="shared" si="140"/>
        <v/>
      </c>
      <c r="N905" s="59" t="str">
        <f t="shared" si="136"/>
        <v/>
      </c>
      <c r="O905" s="60"/>
      <c r="P905" s="105"/>
    </row>
    <row r="906" spans="1:16" x14ac:dyDescent="0.3">
      <c r="A906" s="54" t="str">
        <f>IF([2]weekly_demand!A907="","",[2]weekly_demand!A907)</f>
        <v/>
      </c>
      <c r="B906" s="55" t="str">
        <f>IF($A906="","",[2]weekly_demand!F907)</f>
        <v/>
      </c>
      <c r="C906" s="56" t="str">
        <f>IF($A906="","",[2]weekly_demand!H907)</f>
        <v/>
      </c>
      <c r="D906" s="57" t="str">
        <f>IF($A906="","",IF(SUMIFS([2]Fixture_Capacity_Input!$C:$C,[2]Fixture_Capacity_Input!$A:$A,$B906,[2]Fixture_Capacity_Input!$B:$B,$C906)&gt;0,SUMIFS([2]Fixture_Capacity_Input!$C:$C,[2]Fixture_Capacity_Input!$A:$A,$B906,[2]Fixture_Capacity_Input!$B:$B,$C906),[2]weekly_demand!G907))</f>
        <v/>
      </c>
      <c r="E906" s="58" t="str">
        <f>IF($A906="","",[2]weekly_demand!I907)</f>
        <v/>
      </c>
      <c r="F906" s="57" t="str">
        <f t="shared" si="133"/>
        <v/>
      </c>
      <c r="G906" s="57" t="str">
        <f t="shared" si="134"/>
        <v/>
      </c>
      <c r="H906" s="57" t="str">
        <f t="shared" si="132"/>
        <v/>
      </c>
      <c r="I906" s="58" t="str">
        <f t="shared" si="137"/>
        <v/>
      </c>
      <c r="J906" s="58" t="str">
        <f t="shared" si="135"/>
        <v/>
      </c>
      <c r="K906" s="58" t="str">
        <f t="shared" si="138"/>
        <v/>
      </c>
      <c r="L906" s="58" t="str">
        <f t="shared" si="139"/>
        <v/>
      </c>
      <c r="M906" s="58" t="str">
        <f t="shared" si="140"/>
        <v/>
      </c>
      <c r="N906" s="59" t="str">
        <f t="shared" si="136"/>
        <v/>
      </c>
      <c r="O906" s="60"/>
      <c r="P906" s="105"/>
    </row>
    <row r="907" spans="1:16" x14ac:dyDescent="0.3">
      <c r="A907" s="54" t="str">
        <f>IF([2]weekly_demand!A908="","",[2]weekly_demand!A908)</f>
        <v/>
      </c>
      <c r="B907" s="55" t="str">
        <f>IF($A907="","",[2]weekly_demand!F908)</f>
        <v/>
      </c>
      <c r="C907" s="56" t="str">
        <f>IF($A907="","",[2]weekly_demand!H908)</f>
        <v/>
      </c>
      <c r="D907" s="57" t="str">
        <f>IF($A907="","",IF(SUMIFS([2]Fixture_Capacity_Input!$C:$C,[2]Fixture_Capacity_Input!$A:$A,$B907,[2]Fixture_Capacity_Input!$B:$B,$C907)&gt;0,SUMIFS([2]Fixture_Capacity_Input!$C:$C,[2]Fixture_Capacity_Input!$A:$A,$B907,[2]Fixture_Capacity_Input!$B:$B,$C907),[2]weekly_demand!G908))</f>
        <v/>
      </c>
      <c r="E907" s="58" t="str">
        <f>IF($A907="","",[2]weekly_demand!I908)</f>
        <v/>
      </c>
      <c r="F907" s="57" t="str">
        <f t="shared" si="133"/>
        <v/>
      </c>
      <c r="G907" s="57" t="str">
        <f t="shared" si="134"/>
        <v/>
      </c>
      <c r="H907" s="57" t="str">
        <f t="shared" si="132"/>
        <v/>
      </c>
      <c r="I907" s="58" t="str">
        <f t="shared" si="137"/>
        <v/>
      </c>
      <c r="J907" s="58" t="str">
        <f t="shared" si="135"/>
        <v/>
      </c>
      <c r="K907" s="58" t="str">
        <f t="shared" si="138"/>
        <v/>
      </c>
      <c r="L907" s="58" t="str">
        <f t="shared" si="139"/>
        <v/>
      </c>
      <c r="M907" s="58" t="str">
        <f t="shared" si="140"/>
        <v/>
      </c>
      <c r="N907" s="59" t="str">
        <f t="shared" si="136"/>
        <v/>
      </c>
      <c r="O907" s="60"/>
      <c r="P907" s="105"/>
    </row>
    <row r="908" spans="1:16" x14ac:dyDescent="0.3">
      <c r="A908" s="54" t="str">
        <f>IF([2]weekly_demand!A909="","",[2]weekly_demand!A909)</f>
        <v/>
      </c>
      <c r="B908" s="55" t="str">
        <f>IF($A908="","",[2]weekly_demand!F909)</f>
        <v/>
      </c>
      <c r="C908" s="56" t="str">
        <f>IF($A908="","",[2]weekly_demand!H909)</f>
        <v/>
      </c>
      <c r="D908" s="57" t="str">
        <f>IF($A908="","",IF(SUMIFS([2]Fixture_Capacity_Input!$C:$C,[2]Fixture_Capacity_Input!$A:$A,$B908,[2]Fixture_Capacity_Input!$B:$B,$C908)&gt;0,SUMIFS([2]Fixture_Capacity_Input!$C:$C,[2]Fixture_Capacity_Input!$A:$A,$B908,[2]Fixture_Capacity_Input!$B:$B,$C908),[2]weekly_demand!G909))</f>
        <v/>
      </c>
      <c r="E908" s="58" t="str">
        <f>IF($A908="","",[2]weekly_demand!I909)</f>
        <v/>
      </c>
      <c r="F908" s="57" t="str">
        <f t="shared" si="133"/>
        <v/>
      </c>
      <c r="G908" s="57" t="str">
        <f t="shared" si="134"/>
        <v/>
      </c>
      <c r="H908" s="57" t="str">
        <f t="shared" si="132"/>
        <v/>
      </c>
      <c r="I908" s="58" t="str">
        <f t="shared" si="137"/>
        <v/>
      </c>
      <c r="J908" s="58" t="str">
        <f t="shared" si="135"/>
        <v/>
      </c>
      <c r="K908" s="58" t="str">
        <f t="shared" si="138"/>
        <v/>
      </c>
      <c r="L908" s="58" t="str">
        <f t="shared" si="139"/>
        <v/>
      </c>
      <c r="M908" s="58" t="str">
        <f t="shared" si="140"/>
        <v/>
      </c>
      <c r="N908" s="59" t="str">
        <f t="shared" si="136"/>
        <v/>
      </c>
      <c r="O908" s="60"/>
      <c r="P908" s="105"/>
    </row>
    <row r="909" spans="1:16" x14ac:dyDescent="0.3">
      <c r="A909" s="54" t="str">
        <f>IF([2]weekly_demand!A910="","",[2]weekly_demand!A910)</f>
        <v/>
      </c>
      <c r="B909" s="55" t="str">
        <f>IF($A909="","",[2]weekly_demand!F910)</f>
        <v/>
      </c>
      <c r="C909" s="56" t="str">
        <f>IF($A909="","",[2]weekly_demand!H910)</f>
        <v/>
      </c>
      <c r="D909" s="57" t="str">
        <f>IF($A909="","",IF(SUMIFS([2]Fixture_Capacity_Input!$C:$C,[2]Fixture_Capacity_Input!$A:$A,$B909,[2]Fixture_Capacity_Input!$B:$B,$C909)&gt;0,SUMIFS([2]Fixture_Capacity_Input!$C:$C,[2]Fixture_Capacity_Input!$A:$A,$B909,[2]Fixture_Capacity_Input!$B:$B,$C909),[2]weekly_demand!G910))</f>
        <v/>
      </c>
      <c r="E909" s="58" t="str">
        <f>IF($A909="","",[2]weekly_demand!I910)</f>
        <v/>
      </c>
      <c r="F909" s="57" t="str">
        <f t="shared" si="133"/>
        <v/>
      </c>
      <c r="G909" s="57" t="str">
        <f t="shared" si="134"/>
        <v/>
      </c>
      <c r="H909" s="57" t="str">
        <f t="shared" si="132"/>
        <v/>
      </c>
      <c r="I909" s="58" t="str">
        <f t="shared" si="137"/>
        <v/>
      </c>
      <c r="J909" s="58" t="str">
        <f t="shared" si="135"/>
        <v/>
      </c>
      <c r="K909" s="58" t="str">
        <f t="shared" si="138"/>
        <v/>
      </c>
      <c r="L909" s="58" t="str">
        <f t="shared" si="139"/>
        <v/>
      </c>
      <c r="M909" s="58" t="str">
        <f t="shared" si="140"/>
        <v/>
      </c>
      <c r="N909" s="59" t="str">
        <f t="shared" si="136"/>
        <v/>
      </c>
      <c r="O909" s="60"/>
      <c r="P909" s="105"/>
    </row>
    <row r="910" spans="1:16" x14ac:dyDescent="0.3">
      <c r="A910" s="54" t="str">
        <f>IF([2]weekly_demand!A911="","",[2]weekly_demand!A911)</f>
        <v/>
      </c>
      <c r="B910" s="55" t="str">
        <f>IF($A910="","",[2]weekly_demand!F911)</f>
        <v/>
      </c>
      <c r="C910" s="56" t="str">
        <f>IF($A910="","",[2]weekly_demand!H911)</f>
        <v/>
      </c>
      <c r="D910" s="57" t="str">
        <f>IF($A910="","",IF(SUMIFS([2]Fixture_Capacity_Input!$C:$C,[2]Fixture_Capacity_Input!$A:$A,$B910,[2]Fixture_Capacity_Input!$B:$B,$C910)&gt;0,SUMIFS([2]Fixture_Capacity_Input!$C:$C,[2]Fixture_Capacity_Input!$A:$A,$B910,[2]Fixture_Capacity_Input!$B:$B,$C910),[2]weekly_demand!G911))</f>
        <v/>
      </c>
      <c r="E910" s="58" t="str">
        <f>IF($A910="","",[2]weekly_demand!I911)</f>
        <v/>
      </c>
      <c r="F910" s="57" t="str">
        <f t="shared" si="133"/>
        <v/>
      </c>
      <c r="G910" s="57" t="str">
        <f t="shared" si="134"/>
        <v/>
      </c>
      <c r="H910" s="57" t="str">
        <f t="shared" si="132"/>
        <v/>
      </c>
      <c r="I910" s="58" t="str">
        <f t="shared" si="137"/>
        <v/>
      </c>
      <c r="J910" s="58" t="str">
        <f t="shared" si="135"/>
        <v/>
      </c>
      <c r="K910" s="58" t="str">
        <f t="shared" si="138"/>
        <v/>
      </c>
      <c r="L910" s="58" t="str">
        <f t="shared" si="139"/>
        <v/>
      </c>
      <c r="M910" s="58" t="str">
        <f t="shared" si="140"/>
        <v/>
      </c>
      <c r="N910" s="59" t="str">
        <f t="shared" si="136"/>
        <v/>
      </c>
      <c r="O910" s="60"/>
      <c r="P910" s="105"/>
    </row>
    <row r="911" spans="1:16" x14ac:dyDescent="0.3">
      <c r="A911" s="54" t="str">
        <f>IF([2]weekly_demand!A912="","",[2]weekly_demand!A912)</f>
        <v/>
      </c>
      <c r="B911" s="55" t="str">
        <f>IF($A911="","",[2]weekly_demand!F912)</f>
        <v/>
      </c>
      <c r="C911" s="56" t="str">
        <f>IF($A911="","",[2]weekly_demand!H912)</f>
        <v/>
      </c>
      <c r="D911" s="57" t="str">
        <f>IF($A911="","",IF(SUMIFS([2]Fixture_Capacity_Input!$C:$C,[2]Fixture_Capacity_Input!$A:$A,$B911,[2]Fixture_Capacity_Input!$B:$B,$C911)&gt;0,SUMIFS([2]Fixture_Capacity_Input!$C:$C,[2]Fixture_Capacity_Input!$A:$A,$B911,[2]Fixture_Capacity_Input!$B:$B,$C911),[2]weekly_demand!G912))</f>
        <v/>
      </c>
      <c r="E911" s="58" t="str">
        <f>IF($A911="","",[2]weekly_demand!I912)</f>
        <v/>
      </c>
      <c r="F911" s="57" t="str">
        <f t="shared" si="133"/>
        <v/>
      </c>
      <c r="G911" s="57" t="str">
        <f t="shared" si="134"/>
        <v/>
      </c>
      <c r="H911" s="57" t="str">
        <f t="shared" si="132"/>
        <v/>
      </c>
      <c r="I911" s="58" t="str">
        <f t="shared" si="137"/>
        <v/>
      </c>
      <c r="J911" s="58" t="str">
        <f t="shared" si="135"/>
        <v/>
      </c>
      <c r="K911" s="58" t="str">
        <f t="shared" si="138"/>
        <v/>
      </c>
      <c r="L911" s="58" t="str">
        <f t="shared" si="139"/>
        <v/>
      </c>
      <c r="M911" s="58" t="str">
        <f t="shared" si="140"/>
        <v/>
      </c>
      <c r="N911" s="59" t="str">
        <f t="shared" si="136"/>
        <v/>
      </c>
      <c r="O911" s="60"/>
      <c r="P911" s="105"/>
    </row>
    <row r="912" spans="1:16" x14ac:dyDescent="0.3">
      <c r="A912" s="54" t="str">
        <f>IF([2]weekly_demand!A913="","",[2]weekly_demand!A913)</f>
        <v/>
      </c>
      <c r="B912" s="55" t="str">
        <f>IF($A912="","",[2]weekly_demand!F913)</f>
        <v/>
      </c>
      <c r="C912" s="56" t="str">
        <f>IF($A912="","",[2]weekly_demand!H913)</f>
        <v/>
      </c>
      <c r="D912" s="57" t="str">
        <f>IF($A912="","",IF(SUMIFS([2]Fixture_Capacity_Input!$C:$C,[2]Fixture_Capacity_Input!$A:$A,$B912,[2]Fixture_Capacity_Input!$B:$B,$C912)&gt;0,SUMIFS([2]Fixture_Capacity_Input!$C:$C,[2]Fixture_Capacity_Input!$A:$A,$B912,[2]Fixture_Capacity_Input!$B:$B,$C912),[2]weekly_demand!G913))</f>
        <v/>
      </c>
      <c r="E912" s="58" t="str">
        <f>IF($A912="","",[2]weekly_demand!I913)</f>
        <v/>
      </c>
      <c r="F912" s="57" t="str">
        <f t="shared" si="133"/>
        <v/>
      </c>
      <c r="G912" s="57" t="str">
        <f t="shared" si="134"/>
        <v/>
      </c>
      <c r="H912" s="57" t="str">
        <f t="shared" si="132"/>
        <v/>
      </c>
      <c r="I912" s="58" t="str">
        <f t="shared" si="137"/>
        <v/>
      </c>
      <c r="J912" s="58" t="str">
        <f t="shared" si="135"/>
        <v/>
      </c>
      <c r="K912" s="58" t="str">
        <f t="shared" si="138"/>
        <v/>
      </c>
      <c r="L912" s="58" t="str">
        <f t="shared" si="139"/>
        <v/>
      </c>
      <c r="M912" s="58" t="str">
        <f t="shared" si="140"/>
        <v/>
      </c>
      <c r="N912" s="59" t="str">
        <f t="shared" si="136"/>
        <v/>
      </c>
      <c r="O912" s="60"/>
      <c r="P912" s="105"/>
    </row>
    <row r="913" spans="1:16" x14ac:dyDescent="0.3">
      <c r="A913" s="54" t="str">
        <f>IF([2]weekly_demand!A914="","",[2]weekly_demand!A914)</f>
        <v/>
      </c>
      <c r="B913" s="55" t="str">
        <f>IF($A913="","",[2]weekly_demand!F914)</f>
        <v/>
      </c>
      <c r="C913" s="56" t="str">
        <f>IF($A913="","",[2]weekly_demand!H914)</f>
        <v/>
      </c>
      <c r="D913" s="57" t="str">
        <f>IF($A913="","",IF(SUMIFS([2]Fixture_Capacity_Input!$C:$C,[2]Fixture_Capacity_Input!$A:$A,$B913,[2]Fixture_Capacity_Input!$B:$B,$C913)&gt;0,SUMIFS([2]Fixture_Capacity_Input!$C:$C,[2]Fixture_Capacity_Input!$A:$A,$B913,[2]Fixture_Capacity_Input!$B:$B,$C913),[2]weekly_demand!G914))</f>
        <v/>
      </c>
      <c r="E913" s="58" t="str">
        <f>IF($A913="","",[2]weekly_demand!I914)</f>
        <v/>
      </c>
      <c r="F913" s="57" t="str">
        <f t="shared" si="133"/>
        <v/>
      </c>
      <c r="G913" s="57" t="str">
        <f t="shared" si="134"/>
        <v/>
      </c>
      <c r="H913" s="57" t="str">
        <f t="shared" si="132"/>
        <v/>
      </c>
      <c r="I913" s="58" t="str">
        <f t="shared" si="137"/>
        <v/>
      </c>
      <c r="J913" s="58" t="str">
        <f t="shared" si="135"/>
        <v/>
      </c>
      <c r="K913" s="58" t="str">
        <f t="shared" si="138"/>
        <v/>
      </c>
      <c r="L913" s="58" t="str">
        <f t="shared" si="139"/>
        <v/>
      </c>
      <c r="M913" s="58" t="str">
        <f t="shared" si="140"/>
        <v/>
      </c>
      <c r="N913" s="59" t="str">
        <f t="shared" si="136"/>
        <v/>
      </c>
      <c r="O913" s="60"/>
      <c r="P913" s="105"/>
    </row>
    <row r="914" spans="1:16" x14ac:dyDescent="0.3">
      <c r="A914" s="54" t="str">
        <f>IF([2]weekly_demand!A915="","",[2]weekly_demand!A915)</f>
        <v/>
      </c>
      <c r="B914" s="55" t="str">
        <f>IF($A914="","",[2]weekly_demand!F915)</f>
        <v/>
      </c>
      <c r="C914" s="56" t="str">
        <f>IF($A914="","",[2]weekly_demand!H915)</f>
        <v/>
      </c>
      <c r="D914" s="57" t="str">
        <f>IF($A914="","",IF(SUMIFS([2]Fixture_Capacity_Input!$C:$C,[2]Fixture_Capacity_Input!$A:$A,$B914,[2]Fixture_Capacity_Input!$B:$B,$C914)&gt;0,SUMIFS([2]Fixture_Capacity_Input!$C:$C,[2]Fixture_Capacity_Input!$A:$A,$B914,[2]Fixture_Capacity_Input!$B:$B,$C914),[2]weekly_demand!G915))</f>
        <v/>
      </c>
      <c r="E914" s="58" t="str">
        <f>IF($A914="","",[2]weekly_demand!I915)</f>
        <v/>
      </c>
      <c r="F914" s="57" t="str">
        <f t="shared" si="133"/>
        <v/>
      </c>
      <c r="G914" s="57" t="str">
        <f t="shared" si="134"/>
        <v/>
      </c>
      <c r="H914" s="57" t="str">
        <f t="shared" si="132"/>
        <v/>
      </c>
      <c r="I914" s="58" t="str">
        <f t="shared" si="137"/>
        <v/>
      </c>
      <c r="J914" s="58" t="str">
        <f t="shared" si="135"/>
        <v/>
      </c>
      <c r="K914" s="58" t="str">
        <f t="shared" si="138"/>
        <v/>
      </c>
      <c r="L914" s="58" t="str">
        <f t="shared" si="139"/>
        <v/>
      </c>
      <c r="M914" s="58" t="str">
        <f t="shared" si="140"/>
        <v/>
      </c>
      <c r="N914" s="59" t="str">
        <f t="shared" si="136"/>
        <v/>
      </c>
      <c r="O914" s="60"/>
      <c r="P914" s="105"/>
    </row>
    <row r="915" spans="1:16" x14ac:dyDescent="0.3">
      <c r="A915" s="54" t="str">
        <f>IF([2]weekly_demand!A916="","",[2]weekly_demand!A916)</f>
        <v/>
      </c>
      <c r="B915" s="55" t="str">
        <f>IF($A915="","",[2]weekly_demand!F916)</f>
        <v/>
      </c>
      <c r="C915" s="56" t="str">
        <f>IF($A915="","",[2]weekly_demand!H916)</f>
        <v/>
      </c>
      <c r="D915" s="57" t="str">
        <f>IF($A915="","",IF(SUMIFS([2]Fixture_Capacity_Input!$C:$C,[2]Fixture_Capacity_Input!$A:$A,$B915,[2]Fixture_Capacity_Input!$B:$B,$C915)&gt;0,SUMIFS([2]Fixture_Capacity_Input!$C:$C,[2]Fixture_Capacity_Input!$A:$A,$B915,[2]Fixture_Capacity_Input!$B:$B,$C915),[2]weekly_demand!G916))</f>
        <v/>
      </c>
      <c r="E915" s="58" t="str">
        <f>IF($A915="","",[2]weekly_demand!I916)</f>
        <v/>
      </c>
      <c r="F915" s="57" t="str">
        <f t="shared" si="133"/>
        <v/>
      </c>
      <c r="G915" s="57" t="str">
        <f t="shared" si="134"/>
        <v/>
      </c>
      <c r="H915" s="57" t="str">
        <f t="shared" si="132"/>
        <v/>
      </c>
      <c r="I915" s="58" t="str">
        <f t="shared" si="137"/>
        <v/>
      </c>
      <c r="J915" s="58" t="str">
        <f t="shared" si="135"/>
        <v/>
      </c>
      <c r="K915" s="58" t="str">
        <f t="shared" si="138"/>
        <v/>
      </c>
      <c r="L915" s="58" t="str">
        <f t="shared" si="139"/>
        <v/>
      </c>
      <c r="M915" s="58" t="str">
        <f t="shared" si="140"/>
        <v/>
      </c>
      <c r="N915" s="59" t="str">
        <f t="shared" si="136"/>
        <v/>
      </c>
      <c r="O915" s="60"/>
      <c r="P915" s="105"/>
    </row>
    <row r="916" spans="1:16" x14ac:dyDescent="0.3">
      <c r="A916" s="54" t="str">
        <f>IF([2]weekly_demand!A917="","",[2]weekly_demand!A917)</f>
        <v/>
      </c>
      <c r="B916" s="55" t="str">
        <f>IF($A916="","",[2]weekly_demand!F917)</f>
        <v/>
      </c>
      <c r="C916" s="56" t="str">
        <f>IF($A916="","",[2]weekly_demand!H917)</f>
        <v/>
      </c>
      <c r="D916" s="57" t="str">
        <f>IF($A916="","",IF(SUMIFS([2]Fixture_Capacity_Input!$C:$C,[2]Fixture_Capacity_Input!$A:$A,$B916,[2]Fixture_Capacity_Input!$B:$B,$C916)&gt;0,SUMIFS([2]Fixture_Capacity_Input!$C:$C,[2]Fixture_Capacity_Input!$A:$A,$B916,[2]Fixture_Capacity_Input!$B:$B,$C916),[2]weekly_demand!G917))</f>
        <v/>
      </c>
      <c r="E916" s="58" t="str">
        <f>IF($A916="","",[2]weekly_demand!I917)</f>
        <v/>
      </c>
      <c r="F916" s="57" t="str">
        <f t="shared" si="133"/>
        <v/>
      </c>
      <c r="G916" s="57" t="str">
        <f t="shared" si="134"/>
        <v/>
      </c>
      <c r="H916" s="57" t="str">
        <f t="shared" si="132"/>
        <v/>
      </c>
      <c r="I916" s="58" t="str">
        <f t="shared" si="137"/>
        <v/>
      </c>
      <c r="J916" s="58" t="str">
        <f t="shared" si="135"/>
        <v/>
      </c>
      <c r="K916" s="58" t="str">
        <f t="shared" si="138"/>
        <v/>
      </c>
      <c r="L916" s="58" t="str">
        <f t="shared" si="139"/>
        <v/>
      </c>
      <c r="M916" s="58" t="str">
        <f t="shared" si="140"/>
        <v/>
      </c>
      <c r="N916" s="59" t="str">
        <f t="shared" si="136"/>
        <v/>
      </c>
      <c r="O916" s="60"/>
      <c r="P916" s="105"/>
    </row>
    <row r="917" spans="1:16" x14ac:dyDescent="0.3">
      <c r="A917" s="54" t="str">
        <f>IF([2]weekly_demand!A918="","",[2]weekly_demand!A918)</f>
        <v/>
      </c>
      <c r="B917" s="55" t="str">
        <f>IF($A917="","",[2]weekly_demand!F918)</f>
        <v/>
      </c>
      <c r="C917" s="56" t="str">
        <f>IF($A917="","",[2]weekly_demand!H918)</f>
        <v/>
      </c>
      <c r="D917" s="57" t="str">
        <f>IF($A917="","",IF(SUMIFS([2]Fixture_Capacity_Input!$C:$C,[2]Fixture_Capacity_Input!$A:$A,$B917,[2]Fixture_Capacity_Input!$B:$B,$C917)&gt;0,SUMIFS([2]Fixture_Capacity_Input!$C:$C,[2]Fixture_Capacity_Input!$A:$A,$B917,[2]Fixture_Capacity_Input!$B:$B,$C917),[2]weekly_demand!G918))</f>
        <v/>
      </c>
      <c r="E917" s="58" t="str">
        <f>IF($A917="","",[2]weekly_demand!I918)</f>
        <v/>
      </c>
      <c r="F917" s="57" t="str">
        <f t="shared" si="133"/>
        <v/>
      </c>
      <c r="G917" s="57" t="str">
        <f t="shared" si="134"/>
        <v/>
      </c>
      <c r="H917" s="57" t="str">
        <f t="shared" si="132"/>
        <v/>
      </c>
      <c r="I917" s="58" t="str">
        <f t="shared" si="137"/>
        <v/>
      </c>
      <c r="J917" s="58" t="str">
        <f t="shared" si="135"/>
        <v/>
      </c>
      <c r="K917" s="58" t="str">
        <f t="shared" si="138"/>
        <v/>
      </c>
      <c r="L917" s="58" t="str">
        <f t="shared" si="139"/>
        <v/>
      </c>
      <c r="M917" s="58" t="str">
        <f t="shared" si="140"/>
        <v/>
      </c>
      <c r="N917" s="59" t="str">
        <f t="shared" si="136"/>
        <v/>
      </c>
      <c r="O917" s="60"/>
      <c r="P917" s="105"/>
    </row>
    <row r="918" spans="1:16" x14ac:dyDescent="0.3">
      <c r="A918" s="54" t="str">
        <f>IF([2]weekly_demand!A919="","",[2]weekly_demand!A919)</f>
        <v/>
      </c>
      <c r="B918" s="55" t="str">
        <f>IF($A918="","",[2]weekly_demand!F919)</f>
        <v/>
      </c>
      <c r="C918" s="56" t="str">
        <f>IF($A918="","",[2]weekly_demand!H919)</f>
        <v/>
      </c>
      <c r="D918" s="57" t="str">
        <f>IF($A918="","",IF(SUMIFS([2]Fixture_Capacity_Input!$C:$C,[2]Fixture_Capacity_Input!$A:$A,$B918,[2]Fixture_Capacity_Input!$B:$B,$C918)&gt;0,SUMIFS([2]Fixture_Capacity_Input!$C:$C,[2]Fixture_Capacity_Input!$A:$A,$B918,[2]Fixture_Capacity_Input!$B:$B,$C918),[2]weekly_demand!G919))</f>
        <v/>
      </c>
      <c r="E918" s="58" t="str">
        <f>IF($A918="","",[2]weekly_demand!I919)</f>
        <v/>
      </c>
      <c r="F918" s="57" t="str">
        <f t="shared" si="133"/>
        <v/>
      </c>
      <c r="G918" s="57" t="str">
        <f t="shared" si="134"/>
        <v/>
      </c>
      <c r="H918" s="57" t="str">
        <f t="shared" si="132"/>
        <v/>
      </c>
      <c r="I918" s="58" t="str">
        <f t="shared" si="137"/>
        <v/>
      </c>
      <c r="J918" s="58" t="str">
        <f t="shared" si="135"/>
        <v/>
      </c>
      <c r="K918" s="58" t="str">
        <f t="shared" si="138"/>
        <v/>
      </c>
      <c r="L918" s="58" t="str">
        <f t="shared" si="139"/>
        <v/>
      </c>
      <c r="M918" s="58" t="str">
        <f t="shared" si="140"/>
        <v/>
      </c>
      <c r="N918" s="59" t="str">
        <f t="shared" si="136"/>
        <v/>
      </c>
      <c r="O918" s="60"/>
      <c r="P918" s="105"/>
    </row>
    <row r="919" spans="1:16" x14ac:dyDescent="0.3">
      <c r="A919" s="54" t="str">
        <f>IF([2]weekly_demand!A920="","",[2]weekly_demand!A920)</f>
        <v/>
      </c>
      <c r="B919" s="55" t="str">
        <f>IF($A919="","",[2]weekly_demand!F920)</f>
        <v/>
      </c>
      <c r="C919" s="56" t="str">
        <f>IF($A919="","",[2]weekly_demand!H920)</f>
        <v/>
      </c>
      <c r="D919" s="57" t="str">
        <f>IF($A919="","",IF(SUMIFS([2]Fixture_Capacity_Input!$C:$C,[2]Fixture_Capacity_Input!$A:$A,$B919,[2]Fixture_Capacity_Input!$B:$B,$C919)&gt;0,SUMIFS([2]Fixture_Capacity_Input!$C:$C,[2]Fixture_Capacity_Input!$A:$A,$B919,[2]Fixture_Capacity_Input!$B:$B,$C919),[2]weekly_demand!G920))</f>
        <v/>
      </c>
      <c r="E919" s="58" t="str">
        <f>IF($A919="","",[2]weekly_demand!I920)</f>
        <v/>
      </c>
      <c r="F919" s="57" t="str">
        <f t="shared" si="133"/>
        <v/>
      </c>
      <c r="G919" s="57" t="str">
        <f t="shared" si="134"/>
        <v/>
      </c>
      <c r="H919" s="57" t="str">
        <f t="shared" si="132"/>
        <v/>
      </c>
      <c r="I919" s="58" t="str">
        <f t="shared" si="137"/>
        <v/>
      </c>
      <c r="J919" s="58" t="str">
        <f t="shared" si="135"/>
        <v/>
      </c>
      <c r="K919" s="58" t="str">
        <f t="shared" si="138"/>
        <v/>
      </c>
      <c r="L919" s="58" t="str">
        <f t="shared" si="139"/>
        <v/>
      </c>
      <c r="M919" s="58" t="str">
        <f t="shared" si="140"/>
        <v/>
      </c>
      <c r="N919" s="59" t="str">
        <f t="shared" si="136"/>
        <v/>
      </c>
      <c r="O919" s="60"/>
      <c r="P919" s="105"/>
    </row>
    <row r="920" spans="1:16" x14ac:dyDescent="0.3">
      <c r="A920" s="54" t="str">
        <f>IF([2]weekly_demand!A921="","",[2]weekly_demand!A921)</f>
        <v/>
      </c>
      <c r="B920" s="55" t="str">
        <f>IF($A920="","",[2]weekly_demand!F921)</f>
        <v/>
      </c>
      <c r="C920" s="56" t="str">
        <f>IF($A920="","",[2]weekly_demand!H921)</f>
        <v/>
      </c>
      <c r="D920" s="57" t="str">
        <f>IF($A920="","",IF(SUMIFS([2]Fixture_Capacity_Input!$C:$C,[2]Fixture_Capacity_Input!$A:$A,$B920,[2]Fixture_Capacity_Input!$B:$B,$C920)&gt;0,SUMIFS([2]Fixture_Capacity_Input!$C:$C,[2]Fixture_Capacity_Input!$A:$A,$B920,[2]Fixture_Capacity_Input!$B:$B,$C920),[2]weekly_demand!G921))</f>
        <v/>
      </c>
      <c r="E920" s="58" t="str">
        <f>IF($A920="","",[2]weekly_demand!I921)</f>
        <v/>
      </c>
      <c r="F920" s="57" t="str">
        <f t="shared" si="133"/>
        <v/>
      </c>
      <c r="G920" s="57" t="str">
        <f t="shared" si="134"/>
        <v/>
      </c>
      <c r="H920" s="57" t="str">
        <f t="shared" si="132"/>
        <v/>
      </c>
      <c r="I920" s="58" t="str">
        <f t="shared" si="137"/>
        <v/>
      </c>
      <c r="J920" s="58" t="str">
        <f t="shared" si="135"/>
        <v/>
      </c>
      <c r="K920" s="58" t="str">
        <f t="shared" si="138"/>
        <v/>
      </c>
      <c r="L920" s="58" t="str">
        <f t="shared" si="139"/>
        <v/>
      </c>
      <c r="M920" s="58" t="str">
        <f t="shared" si="140"/>
        <v/>
      </c>
      <c r="N920" s="59" t="str">
        <f t="shared" si="136"/>
        <v/>
      </c>
      <c r="O920" s="60"/>
      <c r="P920" s="105"/>
    </row>
    <row r="921" spans="1:16" x14ac:dyDescent="0.3">
      <c r="A921" s="54" t="str">
        <f>IF([2]weekly_demand!A922="","",[2]weekly_demand!A922)</f>
        <v/>
      </c>
      <c r="B921" s="55" t="str">
        <f>IF($A921="","",[2]weekly_demand!F922)</f>
        <v/>
      </c>
      <c r="C921" s="56" t="str">
        <f>IF($A921="","",[2]weekly_demand!H922)</f>
        <v/>
      </c>
      <c r="D921" s="57" t="str">
        <f>IF($A921="","",IF(SUMIFS([2]Fixture_Capacity_Input!$C:$C,[2]Fixture_Capacity_Input!$A:$A,$B921,[2]Fixture_Capacity_Input!$B:$B,$C921)&gt;0,SUMIFS([2]Fixture_Capacity_Input!$C:$C,[2]Fixture_Capacity_Input!$A:$A,$B921,[2]Fixture_Capacity_Input!$B:$B,$C921),[2]weekly_demand!G922))</f>
        <v/>
      </c>
      <c r="E921" s="58" t="str">
        <f>IF($A921="","",[2]weekly_demand!I922)</f>
        <v/>
      </c>
      <c r="F921" s="57" t="str">
        <f t="shared" si="133"/>
        <v/>
      </c>
      <c r="G921" s="57" t="str">
        <f t="shared" si="134"/>
        <v/>
      </c>
      <c r="H921" s="57" t="str">
        <f t="shared" si="132"/>
        <v/>
      </c>
      <c r="I921" s="58" t="str">
        <f t="shared" si="137"/>
        <v/>
      </c>
      <c r="J921" s="58" t="str">
        <f t="shared" si="135"/>
        <v/>
      </c>
      <c r="K921" s="58" t="str">
        <f t="shared" si="138"/>
        <v/>
      </c>
      <c r="L921" s="58" t="str">
        <f t="shared" si="139"/>
        <v/>
      </c>
      <c r="M921" s="58" t="str">
        <f t="shared" si="140"/>
        <v/>
      </c>
      <c r="N921" s="59" t="str">
        <f t="shared" si="136"/>
        <v/>
      </c>
      <c r="O921" s="60"/>
      <c r="P921" s="105"/>
    </row>
    <row r="922" spans="1:16" x14ac:dyDescent="0.3">
      <c r="A922" s="54" t="str">
        <f>IF([2]weekly_demand!A923="","",[2]weekly_demand!A923)</f>
        <v/>
      </c>
      <c r="B922" s="55" t="str">
        <f>IF($A922="","",[2]weekly_demand!F923)</f>
        <v/>
      </c>
      <c r="C922" s="56" t="str">
        <f>IF($A922="","",[2]weekly_demand!H923)</f>
        <v/>
      </c>
      <c r="D922" s="57" t="str">
        <f>IF($A922="","",IF(SUMIFS([2]Fixture_Capacity_Input!$C:$C,[2]Fixture_Capacity_Input!$A:$A,$B922,[2]Fixture_Capacity_Input!$B:$B,$C922)&gt;0,SUMIFS([2]Fixture_Capacity_Input!$C:$C,[2]Fixture_Capacity_Input!$A:$A,$B922,[2]Fixture_Capacity_Input!$B:$B,$C922),[2]weekly_demand!G923))</f>
        <v/>
      </c>
      <c r="E922" s="58" t="str">
        <f>IF($A922="","",[2]weekly_demand!I923)</f>
        <v/>
      </c>
      <c r="F922" s="57" t="str">
        <f t="shared" si="133"/>
        <v/>
      </c>
      <c r="G922" s="57" t="str">
        <f t="shared" si="134"/>
        <v/>
      </c>
      <c r="H922" s="57" t="str">
        <f t="shared" si="132"/>
        <v/>
      </c>
      <c r="I922" s="58" t="str">
        <f t="shared" si="137"/>
        <v/>
      </c>
      <c r="J922" s="58" t="str">
        <f t="shared" si="135"/>
        <v/>
      </c>
      <c r="K922" s="58" t="str">
        <f t="shared" si="138"/>
        <v/>
      </c>
      <c r="L922" s="58" t="str">
        <f t="shared" si="139"/>
        <v/>
      </c>
      <c r="M922" s="58" t="str">
        <f t="shared" si="140"/>
        <v/>
      </c>
      <c r="N922" s="59" t="str">
        <f t="shared" si="136"/>
        <v/>
      </c>
      <c r="O922" s="60"/>
      <c r="P922" s="105"/>
    </row>
    <row r="923" spans="1:16" x14ac:dyDescent="0.3">
      <c r="A923" s="54" t="str">
        <f>IF([2]weekly_demand!A924="","",[2]weekly_demand!A924)</f>
        <v/>
      </c>
      <c r="B923" s="55" t="str">
        <f>IF($A923="","",[2]weekly_demand!F924)</f>
        <v/>
      </c>
      <c r="C923" s="56" t="str">
        <f>IF($A923="","",[2]weekly_demand!H924)</f>
        <v/>
      </c>
      <c r="D923" s="57" t="str">
        <f>IF($A923="","",IF(SUMIFS([2]Fixture_Capacity_Input!$C:$C,[2]Fixture_Capacity_Input!$A:$A,$B923,[2]Fixture_Capacity_Input!$B:$B,$C923)&gt;0,SUMIFS([2]Fixture_Capacity_Input!$C:$C,[2]Fixture_Capacity_Input!$A:$A,$B923,[2]Fixture_Capacity_Input!$B:$B,$C923),[2]weekly_demand!G924))</f>
        <v/>
      </c>
      <c r="E923" s="58" t="str">
        <f>IF($A923="","",[2]weekly_demand!I924)</f>
        <v/>
      </c>
      <c r="F923" s="57" t="str">
        <f t="shared" si="133"/>
        <v/>
      </c>
      <c r="G923" s="57" t="str">
        <f t="shared" si="134"/>
        <v/>
      </c>
      <c r="H923" s="57" t="str">
        <f t="shared" si="132"/>
        <v/>
      </c>
      <c r="I923" s="58" t="str">
        <f t="shared" si="137"/>
        <v/>
      </c>
      <c r="J923" s="58" t="str">
        <f t="shared" si="135"/>
        <v/>
      </c>
      <c r="K923" s="58" t="str">
        <f t="shared" si="138"/>
        <v/>
      </c>
      <c r="L923" s="58" t="str">
        <f t="shared" si="139"/>
        <v/>
      </c>
      <c r="M923" s="58" t="str">
        <f t="shared" si="140"/>
        <v/>
      </c>
      <c r="N923" s="59" t="str">
        <f t="shared" si="136"/>
        <v/>
      </c>
      <c r="O923" s="60"/>
      <c r="P923" s="105"/>
    </row>
    <row r="924" spans="1:16" x14ac:dyDescent="0.3">
      <c r="A924" s="54" t="str">
        <f>IF([2]weekly_demand!A925="","",[2]weekly_demand!A925)</f>
        <v/>
      </c>
      <c r="B924" s="55" t="str">
        <f>IF($A924="","",[2]weekly_demand!F925)</f>
        <v/>
      </c>
      <c r="C924" s="56" t="str">
        <f>IF($A924="","",[2]weekly_demand!H925)</f>
        <v/>
      </c>
      <c r="D924" s="57" t="str">
        <f>IF($A924="","",IF(SUMIFS([2]Fixture_Capacity_Input!$C:$C,[2]Fixture_Capacity_Input!$A:$A,$B924,[2]Fixture_Capacity_Input!$B:$B,$C924)&gt;0,SUMIFS([2]Fixture_Capacity_Input!$C:$C,[2]Fixture_Capacity_Input!$A:$A,$B924,[2]Fixture_Capacity_Input!$B:$B,$C924),[2]weekly_demand!G925))</f>
        <v/>
      </c>
      <c r="E924" s="58" t="str">
        <f>IF($A924="","",[2]weekly_demand!I925)</f>
        <v/>
      </c>
      <c r="F924" s="57" t="str">
        <f t="shared" si="133"/>
        <v/>
      </c>
      <c r="G924" s="57" t="str">
        <f t="shared" si="134"/>
        <v/>
      </c>
      <c r="H924" s="57" t="str">
        <f t="shared" si="132"/>
        <v/>
      </c>
      <c r="I924" s="58" t="str">
        <f t="shared" si="137"/>
        <v/>
      </c>
      <c r="J924" s="58" t="str">
        <f t="shared" si="135"/>
        <v/>
      </c>
      <c r="K924" s="58" t="str">
        <f t="shared" si="138"/>
        <v/>
      </c>
      <c r="L924" s="58" t="str">
        <f t="shared" si="139"/>
        <v/>
      </c>
      <c r="M924" s="58" t="str">
        <f t="shared" si="140"/>
        <v/>
      </c>
      <c r="N924" s="59" t="str">
        <f t="shared" si="136"/>
        <v/>
      </c>
      <c r="O924" s="60"/>
      <c r="P924" s="105"/>
    </row>
    <row r="925" spans="1:16" x14ac:dyDescent="0.3">
      <c r="A925" s="54" t="str">
        <f>IF([2]weekly_demand!A926="","",[2]weekly_demand!A926)</f>
        <v/>
      </c>
      <c r="B925" s="55" t="str">
        <f>IF($A925="","",[2]weekly_demand!F926)</f>
        <v/>
      </c>
      <c r="C925" s="56" t="str">
        <f>IF($A925="","",[2]weekly_demand!H926)</f>
        <v/>
      </c>
      <c r="D925" s="57" t="str">
        <f>IF($A925="","",IF(SUMIFS([2]Fixture_Capacity_Input!$C:$C,[2]Fixture_Capacity_Input!$A:$A,$B925,[2]Fixture_Capacity_Input!$B:$B,$C925)&gt;0,SUMIFS([2]Fixture_Capacity_Input!$C:$C,[2]Fixture_Capacity_Input!$A:$A,$B925,[2]Fixture_Capacity_Input!$B:$B,$C925),[2]weekly_demand!G926))</f>
        <v/>
      </c>
      <c r="E925" s="58" t="str">
        <f>IF($A925="","",[2]weekly_demand!I926)</f>
        <v/>
      </c>
      <c r="F925" s="57" t="str">
        <f t="shared" si="133"/>
        <v/>
      </c>
      <c r="G925" s="57" t="str">
        <f t="shared" si="134"/>
        <v/>
      </c>
      <c r="H925" s="57" t="str">
        <f t="shared" si="132"/>
        <v/>
      </c>
      <c r="I925" s="58" t="str">
        <f t="shared" si="137"/>
        <v/>
      </c>
      <c r="J925" s="58" t="str">
        <f t="shared" si="135"/>
        <v/>
      </c>
      <c r="K925" s="58" t="str">
        <f t="shared" si="138"/>
        <v/>
      </c>
      <c r="L925" s="58" t="str">
        <f t="shared" si="139"/>
        <v/>
      </c>
      <c r="M925" s="58" t="str">
        <f t="shared" si="140"/>
        <v/>
      </c>
      <c r="N925" s="59" t="str">
        <f t="shared" si="136"/>
        <v/>
      </c>
      <c r="O925" s="60"/>
      <c r="P925" s="105"/>
    </row>
    <row r="926" spans="1:16" x14ac:dyDescent="0.3">
      <c r="A926" s="54" t="str">
        <f>IF([2]weekly_demand!A927="","",[2]weekly_demand!A927)</f>
        <v/>
      </c>
      <c r="B926" s="55" t="str">
        <f>IF($A926="","",[2]weekly_demand!F927)</f>
        <v/>
      </c>
      <c r="C926" s="56" t="str">
        <f>IF($A926="","",[2]weekly_demand!H927)</f>
        <v/>
      </c>
      <c r="D926" s="57" t="str">
        <f>IF($A926="","",IF(SUMIFS([2]Fixture_Capacity_Input!$C:$C,[2]Fixture_Capacity_Input!$A:$A,$B926,[2]Fixture_Capacity_Input!$B:$B,$C926)&gt;0,SUMIFS([2]Fixture_Capacity_Input!$C:$C,[2]Fixture_Capacity_Input!$A:$A,$B926,[2]Fixture_Capacity_Input!$B:$B,$C926),[2]weekly_demand!G927))</f>
        <v/>
      </c>
      <c r="E926" s="58" t="str">
        <f>IF($A926="","",[2]weekly_demand!I927)</f>
        <v/>
      </c>
      <c r="F926" s="57" t="str">
        <f t="shared" si="133"/>
        <v/>
      </c>
      <c r="G926" s="57" t="str">
        <f t="shared" si="134"/>
        <v/>
      </c>
      <c r="H926" s="57" t="str">
        <f t="shared" si="132"/>
        <v/>
      </c>
      <c r="I926" s="58" t="str">
        <f t="shared" si="137"/>
        <v/>
      </c>
      <c r="J926" s="58" t="str">
        <f t="shared" si="135"/>
        <v/>
      </c>
      <c r="K926" s="58" t="str">
        <f t="shared" si="138"/>
        <v/>
      </c>
      <c r="L926" s="58" t="str">
        <f t="shared" si="139"/>
        <v/>
      </c>
      <c r="M926" s="58" t="str">
        <f t="shared" si="140"/>
        <v/>
      </c>
      <c r="N926" s="59" t="str">
        <f t="shared" si="136"/>
        <v/>
      </c>
      <c r="O926" s="60"/>
      <c r="P926" s="105"/>
    </row>
    <row r="927" spans="1:16" x14ac:dyDescent="0.3">
      <c r="A927" s="54" t="str">
        <f>IF([2]weekly_demand!A928="","",[2]weekly_demand!A928)</f>
        <v/>
      </c>
      <c r="B927" s="55" t="str">
        <f>IF($A927="","",[2]weekly_demand!F928)</f>
        <v/>
      </c>
      <c r="C927" s="56" t="str">
        <f>IF($A927="","",[2]weekly_demand!H928)</f>
        <v/>
      </c>
      <c r="D927" s="57" t="str">
        <f>IF($A927="","",IF(SUMIFS([2]Fixture_Capacity_Input!$C:$C,[2]Fixture_Capacity_Input!$A:$A,$B927,[2]Fixture_Capacity_Input!$B:$B,$C927)&gt;0,SUMIFS([2]Fixture_Capacity_Input!$C:$C,[2]Fixture_Capacity_Input!$A:$A,$B927,[2]Fixture_Capacity_Input!$B:$B,$C927),[2]weekly_demand!G928))</f>
        <v/>
      </c>
      <c r="E927" s="58" t="str">
        <f>IF($A927="","",[2]weekly_demand!I928)</f>
        <v/>
      </c>
      <c r="F927" s="57" t="str">
        <f t="shared" si="133"/>
        <v/>
      </c>
      <c r="G927" s="57" t="str">
        <f t="shared" si="134"/>
        <v/>
      </c>
      <c r="H927" s="57" t="str">
        <f t="shared" si="132"/>
        <v/>
      </c>
      <c r="I927" s="58" t="str">
        <f t="shared" si="137"/>
        <v/>
      </c>
      <c r="J927" s="58" t="str">
        <f t="shared" si="135"/>
        <v/>
      </c>
      <c r="K927" s="58" t="str">
        <f t="shared" si="138"/>
        <v/>
      </c>
      <c r="L927" s="58" t="str">
        <f t="shared" si="139"/>
        <v/>
      </c>
      <c r="M927" s="58" t="str">
        <f t="shared" si="140"/>
        <v/>
      </c>
      <c r="N927" s="59" t="str">
        <f t="shared" si="136"/>
        <v/>
      </c>
      <c r="O927" s="60"/>
      <c r="P927" s="105"/>
    </row>
    <row r="928" spans="1:16" x14ac:dyDescent="0.3">
      <c r="A928" s="54" t="str">
        <f>IF([2]weekly_demand!A929="","",[2]weekly_demand!A929)</f>
        <v/>
      </c>
      <c r="B928" s="55" t="str">
        <f>IF($A928="","",[2]weekly_demand!F929)</f>
        <v/>
      </c>
      <c r="C928" s="56" t="str">
        <f>IF($A928="","",[2]weekly_demand!H929)</f>
        <v/>
      </c>
      <c r="D928" s="57" t="str">
        <f>IF($A928="","",IF(SUMIFS([2]Fixture_Capacity_Input!$C:$C,[2]Fixture_Capacity_Input!$A:$A,$B928,[2]Fixture_Capacity_Input!$B:$B,$C928)&gt;0,SUMIFS([2]Fixture_Capacity_Input!$C:$C,[2]Fixture_Capacity_Input!$A:$A,$B928,[2]Fixture_Capacity_Input!$B:$B,$C928),[2]weekly_demand!G929))</f>
        <v/>
      </c>
      <c r="E928" s="58" t="str">
        <f>IF($A928="","",[2]weekly_demand!I929)</f>
        <v/>
      </c>
      <c r="F928" s="57" t="str">
        <f t="shared" si="133"/>
        <v/>
      </c>
      <c r="G928" s="57" t="str">
        <f t="shared" si="134"/>
        <v/>
      </c>
      <c r="H928" s="57" t="str">
        <f t="shared" si="132"/>
        <v/>
      </c>
      <c r="I928" s="58" t="str">
        <f t="shared" si="137"/>
        <v/>
      </c>
      <c r="J928" s="58" t="str">
        <f t="shared" si="135"/>
        <v/>
      </c>
      <c r="K928" s="58" t="str">
        <f t="shared" si="138"/>
        <v/>
      </c>
      <c r="L928" s="58" t="str">
        <f t="shared" si="139"/>
        <v/>
      </c>
      <c r="M928" s="58" t="str">
        <f t="shared" si="140"/>
        <v/>
      </c>
      <c r="N928" s="59" t="str">
        <f t="shared" si="136"/>
        <v/>
      </c>
      <c r="O928" s="60"/>
      <c r="P928" s="105"/>
    </row>
    <row r="929" spans="1:16" x14ac:dyDescent="0.3">
      <c r="A929" s="54" t="str">
        <f>IF([2]weekly_demand!A930="","",[2]weekly_demand!A930)</f>
        <v/>
      </c>
      <c r="B929" s="55" t="str">
        <f>IF($A929="","",[2]weekly_demand!F930)</f>
        <v/>
      </c>
      <c r="C929" s="56" t="str">
        <f>IF($A929="","",[2]weekly_demand!H930)</f>
        <v/>
      </c>
      <c r="D929" s="57" t="str">
        <f>IF($A929="","",IF(SUMIFS([2]Fixture_Capacity_Input!$C:$C,[2]Fixture_Capacity_Input!$A:$A,$B929,[2]Fixture_Capacity_Input!$B:$B,$C929)&gt;0,SUMIFS([2]Fixture_Capacity_Input!$C:$C,[2]Fixture_Capacity_Input!$A:$A,$B929,[2]Fixture_Capacity_Input!$B:$B,$C929),[2]weekly_demand!G930))</f>
        <v/>
      </c>
      <c r="E929" s="58" t="str">
        <f>IF($A929="","",[2]weekly_demand!I930)</f>
        <v/>
      </c>
      <c r="F929" s="57" t="str">
        <f t="shared" si="133"/>
        <v/>
      </c>
      <c r="G929" s="57" t="str">
        <f t="shared" si="134"/>
        <v/>
      </c>
      <c r="H929" s="57" t="str">
        <f t="shared" si="132"/>
        <v/>
      </c>
      <c r="I929" s="58" t="str">
        <f t="shared" si="137"/>
        <v/>
      </c>
      <c r="J929" s="58" t="str">
        <f t="shared" si="135"/>
        <v/>
      </c>
      <c r="K929" s="58" t="str">
        <f t="shared" si="138"/>
        <v/>
      </c>
      <c r="L929" s="58" t="str">
        <f t="shared" si="139"/>
        <v/>
      </c>
      <c r="M929" s="58" t="str">
        <f t="shared" si="140"/>
        <v/>
      </c>
      <c r="N929" s="59" t="str">
        <f t="shared" si="136"/>
        <v/>
      </c>
      <c r="O929" s="60"/>
      <c r="P929" s="105"/>
    </row>
    <row r="930" spans="1:16" x14ac:dyDescent="0.3">
      <c r="A930" s="54" t="str">
        <f>IF([2]weekly_demand!A931="","",[2]weekly_demand!A931)</f>
        <v/>
      </c>
      <c r="B930" s="55" t="str">
        <f>IF($A930="","",[2]weekly_demand!F931)</f>
        <v/>
      </c>
      <c r="C930" s="56" t="str">
        <f>IF($A930="","",[2]weekly_demand!H931)</f>
        <v/>
      </c>
      <c r="D930" s="57" t="str">
        <f>IF($A930="","",IF(SUMIFS([2]Fixture_Capacity_Input!$C:$C,[2]Fixture_Capacity_Input!$A:$A,$B930,[2]Fixture_Capacity_Input!$B:$B,$C930)&gt;0,SUMIFS([2]Fixture_Capacity_Input!$C:$C,[2]Fixture_Capacity_Input!$A:$A,$B930,[2]Fixture_Capacity_Input!$B:$B,$C930),[2]weekly_demand!G931))</f>
        <v/>
      </c>
      <c r="E930" s="58" t="str">
        <f>IF($A930="","",[2]weekly_demand!I931)</f>
        <v/>
      </c>
      <c r="F930" s="57" t="str">
        <f t="shared" si="133"/>
        <v/>
      </c>
      <c r="G930" s="57" t="str">
        <f t="shared" si="134"/>
        <v/>
      </c>
      <c r="H930" s="57" t="str">
        <f t="shared" si="132"/>
        <v/>
      </c>
      <c r="I930" s="58" t="str">
        <f t="shared" si="137"/>
        <v/>
      </c>
      <c r="J930" s="58" t="str">
        <f t="shared" si="135"/>
        <v/>
      </c>
      <c r="K930" s="58" t="str">
        <f t="shared" si="138"/>
        <v/>
      </c>
      <c r="L930" s="58" t="str">
        <f t="shared" si="139"/>
        <v/>
      </c>
      <c r="M930" s="58" t="str">
        <f t="shared" si="140"/>
        <v/>
      </c>
      <c r="N930" s="59" t="str">
        <f t="shared" si="136"/>
        <v/>
      </c>
      <c r="O930" s="60"/>
      <c r="P930" s="105"/>
    </row>
    <row r="931" spans="1:16" x14ac:dyDescent="0.3">
      <c r="A931" s="54" t="str">
        <f>IF([2]weekly_demand!A932="","",[2]weekly_demand!A932)</f>
        <v/>
      </c>
      <c r="B931" s="55" t="str">
        <f>IF($A931="","",[2]weekly_demand!F932)</f>
        <v/>
      </c>
      <c r="C931" s="56" t="str">
        <f>IF($A931="","",[2]weekly_demand!H932)</f>
        <v/>
      </c>
      <c r="D931" s="57" t="str">
        <f>IF($A931="","",IF(SUMIFS([2]Fixture_Capacity_Input!$C:$C,[2]Fixture_Capacity_Input!$A:$A,$B931,[2]Fixture_Capacity_Input!$B:$B,$C931)&gt;0,SUMIFS([2]Fixture_Capacity_Input!$C:$C,[2]Fixture_Capacity_Input!$A:$A,$B931,[2]Fixture_Capacity_Input!$B:$B,$C931),[2]weekly_demand!G932))</f>
        <v/>
      </c>
      <c r="E931" s="58" t="str">
        <f>IF($A931="","",[2]weekly_demand!I932)</f>
        <v/>
      </c>
      <c r="F931" s="57" t="str">
        <f t="shared" si="133"/>
        <v/>
      </c>
      <c r="G931" s="57" t="str">
        <f t="shared" si="134"/>
        <v/>
      </c>
      <c r="H931" s="57" t="str">
        <f t="shared" si="132"/>
        <v/>
      </c>
      <c r="I931" s="58" t="str">
        <f t="shared" si="137"/>
        <v/>
      </c>
      <c r="J931" s="58" t="str">
        <f t="shared" si="135"/>
        <v/>
      </c>
      <c r="K931" s="58" t="str">
        <f t="shared" si="138"/>
        <v/>
      </c>
      <c r="L931" s="58" t="str">
        <f t="shared" si="139"/>
        <v/>
      </c>
      <c r="M931" s="58" t="str">
        <f t="shared" si="140"/>
        <v/>
      </c>
      <c r="N931" s="59" t="str">
        <f t="shared" si="136"/>
        <v/>
      </c>
      <c r="O931" s="60"/>
      <c r="P931" s="105"/>
    </row>
    <row r="932" spans="1:16" x14ac:dyDescent="0.3">
      <c r="A932" s="54" t="str">
        <f>IF([2]weekly_demand!A933="","",[2]weekly_demand!A933)</f>
        <v/>
      </c>
      <c r="B932" s="55" t="str">
        <f>IF($A932="","",[2]weekly_demand!F933)</f>
        <v/>
      </c>
      <c r="C932" s="56" t="str">
        <f>IF($A932="","",[2]weekly_demand!H933)</f>
        <v/>
      </c>
      <c r="D932" s="57" t="str">
        <f>IF($A932="","",IF(SUMIFS([2]Fixture_Capacity_Input!$C:$C,[2]Fixture_Capacity_Input!$A:$A,$B932,[2]Fixture_Capacity_Input!$B:$B,$C932)&gt;0,SUMIFS([2]Fixture_Capacity_Input!$C:$C,[2]Fixture_Capacity_Input!$A:$A,$B932,[2]Fixture_Capacity_Input!$B:$B,$C932),[2]weekly_demand!G933))</f>
        <v/>
      </c>
      <c r="E932" s="58" t="str">
        <f>IF($A932="","",[2]weekly_demand!I933)</f>
        <v/>
      </c>
      <c r="F932" s="57" t="str">
        <f t="shared" si="133"/>
        <v/>
      </c>
      <c r="G932" s="57" t="str">
        <f t="shared" si="134"/>
        <v/>
      </c>
      <c r="H932" s="57" t="str">
        <f t="shared" si="132"/>
        <v/>
      </c>
      <c r="I932" s="58" t="str">
        <f t="shared" si="137"/>
        <v/>
      </c>
      <c r="J932" s="58" t="str">
        <f t="shared" si="135"/>
        <v/>
      </c>
      <c r="K932" s="58" t="str">
        <f t="shared" si="138"/>
        <v/>
      </c>
      <c r="L932" s="58" t="str">
        <f t="shared" si="139"/>
        <v/>
      </c>
      <c r="M932" s="58" t="str">
        <f t="shared" si="140"/>
        <v/>
      </c>
      <c r="N932" s="59" t="str">
        <f t="shared" si="136"/>
        <v/>
      </c>
      <c r="O932" s="60"/>
      <c r="P932" s="105"/>
    </row>
    <row r="933" spans="1:16" x14ac:dyDescent="0.3">
      <c r="A933" s="54" t="str">
        <f>IF([2]weekly_demand!A934="","",[2]weekly_demand!A934)</f>
        <v/>
      </c>
      <c r="B933" s="55" t="str">
        <f>IF($A933="","",[2]weekly_demand!F934)</f>
        <v/>
      </c>
      <c r="C933" s="56" t="str">
        <f>IF($A933="","",[2]weekly_demand!H934)</f>
        <v/>
      </c>
      <c r="D933" s="57" t="str">
        <f>IF($A933="","",IF(SUMIFS([2]Fixture_Capacity_Input!$C:$C,[2]Fixture_Capacity_Input!$A:$A,$B933,[2]Fixture_Capacity_Input!$B:$B,$C933)&gt;0,SUMIFS([2]Fixture_Capacity_Input!$C:$C,[2]Fixture_Capacity_Input!$A:$A,$B933,[2]Fixture_Capacity_Input!$B:$B,$C933),[2]weekly_demand!G934))</f>
        <v/>
      </c>
      <c r="E933" s="58" t="str">
        <f>IF($A933="","",[2]weekly_demand!I934)</f>
        <v/>
      </c>
      <c r="F933" s="57" t="str">
        <f t="shared" si="133"/>
        <v/>
      </c>
      <c r="G933" s="57" t="str">
        <f t="shared" si="134"/>
        <v/>
      </c>
      <c r="H933" s="57" t="str">
        <f t="shared" si="132"/>
        <v/>
      </c>
      <c r="I933" s="58" t="str">
        <f t="shared" si="137"/>
        <v/>
      </c>
      <c r="J933" s="58" t="str">
        <f t="shared" si="135"/>
        <v/>
      </c>
      <c r="K933" s="58" t="str">
        <f t="shared" si="138"/>
        <v/>
      </c>
      <c r="L933" s="58" t="str">
        <f t="shared" si="139"/>
        <v/>
      </c>
      <c r="M933" s="58" t="str">
        <f t="shared" si="140"/>
        <v/>
      </c>
      <c r="N933" s="59" t="str">
        <f t="shared" si="136"/>
        <v/>
      </c>
      <c r="O933" s="60"/>
      <c r="P933" s="105"/>
    </row>
    <row r="934" spans="1:16" x14ac:dyDescent="0.3">
      <c r="A934" s="54" t="str">
        <f>IF([2]weekly_demand!A935="","",[2]weekly_demand!A935)</f>
        <v/>
      </c>
      <c r="B934" s="55" t="str">
        <f>IF($A934="","",[2]weekly_demand!F935)</f>
        <v/>
      </c>
      <c r="C934" s="56" t="str">
        <f>IF($A934="","",[2]weekly_demand!H935)</f>
        <v/>
      </c>
      <c r="D934" s="57" t="str">
        <f>IF($A934="","",IF(SUMIFS([2]Fixture_Capacity_Input!$C:$C,[2]Fixture_Capacity_Input!$A:$A,$B934,[2]Fixture_Capacity_Input!$B:$B,$C934)&gt;0,SUMIFS([2]Fixture_Capacity_Input!$C:$C,[2]Fixture_Capacity_Input!$A:$A,$B934,[2]Fixture_Capacity_Input!$B:$B,$C934),[2]weekly_demand!G935))</f>
        <v/>
      </c>
      <c r="E934" s="58" t="str">
        <f>IF($A934="","",[2]weekly_demand!I935)</f>
        <v/>
      </c>
      <c r="F934" s="57" t="str">
        <f t="shared" si="133"/>
        <v/>
      </c>
      <c r="G934" s="57" t="str">
        <f t="shared" si="134"/>
        <v/>
      </c>
      <c r="H934" s="57" t="str">
        <f t="shared" si="132"/>
        <v/>
      </c>
      <c r="I934" s="58" t="str">
        <f t="shared" si="137"/>
        <v/>
      </c>
      <c r="J934" s="58" t="str">
        <f t="shared" si="135"/>
        <v/>
      </c>
      <c r="K934" s="58" t="str">
        <f t="shared" si="138"/>
        <v/>
      </c>
      <c r="L934" s="58" t="str">
        <f t="shared" si="139"/>
        <v/>
      </c>
      <c r="M934" s="58" t="str">
        <f t="shared" si="140"/>
        <v/>
      </c>
      <c r="N934" s="59" t="str">
        <f t="shared" si="136"/>
        <v/>
      </c>
      <c r="O934" s="60"/>
      <c r="P934" s="105"/>
    </row>
    <row r="935" spans="1:16" x14ac:dyDescent="0.3">
      <c r="A935" s="54" t="str">
        <f>IF([2]weekly_demand!A936="","",[2]weekly_demand!A936)</f>
        <v/>
      </c>
      <c r="B935" s="55" t="str">
        <f>IF($A935="","",[2]weekly_demand!F936)</f>
        <v/>
      </c>
      <c r="C935" s="56" t="str">
        <f>IF($A935="","",[2]weekly_demand!H936)</f>
        <v/>
      </c>
      <c r="D935" s="57" t="str">
        <f>IF($A935="","",IF(SUMIFS([2]Fixture_Capacity_Input!$C:$C,[2]Fixture_Capacity_Input!$A:$A,$B935,[2]Fixture_Capacity_Input!$B:$B,$C935)&gt;0,SUMIFS([2]Fixture_Capacity_Input!$C:$C,[2]Fixture_Capacity_Input!$A:$A,$B935,[2]Fixture_Capacity_Input!$B:$B,$C935),[2]weekly_demand!G936))</f>
        <v/>
      </c>
      <c r="E935" s="58" t="str">
        <f>IF($A935="","",[2]weekly_demand!I936)</f>
        <v/>
      </c>
      <c r="F935" s="57" t="str">
        <f t="shared" si="133"/>
        <v/>
      </c>
      <c r="G935" s="57" t="str">
        <f t="shared" si="134"/>
        <v/>
      </c>
      <c r="H935" s="57" t="str">
        <f t="shared" si="132"/>
        <v/>
      </c>
      <c r="I935" s="58" t="str">
        <f t="shared" si="137"/>
        <v/>
      </c>
      <c r="J935" s="58" t="str">
        <f t="shared" si="135"/>
        <v/>
      </c>
      <c r="K935" s="58" t="str">
        <f t="shared" si="138"/>
        <v/>
      </c>
      <c r="L935" s="58" t="str">
        <f t="shared" si="139"/>
        <v/>
      </c>
      <c r="M935" s="58" t="str">
        <f t="shared" si="140"/>
        <v/>
      </c>
      <c r="N935" s="59" t="str">
        <f t="shared" si="136"/>
        <v/>
      </c>
      <c r="O935" s="60"/>
      <c r="P935" s="105"/>
    </row>
    <row r="936" spans="1:16" x14ac:dyDescent="0.3">
      <c r="A936" s="54" t="str">
        <f>IF([2]weekly_demand!A937="","",[2]weekly_demand!A937)</f>
        <v/>
      </c>
      <c r="B936" s="55" t="str">
        <f>IF($A936="","",[2]weekly_demand!F937)</f>
        <v/>
      </c>
      <c r="C936" s="56" t="str">
        <f>IF($A936="","",[2]weekly_demand!H937)</f>
        <v/>
      </c>
      <c r="D936" s="57" t="str">
        <f>IF($A936="","",IF(SUMIFS([2]Fixture_Capacity_Input!$C:$C,[2]Fixture_Capacity_Input!$A:$A,$B936,[2]Fixture_Capacity_Input!$B:$B,$C936)&gt;0,SUMIFS([2]Fixture_Capacity_Input!$C:$C,[2]Fixture_Capacity_Input!$A:$A,$B936,[2]Fixture_Capacity_Input!$B:$B,$C936),[2]weekly_demand!G937))</f>
        <v/>
      </c>
      <c r="E936" s="58" t="str">
        <f>IF($A936="","",[2]weekly_demand!I937)</f>
        <v/>
      </c>
      <c r="F936" s="57" t="str">
        <f t="shared" si="133"/>
        <v/>
      </c>
      <c r="G936" s="57" t="str">
        <f t="shared" si="134"/>
        <v/>
      </c>
      <c r="H936" s="57" t="str">
        <f t="shared" si="132"/>
        <v/>
      </c>
      <c r="I936" s="58" t="str">
        <f t="shared" si="137"/>
        <v/>
      </c>
      <c r="J936" s="58" t="str">
        <f t="shared" si="135"/>
        <v/>
      </c>
      <c r="K936" s="58" t="str">
        <f t="shared" si="138"/>
        <v/>
      </c>
      <c r="L936" s="58" t="str">
        <f t="shared" si="139"/>
        <v/>
      </c>
      <c r="M936" s="58" t="str">
        <f t="shared" si="140"/>
        <v/>
      </c>
      <c r="N936" s="59" t="str">
        <f t="shared" si="136"/>
        <v/>
      </c>
      <c r="O936" s="60"/>
      <c r="P936" s="105"/>
    </row>
    <row r="937" spans="1:16" x14ac:dyDescent="0.3">
      <c r="A937" s="54" t="str">
        <f>IF([2]weekly_demand!A938="","",[2]weekly_demand!A938)</f>
        <v/>
      </c>
      <c r="B937" s="55" t="str">
        <f>IF($A937="","",[2]weekly_demand!F938)</f>
        <v/>
      </c>
      <c r="C937" s="56" t="str">
        <f>IF($A937="","",[2]weekly_demand!H938)</f>
        <v/>
      </c>
      <c r="D937" s="57" t="str">
        <f>IF($A937="","",IF(SUMIFS([2]Fixture_Capacity_Input!$C:$C,[2]Fixture_Capacity_Input!$A:$A,$B937,[2]Fixture_Capacity_Input!$B:$B,$C937)&gt;0,SUMIFS([2]Fixture_Capacity_Input!$C:$C,[2]Fixture_Capacity_Input!$A:$A,$B937,[2]Fixture_Capacity_Input!$B:$B,$C937),[2]weekly_demand!G938))</f>
        <v/>
      </c>
      <c r="E937" s="58" t="str">
        <f>IF($A937="","",[2]weekly_demand!I938)</f>
        <v/>
      </c>
      <c r="F937" s="57" t="str">
        <f t="shared" si="133"/>
        <v/>
      </c>
      <c r="G937" s="57" t="str">
        <f t="shared" si="134"/>
        <v/>
      </c>
      <c r="H937" s="57" t="str">
        <f t="shared" si="132"/>
        <v/>
      </c>
      <c r="I937" s="58" t="str">
        <f t="shared" si="137"/>
        <v/>
      </c>
      <c r="J937" s="58" t="str">
        <f t="shared" si="135"/>
        <v/>
      </c>
      <c r="K937" s="58" t="str">
        <f t="shared" si="138"/>
        <v/>
      </c>
      <c r="L937" s="58" t="str">
        <f t="shared" si="139"/>
        <v/>
      </c>
      <c r="M937" s="58" t="str">
        <f t="shared" si="140"/>
        <v/>
      </c>
      <c r="N937" s="59" t="str">
        <f t="shared" si="136"/>
        <v/>
      </c>
      <c r="O937" s="60"/>
      <c r="P937" s="105"/>
    </row>
    <row r="938" spans="1:16" x14ac:dyDescent="0.3">
      <c r="A938" s="54" t="str">
        <f>IF([2]weekly_demand!A939="","",[2]weekly_demand!A939)</f>
        <v/>
      </c>
      <c r="B938" s="55" t="str">
        <f>IF($A938="","",[2]weekly_demand!F939)</f>
        <v/>
      </c>
      <c r="C938" s="56" t="str">
        <f>IF($A938="","",[2]weekly_demand!H939)</f>
        <v/>
      </c>
      <c r="D938" s="57" t="str">
        <f>IF($A938="","",IF(SUMIFS([2]Fixture_Capacity_Input!$C:$C,[2]Fixture_Capacity_Input!$A:$A,$B938,[2]Fixture_Capacity_Input!$B:$B,$C938)&gt;0,SUMIFS([2]Fixture_Capacity_Input!$C:$C,[2]Fixture_Capacity_Input!$A:$A,$B938,[2]Fixture_Capacity_Input!$B:$B,$C938),[2]weekly_demand!G939))</f>
        <v/>
      </c>
      <c r="E938" s="58" t="str">
        <f>IF($A938="","",[2]weekly_demand!I939)</f>
        <v/>
      </c>
      <c r="F938" s="57" t="str">
        <f t="shared" si="133"/>
        <v/>
      </c>
      <c r="G938" s="57" t="str">
        <f t="shared" si="134"/>
        <v/>
      </c>
      <c r="H938" s="57" t="str">
        <f t="shared" si="132"/>
        <v/>
      </c>
      <c r="I938" s="58" t="str">
        <f t="shared" si="137"/>
        <v/>
      </c>
      <c r="J938" s="58" t="str">
        <f t="shared" si="135"/>
        <v/>
      </c>
      <c r="K938" s="58" t="str">
        <f t="shared" si="138"/>
        <v/>
      </c>
      <c r="L938" s="58" t="str">
        <f t="shared" si="139"/>
        <v/>
      </c>
      <c r="M938" s="58" t="str">
        <f t="shared" si="140"/>
        <v/>
      </c>
      <c r="N938" s="59" t="str">
        <f t="shared" si="136"/>
        <v/>
      </c>
      <c r="O938" s="60"/>
      <c r="P938" s="105"/>
    </row>
    <row r="939" spans="1:16" x14ac:dyDescent="0.3">
      <c r="A939" s="54" t="str">
        <f>IF([2]weekly_demand!A940="","",[2]weekly_demand!A940)</f>
        <v/>
      </c>
      <c r="B939" s="55" t="str">
        <f>IF($A939="","",[2]weekly_demand!F940)</f>
        <v/>
      </c>
      <c r="C939" s="56" t="str">
        <f>IF($A939="","",[2]weekly_demand!H940)</f>
        <v/>
      </c>
      <c r="D939" s="57" t="str">
        <f>IF($A939="","",IF(SUMIFS([2]Fixture_Capacity_Input!$C:$C,[2]Fixture_Capacity_Input!$A:$A,$B939,[2]Fixture_Capacity_Input!$B:$B,$C939)&gt;0,SUMIFS([2]Fixture_Capacity_Input!$C:$C,[2]Fixture_Capacity_Input!$A:$A,$B939,[2]Fixture_Capacity_Input!$B:$B,$C939),[2]weekly_demand!G940))</f>
        <v/>
      </c>
      <c r="E939" s="58" t="str">
        <f>IF($A939="","",[2]weekly_demand!I940)</f>
        <v/>
      </c>
      <c r="F939" s="57" t="str">
        <f t="shared" si="133"/>
        <v/>
      </c>
      <c r="G939" s="57" t="str">
        <f t="shared" si="134"/>
        <v/>
      </c>
      <c r="H939" s="57" t="str">
        <f t="shared" si="132"/>
        <v/>
      </c>
      <c r="I939" s="58" t="str">
        <f t="shared" si="137"/>
        <v/>
      </c>
      <c r="J939" s="58" t="str">
        <f t="shared" si="135"/>
        <v/>
      </c>
      <c r="K939" s="58" t="str">
        <f t="shared" si="138"/>
        <v/>
      </c>
      <c r="L939" s="58" t="str">
        <f t="shared" si="139"/>
        <v/>
      </c>
      <c r="M939" s="58" t="str">
        <f t="shared" si="140"/>
        <v/>
      </c>
      <c r="N939" s="59" t="str">
        <f t="shared" si="136"/>
        <v/>
      </c>
      <c r="O939" s="60"/>
      <c r="P939" s="105"/>
    </row>
    <row r="940" spans="1:16" x14ac:dyDescent="0.3">
      <c r="A940" s="54" t="str">
        <f>IF([2]weekly_demand!A941="","",[2]weekly_demand!A941)</f>
        <v/>
      </c>
      <c r="B940" s="55" t="str">
        <f>IF($A940="","",[2]weekly_demand!F941)</f>
        <v/>
      </c>
      <c r="C940" s="56" t="str">
        <f>IF($A940="","",[2]weekly_demand!H941)</f>
        <v/>
      </c>
      <c r="D940" s="57" t="str">
        <f>IF($A940="","",IF(SUMIFS([2]Fixture_Capacity_Input!$C:$C,[2]Fixture_Capacity_Input!$A:$A,$B940,[2]Fixture_Capacity_Input!$B:$B,$C940)&gt;0,SUMIFS([2]Fixture_Capacity_Input!$C:$C,[2]Fixture_Capacity_Input!$A:$A,$B940,[2]Fixture_Capacity_Input!$B:$B,$C940),[2]weekly_demand!G941))</f>
        <v/>
      </c>
      <c r="E940" s="58" t="str">
        <f>IF($A940="","",[2]weekly_demand!I941)</f>
        <v/>
      </c>
      <c r="F940" s="57" t="str">
        <f t="shared" si="133"/>
        <v/>
      </c>
      <c r="G940" s="57" t="str">
        <f t="shared" si="134"/>
        <v/>
      </c>
      <c r="H940" s="57" t="str">
        <f t="shared" si="132"/>
        <v/>
      </c>
      <c r="I940" s="58" t="str">
        <f t="shared" si="137"/>
        <v/>
      </c>
      <c r="J940" s="58" t="str">
        <f t="shared" si="135"/>
        <v/>
      </c>
      <c r="K940" s="58" t="str">
        <f t="shared" si="138"/>
        <v/>
      </c>
      <c r="L940" s="58" t="str">
        <f t="shared" si="139"/>
        <v/>
      </c>
      <c r="M940" s="58" t="str">
        <f t="shared" si="140"/>
        <v/>
      </c>
      <c r="N940" s="59" t="str">
        <f t="shared" si="136"/>
        <v/>
      </c>
      <c r="O940" s="60"/>
      <c r="P940" s="105"/>
    </row>
    <row r="941" spans="1:16" x14ac:dyDescent="0.3">
      <c r="A941" s="54" t="str">
        <f>IF([2]weekly_demand!A942="","",[2]weekly_demand!A942)</f>
        <v/>
      </c>
      <c r="B941" s="55" t="str">
        <f>IF($A941="","",[2]weekly_demand!F942)</f>
        <v/>
      </c>
      <c r="C941" s="56" t="str">
        <f>IF($A941="","",[2]weekly_demand!H942)</f>
        <v/>
      </c>
      <c r="D941" s="57" t="str">
        <f>IF($A941="","",IF(SUMIFS([2]Fixture_Capacity_Input!$C:$C,[2]Fixture_Capacity_Input!$A:$A,$B941,[2]Fixture_Capacity_Input!$B:$B,$C941)&gt;0,SUMIFS([2]Fixture_Capacity_Input!$C:$C,[2]Fixture_Capacity_Input!$A:$A,$B941,[2]Fixture_Capacity_Input!$B:$B,$C941),[2]weekly_demand!G942))</f>
        <v/>
      </c>
      <c r="E941" s="58" t="str">
        <f>IF($A941="","",[2]weekly_demand!I942)</f>
        <v/>
      </c>
      <c r="F941" s="57" t="str">
        <f t="shared" si="133"/>
        <v/>
      </c>
      <c r="G941" s="57" t="str">
        <f t="shared" si="134"/>
        <v/>
      </c>
      <c r="H941" s="57" t="str">
        <f t="shared" si="132"/>
        <v/>
      </c>
      <c r="I941" s="58" t="str">
        <f t="shared" si="137"/>
        <v/>
      </c>
      <c r="J941" s="58" t="str">
        <f t="shared" si="135"/>
        <v/>
      </c>
      <c r="K941" s="58" t="str">
        <f t="shared" si="138"/>
        <v/>
      </c>
      <c r="L941" s="58" t="str">
        <f t="shared" si="139"/>
        <v/>
      </c>
      <c r="M941" s="58" t="str">
        <f t="shared" si="140"/>
        <v/>
      </c>
      <c r="N941" s="59" t="str">
        <f t="shared" si="136"/>
        <v/>
      </c>
      <c r="O941" s="60"/>
      <c r="P941" s="105"/>
    </row>
    <row r="942" spans="1:16" x14ac:dyDescent="0.3">
      <c r="A942" s="54" t="str">
        <f>IF([2]weekly_demand!A943="","",[2]weekly_demand!A943)</f>
        <v/>
      </c>
      <c r="B942" s="55" t="str">
        <f>IF($A942="","",[2]weekly_demand!F943)</f>
        <v/>
      </c>
      <c r="C942" s="56" t="str">
        <f>IF($A942="","",[2]weekly_demand!H943)</f>
        <v/>
      </c>
      <c r="D942" s="57" t="str">
        <f>IF($A942="","",IF(SUMIFS([2]Fixture_Capacity_Input!$C:$C,[2]Fixture_Capacity_Input!$A:$A,$B942,[2]Fixture_Capacity_Input!$B:$B,$C942)&gt;0,SUMIFS([2]Fixture_Capacity_Input!$C:$C,[2]Fixture_Capacity_Input!$A:$A,$B942,[2]Fixture_Capacity_Input!$B:$B,$C942),[2]weekly_demand!G943))</f>
        <v/>
      </c>
      <c r="E942" s="58" t="str">
        <f>IF($A942="","",[2]weekly_demand!I943)</f>
        <v/>
      </c>
      <c r="F942" s="57" t="str">
        <f t="shared" si="133"/>
        <v/>
      </c>
      <c r="G942" s="57" t="str">
        <f t="shared" si="134"/>
        <v/>
      </c>
      <c r="H942" s="57" t="str">
        <f t="shared" si="132"/>
        <v/>
      </c>
      <c r="I942" s="58" t="str">
        <f t="shared" si="137"/>
        <v/>
      </c>
      <c r="J942" s="58" t="str">
        <f t="shared" si="135"/>
        <v/>
      </c>
      <c r="K942" s="58" t="str">
        <f t="shared" si="138"/>
        <v/>
      </c>
      <c r="L942" s="58" t="str">
        <f t="shared" si="139"/>
        <v/>
      </c>
      <c r="M942" s="58" t="str">
        <f t="shared" si="140"/>
        <v/>
      </c>
      <c r="N942" s="59" t="str">
        <f t="shared" si="136"/>
        <v/>
      </c>
      <c r="O942" s="60"/>
      <c r="P942" s="105"/>
    </row>
    <row r="943" spans="1:16" x14ac:dyDescent="0.3">
      <c r="A943" s="54" t="str">
        <f>IF([2]weekly_demand!A944="","",[2]weekly_demand!A944)</f>
        <v/>
      </c>
      <c r="B943" s="55" t="str">
        <f>IF($A943="","",[2]weekly_demand!F944)</f>
        <v/>
      </c>
      <c r="C943" s="56" t="str">
        <f>IF($A943="","",[2]weekly_demand!H944)</f>
        <v/>
      </c>
      <c r="D943" s="57" t="str">
        <f>IF($A943="","",IF(SUMIFS([2]Fixture_Capacity_Input!$C:$C,[2]Fixture_Capacity_Input!$A:$A,$B943,[2]Fixture_Capacity_Input!$B:$B,$C943)&gt;0,SUMIFS([2]Fixture_Capacity_Input!$C:$C,[2]Fixture_Capacity_Input!$A:$A,$B943,[2]Fixture_Capacity_Input!$B:$B,$C943),[2]weekly_demand!G944))</f>
        <v/>
      </c>
      <c r="E943" s="58" t="str">
        <f>IF($A943="","",[2]weekly_demand!I944)</f>
        <v/>
      </c>
      <c r="F943" s="57" t="str">
        <f t="shared" si="133"/>
        <v/>
      </c>
      <c r="G943" s="57" t="str">
        <f t="shared" si="134"/>
        <v/>
      </c>
      <c r="H943" s="57" t="str">
        <f t="shared" si="132"/>
        <v/>
      </c>
      <c r="I943" s="58" t="str">
        <f t="shared" si="137"/>
        <v/>
      </c>
      <c r="J943" s="58" t="str">
        <f t="shared" si="135"/>
        <v/>
      </c>
      <c r="K943" s="58" t="str">
        <f t="shared" si="138"/>
        <v/>
      </c>
      <c r="L943" s="58" t="str">
        <f t="shared" si="139"/>
        <v/>
      </c>
      <c r="M943" s="58" t="str">
        <f t="shared" si="140"/>
        <v/>
      </c>
      <c r="N943" s="59" t="str">
        <f t="shared" si="136"/>
        <v/>
      </c>
      <c r="O943" s="60"/>
      <c r="P943" s="105"/>
    </row>
    <row r="944" spans="1:16" x14ac:dyDescent="0.3">
      <c r="A944" s="54" t="str">
        <f>IF([2]weekly_demand!A945="","",[2]weekly_demand!A945)</f>
        <v/>
      </c>
      <c r="B944" s="55" t="str">
        <f>IF($A944="","",[2]weekly_demand!F945)</f>
        <v/>
      </c>
      <c r="C944" s="56" t="str">
        <f>IF($A944="","",[2]weekly_demand!H945)</f>
        <v/>
      </c>
      <c r="D944" s="57" t="str">
        <f>IF($A944="","",IF(SUMIFS([2]Fixture_Capacity_Input!$C:$C,[2]Fixture_Capacity_Input!$A:$A,$B944,[2]Fixture_Capacity_Input!$B:$B,$C944)&gt;0,SUMIFS([2]Fixture_Capacity_Input!$C:$C,[2]Fixture_Capacity_Input!$A:$A,$B944,[2]Fixture_Capacity_Input!$B:$B,$C944),[2]weekly_demand!G945))</f>
        <v/>
      </c>
      <c r="E944" s="58" t="str">
        <f>IF($A944="","",[2]weekly_demand!I945)</f>
        <v/>
      </c>
      <c r="F944" s="57" t="str">
        <f t="shared" si="133"/>
        <v/>
      </c>
      <c r="G944" s="57" t="str">
        <f t="shared" si="134"/>
        <v/>
      </c>
      <c r="H944" s="57" t="str">
        <f t="shared" si="132"/>
        <v/>
      </c>
      <c r="I944" s="58" t="str">
        <f t="shared" si="137"/>
        <v/>
      </c>
      <c r="J944" s="58" t="str">
        <f t="shared" si="135"/>
        <v/>
      </c>
      <c r="K944" s="58" t="str">
        <f t="shared" si="138"/>
        <v/>
      </c>
      <c r="L944" s="58" t="str">
        <f t="shared" si="139"/>
        <v/>
      </c>
      <c r="M944" s="58" t="str">
        <f t="shared" si="140"/>
        <v/>
      </c>
      <c r="N944" s="59" t="str">
        <f t="shared" si="136"/>
        <v/>
      </c>
      <c r="O944" s="60"/>
      <c r="P944" s="105"/>
    </row>
    <row r="945" spans="1:16" x14ac:dyDescent="0.3">
      <c r="A945" s="54" t="str">
        <f>IF([2]weekly_demand!A946="","",[2]weekly_demand!A946)</f>
        <v/>
      </c>
      <c r="B945" s="55" t="str">
        <f>IF($A945="","",[2]weekly_demand!F946)</f>
        <v/>
      </c>
      <c r="C945" s="56" t="str">
        <f>IF($A945="","",[2]weekly_demand!H946)</f>
        <v/>
      </c>
      <c r="D945" s="57" t="str">
        <f>IF($A945="","",IF(SUMIFS([2]Fixture_Capacity_Input!$C:$C,[2]Fixture_Capacity_Input!$A:$A,$B945,[2]Fixture_Capacity_Input!$B:$B,$C945)&gt;0,SUMIFS([2]Fixture_Capacity_Input!$C:$C,[2]Fixture_Capacity_Input!$A:$A,$B945,[2]Fixture_Capacity_Input!$B:$B,$C945),[2]weekly_demand!G946))</f>
        <v/>
      </c>
      <c r="E945" s="58" t="str">
        <f>IF($A945="","",[2]weekly_demand!I946)</f>
        <v/>
      </c>
      <c r="F945" s="57" t="str">
        <f t="shared" si="133"/>
        <v/>
      </c>
      <c r="G945" s="57" t="str">
        <f t="shared" si="134"/>
        <v/>
      </c>
      <c r="H945" s="57" t="str">
        <f t="shared" si="132"/>
        <v/>
      </c>
      <c r="I945" s="58" t="str">
        <f t="shared" si="137"/>
        <v/>
      </c>
      <c r="J945" s="58" t="str">
        <f t="shared" si="135"/>
        <v/>
      </c>
      <c r="K945" s="58" t="str">
        <f t="shared" si="138"/>
        <v/>
      </c>
      <c r="L945" s="58" t="str">
        <f t="shared" si="139"/>
        <v/>
      </c>
      <c r="M945" s="58" t="str">
        <f t="shared" si="140"/>
        <v/>
      </c>
      <c r="N945" s="59" t="str">
        <f t="shared" si="136"/>
        <v/>
      </c>
      <c r="O945" s="60"/>
      <c r="P945" s="105"/>
    </row>
    <row r="946" spans="1:16" x14ac:dyDescent="0.3">
      <c r="A946" s="54" t="str">
        <f>IF([2]weekly_demand!A947="","",[2]weekly_demand!A947)</f>
        <v/>
      </c>
      <c r="B946" s="55" t="str">
        <f>IF($A946="","",[2]weekly_demand!F947)</f>
        <v/>
      </c>
      <c r="C946" s="56" t="str">
        <f>IF($A946="","",[2]weekly_demand!H947)</f>
        <v/>
      </c>
      <c r="D946" s="57" t="str">
        <f>IF($A946="","",IF(SUMIFS([2]Fixture_Capacity_Input!$C:$C,[2]Fixture_Capacity_Input!$A:$A,$B946,[2]Fixture_Capacity_Input!$B:$B,$C946)&gt;0,SUMIFS([2]Fixture_Capacity_Input!$C:$C,[2]Fixture_Capacity_Input!$A:$A,$B946,[2]Fixture_Capacity_Input!$B:$B,$C946),[2]weekly_demand!G947))</f>
        <v/>
      </c>
      <c r="E946" s="58" t="str">
        <f>IF($A946="","",[2]weekly_demand!I947)</f>
        <v/>
      </c>
      <c r="F946" s="57" t="str">
        <f t="shared" si="133"/>
        <v/>
      </c>
      <c r="G946" s="57" t="str">
        <f t="shared" si="134"/>
        <v/>
      </c>
      <c r="H946" s="57" t="str">
        <f t="shared" si="132"/>
        <v/>
      </c>
      <c r="I946" s="58" t="str">
        <f t="shared" si="137"/>
        <v/>
      </c>
      <c r="J946" s="58" t="str">
        <f t="shared" si="135"/>
        <v/>
      </c>
      <c r="K946" s="58" t="str">
        <f t="shared" si="138"/>
        <v/>
      </c>
      <c r="L946" s="58" t="str">
        <f t="shared" si="139"/>
        <v/>
      </c>
      <c r="M946" s="58" t="str">
        <f t="shared" si="140"/>
        <v/>
      </c>
      <c r="N946" s="59" t="str">
        <f t="shared" si="136"/>
        <v/>
      </c>
      <c r="O946" s="60"/>
      <c r="P946" s="105"/>
    </row>
    <row r="947" spans="1:16" x14ac:dyDescent="0.3">
      <c r="A947" s="54" t="str">
        <f>IF([2]weekly_demand!A948="","",[2]weekly_demand!A948)</f>
        <v/>
      </c>
      <c r="B947" s="55" t="str">
        <f>IF($A947="","",[2]weekly_demand!F948)</f>
        <v/>
      </c>
      <c r="C947" s="56" t="str">
        <f>IF($A947="","",[2]weekly_demand!H948)</f>
        <v/>
      </c>
      <c r="D947" s="57" t="str">
        <f>IF($A947="","",IF(SUMIFS([2]Fixture_Capacity_Input!$C:$C,[2]Fixture_Capacity_Input!$A:$A,$B947,[2]Fixture_Capacity_Input!$B:$B,$C947)&gt;0,SUMIFS([2]Fixture_Capacity_Input!$C:$C,[2]Fixture_Capacity_Input!$A:$A,$B947,[2]Fixture_Capacity_Input!$B:$B,$C947),[2]weekly_demand!G948))</f>
        <v/>
      </c>
      <c r="E947" s="58" t="str">
        <f>IF($A947="","",[2]weekly_demand!I948)</f>
        <v/>
      </c>
      <c r="F947" s="57" t="str">
        <f t="shared" si="133"/>
        <v/>
      </c>
      <c r="G947" s="57" t="str">
        <f t="shared" si="134"/>
        <v/>
      </c>
      <c r="H947" s="57" t="str">
        <f t="shared" ref="H947:H978" si="141">IF($A947="","",IF($A947&lt;&gt;$A948,0,MAX(0,H948+E948-D948)))</f>
        <v/>
      </c>
      <c r="I947" s="58" t="str">
        <f t="shared" si="137"/>
        <v/>
      </c>
      <c r="J947" s="58" t="str">
        <f t="shared" si="135"/>
        <v/>
      </c>
      <c r="K947" s="58" t="str">
        <f t="shared" si="138"/>
        <v/>
      </c>
      <c r="L947" s="58" t="str">
        <f t="shared" si="139"/>
        <v/>
      </c>
      <c r="M947" s="58" t="str">
        <f t="shared" si="140"/>
        <v/>
      </c>
      <c r="N947" s="59" t="str">
        <f t="shared" si="136"/>
        <v/>
      </c>
      <c r="O947" s="60"/>
      <c r="P947" s="105"/>
    </row>
    <row r="948" spans="1:16" x14ac:dyDescent="0.3">
      <c r="A948" s="54" t="str">
        <f>IF([2]weekly_demand!A949="","",[2]weekly_demand!A949)</f>
        <v/>
      </c>
      <c r="B948" s="55" t="str">
        <f>IF($A948="","",[2]weekly_demand!F949)</f>
        <v/>
      </c>
      <c r="C948" s="56" t="str">
        <f>IF($A948="","",[2]weekly_demand!H949)</f>
        <v/>
      </c>
      <c r="D948" s="57" t="str">
        <f>IF($A948="","",IF(SUMIFS([2]Fixture_Capacity_Input!$C:$C,[2]Fixture_Capacity_Input!$A:$A,$B948,[2]Fixture_Capacity_Input!$B:$B,$C948)&gt;0,SUMIFS([2]Fixture_Capacity_Input!$C:$C,[2]Fixture_Capacity_Input!$A:$A,$B948,[2]Fixture_Capacity_Input!$B:$B,$C948),[2]weekly_demand!G949))</f>
        <v/>
      </c>
      <c r="E948" s="58" t="str">
        <f>IF($A948="","",[2]weekly_demand!I949)</f>
        <v/>
      </c>
      <c r="F948" s="57" t="str">
        <f t="shared" si="133"/>
        <v/>
      </c>
      <c r="G948" s="57" t="str">
        <f t="shared" si="134"/>
        <v/>
      </c>
      <c r="H948" s="57" t="str">
        <f t="shared" si="141"/>
        <v/>
      </c>
      <c r="I948" s="58" t="str">
        <f t="shared" si="137"/>
        <v/>
      </c>
      <c r="J948" s="58" t="str">
        <f t="shared" si="135"/>
        <v/>
      </c>
      <c r="K948" s="58" t="str">
        <f t="shared" si="138"/>
        <v/>
      </c>
      <c r="L948" s="58" t="str">
        <f t="shared" si="139"/>
        <v/>
      </c>
      <c r="M948" s="58" t="str">
        <f t="shared" si="140"/>
        <v/>
      </c>
      <c r="N948" s="59" t="str">
        <f t="shared" si="136"/>
        <v/>
      </c>
      <c r="O948" s="60"/>
      <c r="P948" s="105"/>
    </row>
    <row r="949" spans="1:16" x14ac:dyDescent="0.3">
      <c r="A949" s="54" t="str">
        <f>IF([2]weekly_demand!A950="","",[2]weekly_demand!A950)</f>
        <v/>
      </c>
      <c r="B949" s="55" t="str">
        <f>IF($A949="","",[2]weekly_demand!F950)</f>
        <v/>
      </c>
      <c r="C949" s="56" t="str">
        <f>IF($A949="","",[2]weekly_demand!H950)</f>
        <v/>
      </c>
      <c r="D949" s="57" t="str">
        <f>IF($A949="","",IF(SUMIFS([2]Fixture_Capacity_Input!$C:$C,[2]Fixture_Capacity_Input!$A:$A,$B949,[2]Fixture_Capacity_Input!$B:$B,$C949)&gt;0,SUMIFS([2]Fixture_Capacity_Input!$C:$C,[2]Fixture_Capacity_Input!$A:$A,$B949,[2]Fixture_Capacity_Input!$B:$B,$C949),[2]weekly_demand!G950))</f>
        <v/>
      </c>
      <c r="E949" s="58" t="str">
        <f>IF($A949="","",[2]weekly_demand!I950)</f>
        <v/>
      </c>
      <c r="F949" s="57" t="str">
        <f t="shared" si="133"/>
        <v/>
      </c>
      <c r="G949" s="57" t="str">
        <f t="shared" si="134"/>
        <v/>
      </c>
      <c r="H949" s="57" t="str">
        <f t="shared" si="141"/>
        <v/>
      </c>
      <c r="I949" s="58" t="str">
        <f t="shared" si="137"/>
        <v/>
      </c>
      <c r="J949" s="58" t="str">
        <f t="shared" si="135"/>
        <v/>
      </c>
      <c r="K949" s="58" t="str">
        <f t="shared" si="138"/>
        <v/>
      </c>
      <c r="L949" s="58" t="str">
        <f t="shared" si="139"/>
        <v/>
      </c>
      <c r="M949" s="58" t="str">
        <f t="shared" si="140"/>
        <v/>
      </c>
      <c r="N949" s="59" t="str">
        <f t="shared" si="136"/>
        <v/>
      </c>
      <c r="O949" s="60"/>
      <c r="P949" s="105"/>
    </row>
    <row r="950" spans="1:16" x14ac:dyDescent="0.3">
      <c r="A950" s="54" t="str">
        <f>IF([2]weekly_demand!A951="","",[2]weekly_demand!A951)</f>
        <v/>
      </c>
      <c r="B950" s="55" t="str">
        <f>IF($A950="","",[2]weekly_demand!F951)</f>
        <v/>
      </c>
      <c r="C950" s="56" t="str">
        <f>IF($A950="","",[2]weekly_demand!H951)</f>
        <v/>
      </c>
      <c r="D950" s="57" t="str">
        <f>IF($A950="","",IF(SUMIFS([2]Fixture_Capacity_Input!$C:$C,[2]Fixture_Capacity_Input!$A:$A,$B950,[2]Fixture_Capacity_Input!$B:$B,$C950)&gt;0,SUMIFS([2]Fixture_Capacity_Input!$C:$C,[2]Fixture_Capacity_Input!$A:$A,$B950,[2]Fixture_Capacity_Input!$B:$B,$C950),[2]weekly_demand!G951))</f>
        <v/>
      </c>
      <c r="E950" s="58" t="str">
        <f>IF($A950="","",[2]weekly_demand!I951)</f>
        <v/>
      </c>
      <c r="F950" s="57" t="str">
        <f t="shared" si="133"/>
        <v/>
      </c>
      <c r="G950" s="57" t="str">
        <f t="shared" si="134"/>
        <v/>
      </c>
      <c r="H950" s="57" t="str">
        <f t="shared" si="141"/>
        <v/>
      </c>
      <c r="I950" s="58" t="str">
        <f t="shared" si="137"/>
        <v/>
      </c>
      <c r="J950" s="58" t="str">
        <f t="shared" si="135"/>
        <v/>
      </c>
      <c r="K950" s="58" t="str">
        <f t="shared" si="138"/>
        <v/>
      </c>
      <c r="L950" s="58" t="str">
        <f t="shared" si="139"/>
        <v/>
      </c>
      <c r="M950" s="58" t="str">
        <f t="shared" si="140"/>
        <v/>
      </c>
      <c r="N950" s="59" t="str">
        <f t="shared" si="136"/>
        <v/>
      </c>
      <c r="O950" s="60"/>
      <c r="P950" s="105"/>
    </row>
    <row r="951" spans="1:16" x14ac:dyDescent="0.3">
      <c r="A951" s="54" t="str">
        <f>IF([2]weekly_demand!A952="","",[2]weekly_demand!A952)</f>
        <v/>
      </c>
      <c r="B951" s="55" t="str">
        <f>IF($A951="","",[2]weekly_demand!F952)</f>
        <v/>
      </c>
      <c r="C951" s="56" t="str">
        <f>IF($A951="","",[2]weekly_demand!H952)</f>
        <v/>
      </c>
      <c r="D951" s="57" t="str">
        <f>IF($A951="","",IF(SUMIFS([2]Fixture_Capacity_Input!$C:$C,[2]Fixture_Capacity_Input!$A:$A,$B951,[2]Fixture_Capacity_Input!$B:$B,$C951)&gt;0,SUMIFS([2]Fixture_Capacity_Input!$C:$C,[2]Fixture_Capacity_Input!$A:$A,$B951,[2]Fixture_Capacity_Input!$B:$B,$C951),[2]weekly_demand!G952))</f>
        <v/>
      </c>
      <c r="E951" s="58" t="str">
        <f>IF($A951="","",[2]weekly_demand!I952)</f>
        <v/>
      </c>
      <c r="F951" s="57" t="str">
        <f t="shared" si="133"/>
        <v/>
      </c>
      <c r="G951" s="57" t="str">
        <f t="shared" si="134"/>
        <v/>
      </c>
      <c r="H951" s="57" t="str">
        <f t="shared" si="141"/>
        <v/>
      </c>
      <c r="I951" s="58" t="str">
        <f t="shared" si="137"/>
        <v/>
      </c>
      <c r="J951" s="58" t="str">
        <f t="shared" si="135"/>
        <v/>
      </c>
      <c r="K951" s="58" t="str">
        <f t="shared" si="138"/>
        <v/>
      </c>
      <c r="L951" s="58" t="str">
        <f t="shared" si="139"/>
        <v/>
      </c>
      <c r="M951" s="58" t="str">
        <f t="shared" si="140"/>
        <v/>
      </c>
      <c r="N951" s="59" t="str">
        <f t="shared" si="136"/>
        <v/>
      </c>
      <c r="O951" s="60"/>
      <c r="P951" s="105"/>
    </row>
    <row r="952" spans="1:16" x14ac:dyDescent="0.3">
      <c r="A952" s="54" t="str">
        <f>IF([2]weekly_demand!A953="","",[2]weekly_demand!A953)</f>
        <v/>
      </c>
      <c r="B952" s="55" t="str">
        <f>IF($A952="","",[2]weekly_demand!F953)</f>
        <v/>
      </c>
      <c r="C952" s="56" t="str">
        <f>IF($A952="","",[2]weekly_demand!H953)</f>
        <v/>
      </c>
      <c r="D952" s="57" t="str">
        <f>IF($A952="","",IF(SUMIFS([2]Fixture_Capacity_Input!$C:$C,[2]Fixture_Capacity_Input!$A:$A,$B952,[2]Fixture_Capacity_Input!$B:$B,$C952)&gt;0,SUMIFS([2]Fixture_Capacity_Input!$C:$C,[2]Fixture_Capacity_Input!$A:$A,$B952,[2]Fixture_Capacity_Input!$B:$B,$C952),[2]weekly_demand!G953))</f>
        <v/>
      </c>
      <c r="E952" s="58" t="str">
        <f>IF($A952="","",[2]weekly_demand!I953)</f>
        <v/>
      </c>
      <c r="F952" s="57" t="str">
        <f t="shared" si="133"/>
        <v/>
      </c>
      <c r="G952" s="57" t="str">
        <f t="shared" si="134"/>
        <v/>
      </c>
      <c r="H952" s="57" t="str">
        <f t="shared" si="141"/>
        <v/>
      </c>
      <c r="I952" s="58" t="str">
        <f t="shared" si="137"/>
        <v/>
      </c>
      <c r="J952" s="58" t="str">
        <f t="shared" si="135"/>
        <v/>
      </c>
      <c r="K952" s="58" t="str">
        <f t="shared" si="138"/>
        <v/>
      </c>
      <c r="L952" s="58" t="str">
        <f t="shared" si="139"/>
        <v/>
      </c>
      <c r="M952" s="58" t="str">
        <f t="shared" si="140"/>
        <v/>
      </c>
      <c r="N952" s="59" t="str">
        <f t="shared" si="136"/>
        <v/>
      </c>
      <c r="O952" s="60"/>
      <c r="P952" s="105"/>
    </row>
    <row r="953" spans="1:16" x14ac:dyDescent="0.3">
      <c r="A953" s="54" t="str">
        <f>IF([2]weekly_demand!A954="","",[2]weekly_demand!A954)</f>
        <v/>
      </c>
      <c r="B953" s="55" t="str">
        <f>IF($A953="","",[2]weekly_demand!F954)</f>
        <v/>
      </c>
      <c r="C953" s="56" t="str">
        <f>IF($A953="","",[2]weekly_demand!H954)</f>
        <v/>
      </c>
      <c r="D953" s="57" t="str">
        <f>IF($A953="","",IF(SUMIFS([2]Fixture_Capacity_Input!$C:$C,[2]Fixture_Capacity_Input!$A:$A,$B953,[2]Fixture_Capacity_Input!$B:$B,$C953)&gt;0,SUMIFS([2]Fixture_Capacity_Input!$C:$C,[2]Fixture_Capacity_Input!$A:$A,$B953,[2]Fixture_Capacity_Input!$B:$B,$C953),[2]weekly_demand!G954))</f>
        <v/>
      </c>
      <c r="E953" s="58" t="str">
        <f>IF($A953="","",[2]weekly_demand!I954)</f>
        <v/>
      </c>
      <c r="F953" s="57" t="str">
        <f t="shared" si="133"/>
        <v/>
      </c>
      <c r="G953" s="57" t="str">
        <f t="shared" si="134"/>
        <v/>
      </c>
      <c r="H953" s="57" t="str">
        <f t="shared" si="141"/>
        <v/>
      </c>
      <c r="I953" s="58" t="str">
        <f t="shared" si="137"/>
        <v/>
      </c>
      <c r="J953" s="58" t="str">
        <f t="shared" si="135"/>
        <v/>
      </c>
      <c r="K953" s="58" t="str">
        <f t="shared" si="138"/>
        <v/>
      </c>
      <c r="L953" s="58" t="str">
        <f t="shared" si="139"/>
        <v/>
      </c>
      <c r="M953" s="58" t="str">
        <f t="shared" si="140"/>
        <v/>
      </c>
      <c r="N953" s="59" t="str">
        <f t="shared" si="136"/>
        <v/>
      </c>
      <c r="O953" s="60"/>
      <c r="P953" s="105"/>
    </row>
    <row r="954" spans="1:16" x14ac:dyDescent="0.3">
      <c r="A954" s="54" t="str">
        <f>IF([2]weekly_demand!A955="","",[2]weekly_demand!A955)</f>
        <v/>
      </c>
      <c r="B954" s="55" t="str">
        <f>IF($A954="","",[2]weekly_demand!F955)</f>
        <v/>
      </c>
      <c r="C954" s="56" t="str">
        <f>IF($A954="","",[2]weekly_demand!H955)</f>
        <v/>
      </c>
      <c r="D954" s="57" t="str">
        <f>IF($A954="","",IF(SUMIFS([2]Fixture_Capacity_Input!$C:$C,[2]Fixture_Capacity_Input!$A:$A,$B954,[2]Fixture_Capacity_Input!$B:$B,$C954)&gt;0,SUMIFS([2]Fixture_Capacity_Input!$C:$C,[2]Fixture_Capacity_Input!$A:$A,$B954,[2]Fixture_Capacity_Input!$B:$B,$C954),[2]weekly_demand!G955))</f>
        <v/>
      </c>
      <c r="E954" s="58" t="str">
        <f>IF($A954="","",[2]weekly_demand!I955)</f>
        <v/>
      </c>
      <c r="F954" s="57" t="str">
        <f t="shared" si="133"/>
        <v/>
      </c>
      <c r="G954" s="57" t="str">
        <f t="shared" si="134"/>
        <v/>
      </c>
      <c r="H954" s="57" t="str">
        <f t="shared" si="141"/>
        <v/>
      </c>
      <c r="I954" s="58" t="str">
        <f t="shared" si="137"/>
        <v/>
      </c>
      <c r="J954" s="58" t="str">
        <f t="shared" si="135"/>
        <v/>
      </c>
      <c r="K954" s="58" t="str">
        <f t="shared" si="138"/>
        <v/>
      </c>
      <c r="L954" s="58" t="str">
        <f t="shared" si="139"/>
        <v/>
      </c>
      <c r="M954" s="58" t="str">
        <f t="shared" si="140"/>
        <v/>
      </c>
      <c r="N954" s="59" t="str">
        <f t="shared" si="136"/>
        <v/>
      </c>
      <c r="O954" s="60"/>
      <c r="P954" s="105"/>
    </row>
    <row r="955" spans="1:16" x14ac:dyDescent="0.3">
      <c r="A955" s="54" t="str">
        <f>IF([2]weekly_demand!A956="","",[2]weekly_demand!A956)</f>
        <v/>
      </c>
      <c r="B955" s="55" t="str">
        <f>IF($A955="","",[2]weekly_demand!F956)</f>
        <v/>
      </c>
      <c r="C955" s="56" t="str">
        <f>IF($A955="","",[2]weekly_demand!H956)</f>
        <v/>
      </c>
      <c r="D955" s="57" t="str">
        <f>IF($A955="","",IF(SUMIFS([2]Fixture_Capacity_Input!$C:$C,[2]Fixture_Capacity_Input!$A:$A,$B955,[2]Fixture_Capacity_Input!$B:$B,$C955)&gt;0,SUMIFS([2]Fixture_Capacity_Input!$C:$C,[2]Fixture_Capacity_Input!$A:$A,$B955,[2]Fixture_Capacity_Input!$B:$B,$C955),[2]weekly_demand!G956))</f>
        <v/>
      </c>
      <c r="E955" s="58" t="str">
        <f>IF($A955="","",[2]weekly_demand!I956)</f>
        <v/>
      </c>
      <c r="F955" s="57" t="str">
        <f t="shared" si="133"/>
        <v/>
      </c>
      <c r="G955" s="57" t="str">
        <f t="shared" si="134"/>
        <v/>
      </c>
      <c r="H955" s="57" t="str">
        <f t="shared" si="141"/>
        <v/>
      </c>
      <c r="I955" s="58" t="str">
        <f t="shared" si="137"/>
        <v/>
      </c>
      <c r="J955" s="58" t="str">
        <f t="shared" si="135"/>
        <v/>
      </c>
      <c r="K955" s="58" t="str">
        <f t="shared" si="138"/>
        <v/>
      </c>
      <c r="L955" s="58" t="str">
        <f t="shared" si="139"/>
        <v/>
      </c>
      <c r="M955" s="58" t="str">
        <f t="shared" si="140"/>
        <v/>
      </c>
      <c r="N955" s="59" t="str">
        <f t="shared" si="136"/>
        <v/>
      </c>
      <c r="O955" s="60"/>
      <c r="P955" s="105"/>
    </row>
    <row r="956" spans="1:16" x14ac:dyDescent="0.3">
      <c r="A956" s="54" t="str">
        <f>IF([2]weekly_demand!A957="","",[2]weekly_demand!A957)</f>
        <v/>
      </c>
      <c r="B956" s="55" t="str">
        <f>IF($A956="","",[2]weekly_demand!F957)</f>
        <v/>
      </c>
      <c r="C956" s="56" t="str">
        <f>IF($A956="","",[2]weekly_demand!H957)</f>
        <v/>
      </c>
      <c r="D956" s="57" t="str">
        <f>IF($A956="","",IF(SUMIFS([2]Fixture_Capacity_Input!$C:$C,[2]Fixture_Capacity_Input!$A:$A,$B956,[2]Fixture_Capacity_Input!$B:$B,$C956)&gt;0,SUMIFS([2]Fixture_Capacity_Input!$C:$C,[2]Fixture_Capacity_Input!$A:$A,$B956,[2]Fixture_Capacity_Input!$B:$B,$C956),[2]weekly_demand!G957))</f>
        <v/>
      </c>
      <c r="E956" s="58" t="str">
        <f>IF($A956="","",[2]weekly_demand!I957)</f>
        <v/>
      </c>
      <c r="F956" s="57" t="str">
        <f t="shared" si="133"/>
        <v/>
      </c>
      <c r="G956" s="57" t="str">
        <f t="shared" si="134"/>
        <v/>
      </c>
      <c r="H956" s="57" t="str">
        <f t="shared" si="141"/>
        <v/>
      </c>
      <c r="I956" s="58" t="str">
        <f t="shared" si="137"/>
        <v/>
      </c>
      <c r="J956" s="58" t="str">
        <f t="shared" si="135"/>
        <v/>
      </c>
      <c r="K956" s="58" t="str">
        <f t="shared" si="138"/>
        <v/>
      </c>
      <c r="L956" s="58" t="str">
        <f t="shared" si="139"/>
        <v/>
      </c>
      <c r="M956" s="58" t="str">
        <f t="shared" si="140"/>
        <v/>
      </c>
      <c r="N956" s="59" t="str">
        <f t="shared" si="136"/>
        <v/>
      </c>
      <c r="O956" s="60"/>
      <c r="P956" s="105"/>
    </row>
    <row r="957" spans="1:16" x14ac:dyDescent="0.3">
      <c r="A957" s="54" t="str">
        <f>IF([2]weekly_demand!A958="","",[2]weekly_demand!A958)</f>
        <v/>
      </c>
      <c r="B957" s="55" t="str">
        <f>IF($A957="","",[2]weekly_demand!F958)</f>
        <v/>
      </c>
      <c r="C957" s="56" t="str">
        <f>IF($A957="","",[2]weekly_demand!H958)</f>
        <v/>
      </c>
      <c r="D957" s="57" t="str">
        <f>IF($A957="","",IF(SUMIFS([2]Fixture_Capacity_Input!$C:$C,[2]Fixture_Capacity_Input!$A:$A,$B957,[2]Fixture_Capacity_Input!$B:$B,$C957)&gt;0,SUMIFS([2]Fixture_Capacity_Input!$C:$C,[2]Fixture_Capacity_Input!$A:$A,$B957,[2]Fixture_Capacity_Input!$B:$B,$C957),[2]weekly_demand!G958))</f>
        <v/>
      </c>
      <c r="E957" s="58" t="str">
        <f>IF($A957="","",[2]weekly_demand!I958)</f>
        <v/>
      </c>
      <c r="F957" s="57" t="str">
        <f t="shared" si="133"/>
        <v/>
      </c>
      <c r="G957" s="57" t="str">
        <f t="shared" si="134"/>
        <v/>
      </c>
      <c r="H957" s="57" t="str">
        <f t="shared" si="141"/>
        <v/>
      </c>
      <c r="I957" s="58" t="str">
        <f t="shared" si="137"/>
        <v/>
      </c>
      <c r="J957" s="58" t="str">
        <f t="shared" si="135"/>
        <v/>
      </c>
      <c r="K957" s="58" t="str">
        <f t="shared" si="138"/>
        <v/>
      </c>
      <c r="L957" s="58" t="str">
        <f t="shared" si="139"/>
        <v/>
      </c>
      <c r="M957" s="58" t="str">
        <f t="shared" si="140"/>
        <v/>
      </c>
      <c r="N957" s="59" t="str">
        <f t="shared" si="136"/>
        <v/>
      </c>
      <c r="O957" s="60"/>
      <c r="P957" s="105"/>
    </row>
    <row r="958" spans="1:16" x14ac:dyDescent="0.3">
      <c r="A958" s="54" t="str">
        <f>IF([2]weekly_demand!A959="","",[2]weekly_demand!A959)</f>
        <v/>
      </c>
      <c r="B958" s="55" t="str">
        <f>IF($A958="","",[2]weekly_demand!F959)</f>
        <v/>
      </c>
      <c r="C958" s="56" t="str">
        <f>IF($A958="","",[2]weekly_demand!H959)</f>
        <v/>
      </c>
      <c r="D958" s="57" t="str">
        <f>IF($A958="","",IF(SUMIFS([2]Fixture_Capacity_Input!$C:$C,[2]Fixture_Capacity_Input!$A:$A,$B958,[2]Fixture_Capacity_Input!$B:$B,$C958)&gt;0,SUMIFS([2]Fixture_Capacity_Input!$C:$C,[2]Fixture_Capacity_Input!$A:$A,$B958,[2]Fixture_Capacity_Input!$B:$B,$C958),[2]weekly_demand!G959))</f>
        <v/>
      </c>
      <c r="E958" s="58" t="str">
        <f>IF($A958="","",[2]weekly_demand!I959)</f>
        <v/>
      </c>
      <c r="F958" s="57" t="str">
        <f t="shared" si="133"/>
        <v/>
      </c>
      <c r="G958" s="57" t="str">
        <f t="shared" si="134"/>
        <v/>
      </c>
      <c r="H958" s="57" t="str">
        <f t="shared" si="141"/>
        <v/>
      </c>
      <c r="I958" s="58" t="str">
        <f t="shared" si="137"/>
        <v/>
      </c>
      <c r="J958" s="58" t="str">
        <f t="shared" si="135"/>
        <v/>
      </c>
      <c r="K958" s="58" t="str">
        <f t="shared" si="138"/>
        <v/>
      </c>
      <c r="L958" s="58" t="str">
        <f t="shared" si="139"/>
        <v/>
      </c>
      <c r="M958" s="58" t="str">
        <f t="shared" si="140"/>
        <v/>
      </c>
      <c r="N958" s="59" t="str">
        <f t="shared" si="136"/>
        <v/>
      </c>
      <c r="O958" s="60"/>
      <c r="P958" s="105"/>
    </row>
    <row r="959" spans="1:16" x14ac:dyDescent="0.3">
      <c r="A959" s="54" t="str">
        <f>IF([2]weekly_demand!A960="","",[2]weekly_demand!A960)</f>
        <v/>
      </c>
      <c r="B959" s="55" t="str">
        <f>IF($A959="","",[2]weekly_demand!F960)</f>
        <v/>
      </c>
      <c r="C959" s="56" t="str">
        <f>IF($A959="","",[2]weekly_demand!H960)</f>
        <v/>
      </c>
      <c r="D959" s="57" t="str">
        <f>IF($A959="","",IF(SUMIFS([2]Fixture_Capacity_Input!$C:$C,[2]Fixture_Capacity_Input!$A:$A,$B959,[2]Fixture_Capacity_Input!$B:$B,$C959)&gt;0,SUMIFS([2]Fixture_Capacity_Input!$C:$C,[2]Fixture_Capacity_Input!$A:$A,$B959,[2]Fixture_Capacity_Input!$B:$B,$C959),[2]weekly_demand!G960))</f>
        <v/>
      </c>
      <c r="E959" s="58" t="str">
        <f>IF($A959="","",[2]weekly_demand!I960)</f>
        <v/>
      </c>
      <c r="F959" s="57" t="str">
        <f t="shared" si="133"/>
        <v/>
      </c>
      <c r="G959" s="57" t="str">
        <f t="shared" si="134"/>
        <v/>
      </c>
      <c r="H959" s="57" t="str">
        <f t="shared" si="141"/>
        <v/>
      </c>
      <c r="I959" s="58" t="str">
        <f t="shared" si="137"/>
        <v/>
      </c>
      <c r="J959" s="58" t="str">
        <f t="shared" si="135"/>
        <v/>
      </c>
      <c r="K959" s="58" t="str">
        <f t="shared" si="138"/>
        <v/>
      </c>
      <c r="L959" s="58" t="str">
        <f t="shared" si="139"/>
        <v/>
      </c>
      <c r="M959" s="58" t="str">
        <f t="shared" si="140"/>
        <v/>
      </c>
      <c r="N959" s="59" t="str">
        <f t="shared" si="136"/>
        <v/>
      </c>
      <c r="O959" s="60"/>
      <c r="P959" s="105"/>
    </row>
    <row r="960" spans="1:16" x14ac:dyDescent="0.3">
      <c r="A960" s="54" t="str">
        <f>IF([2]weekly_demand!A961="","",[2]weekly_demand!A961)</f>
        <v/>
      </c>
      <c r="B960" s="55" t="str">
        <f>IF($A960="","",[2]weekly_demand!F961)</f>
        <v/>
      </c>
      <c r="C960" s="56" t="str">
        <f>IF($A960="","",[2]weekly_demand!H961)</f>
        <v/>
      </c>
      <c r="D960" s="57" t="str">
        <f>IF($A960="","",IF(SUMIFS([2]Fixture_Capacity_Input!$C:$C,[2]Fixture_Capacity_Input!$A:$A,$B960,[2]Fixture_Capacity_Input!$B:$B,$C960)&gt;0,SUMIFS([2]Fixture_Capacity_Input!$C:$C,[2]Fixture_Capacity_Input!$A:$A,$B960,[2]Fixture_Capacity_Input!$B:$B,$C960),[2]weekly_demand!G961))</f>
        <v/>
      </c>
      <c r="E960" s="58" t="str">
        <f>IF($A960="","",[2]weekly_demand!I961)</f>
        <v/>
      </c>
      <c r="F960" s="57" t="str">
        <f t="shared" si="133"/>
        <v/>
      </c>
      <c r="G960" s="57" t="str">
        <f t="shared" si="134"/>
        <v/>
      </c>
      <c r="H960" s="57" t="str">
        <f t="shared" si="141"/>
        <v/>
      </c>
      <c r="I960" s="58" t="str">
        <f t="shared" si="137"/>
        <v/>
      </c>
      <c r="J960" s="58" t="str">
        <f t="shared" si="135"/>
        <v/>
      </c>
      <c r="K960" s="58" t="str">
        <f t="shared" si="138"/>
        <v/>
      </c>
      <c r="L960" s="58" t="str">
        <f t="shared" si="139"/>
        <v/>
      </c>
      <c r="M960" s="58" t="str">
        <f t="shared" si="140"/>
        <v/>
      </c>
      <c r="N960" s="59" t="str">
        <f t="shared" si="136"/>
        <v/>
      </c>
      <c r="O960" s="60"/>
      <c r="P960" s="105"/>
    </row>
    <row r="961" spans="1:16" x14ac:dyDescent="0.3">
      <c r="A961" s="54" t="str">
        <f>IF([2]weekly_demand!A962="","",[2]weekly_demand!A962)</f>
        <v/>
      </c>
      <c r="B961" s="55" t="str">
        <f>IF($A961="","",[2]weekly_demand!F962)</f>
        <v/>
      </c>
      <c r="C961" s="56" t="str">
        <f>IF($A961="","",[2]weekly_demand!H962)</f>
        <v/>
      </c>
      <c r="D961" s="57" t="str">
        <f>IF($A961="","",IF(SUMIFS([2]Fixture_Capacity_Input!$C:$C,[2]Fixture_Capacity_Input!$A:$A,$B961,[2]Fixture_Capacity_Input!$B:$B,$C961)&gt;0,SUMIFS([2]Fixture_Capacity_Input!$C:$C,[2]Fixture_Capacity_Input!$A:$A,$B961,[2]Fixture_Capacity_Input!$B:$B,$C961),[2]weekly_demand!G962))</f>
        <v/>
      </c>
      <c r="E961" s="58" t="str">
        <f>IF($A961="","",[2]weekly_demand!I962)</f>
        <v/>
      </c>
      <c r="F961" s="57" t="str">
        <f t="shared" si="133"/>
        <v/>
      </c>
      <c r="G961" s="57" t="str">
        <f t="shared" si="134"/>
        <v/>
      </c>
      <c r="H961" s="57" t="str">
        <f t="shared" si="141"/>
        <v/>
      </c>
      <c r="I961" s="58" t="str">
        <f t="shared" si="137"/>
        <v/>
      </c>
      <c r="J961" s="58" t="str">
        <f t="shared" si="135"/>
        <v/>
      </c>
      <c r="K961" s="58" t="str">
        <f t="shared" si="138"/>
        <v/>
      </c>
      <c r="L961" s="58" t="str">
        <f t="shared" si="139"/>
        <v/>
      </c>
      <c r="M961" s="58" t="str">
        <f t="shared" si="140"/>
        <v/>
      </c>
      <c r="N961" s="59" t="str">
        <f t="shared" si="136"/>
        <v/>
      </c>
      <c r="O961" s="60"/>
      <c r="P961" s="105"/>
    </row>
    <row r="962" spans="1:16" x14ac:dyDescent="0.3">
      <c r="A962" s="54" t="str">
        <f>IF([2]weekly_demand!A963="","",[2]weekly_demand!A963)</f>
        <v/>
      </c>
      <c r="B962" s="55" t="str">
        <f>IF($A962="","",[2]weekly_demand!F963)</f>
        <v/>
      </c>
      <c r="C962" s="56" t="str">
        <f>IF($A962="","",[2]weekly_demand!H963)</f>
        <v/>
      </c>
      <c r="D962" s="57" t="str">
        <f>IF($A962="","",IF(SUMIFS([2]Fixture_Capacity_Input!$C:$C,[2]Fixture_Capacity_Input!$A:$A,$B962,[2]Fixture_Capacity_Input!$B:$B,$C962)&gt;0,SUMIFS([2]Fixture_Capacity_Input!$C:$C,[2]Fixture_Capacity_Input!$A:$A,$B962,[2]Fixture_Capacity_Input!$B:$B,$C962),[2]weekly_demand!G963))</f>
        <v/>
      </c>
      <c r="E962" s="58" t="str">
        <f>IF($A962="","",[2]weekly_demand!I963)</f>
        <v/>
      </c>
      <c r="F962" s="57" t="str">
        <f t="shared" ref="F962:F1000" si="142">IF($A962="","",IF($A962&lt;&gt;$A961,_xlfn.XLOOKUP($A962,$Q$2:$Q$7,$R$2:$R$7,0),K961))</f>
        <v/>
      </c>
      <c r="G962" s="57" t="str">
        <f t="shared" ref="G962:G1000" si="143">IF($A962="","",_xlfn.XLOOKUP($A962,$Q$2:$Q$7,$S$2:$S$7,0))</f>
        <v/>
      </c>
      <c r="H962" s="57" t="str">
        <f t="shared" si="141"/>
        <v/>
      </c>
      <c r="I962" s="58" t="str">
        <f t="shared" si="137"/>
        <v/>
      </c>
      <c r="J962" s="58" t="str">
        <f t="shared" ref="J962:J1000" si="144">IF($A962="","",MIN($D962,$I962,MAX(0,$E962+$G962-$F962)))</f>
        <v/>
      </c>
      <c r="K962" s="58" t="str">
        <f t="shared" si="138"/>
        <v/>
      </c>
      <c r="L962" s="58" t="str">
        <f t="shared" si="139"/>
        <v/>
      </c>
      <c r="M962" s="58" t="str">
        <f t="shared" si="140"/>
        <v/>
      </c>
      <c r="N962" s="59" t="str">
        <f t="shared" ref="N962:N1000" si="145">IF($A962="","",IFERROR(J962/D962,0))</f>
        <v/>
      </c>
      <c r="O962" s="60"/>
      <c r="P962" s="105"/>
    </row>
    <row r="963" spans="1:16" x14ac:dyDescent="0.3">
      <c r="A963" s="54" t="str">
        <f>IF([2]weekly_demand!A964="","",[2]weekly_demand!A964)</f>
        <v/>
      </c>
      <c r="B963" s="55" t="str">
        <f>IF($A963="","",[2]weekly_demand!F964)</f>
        <v/>
      </c>
      <c r="C963" s="56" t="str">
        <f>IF($A963="","",[2]weekly_demand!H964)</f>
        <v/>
      </c>
      <c r="D963" s="57" t="str">
        <f>IF($A963="","",IF(SUMIFS([2]Fixture_Capacity_Input!$C:$C,[2]Fixture_Capacity_Input!$A:$A,$B963,[2]Fixture_Capacity_Input!$B:$B,$C963)&gt;0,SUMIFS([2]Fixture_Capacity_Input!$C:$C,[2]Fixture_Capacity_Input!$A:$A,$B963,[2]Fixture_Capacity_Input!$B:$B,$C963),[2]weekly_demand!G964))</f>
        <v/>
      </c>
      <c r="E963" s="58" t="str">
        <f>IF($A963="","",[2]weekly_demand!I964)</f>
        <v/>
      </c>
      <c r="F963" s="57" t="str">
        <f t="shared" si="142"/>
        <v/>
      </c>
      <c r="G963" s="57" t="str">
        <f t="shared" si="143"/>
        <v/>
      </c>
      <c r="H963" s="57" t="str">
        <f t="shared" si="141"/>
        <v/>
      </c>
      <c r="I963" s="58" t="str">
        <f t="shared" ref="I963:I1000" si="146">IF($A963="","",MAX(0,E963+H963-F963))</f>
        <v/>
      </c>
      <c r="J963" s="58" t="str">
        <f t="shared" si="144"/>
        <v/>
      </c>
      <c r="K963" s="58" t="str">
        <f t="shared" ref="K963:K1000" si="147">IF($A963="","",MIN($G963,MAX(0,$F963+$J963-$E963)))</f>
        <v/>
      </c>
      <c r="L963" s="58" t="str">
        <f t="shared" ref="L963:L1000" si="148">IF($A963="","",MAX(0,E963-F963-J963))</f>
        <v/>
      </c>
      <c r="M963" s="58" t="str">
        <f t="shared" ref="M963:M1000" si="149">IF($A963="","",MAX(0,F963+J963-E963))</f>
        <v/>
      </c>
      <c r="N963" s="59" t="str">
        <f t="shared" si="145"/>
        <v/>
      </c>
      <c r="O963" s="60"/>
      <c r="P963" s="105"/>
    </row>
    <row r="964" spans="1:16" x14ac:dyDescent="0.3">
      <c r="A964" s="54" t="str">
        <f>IF([2]weekly_demand!A965="","",[2]weekly_demand!A965)</f>
        <v/>
      </c>
      <c r="B964" s="55" t="str">
        <f>IF($A964="","",[2]weekly_demand!F965)</f>
        <v/>
      </c>
      <c r="C964" s="56" t="str">
        <f>IF($A964="","",[2]weekly_demand!H965)</f>
        <v/>
      </c>
      <c r="D964" s="57" t="str">
        <f>IF($A964="","",IF(SUMIFS([2]Fixture_Capacity_Input!$C:$C,[2]Fixture_Capacity_Input!$A:$A,$B964,[2]Fixture_Capacity_Input!$B:$B,$C964)&gt;0,SUMIFS([2]Fixture_Capacity_Input!$C:$C,[2]Fixture_Capacity_Input!$A:$A,$B964,[2]Fixture_Capacity_Input!$B:$B,$C964),[2]weekly_demand!G965))</f>
        <v/>
      </c>
      <c r="E964" s="58" t="str">
        <f>IF($A964="","",[2]weekly_demand!I965)</f>
        <v/>
      </c>
      <c r="F964" s="57" t="str">
        <f t="shared" si="142"/>
        <v/>
      </c>
      <c r="G964" s="57" t="str">
        <f t="shared" si="143"/>
        <v/>
      </c>
      <c r="H964" s="57" t="str">
        <f t="shared" si="141"/>
        <v/>
      </c>
      <c r="I964" s="58" t="str">
        <f t="shared" si="146"/>
        <v/>
      </c>
      <c r="J964" s="58" t="str">
        <f t="shared" si="144"/>
        <v/>
      </c>
      <c r="K964" s="58" t="str">
        <f t="shared" si="147"/>
        <v/>
      </c>
      <c r="L964" s="58" t="str">
        <f t="shared" si="148"/>
        <v/>
      </c>
      <c r="M964" s="58" t="str">
        <f t="shared" si="149"/>
        <v/>
      </c>
      <c r="N964" s="59" t="str">
        <f t="shared" si="145"/>
        <v/>
      </c>
      <c r="O964" s="60"/>
      <c r="P964" s="105"/>
    </row>
    <row r="965" spans="1:16" x14ac:dyDescent="0.3">
      <c r="A965" s="54" t="str">
        <f>IF([2]weekly_demand!A966="","",[2]weekly_demand!A966)</f>
        <v/>
      </c>
      <c r="B965" s="55" t="str">
        <f>IF($A965="","",[2]weekly_demand!F966)</f>
        <v/>
      </c>
      <c r="C965" s="56" t="str">
        <f>IF($A965="","",[2]weekly_demand!H966)</f>
        <v/>
      </c>
      <c r="D965" s="57" t="str">
        <f>IF($A965="","",IF(SUMIFS([2]Fixture_Capacity_Input!$C:$C,[2]Fixture_Capacity_Input!$A:$A,$B965,[2]Fixture_Capacity_Input!$B:$B,$C965)&gt;0,SUMIFS([2]Fixture_Capacity_Input!$C:$C,[2]Fixture_Capacity_Input!$A:$A,$B965,[2]Fixture_Capacity_Input!$B:$B,$C965),[2]weekly_demand!G966))</f>
        <v/>
      </c>
      <c r="E965" s="58" t="str">
        <f>IF($A965="","",[2]weekly_demand!I966)</f>
        <v/>
      </c>
      <c r="F965" s="57" t="str">
        <f t="shared" si="142"/>
        <v/>
      </c>
      <c r="G965" s="57" t="str">
        <f t="shared" si="143"/>
        <v/>
      </c>
      <c r="H965" s="57" t="str">
        <f t="shared" si="141"/>
        <v/>
      </c>
      <c r="I965" s="58" t="str">
        <f t="shared" si="146"/>
        <v/>
      </c>
      <c r="J965" s="58" t="str">
        <f t="shared" si="144"/>
        <v/>
      </c>
      <c r="K965" s="58" t="str">
        <f t="shared" si="147"/>
        <v/>
      </c>
      <c r="L965" s="58" t="str">
        <f t="shared" si="148"/>
        <v/>
      </c>
      <c r="M965" s="58" t="str">
        <f t="shared" si="149"/>
        <v/>
      </c>
      <c r="N965" s="59" t="str">
        <f t="shared" si="145"/>
        <v/>
      </c>
      <c r="O965" s="60"/>
      <c r="P965" s="105"/>
    </row>
    <row r="966" spans="1:16" x14ac:dyDescent="0.3">
      <c r="A966" s="54" t="str">
        <f>IF([2]weekly_demand!A967="","",[2]weekly_demand!A967)</f>
        <v/>
      </c>
      <c r="B966" s="55" t="str">
        <f>IF($A966="","",[2]weekly_demand!F967)</f>
        <v/>
      </c>
      <c r="C966" s="56" t="str">
        <f>IF($A966="","",[2]weekly_demand!H967)</f>
        <v/>
      </c>
      <c r="D966" s="57" t="str">
        <f>IF($A966="","",IF(SUMIFS([2]Fixture_Capacity_Input!$C:$C,[2]Fixture_Capacity_Input!$A:$A,$B966,[2]Fixture_Capacity_Input!$B:$B,$C966)&gt;0,SUMIFS([2]Fixture_Capacity_Input!$C:$C,[2]Fixture_Capacity_Input!$A:$A,$B966,[2]Fixture_Capacity_Input!$B:$B,$C966),[2]weekly_demand!G967))</f>
        <v/>
      </c>
      <c r="E966" s="58" t="str">
        <f>IF($A966="","",[2]weekly_demand!I967)</f>
        <v/>
      </c>
      <c r="F966" s="57" t="str">
        <f t="shared" si="142"/>
        <v/>
      </c>
      <c r="G966" s="57" t="str">
        <f t="shared" si="143"/>
        <v/>
      </c>
      <c r="H966" s="57" t="str">
        <f t="shared" si="141"/>
        <v/>
      </c>
      <c r="I966" s="58" t="str">
        <f t="shared" si="146"/>
        <v/>
      </c>
      <c r="J966" s="58" t="str">
        <f t="shared" si="144"/>
        <v/>
      </c>
      <c r="K966" s="58" t="str">
        <f t="shared" si="147"/>
        <v/>
      </c>
      <c r="L966" s="58" t="str">
        <f t="shared" si="148"/>
        <v/>
      </c>
      <c r="M966" s="58" t="str">
        <f t="shared" si="149"/>
        <v/>
      </c>
      <c r="N966" s="59" t="str">
        <f t="shared" si="145"/>
        <v/>
      </c>
      <c r="O966" s="60"/>
      <c r="P966" s="105"/>
    </row>
    <row r="967" spans="1:16" x14ac:dyDescent="0.3">
      <c r="A967" s="54" t="str">
        <f>IF([2]weekly_demand!A968="","",[2]weekly_demand!A968)</f>
        <v/>
      </c>
      <c r="B967" s="55" t="str">
        <f>IF($A967="","",[2]weekly_demand!F968)</f>
        <v/>
      </c>
      <c r="C967" s="56" t="str">
        <f>IF($A967="","",[2]weekly_demand!H968)</f>
        <v/>
      </c>
      <c r="D967" s="57" t="str">
        <f>IF($A967="","",IF(SUMIFS([2]Fixture_Capacity_Input!$C:$C,[2]Fixture_Capacity_Input!$A:$A,$B967,[2]Fixture_Capacity_Input!$B:$B,$C967)&gt;0,SUMIFS([2]Fixture_Capacity_Input!$C:$C,[2]Fixture_Capacity_Input!$A:$A,$B967,[2]Fixture_Capacity_Input!$B:$B,$C967),[2]weekly_demand!G968))</f>
        <v/>
      </c>
      <c r="E967" s="58" t="str">
        <f>IF($A967="","",[2]weekly_demand!I968)</f>
        <v/>
      </c>
      <c r="F967" s="57" t="str">
        <f t="shared" si="142"/>
        <v/>
      </c>
      <c r="G967" s="57" t="str">
        <f t="shared" si="143"/>
        <v/>
      </c>
      <c r="H967" s="57" t="str">
        <f t="shared" si="141"/>
        <v/>
      </c>
      <c r="I967" s="58" t="str">
        <f t="shared" si="146"/>
        <v/>
      </c>
      <c r="J967" s="58" t="str">
        <f t="shared" si="144"/>
        <v/>
      </c>
      <c r="K967" s="58" t="str">
        <f t="shared" si="147"/>
        <v/>
      </c>
      <c r="L967" s="58" t="str">
        <f t="shared" si="148"/>
        <v/>
      </c>
      <c r="M967" s="58" t="str">
        <f t="shared" si="149"/>
        <v/>
      </c>
      <c r="N967" s="59" t="str">
        <f t="shared" si="145"/>
        <v/>
      </c>
      <c r="O967" s="60"/>
      <c r="P967" s="105"/>
    </row>
    <row r="968" spans="1:16" x14ac:dyDescent="0.3">
      <c r="A968" s="54" t="str">
        <f>IF([2]weekly_demand!A969="","",[2]weekly_demand!A969)</f>
        <v/>
      </c>
      <c r="B968" s="55" t="str">
        <f>IF($A968="","",[2]weekly_demand!F969)</f>
        <v/>
      </c>
      <c r="C968" s="56" t="str">
        <f>IF($A968="","",[2]weekly_demand!H969)</f>
        <v/>
      </c>
      <c r="D968" s="57" t="str">
        <f>IF($A968="","",IF(SUMIFS([2]Fixture_Capacity_Input!$C:$C,[2]Fixture_Capacity_Input!$A:$A,$B968,[2]Fixture_Capacity_Input!$B:$B,$C968)&gt;0,SUMIFS([2]Fixture_Capacity_Input!$C:$C,[2]Fixture_Capacity_Input!$A:$A,$B968,[2]Fixture_Capacity_Input!$B:$B,$C968),[2]weekly_demand!G969))</f>
        <v/>
      </c>
      <c r="E968" s="58" t="str">
        <f>IF($A968="","",[2]weekly_demand!I969)</f>
        <v/>
      </c>
      <c r="F968" s="57" t="str">
        <f t="shared" si="142"/>
        <v/>
      </c>
      <c r="G968" s="57" t="str">
        <f t="shared" si="143"/>
        <v/>
      </c>
      <c r="H968" s="57" t="str">
        <f t="shared" si="141"/>
        <v/>
      </c>
      <c r="I968" s="58" t="str">
        <f t="shared" si="146"/>
        <v/>
      </c>
      <c r="J968" s="58" t="str">
        <f t="shared" si="144"/>
        <v/>
      </c>
      <c r="K968" s="58" t="str">
        <f t="shared" si="147"/>
        <v/>
      </c>
      <c r="L968" s="58" t="str">
        <f t="shared" si="148"/>
        <v/>
      </c>
      <c r="M968" s="58" t="str">
        <f t="shared" si="149"/>
        <v/>
      </c>
      <c r="N968" s="59" t="str">
        <f t="shared" si="145"/>
        <v/>
      </c>
      <c r="O968" s="60"/>
      <c r="P968" s="105"/>
    </row>
    <row r="969" spans="1:16" x14ac:dyDescent="0.3">
      <c r="A969" s="54" t="str">
        <f>IF([2]weekly_demand!A970="","",[2]weekly_demand!A970)</f>
        <v/>
      </c>
      <c r="B969" s="55" t="str">
        <f>IF($A969="","",[2]weekly_demand!F970)</f>
        <v/>
      </c>
      <c r="C969" s="56" t="str">
        <f>IF($A969="","",[2]weekly_demand!H970)</f>
        <v/>
      </c>
      <c r="D969" s="57" t="str">
        <f>IF($A969="","",IF(SUMIFS([2]Fixture_Capacity_Input!$C:$C,[2]Fixture_Capacity_Input!$A:$A,$B969,[2]Fixture_Capacity_Input!$B:$B,$C969)&gt;0,SUMIFS([2]Fixture_Capacity_Input!$C:$C,[2]Fixture_Capacity_Input!$A:$A,$B969,[2]Fixture_Capacity_Input!$B:$B,$C969),[2]weekly_demand!G970))</f>
        <v/>
      </c>
      <c r="E969" s="58" t="str">
        <f>IF($A969="","",[2]weekly_demand!I970)</f>
        <v/>
      </c>
      <c r="F969" s="57" t="str">
        <f t="shared" si="142"/>
        <v/>
      </c>
      <c r="G969" s="57" t="str">
        <f t="shared" si="143"/>
        <v/>
      </c>
      <c r="H969" s="57" t="str">
        <f t="shared" si="141"/>
        <v/>
      </c>
      <c r="I969" s="58" t="str">
        <f t="shared" si="146"/>
        <v/>
      </c>
      <c r="J969" s="58" t="str">
        <f t="shared" si="144"/>
        <v/>
      </c>
      <c r="K969" s="58" t="str">
        <f t="shared" si="147"/>
        <v/>
      </c>
      <c r="L969" s="58" t="str">
        <f t="shared" si="148"/>
        <v/>
      </c>
      <c r="M969" s="58" t="str">
        <f t="shared" si="149"/>
        <v/>
      </c>
      <c r="N969" s="59" t="str">
        <f t="shared" si="145"/>
        <v/>
      </c>
      <c r="O969" s="60"/>
      <c r="P969" s="105"/>
    </row>
    <row r="970" spans="1:16" x14ac:dyDescent="0.3">
      <c r="A970" s="54" t="str">
        <f>IF([2]weekly_demand!A971="","",[2]weekly_demand!A971)</f>
        <v/>
      </c>
      <c r="B970" s="55" t="str">
        <f>IF($A970="","",[2]weekly_demand!F971)</f>
        <v/>
      </c>
      <c r="C970" s="56" t="str">
        <f>IF($A970="","",[2]weekly_demand!H971)</f>
        <v/>
      </c>
      <c r="D970" s="57" t="str">
        <f>IF($A970="","",IF(SUMIFS([2]Fixture_Capacity_Input!$C:$C,[2]Fixture_Capacity_Input!$A:$A,$B970,[2]Fixture_Capacity_Input!$B:$B,$C970)&gt;0,SUMIFS([2]Fixture_Capacity_Input!$C:$C,[2]Fixture_Capacity_Input!$A:$A,$B970,[2]Fixture_Capacity_Input!$B:$B,$C970),[2]weekly_demand!G971))</f>
        <v/>
      </c>
      <c r="E970" s="58" t="str">
        <f>IF($A970="","",[2]weekly_demand!I971)</f>
        <v/>
      </c>
      <c r="F970" s="57" t="str">
        <f t="shared" si="142"/>
        <v/>
      </c>
      <c r="G970" s="57" t="str">
        <f t="shared" si="143"/>
        <v/>
      </c>
      <c r="H970" s="57" t="str">
        <f t="shared" si="141"/>
        <v/>
      </c>
      <c r="I970" s="58" t="str">
        <f t="shared" si="146"/>
        <v/>
      </c>
      <c r="J970" s="58" t="str">
        <f t="shared" si="144"/>
        <v/>
      </c>
      <c r="K970" s="58" t="str">
        <f t="shared" si="147"/>
        <v/>
      </c>
      <c r="L970" s="58" t="str">
        <f t="shared" si="148"/>
        <v/>
      </c>
      <c r="M970" s="58" t="str">
        <f t="shared" si="149"/>
        <v/>
      </c>
      <c r="N970" s="59" t="str">
        <f t="shared" si="145"/>
        <v/>
      </c>
      <c r="O970" s="60"/>
      <c r="P970" s="105"/>
    </row>
    <row r="971" spans="1:16" x14ac:dyDescent="0.3">
      <c r="A971" s="54" t="str">
        <f>IF([2]weekly_demand!A972="","",[2]weekly_demand!A972)</f>
        <v/>
      </c>
      <c r="B971" s="55" t="str">
        <f>IF($A971="","",[2]weekly_demand!F972)</f>
        <v/>
      </c>
      <c r="C971" s="56" t="str">
        <f>IF($A971="","",[2]weekly_demand!H972)</f>
        <v/>
      </c>
      <c r="D971" s="57" t="str">
        <f>IF($A971="","",IF(SUMIFS([2]Fixture_Capacity_Input!$C:$C,[2]Fixture_Capacity_Input!$A:$A,$B971,[2]Fixture_Capacity_Input!$B:$B,$C971)&gt;0,SUMIFS([2]Fixture_Capacity_Input!$C:$C,[2]Fixture_Capacity_Input!$A:$A,$B971,[2]Fixture_Capacity_Input!$B:$B,$C971),[2]weekly_demand!G972))</f>
        <v/>
      </c>
      <c r="E971" s="58" t="str">
        <f>IF($A971="","",[2]weekly_demand!I972)</f>
        <v/>
      </c>
      <c r="F971" s="57" t="str">
        <f t="shared" si="142"/>
        <v/>
      </c>
      <c r="G971" s="57" t="str">
        <f t="shared" si="143"/>
        <v/>
      </c>
      <c r="H971" s="57" t="str">
        <f t="shared" si="141"/>
        <v/>
      </c>
      <c r="I971" s="58" t="str">
        <f t="shared" si="146"/>
        <v/>
      </c>
      <c r="J971" s="58" t="str">
        <f t="shared" si="144"/>
        <v/>
      </c>
      <c r="K971" s="58" t="str">
        <f t="shared" si="147"/>
        <v/>
      </c>
      <c r="L971" s="58" t="str">
        <f t="shared" si="148"/>
        <v/>
      </c>
      <c r="M971" s="58" t="str">
        <f t="shared" si="149"/>
        <v/>
      </c>
      <c r="N971" s="59" t="str">
        <f t="shared" si="145"/>
        <v/>
      </c>
      <c r="O971" s="60"/>
      <c r="P971" s="105"/>
    </row>
    <row r="972" spans="1:16" x14ac:dyDescent="0.3">
      <c r="A972" s="54" t="str">
        <f>IF([2]weekly_demand!A973="","",[2]weekly_demand!A973)</f>
        <v/>
      </c>
      <c r="B972" s="55" t="str">
        <f>IF($A972="","",[2]weekly_demand!F973)</f>
        <v/>
      </c>
      <c r="C972" s="56" t="str">
        <f>IF($A972="","",[2]weekly_demand!H973)</f>
        <v/>
      </c>
      <c r="D972" s="57" t="str">
        <f>IF($A972="","",IF(SUMIFS([2]Fixture_Capacity_Input!$C:$C,[2]Fixture_Capacity_Input!$A:$A,$B972,[2]Fixture_Capacity_Input!$B:$B,$C972)&gt;0,SUMIFS([2]Fixture_Capacity_Input!$C:$C,[2]Fixture_Capacity_Input!$A:$A,$B972,[2]Fixture_Capacity_Input!$B:$B,$C972),[2]weekly_demand!G973))</f>
        <v/>
      </c>
      <c r="E972" s="58" t="str">
        <f>IF($A972="","",[2]weekly_demand!I973)</f>
        <v/>
      </c>
      <c r="F972" s="57" t="str">
        <f t="shared" si="142"/>
        <v/>
      </c>
      <c r="G972" s="57" t="str">
        <f t="shared" si="143"/>
        <v/>
      </c>
      <c r="H972" s="57" t="str">
        <f t="shared" si="141"/>
        <v/>
      </c>
      <c r="I972" s="58" t="str">
        <f t="shared" si="146"/>
        <v/>
      </c>
      <c r="J972" s="58" t="str">
        <f t="shared" si="144"/>
        <v/>
      </c>
      <c r="K972" s="58" t="str">
        <f t="shared" si="147"/>
        <v/>
      </c>
      <c r="L972" s="58" t="str">
        <f t="shared" si="148"/>
        <v/>
      </c>
      <c r="M972" s="58" t="str">
        <f t="shared" si="149"/>
        <v/>
      </c>
      <c r="N972" s="59" t="str">
        <f t="shared" si="145"/>
        <v/>
      </c>
      <c r="O972" s="60"/>
      <c r="P972" s="105"/>
    </row>
    <row r="973" spans="1:16" x14ac:dyDescent="0.3">
      <c r="A973" s="54" t="str">
        <f>IF([2]weekly_demand!A974="","",[2]weekly_demand!A974)</f>
        <v/>
      </c>
      <c r="B973" s="55" t="str">
        <f>IF($A973="","",[2]weekly_demand!F974)</f>
        <v/>
      </c>
      <c r="C973" s="56" t="str">
        <f>IF($A973="","",[2]weekly_demand!H974)</f>
        <v/>
      </c>
      <c r="D973" s="57" t="str">
        <f>IF($A973="","",IF(SUMIFS([2]Fixture_Capacity_Input!$C:$C,[2]Fixture_Capacity_Input!$A:$A,$B973,[2]Fixture_Capacity_Input!$B:$B,$C973)&gt;0,SUMIFS([2]Fixture_Capacity_Input!$C:$C,[2]Fixture_Capacity_Input!$A:$A,$B973,[2]Fixture_Capacity_Input!$B:$B,$C973),[2]weekly_demand!G974))</f>
        <v/>
      </c>
      <c r="E973" s="58" t="str">
        <f>IF($A973="","",[2]weekly_demand!I974)</f>
        <v/>
      </c>
      <c r="F973" s="57" t="str">
        <f t="shared" si="142"/>
        <v/>
      </c>
      <c r="G973" s="57" t="str">
        <f t="shared" si="143"/>
        <v/>
      </c>
      <c r="H973" s="57" t="str">
        <f t="shared" si="141"/>
        <v/>
      </c>
      <c r="I973" s="58" t="str">
        <f t="shared" si="146"/>
        <v/>
      </c>
      <c r="J973" s="58" t="str">
        <f t="shared" si="144"/>
        <v/>
      </c>
      <c r="K973" s="58" t="str">
        <f t="shared" si="147"/>
        <v/>
      </c>
      <c r="L973" s="58" t="str">
        <f t="shared" si="148"/>
        <v/>
      </c>
      <c r="M973" s="58" t="str">
        <f t="shared" si="149"/>
        <v/>
      </c>
      <c r="N973" s="59" t="str">
        <f t="shared" si="145"/>
        <v/>
      </c>
      <c r="O973" s="60"/>
      <c r="P973" s="105"/>
    </row>
    <row r="974" spans="1:16" x14ac:dyDescent="0.3">
      <c r="A974" s="54" t="str">
        <f>IF([2]weekly_demand!A975="","",[2]weekly_demand!A975)</f>
        <v/>
      </c>
      <c r="B974" s="55" t="str">
        <f>IF($A974="","",[2]weekly_demand!F975)</f>
        <v/>
      </c>
      <c r="C974" s="56" t="str">
        <f>IF($A974="","",[2]weekly_demand!H975)</f>
        <v/>
      </c>
      <c r="D974" s="57" t="str">
        <f>IF($A974="","",IF(SUMIFS([2]Fixture_Capacity_Input!$C:$C,[2]Fixture_Capacity_Input!$A:$A,$B974,[2]Fixture_Capacity_Input!$B:$B,$C974)&gt;0,SUMIFS([2]Fixture_Capacity_Input!$C:$C,[2]Fixture_Capacity_Input!$A:$A,$B974,[2]Fixture_Capacity_Input!$B:$B,$C974),[2]weekly_demand!G975))</f>
        <v/>
      </c>
      <c r="E974" s="58" t="str">
        <f>IF($A974="","",[2]weekly_demand!I975)</f>
        <v/>
      </c>
      <c r="F974" s="57" t="str">
        <f t="shared" si="142"/>
        <v/>
      </c>
      <c r="G974" s="57" t="str">
        <f t="shared" si="143"/>
        <v/>
      </c>
      <c r="H974" s="57" t="str">
        <f t="shared" si="141"/>
        <v/>
      </c>
      <c r="I974" s="58" t="str">
        <f t="shared" si="146"/>
        <v/>
      </c>
      <c r="J974" s="58" t="str">
        <f t="shared" si="144"/>
        <v/>
      </c>
      <c r="K974" s="58" t="str">
        <f t="shared" si="147"/>
        <v/>
      </c>
      <c r="L974" s="58" t="str">
        <f t="shared" si="148"/>
        <v/>
      </c>
      <c r="M974" s="58" t="str">
        <f t="shared" si="149"/>
        <v/>
      </c>
      <c r="N974" s="59" t="str">
        <f t="shared" si="145"/>
        <v/>
      </c>
      <c r="O974" s="60"/>
      <c r="P974" s="105"/>
    </row>
    <row r="975" spans="1:16" x14ac:dyDescent="0.3">
      <c r="A975" s="54" t="str">
        <f>IF([2]weekly_demand!A976="","",[2]weekly_demand!A976)</f>
        <v/>
      </c>
      <c r="B975" s="55" t="str">
        <f>IF($A975="","",[2]weekly_demand!F976)</f>
        <v/>
      </c>
      <c r="C975" s="56" t="str">
        <f>IF($A975="","",[2]weekly_demand!H976)</f>
        <v/>
      </c>
      <c r="D975" s="57" t="str">
        <f>IF($A975="","",IF(SUMIFS([2]Fixture_Capacity_Input!$C:$C,[2]Fixture_Capacity_Input!$A:$A,$B975,[2]Fixture_Capacity_Input!$B:$B,$C975)&gt;0,SUMIFS([2]Fixture_Capacity_Input!$C:$C,[2]Fixture_Capacity_Input!$A:$A,$B975,[2]Fixture_Capacity_Input!$B:$B,$C975),[2]weekly_demand!G976))</f>
        <v/>
      </c>
      <c r="E975" s="58" t="str">
        <f>IF($A975="","",[2]weekly_demand!I976)</f>
        <v/>
      </c>
      <c r="F975" s="57" t="str">
        <f t="shared" si="142"/>
        <v/>
      </c>
      <c r="G975" s="57" t="str">
        <f t="shared" si="143"/>
        <v/>
      </c>
      <c r="H975" s="57" t="str">
        <f t="shared" si="141"/>
        <v/>
      </c>
      <c r="I975" s="58" t="str">
        <f t="shared" si="146"/>
        <v/>
      </c>
      <c r="J975" s="58" t="str">
        <f t="shared" si="144"/>
        <v/>
      </c>
      <c r="K975" s="58" t="str">
        <f t="shared" si="147"/>
        <v/>
      </c>
      <c r="L975" s="58" t="str">
        <f t="shared" si="148"/>
        <v/>
      </c>
      <c r="M975" s="58" t="str">
        <f t="shared" si="149"/>
        <v/>
      </c>
      <c r="N975" s="59" t="str">
        <f t="shared" si="145"/>
        <v/>
      </c>
      <c r="O975" s="60"/>
      <c r="P975" s="105"/>
    </row>
    <row r="976" spans="1:16" x14ac:dyDescent="0.3">
      <c r="A976" s="54" t="str">
        <f>IF([2]weekly_demand!A977="","",[2]weekly_demand!A977)</f>
        <v/>
      </c>
      <c r="B976" s="55" t="str">
        <f>IF($A976="","",[2]weekly_demand!F977)</f>
        <v/>
      </c>
      <c r="C976" s="56" t="str">
        <f>IF($A976="","",[2]weekly_demand!H977)</f>
        <v/>
      </c>
      <c r="D976" s="57" t="str">
        <f>IF($A976="","",IF(SUMIFS([2]Fixture_Capacity_Input!$C:$C,[2]Fixture_Capacity_Input!$A:$A,$B976,[2]Fixture_Capacity_Input!$B:$B,$C976)&gt;0,SUMIFS([2]Fixture_Capacity_Input!$C:$C,[2]Fixture_Capacity_Input!$A:$A,$B976,[2]Fixture_Capacity_Input!$B:$B,$C976),[2]weekly_demand!G977))</f>
        <v/>
      </c>
      <c r="E976" s="58" t="str">
        <f>IF($A976="","",[2]weekly_demand!I977)</f>
        <v/>
      </c>
      <c r="F976" s="57" t="str">
        <f t="shared" si="142"/>
        <v/>
      </c>
      <c r="G976" s="57" t="str">
        <f t="shared" si="143"/>
        <v/>
      </c>
      <c r="H976" s="57" t="str">
        <f t="shared" si="141"/>
        <v/>
      </c>
      <c r="I976" s="58" t="str">
        <f t="shared" si="146"/>
        <v/>
      </c>
      <c r="J976" s="58" t="str">
        <f t="shared" si="144"/>
        <v/>
      </c>
      <c r="K976" s="58" t="str">
        <f t="shared" si="147"/>
        <v/>
      </c>
      <c r="L976" s="58" t="str">
        <f t="shared" si="148"/>
        <v/>
      </c>
      <c r="M976" s="58" t="str">
        <f t="shared" si="149"/>
        <v/>
      </c>
      <c r="N976" s="59" t="str">
        <f t="shared" si="145"/>
        <v/>
      </c>
      <c r="O976" s="60"/>
      <c r="P976" s="105"/>
    </row>
    <row r="977" spans="1:16" x14ac:dyDescent="0.3">
      <c r="A977" s="54" t="str">
        <f>IF([2]weekly_demand!A978="","",[2]weekly_demand!A978)</f>
        <v/>
      </c>
      <c r="B977" s="55" t="str">
        <f>IF($A977="","",[2]weekly_demand!F978)</f>
        <v/>
      </c>
      <c r="C977" s="56" t="str">
        <f>IF($A977="","",[2]weekly_demand!H978)</f>
        <v/>
      </c>
      <c r="D977" s="57" t="str">
        <f>IF($A977="","",IF(SUMIFS([2]Fixture_Capacity_Input!$C:$C,[2]Fixture_Capacity_Input!$A:$A,$B977,[2]Fixture_Capacity_Input!$B:$B,$C977)&gt;0,SUMIFS([2]Fixture_Capacity_Input!$C:$C,[2]Fixture_Capacity_Input!$A:$A,$B977,[2]Fixture_Capacity_Input!$B:$B,$C977),[2]weekly_demand!G978))</f>
        <v/>
      </c>
      <c r="E977" s="58" t="str">
        <f>IF($A977="","",[2]weekly_demand!I978)</f>
        <v/>
      </c>
      <c r="F977" s="57" t="str">
        <f t="shared" si="142"/>
        <v/>
      </c>
      <c r="G977" s="57" t="str">
        <f t="shared" si="143"/>
        <v/>
      </c>
      <c r="H977" s="57" t="str">
        <f t="shared" si="141"/>
        <v/>
      </c>
      <c r="I977" s="58" t="str">
        <f t="shared" si="146"/>
        <v/>
      </c>
      <c r="J977" s="58" t="str">
        <f t="shared" si="144"/>
        <v/>
      </c>
      <c r="K977" s="58" t="str">
        <f t="shared" si="147"/>
        <v/>
      </c>
      <c r="L977" s="58" t="str">
        <f t="shared" si="148"/>
        <v/>
      </c>
      <c r="M977" s="58" t="str">
        <f t="shared" si="149"/>
        <v/>
      </c>
      <c r="N977" s="59" t="str">
        <f t="shared" si="145"/>
        <v/>
      </c>
      <c r="O977" s="60"/>
      <c r="P977" s="105"/>
    </row>
    <row r="978" spans="1:16" x14ac:dyDescent="0.3">
      <c r="A978" s="54" t="str">
        <f>IF([2]weekly_demand!A979="","",[2]weekly_demand!A979)</f>
        <v/>
      </c>
      <c r="B978" s="55" t="str">
        <f>IF($A978="","",[2]weekly_demand!F979)</f>
        <v/>
      </c>
      <c r="C978" s="56" t="str">
        <f>IF($A978="","",[2]weekly_demand!H979)</f>
        <v/>
      </c>
      <c r="D978" s="57" t="str">
        <f>IF($A978="","",IF(SUMIFS([2]Fixture_Capacity_Input!$C:$C,[2]Fixture_Capacity_Input!$A:$A,$B978,[2]Fixture_Capacity_Input!$B:$B,$C978)&gt;0,SUMIFS([2]Fixture_Capacity_Input!$C:$C,[2]Fixture_Capacity_Input!$A:$A,$B978,[2]Fixture_Capacity_Input!$B:$B,$C978),[2]weekly_demand!G979))</f>
        <v/>
      </c>
      <c r="E978" s="58" t="str">
        <f>IF($A978="","",[2]weekly_demand!I979)</f>
        <v/>
      </c>
      <c r="F978" s="57" t="str">
        <f t="shared" si="142"/>
        <v/>
      </c>
      <c r="G978" s="57" t="str">
        <f t="shared" si="143"/>
        <v/>
      </c>
      <c r="H978" s="57" t="str">
        <f t="shared" si="141"/>
        <v/>
      </c>
      <c r="I978" s="58" t="str">
        <f t="shared" si="146"/>
        <v/>
      </c>
      <c r="J978" s="58" t="str">
        <f t="shared" si="144"/>
        <v/>
      </c>
      <c r="K978" s="58" t="str">
        <f t="shared" si="147"/>
        <v/>
      </c>
      <c r="L978" s="58" t="str">
        <f t="shared" si="148"/>
        <v/>
      </c>
      <c r="M978" s="58" t="str">
        <f t="shared" si="149"/>
        <v/>
      </c>
      <c r="N978" s="59" t="str">
        <f t="shared" si="145"/>
        <v/>
      </c>
      <c r="O978" s="60"/>
      <c r="P978" s="105"/>
    </row>
    <row r="979" spans="1:16" x14ac:dyDescent="0.3">
      <c r="A979" s="54" t="str">
        <f>IF([2]weekly_demand!A980="","",[2]weekly_demand!A980)</f>
        <v/>
      </c>
      <c r="B979" s="55" t="str">
        <f>IF($A979="","",[2]weekly_demand!F980)</f>
        <v/>
      </c>
      <c r="C979" s="56" t="str">
        <f>IF($A979="","",[2]weekly_demand!H980)</f>
        <v/>
      </c>
      <c r="D979" s="57" t="str">
        <f>IF($A979="","",IF(SUMIFS([2]Fixture_Capacity_Input!$C:$C,[2]Fixture_Capacity_Input!$A:$A,$B979,[2]Fixture_Capacity_Input!$B:$B,$C979)&gt;0,SUMIFS([2]Fixture_Capacity_Input!$C:$C,[2]Fixture_Capacity_Input!$A:$A,$B979,[2]Fixture_Capacity_Input!$B:$B,$C979),[2]weekly_demand!G980))</f>
        <v/>
      </c>
      <c r="E979" s="58" t="str">
        <f>IF($A979="","",[2]weekly_demand!I980)</f>
        <v/>
      </c>
      <c r="F979" s="57" t="str">
        <f t="shared" si="142"/>
        <v/>
      </c>
      <c r="G979" s="57" t="str">
        <f t="shared" si="143"/>
        <v/>
      </c>
      <c r="H979" s="57" t="str">
        <f t="shared" ref="H979:H999" si="150">IF($A979="","",IF($A979&lt;&gt;$A980,0,MAX(0,H980+E980-D980)))</f>
        <v/>
      </c>
      <c r="I979" s="58" t="str">
        <f t="shared" si="146"/>
        <v/>
      </c>
      <c r="J979" s="58" t="str">
        <f t="shared" si="144"/>
        <v/>
      </c>
      <c r="K979" s="58" t="str">
        <f t="shared" si="147"/>
        <v/>
      </c>
      <c r="L979" s="58" t="str">
        <f t="shared" si="148"/>
        <v/>
      </c>
      <c r="M979" s="58" t="str">
        <f t="shared" si="149"/>
        <v/>
      </c>
      <c r="N979" s="59" t="str">
        <f t="shared" si="145"/>
        <v/>
      </c>
      <c r="O979" s="60"/>
      <c r="P979" s="105"/>
    </row>
    <row r="980" spans="1:16" x14ac:dyDescent="0.3">
      <c r="A980" s="54" t="str">
        <f>IF([2]weekly_demand!A981="","",[2]weekly_demand!A981)</f>
        <v/>
      </c>
      <c r="B980" s="55" t="str">
        <f>IF($A980="","",[2]weekly_demand!F981)</f>
        <v/>
      </c>
      <c r="C980" s="56" t="str">
        <f>IF($A980="","",[2]weekly_demand!H981)</f>
        <v/>
      </c>
      <c r="D980" s="57" t="str">
        <f>IF($A980="","",IF(SUMIFS([2]Fixture_Capacity_Input!$C:$C,[2]Fixture_Capacity_Input!$A:$A,$B980,[2]Fixture_Capacity_Input!$B:$B,$C980)&gt;0,SUMIFS([2]Fixture_Capacity_Input!$C:$C,[2]Fixture_Capacity_Input!$A:$A,$B980,[2]Fixture_Capacity_Input!$B:$B,$C980),[2]weekly_demand!G981))</f>
        <v/>
      </c>
      <c r="E980" s="58" t="str">
        <f>IF($A980="","",[2]weekly_demand!I981)</f>
        <v/>
      </c>
      <c r="F980" s="57" t="str">
        <f t="shared" si="142"/>
        <v/>
      </c>
      <c r="G980" s="57" t="str">
        <f t="shared" si="143"/>
        <v/>
      </c>
      <c r="H980" s="57" t="str">
        <f t="shared" si="150"/>
        <v/>
      </c>
      <c r="I980" s="58" t="str">
        <f t="shared" si="146"/>
        <v/>
      </c>
      <c r="J980" s="58" t="str">
        <f t="shared" si="144"/>
        <v/>
      </c>
      <c r="K980" s="58" t="str">
        <f t="shared" si="147"/>
        <v/>
      </c>
      <c r="L980" s="58" t="str">
        <f t="shared" si="148"/>
        <v/>
      </c>
      <c r="M980" s="58" t="str">
        <f t="shared" si="149"/>
        <v/>
      </c>
      <c r="N980" s="59" t="str">
        <f t="shared" si="145"/>
        <v/>
      </c>
      <c r="O980" s="60"/>
      <c r="P980" s="105"/>
    </row>
    <row r="981" spans="1:16" x14ac:dyDescent="0.3">
      <c r="A981" s="54" t="str">
        <f>IF([2]weekly_demand!A982="","",[2]weekly_demand!A982)</f>
        <v/>
      </c>
      <c r="B981" s="55" t="str">
        <f>IF($A981="","",[2]weekly_demand!F982)</f>
        <v/>
      </c>
      <c r="C981" s="56" t="str">
        <f>IF($A981="","",[2]weekly_demand!H982)</f>
        <v/>
      </c>
      <c r="D981" s="57" t="str">
        <f>IF($A981="","",IF(SUMIFS([2]Fixture_Capacity_Input!$C:$C,[2]Fixture_Capacity_Input!$A:$A,$B981,[2]Fixture_Capacity_Input!$B:$B,$C981)&gt;0,SUMIFS([2]Fixture_Capacity_Input!$C:$C,[2]Fixture_Capacity_Input!$A:$A,$B981,[2]Fixture_Capacity_Input!$B:$B,$C981),[2]weekly_demand!G982))</f>
        <v/>
      </c>
      <c r="E981" s="58" t="str">
        <f>IF($A981="","",[2]weekly_demand!I982)</f>
        <v/>
      </c>
      <c r="F981" s="57" t="str">
        <f t="shared" si="142"/>
        <v/>
      </c>
      <c r="G981" s="57" t="str">
        <f t="shared" si="143"/>
        <v/>
      </c>
      <c r="H981" s="57" t="str">
        <f t="shared" si="150"/>
        <v/>
      </c>
      <c r="I981" s="58" t="str">
        <f t="shared" si="146"/>
        <v/>
      </c>
      <c r="J981" s="58" t="str">
        <f t="shared" si="144"/>
        <v/>
      </c>
      <c r="K981" s="58" t="str">
        <f t="shared" si="147"/>
        <v/>
      </c>
      <c r="L981" s="58" t="str">
        <f t="shared" si="148"/>
        <v/>
      </c>
      <c r="M981" s="58" t="str">
        <f t="shared" si="149"/>
        <v/>
      </c>
      <c r="N981" s="59" t="str">
        <f t="shared" si="145"/>
        <v/>
      </c>
      <c r="O981" s="60"/>
      <c r="P981" s="105"/>
    </row>
    <row r="982" spans="1:16" x14ac:dyDescent="0.3">
      <c r="A982" s="54" t="str">
        <f>IF([2]weekly_demand!A983="","",[2]weekly_demand!A983)</f>
        <v/>
      </c>
      <c r="B982" s="55" t="str">
        <f>IF($A982="","",[2]weekly_demand!F983)</f>
        <v/>
      </c>
      <c r="C982" s="56" t="str">
        <f>IF($A982="","",[2]weekly_demand!H983)</f>
        <v/>
      </c>
      <c r="D982" s="57" t="str">
        <f>IF($A982="","",IF(SUMIFS([2]Fixture_Capacity_Input!$C:$C,[2]Fixture_Capacity_Input!$A:$A,$B982,[2]Fixture_Capacity_Input!$B:$B,$C982)&gt;0,SUMIFS([2]Fixture_Capacity_Input!$C:$C,[2]Fixture_Capacity_Input!$A:$A,$B982,[2]Fixture_Capacity_Input!$B:$B,$C982),[2]weekly_demand!G983))</f>
        <v/>
      </c>
      <c r="E982" s="58" t="str">
        <f>IF($A982="","",[2]weekly_demand!I983)</f>
        <v/>
      </c>
      <c r="F982" s="57" t="str">
        <f t="shared" si="142"/>
        <v/>
      </c>
      <c r="G982" s="57" t="str">
        <f t="shared" si="143"/>
        <v/>
      </c>
      <c r="H982" s="57" t="str">
        <f t="shared" si="150"/>
        <v/>
      </c>
      <c r="I982" s="58" t="str">
        <f t="shared" si="146"/>
        <v/>
      </c>
      <c r="J982" s="58" t="str">
        <f t="shared" si="144"/>
        <v/>
      </c>
      <c r="K982" s="58" t="str">
        <f t="shared" si="147"/>
        <v/>
      </c>
      <c r="L982" s="58" t="str">
        <f t="shared" si="148"/>
        <v/>
      </c>
      <c r="M982" s="58" t="str">
        <f t="shared" si="149"/>
        <v/>
      </c>
      <c r="N982" s="59" t="str">
        <f t="shared" si="145"/>
        <v/>
      </c>
      <c r="O982" s="60"/>
      <c r="P982" s="105"/>
    </row>
    <row r="983" spans="1:16" x14ac:dyDescent="0.3">
      <c r="A983" s="54" t="str">
        <f>IF([2]weekly_demand!A984="","",[2]weekly_demand!A984)</f>
        <v/>
      </c>
      <c r="B983" s="55" t="str">
        <f>IF($A983="","",[2]weekly_demand!F984)</f>
        <v/>
      </c>
      <c r="C983" s="56" t="str">
        <f>IF($A983="","",[2]weekly_demand!H984)</f>
        <v/>
      </c>
      <c r="D983" s="57" t="str">
        <f>IF($A983="","",IF(SUMIFS([2]Fixture_Capacity_Input!$C:$C,[2]Fixture_Capacity_Input!$A:$A,$B983,[2]Fixture_Capacity_Input!$B:$B,$C983)&gt;0,SUMIFS([2]Fixture_Capacity_Input!$C:$C,[2]Fixture_Capacity_Input!$A:$A,$B983,[2]Fixture_Capacity_Input!$B:$B,$C983),[2]weekly_demand!G984))</f>
        <v/>
      </c>
      <c r="E983" s="58" t="str">
        <f>IF($A983="","",[2]weekly_demand!I984)</f>
        <v/>
      </c>
      <c r="F983" s="57" t="str">
        <f t="shared" si="142"/>
        <v/>
      </c>
      <c r="G983" s="57" t="str">
        <f t="shared" si="143"/>
        <v/>
      </c>
      <c r="H983" s="57" t="str">
        <f t="shared" si="150"/>
        <v/>
      </c>
      <c r="I983" s="58" t="str">
        <f t="shared" si="146"/>
        <v/>
      </c>
      <c r="J983" s="58" t="str">
        <f t="shared" si="144"/>
        <v/>
      </c>
      <c r="K983" s="58" t="str">
        <f t="shared" si="147"/>
        <v/>
      </c>
      <c r="L983" s="58" t="str">
        <f t="shared" si="148"/>
        <v/>
      </c>
      <c r="M983" s="58" t="str">
        <f t="shared" si="149"/>
        <v/>
      </c>
      <c r="N983" s="59" t="str">
        <f t="shared" si="145"/>
        <v/>
      </c>
      <c r="O983" s="60"/>
      <c r="P983" s="105"/>
    </row>
    <row r="984" spans="1:16" x14ac:dyDescent="0.3">
      <c r="A984" s="54" t="str">
        <f>IF([2]weekly_demand!A985="","",[2]weekly_demand!A985)</f>
        <v/>
      </c>
      <c r="B984" s="55" t="str">
        <f>IF($A984="","",[2]weekly_demand!F985)</f>
        <v/>
      </c>
      <c r="C984" s="56" t="str">
        <f>IF($A984="","",[2]weekly_demand!H985)</f>
        <v/>
      </c>
      <c r="D984" s="57" t="str">
        <f>IF($A984="","",IF(SUMIFS([2]Fixture_Capacity_Input!$C:$C,[2]Fixture_Capacity_Input!$A:$A,$B984,[2]Fixture_Capacity_Input!$B:$B,$C984)&gt;0,SUMIFS([2]Fixture_Capacity_Input!$C:$C,[2]Fixture_Capacity_Input!$A:$A,$B984,[2]Fixture_Capacity_Input!$B:$B,$C984),[2]weekly_demand!G985))</f>
        <v/>
      </c>
      <c r="E984" s="58" t="str">
        <f>IF($A984="","",[2]weekly_demand!I985)</f>
        <v/>
      </c>
      <c r="F984" s="57" t="str">
        <f t="shared" si="142"/>
        <v/>
      </c>
      <c r="G984" s="57" t="str">
        <f t="shared" si="143"/>
        <v/>
      </c>
      <c r="H984" s="57" t="str">
        <f t="shared" si="150"/>
        <v/>
      </c>
      <c r="I984" s="58" t="str">
        <f t="shared" si="146"/>
        <v/>
      </c>
      <c r="J984" s="58" t="str">
        <f t="shared" si="144"/>
        <v/>
      </c>
      <c r="K984" s="58" t="str">
        <f t="shared" si="147"/>
        <v/>
      </c>
      <c r="L984" s="58" t="str">
        <f t="shared" si="148"/>
        <v/>
      </c>
      <c r="M984" s="58" t="str">
        <f t="shared" si="149"/>
        <v/>
      </c>
      <c r="N984" s="59" t="str">
        <f t="shared" si="145"/>
        <v/>
      </c>
      <c r="O984" s="60"/>
      <c r="P984" s="105"/>
    </row>
    <row r="985" spans="1:16" x14ac:dyDescent="0.3">
      <c r="A985" s="54" t="str">
        <f>IF([2]weekly_demand!A986="","",[2]weekly_demand!A986)</f>
        <v/>
      </c>
      <c r="B985" s="55" t="str">
        <f>IF($A985="","",[2]weekly_demand!F986)</f>
        <v/>
      </c>
      <c r="C985" s="56" t="str">
        <f>IF($A985="","",[2]weekly_demand!H986)</f>
        <v/>
      </c>
      <c r="D985" s="57" t="str">
        <f>IF($A985="","",IF(SUMIFS([2]Fixture_Capacity_Input!$C:$C,[2]Fixture_Capacity_Input!$A:$A,$B985,[2]Fixture_Capacity_Input!$B:$B,$C985)&gt;0,SUMIFS([2]Fixture_Capacity_Input!$C:$C,[2]Fixture_Capacity_Input!$A:$A,$B985,[2]Fixture_Capacity_Input!$B:$B,$C985),[2]weekly_demand!G986))</f>
        <v/>
      </c>
      <c r="E985" s="58" t="str">
        <f>IF($A985="","",[2]weekly_demand!I986)</f>
        <v/>
      </c>
      <c r="F985" s="57" t="str">
        <f t="shared" si="142"/>
        <v/>
      </c>
      <c r="G985" s="57" t="str">
        <f t="shared" si="143"/>
        <v/>
      </c>
      <c r="H985" s="57" t="str">
        <f t="shared" si="150"/>
        <v/>
      </c>
      <c r="I985" s="58" t="str">
        <f t="shared" si="146"/>
        <v/>
      </c>
      <c r="J985" s="58" t="str">
        <f t="shared" si="144"/>
        <v/>
      </c>
      <c r="K985" s="58" t="str">
        <f t="shared" si="147"/>
        <v/>
      </c>
      <c r="L985" s="58" t="str">
        <f t="shared" si="148"/>
        <v/>
      </c>
      <c r="M985" s="58" t="str">
        <f t="shared" si="149"/>
        <v/>
      </c>
      <c r="N985" s="59" t="str">
        <f t="shared" si="145"/>
        <v/>
      </c>
      <c r="O985" s="60"/>
      <c r="P985" s="105"/>
    </row>
    <row r="986" spans="1:16" x14ac:dyDescent="0.3">
      <c r="A986" s="54" t="str">
        <f>IF([2]weekly_demand!A987="","",[2]weekly_demand!A987)</f>
        <v/>
      </c>
      <c r="B986" s="55" t="str">
        <f>IF($A986="","",[2]weekly_demand!F987)</f>
        <v/>
      </c>
      <c r="C986" s="56" t="str">
        <f>IF($A986="","",[2]weekly_demand!H987)</f>
        <v/>
      </c>
      <c r="D986" s="57" t="str">
        <f>IF($A986="","",IF(SUMIFS([2]Fixture_Capacity_Input!$C:$C,[2]Fixture_Capacity_Input!$A:$A,$B986,[2]Fixture_Capacity_Input!$B:$B,$C986)&gt;0,SUMIFS([2]Fixture_Capacity_Input!$C:$C,[2]Fixture_Capacity_Input!$A:$A,$B986,[2]Fixture_Capacity_Input!$B:$B,$C986),[2]weekly_demand!G987))</f>
        <v/>
      </c>
      <c r="E986" s="58" t="str">
        <f>IF($A986="","",[2]weekly_demand!I987)</f>
        <v/>
      </c>
      <c r="F986" s="57" t="str">
        <f t="shared" si="142"/>
        <v/>
      </c>
      <c r="G986" s="57" t="str">
        <f t="shared" si="143"/>
        <v/>
      </c>
      <c r="H986" s="57" t="str">
        <f t="shared" si="150"/>
        <v/>
      </c>
      <c r="I986" s="58" t="str">
        <f t="shared" si="146"/>
        <v/>
      </c>
      <c r="J986" s="58" t="str">
        <f t="shared" si="144"/>
        <v/>
      </c>
      <c r="K986" s="58" t="str">
        <f t="shared" si="147"/>
        <v/>
      </c>
      <c r="L986" s="58" t="str">
        <f t="shared" si="148"/>
        <v/>
      </c>
      <c r="M986" s="58" t="str">
        <f t="shared" si="149"/>
        <v/>
      </c>
      <c r="N986" s="59" t="str">
        <f t="shared" si="145"/>
        <v/>
      </c>
      <c r="O986" s="60"/>
      <c r="P986" s="105"/>
    </row>
    <row r="987" spans="1:16" x14ac:dyDescent="0.3">
      <c r="A987" s="54" t="str">
        <f>IF([2]weekly_demand!A988="","",[2]weekly_demand!A988)</f>
        <v/>
      </c>
      <c r="B987" s="55" t="str">
        <f>IF($A987="","",[2]weekly_demand!F988)</f>
        <v/>
      </c>
      <c r="C987" s="56" t="str">
        <f>IF($A987="","",[2]weekly_demand!H988)</f>
        <v/>
      </c>
      <c r="D987" s="57" t="str">
        <f>IF($A987="","",IF(SUMIFS([2]Fixture_Capacity_Input!$C:$C,[2]Fixture_Capacity_Input!$A:$A,$B987,[2]Fixture_Capacity_Input!$B:$B,$C987)&gt;0,SUMIFS([2]Fixture_Capacity_Input!$C:$C,[2]Fixture_Capacity_Input!$A:$A,$B987,[2]Fixture_Capacity_Input!$B:$B,$C987),[2]weekly_demand!G988))</f>
        <v/>
      </c>
      <c r="E987" s="58" t="str">
        <f>IF($A987="","",[2]weekly_demand!I988)</f>
        <v/>
      </c>
      <c r="F987" s="57" t="str">
        <f t="shared" si="142"/>
        <v/>
      </c>
      <c r="G987" s="57" t="str">
        <f t="shared" si="143"/>
        <v/>
      </c>
      <c r="H987" s="57" t="str">
        <f t="shared" si="150"/>
        <v/>
      </c>
      <c r="I987" s="58" t="str">
        <f t="shared" si="146"/>
        <v/>
      </c>
      <c r="J987" s="58" t="str">
        <f t="shared" si="144"/>
        <v/>
      </c>
      <c r="K987" s="58" t="str">
        <f t="shared" si="147"/>
        <v/>
      </c>
      <c r="L987" s="58" t="str">
        <f t="shared" si="148"/>
        <v/>
      </c>
      <c r="M987" s="58" t="str">
        <f t="shared" si="149"/>
        <v/>
      </c>
      <c r="N987" s="59" t="str">
        <f t="shared" si="145"/>
        <v/>
      </c>
      <c r="O987" s="60"/>
      <c r="P987" s="105"/>
    </row>
    <row r="988" spans="1:16" x14ac:dyDescent="0.3">
      <c r="A988" s="54" t="str">
        <f>IF([2]weekly_demand!A989="","",[2]weekly_demand!A989)</f>
        <v/>
      </c>
      <c r="B988" s="55" t="str">
        <f>IF($A988="","",[2]weekly_demand!F989)</f>
        <v/>
      </c>
      <c r="C988" s="56" t="str">
        <f>IF($A988="","",[2]weekly_demand!H989)</f>
        <v/>
      </c>
      <c r="D988" s="57" t="str">
        <f>IF($A988="","",IF(SUMIFS([2]Fixture_Capacity_Input!$C:$C,[2]Fixture_Capacity_Input!$A:$A,$B988,[2]Fixture_Capacity_Input!$B:$B,$C988)&gt;0,SUMIFS([2]Fixture_Capacity_Input!$C:$C,[2]Fixture_Capacity_Input!$A:$A,$B988,[2]Fixture_Capacity_Input!$B:$B,$C988),[2]weekly_demand!G989))</f>
        <v/>
      </c>
      <c r="E988" s="58" t="str">
        <f>IF($A988="","",[2]weekly_demand!I989)</f>
        <v/>
      </c>
      <c r="F988" s="57" t="str">
        <f t="shared" si="142"/>
        <v/>
      </c>
      <c r="G988" s="57" t="str">
        <f t="shared" si="143"/>
        <v/>
      </c>
      <c r="H988" s="57" t="str">
        <f t="shared" si="150"/>
        <v/>
      </c>
      <c r="I988" s="58" t="str">
        <f t="shared" si="146"/>
        <v/>
      </c>
      <c r="J988" s="58" t="str">
        <f t="shared" si="144"/>
        <v/>
      </c>
      <c r="K988" s="58" t="str">
        <f t="shared" si="147"/>
        <v/>
      </c>
      <c r="L988" s="58" t="str">
        <f t="shared" si="148"/>
        <v/>
      </c>
      <c r="M988" s="58" t="str">
        <f t="shared" si="149"/>
        <v/>
      </c>
      <c r="N988" s="59" t="str">
        <f t="shared" si="145"/>
        <v/>
      </c>
      <c r="O988" s="60"/>
      <c r="P988" s="105"/>
    </row>
    <row r="989" spans="1:16" x14ac:dyDescent="0.3">
      <c r="A989" s="54" t="str">
        <f>IF([2]weekly_demand!A990="","",[2]weekly_demand!A990)</f>
        <v/>
      </c>
      <c r="B989" s="55" t="str">
        <f>IF($A989="","",[2]weekly_demand!F990)</f>
        <v/>
      </c>
      <c r="C989" s="56" t="str">
        <f>IF($A989="","",[2]weekly_demand!H990)</f>
        <v/>
      </c>
      <c r="D989" s="57" t="str">
        <f>IF($A989="","",IF(SUMIFS([2]Fixture_Capacity_Input!$C:$C,[2]Fixture_Capacity_Input!$A:$A,$B989,[2]Fixture_Capacity_Input!$B:$B,$C989)&gt;0,SUMIFS([2]Fixture_Capacity_Input!$C:$C,[2]Fixture_Capacity_Input!$A:$A,$B989,[2]Fixture_Capacity_Input!$B:$B,$C989),[2]weekly_demand!G990))</f>
        <v/>
      </c>
      <c r="E989" s="58" t="str">
        <f>IF($A989="","",[2]weekly_demand!I990)</f>
        <v/>
      </c>
      <c r="F989" s="57" t="str">
        <f t="shared" si="142"/>
        <v/>
      </c>
      <c r="G989" s="57" t="str">
        <f t="shared" si="143"/>
        <v/>
      </c>
      <c r="H989" s="57" t="str">
        <f t="shared" si="150"/>
        <v/>
      </c>
      <c r="I989" s="58" t="str">
        <f t="shared" si="146"/>
        <v/>
      </c>
      <c r="J989" s="58" t="str">
        <f t="shared" si="144"/>
        <v/>
      </c>
      <c r="K989" s="58" t="str">
        <f t="shared" si="147"/>
        <v/>
      </c>
      <c r="L989" s="58" t="str">
        <f t="shared" si="148"/>
        <v/>
      </c>
      <c r="M989" s="58" t="str">
        <f t="shared" si="149"/>
        <v/>
      </c>
      <c r="N989" s="59" t="str">
        <f t="shared" si="145"/>
        <v/>
      </c>
      <c r="O989" s="60"/>
      <c r="P989" s="105"/>
    </row>
    <row r="990" spans="1:16" x14ac:dyDescent="0.3">
      <c r="A990" s="54" t="str">
        <f>IF([2]weekly_demand!A991="","",[2]weekly_demand!A991)</f>
        <v/>
      </c>
      <c r="B990" s="55" t="str">
        <f>IF($A990="","",[2]weekly_demand!F991)</f>
        <v/>
      </c>
      <c r="C990" s="56" t="str">
        <f>IF($A990="","",[2]weekly_demand!H991)</f>
        <v/>
      </c>
      <c r="D990" s="57" t="str">
        <f>IF($A990="","",IF(SUMIFS([2]Fixture_Capacity_Input!$C:$C,[2]Fixture_Capacity_Input!$A:$A,$B990,[2]Fixture_Capacity_Input!$B:$B,$C990)&gt;0,SUMIFS([2]Fixture_Capacity_Input!$C:$C,[2]Fixture_Capacity_Input!$A:$A,$B990,[2]Fixture_Capacity_Input!$B:$B,$C990),[2]weekly_demand!G991))</f>
        <v/>
      </c>
      <c r="E990" s="58" t="str">
        <f>IF($A990="","",[2]weekly_demand!I991)</f>
        <v/>
      </c>
      <c r="F990" s="57" t="str">
        <f t="shared" si="142"/>
        <v/>
      </c>
      <c r="G990" s="57" t="str">
        <f t="shared" si="143"/>
        <v/>
      </c>
      <c r="H990" s="57" t="str">
        <f t="shared" si="150"/>
        <v/>
      </c>
      <c r="I990" s="58" t="str">
        <f t="shared" si="146"/>
        <v/>
      </c>
      <c r="J990" s="58" t="str">
        <f t="shared" si="144"/>
        <v/>
      </c>
      <c r="K990" s="58" t="str">
        <f t="shared" si="147"/>
        <v/>
      </c>
      <c r="L990" s="58" t="str">
        <f t="shared" si="148"/>
        <v/>
      </c>
      <c r="M990" s="58" t="str">
        <f t="shared" si="149"/>
        <v/>
      </c>
      <c r="N990" s="59" t="str">
        <f t="shared" si="145"/>
        <v/>
      </c>
      <c r="O990" s="60"/>
      <c r="P990" s="105"/>
    </row>
    <row r="991" spans="1:16" x14ac:dyDescent="0.3">
      <c r="A991" s="54" t="str">
        <f>IF([2]weekly_demand!A992="","",[2]weekly_demand!A992)</f>
        <v/>
      </c>
      <c r="B991" s="55" t="str">
        <f>IF($A991="","",[2]weekly_demand!F992)</f>
        <v/>
      </c>
      <c r="C991" s="56" t="str">
        <f>IF($A991="","",[2]weekly_demand!H992)</f>
        <v/>
      </c>
      <c r="D991" s="57" t="str">
        <f>IF($A991="","",IF(SUMIFS([2]Fixture_Capacity_Input!$C:$C,[2]Fixture_Capacity_Input!$A:$A,$B991,[2]Fixture_Capacity_Input!$B:$B,$C991)&gt;0,SUMIFS([2]Fixture_Capacity_Input!$C:$C,[2]Fixture_Capacity_Input!$A:$A,$B991,[2]Fixture_Capacity_Input!$B:$B,$C991),[2]weekly_demand!G992))</f>
        <v/>
      </c>
      <c r="E991" s="58" t="str">
        <f>IF($A991="","",[2]weekly_demand!I992)</f>
        <v/>
      </c>
      <c r="F991" s="57" t="str">
        <f t="shared" si="142"/>
        <v/>
      </c>
      <c r="G991" s="57" t="str">
        <f t="shared" si="143"/>
        <v/>
      </c>
      <c r="H991" s="57" t="str">
        <f t="shared" si="150"/>
        <v/>
      </c>
      <c r="I991" s="58" t="str">
        <f t="shared" si="146"/>
        <v/>
      </c>
      <c r="J991" s="58" t="str">
        <f t="shared" si="144"/>
        <v/>
      </c>
      <c r="K991" s="58" t="str">
        <f t="shared" si="147"/>
        <v/>
      </c>
      <c r="L991" s="58" t="str">
        <f t="shared" si="148"/>
        <v/>
      </c>
      <c r="M991" s="58" t="str">
        <f t="shared" si="149"/>
        <v/>
      </c>
      <c r="N991" s="59" t="str">
        <f t="shared" si="145"/>
        <v/>
      </c>
      <c r="O991" s="60"/>
      <c r="P991" s="105"/>
    </row>
    <row r="992" spans="1:16" x14ac:dyDescent="0.3">
      <c r="A992" s="54" t="str">
        <f>IF([2]weekly_demand!A993="","",[2]weekly_demand!A993)</f>
        <v/>
      </c>
      <c r="B992" s="55" t="str">
        <f>IF($A992="","",[2]weekly_demand!F993)</f>
        <v/>
      </c>
      <c r="C992" s="56" t="str">
        <f>IF($A992="","",[2]weekly_demand!H993)</f>
        <v/>
      </c>
      <c r="D992" s="57" t="str">
        <f>IF($A992="","",IF(SUMIFS([2]Fixture_Capacity_Input!$C:$C,[2]Fixture_Capacity_Input!$A:$A,$B992,[2]Fixture_Capacity_Input!$B:$B,$C992)&gt;0,SUMIFS([2]Fixture_Capacity_Input!$C:$C,[2]Fixture_Capacity_Input!$A:$A,$B992,[2]Fixture_Capacity_Input!$B:$B,$C992),[2]weekly_demand!G993))</f>
        <v/>
      </c>
      <c r="E992" s="58" t="str">
        <f>IF($A992="","",[2]weekly_demand!I993)</f>
        <v/>
      </c>
      <c r="F992" s="57" t="str">
        <f t="shared" si="142"/>
        <v/>
      </c>
      <c r="G992" s="57" t="str">
        <f t="shared" si="143"/>
        <v/>
      </c>
      <c r="H992" s="57" t="str">
        <f t="shared" si="150"/>
        <v/>
      </c>
      <c r="I992" s="58" t="str">
        <f t="shared" si="146"/>
        <v/>
      </c>
      <c r="J992" s="58" t="str">
        <f t="shared" si="144"/>
        <v/>
      </c>
      <c r="K992" s="58" t="str">
        <f t="shared" si="147"/>
        <v/>
      </c>
      <c r="L992" s="58" t="str">
        <f t="shared" si="148"/>
        <v/>
      </c>
      <c r="M992" s="58" t="str">
        <f t="shared" si="149"/>
        <v/>
      </c>
      <c r="N992" s="59" t="str">
        <f t="shared" si="145"/>
        <v/>
      </c>
      <c r="O992" s="60"/>
      <c r="P992" s="105"/>
    </row>
    <row r="993" spans="1:16" x14ac:dyDescent="0.3">
      <c r="A993" s="54" t="str">
        <f>IF([2]weekly_demand!A994="","",[2]weekly_demand!A994)</f>
        <v/>
      </c>
      <c r="B993" s="55" t="str">
        <f>IF($A993="","",[2]weekly_demand!F994)</f>
        <v/>
      </c>
      <c r="C993" s="56" t="str">
        <f>IF($A993="","",[2]weekly_demand!H994)</f>
        <v/>
      </c>
      <c r="D993" s="57" t="str">
        <f>IF($A993="","",IF(SUMIFS([2]Fixture_Capacity_Input!$C:$C,[2]Fixture_Capacity_Input!$A:$A,$B993,[2]Fixture_Capacity_Input!$B:$B,$C993)&gt;0,SUMIFS([2]Fixture_Capacity_Input!$C:$C,[2]Fixture_Capacity_Input!$A:$A,$B993,[2]Fixture_Capacity_Input!$B:$B,$C993),[2]weekly_demand!G994))</f>
        <v/>
      </c>
      <c r="E993" s="58" t="str">
        <f>IF($A993="","",[2]weekly_demand!I994)</f>
        <v/>
      </c>
      <c r="F993" s="57" t="str">
        <f t="shared" si="142"/>
        <v/>
      </c>
      <c r="G993" s="57" t="str">
        <f t="shared" si="143"/>
        <v/>
      </c>
      <c r="H993" s="57" t="str">
        <f t="shared" si="150"/>
        <v/>
      </c>
      <c r="I993" s="58" t="str">
        <f t="shared" si="146"/>
        <v/>
      </c>
      <c r="J993" s="58" t="str">
        <f t="shared" si="144"/>
        <v/>
      </c>
      <c r="K993" s="58" t="str">
        <f t="shared" si="147"/>
        <v/>
      </c>
      <c r="L993" s="58" t="str">
        <f t="shared" si="148"/>
        <v/>
      </c>
      <c r="M993" s="58" t="str">
        <f t="shared" si="149"/>
        <v/>
      </c>
      <c r="N993" s="59" t="str">
        <f t="shared" si="145"/>
        <v/>
      </c>
      <c r="O993" s="60"/>
      <c r="P993" s="105"/>
    </row>
    <row r="994" spans="1:16" x14ac:dyDescent="0.3">
      <c r="A994" s="54" t="str">
        <f>IF([2]weekly_demand!A995="","",[2]weekly_demand!A995)</f>
        <v/>
      </c>
      <c r="B994" s="55" t="str">
        <f>IF($A994="","",[2]weekly_demand!F995)</f>
        <v/>
      </c>
      <c r="C994" s="56" t="str">
        <f>IF($A994="","",[2]weekly_demand!H995)</f>
        <v/>
      </c>
      <c r="D994" s="57" t="str">
        <f>IF($A994="","",IF(SUMIFS([2]Fixture_Capacity_Input!$C:$C,[2]Fixture_Capacity_Input!$A:$A,$B994,[2]Fixture_Capacity_Input!$B:$B,$C994)&gt;0,SUMIFS([2]Fixture_Capacity_Input!$C:$C,[2]Fixture_Capacity_Input!$A:$A,$B994,[2]Fixture_Capacity_Input!$B:$B,$C994),[2]weekly_demand!G995))</f>
        <v/>
      </c>
      <c r="E994" s="58" t="str">
        <f>IF($A994="","",[2]weekly_demand!I995)</f>
        <v/>
      </c>
      <c r="F994" s="57" t="str">
        <f t="shared" si="142"/>
        <v/>
      </c>
      <c r="G994" s="57" t="str">
        <f t="shared" si="143"/>
        <v/>
      </c>
      <c r="H994" s="57" t="str">
        <f t="shared" si="150"/>
        <v/>
      </c>
      <c r="I994" s="58" t="str">
        <f t="shared" si="146"/>
        <v/>
      </c>
      <c r="J994" s="58" t="str">
        <f t="shared" si="144"/>
        <v/>
      </c>
      <c r="K994" s="58" t="str">
        <f t="shared" si="147"/>
        <v/>
      </c>
      <c r="L994" s="58" t="str">
        <f t="shared" si="148"/>
        <v/>
      </c>
      <c r="M994" s="58" t="str">
        <f t="shared" si="149"/>
        <v/>
      </c>
      <c r="N994" s="59" t="str">
        <f t="shared" si="145"/>
        <v/>
      </c>
      <c r="O994" s="60"/>
      <c r="P994" s="105"/>
    </row>
    <row r="995" spans="1:16" x14ac:dyDescent="0.3">
      <c r="A995" s="54" t="str">
        <f>IF([2]weekly_demand!A996="","",[2]weekly_demand!A996)</f>
        <v/>
      </c>
      <c r="B995" s="55" t="str">
        <f>IF($A995="","",[2]weekly_demand!F996)</f>
        <v/>
      </c>
      <c r="C995" s="56" t="str">
        <f>IF($A995="","",[2]weekly_demand!H996)</f>
        <v/>
      </c>
      <c r="D995" s="57" t="str">
        <f>IF($A995="","",IF(SUMIFS([2]Fixture_Capacity_Input!$C:$C,[2]Fixture_Capacity_Input!$A:$A,$B995,[2]Fixture_Capacity_Input!$B:$B,$C995)&gt;0,SUMIFS([2]Fixture_Capacity_Input!$C:$C,[2]Fixture_Capacity_Input!$A:$A,$B995,[2]Fixture_Capacity_Input!$B:$B,$C995),[2]weekly_demand!G996))</f>
        <v/>
      </c>
      <c r="E995" s="58" t="str">
        <f>IF($A995="","",[2]weekly_demand!I996)</f>
        <v/>
      </c>
      <c r="F995" s="57" t="str">
        <f t="shared" si="142"/>
        <v/>
      </c>
      <c r="G995" s="57" t="str">
        <f t="shared" si="143"/>
        <v/>
      </c>
      <c r="H995" s="57" t="str">
        <f t="shared" si="150"/>
        <v/>
      </c>
      <c r="I995" s="58" t="str">
        <f t="shared" si="146"/>
        <v/>
      </c>
      <c r="J995" s="58" t="str">
        <f t="shared" si="144"/>
        <v/>
      </c>
      <c r="K995" s="58" t="str">
        <f t="shared" si="147"/>
        <v/>
      </c>
      <c r="L995" s="58" t="str">
        <f t="shared" si="148"/>
        <v/>
      </c>
      <c r="M995" s="58" t="str">
        <f t="shared" si="149"/>
        <v/>
      </c>
      <c r="N995" s="59" t="str">
        <f t="shared" si="145"/>
        <v/>
      </c>
      <c r="O995" s="60"/>
      <c r="P995" s="105"/>
    </row>
    <row r="996" spans="1:16" x14ac:dyDescent="0.3">
      <c r="A996" s="54" t="str">
        <f>IF([2]weekly_demand!A997="","",[2]weekly_demand!A997)</f>
        <v/>
      </c>
      <c r="B996" s="55" t="str">
        <f>IF($A996="","",[2]weekly_demand!F997)</f>
        <v/>
      </c>
      <c r="C996" s="56" t="str">
        <f>IF($A996="","",[2]weekly_demand!H997)</f>
        <v/>
      </c>
      <c r="D996" s="57" t="str">
        <f>IF($A996="","",IF(SUMIFS([2]Fixture_Capacity_Input!$C:$C,[2]Fixture_Capacity_Input!$A:$A,$B996,[2]Fixture_Capacity_Input!$B:$B,$C996)&gt;0,SUMIFS([2]Fixture_Capacity_Input!$C:$C,[2]Fixture_Capacity_Input!$A:$A,$B996,[2]Fixture_Capacity_Input!$B:$B,$C996),[2]weekly_demand!G997))</f>
        <v/>
      </c>
      <c r="E996" s="58" t="str">
        <f>IF($A996="","",[2]weekly_demand!I997)</f>
        <v/>
      </c>
      <c r="F996" s="57" t="str">
        <f t="shared" si="142"/>
        <v/>
      </c>
      <c r="G996" s="57" t="str">
        <f t="shared" si="143"/>
        <v/>
      </c>
      <c r="H996" s="57" t="str">
        <f t="shared" si="150"/>
        <v/>
      </c>
      <c r="I996" s="58" t="str">
        <f t="shared" si="146"/>
        <v/>
      </c>
      <c r="J996" s="58" t="str">
        <f t="shared" si="144"/>
        <v/>
      </c>
      <c r="K996" s="58" t="str">
        <f t="shared" si="147"/>
        <v/>
      </c>
      <c r="L996" s="58" t="str">
        <f t="shared" si="148"/>
        <v/>
      </c>
      <c r="M996" s="58" t="str">
        <f t="shared" si="149"/>
        <v/>
      </c>
      <c r="N996" s="59" t="str">
        <f t="shared" si="145"/>
        <v/>
      </c>
      <c r="O996" s="60"/>
      <c r="P996" s="105"/>
    </row>
    <row r="997" spans="1:16" x14ac:dyDescent="0.3">
      <c r="A997" s="54" t="str">
        <f>IF([2]weekly_demand!A998="","",[2]weekly_demand!A998)</f>
        <v/>
      </c>
      <c r="B997" s="55" t="str">
        <f>IF($A997="","",[2]weekly_demand!F998)</f>
        <v/>
      </c>
      <c r="C997" s="56" t="str">
        <f>IF($A997="","",[2]weekly_demand!H998)</f>
        <v/>
      </c>
      <c r="D997" s="57" t="str">
        <f>IF($A997="","",IF(SUMIFS([2]Fixture_Capacity_Input!$C:$C,[2]Fixture_Capacity_Input!$A:$A,$B997,[2]Fixture_Capacity_Input!$B:$B,$C997)&gt;0,SUMIFS([2]Fixture_Capacity_Input!$C:$C,[2]Fixture_Capacity_Input!$A:$A,$B997,[2]Fixture_Capacity_Input!$B:$B,$C997),[2]weekly_demand!G998))</f>
        <v/>
      </c>
      <c r="E997" s="58" t="str">
        <f>IF($A997="","",[2]weekly_demand!I998)</f>
        <v/>
      </c>
      <c r="F997" s="57" t="str">
        <f t="shared" si="142"/>
        <v/>
      </c>
      <c r="G997" s="57" t="str">
        <f t="shared" si="143"/>
        <v/>
      </c>
      <c r="H997" s="57" t="str">
        <f t="shared" si="150"/>
        <v/>
      </c>
      <c r="I997" s="58" t="str">
        <f t="shared" si="146"/>
        <v/>
      </c>
      <c r="J997" s="58" t="str">
        <f t="shared" si="144"/>
        <v/>
      </c>
      <c r="K997" s="58" t="str">
        <f t="shared" si="147"/>
        <v/>
      </c>
      <c r="L997" s="58" t="str">
        <f t="shared" si="148"/>
        <v/>
      </c>
      <c r="M997" s="58" t="str">
        <f t="shared" si="149"/>
        <v/>
      </c>
      <c r="N997" s="59" t="str">
        <f t="shared" si="145"/>
        <v/>
      </c>
      <c r="O997" s="60"/>
      <c r="P997" s="105"/>
    </row>
    <row r="998" spans="1:16" x14ac:dyDescent="0.3">
      <c r="A998" s="54" t="str">
        <f>IF([2]weekly_demand!A999="","",[2]weekly_demand!A999)</f>
        <v/>
      </c>
      <c r="B998" s="55" t="str">
        <f>IF($A998="","",[2]weekly_demand!F999)</f>
        <v/>
      </c>
      <c r="C998" s="56" t="str">
        <f>IF($A998="","",[2]weekly_demand!H999)</f>
        <v/>
      </c>
      <c r="D998" s="57" t="str">
        <f>IF($A998="","",IF(SUMIFS([2]Fixture_Capacity_Input!$C:$C,[2]Fixture_Capacity_Input!$A:$A,$B998,[2]Fixture_Capacity_Input!$B:$B,$C998)&gt;0,SUMIFS([2]Fixture_Capacity_Input!$C:$C,[2]Fixture_Capacity_Input!$A:$A,$B998,[2]Fixture_Capacity_Input!$B:$B,$C998),[2]weekly_demand!G999))</f>
        <v/>
      </c>
      <c r="E998" s="58" t="str">
        <f>IF($A998="","",[2]weekly_demand!I999)</f>
        <v/>
      </c>
      <c r="F998" s="57" t="str">
        <f t="shared" si="142"/>
        <v/>
      </c>
      <c r="G998" s="57" t="str">
        <f t="shared" si="143"/>
        <v/>
      </c>
      <c r="H998" s="57" t="str">
        <f t="shared" si="150"/>
        <v/>
      </c>
      <c r="I998" s="58" t="str">
        <f t="shared" si="146"/>
        <v/>
      </c>
      <c r="J998" s="58" t="str">
        <f t="shared" si="144"/>
        <v/>
      </c>
      <c r="K998" s="58" t="str">
        <f t="shared" si="147"/>
        <v/>
      </c>
      <c r="L998" s="58" t="str">
        <f t="shared" si="148"/>
        <v/>
      </c>
      <c r="M998" s="58" t="str">
        <f t="shared" si="149"/>
        <v/>
      </c>
      <c r="N998" s="59" t="str">
        <f t="shared" si="145"/>
        <v/>
      </c>
      <c r="O998" s="60"/>
      <c r="P998" s="105"/>
    </row>
    <row r="999" spans="1:16" x14ac:dyDescent="0.3">
      <c r="A999" s="54" t="str">
        <f>IF([2]weekly_demand!A1000="","",[2]weekly_demand!A1000)</f>
        <v/>
      </c>
      <c r="B999" s="55" t="str">
        <f>IF($A999="","",[2]weekly_demand!F1000)</f>
        <v/>
      </c>
      <c r="C999" s="56" t="str">
        <f>IF($A999="","",[2]weekly_demand!H1000)</f>
        <v/>
      </c>
      <c r="D999" s="57" t="str">
        <f>IF($A999="","",IF(SUMIFS([2]Fixture_Capacity_Input!$C:$C,[2]Fixture_Capacity_Input!$A:$A,$B999,[2]Fixture_Capacity_Input!$B:$B,$C999)&gt;0,SUMIFS([2]Fixture_Capacity_Input!$C:$C,[2]Fixture_Capacity_Input!$A:$A,$B999,[2]Fixture_Capacity_Input!$B:$B,$C999),[2]weekly_demand!G1000))</f>
        <v/>
      </c>
      <c r="E999" s="58" t="str">
        <f>IF($A999="","",[2]weekly_demand!I1000)</f>
        <v/>
      </c>
      <c r="F999" s="57" t="str">
        <f t="shared" si="142"/>
        <v/>
      </c>
      <c r="G999" s="57" t="str">
        <f t="shared" si="143"/>
        <v/>
      </c>
      <c r="H999" s="57" t="str">
        <f t="shared" si="150"/>
        <v/>
      </c>
      <c r="I999" s="57" t="str">
        <f t="shared" si="146"/>
        <v/>
      </c>
      <c r="J999" s="58" t="str">
        <f t="shared" si="144"/>
        <v/>
      </c>
      <c r="K999" s="58" t="str">
        <f t="shared" si="147"/>
        <v/>
      </c>
      <c r="L999" s="57" t="str">
        <f t="shared" si="148"/>
        <v/>
      </c>
      <c r="M999" s="57" t="str">
        <f t="shared" si="149"/>
        <v/>
      </c>
      <c r="N999" s="59" t="str">
        <f t="shared" si="145"/>
        <v/>
      </c>
      <c r="O999" s="60"/>
      <c r="P999" s="105"/>
    </row>
    <row r="1000" spans="1:16" x14ac:dyDescent="0.3">
      <c r="A1000" s="54" t="str">
        <f>IF([2]weekly_demand!A1001="","",[2]weekly_demand!A1001)</f>
        <v/>
      </c>
      <c r="B1000" s="55" t="str">
        <f>IF($A1000="","",[2]weekly_demand!F1001)</f>
        <v/>
      </c>
      <c r="C1000" s="56" t="str">
        <f>IF($A1000="","",[2]weekly_demand!H1001)</f>
        <v/>
      </c>
      <c r="D1000" s="57" t="str">
        <f>IF($A1000="","",IF(SUMIFS([2]Fixture_Capacity_Input!$C:$C,[2]Fixture_Capacity_Input!$A:$A,$B1000,[2]Fixture_Capacity_Input!$B:$B,$C1000)&gt;0,SUMIFS([2]Fixture_Capacity_Input!$C:$C,[2]Fixture_Capacity_Input!$A:$A,$B1000,[2]Fixture_Capacity_Input!$B:$B,$C1000),[2]weekly_demand!G1001))</f>
        <v/>
      </c>
      <c r="E1000" s="58" t="str">
        <f>IF($A1000="","",[2]weekly_demand!I1001)</f>
        <v/>
      </c>
      <c r="F1000" s="57" t="str">
        <f t="shared" si="142"/>
        <v/>
      </c>
      <c r="G1000" s="57" t="str">
        <f t="shared" si="143"/>
        <v/>
      </c>
      <c r="H1000" s="57" t="str">
        <f>IF($A1000="","",IF($A1000&lt;&gt;#REF!,0,MAX(0,#REF!+#REF!-#REF!)))</f>
        <v/>
      </c>
      <c r="I1000" s="57" t="str">
        <f t="shared" si="146"/>
        <v/>
      </c>
      <c r="J1000" s="58" t="str">
        <f t="shared" si="144"/>
        <v/>
      </c>
      <c r="K1000" s="58" t="str">
        <f t="shared" si="147"/>
        <v/>
      </c>
      <c r="L1000" s="57" t="str">
        <f t="shared" si="148"/>
        <v/>
      </c>
      <c r="M1000" s="57" t="str">
        <f t="shared" si="149"/>
        <v/>
      </c>
      <c r="N1000" s="59" t="str">
        <f t="shared" si="145"/>
        <v/>
      </c>
      <c r="O1000" s="60"/>
      <c r="P1000" s="105"/>
    </row>
  </sheetData>
  <conditionalFormatting sqref="L2:L1000">
    <cfRule type="cellIs" dxfId="18" priority="1" operator="greaterThan">
      <formula>0</formula>
    </cfRule>
  </conditionalFormatting>
  <conditionalFormatting sqref="N2:N1000">
    <cfRule type="cellIs" dxfId="17" priority="2" operator="greaterThan">
      <formula>1</formula>
    </cfRule>
    <cfRule type="cellIs" dxfId="16" priority="3" operator="between">
      <formula>0</formula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54725-7DA5-4365-84F0-4C6BAD46078A}">
  <dimension ref="A1:AD200"/>
  <sheetViews>
    <sheetView zoomScale="64" workbookViewId="0">
      <selection activeCell="Q20" sqref="Q20"/>
    </sheetView>
  </sheetViews>
  <sheetFormatPr defaultRowHeight="14.4" x14ac:dyDescent="0.3"/>
  <cols>
    <col min="1" max="1" width="13" customWidth="1"/>
    <col min="2" max="7" width="10" customWidth="1"/>
    <col min="8" max="22" width="12" customWidth="1"/>
    <col min="24" max="24" width="18" customWidth="1"/>
    <col min="25" max="30" width="10" customWidth="1"/>
  </cols>
  <sheetData>
    <row r="1" spans="1:30" ht="22.05" customHeight="1" x14ac:dyDescent="0.3">
      <c r="A1" s="35" t="s">
        <v>130</v>
      </c>
      <c r="B1" s="35" t="s">
        <v>30</v>
      </c>
      <c r="C1" s="35" t="s">
        <v>35</v>
      </c>
      <c r="D1" s="35" t="s">
        <v>38</v>
      </c>
      <c r="E1" s="35" t="s">
        <v>43</v>
      </c>
      <c r="F1" s="35" t="s">
        <v>46</v>
      </c>
      <c r="G1" s="35" t="s">
        <v>51</v>
      </c>
      <c r="H1" s="35" t="s">
        <v>65</v>
      </c>
      <c r="I1" s="35" t="s">
        <v>69</v>
      </c>
      <c r="J1" s="35" t="s">
        <v>72</v>
      </c>
      <c r="K1" s="35" t="s">
        <v>75</v>
      </c>
      <c r="L1" s="35" t="s">
        <v>78</v>
      </c>
      <c r="M1" s="35" t="s">
        <v>80</v>
      </c>
      <c r="N1" s="35" t="s">
        <v>83</v>
      </c>
      <c r="O1" s="35" t="s">
        <v>86</v>
      </c>
      <c r="P1" s="35" t="s">
        <v>89</v>
      </c>
      <c r="Q1" s="35" t="s">
        <v>92</v>
      </c>
      <c r="R1" s="35" t="s">
        <v>94</v>
      </c>
      <c r="S1" s="35" t="s">
        <v>96</v>
      </c>
      <c r="T1" s="35" t="s">
        <v>98</v>
      </c>
      <c r="U1" s="35" t="s">
        <v>100</v>
      </c>
      <c r="V1" s="35" t="s">
        <v>102</v>
      </c>
      <c r="X1" s="36" t="s">
        <v>136</v>
      </c>
      <c r="Y1" s="37" t="s">
        <v>30</v>
      </c>
      <c r="Z1" s="37" t="s">
        <v>35</v>
      </c>
      <c r="AA1" s="37" t="s">
        <v>38</v>
      </c>
      <c r="AB1" s="37" t="s">
        <v>43</v>
      </c>
      <c r="AC1" s="37" t="s">
        <v>46</v>
      </c>
      <c r="AD1" s="37" t="s">
        <v>51</v>
      </c>
    </row>
    <row r="2" spans="1:30" x14ac:dyDescent="0.3">
      <c r="A2" s="38">
        <v>46132</v>
      </c>
      <c r="B2" s="66">
        <f>IF($A2="","",SUMIFS(MPS!$J:$J,MPS!$A:$A,B$1,MPS!$C:$C,$A2))</f>
        <v>0</v>
      </c>
      <c r="C2" s="66">
        <f>IF($A2="","",SUMIFS(MPS!$J:$J,MPS!$A:$A,C$1,MPS!$C:$C,$A2))</f>
        <v>0</v>
      </c>
      <c r="D2" s="66">
        <f>IF($A2="","",SUMIFS(MPS!$J:$J,MPS!$A:$A,D$1,MPS!$C:$C,$A2))</f>
        <v>0</v>
      </c>
      <c r="E2" s="66">
        <f>IF($A2="","",SUMIFS(MPS!$J:$J,MPS!$A:$A,E$1,MPS!$C:$C,$A2))</f>
        <v>0</v>
      </c>
      <c r="F2" s="66">
        <f>IF($A2="","",SUMIFS(MPS!$J:$J,MPS!$A:$A,F$1,MPS!$C:$C,$A2))</f>
        <v>0</v>
      </c>
      <c r="G2" s="66">
        <f>IF($A2="","",SUMIFS(MPS!$J:$J,MPS!$A:$A,G$1,MPS!$C:$C,$A2))</f>
        <v>3000</v>
      </c>
      <c r="H2" s="66">
        <f t="shared" ref="H2:V2" si="0">IF($A2="","",SUMPRODUCT($B2:$G2,INDEX($Y$2:$AD$16,MATCH(H$1,$X$2:$X$16,0),0)))</f>
        <v>3000</v>
      </c>
      <c r="I2" s="66">
        <f t="shared" si="0"/>
        <v>375</v>
      </c>
      <c r="J2" s="66">
        <f t="shared" si="0"/>
        <v>3000</v>
      </c>
      <c r="K2" s="66">
        <f t="shared" si="0"/>
        <v>0</v>
      </c>
      <c r="L2" s="66">
        <f t="shared" si="0"/>
        <v>0</v>
      </c>
      <c r="M2" s="66">
        <f t="shared" si="0"/>
        <v>0</v>
      </c>
      <c r="N2" s="66">
        <f t="shared" si="0"/>
        <v>0</v>
      </c>
      <c r="O2" s="66">
        <f t="shared" si="0"/>
        <v>0</v>
      </c>
      <c r="P2" s="66">
        <f t="shared" si="0"/>
        <v>0</v>
      </c>
      <c r="Q2" s="66">
        <f t="shared" si="0"/>
        <v>0</v>
      </c>
      <c r="R2" s="66">
        <f t="shared" si="0"/>
        <v>0</v>
      </c>
      <c r="S2" s="66">
        <f t="shared" si="0"/>
        <v>0</v>
      </c>
      <c r="T2" s="66">
        <f t="shared" si="0"/>
        <v>0</v>
      </c>
      <c r="U2" s="66">
        <f t="shared" si="0"/>
        <v>15000</v>
      </c>
      <c r="V2" s="66">
        <f t="shared" si="0"/>
        <v>6000</v>
      </c>
      <c r="X2" s="40" t="s">
        <v>65</v>
      </c>
      <c r="Y2" s="41">
        <v>1</v>
      </c>
      <c r="Z2" s="41">
        <v>1</v>
      </c>
      <c r="AA2" s="41">
        <v>1</v>
      </c>
      <c r="AB2" s="41">
        <v>1</v>
      </c>
      <c r="AC2" s="41">
        <v>1</v>
      </c>
      <c r="AD2" s="41">
        <v>1</v>
      </c>
    </row>
    <row r="3" spans="1:30" x14ac:dyDescent="0.3">
      <c r="A3" s="38">
        <v>46139</v>
      </c>
      <c r="B3" s="66">
        <f>IF($A3="","",SUMIFS(MPS!$J:$J,MPS!$A:$A,B$1,MPS!$C:$C,$A3))</f>
        <v>10684</v>
      </c>
      <c r="C3" s="66">
        <f>IF($A3="","",SUMIFS(MPS!$J:$J,MPS!$A:$A,C$1,MPS!$C:$C,$A3))</f>
        <v>0</v>
      </c>
      <c r="D3" s="66">
        <f>IF($A3="","",SUMIFS(MPS!$J:$J,MPS!$A:$A,D$1,MPS!$C:$C,$A3))</f>
        <v>0</v>
      </c>
      <c r="E3" s="66">
        <f>IF($A3="","",SUMIFS(MPS!$J:$J,MPS!$A:$A,E$1,MPS!$C:$C,$A3))</f>
        <v>0</v>
      </c>
      <c r="F3" s="66">
        <f>IF($A3="","",SUMIFS(MPS!$J:$J,MPS!$A:$A,F$1,MPS!$C:$C,$A3))</f>
        <v>472</v>
      </c>
      <c r="G3" s="66">
        <f>IF($A3="","",SUMIFS(MPS!$J:$J,MPS!$A:$A,G$1,MPS!$C:$C,$A3))</f>
        <v>3000</v>
      </c>
      <c r="H3" s="39">
        <f t="shared" ref="H3:V17" si="1">IF($A3="","",SUMPRODUCT($B3:$G3,INDEX($Y$2:$AD$16,MATCH(H$1,$X$2:$X$16,0),0)))</f>
        <v>14156</v>
      </c>
      <c r="I3" s="39">
        <f t="shared" si="1"/>
        <v>3282</v>
      </c>
      <c r="J3" s="39">
        <f t="shared" si="1"/>
        <v>14156</v>
      </c>
      <c r="K3" s="39">
        <f t="shared" si="1"/>
        <v>21368</v>
      </c>
      <c r="L3" s="39">
        <f t="shared" si="1"/>
        <v>10684</v>
      </c>
      <c r="M3" s="39">
        <f t="shared" si="1"/>
        <v>0</v>
      </c>
      <c r="N3" s="39">
        <f t="shared" si="1"/>
        <v>0</v>
      </c>
      <c r="O3" s="39">
        <f t="shared" si="1"/>
        <v>0</v>
      </c>
      <c r="P3" s="39">
        <f t="shared" si="1"/>
        <v>0</v>
      </c>
      <c r="Q3" s="39">
        <f t="shared" si="1"/>
        <v>0</v>
      </c>
      <c r="R3" s="39">
        <f t="shared" si="1"/>
        <v>0</v>
      </c>
      <c r="S3" s="39">
        <f t="shared" si="1"/>
        <v>1416</v>
      </c>
      <c r="T3" s="39">
        <f t="shared" si="1"/>
        <v>1888</v>
      </c>
      <c r="U3" s="39">
        <f t="shared" si="1"/>
        <v>15000</v>
      </c>
      <c r="V3" s="39">
        <f t="shared" si="1"/>
        <v>6000</v>
      </c>
      <c r="X3" s="40" t="s">
        <v>69</v>
      </c>
      <c r="Y3" s="41">
        <v>0.25</v>
      </c>
      <c r="Z3" s="41">
        <v>0.25</v>
      </c>
      <c r="AA3" s="41">
        <v>0.5</v>
      </c>
      <c r="AB3" s="41">
        <v>0.25</v>
      </c>
      <c r="AC3" s="41">
        <v>0.5</v>
      </c>
      <c r="AD3" s="41">
        <v>0.125</v>
      </c>
    </row>
    <row r="4" spans="1:30" x14ac:dyDescent="0.3">
      <c r="A4" s="38">
        <v>46146</v>
      </c>
      <c r="B4" s="66">
        <f>IF($A4="","",SUMIFS(MPS!$J:$J,MPS!$A:$A,B$1,MPS!$C:$C,$A4))</f>
        <v>15000</v>
      </c>
      <c r="C4" s="66">
        <f>IF($A4="","",SUMIFS(MPS!$J:$J,MPS!$A:$A,C$1,MPS!$C:$C,$A4))</f>
        <v>6160</v>
      </c>
      <c r="D4" s="66">
        <f>IF($A4="","",SUMIFS(MPS!$J:$J,MPS!$A:$A,D$1,MPS!$C:$C,$A4))</f>
        <v>5000</v>
      </c>
      <c r="E4" s="66">
        <f>IF($A4="","",SUMIFS(MPS!$J:$J,MPS!$A:$A,E$1,MPS!$C:$C,$A4))</f>
        <v>5000</v>
      </c>
      <c r="F4" s="66">
        <f>IF($A4="","",SUMIFS(MPS!$J:$J,MPS!$A:$A,F$1,MPS!$C:$C,$A4))</f>
        <v>300</v>
      </c>
      <c r="G4" s="66">
        <f>IF($A4="","",SUMIFS(MPS!$J:$J,MPS!$A:$A,G$1,MPS!$C:$C,$A4))</f>
        <v>3000</v>
      </c>
      <c r="H4" s="39">
        <f t="shared" si="1"/>
        <v>34460</v>
      </c>
      <c r="I4" s="39">
        <f t="shared" si="1"/>
        <v>9565</v>
      </c>
      <c r="J4" s="39">
        <f t="shared" si="1"/>
        <v>34460</v>
      </c>
      <c r="K4" s="39">
        <f t="shared" si="1"/>
        <v>30000</v>
      </c>
      <c r="L4" s="39">
        <f t="shared" si="1"/>
        <v>15000</v>
      </c>
      <c r="M4" s="39">
        <f t="shared" si="1"/>
        <v>15400</v>
      </c>
      <c r="N4" s="39">
        <f t="shared" si="1"/>
        <v>9240</v>
      </c>
      <c r="O4" s="39">
        <f t="shared" si="1"/>
        <v>15000</v>
      </c>
      <c r="P4" s="39">
        <f t="shared" si="1"/>
        <v>2500</v>
      </c>
      <c r="Q4" s="39">
        <f t="shared" si="1"/>
        <v>10000</v>
      </c>
      <c r="R4" s="39">
        <f t="shared" si="1"/>
        <v>7500</v>
      </c>
      <c r="S4" s="39">
        <f t="shared" si="1"/>
        <v>900</v>
      </c>
      <c r="T4" s="39">
        <f t="shared" si="1"/>
        <v>1200</v>
      </c>
      <c r="U4" s="39">
        <f t="shared" si="1"/>
        <v>15000</v>
      </c>
      <c r="V4" s="39">
        <f t="shared" si="1"/>
        <v>6000</v>
      </c>
      <c r="X4" s="40" t="s">
        <v>72</v>
      </c>
      <c r="Y4" s="41">
        <v>1</v>
      </c>
      <c r="Z4" s="41">
        <v>1</v>
      </c>
      <c r="AA4" s="41">
        <v>1</v>
      </c>
      <c r="AB4" s="41">
        <v>1</v>
      </c>
      <c r="AC4" s="41">
        <v>1</v>
      </c>
      <c r="AD4" s="41">
        <v>1</v>
      </c>
    </row>
    <row r="5" spans="1:30" x14ac:dyDescent="0.3">
      <c r="A5" s="38">
        <v>46153</v>
      </c>
      <c r="B5" s="66">
        <f>IF($A5="","",SUMIFS(MPS!$J:$J,MPS!$A:$A,B$1,MPS!$C:$C,$A5))</f>
        <v>15000</v>
      </c>
      <c r="C5" s="66">
        <f>IF($A5="","",SUMIFS(MPS!$J:$J,MPS!$A:$A,C$1,MPS!$C:$C,$A5))</f>
        <v>15000</v>
      </c>
      <c r="D5" s="66">
        <f>IF($A5="","",SUMIFS(MPS!$J:$J,MPS!$A:$A,D$1,MPS!$C:$C,$A5))</f>
        <v>5000</v>
      </c>
      <c r="E5" s="66">
        <f>IF($A5="","",SUMIFS(MPS!$J:$J,MPS!$A:$A,E$1,MPS!$C:$C,$A5))</f>
        <v>5000</v>
      </c>
      <c r="F5" s="66">
        <f>IF($A5="","",SUMIFS(MPS!$J:$J,MPS!$A:$A,F$1,MPS!$C:$C,$A5))</f>
        <v>698</v>
      </c>
      <c r="G5" s="66">
        <f>IF($A5="","",SUMIFS(MPS!$J:$J,MPS!$A:$A,G$1,MPS!$C:$C,$A5))</f>
        <v>3000</v>
      </c>
      <c r="H5" s="39">
        <f t="shared" si="1"/>
        <v>43698</v>
      </c>
      <c r="I5" s="39">
        <f t="shared" si="1"/>
        <v>11974</v>
      </c>
      <c r="J5" s="39">
        <f t="shared" si="1"/>
        <v>43698</v>
      </c>
      <c r="K5" s="39">
        <f t="shared" si="1"/>
        <v>30000</v>
      </c>
      <c r="L5" s="39">
        <f t="shared" si="1"/>
        <v>15000</v>
      </c>
      <c r="M5" s="39">
        <f t="shared" si="1"/>
        <v>37500</v>
      </c>
      <c r="N5" s="39">
        <f t="shared" si="1"/>
        <v>22500</v>
      </c>
      <c r="O5" s="39">
        <f t="shared" si="1"/>
        <v>15000</v>
      </c>
      <c r="P5" s="39">
        <f t="shared" si="1"/>
        <v>2500</v>
      </c>
      <c r="Q5" s="39">
        <f t="shared" si="1"/>
        <v>10000</v>
      </c>
      <c r="R5" s="39">
        <f t="shared" si="1"/>
        <v>7500</v>
      </c>
      <c r="S5" s="39">
        <f t="shared" si="1"/>
        <v>2094</v>
      </c>
      <c r="T5" s="39">
        <f t="shared" si="1"/>
        <v>2792</v>
      </c>
      <c r="U5" s="39">
        <f t="shared" si="1"/>
        <v>15000</v>
      </c>
      <c r="V5" s="39">
        <f t="shared" si="1"/>
        <v>6000</v>
      </c>
      <c r="X5" s="40" t="s">
        <v>75</v>
      </c>
      <c r="Y5" s="41">
        <v>2</v>
      </c>
      <c r="Z5" s="41">
        <v>0</v>
      </c>
      <c r="AA5" s="41">
        <v>0</v>
      </c>
      <c r="AB5" s="41">
        <v>0</v>
      </c>
      <c r="AC5" s="41">
        <v>0</v>
      </c>
      <c r="AD5" s="41">
        <v>0</v>
      </c>
    </row>
    <row r="6" spans="1:30" x14ac:dyDescent="0.3">
      <c r="A6" s="38">
        <v>46160</v>
      </c>
      <c r="B6" s="66">
        <f>IF($A6="","",SUMIFS(MPS!$J:$J,MPS!$A:$A,B$1,MPS!$C:$C,$A6))</f>
        <v>11000</v>
      </c>
      <c r="C6" s="66">
        <f>IF($A6="","",SUMIFS(MPS!$J:$J,MPS!$A:$A,C$1,MPS!$C:$C,$A6))</f>
        <v>8865</v>
      </c>
      <c r="D6" s="66">
        <f>IF($A6="","",SUMIFS(MPS!$J:$J,MPS!$A:$A,D$1,MPS!$C:$C,$A6))</f>
        <v>5000</v>
      </c>
      <c r="E6" s="66">
        <f>IF($A6="","",SUMIFS(MPS!$J:$J,MPS!$A:$A,E$1,MPS!$C:$C,$A6))</f>
        <v>5000</v>
      </c>
      <c r="F6" s="66">
        <f>IF($A6="","",SUMIFS(MPS!$J:$J,MPS!$A:$A,F$1,MPS!$C:$C,$A6))</f>
        <v>0</v>
      </c>
      <c r="G6" s="66">
        <f>IF($A6="","",SUMIFS(MPS!$J:$J,MPS!$A:$A,G$1,MPS!$C:$C,$A6))</f>
        <v>3000</v>
      </c>
      <c r="H6" s="39">
        <f t="shared" si="1"/>
        <v>32865</v>
      </c>
      <c r="I6" s="39">
        <f t="shared" si="1"/>
        <v>9091.25</v>
      </c>
      <c r="J6" s="39">
        <f t="shared" si="1"/>
        <v>32865</v>
      </c>
      <c r="K6" s="39">
        <f t="shared" si="1"/>
        <v>22000</v>
      </c>
      <c r="L6" s="39">
        <f t="shared" si="1"/>
        <v>11000</v>
      </c>
      <c r="M6" s="39">
        <f t="shared" si="1"/>
        <v>22162.5</v>
      </c>
      <c r="N6" s="39">
        <f t="shared" si="1"/>
        <v>13297.5</v>
      </c>
      <c r="O6" s="39">
        <f t="shared" si="1"/>
        <v>15000</v>
      </c>
      <c r="P6" s="39">
        <f t="shared" si="1"/>
        <v>2500</v>
      </c>
      <c r="Q6" s="39">
        <f t="shared" si="1"/>
        <v>10000</v>
      </c>
      <c r="R6" s="39">
        <f t="shared" si="1"/>
        <v>7500</v>
      </c>
      <c r="S6" s="39">
        <f t="shared" si="1"/>
        <v>0</v>
      </c>
      <c r="T6" s="39">
        <f t="shared" si="1"/>
        <v>0</v>
      </c>
      <c r="U6" s="39">
        <f t="shared" si="1"/>
        <v>15000</v>
      </c>
      <c r="V6" s="39">
        <f t="shared" si="1"/>
        <v>6000</v>
      </c>
      <c r="X6" s="40" t="s">
        <v>78</v>
      </c>
      <c r="Y6" s="41">
        <v>1</v>
      </c>
      <c r="Z6" s="41">
        <v>0</v>
      </c>
      <c r="AA6" s="41">
        <v>0</v>
      </c>
      <c r="AB6" s="41">
        <v>0</v>
      </c>
      <c r="AC6" s="41">
        <v>0</v>
      </c>
      <c r="AD6" s="41">
        <v>0</v>
      </c>
    </row>
    <row r="7" spans="1:30" x14ac:dyDescent="0.3">
      <c r="A7" s="38">
        <v>46167</v>
      </c>
      <c r="B7" s="66">
        <f>IF($A7="","",SUMIFS(MPS!$J:$J,MPS!$A:$A,B$1,MPS!$C:$C,$A7))</f>
        <v>13000</v>
      </c>
      <c r="C7" s="66">
        <f>IF($A7="","",SUMIFS(MPS!$J:$J,MPS!$A:$A,C$1,MPS!$C:$C,$A7))</f>
        <v>2146</v>
      </c>
      <c r="D7" s="66">
        <f>IF($A7="","",SUMIFS(MPS!$J:$J,MPS!$A:$A,D$1,MPS!$C:$C,$A7))</f>
        <v>5000</v>
      </c>
      <c r="E7" s="66">
        <f>IF($A7="","",SUMIFS(MPS!$J:$J,MPS!$A:$A,E$1,MPS!$C:$C,$A7))</f>
        <v>5000</v>
      </c>
      <c r="F7" s="66">
        <f>IF($A7="","",SUMIFS(MPS!$J:$J,MPS!$A:$A,F$1,MPS!$C:$C,$A7))</f>
        <v>300</v>
      </c>
      <c r="G7" s="66">
        <f>IF($A7="","",SUMIFS(MPS!$J:$J,MPS!$A:$A,G$1,MPS!$C:$C,$A7))</f>
        <v>3000</v>
      </c>
      <c r="H7" s="39">
        <f t="shared" si="1"/>
        <v>28446</v>
      </c>
      <c r="I7" s="39">
        <f t="shared" si="1"/>
        <v>8061.5</v>
      </c>
      <c r="J7" s="39">
        <f t="shared" si="1"/>
        <v>28446</v>
      </c>
      <c r="K7" s="39">
        <f t="shared" si="1"/>
        <v>26000</v>
      </c>
      <c r="L7" s="39">
        <f t="shared" si="1"/>
        <v>13000</v>
      </c>
      <c r="M7" s="39">
        <f t="shared" si="1"/>
        <v>5365</v>
      </c>
      <c r="N7" s="39">
        <f t="shared" si="1"/>
        <v>3219</v>
      </c>
      <c r="O7" s="39">
        <f t="shared" si="1"/>
        <v>15000</v>
      </c>
      <c r="P7" s="39">
        <f t="shared" si="1"/>
        <v>2500</v>
      </c>
      <c r="Q7" s="39">
        <f t="shared" si="1"/>
        <v>10000</v>
      </c>
      <c r="R7" s="39">
        <f t="shared" si="1"/>
        <v>7500</v>
      </c>
      <c r="S7" s="39">
        <f t="shared" si="1"/>
        <v>900</v>
      </c>
      <c r="T7" s="39">
        <f t="shared" si="1"/>
        <v>1200</v>
      </c>
      <c r="U7" s="39">
        <f t="shared" si="1"/>
        <v>15000</v>
      </c>
      <c r="V7" s="39">
        <f t="shared" si="1"/>
        <v>6000</v>
      </c>
      <c r="X7" s="40" t="s">
        <v>80</v>
      </c>
      <c r="Y7" s="41">
        <v>0</v>
      </c>
      <c r="Z7" s="41">
        <v>2.5</v>
      </c>
      <c r="AA7" s="41">
        <v>0</v>
      </c>
      <c r="AB7" s="41">
        <v>0</v>
      </c>
      <c r="AC7" s="41">
        <v>0</v>
      </c>
      <c r="AD7" s="41">
        <v>0</v>
      </c>
    </row>
    <row r="8" spans="1:30" x14ac:dyDescent="0.3">
      <c r="A8" s="38">
        <v>46174</v>
      </c>
      <c r="B8" s="66">
        <f>IF($A8="","",SUMIFS(MPS!$J:$J,MPS!$A:$A,B$1,MPS!$C:$C,$A8))</f>
        <v>13773</v>
      </c>
      <c r="C8" s="66">
        <f>IF($A8="","",SUMIFS(MPS!$J:$J,MPS!$A:$A,C$1,MPS!$C:$C,$A8))</f>
        <v>7123</v>
      </c>
      <c r="D8" s="66">
        <f>IF($A8="","",SUMIFS(MPS!$J:$J,MPS!$A:$A,D$1,MPS!$C:$C,$A8))</f>
        <v>5000</v>
      </c>
      <c r="E8" s="66">
        <f>IF($A8="","",SUMIFS(MPS!$J:$J,MPS!$A:$A,E$1,MPS!$C:$C,$A8))</f>
        <v>1001</v>
      </c>
      <c r="F8" s="66">
        <f>IF($A8="","",SUMIFS(MPS!$J:$J,MPS!$A:$A,F$1,MPS!$C:$C,$A8))</f>
        <v>0</v>
      </c>
      <c r="G8" s="66">
        <f>IF($A8="","",SUMIFS(MPS!$J:$J,MPS!$A:$A,G$1,MPS!$C:$C,$A8))</f>
        <v>3000</v>
      </c>
      <c r="H8" s="39">
        <f t="shared" si="1"/>
        <v>29897</v>
      </c>
      <c r="I8" s="39">
        <f t="shared" si="1"/>
        <v>8349.25</v>
      </c>
      <c r="J8" s="39">
        <f t="shared" si="1"/>
        <v>29897</v>
      </c>
      <c r="K8" s="39">
        <f t="shared" si="1"/>
        <v>27546</v>
      </c>
      <c r="L8" s="39">
        <f t="shared" si="1"/>
        <v>13773</v>
      </c>
      <c r="M8" s="39">
        <f t="shared" si="1"/>
        <v>17807.5</v>
      </c>
      <c r="N8" s="39">
        <f t="shared" si="1"/>
        <v>10684.5</v>
      </c>
      <c r="O8" s="39">
        <f t="shared" si="1"/>
        <v>15000</v>
      </c>
      <c r="P8" s="39">
        <f t="shared" si="1"/>
        <v>2500</v>
      </c>
      <c r="Q8" s="39">
        <f t="shared" si="1"/>
        <v>2002</v>
      </c>
      <c r="R8" s="39">
        <f t="shared" si="1"/>
        <v>1501.5</v>
      </c>
      <c r="S8" s="39">
        <f t="shared" si="1"/>
        <v>0</v>
      </c>
      <c r="T8" s="39">
        <f t="shared" si="1"/>
        <v>0</v>
      </c>
      <c r="U8" s="39">
        <f t="shared" si="1"/>
        <v>15000</v>
      </c>
      <c r="V8" s="39">
        <f t="shared" si="1"/>
        <v>6000</v>
      </c>
      <c r="X8" s="40" t="s">
        <v>83</v>
      </c>
      <c r="Y8" s="41">
        <v>0</v>
      </c>
      <c r="Z8" s="41">
        <v>1.5</v>
      </c>
      <c r="AA8" s="41">
        <v>0</v>
      </c>
      <c r="AB8" s="41">
        <v>0</v>
      </c>
      <c r="AC8" s="41">
        <v>0</v>
      </c>
      <c r="AD8" s="41">
        <v>0</v>
      </c>
    </row>
    <row r="9" spans="1:30" x14ac:dyDescent="0.3">
      <c r="A9" s="38">
        <v>46181</v>
      </c>
      <c r="B9" s="66">
        <f>IF($A9="","",SUMIFS(MPS!$J:$J,MPS!$A:$A,B$1,MPS!$C:$C,$A9))</f>
        <v>7058</v>
      </c>
      <c r="C9" s="66">
        <f>IF($A9="","",SUMIFS(MPS!$J:$J,MPS!$A:$A,C$1,MPS!$C:$C,$A9))</f>
        <v>5309</v>
      </c>
      <c r="D9" s="66">
        <f>IF($A9="","",SUMIFS(MPS!$J:$J,MPS!$A:$A,D$1,MPS!$C:$C,$A9))</f>
        <v>5000</v>
      </c>
      <c r="E9" s="66">
        <f>IF($A9="","",SUMIFS(MPS!$J:$J,MPS!$A:$A,E$1,MPS!$C:$C,$A9))</f>
        <v>2471</v>
      </c>
      <c r="F9" s="66">
        <f>IF($A9="","",SUMIFS(MPS!$J:$J,MPS!$A:$A,F$1,MPS!$C:$C,$A9))</f>
        <v>0</v>
      </c>
      <c r="G9" s="66">
        <f>IF($A9="","",SUMIFS(MPS!$J:$J,MPS!$A:$A,G$1,MPS!$C:$C,$A9))</f>
        <v>3000</v>
      </c>
      <c r="H9" s="39">
        <f t="shared" si="1"/>
        <v>22838</v>
      </c>
      <c r="I9" s="39">
        <f t="shared" si="1"/>
        <v>6584.5</v>
      </c>
      <c r="J9" s="39">
        <f t="shared" si="1"/>
        <v>22838</v>
      </c>
      <c r="K9" s="39">
        <f t="shared" si="1"/>
        <v>14116</v>
      </c>
      <c r="L9" s="39">
        <f t="shared" si="1"/>
        <v>7058</v>
      </c>
      <c r="M9" s="39">
        <f t="shared" si="1"/>
        <v>13272.5</v>
      </c>
      <c r="N9" s="39">
        <f t="shared" si="1"/>
        <v>7963.5</v>
      </c>
      <c r="O9" s="39">
        <f t="shared" si="1"/>
        <v>15000</v>
      </c>
      <c r="P9" s="39">
        <f t="shared" si="1"/>
        <v>2500</v>
      </c>
      <c r="Q9" s="39">
        <f t="shared" si="1"/>
        <v>4942</v>
      </c>
      <c r="R9" s="39">
        <f t="shared" si="1"/>
        <v>3706.5</v>
      </c>
      <c r="S9" s="39">
        <f t="shared" si="1"/>
        <v>0</v>
      </c>
      <c r="T9" s="39">
        <f t="shared" si="1"/>
        <v>0</v>
      </c>
      <c r="U9" s="39">
        <f t="shared" si="1"/>
        <v>15000</v>
      </c>
      <c r="V9" s="39">
        <f t="shared" si="1"/>
        <v>6000</v>
      </c>
      <c r="X9" s="40" t="s">
        <v>86</v>
      </c>
      <c r="Y9" s="41">
        <v>0</v>
      </c>
      <c r="Z9" s="41">
        <v>0</v>
      </c>
      <c r="AA9" s="41">
        <v>3</v>
      </c>
      <c r="AB9" s="41">
        <v>0</v>
      </c>
      <c r="AC9" s="41">
        <v>0</v>
      </c>
      <c r="AD9" s="41">
        <v>0</v>
      </c>
    </row>
    <row r="10" spans="1:30" x14ac:dyDescent="0.3">
      <c r="A10" s="38">
        <v>46188</v>
      </c>
      <c r="B10" s="66">
        <f>IF($A10="","",SUMIFS(MPS!$J:$J,MPS!$A:$A,B$1,MPS!$C:$C,$A10))</f>
        <v>8908</v>
      </c>
      <c r="C10" s="66">
        <f>IF($A10="","",SUMIFS(MPS!$J:$J,MPS!$A:$A,C$1,MPS!$C:$C,$A10))</f>
        <v>5309</v>
      </c>
      <c r="D10" s="66">
        <f>IF($A10="","",SUMIFS(MPS!$J:$J,MPS!$A:$A,D$1,MPS!$C:$C,$A10))</f>
        <v>5000</v>
      </c>
      <c r="E10" s="66">
        <f>IF($A10="","",SUMIFS(MPS!$J:$J,MPS!$A:$A,E$1,MPS!$C:$C,$A10))</f>
        <v>3458</v>
      </c>
      <c r="F10" s="66">
        <f>IF($A10="","",SUMIFS(MPS!$J:$J,MPS!$A:$A,F$1,MPS!$C:$C,$A10))</f>
        <v>300</v>
      </c>
      <c r="G10" s="66">
        <f>IF($A10="","",SUMIFS(MPS!$J:$J,MPS!$A:$A,G$1,MPS!$C:$C,$A10))</f>
        <v>3000</v>
      </c>
      <c r="H10" s="39">
        <f t="shared" si="1"/>
        <v>25975</v>
      </c>
      <c r="I10" s="39">
        <f t="shared" si="1"/>
        <v>7443.75</v>
      </c>
      <c r="J10" s="39">
        <f t="shared" si="1"/>
        <v>25975</v>
      </c>
      <c r="K10" s="39">
        <f t="shared" si="1"/>
        <v>17816</v>
      </c>
      <c r="L10" s="39">
        <f t="shared" si="1"/>
        <v>8908</v>
      </c>
      <c r="M10" s="39">
        <f t="shared" si="1"/>
        <v>13272.5</v>
      </c>
      <c r="N10" s="39">
        <f t="shared" si="1"/>
        <v>7963.5</v>
      </c>
      <c r="O10" s="39">
        <f t="shared" si="1"/>
        <v>15000</v>
      </c>
      <c r="P10" s="39">
        <f t="shared" si="1"/>
        <v>2500</v>
      </c>
      <c r="Q10" s="39">
        <f t="shared" si="1"/>
        <v>6916</v>
      </c>
      <c r="R10" s="39">
        <f t="shared" si="1"/>
        <v>5187</v>
      </c>
      <c r="S10" s="39">
        <f t="shared" si="1"/>
        <v>900</v>
      </c>
      <c r="T10" s="39">
        <f t="shared" si="1"/>
        <v>1200</v>
      </c>
      <c r="U10" s="39">
        <f t="shared" si="1"/>
        <v>15000</v>
      </c>
      <c r="V10" s="39">
        <f t="shared" si="1"/>
        <v>6000</v>
      </c>
      <c r="X10" s="40" t="s">
        <v>89</v>
      </c>
      <c r="Y10" s="41">
        <v>0</v>
      </c>
      <c r="Z10" s="41">
        <v>0</v>
      </c>
      <c r="AA10" s="41">
        <v>0.5</v>
      </c>
      <c r="AB10" s="41">
        <v>0</v>
      </c>
      <c r="AC10" s="41">
        <v>0</v>
      </c>
      <c r="AD10" s="41">
        <v>0</v>
      </c>
    </row>
    <row r="11" spans="1:30" x14ac:dyDescent="0.3">
      <c r="A11" s="38">
        <v>46195</v>
      </c>
      <c r="B11" s="66">
        <f>IF($A11="","",SUMIFS(MPS!$J:$J,MPS!$A:$A,B$1,MPS!$C:$C,$A11))</f>
        <v>11673</v>
      </c>
      <c r="C11" s="66">
        <f>IF($A11="","",SUMIFS(MPS!$J:$J,MPS!$A:$A,C$1,MPS!$C:$C,$A11))</f>
        <v>3000</v>
      </c>
      <c r="D11" s="66">
        <f>IF($A11="","",SUMIFS(MPS!$J:$J,MPS!$A:$A,D$1,MPS!$C:$C,$A11))</f>
        <v>5000</v>
      </c>
      <c r="E11" s="66">
        <f>IF($A11="","",SUMIFS(MPS!$J:$J,MPS!$A:$A,E$1,MPS!$C:$C,$A11))</f>
        <v>500</v>
      </c>
      <c r="F11" s="66">
        <f>IF($A11="","",SUMIFS(MPS!$J:$J,MPS!$A:$A,F$1,MPS!$C:$C,$A11))</f>
        <v>0</v>
      </c>
      <c r="G11" s="66">
        <f>IF($A11="","",SUMIFS(MPS!$J:$J,MPS!$A:$A,G$1,MPS!$C:$C,$A11))</f>
        <v>3000</v>
      </c>
      <c r="H11" s="39">
        <f t="shared" si="1"/>
        <v>23173</v>
      </c>
      <c r="I11" s="39">
        <f t="shared" si="1"/>
        <v>6668.25</v>
      </c>
      <c r="J11" s="39">
        <f t="shared" si="1"/>
        <v>23173</v>
      </c>
      <c r="K11" s="39">
        <f t="shared" si="1"/>
        <v>23346</v>
      </c>
      <c r="L11" s="39">
        <f t="shared" si="1"/>
        <v>11673</v>
      </c>
      <c r="M11" s="39">
        <f t="shared" si="1"/>
        <v>7500</v>
      </c>
      <c r="N11" s="39">
        <f t="shared" si="1"/>
        <v>4500</v>
      </c>
      <c r="O11" s="39">
        <f t="shared" si="1"/>
        <v>15000</v>
      </c>
      <c r="P11" s="39">
        <f t="shared" si="1"/>
        <v>2500</v>
      </c>
      <c r="Q11" s="39">
        <f t="shared" si="1"/>
        <v>1000</v>
      </c>
      <c r="R11" s="39">
        <f t="shared" si="1"/>
        <v>750</v>
      </c>
      <c r="S11" s="39">
        <f t="shared" si="1"/>
        <v>0</v>
      </c>
      <c r="T11" s="39">
        <f t="shared" si="1"/>
        <v>0</v>
      </c>
      <c r="U11" s="39">
        <f t="shared" si="1"/>
        <v>15000</v>
      </c>
      <c r="V11" s="39">
        <f t="shared" si="1"/>
        <v>6000</v>
      </c>
      <c r="X11" s="40" t="s">
        <v>92</v>
      </c>
      <c r="Y11" s="41">
        <v>0</v>
      </c>
      <c r="Z11" s="41">
        <v>0</v>
      </c>
      <c r="AA11" s="41">
        <v>0</v>
      </c>
      <c r="AB11" s="41">
        <v>2</v>
      </c>
      <c r="AC11" s="41">
        <v>0</v>
      </c>
      <c r="AD11" s="41">
        <v>0</v>
      </c>
    </row>
    <row r="12" spans="1:30" x14ac:dyDescent="0.3">
      <c r="A12" s="38">
        <v>46202</v>
      </c>
      <c r="B12" s="66">
        <f>IF($A12="","",SUMIFS(MPS!$J:$J,MPS!$A:$A,B$1,MPS!$C:$C,$A12))</f>
        <v>12041</v>
      </c>
      <c r="C12" s="66">
        <f>IF($A12="","",SUMIFS(MPS!$J:$J,MPS!$A:$A,C$1,MPS!$C:$C,$A12))</f>
        <v>3000</v>
      </c>
      <c r="D12" s="66">
        <f>IF($A12="","",SUMIFS(MPS!$J:$J,MPS!$A:$A,D$1,MPS!$C:$C,$A12))</f>
        <v>2500</v>
      </c>
      <c r="E12" s="66">
        <f>IF($A12="","",SUMIFS(MPS!$J:$J,MPS!$A:$A,E$1,MPS!$C:$C,$A12))</f>
        <v>500</v>
      </c>
      <c r="F12" s="66">
        <f>IF($A12="","",SUMIFS(MPS!$J:$J,MPS!$A:$A,F$1,MPS!$C:$C,$A12))</f>
        <v>700</v>
      </c>
      <c r="G12" s="66">
        <f>IF($A12="","",SUMIFS(MPS!$J:$J,MPS!$A:$A,G$1,MPS!$C:$C,$A12))</f>
        <v>3000</v>
      </c>
      <c r="H12" s="39">
        <f t="shared" si="1"/>
        <v>21741</v>
      </c>
      <c r="I12" s="39">
        <f t="shared" si="1"/>
        <v>5860.25</v>
      </c>
      <c r="J12" s="39">
        <f t="shared" si="1"/>
        <v>21741</v>
      </c>
      <c r="K12" s="39">
        <f t="shared" si="1"/>
        <v>24082</v>
      </c>
      <c r="L12" s="39">
        <f t="shared" si="1"/>
        <v>12041</v>
      </c>
      <c r="M12" s="39">
        <f t="shared" si="1"/>
        <v>7500</v>
      </c>
      <c r="N12" s="39">
        <f t="shared" si="1"/>
        <v>4500</v>
      </c>
      <c r="O12" s="39">
        <f t="shared" si="1"/>
        <v>7500</v>
      </c>
      <c r="P12" s="39">
        <f t="shared" si="1"/>
        <v>1250</v>
      </c>
      <c r="Q12" s="39">
        <f t="shared" si="1"/>
        <v>1000</v>
      </c>
      <c r="R12" s="39">
        <f t="shared" si="1"/>
        <v>750</v>
      </c>
      <c r="S12" s="39">
        <f t="shared" si="1"/>
        <v>2100</v>
      </c>
      <c r="T12" s="39">
        <f t="shared" si="1"/>
        <v>2800</v>
      </c>
      <c r="U12" s="39">
        <f t="shared" si="1"/>
        <v>15000</v>
      </c>
      <c r="V12" s="39">
        <f t="shared" si="1"/>
        <v>6000</v>
      </c>
      <c r="X12" s="40" t="s">
        <v>94</v>
      </c>
      <c r="Y12" s="41">
        <v>0</v>
      </c>
      <c r="Z12" s="41">
        <v>0</v>
      </c>
      <c r="AA12" s="41">
        <v>0</v>
      </c>
      <c r="AB12" s="41">
        <v>1.5</v>
      </c>
      <c r="AC12" s="41">
        <v>0</v>
      </c>
      <c r="AD12" s="41">
        <v>0</v>
      </c>
    </row>
    <row r="13" spans="1:30" x14ac:dyDescent="0.3">
      <c r="A13" s="38">
        <v>46209</v>
      </c>
      <c r="B13" s="66">
        <f>IF($A13="","",SUMIFS(MPS!$J:$J,MPS!$A:$A,B$1,MPS!$C:$C,$A13))</f>
        <v>12040</v>
      </c>
      <c r="C13" s="66">
        <f>IF($A13="","",SUMIFS(MPS!$J:$J,MPS!$A:$A,C$1,MPS!$C:$C,$A13))</f>
        <v>3000</v>
      </c>
      <c r="D13" s="66">
        <f>IF($A13="","",SUMIFS(MPS!$J:$J,MPS!$A:$A,D$1,MPS!$C:$C,$A13))</f>
        <v>2500</v>
      </c>
      <c r="E13" s="66">
        <f>IF($A13="","",SUMIFS(MPS!$J:$J,MPS!$A:$A,E$1,MPS!$C:$C,$A13))</f>
        <v>500</v>
      </c>
      <c r="F13" s="66">
        <f>IF($A13="","",SUMIFS(MPS!$J:$J,MPS!$A:$A,F$1,MPS!$C:$C,$A13))</f>
        <v>300</v>
      </c>
      <c r="G13" s="66">
        <f>IF($A13="","",SUMIFS(MPS!$J:$J,MPS!$A:$A,G$1,MPS!$C:$C,$A13))</f>
        <v>3000</v>
      </c>
      <c r="H13" s="39">
        <f t="shared" si="1"/>
        <v>21340</v>
      </c>
      <c r="I13" s="39">
        <f t="shared" si="1"/>
        <v>5660</v>
      </c>
      <c r="J13" s="39">
        <f t="shared" si="1"/>
        <v>21340</v>
      </c>
      <c r="K13" s="39">
        <f t="shared" si="1"/>
        <v>24080</v>
      </c>
      <c r="L13" s="39">
        <f t="shared" si="1"/>
        <v>12040</v>
      </c>
      <c r="M13" s="39">
        <f t="shared" si="1"/>
        <v>7500</v>
      </c>
      <c r="N13" s="39">
        <f t="shared" si="1"/>
        <v>4500</v>
      </c>
      <c r="O13" s="39">
        <f t="shared" si="1"/>
        <v>7500</v>
      </c>
      <c r="P13" s="39">
        <f t="shared" si="1"/>
        <v>1250</v>
      </c>
      <c r="Q13" s="39">
        <f t="shared" si="1"/>
        <v>1000</v>
      </c>
      <c r="R13" s="39">
        <f t="shared" si="1"/>
        <v>750</v>
      </c>
      <c r="S13" s="39">
        <f t="shared" si="1"/>
        <v>900</v>
      </c>
      <c r="T13" s="39">
        <f t="shared" si="1"/>
        <v>1200</v>
      </c>
      <c r="U13" s="39">
        <f t="shared" si="1"/>
        <v>15000</v>
      </c>
      <c r="V13" s="39">
        <f t="shared" si="1"/>
        <v>6000</v>
      </c>
      <c r="X13" s="40" t="s">
        <v>96</v>
      </c>
      <c r="Y13" s="41">
        <v>0</v>
      </c>
      <c r="Z13" s="41">
        <v>0</v>
      </c>
      <c r="AA13" s="41">
        <v>0</v>
      </c>
      <c r="AB13" s="41">
        <v>0</v>
      </c>
      <c r="AC13" s="41">
        <v>3</v>
      </c>
      <c r="AD13" s="41">
        <v>0</v>
      </c>
    </row>
    <row r="14" spans="1:30" x14ac:dyDescent="0.3">
      <c r="A14" s="38">
        <v>46216</v>
      </c>
      <c r="B14" s="66">
        <f>IF($A14="","",SUMIFS(MPS!$J:$J,MPS!$A:$A,B$1,MPS!$C:$C,$A14))</f>
        <v>0</v>
      </c>
      <c r="C14" s="66">
        <f>IF($A14="","",SUMIFS(MPS!$J:$J,MPS!$A:$A,C$1,MPS!$C:$C,$A14))</f>
        <v>3000</v>
      </c>
      <c r="D14" s="66">
        <f>IF($A14="","",SUMIFS(MPS!$J:$J,MPS!$A:$A,D$1,MPS!$C:$C,$A14))</f>
        <v>2500</v>
      </c>
      <c r="E14" s="66">
        <f>IF($A14="","",SUMIFS(MPS!$J:$J,MPS!$A:$A,E$1,MPS!$C:$C,$A14))</f>
        <v>500</v>
      </c>
      <c r="F14" s="66">
        <f>IF($A14="","",SUMIFS(MPS!$J:$J,MPS!$A:$A,F$1,MPS!$C:$C,$A14))</f>
        <v>300</v>
      </c>
      <c r="G14" s="66">
        <f>IF($A14="","",SUMIFS(MPS!$J:$J,MPS!$A:$A,G$1,MPS!$C:$C,$A14))</f>
        <v>3000</v>
      </c>
      <c r="H14" s="39">
        <f t="shared" si="1"/>
        <v>9300</v>
      </c>
      <c r="I14" s="39">
        <f t="shared" si="1"/>
        <v>2650</v>
      </c>
      <c r="J14" s="39">
        <f t="shared" si="1"/>
        <v>9300</v>
      </c>
      <c r="K14" s="39">
        <f t="shared" si="1"/>
        <v>0</v>
      </c>
      <c r="L14" s="39">
        <f t="shared" si="1"/>
        <v>0</v>
      </c>
      <c r="M14" s="39">
        <f t="shared" si="1"/>
        <v>7500</v>
      </c>
      <c r="N14" s="39">
        <f t="shared" si="1"/>
        <v>4500</v>
      </c>
      <c r="O14" s="39">
        <f t="shared" si="1"/>
        <v>7500</v>
      </c>
      <c r="P14" s="39">
        <f t="shared" si="1"/>
        <v>1250</v>
      </c>
      <c r="Q14" s="39">
        <f t="shared" si="1"/>
        <v>1000</v>
      </c>
      <c r="R14" s="39">
        <f t="shared" si="1"/>
        <v>750</v>
      </c>
      <c r="S14" s="39">
        <f t="shared" si="1"/>
        <v>900</v>
      </c>
      <c r="T14" s="39">
        <f t="shared" si="1"/>
        <v>1200</v>
      </c>
      <c r="U14" s="39">
        <f t="shared" si="1"/>
        <v>15000</v>
      </c>
      <c r="V14" s="39">
        <f t="shared" si="1"/>
        <v>6000</v>
      </c>
      <c r="X14" s="40" t="s">
        <v>98</v>
      </c>
      <c r="Y14" s="41">
        <v>0</v>
      </c>
      <c r="Z14" s="41">
        <v>0</v>
      </c>
      <c r="AA14" s="41">
        <v>0</v>
      </c>
      <c r="AB14" s="41">
        <v>0</v>
      </c>
      <c r="AC14" s="41">
        <v>4</v>
      </c>
      <c r="AD14" s="41">
        <v>0</v>
      </c>
    </row>
    <row r="15" spans="1:30" x14ac:dyDescent="0.3">
      <c r="A15" s="38">
        <v>46223</v>
      </c>
      <c r="B15" s="66">
        <f>IF($A15="","",SUMIFS(MPS!$J:$J,MPS!$A:$A,B$1,MPS!$C:$C,$A15))</f>
        <v>0</v>
      </c>
      <c r="C15" s="66">
        <f>IF($A15="","",SUMIFS(MPS!$J:$J,MPS!$A:$A,C$1,MPS!$C:$C,$A15))</f>
        <v>2400</v>
      </c>
      <c r="D15" s="66">
        <f>IF($A15="","",SUMIFS(MPS!$J:$J,MPS!$A:$A,D$1,MPS!$C:$C,$A15))</f>
        <v>1000</v>
      </c>
      <c r="E15" s="66">
        <f>IF($A15="","",SUMIFS(MPS!$J:$J,MPS!$A:$A,E$1,MPS!$C:$C,$A15))</f>
        <v>0</v>
      </c>
      <c r="F15" s="66">
        <f>IF($A15="","",SUMIFS(MPS!$J:$J,MPS!$A:$A,F$1,MPS!$C:$C,$A15))</f>
        <v>300</v>
      </c>
      <c r="G15" s="66">
        <f>IF($A15="","",SUMIFS(MPS!$J:$J,MPS!$A:$A,G$1,MPS!$C:$C,$A15))</f>
        <v>3000</v>
      </c>
      <c r="H15" s="39">
        <f t="shared" si="1"/>
        <v>6700</v>
      </c>
      <c r="I15" s="39">
        <f t="shared" si="1"/>
        <v>1625</v>
      </c>
      <c r="J15" s="39">
        <f t="shared" si="1"/>
        <v>6700</v>
      </c>
      <c r="K15" s="39">
        <f t="shared" si="1"/>
        <v>0</v>
      </c>
      <c r="L15" s="39">
        <f t="shared" si="1"/>
        <v>0</v>
      </c>
      <c r="M15" s="39">
        <f t="shared" si="1"/>
        <v>6000</v>
      </c>
      <c r="N15" s="39">
        <f t="shared" si="1"/>
        <v>3600</v>
      </c>
      <c r="O15" s="39">
        <f t="shared" si="1"/>
        <v>3000</v>
      </c>
      <c r="P15" s="39">
        <f t="shared" si="1"/>
        <v>500</v>
      </c>
      <c r="Q15" s="39">
        <f t="shared" si="1"/>
        <v>0</v>
      </c>
      <c r="R15" s="39">
        <f t="shared" si="1"/>
        <v>0</v>
      </c>
      <c r="S15" s="39">
        <f t="shared" si="1"/>
        <v>900</v>
      </c>
      <c r="T15" s="39">
        <f t="shared" si="1"/>
        <v>1200</v>
      </c>
      <c r="U15" s="39">
        <f t="shared" si="1"/>
        <v>15000</v>
      </c>
      <c r="V15" s="39">
        <f t="shared" si="1"/>
        <v>6000</v>
      </c>
      <c r="X15" s="40" t="s">
        <v>100</v>
      </c>
      <c r="Y15" s="41">
        <v>0</v>
      </c>
      <c r="Z15" s="41">
        <v>0</v>
      </c>
      <c r="AA15" s="41">
        <v>0</v>
      </c>
      <c r="AB15" s="41">
        <v>0</v>
      </c>
      <c r="AC15" s="41">
        <v>0</v>
      </c>
      <c r="AD15" s="41">
        <v>5</v>
      </c>
    </row>
    <row r="16" spans="1:30" x14ac:dyDescent="0.3">
      <c r="A16" s="38">
        <v>46230</v>
      </c>
      <c r="B16" s="66">
        <f>IF($A16="","",SUMIFS(MPS!$J:$J,MPS!$A:$A,B$1,MPS!$C:$C,$A16))</f>
        <v>15000</v>
      </c>
      <c r="C16" s="66">
        <f>IF($A16="","",SUMIFS(MPS!$J:$J,MPS!$A:$A,C$1,MPS!$C:$C,$A16))</f>
        <v>2400</v>
      </c>
      <c r="D16" s="66">
        <f>IF($A16="","",SUMIFS(MPS!$J:$J,MPS!$A:$A,D$1,MPS!$C:$C,$A16))</f>
        <v>1000</v>
      </c>
      <c r="E16" s="66">
        <f>IF($A16="","",SUMIFS(MPS!$J:$J,MPS!$A:$A,E$1,MPS!$C:$C,$A16))</f>
        <v>0</v>
      </c>
      <c r="F16" s="66">
        <f>IF($A16="","",SUMIFS(MPS!$J:$J,MPS!$A:$A,F$1,MPS!$C:$C,$A16))</f>
        <v>0</v>
      </c>
      <c r="G16" s="66">
        <f>IF($A16="","",SUMIFS(MPS!$J:$J,MPS!$A:$A,G$1,MPS!$C:$C,$A16))</f>
        <v>476</v>
      </c>
      <c r="H16" s="39">
        <f t="shared" si="1"/>
        <v>18876</v>
      </c>
      <c r="I16" s="39">
        <f t="shared" si="1"/>
        <v>4909.5</v>
      </c>
      <c r="J16" s="39">
        <f t="shared" si="1"/>
        <v>18876</v>
      </c>
      <c r="K16" s="39">
        <f t="shared" si="1"/>
        <v>30000</v>
      </c>
      <c r="L16" s="39">
        <f t="shared" si="1"/>
        <v>15000</v>
      </c>
      <c r="M16" s="39">
        <f t="shared" si="1"/>
        <v>6000</v>
      </c>
      <c r="N16" s="39">
        <f t="shared" si="1"/>
        <v>3600</v>
      </c>
      <c r="O16" s="39">
        <f t="shared" si="1"/>
        <v>3000</v>
      </c>
      <c r="P16" s="39">
        <f t="shared" si="1"/>
        <v>500</v>
      </c>
      <c r="Q16" s="39">
        <f t="shared" si="1"/>
        <v>0</v>
      </c>
      <c r="R16" s="39">
        <f t="shared" si="1"/>
        <v>0</v>
      </c>
      <c r="S16" s="39">
        <f t="shared" si="1"/>
        <v>0</v>
      </c>
      <c r="T16" s="39">
        <f t="shared" si="1"/>
        <v>0</v>
      </c>
      <c r="U16" s="39">
        <f t="shared" si="1"/>
        <v>2380</v>
      </c>
      <c r="V16" s="39">
        <f t="shared" si="1"/>
        <v>952</v>
      </c>
      <c r="X16" s="40" t="s">
        <v>102</v>
      </c>
      <c r="Y16" s="41">
        <v>0</v>
      </c>
      <c r="Z16" s="41">
        <v>0</v>
      </c>
      <c r="AA16" s="41">
        <v>0</v>
      </c>
      <c r="AB16" s="41">
        <v>0</v>
      </c>
      <c r="AC16" s="41">
        <v>0</v>
      </c>
      <c r="AD16" s="41">
        <v>2</v>
      </c>
    </row>
    <row r="17" spans="1:22" x14ac:dyDescent="0.3">
      <c r="A17" s="38">
        <v>46237</v>
      </c>
      <c r="B17" s="66">
        <f>IF($A17="","",SUMIFS(MPS!$J:$J,MPS!$A:$A,B$1,MPS!$C:$C,$A17))</f>
        <v>15000</v>
      </c>
      <c r="C17" s="66">
        <f>IF($A17="","",SUMIFS(MPS!$J:$J,MPS!$A:$A,C$1,MPS!$C:$C,$A17))</f>
        <v>0</v>
      </c>
      <c r="D17" s="66">
        <f>IF($A17="","",SUMIFS(MPS!$J:$J,MPS!$A:$A,D$1,MPS!$C:$C,$A17))</f>
        <v>1000</v>
      </c>
      <c r="E17" s="66">
        <f>IF($A17="","",SUMIFS(MPS!$J:$J,MPS!$A:$A,E$1,MPS!$C:$C,$A17))</f>
        <v>400</v>
      </c>
      <c r="F17" s="66">
        <f>IF($A17="","",SUMIFS(MPS!$J:$J,MPS!$A:$A,F$1,MPS!$C:$C,$A17))</f>
        <v>0</v>
      </c>
      <c r="G17" s="66">
        <f>IF($A17="","",SUMIFS(MPS!$J:$J,MPS!$A:$A,G$1,MPS!$C:$C,$A17))</f>
        <v>1298</v>
      </c>
      <c r="H17" s="39">
        <f t="shared" si="1"/>
        <v>17698</v>
      </c>
      <c r="I17" s="39">
        <f t="shared" si="1"/>
        <v>4512.25</v>
      </c>
      <c r="J17" s="39">
        <f t="shared" si="1"/>
        <v>17698</v>
      </c>
      <c r="K17" s="39">
        <f t="shared" si="1"/>
        <v>30000</v>
      </c>
      <c r="L17" s="39">
        <f t="shared" si="1"/>
        <v>15000</v>
      </c>
      <c r="M17" s="39">
        <f t="shared" si="1"/>
        <v>0</v>
      </c>
      <c r="N17" s="39">
        <f t="shared" si="1"/>
        <v>0</v>
      </c>
      <c r="O17" s="39">
        <f t="shared" si="1"/>
        <v>3000</v>
      </c>
      <c r="P17" s="39">
        <f t="shared" si="1"/>
        <v>500</v>
      </c>
      <c r="Q17" s="39">
        <f t="shared" si="1"/>
        <v>800</v>
      </c>
      <c r="R17" s="39">
        <f t="shared" si="1"/>
        <v>600</v>
      </c>
      <c r="S17" s="39">
        <f t="shared" si="1"/>
        <v>0</v>
      </c>
      <c r="T17" s="39">
        <f t="shared" si="1"/>
        <v>0</v>
      </c>
      <c r="U17" s="39">
        <f t="shared" si="1"/>
        <v>6490</v>
      </c>
      <c r="V17" s="39">
        <f t="shared" si="1"/>
        <v>2596</v>
      </c>
    </row>
    <row r="18" spans="1:22" x14ac:dyDescent="0.3">
      <c r="A18" s="38">
        <v>46244</v>
      </c>
      <c r="B18" s="66">
        <f>IF($A18="","",SUMIFS(MPS!$J:$J,MPS!$A:$A,B$1,MPS!$C:$C,$A18))</f>
        <v>4248</v>
      </c>
      <c r="C18" s="66">
        <f>IF($A18="","",SUMIFS(MPS!$J:$J,MPS!$A:$A,C$1,MPS!$C:$C,$A18))</f>
        <v>2400</v>
      </c>
      <c r="D18" s="66">
        <f>IF($A18="","",SUMIFS(MPS!$J:$J,MPS!$A:$A,D$1,MPS!$C:$C,$A18))</f>
        <v>1000</v>
      </c>
      <c r="E18" s="66">
        <f>IF($A18="","",SUMIFS(MPS!$J:$J,MPS!$A:$A,E$1,MPS!$C:$C,$A18))</f>
        <v>0</v>
      </c>
      <c r="F18" s="66">
        <f>IF($A18="","",SUMIFS(MPS!$J:$J,MPS!$A:$A,F$1,MPS!$C:$C,$A18))</f>
        <v>300</v>
      </c>
      <c r="G18" s="66">
        <f>IF($A18="","",SUMIFS(MPS!$J:$J,MPS!$A:$A,G$1,MPS!$C:$C,$A18))</f>
        <v>1300</v>
      </c>
      <c r="H18" s="39">
        <f t="shared" ref="H18:V33" si="2">IF($A18="","",SUMPRODUCT($B18:$G18,INDEX($Y$2:$AD$16,MATCH(H$1,$X$2:$X$16,0),0)))</f>
        <v>9248</v>
      </c>
      <c r="I18" s="39">
        <f t="shared" si="2"/>
        <v>2474.5</v>
      </c>
      <c r="J18" s="39">
        <f t="shared" si="2"/>
        <v>9248</v>
      </c>
      <c r="K18" s="39">
        <f t="shared" si="2"/>
        <v>8496</v>
      </c>
      <c r="L18" s="39">
        <f t="shared" si="2"/>
        <v>4248</v>
      </c>
      <c r="M18" s="39">
        <f t="shared" si="2"/>
        <v>6000</v>
      </c>
      <c r="N18" s="39">
        <f t="shared" si="2"/>
        <v>3600</v>
      </c>
      <c r="O18" s="39">
        <f t="shared" si="2"/>
        <v>3000</v>
      </c>
      <c r="P18" s="39">
        <f t="shared" si="2"/>
        <v>500</v>
      </c>
      <c r="Q18" s="39">
        <f t="shared" si="2"/>
        <v>0</v>
      </c>
      <c r="R18" s="39">
        <f t="shared" si="2"/>
        <v>0</v>
      </c>
      <c r="S18" s="39">
        <f t="shared" si="2"/>
        <v>900</v>
      </c>
      <c r="T18" s="39">
        <f t="shared" si="2"/>
        <v>1200</v>
      </c>
      <c r="U18" s="39">
        <f t="shared" si="2"/>
        <v>6500</v>
      </c>
      <c r="V18" s="39">
        <f t="shared" si="2"/>
        <v>2600</v>
      </c>
    </row>
    <row r="19" spans="1:22" x14ac:dyDescent="0.3">
      <c r="A19" s="38">
        <v>46251</v>
      </c>
      <c r="B19" s="66">
        <f>IF($A19="","",SUMIFS(MPS!$J:$J,MPS!$A:$A,B$1,MPS!$C:$C,$A19))</f>
        <v>4248</v>
      </c>
      <c r="C19" s="66">
        <f>IF($A19="","",SUMIFS(MPS!$J:$J,MPS!$A:$A,C$1,MPS!$C:$C,$A19))</f>
        <v>2400</v>
      </c>
      <c r="D19" s="66">
        <f>IF($A19="","",SUMIFS(MPS!$J:$J,MPS!$A:$A,D$1,MPS!$C:$C,$A19))</f>
        <v>1000</v>
      </c>
      <c r="E19" s="66">
        <f>IF($A19="","",SUMIFS(MPS!$J:$J,MPS!$A:$A,E$1,MPS!$C:$C,$A19))</f>
        <v>0</v>
      </c>
      <c r="F19" s="66">
        <f>IF($A19="","",SUMIFS(MPS!$J:$J,MPS!$A:$A,F$1,MPS!$C:$C,$A19))</f>
        <v>0</v>
      </c>
      <c r="G19" s="66">
        <f>IF($A19="","",SUMIFS(MPS!$J:$J,MPS!$A:$A,G$1,MPS!$C:$C,$A19))</f>
        <v>1298</v>
      </c>
      <c r="H19" s="39">
        <f t="shared" si="2"/>
        <v>8946</v>
      </c>
      <c r="I19" s="39">
        <f t="shared" si="2"/>
        <v>2324.25</v>
      </c>
      <c r="J19" s="39">
        <f t="shared" si="2"/>
        <v>8946</v>
      </c>
      <c r="K19" s="39">
        <f t="shared" si="2"/>
        <v>8496</v>
      </c>
      <c r="L19" s="39">
        <f t="shared" si="2"/>
        <v>4248</v>
      </c>
      <c r="M19" s="39">
        <f t="shared" si="2"/>
        <v>6000</v>
      </c>
      <c r="N19" s="39">
        <f t="shared" si="2"/>
        <v>3600</v>
      </c>
      <c r="O19" s="39">
        <f t="shared" si="2"/>
        <v>3000</v>
      </c>
      <c r="P19" s="39">
        <f t="shared" si="2"/>
        <v>500</v>
      </c>
      <c r="Q19" s="39">
        <f t="shared" si="2"/>
        <v>0</v>
      </c>
      <c r="R19" s="39">
        <f t="shared" si="2"/>
        <v>0</v>
      </c>
      <c r="S19" s="39">
        <f t="shared" si="2"/>
        <v>0</v>
      </c>
      <c r="T19" s="39">
        <f t="shared" si="2"/>
        <v>0</v>
      </c>
      <c r="U19" s="39">
        <f t="shared" si="2"/>
        <v>6490</v>
      </c>
      <c r="V19" s="39">
        <f t="shared" si="2"/>
        <v>2596</v>
      </c>
    </row>
    <row r="20" spans="1:22" x14ac:dyDescent="0.3">
      <c r="A20" s="38">
        <v>46258</v>
      </c>
      <c r="B20" s="66">
        <f>IF($A20="","",SUMIFS(MPS!$J:$J,MPS!$A:$A,B$1,MPS!$C:$C,$A20))</f>
        <v>4249</v>
      </c>
      <c r="C20" s="66">
        <f>IF($A20="","",SUMIFS(MPS!$J:$J,MPS!$A:$A,C$1,MPS!$C:$C,$A20))</f>
        <v>3750</v>
      </c>
      <c r="D20" s="66">
        <f>IF($A20="","",SUMIFS(MPS!$J:$J,MPS!$A:$A,D$1,MPS!$C:$C,$A20))</f>
        <v>750</v>
      </c>
      <c r="E20" s="66">
        <f>IF($A20="","",SUMIFS(MPS!$J:$J,MPS!$A:$A,E$1,MPS!$C:$C,$A20))</f>
        <v>400</v>
      </c>
      <c r="F20" s="66">
        <f>IF($A20="","",SUMIFS(MPS!$J:$J,MPS!$A:$A,F$1,MPS!$C:$C,$A20))</f>
        <v>0</v>
      </c>
      <c r="G20" s="66">
        <f>IF($A20="","",SUMIFS(MPS!$J:$J,MPS!$A:$A,G$1,MPS!$C:$C,$A20))</f>
        <v>1506</v>
      </c>
      <c r="H20" s="39">
        <f t="shared" si="2"/>
        <v>10655</v>
      </c>
      <c r="I20" s="39">
        <f t="shared" si="2"/>
        <v>2663</v>
      </c>
      <c r="J20" s="39">
        <f t="shared" si="2"/>
        <v>10655</v>
      </c>
      <c r="K20" s="39">
        <f t="shared" si="2"/>
        <v>8498</v>
      </c>
      <c r="L20" s="39">
        <f t="shared" si="2"/>
        <v>4249</v>
      </c>
      <c r="M20" s="39">
        <f t="shared" si="2"/>
        <v>9375</v>
      </c>
      <c r="N20" s="39">
        <f t="shared" si="2"/>
        <v>5625</v>
      </c>
      <c r="O20" s="39">
        <f t="shared" si="2"/>
        <v>2250</v>
      </c>
      <c r="P20" s="39">
        <f t="shared" si="2"/>
        <v>375</v>
      </c>
      <c r="Q20" s="39">
        <f t="shared" si="2"/>
        <v>800</v>
      </c>
      <c r="R20" s="39">
        <f t="shared" si="2"/>
        <v>600</v>
      </c>
      <c r="S20" s="39">
        <f t="shared" si="2"/>
        <v>0</v>
      </c>
      <c r="T20" s="39">
        <f t="shared" si="2"/>
        <v>0</v>
      </c>
      <c r="U20" s="39">
        <f t="shared" si="2"/>
        <v>7530</v>
      </c>
      <c r="V20" s="39">
        <f t="shared" si="2"/>
        <v>3012</v>
      </c>
    </row>
    <row r="21" spans="1:22" x14ac:dyDescent="0.3">
      <c r="A21" s="38">
        <v>46265</v>
      </c>
      <c r="B21" s="66">
        <f>IF($A21="","",SUMIFS(MPS!$J:$J,MPS!$A:$A,B$1,MPS!$C:$C,$A21))</f>
        <v>4248</v>
      </c>
      <c r="C21" s="66">
        <f>IF($A21="","",SUMIFS(MPS!$J:$J,MPS!$A:$A,C$1,MPS!$C:$C,$A21))</f>
        <v>3750</v>
      </c>
      <c r="D21" s="66">
        <f>IF($A21="","",SUMIFS(MPS!$J:$J,MPS!$A:$A,D$1,MPS!$C:$C,$A21))</f>
        <v>750</v>
      </c>
      <c r="E21" s="66">
        <f>IF($A21="","",SUMIFS(MPS!$J:$J,MPS!$A:$A,E$1,MPS!$C:$C,$A21))</f>
        <v>0</v>
      </c>
      <c r="F21" s="66">
        <f>IF($A21="","",SUMIFS(MPS!$J:$J,MPS!$A:$A,F$1,MPS!$C:$C,$A21))</f>
        <v>300</v>
      </c>
      <c r="G21" s="66">
        <f>IF($A21="","",SUMIFS(MPS!$J:$J,MPS!$A:$A,G$1,MPS!$C:$C,$A21))</f>
        <v>1506</v>
      </c>
      <c r="H21" s="39">
        <f t="shared" si="2"/>
        <v>10554</v>
      </c>
      <c r="I21" s="39">
        <f t="shared" si="2"/>
        <v>2712.75</v>
      </c>
      <c r="J21" s="39">
        <f t="shared" si="2"/>
        <v>10554</v>
      </c>
      <c r="K21" s="39">
        <f t="shared" si="2"/>
        <v>8496</v>
      </c>
      <c r="L21" s="39">
        <f t="shared" si="2"/>
        <v>4248</v>
      </c>
      <c r="M21" s="39">
        <f t="shared" si="2"/>
        <v>9375</v>
      </c>
      <c r="N21" s="39">
        <f t="shared" si="2"/>
        <v>5625</v>
      </c>
      <c r="O21" s="39">
        <f t="shared" si="2"/>
        <v>2250</v>
      </c>
      <c r="P21" s="39">
        <f t="shared" si="2"/>
        <v>375</v>
      </c>
      <c r="Q21" s="39">
        <f t="shared" si="2"/>
        <v>0</v>
      </c>
      <c r="R21" s="39">
        <f t="shared" si="2"/>
        <v>0</v>
      </c>
      <c r="S21" s="39">
        <f t="shared" si="2"/>
        <v>900</v>
      </c>
      <c r="T21" s="39">
        <f t="shared" si="2"/>
        <v>1200</v>
      </c>
      <c r="U21" s="39">
        <f t="shared" si="2"/>
        <v>7530</v>
      </c>
      <c r="V21" s="39">
        <f t="shared" si="2"/>
        <v>3012</v>
      </c>
    </row>
    <row r="22" spans="1:22" x14ac:dyDescent="0.3">
      <c r="A22" s="38">
        <v>46272</v>
      </c>
      <c r="B22" s="66">
        <f>IF($A22="","",SUMIFS(MPS!$J:$J,MPS!$A:$A,B$1,MPS!$C:$C,$A22))</f>
        <v>2391</v>
      </c>
      <c r="C22" s="66">
        <f>IF($A22="","",SUMIFS(MPS!$J:$J,MPS!$A:$A,C$1,MPS!$C:$C,$A22))</f>
        <v>3750</v>
      </c>
      <c r="D22" s="66">
        <f>IF($A22="","",SUMIFS(MPS!$J:$J,MPS!$A:$A,D$1,MPS!$C:$C,$A22))</f>
        <v>750</v>
      </c>
      <c r="E22" s="66">
        <f>IF($A22="","",SUMIFS(MPS!$J:$J,MPS!$A:$A,E$1,MPS!$C:$C,$A22))</f>
        <v>400</v>
      </c>
      <c r="F22" s="66">
        <f>IF($A22="","",SUMIFS(MPS!$J:$J,MPS!$A:$A,F$1,MPS!$C:$C,$A22))</f>
        <v>0</v>
      </c>
      <c r="G22" s="66">
        <f>IF($A22="","",SUMIFS(MPS!$J:$J,MPS!$A:$A,G$1,MPS!$C:$C,$A22))</f>
        <v>1506</v>
      </c>
      <c r="H22" s="39">
        <f t="shared" si="2"/>
        <v>8797</v>
      </c>
      <c r="I22" s="39">
        <f t="shared" si="2"/>
        <v>2198.5</v>
      </c>
      <c r="J22" s="39">
        <f t="shared" si="2"/>
        <v>8797</v>
      </c>
      <c r="K22" s="39">
        <f t="shared" si="2"/>
        <v>4782</v>
      </c>
      <c r="L22" s="39">
        <f t="shared" si="2"/>
        <v>2391</v>
      </c>
      <c r="M22" s="39">
        <f t="shared" si="2"/>
        <v>9375</v>
      </c>
      <c r="N22" s="39">
        <f t="shared" si="2"/>
        <v>5625</v>
      </c>
      <c r="O22" s="39">
        <f t="shared" si="2"/>
        <v>2250</v>
      </c>
      <c r="P22" s="39">
        <f t="shared" si="2"/>
        <v>375</v>
      </c>
      <c r="Q22" s="39">
        <f t="shared" si="2"/>
        <v>800</v>
      </c>
      <c r="R22" s="39">
        <f t="shared" si="2"/>
        <v>600</v>
      </c>
      <c r="S22" s="39">
        <f t="shared" si="2"/>
        <v>0</v>
      </c>
      <c r="T22" s="39">
        <f t="shared" si="2"/>
        <v>0</v>
      </c>
      <c r="U22" s="39">
        <f t="shared" si="2"/>
        <v>7530</v>
      </c>
      <c r="V22" s="39">
        <f t="shared" si="2"/>
        <v>3012</v>
      </c>
    </row>
    <row r="23" spans="1:22" x14ac:dyDescent="0.3">
      <c r="A23" s="38">
        <v>46279</v>
      </c>
      <c r="B23" s="66">
        <f>IF($A23="","",SUMIFS(MPS!$J:$J,MPS!$A:$A,B$1,MPS!$C:$C,$A23))</f>
        <v>2392</v>
      </c>
      <c r="C23" s="66">
        <f>IF($A23="","",SUMIFS(MPS!$J:$J,MPS!$A:$A,C$1,MPS!$C:$C,$A23))</f>
        <v>3750</v>
      </c>
      <c r="D23" s="66">
        <f>IF($A23="","",SUMIFS(MPS!$J:$J,MPS!$A:$A,D$1,MPS!$C:$C,$A23))</f>
        <v>750</v>
      </c>
      <c r="E23" s="66">
        <f>IF($A23="","",SUMIFS(MPS!$J:$J,MPS!$A:$A,E$1,MPS!$C:$C,$A23))</f>
        <v>0</v>
      </c>
      <c r="F23" s="66">
        <f>IF($A23="","",SUMIFS(MPS!$J:$J,MPS!$A:$A,F$1,MPS!$C:$C,$A23))</f>
        <v>0</v>
      </c>
      <c r="G23" s="66">
        <f>IF($A23="","",SUMIFS(MPS!$J:$J,MPS!$A:$A,G$1,MPS!$C:$C,$A23))</f>
        <v>1506</v>
      </c>
      <c r="H23" s="39">
        <f t="shared" si="2"/>
        <v>8398</v>
      </c>
      <c r="I23" s="39">
        <f t="shared" si="2"/>
        <v>2098.75</v>
      </c>
      <c r="J23" s="39">
        <f t="shared" si="2"/>
        <v>8398</v>
      </c>
      <c r="K23" s="39">
        <f t="shared" si="2"/>
        <v>4784</v>
      </c>
      <c r="L23" s="39">
        <f t="shared" si="2"/>
        <v>2392</v>
      </c>
      <c r="M23" s="39">
        <f t="shared" si="2"/>
        <v>9375</v>
      </c>
      <c r="N23" s="39">
        <f t="shared" si="2"/>
        <v>5625</v>
      </c>
      <c r="O23" s="39">
        <f t="shared" si="2"/>
        <v>2250</v>
      </c>
      <c r="P23" s="39">
        <f t="shared" si="2"/>
        <v>375</v>
      </c>
      <c r="Q23" s="39">
        <f t="shared" si="2"/>
        <v>0</v>
      </c>
      <c r="R23" s="39">
        <f t="shared" si="2"/>
        <v>0</v>
      </c>
      <c r="S23" s="39">
        <f t="shared" si="2"/>
        <v>0</v>
      </c>
      <c r="T23" s="39">
        <f t="shared" si="2"/>
        <v>0</v>
      </c>
      <c r="U23" s="39">
        <f t="shared" si="2"/>
        <v>7530</v>
      </c>
      <c r="V23" s="39">
        <f t="shared" si="2"/>
        <v>3012</v>
      </c>
    </row>
    <row r="24" spans="1:22" x14ac:dyDescent="0.3">
      <c r="A24" s="38">
        <v>46286</v>
      </c>
      <c r="B24" s="66">
        <f>IF($A24="","",SUMIFS(MPS!$J:$J,MPS!$A:$A,B$1,MPS!$C:$C,$A24))</f>
        <v>2391</v>
      </c>
      <c r="C24" s="66">
        <f>IF($A24="","",SUMIFS(MPS!$J:$J,MPS!$A:$A,C$1,MPS!$C:$C,$A24))</f>
        <v>3000</v>
      </c>
      <c r="D24" s="66">
        <f>IF($A24="","",SUMIFS(MPS!$J:$J,MPS!$A:$A,D$1,MPS!$C:$C,$A24))</f>
        <v>600</v>
      </c>
      <c r="E24" s="66">
        <f>IF($A24="","",SUMIFS(MPS!$J:$J,MPS!$A:$A,E$1,MPS!$C:$C,$A24))</f>
        <v>360</v>
      </c>
      <c r="F24" s="66">
        <f>IF($A24="","",SUMIFS(MPS!$J:$J,MPS!$A:$A,F$1,MPS!$C:$C,$A24))</f>
        <v>0</v>
      </c>
      <c r="G24" s="66">
        <f>IF($A24="","",SUMIFS(MPS!$J:$J,MPS!$A:$A,G$1,MPS!$C:$C,$A24))</f>
        <v>1446</v>
      </c>
      <c r="H24" s="39">
        <f t="shared" si="2"/>
        <v>7797</v>
      </c>
      <c r="I24" s="39">
        <f t="shared" si="2"/>
        <v>1918.5</v>
      </c>
      <c r="J24" s="39">
        <f t="shared" si="2"/>
        <v>7797</v>
      </c>
      <c r="K24" s="39">
        <f t="shared" si="2"/>
        <v>4782</v>
      </c>
      <c r="L24" s="39">
        <f t="shared" si="2"/>
        <v>2391</v>
      </c>
      <c r="M24" s="39">
        <f t="shared" si="2"/>
        <v>7500</v>
      </c>
      <c r="N24" s="39">
        <f t="shared" si="2"/>
        <v>4500</v>
      </c>
      <c r="O24" s="39">
        <f t="shared" si="2"/>
        <v>1800</v>
      </c>
      <c r="P24" s="39">
        <f t="shared" si="2"/>
        <v>300</v>
      </c>
      <c r="Q24" s="39">
        <f t="shared" si="2"/>
        <v>720</v>
      </c>
      <c r="R24" s="39">
        <f t="shared" si="2"/>
        <v>540</v>
      </c>
      <c r="S24" s="39">
        <f t="shared" si="2"/>
        <v>0</v>
      </c>
      <c r="T24" s="39">
        <f t="shared" si="2"/>
        <v>0</v>
      </c>
      <c r="U24" s="39">
        <f t="shared" si="2"/>
        <v>7230</v>
      </c>
      <c r="V24" s="39">
        <f t="shared" si="2"/>
        <v>2892</v>
      </c>
    </row>
    <row r="25" spans="1:22" x14ac:dyDescent="0.3">
      <c r="A25" s="38">
        <v>46293</v>
      </c>
      <c r="B25" s="66">
        <f>IF($A25="","",SUMIFS(MPS!$J:$J,MPS!$A:$A,B$1,MPS!$C:$C,$A25))</f>
        <v>6459</v>
      </c>
      <c r="C25" s="66">
        <f>IF($A25="","",SUMIFS(MPS!$J:$J,MPS!$A:$A,C$1,MPS!$C:$C,$A25))</f>
        <v>3000</v>
      </c>
      <c r="D25" s="66">
        <f>IF($A25="","",SUMIFS(MPS!$J:$J,MPS!$A:$A,D$1,MPS!$C:$C,$A25))</f>
        <v>600</v>
      </c>
      <c r="E25" s="66">
        <f>IF($A25="","",SUMIFS(MPS!$J:$J,MPS!$A:$A,E$1,MPS!$C:$C,$A25))</f>
        <v>360</v>
      </c>
      <c r="F25" s="66">
        <f>IF($A25="","",SUMIFS(MPS!$J:$J,MPS!$A:$A,F$1,MPS!$C:$C,$A25))</f>
        <v>300</v>
      </c>
      <c r="G25" s="66">
        <f>IF($A25="","",SUMIFS(MPS!$J:$J,MPS!$A:$A,G$1,MPS!$C:$C,$A25))</f>
        <v>0</v>
      </c>
      <c r="H25" s="39">
        <f t="shared" si="2"/>
        <v>10719</v>
      </c>
      <c r="I25" s="39">
        <f t="shared" si="2"/>
        <v>2904.75</v>
      </c>
      <c r="J25" s="39">
        <f t="shared" si="2"/>
        <v>10719</v>
      </c>
      <c r="K25" s="39">
        <f t="shared" si="2"/>
        <v>12918</v>
      </c>
      <c r="L25" s="39">
        <f t="shared" si="2"/>
        <v>6459</v>
      </c>
      <c r="M25" s="39">
        <f t="shared" si="2"/>
        <v>7500</v>
      </c>
      <c r="N25" s="39">
        <f t="shared" si="2"/>
        <v>4500</v>
      </c>
      <c r="O25" s="39">
        <f t="shared" si="2"/>
        <v>1800</v>
      </c>
      <c r="P25" s="39">
        <f t="shared" si="2"/>
        <v>300</v>
      </c>
      <c r="Q25" s="39">
        <f t="shared" si="2"/>
        <v>720</v>
      </c>
      <c r="R25" s="39">
        <f t="shared" si="2"/>
        <v>540</v>
      </c>
      <c r="S25" s="39">
        <f t="shared" si="2"/>
        <v>900</v>
      </c>
      <c r="T25" s="39">
        <f t="shared" si="2"/>
        <v>1200</v>
      </c>
      <c r="U25" s="39">
        <f t="shared" si="2"/>
        <v>0</v>
      </c>
      <c r="V25" s="39">
        <f t="shared" si="2"/>
        <v>0</v>
      </c>
    </row>
    <row r="26" spans="1:22" x14ac:dyDescent="0.3">
      <c r="A26" s="38">
        <v>46300</v>
      </c>
      <c r="B26" s="66">
        <f>IF($A26="","",SUMIFS(MPS!$J:$J,MPS!$A:$A,B$1,MPS!$C:$C,$A26))</f>
        <v>15000</v>
      </c>
      <c r="C26" s="66">
        <f>IF($A26="","",SUMIFS(MPS!$J:$J,MPS!$A:$A,C$1,MPS!$C:$C,$A26))</f>
        <v>3000</v>
      </c>
      <c r="D26" s="66">
        <f>IF($A26="","",SUMIFS(MPS!$J:$J,MPS!$A:$A,D$1,MPS!$C:$C,$A26))</f>
        <v>600</v>
      </c>
      <c r="E26" s="66">
        <f>IF($A26="","",SUMIFS(MPS!$J:$J,MPS!$A:$A,E$1,MPS!$C:$C,$A26))</f>
        <v>360</v>
      </c>
      <c r="F26" s="66">
        <f>IF($A26="","",SUMIFS(MPS!$J:$J,MPS!$A:$A,F$1,MPS!$C:$C,$A26))</f>
        <v>0</v>
      </c>
      <c r="G26" s="66">
        <f>IF($A26="","",SUMIFS(MPS!$J:$J,MPS!$A:$A,G$1,MPS!$C:$C,$A26))</f>
        <v>0</v>
      </c>
      <c r="H26" s="39">
        <f t="shared" si="2"/>
        <v>18960</v>
      </c>
      <c r="I26" s="39">
        <f t="shared" si="2"/>
        <v>4890</v>
      </c>
      <c r="J26" s="39">
        <f t="shared" si="2"/>
        <v>18960</v>
      </c>
      <c r="K26" s="39">
        <f t="shared" si="2"/>
        <v>30000</v>
      </c>
      <c r="L26" s="39">
        <f t="shared" si="2"/>
        <v>15000</v>
      </c>
      <c r="M26" s="39">
        <f t="shared" si="2"/>
        <v>7500</v>
      </c>
      <c r="N26" s="39">
        <f t="shared" si="2"/>
        <v>4500</v>
      </c>
      <c r="O26" s="39">
        <f t="shared" si="2"/>
        <v>1800</v>
      </c>
      <c r="P26" s="39">
        <f t="shared" si="2"/>
        <v>300</v>
      </c>
      <c r="Q26" s="39">
        <f t="shared" si="2"/>
        <v>720</v>
      </c>
      <c r="R26" s="39">
        <f t="shared" si="2"/>
        <v>540</v>
      </c>
      <c r="S26" s="39">
        <f t="shared" si="2"/>
        <v>0</v>
      </c>
      <c r="T26" s="39">
        <f t="shared" si="2"/>
        <v>0</v>
      </c>
      <c r="U26" s="39">
        <f t="shared" si="2"/>
        <v>0</v>
      </c>
      <c r="V26" s="39">
        <f t="shared" si="2"/>
        <v>0</v>
      </c>
    </row>
    <row r="27" spans="1:22" x14ac:dyDescent="0.3">
      <c r="A27" s="38">
        <v>46307</v>
      </c>
      <c r="B27" s="66">
        <f>IF($A27="","",SUMIFS(MPS!$J:$J,MPS!$A:$A,B$1,MPS!$C:$C,$A27))</f>
        <v>15000</v>
      </c>
      <c r="C27" s="66">
        <f>IF($A27="","",SUMIFS(MPS!$J:$J,MPS!$A:$A,C$1,MPS!$C:$C,$A27))</f>
        <v>3000</v>
      </c>
      <c r="D27" s="66">
        <f>IF($A27="","",SUMIFS(MPS!$J:$J,MPS!$A:$A,D$1,MPS!$C:$C,$A27))</f>
        <v>600</v>
      </c>
      <c r="E27" s="66">
        <f>IF($A27="","",SUMIFS(MPS!$J:$J,MPS!$A:$A,E$1,MPS!$C:$C,$A27))</f>
        <v>360</v>
      </c>
      <c r="F27" s="66">
        <f>IF($A27="","",SUMIFS(MPS!$J:$J,MPS!$A:$A,F$1,MPS!$C:$C,$A27))</f>
        <v>0</v>
      </c>
      <c r="G27" s="66">
        <f>IF($A27="","",SUMIFS(MPS!$J:$J,MPS!$A:$A,G$1,MPS!$C:$C,$A27))</f>
        <v>1448</v>
      </c>
      <c r="H27" s="39">
        <f t="shared" si="2"/>
        <v>20408</v>
      </c>
      <c r="I27" s="39">
        <f t="shared" si="2"/>
        <v>5071</v>
      </c>
      <c r="J27" s="39">
        <f t="shared" si="2"/>
        <v>20408</v>
      </c>
      <c r="K27" s="39">
        <f t="shared" si="2"/>
        <v>30000</v>
      </c>
      <c r="L27" s="39">
        <f t="shared" si="2"/>
        <v>15000</v>
      </c>
      <c r="M27" s="39">
        <f t="shared" si="2"/>
        <v>7500</v>
      </c>
      <c r="N27" s="39">
        <f t="shared" si="2"/>
        <v>4500</v>
      </c>
      <c r="O27" s="39">
        <f t="shared" si="2"/>
        <v>1800</v>
      </c>
      <c r="P27" s="39">
        <f t="shared" si="2"/>
        <v>300</v>
      </c>
      <c r="Q27" s="39">
        <f t="shared" si="2"/>
        <v>720</v>
      </c>
      <c r="R27" s="39">
        <f t="shared" si="2"/>
        <v>540</v>
      </c>
      <c r="S27" s="39">
        <f t="shared" si="2"/>
        <v>0</v>
      </c>
      <c r="T27" s="39">
        <f t="shared" si="2"/>
        <v>0</v>
      </c>
      <c r="U27" s="39">
        <f t="shared" si="2"/>
        <v>7240</v>
      </c>
      <c r="V27" s="39">
        <f t="shared" si="2"/>
        <v>2896</v>
      </c>
    </row>
    <row r="28" spans="1:22" x14ac:dyDescent="0.3">
      <c r="A28" s="38">
        <v>46314</v>
      </c>
      <c r="B28" s="66">
        <f>IF($A28="","",SUMIFS(MPS!$J:$J,MPS!$A:$A,B$1,MPS!$C:$C,$A28))</f>
        <v>15000</v>
      </c>
      <c r="C28" s="66">
        <f>IF($A28="","",SUMIFS(MPS!$J:$J,MPS!$A:$A,C$1,MPS!$C:$C,$A28))</f>
        <v>3000</v>
      </c>
      <c r="D28" s="66">
        <f>IF($A28="","",SUMIFS(MPS!$J:$J,MPS!$A:$A,D$1,MPS!$C:$C,$A28))</f>
        <v>600</v>
      </c>
      <c r="E28" s="66">
        <f>IF($A28="","",SUMIFS(MPS!$J:$J,MPS!$A:$A,E$1,MPS!$C:$C,$A28))</f>
        <v>360</v>
      </c>
      <c r="F28" s="66">
        <f>IF($A28="","",SUMIFS(MPS!$J:$J,MPS!$A:$A,F$1,MPS!$C:$C,$A28))</f>
        <v>0</v>
      </c>
      <c r="G28" s="66">
        <f>IF($A28="","",SUMIFS(MPS!$J:$J,MPS!$A:$A,G$1,MPS!$C:$C,$A28))</f>
        <v>1448</v>
      </c>
      <c r="H28" s="39">
        <f t="shared" si="2"/>
        <v>20408</v>
      </c>
      <c r="I28" s="39">
        <f t="shared" si="2"/>
        <v>5071</v>
      </c>
      <c r="J28" s="39">
        <f t="shared" si="2"/>
        <v>20408</v>
      </c>
      <c r="K28" s="39">
        <f t="shared" si="2"/>
        <v>30000</v>
      </c>
      <c r="L28" s="39">
        <f t="shared" si="2"/>
        <v>15000</v>
      </c>
      <c r="M28" s="39">
        <f t="shared" si="2"/>
        <v>7500</v>
      </c>
      <c r="N28" s="39">
        <f t="shared" si="2"/>
        <v>4500</v>
      </c>
      <c r="O28" s="39">
        <f t="shared" si="2"/>
        <v>1800</v>
      </c>
      <c r="P28" s="39">
        <f t="shared" si="2"/>
        <v>300</v>
      </c>
      <c r="Q28" s="39">
        <f t="shared" si="2"/>
        <v>720</v>
      </c>
      <c r="R28" s="39">
        <f t="shared" si="2"/>
        <v>540</v>
      </c>
      <c r="S28" s="39">
        <f t="shared" si="2"/>
        <v>0</v>
      </c>
      <c r="T28" s="39">
        <f t="shared" si="2"/>
        <v>0</v>
      </c>
      <c r="U28" s="39">
        <f t="shared" si="2"/>
        <v>7240</v>
      </c>
      <c r="V28" s="39">
        <f t="shared" si="2"/>
        <v>2896</v>
      </c>
    </row>
    <row r="29" spans="1:22" x14ac:dyDescent="0.3">
      <c r="A29" s="38">
        <v>46321</v>
      </c>
      <c r="B29" s="66">
        <f>IF($A29="","",SUMIFS(MPS!$J:$J,MPS!$A:$A,B$1,MPS!$C:$C,$A29))</f>
        <v>15000</v>
      </c>
      <c r="C29" s="66">
        <f>IF($A29="","",SUMIFS(MPS!$J:$J,MPS!$A:$A,C$1,MPS!$C:$C,$A29))</f>
        <v>6250</v>
      </c>
      <c r="D29" s="66">
        <f>IF($A29="","",SUMIFS(MPS!$J:$J,MPS!$A:$A,D$1,MPS!$C:$C,$A29))</f>
        <v>500</v>
      </c>
      <c r="E29" s="66">
        <f>IF($A29="","",SUMIFS(MPS!$J:$J,MPS!$A:$A,E$1,MPS!$C:$C,$A29))</f>
        <v>1000</v>
      </c>
      <c r="F29" s="66">
        <f>IF($A29="","",SUMIFS(MPS!$J:$J,MPS!$A:$A,F$1,MPS!$C:$C,$A29))</f>
        <v>0</v>
      </c>
      <c r="G29" s="66">
        <f>IF($A29="","",SUMIFS(MPS!$J:$J,MPS!$A:$A,G$1,MPS!$C:$C,$A29))</f>
        <v>1448</v>
      </c>
      <c r="H29" s="39">
        <f t="shared" si="2"/>
        <v>24198</v>
      </c>
      <c r="I29" s="39">
        <f t="shared" si="2"/>
        <v>5993.5</v>
      </c>
      <c r="J29" s="39">
        <f t="shared" si="2"/>
        <v>24198</v>
      </c>
      <c r="K29" s="39">
        <f t="shared" si="2"/>
        <v>30000</v>
      </c>
      <c r="L29" s="39">
        <f t="shared" si="2"/>
        <v>15000</v>
      </c>
      <c r="M29" s="39">
        <f t="shared" si="2"/>
        <v>15625</v>
      </c>
      <c r="N29" s="39">
        <f t="shared" si="2"/>
        <v>9375</v>
      </c>
      <c r="O29" s="39">
        <f t="shared" si="2"/>
        <v>1500</v>
      </c>
      <c r="P29" s="39">
        <f t="shared" si="2"/>
        <v>250</v>
      </c>
      <c r="Q29" s="39">
        <f t="shared" si="2"/>
        <v>2000</v>
      </c>
      <c r="R29" s="39">
        <f t="shared" si="2"/>
        <v>1500</v>
      </c>
      <c r="S29" s="39">
        <f t="shared" si="2"/>
        <v>0</v>
      </c>
      <c r="T29" s="39">
        <f t="shared" si="2"/>
        <v>0</v>
      </c>
      <c r="U29" s="39">
        <f t="shared" si="2"/>
        <v>7240</v>
      </c>
      <c r="V29" s="39">
        <f t="shared" si="2"/>
        <v>2896</v>
      </c>
    </row>
    <row r="30" spans="1:22" x14ac:dyDescent="0.3">
      <c r="A30" s="38">
        <v>46328</v>
      </c>
      <c r="B30" s="66">
        <f>IF($A30="","",SUMIFS(MPS!$J:$J,MPS!$A:$A,B$1,MPS!$C:$C,$A30))</f>
        <v>4281</v>
      </c>
      <c r="C30" s="66">
        <f>IF($A30="","",SUMIFS(MPS!$J:$J,MPS!$A:$A,C$1,MPS!$C:$C,$A30))</f>
        <v>6250</v>
      </c>
      <c r="D30" s="66">
        <f>IF($A30="","",SUMIFS(MPS!$J:$J,MPS!$A:$A,D$1,MPS!$C:$C,$A30))</f>
        <v>500</v>
      </c>
      <c r="E30" s="66">
        <f>IF($A30="","",SUMIFS(MPS!$J:$J,MPS!$A:$A,E$1,MPS!$C:$C,$A30))</f>
        <v>1000</v>
      </c>
      <c r="F30" s="66">
        <f>IF($A30="","",SUMIFS(MPS!$J:$J,MPS!$A:$A,F$1,MPS!$C:$C,$A30))</f>
        <v>300</v>
      </c>
      <c r="G30" s="66">
        <f>IF($A30="","",SUMIFS(MPS!$J:$J,MPS!$A:$A,G$1,MPS!$C:$C,$A30))</f>
        <v>1754</v>
      </c>
      <c r="H30" s="39">
        <f t="shared" si="2"/>
        <v>14085</v>
      </c>
      <c r="I30" s="39">
        <f t="shared" si="2"/>
        <v>3502</v>
      </c>
      <c r="J30" s="39">
        <f t="shared" si="2"/>
        <v>14085</v>
      </c>
      <c r="K30" s="39">
        <f t="shared" si="2"/>
        <v>8562</v>
      </c>
      <c r="L30" s="39">
        <f t="shared" si="2"/>
        <v>4281</v>
      </c>
      <c r="M30" s="39">
        <f t="shared" si="2"/>
        <v>15625</v>
      </c>
      <c r="N30" s="39">
        <f t="shared" si="2"/>
        <v>9375</v>
      </c>
      <c r="O30" s="39">
        <f t="shared" si="2"/>
        <v>1500</v>
      </c>
      <c r="P30" s="39">
        <f t="shared" si="2"/>
        <v>250</v>
      </c>
      <c r="Q30" s="39">
        <f t="shared" si="2"/>
        <v>2000</v>
      </c>
      <c r="R30" s="39">
        <f t="shared" si="2"/>
        <v>1500</v>
      </c>
      <c r="S30" s="39">
        <f t="shared" si="2"/>
        <v>900</v>
      </c>
      <c r="T30" s="39">
        <f t="shared" si="2"/>
        <v>1200</v>
      </c>
      <c r="U30" s="39">
        <f t="shared" si="2"/>
        <v>8770</v>
      </c>
      <c r="V30" s="39">
        <f t="shared" si="2"/>
        <v>3508</v>
      </c>
    </row>
    <row r="31" spans="1:22" x14ac:dyDescent="0.3">
      <c r="A31" s="38">
        <v>46335</v>
      </c>
      <c r="B31" s="66">
        <f>IF($A31="","",SUMIFS(MPS!$J:$J,MPS!$A:$A,B$1,MPS!$C:$C,$A31))</f>
        <v>4282</v>
      </c>
      <c r="C31" s="66">
        <f>IF($A31="","",SUMIFS(MPS!$J:$J,MPS!$A:$A,C$1,MPS!$C:$C,$A31))</f>
        <v>6250</v>
      </c>
      <c r="D31" s="66">
        <f>IF($A31="","",SUMIFS(MPS!$J:$J,MPS!$A:$A,D$1,MPS!$C:$C,$A31))</f>
        <v>500</v>
      </c>
      <c r="E31" s="66">
        <f>IF($A31="","",SUMIFS(MPS!$J:$J,MPS!$A:$A,E$1,MPS!$C:$C,$A31))</f>
        <v>1000</v>
      </c>
      <c r="F31" s="66">
        <f>IF($A31="","",SUMIFS(MPS!$J:$J,MPS!$A:$A,F$1,MPS!$C:$C,$A31))</f>
        <v>0</v>
      </c>
      <c r="G31" s="66">
        <f>IF($A31="","",SUMIFS(MPS!$J:$J,MPS!$A:$A,G$1,MPS!$C:$C,$A31))</f>
        <v>1756</v>
      </c>
      <c r="H31" s="39">
        <f t="shared" si="2"/>
        <v>13788</v>
      </c>
      <c r="I31" s="39">
        <f t="shared" si="2"/>
        <v>3352.5</v>
      </c>
      <c r="J31" s="39">
        <f t="shared" si="2"/>
        <v>13788</v>
      </c>
      <c r="K31" s="39">
        <f t="shared" si="2"/>
        <v>8564</v>
      </c>
      <c r="L31" s="39">
        <f t="shared" si="2"/>
        <v>4282</v>
      </c>
      <c r="M31" s="39">
        <f t="shared" si="2"/>
        <v>15625</v>
      </c>
      <c r="N31" s="39">
        <f t="shared" si="2"/>
        <v>9375</v>
      </c>
      <c r="O31" s="39">
        <f t="shared" si="2"/>
        <v>1500</v>
      </c>
      <c r="P31" s="39">
        <f t="shared" si="2"/>
        <v>250</v>
      </c>
      <c r="Q31" s="39">
        <f t="shared" si="2"/>
        <v>2000</v>
      </c>
      <c r="R31" s="39">
        <f t="shared" si="2"/>
        <v>1500</v>
      </c>
      <c r="S31" s="39">
        <f t="shared" si="2"/>
        <v>0</v>
      </c>
      <c r="T31" s="39">
        <f t="shared" si="2"/>
        <v>0</v>
      </c>
      <c r="U31" s="39">
        <f t="shared" si="2"/>
        <v>8780</v>
      </c>
      <c r="V31" s="39">
        <f t="shared" si="2"/>
        <v>3512</v>
      </c>
    </row>
    <row r="32" spans="1:22" x14ac:dyDescent="0.3">
      <c r="A32" s="38">
        <v>46342</v>
      </c>
      <c r="B32" s="66">
        <f>IF($A32="","",SUMIFS(MPS!$J:$J,MPS!$A:$A,B$1,MPS!$C:$C,$A32))</f>
        <v>4281</v>
      </c>
      <c r="C32" s="66">
        <f>IF($A32="","",SUMIFS(MPS!$J:$J,MPS!$A:$A,C$1,MPS!$C:$C,$A32))</f>
        <v>6250</v>
      </c>
      <c r="D32" s="66">
        <f>IF($A32="","",SUMIFS(MPS!$J:$J,MPS!$A:$A,D$1,MPS!$C:$C,$A32))</f>
        <v>500</v>
      </c>
      <c r="E32" s="66">
        <f>IF($A32="","",SUMIFS(MPS!$J:$J,MPS!$A:$A,E$1,MPS!$C:$C,$A32))</f>
        <v>1000</v>
      </c>
      <c r="F32" s="66">
        <f>IF($A32="","",SUMIFS(MPS!$J:$J,MPS!$A:$A,F$1,MPS!$C:$C,$A32))</f>
        <v>0</v>
      </c>
      <c r="G32" s="66">
        <f>IF($A32="","",SUMIFS(MPS!$J:$J,MPS!$A:$A,G$1,MPS!$C:$C,$A32))</f>
        <v>1756</v>
      </c>
      <c r="H32" s="39">
        <f t="shared" si="2"/>
        <v>13787</v>
      </c>
      <c r="I32" s="39">
        <f t="shared" si="2"/>
        <v>3352.25</v>
      </c>
      <c r="J32" s="39">
        <f t="shared" si="2"/>
        <v>13787</v>
      </c>
      <c r="K32" s="39">
        <f t="shared" si="2"/>
        <v>8562</v>
      </c>
      <c r="L32" s="39">
        <f t="shared" si="2"/>
        <v>4281</v>
      </c>
      <c r="M32" s="39">
        <f t="shared" si="2"/>
        <v>15625</v>
      </c>
      <c r="N32" s="39">
        <f t="shared" si="2"/>
        <v>9375</v>
      </c>
      <c r="O32" s="39">
        <f t="shared" si="2"/>
        <v>1500</v>
      </c>
      <c r="P32" s="39">
        <f t="shared" si="2"/>
        <v>250</v>
      </c>
      <c r="Q32" s="39">
        <f t="shared" si="2"/>
        <v>2000</v>
      </c>
      <c r="R32" s="39">
        <f t="shared" si="2"/>
        <v>1500</v>
      </c>
      <c r="S32" s="39">
        <f t="shared" si="2"/>
        <v>0</v>
      </c>
      <c r="T32" s="39">
        <f t="shared" si="2"/>
        <v>0</v>
      </c>
      <c r="U32" s="39">
        <f t="shared" si="2"/>
        <v>8780</v>
      </c>
      <c r="V32" s="39">
        <f t="shared" si="2"/>
        <v>3512</v>
      </c>
    </row>
    <row r="33" spans="1:22" x14ac:dyDescent="0.3">
      <c r="A33" s="38">
        <v>46349</v>
      </c>
      <c r="B33" s="66">
        <f>IF($A33="","",SUMIFS(MPS!$J:$J,MPS!$A:$A,B$1,MPS!$C:$C,$A33))</f>
        <v>4282</v>
      </c>
      <c r="C33" s="66">
        <f>IF($A33="","",SUMIFS(MPS!$J:$J,MPS!$A:$A,C$1,MPS!$C:$C,$A33))</f>
        <v>6250</v>
      </c>
      <c r="D33" s="66">
        <f>IF($A33="","",SUMIFS(MPS!$J:$J,MPS!$A:$A,D$1,MPS!$C:$C,$A33))</f>
        <v>3000</v>
      </c>
      <c r="E33" s="66">
        <f>IF($A33="","",SUMIFS(MPS!$J:$J,MPS!$A:$A,E$1,MPS!$C:$C,$A33))</f>
        <v>1250</v>
      </c>
      <c r="F33" s="66">
        <f>IF($A33="","",SUMIFS(MPS!$J:$J,MPS!$A:$A,F$1,MPS!$C:$C,$A33))</f>
        <v>0</v>
      </c>
      <c r="G33" s="66">
        <f>IF($A33="","",SUMIFS(MPS!$J:$J,MPS!$A:$A,G$1,MPS!$C:$C,$A33))</f>
        <v>1756</v>
      </c>
      <c r="H33" s="39">
        <f t="shared" si="2"/>
        <v>16538</v>
      </c>
      <c r="I33" s="39">
        <f t="shared" si="2"/>
        <v>4665</v>
      </c>
      <c r="J33" s="39">
        <f t="shared" si="2"/>
        <v>16538</v>
      </c>
      <c r="K33" s="39">
        <f t="shared" si="2"/>
        <v>8564</v>
      </c>
      <c r="L33" s="39">
        <f t="shared" si="2"/>
        <v>4282</v>
      </c>
      <c r="M33" s="39">
        <f t="shared" si="2"/>
        <v>15625</v>
      </c>
      <c r="N33" s="39">
        <f t="shared" si="2"/>
        <v>9375</v>
      </c>
      <c r="O33" s="39">
        <f t="shared" si="2"/>
        <v>9000</v>
      </c>
      <c r="P33" s="39">
        <f t="shared" si="2"/>
        <v>1500</v>
      </c>
      <c r="Q33" s="39">
        <f t="shared" si="2"/>
        <v>2500</v>
      </c>
      <c r="R33" s="39">
        <f t="shared" si="2"/>
        <v>1875</v>
      </c>
      <c r="S33" s="39">
        <f t="shared" si="2"/>
        <v>0</v>
      </c>
      <c r="T33" s="39">
        <f t="shared" si="2"/>
        <v>0</v>
      </c>
      <c r="U33" s="39">
        <f t="shared" si="2"/>
        <v>8780</v>
      </c>
      <c r="V33" s="39">
        <f t="shared" si="2"/>
        <v>3512</v>
      </c>
    </row>
    <row r="34" spans="1:22" x14ac:dyDescent="0.3">
      <c r="A34" s="38">
        <v>46356</v>
      </c>
      <c r="B34" s="66">
        <f>IF($A34="","",SUMIFS(MPS!$J:$J,MPS!$A:$A,B$1,MPS!$C:$C,$A34))</f>
        <v>4281</v>
      </c>
      <c r="C34" s="66">
        <f>IF($A34="","",SUMIFS(MPS!$J:$J,MPS!$A:$A,C$1,MPS!$C:$C,$A34))</f>
        <v>6250</v>
      </c>
      <c r="D34" s="66">
        <f>IF($A34="","",SUMIFS(MPS!$J:$J,MPS!$A:$A,D$1,MPS!$C:$C,$A34))</f>
        <v>3000</v>
      </c>
      <c r="E34" s="66">
        <f>IF($A34="","",SUMIFS(MPS!$J:$J,MPS!$A:$A,E$1,MPS!$C:$C,$A34))</f>
        <v>1250</v>
      </c>
      <c r="F34" s="66">
        <f>IF($A34="","",SUMIFS(MPS!$J:$J,MPS!$A:$A,F$1,MPS!$C:$C,$A34))</f>
        <v>300</v>
      </c>
      <c r="G34" s="66">
        <f>IF($A34="","",SUMIFS(MPS!$J:$J,MPS!$A:$A,G$1,MPS!$C:$C,$A34))</f>
        <v>1928</v>
      </c>
      <c r="H34" s="39">
        <f t="shared" ref="H34:V49" si="3">IF($A34="","",SUMPRODUCT($B34:$G34,INDEX($Y$2:$AD$16,MATCH(H$1,$X$2:$X$16,0),0)))</f>
        <v>17009</v>
      </c>
      <c r="I34" s="39">
        <f t="shared" si="3"/>
        <v>4836.25</v>
      </c>
      <c r="J34" s="39">
        <f t="shared" si="3"/>
        <v>17009</v>
      </c>
      <c r="K34" s="39">
        <f t="shared" si="3"/>
        <v>8562</v>
      </c>
      <c r="L34" s="39">
        <f t="shared" si="3"/>
        <v>4281</v>
      </c>
      <c r="M34" s="39">
        <f t="shared" si="3"/>
        <v>15625</v>
      </c>
      <c r="N34" s="39">
        <f t="shared" si="3"/>
        <v>9375</v>
      </c>
      <c r="O34" s="39">
        <f t="shared" si="3"/>
        <v>9000</v>
      </c>
      <c r="P34" s="39">
        <f t="shared" si="3"/>
        <v>1500</v>
      </c>
      <c r="Q34" s="39">
        <f t="shared" si="3"/>
        <v>2500</v>
      </c>
      <c r="R34" s="39">
        <f t="shared" si="3"/>
        <v>1875</v>
      </c>
      <c r="S34" s="39">
        <f t="shared" si="3"/>
        <v>900</v>
      </c>
      <c r="T34" s="39">
        <f t="shared" si="3"/>
        <v>1200</v>
      </c>
      <c r="U34" s="39">
        <f t="shared" si="3"/>
        <v>9640</v>
      </c>
      <c r="V34" s="39">
        <f t="shared" si="3"/>
        <v>3856</v>
      </c>
    </row>
    <row r="35" spans="1:22" x14ac:dyDescent="0.3">
      <c r="A35" s="38">
        <v>46363</v>
      </c>
      <c r="B35" s="66">
        <f>IF($A35="","",SUMIFS(MPS!$J:$J,MPS!$A:$A,B$1,MPS!$C:$C,$A35))</f>
        <v>8326</v>
      </c>
      <c r="C35" s="66">
        <f>IF($A35="","",SUMIFS(MPS!$J:$J,MPS!$A:$A,C$1,MPS!$C:$C,$A35))</f>
        <v>6250</v>
      </c>
      <c r="D35" s="66">
        <f>IF($A35="","",SUMIFS(MPS!$J:$J,MPS!$A:$A,D$1,MPS!$C:$C,$A35))</f>
        <v>3000</v>
      </c>
      <c r="E35" s="66">
        <f>IF($A35="","",SUMIFS(MPS!$J:$J,MPS!$A:$A,E$1,MPS!$C:$C,$A35))</f>
        <v>1250</v>
      </c>
      <c r="F35" s="66">
        <f>IF($A35="","",SUMIFS(MPS!$J:$J,MPS!$A:$A,F$1,MPS!$C:$C,$A35))</f>
        <v>0</v>
      </c>
      <c r="G35" s="66">
        <f>IF($A35="","",SUMIFS(MPS!$J:$J,MPS!$A:$A,G$1,MPS!$C:$C,$A35))</f>
        <v>1930</v>
      </c>
      <c r="H35" s="39">
        <f t="shared" si="3"/>
        <v>20756</v>
      </c>
      <c r="I35" s="39">
        <f t="shared" si="3"/>
        <v>5697.75</v>
      </c>
      <c r="J35" s="39">
        <f t="shared" si="3"/>
        <v>20756</v>
      </c>
      <c r="K35" s="39">
        <f t="shared" si="3"/>
        <v>16652</v>
      </c>
      <c r="L35" s="39">
        <f t="shared" si="3"/>
        <v>8326</v>
      </c>
      <c r="M35" s="39">
        <f t="shared" si="3"/>
        <v>15625</v>
      </c>
      <c r="N35" s="39">
        <f t="shared" si="3"/>
        <v>9375</v>
      </c>
      <c r="O35" s="39">
        <f t="shared" si="3"/>
        <v>9000</v>
      </c>
      <c r="P35" s="39">
        <f t="shared" si="3"/>
        <v>1500</v>
      </c>
      <c r="Q35" s="39">
        <f t="shared" si="3"/>
        <v>2500</v>
      </c>
      <c r="R35" s="39">
        <f t="shared" si="3"/>
        <v>1875</v>
      </c>
      <c r="S35" s="39">
        <f t="shared" si="3"/>
        <v>0</v>
      </c>
      <c r="T35" s="39">
        <f t="shared" si="3"/>
        <v>0</v>
      </c>
      <c r="U35" s="39">
        <f t="shared" si="3"/>
        <v>9650</v>
      </c>
      <c r="V35" s="39">
        <f t="shared" si="3"/>
        <v>3860</v>
      </c>
    </row>
    <row r="36" spans="1:22" x14ac:dyDescent="0.3">
      <c r="A36" s="38">
        <v>46370</v>
      </c>
      <c r="B36" s="66">
        <f>IF($A36="","",SUMIFS(MPS!$J:$J,MPS!$A:$A,B$1,MPS!$C:$C,$A36))</f>
        <v>8325</v>
      </c>
      <c r="C36" s="66">
        <f>IF($A36="","",SUMIFS(MPS!$J:$J,MPS!$A:$A,C$1,MPS!$C:$C,$A36))</f>
        <v>6250</v>
      </c>
      <c r="D36" s="66">
        <f>IF($A36="","",SUMIFS(MPS!$J:$J,MPS!$A:$A,D$1,MPS!$C:$C,$A36))</f>
        <v>3000</v>
      </c>
      <c r="E36" s="66">
        <f>IF($A36="","",SUMIFS(MPS!$J:$J,MPS!$A:$A,E$1,MPS!$C:$C,$A36))</f>
        <v>1250</v>
      </c>
      <c r="F36" s="66">
        <f>IF($A36="","",SUMIFS(MPS!$J:$J,MPS!$A:$A,F$1,MPS!$C:$C,$A36))</f>
        <v>0</v>
      </c>
      <c r="G36" s="66">
        <f>IF($A36="","",SUMIFS(MPS!$J:$J,MPS!$A:$A,G$1,MPS!$C:$C,$A36))</f>
        <v>1928</v>
      </c>
      <c r="H36" s="39">
        <f t="shared" si="3"/>
        <v>20753</v>
      </c>
      <c r="I36" s="39">
        <f t="shared" si="3"/>
        <v>5697.25</v>
      </c>
      <c r="J36" s="39">
        <f t="shared" si="3"/>
        <v>20753</v>
      </c>
      <c r="K36" s="39">
        <f t="shared" si="3"/>
        <v>16650</v>
      </c>
      <c r="L36" s="39">
        <f t="shared" si="3"/>
        <v>8325</v>
      </c>
      <c r="M36" s="39">
        <f t="shared" si="3"/>
        <v>15625</v>
      </c>
      <c r="N36" s="39">
        <f t="shared" si="3"/>
        <v>9375</v>
      </c>
      <c r="O36" s="39">
        <f t="shared" si="3"/>
        <v>9000</v>
      </c>
      <c r="P36" s="39">
        <f t="shared" si="3"/>
        <v>1500</v>
      </c>
      <c r="Q36" s="39">
        <f t="shared" si="3"/>
        <v>2500</v>
      </c>
      <c r="R36" s="39">
        <f t="shared" si="3"/>
        <v>1875</v>
      </c>
      <c r="S36" s="39">
        <f t="shared" si="3"/>
        <v>0</v>
      </c>
      <c r="T36" s="39">
        <f t="shared" si="3"/>
        <v>0</v>
      </c>
      <c r="U36" s="39">
        <f t="shared" si="3"/>
        <v>9640</v>
      </c>
      <c r="V36" s="39">
        <f t="shared" si="3"/>
        <v>3856</v>
      </c>
    </row>
    <row r="37" spans="1:22" x14ac:dyDescent="0.3">
      <c r="A37" s="38"/>
      <c r="B37" s="39" t="str">
        <f>IF($A37="","",SUMIFS([1]weekly_demand!$D:$D,[1]weekly_demand!$A:$A,B$1,[1]weekly_demand!$C:$C,$A37))</f>
        <v/>
      </c>
      <c r="C37" s="39" t="str">
        <f>IF($A37="","",SUMIFS([1]weekly_demand!$D:$D,[1]weekly_demand!$A:$A,C$1,[1]weekly_demand!$C:$C,$A37))</f>
        <v/>
      </c>
      <c r="D37" s="39" t="str">
        <f>IF($A37="","",SUMIFS([1]weekly_demand!$D:$D,[1]weekly_demand!$A:$A,D$1,[1]weekly_demand!$C:$C,$A37))</f>
        <v/>
      </c>
      <c r="E37" s="39" t="str">
        <f>IF($A37="","",SUMIFS([1]weekly_demand!$D:$D,[1]weekly_demand!$A:$A,E$1,[1]weekly_demand!$C:$C,$A37))</f>
        <v/>
      </c>
      <c r="F37" s="39" t="str">
        <f>IF($A37="","",SUMIFS([1]weekly_demand!$D:$D,[1]weekly_demand!$A:$A,F$1,[1]weekly_demand!$C:$C,$A37))</f>
        <v/>
      </c>
      <c r="G37" s="39" t="str">
        <f>IF($A37="","",SUMIFS([1]weekly_demand!$D:$D,[1]weekly_demand!$A:$A,G$1,[1]weekly_demand!$C:$C,$A37))</f>
        <v/>
      </c>
      <c r="H37" s="39" t="str">
        <f t="shared" si="3"/>
        <v/>
      </c>
      <c r="I37" s="39" t="str">
        <f t="shared" si="3"/>
        <v/>
      </c>
      <c r="J37" s="39" t="str">
        <f t="shared" si="3"/>
        <v/>
      </c>
      <c r="K37" s="39" t="str">
        <f t="shared" si="3"/>
        <v/>
      </c>
      <c r="L37" s="39" t="str">
        <f t="shared" si="3"/>
        <v/>
      </c>
      <c r="M37" s="39" t="str">
        <f t="shared" si="3"/>
        <v/>
      </c>
      <c r="N37" s="39" t="str">
        <f t="shared" si="3"/>
        <v/>
      </c>
      <c r="O37" s="39" t="str">
        <f t="shared" si="3"/>
        <v/>
      </c>
      <c r="P37" s="39" t="str">
        <f t="shared" si="3"/>
        <v/>
      </c>
      <c r="Q37" s="39" t="str">
        <f t="shared" si="3"/>
        <v/>
      </c>
      <c r="R37" s="39" t="str">
        <f t="shared" si="3"/>
        <v/>
      </c>
      <c r="S37" s="39" t="str">
        <f t="shared" si="3"/>
        <v/>
      </c>
      <c r="T37" s="39" t="str">
        <f t="shared" si="3"/>
        <v/>
      </c>
      <c r="U37" s="39" t="str">
        <f t="shared" si="3"/>
        <v/>
      </c>
      <c r="V37" s="39" t="str">
        <f t="shared" si="3"/>
        <v/>
      </c>
    </row>
    <row r="38" spans="1:22" x14ac:dyDescent="0.3">
      <c r="A38" s="38"/>
      <c r="B38" s="39" t="str">
        <f>IF($A38="","",SUMIFS([1]weekly_demand!$D:$D,[1]weekly_demand!$A:$A,B$1,[1]weekly_demand!$C:$C,$A38))</f>
        <v/>
      </c>
      <c r="C38" s="39" t="str">
        <f>IF($A38="","",SUMIFS([1]weekly_demand!$D:$D,[1]weekly_demand!$A:$A,C$1,[1]weekly_demand!$C:$C,$A38))</f>
        <v/>
      </c>
      <c r="D38" s="39" t="str">
        <f>IF($A38="","",SUMIFS([1]weekly_demand!$D:$D,[1]weekly_demand!$A:$A,D$1,[1]weekly_demand!$C:$C,$A38))</f>
        <v/>
      </c>
      <c r="E38" s="39" t="str">
        <f>IF($A38="","",SUMIFS([1]weekly_demand!$D:$D,[1]weekly_demand!$A:$A,E$1,[1]weekly_demand!$C:$C,$A38))</f>
        <v/>
      </c>
      <c r="F38" s="39" t="str">
        <f>IF($A38="","",SUMIFS([1]weekly_demand!$D:$D,[1]weekly_demand!$A:$A,F$1,[1]weekly_demand!$C:$C,$A38))</f>
        <v/>
      </c>
      <c r="G38" s="39" t="str">
        <f>IF($A38="","",SUMIFS([1]weekly_demand!$D:$D,[1]weekly_demand!$A:$A,G$1,[1]weekly_demand!$C:$C,$A38))</f>
        <v/>
      </c>
      <c r="H38" s="39" t="str">
        <f t="shared" si="3"/>
        <v/>
      </c>
      <c r="I38" s="39" t="str">
        <f t="shared" si="3"/>
        <v/>
      </c>
      <c r="J38" s="39" t="str">
        <f t="shared" si="3"/>
        <v/>
      </c>
      <c r="K38" s="39" t="str">
        <f t="shared" si="3"/>
        <v/>
      </c>
      <c r="L38" s="39" t="str">
        <f t="shared" si="3"/>
        <v/>
      </c>
      <c r="M38" s="39" t="str">
        <f t="shared" si="3"/>
        <v/>
      </c>
      <c r="N38" s="39" t="str">
        <f t="shared" si="3"/>
        <v/>
      </c>
      <c r="O38" s="39" t="str">
        <f t="shared" si="3"/>
        <v/>
      </c>
      <c r="P38" s="39" t="str">
        <f t="shared" si="3"/>
        <v/>
      </c>
      <c r="Q38" s="39" t="str">
        <f t="shared" si="3"/>
        <v/>
      </c>
      <c r="R38" s="39" t="str">
        <f t="shared" si="3"/>
        <v/>
      </c>
      <c r="S38" s="39" t="str">
        <f t="shared" si="3"/>
        <v/>
      </c>
      <c r="T38" s="39" t="str">
        <f t="shared" si="3"/>
        <v/>
      </c>
      <c r="U38" s="39" t="str">
        <f t="shared" si="3"/>
        <v/>
      </c>
      <c r="V38" s="39" t="str">
        <f t="shared" si="3"/>
        <v/>
      </c>
    </row>
    <row r="39" spans="1:22" x14ac:dyDescent="0.3">
      <c r="A39" s="38"/>
      <c r="B39" s="39" t="str">
        <f>IF($A39="","",SUMIFS([1]weekly_demand!$D:$D,[1]weekly_demand!$A:$A,B$1,[1]weekly_demand!$C:$C,$A39))</f>
        <v/>
      </c>
      <c r="C39" s="39" t="str">
        <f>IF($A39="","",SUMIFS([1]weekly_demand!$D:$D,[1]weekly_demand!$A:$A,C$1,[1]weekly_demand!$C:$C,$A39))</f>
        <v/>
      </c>
      <c r="D39" s="39" t="str">
        <f>IF($A39="","",SUMIFS([1]weekly_demand!$D:$D,[1]weekly_demand!$A:$A,D$1,[1]weekly_demand!$C:$C,$A39))</f>
        <v/>
      </c>
      <c r="E39" s="39" t="str">
        <f>IF($A39="","",SUMIFS([1]weekly_demand!$D:$D,[1]weekly_demand!$A:$A,E$1,[1]weekly_demand!$C:$C,$A39))</f>
        <v/>
      </c>
      <c r="F39" s="39" t="str">
        <f>IF($A39="","",SUMIFS([1]weekly_demand!$D:$D,[1]weekly_demand!$A:$A,F$1,[1]weekly_demand!$C:$C,$A39))</f>
        <v/>
      </c>
      <c r="G39" s="39" t="str">
        <f>IF($A39="","",SUMIFS([1]weekly_demand!$D:$D,[1]weekly_demand!$A:$A,G$1,[1]weekly_demand!$C:$C,$A39))</f>
        <v/>
      </c>
      <c r="H39" s="39" t="str">
        <f t="shared" si="3"/>
        <v/>
      </c>
      <c r="I39" s="39" t="str">
        <f t="shared" si="3"/>
        <v/>
      </c>
      <c r="J39" s="39" t="str">
        <f t="shared" si="3"/>
        <v/>
      </c>
      <c r="K39" s="39" t="str">
        <f t="shared" si="3"/>
        <v/>
      </c>
      <c r="L39" s="39" t="str">
        <f t="shared" si="3"/>
        <v/>
      </c>
      <c r="M39" s="39" t="str">
        <f t="shared" si="3"/>
        <v/>
      </c>
      <c r="N39" s="39" t="str">
        <f t="shared" si="3"/>
        <v/>
      </c>
      <c r="O39" s="39" t="str">
        <f t="shared" si="3"/>
        <v/>
      </c>
      <c r="P39" s="39" t="str">
        <f t="shared" si="3"/>
        <v/>
      </c>
      <c r="Q39" s="39" t="str">
        <f t="shared" si="3"/>
        <v/>
      </c>
      <c r="R39" s="39" t="str">
        <f t="shared" si="3"/>
        <v/>
      </c>
      <c r="S39" s="39" t="str">
        <f t="shared" si="3"/>
        <v/>
      </c>
      <c r="T39" s="39" t="str">
        <f t="shared" si="3"/>
        <v/>
      </c>
      <c r="U39" s="39" t="str">
        <f t="shared" si="3"/>
        <v/>
      </c>
      <c r="V39" s="39" t="str">
        <f t="shared" si="3"/>
        <v/>
      </c>
    </row>
    <row r="40" spans="1:22" x14ac:dyDescent="0.3">
      <c r="A40" s="38"/>
      <c r="B40" s="39" t="str">
        <f>IF($A40="","",SUMIFS([1]weekly_demand!$D:$D,[1]weekly_demand!$A:$A,B$1,[1]weekly_demand!$C:$C,$A40))</f>
        <v/>
      </c>
      <c r="C40" s="39" t="str">
        <f>IF($A40="","",SUMIFS([1]weekly_demand!$D:$D,[1]weekly_demand!$A:$A,C$1,[1]weekly_demand!$C:$C,$A40))</f>
        <v/>
      </c>
      <c r="D40" s="39" t="str">
        <f>IF($A40="","",SUMIFS([1]weekly_demand!$D:$D,[1]weekly_demand!$A:$A,D$1,[1]weekly_demand!$C:$C,$A40))</f>
        <v/>
      </c>
      <c r="E40" s="39" t="str">
        <f>IF($A40="","",SUMIFS([1]weekly_demand!$D:$D,[1]weekly_demand!$A:$A,E$1,[1]weekly_demand!$C:$C,$A40))</f>
        <v/>
      </c>
      <c r="F40" s="39" t="str">
        <f>IF($A40="","",SUMIFS([1]weekly_demand!$D:$D,[1]weekly_demand!$A:$A,F$1,[1]weekly_demand!$C:$C,$A40))</f>
        <v/>
      </c>
      <c r="G40" s="39" t="str">
        <f>IF($A40="","",SUMIFS([1]weekly_demand!$D:$D,[1]weekly_demand!$A:$A,G$1,[1]weekly_demand!$C:$C,$A40))</f>
        <v/>
      </c>
      <c r="H40" s="39" t="str">
        <f t="shared" si="3"/>
        <v/>
      </c>
      <c r="I40" s="39" t="str">
        <f t="shared" si="3"/>
        <v/>
      </c>
      <c r="J40" s="39" t="str">
        <f t="shared" si="3"/>
        <v/>
      </c>
      <c r="K40" s="39" t="str">
        <f t="shared" si="3"/>
        <v/>
      </c>
      <c r="L40" s="39" t="str">
        <f t="shared" si="3"/>
        <v/>
      </c>
      <c r="M40" s="39" t="str">
        <f t="shared" si="3"/>
        <v/>
      </c>
      <c r="N40" s="39" t="str">
        <f t="shared" si="3"/>
        <v/>
      </c>
      <c r="O40" s="39" t="str">
        <f t="shared" si="3"/>
        <v/>
      </c>
      <c r="P40" s="39" t="str">
        <f t="shared" si="3"/>
        <v/>
      </c>
      <c r="Q40" s="39" t="str">
        <f t="shared" si="3"/>
        <v/>
      </c>
      <c r="R40" s="39" t="str">
        <f t="shared" si="3"/>
        <v/>
      </c>
      <c r="S40" s="39" t="str">
        <f t="shared" si="3"/>
        <v/>
      </c>
      <c r="T40" s="39" t="str">
        <f t="shared" si="3"/>
        <v/>
      </c>
      <c r="U40" s="39" t="str">
        <f t="shared" si="3"/>
        <v/>
      </c>
      <c r="V40" s="39" t="str">
        <f t="shared" si="3"/>
        <v/>
      </c>
    </row>
    <row r="41" spans="1:22" x14ac:dyDescent="0.3">
      <c r="A41" s="38"/>
      <c r="B41" s="39" t="str">
        <f>IF($A41="","",SUMIFS([1]weekly_demand!$D:$D,[1]weekly_demand!$A:$A,B$1,[1]weekly_demand!$C:$C,$A41))</f>
        <v/>
      </c>
      <c r="C41" s="39" t="str">
        <f>IF($A41="","",SUMIFS([1]weekly_demand!$D:$D,[1]weekly_demand!$A:$A,C$1,[1]weekly_demand!$C:$C,$A41))</f>
        <v/>
      </c>
      <c r="D41" s="39" t="str">
        <f>IF($A41="","",SUMIFS([1]weekly_demand!$D:$D,[1]weekly_demand!$A:$A,D$1,[1]weekly_demand!$C:$C,$A41))</f>
        <v/>
      </c>
      <c r="E41" s="39" t="str">
        <f>IF($A41="","",SUMIFS([1]weekly_demand!$D:$D,[1]weekly_demand!$A:$A,E$1,[1]weekly_demand!$C:$C,$A41))</f>
        <v/>
      </c>
      <c r="F41" s="39" t="str">
        <f>IF($A41="","",SUMIFS([1]weekly_demand!$D:$D,[1]weekly_demand!$A:$A,F$1,[1]weekly_demand!$C:$C,$A41))</f>
        <v/>
      </c>
      <c r="G41" s="39" t="str">
        <f>IF($A41="","",SUMIFS([1]weekly_demand!$D:$D,[1]weekly_demand!$A:$A,G$1,[1]weekly_demand!$C:$C,$A41))</f>
        <v/>
      </c>
      <c r="H41" s="39" t="str">
        <f t="shared" si="3"/>
        <v/>
      </c>
      <c r="I41" s="39" t="str">
        <f t="shared" si="3"/>
        <v/>
      </c>
      <c r="J41" s="39" t="str">
        <f t="shared" si="3"/>
        <v/>
      </c>
      <c r="K41" s="39" t="str">
        <f t="shared" si="3"/>
        <v/>
      </c>
      <c r="L41" s="39" t="str">
        <f t="shared" si="3"/>
        <v/>
      </c>
      <c r="M41" s="39" t="str">
        <f t="shared" si="3"/>
        <v/>
      </c>
      <c r="N41" s="39" t="str">
        <f t="shared" si="3"/>
        <v/>
      </c>
      <c r="O41" s="39" t="str">
        <f t="shared" si="3"/>
        <v/>
      </c>
      <c r="P41" s="39" t="str">
        <f t="shared" si="3"/>
        <v/>
      </c>
      <c r="Q41" s="39" t="str">
        <f t="shared" si="3"/>
        <v/>
      </c>
      <c r="R41" s="39" t="str">
        <f t="shared" si="3"/>
        <v/>
      </c>
      <c r="S41" s="39" t="str">
        <f t="shared" si="3"/>
        <v/>
      </c>
      <c r="T41" s="39" t="str">
        <f t="shared" si="3"/>
        <v/>
      </c>
      <c r="U41" s="39" t="str">
        <f t="shared" si="3"/>
        <v/>
      </c>
      <c r="V41" s="39" t="str">
        <f t="shared" si="3"/>
        <v/>
      </c>
    </row>
    <row r="42" spans="1:22" x14ac:dyDescent="0.3">
      <c r="A42" s="38"/>
      <c r="B42" s="39" t="str">
        <f>IF($A42="","",SUMIFS([1]weekly_demand!$D:$D,[1]weekly_demand!$A:$A,B$1,[1]weekly_demand!$C:$C,$A42))</f>
        <v/>
      </c>
      <c r="C42" s="39" t="str">
        <f>IF($A42="","",SUMIFS([1]weekly_demand!$D:$D,[1]weekly_demand!$A:$A,C$1,[1]weekly_demand!$C:$C,$A42))</f>
        <v/>
      </c>
      <c r="D42" s="39" t="str">
        <f>IF($A42="","",SUMIFS([1]weekly_demand!$D:$D,[1]weekly_demand!$A:$A,D$1,[1]weekly_demand!$C:$C,$A42))</f>
        <v/>
      </c>
      <c r="E42" s="39" t="str">
        <f>IF($A42="","",SUMIFS([1]weekly_demand!$D:$D,[1]weekly_demand!$A:$A,E$1,[1]weekly_demand!$C:$C,$A42))</f>
        <v/>
      </c>
      <c r="F42" s="39" t="str">
        <f>IF($A42="","",SUMIFS([1]weekly_demand!$D:$D,[1]weekly_demand!$A:$A,F$1,[1]weekly_demand!$C:$C,$A42))</f>
        <v/>
      </c>
      <c r="G42" s="39" t="str">
        <f>IF($A42="","",SUMIFS([1]weekly_demand!$D:$D,[1]weekly_demand!$A:$A,G$1,[1]weekly_demand!$C:$C,$A42))</f>
        <v/>
      </c>
      <c r="H42" s="39" t="str">
        <f t="shared" si="3"/>
        <v/>
      </c>
      <c r="I42" s="39" t="str">
        <f t="shared" si="3"/>
        <v/>
      </c>
      <c r="J42" s="39" t="str">
        <f t="shared" si="3"/>
        <v/>
      </c>
      <c r="K42" s="39" t="str">
        <f t="shared" si="3"/>
        <v/>
      </c>
      <c r="L42" s="39" t="str">
        <f t="shared" si="3"/>
        <v/>
      </c>
      <c r="M42" s="39" t="str">
        <f t="shared" si="3"/>
        <v/>
      </c>
      <c r="N42" s="39" t="str">
        <f t="shared" si="3"/>
        <v/>
      </c>
      <c r="O42" s="39" t="str">
        <f t="shared" si="3"/>
        <v/>
      </c>
      <c r="P42" s="39" t="str">
        <f t="shared" si="3"/>
        <v/>
      </c>
      <c r="Q42" s="39" t="str">
        <f t="shared" si="3"/>
        <v/>
      </c>
      <c r="R42" s="39" t="str">
        <f t="shared" si="3"/>
        <v/>
      </c>
      <c r="S42" s="39" t="str">
        <f t="shared" si="3"/>
        <v/>
      </c>
      <c r="T42" s="39" t="str">
        <f t="shared" si="3"/>
        <v/>
      </c>
      <c r="U42" s="39" t="str">
        <f t="shared" si="3"/>
        <v/>
      </c>
      <c r="V42" s="39" t="str">
        <f t="shared" si="3"/>
        <v/>
      </c>
    </row>
    <row r="43" spans="1:22" x14ac:dyDescent="0.3">
      <c r="A43" s="38"/>
      <c r="B43" s="39" t="str">
        <f>IF($A43="","",SUMIFS([1]weekly_demand!$D:$D,[1]weekly_demand!$A:$A,B$1,[1]weekly_demand!$C:$C,$A43))</f>
        <v/>
      </c>
      <c r="C43" s="39" t="str">
        <f>IF($A43="","",SUMIFS([1]weekly_demand!$D:$D,[1]weekly_demand!$A:$A,C$1,[1]weekly_demand!$C:$C,$A43))</f>
        <v/>
      </c>
      <c r="D43" s="39" t="str">
        <f>IF($A43="","",SUMIFS([1]weekly_demand!$D:$D,[1]weekly_demand!$A:$A,D$1,[1]weekly_demand!$C:$C,$A43))</f>
        <v/>
      </c>
      <c r="E43" s="39" t="str">
        <f>IF($A43="","",SUMIFS([1]weekly_demand!$D:$D,[1]weekly_demand!$A:$A,E$1,[1]weekly_demand!$C:$C,$A43))</f>
        <v/>
      </c>
      <c r="F43" s="39" t="str">
        <f>IF($A43="","",SUMIFS([1]weekly_demand!$D:$D,[1]weekly_demand!$A:$A,F$1,[1]weekly_demand!$C:$C,$A43))</f>
        <v/>
      </c>
      <c r="G43" s="39" t="str">
        <f>IF($A43="","",SUMIFS([1]weekly_demand!$D:$D,[1]weekly_demand!$A:$A,G$1,[1]weekly_demand!$C:$C,$A43))</f>
        <v/>
      </c>
      <c r="H43" s="39" t="str">
        <f t="shared" si="3"/>
        <v/>
      </c>
      <c r="I43" s="39" t="str">
        <f t="shared" si="3"/>
        <v/>
      </c>
      <c r="J43" s="39" t="str">
        <f t="shared" si="3"/>
        <v/>
      </c>
      <c r="K43" s="39" t="str">
        <f t="shared" si="3"/>
        <v/>
      </c>
      <c r="L43" s="39" t="str">
        <f t="shared" si="3"/>
        <v/>
      </c>
      <c r="M43" s="39" t="str">
        <f t="shared" si="3"/>
        <v/>
      </c>
      <c r="N43" s="39" t="str">
        <f t="shared" si="3"/>
        <v/>
      </c>
      <c r="O43" s="39" t="str">
        <f t="shared" si="3"/>
        <v/>
      </c>
      <c r="P43" s="39" t="str">
        <f t="shared" si="3"/>
        <v/>
      </c>
      <c r="Q43" s="39" t="str">
        <f t="shared" si="3"/>
        <v/>
      </c>
      <c r="R43" s="39" t="str">
        <f t="shared" si="3"/>
        <v/>
      </c>
      <c r="S43" s="39" t="str">
        <f t="shared" si="3"/>
        <v/>
      </c>
      <c r="T43" s="39" t="str">
        <f t="shared" si="3"/>
        <v/>
      </c>
      <c r="U43" s="39" t="str">
        <f t="shared" si="3"/>
        <v/>
      </c>
      <c r="V43" s="39" t="str">
        <f t="shared" si="3"/>
        <v/>
      </c>
    </row>
    <row r="44" spans="1:22" x14ac:dyDescent="0.3">
      <c r="A44" s="38"/>
      <c r="B44" s="39" t="str">
        <f>IF($A44="","",SUMIFS([1]weekly_demand!$D:$D,[1]weekly_demand!$A:$A,B$1,[1]weekly_demand!$C:$C,$A44))</f>
        <v/>
      </c>
      <c r="C44" s="39" t="str">
        <f>IF($A44="","",SUMIFS([1]weekly_demand!$D:$D,[1]weekly_demand!$A:$A,C$1,[1]weekly_demand!$C:$C,$A44))</f>
        <v/>
      </c>
      <c r="D44" s="39" t="str">
        <f>IF($A44="","",SUMIFS([1]weekly_demand!$D:$D,[1]weekly_demand!$A:$A,D$1,[1]weekly_demand!$C:$C,$A44))</f>
        <v/>
      </c>
      <c r="E44" s="39" t="str">
        <f>IF($A44="","",SUMIFS([1]weekly_demand!$D:$D,[1]weekly_demand!$A:$A,E$1,[1]weekly_demand!$C:$C,$A44))</f>
        <v/>
      </c>
      <c r="F44" s="39" t="str">
        <f>IF($A44="","",SUMIFS([1]weekly_demand!$D:$D,[1]weekly_demand!$A:$A,F$1,[1]weekly_demand!$C:$C,$A44))</f>
        <v/>
      </c>
      <c r="G44" s="39" t="str">
        <f>IF($A44="","",SUMIFS([1]weekly_demand!$D:$D,[1]weekly_demand!$A:$A,G$1,[1]weekly_demand!$C:$C,$A44))</f>
        <v/>
      </c>
      <c r="H44" s="39" t="str">
        <f t="shared" si="3"/>
        <v/>
      </c>
      <c r="I44" s="39" t="str">
        <f t="shared" si="3"/>
        <v/>
      </c>
      <c r="J44" s="39" t="str">
        <f t="shared" si="3"/>
        <v/>
      </c>
      <c r="K44" s="39" t="str">
        <f t="shared" si="3"/>
        <v/>
      </c>
      <c r="L44" s="39" t="str">
        <f t="shared" si="3"/>
        <v/>
      </c>
      <c r="M44" s="39" t="str">
        <f t="shared" si="3"/>
        <v/>
      </c>
      <c r="N44" s="39" t="str">
        <f t="shared" si="3"/>
        <v/>
      </c>
      <c r="O44" s="39" t="str">
        <f t="shared" si="3"/>
        <v/>
      </c>
      <c r="P44" s="39" t="str">
        <f t="shared" si="3"/>
        <v/>
      </c>
      <c r="Q44" s="39" t="str">
        <f t="shared" si="3"/>
        <v/>
      </c>
      <c r="R44" s="39" t="str">
        <f t="shared" si="3"/>
        <v/>
      </c>
      <c r="S44" s="39" t="str">
        <f t="shared" si="3"/>
        <v/>
      </c>
      <c r="T44" s="39" t="str">
        <f t="shared" si="3"/>
        <v/>
      </c>
      <c r="U44" s="39" t="str">
        <f t="shared" si="3"/>
        <v/>
      </c>
      <c r="V44" s="39" t="str">
        <f t="shared" si="3"/>
        <v/>
      </c>
    </row>
    <row r="45" spans="1:22" x14ac:dyDescent="0.3">
      <c r="A45" s="38"/>
      <c r="B45" s="39" t="str">
        <f>IF($A45="","",SUMIFS([1]weekly_demand!$D:$D,[1]weekly_demand!$A:$A,B$1,[1]weekly_demand!$C:$C,$A45))</f>
        <v/>
      </c>
      <c r="C45" s="39" t="str">
        <f>IF($A45="","",SUMIFS([1]weekly_demand!$D:$D,[1]weekly_demand!$A:$A,C$1,[1]weekly_demand!$C:$C,$A45))</f>
        <v/>
      </c>
      <c r="D45" s="39" t="str">
        <f>IF($A45="","",SUMIFS([1]weekly_demand!$D:$D,[1]weekly_demand!$A:$A,D$1,[1]weekly_demand!$C:$C,$A45))</f>
        <v/>
      </c>
      <c r="E45" s="39" t="str">
        <f>IF($A45="","",SUMIFS([1]weekly_demand!$D:$D,[1]weekly_demand!$A:$A,E$1,[1]weekly_demand!$C:$C,$A45))</f>
        <v/>
      </c>
      <c r="F45" s="39" t="str">
        <f>IF($A45="","",SUMIFS([1]weekly_demand!$D:$D,[1]weekly_demand!$A:$A,F$1,[1]weekly_demand!$C:$C,$A45))</f>
        <v/>
      </c>
      <c r="G45" s="39" t="str">
        <f>IF($A45="","",SUMIFS([1]weekly_demand!$D:$D,[1]weekly_demand!$A:$A,G$1,[1]weekly_demand!$C:$C,$A45))</f>
        <v/>
      </c>
      <c r="H45" s="39" t="str">
        <f t="shared" si="3"/>
        <v/>
      </c>
      <c r="I45" s="39" t="str">
        <f t="shared" si="3"/>
        <v/>
      </c>
      <c r="J45" s="39" t="str">
        <f t="shared" si="3"/>
        <v/>
      </c>
      <c r="K45" s="39" t="str">
        <f t="shared" si="3"/>
        <v/>
      </c>
      <c r="L45" s="39" t="str">
        <f t="shared" si="3"/>
        <v/>
      </c>
      <c r="M45" s="39" t="str">
        <f t="shared" si="3"/>
        <v/>
      </c>
      <c r="N45" s="39" t="str">
        <f t="shared" si="3"/>
        <v/>
      </c>
      <c r="O45" s="39" t="str">
        <f t="shared" si="3"/>
        <v/>
      </c>
      <c r="P45" s="39" t="str">
        <f t="shared" si="3"/>
        <v/>
      </c>
      <c r="Q45" s="39" t="str">
        <f t="shared" si="3"/>
        <v/>
      </c>
      <c r="R45" s="39" t="str">
        <f t="shared" si="3"/>
        <v/>
      </c>
      <c r="S45" s="39" t="str">
        <f t="shared" si="3"/>
        <v/>
      </c>
      <c r="T45" s="39" t="str">
        <f t="shared" si="3"/>
        <v/>
      </c>
      <c r="U45" s="39" t="str">
        <f t="shared" si="3"/>
        <v/>
      </c>
      <c r="V45" s="39" t="str">
        <f t="shared" si="3"/>
        <v/>
      </c>
    </row>
    <row r="46" spans="1:22" x14ac:dyDescent="0.3">
      <c r="A46" s="38"/>
      <c r="B46" s="39" t="str">
        <f>IF($A46="","",SUMIFS([1]weekly_demand!$D:$D,[1]weekly_demand!$A:$A,B$1,[1]weekly_demand!$C:$C,$A46))</f>
        <v/>
      </c>
      <c r="C46" s="39" t="str">
        <f>IF($A46="","",SUMIFS([1]weekly_demand!$D:$D,[1]weekly_demand!$A:$A,C$1,[1]weekly_demand!$C:$C,$A46))</f>
        <v/>
      </c>
      <c r="D46" s="39" t="str">
        <f>IF($A46="","",SUMIFS([1]weekly_demand!$D:$D,[1]weekly_demand!$A:$A,D$1,[1]weekly_demand!$C:$C,$A46))</f>
        <v/>
      </c>
      <c r="E46" s="39" t="str">
        <f>IF($A46="","",SUMIFS([1]weekly_demand!$D:$D,[1]weekly_demand!$A:$A,E$1,[1]weekly_demand!$C:$C,$A46))</f>
        <v/>
      </c>
      <c r="F46" s="39" t="str">
        <f>IF($A46="","",SUMIFS([1]weekly_demand!$D:$D,[1]weekly_demand!$A:$A,F$1,[1]weekly_demand!$C:$C,$A46))</f>
        <v/>
      </c>
      <c r="G46" s="39" t="str">
        <f>IF($A46="","",SUMIFS([1]weekly_demand!$D:$D,[1]weekly_demand!$A:$A,G$1,[1]weekly_demand!$C:$C,$A46))</f>
        <v/>
      </c>
      <c r="H46" s="39" t="str">
        <f t="shared" si="3"/>
        <v/>
      </c>
      <c r="I46" s="39" t="str">
        <f t="shared" si="3"/>
        <v/>
      </c>
      <c r="J46" s="39" t="str">
        <f t="shared" si="3"/>
        <v/>
      </c>
      <c r="K46" s="39" t="str">
        <f t="shared" si="3"/>
        <v/>
      </c>
      <c r="L46" s="39" t="str">
        <f t="shared" si="3"/>
        <v/>
      </c>
      <c r="M46" s="39" t="str">
        <f t="shared" si="3"/>
        <v/>
      </c>
      <c r="N46" s="39" t="str">
        <f t="shared" si="3"/>
        <v/>
      </c>
      <c r="O46" s="39" t="str">
        <f t="shared" si="3"/>
        <v/>
      </c>
      <c r="P46" s="39" t="str">
        <f t="shared" si="3"/>
        <v/>
      </c>
      <c r="Q46" s="39" t="str">
        <f t="shared" si="3"/>
        <v/>
      </c>
      <c r="R46" s="39" t="str">
        <f t="shared" si="3"/>
        <v/>
      </c>
      <c r="S46" s="39" t="str">
        <f t="shared" si="3"/>
        <v/>
      </c>
      <c r="T46" s="39" t="str">
        <f t="shared" si="3"/>
        <v/>
      </c>
      <c r="U46" s="39" t="str">
        <f t="shared" si="3"/>
        <v/>
      </c>
      <c r="V46" s="39" t="str">
        <f t="shared" si="3"/>
        <v/>
      </c>
    </row>
    <row r="47" spans="1:22" x14ac:dyDescent="0.3">
      <c r="A47" s="38"/>
      <c r="B47" s="39" t="str">
        <f>IF($A47="","",SUMIFS([1]weekly_demand!$D:$D,[1]weekly_demand!$A:$A,B$1,[1]weekly_demand!$C:$C,$A47))</f>
        <v/>
      </c>
      <c r="C47" s="39" t="str">
        <f>IF($A47="","",SUMIFS([1]weekly_demand!$D:$D,[1]weekly_demand!$A:$A,C$1,[1]weekly_demand!$C:$C,$A47))</f>
        <v/>
      </c>
      <c r="D47" s="39" t="str">
        <f>IF($A47="","",SUMIFS([1]weekly_demand!$D:$D,[1]weekly_demand!$A:$A,D$1,[1]weekly_demand!$C:$C,$A47))</f>
        <v/>
      </c>
      <c r="E47" s="39" t="str">
        <f>IF($A47="","",SUMIFS([1]weekly_demand!$D:$D,[1]weekly_demand!$A:$A,E$1,[1]weekly_demand!$C:$C,$A47))</f>
        <v/>
      </c>
      <c r="F47" s="39" t="str">
        <f>IF($A47="","",SUMIFS([1]weekly_demand!$D:$D,[1]weekly_demand!$A:$A,F$1,[1]weekly_demand!$C:$C,$A47))</f>
        <v/>
      </c>
      <c r="G47" s="39" t="str">
        <f>IF($A47="","",SUMIFS([1]weekly_demand!$D:$D,[1]weekly_demand!$A:$A,G$1,[1]weekly_demand!$C:$C,$A47))</f>
        <v/>
      </c>
      <c r="H47" s="39" t="str">
        <f t="shared" si="3"/>
        <v/>
      </c>
      <c r="I47" s="39" t="str">
        <f t="shared" si="3"/>
        <v/>
      </c>
      <c r="J47" s="39" t="str">
        <f t="shared" si="3"/>
        <v/>
      </c>
      <c r="K47" s="39" t="str">
        <f t="shared" si="3"/>
        <v/>
      </c>
      <c r="L47" s="39" t="str">
        <f t="shared" si="3"/>
        <v/>
      </c>
      <c r="M47" s="39" t="str">
        <f t="shared" si="3"/>
        <v/>
      </c>
      <c r="N47" s="39" t="str">
        <f t="shared" si="3"/>
        <v/>
      </c>
      <c r="O47" s="39" t="str">
        <f t="shared" si="3"/>
        <v/>
      </c>
      <c r="P47" s="39" t="str">
        <f t="shared" si="3"/>
        <v/>
      </c>
      <c r="Q47" s="39" t="str">
        <f t="shared" si="3"/>
        <v/>
      </c>
      <c r="R47" s="39" t="str">
        <f t="shared" si="3"/>
        <v/>
      </c>
      <c r="S47" s="39" t="str">
        <f t="shared" si="3"/>
        <v/>
      </c>
      <c r="T47" s="39" t="str">
        <f t="shared" si="3"/>
        <v/>
      </c>
      <c r="U47" s="39" t="str">
        <f t="shared" si="3"/>
        <v/>
      </c>
      <c r="V47" s="39" t="str">
        <f t="shared" si="3"/>
        <v/>
      </c>
    </row>
    <row r="48" spans="1:22" x14ac:dyDescent="0.3">
      <c r="A48" s="38"/>
      <c r="B48" s="39" t="str">
        <f>IF($A48="","",SUMIFS([1]weekly_demand!$D:$D,[1]weekly_demand!$A:$A,B$1,[1]weekly_demand!$C:$C,$A48))</f>
        <v/>
      </c>
      <c r="C48" s="39" t="str">
        <f>IF($A48="","",SUMIFS([1]weekly_demand!$D:$D,[1]weekly_demand!$A:$A,C$1,[1]weekly_demand!$C:$C,$A48))</f>
        <v/>
      </c>
      <c r="D48" s="39" t="str">
        <f>IF($A48="","",SUMIFS([1]weekly_demand!$D:$D,[1]weekly_demand!$A:$A,D$1,[1]weekly_demand!$C:$C,$A48))</f>
        <v/>
      </c>
      <c r="E48" s="39" t="str">
        <f>IF($A48="","",SUMIFS([1]weekly_demand!$D:$D,[1]weekly_demand!$A:$A,E$1,[1]weekly_demand!$C:$C,$A48))</f>
        <v/>
      </c>
      <c r="F48" s="39" t="str">
        <f>IF($A48="","",SUMIFS([1]weekly_demand!$D:$D,[1]weekly_demand!$A:$A,F$1,[1]weekly_demand!$C:$C,$A48))</f>
        <v/>
      </c>
      <c r="G48" s="39" t="str">
        <f>IF($A48="","",SUMIFS([1]weekly_demand!$D:$D,[1]weekly_demand!$A:$A,G$1,[1]weekly_demand!$C:$C,$A48))</f>
        <v/>
      </c>
      <c r="H48" s="39" t="str">
        <f t="shared" si="3"/>
        <v/>
      </c>
      <c r="I48" s="39" t="str">
        <f t="shared" si="3"/>
        <v/>
      </c>
      <c r="J48" s="39" t="str">
        <f t="shared" si="3"/>
        <v/>
      </c>
      <c r="K48" s="39" t="str">
        <f t="shared" si="3"/>
        <v/>
      </c>
      <c r="L48" s="39" t="str">
        <f t="shared" si="3"/>
        <v/>
      </c>
      <c r="M48" s="39" t="str">
        <f t="shared" si="3"/>
        <v/>
      </c>
      <c r="N48" s="39" t="str">
        <f t="shared" si="3"/>
        <v/>
      </c>
      <c r="O48" s="39" t="str">
        <f t="shared" si="3"/>
        <v/>
      </c>
      <c r="P48" s="39" t="str">
        <f t="shared" si="3"/>
        <v/>
      </c>
      <c r="Q48" s="39" t="str">
        <f t="shared" si="3"/>
        <v/>
      </c>
      <c r="R48" s="39" t="str">
        <f t="shared" si="3"/>
        <v/>
      </c>
      <c r="S48" s="39" t="str">
        <f t="shared" si="3"/>
        <v/>
      </c>
      <c r="T48" s="39" t="str">
        <f t="shared" si="3"/>
        <v/>
      </c>
      <c r="U48" s="39" t="str">
        <f t="shared" si="3"/>
        <v/>
      </c>
      <c r="V48" s="39" t="str">
        <f t="shared" si="3"/>
        <v/>
      </c>
    </row>
    <row r="49" spans="1:22" x14ac:dyDescent="0.3">
      <c r="A49" s="38"/>
      <c r="B49" s="39" t="str">
        <f>IF($A49="","",SUMIFS([1]weekly_demand!$D:$D,[1]weekly_demand!$A:$A,B$1,[1]weekly_demand!$C:$C,$A49))</f>
        <v/>
      </c>
      <c r="C49" s="39" t="str">
        <f>IF($A49="","",SUMIFS([1]weekly_demand!$D:$D,[1]weekly_demand!$A:$A,C$1,[1]weekly_demand!$C:$C,$A49))</f>
        <v/>
      </c>
      <c r="D49" s="39" t="str">
        <f>IF($A49="","",SUMIFS([1]weekly_demand!$D:$D,[1]weekly_demand!$A:$A,D$1,[1]weekly_demand!$C:$C,$A49))</f>
        <v/>
      </c>
      <c r="E49" s="39" t="str">
        <f>IF($A49="","",SUMIFS([1]weekly_demand!$D:$D,[1]weekly_demand!$A:$A,E$1,[1]weekly_demand!$C:$C,$A49))</f>
        <v/>
      </c>
      <c r="F49" s="39" t="str">
        <f>IF($A49="","",SUMIFS([1]weekly_demand!$D:$D,[1]weekly_demand!$A:$A,F$1,[1]weekly_demand!$C:$C,$A49))</f>
        <v/>
      </c>
      <c r="G49" s="39" t="str">
        <f>IF($A49="","",SUMIFS([1]weekly_demand!$D:$D,[1]weekly_demand!$A:$A,G$1,[1]weekly_demand!$C:$C,$A49))</f>
        <v/>
      </c>
      <c r="H49" s="39" t="str">
        <f t="shared" si="3"/>
        <v/>
      </c>
      <c r="I49" s="39" t="str">
        <f t="shared" si="3"/>
        <v/>
      </c>
      <c r="J49" s="39" t="str">
        <f t="shared" si="3"/>
        <v/>
      </c>
      <c r="K49" s="39" t="str">
        <f t="shared" si="3"/>
        <v/>
      </c>
      <c r="L49" s="39" t="str">
        <f t="shared" si="3"/>
        <v/>
      </c>
      <c r="M49" s="39" t="str">
        <f t="shared" si="3"/>
        <v/>
      </c>
      <c r="N49" s="39" t="str">
        <f t="shared" si="3"/>
        <v/>
      </c>
      <c r="O49" s="39" t="str">
        <f t="shared" si="3"/>
        <v/>
      </c>
      <c r="P49" s="39" t="str">
        <f t="shared" si="3"/>
        <v/>
      </c>
      <c r="Q49" s="39" t="str">
        <f t="shared" si="3"/>
        <v/>
      </c>
      <c r="R49" s="39" t="str">
        <f t="shared" si="3"/>
        <v/>
      </c>
      <c r="S49" s="39" t="str">
        <f t="shared" si="3"/>
        <v/>
      </c>
      <c r="T49" s="39" t="str">
        <f t="shared" si="3"/>
        <v/>
      </c>
      <c r="U49" s="39" t="str">
        <f t="shared" si="3"/>
        <v/>
      </c>
      <c r="V49" s="39" t="str">
        <f t="shared" si="3"/>
        <v/>
      </c>
    </row>
    <row r="50" spans="1:22" x14ac:dyDescent="0.3">
      <c r="A50" s="38"/>
      <c r="B50" s="39" t="str">
        <f>IF($A50="","",SUMIFS([1]weekly_demand!$D:$D,[1]weekly_demand!$A:$A,B$1,[1]weekly_demand!$C:$C,$A50))</f>
        <v/>
      </c>
      <c r="C50" s="39" t="str">
        <f>IF($A50="","",SUMIFS([1]weekly_demand!$D:$D,[1]weekly_demand!$A:$A,C$1,[1]weekly_demand!$C:$C,$A50))</f>
        <v/>
      </c>
      <c r="D50" s="39" t="str">
        <f>IF($A50="","",SUMIFS([1]weekly_demand!$D:$D,[1]weekly_demand!$A:$A,D$1,[1]weekly_demand!$C:$C,$A50))</f>
        <v/>
      </c>
      <c r="E50" s="39" t="str">
        <f>IF($A50="","",SUMIFS([1]weekly_demand!$D:$D,[1]weekly_demand!$A:$A,E$1,[1]weekly_demand!$C:$C,$A50))</f>
        <v/>
      </c>
      <c r="F50" s="39" t="str">
        <f>IF($A50="","",SUMIFS([1]weekly_demand!$D:$D,[1]weekly_demand!$A:$A,F$1,[1]weekly_demand!$C:$C,$A50))</f>
        <v/>
      </c>
      <c r="G50" s="39" t="str">
        <f>IF($A50="","",SUMIFS([1]weekly_demand!$D:$D,[1]weekly_demand!$A:$A,G$1,[1]weekly_demand!$C:$C,$A50))</f>
        <v/>
      </c>
      <c r="H50" s="39" t="str">
        <f t="shared" ref="H50:V65" si="4">IF($A50="","",SUMPRODUCT($B50:$G50,INDEX($Y$2:$AD$16,MATCH(H$1,$X$2:$X$16,0),0)))</f>
        <v/>
      </c>
      <c r="I50" s="39" t="str">
        <f t="shared" si="4"/>
        <v/>
      </c>
      <c r="J50" s="39" t="str">
        <f t="shared" si="4"/>
        <v/>
      </c>
      <c r="K50" s="39" t="str">
        <f t="shared" si="4"/>
        <v/>
      </c>
      <c r="L50" s="39" t="str">
        <f t="shared" si="4"/>
        <v/>
      </c>
      <c r="M50" s="39" t="str">
        <f t="shared" si="4"/>
        <v/>
      </c>
      <c r="N50" s="39" t="str">
        <f t="shared" si="4"/>
        <v/>
      </c>
      <c r="O50" s="39" t="str">
        <f t="shared" si="4"/>
        <v/>
      </c>
      <c r="P50" s="39" t="str">
        <f t="shared" si="4"/>
        <v/>
      </c>
      <c r="Q50" s="39" t="str">
        <f t="shared" si="4"/>
        <v/>
      </c>
      <c r="R50" s="39" t="str">
        <f t="shared" si="4"/>
        <v/>
      </c>
      <c r="S50" s="39" t="str">
        <f t="shared" si="4"/>
        <v/>
      </c>
      <c r="T50" s="39" t="str">
        <f t="shared" si="4"/>
        <v/>
      </c>
      <c r="U50" s="39" t="str">
        <f t="shared" si="4"/>
        <v/>
      </c>
      <c r="V50" s="39" t="str">
        <f t="shared" si="4"/>
        <v/>
      </c>
    </row>
    <row r="51" spans="1:22" x14ac:dyDescent="0.3">
      <c r="A51" s="38"/>
      <c r="B51" s="39" t="str">
        <f>IF($A51="","",SUMIFS([1]weekly_demand!$D:$D,[1]weekly_demand!$A:$A,B$1,[1]weekly_demand!$C:$C,$A51))</f>
        <v/>
      </c>
      <c r="C51" s="39" t="str">
        <f>IF($A51="","",SUMIFS([1]weekly_demand!$D:$D,[1]weekly_demand!$A:$A,C$1,[1]weekly_demand!$C:$C,$A51))</f>
        <v/>
      </c>
      <c r="D51" s="39" t="str">
        <f>IF($A51="","",SUMIFS([1]weekly_demand!$D:$D,[1]weekly_demand!$A:$A,D$1,[1]weekly_demand!$C:$C,$A51))</f>
        <v/>
      </c>
      <c r="E51" s="39" t="str">
        <f>IF($A51="","",SUMIFS([1]weekly_demand!$D:$D,[1]weekly_demand!$A:$A,E$1,[1]weekly_demand!$C:$C,$A51))</f>
        <v/>
      </c>
      <c r="F51" s="39" t="str">
        <f>IF($A51="","",SUMIFS([1]weekly_demand!$D:$D,[1]weekly_demand!$A:$A,F$1,[1]weekly_demand!$C:$C,$A51))</f>
        <v/>
      </c>
      <c r="G51" s="39" t="str">
        <f>IF($A51="","",SUMIFS([1]weekly_demand!$D:$D,[1]weekly_demand!$A:$A,G$1,[1]weekly_demand!$C:$C,$A51))</f>
        <v/>
      </c>
      <c r="H51" s="39" t="str">
        <f t="shared" si="4"/>
        <v/>
      </c>
      <c r="I51" s="39" t="str">
        <f t="shared" si="4"/>
        <v/>
      </c>
      <c r="J51" s="39" t="str">
        <f t="shared" si="4"/>
        <v/>
      </c>
      <c r="K51" s="39" t="str">
        <f t="shared" si="4"/>
        <v/>
      </c>
      <c r="L51" s="39" t="str">
        <f t="shared" si="4"/>
        <v/>
      </c>
      <c r="M51" s="39" t="str">
        <f t="shared" si="4"/>
        <v/>
      </c>
      <c r="N51" s="39" t="str">
        <f t="shared" si="4"/>
        <v/>
      </c>
      <c r="O51" s="39" t="str">
        <f t="shared" si="4"/>
        <v/>
      </c>
      <c r="P51" s="39" t="str">
        <f t="shared" si="4"/>
        <v/>
      </c>
      <c r="Q51" s="39" t="str">
        <f t="shared" si="4"/>
        <v/>
      </c>
      <c r="R51" s="39" t="str">
        <f t="shared" si="4"/>
        <v/>
      </c>
      <c r="S51" s="39" t="str">
        <f t="shared" si="4"/>
        <v/>
      </c>
      <c r="T51" s="39" t="str">
        <f t="shared" si="4"/>
        <v/>
      </c>
      <c r="U51" s="39" t="str">
        <f t="shared" si="4"/>
        <v/>
      </c>
      <c r="V51" s="39" t="str">
        <f t="shared" si="4"/>
        <v/>
      </c>
    </row>
    <row r="52" spans="1:22" x14ac:dyDescent="0.3">
      <c r="A52" s="38"/>
      <c r="B52" s="39" t="str">
        <f>IF($A52="","",SUMIFS([1]weekly_demand!$D:$D,[1]weekly_demand!$A:$A,B$1,[1]weekly_demand!$C:$C,$A52))</f>
        <v/>
      </c>
      <c r="C52" s="39" t="str">
        <f>IF($A52="","",SUMIFS([1]weekly_demand!$D:$D,[1]weekly_demand!$A:$A,C$1,[1]weekly_demand!$C:$C,$A52))</f>
        <v/>
      </c>
      <c r="D52" s="39" t="str">
        <f>IF($A52="","",SUMIFS([1]weekly_demand!$D:$D,[1]weekly_demand!$A:$A,D$1,[1]weekly_demand!$C:$C,$A52))</f>
        <v/>
      </c>
      <c r="E52" s="39" t="str">
        <f>IF($A52="","",SUMIFS([1]weekly_demand!$D:$D,[1]weekly_demand!$A:$A,E$1,[1]weekly_demand!$C:$C,$A52))</f>
        <v/>
      </c>
      <c r="F52" s="39" t="str">
        <f>IF($A52="","",SUMIFS([1]weekly_demand!$D:$D,[1]weekly_demand!$A:$A,F$1,[1]weekly_demand!$C:$C,$A52))</f>
        <v/>
      </c>
      <c r="G52" s="39" t="str">
        <f>IF($A52="","",SUMIFS([1]weekly_demand!$D:$D,[1]weekly_demand!$A:$A,G$1,[1]weekly_demand!$C:$C,$A52))</f>
        <v/>
      </c>
      <c r="H52" s="39" t="str">
        <f t="shared" si="4"/>
        <v/>
      </c>
      <c r="I52" s="39" t="str">
        <f t="shared" si="4"/>
        <v/>
      </c>
      <c r="J52" s="39" t="str">
        <f t="shared" si="4"/>
        <v/>
      </c>
      <c r="K52" s="39" t="str">
        <f t="shared" si="4"/>
        <v/>
      </c>
      <c r="L52" s="39" t="str">
        <f t="shared" si="4"/>
        <v/>
      </c>
      <c r="M52" s="39" t="str">
        <f t="shared" si="4"/>
        <v/>
      </c>
      <c r="N52" s="39" t="str">
        <f t="shared" si="4"/>
        <v/>
      </c>
      <c r="O52" s="39" t="str">
        <f t="shared" si="4"/>
        <v/>
      </c>
      <c r="P52" s="39" t="str">
        <f t="shared" si="4"/>
        <v/>
      </c>
      <c r="Q52" s="39" t="str">
        <f t="shared" si="4"/>
        <v/>
      </c>
      <c r="R52" s="39" t="str">
        <f t="shared" si="4"/>
        <v/>
      </c>
      <c r="S52" s="39" t="str">
        <f t="shared" si="4"/>
        <v/>
      </c>
      <c r="T52" s="39" t="str">
        <f t="shared" si="4"/>
        <v/>
      </c>
      <c r="U52" s="39" t="str">
        <f t="shared" si="4"/>
        <v/>
      </c>
      <c r="V52" s="39" t="str">
        <f t="shared" si="4"/>
        <v/>
      </c>
    </row>
    <row r="53" spans="1:22" x14ac:dyDescent="0.3">
      <c r="A53" s="38"/>
      <c r="B53" s="39" t="str">
        <f>IF($A53="","",SUMIFS([1]weekly_demand!$D:$D,[1]weekly_demand!$A:$A,B$1,[1]weekly_demand!$C:$C,$A53))</f>
        <v/>
      </c>
      <c r="C53" s="39" t="str">
        <f>IF($A53="","",SUMIFS([1]weekly_demand!$D:$D,[1]weekly_demand!$A:$A,C$1,[1]weekly_demand!$C:$C,$A53))</f>
        <v/>
      </c>
      <c r="D53" s="39" t="str">
        <f>IF($A53="","",SUMIFS([1]weekly_demand!$D:$D,[1]weekly_demand!$A:$A,D$1,[1]weekly_demand!$C:$C,$A53))</f>
        <v/>
      </c>
      <c r="E53" s="39" t="str">
        <f>IF($A53="","",SUMIFS([1]weekly_demand!$D:$D,[1]weekly_demand!$A:$A,E$1,[1]weekly_demand!$C:$C,$A53))</f>
        <v/>
      </c>
      <c r="F53" s="39" t="str">
        <f>IF($A53="","",SUMIFS([1]weekly_demand!$D:$D,[1]weekly_demand!$A:$A,F$1,[1]weekly_demand!$C:$C,$A53))</f>
        <v/>
      </c>
      <c r="G53" s="39" t="str">
        <f>IF($A53="","",SUMIFS([1]weekly_demand!$D:$D,[1]weekly_demand!$A:$A,G$1,[1]weekly_demand!$C:$C,$A53))</f>
        <v/>
      </c>
      <c r="H53" s="39" t="str">
        <f t="shared" si="4"/>
        <v/>
      </c>
      <c r="I53" s="39" t="str">
        <f t="shared" si="4"/>
        <v/>
      </c>
      <c r="J53" s="39" t="str">
        <f t="shared" si="4"/>
        <v/>
      </c>
      <c r="K53" s="39" t="str">
        <f t="shared" si="4"/>
        <v/>
      </c>
      <c r="L53" s="39" t="str">
        <f t="shared" si="4"/>
        <v/>
      </c>
      <c r="M53" s="39" t="str">
        <f t="shared" si="4"/>
        <v/>
      </c>
      <c r="N53" s="39" t="str">
        <f t="shared" si="4"/>
        <v/>
      </c>
      <c r="O53" s="39" t="str">
        <f t="shared" si="4"/>
        <v/>
      </c>
      <c r="P53" s="39" t="str">
        <f t="shared" si="4"/>
        <v/>
      </c>
      <c r="Q53" s="39" t="str">
        <f t="shared" si="4"/>
        <v/>
      </c>
      <c r="R53" s="39" t="str">
        <f t="shared" si="4"/>
        <v/>
      </c>
      <c r="S53" s="39" t="str">
        <f t="shared" si="4"/>
        <v/>
      </c>
      <c r="T53" s="39" t="str">
        <f t="shared" si="4"/>
        <v/>
      </c>
      <c r="U53" s="39" t="str">
        <f t="shared" si="4"/>
        <v/>
      </c>
      <c r="V53" s="39" t="str">
        <f t="shared" si="4"/>
        <v/>
      </c>
    </row>
    <row r="54" spans="1:22" x14ac:dyDescent="0.3">
      <c r="A54" s="38"/>
      <c r="B54" s="39" t="str">
        <f>IF($A54="","",SUMIFS([1]weekly_demand!$D:$D,[1]weekly_demand!$A:$A,B$1,[1]weekly_demand!$C:$C,$A54))</f>
        <v/>
      </c>
      <c r="C54" s="39" t="str">
        <f>IF($A54="","",SUMIFS([1]weekly_demand!$D:$D,[1]weekly_demand!$A:$A,C$1,[1]weekly_demand!$C:$C,$A54))</f>
        <v/>
      </c>
      <c r="D54" s="39" t="str">
        <f>IF($A54="","",SUMIFS([1]weekly_demand!$D:$D,[1]weekly_demand!$A:$A,D$1,[1]weekly_demand!$C:$C,$A54))</f>
        <v/>
      </c>
      <c r="E54" s="39" t="str">
        <f>IF($A54="","",SUMIFS([1]weekly_demand!$D:$D,[1]weekly_demand!$A:$A,E$1,[1]weekly_demand!$C:$C,$A54))</f>
        <v/>
      </c>
      <c r="F54" s="39" t="str">
        <f>IF($A54="","",SUMIFS([1]weekly_demand!$D:$D,[1]weekly_demand!$A:$A,F$1,[1]weekly_demand!$C:$C,$A54))</f>
        <v/>
      </c>
      <c r="G54" s="39" t="str">
        <f>IF($A54="","",SUMIFS([1]weekly_demand!$D:$D,[1]weekly_demand!$A:$A,G$1,[1]weekly_demand!$C:$C,$A54))</f>
        <v/>
      </c>
      <c r="H54" s="39" t="str">
        <f t="shared" si="4"/>
        <v/>
      </c>
      <c r="I54" s="39" t="str">
        <f t="shared" si="4"/>
        <v/>
      </c>
      <c r="J54" s="39" t="str">
        <f t="shared" si="4"/>
        <v/>
      </c>
      <c r="K54" s="39" t="str">
        <f t="shared" si="4"/>
        <v/>
      </c>
      <c r="L54" s="39" t="str">
        <f t="shared" si="4"/>
        <v/>
      </c>
      <c r="M54" s="39" t="str">
        <f t="shared" si="4"/>
        <v/>
      </c>
      <c r="N54" s="39" t="str">
        <f t="shared" si="4"/>
        <v/>
      </c>
      <c r="O54" s="39" t="str">
        <f t="shared" si="4"/>
        <v/>
      </c>
      <c r="P54" s="39" t="str">
        <f t="shared" si="4"/>
        <v/>
      </c>
      <c r="Q54" s="39" t="str">
        <f t="shared" si="4"/>
        <v/>
      </c>
      <c r="R54" s="39" t="str">
        <f t="shared" si="4"/>
        <v/>
      </c>
      <c r="S54" s="39" t="str">
        <f t="shared" si="4"/>
        <v/>
      </c>
      <c r="T54" s="39" t="str">
        <f t="shared" si="4"/>
        <v/>
      </c>
      <c r="U54" s="39" t="str">
        <f t="shared" si="4"/>
        <v/>
      </c>
      <c r="V54" s="39" t="str">
        <f t="shared" si="4"/>
        <v/>
      </c>
    </row>
    <row r="55" spans="1:22" x14ac:dyDescent="0.3">
      <c r="A55" s="38"/>
      <c r="B55" s="39" t="str">
        <f>IF($A55="","",SUMIFS([1]weekly_demand!$D:$D,[1]weekly_demand!$A:$A,B$1,[1]weekly_demand!$C:$C,$A55))</f>
        <v/>
      </c>
      <c r="C55" s="39" t="str">
        <f>IF($A55="","",SUMIFS([1]weekly_demand!$D:$D,[1]weekly_demand!$A:$A,C$1,[1]weekly_demand!$C:$C,$A55))</f>
        <v/>
      </c>
      <c r="D55" s="39" t="str">
        <f>IF($A55="","",SUMIFS([1]weekly_demand!$D:$D,[1]weekly_demand!$A:$A,D$1,[1]weekly_demand!$C:$C,$A55))</f>
        <v/>
      </c>
      <c r="E55" s="39" t="str">
        <f>IF($A55="","",SUMIFS([1]weekly_demand!$D:$D,[1]weekly_demand!$A:$A,E$1,[1]weekly_demand!$C:$C,$A55))</f>
        <v/>
      </c>
      <c r="F55" s="39" t="str">
        <f>IF($A55="","",SUMIFS([1]weekly_demand!$D:$D,[1]weekly_demand!$A:$A,F$1,[1]weekly_demand!$C:$C,$A55))</f>
        <v/>
      </c>
      <c r="G55" s="39" t="str">
        <f>IF($A55="","",SUMIFS([1]weekly_demand!$D:$D,[1]weekly_demand!$A:$A,G$1,[1]weekly_demand!$C:$C,$A55))</f>
        <v/>
      </c>
      <c r="H55" s="39" t="str">
        <f t="shared" si="4"/>
        <v/>
      </c>
      <c r="I55" s="39" t="str">
        <f t="shared" si="4"/>
        <v/>
      </c>
      <c r="J55" s="39" t="str">
        <f t="shared" si="4"/>
        <v/>
      </c>
      <c r="K55" s="39" t="str">
        <f t="shared" si="4"/>
        <v/>
      </c>
      <c r="L55" s="39" t="str">
        <f t="shared" si="4"/>
        <v/>
      </c>
      <c r="M55" s="39" t="str">
        <f t="shared" si="4"/>
        <v/>
      </c>
      <c r="N55" s="39" t="str">
        <f t="shared" si="4"/>
        <v/>
      </c>
      <c r="O55" s="39" t="str">
        <f t="shared" si="4"/>
        <v/>
      </c>
      <c r="P55" s="39" t="str">
        <f t="shared" si="4"/>
        <v/>
      </c>
      <c r="Q55" s="39" t="str">
        <f t="shared" si="4"/>
        <v/>
      </c>
      <c r="R55" s="39" t="str">
        <f t="shared" si="4"/>
        <v/>
      </c>
      <c r="S55" s="39" t="str">
        <f t="shared" si="4"/>
        <v/>
      </c>
      <c r="T55" s="39" t="str">
        <f t="shared" si="4"/>
        <v/>
      </c>
      <c r="U55" s="39" t="str">
        <f t="shared" si="4"/>
        <v/>
      </c>
      <c r="V55" s="39" t="str">
        <f t="shared" si="4"/>
        <v/>
      </c>
    </row>
    <row r="56" spans="1:22" x14ac:dyDescent="0.3">
      <c r="A56" s="38"/>
      <c r="B56" s="39" t="str">
        <f>IF($A56="","",SUMIFS([1]weekly_demand!$D:$D,[1]weekly_demand!$A:$A,B$1,[1]weekly_demand!$C:$C,$A56))</f>
        <v/>
      </c>
      <c r="C56" s="39" t="str">
        <f>IF($A56="","",SUMIFS([1]weekly_demand!$D:$D,[1]weekly_demand!$A:$A,C$1,[1]weekly_demand!$C:$C,$A56))</f>
        <v/>
      </c>
      <c r="D56" s="39" t="str">
        <f>IF($A56="","",SUMIFS([1]weekly_demand!$D:$D,[1]weekly_demand!$A:$A,D$1,[1]weekly_demand!$C:$C,$A56))</f>
        <v/>
      </c>
      <c r="E56" s="39" t="str">
        <f>IF($A56="","",SUMIFS([1]weekly_demand!$D:$D,[1]weekly_demand!$A:$A,E$1,[1]weekly_demand!$C:$C,$A56))</f>
        <v/>
      </c>
      <c r="F56" s="39" t="str">
        <f>IF($A56="","",SUMIFS([1]weekly_demand!$D:$D,[1]weekly_demand!$A:$A,F$1,[1]weekly_demand!$C:$C,$A56))</f>
        <v/>
      </c>
      <c r="G56" s="39" t="str">
        <f>IF($A56="","",SUMIFS([1]weekly_demand!$D:$D,[1]weekly_demand!$A:$A,G$1,[1]weekly_demand!$C:$C,$A56))</f>
        <v/>
      </c>
      <c r="H56" s="39" t="str">
        <f t="shared" si="4"/>
        <v/>
      </c>
      <c r="I56" s="39" t="str">
        <f t="shared" si="4"/>
        <v/>
      </c>
      <c r="J56" s="39" t="str">
        <f t="shared" si="4"/>
        <v/>
      </c>
      <c r="K56" s="39" t="str">
        <f t="shared" si="4"/>
        <v/>
      </c>
      <c r="L56" s="39" t="str">
        <f t="shared" si="4"/>
        <v/>
      </c>
      <c r="M56" s="39" t="str">
        <f t="shared" si="4"/>
        <v/>
      </c>
      <c r="N56" s="39" t="str">
        <f t="shared" si="4"/>
        <v/>
      </c>
      <c r="O56" s="39" t="str">
        <f t="shared" si="4"/>
        <v/>
      </c>
      <c r="P56" s="39" t="str">
        <f t="shared" si="4"/>
        <v/>
      </c>
      <c r="Q56" s="39" t="str">
        <f t="shared" si="4"/>
        <v/>
      </c>
      <c r="R56" s="39" t="str">
        <f t="shared" si="4"/>
        <v/>
      </c>
      <c r="S56" s="39" t="str">
        <f t="shared" si="4"/>
        <v/>
      </c>
      <c r="T56" s="39" t="str">
        <f t="shared" si="4"/>
        <v/>
      </c>
      <c r="U56" s="39" t="str">
        <f t="shared" si="4"/>
        <v/>
      </c>
      <c r="V56" s="39" t="str">
        <f t="shared" si="4"/>
        <v/>
      </c>
    </row>
    <row r="57" spans="1:22" x14ac:dyDescent="0.3">
      <c r="A57" s="38"/>
      <c r="B57" s="39" t="str">
        <f>IF($A57="","",SUMIFS([1]weekly_demand!$D:$D,[1]weekly_demand!$A:$A,B$1,[1]weekly_demand!$C:$C,$A57))</f>
        <v/>
      </c>
      <c r="C57" s="39" t="str">
        <f>IF($A57="","",SUMIFS([1]weekly_demand!$D:$D,[1]weekly_demand!$A:$A,C$1,[1]weekly_demand!$C:$C,$A57))</f>
        <v/>
      </c>
      <c r="D57" s="39" t="str">
        <f>IF($A57="","",SUMIFS([1]weekly_demand!$D:$D,[1]weekly_demand!$A:$A,D$1,[1]weekly_demand!$C:$C,$A57))</f>
        <v/>
      </c>
      <c r="E57" s="39" t="str">
        <f>IF($A57="","",SUMIFS([1]weekly_demand!$D:$D,[1]weekly_demand!$A:$A,E$1,[1]weekly_demand!$C:$C,$A57))</f>
        <v/>
      </c>
      <c r="F57" s="39" t="str">
        <f>IF($A57="","",SUMIFS([1]weekly_demand!$D:$D,[1]weekly_demand!$A:$A,F$1,[1]weekly_demand!$C:$C,$A57))</f>
        <v/>
      </c>
      <c r="G57" s="39" t="str">
        <f>IF($A57="","",SUMIFS([1]weekly_demand!$D:$D,[1]weekly_demand!$A:$A,G$1,[1]weekly_demand!$C:$C,$A57))</f>
        <v/>
      </c>
      <c r="H57" s="39" t="str">
        <f t="shared" si="4"/>
        <v/>
      </c>
      <c r="I57" s="39" t="str">
        <f t="shared" si="4"/>
        <v/>
      </c>
      <c r="J57" s="39" t="str">
        <f t="shared" si="4"/>
        <v/>
      </c>
      <c r="K57" s="39" t="str">
        <f t="shared" si="4"/>
        <v/>
      </c>
      <c r="L57" s="39" t="str">
        <f t="shared" si="4"/>
        <v/>
      </c>
      <c r="M57" s="39" t="str">
        <f t="shared" si="4"/>
        <v/>
      </c>
      <c r="N57" s="39" t="str">
        <f t="shared" si="4"/>
        <v/>
      </c>
      <c r="O57" s="39" t="str">
        <f t="shared" si="4"/>
        <v/>
      </c>
      <c r="P57" s="39" t="str">
        <f t="shared" si="4"/>
        <v/>
      </c>
      <c r="Q57" s="39" t="str">
        <f t="shared" si="4"/>
        <v/>
      </c>
      <c r="R57" s="39" t="str">
        <f t="shared" si="4"/>
        <v/>
      </c>
      <c r="S57" s="39" t="str">
        <f t="shared" si="4"/>
        <v/>
      </c>
      <c r="T57" s="39" t="str">
        <f t="shared" si="4"/>
        <v/>
      </c>
      <c r="U57" s="39" t="str">
        <f t="shared" si="4"/>
        <v/>
      </c>
      <c r="V57" s="39" t="str">
        <f t="shared" si="4"/>
        <v/>
      </c>
    </row>
    <row r="58" spans="1:22" x14ac:dyDescent="0.3">
      <c r="A58" s="38"/>
      <c r="B58" s="39" t="str">
        <f>IF($A58="","",SUMIFS([1]weekly_demand!$D:$D,[1]weekly_demand!$A:$A,B$1,[1]weekly_demand!$C:$C,$A58))</f>
        <v/>
      </c>
      <c r="C58" s="39" t="str">
        <f>IF($A58="","",SUMIFS([1]weekly_demand!$D:$D,[1]weekly_demand!$A:$A,C$1,[1]weekly_demand!$C:$C,$A58))</f>
        <v/>
      </c>
      <c r="D58" s="39" t="str">
        <f>IF($A58="","",SUMIFS([1]weekly_demand!$D:$D,[1]weekly_demand!$A:$A,D$1,[1]weekly_demand!$C:$C,$A58))</f>
        <v/>
      </c>
      <c r="E58" s="39" t="str">
        <f>IF($A58="","",SUMIFS([1]weekly_demand!$D:$D,[1]weekly_demand!$A:$A,E$1,[1]weekly_demand!$C:$C,$A58))</f>
        <v/>
      </c>
      <c r="F58" s="39" t="str">
        <f>IF($A58="","",SUMIFS([1]weekly_demand!$D:$D,[1]weekly_demand!$A:$A,F$1,[1]weekly_demand!$C:$C,$A58))</f>
        <v/>
      </c>
      <c r="G58" s="39" t="str">
        <f>IF($A58="","",SUMIFS([1]weekly_demand!$D:$D,[1]weekly_demand!$A:$A,G$1,[1]weekly_demand!$C:$C,$A58))</f>
        <v/>
      </c>
      <c r="H58" s="39" t="str">
        <f t="shared" si="4"/>
        <v/>
      </c>
      <c r="I58" s="39" t="str">
        <f t="shared" si="4"/>
        <v/>
      </c>
      <c r="J58" s="39" t="str">
        <f t="shared" si="4"/>
        <v/>
      </c>
      <c r="K58" s="39" t="str">
        <f t="shared" si="4"/>
        <v/>
      </c>
      <c r="L58" s="39" t="str">
        <f t="shared" si="4"/>
        <v/>
      </c>
      <c r="M58" s="39" t="str">
        <f t="shared" si="4"/>
        <v/>
      </c>
      <c r="N58" s="39" t="str">
        <f t="shared" si="4"/>
        <v/>
      </c>
      <c r="O58" s="39" t="str">
        <f t="shared" si="4"/>
        <v/>
      </c>
      <c r="P58" s="39" t="str">
        <f t="shared" si="4"/>
        <v/>
      </c>
      <c r="Q58" s="39" t="str">
        <f t="shared" si="4"/>
        <v/>
      </c>
      <c r="R58" s="39" t="str">
        <f t="shared" si="4"/>
        <v/>
      </c>
      <c r="S58" s="39" t="str">
        <f t="shared" si="4"/>
        <v/>
      </c>
      <c r="T58" s="39" t="str">
        <f t="shared" si="4"/>
        <v/>
      </c>
      <c r="U58" s="39" t="str">
        <f t="shared" si="4"/>
        <v/>
      </c>
      <c r="V58" s="39" t="str">
        <f t="shared" si="4"/>
        <v/>
      </c>
    </row>
    <row r="59" spans="1:22" x14ac:dyDescent="0.3">
      <c r="A59" s="38"/>
      <c r="B59" s="39" t="str">
        <f>IF($A59="","",SUMIFS([1]weekly_demand!$D:$D,[1]weekly_demand!$A:$A,B$1,[1]weekly_demand!$C:$C,$A59))</f>
        <v/>
      </c>
      <c r="C59" s="39" t="str">
        <f>IF($A59="","",SUMIFS([1]weekly_demand!$D:$D,[1]weekly_demand!$A:$A,C$1,[1]weekly_demand!$C:$C,$A59))</f>
        <v/>
      </c>
      <c r="D59" s="39" t="str">
        <f>IF($A59="","",SUMIFS([1]weekly_demand!$D:$D,[1]weekly_demand!$A:$A,D$1,[1]weekly_demand!$C:$C,$A59))</f>
        <v/>
      </c>
      <c r="E59" s="39" t="str">
        <f>IF($A59="","",SUMIFS([1]weekly_demand!$D:$D,[1]weekly_demand!$A:$A,E$1,[1]weekly_demand!$C:$C,$A59))</f>
        <v/>
      </c>
      <c r="F59" s="39" t="str">
        <f>IF($A59="","",SUMIFS([1]weekly_demand!$D:$D,[1]weekly_demand!$A:$A,F$1,[1]weekly_demand!$C:$C,$A59))</f>
        <v/>
      </c>
      <c r="G59" s="39" t="str">
        <f>IF($A59="","",SUMIFS([1]weekly_demand!$D:$D,[1]weekly_demand!$A:$A,G$1,[1]weekly_demand!$C:$C,$A59))</f>
        <v/>
      </c>
      <c r="H59" s="39" t="str">
        <f t="shared" si="4"/>
        <v/>
      </c>
      <c r="I59" s="39" t="str">
        <f t="shared" si="4"/>
        <v/>
      </c>
      <c r="J59" s="39" t="str">
        <f t="shared" si="4"/>
        <v/>
      </c>
      <c r="K59" s="39" t="str">
        <f t="shared" si="4"/>
        <v/>
      </c>
      <c r="L59" s="39" t="str">
        <f t="shared" si="4"/>
        <v/>
      </c>
      <c r="M59" s="39" t="str">
        <f t="shared" si="4"/>
        <v/>
      </c>
      <c r="N59" s="39" t="str">
        <f t="shared" si="4"/>
        <v/>
      </c>
      <c r="O59" s="39" t="str">
        <f t="shared" si="4"/>
        <v/>
      </c>
      <c r="P59" s="39" t="str">
        <f t="shared" si="4"/>
        <v/>
      </c>
      <c r="Q59" s="39" t="str">
        <f t="shared" si="4"/>
        <v/>
      </c>
      <c r="R59" s="39" t="str">
        <f t="shared" si="4"/>
        <v/>
      </c>
      <c r="S59" s="39" t="str">
        <f t="shared" si="4"/>
        <v/>
      </c>
      <c r="T59" s="39" t="str">
        <f t="shared" si="4"/>
        <v/>
      </c>
      <c r="U59" s="39" t="str">
        <f t="shared" si="4"/>
        <v/>
      </c>
      <c r="V59" s="39" t="str">
        <f t="shared" si="4"/>
        <v/>
      </c>
    </row>
    <row r="60" spans="1:22" x14ac:dyDescent="0.3">
      <c r="A60" s="38"/>
      <c r="B60" s="39" t="str">
        <f>IF($A60="","",SUMIFS([1]weekly_demand!$D:$D,[1]weekly_demand!$A:$A,B$1,[1]weekly_demand!$C:$C,$A60))</f>
        <v/>
      </c>
      <c r="C60" s="39" t="str">
        <f>IF($A60="","",SUMIFS([1]weekly_demand!$D:$D,[1]weekly_demand!$A:$A,C$1,[1]weekly_demand!$C:$C,$A60))</f>
        <v/>
      </c>
      <c r="D60" s="39" t="str">
        <f>IF($A60="","",SUMIFS([1]weekly_demand!$D:$D,[1]weekly_demand!$A:$A,D$1,[1]weekly_demand!$C:$C,$A60))</f>
        <v/>
      </c>
      <c r="E60" s="39" t="str">
        <f>IF($A60="","",SUMIFS([1]weekly_demand!$D:$D,[1]weekly_demand!$A:$A,E$1,[1]weekly_demand!$C:$C,$A60))</f>
        <v/>
      </c>
      <c r="F60" s="39" t="str">
        <f>IF($A60="","",SUMIFS([1]weekly_demand!$D:$D,[1]weekly_demand!$A:$A,F$1,[1]weekly_demand!$C:$C,$A60))</f>
        <v/>
      </c>
      <c r="G60" s="39" t="str">
        <f>IF($A60="","",SUMIFS([1]weekly_demand!$D:$D,[1]weekly_demand!$A:$A,G$1,[1]weekly_demand!$C:$C,$A60))</f>
        <v/>
      </c>
      <c r="H60" s="39" t="str">
        <f t="shared" si="4"/>
        <v/>
      </c>
      <c r="I60" s="39" t="str">
        <f t="shared" si="4"/>
        <v/>
      </c>
      <c r="J60" s="39" t="str">
        <f t="shared" si="4"/>
        <v/>
      </c>
      <c r="K60" s="39" t="str">
        <f t="shared" si="4"/>
        <v/>
      </c>
      <c r="L60" s="39" t="str">
        <f t="shared" si="4"/>
        <v/>
      </c>
      <c r="M60" s="39" t="str">
        <f t="shared" si="4"/>
        <v/>
      </c>
      <c r="N60" s="39" t="str">
        <f t="shared" si="4"/>
        <v/>
      </c>
      <c r="O60" s="39" t="str">
        <f t="shared" si="4"/>
        <v/>
      </c>
      <c r="P60" s="39" t="str">
        <f t="shared" si="4"/>
        <v/>
      </c>
      <c r="Q60" s="39" t="str">
        <f t="shared" si="4"/>
        <v/>
      </c>
      <c r="R60" s="39" t="str">
        <f t="shared" si="4"/>
        <v/>
      </c>
      <c r="S60" s="39" t="str">
        <f t="shared" si="4"/>
        <v/>
      </c>
      <c r="T60" s="39" t="str">
        <f t="shared" si="4"/>
        <v/>
      </c>
      <c r="U60" s="39" t="str">
        <f t="shared" si="4"/>
        <v/>
      </c>
      <c r="V60" s="39" t="str">
        <f t="shared" si="4"/>
        <v/>
      </c>
    </row>
    <row r="61" spans="1:22" x14ac:dyDescent="0.3">
      <c r="A61" s="38"/>
      <c r="B61" s="39" t="str">
        <f>IF($A61="","",SUMIFS([1]weekly_demand!$D:$D,[1]weekly_demand!$A:$A,B$1,[1]weekly_demand!$C:$C,$A61))</f>
        <v/>
      </c>
      <c r="C61" s="39" t="str">
        <f>IF($A61="","",SUMIFS([1]weekly_demand!$D:$D,[1]weekly_demand!$A:$A,C$1,[1]weekly_demand!$C:$C,$A61))</f>
        <v/>
      </c>
      <c r="D61" s="39" t="str">
        <f>IF($A61="","",SUMIFS([1]weekly_demand!$D:$D,[1]weekly_demand!$A:$A,D$1,[1]weekly_demand!$C:$C,$A61))</f>
        <v/>
      </c>
      <c r="E61" s="39" t="str">
        <f>IF($A61="","",SUMIFS([1]weekly_demand!$D:$D,[1]weekly_demand!$A:$A,E$1,[1]weekly_demand!$C:$C,$A61))</f>
        <v/>
      </c>
      <c r="F61" s="39" t="str">
        <f>IF($A61="","",SUMIFS([1]weekly_demand!$D:$D,[1]weekly_demand!$A:$A,F$1,[1]weekly_demand!$C:$C,$A61))</f>
        <v/>
      </c>
      <c r="G61" s="39" t="str">
        <f>IF($A61="","",SUMIFS([1]weekly_demand!$D:$D,[1]weekly_demand!$A:$A,G$1,[1]weekly_demand!$C:$C,$A61))</f>
        <v/>
      </c>
      <c r="H61" s="39" t="str">
        <f t="shared" si="4"/>
        <v/>
      </c>
      <c r="I61" s="39" t="str">
        <f t="shared" si="4"/>
        <v/>
      </c>
      <c r="J61" s="39" t="str">
        <f t="shared" si="4"/>
        <v/>
      </c>
      <c r="K61" s="39" t="str">
        <f t="shared" si="4"/>
        <v/>
      </c>
      <c r="L61" s="39" t="str">
        <f t="shared" si="4"/>
        <v/>
      </c>
      <c r="M61" s="39" t="str">
        <f t="shared" si="4"/>
        <v/>
      </c>
      <c r="N61" s="39" t="str">
        <f t="shared" si="4"/>
        <v/>
      </c>
      <c r="O61" s="39" t="str">
        <f t="shared" si="4"/>
        <v/>
      </c>
      <c r="P61" s="39" t="str">
        <f t="shared" si="4"/>
        <v/>
      </c>
      <c r="Q61" s="39" t="str">
        <f t="shared" si="4"/>
        <v/>
      </c>
      <c r="R61" s="39" t="str">
        <f t="shared" si="4"/>
        <v/>
      </c>
      <c r="S61" s="39" t="str">
        <f t="shared" si="4"/>
        <v/>
      </c>
      <c r="T61" s="39" t="str">
        <f t="shared" si="4"/>
        <v/>
      </c>
      <c r="U61" s="39" t="str">
        <f t="shared" si="4"/>
        <v/>
      </c>
      <c r="V61" s="39" t="str">
        <f t="shared" si="4"/>
        <v/>
      </c>
    </row>
    <row r="62" spans="1:22" x14ac:dyDescent="0.3">
      <c r="A62" s="38"/>
      <c r="B62" s="39" t="str">
        <f>IF($A62="","",SUMIFS([1]weekly_demand!$D:$D,[1]weekly_demand!$A:$A,B$1,[1]weekly_demand!$C:$C,$A62))</f>
        <v/>
      </c>
      <c r="C62" s="39" t="str">
        <f>IF($A62="","",SUMIFS([1]weekly_demand!$D:$D,[1]weekly_demand!$A:$A,C$1,[1]weekly_demand!$C:$C,$A62))</f>
        <v/>
      </c>
      <c r="D62" s="39" t="str">
        <f>IF($A62="","",SUMIFS([1]weekly_demand!$D:$D,[1]weekly_demand!$A:$A,D$1,[1]weekly_demand!$C:$C,$A62))</f>
        <v/>
      </c>
      <c r="E62" s="39" t="str">
        <f>IF($A62="","",SUMIFS([1]weekly_demand!$D:$D,[1]weekly_demand!$A:$A,E$1,[1]weekly_demand!$C:$C,$A62))</f>
        <v/>
      </c>
      <c r="F62" s="39" t="str">
        <f>IF($A62="","",SUMIFS([1]weekly_demand!$D:$D,[1]weekly_demand!$A:$A,F$1,[1]weekly_demand!$C:$C,$A62))</f>
        <v/>
      </c>
      <c r="G62" s="39" t="str">
        <f>IF($A62="","",SUMIFS([1]weekly_demand!$D:$D,[1]weekly_demand!$A:$A,G$1,[1]weekly_demand!$C:$C,$A62))</f>
        <v/>
      </c>
      <c r="H62" s="39" t="str">
        <f t="shared" si="4"/>
        <v/>
      </c>
      <c r="I62" s="39" t="str">
        <f t="shared" si="4"/>
        <v/>
      </c>
      <c r="J62" s="39" t="str">
        <f t="shared" si="4"/>
        <v/>
      </c>
      <c r="K62" s="39" t="str">
        <f t="shared" si="4"/>
        <v/>
      </c>
      <c r="L62" s="39" t="str">
        <f t="shared" si="4"/>
        <v/>
      </c>
      <c r="M62" s="39" t="str">
        <f t="shared" si="4"/>
        <v/>
      </c>
      <c r="N62" s="39" t="str">
        <f t="shared" si="4"/>
        <v/>
      </c>
      <c r="O62" s="39" t="str">
        <f t="shared" si="4"/>
        <v/>
      </c>
      <c r="P62" s="39" t="str">
        <f t="shared" si="4"/>
        <v/>
      </c>
      <c r="Q62" s="39" t="str">
        <f t="shared" si="4"/>
        <v/>
      </c>
      <c r="R62" s="39" t="str">
        <f t="shared" si="4"/>
        <v/>
      </c>
      <c r="S62" s="39" t="str">
        <f t="shared" si="4"/>
        <v/>
      </c>
      <c r="T62" s="39" t="str">
        <f t="shared" si="4"/>
        <v/>
      </c>
      <c r="U62" s="39" t="str">
        <f t="shared" si="4"/>
        <v/>
      </c>
      <c r="V62" s="39" t="str">
        <f t="shared" si="4"/>
        <v/>
      </c>
    </row>
    <row r="63" spans="1:22" x14ac:dyDescent="0.3">
      <c r="A63" s="38"/>
      <c r="B63" s="39" t="str">
        <f>IF($A63="","",SUMIFS([1]weekly_demand!$D:$D,[1]weekly_demand!$A:$A,B$1,[1]weekly_demand!$C:$C,$A63))</f>
        <v/>
      </c>
      <c r="C63" s="39" t="str">
        <f>IF($A63="","",SUMIFS([1]weekly_demand!$D:$D,[1]weekly_demand!$A:$A,C$1,[1]weekly_demand!$C:$C,$A63))</f>
        <v/>
      </c>
      <c r="D63" s="39" t="str">
        <f>IF($A63="","",SUMIFS([1]weekly_demand!$D:$D,[1]weekly_demand!$A:$A,D$1,[1]weekly_demand!$C:$C,$A63))</f>
        <v/>
      </c>
      <c r="E63" s="39" t="str">
        <f>IF($A63="","",SUMIFS([1]weekly_demand!$D:$D,[1]weekly_demand!$A:$A,E$1,[1]weekly_demand!$C:$C,$A63))</f>
        <v/>
      </c>
      <c r="F63" s="39" t="str">
        <f>IF($A63="","",SUMIFS([1]weekly_demand!$D:$D,[1]weekly_demand!$A:$A,F$1,[1]weekly_demand!$C:$C,$A63))</f>
        <v/>
      </c>
      <c r="G63" s="39" t="str">
        <f>IF($A63="","",SUMIFS([1]weekly_demand!$D:$D,[1]weekly_demand!$A:$A,G$1,[1]weekly_demand!$C:$C,$A63))</f>
        <v/>
      </c>
      <c r="H63" s="39" t="str">
        <f t="shared" si="4"/>
        <v/>
      </c>
      <c r="I63" s="39" t="str">
        <f t="shared" si="4"/>
        <v/>
      </c>
      <c r="J63" s="39" t="str">
        <f t="shared" si="4"/>
        <v/>
      </c>
      <c r="K63" s="39" t="str">
        <f t="shared" si="4"/>
        <v/>
      </c>
      <c r="L63" s="39" t="str">
        <f t="shared" si="4"/>
        <v/>
      </c>
      <c r="M63" s="39" t="str">
        <f t="shared" si="4"/>
        <v/>
      </c>
      <c r="N63" s="39" t="str">
        <f t="shared" si="4"/>
        <v/>
      </c>
      <c r="O63" s="39" t="str">
        <f t="shared" si="4"/>
        <v/>
      </c>
      <c r="P63" s="39" t="str">
        <f t="shared" si="4"/>
        <v/>
      </c>
      <c r="Q63" s="39" t="str">
        <f t="shared" si="4"/>
        <v/>
      </c>
      <c r="R63" s="39" t="str">
        <f t="shared" si="4"/>
        <v/>
      </c>
      <c r="S63" s="39" t="str">
        <f t="shared" si="4"/>
        <v/>
      </c>
      <c r="T63" s="39" t="str">
        <f t="shared" si="4"/>
        <v/>
      </c>
      <c r="U63" s="39" t="str">
        <f t="shared" si="4"/>
        <v/>
      </c>
      <c r="V63" s="39" t="str">
        <f t="shared" si="4"/>
        <v/>
      </c>
    </row>
    <row r="64" spans="1:22" x14ac:dyDescent="0.3">
      <c r="A64" s="38"/>
      <c r="B64" s="39" t="str">
        <f>IF($A64="","",SUMIFS([1]weekly_demand!$D:$D,[1]weekly_demand!$A:$A,B$1,[1]weekly_demand!$C:$C,$A64))</f>
        <v/>
      </c>
      <c r="C64" s="39" t="str">
        <f>IF($A64="","",SUMIFS([1]weekly_demand!$D:$D,[1]weekly_demand!$A:$A,C$1,[1]weekly_demand!$C:$C,$A64))</f>
        <v/>
      </c>
      <c r="D64" s="39" t="str">
        <f>IF($A64="","",SUMIFS([1]weekly_demand!$D:$D,[1]weekly_demand!$A:$A,D$1,[1]weekly_demand!$C:$C,$A64))</f>
        <v/>
      </c>
      <c r="E64" s="39" t="str">
        <f>IF($A64="","",SUMIFS([1]weekly_demand!$D:$D,[1]weekly_demand!$A:$A,E$1,[1]weekly_demand!$C:$C,$A64))</f>
        <v/>
      </c>
      <c r="F64" s="39" t="str">
        <f>IF($A64="","",SUMIFS([1]weekly_demand!$D:$D,[1]weekly_demand!$A:$A,F$1,[1]weekly_demand!$C:$C,$A64))</f>
        <v/>
      </c>
      <c r="G64" s="39" t="str">
        <f>IF($A64="","",SUMIFS([1]weekly_demand!$D:$D,[1]weekly_demand!$A:$A,G$1,[1]weekly_demand!$C:$C,$A64))</f>
        <v/>
      </c>
      <c r="H64" s="39" t="str">
        <f t="shared" si="4"/>
        <v/>
      </c>
      <c r="I64" s="39" t="str">
        <f t="shared" si="4"/>
        <v/>
      </c>
      <c r="J64" s="39" t="str">
        <f t="shared" si="4"/>
        <v/>
      </c>
      <c r="K64" s="39" t="str">
        <f t="shared" si="4"/>
        <v/>
      </c>
      <c r="L64" s="39" t="str">
        <f t="shared" si="4"/>
        <v/>
      </c>
      <c r="M64" s="39" t="str">
        <f t="shared" si="4"/>
        <v/>
      </c>
      <c r="N64" s="39" t="str">
        <f t="shared" si="4"/>
        <v/>
      </c>
      <c r="O64" s="39" t="str">
        <f t="shared" si="4"/>
        <v/>
      </c>
      <c r="P64" s="39" t="str">
        <f t="shared" si="4"/>
        <v/>
      </c>
      <c r="Q64" s="39" t="str">
        <f t="shared" si="4"/>
        <v/>
      </c>
      <c r="R64" s="39" t="str">
        <f t="shared" si="4"/>
        <v/>
      </c>
      <c r="S64" s="39" t="str">
        <f t="shared" si="4"/>
        <v/>
      </c>
      <c r="T64" s="39" t="str">
        <f t="shared" si="4"/>
        <v/>
      </c>
      <c r="U64" s="39" t="str">
        <f t="shared" si="4"/>
        <v/>
      </c>
      <c r="V64" s="39" t="str">
        <f t="shared" si="4"/>
        <v/>
      </c>
    </row>
    <row r="65" spans="1:22" x14ac:dyDescent="0.3">
      <c r="A65" s="38"/>
      <c r="B65" s="39" t="str">
        <f>IF($A65="","",SUMIFS([1]weekly_demand!$D:$D,[1]weekly_demand!$A:$A,B$1,[1]weekly_demand!$C:$C,$A65))</f>
        <v/>
      </c>
      <c r="C65" s="39" t="str">
        <f>IF($A65="","",SUMIFS([1]weekly_demand!$D:$D,[1]weekly_demand!$A:$A,C$1,[1]weekly_demand!$C:$C,$A65))</f>
        <v/>
      </c>
      <c r="D65" s="39" t="str">
        <f>IF($A65="","",SUMIFS([1]weekly_demand!$D:$D,[1]weekly_demand!$A:$A,D$1,[1]weekly_demand!$C:$C,$A65))</f>
        <v/>
      </c>
      <c r="E65" s="39" t="str">
        <f>IF($A65="","",SUMIFS([1]weekly_demand!$D:$D,[1]weekly_demand!$A:$A,E$1,[1]weekly_demand!$C:$C,$A65))</f>
        <v/>
      </c>
      <c r="F65" s="39" t="str">
        <f>IF($A65="","",SUMIFS([1]weekly_demand!$D:$D,[1]weekly_demand!$A:$A,F$1,[1]weekly_demand!$C:$C,$A65))</f>
        <v/>
      </c>
      <c r="G65" s="39" t="str">
        <f>IF($A65="","",SUMIFS([1]weekly_demand!$D:$D,[1]weekly_demand!$A:$A,G$1,[1]weekly_demand!$C:$C,$A65))</f>
        <v/>
      </c>
      <c r="H65" s="39" t="str">
        <f t="shared" si="4"/>
        <v/>
      </c>
      <c r="I65" s="39" t="str">
        <f t="shared" si="4"/>
        <v/>
      </c>
      <c r="J65" s="39" t="str">
        <f t="shared" si="4"/>
        <v/>
      </c>
      <c r="K65" s="39" t="str">
        <f t="shared" si="4"/>
        <v/>
      </c>
      <c r="L65" s="39" t="str">
        <f t="shared" si="4"/>
        <v/>
      </c>
      <c r="M65" s="39" t="str">
        <f t="shared" si="4"/>
        <v/>
      </c>
      <c r="N65" s="39" t="str">
        <f t="shared" si="4"/>
        <v/>
      </c>
      <c r="O65" s="39" t="str">
        <f t="shared" si="4"/>
        <v/>
      </c>
      <c r="P65" s="39" t="str">
        <f t="shared" si="4"/>
        <v/>
      </c>
      <c r="Q65" s="39" t="str">
        <f t="shared" si="4"/>
        <v/>
      </c>
      <c r="R65" s="39" t="str">
        <f t="shared" si="4"/>
        <v/>
      </c>
      <c r="S65" s="39" t="str">
        <f t="shared" si="4"/>
        <v/>
      </c>
      <c r="T65" s="39" t="str">
        <f t="shared" si="4"/>
        <v/>
      </c>
      <c r="U65" s="39" t="str">
        <f t="shared" si="4"/>
        <v/>
      </c>
      <c r="V65" s="39" t="str">
        <f t="shared" si="4"/>
        <v/>
      </c>
    </row>
    <row r="66" spans="1:22" x14ac:dyDescent="0.3">
      <c r="A66" s="38"/>
      <c r="B66" s="39" t="str">
        <f>IF($A66="","",SUMIFS([1]weekly_demand!$D:$D,[1]weekly_demand!$A:$A,B$1,[1]weekly_demand!$C:$C,$A66))</f>
        <v/>
      </c>
      <c r="C66" s="39" t="str">
        <f>IF($A66="","",SUMIFS([1]weekly_demand!$D:$D,[1]weekly_demand!$A:$A,C$1,[1]weekly_demand!$C:$C,$A66))</f>
        <v/>
      </c>
      <c r="D66" s="39" t="str">
        <f>IF($A66="","",SUMIFS([1]weekly_demand!$D:$D,[1]weekly_demand!$A:$A,D$1,[1]weekly_demand!$C:$C,$A66))</f>
        <v/>
      </c>
      <c r="E66" s="39" t="str">
        <f>IF($A66="","",SUMIFS([1]weekly_demand!$D:$D,[1]weekly_demand!$A:$A,E$1,[1]weekly_demand!$C:$C,$A66))</f>
        <v/>
      </c>
      <c r="F66" s="39" t="str">
        <f>IF($A66="","",SUMIFS([1]weekly_demand!$D:$D,[1]weekly_demand!$A:$A,F$1,[1]weekly_demand!$C:$C,$A66))</f>
        <v/>
      </c>
      <c r="G66" s="39" t="str">
        <f>IF($A66="","",SUMIFS([1]weekly_demand!$D:$D,[1]weekly_demand!$A:$A,G$1,[1]weekly_demand!$C:$C,$A66))</f>
        <v/>
      </c>
      <c r="H66" s="39" t="str">
        <f t="shared" ref="H66:V81" si="5">IF($A66="","",SUMPRODUCT($B66:$G66,INDEX($Y$2:$AD$16,MATCH(H$1,$X$2:$X$16,0),0)))</f>
        <v/>
      </c>
      <c r="I66" s="39" t="str">
        <f t="shared" si="5"/>
        <v/>
      </c>
      <c r="J66" s="39" t="str">
        <f t="shared" si="5"/>
        <v/>
      </c>
      <c r="K66" s="39" t="str">
        <f t="shared" si="5"/>
        <v/>
      </c>
      <c r="L66" s="39" t="str">
        <f t="shared" si="5"/>
        <v/>
      </c>
      <c r="M66" s="39" t="str">
        <f t="shared" si="5"/>
        <v/>
      </c>
      <c r="N66" s="39" t="str">
        <f t="shared" si="5"/>
        <v/>
      </c>
      <c r="O66" s="39" t="str">
        <f t="shared" si="5"/>
        <v/>
      </c>
      <c r="P66" s="39" t="str">
        <f t="shared" si="5"/>
        <v/>
      </c>
      <c r="Q66" s="39" t="str">
        <f t="shared" si="5"/>
        <v/>
      </c>
      <c r="R66" s="39" t="str">
        <f t="shared" si="5"/>
        <v/>
      </c>
      <c r="S66" s="39" t="str">
        <f t="shared" si="5"/>
        <v/>
      </c>
      <c r="T66" s="39" t="str">
        <f t="shared" si="5"/>
        <v/>
      </c>
      <c r="U66" s="39" t="str">
        <f t="shared" si="5"/>
        <v/>
      </c>
      <c r="V66" s="39" t="str">
        <f t="shared" si="5"/>
        <v/>
      </c>
    </row>
    <row r="67" spans="1:22" x14ac:dyDescent="0.3">
      <c r="A67" s="38"/>
      <c r="B67" s="39" t="str">
        <f>IF($A67="","",SUMIFS([1]weekly_demand!$D:$D,[1]weekly_demand!$A:$A,B$1,[1]weekly_demand!$C:$C,$A67))</f>
        <v/>
      </c>
      <c r="C67" s="39" t="str">
        <f>IF($A67="","",SUMIFS([1]weekly_demand!$D:$D,[1]weekly_demand!$A:$A,C$1,[1]weekly_demand!$C:$C,$A67))</f>
        <v/>
      </c>
      <c r="D67" s="39" t="str">
        <f>IF($A67="","",SUMIFS([1]weekly_demand!$D:$D,[1]weekly_demand!$A:$A,D$1,[1]weekly_demand!$C:$C,$A67))</f>
        <v/>
      </c>
      <c r="E67" s="39" t="str">
        <f>IF($A67="","",SUMIFS([1]weekly_demand!$D:$D,[1]weekly_demand!$A:$A,E$1,[1]weekly_demand!$C:$C,$A67))</f>
        <v/>
      </c>
      <c r="F67" s="39" t="str">
        <f>IF($A67="","",SUMIFS([1]weekly_demand!$D:$D,[1]weekly_demand!$A:$A,F$1,[1]weekly_demand!$C:$C,$A67))</f>
        <v/>
      </c>
      <c r="G67" s="39" t="str">
        <f>IF($A67="","",SUMIFS([1]weekly_demand!$D:$D,[1]weekly_demand!$A:$A,G$1,[1]weekly_demand!$C:$C,$A67))</f>
        <v/>
      </c>
      <c r="H67" s="39" t="str">
        <f t="shared" si="5"/>
        <v/>
      </c>
      <c r="I67" s="39" t="str">
        <f t="shared" si="5"/>
        <v/>
      </c>
      <c r="J67" s="39" t="str">
        <f t="shared" si="5"/>
        <v/>
      </c>
      <c r="K67" s="39" t="str">
        <f t="shared" si="5"/>
        <v/>
      </c>
      <c r="L67" s="39" t="str">
        <f t="shared" si="5"/>
        <v/>
      </c>
      <c r="M67" s="39" t="str">
        <f t="shared" si="5"/>
        <v/>
      </c>
      <c r="N67" s="39" t="str">
        <f t="shared" si="5"/>
        <v/>
      </c>
      <c r="O67" s="39" t="str">
        <f t="shared" si="5"/>
        <v/>
      </c>
      <c r="P67" s="39" t="str">
        <f t="shared" si="5"/>
        <v/>
      </c>
      <c r="Q67" s="39" t="str">
        <f t="shared" si="5"/>
        <v/>
      </c>
      <c r="R67" s="39" t="str">
        <f t="shared" si="5"/>
        <v/>
      </c>
      <c r="S67" s="39" t="str">
        <f t="shared" si="5"/>
        <v/>
      </c>
      <c r="T67" s="39" t="str">
        <f t="shared" si="5"/>
        <v/>
      </c>
      <c r="U67" s="39" t="str">
        <f t="shared" si="5"/>
        <v/>
      </c>
      <c r="V67" s="39" t="str">
        <f t="shared" si="5"/>
        <v/>
      </c>
    </row>
    <row r="68" spans="1:22" x14ac:dyDescent="0.3">
      <c r="A68" s="38"/>
      <c r="B68" s="39" t="str">
        <f>IF($A68="","",SUMIFS([1]weekly_demand!$D:$D,[1]weekly_demand!$A:$A,B$1,[1]weekly_demand!$C:$C,$A68))</f>
        <v/>
      </c>
      <c r="C68" s="39" t="str">
        <f>IF($A68="","",SUMIFS([1]weekly_demand!$D:$D,[1]weekly_demand!$A:$A,C$1,[1]weekly_demand!$C:$C,$A68))</f>
        <v/>
      </c>
      <c r="D68" s="39" t="str">
        <f>IF($A68="","",SUMIFS([1]weekly_demand!$D:$D,[1]weekly_demand!$A:$A,D$1,[1]weekly_demand!$C:$C,$A68))</f>
        <v/>
      </c>
      <c r="E68" s="39" t="str">
        <f>IF($A68="","",SUMIFS([1]weekly_demand!$D:$D,[1]weekly_demand!$A:$A,E$1,[1]weekly_demand!$C:$C,$A68))</f>
        <v/>
      </c>
      <c r="F68" s="39" t="str">
        <f>IF($A68="","",SUMIFS([1]weekly_demand!$D:$D,[1]weekly_demand!$A:$A,F$1,[1]weekly_demand!$C:$C,$A68))</f>
        <v/>
      </c>
      <c r="G68" s="39" t="str">
        <f>IF($A68="","",SUMIFS([1]weekly_demand!$D:$D,[1]weekly_demand!$A:$A,G$1,[1]weekly_demand!$C:$C,$A68))</f>
        <v/>
      </c>
      <c r="H68" s="39" t="str">
        <f t="shared" si="5"/>
        <v/>
      </c>
      <c r="I68" s="39" t="str">
        <f t="shared" si="5"/>
        <v/>
      </c>
      <c r="J68" s="39" t="str">
        <f t="shared" si="5"/>
        <v/>
      </c>
      <c r="K68" s="39" t="str">
        <f t="shared" si="5"/>
        <v/>
      </c>
      <c r="L68" s="39" t="str">
        <f t="shared" si="5"/>
        <v/>
      </c>
      <c r="M68" s="39" t="str">
        <f t="shared" si="5"/>
        <v/>
      </c>
      <c r="N68" s="39" t="str">
        <f t="shared" si="5"/>
        <v/>
      </c>
      <c r="O68" s="39" t="str">
        <f t="shared" si="5"/>
        <v/>
      </c>
      <c r="P68" s="39" t="str">
        <f t="shared" si="5"/>
        <v/>
      </c>
      <c r="Q68" s="39" t="str">
        <f t="shared" si="5"/>
        <v/>
      </c>
      <c r="R68" s="39" t="str">
        <f t="shared" si="5"/>
        <v/>
      </c>
      <c r="S68" s="39" t="str">
        <f t="shared" si="5"/>
        <v/>
      </c>
      <c r="T68" s="39" t="str">
        <f t="shared" si="5"/>
        <v/>
      </c>
      <c r="U68" s="39" t="str">
        <f t="shared" si="5"/>
        <v/>
      </c>
      <c r="V68" s="39" t="str">
        <f t="shared" si="5"/>
        <v/>
      </c>
    </row>
    <row r="69" spans="1:22" x14ac:dyDescent="0.3">
      <c r="A69" s="38"/>
      <c r="B69" s="39" t="str">
        <f>IF($A69="","",SUMIFS([1]weekly_demand!$D:$D,[1]weekly_demand!$A:$A,B$1,[1]weekly_demand!$C:$C,$A69))</f>
        <v/>
      </c>
      <c r="C69" s="39" t="str">
        <f>IF($A69="","",SUMIFS([1]weekly_demand!$D:$D,[1]weekly_demand!$A:$A,C$1,[1]weekly_demand!$C:$C,$A69))</f>
        <v/>
      </c>
      <c r="D69" s="39" t="str">
        <f>IF($A69="","",SUMIFS([1]weekly_demand!$D:$D,[1]weekly_demand!$A:$A,D$1,[1]weekly_demand!$C:$C,$A69))</f>
        <v/>
      </c>
      <c r="E69" s="39" t="str">
        <f>IF($A69="","",SUMIFS([1]weekly_demand!$D:$D,[1]weekly_demand!$A:$A,E$1,[1]weekly_demand!$C:$C,$A69))</f>
        <v/>
      </c>
      <c r="F69" s="39" t="str">
        <f>IF($A69="","",SUMIFS([1]weekly_demand!$D:$D,[1]weekly_demand!$A:$A,F$1,[1]weekly_demand!$C:$C,$A69))</f>
        <v/>
      </c>
      <c r="G69" s="39" t="str">
        <f>IF($A69="","",SUMIFS([1]weekly_demand!$D:$D,[1]weekly_demand!$A:$A,G$1,[1]weekly_demand!$C:$C,$A69))</f>
        <v/>
      </c>
      <c r="H69" s="39" t="str">
        <f t="shared" si="5"/>
        <v/>
      </c>
      <c r="I69" s="39" t="str">
        <f t="shared" si="5"/>
        <v/>
      </c>
      <c r="J69" s="39" t="str">
        <f t="shared" si="5"/>
        <v/>
      </c>
      <c r="K69" s="39" t="str">
        <f t="shared" si="5"/>
        <v/>
      </c>
      <c r="L69" s="39" t="str">
        <f t="shared" si="5"/>
        <v/>
      </c>
      <c r="M69" s="39" t="str">
        <f t="shared" si="5"/>
        <v/>
      </c>
      <c r="N69" s="39" t="str">
        <f t="shared" si="5"/>
        <v/>
      </c>
      <c r="O69" s="39" t="str">
        <f t="shared" si="5"/>
        <v/>
      </c>
      <c r="P69" s="39" t="str">
        <f t="shared" si="5"/>
        <v/>
      </c>
      <c r="Q69" s="39" t="str">
        <f t="shared" si="5"/>
        <v/>
      </c>
      <c r="R69" s="39" t="str">
        <f t="shared" si="5"/>
        <v/>
      </c>
      <c r="S69" s="39" t="str">
        <f t="shared" si="5"/>
        <v/>
      </c>
      <c r="T69" s="39" t="str">
        <f t="shared" si="5"/>
        <v/>
      </c>
      <c r="U69" s="39" t="str">
        <f t="shared" si="5"/>
        <v/>
      </c>
      <c r="V69" s="39" t="str">
        <f t="shared" si="5"/>
        <v/>
      </c>
    </row>
    <row r="70" spans="1:22" x14ac:dyDescent="0.3">
      <c r="A70" s="38"/>
      <c r="B70" s="39" t="str">
        <f>IF($A70="","",SUMIFS([1]weekly_demand!$D:$D,[1]weekly_demand!$A:$A,B$1,[1]weekly_demand!$C:$C,$A70))</f>
        <v/>
      </c>
      <c r="C70" s="39" t="str">
        <f>IF($A70="","",SUMIFS([1]weekly_demand!$D:$D,[1]weekly_demand!$A:$A,C$1,[1]weekly_demand!$C:$C,$A70))</f>
        <v/>
      </c>
      <c r="D70" s="39" t="str">
        <f>IF($A70="","",SUMIFS([1]weekly_demand!$D:$D,[1]weekly_demand!$A:$A,D$1,[1]weekly_demand!$C:$C,$A70))</f>
        <v/>
      </c>
      <c r="E70" s="39" t="str">
        <f>IF($A70="","",SUMIFS([1]weekly_demand!$D:$D,[1]weekly_demand!$A:$A,E$1,[1]weekly_demand!$C:$C,$A70))</f>
        <v/>
      </c>
      <c r="F70" s="39" t="str">
        <f>IF($A70="","",SUMIFS([1]weekly_demand!$D:$D,[1]weekly_demand!$A:$A,F$1,[1]weekly_demand!$C:$C,$A70))</f>
        <v/>
      </c>
      <c r="G70" s="39" t="str">
        <f>IF($A70="","",SUMIFS([1]weekly_demand!$D:$D,[1]weekly_demand!$A:$A,G$1,[1]weekly_demand!$C:$C,$A70))</f>
        <v/>
      </c>
      <c r="H70" s="39" t="str">
        <f t="shared" si="5"/>
        <v/>
      </c>
      <c r="I70" s="39" t="str">
        <f t="shared" si="5"/>
        <v/>
      </c>
      <c r="J70" s="39" t="str">
        <f t="shared" si="5"/>
        <v/>
      </c>
      <c r="K70" s="39" t="str">
        <f t="shared" si="5"/>
        <v/>
      </c>
      <c r="L70" s="39" t="str">
        <f t="shared" si="5"/>
        <v/>
      </c>
      <c r="M70" s="39" t="str">
        <f t="shared" si="5"/>
        <v/>
      </c>
      <c r="N70" s="39" t="str">
        <f t="shared" si="5"/>
        <v/>
      </c>
      <c r="O70" s="39" t="str">
        <f t="shared" si="5"/>
        <v/>
      </c>
      <c r="P70" s="39" t="str">
        <f t="shared" si="5"/>
        <v/>
      </c>
      <c r="Q70" s="39" t="str">
        <f t="shared" si="5"/>
        <v/>
      </c>
      <c r="R70" s="39" t="str">
        <f t="shared" si="5"/>
        <v/>
      </c>
      <c r="S70" s="39" t="str">
        <f t="shared" si="5"/>
        <v/>
      </c>
      <c r="T70" s="39" t="str">
        <f t="shared" si="5"/>
        <v/>
      </c>
      <c r="U70" s="39" t="str">
        <f t="shared" si="5"/>
        <v/>
      </c>
      <c r="V70" s="39" t="str">
        <f t="shared" si="5"/>
        <v/>
      </c>
    </row>
    <row r="71" spans="1:22" x14ac:dyDescent="0.3">
      <c r="A71" s="38"/>
      <c r="B71" s="39" t="str">
        <f>IF($A71="","",SUMIFS([1]weekly_demand!$D:$D,[1]weekly_demand!$A:$A,B$1,[1]weekly_demand!$C:$C,$A71))</f>
        <v/>
      </c>
      <c r="C71" s="39" t="str">
        <f>IF($A71="","",SUMIFS([1]weekly_demand!$D:$D,[1]weekly_demand!$A:$A,C$1,[1]weekly_demand!$C:$C,$A71))</f>
        <v/>
      </c>
      <c r="D71" s="39" t="str">
        <f>IF($A71="","",SUMIFS([1]weekly_demand!$D:$D,[1]weekly_demand!$A:$A,D$1,[1]weekly_demand!$C:$C,$A71))</f>
        <v/>
      </c>
      <c r="E71" s="39" t="str">
        <f>IF($A71="","",SUMIFS([1]weekly_demand!$D:$D,[1]weekly_demand!$A:$A,E$1,[1]weekly_demand!$C:$C,$A71))</f>
        <v/>
      </c>
      <c r="F71" s="39" t="str">
        <f>IF($A71="","",SUMIFS([1]weekly_demand!$D:$D,[1]weekly_demand!$A:$A,F$1,[1]weekly_demand!$C:$C,$A71))</f>
        <v/>
      </c>
      <c r="G71" s="39" t="str">
        <f>IF($A71="","",SUMIFS([1]weekly_demand!$D:$D,[1]weekly_demand!$A:$A,G$1,[1]weekly_demand!$C:$C,$A71))</f>
        <v/>
      </c>
      <c r="H71" s="39" t="str">
        <f t="shared" si="5"/>
        <v/>
      </c>
      <c r="I71" s="39" t="str">
        <f t="shared" si="5"/>
        <v/>
      </c>
      <c r="J71" s="39" t="str">
        <f t="shared" si="5"/>
        <v/>
      </c>
      <c r="K71" s="39" t="str">
        <f t="shared" si="5"/>
        <v/>
      </c>
      <c r="L71" s="39" t="str">
        <f t="shared" si="5"/>
        <v/>
      </c>
      <c r="M71" s="39" t="str">
        <f t="shared" si="5"/>
        <v/>
      </c>
      <c r="N71" s="39" t="str">
        <f t="shared" si="5"/>
        <v/>
      </c>
      <c r="O71" s="39" t="str">
        <f t="shared" si="5"/>
        <v/>
      </c>
      <c r="P71" s="39" t="str">
        <f t="shared" si="5"/>
        <v/>
      </c>
      <c r="Q71" s="39" t="str">
        <f t="shared" si="5"/>
        <v/>
      </c>
      <c r="R71" s="39" t="str">
        <f t="shared" si="5"/>
        <v/>
      </c>
      <c r="S71" s="39" t="str">
        <f t="shared" si="5"/>
        <v/>
      </c>
      <c r="T71" s="39" t="str">
        <f t="shared" si="5"/>
        <v/>
      </c>
      <c r="U71" s="39" t="str">
        <f t="shared" si="5"/>
        <v/>
      </c>
      <c r="V71" s="39" t="str">
        <f t="shared" si="5"/>
        <v/>
      </c>
    </row>
    <row r="72" spans="1:22" x14ac:dyDescent="0.3">
      <c r="A72" s="38"/>
      <c r="B72" s="39" t="str">
        <f>IF($A72="","",SUMIFS([1]weekly_demand!$D:$D,[1]weekly_demand!$A:$A,B$1,[1]weekly_demand!$C:$C,$A72))</f>
        <v/>
      </c>
      <c r="C72" s="39" t="str">
        <f>IF($A72="","",SUMIFS([1]weekly_demand!$D:$D,[1]weekly_demand!$A:$A,C$1,[1]weekly_demand!$C:$C,$A72))</f>
        <v/>
      </c>
      <c r="D72" s="39" t="str">
        <f>IF($A72="","",SUMIFS([1]weekly_demand!$D:$D,[1]weekly_demand!$A:$A,D$1,[1]weekly_demand!$C:$C,$A72))</f>
        <v/>
      </c>
      <c r="E72" s="39" t="str">
        <f>IF($A72="","",SUMIFS([1]weekly_demand!$D:$D,[1]weekly_demand!$A:$A,E$1,[1]weekly_demand!$C:$C,$A72))</f>
        <v/>
      </c>
      <c r="F72" s="39" t="str">
        <f>IF($A72="","",SUMIFS([1]weekly_demand!$D:$D,[1]weekly_demand!$A:$A,F$1,[1]weekly_demand!$C:$C,$A72))</f>
        <v/>
      </c>
      <c r="G72" s="39" t="str">
        <f>IF($A72="","",SUMIFS([1]weekly_demand!$D:$D,[1]weekly_demand!$A:$A,G$1,[1]weekly_demand!$C:$C,$A72))</f>
        <v/>
      </c>
      <c r="H72" s="39" t="str">
        <f t="shared" si="5"/>
        <v/>
      </c>
      <c r="I72" s="39" t="str">
        <f t="shared" si="5"/>
        <v/>
      </c>
      <c r="J72" s="39" t="str">
        <f t="shared" si="5"/>
        <v/>
      </c>
      <c r="K72" s="39" t="str">
        <f t="shared" si="5"/>
        <v/>
      </c>
      <c r="L72" s="39" t="str">
        <f t="shared" si="5"/>
        <v/>
      </c>
      <c r="M72" s="39" t="str">
        <f t="shared" si="5"/>
        <v/>
      </c>
      <c r="N72" s="39" t="str">
        <f t="shared" si="5"/>
        <v/>
      </c>
      <c r="O72" s="39" t="str">
        <f t="shared" si="5"/>
        <v/>
      </c>
      <c r="P72" s="39" t="str">
        <f t="shared" si="5"/>
        <v/>
      </c>
      <c r="Q72" s="39" t="str">
        <f t="shared" si="5"/>
        <v/>
      </c>
      <c r="R72" s="39" t="str">
        <f t="shared" si="5"/>
        <v/>
      </c>
      <c r="S72" s="39" t="str">
        <f t="shared" si="5"/>
        <v/>
      </c>
      <c r="T72" s="39" t="str">
        <f t="shared" si="5"/>
        <v/>
      </c>
      <c r="U72" s="39" t="str">
        <f t="shared" si="5"/>
        <v/>
      </c>
      <c r="V72" s="39" t="str">
        <f t="shared" si="5"/>
        <v/>
      </c>
    </row>
    <row r="73" spans="1:22" x14ac:dyDescent="0.3">
      <c r="A73" s="38"/>
      <c r="B73" s="39" t="str">
        <f>IF($A73="","",SUMIFS([1]weekly_demand!$D:$D,[1]weekly_demand!$A:$A,B$1,[1]weekly_demand!$C:$C,$A73))</f>
        <v/>
      </c>
      <c r="C73" s="39" t="str">
        <f>IF($A73="","",SUMIFS([1]weekly_demand!$D:$D,[1]weekly_demand!$A:$A,C$1,[1]weekly_demand!$C:$C,$A73))</f>
        <v/>
      </c>
      <c r="D73" s="39" t="str">
        <f>IF($A73="","",SUMIFS([1]weekly_demand!$D:$D,[1]weekly_demand!$A:$A,D$1,[1]weekly_demand!$C:$C,$A73))</f>
        <v/>
      </c>
      <c r="E73" s="39" t="str">
        <f>IF($A73="","",SUMIFS([1]weekly_demand!$D:$D,[1]weekly_demand!$A:$A,E$1,[1]weekly_demand!$C:$C,$A73))</f>
        <v/>
      </c>
      <c r="F73" s="39" t="str">
        <f>IF($A73="","",SUMIFS([1]weekly_demand!$D:$D,[1]weekly_demand!$A:$A,F$1,[1]weekly_demand!$C:$C,$A73))</f>
        <v/>
      </c>
      <c r="G73" s="39" t="str">
        <f>IF($A73="","",SUMIFS([1]weekly_demand!$D:$D,[1]weekly_demand!$A:$A,G$1,[1]weekly_demand!$C:$C,$A73))</f>
        <v/>
      </c>
      <c r="H73" s="39" t="str">
        <f t="shared" si="5"/>
        <v/>
      </c>
      <c r="I73" s="39" t="str">
        <f t="shared" si="5"/>
        <v/>
      </c>
      <c r="J73" s="39" t="str">
        <f t="shared" si="5"/>
        <v/>
      </c>
      <c r="K73" s="39" t="str">
        <f t="shared" si="5"/>
        <v/>
      </c>
      <c r="L73" s="39" t="str">
        <f t="shared" si="5"/>
        <v/>
      </c>
      <c r="M73" s="39" t="str">
        <f t="shared" si="5"/>
        <v/>
      </c>
      <c r="N73" s="39" t="str">
        <f t="shared" si="5"/>
        <v/>
      </c>
      <c r="O73" s="39" t="str">
        <f t="shared" si="5"/>
        <v/>
      </c>
      <c r="P73" s="39" t="str">
        <f t="shared" si="5"/>
        <v/>
      </c>
      <c r="Q73" s="39" t="str">
        <f t="shared" si="5"/>
        <v/>
      </c>
      <c r="R73" s="39" t="str">
        <f t="shared" si="5"/>
        <v/>
      </c>
      <c r="S73" s="39" t="str">
        <f t="shared" si="5"/>
        <v/>
      </c>
      <c r="T73" s="39" t="str">
        <f t="shared" si="5"/>
        <v/>
      </c>
      <c r="U73" s="39" t="str">
        <f t="shared" si="5"/>
        <v/>
      </c>
      <c r="V73" s="39" t="str">
        <f t="shared" si="5"/>
        <v/>
      </c>
    </row>
    <row r="74" spans="1:22" x14ac:dyDescent="0.3">
      <c r="A74" s="38"/>
      <c r="B74" s="39" t="str">
        <f>IF($A74="","",SUMIFS([1]weekly_demand!$D:$D,[1]weekly_demand!$A:$A,B$1,[1]weekly_demand!$C:$C,$A74))</f>
        <v/>
      </c>
      <c r="C74" s="39" t="str">
        <f>IF($A74="","",SUMIFS([1]weekly_demand!$D:$D,[1]weekly_demand!$A:$A,C$1,[1]weekly_demand!$C:$C,$A74))</f>
        <v/>
      </c>
      <c r="D74" s="39" t="str">
        <f>IF($A74="","",SUMIFS([1]weekly_demand!$D:$D,[1]weekly_demand!$A:$A,D$1,[1]weekly_demand!$C:$C,$A74))</f>
        <v/>
      </c>
      <c r="E74" s="39" t="str">
        <f>IF($A74="","",SUMIFS([1]weekly_demand!$D:$D,[1]weekly_demand!$A:$A,E$1,[1]weekly_demand!$C:$C,$A74))</f>
        <v/>
      </c>
      <c r="F74" s="39" t="str">
        <f>IF($A74="","",SUMIFS([1]weekly_demand!$D:$D,[1]weekly_demand!$A:$A,F$1,[1]weekly_demand!$C:$C,$A74))</f>
        <v/>
      </c>
      <c r="G74" s="39" t="str">
        <f>IF($A74="","",SUMIFS([1]weekly_demand!$D:$D,[1]weekly_demand!$A:$A,G$1,[1]weekly_demand!$C:$C,$A74))</f>
        <v/>
      </c>
      <c r="H74" s="39" t="str">
        <f t="shared" si="5"/>
        <v/>
      </c>
      <c r="I74" s="39" t="str">
        <f t="shared" si="5"/>
        <v/>
      </c>
      <c r="J74" s="39" t="str">
        <f t="shared" si="5"/>
        <v/>
      </c>
      <c r="K74" s="39" t="str">
        <f t="shared" si="5"/>
        <v/>
      </c>
      <c r="L74" s="39" t="str">
        <f t="shared" si="5"/>
        <v/>
      </c>
      <c r="M74" s="39" t="str">
        <f t="shared" si="5"/>
        <v/>
      </c>
      <c r="N74" s="39" t="str">
        <f t="shared" si="5"/>
        <v/>
      </c>
      <c r="O74" s="39" t="str">
        <f t="shared" si="5"/>
        <v/>
      </c>
      <c r="P74" s="39" t="str">
        <f t="shared" si="5"/>
        <v/>
      </c>
      <c r="Q74" s="39" t="str">
        <f t="shared" si="5"/>
        <v/>
      </c>
      <c r="R74" s="39" t="str">
        <f t="shared" si="5"/>
        <v/>
      </c>
      <c r="S74" s="39" t="str">
        <f t="shared" si="5"/>
        <v/>
      </c>
      <c r="T74" s="39" t="str">
        <f t="shared" si="5"/>
        <v/>
      </c>
      <c r="U74" s="39" t="str">
        <f t="shared" si="5"/>
        <v/>
      </c>
      <c r="V74" s="39" t="str">
        <f t="shared" si="5"/>
        <v/>
      </c>
    </row>
    <row r="75" spans="1:22" x14ac:dyDescent="0.3">
      <c r="A75" s="38"/>
      <c r="B75" s="39" t="str">
        <f>IF($A75="","",SUMIFS([1]weekly_demand!$D:$D,[1]weekly_demand!$A:$A,B$1,[1]weekly_demand!$C:$C,$A75))</f>
        <v/>
      </c>
      <c r="C75" s="39" t="str">
        <f>IF($A75="","",SUMIFS([1]weekly_demand!$D:$D,[1]weekly_demand!$A:$A,C$1,[1]weekly_demand!$C:$C,$A75))</f>
        <v/>
      </c>
      <c r="D75" s="39" t="str">
        <f>IF($A75="","",SUMIFS([1]weekly_demand!$D:$D,[1]weekly_demand!$A:$A,D$1,[1]weekly_demand!$C:$C,$A75))</f>
        <v/>
      </c>
      <c r="E75" s="39" t="str">
        <f>IF($A75="","",SUMIFS([1]weekly_demand!$D:$D,[1]weekly_demand!$A:$A,E$1,[1]weekly_demand!$C:$C,$A75))</f>
        <v/>
      </c>
      <c r="F75" s="39" t="str">
        <f>IF($A75="","",SUMIFS([1]weekly_demand!$D:$D,[1]weekly_demand!$A:$A,F$1,[1]weekly_demand!$C:$C,$A75))</f>
        <v/>
      </c>
      <c r="G75" s="39" t="str">
        <f>IF($A75="","",SUMIFS([1]weekly_demand!$D:$D,[1]weekly_demand!$A:$A,G$1,[1]weekly_demand!$C:$C,$A75))</f>
        <v/>
      </c>
      <c r="H75" s="39" t="str">
        <f t="shared" si="5"/>
        <v/>
      </c>
      <c r="I75" s="39" t="str">
        <f t="shared" si="5"/>
        <v/>
      </c>
      <c r="J75" s="39" t="str">
        <f t="shared" si="5"/>
        <v/>
      </c>
      <c r="K75" s="39" t="str">
        <f t="shared" si="5"/>
        <v/>
      </c>
      <c r="L75" s="39" t="str">
        <f t="shared" si="5"/>
        <v/>
      </c>
      <c r="M75" s="39" t="str">
        <f t="shared" si="5"/>
        <v/>
      </c>
      <c r="N75" s="39" t="str">
        <f t="shared" si="5"/>
        <v/>
      </c>
      <c r="O75" s="39" t="str">
        <f t="shared" si="5"/>
        <v/>
      </c>
      <c r="P75" s="39" t="str">
        <f t="shared" si="5"/>
        <v/>
      </c>
      <c r="Q75" s="39" t="str">
        <f t="shared" si="5"/>
        <v/>
      </c>
      <c r="R75" s="39" t="str">
        <f t="shared" si="5"/>
        <v/>
      </c>
      <c r="S75" s="39" t="str">
        <f t="shared" si="5"/>
        <v/>
      </c>
      <c r="T75" s="39" t="str">
        <f t="shared" si="5"/>
        <v/>
      </c>
      <c r="U75" s="39" t="str">
        <f t="shared" si="5"/>
        <v/>
      </c>
      <c r="V75" s="39" t="str">
        <f t="shared" si="5"/>
        <v/>
      </c>
    </row>
    <row r="76" spans="1:22" x14ac:dyDescent="0.3">
      <c r="A76" s="38"/>
      <c r="B76" s="39" t="str">
        <f>IF($A76="","",SUMIFS([1]weekly_demand!$D:$D,[1]weekly_demand!$A:$A,B$1,[1]weekly_demand!$C:$C,$A76))</f>
        <v/>
      </c>
      <c r="C76" s="39" t="str">
        <f>IF($A76="","",SUMIFS([1]weekly_demand!$D:$D,[1]weekly_demand!$A:$A,C$1,[1]weekly_demand!$C:$C,$A76))</f>
        <v/>
      </c>
      <c r="D76" s="39" t="str">
        <f>IF($A76="","",SUMIFS([1]weekly_demand!$D:$D,[1]weekly_demand!$A:$A,D$1,[1]weekly_demand!$C:$C,$A76))</f>
        <v/>
      </c>
      <c r="E76" s="39" t="str">
        <f>IF($A76="","",SUMIFS([1]weekly_demand!$D:$D,[1]weekly_demand!$A:$A,E$1,[1]weekly_demand!$C:$C,$A76))</f>
        <v/>
      </c>
      <c r="F76" s="39" t="str">
        <f>IF($A76="","",SUMIFS([1]weekly_demand!$D:$D,[1]weekly_demand!$A:$A,F$1,[1]weekly_demand!$C:$C,$A76))</f>
        <v/>
      </c>
      <c r="G76" s="39" t="str">
        <f>IF($A76="","",SUMIFS([1]weekly_demand!$D:$D,[1]weekly_demand!$A:$A,G$1,[1]weekly_demand!$C:$C,$A76))</f>
        <v/>
      </c>
      <c r="H76" s="39" t="str">
        <f t="shared" si="5"/>
        <v/>
      </c>
      <c r="I76" s="39" t="str">
        <f t="shared" si="5"/>
        <v/>
      </c>
      <c r="J76" s="39" t="str">
        <f t="shared" si="5"/>
        <v/>
      </c>
      <c r="K76" s="39" t="str">
        <f t="shared" si="5"/>
        <v/>
      </c>
      <c r="L76" s="39" t="str">
        <f t="shared" si="5"/>
        <v/>
      </c>
      <c r="M76" s="39" t="str">
        <f t="shared" si="5"/>
        <v/>
      </c>
      <c r="N76" s="39" t="str">
        <f t="shared" si="5"/>
        <v/>
      </c>
      <c r="O76" s="39" t="str">
        <f t="shared" si="5"/>
        <v/>
      </c>
      <c r="P76" s="39" t="str">
        <f t="shared" si="5"/>
        <v/>
      </c>
      <c r="Q76" s="39" t="str">
        <f t="shared" si="5"/>
        <v/>
      </c>
      <c r="R76" s="39" t="str">
        <f t="shared" si="5"/>
        <v/>
      </c>
      <c r="S76" s="39" t="str">
        <f t="shared" si="5"/>
        <v/>
      </c>
      <c r="T76" s="39" t="str">
        <f t="shared" si="5"/>
        <v/>
      </c>
      <c r="U76" s="39" t="str">
        <f t="shared" si="5"/>
        <v/>
      </c>
      <c r="V76" s="39" t="str">
        <f t="shared" si="5"/>
        <v/>
      </c>
    </row>
    <row r="77" spans="1:22" x14ac:dyDescent="0.3">
      <c r="A77" s="38"/>
      <c r="B77" s="39" t="str">
        <f>IF($A77="","",SUMIFS([1]weekly_demand!$D:$D,[1]weekly_demand!$A:$A,B$1,[1]weekly_demand!$C:$C,$A77))</f>
        <v/>
      </c>
      <c r="C77" s="39" t="str">
        <f>IF($A77="","",SUMIFS([1]weekly_demand!$D:$D,[1]weekly_demand!$A:$A,C$1,[1]weekly_demand!$C:$C,$A77))</f>
        <v/>
      </c>
      <c r="D77" s="39" t="str">
        <f>IF($A77="","",SUMIFS([1]weekly_demand!$D:$D,[1]weekly_demand!$A:$A,D$1,[1]weekly_demand!$C:$C,$A77))</f>
        <v/>
      </c>
      <c r="E77" s="39" t="str">
        <f>IF($A77="","",SUMIFS([1]weekly_demand!$D:$D,[1]weekly_demand!$A:$A,E$1,[1]weekly_demand!$C:$C,$A77))</f>
        <v/>
      </c>
      <c r="F77" s="39" t="str">
        <f>IF($A77="","",SUMIFS([1]weekly_demand!$D:$D,[1]weekly_demand!$A:$A,F$1,[1]weekly_demand!$C:$C,$A77))</f>
        <v/>
      </c>
      <c r="G77" s="39" t="str">
        <f>IF($A77="","",SUMIFS([1]weekly_demand!$D:$D,[1]weekly_demand!$A:$A,G$1,[1]weekly_demand!$C:$C,$A77))</f>
        <v/>
      </c>
      <c r="H77" s="39" t="str">
        <f t="shared" si="5"/>
        <v/>
      </c>
      <c r="I77" s="39" t="str">
        <f t="shared" si="5"/>
        <v/>
      </c>
      <c r="J77" s="39" t="str">
        <f t="shared" si="5"/>
        <v/>
      </c>
      <c r="K77" s="39" t="str">
        <f t="shared" si="5"/>
        <v/>
      </c>
      <c r="L77" s="39" t="str">
        <f t="shared" si="5"/>
        <v/>
      </c>
      <c r="M77" s="39" t="str">
        <f t="shared" si="5"/>
        <v/>
      </c>
      <c r="N77" s="39" t="str">
        <f t="shared" si="5"/>
        <v/>
      </c>
      <c r="O77" s="39" t="str">
        <f t="shared" si="5"/>
        <v/>
      </c>
      <c r="P77" s="39" t="str">
        <f t="shared" si="5"/>
        <v/>
      </c>
      <c r="Q77" s="39" t="str">
        <f t="shared" si="5"/>
        <v/>
      </c>
      <c r="R77" s="39" t="str">
        <f t="shared" si="5"/>
        <v/>
      </c>
      <c r="S77" s="39" t="str">
        <f t="shared" si="5"/>
        <v/>
      </c>
      <c r="T77" s="39" t="str">
        <f t="shared" si="5"/>
        <v/>
      </c>
      <c r="U77" s="39" t="str">
        <f t="shared" si="5"/>
        <v/>
      </c>
      <c r="V77" s="39" t="str">
        <f t="shared" si="5"/>
        <v/>
      </c>
    </row>
    <row r="78" spans="1:22" x14ac:dyDescent="0.3">
      <c r="A78" s="38"/>
      <c r="B78" s="39" t="str">
        <f>IF($A78="","",SUMIFS([1]weekly_demand!$D:$D,[1]weekly_demand!$A:$A,B$1,[1]weekly_demand!$C:$C,$A78))</f>
        <v/>
      </c>
      <c r="C78" s="39" t="str">
        <f>IF($A78="","",SUMIFS([1]weekly_demand!$D:$D,[1]weekly_demand!$A:$A,C$1,[1]weekly_demand!$C:$C,$A78))</f>
        <v/>
      </c>
      <c r="D78" s="39" t="str">
        <f>IF($A78="","",SUMIFS([1]weekly_demand!$D:$D,[1]weekly_demand!$A:$A,D$1,[1]weekly_demand!$C:$C,$A78))</f>
        <v/>
      </c>
      <c r="E78" s="39" t="str">
        <f>IF($A78="","",SUMIFS([1]weekly_demand!$D:$D,[1]weekly_demand!$A:$A,E$1,[1]weekly_demand!$C:$C,$A78))</f>
        <v/>
      </c>
      <c r="F78" s="39" t="str">
        <f>IF($A78="","",SUMIFS([1]weekly_demand!$D:$D,[1]weekly_demand!$A:$A,F$1,[1]weekly_demand!$C:$C,$A78))</f>
        <v/>
      </c>
      <c r="G78" s="39" t="str">
        <f>IF($A78="","",SUMIFS([1]weekly_demand!$D:$D,[1]weekly_demand!$A:$A,G$1,[1]weekly_demand!$C:$C,$A78))</f>
        <v/>
      </c>
      <c r="H78" s="39" t="str">
        <f t="shared" si="5"/>
        <v/>
      </c>
      <c r="I78" s="39" t="str">
        <f t="shared" si="5"/>
        <v/>
      </c>
      <c r="J78" s="39" t="str">
        <f t="shared" si="5"/>
        <v/>
      </c>
      <c r="K78" s="39" t="str">
        <f t="shared" si="5"/>
        <v/>
      </c>
      <c r="L78" s="39" t="str">
        <f t="shared" si="5"/>
        <v/>
      </c>
      <c r="M78" s="39" t="str">
        <f t="shared" si="5"/>
        <v/>
      </c>
      <c r="N78" s="39" t="str">
        <f t="shared" si="5"/>
        <v/>
      </c>
      <c r="O78" s="39" t="str">
        <f t="shared" si="5"/>
        <v/>
      </c>
      <c r="P78" s="39" t="str">
        <f t="shared" si="5"/>
        <v/>
      </c>
      <c r="Q78" s="39" t="str">
        <f t="shared" si="5"/>
        <v/>
      </c>
      <c r="R78" s="39" t="str">
        <f t="shared" si="5"/>
        <v/>
      </c>
      <c r="S78" s="39" t="str">
        <f t="shared" si="5"/>
        <v/>
      </c>
      <c r="T78" s="39" t="str">
        <f t="shared" si="5"/>
        <v/>
      </c>
      <c r="U78" s="39" t="str">
        <f t="shared" si="5"/>
        <v/>
      </c>
      <c r="V78" s="39" t="str">
        <f t="shared" si="5"/>
        <v/>
      </c>
    </row>
    <row r="79" spans="1:22" x14ac:dyDescent="0.3">
      <c r="A79" s="38"/>
      <c r="B79" s="39" t="str">
        <f>IF($A79="","",SUMIFS([1]weekly_demand!$D:$D,[1]weekly_demand!$A:$A,B$1,[1]weekly_demand!$C:$C,$A79))</f>
        <v/>
      </c>
      <c r="C79" s="39" t="str">
        <f>IF($A79="","",SUMIFS([1]weekly_demand!$D:$D,[1]weekly_demand!$A:$A,C$1,[1]weekly_demand!$C:$C,$A79))</f>
        <v/>
      </c>
      <c r="D79" s="39" t="str">
        <f>IF($A79="","",SUMIFS([1]weekly_demand!$D:$D,[1]weekly_demand!$A:$A,D$1,[1]weekly_demand!$C:$C,$A79))</f>
        <v/>
      </c>
      <c r="E79" s="39" t="str">
        <f>IF($A79="","",SUMIFS([1]weekly_demand!$D:$D,[1]weekly_demand!$A:$A,E$1,[1]weekly_demand!$C:$C,$A79))</f>
        <v/>
      </c>
      <c r="F79" s="39" t="str">
        <f>IF($A79="","",SUMIFS([1]weekly_demand!$D:$D,[1]weekly_demand!$A:$A,F$1,[1]weekly_demand!$C:$C,$A79))</f>
        <v/>
      </c>
      <c r="G79" s="39" t="str">
        <f>IF($A79="","",SUMIFS([1]weekly_demand!$D:$D,[1]weekly_demand!$A:$A,G$1,[1]weekly_demand!$C:$C,$A79))</f>
        <v/>
      </c>
      <c r="H79" s="39" t="str">
        <f t="shared" si="5"/>
        <v/>
      </c>
      <c r="I79" s="39" t="str">
        <f t="shared" si="5"/>
        <v/>
      </c>
      <c r="J79" s="39" t="str">
        <f t="shared" si="5"/>
        <v/>
      </c>
      <c r="K79" s="39" t="str">
        <f t="shared" si="5"/>
        <v/>
      </c>
      <c r="L79" s="39" t="str">
        <f t="shared" si="5"/>
        <v/>
      </c>
      <c r="M79" s="39" t="str">
        <f t="shared" si="5"/>
        <v/>
      </c>
      <c r="N79" s="39" t="str">
        <f t="shared" si="5"/>
        <v/>
      </c>
      <c r="O79" s="39" t="str">
        <f t="shared" si="5"/>
        <v/>
      </c>
      <c r="P79" s="39" t="str">
        <f t="shared" si="5"/>
        <v/>
      </c>
      <c r="Q79" s="39" t="str">
        <f t="shared" si="5"/>
        <v/>
      </c>
      <c r="R79" s="39" t="str">
        <f t="shared" si="5"/>
        <v/>
      </c>
      <c r="S79" s="39" t="str">
        <f t="shared" si="5"/>
        <v/>
      </c>
      <c r="T79" s="39" t="str">
        <f t="shared" si="5"/>
        <v/>
      </c>
      <c r="U79" s="39" t="str">
        <f t="shared" si="5"/>
        <v/>
      </c>
      <c r="V79" s="39" t="str">
        <f t="shared" si="5"/>
        <v/>
      </c>
    </row>
    <row r="80" spans="1:22" x14ac:dyDescent="0.3">
      <c r="A80" s="38"/>
      <c r="B80" s="39" t="str">
        <f>IF($A80="","",SUMIFS([1]weekly_demand!$D:$D,[1]weekly_demand!$A:$A,B$1,[1]weekly_demand!$C:$C,$A80))</f>
        <v/>
      </c>
      <c r="C80" s="39" t="str">
        <f>IF($A80="","",SUMIFS([1]weekly_demand!$D:$D,[1]weekly_demand!$A:$A,C$1,[1]weekly_demand!$C:$C,$A80))</f>
        <v/>
      </c>
      <c r="D80" s="39" t="str">
        <f>IF($A80="","",SUMIFS([1]weekly_demand!$D:$D,[1]weekly_demand!$A:$A,D$1,[1]weekly_demand!$C:$C,$A80))</f>
        <v/>
      </c>
      <c r="E80" s="39" t="str">
        <f>IF($A80="","",SUMIFS([1]weekly_demand!$D:$D,[1]weekly_demand!$A:$A,E$1,[1]weekly_demand!$C:$C,$A80))</f>
        <v/>
      </c>
      <c r="F80" s="39" t="str">
        <f>IF($A80="","",SUMIFS([1]weekly_demand!$D:$D,[1]weekly_demand!$A:$A,F$1,[1]weekly_demand!$C:$C,$A80))</f>
        <v/>
      </c>
      <c r="G80" s="39" t="str">
        <f>IF($A80="","",SUMIFS([1]weekly_demand!$D:$D,[1]weekly_demand!$A:$A,G$1,[1]weekly_demand!$C:$C,$A80))</f>
        <v/>
      </c>
      <c r="H80" s="39" t="str">
        <f t="shared" si="5"/>
        <v/>
      </c>
      <c r="I80" s="39" t="str">
        <f t="shared" si="5"/>
        <v/>
      </c>
      <c r="J80" s="39" t="str">
        <f t="shared" si="5"/>
        <v/>
      </c>
      <c r="K80" s="39" t="str">
        <f t="shared" si="5"/>
        <v/>
      </c>
      <c r="L80" s="39" t="str">
        <f t="shared" si="5"/>
        <v/>
      </c>
      <c r="M80" s="39" t="str">
        <f t="shared" si="5"/>
        <v/>
      </c>
      <c r="N80" s="39" t="str">
        <f t="shared" si="5"/>
        <v/>
      </c>
      <c r="O80" s="39" t="str">
        <f t="shared" si="5"/>
        <v/>
      </c>
      <c r="P80" s="39" t="str">
        <f t="shared" si="5"/>
        <v/>
      </c>
      <c r="Q80" s="39" t="str">
        <f t="shared" si="5"/>
        <v/>
      </c>
      <c r="R80" s="39" t="str">
        <f t="shared" si="5"/>
        <v/>
      </c>
      <c r="S80" s="39" t="str">
        <f t="shared" si="5"/>
        <v/>
      </c>
      <c r="T80" s="39" t="str">
        <f t="shared" si="5"/>
        <v/>
      </c>
      <c r="U80" s="39" t="str">
        <f t="shared" si="5"/>
        <v/>
      </c>
      <c r="V80" s="39" t="str">
        <f t="shared" si="5"/>
        <v/>
      </c>
    </row>
    <row r="81" spans="1:22" x14ac:dyDescent="0.3">
      <c r="A81" s="38"/>
      <c r="B81" s="39" t="str">
        <f>IF($A81="","",SUMIFS([1]weekly_demand!$D:$D,[1]weekly_demand!$A:$A,B$1,[1]weekly_demand!$C:$C,$A81))</f>
        <v/>
      </c>
      <c r="C81" s="39" t="str">
        <f>IF($A81="","",SUMIFS([1]weekly_demand!$D:$D,[1]weekly_demand!$A:$A,C$1,[1]weekly_demand!$C:$C,$A81))</f>
        <v/>
      </c>
      <c r="D81" s="39" t="str">
        <f>IF($A81="","",SUMIFS([1]weekly_demand!$D:$D,[1]weekly_demand!$A:$A,D$1,[1]weekly_demand!$C:$C,$A81))</f>
        <v/>
      </c>
      <c r="E81" s="39" t="str">
        <f>IF($A81="","",SUMIFS([1]weekly_demand!$D:$D,[1]weekly_demand!$A:$A,E$1,[1]weekly_demand!$C:$C,$A81))</f>
        <v/>
      </c>
      <c r="F81" s="39" t="str">
        <f>IF($A81="","",SUMIFS([1]weekly_demand!$D:$D,[1]weekly_demand!$A:$A,F$1,[1]weekly_demand!$C:$C,$A81))</f>
        <v/>
      </c>
      <c r="G81" s="39" t="str">
        <f>IF($A81="","",SUMIFS([1]weekly_demand!$D:$D,[1]weekly_demand!$A:$A,G$1,[1]weekly_demand!$C:$C,$A81))</f>
        <v/>
      </c>
      <c r="H81" s="39" t="str">
        <f t="shared" si="5"/>
        <v/>
      </c>
      <c r="I81" s="39" t="str">
        <f t="shared" si="5"/>
        <v/>
      </c>
      <c r="J81" s="39" t="str">
        <f t="shared" si="5"/>
        <v/>
      </c>
      <c r="K81" s="39" t="str">
        <f t="shared" si="5"/>
        <v/>
      </c>
      <c r="L81" s="39" t="str">
        <f t="shared" si="5"/>
        <v/>
      </c>
      <c r="M81" s="39" t="str">
        <f t="shared" si="5"/>
        <v/>
      </c>
      <c r="N81" s="39" t="str">
        <f t="shared" si="5"/>
        <v/>
      </c>
      <c r="O81" s="39" t="str">
        <f t="shared" si="5"/>
        <v/>
      </c>
      <c r="P81" s="39" t="str">
        <f t="shared" si="5"/>
        <v/>
      </c>
      <c r="Q81" s="39" t="str">
        <f t="shared" si="5"/>
        <v/>
      </c>
      <c r="R81" s="39" t="str">
        <f t="shared" si="5"/>
        <v/>
      </c>
      <c r="S81" s="39" t="str">
        <f t="shared" si="5"/>
        <v/>
      </c>
      <c r="T81" s="39" t="str">
        <f t="shared" si="5"/>
        <v/>
      </c>
      <c r="U81" s="39" t="str">
        <f t="shared" si="5"/>
        <v/>
      </c>
      <c r="V81" s="39" t="str">
        <f t="shared" si="5"/>
        <v/>
      </c>
    </row>
    <row r="82" spans="1:22" x14ac:dyDescent="0.3">
      <c r="A82" s="38"/>
      <c r="B82" s="39" t="str">
        <f>IF($A82="","",SUMIFS([1]weekly_demand!$D:$D,[1]weekly_demand!$A:$A,B$1,[1]weekly_demand!$C:$C,$A82))</f>
        <v/>
      </c>
      <c r="C82" s="39" t="str">
        <f>IF($A82="","",SUMIFS([1]weekly_demand!$D:$D,[1]weekly_demand!$A:$A,C$1,[1]weekly_demand!$C:$C,$A82))</f>
        <v/>
      </c>
      <c r="D82" s="39" t="str">
        <f>IF($A82="","",SUMIFS([1]weekly_demand!$D:$D,[1]weekly_demand!$A:$A,D$1,[1]weekly_demand!$C:$C,$A82))</f>
        <v/>
      </c>
      <c r="E82" s="39" t="str">
        <f>IF($A82="","",SUMIFS([1]weekly_demand!$D:$D,[1]weekly_demand!$A:$A,E$1,[1]weekly_demand!$C:$C,$A82))</f>
        <v/>
      </c>
      <c r="F82" s="39" t="str">
        <f>IF($A82="","",SUMIFS([1]weekly_demand!$D:$D,[1]weekly_demand!$A:$A,F$1,[1]weekly_demand!$C:$C,$A82))</f>
        <v/>
      </c>
      <c r="G82" s="39" t="str">
        <f>IF($A82="","",SUMIFS([1]weekly_demand!$D:$D,[1]weekly_demand!$A:$A,G$1,[1]weekly_demand!$C:$C,$A82))</f>
        <v/>
      </c>
      <c r="H82" s="39" t="str">
        <f t="shared" ref="H82:V97" si="6">IF($A82="","",SUMPRODUCT($B82:$G82,INDEX($Y$2:$AD$16,MATCH(H$1,$X$2:$X$16,0),0)))</f>
        <v/>
      </c>
      <c r="I82" s="39" t="str">
        <f t="shared" si="6"/>
        <v/>
      </c>
      <c r="J82" s="39" t="str">
        <f t="shared" si="6"/>
        <v/>
      </c>
      <c r="K82" s="39" t="str">
        <f t="shared" si="6"/>
        <v/>
      </c>
      <c r="L82" s="39" t="str">
        <f t="shared" si="6"/>
        <v/>
      </c>
      <c r="M82" s="39" t="str">
        <f t="shared" si="6"/>
        <v/>
      </c>
      <c r="N82" s="39" t="str">
        <f t="shared" si="6"/>
        <v/>
      </c>
      <c r="O82" s="39" t="str">
        <f t="shared" si="6"/>
        <v/>
      </c>
      <c r="P82" s="39" t="str">
        <f t="shared" si="6"/>
        <v/>
      </c>
      <c r="Q82" s="39" t="str">
        <f t="shared" si="6"/>
        <v/>
      </c>
      <c r="R82" s="39" t="str">
        <f t="shared" si="6"/>
        <v/>
      </c>
      <c r="S82" s="39" t="str">
        <f t="shared" si="6"/>
        <v/>
      </c>
      <c r="T82" s="39" t="str">
        <f t="shared" si="6"/>
        <v/>
      </c>
      <c r="U82" s="39" t="str">
        <f t="shared" si="6"/>
        <v/>
      </c>
      <c r="V82" s="39" t="str">
        <f t="shared" si="6"/>
        <v/>
      </c>
    </row>
    <row r="83" spans="1:22" x14ac:dyDescent="0.3">
      <c r="A83" s="38"/>
      <c r="B83" s="39" t="str">
        <f>IF($A83="","",SUMIFS([1]weekly_demand!$D:$D,[1]weekly_demand!$A:$A,B$1,[1]weekly_demand!$C:$C,$A83))</f>
        <v/>
      </c>
      <c r="C83" s="39" t="str">
        <f>IF($A83="","",SUMIFS([1]weekly_demand!$D:$D,[1]weekly_demand!$A:$A,C$1,[1]weekly_demand!$C:$C,$A83))</f>
        <v/>
      </c>
      <c r="D83" s="39" t="str">
        <f>IF($A83="","",SUMIFS([1]weekly_demand!$D:$D,[1]weekly_demand!$A:$A,D$1,[1]weekly_demand!$C:$C,$A83))</f>
        <v/>
      </c>
      <c r="E83" s="39" t="str">
        <f>IF($A83="","",SUMIFS([1]weekly_demand!$D:$D,[1]weekly_demand!$A:$A,E$1,[1]weekly_demand!$C:$C,$A83))</f>
        <v/>
      </c>
      <c r="F83" s="39" t="str">
        <f>IF($A83="","",SUMIFS([1]weekly_demand!$D:$D,[1]weekly_demand!$A:$A,F$1,[1]weekly_demand!$C:$C,$A83))</f>
        <v/>
      </c>
      <c r="G83" s="39" t="str">
        <f>IF($A83="","",SUMIFS([1]weekly_demand!$D:$D,[1]weekly_demand!$A:$A,G$1,[1]weekly_demand!$C:$C,$A83))</f>
        <v/>
      </c>
      <c r="H83" s="39" t="str">
        <f t="shared" si="6"/>
        <v/>
      </c>
      <c r="I83" s="39" t="str">
        <f t="shared" si="6"/>
        <v/>
      </c>
      <c r="J83" s="39" t="str">
        <f t="shared" si="6"/>
        <v/>
      </c>
      <c r="K83" s="39" t="str">
        <f t="shared" si="6"/>
        <v/>
      </c>
      <c r="L83" s="39" t="str">
        <f t="shared" si="6"/>
        <v/>
      </c>
      <c r="M83" s="39" t="str">
        <f t="shared" si="6"/>
        <v/>
      </c>
      <c r="N83" s="39" t="str">
        <f t="shared" si="6"/>
        <v/>
      </c>
      <c r="O83" s="39" t="str">
        <f t="shared" si="6"/>
        <v/>
      </c>
      <c r="P83" s="39" t="str">
        <f t="shared" si="6"/>
        <v/>
      </c>
      <c r="Q83" s="39" t="str">
        <f t="shared" si="6"/>
        <v/>
      </c>
      <c r="R83" s="39" t="str">
        <f t="shared" si="6"/>
        <v/>
      </c>
      <c r="S83" s="39" t="str">
        <f t="shared" si="6"/>
        <v/>
      </c>
      <c r="T83" s="39" t="str">
        <f t="shared" si="6"/>
        <v/>
      </c>
      <c r="U83" s="39" t="str">
        <f t="shared" si="6"/>
        <v/>
      </c>
      <c r="V83" s="39" t="str">
        <f t="shared" si="6"/>
        <v/>
      </c>
    </row>
    <row r="84" spans="1:22" x14ac:dyDescent="0.3">
      <c r="A84" s="38"/>
      <c r="B84" s="39" t="str">
        <f>IF($A84="","",SUMIFS([1]weekly_demand!$D:$D,[1]weekly_demand!$A:$A,B$1,[1]weekly_demand!$C:$C,$A84))</f>
        <v/>
      </c>
      <c r="C84" s="39" t="str">
        <f>IF($A84="","",SUMIFS([1]weekly_demand!$D:$D,[1]weekly_demand!$A:$A,C$1,[1]weekly_demand!$C:$C,$A84))</f>
        <v/>
      </c>
      <c r="D84" s="39" t="str">
        <f>IF($A84="","",SUMIFS([1]weekly_demand!$D:$D,[1]weekly_demand!$A:$A,D$1,[1]weekly_demand!$C:$C,$A84))</f>
        <v/>
      </c>
      <c r="E84" s="39" t="str">
        <f>IF($A84="","",SUMIFS([1]weekly_demand!$D:$D,[1]weekly_demand!$A:$A,E$1,[1]weekly_demand!$C:$C,$A84))</f>
        <v/>
      </c>
      <c r="F84" s="39" t="str">
        <f>IF($A84="","",SUMIFS([1]weekly_demand!$D:$D,[1]weekly_demand!$A:$A,F$1,[1]weekly_demand!$C:$C,$A84))</f>
        <v/>
      </c>
      <c r="G84" s="39" t="str">
        <f>IF($A84="","",SUMIFS([1]weekly_demand!$D:$D,[1]weekly_demand!$A:$A,G$1,[1]weekly_demand!$C:$C,$A84))</f>
        <v/>
      </c>
      <c r="H84" s="39" t="str">
        <f t="shared" si="6"/>
        <v/>
      </c>
      <c r="I84" s="39" t="str">
        <f t="shared" si="6"/>
        <v/>
      </c>
      <c r="J84" s="39" t="str">
        <f t="shared" si="6"/>
        <v/>
      </c>
      <c r="K84" s="39" t="str">
        <f t="shared" si="6"/>
        <v/>
      </c>
      <c r="L84" s="39" t="str">
        <f t="shared" si="6"/>
        <v/>
      </c>
      <c r="M84" s="39" t="str">
        <f t="shared" si="6"/>
        <v/>
      </c>
      <c r="N84" s="39" t="str">
        <f t="shared" si="6"/>
        <v/>
      </c>
      <c r="O84" s="39" t="str">
        <f t="shared" si="6"/>
        <v/>
      </c>
      <c r="P84" s="39" t="str">
        <f t="shared" si="6"/>
        <v/>
      </c>
      <c r="Q84" s="39" t="str">
        <f t="shared" si="6"/>
        <v/>
      </c>
      <c r="R84" s="39" t="str">
        <f t="shared" si="6"/>
        <v/>
      </c>
      <c r="S84" s="39" t="str">
        <f t="shared" si="6"/>
        <v/>
      </c>
      <c r="T84" s="39" t="str">
        <f t="shared" si="6"/>
        <v/>
      </c>
      <c r="U84" s="39" t="str">
        <f t="shared" si="6"/>
        <v/>
      </c>
      <c r="V84" s="39" t="str">
        <f t="shared" si="6"/>
        <v/>
      </c>
    </row>
    <row r="85" spans="1:22" x14ac:dyDescent="0.3">
      <c r="A85" s="38"/>
      <c r="B85" s="39" t="str">
        <f>IF($A85="","",SUMIFS([1]weekly_demand!$D:$D,[1]weekly_demand!$A:$A,B$1,[1]weekly_demand!$C:$C,$A85))</f>
        <v/>
      </c>
      <c r="C85" s="39" t="str">
        <f>IF($A85="","",SUMIFS([1]weekly_demand!$D:$D,[1]weekly_demand!$A:$A,C$1,[1]weekly_demand!$C:$C,$A85))</f>
        <v/>
      </c>
      <c r="D85" s="39" t="str">
        <f>IF($A85="","",SUMIFS([1]weekly_demand!$D:$D,[1]weekly_demand!$A:$A,D$1,[1]weekly_demand!$C:$C,$A85))</f>
        <v/>
      </c>
      <c r="E85" s="39" t="str">
        <f>IF($A85="","",SUMIFS([1]weekly_demand!$D:$D,[1]weekly_demand!$A:$A,E$1,[1]weekly_demand!$C:$C,$A85))</f>
        <v/>
      </c>
      <c r="F85" s="39" t="str">
        <f>IF($A85="","",SUMIFS([1]weekly_demand!$D:$D,[1]weekly_demand!$A:$A,F$1,[1]weekly_demand!$C:$C,$A85))</f>
        <v/>
      </c>
      <c r="G85" s="39" t="str">
        <f>IF($A85="","",SUMIFS([1]weekly_demand!$D:$D,[1]weekly_demand!$A:$A,G$1,[1]weekly_demand!$C:$C,$A85))</f>
        <v/>
      </c>
      <c r="H85" s="39" t="str">
        <f t="shared" si="6"/>
        <v/>
      </c>
      <c r="I85" s="39" t="str">
        <f t="shared" si="6"/>
        <v/>
      </c>
      <c r="J85" s="39" t="str">
        <f t="shared" si="6"/>
        <v/>
      </c>
      <c r="K85" s="39" t="str">
        <f t="shared" si="6"/>
        <v/>
      </c>
      <c r="L85" s="39" t="str">
        <f t="shared" si="6"/>
        <v/>
      </c>
      <c r="M85" s="39" t="str">
        <f t="shared" si="6"/>
        <v/>
      </c>
      <c r="N85" s="39" t="str">
        <f t="shared" si="6"/>
        <v/>
      </c>
      <c r="O85" s="39" t="str">
        <f t="shared" si="6"/>
        <v/>
      </c>
      <c r="P85" s="39" t="str">
        <f t="shared" si="6"/>
        <v/>
      </c>
      <c r="Q85" s="39" t="str">
        <f t="shared" si="6"/>
        <v/>
      </c>
      <c r="R85" s="39" t="str">
        <f t="shared" si="6"/>
        <v/>
      </c>
      <c r="S85" s="39" t="str">
        <f t="shared" si="6"/>
        <v/>
      </c>
      <c r="T85" s="39" t="str">
        <f t="shared" si="6"/>
        <v/>
      </c>
      <c r="U85" s="39" t="str">
        <f t="shared" si="6"/>
        <v/>
      </c>
      <c r="V85" s="39" t="str">
        <f t="shared" si="6"/>
        <v/>
      </c>
    </row>
    <row r="86" spans="1:22" x14ac:dyDescent="0.3">
      <c r="A86" s="38"/>
      <c r="B86" s="39" t="str">
        <f>IF($A86="","",SUMIFS([1]weekly_demand!$D:$D,[1]weekly_demand!$A:$A,B$1,[1]weekly_demand!$C:$C,$A86))</f>
        <v/>
      </c>
      <c r="C86" s="39" t="str">
        <f>IF($A86="","",SUMIFS([1]weekly_demand!$D:$D,[1]weekly_demand!$A:$A,C$1,[1]weekly_demand!$C:$C,$A86))</f>
        <v/>
      </c>
      <c r="D86" s="39" t="str">
        <f>IF($A86="","",SUMIFS([1]weekly_demand!$D:$D,[1]weekly_demand!$A:$A,D$1,[1]weekly_demand!$C:$C,$A86))</f>
        <v/>
      </c>
      <c r="E86" s="39" t="str">
        <f>IF($A86="","",SUMIFS([1]weekly_demand!$D:$D,[1]weekly_demand!$A:$A,E$1,[1]weekly_demand!$C:$C,$A86))</f>
        <v/>
      </c>
      <c r="F86" s="39" t="str">
        <f>IF($A86="","",SUMIFS([1]weekly_demand!$D:$D,[1]weekly_demand!$A:$A,F$1,[1]weekly_demand!$C:$C,$A86))</f>
        <v/>
      </c>
      <c r="G86" s="39" t="str">
        <f>IF($A86="","",SUMIFS([1]weekly_demand!$D:$D,[1]weekly_demand!$A:$A,G$1,[1]weekly_demand!$C:$C,$A86))</f>
        <v/>
      </c>
      <c r="H86" s="39" t="str">
        <f t="shared" si="6"/>
        <v/>
      </c>
      <c r="I86" s="39" t="str">
        <f t="shared" si="6"/>
        <v/>
      </c>
      <c r="J86" s="39" t="str">
        <f t="shared" si="6"/>
        <v/>
      </c>
      <c r="K86" s="39" t="str">
        <f t="shared" si="6"/>
        <v/>
      </c>
      <c r="L86" s="39" t="str">
        <f t="shared" si="6"/>
        <v/>
      </c>
      <c r="M86" s="39" t="str">
        <f t="shared" si="6"/>
        <v/>
      </c>
      <c r="N86" s="39" t="str">
        <f t="shared" si="6"/>
        <v/>
      </c>
      <c r="O86" s="39" t="str">
        <f t="shared" si="6"/>
        <v/>
      </c>
      <c r="P86" s="39" t="str">
        <f t="shared" si="6"/>
        <v/>
      </c>
      <c r="Q86" s="39" t="str">
        <f t="shared" si="6"/>
        <v/>
      </c>
      <c r="R86" s="39" t="str">
        <f t="shared" si="6"/>
        <v/>
      </c>
      <c r="S86" s="39" t="str">
        <f t="shared" si="6"/>
        <v/>
      </c>
      <c r="T86" s="39" t="str">
        <f t="shared" si="6"/>
        <v/>
      </c>
      <c r="U86" s="39" t="str">
        <f t="shared" si="6"/>
        <v/>
      </c>
      <c r="V86" s="39" t="str">
        <f t="shared" si="6"/>
        <v/>
      </c>
    </row>
    <row r="87" spans="1:22" x14ac:dyDescent="0.3">
      <c r="A87" s="38"/>
      <c r="B87" s="39" t="str">
        <f>IF($A87="","",SUMIFS([1]weekly_demand!$D:$D,[1]weekly_demand!$A:$A,B$1,[1]weekly_demand!$C:$C,$A87))</f>
        <v/>
      </c>
      <c r="C87" s="39" t="str">
        <f>IF($A87="","",SUMIFS([1]weekly_demand!$D:$D,[1]weekly_demand!$A:$A,C$1,[1]weekly_demand!$C:$C,$A87))</f>
        <v/>
      </c>
      <c r="D87" s="39" t="str">
        <f>IF($A87="","",SUMIFS([1]weekly_demand!$D:$D,[1]weekly_demand!$A:$A,D$1,[1]weekly_demand!$C:$C,$A87))</f>
        <v/>
      </c>
      <c r="E87" s="39" t="str">
        <f>IF($A87="","",SUMIFS([1]weekly_demand!$D:$D,[1]weekly_demand!$A:$A,E$1,[1]weekly_demand!$C:$C,$A87))</f>
        <v/>
      </c>
      <c r="F87" s="39" t="str">
        <f>IF($A87="","",SUMIFS([1]weekly_demand!$D:$D,[1]weekly_demand!$A:$A,F$1,[1]weekly_demand!$C:$C,$A87))</f>
        <v/>
      </c>
      <c r="G87" s="39" t="str">
        <f>IF($A87="","",SUMIFS([1]weekly_demand!$D:$D,[1]weekly_demand!$A:$A,G$1,[1]weekly_demand!$C:$C,$A87))</f>
        <v/>
      </c>
      <c r="H87" s="39" t="str">
        <f t="shared" si="6"/>
        <v/>
      </c>
      <c r="I87" s="39" t="str">
        <f t="shared" si="6"/>
        <v/>
      </c>
      <c r="J87" s="39" t="str">
        <f t="shared" si="6"/>
        <v/>
      </c>
      <c r="K87" s="39" t="str">
        <f t="shared" si="6"/>
        <v/>
      </c>
      <c r="L87" s="39" t="str">
        <f t="shared" si="6"/>
        <v/>
      </c>
      <c r="M87" s="39" t="str">
        <f t="shared" si="6"/>
        <v/>
      </c>
      <c r="N87" s="39" t="str">
        <f t="shared" si="6"/>
        <v/>
      </c>
      <c r="O87" s="39" t="str">
        <f t="shared" si="6"/>
        <v/>
      </c>
      <c r="P87" s="39" t="str">
        <f t="shared" si="6"/>
        <v/>
      </c>
      <c r="Q87" s="39" t="str">
        <f t="shared" si="6"/>
        <v/>
      </c>
      <c r="R87" s="39" t="str">
        <f t="shared" si="6"/>
        <v/>
      </c>
      <c r="S87" s="39" t="str">
        <f t="shared" si="6"/>
        <v/>
      </c>
      <c r="T87" s="39" t="str">
        <f t="shared" si="6"/>
        <v/>
      </c>
      <c r="U87" s="39" t="str">
        <f t="shared" si="6"/>
        <v/>
      </c>
      <c r="V87" s="39" t="str">
        <f t="shared" si="6"/>
        <v/>
      </c>
    </row>
    <row r="88" spans="1:22" x14ac:dyDescent="0.3">
      <c r="A88" s="38"/>
      <c r="B88" s="39" t="str">
        <f>IF($A88="","",SUMIFS([1]weekly_demand!$D:$D,[1]weekly_demand!$A:$A,B$1,[1]weekly_demand!$C:$C,$A88))</f>
        <v/>
      </c>
      <c r="C88" s="39" t="str">
        <f>IF($A88="","",SUMIFS([1]weekly_demand!$D:$D,[1]weekly_demand!$A:$A,C$1,[1]weekly_demand!$C:$C,$A88))</f>
        <v/>
      </c>
      <c r="D88" s="39" t="str">
        <f>IF($A88="","",SUMIFS([1]weekly_demand!$D:$D,[1]weekly_demand!$A:$A,D$1,[1]weekly_demand!$C:$C,$A88))</f>
        <v/>
      </c>
      <c r="E88" s="39" t="str">
        <f>IF($A88="","",SUMIFS([1]weekly_demand!$D:$D,[1]weekly_demand!$A:$A,E$1,[1]weekly_demand!$C:$C,$A88))</f>
        <v/>
      </c>
      <c r="F88" s="39" t="str">
        <f>IF($A88="","",SUMIFS([1]weekly_demand!$D:$D,[1]weekly_demand!$A:$A,F$1,[1]weekly_demand!$C:$C,$A88))</f>
        <v/>
      </c>
      <c r="G88" s="39" t="str">
        <f>IF($A88="","",SUMIFS([1]weekly_demand!$D:$D,[1]weekly_demand!$A:$A,G$1,[1]weekly_demand!$C:$C,$A88))</f>
        <v/>
      </c>
      <c r="H88" s="39" t="str">
        <f t="shared" si="6"/>
        <v/>
      </c>
      <c r="I88" s="39" t="str">
        <f t="shared" si="6"/>
        <v/>
      </c>
      <c r="J88" s="39" t="str">
        <f t="shared" si="6"/>
        <v/>
      </c>
      <c r="K88" s="39" t="str">
        <f t="shared" si="6"/>
        <v/>
      </c>
      <c r="L88" s="39" t="str">
        <f t="shared" si="6"/>
        <v/>
      </c>
      <c r="M88" s="39" t="str">
        <f t="shared" si="6"/>
        <v/>
      </c>
      <c r="N88" s="39" t="str">
        <f t="shared" si="6"/>
        <v/>
      </c>
      <c r="O88" s="39" t="str">
        <f t="shared" si="6"/>
        <v/>
      </c>
      <c r="P88" s="39" t="str">
        <f t="shared" si="6"/>
        <v/>
      </c>
      <c r="Q88" s="39" t="str">
        <f t="shared" si="6"/>
        <v/>
      </c>
      <c r="R88" s="39" t="str">
        <f t="shared" si="6"/>
        <v/>
      </c>
      <c r="S88" s="39" t="str">
        <f t="shared" si="6"/>
        <v/>
      </c>
      <c r="T88" s="39" t="str">
        <f t="shared" si="6"/>
        <v/>
      </c>
      <c r="U88" s="39" t="str">
        <f t="shared" si="6"/>
        <v/>
      </c>
      <c r="V88" s="39" t="str">
        <f t="shared" si="6"/>
        <v/>
      </c>
    </row>
    <row r="89" spans="1:22" x14ac:dyDescent="0.3">
      <c r="A89" s="38"/>
      <c r="B89" s="39" t="str">
        <f>IF($A89="","",SUMIFS([1]weekly_demand!$D:$D,[1]weekly_demand!$A:$A,B$1,[1]weekly_demand!$C:$C,$A89))</f>
        <v/>
      </c>
      <c r="C89" s="39" t="str">
        <f>IF($A89="","",SUMIFS([1]weekly_demand!$D:$D,[1]weekly_demand!$A:$A,C$1,[1]weekly_demand!$C:$C,$A89))</f>
        <v/>
      </c>
      <c r="D89" s="39" t="str">
        <f>IF($A89="","",SUMIFS([1]weekly_demand!$D:$D,[1]weekly_demand!$A:$A,D$1,[1]weekly_demand!$C:$C,$A89))</f>
        <v/>
      </c>
      <c r="E89" s="39" t="str">
        <f>IF($A89="","",SUMIFS([1]weekly_demand!$D:$D,[1]weekly_demand!$A:$A,E$1,[1]weekly_demand!$C:$C,$A89))</f>
        <v/>
      </c>
      <c r="F89" s="39" t="str">
        <f>IF($A89="","",SUMIFS([1]weekly_demand!$D:$D,[1]weekly_demand!$A:$A,F$1,[1]weekly_demand!$C:$C,$A89))</f>
        <v/>
      </c>
      <c r="G89" s="39" t="str">
        <f>IF($A89="","",SUMIFS([1]weekly_demand!$D:$D,[1]weekly_demand!$A:$A,G$1,[1]weekly_demand!$C:$C,$A89))</f>
        <v/>
      </c>
      <c r="H89" s="39" t="str">
        <f t="shared" si="6"/>
        <v/>
      </c>
      <c r="I89" s="39" t="str">
        <f t="shared" si="6"/>
        <v/>
      </c>
      <c r="J89" s="39" t="str">
        <f t="shared" si="6"/>
        <v/>
      </c>
      <c r="K89" s="39" t="str">
        <f t="shared" si="6"/>
        <v/>
      </c>
      <c r="L89" s="39" t="str">
        <f t="shared" si="6"/>
        <v/>
      </c>
      <c r="M89" s="39" t="str">
        <f t="shared" si="6"/>
        <v/>
      </c>
      <c r="N89" s="39" t="str">
        <f t="shared" si="6"/>
        <v/>
      </c>
      <c r="O89" s="39" t="str">
        <f t="shared" si="6"/>
        <v/>
      </c>
      <c r="P89" s="39" t="str">
        <f t="shared" si="6"/>
        <v/>
      </c>
      <c r="Q89" s="39" t="str">
        <f t="shared" si="6"/>
        <v/>
      </c>
      <c r="R89" s="39" t="str">
        <f t="shared" si="6"/>
        <v/>
      </c>
      <c r="S89" s="39" t="str">
        <f t="shared" si="6"/>
        <v/>
      </c>
      <c r="T89" s="39" t="str">
        <f t="shared" si="6"/>
        <v/>
      </c>
      <c r="U89" s="39" t="str">
        <f t="shared" si="6"/>
        <v/>
      </c>
      <c r="V89" s="39" t="str">
        <f t="shared" si="6"/>
        <v/>
      </c>
    </row>
    <row r="90" spans="1:22" x14ac:dyDescent="0.3">
      <c r="A90" s="38"/>
      <c r="B90" s="39" t="str">
        <f>IF($A90="","",SUMIFS([1]weekly_demand!$D:$D,[1]weekly_demand!$A:$A,B$1,[1]weekly_demand!$C:$C,$A90))</f>
        <v/>
      </c>
      <c r="C90" s="39" t="str">
        <f>IF($A90="","",SUMIFS([1]weekly_demand!$D:$D,[1]weekly_demand!$A:$A,C$1,[1]weekly_demand!$C:$C,$A90))</f>
        <v/>
      </c>
      <c r="D90" s="39" t="str">
        <f>IF($A90="","",SUMIFS([1]weekly_demand!$D:$D,[1]weekly_demand!$A:$A,D$1,[1]weekly_demand!$C:$C,$A90))</f>
        <v/>
      </c>
      <c r="E90" s="39" t="str">
        <f>IF($A90="","",SUMIFS([1]weekly_demand!$D:$D,[1]weekly_demand!$A:$A,E$1,[1]weekly_demand!$C:$C,$A90))</f>
        <v/>
      </c>
      <c r="F90" s="39" t="str">
        <f>IF($A90="","",SUMIFS([1]weekly_demand!$D:$D,[1]weekly_demand!$A:$A,F$1,[1]weekly_demand!$C:$C,$A90))</f>
        <v/>
      </c>
      <c r="G90" s="39" t="str">
        <f>IF($A90="","",SUMIFS([1]weekly_demand!$D:$D,[1]weekly_demand!$A:$A,G$1,[1]weekly_demand!$C:$C,$A90))</f>
        <v/>
      </c>
      <c r="H90" s="39" t="str">
        <f t="shared" si="6"/>
        <v/>
      </c>
      <c r="I90" s="39" t="str">
        <f t="shared" si="6"/>
        <v/>
      </c>
      <c r="J90" s="39" t="str">
        <f t="shared" si="6"/>
        <v/>
      </c>
      <c r="K90" s="39" t="str">
        <f t="shared" si="6"/>
        <v/>
      </c>
      <c r="L90" s="39" t="str">
        <f t="shared" si="6"/>
        <v/>
      </c>
      <c r="M90" s="39" t="str">
        <f t="shared" si="6"/>
        <v/>
      </c>
      <c r="N90" s="39" t="str">
        <f t="shared" si="6"/>
        <v/>
      </c>
      <c r="O90" s="39" t="str">
        <f t="shared" si="6"/>
        <v/>
      </c>
      <c r="P90" s="39" t="str">
        <f t="shared" si="6"/>
        <v/>
      </c>
      <c r="Q90" s="39" t="str">
        <f t="shared" si="6"/>
        <v/>
      </c>
      <c r="R90" s="39" t="str">
        <f t="shared" si="6"/>
        <v/>
      </c>
      <c r="S90" s="39" t="str">
        <f t="shared" si="6"/>
        <v/>
      </c>
      <c r="T90" s="39" t="str">
        <f t="shared" si="6"/>
        <v/>
      </c>
      <c r="U90" s="39" t="str">
        <f t="shared" si="6"/>
        <v/>
      </c>
      <c r="V90" s="39" t="str">
        <f t="shared" si="6"/>
        <v/>
      </c>
    </row>
    <row r="91" spans="1:22" x14ac:dyDescent="0.3">
      <c r="A91" s="38"/>
      <c r="B91" s="39" t="str">
        <f>IF($A91="","",SUMIFS([1]weekly_demand!$D:$D,[1]weekly_demand!$A:$A,B$1,[1]weekly_demand!$C:$C,$A91))</f>
        <v/>
      </c>
      <c r="C91" s="39" t="str">
        <f>IF($A91="","",SUMIFS([1]weekly_demand!$D:$D,[1]weekly_demand!$A:$A,C$1,[1]weekly_demand!$C:$C,$A91))</f>
        <v/>
      </c>
      <c r="D91" s="39" t="str">
        <f>IF($A91="","",SUMIFS([1]weekly_demand!$D:$D,[1]weekly_demand!$A:$A,D$1,[1]weekly_demand!$C:$C,$A91))</f>
        <v/>
      </c>
      <c r="E91" s="39" t="str">
        <f>IF($A91="","",SUMIFS([1]weekly_demand!$D:$D,[1]weekly_demand!$A:$A,E$1,[1]weekly_demand!$C:$C,$A91))</f>
        <v/>
      </c>
      <c r="F91" s="39" t="str">
        <f>IF($A91="","",SUMIFS([1]weekly_demand!$D:$D,[1]weekly_demand!$A:$A,F$1,[1]weekly_demand!$C:$C,$A91))</f>
        <v/>
      </c>
      <c r="G91" s="39" t="str">
        <f>IF($A91="","",SUMIFS([1]weekly_demand!$D:$D,[1]weekly_demand!$A:$A,G$1,[1]weekly_demand!$C:$C,$A91))</f>
        <v/>
      </c>
      <c r="H91" s="39" t="str">
        <f t="shared" si="6"/>
        <v/>
      </c>
      <c r="I91" s="39" t="str">
        <f t="shared" si="6"/>
        <v/>
      </c>
      <c r="J91" s="39" t="str">
        <f t="shared" si="6"/>
        <v/>
      </c>
      <c r="K91" s="39" t="str">
        <f t="shared" si="6"/>
        <v/>
      </c>
      <c r="L91" s="39" t="str">
        <f t="shared" si="6"/>
        <v/>
      </c>
      <c r="M91" s="39" t="str">
        <f t="shared" si="6"/>
        <v/>
      </c>
      <c r="N91" s="39" t="str">
        <f t="shared" si="6"/>
        <v/>
      </c>
      <c r="O91" s="39" t="str">
        <f t="shared" si="6"/>
        <v/>
      </c>
      <c r="P91" s="39" t="str">
        <f t="shared" si="6"/>
        <v/>
      </c>
      <c r="Q91" s="39" t="str">
        <f t="shared" si="6"/>
        <v/>
      </c>
      <c r="R91" s="39" t="str">
        <f t="shared" si="6"/>
        <v/>
      </c>
      <c r="S91" s="39" t="str">
        <f t="shared" si="6"/>
        <v/>
      </c>
      <c r="T91" s="39" t="str">
        <f t="shared" si="6"/>
        <v/>
      </c>
      <c r="U91" s="39" t="str">
        <f t="shared" si="6"/>
        <v/>
      </c>
      <c r="V91" s="39" t="str">
        <f t="shared" si="6"/>
        <v/>
      </c>
    </row>
    <row r="92" spans="1:22" x14ac:dyDescent="0.3">
      <c r="A92" s="38"/>
      <c r="B92" s="39" t="str">
        <f>IF($A92="","",SUMIFS([1]weekly_demand!$D:$D,[1]weekly_demand!$A:$A,B$1,[1]weekly_demand!$C:$C,$A92))</f>
        <v/>
      </c>
      <c r="C92" s="39" t="str">
        <f>IF($A92="","",SUMIFS([1]weekly_demand!$D:$D,[1]weekly_demand!$A:$A,C$1,[1]weekly_demand!$C:$C,$A92))</f>
        <v/>
      </c>
      <c r="D92" s="39" t="str">
        <f>IF($A92="","",SUMIFS([1]weekly_demand!$D:$D,[1]weekly_demand!$A:$A,D$1,[1]weekly_demand!$C:$C,$A92))</f>
        <v/>
      </c>
      <c r="E92" s="39" t="str">
        <f>IF($A92="","",SUMIFS([1]weekly_demand!$D:$D,[1]weekly_demand!$A:$A,E$1,[1]weekly_demand!$C:$C,$A92))</f>
        <v/>
      </c>
      <c r="F92" s="39" t="str">
        <f>IF($A92="","",SUMIFS([1]weekly_demand!$D:$D,[1]weekly_demand!$A:$A,F$1,[1]weekly_demand!$C:$C,$A92))</f>
        <v/>
      </c>
      <c r="G92" s="39" t="str">
        <f>IF($A92="","",SUMIFS([1]weekly_demand!$D:$D,[1]weekly_demand!$A:$A,G$1,[1]weekly_demand!$C:$C,$A92))</f>
        <v/>
      </c>
      <c r="H92" s="39" t="str">
        <f t="shared" si="6"/>
        <v/>
      </c>
      <c r="I92" s="39" t="str">
        <f t="shared" si="6"/>
        <v/>
      </c>
      <c r="J92" s="39" t="str">
        <f t="shared" si="6"/>
        <v/>
      </c>
      <c r="K92" s="39" t="str">
        <f t="shared" si="6"/>
        <v/>
      </c>
      <c r="L92" s="39" t="str">
        <f t="shared" si="6"/>
        <v/>
      </c>
      <c r="M92" s="39" t="str">
        <f t="shared" si="6"/>
        <v/>
      </c>
      <c r="N92" s="39" t="str">
        <f t="shared" si="6"/>
        <v/>
      </c>
      <c r="O92" s="39" t="str">
        <f t="shared" si="6"/>
        <v/>
      </c>
      <c r="P92" s="39" t="str">
        <f t="shared" si="6"/>
        <v/>
      </c>
      <c r="Q92" s="39" t="str">
        <f t="shared" si="6"/>
        <v/>
      </c>
      <c r="R92" s="39" t="str">
        <f t="shared" si="6"/>
        <v/>
      </c>
      <c r="S92" s="39" t="str">
        <f t="shared" si="6"/>
        <v/>
      </c>
      <c r="T92" s="39" t="str">
        <f t="shared" si="6"/>
        <v/>
      </c>
      <c r="U92" s="39" t="str">
        <f t="shared" si="6"/>
        <v/>
      </c>
      <c r="V92" s="39" t="str">
        <f t="shared" si="6"/>
        <v/>
      </c>
    </row>
    <row r="93" spans="1:22" x14ac:dyDescent="0.3">
      <c r="A93" s="38"/>
      <c r="B93" s="39" t="str">
        <f>IF($A93="","",SUMIFS([1]weekly_demand!$D:$D,[1]weekly_demand!$A:$A,B$1,[1]weekly_demand!$C:$C,$A93))</f>
        <v/>
      </c>
      <c r="C93" s="39" t="str">
        <f>IF($A93="","",SUMIFS([1]weekly_demand!$D:$D,[1]weekly_demand!$A:$A,C$1,[1]weekly_demand!$C:$C,$A93))</f>
        <v/>
      </c>
      <c r="D93" s="39" t="str">
        <f>IF($A93="","",SUMIFS([1]weekly_demand!$D:$D,[1]weekly_demand!$A:$A,D$1,[1]weekly_demand!$C:$C,$A93))</f>
        <v/>
      </c>
      <c r="E93" s="39" t="str">
        <f>IF($A93="","",SUMIFS([1]weekly_demand!$D:$D,[1]weekly_demand!$A:$A,E$1,[1]weekly_demand!$C:$C,$A93))</f>
        <v/>
      </c>
      <c r="F93" s="39" t="str">
        <f>IF($A93="","",SUMIFS([1]weekly_demand!$D:$D,[1]weekly_demand!$A:$A,F$1,[1]weekly_demand!$C:$C,$A93))</f>
        <v/>
      </c>
      <c r="G93" s="39" t="str">
        <f>IF($A93="","",SUMIFS([1]weekly_demand!$D:$D,[1]weekly_demand!$A:$A,G$1,[1]weekly_demand!$C:$C,$A93))</f>
        <v/>
      </c>
      <c r="H93" s="39" t="str">
        <f t="shared" si="6"/>
        <v/>
      </c>
      <c r="I93" s="39" t="str">
        <f t="shared" si="6"/>
        <v/>
      </c>
      <c r="J93" s="39" t="str">
        <f t="shared" si="6"/>
        <v/>
      </c>
      <c r="K93" s="39" t="str">
        <f t="shared" si="6"/>
        <v/>
      </c>
      <c r="L93" s="39" t="str">
        <f t="shared" si="6"/>
        <v/>
      </c>
      <c r="M93" s="39" t="str">
        <f t="shared" si="6"/>
        <v/>
      </c>
      <c r="N93" s="39" t="str">
        <f t="shared" si="6"/>
        <v/>
      </c>
      <c r="O93" s="39" t="str">
        <f t="shared" si="6"/>
        <v/>
      </c>
      <c r="P93" s="39" t="str">
        <f t="shared" si="6"/>
        <v/>
      </c>
      <c r="Q93" s="39" t="str">
        <f t="shared" si="6"/>
        <v/>
      </c>
      <c r="R93" s="39" t="str">
        <f t="shared" si="6"/>
        <v/>
      </c>
      <c r="S93" s="39" t="str">
        <f t="shared" si="6"/>
        <v/>
      </c>
      <c r="T93" s="39" t="str">
        <f t="shared" si="6"/>
        <v/>
      </c>
      <c r="U93" s="39" t="str">
        <f t="shared" si="6"/>
        <v/>
      </c>
      <c r="V93" s="39" t="str">
        <f t="shared" si="6"/>
        <v/>
      </c>
    </row>
    <row r="94" spans="1:22" x14ac:dyDescent="0.3">
      <c r="A94" s="38"/>
      <c r="B94" s="39" t="str">
        <f>IF($A94="","",SUMIFS([1]weekly_demand!$D:$D,[1]weekly_demand!$A:$A,B$1,[1]weekly_demand!$C:$C,$A94))</f>
        <v/>
      </c>
      <c r="C94" s="39" t="str">
        <f>IF($A94="","",SUMIFS([1]weekly_demand!$D:$D,[1]weekly_demand!$A:$A,C$1,[1]weekly_demand!$C:$C,$A94))</f>
        <v/>
      </c>
      <c r="D94" s="39" t="str">
        <f>IF($A94="","",SUMIFS([1]weekly_demand!$D:$D,[1]weekly_demand!$A:$A,D$1,[1]weekly_demand!$C:$C,$A94))</f>
        <v/>
      </c>
      <c r="E94" s="39" t="str">
        <f>IF($A94="","",SUMIFS([1]weekly_demand!$D:$D,[1]weekly_demand!$A:$A,E$1,[1]weekly_demand!$C:$C,$A94))</f>
        <v/>
      </c>
      <c r="F94" s="39" t="str">
        <f>IF($A94="","",SUMIFS([1]weekly_demand!$D:$D,[1]weekly_demand!$A:$A,F$1,[1]weekly_demand!$C:$C,$A94))</f>
        <v/>
      </c>
      <c r="G94" s="39" t="str">
        <f>IF($A94="","",SUMIFS([1]weekly_demand!$D:$D,[1]weekly_demand!$A:$A,G$1,[1]weekly_demand!$C:$C,$A94))</f>
        <v/>
      </c>
      <c r="H94" s="39" t="str">
        <f t="shared" si="6"/>
        <v/>
      </c>
      <c r="I94" s="39" t="str">
        <f t="shared" si="6"/>
        <v/>
      </c>
      <c r="J94" s="39" t="str">
        <f t="shared" si="6"/>
        <v/>
      </c>
      <c r="K94" s="39" t="str">
        <f t="shared" si="6"/>
        <v/>
      </c>
      <c r="L94" s="39" t="str">
        <f t="shared" si="6"/>
        <v/>
      </c>
      <c r="M94" s="39" t="str">
        <f t="shared" si="6"/>
        <v/>
      </c>
      <c r="N94" s="39" t="str">
        <f t="shared" si="6"/>
        <v/>
      </c>
      <c r="O94" s="39" t="str">
        <f t="shared" si="6"/>
        <v/>
      </c>
      <c r="P94" s="39" t="str">
        <f t="shared" si="6"/>
        <v/>
      </c>
      <c r="Q94" s="39" t="str">
        <f t="shared" si="6"/>
        <v/>
      </c>
      <c r="R94" s="39" t="str">
        <f t="shared" si="6"/>
        <v/>
      </c>
      <c r="S94" s="39" t="str">
        <f t="shared" si="6"/>
        <v/>
      </c>
      <c r="T94" s="39" t="str">
        <f t="shared" si="6"/>
        <v/>
      </c>
      <c r="U94" s="39" t="str">
        <f t="shared" si="6"/>
        <v/>
      </c>
      <c r="V94" s="39" t="str">
        <f t="shared" si="6"/>
        <v/>
      </c>
    </row>
    <row r="95" spans="1:22" x14ac:dyDescent="0.3">
      <c r="A95" s="38"/>
      <c r="B95" s="39" t="str">
        <f>IF($A95="","",SUMIFS([1]weekly_demand!$D:$D,[1]weekly_demand!$A:$A,B$1,[1]weekly_demand!$C:$C,$A95))</f>
        <v/>
      </c>
      <c r="C95" s="39" t="str">
        <f>IF($A95="","",SUMIFS([1]weekly_demand!$D:$D,[1]weekly_demand!$A:$A,C$1,[1]weekly_demand!$C:$C,$A95))</f>
        <v/>
      </c>
      <c r="D95" s="39" t="str">
        <f>IF($A95="","",SUMIFS([1]weekly_demand!$D:$D,[1]weekly_demand!$A:$A,D$1,[1]weekly_demand!$C:$C,$A95))</f>
        <v/>
      </c>
      <c r="E95" s="39" t="str">
        <f>IF($A95="","",SUMIFS([1]weekly_demand!$D:$D,[1]weekly_demand!$A:$A,E$1,[1]weekly_demand!$C:$C,$A95))</f>
        <v/>
      </c>
      <c r="F95" s="39" t="str">
        <f>IF($A95="","",SUMIFS([1]weekly_demand!$D:$D,[1]weekly_demand!$A:$A,F$1,[1]weekly_demand!$C:$C,$A95))</f>
        <v/>
      </c>
      <c r="G95" s="39" t="str">
        <f>IF($A95="","",SUMIFS([1]weekly_demand!$D:$D,[1]weekly_demand!$A:$A,G$1,[1]weekly_demand!$C:$C,$A95))</f>
        <v/>
      </c>
      <c r="H95" s="39" t="str">
        <f t="shared" si="6"/>
        <v/>
      </c>
      <c r="I95" s="39" t="str">
        <f t="shared" si="6"/>
        <v/>
      </c>
      <c r="J95" s="39" t="str">
        <f t="shared" si="6"/>
        <v/>
      </c>
      <c r="K95" s="39" t="str">
        <f t="shared" si="6"/>
        <v/>
      </c>
      <c r="L95" s="39" t="str">
        <f t="shared" si="6"/>
        <v/>
      </c>
      <c r="M95" s="39" t="str">
        <f t="shared" si="6"/>
        <v/>
      </c>
      <c r="N95" s="39" t="str">
        <f t="shared" si="6"/>
        <v/>
      </c>
      <c r="O95" s="39" t="str">
        <f t="shared" si="6"/>
        <v/>
      </c>
      <c r="P95" s="39" t="str">
        <f t="shared" si="6"/>
        <v/>
      </c>
      <c r="Q95" s="39" t="str">
        <f t="shared" si="6"/>
        <v/>
      </c>
      <c r="R95" s="39" t="str">
        <f t="shared" si="6"/>
        <v/>
      </c>
      <c r="S95" s="39" t="str">
        <f t="shared" si="6"/>
        <v/>
      </c>
      <c r="T95" s="39" t="str">
        <f t="shared" si="6"/>
        <v/>
      </c>
      <c r="U95" s="39" t="str">
        <f t="shared" si="6"/>
        <v/>
      </c>
      <c r="V95" s="39" t="str">
        <f t="shared" si="6"/>
        <v/>
      </c>
    </row>
    <row r="96" spans="1:22" x14ac:dyDescent="0.3">
      <c r="A96" s="38"/>
      <c r="B96" s="39" t="str">
        <f>IF($A96="","",SUMIFS([1]weekly_demand!$D:$D,[1]weekly_demand!$A:$A,B$1,[1]weekly_demand!$C:$C,$A96))</f>
        <v/>
      </c>
      <c r="C96" s="39" t="str">
        <f>IF($A96="","",SUMIFS([1]weekly_demand!$D:$D,[1]weekly_demand!$A:$A,C$1,[1]weekly_demand!$C:$C,$A96))</f>
        <v/>
      </c>
      <c r="D96" s="39" t="str">
        <f>IF($A96="","",SUMIFS([1]weekly_demand!$D:$D,[1]weekly_demand!$A:$A,D$1,[1]weekly_demand!$C:$C,$A96))</f>
        <v/>
      </c>
      <c r="E96" s="39" t="str">
        <f>IF($A96="","",SUMIFS([1]weekly_demand!$D:$D,[1]weekly_demand!$A:$A,E$1,[1]weekly_demand!$C:$C,$A96))</f>
        <v/>
      </c>
      <c r="F96" s="39" t="str">
        <f>IF($A96="","",SUMIFS([1]weekly_demand!$D:$D,[1]weekly_demand!$A:$A,F$1,[1]weekly_demand!$C:$C,$A96))</f>
        <v/>
      </c>
      <c r="G96" s="39" t="str">
        <f>IF($A96="","",SUMIFS([1]weekly_demand!$D:$D,[1]weekly_demand!$A:$A,G$1,[1]weekly_demand!$C:$C,$A96))</f>
        <v/>
      </c>
      <c r="H96" s="39" t="str">
        <f t="shared" si="6"/>
        <v/>
      </c>
      <c r="I96" s="39" t="str">
        <f t="shared" si="6"/>
        <v/>
      </c>
      <c r="J96" s="39" t="str">
        <f t="shared" si="6"/>
        <v/>
      </c>
      <c r="K96" s="39" t="str">
        <f t="shared" si="6"/>
        <v/>
      </c>
      <c r="L96" s="39" t="str">
        <f t="shared" si="6"/>
        <v/>
      </c>
      <c r="M96" s="39" t="str">
        <f t="shared" si="6"/>
        <v/>
      </c>
      <c r="N96" s="39" t="str">
        <f t="shared" si="6"/>
        <v/>
      </c>
      <c r="O96" s="39" t="str">
        <f t="shared" si="6"/>
        <v/>
      </c>
      <c r="P96" s="39" t="str">
        <f t="shared" si="6"/>
        <v/>
      </c>
      <c r="Q96" s="39" t="str">
        <f t="shared" si="6"/>
        <v/>
      </c>
      <c r="R96" s="39" t="str">
        <f t="shared" si="6"/>
        <v/>
      </c>
      <c r="S96" s="39" t="str">
        <f t="shared" si="6"/>
        <v/>
      </c>
      <c r="T96" s="39" t="str">
        <f t="shared" si="6"/>
        <v/>
      </c>
      <c r="U96" s="39" t="str">
        <f t="shared" si="6"/>
        <v/>
      </c>
      <c r="V96" s="39" t="str">
        <f t="shared" si="6"/>
        <v/>
      </c>
    </row>
    <row r="97" spans="1:22" x14ac:dyDescent="0.3">
      <c r="A97" s="38"/>
      <c r="B97" s="39" t="str">
        <f>IF($A97="","",SUMIFS([1]weekly_demand!$D:$D,[1]weekly_demand!$A:$A,B$1,[1]weekly_demand!$C:$C,$A97))</f>
        <v/>
      </c>
      <c r="C97" s="39" t="str">
        <f>IF($A97="","",SUMIFS([1]weekly_demand!$D:$D,[1]weekly_demand!$A:$A,C$1,[1]weekly_demand!$C:$C,$A97))</f>
        <v/>
      </c>
      <c r="D97" s="39" t="str">
        <f>IF($A97="","",SUMIFS([1]weekly_demand!$D:$D,[1]weekly_demand!$A:$A,D$1,[1]weekly_demand!$C:$C,$A97))</f>
        <v/>
      </c>
      <c r="E97" s="39" t="str">
        <f>IF($A97="","",SUMIFS([1]weekly_demand!$D:$D,[1]weekly_demand!$A:$A,E$1,[1]weekly_demand!$C:$C,$A97))</f>
        <v/>
      </c>
      <c r="F97" s="39" t="str">
        <f>IF($A97="","",SUMIFS([1]weekly_demand!$D:$D,[1]weekly_demand!$A:$A,F$1,[1]weekly_demand!$C:$C,$A97))</f>
        <v/>
      </c>
      <c r="G97" s="39" t="str">
        <f>IF($A97="","",SUMIFS([1]weekly_demand!$D:$D,[1]weekly_demand!$A:$A,G$1,[1]weekly_demand!$C:$C,$A97))</f>
        <v/>
      </c>
      <c r="H97" s="39" t="str">
        <f t="shared" si="6"/>
        <v/>
      </c>
      <c r="I97" s="39" t="str">
        <f t="shared" si="6"/>
        <v/>
      </c>
      <c r="J97" s="39" t="str">
        <f t="shared" si="6"/>
        <v/>
      </c>
      <c r="K97" s="39" t="str">
        <f t="shared" si="6"/>
        <v/>
      </c>
      <c r="L97" s="39" t="str">
        <f t="shared" si="6"/>
        <v/>
      </c>
      <c r="M97" s="39" t="str">
        <f t="shared" si="6"/>
        <v/>
      </c>
      <c r="N97" s="39" t="str">
        <f t="shared" si="6"/>
        <v/>
      </c>
      <c r="O97" s="39" t="str">
        <f t="shared" si="6"/>
        <v/>
      </c>
      <c r="P97" s="39" t="str">
        <f t="shared" si="6"/>
        <v/>
      </c>
      <c r="Q97" s="39" t="str">
        <f t="shared" si="6"/>
        <v/>
      </c>
      <c r="R97" s="39" t="str">
        <f t="shared" si="6"/>
        <v/>
      </c>
      <c r="S97" s="39" t="str">
        <f t="shared" si="6"/>
        <v/>
      </c>
      <c r="T97" s="39" t="str">
        <f t="shared" si="6"/>
        <v/>
      </c>
      <c r="U97" s="39" t="str">
        <f t="shared" si="6"/>
        <v/>
      </c>
      <c r="V97" s="39" t="str">
        <f t="shared" si="6"/>
        <v/>
      </c>
    </row>
    <row r="98" spans="1:22" x14ac:dyDescent="0.3">
      <c r="A98" s="38"/>
      <c r="B98" s="39" t="str">
        <f>IF($A98="","",SUMIFS([1]weekly_demand!$D:$D,[1]weekly_demand!$A:$A,B$1,[1]weekly_demand!$C:$C,$A98))</f>
        <v/>
      </c>
      <c r="C98" s="39" t="str">
        <f>IF($A98="","",SUMIFS([1]weekly_demand!$D:$D,[1]weekly_demand!$A:$A,C$1,[1]weekly_demand!$C:$C,$A98))</f>
        <v/>
      </c>
      <c r="D98" s="39" t="str">
        <f>IF($A98="","",SUMIFS([1]weekly_demand!$D:$D,[1]weekly_demand!$A:$A,D$1,[1]weekly_demand!$C:$C,$A98))</f>
        <v/>
      </c>
      <c r="E98" s="39" t="str">
        <f>IF($A98="","",SUMIFS([1]weekly_demand!$D:$D,[1]weekly_demand!$A:$A,E$1,[1]weekly_demand!$C:$C,$A98))</f>
        <v/>
      </c>
      <c r="F98" s="39" t="str">
        <f>IF($A98="","",SUMIFS([1]weekly_demand!$D:$D,[1]weekly_demand!$A:$A,F$1,[1]weekly_demand!$C:$C,$A98))</f>
        <v/>
      </c>
      <c r="G98" s="39" t="str">
        <f>IF($A98="","",SUMIFS([1]weekly_demand!$D:$D,[1]weekly_demand!$A:$A,G$1,[1]weekly_demand!$C:$C,$A98))</f>
        <v/>
      </c>
      <c r="H98" s="39" t="str">
        <f t="shared" ref="H98:V113" si="7">IF($A98="","",SUMPRODUCT($B98:$G98,INDEX($Y$2:$AD$16,MATCH(H$1,$X$2:$X$16,0),0)))</f>
        <v/>
      </c>
      <c r="I98" s="39" t="str">
        <f t="shared" si="7"/>
        <v/>
      </c>
      <c r="J98" s="39" t="str">
        <f t="shared" si="7"/>
        <v/>
      </c>
      <c r="K98" s="39" t="str">
        <f t="shared" si="7"/>
        <v/>
      </c>
      <c r="L98" s="39" t="str">
        <f t="shared" si="7"/>
        <v/>
      </c>
      <c r="M98" s="39" t="str">
        <f t="shared" si="7"/>
        <v/>
      </c>
      <c r="N98" s="39" t="str">
        <f t="shared" si="7"/>
        <v/>
      </c>
      <c r="O98" s="39" t="str">
        <f t="shared" si="7"/>
        <v/>
      </c>
      <c r="P98" s="39" t="str">
        <f t="shared" si="7"/>
        <v/>
      </c>
      <c r="Q98" s="39" t="str">
        <f t="shared" si="7"/>
        <v/>
      </c>
      <c r="R98" s="39" t="str">
        <f t="shared" si="7"/>
        <v/>
      </c>
      <c r="S98" s="39" t="str">
        <f t="shared" si="7"/>
        <v/>
      </c>
      <c r="T98" s="39" t="str">
        <f t="shared" si="7"/>
        <v/>
      </c>
      <c r="U98" s="39" t="str">
        <f t="shared" si="7"/>
        <v/>
      </c>
      <c r="V98" s="39" t="str">
        <f t="shared" si="7"/>
        <v/>
      </c>
    </row>
    <row r="99" spans="1:22" x14ac:dyDescent="0.3">
      <c r="A99" s="38"/>
      <c r="B99" s="39" t="str">
        <f>IF($A99="","",SUMIFS([1]weekly_demand!$D:$D,[1]weekly_demand!$A:$A,B$1,[1]weekly_demand!$C:$C,$A99))</f>
        <v/>
      </c>
      <c r="C99" s="39" t="str">
        <f>IF($A99="","",SUMIFS([1]weekly_demand!$D:$D,[1]weekly_demand!$A:$A,C$1,[1]weekly_demand!$C:$C,$A99))</f>
        <v/>
      </c>
      <c r="D99" s="39" t="str">
        <f>IF($A99="","",SUMIFS([1]weekly_demand!$D:$D,[1]weekly_demand!$A:$A,D$1,[1]weekly_demand!$C:$C,$A99))</f>
        <v/>
      </c>
      <c r="E99" s="39" t="str">
        <f>IF($A99="","",SUMIFS([1]weekly_demand!$D:$D,[1]weekly_demand!$A:$A,E$1,[1]weekly_demand!$C:$C,$A99))</f>
        <v/>
      </c>
      <c r="F99" s="39" t="str">
        <f>IF($A99="","",SUMIFS([1]weekly_demand!$D:$D,[1]weekly_demand!$A:$A,F$1,[1]weekly_demand!$C:$C,$A99))</f>
        <v/>
      </c>
      <c r="G99" s="39" t="str">
        <f>IF($A99="","",SUMIFS([1]weekly_demand!$D:$D,[1]weekly_demand!$A:$A,G$1,[1]weekly_demand!$C:$C,$A99))</f>
        <v/>
      </c>
      <c r="H99" s="39" t="str">
        <f t="shared" si="7"/>
        <v/>
      </c>
      <c r="I99" s="39" t="str">
        <f t="shared" si="7"/>
        <v/>
      </c>
      <c r="J99" s="39" t="str">
        <f t="shared" si="7"/>
        <v/>
      </c>
      <c r="K99" s="39" t="str">
        <f t="shared" si="7"/>
        <v/>
      </c>
      <c r="L99" s="39" t="str">
        <f t="shared" si="7"/>
        <v/>
      </c>
      <c r="M99" s="39" t="str">
        <f t="shared" si="7"/>
        <v/>
      </c>
      <c r="N99" s="39" t="str">
        <f t="shared" si="7"/>
        <v/>
      </c>
      <c r="O99" s="39" t="str">
        <f t="shared" si="7"/>
        <v/>
      </c>
      <c r="P99" s="39" t="str">
        <f t="shared" si="7"/>
        <v/>
      </c>
      <c r="Q99" s="39" t="str">
        <f t="shared" si="7"/>
        <v/>
      </c>
      <c r="R99" s="39" t="str">
        <f t="shared" si="7"/>
        <v/>
      </c>
      <c r="S99" s="39" t="str">
        <f t="shared" si="7"/>
        <v/>
      </c>
      <c r="T99" s="39" t="str">
        <f t="shared" si="7"/>
        <v/>
      </c>
      <c r="U99" s="39" t="str">
        <f t="shared" si="7"/>
        <v/>
      </c>
      <c r="V99" s="39" t="str">
        <f t="shared" si="7"/>
        <v/>
      </c>
    </row>
    <row r="100" spans="1:22" x14ac:dyDescent="0.3">
      <c r="A100" s="38"/>
      <c r="B100" s="39" t="str">
        <f>IF($A100="","",SUMIFS([1]weekly_demand!$D:$D,[1]weekly_demand!$A:$A,B$1,[1]weekly_demand!$C:$C,$A100))</f>
        <v/>
      </c>
      <c r="C100" s="39" t="str">
        <f>IF($A100="","",SUMIFS([1]weekly_demand!$D:$D,[1]weekly_demand!$A:$A,C$1,[1]weekly_demand!$C:$C,$A100))</f>
        <v/>
      </c>
      <c r="D100" s="39" t="str">
        <f>IF($A100="","",SUMIFS([1]weekly_demand!$D:$D,[1]weekly_demand!$A:$A,D$1,[1]weekly_demand!$C:$C,$A100))</f>
        <v/>
      </c>
      <c r="E100" s="39" t="str">
        <f>IF($A100="","",SUMIFS([1]weekly_demand!$D:$D,[1]weekly_demand!$A:$A,E$1,[1]weekly_demand!$C:$C,$A100))</f>
        <v/>
      </c>
      <c r="F100" s="39" t="str">
        <f>IF($A100="","",SUMIFS([1]weekly_demand!$D:$D,[1]weekly_demand!$A:$A,F$1,[1]weekly_demand!$C:$C,$A100))</f>
        <v/>
      </c>
      <c r="G100" s="39" t="str">
        <f>IF($A100="","",SUMIFS([1]weekly_demand!$D:$D,[1]weekly_demand!$A:$A,G$1,[1]weekly_demand!$C:$C,$A100))</f>
        <v/>
      </c>
      <c r="H100" s="39" t="str">
        <f t="shared" si="7"/>
        <v/>
      </c>
      <c r="I100" s="39" t="str">
        <f t="shared" si="7"/>
        <v/>
      </c>
      <c r="J100" s="39" t="str">
        <f t="shared" si="7"/>
        <v/>
      </c>
      <c r="K100" s="39" t="str">
        <f t="shared" si="7"/>
        <v/>
      </c>
      <c r="L100" s="39" t="str">
        <f t="shared" si="7"/>
        <v/>
      </c>
      <c r="M100" s="39" t="str">
        <f t="shared" si="7"/>
        <v/>
      </c>
      <c r="N100" s="39" t="str">
        <f t="shared" si="7"/>
        <v/>
      </c>
      <c r="O100" s="39" t="str">
        <f t="shared" si="7"/>
        <v/>
      </c>
      <c r="P100" s="39" t="str">
        <f t="shared" si="7"/>
        <v/>
      </c>
      <c r="Q100" s="39" t="str">
        <f t="shared" si="7"/>
        <v/>
      </c>
      <c r="R100" s="39" t="str">
        <f t="shared" si="7"/>
        <v/>
      </c>
      <c r="S100" s="39" t="str">
        <f t="shared" si="7"/>
        <v/>
      </c>
      <c r="T100" s="39" t="str">
        <f t="shared" si="7"/>
        <v/>
      </c>
      <c r="U100" s="39" t="str">
        <f t="shared" si="7"/>
        <v/>
      </c>
      <c r="V100" s="39" t="str">
        <f t="shared" si="7"/>
        <v/>
      </c>
    </row>
    <row r="101" spans="1:22" x14ac:dyDescent="0.3">
      <c r="A101" s="38"/>
      <c r="B101" s="39" t="str">
        <f>IF($A101="","",SUMIFS([1]weekly_demand!$D:$D,[1]weekly_demand!$A:$A,B$1,[1]weekly_demand!$C:$C,$A101))</f>
        <v/>
      </c>
      <c r="C101" s="39" t="str">
        <f>IF($A101="","",SUMIFS([1]weekly_demand!$D:$D,[1]weekly_demand!$A:$A,C$1,[1]weekly_demand!$C:$C,$A101))</f>
        <v/>
      </c>
      <c r="D101" s="39" t="str">
        <f>IF($A101="","",SUMIFS([1]weekly_demand!$D:$D,[1]weekly_demand!$A:$A,D$1,[1]weekly_demand!$C:$C,$A101))</f>
        <v/>
      </c>
      <c r="E101" s="39" t="str">
        <f>IF($A101="","",SUMIFS([1]weekly_demand!$D:$D,[1]weekly_demand!$A:$A,E$1,[1]weekly_demand!$C:$C,$A101))</f>
        <v/>
      </c>
      <c r="F101" s="39" t="str">
        <f>IF($A101="","",SUMIFS([1]weekly_demand!$D:$D,[1]weekly_demand!$A:$A,F$1,[1]weekly_demand!$C:$C,$A101))</f>
        <v/>
      </c>
      <c r="G101" s="39" t="str">
        <f>IF($A101="","",SUMIFS([1]weekly_demand!$D:$D,[1]weekly_demand!$A:$A,G$1,[1]weekly_demand!$C:$C,$A101))</f>
        <v/>
      </c>
      <c r="H101" s="39" t="str">
        <f t="shared" si="7"/>
        <v/>
      </c>
      <c r="I101" s="39" t="str">
        <f t="shared" si="7"/>
        <v/>
      </c>
      <c r="J101" s="39" t="str">
        <f t="shared" si="7"/>
        <v/>
      </c>
      <c r="K101" s="39" t="str">
        <f t="shared" si="7"/>
        <v/>
      </c>
      <c r="L101" s="39" t="str">
        <f t="shared" si="7"/>
        <v/>
      </c>
      <c r="M101" s="39" t="str">
        <f t="shared" si="7"/>
        <v/>
      </c>
      <c r="N101" s="39" t="str">
        <f t="shared" si="7"/>
        <v/>
      </c>
      <c r="O101" s="39" t="str">
        <f t="shared" si="7"/>
        <v/>
      </c>
      <c r="P101" s="39" t="str">
        <f t="shared" si="7"/>
        <v/>
      </c>
      <c r="Q101" s="39" t="str">
        <f t="shared" si="7"/>
        <v/>
      </c>
      <c r="R101" s="39" t="str">
        <f t="shared" si="7"/>
        <v/>
      </c>
      <c r="S101" s="39" t="str">
        <f t="shared" si="7"/>
        <v/>
      </c>
      <c r="T101" s="39" t="str">
        <f t="shared" si="7"/>
        <v/>
      </c>
      <c r="U101" s="39" t="str">
        <f t="shared" si="7"/>
        <v/>
      </c>
      <c r="V101" s="39" t="str">
        <f t="shared" si="7"/>
        <v/>
      </c>
    </row>
    <row r="102" spans="1:22" x14ac:dyDescent="0.3">
      <c r="A102" s="38"/>
      <c r="B102" s="39" t="str">
        <f>IF($A102="","",SUMIFS([1]weekly_demand!$D:$D,[1]weekly_demand!$A:$A,B$1,[1]weekly_demand!$C:$C,$A102))</f>
        <v/>
      </c>
      <c r="C102" s="39" t="str">
        <f>IF($A102="","",SUMIFS([1]weekly_demand!$D:$D,[1]weekly_demand!$A:$A,C$1,[1]weekly_demand!$C:$C,$A102))</f>
        <v/>
      </c>
      <c r="D102" s="39" t="str">
        <f>IF($A102="","",SUMIFS([1]weekly_demand!$D:$D,[1]weekly_demand!$A:$A,D$1,[1]weekly_demand!$C:$C,$A102))</f>
        <v/>
      </c>
      <c r="E102" s="39" t="str">
        <f>IF($A102="","",SUMIFS([1]weekly_demand!$D:$D,[1]weekly_demand!$A:$A,E$1,[1]weekly_demand!$C:$C,$A102))</f>
        <v/>
      </c>
      <c r="F102" s="39" t="str">
        <f>IF($A102="","",SUMIFS([1]weekly_demand!$D:$D,[1]weekly_demand!$A:$A,F$1,[1]weekly_demand!$C:$C,$A102))</f>
        <v/>
      </c>
      <c r="G102" s="39" t="str">
        <f>IF($A102="","",SUMIFS([1]weekly_demand!$D:$D,[1]weekly_demand!$A:$A,G$1,[1]weekly_demand!$C:$C,$A102))</f>
        <v/>
      </c>
      <c r="H102" s="39" t="str">
        <f t="shared" si="7"/>
        <v/>
      </c>
      <c r="I102" s="39" t="str">
        <f t="shared" si="7"/>
        <v/>
      </c>
      <c r="J102" s="39" t="str">
        <f t="shared" si="7"/>
        <v/>
      </c>
      <c r="K102" s="39" t="str">
        <f t="shared" si="7"/>
        <v/>
      </c>
      <c r="L102" s="39" t="str">
        <f t="shared" si="7"/>
        <v/>
      </c>
      <c r="M102" s="39" t="str">
        <f t="shared" si="7"/>
        <v/>
      </c>
      <c r="N102" s="39" t="str">
        <f t="shared" si="7"/>
        <v/>
      </c>
      <c r="O102" s="39" t="str">
        <f t="shared" si="7"/>
        <v/>
      </c>
      <c r="P102" s="39" t="str">
        <f t="shared" si="7"/>
        <v/>
      </c>
      <c r="Q102" s="39" t="str">
        <f t="shared" si="7"/>
        <v/>
      </c>
      <c r="R102" s="39" t="str">
        <f t="shared" si="7"/>
        <v/>
      </c>
      <c r="S102" s="39" t="str">
        <f t="shared" si="7"/>
        <v/>
      </c>
      <c r="T102" s="39" t="str">
        <f t="shared" si="7"/>
        <v/>
      </c>
      <c r="U102" s="39" t="str">
        <f t="shared" si="7"/>
        <v/>
      </c>
      <c r="V102" s="39" t="str">
        <f t="shared" si="7"/>
        <v/>
      </c>
    </row>
    <row r="103" spans="1:22" x14ac:dyDescent="0.3">
      <c r="A103" s="38"/>
      <c r="B103" s="39" t="str">
        <f>IF($A103="","",SUMIFS([1]weekly_demand!$D:$D,[1]weekly_demand!$A:$A,B$1,[1]weekly_demand!$C:$C,$A103))</f>
        <v/>
      </c>
      <c r="C103" s="39" t="str">
        <f>IF($A103="","",SUMIFS([1]weekly_demand!$D:$D,[1]weekly_demand!$A:$A,C$1,[1]weekly_demand!$C:$C,$A103))</f>
        <v/>
      </c>
      <c r="D103" s="39" t="str">
        <f>IF($A103="","",SUMIFS([1]weekly_demand!$D:$D,[1]weekly_demand!$A:$A,D$1,[1]weekly_demand!$C:$C,$A103))</f>
        <v/>
      </c>
      <c r="E103" s="39" t="str">
        <f>IF($A103="","",SUMIFS([1]weekly_demand!$D:$D,[1]weekly_demand!$A:$A,E$1,[1]weekly_demand!$C:$C,$A103))</f>
        <v/>
      </c>
      <c r="F103" s="39" t="str">
        <f>IF($A103="","",SUMIFS([1]weekly_demand!$D:$D,[1]weekly_demand!$A:$A,F$1,[1]weekly_demand!$C:$C,$A103))</f>
        <v/>
      </c>
      <c r="G103" s="39" t="str">
        <f>IF($A103="","",SUMIFS([1]weekly_demand!$D:$D,[1]weekly_demand!$A:$A,G$1,[1]weekly_demand!$C:$C,$A103))</f>
        <v/>
      </c>
      <c r="H103" s="39" t="str">
        <f t="shared" si="7"/>
        <v/>
      </c>
      <c r="I103" s="39" t="str">
        <f t="shared" si="7"/>
        <v/>
      </c>
      <c r="J103" s="39" t="str">
        <f t="shared" si="7"/>
        <v/>
      </c>
      <c r="K103" s="39" t="str">
        <f t="shared" si="7"/>
        <v/>
      </c>
      <c r="L103" s="39" t="str">
        <f t="shared" si="7"/>
        <v/>
      </c>
      <c r="M103" s="39" t="str">
        <f t="shared" si="7"/>
        <v/>
      </c>
      <c r="N103" s="39" t="str">
        <f t="shared" si="7"/>
        <v/>
      </c>
      <c r="O103" s="39" t="str">
        <f t="shared" si="7"/>
        <v/>
      </c>
      <c r="P103" s="39" t="str">
        <f t="shared" si="7"/>
        <v/>
      </c>
      <c r="Q103" s="39" t="str">
        <f t="shared" si="7"/>
        <v/>
      </c>
      <c r="R103" s="39" t="str">
        <f t="shared" si="7"/>
        <v/>
      </c>
      <c r="S103" s="39" t="str">
        <f t="shared" si="7"/>
        <v/>
      </c>
      <c r="T103" s="39" t="str">
        <f t="shared" si="7"/>
        <v/>
      </c>
      <c r="U103" s="39" t="str">
        <f t="shared" si="7"/>
        <v/>
      </c>
      <c r="V103" s="39" t="str">
        <f t="shared" si="7"/>
        <v/>
      </c>
    </row>
    <row r="104" spans="1:22" x14ac:dyDescent="0.3">
      <c r="A104" s="38"/>
      <c r="B104" s="39" t="str">
        <f>IF($A104="","",SUMIFS([1]weekly_demand!$D:$D,[1]weekly_demand!$A:$A,B$1,[1]weekly_demand!$C:$C,$A104))</f>
        <v/>
      </c>
      <c r="C104" s="39" t="str">
        <f>IF($A104="","",SUMIFS([1]weekly_demand!$D:$D,[1]weekly_demand!$A:$A,C$1,[1]weekly_demand!$C:$C,$A104))</f>
        <v/>
      </c>
      <c r="D104" s="39" t="str">
        <f>IF($A104="","",SUMIFS([1]weekly_demand!$D:$D,[1]weekly_demand!$A:$A,D$1,[1]weekly_demand!$C:$C,$A104))</f>
        <v/>
      </c>
      <c r="E104" s="39" t="str">
        <f>IF($A104="","",SUMIFS([1]weekly_demand!$D:$D,[1]weekly_demand!$A:$A,E$1,[1]weekly_demand!$C:$C,$A104))</f>
        <v/>
      </c>
      <c r="F104" s="39" t="str">
        <f>IF($A104="","",SUMIFS([1]weekly_demand!$D:$D,[1]weekly_demand!$A:$A,F$1,[1]weekly_demand!$C:$C,$A104))</f>
        <v/>
      </c>
      <c r="G104" s="39" t="str">
        <f>IF($A104="","",SUMIFS([1]weekly_demand!$D:$D,[1]weekly_demand!$A:$A,G$1,[1]weekly_demand!$C:$C,$A104))</f>
        <v/>
      </c>
      <c r="H104" s="39" t="str">
        <f t="shared" si="7"/>
        <v/>
      </c>
      <c r="I104" s="39" t="str">
        <f t="shared" si="7"/>
        <v/>
      </c>
      <c r="J104" s="39" t="str">
        <f t="shared" si="7"/>
        <v/>
      </c>
      <c r="K104" s="39" t="str">
        <f t="shared" si="7"/>
        <v/>
      </c>
      <c r="L104" s="39" t="str">
        <f t="shared" si="7"/>
        <v/>
      </c>
      <c r="M104" s="39" t="str">
        <f t="shared" si="7"/>
        <v/>
      </c>
      <c r="N104" s="39" t="str">
        <f t="shared" si="7"/>
        <v/>
      </c>
      <c r="O104" s="39" t="str">
        <f t="shared" si="7"/>
        <v/>
      </c>
      <c r="P104" s="39" t="str">
        <f t="shared" si="7"/>
        <v/>
      </c>
      <c r="Q104" s="39" t="str">
        <f t="shared" si="7"/>
        <v/>
      </c>
      <c r="R104" s="39" t="str">
        <f t="shared" si="7"/>
        <v/>
      </c>
      <c r="S104" s="39" t="str">
        <f t="shared" si="7"/>
        <v/>
      </c>
      <c r="T104" s="39" t="str">
        <f t="shared" si="7"/>
        <v/>
      </c>
      <c r="U104" s="39" t="str">
        <f t="shared" si="7"/>
        <v/>
      </c>
      <c r="V104" s="39" t="str">
        <f t="shared" si="7"/>
        <v/>
      </c>
    </row>
    <row r="105" spans="1:22" x14ac:dyDescent="0.3">
      <c r="A105" s="38"/>
      <c r="B105" s="39" t="str">
        <f>IF($A105="","",SUMIFS([1]weekly_demand!$D:$D,[1]weekly_demand!$A:$A,B$1,[1]weekly_demand!$C:$C,$A105))</f>
        <v/>
      </c>
      <c r="C105" s="39" t="str">
        <f>IF($A105="","",SUMIFS([1]weekly_demand!$D:$D,[1]weekly_demand!$A:$A,C$1,[1]weekly_demand!$C:$C,$A105))</f>
        <v/>
      </c>
      <c r="D105" s="39" t="str">
        <f>IF($A105="","",SUMIFS([1]weekly_demand!$D:$D,[1]weekly_demand!$A:$A,D$1,[1]weekly_demand!$C:$C,$A105))</f>
        <v/>
      </c>
      <c r="E105" s="39" t="str">
        <f>IF($A105="","",SUMIFS([1]weekly_demand!$D:$D,[1]weekly_demand!$A:$A,E$1,[1]weekly_demand!$C:$C,$A105))</f>
        <v/>
      </c>
      <c r="F105" s="39" t="str">
        <f>IF($A105="","",SUMIFS([1]weekly_demand!$D:$D,[1]weekly_demand!$A:$A,F$1,[1]weekly_demand!$C:$C,$A105))</f>
        <v/>
      </c>
      <c r="G105" s="39" t="str">
        <f>IF($A105="","",SUMIFS([1]weekly_demand!$D:$D,[1]weekly_demand!$A:$A,G$1,[1]weekly_demand!$C:$C,$A105))</f>
        <v/>
      </c>
      <c r="H105" s="39" t="str">
        <f t="shared" si="7"/>
        <v/>
      </c>
      <c r="I105" s="39" t="str">
        <f t="shared" si="7"/>
        <v/>
      </c>
      <c r="J105" s="39" t="str">
        <f t="shared" si="7"/>
        <v/>
      </c>
      <c r="K105" s="39" t="str">
        <f t="shared" si="7"/>
        <v/>
      </c>
      <c r="L105" s="39" t="str">
        <f t="shared" si="7"/>
        <v/>
      </c>
      <c r="M105" s="39" t="str">
        <f t="shared" si="7"/>
        <v/>
      </c>
      <c r="N105" s="39" t="str">
        <f t="shared" si="7"/>
        <v/>
      </c>
      <c r="O105" s="39" t="str">
        <f t="shared" si="7"/>
        <v/>
      </c>
      <c r="P105" s="39" t="str">
        <f t="shared" si="7"/>
        <v/>
      </c>
      <c r="Q105" s="39" t="str">
        <f t="shared" si="7"/>
        <v/>
      </c>
      <c r="R105" s="39" t="str">
        <f t="shared" si="7"/>
        <v/>
      </c>
      <c r="S105" s="39" t="str">
        <f t="shared" si="7"/>
        <v/>
      </c>
      <c r="T105" s="39" t="str">
        <f t="shared" si="7"/>
        <v/>
      </c>
      <c r="U105" s="39" t="str">
        <f t="shared" si="7"/>
        <v/>
      </c>
      <c r="V105" s="39" t="str">
        <f t="shared" si="7"/>
        <v/>
      </c>
    </row>
    <row r="106" spans="1:22" x14ac:dyDescent="0.3">
      <c r="A106" s="38"/>
      <c r="B106" s="39" t="str">
        <f>IF($A106="","",SUMIFS([1]weekly_demand!$D:$D,[1]weekly_demand!$A:$A,B$1,[1]weekly_demand!$C:$C,$A106))</f>
        <v/>
      </c>
      <c r="C106" s="39" t="str">
        <f>IF($A106="","",SUMIFS([1]weekly_demand!$D:$D,[1]weekly_demand!$A:$A,C$1,[1]weekly_demand!$C:$C,$A106))</f>
        <v/>
      </c>
      <c r="D106" s="39" t="str">
        <f>IF($A106="","",SUMIFS([1]weekly_demand!$D:$D,[1]weekly_demand!$A:$A,D$1,[1]weekly_demand!$C:$C,$A106))</f>
        <v/>
      </c>
      <c r="E106" s="39" t="str">
        <f>IF($A106="","",SUMIFS([1]weekly_demand!$D:$D,[1]weekly_demand!$A:$A,E$1,[1]weekly_demand!$C:$C,$A106))</f>
        <v/>
      </c>
      <c r="F106" s="39" t="str">
        <f>IF($A106="","",SUMIFS([1]weekly_demand!$D:$D,[1]weekly_demand!$A:$A,F$1,[1]weekly_demand!$C:$C,$A106))</f>
        <v/>
      </c>
      <c r="G106" s="39" t="str">
        <f>IF($A106="","",SUMIFS([1]weekly_demand!$D:$D,[1]weekly_demand!$A:$A,G$1,[1]weekly_demand!$C:$C,$A106))</f>
        <v/>
      </c>
      <c r="H106" s="39" t="str">
        <f t="shared" si="7"/>
        <v/>
      </c>
      <c r="I106" s="39" t="str">
        <f t="shared" si="7"/>
        <v/>
      </c>
      <c r="J106" s="39" t="str">
        <f t="shared" si="7"/>
        <v/>
      </c>
      <c r="K106" s="39" t="str">
        <f t="shared" si="7"/>
        <v/>
      </c>
      <c r="L106" s="39" t="str">
        <f t="shared" si="7"/>
        <v/>
      </c>
      <c r="M106" s="39" t="str">
        <f t="shared" si="7"/>
        <v/>
      </c>
      <c r="N106" s="39" t="str">
        <f t="shared" si="7"/>
        <v/>
      </c>
      <c r="O106" s="39" t="str">
        <f t="shared" si="7"/>
        <v/>
      </c>
      <c r="P106" s="39" t="str">
        <f t="shared" si="7"/>
        <v/>
      </c>
      <c r="Q106" s="39" t="str">
        <f t="shared" si="7"/>
        <v/>
      </c>
      <c r="R106" s="39" t="str">
        <f t="shared" si="7"/>
        <v/>
      </c>
      <c r="S106" s="39" t="str">
        <f t="shared" si="7"/>
        <v/>
      </c>
      <c r="T106" s="39" t="str">
        <f t="shared" si="7"/>
        <v/>
      </c>
      <c r="U106" s="39" t="str">
        <f t="shared" si="7"/>
        <v/>
      </c>
      <c r="V106" s="39" t="str">
        <f t="shared" si="7"/>
        <v/>
      </c>
    </row>
    <row r="107" spans="1:22" x14ac:dyDescent="0.3">
      <c r="A107" s="38"/>
      <c r="B107" s="39" t="str">
        <f>IF($A107="","",SUMIFS([1]weekly_demand!$D:$D,[1]weekly_demand!$A:$A,B$1,[1]weekly_demand!$C:$C,$A107))</f>
        <v/>
      </c>
      <c r="C107" s="39" t="str">
        <f>IF($A107="","",SUMIFS([1]weekly_demand!$D:$D,[1]weekly_demand!$A:$A,C$1,[1]weekly_demand!$C:$C,$A107))</f>
        <v/>
      </c>
      <c r="D107" s="39" t="str">
        <f>IF($A107="","",SUMIFS([1]weekly_demand!$D:$D,[1]weekly_demand!$A:$A,D$1,[1]weekly_demand!$C:$C,$A107))</f>
        <v/>
      </c>
      <c r="E107" s="39" t="str">
        <f>IF($A107="","",SUMIFS([1]weekly_demand!$D:$D,[1]weekly_demand!$A:$A,E$1,[1]weekly_demand!$C:$C,$A107))</f>
        <v/>
      </c>
      <c r="F107" s="39" t="str">
        <f>IF($A107="","",SUMIFS([1]weekly_demand!$D:$D,[1]weekly_demand!$A:$A,F$1,[1]weekly_demand!$C:$C,$A107))</f>
        <v/>
      </c>
      <c r="G107" s="39" t="str">
        <f>IF($A107="","",SUMIFS([1]weekly_demand!$D:$D,[1]weekly_demand!$A:$A,G$1,[1]weekly_demand!$C:$C,$A107))</f>
        <v/>
      </c>
      <c r="H107" s="39" t="str">
        <f t="shared" si="7"/>
        <v/>
      </c>
      <c r="I107" s="39" t="str">
        <f t="shared" si="7"/>
        <v/>
      </c>
      <c r="J107" s="39" t="str">
        <f t="shared" si="7"/>
        <v/>
      </c>
      <c r="K107" s="39" t="str">
        <f t="shared" si="7"/>
        <v/>
      </c>
      <c r="L107" s="39" t="str">
        <f t="shared" si="7"/>
        <v/>
      </c>
      <c r="M107" s="39" t="str">
        <f t="shared" si="7"/>
        <v/>
      </c>
      <c r="N107" s="39" t="str">
        <f t="shared" si="7"/>
        <v/>
      </c>
      <c r="O107" s="39" t="str">
        <f t="shared" si="7"/>
        <v/>
      </c>
      <c r="P107" s="39" t="str">
        <f t="shared" si="7"/>
        <v/>
      </c>
      <c r="Q107" s="39" t="str">
        <f t="shared" si="7"/>
        <v/>
      </c>
      <c r="R107" s="39" t="str">
        <f t="shared" si="7"/>
        <v/>
      </c>
      <c r="S107" s="39" t="str">
        <f t="shared" si="7"/>
        <v/>
      </c>
      <c r="T107" s="39" t="str">
        <f t="shared" si="7"/>
        <v/>
      </c>
      <c r="U107" s="39" t="str">
        <f t="shared" si="7"/>
        <v/>
      </c>
      <c r="V107" s="39" t="str">
        <f t="shared" si="7"/>
        <v/>
      </c>
    </row>
    <row r="108" spans="1:22" x14ac:dyDescent="0.3">
      <c r="A108" s="38"/>
      <c r="B108" s="39" t="str">
        <f>IF($A108="","",SUMIFS([1]weekly_demand!$D:$D,[1]weekly_demand!$A:$A,B$1,[1]weekly_demand!$C:$C,$A108))</f>
        <v/>
      </c>
      <c r="C108" s="39" t="str">
        <f>IF($A108="","",SUMIFS([1]weekly_demand!$D:$D,[1]weekly_demand!$A:$A,C$1,[1]weekly_demand!$C:$C,$A108))</f>
        <v/>
      </c>
      <c r="D108" s="39" t="str">
        <f>IF($A108="","",SUMIFS([1]weekly_demand!$D:$D,[1]weekly_demand!$A:$A,D$1,[1]weekly_demand!$C:$C,$A108))</f>
        <v/>
      </c>
      <c r="E108" s="39" t="str">
        <f>IF($A108="","",SUMIFS([1]weekly_demand!$D:$D,[1]weekly_demand!$A:$A,E$1,[1]weekly_demand!$C:$C,$A108))</f>
        <v/>
      </c>
      <c r="F108" s="39" t="str">
        <f>IF($A108="","",SUMIFS([1]weekly_demand!$D:$D,[1]weekly_demand!$A:$A,F$1,[1]weekly_demand!$C:$C,$A108))</f>
        <v/>
      </c>
      <c r="G108" s="39" t="str">
        <f>IF($A108="","",SUMIFS([1]weekly_demand!$D:$D,[1]weekly_demand!$A:$A,G$1,[1]weekly_demand!$C:$C,$A108))</f>
        <v/>
      </c>
      <c r="H108" s="39" t="str">
        <f t="shared" si="7"/>
        <v/>
      </c>
      <c r="I108" s="39" t="str">
        <f t="shared" si="7"/>
        <v/>
      </c>
      <c r="J108" s="39" t="str">
        <f t="shared" si="7"/>
        <v/>
      </c>
      <c r="K108" s="39" t="str">
        <f t="shared" si="7"/>
        <v/>
      </c>
      <c r="L108" s="39" t="str">
        <f t="shared" si="7"/>
        <v/>
      </c>
      <c r="M108" s="39" t="str">
        <f t="shared" si="7"/>
        <v/>
      </c>
      <c r="N108" s="39" t="str">
        <f t="shared" si="7"/>
        <v/>
      </c>
      <c r="O108" s="39" t="str">
        <f t="shared" si="7"/>
        <v/>
      </c>
      <c r="P108" s="39" t="str">
        <f t="shared" si="7"/>
        <v/>
      </c>
      <c r="Q108" s="39" t="str">
        <f t="shared" si="7"/>
        <v/>
      </c>
      <c r="R108" s="39" t="str">
        <f t="shared" si="7"/>
        <v/>
      </c>
      <c r="S108" s="39" t="str">
        <f t="shared" si="7"/>
        <v/>
      </c>
      <c r="T108" s="39" t="str">
        <f t="shared" si="7"/>
        <v/>
      </c>
      <c r="U108" s="39" t="str">
        <f t="shared" si="7"/>
        <v/>
      </c>
      <c r="V108" s="39" t="str">
        <f t="shared" si="7"/>
        <v/>
      </c>
    </row>
    <row r="109" spans="1:22" x14ac:dyDescent="0.3">
      <c r="A109" s="38"/>
      <c r="B109" s="39" t="str">
        <f>IF($A109="","",SUMIFS([1]weekly_demand!$D:$D,[1]weekly_demand!$A:$A,B$1,[1]weekly_demand!$C:$C,$A109))</f>
        <v/>
      </c>
      <c r="C109" s="39" t="str">
        <f>IF($A109="","",SUMIFS([1]weekly_demand!$D:$D,[1]weekly_demand!$A:$A,C$1,[1]weekly_demand!$C:$C,$A109))</f>
        <v/>
      </c>
      <c r="D109" s="39" t="str">
        <f>IF($A109="","",SUMIFS([1]weekly_demand!$D:$D,[1]weekly_demand!$A:$A,D$1,[1]weekly_demand!$C:$C,$A109))</f>
        <v/>
      </c>
      <c r="E109" s="39" t="str">
        <f>IF($A109="","",SUMIFS([1]weekly_demand!$D:$D,[1]weekly_demand!$A:$A,E$1,[1]weekly_demand!$C:$C,$A109))</f>
        <v/>
      </c>
      <c r="F109" s="39" t="str">
        <f>IF($A109="","",SUMIFS([1]weekly_demand!$D:$D,[1]weekly_demand!$A:$A,F$1,[1]weekly_demand!$C:$C,$A109))</f>
        <v/>
      </c>
      <c r="G109" s="39" t="str">
        <f>IF($A109="","",SUMIFS([1]weekly_demand!$D:$D,[1]weekly_demand!$A:$A,G$1,[1]weekly_demand!$C:$C,$A109))</f>
        <v/>
      </c>
      <c r="H109" s="39" t="str">
        <f t="shared" si="7"/>
        <v/>
      </c>
      <c r="I109" s="39" t="str">
        <f t="shared" si="7"/>
        <v/>
      </c>
      <c r="J109" s="39" t="str">
        <f t="shared" si="7"/>
        <v/>
      </c>
      <c r="K109" s="39" t="str">
        <f t="shared" si="7"/>
        <v/>
      </c>
      <c r="L109" s="39" t="str">
        <f t="shared" si="7"/>
        <v/>
      </c>
      <c r="M109" s="39" t="str">
        <f t="shared" si="7"/>
        <v/>
      </c>
      <c r="N109" s="39" t="str">
        <f t="shared" si="7"/>
        <v/>
      </c>
      <c r="O109" s="39" t="str">
        <f t="shared" si="7"/>
        <v/>
      </c>
      <c r="P109" s="39" t="str">
        <f t="shared" si="7"/>
        <v/>
      </c>
      <c r="Q109" s="39" t="str">
        <f t="shared" si="7"/>
        <v/>
      </c>
      <c r="R109" s="39" t="str">
        <f t="shared" si="7"/>
        <v/>
      </c>
      <c r="S109" s="39" t="str">
        <f t="shared" si="7"/>
        <v/>
      </c>
      <c r="T109" s="39" t="str">
        <f t="shared" si="7"/>
        <v/>
      </c>
      <c r="U109" s="39" t="str">
        <f t="shared" si="7"/>
        <v/>
      </c>
      <c r="V109" s="39" t="str">
        <f t="shared" si="7"/>
        <v/>
      </c>
    </row>
    <row r="110" spans="1:22" x14ac:dyDescent="0.3">
      <c r="A110" s="38"/>
      <c r="B110" s="39" t="str">
        <f>IF($A110="","",SUMIFS([1]weekly_demand!$D:$D,[1]weekly_demand!$A:$A,B$1,[1]weekly_demand!$C:$C,$A110))</f>
        <v/>
      </c>
      <c r="C110" s="39" t="str">
        <f>IF($A110="","",SUMIFS([1]weekly_demand!$D:$D,[1]weekly_demand!$A:$A,C$1,[1]weekly_demand!$C:$C,$A110))</f>
        <v/>
      </c>
      <c r="D110" s="39" t="str">
        <f>IF($A110="","",SUMIFS([1]weekly_demand!$D:$D,[1]weekly_demand!$A:$A,D$1,[1]weekly_demand!$C:$C,$A110))</f>
        <v/>
      </c>
      <c r="E110" s="39" t="str">
        <f>IF($A110="","",SUMIFS([1]weekly_demand!$D:$D,[1]weekly_demand!$A:$A,E$1,[1]weekly_demand!$C:$C,$A110))</f>
        <v/>
      </c>
      <c r="F110" s="39" t="str">
        <f>IF($A110="","",SUMIFS([1]weekly_demand!$D:$D,[1]weekly_demand!$A:$A,F$1,[1]weekly_demand!$C:$C,$A110))</f>
        <v/>
      </c>
      <c r="G110" s="39" t="str">
        <f>IF($A110="","",SUMIFS([1]weekly_demand!$D:$D,[1]weekly_demand!$A:$A,G$1,[1]weekly_demand!$C:$C,$A110))</f>
        <v/>
      </c>
      <c r="H110" s="39" t="str">
        <f t="shared" si="7"/>
        <v/>
      </c>
      <c r="I110" s="39" t="str">
        <f t="shared" si="7"/>
        <v/>
      </c>
      <c r="J110" s="39" t="str">
        <f t="shared" si="7"/>
        <v/>
      </c>
      <c r="K110" s="39" t="str">
        <f t="shared" si="7"/>
        <v/>
      </c>
      <c r="L110" s="39" t="str">
        <f t="shared" si="7"/>
        <v/>
      </c>
      <c r="M110" s="39" t="str">
        <f t="shared" si="7"/>
        <v/>
      </c>
      <c r="N110" s="39" t="str">
        <f t="shared" si="7"/>
        <v/>
      </c>
      <c r="O110" s="39" t="str">
        <f t="shared" si="7"/>
        <v/>
      </c>
      <c r="P110" s="39" t="str">
        <f t="shared" si="7"/>
        <v/>
      </c>
      <c r="Q110" s="39" t="str">
        <f t="shared" si="7"/>
        <v/>
      </c>
      <c r="R110" s="39" t="str">
        <f t="shared" si="7"/>
        <v/>
      </c>
      <c r="S110" s="39" t="str">
        <f t="shared" si="7"/>
        <v/>
      </c>
      <c r="T110" s="39" t="str">
        <f t="shared" si="7"/>
        <v/>
      </c>
      <c r="U110" s="39" t="str">
        <f t="shared" si="7"/>
        <v/>
      </c>
      <c r="V110" s="39" t="str">
        <f t="shared" si="7"/>
        <v/>
      </c>
    </row>
    <row r="111" spans="1:22" x14ac:dyDescent="0.3">
      <c r="A111" s="38"/>
      <c r="B111" s="39" t="str">
        <f>IF($A111="","",SUMIFS([1]weekly_demand!$D:$D,[1]weekly_demand!$A:$A,B$1,[1]weekly_demand!$C:$C,$A111))</f>
        <v/>
      </c>
      <c r="C111" s="39" t="str">
        <f>IF($A111="","",SUMIFS([1]weekly_demand!$D:$D,[1]weekly_demand!$A:$A,C$1,[1]weekly_demand!$C:$C,$A111))</f>
        <v/>
      </c>
      <c r="D111" s="39" t="str">
        <f>IF($A111="","",SUMIFS([1]weekly_demand!$D:$D,[1]weekly_demand!$A:$A,D$1,[1]weekly_demand!$C:$C,$A111))</f>
        <v/>
      </c>
      <c r="E111" s="39" t="str">
        <f>IF($A111="","",SUMIFS([1]weekly_demand!$D:$D,[1]weekly_demand!$A:$A,E$1,[1]weekly_demand!$C:$C,$A111))</f>
        <v/>
      </c>
      <c r="F111" s="39" t="str">
        <f>IF($A111="","",SUMIFS([1]weekly_demand!$D:$D,[1]weekly_demand!$A:$A,F$1,[1]weekly_demand!$C:$C,$A111))</f>
        <v/>
      </c>
      <c r="G111" s="39" t="str">
        <f>IF($A111="","",SUMIFS([1]weekly_demand!$D:$D,[1]weekly_demand!$A:$A,G$1,[1]weekly_demand!$C:$C,$A111))</f>
        <v/>
      </c>
      <c r="H111" s="39" t="str">
        <f t="shared" si="7"/>
        <v/>
      </c>
      <c r="I111" s="39" t="str">
        <f t="shared" si="7"/>
        <v/>
      </c>
      <c r="J111" s="39" t="str">
        <f t="shared" si="7"/>
        <v/>
      </c>
      <c r="K111" s="39" t="str">
        <f t="shared" si="7"/>
        <v/>
      </c>
      <c r="L111" s="39" t="str">
        <f t="shared" si="7"/>
        <v/>
      </c>
      <c r="M111" s="39" t="str">
        <f t="shared" si="7"/>
        <v/>
      </c>
      <c r="N111" s="39" t="str">
        <f t="shared" si="7"/>
        <v/>
      </c>
      <c r="O111" s="39" t="str">
        <f t="shared" si="7"/>
        <v/>
      </c>
      <c r="P111" s="39" t="str">
        <f t="shared" si="7"/>
        <v/>
      </c>
      <c r="Q111" s="39" t="str">
        <f t="shared" si="7"/>
        <v/>
      </c>
      <c r="R111" s="39" t="str">
        <f t="shared" si="7"/>
        <v/>
      </c>
      <c r="S111" s="39" t="str">
        <f t="shared" si="7"/>
        <v/>
      </c>
      <c r="T111" s="39" t="str">
        <f t="shared" si="7"/>
        <v/>
      </c>
      <c r="U111" s="39" t="str">
        <f t="shared" si="7"/>
        <v/>
      </c>
      <c r="V111" s="39" t="str">
        <f t="shared" si="7"/>
        <v/>
      </c>
    </row>
    <row r="112" spans="1:22" x14ac:dyDescent="0.3">
      <c r="A112" s="38"/>
      <c r="B112" s="39" t="str">
        <f>IF($A112="","",SUMIFS([1]weekly_demand!$D:$D,[1]weekly_demand!$A:$A,B$1,[1]weekly_demand!$C:$C,$A112))</f>
        <v/>
      </c>
      <c r="C112" s="39" t="str">
        <f>IF($A112="","",SUMIFS([1]weekly_demand!$D:$D,[1]weekly_demand!$A:$A,C$1,[1]weekly_demand!$C:$C,$A112))</f>
        <v/>
      </c>
      <c r="D112" s="39" t="str">
        <f>IF($A112="","",SUMIFS([1]weekly_demand!$D:$D,[1]weekly_demand!$A:$A,D$1,[1]weekly_demand!$C:$C,$A112))</f>
        <v/>
      </c>
      <c r="E112" s="39" t="str">
        <f>IF($A112="","",SUMIFS([1]weekly_demand!$D:$D,[1]weekly_demand!$A:$A,E$1,[1]weekly_demand!$C:$C,$A112))</f>
        <v/>
      </c>
      <c r="F112" s="39" t="str">
        <f>IF($A112="","",SUMIFS([1]weekly_demand!$D:$D,[1]weekly_demand!$A:$A,F$1,[1]weekly_demand!$C:$C,$A112))</f>
        <v/>
      </c>
      <c r="G112" s="39" t="str">
        <f>IF($A112="","",SUMIFS([1]weekly_demand!$D:$D,[1]weekly_demand!$A:$A,G$1,[1]weekly_demand!$C:$C,$A112))</f>
        <v/>
      </c>
      <c r="H112" s="39" t="str">
        <f t="shared" si="7"/>
        <v/>
      </c>
      <c r="I112" s="39" t="str">
        <f t="shared" si="7"/>
        <v/>
      </c>
      <c r="J112" s="39" t="str">
        <f t="shared" si="7"/>
        <v/>
      </c>
      <c r="K112" s="39" t="str">
        <f t="shared" si="7"/>
        <v/>
      </c>
      <c r="L112" s="39" t="str">
        <f t="shared" si="7"/>
        <v/>
      </c>
      <c r="M112" s="39" t="str">
        <f t="shared" si="7"/>
        <v/>
      </c>
      <c r="N112" s="39" t="str">
        <f t="shared" si="7"/>
        <v/>
      </c>
      <c r="O112" s="39" t="str">
        <f t="shared" si="7"/>
        <v/>
      </c>
      <c r="P112" s="39" t="str">
        <f t="shared" si="7"/>
        <v/>
      </c>
      <c r="Q112" s="39" t="str">
        <f t="shared" si="7"/>
        <v/>
      </c>
      <c r="R112" s="39" t="str">
        <f t="shared" si="7"/>
        <v/>
      </c>
      <c r="S112" s="39" t="str">
        <f t="shared" si="7"/>
        <v/>
      </c>
      <c r="T112" s="39" t="str">
        <f t="shared" si="7"/>
        <v/>
      </c>
      <c r="U112" s="39" t="str">
        <f t="shared" si="7"/>
        <v/>
      </c>
      <c r="V112" s="39" t="str">
        <f t="shared" si="7"/>
        <v/>
      </c>
    </row>
    <row r="113" spans="1:22" x14ac:dyDescent="0.3">
      <c r="A113" s="38"/>
      <c r="B113" s="39" t="str">
        <f>IF($A113="","",SUMIFS([1]weekly_demand!$D:$D,[1]weekly_demand!$A:$A,B$1,[1]weekly_demand!$C:$C,$A113))</f>
        <v/>
      </c>
      <c r="C113" s="39" t="str">
        <f>IF($A113="","",SUMIFS([1]weekly_demand!$D:$D,[1]weekly_demand!$A:$A,C$1,[1]weekly_demand!$C:$C,$A113))</f>
        <v/>
      </c>
      <c r="D113" s="39" t="str">
        <f>IF($A113="","",SUMIFS([1]weekly_demand!$D:$D,[1]weekly_demand!$A:$A,D$1,[1]weekly_demand!$C:$C,$A113))</f>
        <v/>
      </c>
      <c r="E113" s="39" t="str">
        <f>IF($A113="","",SUMIFS([1]weekly_demand!$D:$D,[1]weekly_demand!$A:$A,E$1,[1]weekly_demand!$C:$C,$A113))</f>
        <v/>
      </c>
      <c r="F113" s="39" t="str">
        <f>IF($A113="","",SUMIFS([1]weekly_demand!$D:$D,[1]weekly_demand!$A:$A,F$1,[1]weekly_demand!$C:$C,$A113))</f>
        <v/>
      </c>
      <c r="G113" s="39" t="str">
        <f>IF($A113="","",SUMIFS([1]weekly_demand!$D:$D,[1]weekly_demand!$A:$A,G$1,[1]weekly_demand!$C:$C,$A113))</f>
        <v/>
      </c>
      <c r="H113" s="39" t="str">
        <f t="shared" si="7"/>
        <v/>
      </c>
      <c r="I113" s="39" t="str">
        <f t="shared" si="7"/>
        <v/>
      </c>
      <c r="J113" s="39" t="str">
        <f t="shared" si="7"/>
        <v/>
      </c>
      <c r="K113" s="39" t="str">
        <f t="shared" si="7"/>
        <v/>
      </c>
      <c r="L113" s="39" t="str">
        <f t="shared" si="7"/>
        <v/>
      </c>
      <c r="M113" s="39" t="str">
        <f t="shared" si="7"/>
        <v/>
      </c>
      <c r="N113" s="39" t="str">
        <f t="shared" si="7"/>
        <v/>
      </c>
      <c r="O113" s="39" t="str">
        <f t="shared" si="7"/>
        <v/>
      </c>
      <c r="P113" s="39" t="str">
        <f t="shared" si="7"/>
        <v/>
      </c>
      <c r="Q113" s="39" t="str">
        <f t="shared" si="7"/>
        <v/>
      </c>
      <c r="R113" s="39" t="str">
        <f t="shared" si="7"/>
        <v/>
      </c>
      <c r="S113" s="39" t="str">
        <f t="shared" si="7"/>
        <v/>
      </c>
      <c r="T113" s="39" t="str">
        <f t="shared" si="7"/>
        <v/>
      </c>
      <c r="U113" s="39" t="str">
        <f t="shared" si="7"/>
        <v/>
      </c>
      <c r="V113" s="39" t="str">
        <f t="shared" si="7"/>
        <v/>
      </c>
    </row>
    <row r="114" spans="1:22" x14ac:dyDescent="0.3">
      <c r="A114" s="38"/>
      <c r="B114" s="39" t="str">
        <f>IF($A114="","",SUMIFS([1]weekly_demand!$D:$D,[1]weekly_demand!$A:$A,B$1,[1]weekly_demand!$C:$C,$A114))</f>
        <v/>
      </c>
      <c r="C114" s="39" t="str">
        <f>IF($A114="","",SUMIFS([1]weekly_demand!$D:$D,[1]weekly_demand!$A:$A,C$1,[1]weekly_demand!$C:$C,$A114))</f>
        <v/>
      </c>
      <c r="D114" s="39" t="str">
        <f>IF($A114="","",SUMIFS([1]weekly_demand!$D:$D,[1]weekly_demand!$A:$A,D$1,[1]weekly_demand!$C:$C,$A114))</f>
        <v/>
      </c>
      <c r="E114" s="39" t="str">
        <f>IF($A114="","",SUMIFS([1]weekly_demand!$D:$D,[1]weekly_demand!$A:$A,E$1,[1]weekly_demand!$C:$C,$A114))</f>
        <v/>
      </c>
      <c r="F114" s="39" t="str">
        <f>IF($A114="","",SUMIFS([1]weekly_demand!$D:$D,[1]weekly_demand!$A:$A,F$1,[1]weekly_demand!$C:$C,$A114))</f>
        <v/>
      </c>
      <c r="G114" s="39" t="str">
        <f>IF($A114="","",SUMIFS([1]weekly_demand!$D:$D,[1]weekly_demand!$A:$A,G$1,[1]weekly_demand!$C:$C,$A114))</f>
        <v/>
      </c>
      <c r="H114" s="39" t="str">
        <f t="shared" ref="H114:V129" si="8">IF($A114="","",SUMPRODUCT($B114:$G114,INDEX($Y$2:$AD$16,MATCH(H$1,$X$2:$X$16,0),0)))</f>
        <v/>
      </c>
      <c r="I114" s="39" t="str">
        <f t="shared" si="8"/>
        <v/>
      </c>
      <c r="J114" s="39" t="str">
        <f t="shared" si="8"/>
        <v/>
      </c>
      <c r="K114" s="39" t="str">
        <f t="shared" si="8"/>
        <v/>
      </c>
      <c r="L114" s="39" t="str">
        <f t="shared" si="8"/>
        <v/>
      </c>
      <c r="M114" s="39" t="str">
        <f t="shared" si="8"/>
        <v/>
      </c>
      <c r="N114" s="39" t="str">
        <f t="shared" si="8"/>
        <v/>
      </c>
      <c r="O114" s="39" t="str">
        <f t="shared" si="8"/>
        <v/>
      </c>
      <c r="P114" s="39" t="str">
        <f t="shared" si="8"/>
        <v/>
      </c>
      <c r="Q114" s="39" t="str">
        <f t="shared" si="8"/>
        <v/>
      </c>
      <c r="R114" s="39" t="str">
        <f t="shared" si="8"/>
        <v/>
      </c>
      <c r="S114" s="39" t="str">
        <f t="shared" si="8"/>
        <v/>
      </c>
      <c r="T114" s="39" t="str">
        <f t="shared" si="8"/>
        <v/>
      </c>
      <c r="U114" s="39" t="str">
        <f t="shared" si="8"/>
        <v/>
      </c>
      <c r="V114" s="39" t="str">
        <f t="shared" si="8"/>
        <v/>
      </c>
    </row>
    <row r="115" spans="1:22" x14ac:dyDescent="0.3">
      <c r="A115" s="38"/>
      <c r="B115" s="39" t="str">
        <f>IF($A115="","",SUMIFS([1]weekly_demand!$D:$D,[1]weekly_demand!$A:$A,B$1,[1]weekly_demand!$C:$C,$A115))</f>
        <v/>
      </c>
      <c r="C115" s="39" t="str">
        <f>IF($A115="","",SUMIFS([1]weekly_demand!$D:$D,[1]weekly_demand!$A:$A,C$1,[1]weekly_demand!$C:$C,$A115))</f>
        <v/>
      </c>
      <c r="D115" s="39" t="str">
        <f>IF($A115="","",SUMIFS([1]weekly_demand!$D:$D,[1]weekly_demand!$A:$A,D$1,[1]weekly_demand!$C:$C,$A115))</f>
        <v/>
      </c>
      <c r="E115" s="39" t="str">
        <f>IF($A115="","",SUMIFS([1]weekly_demand!$D:$D,[1]weekly_demand!$A:$A,E$1,[1]weekly_demand!$C:$C,$A115))</f>
        <v/>
      </c>
      <c r="F115" s="39" t="str">
        <f>IF($A115="","",SUMIFS([1]weekly_demand!$D:$D,[1]weekly_demand!$A:$A,F$1,[1]weekly_demand!$C:$C,$A115))</f>
        <v/>
      </c>
      <c r="G115" s="39" t="str">
        <f>IF($A115="","",SUMIFS([1]weekly_demand!$D:$D,[1]weekly_demand!$A:$A,G$1,[1]weekly_demand!$C:$C,$A115))</f>
        <v/>
      </c>
      <c r="H115" s="39" t="str">
        <f t="shared" si="8"/>
        <v/>
      </c>
      <c r="I115" s="39" t="str">
        <f t="shared" si="8"/>
        <v/>
      </c>
      <c r="J115" s="39" t="str">
        <f t="shared" si="8"/>
        <v/>
      </c>
      <c r="K115" s="39" t="str">
        <f t="shared" si="8"/>
        <v/>
      </c>
      <c r="L115" s="39" t="str">
        <f t="shared" si="8"/>
        <v/>
      </c>
      <c r="M115" s="39" t="str">
        <f t="shared" si="8"/>
        <v/>
      </c>
      <c r="N115" s="39" t="str">
        <f t="shared" si="8"/>
        <v/>
      </c>
      <c r="O115" s="39" t="str">
        <f t="shared" si="8"/>
        <v/>
      </c>
      <c r="P115" s="39" t="str">
        <f t="shared" si="8"/>
        <v/>
      </c>
      <c r="Q115" s="39" t="str">
        <f t="shared" si="8"/>
        <v/>
      </c>
      <c r="R115" s="39" t="str">
        <f t="shared" si="8"/>
        <v/>
      </c>
      <c r="S115" s="39" t="str">
        <f t="shared" si="8"/>
        <v/>
      </c>
      <c r="T115" s="39" t="str">
        <f t="shared" si="8"/>
        <v/>
      </c>
      <c r="U115" s="39" t="str">
        <f t="shared" si="8"/>
        <v/>
      </c>
      <c r="V115" s="39" t="str">
        <f t="shared" si="8"/>
        <v/>
      </c>
    </row>
    <row r="116" spans="1:22" x14ac:dyDescent="0.3">
      <c r="A116" s="38"/>
      <c r="B116" s="39" t="str">
        <f>IF($A116="","",SUMIFS([1]weekly_demand!$D:$D,[1]weekly_demand!$A:$A,B$1,[1]weekly_demand!$C:$C,$A116))</f>
        <v/>
      </c>
      <c r="C116" s="39" t="str">
        <f>IF($A116="","",SUMIFS([1]weekly_demand!$D:$D,[1]weekly_demand!$A:$A,C$1,[1]weekly_demand!$C:$C,$A116))</f>
        <v/>
      </c>
      <c r="D116" s="39" t="str">
        <f>IF($A116="","",SUMIFS([1]weekly_demand!$D:$D,[1]weekly_demand!$A:$A,D$1,[1]weekly_demand!$C:$C,$A116))</f>
        <v/>
      </c>
      <c r="E116" s="39" t="str">
        <f>IF($A116="","",SUMIFS([1]weekly_demand!$D:$D,[1]weekly_demand!$A:$A,E$1,[1]weekly_demand!$C:$C,$A116))</f>
        <v/>
      </c>
      <c r="F116" s="39" t="str">
        <f>IF($A116="","",SUMIFS([1]weekly_demand!$D:$D,[1]weekly_demand!$A:$A,F$1,[1]weekly_demand!$C:$C,$A116))</f>
        <v/>
      </c>
      <c r="G116" s="39" t="str">
        <f>IF($A116="","",SUMIFS([1]weekly_demand!$D:$D,[1]weekly_demand!$A:$A,G$1,[1]weekly_demand!$C:$C,$A116))</f>
        <v/>
      </c>
      <c r="H116" s="39" t="str">
        <f t="shared" si="8"/>
        <v/>
      </c>
      <c r="I116" s="39" t="str">
        <f t="shared" si="8"/>
        <v/>
      </c>
      <c r="J116" s="39" t="str">
        <f t="shared" si="8"/>
        <v/>
      </c>
      <c r="K116" s="39" t="str">
        <f t="shared" si="8"/>
        <v/>
      </c>
      <c r="L116" s="39" t="str">
        <f t="shared" si="8"/>
        <v/>
      </c>
      <c r="M116" s="39" t="str">
        <f t="shared" si="8"/>
        <v/>
      </c>
      <c r="N116" s="39" t="str">
        <f t="shared" si="8"/>
        <v/>
      </c>
      <c r="O116" s="39" t="str">
        <f t="shared" si="8"/>
        <v/>
      </c>
      <c r="P116" s="39" t="str">
        <f t="shared" si="8"/>
        <v/>
      </c>
      <c r="Q116" s="39" t="str">
        <f t="shared" si="8"/>
        <v/>
      </c>
      <c r="R116" s="39" t="str">
        <f t="shared" si="8"/>
        <v/>
      </c>
      <c r="S116" s="39" t="str">
        <f t="shared" si="8"/>
        <v/>
      </c>
      <c r="T116" s="39" t="str">
        <f t="shared" si="8"/>
        <v/>
      </c>
      <c r="U116" s="39" t="str">
        <f t="shared" si="8"/>
        <v/>
      </c>
      <c r="V116" s="39" t="str">
        <f t="shared" si="8"/>
        <v/>
      </c>
    </row>
    <row r="117" spans="1:22" x14ac:dyDescent="0.3">
      <c r="A117" s="38"/>
      <c r="B117" s="39" t="str">
        <f>IF($A117="","",SUMIFS([1]weekly_demand!$D:$D,[1]weekly_demand!$A:$A,B$1,[1]weekly_demand!$C:$C,$A117))</f>
        <v/>
      </c>
      <c r="C117" s="39" t="str">
        <f>IF($A117="","",SUMIFS([1]weekly_demand!$D:$D,[1]weekly_demand!$A:$A,C$1,[1]weekly_demand!$C:$C,$A117))</f>
        <v/>
      </c>
      <c r="D117" s="39" t="str">
        <f>IF($A117="","",SUMIFS([1]weekly_demand!$D:$D,[1]weekly_demand!$A:$A,D$1,[1]weekly_demand!$C:$C,$A117))</f>
        <v/>
      </c>
      <c r="E117" s="39" t="str">
        <f>IF($A117="","",SUMIFS([1]weekly_demand!$D:$D,[1]weekly_demand!$A:$A,E$1,[1]weekly_demand!$C:$C,$A117))</f>
        <v/>
      </c>
      <c r="F117" s="39" t="str">
        <f>IF($A117="","",SUMIFS([1]weekly_demand!$D:$D,[1]weekly_demand!$A:$A,F$1,[1]weekly_demand!$C:$C,$A117))</f>
        <v/>
      </c>
      <c r="G117" s="39" t="str">
        <f>IF($A117="","",SUMIFS([1]weekly_demand!$D:$D,[1]weekly_demand!$A:$A,G$1,[1]weekly_demand!$C:$C,$A117))</f>
        <v/>
      </c>
      <c r="H117" s="39" t="str">
        <f t="shared" si="8"/>
        <v/>
      </c>
      <c r="I117" s="39" t="str">
        <f t="shared" si="8"/>
        <v/>
      </c>
      <c r="J117" s="39" t="str">
        <f t="shared" si="8"/>
        <v/>
      </c>
      <c r="K117" s="39" t="str">
        <f t="shared" si="8"/>
        <v/>
      </c>
      <c r="L117" s="39" t="str">
        <f t="shared" si="8"/>
        <v/>
      </c>
      <c r="M117" s="39" t="str">
        <f t="shared" si="8"/>
        <v/>
      </c>
      <c r="N117" s="39" t="str">
        <f t="shared" si="8"/>
        <v/>
      </c>
      <c r="O117" s="39" t="str">
        <f t="shared" si="8"/>
        <v/>
      </c>
      <c r="P117" s="39" t="str">
        <f t="shared" si="8"/>
        <v/>
      </c>
      <c r="Q117" s="39" t="str">
        <f t="shared" si="8"/>
        <v/>
      </c>
      <c r="R117" s="39" t="str">
        <f t="shared" si="8"/>
        <v/>
      </c>
      <c r="S117" s="39" t="str">
        <f t="shared" si="8"/>
        <v/>
      </c>
      <c r="T117" s="39" t="str">
        <f t="shared" si="8"/>
        <v/>
      </c>
      <c r="U117" s="39" t="str">
        <f t="shared" si="8"/>
        <v/>
      </c>
      <c r="V117" s="39" t="str">
        <f t="shared" si="8"/>
        <v/>
      </c>
    </row>
    <row r="118" spans="1:22" x14ac:dyDescent="0.3">
      <c r="A118" s="38"/>
      <c r="B118" s="39" t="str">
        <f>IF($A118="","",SUMIFS([1]weekly_demand!$D:$D,[1]weekly_demand!$A:$A,B$1,[1]weekly_demand!$C:$C,$A118))</f>
        <v/>
      </c>
      <c r="C118" s="39" t="str">
        <f>IF($A118="","",SUMIFS([1]weekly_demand!$D:$D,[1]weekly_demand!$A:$A,C$1,[1]weekly_demand!$C:$C,$A118))</f>
        <v/>
      </c>
      <c r="D118" s="39" t="str">
        <f>IF($A118="","",SUMIFS([1]weekly_demand!$D:$D,[1]weekly_demand!$A:$A,D$1,[1]weekly_demand!$C:$C,$A118))</f>
        <v/>
      </c>
      <c r="E118" s="39" t="str">
        <f>IF($A118="","",SUMIFS([1]weekly_demand!$D:$D,[1]weekly_demand!$A:$A,E$1,[1]weekly_demand!$C:$C,$A118))</f>
        <v/>
      </c>
      <c r="F118" s="39" t="str">
        <f>IF($A118="","",SUMIFS([1]weekly_demand!$D:$D,[1]weekly_demand!$A:$A,F$1,[1]weekly_demand!$C:$C,$A118))</f>
        <v/>
      </c>
      <c r="G118" s="39" t="str">
        <f>IF($A118="","",SUMIFS([1]weekly_demand!$D:$D,[1]weekly_demand!$A:$A,G$1,[1]weekly_demand!$C:$C,$A118))</f>
        <v/>
      </c>
      <c r="H118" s="39" t="str">
        <f t="shared" si="8"/>
        <v/>
      </c>
      <c r="I118" s="39" t="str">
        <f t="shared" si="8"/>
        <v/>
      </c>
      <c r="J118" s="39" t="str">
        <f t="shared" si="8"/>
        <v/>
      </c>
      <c r="K118" s="39" t="str">
        <f t="shared" si="8"/>
        <v/>
      </c>
      <c r="L118" s="39" t="str">
        <f t="shared" si="8"/>
        <v/>
      </c>
      <c r="M118" s="39" t="str">
        <f t="shared" si="8"/>
        <v/>
      </c>
      <c r="N118" s="39" t="str">
        <f t="shared" si="8"/>
        <v/>
      </c>
      <c r="O118" s="39" t="str">
        <f t="shared" si="8"/>
        <v/>
      </c>
      <c r="P118" s="39" t="str">
        <f t="shared" si="8"/>
        <v/>
      </c>
      <c r="Q118" s="39" t="str">
        <f t="shared" si="8"/>
        <v/>
      </c>
      <c r="R118" s="39" t="str">
        <f t="shared" si="8"/>
        <v/>
      </c>
      <c r="S118" s="39" t="str">
        <f t="shared" si="8"/>
        <v/>
      </c>
      <c r="T118" s="39" t="str">
        <f t="shared" si="8"/>
        <v/>
      </c>
      <c r="U118" s="39" t="str">
        <f t="shared" si="8"/>
        <v/>
      </c>
      <c r="V118" s="39" t="str">
        <f t="shared" si="8"/>
        <v/>
      </c>
    </row>
    <row r="119" spans="1:22" x14ac:dyDescent="0.3">
      <c r="A119" s="38"/>
      <c r="B119" s="39" t="str">
        <f>IF($A119="","",SUMIFS([1]weekly_demand!$D:$D,[1]weekly_demand!$A:$A,B$1,[1]weekly_demand!$C:$C,$A119))</f>
        <v/>
      </c>
      <c r="C119" s="39" t="str">
        <f>IF($A119="","",SUMIFS([1]weekly_demand!$D:$D,[1]weekly_demand!$A:$A,C$1,[1]weekly_demand!$C:$C,$A119))</f>
        <v/>
      </c>
      <c r="D119" s="39" t="str">
        <f>IF($A119="","",SUMIFS([1]weekly_demand!$D:$D,[1]weekly_demand!$A:$A,D$1,[1]weekly_demand!$C:$C,$A119))</f>
        <v/>
      </c>
      <c r="E119" s="39" t="str">
        <f>IF($A119="","",SUMIFS([1]weekly_demand!$D:$D,[1]weekly_demand!$A:$A,E$1,[1]weekly_demand!$C:$C,$A119))</f>
        <v/>
      </c>
      <c r="F119" s="39" t="str">
        <f>IF($A119="","",SUMIFS([1]weekly_demand!$D:$D,[1]weekly_demand!$A:$A,F$1,[1]weekly_demand!$C:$C,$A119))</f>
        <v/>
      </c>
      <c r="G119" s="39" t="str">
        <f>IF($A119="","",SUMIFS([1]weekly_demand!$D:$D,[1]weekly_demand!$A:$A,G$1,[1]weekly_demand!$C:$C,$A119))</f>
        <v/>
      </c>
      <c r="H119" s="39" t="str">
        <f t="shared" si="8"/>
        <v/>
      </c>
      <c r="I119" s="39" t="str">
        <f t="shared" si="8"/>
        <v/>
      </c>
      <c r="J119" s="39" t="str">
        <f t="shared" si="8"/>
        <v/>
      </c>
      <c r="K119" s="39" t="str">
        <f t="shared" si="8"/>
        <v/>
      </c>
      <c r="L119" s="39" t="str">
        <f t="shared" si="8"/>
        <v/>
      </c>
      <c r="M119" s="39" t="str">
        <f t="shared" si="8"/>
        <v/>
      </c>
      <c r="N119" s="39" t="str">
        <f t="shared" si="8"/>
        <v/>
      </c>
      <c r="O119" s="39" t="str">
        <f t="shared" si="8"/>
        <v/>
      </c>
      <c r="P119" s="39" t="str">
        <f t="shared" si="8"/>
        <v/>
      </c>
      <c r="Q119" s="39" t="str">
        <f t="shared" si="8"/>
        <v/>
      </c>
      <c r="R119" s="39" t="str">
        <f t="shared" si="8"/>
        <v/>
      </c>
      <c r="S119" s="39" t="str">
        <f t="shared" si="8"/>
        <v/>
      </c>
      <c r="T119" s="39" t="str">
        <f t="shared" si="8"/>
        <v/>
      </c>
      <c r="U119" s="39" t="str">
        <f t="shared" si="8"/>
        <v/>
      </c>
      <c r="V119" s="39" t="str">
        <f t="shared" si="8"/>
        <v/>
      </c>
    </row>
    <row r="120" spans="1:22" x14ac:dyDescent="0.3">
      <c r="A120" s="38"/>
      <c r="B120" s="39" t="str">
        <f>IF($A120="","",SUMIFS([1]weekly_demand!$D:$D,[1]weekly_demand!$A:$A,B$1,[1]weekly_demand!$C:$C,$A120))</f>
        <v/>
      </c>
      <c r="C120" s="39" t="str">
        <f>IF($A120="","",SUMIFS([1]weekly_demand!$D:$D,[1]weekly_demand!$A:$A,C$1,[1]weekly_demand!$C:$C,$A120))</f>
        <v/>
      </c>
      <c r="D120" s="39" t="str">
        <f>IF($A120="","",SUMIFS([1]weekly_demand!$D:$D,[1]weekly_demand!$A:$A,D$1,[1]weekly_demand!$C:$C,$A120))</f>
        <v/>
      </c>
      <c r="E120" s="39" t="str">
        <f>IF($A120="","",SUMIFS([1]weekly_demand!$D:$D,[1]weekly_demand!$A:$A,E$1,[1]weekly_demand!$C:$C,$A120))</f>
        <v/>
      </c>
      <c r="F120" s="39" t="str">
        <f>IF($A120="","",SUMIFS([1]weekly_demand!$D:$D,[1]weekly_demand!$A:$A,F$1,[1]weekly_demand!$C:$C,$A120))</f>
        <v/>
      </c>
      <c r="G120" s="39" t="str">
        <f>IF($A120="","",SUMIFS([1]weekly_demand!$D:$D,[1]weekly_demand!$A:$A,G$1,[1]weekly_demand!$C:$C,$A120))</f>
        <v/>
      </c>
      <c r="H120" s="39" t="str">
        <f t="shared" si="8"/>
        <v/>
      </c>
      <c r="I120" s="39" t="str">
        <f t="shared" si="8"/>
        <v/>
      </c>
      <c r="J120" s="39" t="str">
        <f t="shared" si="8"/>
        <v/>
      </c>
      <c r="K120" s="39" t="str">
        <f t="shared" si="8"/>
        <v/>
      </c>
      <c r="L120" s="39" t="str">
        <f t="shared" si="8"/>
        <v/>
      </c>
      <c r="M120" s="39" t="str">
        <f t="shared" si="8"/>
        <v/>
      </c>
      <c r="N120" s="39" t="str">
        <f t="shared" si="8"/>
        <v/>
      </c>
      <c r="O120" s="39" t="str">
        <f t="shared" si="8"/>
        <v/>
      </c>
      <c r="P120" s="39" t="str">
        <f t="shared" si="8"/>
        <v/>
      </c>
      <c r="Q120" s="39" t="str">
        <f t="shared" si="8"/>
        <v/>
      </c>
      <c r="R120" s="39" t="str">
        <f t="shared" si="8"/>
        <v/>
      </c>
      <c r="S120" s="39" t="str">
        <f t="shared" si="8"/>
        <v/>
      </c>
      <c r="T120" s="39" t="str">
        <f t="shared" si="8"/>
        <v/>
      </c>
      <c r="U120" s="39" t="str">
        <f t="shared" si="8"/>
        <v/>
      </c>
      <c r="V120" s="39" t="str">
        <f t="shared" si="8"/>
        <v/>
      </c>
    </row>
    <row r="121" spans="1:22" x14ac:dyDescent="0.3">
      <c r="A121" s="38"/>
      <c r="B121" s="39" t="str">
        <f>IF($A121="","",SUMIFS([1]weekly_demand!$D:$D,[1]weekly_demand!$A:$A,B$1,[1]weekly_demand!$C:$C,$A121))</f>
        <v/>
      </c>
      <c r="C121" s="39" t="str">
        <f>IF($A121="","",SUMIFS([1]weekly_demand!$D:$D,[1]weekly_demand!$A:$A,C$1,[1]weekly_demand!$C:$C,$A121))</f>
        <v/>
      </c>
      <c r="D121" s="39" t="str">
        <f>IF($A121="","",SUMIFS([1]weekly_demand!$D:$D,[1]weekly_demand!$A:$A,D$1,[1]weekly_demand!$C:$C,$A121))</f>
        <v/>
      </c>
      <c r="E121" s="39" t="str">
        <f>IF($A121="","",SUMIFS([1]weekly_demand!$D:$D,[1]weekly_demand!$A:$A,E$1,[1]weekly_demand!$C:$C,$A121))</f>
        <v/>
      </c>
      <c r="F121" s="39" t="str">
        <f>IF($A121="","",SUMIFS([1]weekly_demand!$D:$D,[1]weekly_demand!$A:$A,F$1,[1]weekly_demand!$C:$C,$A121))</f>
        <v/>
      </c>
      <c r="G121" s="39" t="str">
        <f>IF($A121="","",SUMIFS([1]weekly_demand!$D:$D,[1]weekly_demand!$A:$A,G$1,[1]weekly_demand!$C:$C,$A121))</f>
        <v/>
      </c>
      <c r="H121" s="39" t="str">
        <f t="shared" si="8"/>
        <v/>
      </c>
      <c r="I121" s="39" t="str">
        <f t="shared" si="8"/>
        <v/>
      </c>
      <c r="J121" s="39" t="str">
        <f t="shared" si="8"/>
        <v/>
      </c>
      <c r="K121" s="39" t="str">
        <f t="shared" si="8"/>
        <v/>
      </c>
      <c r="L121" s="39" t="str">
        <f t="shared" si="8"/>
        <v/>
      </c>
      <c r="M121" s="39" t="str">
        <f t="shared" si="8"/>
        <v/>
      </c>
      <c r="N121" s="39" t="str">
        <f t="shared" si="8"/>
        <v/>
      </c>
      <c r="O121" s="39" t="str">
        <f t="shared" si="8"/>
        <v/>
      </c>
      <c r="P121" s="39" t="str">
        <f t="shared" si="8"/>
        <v/>
      </c>
      <c r="Q121" s="39" t="str">
        <f t="shared" si="8"/>
        <v/>
      </c>
      <c r="R121" s="39" t="str">
        <f t="shared" si="8"/>
        <v/>
      </c>
      <c r="S121" s="39" t="str">
        <f t="shared" si="8"/>
        <v/>
      </c>
      <c r="T121" s="39" t="str">
        <f t="shared" si="8"/>
        <v/>
      </c>
      <c r="U121" s="39" t="str">
        <f t="shared" si="8"/>
        <v/>
      </c>
      <c r="V121" s="39" t="str">
        <f t="shared" si="8"/>
        <v/>
      </c>
    </row>
    <row r="122" spans="1:22" x14ac:dyDescent="0.3">
      <c r="A122" s="38"/>
      <c r="B122" s="39" t="str">
        <f>IF($A122="","",SUMIFS([1]weekly_demand!$D:$D,[1]weekly_demand!$A:$A,B$1,[1]weekly_demand!$C:$C,$A122))</f>
        <v/>
      </c>
      <c r="C122" s="39" t="str">
        <f>IF($A122="","",SUMIFS([1]weekly_demand!$D:$D,[1]weekly_demand!$A:$A,C$1,[1]weekly_demand!$C:$C,$A122))</f>
        <v/>
      </c>
      <c r="D122" s="39" t="str">
        <f>IF($A122="","",SUMIFS([1]weekly_demand!$D:$D,[1]weekly_demand!$A:$A,D$1,[1]weekly_demand!$C:$C,$A122))</f>
        <v/>
      </c>
      <c r="E122" s="39" t="str">
        <f>IF($A122="","",SUMIFS([1]weekly_demand!$D:$D,[1]weekly_demand!$A:$A,E$1,[1]weekly_demand!$C:$C,$A122))</f>
        <v/>
      </c>
      <c r="F122" s="39" t="str">
        <f>IF($A122="","",SUMIFS([1]weekly_demand!$D:$D,[1]weekly_demand!$A:$A,F$1,[1]weekly_demand!$C:$C,$A122))</f>
        <v/>
      </c>
      <c r="G122" s="39" t="str">
        <f>IF($A122="","",SUMIFS([1]weekly_demand!$D:$D,[1]weekly_demand!$A:$A,G$1,[1]weekly_demand!$C:$C,$A122))</f>
        <v/>
      </c>
      <c r="H122" s="39" t="str">
        <f t="shared" si="8"/>
        <v/>
      </c>
      <c r="I122" s="39" t="str">
        <f t="shared" si="8"/>
        <v/>
      </c>
      <c r="J122" s="39" t="str">
        <f t="shared" si="8"/>
        <v/>
      </c>
      <c r="K122" s="39" t="str">
        <f t="shared" si="8"/>
        <v/>
      </c>
      <c r="L122" s="39" t="str">
        <f t="shared" si="8"/>
        <v/>
      </c>
      <c r="M122" s="39" t="str">
        <f t="shared" si="8"/>
        <v/>
      </c>
      <c r="N122" s="39" t="str">
        <f t="shared" si="8"/>
        <v/>
      </c>
      <c r="O122" s="39" t="str">
        <f t="shared" si="8"/>
        <v/>
      </c>
      <c r="P122" s="39" t="str">
        <f t="shared" si="8"/>
        <v/>
      </c>
      <c r="Q122" s="39" t="str">
        <f t="shared" si="8"/>
        <v/>
      </c>
      <c r="R122" s="39" t="str">
        <f t="shared" si="8"/>
        <v/>
      </c>
      <c r="S122" s="39" t="str">
        <f t="shared" si="8"/>
        <v/>
      </c>
      <c r="T122" s="39" t="str">
        <f t="shared" si="8"/>
        <v/>
      </c>
      <c r="U122" s="39" t="str">
        <f t="shared" si="8"/>
        <v/>
      </c>
      <c r="V122" s="39" t="str">
        <f t="shared" si="8"/>
        <v/>
      </c>
    </row>
    <row r="123" spans="1:22" x14ac:dyDescent="0.3">
      <c r="A123" s="38"/>
      <c r="B123" s="39" t="str">
        <f>IF($A123="","",SUMIFS([1]weekly_demand!$D:$D,[1]weekly_demand!$A:$A,B$1,[1]weekly_demand!$C:$C,$A123))</f>
        <v/>
      </c>
      <c r="C123" s="39" t="str">
        <f>IF($A123="","",SUMIFS([1]weekly_demand!$D:$D,[1]weekly_demand!$A:$A,C$1,[1]weekly_demand!$C:$C,$A123))</f>
        <v/>
      </c>
      <c r="D123" s="39" t="str">
        <f>IF($A123="","",SUMIFS([1]weekly_demand!$D:$D,[1]weekly_demand!$A:$A,D$1,[1]weekly_demand!$C:$C,$A123))</f>
        <v/>
      </c>
      <c r="E123" s="39" t="str">
        <f>IF($A123="","",SUMIFS([1]weekly_demand!$D:$D,[1]weekly_demand!$A:$A,E$1,[1]weekly_demand!$C:$C,$A123))</f>
        <v/>
      </c>
      <c r="F123" s="39" t="str">
        <f>IF($A123="","",SUMIFS([1]weekly_demand!$D:$D,[1]weekly_demand!$A:$A,F$1,[1]weekly_demand!$C:$C,$A123))</f>
        <v/>
      </c>
      <c r="G123" s="39" t="str">
        <f>IF($A123="","",SUMIFS([1]weekly_demand!$D:$D,[1]weekly_demand!$A:$A,G$1,[1]weekly_demand!$C:$C,$A123))</f>
        <v/>
      </c>
      <c r="H123" s="39" t="str">
        <f t="shared" si="8"/>
        <v/>
      </c>
      <c r="I123" s="39" t="str">
        <f t="shared" si="8"/>
        <v/>
      </c>
      <c r="J123" s="39" t="str">
        <f t="shared" si="8"/>
        <v/>
      </c>
      <c r="K123" s="39" t="str">
        <f t="shared" si="8"/>
        <v/>
      </c>
      <c r="L123" s="39" t="str">
        <f t="shared" si="8"/>
        <v/>
      </c>
      <c r="M123" s="39" t="str">
        <f t="shared" si="8"/>
        <v/>
      </c>
      <c r="N123" s="39" t="str">
        <f t="shared" si="8"/>
        <v/>
      </c>
      <c r="O123" s="39" t="str">
        <f t="shared" si="8"/>
        <v/>
      </c>
      <c r="P123" s="39" t="str">
        <f t="shared" si="8"/>
        <v/>
      </c>
      <c r="Q123" s="39" t="str">
        <f t="shared" si="8"/>
        <v/>
      </c>
      <c r="R123" s="39" t="str">
        <f t="shared" si="8"/>
        <v/>
      </c>
      <c r="S123" s="39" t="str">
        <f t="shared" si="8"/>
        <v/>
      </c>
      <c r="T123" s="39" t="str">
        <f t="shared" si="8"/>
        <v/>
      </c>
      <c r="U123" s="39" t="str">
        <f t="shared" si="8"/>
        <v/>
      </c>
      <c r="V123" s="39" t="str">
        <f t="shared" si="8"/>
        <v/>
      </c>
    </row>
    <row r="124" spans="1:22" x14ac:dyDescent="0.3">
      <c r="A124" s="38"/>
      <c r="B124" s="39" t="str">
        <f>IF($A124="","",SUMIFS([1]weekly_demand!$D:$D,[1]weekly_demand!$A:$A,B$1,[1]weekly_demand!$C:$C,$A124))</f>
        <v/>
      </c>
      <c r="C124" s="39" t="str">
        <f>IF($A124="","",SUMIFS([1]weekly_demand!$D:$D,[1]weekly_demand!$A:$A,C$1,[1]weekly_demand!$C:$C,$A124))</f>
        <v/>
      </c>
      <c r="D124" s="39" t="str">
        <f>IF($A124="","",SUMIFS([1]weekly_demand!$D:$D,[1]weekly_demand!$A:$A,D$1,[1]weekly_demand!$C:$C,$A124))</f>
        <v/>
      </c>
      <c r="E124" s="39" t="str">
        <f>IF($A124="","",SUMIFS([1]weekly_demand!$D:$D,[1]weekly_demand!$A:$A,E$1,[1]weekly_demand!$C:$C,$A124))</f>
        <v/>
      </c>
      <c r="F124" s="39" t="str">
        <f>IF($A124="","",SUMIFS([1]weekly_demand!$D:$D,[1]weekly_demand!$A:$A,F$1,[1]weekly_demand!$C:$C,$A124))</f>
        <v/>
      </c>
      <c r="G124" s="39" t="str">
        <f>IF($A124="","",SUMIFS([1]weekly_demand!$D:$D,[1]weekly_demand!$A:$A,G$1,[1]weekly_demand!$C:$C,$A124))</f>
        <v/>
      </c>
      <c r="H124" s="39" t="str">
        <f t="shared" si="8"/>
        <v/>
      </c>
      <c r="I124" s="39" t="str">
        <f t="shared" si="8"/>
        <v/>
      </c>
      <c r="J124" s="39" t="str">
        <f t="shared" si="8"/>
        <v/>
      </c>
      <c r="K124" s="39" t="str">
        <f t="shared" si="8"/>
        <v/>
      </c>
      <c r="L124" s="39" t="str">
        <f t="shared" si="8"/>
        <v/>
      </c>
      <c r="M124" s="39" t="str">
        <f t="shared" si="8"/>
        <v/>
      </c>
      <c r="N124" s="39" t="str">
        <f t="shared" si="8"/>
        <v/>
      </c>
      <c r="O124" s="39" t="str">
        <f t="shared" si="8"/>
        <v/>
      </c>
      <c r="P124" s="39" t="str">
        <f t="shared" si="8"/>
        <v/>
      </c>
      <c r="Q124" s="39" t="str">
        <f t="shared" si="8"/>
        <v/>
      </c>
      <c r="R124" s="39" t="str">
        <f t="shared" si="8"/>
        <v/>
      </c>
      <c r="S124" s="39" t="str">
        <f t="shared" si="8"/>
        <v/>
      </c>
      <c r="T124" s="39" t="str">
        <f t="shared" si="8"/>
        <v/>
      </c>
      <c r="U124" s="39" t="str">
        <f t="shared" si="8"/>
        <v/>
      </c>
      <c r="V124" s="39" t="str">
        <f t="shared" si="8"/>
        <v/>
      </c>
    </row>
    <row r="125" spans="1:22" x14ac:dyDescent="0.3">
      <c r="A125" s="38"/>
      <c r="B125" s="39" t="str">
        <f>IF($A125="","",SUMIFS([1]weekly_demand!$D:$D,[1]weekly_demand!$A:$A,B$1,[1]weekly_demand!$C:$C,$A125))</f>
        <v/>
      </c>
      <c r="C125" s="39" t="str">
        <f>IF($A125="","",SUMIFS([1]weekly_demand!$D:$D,[1]weekly_demand!$A:$A,C$1,[1]weekly_demand!$C:$C,$A125))</f>
        <v/>
      </c>
      <c r="D125" s="39" t="str">
        <f>IF($A125="","",SUMIFS([1]weekly_demand!$D:$D,[1]weekly_demand!$A:$A,D$1,[1]weekly_demand!$C:$C,$A125))</f>
        <v/>
      </c>
      <c r="E125" s="39" t="str">
        <f>IF($A125="","",SUMIFS([1]weekly_demand!$D:$D,[1]weekly_demand!$A:$A,E$1,[1]weekly_demand!$C:$C,$A125))</f>
        <v/>
      </c>
      <c r="F125" s="39" t="str">
        <f>IF($A125="","",SUMIFS([1]weekly_demand!$D:$D,[1]weekly_demand!$A:$A,F$1,[1]weekly_demand!$C:$C,$A125))</f>
        <v/>
      </c>
      <c r="G125" s="39" t="str">
        <f>IF($A125="","",SUMIFS([1]weekly_demand!$D:$D,[1]weekly_demand!$A:$A,G$1,[1]weekly_demand!$C:$C,$A125))</f>
        <v/>
      </c>
      <c r="H125" s="39" t="str">
        <f t="shared" si="8"/>
        <v/>
      </c>
      <c r="I125" s="39" t="str">
        <f t="shared" si="8"/>
        <v/>
      </c>
      <c r="J125" s="39" t="str">
        <f t="shared" si="8"/>
        <v/>
      </c>
      <c r="K125" s="39" t="str">
        <f t="shared" si="8"/>
        <v/>
      </c>
      <c r="L125" s="39" t="str">
        <f t="shared" si="8"/>
        <v/>
      </c>
      <c r="M125" s="39" t="str">
        <f t="shared" si="8"/>
        <v/>
      </c>
      <c r="N125" s="39" t="str">
        <f t="shared" si="8"/>
        <v/>
      </c>
      <c r="O125" s="39" t="str">
        <f t="shared" si="8"/>
        <v/>
      </c>
      <c r="P125" s="39" t="str">
        <f t="shared" si="8"/>
        <v/>
      </c>
      <c r="Q125" s="39" t="str">
        <f t="shared" si="8"/>
        <v/>
      </c>
      <c r="R125" s="39" t="str">
        <f t="shared" si="8"/>
        <v/>
      </c>
      <c r="S125" s="39" t="str">
        <f t="shared" si="8"/>
        <v/>
      </c>
      <c r="T125" s="39" t="str">
        <f t="shared" si="8"/>
        <v/>
      </c>
      <c r="U125" s="39" t="str">
        <f t="shared" si="8"/>
        <v/>
      </c>
      <c r="V125" s="39" t="str">
        <f t="shared" si="8"/>
        <v/>
      </c>
    </row>
    <row r="126" spans="1:22" x14ac:dyDescent="0.3">
      <c r="A126" s="38"/>
      <c r="B126" s="39" t="str">
        <f>IF($A126="","",SUMIFS([1]weekly_demand!$D:$D,[1]weekly_demand!$A:$A,B$1,[1]weekly_demand!$C:$C,$A126))</f>
        <v/>
      </c>
      <c r="C126" s="39" t="str">
        <f>IF($A126="","",SUMIFS([1]weekly_demand!$D:$D,[1]weekly_demand!$A:$A,C$1,[1]weekly_demand!$C:$C,$A126))</f>
        <v/>
      </c>
      <c r="D126" s="39" t="str">
        <f>IF($A126="","",SUMIFS([1]weekly_demand!$D:$D,[1]weekly_demand!$A:$A,D$1,[1]weekly_demand!$C:$C,$A126))</f>
        <v/>
      </c>
      <c r="E126" s="39" t="str">
        <f>IF($A126="","",SUMIFS([1]weekly_demand!$D:$D,[1]weekly_demand!$A:$A,E$1,[1]weekly_demand!$C:$C,$A126))</f>
        <v/>
      </c>
      <c r="F126" s="39" t="str">
        <f>IF($A126="","",SUMIFS([1]weekly_demand!$D:$D,[1]weekly_demand!$A:$A,F$1,[1]weekly_demand!$C:$C,$A126))</f>
        <v/>
      </c>
      <c r="G126" s="39" t="str">
        <f>IF($A126="","",SUMIFS([1]weekly_demand!$D:$D,[1]weekly_demand!$A:$A,G$1,[1]weekly_demand!$C:$C,$A126))</f>
        <v/>
      </c>
      <c r="H126" s="39" t="str">
        <f t="shared" si="8"/>
        <v/>
      </c>
      <c r="I126" s="39" t="str">
        <f t="shared" si="8"/>
        <v/>
      </c>
      <c r="J126" s="39" t="str">
        <f t="shared" si="8"/>
        <v/>
      </c>
      <c r="K126" s="39" t="str">
        <f t="shared" si="8"/>
        <v/>
      </c>
      <c r="L126" s="39" t="str">
        <f t="shared" si="8"/>
        <v/>
      </c>
      <c r="M126" s="39" t="str">
        <f t="shared" si="8"/>
        <v/>
      </c>
      <c r="N126" s="39" t="str">
        <f t="shared" si="8"/>
        <v/>
      </c>
      <c r="O126" s="39" t="str">
        <f t="shared" si="8"/>
        <v/>
      </c>
      <c r="P126" s="39" t="str">
        <f t="shared" si="8"/>
        <v/>
      </c>
      <c r="Q126" s="39" t="str">
        <f t="shared" si="8"/>
        <v/>
      </c>
      <c r="R126" s="39" t="str">
        <f t="shared" si="8"/>
        <v/>
      </c>
      <c r="S126" s="39" t="str">
        <f t="shared" si="8"/>
        <v/>
      </c>
      <c r="T126" s="39" t="str">
        <f t="shared" si="8"/>
        <v/>
      </c>
      <c r="U126" s="39" t="str">
        <f t="shared" si="8"/>
        <v/>
      </c>
      <c r="V126" s="39" t="str">
        <f t="shared" si="8"/>
        <v/>
      </c>
    </row>
    <row r="127" spans="1:22" x14ac:dyDescent="0.3">
      <c r="A127" s="38"/>
      <c r="B127" s="39" t="str">
        <f>IF($A127="","",SUMIFS([1]weekly_demand!$D:$D,[1]weekly_demand!$A:$A,B$1,[1]weekly_demand!$C:$C,$A127))</f>
        <v/>
      </c>
      <c r="C127" s="39" t="str">
        <f>IF($A127="","",SUMIFS([1]weekly_demand!$D:$D,[1]weekly_demand!$A:$A,C$1,[1]weekly_demand!$C:$C,$A127))</f>
        <v/>
      </c>
      <c r="D127" s="39" t="str">
        <f>IF($A127="","",SUMIFS([1]weekly_demand!$D:$D,[1]weekly_demand!$A:$A,D$1,[1]weekly_demand!$C:$C,$A127))</f>
        <v/>
      </c>
      <c r="E127" s="39" t="str">
        <f>IF($A127="","",SUMIFS([1]weekly_demand!$D:$D,[1]weekly_demand!$A:$A,E$1,[1]weekly_demand!$C:$C,$A127))</f>
        <v/>
      </c>
      <c r="F127" s="39" t="str">
        <f>IF($A127="","",SUMIFS([1]weekly_demand!$D:$D,[1]weekly_demand!$A:$A,F$1,[1]weekly_demand!$C:$C,$A127))</f>
        <v/>
      </c>
      <c r="G127" s="39" t="str">
        <f>IF($A127="","",SUMIFS([1]weekly_demand!$D:$D,[1]weekly_demand!$A:$A,G$1,[1]weekly_demand!$C:$C,$A127))</f>
        <v/>
      </c>
      <c r="H127" s="39" t="str">
        <f t="shared" si="8"/>
        <v/>
      </c>
      <c r="I127" s="39" t="str">
        <f t="shared" si="8"/>
        <v/>
      </c>
      <c r="J127" s="39" t="str">
        <f t="shared" si="8"/>
        <v/>
      </c>
      <c r="K127" s="39" t="str">
        <f t="shared" si="8"/>
        <v/>
      </c>
      <c r="L127" s="39" t="str">
        <f t="shared" si="8"/>
        <v/>
      </c>
      <c r="M127" s="39" t="str">
        <f t="shared" si="8"/>
        <v/>
      </c>
      <c r="N127" s="39" t="str">
        <f t="shared" si="8"/>
        <v/>
      </c>
      <c r="O127" s="39" t="str">
        <f t="shared" si="8"/>
        <v/>
      </c>
      <c r="P127" s="39" t="str">
        <f t="shared" si="8"/>
        <v/>
      </c>
      <c r="Q127" s="39" t="str">
        <f t="shared" si="8"/>
        <v/>
      </c>
      <c r="R127" s="39" t="str">
        <f t="shared" si="8"/>
        <v/>
      </c>
      <c r="S127" s="39" t="str">
        <f t="shared" si="8"/>
        <v/>
      </c>
      <c r="T127" s="39" t="str">
        <f t="shared" si="8"/>
        <v/>
      </c>
      <c r="U127" s="39" t="str">
        <f t="shared" si="8"/>
        <v/>
      </c>
      <c r="V127" s="39" t="str">
        <f t="shared" si="8"/>
        <v/>
      </c>
    </row>
    <row r="128" spans="1:22" x14ac:dyDescent="0.3">
      <c r="A128" s="38"/>
      <c r="B128" s="39" t="str">
        <f>IF($A128="","",SUMIFS([1]weekly_demand!$D:$D,[1]weekly_demand!$A:$A,B$1,[1]weekly_demand!$C:$C,$A128))</f>
        <v/>
      </c>
      <c r="C128" s="39" t="str">
        <f>IF($A128="","",SUMIFS([1]weekly_demand!$D:$D,[1]weekly_demand!$A:$A,C$1,[1]weekly_demand!$C:$C,$A128))</f>
        <v/>
      </c>
      <c r="D128" s="39" t="str">
        <f>IF($A128="","",SUMIFS([1]weekly_demand!$D:$D,[1]weekly_demand!$A:$A,D$1,[1]weekly_demand!$C:$C,$A128))</f>
        <v/>
      </c>
      <c r="E128" s="39" t="str">
        <f>IF($A128="","",SUMIFS([1]weekly_demand!$D:$D,[1]weekly_demand!$A:$A,E$1,[1]weekly_demand!$C:$C,$A128))</f>
        <v/>
      </c>
      <c r="F128" s="39" t="str">
        <f>IF($A128="","",SUMIFS([1]weekly_demand!$D:$D,[1]weekly_demand!$A:$A,F$1,[1]weekly_demand!$C:$C,$A128))</f>
        <v/>
      </c>
      <c r="G128" s="39" t="str">
        <f>IF($A128="","",SUMIFS([1]weekly_demand!$D:$D,[1]weekly_demand!$A:$A,G$1,[1]weekly_demand!$C:$C,$A128))</f>
        <v/>
      </c>
      <c r="H128" s="39" t="str">
        <f t="shared" si="8"/>
        <v/>
      </c>
      <c r="I128" s="39" t="str">
        <f t="shared" si="8"/>
        <v/>
      </c>
      <c r="J128" s="39" t="str">
        <f t="shared" si="8"/>
        <v/>
      </c>
      <c r="K128" s="39" t="str">
        <f t="shared" si="8"/>
        <v/>
      </c>
      <c r="L128" s="39" t="str">
        <f t="shared" si="8"/>
        <v/>
      </c>
      <c r="M128" s="39" t="str">
        <f t="shared" si="8"/>
        <v/>
      </c>
      <c r="N128" s="39" t="str">
        <f t="shared" si="8"/>
        <v/>
      </c>
      <c r="O128" s="39" t="str">
        <f t="shared" si="8"/>
        <v/>
      </c>
      <c r="P128" s="39" t="str">
        <f t="shared" si="8"/>
        <v/>
      </c>
      <c r="Q128" s="39" t="str">
        <f t="shared" si="8"/>
        <v/>
      </c>
      <c r="R128" s="39" t="str">
        <f t="shared" si="8"/>
        <v/>
      </c>
      <c r="S128" s="39" t="str">
        <f t="shared" si="8"/>
        <v/>
      </c>
      <c r="T128" s="39" t="str">
        <f t="shared" si="8"/>
        <v/>
      </c>
      <c r="U128" s="39" t="str">
        <f t="shared" si="8"/>
        <v/>
      </c>
      <c r="V128" s="39" t="str">
        <f t="shared" si="8"/>
        <v/>
      </c>
    </row>
    <row r="129" spans="1:22" x14ac:dyDescent="0.3">
      <c r="A129" s="38"/>
      <c r="B129" s="39" t="str">
        <f>IF($A129="","",SUMIFS([1]weekly_demand!$D:$D,[1]weekly_demand!$A:$A,B$1,[1]weekly_demand!$C:$C,$A129))</f>
        <v/>
      </c>
      <c r="C129" s="39" t="str">
        <f>IF($A129="","",SUMIFS([1]weekly_demand!$D:$D,[1]weekly_demand!$A:$A,C$1,[1]weekly_demand!$C:$C,$A129))</f>
        <v/>
      </c>
      <c r="D129" s="39" t="str">
        <f>IF($A129="","",SUMIFS([1]weekly_demand!$D:$D,[1]weekly_demand!$A:$A,D$1,[1]weekly_demand!$C:$C,$A129))</f>
        <v/>
      </c>
      <c r="E129" s="39" t="str">
        <f>IF($A129="","",SUMIFS([1]weekly_demand!$D:$D,[1]weekly_demand!$A:$A,E$1,[1]weekly_demand!$C:$C,$A129))</f>
        <v/>
      </c>
      <c r="F129" s="39" t="str">
        <f>IF($A129="","",SUMIFS([1]weekly_demand!$D:$D,[1]weekly_demand!$A:$A,F$1,[1]weekly_demand!$C:$C,$A129))</f>
        <v/>
      </c>
      <c r="G129" s="39" t="str">
        <f>IF($A129="","",SUMIFS([1]weekly_demand!$D:$D,[1]weekly_demand!$A:$A,G$1,[1]weekly_demand!$C:$C,$A129))</f>
        <v/>
      </c>
      <c r="H129" s="39" t="str">
        <f t="shared" si="8"/>
        <v/>
      </c>
      <c r="I129" s="39" t="str">
        <f t="shared" si="8"/>
        <v/>
      </c>
      <c r="J129" s="39" t="str">
        <f t="shared" si="8"/>
        <v/>
      </c>
      <c r="K129" s="39" t="str">
        <f t="shared" si="8"/>
        <v/>
      </c>
      <c r="L129" s="39" t="str">
        <f t="shared" si="8"/>
        <v/>
      </c>
      <c r="M129" s="39" t="str">
        <f t="shared" si="8"/>
        <v/>
      </c>
      <c r="N129" s="39" t="str">
        <f t="shared" si="8"/>
        <v/>
      </c>
      <c r="O129" s="39" t="str">
        <f t="shared" si="8"/>
        <v/>
      </c>
      <c r="P129" s="39" t="str">
        <f t="shared" si="8"/>
        <v/>
      </c>
      <c r="Q129" s="39" t="str">
        <f t="shared" si="8"/>
        <v/>
      </c>
      <c r="R129" s="39" t="str">
        <f t="shared" si="8"/>
        <v/>
      </c>
      <c r="S129" s="39" t="str">
        <f t="shared" si="8"/>
        <v/>
      </c>
      <c r="T129" s="39" t="str">
        <f t="shared" si="8"/>
        <v/>
      </c>
      <c r="U129" s="39" t="str">
        <f t="shared" si="8"/>
        <v/>
      </c>
      <c r="V129" s="39" t="str">
        <f t="shared" si="8"/>
        <v/>
      </c>
    </row>
    <row r="130" spans="1:22" x14ac:dyDescent="0.3">
      <c r="A130" s="38"/>
      <c r="B130" s="39" t="str">
        <f>IF($A130="","",SUMIFS([1]weekly_demand!$D:$D,[1]weekly_demand!$A:$A,B$1,[1]weekly_demand!$C:$C,$A130))</f>
        <v/>
      </c>
      <c r="C130" s="39" t="str">
        <f>IF($A130="","",SUMIFS([1]weekly_demand!$D:$D,[1]weekly_demand!$A:$A,C$1,[1]weekly_demand!$C:$C,$A130))</f>
        <v/>
      </c>
      <c r="D130" s="39" t="str">
        <f>IF($A130="","",SUMIFS([1]weekly_demand!$D:$D,[1]weekly_demand!$A:$A,D$1,[1]weekly_demand!$C:$C,$A130))</f>
        <v/>
      </c>
      <c r="E130" s="39" t="str">
        <f>IF($A130="","",SUMIFS([1]weekly_demand!$D:$D,[1]weekly_demand!$A:$A,E$1,[1]weekly_demand!$C:$C,$A130))</f>
        <v/>
      </c>
      <c r="F130" s="39" t="str">
        <f>IF($A130="","",SUMIFS([1]weekly_demand!$D:$D,[1]weekly_demand!$A:$A,F$1,[1]weekly_demand!$C:$C,$A130))</f>
        <v/>
      </c>
      <c r="G130" s="39" t="str">
        <f>IF($A130="","",SUMIFS([1]weekly_demand!$D:$D,[1]weekly_demand!$A:$A,G$1,[1]weekly_demand!$C:$C,$A130))</f>
        <v/>
      </c>
      <c r="H130" s="39" t="str">
        <f t="shared" ref="H130:V145" si="9">IF($A130="","",SUMPRODUCT($B130:$G130,INDEX($Y$2:$AD$16,MATCH(H$1,$X$2:$X$16,0),0)))</f>
        <v/>
      </c>
      <c r="I130" s="39" t="str">
        <f t="shared" si="9"/>
        <v/>
      </c>
      <c r="J130" s="39" t="str">
        <f t="shared" si="9"/>
        <v/>
      </c>
      <c r="K130" s="39" t="str">
        <f t="shared" si="9"/>
        <v/>
      </c>
      <c r="L130" s="39" t="str">
        <f t="shared" si="9"/>
        <v/>
      </c>
      <c r="M130" s="39" t="str">
        <f t="shared" si="9"/>
        <v/>
      </c>
      <c r="N130" s="39" t="str">
        <f t="shared" si="9"/>
        <v/>
      </c>
      <c r="O130" s="39" t="str">
        <f t="shared" si="9"/>
        <v/>
      </c>
      <c r="P130" s="39" t="str">
        <f t="shared" si="9"/>
        <v/>
      </c>
      <c r="Q130" s="39" t="str">
        <f t="shared" si="9"/>
        <v/>
      </c>
      <c r="R130" s="39" t="str">
        <f t="shared" si="9"/>
        <v/>
      </c>
      <c r="S130" s="39" t="str">
        <f t="shared" si="9"/>
        <v/>
      </c>
      <c r="T130" s="39" t="str">
        <f t="shared" si="9"/>
        <v/>
      </c>
      <c r="U130" s="39" t="str">
        <f t="shared" si="9"/>
        <v/>
      </c>
      <c r="V130" s="39" t="str">
        <f t="shared" si="9"/>
        <v/>
      </c>
    </row>
    <row r="131" spans="1:22" x14ac:dyDescent="0.3">
      <c r="A131" s="38"/>
      <c r="B131" s="39" t="str">
        <f>IF($A131="","",SUMIFS([1]weekly_demand!$D:$D,[1]weekly_demand!$A:$A,B$1,[1]weekly_demand!$C:$C,$A131))</f>
        <v/>
      </c>
      <c r="C131" s="39" t="str">
        <f>IF($A131="","",SUMIFS([1]weekly_demand!$D:$D,[1]weekly_demand!$A:$A,C$1,[1]weekly_demand!$C:$C,$A131))</f>
        <v/>
      </c>
      <c r="D131" s="39" t="str">
        <f>IF($A131="","",SUMIFS([1]weekly_demand!$D:$D,[1]weekly_demand!$A:$A,D$1,[1]weekly_demand!$C:$C,$A131))</f>
        <v/>
      </c>
      <c r="E131" s="39" t="str">
        <f>IF($A131="","",SUMIFS([1]weekly_demand!$D:$D,[1]weekly_demand!$A:$A,E$1,[1]weekly_demand!$C:$C,$A131))</f>
        <v/>
      </c>
      <c r="F131" s="39" t="str">
        <f>IF($A131="","",SUMIFS([1]weekly_demand!$D:$D,[1]weekly_demand!$A:$A,F$1,[1]weekly_demand!$C:$C,$A131))</f>
        <v/>
      </c>
      <c r="G131" s="39" t="str">
        <f>IF($A131="","",SUMIFS([1]weekly_demand!$D:$D,[1]weekly_demand!$A:$A,G$1,[1]weekly_demand!$C:$C,$A131))</f>
        <v/>
      </c>
      <c r="H131" s="39" t="str">
        <f t="shared" si="9"/>
        <v/>
      </c>
      <c r="I131" s="39" t="str">
        <f t="shared" si="9"/>
        <v/>
      </c>
      <c r="J131" s="39" t="str">
        <f t="shared" si="9"/>
        <v/>
      </c>
      <c r="K131" s="39" t="str">
        <f t="shared" si="9"/>
        <v/>
      </c>
      <c r="L131" s="39" t="str">
        <f t="shared" si="9"/>
        <v/>
      </c>
      <c r="M131" s="39" t="str">
        <f t="shared" si="9"/>
        <v/>
      </c>
      <c r="N131" s="39" t="str">
        <f t="shared" si="9"/>
        <v/>
      </c>
      <c r="O131" s="39" t="str">
        <f t="shared" si="9"/>
        <v/>
      </c>
      <c r="P131" s="39" t="str">
        <f t="shared" si="9"/>
        <v/>
      </c>
      <c r="Q131" s="39" t="str">
        <f t="shared" si="9"/>
        <v/>
      </c>
      <c r="R131" s="39" t="str">
        <f t="shared" si="9"/>
        <v/>
      </c>
      <c r="S131" s="39" t="str">
        <f t="shared" si="9"/>
        <v/>
      </c>
      <c r="T131" s="39" t="str">
        <f t="shared" si="9"/>
        <v/>
      </c>
      <c r="U131" s="39" t="str">
        <f t="shared" si="9"/>
        <v/>
      </c>
      <c r="V131" s="39" t="str">
        <f t="shared" si="9"/>
        <v/>
      </c>
    </row>
    <row r="132" spans="1:22" x14ac:dyDescent="0.3">
      <c r="A132" s="38"/>
      <c r="B132" s="39" t="str">
        <f>IF($A132="","",SUMIFS([1]weekly_demand!$D:$D,[1]weekly_demand!$A:$A,B$1,[1]weekly_demand!$C:$C,$A132))</f>
        <v/>
      </c>
      <c r="C132" s="39" t="str">
        <f>IF($A132="","",SUMIFS([1]weekly_demand!$D:$D,[1]weekly_demand!$A:$A,C$1,[1]weekly_demand!$C:$C,$A132))</f>
        <v/>
      </c>
      <c r="D132" s="39" t="str">
        <f>IF($A132="","",SUMIFS([1]weekly_demand!$D:$D,[1]weekly_demand!$A:$A,D$1,[1]weekly_demand!$C:$C,$A132))</f>
        <v/>
      </c>
      <c r="E132" s="39" t="str">
        <f>IF($A132="","",SUMIFS([1]weekly_demand!$D:$D,[1]weekly_demand!$A:$A,E$1,[1]weekly_demand!$C:$C,$A132))</f>
        <v/>
      </c>
      <c r="F132" s="39" t="str">
        <f>IF($A132="","",SUMIFS([1]weekly_demand!$D:$D,[1]weekly_demand!$A:$A,F$1,[1]weekly_demand!$C:$C,$A132))</f>
        <v/>
      </c>
      <c r="G132" s="39" t="str">
        <f>IF($A132="","",SUMIFS([1]weekly_demand!$D:$D,[1]weekly_demand!$A:$A,G$1,[1]weekly_demand!$C:$C,$A132))</f>
        <v/>
      </c>
      <c r="H132" s="39" t="str">
        <f t="shared" si="9"/>
        <v/>
      </c>
      <c r="I132" s="39" t="str">
        <f t="shared" si="9"/>
        <v/>
      </c>
      <c r="J132" s="39" t="str">
        <f t="shared" si="9"/>
        <v/>
      </c>
      <c r="K132" s="39" t="str">
        <f t="shared" si="9"/>
        <v/>
      </c>
      <c r="L132" s="39" t="str">
        <f t="shared" si="9"/>
        <v/>
      </c>
      <c r="M132" s="39" t="str">
        <f t="shared" si="9"/>
        <v/>
      </c>
      <c r="N132" s="39" t="str">
        <f t="shared" si="9"/>
        <v/>
      </c>
      <c r="O132" s="39" t="str">
        <f t="shared" si="9"/>
        <v/>
      </c>
      <c r="P132" s="39" t="str">
        <f t="shared" si="9"/>
        <v/>
      </c>
      <c r="Q132" s="39" t="str">
        <f t="shared" si="9"/>
        <v/>
      </c>
      <c r="R132" s="39" t="str">
        <f t="shared" si="9"/>
        <v/>
      </c>
      <c r="S132" s="39" t="str">
        <f t="shared" si="9"/>
        <v/>
      </c>
      <c r="T132" s="39" t="str">
        <f t="shared" si="9"/>
        <v/>
      </c>
      <c r="U132" s="39" t="str">
        <f t="shared" si="9"/>
        <v/>
      </c>
      <c r="V132" s="39" t="str">
        <f t="shared" si="9"/>
        <v/>
      </c>
    </row>
    <row r="133" spans="1:22" x14ac:dyDescent="0.3">
      <c r="A133" s="38"/>
      <c r="B133" s="39" t="str">
        <f>IF($A133="","",SUMIFS([1]weekly_demand!$D:$D,[1]weekly_demand!$A:$A,B$1,[1]weekly_demand!$C:$C,$A133))</f>
        <v/>
      </c>
      <c r="C133" s="39" t="str">
        <f>IF($A133="","",SUMIFS([1]weekly_demand!$D:$D,[1]weekly_demand!$A:$A,C$1,[1]weekly_demand!$C:$C,$A133))</f>
        <v/>
      </c>
      <c r="D133" s="39" t="str">
        <f>IF($A133="","",SUMIFS([1]weekly_demand!$D:$D,[1]weekly_demand!$A:$A,D$1,[1]weekly_demand!$C:$C,$A133))</f>
        <v/>
      </c>
      <c r="E133" s="39" t="str">
        <f>IF($A133="","",SUMIFS([1]weekly_demand!$D:$D,[1]weekly_demand!$A:$A,E$1,[1]weekly_demand!$C:$C,$A133))</f>
        <v/>
      </c>
      <c r="F133" s="39" t="str">
        <f>IF($A133="","",SUMIFS([1]weekly_demand!$D:$D,[1]weekly_demand!$A:$A,F$1,[1]weekly_demand!$C:$C,$A133))</f>
        <v/>
      </c>
      <c r="G133" s="39" t="str">
        <f>IF($A133="","",SUMIFS([1]weekly_demand!$D:$D,[1]weekly_demand!$A:$A,G$1,[1]weekly_demand!$C:$C,$A133))</f>
        <v/>
      </c>
      <c r="H133" s="39" t="str">
        <f t="shared" si="9"/>
        <v/>
      </c>
      <c r="I133" s="39" t="str">
        <f t="shared" si="9"/>
        <v/>
      </c>
      <c r="J133" s="39" t="str">
        <f t="shared" si="9"/>
        <v/>
      </c>
      <c r="K133" s="39" t="str">
        <f t="shared" si="9"/>
        <v/>
      </c>
      <c r="L133" s="39" t="str">
        <f t="shared" si="9"/>
        <v/>
      </c>
      <c r="M133" s="39" t="str">
        <f t="shared" si="9"/>
        <v/>
      </c>
      <c r="N133" s="39" t="str">
        <f t="shared" si="9"/>
        <v/>
      </c>
      <c r="O133" s="39" t="str">
        <f t="shared" si="9"/>
        <v/>
      </c>
      <c r="P133" s="39" t="str">
        <f t="shared" si="9"/>
        <v/>
      </c>
      <c r="Q133" s="39" t="str">
        <f t="shared" si="9"/>
        <v/>
      </c>
      <c r="R133" s="39" t="str">
        <f t="shared" si="9"/>
        <v/>
      </c>
      <c r="S133" s="39" t="str">
        <f t="shared" si="9"/>
        <v/>
      </c>
      <c r="T133" s="39" t="str">
        <f t="shared" si="9"/>
        <v/>
      </c>
      <c r="U133" s="39" t="str">
        <f t="shared" si="9"/>
        <v/>
      </c>
      <c r="V133" s="39" t="str">
        <f t="shared" si="9"/>
        <v/>
      </c>
    </row>
    <row r="134" spans="1:22" x14ac:dyDescent="0.3">
      <c r="A134" s="38"/>
      <c r="B134" s="39" t="str">
        <f>IF($A134="","",SUMIFS([1]weekly_demand!$D:$D,[1]weekly_demand!$A:$A,B$1,[1]weekly_demand!$C:$C,$A134))</f>
        <v/>
      </c>
      <c r="C134" s="39" t="str">
        <f>IF($A134="","",SUMIFS([1]weekly_demand!$D:$D,[1]weekly_demand!$A:$A,C$1,[1]weekly_demand!$C:$C,$A134))</f>
        <v/>
      </c>
      <c r="D134" s="39" t="str">
        <f>IF($A134="","",SUMIFS([1]weekly_demand!$D:$D,[1]weekly_demand!$A:$A,D$1,[1]weekly_demand!$C:$C,$A134))</f>
        <v/>
      </c>
      <c r="E134" s="39" t="str">
        <f>IF($A134="","",SUMIFS([1]weekly_demand!$D:$D,[1]weekly_demand!$A:$A,E$1,[1]weekly_demand!$C:$C,$A134))</f>
        <v/>
      </c>
      <c r="F134" s="39" t="str">
        <f>IF($A134="","",SUMIFS([1]weekly_demand!$D:$D,[1]weekly_demand!$A:$A,F$1,[1]weekly_demand!$C:$C,$A134))</f>
        <v/>
      </c>
      <c r="G134" s="39" t="str">
        <f>IF($A134="","",SUMIFS([1]weekly_demand!$D:$D,[1]weekly_demand!$A:$A,G$1,[1]weekly_demand!$C:$C,$A134))</f>
        <v/>
      </c>
      <c r="H134" s="39" t="str">
        <f t="shared" si="9"/>
        <v/>
      </c>
      <c r="I134" s="39" t="str">
        <f t="shared" si="9"/>
        <v/>
      </c>
      <c r="J134" s="39" t="str">
        <f t="shared" si="9"/>
        <v/>
      </c>
      <c r="K134" s="39" t="str">
        <f t="shared" si="9"/>
        <v/>
      </c>
      <c r="L134" s="39" t="str">
        <f t="shared" si="9"/>
        <v/>
      </c>
      <c r="M134" s="39" t="str">
        <f t="shared" si="9"/>
        <v/>
      </c>
      <c r="N134" s="39" t="str">
        <f t="shared" si="9"/>
        <v/>
      </c>
      <c r="O134" s="39" t="str">
        <f t="shared" si="9"/>
        <v/>
      </c>
      <c r="P134" s="39" t="str">
        <f t="shared" si="9"/>
        <v/>
      </c>
      <c r="Q134" s="39" t="str">
        <f t="shared" si="9"/>
        <v/>
      </c>
      <c r="R134" s="39" t="str">
        <f t="shared" si="9"/>
        <v/>
      </c>
      <c r="S134" s="39" t="str">
        <f t="shared" si="9"/>
        <v/>
      </c>
      <c r="T134" s="39" t="str">
        <f t="shared" si="9"/>
        <v/>
      </c>
      <c r="U134" s="39" t="str">
        <f t="shared" si="9"/>
        <v/>
      </c>
      <c r="V134" s="39" t="str">
        <f t="shared" si="9"/>
        <v/>
      </c>
    </row>
    <row r="135" spans="1:22" x14ac:dyDescent="0.3">
      <c r="A135" s="38"/>
      <c r="B135" s="39" t="str">
        <f>IF($A135="","",SUMIFS([1]weekly_demand!$D:$D,[1]weekly_demand!$A:$A,B$1,[1]weekly_demand!$C:$C,$A135))</f>
        <v/>
      </c>
      <c r="C135" s="39" t="str">
        <f>IF($A135="","",SUMIFS([1]weekly_demand!$D:$D,[1]weekly_demand!$A:$A,C$1,[1]weekly_demand!$C:$C,$A135))</f>
        <v/>
      </c>
      <c r="D135" s="39" t="str">
        <f>IF($A135="","",SUMIFS([1]weekly_demand!$D:$D,[1]weekly_demand!$A:$A,D$1,[1]weekly_demand!$C:$C,$A135))</f>
        <v/>
      </c>
      <c r="E135" s="39" t="str">
        <f>IF($A135="","",SUMIFS([1]weekly_demand!$D:$D,[1]weekly_demand!$A:$A,E$1,[1]weekly_demand!$C:$C,$A135))</f>
        <v/>
      </c>
      <c r="F135" s="39" t="str">
        <f>IF($A135="","",SUMIFS([1]weekly_demand!$D:$D,[1]weekly_demand!$A:$A,F$1,[1]weekly_demand!$C:$C,$A135))</f>
        <v/>
      </c>
      <c r="G135" s="39" t="str">
        <f>IF($A135="","",SUMIFS([1]weekly_demand!$D:$D,[1]weekly_demand!$A:$A,G$1,[1]weekly_demand!$C:$C,$A135))</f>
        <v/>
      </c>
      <c r="H135" s="39" t="str">
        <f t="shared" si="9"/>
        <v/>
      </c>
      <c r="I135" s="39" t="str">
        <f t="shared" si="9"/>
        <v/>
      </c>
      <c r="J135" s="39" t="str">
        <f t="shared" si="9"/>
        <v/>
      </c>
      <c r="K135" s="39" t="str">
        <f t="shared" si="9"/>
        <v/>
      </c>
      <c r="L135" s="39" t="str">
        <f t="shared" si="9"/>
        <v/>
      </c>
      <c r="M135" s="39" t="str">
        <f t="shared" si="9"/>
        <v/>
      </c>
      <c r="N135" s="39" t="str">
        <f t="shared" si="9"/>
        <v/>
      </c>
      <c r="O135" s="39" t="str">
        <f t="shared" si="9"/>
        <v/>
      </c>
      <c r="P135" s="39" t="str">
        <f t="shared" si="9"/>
        <v/>
      </c>
      <c r="Q135" s="39" t="str">
        <f t="shared" si="9"/>
        <v/>
      </c>
      <c r="R135" s="39" t="str">
        <f t="shared" si="9"/>
        <v/>
      </c>
      <c r="S135" s="39" t="str">
        <f t="shared" si="9"/>
        <v/>
      </c>
      <c r="T135" s="39" t="str">
        <f t="shared" si="9"/>
        <v/>
      </c>
      <c r="U135" s="39" t="str">
        <f t="shared" si="9"/>
        <v/>
      </c>
      <c r="V135" s="39" t="str">
        <f t="shared" si="9"/>
        <v/>
      </c>
    </row>
    <row r="136" spans="1:22" x14ac:dyDescent="0.3">
      <c r="A136" s="38"/>
      <c r="B136" s="39" t="str">
        <f>IF($A136="","",SUMIFS([1]weekly_demand!$D:$D,[1]weekly_demand!$A:$A,B$1,[1]weekly_demand!$C:$C,$A136))</f>
        <v/>
      </c>
      <c r="C136" s="39" t="str">
        <f>IF($A136="","",SUMIFS([1]weekly_demand!$D:$D,[1]weekly_demand!$A:$A,C$1,[1]weekly_demand!$C:$C,$A136))</f>
        <v/>
      </c>
      <c r="D136" s="39" t="str">
        <f>IF($A136="","",SUMIFS([1]weekly_demand!$D:$D,[1]weekly_demand!$A:$A,D$1,[1]weekly_demand!$C:$C,$A136))</f>
        <v/>
      </c>
      <c r="E136" s="39" t="str">
        <f>IF($A136="","",SUMIFS([1]weekly_demand!$D:$D,[1]weekly_demand!$A:$A,E$1,[1]weekly_demand!$C:$C,$A136))</f>
        <v/>
      </c>
      <c r="F136" s="39" t="str">
        <f>IF($A136="","",SUMIFS([1]weekly_demand!$D:$D,[1]weekly_demand!$A:$A,F$1,[1]weekly_demand!$C:$C,$A136))</f>
        <v/>
      </c>
      <c r="G136" s="39" t="str">
        <f>IF($A136="","",SUMIFS([1]weekly_demand!$D:$D,[1]weekly_demand!$A:$A,G$1,[1]weekly_demand!$C:$C,$A136))</f>
        <v/>
      </c>
      <c r="H136" s="39" t="str">
        <f t="shared" si="9"/>
        <v/>
      </c>
      <c r="I136" s="39" t="str">
        <f t="shared" si="9"/>
        <v/>
      </c>
      <c r="J136" s="39" t="str">
        <f t="shared" si="9"/>
        <v/>
      </c>
      <c r="K136" s="39" t="str">
        <f t="shared" si="9"/>
        <v/>
      </c>
      <c r="L136" s="39" t="str">
        <f t="shared" si="9"/>
        <v/>
      </c>
      <c r="M136" s="39" t="str">
        <f t="shared" si="9"/>
        <v/>
      </c>
      <c r="N136" s="39" t="str">
        <f t="shared" si="9"/>
        <v/>
      </c>
      <c r="O136" s="39" t="str">
        <f t="shared" si="9"/>
        <v/>
      </c>
      <c r="P136" s="39" t="str">
        <f t="shared" si="9"/>
        <v/>
      </c>
      <c r="Q136" s="39" t="str">
        <f t="shared" si="9"/>
        <v/>
      </c>
      <c r="R136" s="39" t="str">
        <f t="shared" si="9"/>
        <v/>
      </c>
      <c r="S136" s="39" t="str">
        <f t="shared" si="9"/>
        <v/>
      </c>
      <c r="T136" s="39" t="str">
        <f t="shared" si="9"/>
        <v/>
      </c>
      <c r="U136" s="39" t="str">
        <f t="shared" si="9"/>
        <v/>
      </c>
      <c r="V136" s="39" t="str">
        <f t="shared" si="9"/>
        <v/>
      </c>
    </row>
    <row r="137" spans="1:22" x14ac:dyDescent="0.3">
      <c r="A137" s="38"/>
      <c r="B137" s="39" t="str">
        <f>IF($A137="","",SUMIFS([1]weekly_demand!$D:$D,[1]weekly_demand!$A:$A,B$1,[1]weekly_demand!$C:$C,$A137))</f>
        <v/>
      </c>
      <c r="C137" s="39" t="str">
        <f>IF($A137="","",SUMIFS([1]weekly_demand!$D:$D,[1]weekly_demand!$A:$A,C$1,[1]weekly_demand!$C:$C,$A137))</f>
        <v/>
      </c>
      <c r="D137" s="39" t="str">
        <f>IF($A137="","",SUMIFS([1]weekly_demand!$D:$D,[1]weekly_demand!$A:$A,D$1,[1]weekly_demand!$C:$C,$A137))</f>
        <v/>
      </c>
      <c r="E137" s="39" t="str">
        <f>IF($A137="","",SUMIFS([1]weekly_demand!$D:$D,[1]weekly_demand!$A:$A,E$1,[1]weekly_demand!$C:$C,$A137))</f>
        <v/>
      </c>
      <c r="F137" s="39" t="str">
        <f>IF($A137="","",SUMIFS([1]weekly_demand!$D:$D,[1]weekly_demand!$A:$A,F$1,[1]weekly_demand!$C:$C,$A137))</f>
        <v/>
      </c>
      <c r="G137" s="39" t="str">
        <f>IF($A137="","",SUMIFS([1]weekly_demand!$D:$D,[1]weekly_demand!$A:$A,G$1,[1]weekly_demand!$C:$C,$A137))</f>
        <v/>
      </c>
      <c r="H137" s="39" t="str">
        <f t="shared" si="9"/>
        <v/>
      </c>
      <c r="I137" s="39" t="str">
        <f t="shared" si="9"/>
        <v/>
      </c>
      <c r="J137" s="39" t="str">
        <f t="shared" si="9"/>
        <v/>
      </c>
      <c r="K137" s="39" t="str">
        <f t="shared" si="9"/>
        <v/>
      </c>
      <c r="L137" s="39" t="str">
        <f t="shared" si="9"/>
        <v/>
      </c>
      <c r="M137" s="39" t="str">
        <f t="shared" si="9"/>
        <v/>
      </c>
      <c r="N137" s="39" t="str">
        <f t="shared" si="9"/>
        <v/>
      </c>
      <c r="O137" s="39" t="str">
        <f t="shared" si="9"/>
        <v/>
      </c>
      <c r="P137" s="39" t="str">
        <f t="shared" si="9"/>
        <v/>
      </c>
      <c r="Q137" s="39" t="str">
        <f t="shared" si="9"/>
        <v/>
      </c>
      <c r="R137" s="39" t="str">
        <f t="shared" si="9"/>
        <v/>
      </c>
      <c r="S137" s="39" t="str">
        <f t="shared" si="9"/>
        <v/>
      </c>
      <c r="T137" s="39" t="str">
        <f t="shared" si="9"/>
        <v/>
      </c>
      <c r="U137" s="39" t="str">
        <f t="shared" si="9"/>
        <v/>
      </c>
      <c r="V137" s="39" t="str">
        <f t="shared" si="9"/>
        <v/>
      </c>
    </row>
    <row r="138" spans="1:22" x14ac:dyDescent="0.3">
      <c r="A138" s="38"/>
      <c r="B138" s="39" t="str">
        <f>IF($A138="","",SUMIFS([1]weekly_demand!$D:$D,[1]weekly_demand!$A:$A,B$1,[1]weekly_demand!$C:$C,$A138))</f>
        <v/>
      </c>
      <c r="C138" s="39" t="str">
        <f>IF($A138="","",SUMIFS([1]weekly_demand!$D:$D,[1]weekly_demand!$A:$A,C$1,[1]weekly_demand!$C:$C,$A138))</f>
        <v/>
      </c>
      <c r="D138" s="39" t="str">
        <f>IF($A138="","",SUMIFS([1]weekly_demand!$D:$D,[1]weekly_demand!$A:$A,D$1,[1]weekly_demand!$C:$C,$A138))</f>
        <v/>
      </c>
      <c r="E138" s="39" t="str">
        <f>IF($A138="","",SUMIFS([1]weekly_demand!$D:$D,[1]weekly_demand!$A:$A,E$1,[1]weekly_demand!$C:$C,$A138))</f>
        <v/>
      </c>
      <c r="F138" s="39" t="str">
        <f>IF($A138="","",SUMIFS([1]weekly_demand!$D:$D,[1]weekly_demand!$A:$A,F$1,[1]weekly_demand!$C:$C,$A138))</f>
        <v/>
      </c>
      <c r="G138" s="39" t="str">
        <f>IF($A138="","",SUMIFS([1]weekly_demand!$D:$D,[1]weekly_demand!$A:$A,G$1,[1]weekly_demand!$C:$C,$A138))</f>
        <v/>
      </c>
      <c r="H138" s="39" t="str">
        <f t="shared" si="9"/>
        <v/>
      </c>
      <c r="I138" s="39" t="str">
        <f t="shared" si="9"/>
        <v/>
      </c>
      <c r="J138" s="39" t="str">
        <f t="shared" si="9"/>
        <v/>
      </c>
      <c r="K138" s="39" t="str">
        <f t="shared" si="9"/>
        <v/>
      </c>
      <c r="L138" s="39" t="str">
        <f t="shared" si="9"/>
        <v/>
      </c>
      <c r="M138" s="39" t="str">
        <f t="shared" si="9"/>
        <v/>
      </c>
      <c r="N138" s="39" t="str">
        <f t="shared" si="9"/>
        <v/>
      </c>
      <c r="O138" s="39" t="str">
        <f t="shared" si="9"/>
        <v/>
      </c>
      <c r="P138" s="39" t="str">
        <f t="shared" si="9"/>
        <v/>
      </c>
      <c r="Q138" s="39" t="str">
        <f t="shared" si="9"/>
        <v/>
      </c>
      <c r="R138" s="39" t="str">
        <f t="shared" si="9"/>
        <v/>
      </c>
      <c r="S138" s="39" t="str">
        <f t="shared" si="9"/>
        <v/>
      </c>
      <c r="T138" s="39" t="str">
        <f t="shared" si="9"/>
        <v/>
      </c>
      <c r="U138" s="39" t="str">
        <f t="shared" si="9"/>
        <v/>
      </c>
      <c r="V138" s="39" t="str">
        <f t="shared" si="9"/>
        <v/>
      </c>
    </row>
    <row r="139" spans="1:22" x14ac:dyDescent="0.3">
      <c r="A139" s="38"/>
      <c r="B139" s="39" t="str">
        <f>IF($A139="","",SUMIFS([1]weekly_demand!$D:$D,[1]weekly_demand!$A:$A,B$1,[1]weekly_demand!$C:$C,$A139))</f>
        <v/>
      </c>
      <c r="C139" s="39" t="str">
        <f>IF($A139="","",SUMIFS([1]weekly_demand!$D:$D,[1]weekly_demand!$A:$A,C$1,[1]weekly_demand!$C:$C,$A139))</f>
        <v/>
      </c>
      <c r="D139" s="39" t="str">
        <f>IF($A139="","",SUMIFS([1]weekly_demand!$D:$D,[1]weekly_demand!$A:$A,D$1,[1]weekly_demand!$C:$C,$A139))</f>
        <v/>
      </c>
      <c r="E139" s="39" t="str">
        <f>IF($A139="","",SUMIFS([1]weekly_demand!$D:$D,[1]weekly_demand!$A:$A,E$1,[1]weekly_demand!$C:$C,$A139))</f>
        <v/>
      </c>
      <c r="F139" s="39" t="str">
        <f>IF($A139="","",SUMIFS([1]weekly_demand!$D:$D,[1]weekly_demand!$A:$A,F$1,[1]weekly_demand!$C:$C,$A139))</f>
        <v/>
      </c>
      <c r="G139" s="39" t="str">
        <f>IF($A139="","",SUMIFS([1]weekly_demand!$D:$D,[1]weekly_demand!$A:$A,G$1,[1]weekly_demand!$C:$C,$A139))</f>
        <v/>
      </c>
      <c r="H139" s="39" t="str">
        <f t="shared" si="9"/>
        <v/>
      </c>
      <c r="I139" s="39" t="str">
        <f t="shared" si="9"/>
        <v/>
      </c>
      <c r="J139" s="39" t="str">
        <f t="shared" si="9"/>
        <v/>
      </c>
      <c r="K139" s="39" t="str">
        <f t="shared" si="9"/>
        <v/>
      </c>
      <c r="L139" s="39" t="str">
        <f t="shared" si="9"/>
        <v/>
      </c>
      <c r="M139" s="39" t="str">
        <f t="shared" si="9"/>
        <v/>
      </c>
      <c r="N139" s="39" t="str">
        <f t="shared" si="9"/>
        <v/>
      </c>
      <c r="O139" s="39" t="str">
        <f t="shared" si="9"/>
        <v/>
      </c>
      <c r="P139" s="39" t="str">
        <f t="shared" si="9"/>
        <v/>
      </c>
      <c r="Q139" s="39" t="str">
        <f t="shared" si="9"/>
        <v/>
      </c>
      <c r="R139" s="39" t="str">
        <f t="shared" si="9"/>
        <v/>
      </c>
      <c r="S139" s="39" t="str">
        <f t="shared" si="9"/>
        <v/>
      </c>
      <c r="T139" s="39" t="str">
        <f t="shared" si="9"/>
        <v/>
      </c>
      <c r="U139" s="39" t="str">
        <f t="shared" si="9"/>
        <v/>
      </c>
      <c r="V139" s="39" t="str">
        <f t="shared" si="9"/>
        <v/>
      </c>
    </row>
    <row r="140" spans="1:22" x14ac:dyDescent="0.3">
      <c r="A140" s="38"/>
      <c r="B140" s="39" t="str">
        <f>IF($A140="","",SUMIFS([1]weekly_demand!$D:$D,[1]weekly_demand!$A:$A,B$1,[1]weekly_demand!$C:$C,$A140))</f>
        <v/>
      </c>
      <c r="C140" s="39" t="str">
        <f>IF($A140="","",SUMIFS([1]weekly_demand!$D:$D,[1]weekly_demand!$A:$A,C$1,[1]weekly_demand!$C:$C,$A140))</f>
        <v/>
      </c>
      <c r="D140" s="39" t="str">
        <f>IF($A140="","",SUMIFS([1]weekly_demand!$D:$D,[1]weekly_demand!$A:$A,D$1,[1]weekly_demand!$C:$C,$A140))</f>
        <v/>
      </c>
      <c r="E140" s="39" t="str">
        <f>IF($A140="","",SUMIFS([1]weekly_demand!$D:$D,[1]weekly_demand!$A:$A,E$1,[1]weekly_demand!$C:$C,$A140))</f>
        <v/>
      </c>
      <c r="F140" s="39" t="str">
        <f>IF($A140="","",SUMIFS([1]weekly_demand!$D:$D,[1]weekly_demand!$A:$A,F$1,[1]weekly_demand!$C:$C,$A140))</f>
        <v/>
      </c>
      <c r="G140" s="39" t="str">
        <f>IF($A140="","",SUMIFS([1]weekly_demand!$D:$D,[1]weekly_demand!$A:$A,G$1,[1]weekly_demand!$C:$C,$A140))</f>
        <v/>
      </c>
      <c r="H140" s="39" t="str">
        <f t="shared" si="9"/>
        <v/>
      </c>
      <c r="I140" s="39" t="str">
        <f t="shared" si="9"/>
        <v/>
      </c>
      <c r="J140" s="39" t="str">
        <f t="shared" si="9"/>
        <v/>
      </c>
      <c r="K140" s="39" t="str">
        <f t="shared" si="9"/>
        <v/>
      </c>
      <c r="L140" s="39" t="str">
        <f t="shared" si="9"/>
        <v/>
      </c>
      <c r="M140" s="39" t="str">
        <f t="shared" si="9"/>
        <v/>
      </c>
      <c r="N140" s="39" t="str">
        <f t="shared" si="9"/>
        <v/>
      </c>
      <c r="O140" s="39" t="str">
        <f t="shared" si="9"/>
        <v/>
      </c>
      <c r="P140" s="39" t="str">
        <f t="shared" si="9"/>
        <v/>
      </c>
      <c r="Q140" s="39" t="str">
        <f t="shared" si="9"/>
        <v/>
      </c>
      <c r="R140" s="39" t="str">
        <f t="shared" si="9"/>
        <v/>
      </c>
      <c r="S140" s="39" t="str">
        <f t="shared" si="9"/>
        <v/>
      </c>
      <c r="T140" s="39" t="str">
        <f t="shared" si="9"/>
        <v/>
      </c>
      <c r="U140" s="39" t="str">
        <f t="shared" si="9"/>
        <v/>
      </c>
      <c r="V140" s="39" t="str">
        <f t="shared" si="9"/>
        <v/>
      </c>
    </row>
    <row r="141" spans="1:22" x14ac:dyDescent="0.3">
      <c r="A141" s="38"/>
      <c r="B141" s="39" t="str">
        <f>IF($A141="","",SUMIFS([1]weekly_demand!$D:$D,[1]weekly_demand!$A:$A,B$1,[1]weekly_demand!$C:$C,$A141))</f>
        <v/>
      </c>
      <c r="C141" s="39" t="str">
        <f>IF($A141="","",SUMIFS([1]weekly_demand!$D:$D,[1]weekly_demand!$A:$A,C$1,[1]weekly_demand!$C:$C,$A141))</f>
        <v/>
      </c>
      <c r="D141" s="39" t="str">
        <f>IF($A141="","",SUMIFS([1]weekly_demand!$D:$D,[1]weekly_demand!$A:$A,D$1,[1]weekly_demand!$C:$C,$A141))</f>
        <v/>
      </c>
      <c r="E141" s="39" t="str">
        <f>IF($A141="","",SUMIFS([1]weekly_demand!$D:$D,[1]weekly_demand!$A:$A,E$1,[1]weekly_demand!$C:$C,$A141))</f>
        <v/>
      </c>
      <c r="F141" s="39" t="str">
        <f>IF($A141="","",SUMIFS([1]weekly_demand!$D:$D,[1]weekly_demand!$A:$A,F$1,[1]weekly_demand!$C:$C,$A141))</f>
        <v/>
      </c>
      <c r="G141" s="39" t="str">
        <f>IF($A141="","",SUMIFS([1]weekly_demand!$D:$D,[1]weekly_demand!$A:$A,G$1,[1]weekly_demand!$C:$C,$A141))</f>
        <v/>
      </c>
      <c r="H141" s="39" t="str">
        <f t="shared" si="9"/>
        <v/>
      </c>
      <c r="I141" s="39" t="str">
        <f t="shared" si="9"/>
        <v/>
      </c>
      <c r="J141" s="39" t="str">
        <f t="shared" si="9"/>
        <v/>
      </c>
      <c r="K141" s="39" t="str">
        <f t="shared" si="9"/>
        <v/>
      </c>
      <c r="L141" s="39" t="str">
        <f t="shared" si="9"/>
        <v/>
      </c>
      <c r="M141" s="39" t="str">
        <f t="shared" si="9"/>
        <v/>
      </c>
      <c r="N141" s="39" t="str">
        <f t="shared" si="9"/>
        <v/>
      </c>
      <c r="O141" s="39" t="str">
        <f t="shared" si="9"/>
        <v/>
      </c>
      <c r="P141" s="39" t="str">
        <f t="shared" si="9"/>
        <v/>
      </c>
      <c r="Q141" s="39" t="str">
        <f t="shared" si="9"/>
        <v/>
      </c>
      <c r="R141" s="39" t="str">
        <f t="shared" si="9"/>
        <v/>
      </c>
      <c r="S141" s="39" t="str">
        <f t="shared" si="9"/>
        <v/>
      </c>
      <c r="T141" s="39" t="str">
        <f t="shared" si="9"/>
        <v/>
      </c>
      <c r="U141" s="39" t="str">
        <f t="shared" si="9"/>
        <v/>
      </c>
      <c r="V141" s="39" t="str">
        <f t="shared" si="9"/>
        <v/>
      </c>
    </row>
    <row r="142" spans="1:22" x14ac:dyDescent="0.3">
      <c r="A142" s="38"/>
      <c r="B142" s="39" t="str">
        <f>IF($A142="","",SUMIFS([1]weekly_demand!$D:$D,[1]weekly_demand!$A:$A,B$1,[1]weekly_demand!$C:$C,$A142))</f>
        <v/>
      </c>
      <c r="C142" s="39" t="str">
        <f>IF($A142="","",SUMIFS([1]weekly_demand!$D:$D,[1]weekly_demand!$A:$A,C$1,[1]weekly_demand!$C:$C,$A142))</f>
        <v/>
      </c>
      <c r="D142" s="39" t="str">
        <f>IF($A142="","",SUMIFS([1]weekly_demand!$D:$D,[1]weekly_demand!$A:$A,D$1,[1]weekly_demand!$C:$C,$A142))</f>
        <v/>
      </c>
      <c r="E142" s="39" t="str">
        <f>IF($A142="","",SUMIFS([1]weekly_demand!$D:$D,[1]weekly_demand!$A:$A,E$1,[1]weekly_demand!$C:$C,$A142))</f>
        <v/>
      </c>
      <c r="F142" s="39" t="str">
        <f>IF($A142="","",SUMIFS([1]weekly_demand!$D:$D,[1]weekly_demand!$A:$A,F$1,[1]weekly_demand!$C:$C,$A142))</f>
        <v/>
      </c>
      <c r="G142" s="39" t="str">
        <f>IF($A142="","",SUMIFS([1]weekly_demand!$D:$D,[1]weekly_demand!$A:$A,G$1,[1]weekly_demand!$C:$C,$A142))</f>
        <v/>
      </c>
      <c r="H142" s="39" t="str">
        <f t="shared" si="9"/>
        <v/>
      </c>
      <c r="I142" s="39" t="str">
        <f t="shared" si="9"/>
        <v/>
      </c>
      <c r="J142" s="39" t="str">
        <f t="shared" si="9"/>
        <v/>
      </c>
      <c r="K142" s="39" t="str">
        <f t="shared" si="9"/>
        <v/>
      </c>
      <c r="L142" s="39" t="str">
        <f t="shared" si="9"/>
        <v/>
      </c>
      <c r="M142" s="39" t="str">
        <f t="shared" si="9"/>
        <v/>
      </c>
      <c r="N142" s="39" t="str">
        <f t="shared" si="9"/>
        <v/>
      </c>
      <c r="O142" s="39" t="str">
        <f t="shared" si="9"/>
        <v/>
      </c>
      <c r="P142" s="39" t="str">
        <f t="shared" si="9"/>
        <v/>
      </c>
      <c r="Q142" s="39" t="str">
        <f t="shared" si="9"/>
        <v/>
      </c>
      <c r="R142" s="39" t="str">
        <f t="shared" si="9"/>
        <v/>
      </c>
      <c r="S142" s="39" t="str">
        <f t="shared" si="9"/>
        <v/>
      </c>
      <c r="T142" s="39" t="str">
        <f t="shared" si="9"/>
        <v/>
      </c>
      <c r="U142" s="39" t="str">
        <f t="shared" si="9"/>
        <v/>
      </c>
      <c r="V142" s="39" t="str">
        <f t="shared" si="9"/>
        <v/>
      </c>
    </row>
    <row r="143" spans="1:22" x14ac:dyDescent="0.3">
      <c r="A143" s="38"/>
      <c r="B143" s="39" t="str">
        <f>IF($A143="","",SUMIFS([1]weekly_demand!$D:$D,[1]weekly_demand!$A:$A,B$1,[1]weekly_demand!$C:$C,$A143))</f>
        <v/>
      </c>
      <c r="C143" s="39" t="str">
        <f>IF($A143="","",SUMIFS([1]weekly_demand!$D:$D,[1]weekly_demand!$A:$A,C$1,[1]weekly_demand!$C:$C,$A143))</f>
        <v/>
      </c>
      <c r="D143" s="39" t="str">
        <f>IF($A143="","",SUMIFS([1]weekly_demand!$D:$D,[1]weekly_demand!$A:$A,D$1,[1]weekly_demand!$C:$C,$A143))</f>
        <v/>
      </c>
      <c r="E143" s="39" t="str">
        <f>IF($A143="","",SUMIFS([1]weekly_demand!$D:$D,[1]weekly_demand!$A:$A,E$1,[1]weekly_demand!$C:$C,$A143))</f>
        <v/>
      </c>
      <c r="F143" s="39" t="str">
        <f>IF($A143="","",SUMIFS([1]weekly_demand!$D:$D,[1]weekly_demand!$A:$A,F$1,[1]weekly_demand!$C:$C,$A143))</f>
        <v/>
      </c>
      <c r="G143" s="39" t="str">
        <f>IF($A143="","",SUMIFS([1]weekly_demand!$D:$D,[1]weekly_demand!$A:$A,G$1,[1]weekly_demand!$C:$C,$A143))</f>
        <v/>
      </c>
      <c r="H143" s="39" t="str">
        <f t="shared" si="9"/>
        <v/>
      </c>
      <c r="I143" s="39" t="str">
        <f t="shared" si="9"/>
        <v/>
      </c>
      <c r="J143" s="39" t="str">
        <f t="shared" si="9"/>
        <v/>
      </c>
      <c r="K143" s="39" t="str">
        <f t="shared" si="9"/>
        <v/>
      </c>
      <c r="L143" s="39" t="str">
        <f t="shared" si="9"/>
        <v/>
      </c>
      <c r="M143" s="39" t="str">
        <f t="shared" si="9"/>
        <v/>
      </c>
      <c r="N143" s="39" t="str">
        <f t="shared" si="9"/>
        <v/>
      </c>
      <c r="O143" s="39" t="str">
        <f t="shared" si="9"/>
        <v/>
      </c>
      <c r="P143" s="39" t="str">
        <f t="shared" si="9"/>
        <v/>
      </c>
      <c r="Q143" s="39" t="str">
        <f t="shared" si="9"/>
        <v/>
      </c>
      <c r="R143" s="39" t="str">
        <f t="shared" si="9"/>
        <v/>
      </c>
      <c r="S143" s="39" t="str">
        <f t="shared" si="9"/>
        <v/>
      </c>
      <c r="T143" s="39" t="str">
        <f t="shared" si="9"/>
        <v/>
      </c>
      <c r="U143" s="39" t="str">
        <f t="shared" si="9"/>
        <v/>
      </c>
      <c r="V143" s="39" t="str">
        <f t="shared" si="9"/>
        <v/>
      </c>
    </row>
    <row r="144" spans="1:22" x14ac:dyDescent="0.3">
      <c r="A144" s="38"/>
      <c r="B144" s="39" t="str">
        <f>IF($A144="","",SUMIFS([1]weekly_demand!$D:$D,[1]weekly_demand!$A:$A,B$1,[1]weekly_demand!$C:$C,$A144))</f>
        <v/>
      </c>
      <c r="C144" s="39" t="str">
        <f>IF($A144="","",SUMIFS([1]weekly_demand!$D:$D,[1]weekly_demand!$A:$A,C$1,[1]weekly_demand!$C:$C,$A144))</f>
        <v/>
      </c>
      <c r="D144" s="39" t="str">
        <f>IF($A144="","",SUMIFS([1]weekly_demand!$D:$D,[1]weekly_demand!$A:$A,D$1,[1]weekly_demand!$C:$C,$A144))</f>
        <v/>
      </c>
      <c r="E144" s="39" t="str">
        <f>IF($A144="","",SUMIFS([1]weekly_demand!$D:$D,[1]weekly_demand!$A:$A,E$1,[1]weekly_demand!$C:$C,$A144))</f>
        <v/>
      </c>
      <c r="F144" s="39" t="str">
        <f>IF($A144="","",SUMIFS([1]weekly_demand!$D:$D,[1]weekly_demand!$A:$A,F$1,[1]weekly_demand!$C:$C,$A144))</f>
        <v/>
      </c>
      <c r="G144" s="39" t="str">
        <f>IF($A144="","",SUMIFS([1]weekly_demand!$D:$D,[1]weekly_demand!$A:$A,G$1,[1]weekly_demand!$C:$C,$A144))</f>
        <v/>
      </c>
      <c r="H144" s="39" t="str">
        <f t="shared" si="9"/>
        <v/>
      </c>
      <c r="I144" s="39" t="str">
        <f t="shared" si="9"/>
        <v/>
      </c>
      <c r="J144" s="39" t="str">
        <f t="shared" si="9"/>
        <v/>
      </c>
      <c r="K144" s="39" t="str">
        <f t="shared" si="9"/>
        <v/>
      </c>
      <c r="L144" s="39" t="str">
        <f t="shared" si="9"/>
        <v/>
      </c>
      <c r="M144" s="39" t="str">
        <f t="shared" si="9"/>
        <v/>
      </c>
      <c r="N144" s="39" t="str">
        <f t="shared" si="9"/>
        <v/>
      </c>
      <c r="O144" s="39" t="str">
        <f t="shared" si="9"/>
        <v/>
      </c>
      <c r="P144" s="39" t="str">
        <f t="shared" si="9"/>
        <v/>
      </c>
      <c r="Q144" s="39" t="str">
        <f t="shared" si="9"/>
        <v/>
      </c>
      <c r="R144" s="39" t="str">
        <f t="shared" si="9"/>
        <v/>
      </c>
      <c r="S144" s="39" t="str">
        <f t="shared" si="9"/>
        <v/>
      </c>
      <c r="T144" s="39" t="str">
        <f t="shared" si="9"/>
        <v/>
      </c>
      <c r="U144" s="39" t="str">
        <f t="shared" si="9"/>
        <v/>
      </c>
      <c r="V144" s="39" t="str">
        <f t="shared" si="9"/>
        <v/>
      </c>
    </row>
    <row r="145" spans="1:22" x14ac:dyDescent="0.3">
      <c r="A145" s="38"/>
      <c r="B145" s="39" t="str">
        <f>IF($A145="","",SUMIFS([1]weekly_demand!$D:$D,[1]weekly_demand!$A:$A,B$1,[1]weekly_demand!$C:$C,$A145))</f>
        <v/>
      </c>
      <c r="C145" s="39" t="str">
        <f>IF($A145="","",SUMIFS([1]weekly_demand!$D:$D,[1]weekly_demand!$A:$A,C$1,[1]weekly_demand!$C:$C,$A145))</f>
        <v/>
      </c>
      <c r="D145" s="39" t="str">
        <f>IF($A145="","",SUMIFS([1]weekly_demand!$D:$D,[1]weekly_demand!$A:$A,D$1,[1]weekly_demand!$C:$C,$A145))</f>
        <v/>
      </c>
      <c r="E145" s="39" t="str">
        <f>IF($A145="","",SUMIFS([1]weekly_demand!$D:$D,[1]weekly_demand!$A:$A,E$1,[1]weekly_demand!$C:$C,$A145))</f>
        <v/>
      </c>
      <c r="F145" s="39" t="str">
        <f>IF($A145="","",SUMIFS([1]weekly_demand!$D:$D,[1]weekly_demand!$A:$A,F$1,[1]weekly_demand!$C:$C,$A145))</f>
        <v/>
      </c>
      <c r="G145" s="39" t="str">
        <f>IF($A145="","",SUMIFS([1]weekly_demand!$D:$D,[1]weekly_demand!$A:$A,G$1,[1]weekly_demand!$C:$C,$A145))</f>
        <v/>
      </c>
      <c r="H145" s="39" t="str">
        <f t="shared" si="9"/>
        <v/>
      </c>
      <c r="I145" s="39" t="str">
        <f t="shared" si="9"/>
        <v/>
      </c>
      <c r="J145" s="39" t="str">
        <f t="shared" si="9"/>
        <v/>
      </c>
      <c r="K145" s="39" t="str">
        <f t="shared" si="9"/>
        <v/>
      </c>
      <c r="L145" s="39" t="str">
        <f t="shared" si="9"/>
        <v/>
      </c>
      <c r="M145" s="39" t="str">
        <f t="shared" si="9"/>
        <v/>
      </c>
      <c r="N145" s="39" t="str">
        <f t="shared" si="9"/>
        <v/>
      </c>
      <c r="O145" s="39" t="str">
        <f t="shared" si="9"/>
        <v/>
      </c>
      <c r="P145" s="39" t="str">
        <f t="shared" si="9"/>
        <v/>
      </c>
      <c r="Q145" s="39" t="str">
        <f t="shared" si="9"/>
        <v/>
      </c>
      <c r="R145" s="39" t="str">
        <f t="shared" si="9"/>
        <v/>
      </c>
      <c r="S145" s="39" t="str">
        <f t="shared" si="9"/>
        <v/>
      </c>
      <c r="T145" s="39" t="str">
        <f t="shared" si="9"/>
        <v/>
      </c>
      <c r="U145" s="39" t="str">
        <f t="shared" si="9"/>
        <v/>
      </c>
      <c r="V145" s="39" t="str">
        <f t="shared" si="9"/>
        <v/>
      </c>
    </row>
    <row r="146" spans="1:22" x14ac:dyDescent="0.3">
      <c r="A146" s="38"/>
      <c r="B146" s="39" t="str">
        <f>IF($A146="","",SUMIFS([1]weekly_demand!$D:$D,[1]weekly_demand!$A:$A,B$1,[1]weekly_demand!$C:$C,$A146))</f>
        <v/>
      </c>
      <c r="C146" s="39" t="str">
        <f>IF($A146="","",SUMIFS([1]weekly_demand!$D:$D,[1]weekly_demand!$A:$A,C$1,[1]weekly_demand!$C:$C,$A146))</f>
        <v/>
      </c>
      <c r="D146" s="39" t="str">
        <f>IF($A146="","",SUMIFS([1]weekly_demand!$D:$D,[1]weekly_demand!$A:$A,D$1,[1]weekly_demand!$C:$C,$A146))</f>
        <v/>
      </c>
      <c r="E146" s="39" t="str">
        <f>IF($A146="","",SUMIFS([1]weekly_demand!$D:$D,[1]weekly_demand!$A:$A,E$1,[1]weekly_demand!$C:$C,$A146))</f>
        <v/>
      </c>
      <c r="F146" s="39" t="str">
        <f>IF($A146="","",SUMIFS([1]weekly_demand!$D:$D,[1]weekly_demand!$A:$A,F$1,[1]weekly_demand!$C:$C,$A146))</f>
        <v/>
      </c>
      <c r="G146" s="39" t="str">
        <f>IF($A146="","",SUMIFS([1]weekly_demand!$D:$D,[1]weekly_demand!$A:$A,G$1,[1]weekly_demand!$C:$C,$A146))</f>
        <v/>
      </c>
      <c r="H146" s="39" t="str">
        <f t="shared" ref="H146:V161" si="10">IF($A146="","",SUMPRODUCT($B146:$G146,INDEX($Y$2:$AD$16,MATCH(H$1,$X$2:$X$16,0),0)))</f>
        <v/>
      </c>
      <c r="I146" s="39" t="str">
        <f t="shared" si="10"/>
        <v/>
      </c>
      <c r="J146" s="39" t="str">
        <f t="shared" si="10"/>
        <v/>
      </c>
      <c r="K146" s="39" t="str">
        <f t="shared" si="10"/>
        <v/>
      </c>
      <c r="L146" s="39" t="str">
        <f t="shared" si="10"/>
        <v/>
      </c>
      <c r="M146" s="39" t="str">
        <f t="shared" si="10"/>
        <v/>
      </c>
      <c r="N146" s="39" t="str">
        <f t="shared" si="10"/>
        <v/>
      </c>
      <c r="O146" s="39" t="str">
        <f t="shared" si="10"/>
        <v/>
      </c>
      <c r="P146" s="39" t="str">
        <f t="shared" si="10"/>
        <v/>
      </c>
      <c r="Q146" s="39" t="str">
        <f t="shared" si="10"/>
        <v/>
      </c>
      <c r="R146" s="39" t="str">
        <f t="shared" si="10"/>
        <v/>
      </c>
      <c r="S146" s="39" t="str">
        <f t="shared" si="10"/>
        <v/>
      </c>
      <c r="T146" s="39" t="str">
        <f t="shared" si="10"/>
        <v/>
      </c>
      <c r="U146" s="39" t="str">
        <f t="shared" si="10"/>
        <v/>
      </c>
      <c r="V146" s="39" t="str">
        <f t="shared" si="10"/>
        <v/>
      </c>
    </row>
    <row r="147" spans="1:22" x14ac:dyDescent="0.3">
      <c r="A147" s="38"/>
      <c r="B147" s="39" t="str">
        <f>IF($A147="","",SUMIFS([1]weekly_demand!$D:$D,[1]weekly_demand!$A:$A,B$1,[1]weekly_demand!$C:$C,$A147))</f>
        <v/>
      </c>
      <c r="C147" s="39" t="str">
        <f>IF($A147="","",SUMIFS([1]weekly_demand!$D:$D,[1]weekly_demand!$A:$A,C$1,[1]weekly_demand!$C:$C,$A147))</f>
        <v/>
      </c>
      <c r="D147" s="39" t="str">
        <f>IF($A147="","",SUMIFS([1]weekly_demand!$D:$D,[1]weekly_demand!$A:$A,D$1,[1]weekly_demand!$C:$C,$A147))</f>
        <v/>
      </c>
      <c r="E147" s="39" t="str">
        <f>IF($A147="","",SUMIFS([1]weekly_demand!$D:$D,[1]weekly_demand!$A:$A,E$1,[1]weekly_demand!$C:$C,$A147))</f>
        <v/>
      </c>
      <c r="F147" s="39" t="str">
        <f>IF($A147="","",SUMIFS([1]weekly_demand!$D:$D,[1]weekly_demand!$A:$A,F$1,[1]weekly_demand!$C:$C,$A147))</f>
        <v/>
      </c>
      <c r="G147" s="39" t="str">
        <f>IF($A147="","",SUMIFS([1]weekly_demand!$D:$D,[1]weekly_demand!$A:$A,G$1,[1]weekly_demand!$C:$C,$A147))</f>
        <v/>
      </c>
      <c r="H147" s="39" t="str">
        <f t="shared" si="10"/>
        <v/>
      </c>
      <c r="I147" s="39" t="str">
        <f t="shared" si="10"/>
        <v/>
      </c>
      <c r="J147" s="39" t="str">
        <f t="shared" si="10"/>
        <v/>
      </c>
      <c r="K147" s="39" t="str">
        <f t="shared" si="10"/>
        <v/>
      </c>
      <c r="L147" s="39" t="str">
        <f t="shared" si="10"/>
        <v/>
      </c>
      <c r="M147" s="39" t="str">
        <f t="shared" si="10"/>
        <v/>
      </c>
      <c r="N147" s="39" t="str">
        <f t="shared" si="10"/>
        <v/>
      </c>
      <c r="O147" s="39" t="str">
        <f t="shared" si="10"/>
        <v/>
      </c>
      <c r="P147" s="39" t="str">
        <f t="shared" si="10"/>
        <v/>
      </c>
      <c r="Q147" s="39" t="str">
        <f t="shared" si="10"/>
        <v/>
      </c>
      <c r="R147" s="39" t="str">
        <f t="shared" si="10"/>
        <v/>
      </c>
      <c r="S147" s="39" t="str">
        <f t="shared" si="10"/>
        <v/>
      </c>
      <c r="T147" s="39" t="str">
        <f t="shared" si="10"/>
        <v/>
      </c>
      <c r="U147" s="39" t="str">
        <f t="shared" si="10"/>
        <v/>
      </c>
      <c r="V147" s="39" t="str">
        <f t="shared" si="10"/>
        <v/>
      </c>
    </row>
    <row r="148" spans="1:22" x14ac:dyDescent="0.3">
      <c r="A148" s="38"/>
      <c r="B148" s="39" t="str">
        <f>IF($A148="","",SUMIFS([1]weekly_demand!$D:$D,[1]weekly_demand!$A:$A,B$1,[1]weekly_demand!$C:$C,$A148))</f>
        <v/>
      </c>
      <c r="C148" s="39" t="str">
        <f>IF($A148="","",SUMIFS([1]weekly_demand!$D:$D,[1]weekly_demand!$A:$A,C$1,[1]weekly_demand!$C:$C,$A148))</f>
        <v/>
      </c>
      <c r="D148" s="39" t="str">
        <f>IF($A148="","",SUMIFS([1]weekly_demand!$D:$D,[1]weekly_demand!$A:$A,D$1,[1]weekly_demand!$C:$C,$A148))</f>
        <v/>
      </c>
      <c r="E148" s="39" t="str">
        <f>IF($A148="","",SUMIFS([1]weekly_demand!$D:$D,[1]weekly_demand!$A:$A,E$1,[1]weekly_demand!$C:$C,$A148))</f>
        <v/>
      </c>
      <c r="F148" s="39" t="str">
        <f>IF($A148="","",SUMIFS([1]weekly_demand!$D:$D,[1]weekly_demand!$A:$A,F$1,[1]weekly_demand!$C:$C,$A148))</f>
        <v/>
      </c>
      <c r="G148" s="39" t="str">
        <f>IF($A148="","",SUMIFS([1]weekly_demand!$D:$D,[1]weekly_demand!$A:$A,G$1,[1]weekly_demand!$C:$C,$A148))</f>
        <v/>
      </c>
      <c r="H148" s="39" t="str">
        <f t="shared" si="10"/>
        <v/>
      </c>
      <c r="I148" s="39" t="str">
        <f t="shared" si="10"/>
        <v/>
      </c>
      <c r="J148" s="39" t="str">
        <f t="shared" si="10"/>
        <v/>
      </c>
      <c r="K148" s="39" t="str">
        <f t="shared" si="10"/>
        <v/>
      </c>
      <c r="L148" s="39" t="str">
        <f t="shared" si="10"/>
        <v/>
      </c>
      <c r="M148" s="39" t="str">
        <f t="shared" si="10"/>
        <v/>
      </c>
      <c r="N148" s="39" t="str">
        <f t="shared" si="10"/>
        <v/>
      </c>
      <c r="O148" s="39" t="str">
        <f t="shared" si="10"/>
        <v/>
      </c>
      <c r="P148" s="39" t="str">
        <f t="shared" si="10"/>
        <v/>
      </c>
      <c r="Q148" s="39" t="str">
        <f t="shared" si="10"/>
        <v/>
      </c>
      <c r="R148" s="39" t="str">
        <f t="shared" si="10"/>
        <v/>
      </c>
      <c r="S148" s="39" t="str">
        <f t="shared" si="10"/>
        <v/>
      </c>
      <c r="T148" s="39" t="str">
        <f t="shared" si="10"/>
        <v/>
      </c>
      <c r="U148" s="39" t="str">
        <f t="shared" si="10"/>
        <v/>
      </c>
      <c r="V148" s="39" t="str">
        <f t="shared" si="10"/>
        <v/>
      </c>
    </row>
    <row r="149" spans="1:22" x14ac:dyDescent="0.3">
      <c r="A149" s="38"/>
      <c r="B149" s="39" t="str">
        <f>IF($A149="","",SUMIFS([1]weekly_demand!$D:$D,[1]weekly_demand!$A:$A,B$1,[1]weekly_demand!$C:$C,$A149))</f>
        <v/>
      </c>
      <c r="C149" s="39" t="str">
        <f>IF($A149="","",SUMIFS([1]weekly_demand!$D:$D,[1]weekly_demand!$A:$A,C$1,[1]weekly_demand!$C:$C,$A149))</f>
        <v/>
      </c>
      <c r="D149" s="39" t="str">
        <f>IF($A149="","",SUMIFS([1]weekly_demand!$D:$D,[1]weekly_demand!$A:$A,D$1,[1]weekly_demand!$C:$C,$A149))</f>
        <v/>
      </c>
      <c r="E149" s="39" t="str">
        <f>IF($A149="","",SUMIFS([1]weekly_demand!$D:$D,[1]weekly_demand!$A:$A,E$1,[1]weekly_demand!$C:$C,$A149))</f>
        <v/>
      </c>
      <c r="F149" s="39" t="str">
        <f>IF($A149="","",SUMIFS([1]weekly_demand!$D:$D,[1]weekly_demand!$A:$A,F$1,[1]weekly_demand!$C:$C,$A149))</f>
        <v/>
      </c>
      <c r="G149" s="39" t="str">
        <f>IF($A149="","",SUMIFS([1]weekly_demand!$D:$D,[1]weekly_demand!$A:$A,G$1,[1]weekly_demand!$C:$C,$A149))</f>
        <v/>
      </c>
      <c r="H149" s="39" t="str">
        <f t="shared" si="10"/>
        <v/>
      </c>
      <c r="I149" s="39" t="str">
        <f t="shared" si="10"/>
        <v/>
      </c>
      <c r="J149" s="39" t="str">
        <f t="shared" si="10"/>
        <v/>
      </c>
      <c r="K149" s="39" t="str">
        <f t="shared" si="10"/>
        <v/>
      </c>
      <c r="L149" s="39" t="str">
        <f t="shared" si="10"/>
        <v/>
      </c>
      <c r="M149" s="39" t="str">
        <f t="shared" si="10"/>
        <v/>
      </c>
      <c r="N149" s="39" t="str">
        <f t="shared" si="10"/>
        <v/>
      </c>
      <c r="O149" s="39" t="str">
        <f t="shared" si="10"/>
        <v/>
      </c>
      <c r="P149" s="39" t="str">
        <f t="shared" si="10"/>
        <v/>
      </c>
      <c r="Q149" s="39" t="str">
        <f t="shared" si="10"/>
        <v/>
      </c>
      <c r="R149" s="39" t="str">
        <f t="shared" si="10"/>
        <v/>
      </c>
      <c r="S149" s="39" t="str">
        <f t="shared" si="10"/>
        <v/>
      </c>
      <c r="T149" s="39" t="str">
        <f t="shared" si="10"/>
        <v/>
      </c>
      <c r="U149" s="39" t="str">
        <f t="shared" si="10"/>
        <v/>
      </c>
      <c r="V149" s="39" t="str">
        <f t="shared" si="10"/>
        <v/>
      </c>
    </row>
    <row r="150" spans="1:22" x14ac:dyDescent="0.3">
      <c r="A150" s="38"/>
      <c r="B150" s="39" t="str">
        <f>IF($A150="","",SUMIFS([1]weekly_demand!$D:$D,[1]weekly_demand!$A:$A,B$1,[1]weekly_demand!$C:$C,$A150))</f>
        <v/>
      </c>
      <c r="C150" s="39" t="str">
        <f>IF($A150="","",SUMIFS([1]weekly_demand!$D:$D,[1]weekly_demand!$A:$A,C$1,[1]weekly_demand!$C:$C,$A150))</f>
        <v/>
      </c>
      <c r="D150" s="39" t="str">
        <f>IF($A150="","",SUMIFS([1]weekly_demand!$D:$D,[1]weekly_demand!$A:$A,D$1,[1]weekly_demand!$C:$C,$A150))</f>
        <v/>
      </c>
      <c r="E150" s="39" t="str">
        <f>IF($A150="","",SUMIFS([1]weekly_demand!$D:$D,[1]weekly_demand!$A:$A,E$1,[1]weekly_demand!$C:$C,$A150))</f>
        <v/>
      </c>
      <c r="F150" s="39" t="str">
        <f>IF($A150="","",SUMIFS([1]weekly_demand!$D:$D,[1]weekly_demand!$A:$A,F$1,[1]weekly_demand!$C:$C,$A150))</f>
        <v/>
      </c>
      <c r="G150" s="39" t="str">
        <f>IF($A150="","",SUMIFS([1]weekly_demand!$D:$D,[1]weekly_demand!$A:$A,G$1,[1]weekly_demand!$C:$C,$A150))</f>
        <v/>
      </c>
      <c r="H150" s="39" t="str">
        <f t="shared" si="10"/>
        <v/>
      </c>
      <c r="I150" s="39" t="str">
        <f t="shared" si="10"/>
        <v/>
      </c>
      <c r="J150" s="39" t="str">
        <f t="shared" si="10"/>
        <v/>
      </c>
      <c r="K150" s="39" t="str">
        <f t="shared" si="10"/>
        <v/>
      </c>
      <c r="L150" s="39" t="str">
        <f t="shared" si="10"/>
        <v/>
      </c>
      <c r="M150" s="39" t="str">
        <f t="shared" si="10"/>
        <v/>
      </c>
      <c r="N150" s="39" t="str">
        <f t="shared" si="10"/>
        <v/>
      </c>
      <c r="O150" s="39" t="str">
        <f t="shared" si="10"/>
        <v/>
      </c>
      <c r="P150" s="39" t="str">
        <f t="shared" si="10"/>
        <v/>
      </c>
      <c r="Q150" s="39" t="str">
        <f t="shared" si="10"/>
        <v/>
      </c>
      <c r="R150" s="39" t="str">
        <f t="shared" si="10"/>
        <v/>
      </c>
      <c r="S150" s="39" t="str">
        <f t="shared" si="10"/>
        <v/>
      </c>
      <c r="T150" s="39" t="str">
        <f t="shared" si="10"/>
        <v/>
      </c>
      <c r="U150" s="39" t="str">
        <f t="shared" si="10"/>
        <v/>
      </c>
      <c r="V150" s="39" t="str">
        <f t="shared" si="10"/>
        <v/>
      </c>
    </row>
    <row r="151" spans="1:22" x14ac:dyDescent="0.3">
      <c r="A151" s="38"/>
      <c r="B151" s="39" t="str">
        <f>IF($A151="","",SUMIFS([1]weekly_demand!$D:$D,[1]weekly_demand!$A:$A,B$1,[1]weekly_demand!$C:$C,$A151))</f>
        <v/>
      </c>
      <c r="C151" s="39" t="str">
        <f>IF($A151="","",SUMIFS([1]weekly_demand!$D:$D,[1]weekly_demand!$A:$A,C$1,[1]weekly_demand!$C:$C,$A151))</f>
        <v/>
      </c>
      <c r="D151" s="39" t="str">
        <f>IF($A151="","",SUMIFS([1]weekly_demand!$D:$D,[1]weekly_demand!$A:$A,D$1,[1]weekly_demand!$C:$C,$A151))</f>
        <v/>
      </c>
      <c r="E151" s="39" t="str">
        <f>IF($A151="","",SUMIFS([1]weekly_demand!$D:$D,[1]weekly_demand!$A:$A,E$1,[1]weekly_demand!$C:$C,$A151))</f>
        <v/>
      </c>
      <c r="F151" s="39" t="str">
        <f>IF($A151="","",SUMIFS([1]weekly_demand!$D:$D,[1]weekly_demand!$A:$A,F$1,[1]weekly_demand!$C:$C,$A151))</f>
        <v/>
      </c>
      <c r="G151" s="39" t="str">
        <f>IF($A151="","",SUMIFS([1]weekly_demand!$D:$D,[1]weekly_demand!$A:$A,G$1,[1]weekly_demand!$C:$C,$A151))</f>
        <v/>
      </c>
      <c r="H151" s="39" t="str">
        <f t="shared" si="10"/>
        <v/>
      </c>
      <c r="I151" s="39" t="str">
        <f t="shared" si="10"/>
        <v/>
      </c>
      <c r="J151" s="39" t="str">
        <f t="shared" si="10"/>
        <v/>
      </c>
      <c r="K151" s="39" t="str">
        <f t="shared" si="10"/>
        <v/>
      </c>
      <c r="L151" s="39" t="str">
        <f t="shared" si="10"/>
        <v/>
      </c>
      <c r="M151" s="39" t="str">
        <f t="shared" si="10"/>
        <v/>
      </c>
      <c r="N151" s="39" t="str">
        <f t="shared" si="10"/>
        <v/>
      </c>
      <c r="O151" s="39" t="str">
        <f t="shared" si="10"/>
        <v/>
      </c>
      <c r="P151" s="39" t="str">
        <f t="shared" si="10"/>
        <v/>
      </c>
      <c r="Q151" s="39" t="str">
        <f t="shared" si="10"/>
        <v/>
      </c>
      <c r="R151" s="39" t="str">
        <f t="shared" si="10"/>
        <v/>
      </c>
      <c r="S151" s="39" t="str">
        <f t="shared" si="10"/>
        <v/>
      </c>
      <c r="T151" s="39" t="str">
        <f t="shared" si="10"/>
        <v/>
      </c>
      <c r="U151" s="39" t="str">
        <f t="shared" si="10"/>
        <v/>
      </c>
      <c r="V151" s="39" t="str">
        <f t="shared" si="10"/>
        <v/>
      </c>
    </row>
    <row r="152" spans="1:22" x14ac:dyDescent="0.3">
      <c r="A152" s="38"/>
      <c r="B152" s="39" t="str">
        <f>IF($A152="","",SUMIFS([1]weekly_demand!$D:$D,[1]weekly_demand!$A:$A,B$1,[1]weekly_demand!$C:$C,$A152))</f>
        <v/>
      </c>
      <c r="C152" s="39" t="str">
        <f>IF($A152="","",SUMIFS([1]weekly_demand!$D:$D,[1]weekly_demand!$A:$A,C$1,[1]weekly_demand!$C:$C,$A152))</f>
        <v/>
      </c>
      <c r="D152" s="39" t="str">
        <f>IF($A152="","",SUMIFS([1]weekly_demand!$D:$D,[1]weekly_demand!$A:$A,D$1,[1]weekly_demand!$C:$C,$A152))</f>
        <v/>
      </c>
      <c r="E152" s="39" t="str">
        <f>IF($A152="","",SUMIFS([1]weekly_demand!$D:$D,[1]weekly_demand!$A:$A,E$1,[1]weekly_demand!$C:$C,$A152))</f>
        <v/>
      </c>
      <c r="F152" s="39" t="str">
        <f>IF($A152="","",SUMIFS([1]weekly_demand!$D:$D,[1]weekly_demand!$A:$A,F$1,[1]weekly_demand!$C:$C,$A152))</f>
        <v/>
      </c>
      <c r="G152" s="39" t="str">
        <f>IF($A152="","",SUMIFS([1]weekly_demand!$D:$D,[1]weekly_demand!$A:$A,G$1,[1]weekly_demand!$C:$C,$A152))</f>
        <v/>
      </c>
      <c r="H152" s="39" t="str">
        <f t="shared" si="10"/>
        <v/>
      </c>
      <c r="I152" s="39" t="str">
        <f t="shared" si="10"/>
        <v/>
      </c>
      <c r="J152" s="39" t="str">
        <f t="shared" si="10"/>
        <v/>
      </c>
      <c r="K152" s="39" t="str">
        <f t="shared" si="10"/>
        <v/>
      </c>
      <c r="L152" s="39" t="str">
        <f t="shared" si="10"/>
        <v/>
      </c>
      <c r="M152" s="39" t="str">
        <f t="shared" si="10"/>
        <v/>
      </c>
      <c r="N152" s="39" t="str">
        <f t="shared" si="10"/>
        <v/>
      </c>
      <c r="O152" s="39" t="str">
        <f t="shared" si="10"/>
        <v/>
      </c>
      <c r="P152" s="39" t="str">
        <f t="shared" si="10"/>
        <v/>
      </c>
      <c r="Q152" s="39" t="str">
        <f t="shared" si="10"/>
        <v/>
      </c>
      <c r="R152" s="39" t="str">
        <f t="shared" si="10"/>
        <v/>
      </c>
      <c r="S152" s="39" t="str">
        <f t="shared" si="10"/>
        <v/>
      </c>
      <c r="T152" s="39" t="str">
        <f t="shared" si="10"/>
        <v/>
      </c>
      <c r="U152" s="39" t="str">
        <f t="shared" si="10"/>
        <v/>
      </c>
      <c r="V152" s="39" t="str">
        <f t="shared" si="10"/>
        <v/>
      </c>
    </row>
    <row r="153" spans="1:22" x14ac:dyDescent="0.3">
      <c r="A153" s="38"/>
      <c r="B153" s="39" t="str">
        <f>IF($A153="","",SUMIFS([1]weekly_demand!$D:$D,[1]weekly_demand!$A:$A,B$1,[1]weekly_demand!$C:$C,$A153))</f>
        <v/>
      </c>
      <c r="C153" s="39" t="str">
        <f>IF($A153="","",SUMIFS([1]weekly_demand!$D:$D,[1]weekly_demand!$A:$A,C$1,[1]weekly_demand!$C:$C,$A153))</f>
        <v/>
      </c>
      <c r="D153" s="39" t="str">
        <f>IF($A153="","",SUMIFS([1]weekly_demand!$D:$D,[1]weekly_demand!$A:$A,D$1,[1]weekly_demand!$C:$C,$A153))</f>
        <v/>
      </c>
      <c r="E153" s="39" t="str">
        <f>IF($A153="","",SUMIFS([1]weekly_demand!$D:$D,[1]weekly_demand!$A:$A,E$1,[1]weekly_demand!$C:$C,$A153))</f>
        <v/>
      </c>
      <c r="F153" s="39" t="str">
        <f>IF($A153="","",SUMIFS([1]weekly_demand!$D:$D,[1]weekly_demand!$A:$A,F$1,[1]weekly_demand!$C:$C,$A153))</f>
        <v/>
      </c>
      <c r="G153" s="39" t="str">
        <f>IF($A153="","",SUMIFS([1]weekly_demand!$D:$D,[1]weekly_demand!$A:$A,G$1,[1]weekly_demand!$C:$C,$A153))</f>
        <v/>
      </c>
      <c r="H153" s="39" t="str">
        <f t="shared" si="10"/>
        <v/>
      </c>
      <c r="I153" s="39" t="str">
        <f t="shared" si="10"/>
        <v/>
      </c>
      <c r="J153" s="39" t="str">
        <f t="shared" si="10"/>
        <v/>
      </c>
      <c r="K153" s="39" t="str">
        <f t="shared" si="10"/>
        <v/>
      </c>
      <c r="L153" s="39" t="str">
        <f t="shared" si="10"/>
        <v/>
      </c>
      <c r="M153" s="39" t="str">
        <f t="shared" si="10"/>
        <v/>
      </c>
      <c r="N153" s="39" t="str">
        <f t="shared" si="10"/>
        <v/>
      </c>
      <c r="O153" s="39" t="str">
        <f t="shared" si="10"/>
        <v/>
      </c>
      <c r="P153" s="39" t="str">
        <f t="shared" si="10"/>
        <v/>
      </c>
      <c r="Q153" s="39" t="str">
        <f t="shared" si="10"/>
        <v/>
      </c>
      <c r="R153" s="39" t="str">
        <f t="shared" si="10"/>
        <v/>
      </c>
      <c r="S153" s="39" t="str">
        <f t="shared" si="10"/>
        <v/>
      </c>
      <c r="T153" s="39" t="str">
        <f t="shared" si="10"/>
        <v/>
      </c>
      <c r="U153" s="39" t="str">
        <f t="shared" si="10"/>
        <v/>
      </c>
      <c r="V153" s="39" t="str">
        <f t="shared" si="10"/>
        <v/>
      </c>
    </row>
    <row r="154" spans="1:22" x14ac:dyDescent="0.3">
      <c r="A154" s="38"/>
      <c r="B154" s="39" t="str">
        <f>IF($A154="","",SUMIFS([1]weekly_demand!$D:$D,[1]weekly_demand!$A:$A,B$1,[1]weekly_demand!$C:$C,$A154))</f>
        <v/>
      </c>
      <c r="C154" s="39" t="str">
        <f>IF($A154="","",SUMIFS([1]weekly_demand!$D:$D,[1]weekly_demand!$A:$A,C$1,[1]weekly_demand!$C:$C,$A154))</f>
        <v/>
      </c>
      <c r="D154" s="39" t="str">
        <f>IF($A154="","",SUMIFS([1]weekly_demand!$D:$D,[1]weekly_demand!$A:$A,D$1,[1]weekly_demand!$C:$C,$A154))</f>
        <v/>
      </c>
      <c r="E154" s="39" t="str">
        <f>IF($A154="","",SUMIFS([1]weekly_demand!$D:$D,[1]weekly_demand!$A:$A,E$1,[1]weekly_demand!$C:$C,$A154))</f>
        <v/>
      </c>
      <c r="F154" s="39" t="str">
        <f>IF($A154="","",SUMIFS([1]weekly_demand!$D:$D,[1]weekly_demand!$A:$A,F$1,[1]weekly_demand!$C:$C,$A154))</f>
        <v/>
      </c>
      <c r="G154" s="39" t="str">
        <f>IF($A154="","",SUMIFS([1]weekly_demand!$D:$D,[1]weekly_demand!$A:$A,G$1,[1]weekly_demand!$C:$C,$A154))</f>
        <v/>
      </c>
      <c r="H154" s="39" t="str">
        <f t="shared" si="10"/>
        <v/>
      </c>
      <c r="I154" s="39" t="str">
        <f t="shared" si="10"/>
        <v/>
      </c>
      <c r="J154" s="39" t="str">
        <f t="shared" si="10"/>
        <v/>
      </c>
      <c r="K154" s="39" t="str">
        <f t="shared" si="10"/>
        <v/>
      </c>
      <c r="L154" s="39" t="str">
        <f t="shared" si="10"/>
        <v/>
      </c>
      <c r="M154" s="39" t="str">
        <f t="shared" si="10"/>
        <v/>
      </c>
      <c r="N154" s="39" t="str">
        <f t="shared" si="10"/>
        <v/>
      </c>
      <c r="O154" s="39" t="str">
        <f t="shared" si="10"/>
        <v/>
      </c>
      <c r="P154" s="39" t="str">
        <f t="shared" si="10"/>
        <v/>
      </c>
      <c r="Q154" s="39" t="str">
        <f t="shared" si="10"/>
        <v/>
      </c>
      <c r="R154" s="39" t="str">
        <f t="shared" si="10"/>
        <v/>
      </c>
      <c r="S154" s="39" t="str">
        <f t="shared" si="10"/>
        <v/>
      </c>
      <c r="T154" s="39" t="str">
        <f t="shared" si="10"/>
        <v/>
      </c>
      <c r="U154" s="39" t="str">
        <f t="shared" si="10"/>
        <v/>
      </c>
      <c r="V154" s="39" t="str">
        <f t="shared" si="10"/>
        <v/>
      </c>
    </row>
    <row r="155" spans="1:22" x14ac:dyDescent="0.3">
      <c r="A155" s="38"/>
      <c r="B155" s="39" t="str">
        <f>IF($A155="","",SUMIFS([1]weekly_demand!$D:$D,[1]weekly_demand!$A:$A,B$1,[1]weekly_demand!$C:$C,$A155))</f>
        <v/>
      </c>
      <c r="C155" s="39" t="str">
        <f>IF($A155="","",SUMIFS([1]weekly_demand!$D:$D,[1]weekly_demand!$A:$A,C$1,[1]weekly_demand!$C:$C,$A155))</f>
        <v/>
      </c>
      <c r="D155" s="39" t="str">
        <f>IF($A155="","",SUMIFS([1]weekly_demand!$D:$D,[1]weekly_demand!$A:$A,D$1,[1]weekly_demand!$C:$C,$A155))</f>
        <v/>
      </c>
      <c r="E155" s="39" t="str">
        <f>IF($A155="","",SUMIFS([1]weekly_demand!$D:$D,[1]weekly_demand!$A:$A,E$1,[1]weekly_demand!$C:$C,$A155))</f>
        <v/>
      </c>
      <c r="F155" s="39" t="str">
        <f>IF($A155="","",SUMIFS([1]weekly_demand!$D:$D,[1]weekly_demand!$A:$A,F$1,[1]weekly_demand!$C:$C,$A155))</f>
        <v/>
      </c>
      <c r="G155" s="39" t="str">
        <f>IF($A155="","",SUMIFS([1]weekly_demand!$D:$D,[1]weekly_demand!$A:$A,G$1,[1]weekly_demand!$C:$C,$A155))</f>
        <v/>
      </c>
      <c r="H155" s="39" t="str">
        <f t="shared" si="10"/>
        <v/>
      </c>
      <c r="I155" s="39" t="str">
        <f t="shared" si="10"/>
        <v/>
      </c>
      <c r="J155" s="39" t="str">
        <f t="shared" si="10"/>
        <v/>
      </c>
      <c r="K155" s="39" t="str">
        <f t="shared" si="10"/>
        <v/>
      </c>
      <c r="L155" s="39" t="str">
        <f t="shared" si="10"/>
        <v/>
      </c>
      <c r="M155" s="39" t="str">
        <f t="shared" si="10"/>
        <v/>
      </c>
      <c r="N155" s="39" t="str">
        <f t="shared" si="10"/>
        <v/>
      </c>
      <c r="O155" s="39" t="str">
        <f t="shared" si="10"/>
        <v/>
      </c>
      <c r="P155" s="39" t="str">
        <f t="shared" si="10"/>
        <v/>
      </c>
      <c r="Q155" s="39" t="str">
        <f t="shared" si="10"/>
        <v/>
      </c>
      <c r="R155" s="39" t="str">
        <f t="shared" si="10"/>
        <v/>
      </c>
      <c r="S155" s="39" t="str">
        <f t="shared" si="10"/>
        <v/>
      </c>
      <c r="T155" s="39" t="str">
        <f t="shared" si="10"/>
        <v/>
      </c>
      <c r="U155" s="39" t="str">
        <f t="shared" si="10"/>
        <v/>
      </c>
      <c r="V155" s="39" t="str">
        <f t="shared" si="10"/>
        <v/>
      </c>
    </row>
    <row r="156" spans="1:22" x14ac:dyDescent="0.3">
      <c r="A156" s="38"/>
      <c r="B156" s="39" t="str">
        <f>IF($A156="","",SUMIFS([1]weekly_demand!$D:$D,[1]weekly_demand!$A:$A,B$1,[1]weekly_demand!$C:$C,$A156))</f>
        <v/>
      </c>
      <c r="C156" s="39" t="str">
        <f>IF($A156="","",SUMIFS([1]weekly_demand!$D:$D,[1]weekly_demand!$A:$A,C$1,[1]weekly_demand!$C:$C,$A156))</f>
        <v/>
      </c>
      <c r="D156" s="39" t="str">
        <f>IF($A156="","",SUMIFS([1]weekly_demand!$D:$D,[1]weekly_demand!$A:$A,D$1,[1]weekly_demand!$C:$C,$A156))</f>
        <v/>
      </c>
      <c r="E156" s="39" t="str">
        <f>IF($A156="","",SUMIFS([1]weekly_demand!$D:$D,[1]weekly_demand!$A:$A,E$1,[1]weekly_demand!$C:$C,$A156))</f>
        <v/>
      </c>
      <c r="F156" s="39" t="str">
        <f>IF($A156="","",SUMIFS([1]weekly_demand!$D:$D,[1]weekly_demand!$A:$A,F$1,[1]weekly_demand!$C:$C,$A156))</f>
        <v/>
      </c>
      <c r="G156" s="39" t="str">
        <f>IF($A156="","",SUMIFS([1]weekly_demand!$D:$D,[1]weekly_demand!$A:$A,G$1,[1]weekly_demand!$C:$C,$A156))</f>
        <v/>
      </c>
      <c r="H156" s="39" t="str">
        <f t="shared" si="10"/>
        <v/>
      </c>
      <c r="I156" s="39" t="str">
        <f t="shared" si="10"/>
        <v/>
      </c>
      <c r="J156" s="39" t="str">
        <f t="shared" si="10"/>
        <v/>
      </c>
      <c r="K156" s="39" t="str">
        <f t="shared" si="10"/>
        <v/>
      </c>
      <c r="L156" s="39" t="str">
        <f t="shared" si="10"/>
        <v/>
      </c>
      <c r="M156" s="39" t="str">
        <f t="shared" si="10"/>
        <v/>
      </c>
      <c r="N156" s="39" t="str">
        <f t="shared" si="10"/>
        <v/>
      </c>
      <c r="O156" s="39" t="str">
        <f t="shared" si="10"/>
        <v/>
      </c>
      <c r="P156" s="39" t="str">
        <f t="shared" si="10"/>
        <v/>
      </c>
      <c r="Q156" s="39" t="str">
        <f t="shared" si="10"/>
        <v/>
      </c>
      <c r="R156" s="39" t="str">
        <f t="shared" si="10"/>
        <v/>
      </c>
      <c r="S156" s="39" t="str">
        <f t="shared" si="10"/>
        <v/>
      </c>
      <c r="T156" s="39" t="str">
        <f t="shared" si="10"/>
        <v/>
      </c>
      <c r="U156" s="39" t="str">
        <f t="shared" si="10"/>
        <v/>
      </c>
      <c r="V156" s="39" t="str">
        <f t="shared" si="10"/>
        <v/>
      </c>
    </row>
    <row r="157" spans="1:22" x14ac:dyDescent="0.3">
      <c r="A157" s="38"/>
      <c r="B157" s="39" t="str">
        <f>IF($A157="","",SUMIFS([1]weekly_demand!$D:$D,[1]weekly_demand!$A:$A,B$1,[1]weekly_demand!$C:$C,$A157))</f>
        <v/>
      </c>
      <c r="C157" s="39" t="str">
        <f>IF($A157="","",SUMIFS([1]weekly_demand!$D:$D,[1]weekly_demand!$A:$A,C$1,[1]weekly_demand!$C:$C,$A157))</f>
        <v/>
      </c>
      <c r="D157" s="39" t="str">
        <f>IF($A157="","",SUMIFS([1]weekly_demand!$D:$D,[1]weekly_demand!$A:$A,D$1,[1]weekly_demand!$C:$C,$A157))</f>
        <v/>
      </c>
      <c r="E157" s="39" t="str">
        <f>IF($A157="","",SUMIFS([1]weekly_demand!$D:$D,[1]weekly_demand!$A:$A,E$1,[1]weekly_demand!$C:$C,$A157))</f>
        <v/>
      </c>
      <c r="F157" s="39" t="str">
        <f>IF($A157="","",SUMIFS([1]weekly_demand!$D:$D,[1]weekly_demand!$A:$A,F$1,[1]weekly_demand!$C:$C,$A157))</f>
        <v/>
      </c>
      <c r="G157" s="39" t="str">
        <f>IF($A157="","",SUMIFS([1]weekly_demand!$D:$D,[1]weekly_demand!$A:$A,G$1,[1]weekly_demand!$C:$C,$A157))</f>
        <v/>
      </c>
      <c r="H157" s="39" t="str">
        <f t="shared" si="10"/>
        <v/>
      </c>
      <c r="I157" s="39" t="str">
        <f t="shared" si="10"/>
        <v/>
      </c>
      <c r="J157" s="39" t="str">
        <f t="shared" si="10"/>
        <v/>
      </c>
      <c r="K157" s="39" t="str">
        <f t="shared" si="10"/>
        <v/>
      </c>
      <c r="L157" s="39" t="str">
        <f t="shared" si="10"/>
        <v/>
      </c>
      <c r="M157" s="39" t="str">
        <f t="shared" si="10"/>
        <v/>
      </c>
      <c r="N157" s="39" t="str">
        <f t="shared" si="10"/>
        <v/>
      </c>
      <c r="O157" s="39" t="str">
        <f t="shared" si="10"/>
        <v/>
      </c>
      <c r="P157" s="39" t="str">
        <f t="shared" si="10"/>
        <v/>
      </c>
      <c r="Q157" s="39" t="str">
        <f t="shared" si="10"/>
        <v/>
      </c>
      <c r="R157" s="39" t="str">
        <f t="shared" si="10"/>
        <v/>
      </c>
      <c r="S157" s="39" t="str">
        <f t="shared" si="10"/>
        <v/>
      </c>
      <c r="T157" s="39" t="str">
        <f t="shared" si="10"/>
        <v/>
      </c>
      <c r="U157" s="39" t="str">
        <f t="shared" si="10"/>
        <v/>
      </c>
      <c r="V157" s="39" t="str">
        <f t="shared" si="10"/>
        <v/>
      </c>
    </row>
    <row r="158" spans="1:22" x14ac:dyDescent="0.3">
      <c r="A158" s="38"/>
      <c r="B158" s="39" t="str">
        <f>IF($A158="","",SUMIFS([1]weekly_demand!$D:$D,[1]weekly_demand!$A:$A,B$1,[1]weekly_demand!$C:$C,$A158))</f>
        <v/>
      </c>
      <c r="C158" s="39" t="str">
        <f>IF($A158="","",SUMIFS([1]weekly_demand!$D:$D,[1]weekly_demand!$A:$A,C$1,[1]weekly_demand!$C:$C,$A158))</f>
        <v/>
      </c>
      <c r="D158" s="39" t="str">
        <f>IF($A158="","",SUMIFS([1]weekly_demand!$D:$D,[1]weekly_demand!$A:$A,D$1,[1]weekly_demand!$C:$C,$A158))</f>
        <v/>
      </c>
      <c r="E158" s="39" t="str">
        <f>IF($A158="","",SUMIFS([1]weekly_demand!$D:$D,[1]weekly_demand!$A:$A,E$1,[1]weekly_demand!$C:$C,$A158))</f>
        <v/>
      </c>
      <c r="F158" s="39" t="str">
        <f>IF($A158="","",SUMIFS([1]weekly_demand!$D:$D,[1]weekly_demand!$A:$A,F$1,[1]weekly_demand!$C:$C,$A158))</f>
        <v/>
      </c>
      <c r="G158" s="39" t="str">
        <f>IF($A158="","",SUMIFS([1]weekly_demand!$D:$D,[1]weekly_demand!$A:$A,G$1,[1]weekly_demand!$C:$C,$A158))</f>
        <v/>
      </c>
      <c r="H158" s="39" t="str">
        <f t="shared" si="10"/>
        <v/>
      </c>
      <c r="I158" s="39" t="str">
        <f t="shared" si="10"/>
        <v/>
      </c>
      <c r="J158" s="39" t="str">
        <f t="shared" si="10"/>
        <v/>
      </c>
      <c r="K158" s="39" t="str">
        <f t="shared" si="10"/>
        <v/>
      </c>
      <c r="L158" s="39" t="str">
        <f t="shared" si="10"/>
        <v/>
      </c>
      <c r="M158" s="39" t="str">
        <f t="shared" si="10"/>
        <v/>
      </c>
      <c r="N158" s="39" t="str">
        <f t="shared" si="10"/>
        <v/>
      </c>
      <c r="O158" s="39" t="str">
        <f t="shared" si="10"/>
        <v/>
      </c>
      <c r="P158" s="39" t="str">
        <f t="shared" si="10"/>
        <v/>
      </c>
      <c r="Q158" s="39" t="str">
        <f t="shared" si="10"/>
        <v/>
      </c>
      <c r="R158" s="39" t="str">
        <f t="shared" si="10"/>
        <v/>
      </c>
      <c r="S158" s="39" t="str">
        <f t="shared" si="10"/>
        <v/>
      </c>
      <c r="T158" s="39" t="str">
        <f t="shared" si="10"/>
        <v/>
      </c>
      <c r="U158" s="39" t="str">
        <f t="shared" si="10"/>
        <v/>
      </c>
      <c r="V158" s="39" t="str">
        <f t="shared" si="10"/>
        <v/>
      </c>
    </row>
    <row r="159" spans="1:22" x14ac:dyDescent="0.3">
      <c r="A159" s="38"/>
      <c r="B159" s="39" t="str">
        <f>IF($A159="","",SUMIFS([1]weekly_demand!$D:$D,[1]weekly_demand!$A:$A,B$1,[1]weekly_demand!$C:$C,$A159))</f>
        <v/>
      </c>
      <c r="C159" s="39" t="str">
        <f>IF($A159="","",SUMIFS([1]weekly_demand!$D:$D,[1]weekly_demand!$A:$A,C$1,[1]weekly_demand!$C:$C,$A159))</f>
        <v/>
      </c>
      <c r="D159" s="39" t="str">
        <f>IF($A159="","",SUMIFS([1]weekly_demand!$D:$D,[1]weekly_demand!$A:$A,D$1,[1]weekly_demand!$C:$C,$A159))</f>
        <v/>
      </c>
      <c r="E159" s="39" t="str">
        <f>IF($A159="","",SUMIFS([1]weekly_demand!$D:$D,[1]weekly_demand!$A:$A,E$1,[1]weekly_demand!$C:$C,$A159))</f>
        <v/>
      </c>
      <c r="F159" s="39" t="str">
        <f>IF($A159="","",SUMIFS([1]weekly_demand!$D:$D,[1]weekly_demand!$A:$A,F$1,[1]weekly_demand!$C:$C,$A159))</f>
        <v/>
      </c>
      <c r="G159" s="39" t="str">
        <f>IF($A159="","",SUMIFS([1]weekly_demand!$D:$D,[1]weekly_demand!$A:$A,G$1,[1]weekly_demand!$C:$C,$A159))</f>
        <v/>
      </c>
      <c r="H159" s="39" t="str">
        <f t="shared" si="10"/>
        <v/>
      </c>
      <c r="I159" s="39" t="str">
        <f t="shared" si="10"/>
        <v/>
      </c>
      <c r="J159" s="39" t="str">
        <f t="shared" si="10"/>
        <v/>
      </c>
      <c r="K159" s="39" t="str">
        <f t="shared" si="10"/>
        <v/>
      </c>
      <c r="L159" s="39" t="str">
        <f t="shared" si="10"/>
        <v/>
      </c>
      <c r="M159" s="39" t="str">
        <f t="shared" si="10"/>
        <v/>
      </c>
      <c r="N159" s="39" t="str">
        <f t="shared" si="10"/>
        <v/>
      </c>
      <c r="O159" s="39" t="str">
        <f t="shared" si="10"/>
        <v/>
      </c>
      <c r="P159" s="39" t="str">
        <f t="shared" si="10"/>
        <v/>
      </c>
      <c r="Q159" s="39" t="str">
        <f t="shared" si="10"/>
        <v/>
      </c>
      <c r="R159" s="39" t="str">
        <f t="shared" si="10"/>
        <v/>
      </c>
      <c r="S159" s="39" t="str">
        <f t="shared" si="10"/>
        <v/>
      </c>
      <c r="T159" s="39" t="str">
        <f t="shared" si="10"/>
        <v/>
      </c>
      <c r="U159" s="39" t="str">
        <f t="shared" si="10"/>
        <v/>
      </c>
      <c r="V159" s="39" t="str">
        <f t="shared" si="10"/>
        <v/>
      </c>
    </row>
    <row r="160" spans="1:22" x14ac:dyDescent="0.3">
      <c r="A160" s="38"/>
      <c r="B160" s="39" t="str">
        <f>IF($A160="","",SUMIFS([1]weekly_demand!$D:$D,[1]weekly_demand!$A:$A,B$1,[1]weekly_demand!$C:$C,$A160))</f>
        <v/>
      </c>
      <c r="C160" s="39" t="str">
        <f>IF($A160="","",SUMIFS([1]weekly_demand!$D:$D,[1]weekly_demand!$A:$A,C$1,[1]weekly_demand!$C:$C,$A160))</f>
        <v/>
      </c>
      <c r="D160" s="39" t="str">
        <f>IF($A160="","",SUMIFS([1]weekly_demand!$D:$D,[1]weekly_demand!$A:$A,D$1,[1]weekly_demand!$C:$C,$A160))</f>
        <v/>
      </c>
      <c r="E160" s="39" t="str">
        <f>IF($A160="","",SUMIFS([1]weekly_demand!$D:$D,[1]weekly_demand!$A:$A,E$1,[1]weekly_demand!$C:$C,$A160))</f>
        <v/>
      </c>
      <c r="F160" s="39" t="str">
        <f>IF($A160="","",SUMIFS([1]weekly_demand!$D:$D,[1]weekly_demand!$A:$A,F$1,[1]weekly_demand!$C:$C,$A160))</f>
        <v/>
      </c>
      <c r="G160" s="39" t="str">
        <f>IF($A160="","",SUMIFS([1]weekly_demand!$D:$D,[1]weekly_demand!$A:$A,G$1,[1]weekly_demand!$C:$C,$A160))</f>
        <v/>
      </c>
      <c r="H160" s="39" t="str">
        <f t="shared" si="10"/>
        <v/>
      </c>
      <c r="I160" s="39" t="str">
        <f t="shared" si="10"/>
        <v/>
      </c>
      <c r="J160" s="39" t="str">
        <f t="shared" si="10"/>
        <v/>
      </c>
      <c r="K160" s="39" t="str">
        <f t="shared" si="10"/>
        <v/>
      </c>
      <c r="L160" s="39" t="str">
        <f t="shared" si="10"/>
        <v/>
      </c>
      <c r="M160" s="39" t="str">
        <f t="shared" si="10"/>
        <v/>
      </c>
      <c r="N160" s="39" t="str">
        <f t="shared" si="10"/>
        <v/>
      </c>
      <c r="O160" s="39" t="str">
        <f t="shared" si="10"/>
        <v/>
      </c>
      <c r="P160" s="39" t="str">
        <f t="shared" si="10"/>
        <v/>
      </c>
      <c r="Q160" s="39" t="str">
        <f t="shared" si="10"/>
        <v/>
      </c>
      <c r="R160" s="39" t="str">
        <f t="shared" si="10"/>
        <v/>
      </c>
      <c r="S160" s="39" t="str">
        <f t="shared" si="10"/>
        <v/>
      </c>
      <c r="T160" s="39" t="str">
        <f t="shared" si="10"/>
        <v/>
      </c>
      <c r="U160" s="39" t="str">
        <f t="shared" si="10"/>
        <v/>
      </c>
      <c r="V160" s="39" t="str">
        <f t="shared" si="10"/>
        <v/>
      </c>
    </row>
    <row r="161" spans="1:22" x14ac:dyDescent="0.3">
      <c r="A161" s="38"/>
      <c r="B161" s="39" t="str">
        <f>IF($A161="","",SUMIFS([1]weekly_demand!$D:$D,[1]weekly_demand!$A:$A,B$1,[1]weekly_demand!$C:$C,$A161))</f>
        <v/>
      </c>
      <c r="C161" s="39" t="str">
        <f>IF($A161="","",SUMIFS([1]weekly_demand!$D:$D,[1]weekly_demand!$A:$A,C$1,[1]weekly_demand!$C:$C,$A161))</f>
        <v/>
      </c>
      <c r="D161" s="39" t="str">
        <f>IF($A161="","",SUMIFS([1]weekly_demand!$D:$D,[1]weekly_demand!$A:$A,D$1,[1]weekly_demand!$C:$C,$A161))</f>
        <v/>
      </c>
      <c r="E161" s="39" t="str">
        <f>IF($A161="","",SUMIFS([1]weekly_demand!$D:$D,[1]weekly_demand!$A:$A,E$1,[1]weekly_demand!$C:$C,$A161))</f>
        <v/>
      </c>
      <c r="F161" s="39" t="str">
        <f>IF($A161="","",SUMIFS([1]weekly_demand!$D:$D,[1]weekly_demand!$A:$A,F$1,[1]weekly_demand!$C:$C,$A161))</f>
        <v/>
      </c>
      <c r="G161" s="39" t="str">
        <f>IF($A161="","",SUMIFS([1]weekly_demand!$D:$D,[1]weekly_demand!$A:$A,G$1,[1]weekly_demand!$C:$C,$A161))</f>
        <v/>
      </c>
      <c r="H161" s="39" t="str">
        <f t="shared" si="10"/>
        <v/>
      </c>
      <c r="I161" s="39" t="str">
        <f t="shared" si="10"/>
        <v/>
      </c>
      <c r="J161" s="39" t="str">
        <f t="shared" si="10"/>
        <v/>
      </c>
      <c r="K161" s="39" t="str">
        <f t="shared" si="10"/>
        <v/>
      </c>
      <c r="L161" s="39" t="str">
        <f t="shared" si="10"/>
        <v/>
      </c>
      <c r="M161" s="39" t="str">
        <f t="shared" si="10"/>
        <v/>
      </c>
      <c r="N161" s="39" t="str">
        <f t="shared" si="10"/>
        <v/>
      </c>
      <c r="O161" s="39" t="str">
        <f t="shared" si="10"/>
        <v/>
      </c>
      <c r="P161" s="39" t="str">
        <f t="shared" si="10"/>
        <v/>
      </c>
      <c r="Q161" s="39" t="str">
        <f t="shared" si="10"/>
        <v/>
      </c>
      <c r="R161" s="39" t="str">
        <f t="shared" si="10"/>
        <v/>
      </c>
      <c r="S161" s="39" t="str">
        <f t="shared" si="10"/>
        <v/>
      </c>
      <c r="T161" s="39" t="str">
        <f t="shared" si="10"/>
        <v/>
      </c>
      <c r="U161" s="39" t="str">
        <f t="shared" si="10"/>
        <v/>
      </c>
      <c r="V161" s="39" t="str">
        <f t="shared" si="10"/>
        <v/>
      </c>
    </row>
    <row r="162" spans="1:22" x14ac:dyDescent="0.3">
      <c r="A162" s="38"/>
      <c r="B162" s="39" t="str">
        <f>IF($A162="","",SUMIFS([1]weekly_demand!$D:$D,[1]weekly_demand!$A:$A,B$1,[1]weekly_demand!$C:$C,$A162))</f>
        <v/>
      </c>
      <c r="C162" s="39" t="str">
        <f>IF($A162="","",SUMIFS([1]weekly_demand!$D:$D,[1]weekly_demand!$A:$A,C$1,[1]weekly_demand!$C:$C,$A162))</f>
        <v/>
      </c>
      <c r="D162" s="39" t="str">
        <f>IF($A162="","",SUMIFS([1]weekly_demand!$D:$D,[1]weekly_demand!$A:$A,D$1,[1]weekly_demand!$C:$C,$A162))</f>
        <v/>
      </c>
      <c r="E162" s="39" t="str">
        <f>IF($A162="","",SUMIFS([1]weekly_demand!$D:$D,[1]weekly_demand!$A:$A,E$1,[1]weekly_demand!$C:$C,$A162))</f>
        <v/>
      </c>
      <c r="F162" s="39" t="str">
        <f>IF($A162="","",SUMIFS([1]weekly_demand!$D:$D,[1]weekly_demand!$A:$A,F$1,[1]weekly_demand!$C:$C,$A162))</f>
        <v/>
      </c>
      <c r="G162" s="39" t="str">
        <f>IF($A162="","",SUMIFS([1]weekly_demand!$D:$D,[1]weekly_demand!$A:$A,G$1,[1]weekly_demand!$C:$C,$A162))</f>
        <v/>
      </c>
      <c r="H162" s="39" t="str">
        <f t="shared" ref="H162:V177" si="11">IF($A162="","",SUMPRODUCT($B162:$G162,INDEX($Y$2:$AD$16,MATCH(H$1,$X$2:$X$16,0),0)))</f>
        <v/>
      </c>
      <c r="I162" s="39" t="str">
        <f t="shared" si="11"/>
        <v/>
      </c>
      <c r="J162" s="39" t="str">
        <f t="shared" si="11"/>
        <v/>
      </c>
      <c r="K162" s="39" t="str">
        <f t="shared" si="11"/>
        <v/>
      </c>
      <c r="L162" s="39" t="str">
        <f t="shared" si="11"/>
        <v/>
      </c>
      <c r="M162" s="39" t="str">
        <f t="shared" si="11"/>
        <v/>
      </c>
      <c r="N162" s="39" t="str">
        <f t="shared" si="11"/>
        <v/>
      </c>
      <c r="O162" s="39" t="str">
        <f t="shared" si="11"/>
        <v/>
      </c>
      <c r="P162" s="39" t="str">
        <f t="shared" si="11"/>
        <v/>
      </c>
      <c r="Q162" s="39" t="str">
        <f t="shared" si="11"/>
        <v/>
      </c>
      <c r="R162" s="39" t="str">
        <f t="shared" si="11"/>
        <v/>
      </c>
      <c r="S162" s="39" t="str">
        <f t="shared" si="11"/>
        <v/>
      </c>
      <c r="T162" s="39" t="str">
        <f t="shared" si="11"/>
        <v/>
      </c>
      <c r="U162" s="39" t="str">
        <f t="shared" si="11"/>
        <v/>
      </c>
      <c r="V162" s="39" t="str">
        <f t="shared" si="11"/>
        <v/>
      </c>
    </row>
    <row r="163" spans="1:22" x14ac:dyDescent="0.3">
      <c r="A163" s="38"/>
      <c r="B163" s="39" t="str">
        <f>IF($A163="","",SUMIFS([1]weekly_demand!$D:$D,[1]weekly_demand!$A:$A,B$1,[1]weekly_demand!$C:$C,$A163))</f>
        <v/>
      </c>
      <c r="C163" s="39" t="str">
        <f>IF($A163="","",SUMIFS([1]weekly_demand!$D:$D,[1]weekly_demand!$A:$A,C$1,[1]weekly_demand!$C:$C,$A163))</f>
        <v/>
      </c>
      <c r="D163" s="39" t="str">
        <f>IF($A163="","",SUMIFS([1]weekly_demand!$D:$D,[1]weekly_demand!$A:$A,D$1,[1]weekly_demand!$C:$C,$A163))</f>
        <v/>
      </c>
      <c r="E163" s="39" t="str">
        <f>IF($A163="","",SUMIFS([1]weekly_demand!$D:$D,[1]weekly_demand!$A:$A,E$1,[1]weekly_demand!$C:$C,$A163))</f>
        <v/>
      </c>
      <c r="F163" s="39" t="str">
        <f>IF($A163="","",SUMIFS([1]weekly_demand!$D:$D,[1]weekly_demand!$A:$A,F$1,[1]weekly_demand!$C:$C,$A163))</f>
        <v/>
      </c>
      <c r="G163" s="39" t="str">
        <f>IF($A163="","",SUMIFS([1]weekly_demand!$D:$D,[1]weekly_demand!$A:$A,G$1,[1]weekly_demand!$C:$C,$A163))</f>
        <v/>
      </c>
      <c r="H163" s="39" t="str">
        <f t="shared" si="11"/>
        <v/>
      </c>
      <c r="I163" s="39" t="str">
        <f t="shared" si="11"/>
        <v/>
      </c>
      <c r="J163" s="39" t="str">
        <f t="shared" si="11"/>
        <v/>
      </c>
      <c r="K163" s="39" t="str">
        <f t="shared" si="11"/>
        <v/>
      </c>
      <c r="L163" s="39" t="str">
        <f t="shared" si="11"/>
        <v/>
      </c>
      <c r="M163" s="39" t="str">
        <f t="shared" si="11"/>
        <v/>
      </c>
      <c r="N163" s="39" t="str">
        <f t="shared" si="11"/>
        <v/>
      </c>
      <c r="O163" s="39" t="str">
        <f t="shared" si="11"/>
        <v/>
      </c>
      <c r="P163" s="39" t="str">
        <f t="shared" si="11"/>
        <v/>
      </c>
      <c r="Q163" s="39" t="str">
        <f t="shared" si="11"/>
        <v/>
      </c>
      <c r="R163" s="39" t="str">
        <f t="shared" si="11"/>
        <v/>
      </c>
      <c r="S163" s="39" t="str">
        <f t="shared" si="11"/>
        <v/>
      </c>
      <c r="T163" s="39" t="str">
        <f t="shared" si="11"/>
        <v/>
      </c>
      <c r="U163" s="39" t="str">
        <f t="shared" si="11"/>
        <v/>
      </c>
      <c r="V163" s="39" t="str">
        <f t="shared" si="11"/>
        <v/>
      </c>
    </row>
    <row r="164" spans="1:22" x14ac:dyDescent="0.3">
      <c r="A164" s="38"/>
      <c r="B164" s="39" t="str">
        <f>IF($A164="","",SUMIFS([1]weekly_demand!$D:$D,[1]weekly_demand!$A:$A,B$1,[1]weekly_demand!$C:$C,$A164))</f>
        <v/>
      </c>
      <c r="C164" s="39" t="str">
        <f>IF($A164="","",SUMIFS([1]weekly_demand!$D:$D,[1]weekly_demand!$A:$A,C$1,[1]weekly_demand!$C:$C,$A164))</f>
        <v/>
      </c>
      <c r="D164" s="39" t="str">
        <f>IF($A164="","",SUMIFS([1]weekly_demand!$D:$D,[1]weekly_demand!$A:$A,D$1,[1]weekly_demand!$C:$C,$A164))</f>
        <v/>
      </c>
      <c r="E164" s="39" t="str">
        <f>IF($A164="","",SUMIFS([1]weekly_demand!$D:$D,[1]weekly_demand!$A:$A,E$1,[1]weekly_demand!$C:$C,$A164))</f>
        <v/>
      </c>
      <c r="F164" s="39" t="str">
        <f>IF($A164="","",SUMIFS([1]weekly_demand!$D:$D,[1]weekly_demand!$A:$A,F$1,[1]weekly_demand!$C:$C,$A164))</f>
        <v/>
      </c>
      <c r="G164" s="39" t="str">
        <f>IF($A164="","",SUMIFS([1]weekly_demand!$D:$D,[1]weekly_demand!$A:$A,G$1,[1]weekly_demand!$C:$C,$A164))</f>
        <v/>
      </c>
      <c r="H164" s="39" t="str">
        <f t="shared" si="11"/>
        <v/>
      </c>
      <c r="I164" s="39" t="str">
        <f t="shared" si="11"/>
        <v/>
      </c>
      <c r="J164" s="39" t="str">
        <f t="shared" si="11"/>
        <v/>
      </c>
      <c r="K164" s="39" t="str">
        <f t="shared" si="11"/>
        <v/>
      </c>
      <c r="L164" s="39" t="str">
        <f t="shared" si="11"/>
        <v/>
      </c>
      <c r="M164" s="39" t="str">
        <f t="shared" si="11"/>
        <v/>
      </c>
      <c r="N164" s="39" t="str">
        <f t="shared" si="11"/>
        <v/>
      </c>
      <c r="O164" s="39" t="str">
        <f t="shared" si="11"/>
        <v/>
      </c>
      <c r="P164" s="39" t="str">
        <f t="shared" si="11"/>
        <v/>
      </c>
      <c r="Q164" s="39" t="str">
        <f t="shared" si="11"/>
        <v/>
      </c>
      <c r="R164" s="39" t="str">
        <f t="shared" si="11"/>
        <v/>
      </c>
      <c r="S164" s="39" t="str">
        <f t="shared" si="11"/>
        <v/>
      </c>
      <c r="T164" s="39" t="str">
        <f t="shared" si="11"/>
        <v/>
      </c>
      <c r="U164" s="39" t="str">
        <f t="shared" si="11"/>
        <v/>
      </c>
      <c r="V164" s="39" t="str">
        <f t="shared" si="11"/>
        <v/>
      </c>
    </row>
    <row r="165" spans="1:22" x14ac:dyDescent="0.3">
      <c r="A165" s="38"/>
      <c r="B165" s="39" t="str">
        <f>IF($A165="","",SUMIFS([1]weekly_demand!$D:$D,[1]weekly_demand!$A:$A,B$1,[1]weekly_demand!$C:$C,$A165))</f>
        <v/>
      </c>
      <c r="C165" s="39" t="str">
        <f>IF($A165="","",SUMIFS([1]weekly_demand!$D:$D,[1]weekly_demand!$A:$A,C$1,[1]weekly_demand!$C:$C,$A165))</f>
        <v/>
      </c>
      <c r="D165" s="39" t="str">
        <f>IF($A165="","",SUMIFS([1]weekly_demand!$D:$D,[1]weekly_demand!$A:$A,D$1,[1]weekly_demand!$C:$C,$A165))</f>
        <v/>
      </c>
      <c r="E165" s="39" t="str">
        <f>IF($A165="","",SUMIFS([1]weekly_demand!$D:$D,[1]weekly_demand!$A:$A,E$1,[1]weekly_demand!$C:$C,$A165))</f>
        <v/>
      </c>
      <c r="F165" s="39" t="str">
        <f>IF($A165="","",SUMIFS([1]weekly_demand!$D:$D,[1]weekly_demand!$A:$A,F$1,[1]weekly_demand!$C:$C,$A165))</f>
        <v/>
      </c>
      <c r="G165" s="39" t="str">
        <f>IF($A165="","",SUMIFS([1]weekly_demand!$D:$D,[1]weekly_demand!$A:$A,G$1,[1]weekly_demand!$C:$C,$A165))</f>
        <v/>
      </c>
      <c r="H165" s="39" t="str">
        <f t="shared" si="11"/>
        <v/>
      </c>
      <c r="I165" s="39" t="str">
        <f t="shared" si="11"/>
        <v/>
      </c>
      <c r="J165" s="39" t="str">
        <f t="shared" si="11"/>
        <v/>
      </c>
      <c r="K165" s="39" t="str">
        <f t="shared" si="11"/>
        <v/>
      </c>
      <c r="L165" s="39" t="str">
        <f t="shared" si="11"/>
        <v/>
      </c>
      <c r="M165" s="39" t="str">
        <f t="shared" si="11"/>
        <v/>
      </c>
      <c r="N165" s="39" t="str">
        <f t="shared" si="11"/>
        <v/>
      </c>
      <c r="O165" s="39" t="str">
        <f t="shared" si="11"/>
        <v/>
      </c>
      <c r="P165" s="39" t="str">
        <f t="shared" si="11"/>
        <v/>
      </c>
      <c r="Q165" s="39" t="str">
        <f t="shared" si="11"/>
        <v/>
      </c>
      <c r="R165" s="39" t="str">
        <f t="shared" si="11"/>
        <v/>
      </c>
      <c r="S165" s="39" t="str">
        <f t="shared" si="11"/>
        <v/>
      </c>
      <c r="T165" s="39" t="str">
        <f t="shared" si="11"/>
        <v/>
      </c>
      <c r="U165" s="39" t="str">
        <f t="shared" si="11"/>
        <v/>
      </c>
      <c r="V165" s="39" t="str">
        <f t="shared" si="11"/>
        <v/>
      </c>
    </row>
    <row r="166" spans="1:22" x14ac:dyDescent="0.3">
      <c r="A166" s="38"/>
      <c r="B166" s="39" t="str">
        <f>IF($A166="","",SUMIFS([1]weekly_demand!$D:$D,[1]weekly_demand!$A:$A,B$1,[1]weekly_demand!$C:$C,$A166))</f>
        <v/>
      </c>
      <c r="C166" s="39" t="str">
        <f>IF($A166="","",SUMIFS([1]weekly_demand!$D:$D,[1]weekly_demand!$A:$A,C$1,[1]weekly_demand!$C:$C,$A166))</f>
        <v/>
      </c>
      <c r="D166" s="39" t="str">
        <f>IF($A166="","",SUMIFS([1]weekly_demand!$D:$D,[1]weekly_demand!$A:$A,D$1,[1]weekly_demand!$C:$C,$A166))</f>
        <v/>
      </c>
      <c r="E166" s="39" t="str">
        <f>IF($A166="","",SUMIFS([1]weekly_demand!$D:$D,[1]weekly_demand!$A:$A,E$1,[1]weekly_demand!$C:$C,$A166))</f>
        <v/>
      </c>
      <c r="F166" s="39" t="str">
        <f>IF($A166="","",SUMIFS([1]weekly_demand!$D:$D,[1]weekly_demand!$A:$A,F$1,[1]weekly_demand!$C:$C,$A166))</f>
        <v/>
      </c>
      <c r="G166" s="39" t="str">
        <f>IF($A166="","",SUMIFS([1]weekly_demand!$D:$D,[1]weekly_demand!$A:$A,G$1,[1]weekly_demand!$C:$C,$A166))</f>
        <v/>
      </c>
      <c r="H166" s="39" t="str">
        <f t="shared" si="11"/>
        <v/>
      </c>
      <c r="I166" s="39" t="str">
        <f t="shared" si="11"/>
        <v/>
      </c>
      <c r="J166" s="39" t="str">
        <f t="shared" si="11"/>
        <v/>
      </c>
      <c r="K166" s="39" t="str">
        <f t="shared" si="11"/>
        <v/>
      </c>
      <c r="L166" s="39" t="str">
        <f t="shared" si="11"/>
        <v/>
      </c>
      <c r="M166" s="39" t="str">
        <f t="shared" si="11"/>
        <v/>
      </c>
      <c r="N166" s="39" t="str">
        <f t="shared" si="11"/>
        <v/>
      </c>
      <c r="O166" s="39" t="str">
        <f t="shared" si="11"/>
        <v/>
      </c>
      <c r="P166" s="39" t="str">
        <f t="shared" si="11"/>
        <v/>
      </c>
      <c r="Q166" s="39" t="str">
        <f t="shared" si="11"/>
        <v/>
      </c>
      <c r="R166" s="39" t="str">
        <f t="shared" si="11"/>
        <v/>
      </c>
      <c r="S166" s="39" t="str">
        <f t="shared" si="11"/>
        <v/>
      </c>
      <c r="T166" s="39" t="str">
        <f t="shared" si="11"/>
        <v/>
      </c>
      <c r="U166" s="39" t="str">
        <f t="shared" si="11"/>
        <v/>
      </c>
      <c r="V166" s="39" t="str">
        <f t="shared" si="11"/>
        <v/>
      </c>
    </row>
    <row r="167" spans="1:22" x14ac:dyDescent="0.3">
      <c r="A167" s="38"/>
      <c r="B167" s="39" t="str">
        <f>IF($A167="","",SUMIFS([1]weekly_demand!$D:$D,[1]weekly_demand!$A:$A,B$1,[1]weekly_demand!$C:$C,$A167))</f>
        <v/>
      </c>
      <c r="C167" s="39" t="str">
        <f>IF($A167="","",SUMIFS([1]weekly_demand!$D:$D,[1]weekly_demand!$A:$A,C$1,[1]weekly_demand!$C:$C,$A167))</f>
        <v/>
      </c>
      <c r="D167" s="39" t="str">
        <f>IF($A167="","",SUMIFS([1]weekly_demand!$D:$D,[1]weekly_demand!$A:$A,D$1,[1]weekly_demand!$C:$C,$A167))</f>
        <v/>
      </c>
      <c r="E167" s="39" t="str">
        <f>IF($A167="","",SUMIFS([1]weekly_demand!$D:$D,[1]weekly_demand!$A:$A,E$1,[1]weekly_demand!$C:$C,$A167))</f>
        <v/>
      </c>
      <c r="F167" s="39" t="str">
        <f>IF($A167="","",SUMIFS([1]weekly_demand!$D:$D,[1]weekly_demand!$A:$A,F$1,[1]weekly_demand!$C:$C,$A167))</f>
        <v/>
      </c>
      <c r="G167" s="39" t="str">
        <f>IF($A167="","",SUMIFS([1]weekly_demand!$D:$D,[1]weekly_demand!$A:$A,G$1,[1]weekly_demand!$C:$C,$A167))</f>
        <v/>
      </c>
      <c r="H167" s="39" t="str">
        <f t="shared" si="11"/>
        <v/>
      </c>
      <c r="I167" s="39" t="str">
        <f t="shared" si="11"/>
        <v/>
      </c>
      <c r="J167" s="39" t="str">
        <f t="shared" si="11"/>
        <v/>
      </c>
      <c r="K167" s="39" t="str">
        <f t="shared" si="11"/>
        <v/>
      </c>
      <c r="L167" s="39" t="str">
        <f t="shared" si="11"/>
        <v/>
      </c>
      <c r="M167" s="39" t="str">
        <f t="shared" si="11"/>
        <v/>
      </c>
      <c r="N167" s="39" t="str">
        <f t="shared" si="11"/>
        <v/>
      </c>
      <c r="O167" s="39" t="str">
        <f t="shared" si="11"/>
        <v/>
      </c>
      <c r="P167" s="39" t="str">
        <f t="shared" si="11"/>
        <v/>
      </c>
      <c r="Q167" s="39" t="str">
        <f t="shared" si="11"/>
        <v/>
      </c>
      <c r="R167" s="39" t="str">
        <f t="shared" si="11"/>
        <v/>
      </c>
      <c r="S167" s="39" t="str">
        <f t="shared" si="11"/>
        <v/>
      </c>
      <c r="T167" s="39" t="str">
        <f t="shared" si="11"/>
        <v/>
      </c>
      <c r="U167" s="39" t="str">
        <f t="shared" si="11"/>
        <v/>
      </c>
      <c r="V167" s="39" t="str">
        <f t="shared" si="11"/>
        <v/>
      </c>
    </row>
    <row r="168" spans="1:22" x14ac:dyDescent="0.3">
      <c r="A168" s="38"/>
      <c r="B168" s="39" t="str">
        <f>IF($A168="","",SUMIFS([1]weekly_demand!$D:$D,[1]weekly_demand!$A:$A,B$1,[1]weekly_demand!$C:$C,$A168))</f>
        <v/>
      </c>
      <c r="C168" s="39" t="str">
        <f>IF($A168="","",SUMIFS([1]weekly_demand!$D:$D,[1]weekly_demand!$A:$A,C$1,[1]weekly_demand!$C:$C,$A168))</f>
        <v/>
      </c>
      <c r="D168" s="39" t="str">
        <f>IF($A168="","",SUMIFS([1]weekly_demand!$D:$D,[1]weekly_demand!$A:$A,D$1,[1]weekly_demand!$C:$C,$A168))</f>
        <v/>
      </c>
      <c r="E168" s="39" t="str">
        <f>IF($A168="","",SUMIFS([1]weekly_demand!$D:$D,[1]weekly_demand!$A:$A,E$1,[1]weekly_demand!$C:$C,$A168))</f>
        <v/>
      </c>
      <c r="F168" s="39" t="str">
        <f>IF($A168="","",SUMIFS([1]weekly_demand!$D:$D,[1]weekly_demand!$A:$A,F$1,[1]weekly_demand!$C:$C,$A168))</f>
        <v/>
      </c>
      <c r="G168" s="39" t="str">
        <f>IF($A168="","",SUMIFS([1]weekly_demand!$D:$D,[1]weekly_demand!$A:$A,G$1,[1]weekly_demand!$C:$C,$A168))</f>
        <v/>
      </c>
      <c r="H168" s="39" t="str">
        <f t="shared" si="11"/>
        <v/>
      </c>
      <c r="I168" s="39" t="str">
        <f t="shared" si="11"/>
        <v/>
      </c>
      <c r="J168" s="39" t="str">
        <f t="shared" si="11"/>
        <v/>
      </c>
      <c r="K168" s="39" t="str">
        <f t="shared" si="11"/>
        <v/>
      </c>
      <c r="L168" s="39" t="str">
        <f t="shared" si="11"/>
        <v/>
      </c>
      <c r="M168" s="39" t="str">
        <f t="shared" si="11"/>
        <v/>
      </c>
      <c r="N168" s="39" t="str">
        <f t="shared" si="11"/>
        <v/>
      </c>
      <c r="O168" s="39" t="str">
        <f t="shared" si="11"/>
        <v/>
      </c>
      <c r="P168" s="39" t="str">
        <f t="shared" si="11"/>
        <v/>
      </c>
      <c r="Q168" s="39" t="str">
        <f t="shared" si="11"/>
        <v/>
      </c>
      <c r="R168" s="39" t="str">
        <f t="shared" si="11"/>
        <v/>
      </c>
      <c r="S168" s="39" t="str">
        <f t="shared" si="11"/>
        <v/>
      </c>
      <c r="T168" s="39" t="str">
        <f t="shared" si="11"/>
        <v/>
      </c>
      <c r="U168" s="39" t="str">
        <f t="shared" si="11"/>
        <v/>
      </c>
      <c r="V168" s="39" t="str">
        <f t="shared" si="11"/>
        <v/>
      </c>
    </row>
    <row r="169" spans="1:22" x14ac:dyDescent="0.3">
      <c r="A169" s="38"/>
      <c r="B169" s="39" t="str">
        <f>IF($A169="","",SUMIFS([1]weekly_demand!$D:$D,[1]weekly_demand!$A:$A,B$1,[1]weekly_demand!$C:$C,$A169))</f>
        <v/>
      </c>
      <c r="C169" s="39" t="str">
        <f>IF($A169="","",SUMIFS([1]weekly_demand!$D:$D,[1]weekly_demand!$A:$A,C$1,[1]weekly_demand!$C:$C,$A169))</f>
        <v/>
      </c>
      <c r="D169" s="39" t="str">
        <f>IF($A169="","",SUMIFS([1]weekly_demand!$D:$D,[1]weekly_demand!$A:$A,D$1,[1]weekly_demand!$C:$C,$A169))</f>
        <v/>
      </c>
      <c r="E169" s="39" t="str">
        <f>IF($A169="","",SUMIFS([1]weekly_demand!$D:$D,[1]weekly_demand!$A:$A,E$1,[1]weekly_demand!$C:$C,$A169))</f>
        <v/>
      </c>
      <c r="F169" s="39" t="str">
        <f>IF($A169="","",SUMIFS([1]weekly_demand!$D:$D,[1]weekly_demand!$A:$A,F$1,[1]weekly_demand!$C:$C,$A169))</f>
        <v/>
      </c>
      <c r="G169" s="39" t="str">
        <f>IF($A169="","",SUMIFS([1]weekly_demand!$D:$D,[1]weekly_demand!$A:$A,G$1,[1]weekly_demand!$C:$C,$A169))</f>
        <v/>
      </c>
      <c r="H169" s="39" t="str">
        <f t="shared" si="11"/>
        <v/>
      </c>
      <c r="I169" s="39" t="str">
        <f t="shared" si="11"/>
        <v/>
      </c>
      <c r="J169" s="39" t="str">
        <f t="shared" si="11"/>
        <v/>
      </c>
      <c r="K169" s="39" t="str">
        <f t="shared" si="11"/>
        <v/>
      </c>
      <c r="L169" s="39" t="str">
        <f t="shared" si="11"/>
        <v/>
      </c>
      <c r="M169" s="39" t="str">
        <f t="shared" si="11"/>
        <v/>
      </c>
      <c r="N169" s="39" t="str">
        <f t="shared" si="11"/>
        <v/>
      </c>
      <c r="O169" s="39" t="str">
        <f t="shared" si="11"/>
        <v/>
      </c>
      <c r="P169" s="39" t="str">
        <f t="shared" si="11"/>
        <v/>
      </c>
      <c r="Q169" s="39" t="str">
        <f t="shared" si="11"/>
        <v/>
      </c>
      <c r="R169" s="39" t="str">
        <f t="shared" si="11"/>
        <v/>
      </c>
      <c r="S169" s="39" t="str">
        <f t="shared" si="11"/>
        <v/>
      </c>
      <c r="T169" s="39" t="str">
        <f t="shared" si="11"/>
        <v/>
      </c>
      <c r="U169" s="39" t="str">
        <f t="shared" si="11"/>
        <v/>
      </c>
      <c r="V169" s="39" t="str">
        <f t="shared" si="11"/>
        <v/>
      </c>
    </row>
    <row r="170" spans="1:22" x14ac:dyDescent="0.3">
      <c r="A170" s="38"/>
      <c r="B170" s="39" t="str">
        <f>IF($A170="","",SUMIFS([1]weekly_demand!$D:$D,[1]weekly_demand!$A:$A,B$1,[1]weekly_demand!$C:$C,$A170))</f>
        <v/>
      </c>
      <c r="C170" s="39" t="str">
        <f>IF($A170="","",SUMIFS([1]weekly_demand!$D:$D,[1]weekly_demand!$A:$A,C$1,[1]weekly_demand!$C:$C,$A170))</f>
        <v/>
      </c>
      <c r="D170" s="39" t="str">
        <f>IF($A170="","",SUMIFS([1]weekly_demand!$D:$D,[1]weekly_demand!$A:$A,D$1,[1]weekly_demand!$C:$C,$A170))</f>
        <v/>
      </c>
      <c r="E170" s="39" t="str">
        <f>IF($A170="","",SUMIFS([1]weekly_demand!$D:$D,[1]weekly_demand!$A:$A,E$1,[1]weekly_demand!$C:$C,$A170))</f>
        <v/>
      </c>
      <c r="F170" s="39" t="str">
        <f>IF($A170="","",SUMIFS([1]weekly_demand!$D:$D,[1]weekly_demand!$A:$A,F$1,[1]weekly_demand!$C:$C,$A170))</f>
        <v/>
      </c>
      <c r="G170" s="39" t="str">
        <f>IF($A170="","",SUMIFS([1]weekly_demand!$D:$D,[1]weekly_demand!$A:$A,G$1,[1]weekly_demand!$C:$C,$A170))</f>
        <v/>
      </c>
      <c r="H170" s="39" t="str">
        <f t="shared" si="11"/>
        <v/>
      </c>
      <c r="I170" s="39" t="str">
        <f t="shared" si="11"/>
        <v/>
      </c>
      <c r="J170" s="39" t="str">
        <f t="shared" si="11"/>
        <v/>
      </c>
      <c r="K170" s="39" t="str">
        <f t="shared" si="11"/>
        <v/>
      </c>
      <c r="L170" s="39" t="str">
        <f t="shared" si="11"/>
        <v/>
      </c>
      <c r="M170" s="39" t="str">
        <f t="shared" si="11"/>
        <v/>
      </c>
      <c r="N170" s="39" t="str">
        <f t="shared" si="11"/>
        <v/>
      </c>
      <c r="O170" s="39" t="str">
        <f t="shared" si="11"/>
        <v/>
      </c>
      <c r="P170" s="39" t="str">
        <f t="shared" si="11"/>
        <v/>
      </c>
      <c r="Q170" s="39" t="str">
        <f t="shared" si="11"/>
        <v/>
      </c>
      <c r="R170" s="39" t="str">
        <f t="shared" si="11"/>
        <v/>
      </c>
      <c r="S170" s="39" t="str">
        <f t="shared" si="11"/>
        <v/>
      </c>
      <c r="T170" s="39" t="str">
        <f t="shared" si="11"/>
        <v/>
      </c>
      <c r="U170" s="39" t="str">
        <f t="shared" si="11"/>
        <v/>
      </c>
      <c r="V170" s="39" t="str">
        <f t="shared" si="11"/>
        <v/>
      </c>
    </row>
    <row r="171" spans="1:22" x14ac:dyDescent="0.3">
      <c r="A171" s="38"/>
      <c r="B171" s="39" t="str">
        <f>IF($A171="","",SUMIFS([1]weekly_demand!$D:$D,[1]weekly_demand!$A:$A,B$1,[1]weekly_demand!$C:$C,$A171))</f>
        <v/>
      </c>
      <c r="C171" s="39" t="str">
        <f>IF($A171="","",SUMIFS([1]weekly_demand!$D:$D,[1]weekly_demand!$A:$A,C$1,[1]weekly_demand!$C:$C,$A171))</f>
        <v/>
      </c>
      <c r="D171" s="39" t="str">
        <f>IF($A171="","",SUMIFS([1]weekly_demand!$D:$D,[1]weekly_demand!$A:$A,D$1,[1]weekly_demand!$C:$C,$A171))</f>
        <v/>
      </c>
      <c r="E171" s="39" t="str">
        <f>IF($A171="","",SUMIFS([1]weekly_demand!$D:$D,[1]weekly_demand!$A:$A,E$1,[1]weekly_demand!$C:$C,$A171))</f>
        <v/>
      </c>
      <c r="F171" s="39" t="str">
        <f>IF($A171="","",SUMIFS([1]weekly_demand!$D:$D,[1]weekly_demand!$A:$A,F$1,[1]weekly_demand!$C:$C,$A171))</f>
        <v/>
      </c>
      <c r="G171" s="39" t="str">
        <f>IF($A171="","",SUMIFS([1]weekly_demand!$D:$D,[1]weekly_demand!$A:$A,G$1,[1]weekly_demand!$C:$C,$A171))</f>
        <v/>
      </c>
      <c r="H171" s="39" t="str">
        <f t="shared" si="11"/>
        <v/>
      </c>
      <c r="I171" s="39" t="str">
        <f t="shared" si="11"/>
        <v/>
      </c>
      <c r="J171" s="39" t="str">
        <f t="shared" si="11"/>
        <v/>
      </c>
      <c r="K171" s="39" t="str">
        <f t="shared" si="11"/>
        <v/>
      </c>
      <c r="L171" s="39" t="str">
        <f t="shared" si="11"/>
        <v/>
      </c>
      <c r="M171" s="39" t="str">
        <f t="shared" si="11"/>
        <v/>
      </c>
      <c r="N171" s="39" t="str">
        <f t="shared" si="11"/>
        <v/>
      </c>
      <c r="O171" s="39" t="str">
        <f t="shared" si="11"/>
        <v/>
      </c>
      <c r="P171" s="39" t="str">
        <f t="shared" si="11"/>
        <v/>
      </c>
      <c r="Q171" s="39" t="str">
        <f t="shared" si="11"/>
        <v/>
      </c>
      <c r="R171" s="39" t="str">
        <f t="shared" si="11"/>
        <v/>
      </c>
      <c r="S171" s="39" t="str">
        <f t="shared" si="11"/>
        <v/>
      </c>
      <c r="T171" s="39" t="str">
        <f t="shared" si="11"/>
        <v/>
      </c>
      <c r="U171" s="39" t="str">
        <f t="shared" si="11"/>
        <v/>
      </c>
      <c r="V171" s="39" t="str">
        <f t="shared" si="11"/>
        <v/>
      </c>
    </row>
    <row r="172" spans="1:22" x14ac:dyDescent="0.3">
      <c r="A172" s="38"/>
      <c r="B172" s="39" t="str">
        <f>IF($A172="","",SUMIFS([1]weekly_demand!$D:$D,[1]weekly_demand!$A:$A,B$1,[1]weekly_demand!$C:$C,$A172))</f>
        <v/>
      </c>
      <c r="C172" s="39" t="str">
        <f>IF($A172="","",SUMIFS([1]weekly_demand!$D:$D,[1]weekly_demand!$A:$A,C$1,[1]weekly_demand!$C:$C,$A172))</f>
        <v/>
      </c>
      <c r="D172" s="39" t="str">
        <f>IF($A172="","",SUMIFS([1]weekly_demand!$D:$D,[1]weekly_demand!$A:$A,D$1,[1]weekly_demand!$C:$C,$A172))</f>
        <v/>
      </c>
      <c r="E172" s="39" t="str">
        <f>IF($A172="","",SUMIFS([1]weekly_demand!$D:$D,[1]weekly_demand!$A:$A,E$1,[1]weekly_demand!$C:$C,$A172))</f>
        <v/>
      </c>
      <c r="F172" s="39" t="str">
        <f>IF($A172="","",SUMIFS([1]weekly_demand!$D:$D,[1]weekly_demand!$A:$A,F$1,[1]weekly_demand!$C:$C,$A172))</f>
        <v/>
      </c>
      <c r="G172" s="39" t="str">
        <f>IF($A172="","",SUMIFS([1]weekly_demand!$D:$D,[1]weekly_demand!$A:$A,G$1,[1]weekly_demand!$C:$C,$A172))</f>
        <v/>
      </c>
      <c r="H172" s="39" t="str">
        <f t="shared" si="11"/>
        <v/>
      </c>
      <c r="I172" s="39" t="str">
        <f t="shared" si="11"/>
        <v/>
      </c>
      <c r="J172" s="39" t="str">
        <f t="shared" si="11"/>
        <v/>
      </c>
      <c r="K172" s="39" t="str">
        <f t="shared" si="11"/>
        <v/>
      </c>
      <c r="L172" s="39" t="str">
        <f t="shared" si="11"/>
        <v/>
      </c>
      <c r="M172" s="39" t="str">
        <f t="shared" si="11"/>
        <v/>
      </c>
      <c r="N172" s="39" t="str">
        <f t="shared" si="11"/>
        <v/>
      </c>
      <c r="O172" s="39" t="str">
        <f t="shared" si="11"/>
        <v/>
      </c>
      <c r="P172" s="39" t="str">
        <f t="shared" si="11"/>
        <v/>
      </c>
      <c r="Q172" s="39" t="str">
        <f t="shared" si="11"/>
        <v/>
      </c>
      <c r="R172" s="39" t="str">
        <f t="shared" si="11"/>
        <v/>
      </c>
      <c r="S172" s="39" t="str">
        <f t="shared" si="11"/>
        <v/>
      </c>
      <c r="T172" s="39" t="str">
        <f t="shared" si="11"/>
        <v/>
      </c>
      <c r="U172" s="39" t="str">
        <f t="shared" si="11"/>
        <v/>
      </c>
      <c r="V172" s="39" t="str">
        <f t="shared" si="11"/>
        <v/>
      </c>
    </row>
    <row r="173" spans="1:22" x14ac:dyDescent="0.3">
      <c r="A173" s="38"/>
      <c r="B173" s="39" t="str">
        <f>IF($A173="","",SUMIFS([1]weekly_demand!$D:$D,[1]weekly_demand!$A:$A,B$1,[1]weekly_demand!$C:$C,$A173))</f>
        <v/>
      </c>
      <c r="C173" s="39" t="str">
        <f>IF($A173="","",SUMIFS([1]weekly_demand!$D:$D,[1]weekly_demand!$A:$A,C$1,[1]weekly_demand!$C:$C,$A173))</f>
        <v/>
      </c>
      <c r="D173" s="39" t="str">
        <f>IF($A173="","",SUMIFS([1]weekly_demand!$D:$D,[1]weekly_demand!$A:$A,D$1,[1]weekly_demand!$C:$C,$A173))</f>
        <v/>
      </c>
      <c r="E173" s="39" t="str">
        <f>IF($A173="","",SUMIFS([1]weekly_demand!$D:$D,[1]weekly_demand!$A:$A,E$1,[1]weekly_demand!$C:$C,$A173))</f>
        <v/>
      </c>
      <c r="F173" s="39" t="str">
        <f>IF($A173="","",SUMIFS([1]weekly_demand!$D:$D,[1]weekly_demand!$A:$A,F$1,[1]weekly_demand!$C:$C,$A173))</f>
        <v/>
      </c>
      <c r="G173" s="39" t="str">
        <f>IF($A173="","",SUMIFS([1]weekly_demand!$D:$D,[1]weekly_demand!$A:$A,G$1,[1]weekly_demand!$C:$C,$A173))</f>
        <v/>
      </c>
      <c r="H173" s="39" t="str">
        <f t="shared" si="11"/>
        <v/>
      </c>
      <c r="I173" s="39" t="str">
        <f t="shared" si="11"/>
        <v/>
      </c>
      <c r="J173" s="39" t="str">
        <f t="shared" si="11"/>
        <v/>
      </c>
      <c r="K173" s="39" t="str">
        <f t="shared" si="11"/>
        <v/>
      </c>
      <c r="L173" s="39" t="str">
        <f t="shared" si="11"/>
        <v/>
      </c>
      <c r="M173" s="39" t="str">
        <f t="shared" si="11"/>
        <v/>
      </c>
      <c r="N173" s="39" t="str">
        <f t="shared" si="11"/>
        <v/>
      </c>
      <c r="O173" s="39" t="str">
        <f t="shared" si="11"/>
        <v/>
      </c>
      <c r="P173" s="39" t="str">
        <f t="shared" si="11"/>
        <v/>
      </c>
      <c r="Q173" s="39" t="str">
        <f t="shared" si="11"/>
        <v/>
      </c>
      <c r="R173" s="39" t="str">
        <f t="shared" si="11"/>
        <v/>
      </c>
      <c r="S173" s="39" t="str">
        <f t="shared" si="11"/>
        <v/>
      </c>
      <c r="T173" s="39" t="str">
        <f t="shared" si="11"/>
        <v/>
      </c>
      <c r="U173" s="39" t="str">
        <f t="shared" si="11"/>
        <v/>
      </c>
      <c r="V173" s="39" t="str">
        <f t="shared" si="11"/>
        <v/>
      </c>
    </row>
    <row r="174" spans="1:22" x14ac:dyDescent="0.3">
      <c r="A174" s="38"/>
      <c r="B174" s="39" t="str">
        <f>IF($A174="","",SUMIFS([1]weekly_demand!$D:$D,[1]weekly_demand!$A:$A,B$1,[1]weekly_demand!$C:$C,$A174))</f>
        <v/>
      </c>
      <c r="C174" s="39" t="str">
        <f>IF($A174="","",SUMIFS([1]weekly_demand!$D:$D,[1]weekly_demand!$A:$A,C$1,[1]weekly_demand!$C:$C,$A174))</f>
        <v/>
      </c>
      <c r="D174" s="39" t="str">
        <f>IF($A174="","",SUMIFS([1]weekly_demand!$D:$D,[1]weekly_demand!$A:$A,D$1,[1]weekly_demand!$C:$C,$A174))</f>
        <v/>
      </c>
      <c r="E174" s="39" t="str">
        <f>IF($A174="","",SUMIFS([1]weekly_demand!$D:$D,[1]weekly_demand!$A:$A,E$1,[1]weekly_demand!$C:$C,$A174))</f>
        <v/>
      </c>
      <c r="F174" s="39" t="str">
        <f>IF($A174="","",SUMIFS([1]weekly_demand!$D:$D,[1]weekly_demand!$A:$A,F$1,[1]weekly_demand!$C:$C,$A174))</f>
        <v/>
      </c>
      <c r="G174" s="39" t="str">
        <f>IF($A174="","",SUMIFS([1]weekly_demand!$D:$D,[1]weekly_demand!$A:$A,G$1,[1]weekly_demand!$C:$C,$A174))</f>
        <v/>
      </c>
      <c r="H174" s="39" t="str">
        <f t="shared" si="11"/>
        <v/>
      </c>
      <c r="I174" s="39" t="str">
        <f t="shared" si="11"/>
        <v/>
      </c>
      <c r="J174" s="39" t="str">
        <f t="shared" si="11"/>
        <v/>
      </c>
      <c r="K174" s="39" t="str">
        <f t="shared" si="11"/>
        <v/>
      </c>
      <c r="L174" s="39" t="str">
        <f t="shared" si="11"/>
        <v/>
      </c>
      <c r="M174" s="39" t="str">
        <f t="shared" si="11"/>
        <v/>
      </c>
      <c r="N174" s="39" t="str">
        <f t="shared" si="11"/>
        <v/>
      </c>
      <c r="O174" s="39" t="str">
        <f t="shared" si="11"/>
        <v/>
      </c>
      <c r="P174" s="39" t="str">
        <f t="shared" si="11"/>
        <v/>
      </c>
      <c r="Q174" s="39" t="str">
        <f t="shared" si="11"/>
        <v/>
      </c>
      <c r="R174" s="39" t="str">
        <f t="shared" si="11"/>
        <v/>
      </c>
      <c r="S174" s="39" t="str">
        <f t="shared" si="11"/>
        <v/>
      </c>
      <c r="T174" s="39" t="str">
        <f t="shared" si="11"/>
        <v/>
      </c>
      <c r="U174" s="39" t="str">
        <f t="shared" si="11"/>
        <v/>
      </c>
      <c r="V174" s="39" t="str">
        <f t="shared" si="11"/>
        <v/>
      </c>
    </row>
    <row r="175" spans="1:22" x14ac:dyDescent="0.3">
      <c r="A175" s="38"/>
      <c r="B175" s="39" t="str">
        <f>IF($A175="","",SUMIFS([1]weekly_demand!$D:$D,[1]weekly_demand!$A:$A,B$1,[1]weekly_demand!$C:$C,$A175))</f>
        <v/>
      </c>
      <c r="C175" s="39" t="str">
        <f>IF($A175="","",SUMIFS([1]weekly_demand!$D:$D,[1]weekly_demand!$A:$A,C$1,[1]weekly_demand!$C:$C,$A175))</f>
        <v/>
      </c>
      <c r="D175" s="39" t="str">
        <f>IF($A175="","",SUMIFS([1]weekly_demand!$D:$D,[1]weekly_demand!$A:$A,D$1,[1]weekly_demand!$C:$C,$A175))</f>
        <v/>
      </c>
      <c r="E175" s="39" t="str">
        <f>IF($A175="","",SUMIFS([1]weekly_demand!$D:$D,[1]weekly_demand!$A:$A,E$1,[1]weekly_demand!$C:$C,$A175))</f>
        <v/>
      </c>
      <c r="F175" s="39" t="str">
        <f>IF($A175="","",SUMIFS([1]weekly_demand!$D:$D,[1]weekly_demand!$A:$A,F$1,[1]weekly_demand!$C:$C,$A175))</f>
        <v/>
      </c>
      <c r="G175" s="39" t="str">
        <f>IF($A175="","",SUMIFS([1]weekly_demand!$D:$D,[1]weekly_demand!$A:$A,G$1,[1]weekly_demand!$C:$C,$A175))</f>
        <v/>
      </c>
      <c r="H175" s="39" t="str">
        <f t="shared" si="11"/>
        <v/>
      </c>
      <c r="I175" s="39" t="str">
        <f t="shared" si="11"/>
        <v/>
      </c>
      <c r="J175" s="39" t="str">
        <f t="shared" si="11"/>
        <v/>
      </c>
      <c r="K175" s="39" t="str">
        <f t="shared" si="11"/>
        <v/>
      </c>
      <c r="L175" s="39" t="str">
        <f t="shared" si="11"/>
        <v/>
      </c>
      <c r="M175" s="39" t="str">
        <f t="shared" si="11"/>
        <v/>
      </c>
      <c r="N175" s="39" t="str">
        <f t="shared" si="11"/>
        <v/>
      </c>
      <c r="O175" s="39" t="str">
        <f t="shared" si="11"/>
        <v/>
      </c>
      <c r="P175" s="39" t="str">
        <f t="shared" si="11"/>
        <v/>
      </c>
      <c r="Q175" s="39" t="str">
        <f t="shared" si="11"/>
        <v/>
      </c>
      <c r="R175" s="39" t="str">
        <f t="shared" si="11"/>
        <v/>
      </c>
      <c r="S175" s="39" t="str">
        <f t="shared" si="11"/>
        <v/>
      </c>
      <c r="T175" s="39" t="str">
        <f t="shared" si="11"/>
        <v/>
      </c>
      <c r="U175" s="39" t="str">
        <f t="shared" si="11"/>
        <v/>
      </c>
      <c r="V175" s="39" t="str">
        <f t="shared" si="11"/>
        <v/>
      </c>
    </row>
    <row r="176" spans="1:22" x14ac:dyDescent="0.3">
      <c r="A176" s="38"/>
      <c r="B176" s="39" t="str">
        <f>IF($A176="","",SUMIFS([1]weekly_demand!$D:$D,[1]weekly_demand!$A:$A,B$1,[1]weekly_demand!$C:$C,$A176))</f>
        <v/>
      </c>
      <c r="C176" s="39" t="str">
        <f>IF($A176="","",SUMIFS([1]weekly_demand!$D:$D,[1]weekly_demand!$A:$A,C$1,[1]weekly_demand!$C:$C,$A176))</f>
        <v/>
      </c>
      <c r="D176" s="39" t="str">
        <f>IF($A176="","",SUMIFS([1]weekly_demand!$D:$D,[1]weekly_demand!$A:$A,D$1,[1]weekly_demand!$C:$C,$A176))</f>
        <v/>
      </c>
      <c r="E176" s="39" t="str">
        <f>IF($A176="","",SUMIFS([1]weekly_demand!$D:$D,[1]weekly_demand!$A:$A,E$1,[1]weekly_demand!$C:$C,$A176))</f>
        <v/>
      </c>
      <c r="F176" s="39" t="str">
        <f>IF($A176="","",SUMIFS([1]weekly_demand!$D:$D,[1]weekly_demand!$A:$A,F$1,[1]weekly_demand!$C:$C,$A176))</f>
        <v/>
      </c>
      <c r="G176" s="39" t="str">
        <f>IF($A176="","",SUMIFS([1]weekly_demand!$D:$D,[1]weekly_demand!$A:$A,G$1,[1]weekly_demand!$C:$C,$A176))</f>
        <v/>
      </c>
      <c r="H176" s="39" t="str">
        <f t="shared" si="11"/>
        <v/>
      </c>
      <c r="I176" s="39" t="str">
        <f t="shared" si="11"/>
        <v/>
      </c>
      <c r="J176" s="39" t="str">
        <f t="shared" si="11"/>
        <v/>
      </c>
      <c r="K176" s="39" t="str">
        <f t="shared" si="11"/>
        <v/>
      </c>
      <c r="L176" s="39" t="str">
        <f t="shared" si="11"/>
        <v/>
      </c>
      <c r="M176" s="39" t="str">
        <f t="shared" si="11"/>
        <v/>
      </c>
      <c r="N176" s="39" t="str">
        <f t="shared" si="11"/>
        <v/>
      </c>
      <c r="O176" s="39" t="str">
        <f t="shared" si="11"/>
        <v/>
      </c>
      <c r="P176" s="39" t="str">
        <f t="shared" si="11"/>
        <v/>
      </c>
      <c r="Q176" s="39" t="str">
        <f t="shared" si="11"/>
        <v/>
      </c>
      <c r="R176" s="39" t="str">
        <f t="shared" si="11"/>
        <v/>
      </c>
      <c r="S176" s="39" t="str">
        <f t="shared" si="11"/>
        <v/>
      </c>
      <c r="T176" s="39" t="str">
        <f t="shared" si="11"/>
        <v/>
      </c>
      <c r="U176" s="39" t="str">
        <f t="shared" si="11"/>
        <v/>
      </c>
      <c r="V176" s="39" t="str">
        <f t="shared" si="11"/>
        <v/>
      </c>
    </row>
    <row r="177" spans="1:22" x14ac:dyDescent="0.3">
      <c r="A177" s="38"/>
      <c r="B177" s="39" t="str">
        <f>IF($A177="","",SUMIFS([1]weekly_demand!$D:$D,[1]weekly_demand!$A:$A,B$1,[1]weekly_demand!$C:$C,$A177))</f>
        <v/>
      </c>
      <c r="C177" s="39" t="str">
        <f>IF($A177="","",SUMIFS([1]weekly_demand!$D:$D,[1]weekly_demand!$A:$A,C$1,[1]weekly_demand!$C:$C,$A177))</f>
        <v/>
      </c>
      <c r="D177" s="39" t="str">
        <f>IF($A177="","",SUMIFS([1]weekly_demand!$D:$D,[1]weekly_demand!$A:$A,D$1,[1]weekly_demand!$C:$C,$A177))</f>
        <v/>
      </c>
      <c r="E177" s="39" t="str">
        <f>IF($A177="","",SUMIFS([1]weekly_demand!$D:$D,[1]weekly_demand!$A:$A,E$1,[1]weekly_demand!$C:$C,$A177))</f>
        <v/>
      </c>
      <c r="F177" s="39" t="str">
        <f>IF($A177="","",SUMIFS([1]weekly_demand!$D:$D,[1]weekly_demand!$A:$A,F$1,[1]weekly_demand!$C:$C,$A177))</f>
        <v/>
      </c>
      <c r="G177" s="39" t="str">
        <f>IF($A177="","",SUMIFS([1]weekly_demand!$D:$D,[1]weekly_demand!$A:$A,G$1,[1]weekly_demand!$C:$C,$A177))</f>
        <v/>
      </c>
      <c r="H177" s="39" t="str">
        <f t="shared" si="11"/>
        <v/>
      </c>
      <c r="I177" s="39" t="str">
        <f t="shared" si="11"/>
        <v/>
      </c>
      <c r="J177" s="39" t="str">
        <f t="shared" si="11"/>
        <v/>
      </c>
      <c r="K177" s="39" t="str">
        <f t="shared" si="11"/>
        <v/>
      </c>
      <c r="L177" s="39" t="str">
        <f t="shared" si="11"/>
        <v/>
      </c>
      <c r="M177" s="39" t="str">
        <f t="shared" si="11"/>
        <v/>
      </c>
      <c r="N177" s="39" t="str">
        <f t="shared" si="11"/>
        <v/>
      </c>
      <c r="O177" s="39" t="str">
        <f t="shared" si="11"/>
        <v/>
      </c>
      <c r="P177" s="39" t="str">
        <f t="shared" si="11"/>
        <v/>
      </c>
      <c r="Q177" s="39" t="str">
        <f t="shared" si="11"/>
        <v/>
      </c>
      <c r="R177" s="39" t="str">
        <f t="shared" si="11"/>
        <v/>
      </c>
      <c r="S177" s="39" t="str">
        <f t="shared" si="11"/>
        <v/>
      </c>
      <c r="T177" s="39" t="str">
        <f t="shared" si="11"/>
        <v/>
      </c>
      <c r="U177" s="39" t="str">
        <f t="shared" si="11"/>
        <v/>
      </c>
      <c r="V177" s="39" t="str">
        <f t="shared" si="11"/>
        <v/>
      </c>
    </row>
    <row r="178" spans="1:22" x14ac:dyDescent="0.3">
      <c r="A178" s="38"/>
      <c r="B178" s="39" t="str">
        <f>IF($A178="","",SUMIFS([1]weekly_demand!$D:$D,[1]weekly_demand!$A:$A,B$1,[1]weekly_demand!$C:$C,$A178))</f>
        <v/>
      </c>
      <c r="C178" s="39" t="str">
        <f>IF($A178="","",SUMIFS([1]weekly_demand!$D:$D,[1]weekly_demand!$A:$A,C$1,[1]weekly_demand!$C:$C,$A178))</f>
        <v/>
      </c>
      <c r="D178" s="39" t="str">
        <f>IF($A178="","",SUMIFS([1]weekly_demand!$D:$D,[1]weekly_demand!$A:$A,D$1,[1]weekly_demand!$C:$C,$A178))</f>
        <v/>
      </c>
      <c r="E178" s="39" t="str">
        <f>IF($A178="","",SUMIFS([1]weekly_demand!$D:$D,[1]weekly_demand!$A:$A,E$1,[1]weekly_demand!$C:$C,$A178))</f>
        <v/>
      </c>
      <c r="F178" s="39" t="str">
        <f>IF($A178="","",SUMIFS([1]weekly_demand!$D:$D,[1]weekly_demand!$A:$A,F$1,[1]weekly_demand!$C:$C,$A178))</f>
        <v/>
      </c>
      <c r="G178" s="39" t="str">
        <f>IF($A178="","",SUMIFS([1]weekly_demand!$D:$D,[1]weekly_demand!$A:$A,G$1,[1]weekly_demand!$C:$C,$A178))</f>
        <v/>
      </c>
      <c r="H178" s="39" t="str">
        <f t="shared" ref="H178:V193" si="12">IF($A178="","",SUMPRODUCT($B178:$G178,INDEX($Y$2:$AD$16,MATCH(H$1,$X$2:$X$16,0),0)))</f>
        <v/>
      </c>
      <c r="I178" s="39" t="str">
        <f t="shared" si="12"/>
        <v/>
      </c>
      <c r="J178" s="39" t="str">
        <f t="shared" si="12"/>
        <v/>
      </c>
      <c r="K178" s="39" t="str">
        <f t="shared" si="12"/>
        <v/>
      </c>
      <c r="L178" s="39" t="str">
        <f t="shared" si="12"/>
        <v/>
      </c>
      <c r="M178" s="39" t="str">
        <f t="shared" si="12"/>
        <v/>
      </c>
      <c r="N178" s="39" t="str">
        <f t="shared" si="12"/>
        <v/>
      </c>
      <c r="O178" s="39" t="str">
        <f t="shared" si="12"/>
        <v/>
      </c>
      <c r="P178" s="39" t="str">
        <f t="shared" si="12"/>
        <v/>
      </c>
      <c r="Q178" s="39" t="str">
        <f t="shared" si="12"/>
        <v/>
      </c>
      <c r="R178" s="39" t="str">
        <f t="shared" si="12"/>
        <v/>
      </c>
      <c r="S178" s="39" t="str">
        <f t="shared" si="12"/>
        <v/>
      </c>
      <c r="T178" s="39" t="str">
        <f t="shared" si="12"/>
        <v/>
      </c>
      <c r="U178" s="39" t="str">
        <f t="shared" si="12"/>
        <v/>
      </c>
      <c r="V178" s="39" t="str">
        <f t="shared" si="12"/>
        <v/>
      </c>
    </row>
    <row r="179" spans="1:22" x14ac:dyDescent="0.3">
      <c r="A179" s="38"/>
      <c r="B179" s="39" t="str">
        <f>IF($A179="","",SUMIFS([1]weekly_demand!$D:$D,[1]weekly_demand!$A:$A,B$1,[1]weekly_demand!$C:$C,$A179))</f>
        <v/>
      </c>
      <c r="C179" s="39" t="str">
        <f>IF($A179="","",SUMIFS([1]weekly_demand!$D:$D,[1]weekly_demand!$A:$A,C$1,[1]weekly_demand!$C:$C,$A179))</f>
        <v/>
      </c>
      <c r="D179" s="39" t="str">
        <f>IF($A179="","",SUMIFS([1]weekly_demand!$D:$D,[1]weekly_demand!$A:$A,D$1,[1]weekly_demand!$C:$C,$A179))</f>
        <v/>
      </c>
      <c r="E179" s="39" t="str">
        <f>IF($A179="","",SUMIFS([1]weekly_demand!$D:$D,[1]weekly_demand!$A:$A,E$1,[1]weekly_demand!$C:$C,$A179))</f>
        <v/>
      </c>
      <c r="F179" s="39" t="str">
        <f>IF($A179="","",SUMIFS([1]weekly_demand!$D:$D,[1]weekly_demand!$A:$A,F$1,[1]weekly_demand!$C:$C,$A179))</f>
        <v/>
      </c>
      <c r="G179" s="39" t="str">
        <f>IF($A179="","",SUMIFS([1]weekly_demand!$D:$D,[1]weekly_demand!$A:$A,G$1,[1]weekly_demand!$C:$C,$A179))</f>
        <v/>
      </c>
      <c r="H179" s="39" t="str">
        <f t="shared" si="12"/>
        <v/>
      </c>
      <c r="I179" s="39" t="str">
        <f t="shared" si="12"/>
        <v/>
      </c>
      <c r="J179" s="39" t="str">
        <f t="shared" si="12"/>
        <v/>
      </c>
      <c r="K179" s="39" t="str">
        <f t="shared" si="12"/>
        <v/>
      </c>
      <c r="L179" s="39" t="str">
        <f t="shared" si="12"/>
        <v/>
      </c>
      <c r="M179" s="39" t="str">
        <f t="shared" si="12"/>
        <v/>
      </c>
      <c r="N179" s="39" t="str">
        <f t="shared" si="12"/>
        <v/>
      </c>
      <c r="O179" s="39" t="str">
        <f t="shared" si="12"/>
        <v/>
      </c>
      <c r="P179" s="39" t="str">
        <f t="shared" si="12"/>
        <v/>
      </c>
      <c r="Q179" s="39" t="str">
        <f t="shared" si="12"/>
        <v/>
      </c>
      <c r="R179" s="39" t="str">
        <f t="shared" si="12"/>
        <v/>
      </c>
      <c r="S179" s="39" t="str">
        <f t="shared" si="12"/>
        <v/>
      </c>
      <c r="T179" s="39" t="str">
        <f t="shared" si="12"/>
        <v/>
      </c>
      <c r="U179" s="39" t="str">
        <f t="shared" si="12"/>
        <v/>
      </c>
      <c r="V179" s="39" t="str">
        <f t="shared" si="12"/>
        <v/>
      </c>
    </row>
    <row r="180" spans="1:22" x14ac:dyDescent="0.3">
      <c r="A180" s="38"/>
      <c r="B180" s="39" t="str">
        <f>IF($A180="","",SUMIFS([1]weekly_demand!$D:$D,[1]weekly_demand!$A:$A,B$1,[1]weekly_demand!$C:$C,$A180))</f>
        <v/>
      </c>
      <c r="C180" s="39" t="str">
        <f>IF($A180="","",SUMIFS([1]weekly_demand!$D:$D,[1]weekly_demand!$A:$A,C$1,[1]weekly_demand!$C:$C,$A180))</f>
        <v/>
      </c>
      <c r="D180" s="39" t="str">
        <f>IF($A180="","",SUMIFS([1]weekly_demand!$D:$D,[1]weekly_demand!$A:$A,D$1,[1]weekly_demand!$C:$C,$A180))</f>
        <v/>
      </c>
      <c r="E180" s="39" t="str">
        <f>IF($A180="","",SUMIFS([1]weekly_demand!$D:$D,[1]weekly_demand!$A:$A,E$1,[1]weekly_demand!$C:$C,$A180))</f>
        <v/>
      </c>
      <c r="F180" s="39" t="str">
        <f>IF($A180="","",SUMIFS([1]weekly_demand!$D:$D,[1]weekly_demand!$A:$A,F$1,[1]weekly_demand!$C:$C,$A180))</f>
        <v/>
      </c>
      <c r="G180" s="39" t="str">
        <f>IF($A180="","",SUMIFS([1]weekly_demand!$D:$D,[1]weekly_demand!$A:$A,G$1,[1]weekly_demand!$C:$C,$A180))</f>
        <v/>
      </c>
      <c r="H180" s="39" t="str">
        <f t="shared" si="12"/>
        <v/>
      </c>
      <c r="I180" s="39" t="str">
        <f t="shared" si="12"/>
        <v/>
      </c>
      <c r="J180" s="39" t="str">
        <f t="shared" si="12"/>
        <v/>
      </c>
      <c r="K180" s="39" t="str">
        <f t="shared" si="12"/>
        <v/>
      </c>
      <c r="L180" s="39" t="str">
        <f t="shared" si="12"/>
        <v/>
      </c>
      <c r="M180" s="39" t="str">
        <f t="shared" si="12"/>
        <v/>
      </c>
      <c r="N180" s="39" t="str">
        <f t="shared" si="12"/>
        <v/>
      </c>
      <c r="O180" s="39" t="str">
        <f t="shared" si="12"/>
        <v/>
      </c>
      <c r="P180" s="39" t="str">
        <f t="shared" si="12"/>
        <v/>
      </c>
      <c r="Q180" s="39" t="str">
        <f t="shared" si="12"/>
        <v/>
      </c>
      <c r="R180" s="39" t="str">
        <f t="shared" si="12"/>
        <v/>
      </c>
      <c r="S180" s="39" t="str">
        <f t="shared" si="12"/>
        <v/>
      </c>
      <c r="T180" s="39" t="str">
        <f t="shared" si="12"/>
        <v/>
      </c>
      <c r="U180" s="39" t="str">
        <f t="shared" si="12"/>
        <v/>
      </c>
      <c r="V180" s="39" t="str">
        <f t="shared" si="12"/>
        <v/>
      </c>
    </row>
    <row r="181" spans="1:22" x14ac:dyDescent="0.3">
      <c r="A181" s="38"/>
      <c r="B181" s="39" t="str">
        <f>IF($A181="","",SUMIFS([1]weekly_demand!$D:$D,[1]weekly_demand!$A:$A,B$1,[1]weekly_demand!$C:$C,$A181))</f>
        <v/>
      </c>
      <c r="C181" s="39" t="str">
        <f>IF($A181="","",SUMIFS([1]weekly_demand!$D:$D,[1]weekly_demand!$A:$A,C$1,[1]weekly_demand!$C:$C,$A181))</f>
        <v/>
      </c>
      <c r="D181" s="39" t="str">
        <f>IF($A181="","",SUMIFS([1]weekly_demand!$D:$D,[1]weekly_demand!$A:$A,D$1,[1]weekly_demand!$C:$C,$A181))</f>
        <v/>
      </c>
      <c r="E181" s="39" t="str">
        <f>IF($A181="","",SUMIFS([1]weekly_demand!$D:$D,[1]weekly_demand!$A:$A,E$1,[1]weekly_demand!$C:$C,$A181))</f>
        <v/>
      </c>
      <c r="F181" s="39" t="str">
        <f>IF($A181="","",SUMIFS([1]weekly_demand!$D:$D,[1]weekly_demand!$A:$A,F$1,[1]weekly_demand!$C:$C,$A181))</f>
        <v/>
      </c>
      <c r="G181" s="39" t="str">
        <f>IF($A181="","",SUMIFS([1]weekly_demand!$D:$D,[1]weekly_demand!$A:$A,G$1,[1]weekly_demand!$C:$C,$A181))</f>
        <v/>
      </c>
      <c r="H181" s="39" t="str">
        <f t="shared" si="12"/>
        <v/>
      </c>
      <c r="I181" s="39" t="str">
        <f t="shared" si="12"/>
        <v/>
      </c>
      <c r="J181" s="39" t="str">
        <f t="shared" si="12"/>
        <v/>
      </c>
      <c r="K181" s="39" t="str">
        <f t="shared" si="12"/>
        <v/>
      </c>
      <c r="L181" s="39" t="str">
        <f t="shared" si="12"/>
        <v/>
      </c>
      <c r="M181" s="39" t="str">
        <f t="shared" si="12"/>
        <v/>
      </c>
      <c r="N181" s="39" t="str">
        <f t="shared" si="12"/>
        <v/>
      </c>
      <c r="O181" s="39" t="str">
        <f t="shared" si="12"/>
        <v/>
      </c>
      <c r="P181" s="39" t="str">
        <f t="shared" si="12"/>
        <v/>
      </c>
      <c r="Q181" s="39" t="str">
        <f t="shared" si="12"/>
        <v/>
      </c>
      <c r="R181" s="39" t="str">
        <f t="shared" si="12"/>
        <v/>
      </c>
      <c r="S181" s="39" t="str">
        <f t="shared" si="12"/>
        <v/>
      </c>
      <c r="T181" s="39" t="str">
        <f t="shared" si="12"/>
        <v/>
      </c>
      <c r="U181" s="39" t="str">
        <f t="shared" si="12"/>
        <v/>
      </c>
      <c r="V181" s="39" t="str">
        <f t="shared" si="12"/>
        <v/>
      </c>
    </row>
    <row r="182" spans="1:22" x14ac:dyDescent="0.3">
      <c r="A182" s="38"/>
      <c r="B182" s="39" t="str">
        <f>IF($A182="","",SUMIFS([1]weekly_demand!$D:$D,[1]weekly_demand!$A:$A,B$1,[1]weekly_demand!$C:$C,$A182))</f>
        <v/>
      </c>
      <c r="C182" s="39" t="str">
        <f>IF($A182="","",SUMIFS([1]weekly_demand!$D:$D,[1]weekly_demand!$A:$A,C$1,[1]weekly_demand!$C:$C,$A182))</f>
        <v/>
      </c>
      <c r="D182" s="39" t="str">
        <f>IF($A182="","",SUMIFS([1]weekly_demand!$D:$D,[1]weekly_demand!$A:$A,D$1,[1]weekly_demand!$C:$C,$A182))</f>
        <v/>
      </c>
      <c r="E182" s="39" t="str">
        <f>IF($A182="","",SUMIFS([1]weekly_demand!$D:$D,[1]weekly_demand!$A:$A,E$1,[1]weekly_demand!$C:$C,$A182))</f>
        <v/>
      </c>
      <c r="F182" s="39" t="str">
        <f>IF($A182="","",SUMIFS([1]weekly_demand!$D:$D,[1]weekly_demand!$A:$A,F$1,[1]weekly_demand!$C:$C,$A182))</f>
        <v/>
      </c>
      <c r="G182" s="39" t="str">
        <f>IF($A182="","",SUMIFS([1]weekly_demand!$D:$D,[1]weekly_demand!$A:$A,G$1,[1]weekly_demand!$C:$C,$A182))</f>
        <v/>
      </c>
      <c r="H182" s="39" t="str">
        <f t="shared" si="12"/>
        <v/>
      </c>
      <c r="I182" s="39" t="str">
        <f t="shared" si="12"/>
        <v/>
      </c>
      <c r="J182" s="39" t="str">
        <f t="shared" si="12"/>
        <v/>
      </c>
      <c r="K182" s="39" t="str">
        <f t="shared" si="12"/>
        <v/>
      </c>
      <c r="L182" s="39" t="str">
        <f t="shared" si="12"/>
        <v/>
      </c>
      <c r="M182" s="39" t="str">
        <f t="shared" si="12"/>
        <v/>
      </c>
      <c r="N182" s="39" t="str">
        <f t="shared" si="12"/>
        <v/>
      </c>
      <c r="O182" s="39" t="str">
        <f t="shared" si="12"/>
        <v/>
      </c>
      <c r="P182" s="39" t="str">
        <f t="shared" si="12"/>
        <v/>
      </c>
      <c r="Q182" s="39" t="str">
        <f t="shared" si="12"/>
        <v/>
      </c>
      <c r="R182" s="39" t="str">
        <f t="shared" si="12"/>
        <v/>
      </c>
      <c r="S182" s="39" t="str">
        <f t="shared" si="12"/>
        <v/>
      </c>
      <c r="T182" s="39" t="str">
        <f t="shared" si="12"/>
        <v/>
      </c>
      <c r="U182" s="39" t="str">
        <f t="shared" si="12"/>
        <v/>
      </c>
      <c r="V182" s="39" t="str">
        <f t="shared" si="12"/>
        <v/>
      </c>
    </row>
    <row r="183" spans="1:22" x14ac:dyDescent="0.3">
      <c r="A183" s="38"/>
      <c r="B183" s="39" t="str">
        <f>IF($A183="","",SUMIFS([1]weekly_demand!$D:$D,[1]weekly_demand!$A:$A,B$1,[1]weekly_demand!$C:$C,$A183))</f>
        <v/>
      </c>
      <c r="C183" s="39" t="str">
        <f>IF($A183="","",SUMIFS([1]weekly_demand!$D:$D,[1]weekly_demand!$A:$A,C$1,[1]weekly_demand!$C:$C,$A183))</f>
        <v/>
      </c>
      <c r="D183" s="39" t="str">
        <f>IF($A183="","",SUMIFS([1]weekly_demand!$D:$D,[1]weekly_demand!$A:$A,D$1,[1]weekly_demand!$C:$C,$A183))</f>
        <v/>
      </c>
      <c r="E183" s="39" t="str">
        <f>IF($A183="","",SUMIFS([1]weekly_demand!$D:$D,[1]weekly_demand!$A:$A,E$1,[1]weekly_demand!$C:$C,$A183))</f>
        <v/>
      </c>
      <c r="F183" s="39" t="str">
        <f>IF($A183="","",SUMIFS([1]weekly_demand!$D:$D,[1]weekly_demand!$A:$A,F$1,[1]weekly_demand!$C:$C,$A183))</f>
        <v/>
      </c>
      <c r="G183" s="39" t="str">
        <f>IF($A183="","",SUMIFS([1]weekly_demand!$D:$D,[1]weekly_demand!$A:$A,G$1,[1]weekly_demand!$C:$C,$A183))</f>
        <v/>
      </c>
      <c r="H183" s="39" t="str">
        <f t="shared" si="12"/>
        <v/>
      </c>
      <c r="I183" s="39" t="str">
        <f t="shared" si="12"/>
        <v/>
      </c>
      <c r="J183" s="39" t="str">
        <f t="shared" si="12"/>
        <v/>
      </c>
      <c r="K183" s="39" t="str">
        <f t="shared" si="12"/>
        <v/>
      </c>
      <c r="L183" s="39" t="str">
        <f t="shared" si="12"/>
        <v/>
      </c>
      <c r="M183" s="39" t="str">
        <f t="shared" si="12"/>
        <v/>
      </c>
      <c r="N183" s="39" t="str">
        <f t="shared" si="12"/>
        <v/>
      </c>
      <c r="O183" s="39" t="str">
        <f t="shared" si="12"/>
        <v/>
      </c>
      <c r="P183" s="39" t="str">
        <f t="shared" si="12"/>
        <v/>
      </c>
      <c r="Q183" s="39" t="str">
        <f t="shared" si="12"/>
        <v/>
      </c>
      <c r="R183" s="39" t="str">
        <f t="shared" si="12"/>
        <v/>
      </c>
      <c r="S183" s="39" t="str">
        <f t="shared" si="12"/>
        <v/>
      </c>
      <c r="T183" s="39" t="str">
        <f t="shared" si="12"/>
        <v/>
      </c>
      <c r="U183" s="39" t="str">
        <f t="shared" si="12"/>
        <v/>
      </c>
      <c r="V183" s="39" t="str">
        <f t="shared" si="12"/>
        <v/>
      </c>
    </row>
    <row r="184" spans="1:22" x14ac:dyDescent="0.3">
      <c r="A184" s="38"/>
      <c r="B184" s="39" t="str">
        <f>IF($A184="","",SUMIFS([1]weekly_demand!$D:$D,[1]weekly_demand!$A:$A,B$1,[1]weekly_demand!$C:$C,$A184))</f>
        <v/>
      </c>
      <c r="C184" s="39" t="str">
        <f>IF($A184="","",SUMIFS([1]weekly_demand!$D:$D,[1]weekly_demand!$A:$A,C$1,[1]weekly_demand!$C:$C,$A184))</f>
        <v/>
      </c>
      <c r="D184" s="39" t="str">
        <f>IF($A184="","",SUMIFS([1]weekly_demand!$D:$D,[1]weekly_demand!$A:$A,D$1,[1]weekly_demand!$C:$C,$A184))</f>
        <v/>
      </c>
      <c r="E184" s="39" t="str">
        <f>IF($A184="","",SUMIFS([1]weekly_demand!$D:$D,[1]weekly_demand!$A:$A,E$1,[1]weekly_demand!$C:$C,$A184))</f>
        <v/>
      </c>
      <c r="F184" s="39" t="str">
        <f>IF($A184="","",SUMIFS([1]weekly_demand!$D:$D,[1]weekly_demand!$A:$A,F$1,[1]weekly_demand!$C:$C,$A184))</f>
        <v/>
      </c>
      <c r="G184" s="39" t="str">
        <f>IF($A184="","",SUMIFS([1]weekly_demand!$D:$D,[1]weekly_demand!$A:$A,G$1,[1]weekly_demand!$C:$C,$A184))</f>
        <v/>
      </c>
      <c r="H184" s="39" t="str">
        <f t="shared" si="12"/>
        <v/>
      </c>
      <c r="I184" s="39" t="str">
        <f t="shared" si="12"/>
        <v/>
      </c>
      <c r="J184" s="39" t="str">
        <f t="shared" si="12"/>
        <v/>
      </c>
      <c r="K184" s="39" t="str">
        <f t="shared" si="12"/>
        <v/>
      </c>
      <c r="L184" s="39" t="str">
        <f t="shared" si="12"/>
        <v/>
      </c>
      <c r="M184" s="39" t="str">
        <f t="shared" si="12"/>
        <v/>
      </c>
      <c r="N184" s="39" t="str">
        <f t="shared" si="12"/>
        <v/>
      </c>
      <c r="O184" s="39" t="str">
        <f t="shared" si="12"/>
        <v/>
      </c>
      <c r="P184" s="39" t="str">
        <f t="shared" si="12"/>
        <v/>
      </c>
      <c r="Q184" s="39" t="str">
        <f t="shared" si="12"/>
        <v/>
      </c>
      <c r="R184" s="39" t="str">
        <f t="shared" si="12"/>
        <v/>
      </c>
      <c r="S184" s="39" t="str">
        <f t="shared" si="12"/>
        <v/>
      </c>
      <c r="T184" s="39" t="str">
        <f t="shared" si="12"/>
        <v/>
      </c>
      <c r="U184" s="39" t="str">
        <f t="shared" si="12"/>
        <v/>
      </c>
      <c r="V184" s="39" t="str">
        <f t="shared" si="12"/>
        <v/>
      </c>
    </row>
    <row r="185" spans="1:22" x14ac:dyDescent="0.3">
      <c r="A185" s="38"/>
      <c r="B185" s="39" t="str">
        <f>IF($A185="","",SUMIFS([1]weekly_demand!$D:$D,[1]weekly_demand!$A:$A,B$1,[1]weekly_demand!$C:$C,$A185))</f>
        <v/>
      </c>
      <c r="C185" s="39" t="str">
        <f>IF($A185="","",SUMIFS([1]weekly_demand!$D:$D,[1]weekly_demand!$A:$A,C$1,[1]weekly_demand!$C:$C,$A185))</f>
        <v/>
      </c>
      <c r="D185" s="39" t="str">
        <f>IF($A185="","",SUMIFS([1]weekly_demand!$D:$D,[1]weekly_demand!$A:$A,D$1,[1]weekly_demand!$C:$C,$A185))</f>
        <v/>
      </c>
      <c r="E185" s="39" t="str">
        <f>IF($A185="","",SUMIFS([1]weekly_demand!$D:$D,[1]weekly_demand!$A:$A,E$1,[1]weekly_demand!$C:$C,$A185))</f>
        <v/>
      </c>
      <c r="F185" s="39" t="str">
        <f>IF($A185="","",SUMIFS([1]weekly_demand!$D:$D,[1]weekly_demand!$A:$A,F$1,[1]weekly_demand!$C:$C,$A185))</f>
        <v/>
      </c>
      <c r="G185" s="39" t="str">
        <f>IF($A185="","",SUMIFS([1]weekly_demand!$D:$D,[1]weekly_demand!$A:$A,G$1,[1]weekly_demand!$C:$C,$A185))</f>
        <v/>
      </c>
      <c r="H185" s="39" t="str">
        <f t="shared" si="12"/>
        <v/>
      </c>
      <c r="I185" s="39" t="str">
        <f t="shared" si="12"/>
        <v/>
      </c>
      <c r="J185" s="39" t="str">
        <f t="shared" si="12"/>
        <v/>
      </c>
      <c r="K185" s="39" t="str">
        <f t="shared" si="12"/>
        <v/>
      </c>
      <c r="L185" s="39" t="str">
        <f t="shared" si="12"/>
        <v/>
      </c>
      <c r="M185" s="39" t="str">
        <f t="shared" si="12"/>
        <v/>
      </c>
      <c r="N185" s="39" t="str">
        <f t="shared" si="12"/>
        <v/>
      </c>
      <c r="O185" s="39" t="str">
        <f t="shared" si="12"/>
        <v/>
      </c>
      <c r="P185" s="39" t="str">
        <f t="shared" si="12"/>
        <v/>
      </c>
      <c r="Q185" s="39" t="str">
        <f t="shared" si="12"/>
        <v/>
      </c>
      <c r="R185" s="39" t="str">
        <f t="shared" si="12"/>
        <v/>
      </c>
      <c r="S185" s="39" t="str">
        <f t="shared" si="12"/>
        <v/>
      </c>
      <c r="T185" s="39" t="str">
        <f t="shared" si="12"/>
        <v/>
      </c>
      <c r="U185" s="39" t="str">
        <f t="shared" si="12"/>
        <v/>
      </c>
      <c r="V185" s="39" t="str">
        <f t="shared" si="12"/>
        <v/>
      </c>
    </row>
    <row r="186" spans="1:22" x14ac:dyDescent="0.3">
      <c r="A186" s="38"/>
      <c r="B186" s="39" t="str">
        <f>IF($A186="","",SUMIFS([1]weekly_demand!$D:$D,[1]weekly_demand!$A:$A,B$1,[1]weekly_demand!$C:$C,$A186))</f>
        <v/>
      </c>
      <c r="C186" s="39" t="str">
        <f>IF($A186="","",SUMIFS([1]weekly_demand!$D:$D,[1]weekly_demand!$A:$A,C$1,[1]weekly_demand!$C:$C,$A186))</f>
        <v/>
      </c>
      <c r="D186" s="39" t="str">
        <f>IF($A186="","",SUMIFS([1]weekly_demand!$D:$D,[1]weekly_demand!$A:$A,D$1,[1]weekly_demand!$C:$C,$A186))</f>
        <v/>
      </c>
      <c r="E186" s="39" t="str">
        <f>IF($A186="","",SUMIFS([1]weekly_demand!$D:$D,[1]weekly_demand!$A:$A,E$1,[1]weekly_demand!$C:$C,$A186))</f>
        <v/>
      </c>
      <c r="F186" s="39" t="str">
        <f>IF($A186="","",SUMIFS([1]weekly_demand!$D:$D,[1]weekly_demand!$A:$A,F$1,[1]weekly_demand!$C:$C,$A186))</f>
        <v/>
      </c>
      <c r="G186" s="39" t="str">
        <f>IF($A186="","",SUMIFS([1]weekly_demand!$D:$D,[1]weekly_demand!$A:$A,G$1,[1]weekly_demand!$C:$C,$A186))</f>
        <v/>
      </c>
      <c r="H186" s="39" t="str">
        <f t="shared" si="12"/>
        <v/>
      </c>
      <c r="I186" s="39" t="str">
        <f t="shared" si="12"/>
        <v/>
      </c>
      <c r="J186" s="39" t="str">
        <f t="shared" si="12"/>
        <v/>
      </c>
      <c r="K186" s="39" t="str">
        <f t="shared" si="12"/>
        <v/>
      </c>
      <c r="L186" s="39" t="str">
        <f t="shared" si="12"/>
        <v/>
      </c>
      <c r="M186" s="39" t="str">
        <f t="shared" si="12"/>
        <v/>
      </c>
      <c r="N186" s="39" t="str">
        <f t="shared" si="12"/>
        <v/>
      </c>
      <c r="O186" s="39" t="str">
        <f t="shared" si="12"/>
        <v/>
      </c>
      <c r="P186" s="39" t="str">
        <f t="shared" si="12"/>
        <v/>
      </c>
      <c r="Q186" s="39" t="str">
        <f t="shared" si="12"/>
        <v/>
      </c>
      <c r="R186" s="39" t="str">
        <f t="shared" si="12"/>
        <v/>
      </c>
      <c r="S186" s="39" t="str">
        <f t="shared" si="12"/>
        <v/>
      </c>
      <c r="T186" s="39" t="str">
        <f t="shared" si="12"/>
        <v/>
      </c>
      <c r="U186" s="39" t="str">
        <f t="shared" si="12"/>
        <v/>
      </c>
      <c r="V186" s="39" t="str">
        <f t="shared" si="12"/>
        <v/>
      </c>
    </row>
    <row r="187" spans="1:22" x14ac:dyDescent="0.3">
      <c r="A187" s="38"/>
      <c r="B187" s="39" t="str">
        <f>IF($A187="","",SUMIFS([1]weekly_demand!$D:$D,[1]weekly_demand!$A:$A,B$1,[1]weekly_demand!$C:$C,$A187))</f>
        <v/>
      </c>
      <c r="C187" s="39" t="str">
        <f>IF($A187="","",SUMIFS([1]weekly_demand!$D:$D,[1]weekly_demand!$A:$A,C$1,[1]weekly_demand!$C:$C,$A187))</f>
        <v/>
      </c>
      <c r="D187" s="39" t="str">
        <f>IF($A187="","",SUMIFS([1]weekly_demand!$D:$D,[1]weekly_demand!$A:$A,D$1,[1]weekly_demand!$C:$C,$A187))</f>
        <v/>
      </c>
      <c r="E187" s="39" t="str">
        <f>IF($A187="","",SUMIFS([1]weekly_demand!$D:$D,[1]weekly_demand!$A:$A,E$1,[1]weekly_demand!$C:$C,$A187))</f>
        <v/>
      </c>
      <c r="F187" s="39" t="str">
        <f>IF($A187="","",SUMIFS([1]weekly_demand!$D:$D,[1]weekly_demand!$A:$A,F$1,[1]weekly_demand!$C:$C,$A187))</f>
        <v/>
      </c>
      <c r="G187" s="39" t="str">
        <f>IF($A187="","",SUMIFS([1]weekly_demand!$D:$D,[1]weekly_demand!$A:$A,G$1,[1]weekly_demand!$C:$C,$A187))</f>
        <v/>
      </c>
      <c r="H187" s="39" t="str">
        <f t="shared" si="12"/>
        <v/>
      </c>
      <c r="I187" s="39" t="str">
        <f t="shared" si="12"/>
        <v/>
      </c>
      <c r="J187" s="39" t="str">
        <f t="shared" si="12"/>
        <v/>
      </c>
      <c r="K187" s="39" t="str">
        <f t="shared" si="12"/>
        <v/>
      </c>
      <c r="L187" s="39" t="str">
        <f t="shared" si="12"/>
        <v/>
      </c>
      <c r="M187" s="39" t="str">
        <f t="shared" si="12"/>
        <v/>
      </c>
      <c r="N187" s="39" t="str">
        <f t="shared" si="12"/>
        <v/>
      </c>
      <c r="O187" s="39" t="str">
        <f t="shared" si="12"/>
        <v/>
      </c>
      <c r="P187" s="39" t="str">
        <f t="shared" si="12"/>
        <v/>
      </c>
      <c r="Q187" s="39" t="str">
        <f t="shared" si="12"/>
        <v/>
      </c>
      <c r="R187" s="39" t="str">
        <f t="shared" si="12"/>
        <v/>
      </c>
      <c r="S187" s="39" t="str">
        <f t="shared" si="12"/>
        <v/>
      </c>
      <c r="T187" s="39" t="str">
        <f t="shared" si="12"/>
        <v/>
      </c>
      <c r="U187" s="39" t="str">
        <f t="shared" si="12"/>
        <v/>
      </c>
      <c r="V187" s="39" t="str">
        <f t="shared" si="12"/>
        <v/>
      </c>
    </row>
    <row r="188" spans="1:22" x14ac:dyDescent="0.3">
      <c r="A188" s="38"/>
      <c r="B188" s="39" t="str">
        <f>IF($A188="","",SUMIFS([1]weekly_demand!$D:$D,[1]weekly_demand!$A:$A,B$1,[1]weekly_demand!$C:$C,$A188))</f>
        <v/>
      </c>
      <c r="C188" s="39" t="str">
        <f>IF($A188="","",SUMIFS([1]weekly_demand!$D:$D,[1]weekly_demand!$A:$A,C$1,[1]weekly_demand!$C:$C,$A188))</f>
        <v/>
      </c>
      <c r="D188" s="39" t="str">
        <f>IF($A188="","",SUMIFS([1]weekly_demand!$D:$D,[1]weekly_demand!$A:$A,D$1,[1]weekly_demand!$C:$C,$A188))</f>
        <v/>
      </c>
      <c r="E188" s="39" t="str">
        <f>IF($A188="","",SUMIFS([1]weekly_demand!$D:$D,[1]weekly_demand!$A:$A,E$1,[1]weekly_demand!$C:$C,$A188))</f>
        <v/>
      </c>
      <c r="F188" s="39" t="str">
        <f>IF($A188="","",SUMIFS([1]weekly_demand!$D:$D,[1]weekly_demand!$A:$A,F$1,[1]weekly_demand!$C:$C,$A188))</f>
        <v/>
      </c>
      <c r="G188" s="39" t="str">
        <f>IF($A188="","",SUMIFS([1]weekly_demand!$D:$D,[1]weekly_demand!$A:$A,G$1,[1]weekly_demand!$C:$C,$A188))</f>
        <v/>
      </c>
      <c r="H188" s="39" t="str">
        <f t="shared" si="12"/>
        <v/>
      </c>
      <c r="I188" s="39" t="str">
        <f t="shared" si="12"/>
        <v/>
      </c>
      <c r="J188" s="39" t="str">
        <f t="shared" si="12"/>
        <v/>
      </c>
      <c r="K188" s="39" t="str">
        <f t="shared" si="12"/>
        <v/>
      </c>
      <c r="L188" s="39" t="str">
        <f t="shared" si="12"/>
        <v/>
      </c>
      <c r="M188" s="39" t="str">
        <f t="shared" si="12"/>
        <v/>
      </c>
      <c r="N188" s="39" t="str">
        <f t="shared" si="12"/>
        <v/>
      </c>
      <c r="O188" s="39" t="str">
        <f t="shared" si="12"/>
        <v/>
      </c>
      <c r="P188" s="39" t="str">
        <f t="shared" si="12"/>
        <v/>
      </c>
      <c r="Q188" s="39" t="str">
        <f t="shared" si="12"/>
        <v/>
      </c>
      <c r="R188" s="39" t="str">
        <f t="shared" si="12"/>
        <v/>
      </c>
      <c r="S188" s="39" t="str">
        <f t="shared" si="12"/>
        <v/>
      </c>
      <c r="T188" s="39" t="str">
        <f t="shared" si="12"/>
        <v/>
      </c>
      <c r="U188" s="39" t="str">
        <f t="shared" si="12"/>
        <v/>
      </c>
      <c r="V188" s="39" t="str">
        <f t="shared" si="12"/>
        <v/>
      </c>
    </row>
    <row r="189" spans="1:22" x14ac:dyDescent="0.3">
      <c r="A189" s="38"/>
      <c r="B189" s="39" t="str">
        <f>IF($A189="","",SUMIFS([1]weekly_demand!$D:$D,[1]weekly_demand!$A:$A,B$1,[1]weekly_demand!$C:$C,$A189))</f>
        <v/>
      </c>
      <c r="C189" s="39" t="str">
        <f>IF($A189="","",SUMIFS([1]weekly_demand!$D:$D,[1]weekly_demand!$A:$A,C$1,[1]weekly_demand!$C:$C,$A189))</f>
        <v/>
      </c>
      <c r="D189" s="39" t="str">
        <f>IF($A189="","",SUMIFS([1]weekly_demand!$D:$D,[1]weekly_demand!$A:$A,D$1,[1]weekly_demand!$C:$C,$A189))</f>
        <v/>
      </c>
      <c r="E189" s="39" t="str">
        <f>IF($A189="","",SUMIFS([1]weekly_demand!$D:$D,[1]weekly_demand!$A:$A,E$1,[1]weekly_demand!$C:$C,$A189))</f>
        <v/>
      </c>
      <c r="F189" s="39" t="str">
        <f>IF($A189="","",SUMIFS([1]weekly_demand!$D:$D,[1]weekly_demand!$A:$A,F$1,[1]weekly_demand!$C:$C,$A189))</f>
        <v/>
      </c>
      <c r="G189" s="39" t="str">
        <f>IF($A189="","",SUMIFS([1]weekly_demand!$D:$D,[1]weekly_demand!$A:$A,G$1,[1]weekly_demand!$C:$C,$A189))</f>
        <v/>
      </c>
      <c r="H189" s="39" t="str">
        <f t="shared" si="12"/>
        <v/>
      </c>
      <c r="I189" s="39" t="str">
        <f t="shared" si="12"/>
        <v/>
      </c>
      <c r="J189" s="39" t="str">
        <f t="shared" si="12"/>
        <v/>
      </c>
      <c r="K189" s="39" t="str">
        <f t="shared" si="12"/>
        <v/>
      </c>
      <c r="L189" s="39" t="str">
        <f t="shared" si="12"/>
        <v/>
      </c>
      <c r="M189" s="39" t="str">
        <f t="shared" si="12"/>
        <v/>
      </c>
      <c r="N189" s="39" t="str">
        <f t="shared" si="12"/>
        <v/>
      </c>
      <c r="O189" s="39" t="str">
        <f t="shared" si="12"/>
        <v/>
      </c>
      <c r="P189" s="39" t="str">
        <f t="shared" si="12"/>
        <v/>
      </c>
      <c r="Q189" s="39" t="str">
        <f t="shared" si="12"/>
        <v/>
      </c>
      <c r="R189" s="39" t="str">
        <f t="shared" si="12"/>
        <v/>
      </c>
      <c r="S189" s="39" t="str">
        <f t="shared" si="12"/>
        <v/>
      </c>
      <c r="T189" s="39" t="str">
        <f t="shared" si="12"/>
        <v/>
      </c>
      <c r="U189" s="39" t="str">
        <f t="shared" si="12"/>
        <v/>
      </c>
      <c r="V189" s="39" t="str">
        <f t="shared" si="12"/>
        <v/>
      </c>
    </row>
    <row r="190" spans="1:22" x14ac:dyDescent="0.3">
      <c r="A190" s="38"/>
      <c r="B190" s="39" t="str">
        <f>IF($A190="","",SUMIFS([1]weekly_demand!$D:$D,[1]weekly_demand!$A:$A,B$1,[1]weekly_demand!$C:$C,$A190))</f>
        <v/>
      </c>
      <c r="C190" s="39" t="str">
        <f>IF($A190="","",SUMIFS([1]weekly_demand!$D:$D,[1]weekly_demand!$A:$A,C$1,[1]weekly_demand!$C:$C,$A190))</f>
        <v/>
      </c>
      <c r="D190" s="39" t="str">
        <f>IF($A190="","",SUMIFS([1]weekly_demand!$D:$D,[1]weekly_demand!$A:$A,D$1,[1]weekly_demand!$C:$C,$A190))</f>
        <v/>
      </c>
      <c r="E190" s="39" t="str">
        <f>IF($A190="","",SUMIFS([1]weekly_demand!$D:$D,[1]weekly_demand!$A:$A,E$1,[1]weekly_demand!$C:$C,$A190))</f>
        <v/>
      </c>
      <c r="F190" s="39" t="str">
        <f>IF($A190="","",SUMIFS([1]weekly_demand!$D:$D,[1]weekly_demand!$A:$A,F$1,[1]weekly_demand!$C:$C,$A190))</f>
        <v/>
      </c>
      <c r="G190" s="39" t="str">
        <f>IF($A190="","",SUMIFS([1]weekly_demand!$D:$D,[1]weekly_demand!$A:$A,G$1,[1]weekly_demand!$C:$C,$A190))</f>
        <v/>
      </c>
      <c r="H190" s="39" t="str">
        <f t="shared" si="12"/>
        <v/>
      </c>
      <c r="I190" s="39" t="str">
        <f t="shared" si="12"/>
        <v/>
      </c>
      <c r="J190" s="39" t="str">
        <f t="shared" si="12"/>
        <v/>
      </c>
      <c r="K190" s="39" t="str">
        <f t="shared" si="12"/>
        <v/>
      </c>
      <c r="L190" s="39" t="str">
        <f t="shared" si="12"/>
        <v/>
      </c>
      <c r="M190" s="39" t="str">
        <f t="shared" si="12"/>
        <v/>
      </c>
      <c r="N190" s="39" t="str">
        <f t="shared" si="12"/>
        <v/>
      </c>
      <c r="O190" s="39" t="str">
        <f t="shared" si="12"/>
        <v/>
      </c>
      <c r="P190" s="39" t="str">
        <f t="shared" si="12"/>
        <v/>
      </c>
      <c r="Q190" s="39" t="str">
        <f t="shared" si="12"/>
        <v/>
      </c>
      <c r="R190" s="39" t="str">
        <f t="shared" si="12"/>
        <v/>
      </c>
      <c r="S190" s="39" t="str">
        <f t="shared" si="12"/>
        <v/>
      </c>
      <c r="T190" s="39" t="str">
        <f t="shared" si="12"/>
        <v/>
      </c>
      <c r="U190" s="39" t="str">
        <f t="shared" si="12"/>
        <v/>
      </c>
      <c r="V190" s="39" t="str">
        <f t="shared" si="12"/>
        <v/>
      </c>
    </row>
    <row r="191" spans="1:22" x14ac:dyDescent="0.3">
      <c r="A191" s="38"/>
      <c r="B191" s="39" t="str">
        <f>IF($A191="","",SUMIFS([1]weekly_demand!$D:$D,[1]weekly_demand!$A:$A,B$1,[1]weekly_demand!$C:$C,$A191))</f>
        <v/>
      </c>
      <c r="C191" s="39" t="str">
        <f>IF($A191="","",SUMIFS([1]weekly_demand!$D:$D,[1]weekly_demand!$A:$A,C$1,[1]weekly_demand!$C:$C,$A191))</f>
        <v/>
      </c>
      <c r="D191" s="39" t="str">
        <f>IF($A191="","",SUMIFS([1]weekly_demand!$D:$D,[1]weekly_demand!$A:$A,D$1,[1]weekly_demand!$C:$C,$A191))</f>
        <v/>
      </c>
      <c r="E191" s="39" t="str">
        <f>IF($A191="","",SUMIFS([1]weekly_demand!$D:$D,[1]weekly_demand!$A:$A,E$1,[1]weekly_demand!$C:$C,$A191))</f>
        <v/>
      </c>
      <c r="F191" s="39" t="str">
        <f>IF($A191="","",SUMIFS([1]weekly_demand!$D:$D,[1]weekly_demand!$A:$A,F$1,[1]weekly_demand!$C:$C,$A191))</f>
        <v/>
      </c>
      <c r="G191" s="39" t="str">
        <f>IF($A191="","",SUMIFS([1]weekly_demand!$D:$D,[1]weekly_demand!$A:$A,G$1,[1]weekly_demand!$C:$C,$A191))</f>
        <v/>
      </c>
      <c r="H191" s="39" t="str">
        <f t="shared" si="12"/>
        <v/>
      </c>
      <c r="I191" s="39" t="str">
        <f t="shared" si="12"/>
        <v/>
      </c>
      <c r="J191" s="39" t="str">
        <f t="shared" si="12"/>
        <v/>
      </c>
      <c r="K191" s="39" t="str">
        <f t="shared" si="12"/>
        <v/>
      </c>
      <c r="L191" s="39" t="str">
        <f t="shared" si="12"/>
        <v/>
      </c>
      <c r="M191" s="39" t="str">
        <f t="shared" si="12"/>
        <v/>
      </c>
      <c r="N191" s="39" t="str">
        <f t="shared" si="12"/>
        <v/>
      </c>
      <c r="O191" s="39" t="str">
        <f t="shared" si="12"/>
        <v/>
      </c>
      <c r="P191" s="39" t="str">
        <f t="shared" si="12"/>
        <v/>
      </c>
      <c r="Q191" s="39" t="str">
        <f t="shared" si="12"/>
        <v/>
      </c>
      <c r="R191" s="39" t="str">
        <f t="shared" si="12"/>
        <v/>
      </c>
      <c r="S191" s="39" t="str">
        <f t="shared" si="12"/>
        <v/>
      </c>
      <c r="T191" s="39" t="str">
        <f t="shared" si="12"/>
        <v/>
      </c>
      <c r="U191" s="39" t="str">
        <f t="shared" si="12"/>
        <v/>
      </c>
      <c r="V191" s="39" t="str">
        <f t="shared" si="12"/>
        <v/>
      </c>
    </row>
    <row r="192" spans="1:22" x14ac:dyDescent="0.3">
      <c r="A192" s="38"/>
      <c r="B192" s="39" t="str">
        <f>IF($A192="","",SUMIFS([1]weekly_demand!$D:$D,[1]weekly_demand!$A:$A,B$1,[1]weekly_demand!$C:$C,$A192))</f>
        <v/>
      </c>
      <c r="C192" s="39" t="str">
        <f>IF($A192="","",SUMIFS([1]weekly_demand!$D:$D,[1]weekly_demand!$A:$A,C$1,[1]weekly_demand!$C:$C,$A192))</f>
        <v/>
      </c>
      <c r="D192" s="39" t="str">
        <f>IF($A192="","",SUMIFS([1]weekly_demand!$D:$D,[1]weekly_demand!$A:$A,D$1,[1]weekly_demand!$C:$C,$A192))</f>
        <v/>
      </c>
      <c r="E192" s="39" t="str">
        <f>IF($A192="","",SUMIFS([1]weekly_demand!$D:$D,[1]weekly_demand!$A:$A,E$1,[1]weekly_demand!$C:$C,$A192))</f>
        <v/>
      </c>
      <c r="F192" s="39" t="str">
        <f>IF($A192="","",SUMIFS([1]weekly_demand!$D:$D,[1]weekly_demand!$A:$A,F$1,[1]weekly_demand!$C:$C,$A192))</f>
        <v/>
      </c>
      <c r="G192" s="39" t="str">
        <f>IF($A192="","",SUMIFS([1]weekly_demand!$D:$D,[1]weekly_demand!$A:$A,G$1,[1]weekly_demand!$C:$C,$A192))</f>
        <v/>
      </c>
      <c r="H192" s="39" t="str">
        <f t="shared" si="12"/>
        <v/>
      </c>
      <c r="I192" s="39" t="str">
        <f t="shared" si="12"/>
        <v/>
      </c>
      <c r="J192" s="39" t="str">
        <f t="shared" si="12"/>
        <v/>
      </c>
      <c r="K192" s="39" t="str">
        <f t="shared" si="12"/>
        <v/>
      </c>
      <c r="L192" s="39" t="str">
        <f t="shared" si="12"/>
        <v/>
      </c>
      <c r="M192" s="39" t="str">
        <f t="shared" si="12"/>
        <v/>
      </c>
      <c r="N192" s="39" t="str">
        <f t="shared" si="12"/>
        <v/>
      </c>
      <c r="O192" s="39" t="str">
        <f t="shared" si="12"/>
        <v/>
      </c>
      <c r="P192" s="39" t="str">
        <f t="shared" si="12"/>
        <v/>
      </c>
      <c r="Q192" s="39" t="str">
        <f t="shared" si="12"/>
        <v/>
      </c>
      <c r="R192" s="39" t="str">
        <f t="shared" si="12"/>
        <v/>
      </c>
      <c r="S192" s="39" t="str">
        <f t="shared" si="12"/>
        <v/>
      </c>
      <c r="T192" s="39" t="str">
        <f t="shared" si="12"/>
        <v/>
      </c>
      <c r="U192" s="39" t="str">
        <f t="shared" si="12"/>
        <v/>
      </c>
      <c r="V192" s="39" t="str">
        <f t="shared" si="12"/>
        <v/>
      </c>
    </row>
    <row r="193" spans="1:22" x14ac:dyDescent="0.3">
      <c r="A193" s="38"/>
      <c r="B193" s="39" t="str">
        <f>IF($A193="","",SUMIFS([1]weekly_demand!$D:$D,[1]weekly_demand!$A:$A,B$1,[1]weekly_demand!$C:$C,$A193))</f>
        <v/>
      </c>
      <c r="C193" s="39" t="str">
        <f>IF($A193="","",SUMIFS([1]weekly_demand!$D:$D,[1]weekly_demand!$A:$A,C$1,[1]weekly_demand!$C:$C,$A193))</f>
        <v/>
      </c>
      <c r="D193" s="39" t="str">
        <f>IF($A193="","",SUMIFS([1]weekly_demand!$D:$D,[1]weekly_demand!$A:$A,D$1,[1]weekly_demand!$C:$C,$A193))</f>
        <v/>
      </c>
      <c r="E193" s="39" t="str">
        <f>IF($A193="","",SUMIFS([1]weekly_demand!$D:$D,[1]weekly_demand!$A:$A,E$1,[1]weekly_demand!$C:$C,$A193))</f>
        <v/>
      </c>
      <c r="F193" s="39" t="str">
        <f>IF($A193="","",SUMIFS([1]weekly_demand!$D:$D,[1]weekly_demand!$A:$A,F$1,[1]weekly_demand!$C:$C,$A193))</f>
        <v/>
      </c>
      <c r="G193" s="39" t="str">
        <f>IF($A193="","",SUMIFS([1]weekly_demand!$D:$D,[1]weekly_demand!$A:$A,G$1,[1]weekly_demand!$C:$C,$A193))</f>
        <v/>
      </c>
      <c r="H193" s="39" t="str">
        <f t="shared" si="12"/>
        <v/>
      </c>
      <c r="I193" s="39" t="str">
        <f t="shared" si="12"/>
        <v/>
      </c>
      <c r="J193" s="39" t="str">
        <f t="shared" si="12"/>
        <v/>
      </c>
      <c r="K193" s="39" t="str">
        <f t="shared" si="12"/>
        <v/>
      </c>
      <c r="L193" s="39" t="str">
        <f t="shared" si="12"/>
        <v/>
      </c>
      <c r="M193" s="39" t="str">
        <f t="shared" si="12"/>
        <v/>
      </c>
      <c r="N193" s="39" t="str">
        <f t="shared" si="12"/>
        <v/>
      </c>
      <c r="O193" s="39" t="str">
        <f t="shared" si="12"/>
        <v/>
      </c>
      <c r="P193" s="39" t="str">
        <f t="shared" si="12"/>
        <v/>
      </c>
      <c r="Q193" s="39" t="str">
        <f t="shared" si="12"/>
        <v/>
      </c>
      <c r="R193" s="39" t="str">
        <f t="shared" si="12"/>
        <v/>
      </c>
      <c r="S193" s="39" t="str">
        <f t="shared" si="12"/>
        <v/>
      </c>
      <c r="T193" s="39" t="str">
        <f t="shared" si="12"/>
        <v/>
      </c>
      <c r="U193" s="39" t="str">
        <f t="shared" si="12"/>
        <v/>
      </c>
      <c r="V193" s="39" t="str">
        <f t="shared" si="12"/>
        <v/>
      </c>
    </row>
    <row r="194" spans="1:22" x14ac:dyDescent="0.3">
      <c r="A194" s="38"/>
      <c r="B194" s="39" t="str">
        <f>IF($A194="","",SUMIFS([1]weekly_demand!$D:$D,[1]weekly_demand!$A:$A,B$1,[1]weekly_demand!$C:$C,$A194))</f>
        <v/>
      </c>
      <c r="C194" s="39" t="str">
        <f>IF($A194="","",SUMIFS([1]weekly_demand!$D:$D,[1]weekly_demand!$A:$A,C$1,[1]weekly_demand!$C:$C,$A194))</f>
        <v/>
      </c>
      <c r="D194" s="39" t="str">
        <f>IF($A194="","",SUMIFS([1]weekly_demand!$D:$D,[1]weekly_demand!$A:$A,D$1,[1]weekly_demand!$C:$C,$A194))</f>
        <v/>
      </c>
      <c r="E194" s="39" t="str">
        <f>IF($A194="","",SUMIFS([1]weekly_demand!$D:$D,[1]weekly_demand!$A:$A,E$1,[1]weekly_demand!$C:$C,$A194))</f>
        <v/>
      </c>
      <c r="F194" s="39" t="str">
        <f>IF($A194="","",SUMIFS([1]weekly_demand!$D:$D,[1]weekly_demand!$A:$A,F$1,[1]weekly_demand!$C:$C,$A194))</f>
        <v/>
      </c>
      <c r="G194" s="39" t="str">
        <f>IF($A194="","",SUMIFS([1]weekly_demand!$D:$D,[1]weekly_demand!$A:$A,G$1,[1]weekly_demand!$C:$C,$A194))</f>
        <v/>
      </c>
      <c r="H194" s="39" t="str">
        <f t="shared" ref="H194:V200" si="13">IF($A194="","",SUMPRODUCT($B194:$G194,INDEX($Y$2:$AD$16,MATCH(H$1,$X$2:$X$16,0),0)))</f>
        <v/>
      </c>
      <c r="I194" s="39" t="str">
        <f t="shared" si="13"/>
        <v/>
      </c>
      <c r="J194" s="39" t="str">
        <f t="shared" si="13"/>
        <v/>
      </c>
      <c r="K194" s="39" t="str">
        <f t="shared" si="13"/>
        <v/>
      </c>
      <c r="L194" s="39" t="str">
        <f t="shared" si="13"/>
        <v/>
      </c>
      <c r="M194" s="39" t="str">
        <f t="shared" si="13"/>
        <v/>
      </c>
      <c r="N194" s="39" t="str">
        <f t="shared" si="13"/>
        <v/>
      </c>
      <c r="O194" s="39" t="str">
        <f t="shared" si="13"/>
        <v/>
      </c>
      <c r="P194" s="39" t="str">
        <f t="shared" si="13"/>
        <v/>
      </c>
      <c r="Q194" s="39" t="str">
        <f t="shared" si="13"/>
        <v/>
      </c>
      <c r="R194" s="39" t="str">
        <f t="shared" si="13"/>
        <v/>
      </c>
      <c r="S194" s="39" t="str">
        <f t="shared" si="13"/>
        <v/>
      </c>
      <c r="T194" s="39" t="str">
        <f t="shared" si="13"/>
        <v/>
      </c>
      <c r="U194" s="39" t="str">
        <f t="shared" si="13"/>
        <v/>
      </c>
      <c r="V194" s="39" t="str">
        <f t="shared" si="13"/>
        <v/>
      </c>
    </row>
    <row r="195" spans="1:22" x14ac:dyDescent="0.3">
      <c r="A195" s="38"/>
      <c r="B195" s="39" t="str">
        <f>IF($A195="","",SUMIFS([1]weekly_demand!$D:$D,[1]weekly_demand!$A:$A,B$1,[1]weekly_demand!$C:$C,$A195))</f>
        <v/>
      </c>
      <c r="C195" s="39" t="str">
        <f>IF($A195="","",SUMIFS([1]weekly_demand!$D:$D,[1]weekly_demand!$A:$A,C$1,[1]weekly_demand!$C:$C,$A195))</f>
        <v/>
      </c>
      <c r="D195" s="39" t="str">
        <f>IF($A195="","",SUMIFS([1]weekly_demand!$D:$D,[1]weekly_demand!$A:$A,D$1,[1]weekly_demand!$C:$C,$A195))</f>
        <v/>
      </c>
      <c r="E195" s="39" t="str">
        <f>IF($A195="","",SUMIFS([1]weekly_demand!$D:$D,[1]weekly_demand!$A:$A,E$1,[1]weekly_demand!$C:$C,$A195))</f>
        <v/>
      </c>
      <c r="F195" s="39" t="str">
        <f>IF($A195="","",SUMIFS([1]weekly_demand!$D:$D,[1]weekly_demand!$A:$A,F$1,[1]weekly_demand!$C:$C,$A195))</f>
        <v/>
      </c>
      <c r="G195" s="39" t="str">
        <f>IF($A195="","",SUMIFS([1]weekly_demand!$D:$D,[1]weekly_demand!$A:$A,G$1,[1]weekly_demand!$C:$C,$A195))</f>
        <v/>
      </c>
      <c r="H195" s="39" t="str">
        <f t="shared" si="13"/>
        <v/>
      </c>
      <c r="I195" s="39" t="str">
        <f t="shared" si="13"/>
        <v/>
      </c>
      <c r="J195" s="39" t="str">
        <f t="shared" si="13"/>
        <v/>
      </c>
      <c r="K195" s="39" t="str">
        <f t="shared" si="13"/>
        <v/>
      </c>
      <c r="L195" s="39" t="str">
        <f t="shared" si="13"/>
        <v/>
      </c>
      <c r="M195" s="39" t="str">
        <f t="shared" si="13"/>
        <v/>
      </c>
      <c r="N195" s="39" t="str">
        <f t="shared" si="13"/>
        <v/>
      </c>
      <c r="O195" s="39" t="str">
        <f t="shared" si="13"/>
        <v/>
      </c>
      <c r="P195" s="39" t="str">
        <f t="shared" si="13"/>
        <v/>
      </c>
      <c r="Q195" s="39" t="str">
        <f t="shared" si="13"/>
        <v/>
      </c>
      <c r="R195" s="39" t="str">
        <f t="shared" si="13"/>
        <v/>
      </c>
      <c r="S195" s="39" t="str">
        <f t="shared" si="13"/>
        <v/>
      </c>
      <c r="T195" s="39" t="str">
        <f t="shared" si="13"/>
        <v/>
      </c>
      <c r="U195" s="39" t="str">
        <f t="shared" si="13"/>
        <v/>
      </c>
      <c r="V195" s="39" t="str">
        <f t="shared" si="13"/>
        <v/>
      </c>
    </row>
    <row r="196" spans="1:22" x14ac:dyDescent="0.3">
      <c r="A196" s="38"/>
      <c r="B196" s="39" t="str">
        <f>IF($A196="","",SUMIFS([1]weekly_demand!$D:$D,[1]weekly_demand!$A:$A,B$1,[1]weekly_demand!$C:$C,$A196))</f>
        <v/>
      </c>
      <c r="C196" s="39" t="str">
        <f>IF($A196="","",SUMIFS([1]weekly_demand!$D:$D,[1]weekly_demand!$A:$A,C$1,[1]weekly_demand!$C:$C,$A196))</f>
        <v/>
      </c>
      <c r="D196" s="39" t="str">
        <f>IF($A196="","",SUMIFS([1]weekly_demand!$D:$D,[1]weekly_demand!$A:$A,D$1,[1]weekly_demand!$C:$C,$A196))</f>
        <v/>
      </c>
      <c r="E196" s="39" t="str">
        <f>IF($A196="","",SUMIFS([1]weekly_demand!$D:$D,[1]weekly_demand!$A:$A,E$1,[1]weekly_demand!$C:$C,$A196))</f>
        <v/>
      </c>
      <c r="F196" s="39" t="str">
        <f>IF($A196="","",SUMIFS([1]weekly_demand!$D:$D,[1]weekly_demand!$A:$A,F$1,[1]weekly_demand!$C:$C,$A196))</f>
        <v/>
      </c>
      <c r="G196" s="39" t="str">
        <f>IF($A196="","",SUMIFS([1]weekly_demand!$D:$D,[1]weekly_demand!$A:$A,G$1,[1]weekly_demand!$C:$C,$A196))</f>
        <v/>
      </c>
      <c r="H196" s="39" t="str">
        <f t="shared" si="13"/>
        <v/>
      </c>
      <c r="I196" s="39" t="str">
        <f t="shared" si="13"/>
        <v/>
      </c>
      <c r="J196" s="39" t="str">
        <f t="shared" si="13"/>
        <v/>
      </c>
      <c r="K196" s="39" t="str">
        <f t="shared" si="13"/>
        <v/>
      </c>
      <c r="L196" s="39" t="str">
        <f t="shared" si="13"/>
        <v/>
      </c>
      <c r="M196" s="39" t="str">
        <f t="shared" si="13"/>
        <v/>
      </c>
      <c r="N196" s="39" t="str">
        <f t="shared" si="13"/>
        <v/>
      </c>
      <c r="O196" s="39" t="str">
        <f t="shared" si="13"/>
        <v/>
      </c>
      <c r="P196" s="39" t="str">
        <f t="shared" si="13"/>
        <v/>
      </c>
      <c r="Q196" s="39" t="str">
        <f t="shared" si="13"/>
        <v/>
      </c>
      <c r="R196" s="39" t="str">
        <f t="shared" si="13"/>
        <v/>
      </c>
      <c r="S196" s="39" t="str">
        <f t="shared" si="13"/>
        <v/>
      </c>
      <c r="T196" s="39" t="str">
        <f t="shared" si="13"/>
        <v/>
      </c>
      <c r="U196" s="39" t="str">
        <f t="shared" si="13"/>
        <v/>
      </c>
      <c r="V196" s="39" t="str">
        <f t="shared" si="13"/>
        <v/>
      </c>
    </row>
    <row r="197" spans="1:22" x14ac:dyDescent="0.3">
      <c r="A197" s="38"/>
      <c r="B197" s="39" t="str">
        <f>IF($A197="","",SUMIFS([1]weekly_demand!$D:$D,[1]weekly_demand!$A:$A,B$1,[1]weekly_demand!$C:$C,$A197))</f>
        <v/>
      </c>
      <c r="C197" s="39" t="str">
        <f>IF($A197="","",SUMIFS([1]weekly_demand!$D:$D,[1]weekly_demand!$A:$A,C$1,[1]weekly_demand!$C:$C,$A197))</f>
        <v/>
      </c>
      <c r="D197" s="39" t="str">
        <f>IF($A197="","",SUMIFS([1]weekly_demand!$D:$D,[1]weekly_demand!$A:$A,D$1,[1]weekly_demand!$C:$C,$A197))</f>
        <v/>
      </c>
      <c r="E197" s="39" t="str">
        <f>IF($A197="","",SUMIFS([1]weekly_demand!$D:$D,[1]weekly_demand!$A:$A,E$1,[1]weekly_demand!$C:$C,$A197))</f>
        <v/>
      </c>
      <c r="F197" s="39" t="str">
        <f>IF($A197="","",SUMIFS([1]weekly_demand!$D:$D,[1]weekly_demand!$A:$A,F$1,[1]weekly_demand!$C:$C,$A197))</f>
        <v/>
      </c>
      <c r="G197" s="39" t="str">
        <f>IF($A197="","",SUMIFS([1]weekly_demand!$D:$D,[1]weekly_demand!$A:$A,G$1,[1]weekly_demand!$C:$C,$A197))</f>
        <v/>
      </c>
      <c r="H197" s="39" t="str">
        <f t="shared" si="13"/>
        <v/>
      </c>
      <c r="I197" s="39" t="str">
        <f t="shared" si="13"/>
        <v/>
      </c>
      <c r="J197" s="39" t="str">
        <f t="shared" si="13"/>
        <v/>
      </c>
      <c r="K197" s="39" t="str">
        <f t="shared" si="13"/>
        <v/>
      </c>
      <c r="L197" s="39" t="str">
        <f t="shared" si="13"/>
        <v/>
      </c>
      <c r="M197" s="39" t="str">
        <f t="shared" si="13"/>
        <v/>
      </c>
      <c r="N197" s="39" t="str">
        <f t="shared" si="13"/>
        <v/>
      </c>
      <c r="O197" s="39" t="str">
        <f t="shared" si="13"/>
        <v/>
      </c>
      <c r="P197" s="39" t="str">
        <f t="shared" si="13"/>
        <v/>
      </c>
      <c r="Q197" s="39" t="str">
        <f t="shared" si="13"/>
        <v/>
      </c>
      <c r="R197" s="39" t="str">
        <f t="shared" si="13"/>
        <v/>
      </c>
      <c r="S197" s="39" t="str">
        <f t="shared" si="13"/>
        <v/>
      </c>
      <c r="T197" s="39" t="str">
        <f t="shared" si="13"/>
        <v/>
      </c>
      <c r="U197" s="39" t="str">
        <f t="shared" si="13"/>
        <v/>
      </c>
      <c r="V197" s="39" t="str">
        <f t="shared" si="13"/>
        <v/>
      </c>
    </row>
    <row r="198" spans="1:22" x14ac:dyDescent="0.3">
      <c r="A198" s="38"/>
      <c r="B198" s="39" t="str">
        <f>IF($A198="","",SUMIFS([1]weekly_demand!$D:$D,[1]weekly_demand!$A:$A,B$1,[1]weekly_demand!$C:$C,$A198))</f>
        <v/>
      </c>
      <c r="C198" s="39" t="str">
        <f>IF($A198="","",SUMIFS([1]weekly_demand!$D:$D,[1]weekly_demand!$A:$A,C$1,[1]weekly_demand!$C:$C,$A198))</f>
        <v/>
      </c>
      <c r="D198" s="39" t="str">
        <f>IF($A198="","",SUMIFS([1]weekly_demand!$D:$D,[1]weekly_demand!$A:$A,D$1,[1]weekly_demand!$C:$C,$A198))</f>
        <v/>
      </c>
      <c r="E198" s="39" t="str">
        <f>IF($A198="","",SUMIFS([1]weekly_demand!$D:$D,[1]weekly_demand!$A:$A,E$1,[1]weekly_demand!$C:$C,$A198))</f>
        <v/>
      </c>
      <c r="F198" s="39" t="str">
        <f>IF($A198="","",SUMIFS([1]weekly_demand!$D:$D,[1]weekly_demand!$A:$A,F$1,[1]weekly_demand!$C:$C,$A198))</f>
        <v/>
      </c>
      <c r="G198" s="39" t="str">
        <f>IF($A198="","",SUMIFS([1]weekly_demand!$D:$D,[1]weekly_demand!$A:$A,G$1,[1]weekly_demand!$C:$C,$A198))</f>
        <v/>
      </c>
      <c r="H198" s="39" t="str">
        <f t="shared" si="13"/>
        <v/>
      </c>
      <c r="I198" s="39" t="str">
        <f t="shared" si="13"/>
        <v/>
      </c>
      <c r="J198" s="39" t="str">
        <f t="shared" si="13"/>
        <v/>
      </c>
      <c r="K198" s="39" t="str">
        <f t="shared" si="13"/>
        <v/>
      </c>
      <c r="L198" s="39" t="str">
        <f t="shared" si="13"/>
        <v/>
      </c>
      <c r="M198" s="39" t="str">
        <f t="shared" si="13"/>
        <v/>
      </c>
      <c r="N198" s="39" t="str">
        <f t="shared" si="13"/>
        <v/>
      </c>
      <c r="O198" s="39" t="str">
        <f t="shared" si="13"/>
        <v/>
      </c>
      <c r="P198" s="39" t="str">
        <f t="shared" si="13"/>
        <v/>
      </c>
      <c r="Q198" s="39" t="str">
        <f t="shared" si="13"/>
        <v/>
      </c>
      <c r="R198" s="39" t="str">
        <f t="shared" si="13"/>
        <v/>
      </c>
      <c r="S198" s="39" t="str">
        <f t="shared" si="13"/>
        <v/>
      </c>
      <c r="T198" s="39" t="str">
        <f t="shared" si="13"/>
        <v/>
      </c>
      <c r="U198" s="39" t="str">
        <f t="shared" si="13"/>
        <v/>
      </c>
      <c r="V198" s="39" t="str">
        <f t="shared" si="13"/>
        <v/>
      </c>
    </row>
    <row r="199" spans="1:22" x14ac:dyDescent="0.3">
      <c r="A199" s="38"/>
      <c r="B199" s="39" t="str">
        <f>IF($A199="","",SUMIFS([1]weekly_demand!$D:$D,[1]weekly_demand!$A:$A,B$1,[1]weekly_demand!$C:$C,$A199))</f>
        <v/>
      </c>
      <c r="C199" s="39" t="str">
        <f>IF($A199="","",SUMIFS([1]weekly_demand!$D:$D,[1]weekly_demand!$A:$A,C$1,[1]weekly_demand!$C:$C,$A199))</f>
        <v/>
      </c>
      <c r="D199" s="39" t="str">
        <f>IF($A199="","",SUMIFS([1]weekly_demand!$D:$D,[1]weekly_demand!$A:$A,D$1,[1]weekly_demand!$C:$C,$A199))</f>
        <v/>
      </c>
      <c r="E199" s="39" t="str">
        <f>IF($A199="","",SUMIFS([1]weekly_demand!$D:$D,[1]weekly_demand!$A:$A,E$1,[1]weekly_demand!$C:$C,$A199))</f>
        <v/>
      </c>
      <c r="F199" s="39" t="str">
        <f>IF($A199="","",SUMIFS([1]weekly_demand!$D:$D,[1]weekly_demand!$A:$A,F$1,[1]weekly_demand!$C:$C,$A199))</f>
        <v/>
      </c>
      <c r="G199" s="39" t="str">
        <f>IF($A199="","",SUMIFS([1]weekly_demand!$D:$D,[1]weekly_demand!$A:$A,G$1,[1]weekly_demand!$C:$C,$A199))</f>
        <v/>
      </c>
      <c r="H199" s="39" t="str">
        <f t="shared" si="13"/>
        <v/>
      </c>
      <c r="I199" s="39" t="str">
        <f t="shared" si="13"/>
        <v/>
      </c>
      <c r="J199" s="39" t="str">
        <f t="shared" si="13"/>
        <v/>
      </c>
      <c r="K199" s="39" t="str">
        <f t="shared" si="13"/>
        <v/>
      </c>
      <c r="L199" s="39" t="str">
        <f t="shared" si="13"/>
        <v/>
      </c>
      <c r="M199" s="39" t="str">
        <f t="shared" si="13"/>
        <v/>
      </c>
      <c r="N199" s="39" t="str">
        <f t="shared" si="13"/>
        <v/>
      </c>
      <c r="O199" s="39" t="str">
        <f t="shared" si="13"/>
        <v/>
      </c>
      <c r="P199" s="39" t="str">
        <f t="shared" si="13"/>
        <v/>
      </c>
      <c r="Q199" s="39" t="str">
        <f t="shared" si="13"/>
        <v/>
      </c>
      <c r="R199" s="39" t="str">
        <f t="shared" si="13"/>
        <v/>
      </c>
      <c r="S199" s="39" t="str">
        <f t="shared" si="13"/>
        <v/>
      </c>
      <c r="T199" s="39" t="str">
        <f t="shared" si="13"/>
        <v/>
      </c>
      <c r="U199" s="39" t="str">
        <f t="shared" si="13"/>
        <v/>
      </c>
      <c r="V199" s="39" t="str">
        <f t="shared" si="13"/>
        <v/>
      </c>
    </row>
    <row r="200" spans="1:22" x14ac:dyDescent="0.3">
      <c r="A200" s="38"/>
      <c r="B200" s="39" t="str">
        <f>IF($A200="","",SUMIFS([1]weekly_demand!$D:$D,[1]weekly_demand!$A:$A,B$1,[1]weekly_demand!$C:$C,$A200))</f>
        <v/>
      </c>
      <c r="C200" s="39" t="str">
        <f>IF($A200="","",SUMIFS([1]weekly_demand!$D:$D,[1]weekly_demand!$A:$A,C$1,[1]weekly_demand!$C:$C,$A200))</f>
        <v/>
      </c>
      <c r="D200" s="39" t="str">
        <f>IF($A200="","",SUMIFS([1]weekly_demand!$D:$D,[1]weekly_demand!$A:$A,D$1,[1]weekly_demand!$C:$C,$A200))</f>
        <v/>
      </c>
      <c r="E200" s="39" t="str">
        <f>IF($A200="","",SUMIFS([1]weekly_demand!$D:$D,[1]weekly_demand!$A:$A,E$1,[1]weekly_demand!$C:$C,$A200))</f>
        <v/>
      </c>
      <c r="F200" s="39" t="str">
        <f>IF($A200="","",SUMIFS([1]weekly_demand!$D:$D,[1]weekly_demand!$A:$A,F$1,[1]weekly_demand!$C:$C,$A200))</f>
        <v/>
      </c>
      <c r="G200" s="39" t="str">
        <f>IF($A200="","",SUMIFS([1]weekly_demand!$D:$D,[1]weekly_demand!$A:$A,G$1,[1]weekly_demand!$C:$C,$A200))</f>
        <v/>
      </c>
      <c r="H200" s="39" t="str">
        <f t="shared" si="13"/>
        <v/>
      </c>
      <c r="I200" s="39" t="str">
        <f t="shared" si="13"/>
        <v/>
      </c>
      <c r="J200" s="39" t="str">
        <f t="shared" si="13"/>
        <v/>
      </c>
      <c r="K200" s="39" t="str">
        <f t="shared" si="13"/>
        <v/>
      </c>
      <c r="L200" s="39" t="str">
        <f t="shared" si="13"/>
        <v/>
      </c>
      <c r="M200" s="39" t="str">
        <f t="shared" si="13"/>
        <v/>
      </c>
      <c r="N200" s="39" t="str">
        <f t="shared" si="13"/>
        <v/>
      </c>
      <c r="O200" s="39" t="str">
        <f t="shared" si="13"/>
        <v/>
      </c>
      <c r="P200" s="39" t="str">
        <f t="shared" si="13"/>
        <v/>
      </c>
      <c r="Q200" s="39" t="str">
        <f t="shared" si="13"/>
        <v/>
      </c>
      <c r="R200" s="39" t="str">
        <f t="shared" si="13"/>
        <v/>
      </c>
      <c r="S200" s="39" t="str">
        <f t="shared" si="13"/>
        <v/>
      </c>
      <c r="T200" s="39" t="str">
        <f t="shared" si="13"/>
        <v/>
      </c>
      <c r="U200" s="39" t="str">
        <f t="shared" si="13"/>
        <v/>
      </c>
      <c r="V200" s="39" t="str">
        <f t="shared" si="13"/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590D-84D0-4544-BC3D-F9FEB338B805}">
  <dimension ref="A1:BR163"/>
  <sheetViews>
    <sheetView topLeftCell="AH1" zoomScale="61" workbookViewId="0">
      <selection activeCell="J11" sqref="J11"/>
    </sheetView>
  </sheetViews>
  <sheetFormatPr defaultColWidth="8.5546875" defaultRowHeight="14.4" x14ac:dyDescent="0.3"/>
  <cols>
    <col min="1" max="1" width="21" customWidth="1"/>
    <col min="2" max="70" width="12.44140625" customWidth="1"/>
  </cols>
  <sheetData>
    <row r="1" spans="1:70" ht="14.25" customHeight="1" x14ac:dyDescent="0.3">
      <c r="Z1" t="s">
        <v>30</v>
      </c>
      <c r="AG1" t="s">
        <v>43</v>
      </c>
    </row>
    <row r="2" spans="1:70" ht="14.25" customHeight="1" x14ac:dyDescent="0.3">
      <c r="X2" s="42" t="s">
        <v>65</v>
      </c>
      <c r="Y2" s="43" t="s">
        <v>69</v>
      </c>
      <c r="Z2" s="42" t="s">
        <v>72</v>
      </c>
      <c r="AA2" s="43" t="s">
        <v>75</v>
      </c>
      <c r="AB2" s="42" t="s">
        <v>78</v>
      </c>
      <c r="AE2" s="43" t="s">
        <v>65</v>
      </c>
      <c r="AF2" s="42" t="s">
        <v>69</v>
      </c>
      <c r="AG2" s="43" t="s">
        <v>72</v>
      </c>
      <c r="AH2" s="42" t="s">
        <v>92</v>
      </c>
      <c r="AI2" s="43" t="s">
        <v>94</v>
      </c>
    </row>
    <row r="3" spans="1:70" ht="16.350000000000001" customHeight="1" x14ac:dyDescent="0.3">
      <c r="A3" s="44" t="s">
        <v>124</v>
      </c>
      <c r="B3" s="45" t="s">
        <v>30</v>
      </c>
      <c r="C3" s="45" t="s">
        <v>35</v>
      </c>
      <c r="D3" s="45" t="s">
        <v>38</v>
      </c>
      <c r="E3" s="45" t="s">
        <v>43</v>
      </c>
      <c r="F3" s="45" t="s">
        <v>46</v>
      </c>
      <c r="G3" s="45" t="s">
        <v>51</v>
      </c>
      <c r="H3" s="45" t="s">
        <v>65</v>
      </c>
      <c r="I3" s="45" t="s">
        <v>69</v>
      </c>
      <c r="J3" s="45" t="s">
        <v>72</v>
      </c>
      <c r="K3" s="45" t="s">
        <v>75</v>
      </c>
      <c r="L3" s="45" t="s">
        <v>78</v>
      </c>
      <c r="M3" s="45" t="s">
        <v>80</v>
      </c>
      <c r="N3" s="45" t="s">
        <v>83</v>
      </c>
      <c r="O3" s="45" t="s">
        <v>86</v>
      </c>
      <c r="P3" s="45" t="s">
        <v>89</v>
      </c>
      <c r="Q3" s="45" t="s">
        <v>92</v>
      </c>
      <c r="R3" s="45" t="s">
        <v>94</v>
      </c>
      <c r="S3" s="45" t="s">
        <v>96</v>
      </c>
      <c r="T3" s="45" t="s">
        <v>98</v>
      </c>
      <c r="U3" s="45" t="s">
        <v>100</v>
      </c>
      <c r="V3" s="45" t="s">
        <v>102</v>
      </c>
      <c r="X3" s="42">
        <v>1</v>
      </c>
      <c r="Y3" s="43">
        <v>0.25</v>
      </c>
      <c r="Z3" s="42">
        <v>1</v>
      </c>
      <c r="AA3" s="43">
        <v>2</v>
      </c>
      <c r="AB3" s="42">
        <v>1</v>
      </c>
      <c r="AE3" s="43">
        <v>1</v>
      </c>
      <c r="AF3" s="42">
        <v>0.25</v>
      </c>
      <c r="AG3" s="43">
        <v>1</v>
      </c>
      <c r="AH3" s="42">
        <v>2</v>
      </c>
      <c r="AI3" s="43">
        <v>1.5</v>
      </c>
    </row>
    <row r="4" spans="1:70" ht="16.350000000000001" customHeight="1" x14ac:dyDescent="0.3">
      <c r="A4" s="44" t="s">
        <v>125</v>
      </c>
      <c r="B4" s="33"/>
      <c r="C4" s="33"/>
      <c r="D4" s="33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70" ht="28.5" customHeight="1" x14ac:dyDescent="0.3">
      <c r="A5" s="44" t="s">
        <v>126</v>
      </c>
      <c r="B5" s="188" t="s">
        <v>127</v>
      </c>
      <c r="C5" s="156"/>
      <c r="D5" s="156"/>
      <c r="E5" s="156"/>
      <c r="F5" s="156"/>
      <c r="G5" s="157"/>
      <c r="H5" s="8">
        <v>7</v>
      </c>
      <c r="I5" s="8">
        <v>14</v>
      </c>
      <c r="J5" s="8">
        <v>21</v>
      </c>
      <c r="K5" s="8">
        <v>140</v>
      </c>
      <c r="L5" s="8">
        <v>70</v>
      </c>
      <c r="M5" s="8">
        <v>35</v>
      </c>
      <c r="N5" s="8">
        <v>42</v>
      </c>
      <c r="O5" s="8">
        <v>63</v>
      </c>
      <c r="P5" s="8">
        <v>28</v>
      </c>
      <c r="Q5" s="8">
        <v>77</v>
      </c>
      <c r="R5" s="8">
        <v>21</v>
      </c>
      <c r="S5" s="8">
        <v>56</v>
      </c>
      <c r="T5" s="8">
        <v>35</v>
      </c>
      <c r="U5" s="8">
        <v>63</v>
      </c>
      <c r="V5" s="8">
        <v>49</v>
      </c>
    </row>
    <row r="6" spans="1:70" ht="16.350000000000001" customHeight="1" x14ac:dyDescent="0.3">
      <c r="A6" s="44" t="s">
        <v>128</v>
      </c>
      <c r="B6" s="33"/>
      <c r="C6" s="33"/>
      <c r="D6" s="33"/>
      <c r="E6" s="8"/>
      <c r="F6" s="8"/>
      <c r="G6" s="8"/>
      <c r="H6" s="8">
        <v>588</v>
      </c>
      <c r="I6" s="8">
        <v>1443</v>
      </c>
      <c r="J6" s="8">
        <v>42524</v>
      </c>
      <c r="K6" s="8">
        <v>340000</v>
      </c>
      <c r="L6" s="8">
        <v>90000</v>
      </c>
      <c r="M6" s="8">
        <v>76000</v>
      </c>
      <c r="N6" s="8">
        <v>50000</v>
      </c>
      <c r="O6" s="8">
        <v>123000</v>
      </c>
      <c r="P6" s="8">
        <v>6500</v>
      </c>
      <c r="Q6" s="8">
        <v>60000</v>
      </c>
      <c r="R6" s="8">
        <v>100000</v>
      </c>
      <c r="S6" s="8">
        <v>5500</v>
      </c>
      <c r="T6" s="8">
        <v>6000</v>
      </c>
      <c r="U6" s="8">
        <v>130000</v>
      </c>
      <c r="V6" s="8">
        <v>20000</v>
      </c>
      <c r="Z6" t="s">
        <v>35</v>
      </c>
      <c r="AG6" t="s">
        <v>46</v>
      </c>
    </row>
    <row r="7" spans="1:70" ht="16.350000000000001" customHeight="1" x14ac:dyDescent="0.3">
      <c r="A7" s="44" t="s">
        <v>129</v>
      </c>
      <c r="B7" s="33"/>
      <c r="C7" s="33"/>
      <c r="D7" s="33"/>
      <c r="E7" s="8"/>
      <c r="F7" s="8"/>
      <c r="G7" s="8"/>
      <c r="H7" s="8"/>
      <c r="I7" s="8"/>
      <c r="J7" s="8"/>
      <c r="K7" s="8">
        <v>30000</v>
      </c>
      <c r="L7" s="8"/>
      <c r="M7" s="8"/>
      <c r="N7" s="8"/>
      <c r="O7" s="8">
        <v>38000</v>
      </c>
      <c r="P7" s="8"/>
      <c r="Q7" s="8">
        <v>5000</v>
      </c>
      <c r="R7" s="8"/>
      <c r="S7" s="8"/>
      <c r="T7" s="8">
        <v>1000</v>
      </c>
      <c r="U7" s="8"/>
      <c r="V7" s="8">
        <v>21000</v>
      </c>
      <c r="X7" s="43" t="s">
        <v>65</v>
      </c>
      <c r="Y7" s="42" t="s">
        <v>69</v>
      </c>
      <c r="Z7" s="43" t="s">
        <v>72</v>
      </c>
      <c r="AA7" s="42" t="s">
        <v>80</v>
      </c>
      <c r="AB7" s="43" t="s">
        <v>83</v>
      </c>
      <c r="AE7" s="42" t="s">
        <v>65</v>
      </c>
      <c r="AF7" s="43" t="s">
        <v>69</v>
      </c>
      <c r="AG7" s="42" t="s">
        <v>72</v>
      </c>
      <c r="AH7" s="43" t="s">
        <v>96</v>
      </c>
      <c r="AI7" s="42" t="s">
        <v>98</v>
      </c>
    </row>
    <row r="8" spans="1:70" ht="16.350000000000001" customHeight="1" x14ac:dyDescent="0.3">
      <c r="A8" s="44" t="s">
        <v>137</v>
      </c>
      <c r="B8" s="33" t="s">
        <v>138</v>
      </c>
      <c r="C8" s="33"/>
      <c r="D8" s="33"/>
      <c r="E8" s="8"/>
      <c r="F8" s="8"/>
      <c r="G8" s="8"/>
      <c r="H8" s="8">
        <f>ROUNDUP(AVERAGE(BOM_demand!H$2:H$36)*IF(INDEX('BOM &amp; Inventory'!$G$6:$G$35,MATCH(H$3,'BOM &amp; Inventory'!$E$6:$E$35,0))="Local",1,2),0)</f>
        <v>18000</v>
      </c>
      <c r="I8" s="8">
        <f>ROUNDUP(AVERAGE(BOM_demand!I$2:I$36)*IF(INDEX('BOM &amp; Inventory'!$G$6:$G$35,MATCH(I$3,'BOM &amp; Inventory'!$E$6:$E$35,0))="Local",1,2),0)</f>
        <v>4801</v>
      </c>
      <c r="J8" s="8">
        <f>ROUNDUP(AVERAGE(BOM_demand!J$2:J$36)*IF(INDEX('BOM &amp; Inventory'!$G$6:$G$35,MATCH(J$3,'BOM &amp; Inventory'!$E$6:$E$35,0))="Local",1,2),0)</f>
        <v>18000</v>
      </c>
      <c r="K8" s="8">
        <f>ROUNDUP(AVERAGE(BOM_demand!K$2:K$36)*IF(INDEX('BOM &amp; Inventory'!$G$6:$G$35,MATCH(K$3,'BOM &amp; Inventory'!$E$6:$E$35,0))="Local",1,2),0)</f>
        <v>33013</v>
      </c>
      <c r="L8" s="8">
        <f>ROUNDUP(AVERAGE(BOM_demand!L$2:L$36)*IF(INDEX('BOM &amp; Inventory'!$G$6:$G$35,MATCH(L$3,'BOM &amp; Inventory'!$E$6:$E$35,0))="Local",1,2),0)</f>
        <v>16507</v>
      </c>
      <c r="M8" s="8">
        <f>ROUNDUP(AVERAGE(BOM_demand!M$2:M$36)*IF(INDEX('BOM &amp; Inventory'!$G$6:$G$35,MATCH(M$3,'BOM &amp; Inventory'!$E$6:$E$35,0))="Local",1,2),0)</f>
        <v>21645</v>
      </c>
      <c r="N8" s="8">
        <f>ROUNDUP(AVERAGE(BOM_demand!N$2:N$36)*IF(INDEX('BOM &amp; Inventory'!$G$6:$G$35,MATCH(N$3,'BOM &amp; Inventory'!$E$6:$E$35,0))="Local",1,2),0)</f>
        <v>12987</v>
      </c>
      <c r="O8" s="8">
        <f>ROUNDUP(AVERAGE(BOM_demand!O$2:O$36)*IF(INDEX('BOM &amp; Inventory'!$G$6:$G$35,MATCH(O$3,'BOM &amp; Inventory'!$E$6:$E$35,0))="Local",1,2),0)</f>
        <v>12429</v>
      </c>
      <c r="P8" s="8">
        <f>ROUNDUP(AVERAGE(BOM_demand!P$2:P$36)*IF(INDEX('BOM &amp; Inventory'!$G$6:$G$35,MATCH(P$3,'BOM &amp; Inventory'!$E$6:$E$35,0))="Local",1,2),0)</f>
        <v>2072</v>
      </c>
      <c r="Q8" s="8">
        <f>ROUNDUP(AVERAGE(BOM_demand!Q$2:Q$36)*IF(INDEX('BOM &amp; Inventory'!$G$6:$G$35,MATCH(Q$3,'BOM &amp; Inventory'!$E$6:$E$35,0))="Local",1,2),0)</f>
        <v>4678</v>
      </c>
      <c r="R8" s="8">
        <f>ROUNDUP(AVERAGE(BOM_demand!R$2:R$36)*IF(INDEX('BOM &amp; Inventory'!$G$6:$G$35,MATCH(R$3,'BOM &amp; Inventory'!$E$6:$E$35,0))="Local",1,2),0)</f>
        <v>3509</v>
      </c>
      <c r="S8" s="8">
        <f>ROUNDUP(AVERAGE(BOM_demand!S$2:S$36)*IF(INDEX('BOM &amp; Inventory'!$G$6:$G$35,MATCH(S$3,'BOM &amp; Inventory'!$E$6:$E$35,0))="Local",1,2),0)</f>
        <v>887</v>
      </c>
      <c r="T8" s="8">
        <f>ROUNDUP(AVERAGE(BOM_demand!T$2:T$36)*IF(INDEX('BOM &amp; Inventory'!$G$6:$G$35,MATCH(T$3,'BOM &amp; Inventory'!$E$6:$E$35,0))="Local",1,2),0)</f>
        <v>1182</v>
      </c>
      <c r="U8" s="8">
        <f>ROUNDUP(AVERAGE(BOM_demand!U$2:U$36)*IF(INDEX('BOM &amp; Inventory'!$G$6:$G$35,MATCH(U$3,'BOM &amp; Inventory'!$E$6:$E$35,0))="Local",1,2),0)</f>
        <v>20284</v>
      </c>
      <c r="V8" s="8">
        <f>ROUNDUP(AVERAGE(BOM_demand!V$2:V$36)*IF(INDEX('BOM &amp; Inventory'!$G$6:$G$35,MATCH(V$3,'BOM &amp; Inventory'!$E$6:$E$35,0))="Local",1,2),0)</f>
        <v>8114</v>
      </c>
      <c r="X8" s="43">
        <v>1</v>
      </c>
      <c r="Y8" s="42">
        <v>0.25</v>
      </c>
      <c r="Z8" s="43">
        <v>1</v>
      </c>
      <c r="AA8" s="42">
        <v>2.5</v>
      </c>
      <c r="AB8" s="43">
        <v>1.5</v>
      </c>
      <c r="AE8" s="42">
        <v>1</v>
      </c>
      <c r="AF8" s="43">
        <v>0.5</v>
      </c>
      <c r="AG8" s="42">
        <v>1</v>
      </c>
      <c r="AH8" s="43">
        <v>3</v>
      </c>
      <c r="AI8" s="42">
        <v>4</v>
      </c>
    </row>
    <row r="11" spans="1:70" ht="14.25" customHeight="1" x14ac:dyDescent="0.3">
      <c r="Z11" t="s">
        <v>38</v>
      </c>
      <c r="AG11" t="s">
        <v>51</v>
      </c>
    </row>
    <row r="12" spans="1:70" ht="14.25" customHeight="1" x14ac:dyDescent="0.3">
      <c r="X12" s="42" t="s">
        <v>65</v>
      </c>
      <c r="Y12" s="43" t="s">
        <v>69</v>
      </c>
      <c r="Z12" s="42" t="s">
        <v>72</v>
      </c>
      <c r="AA12" s="43" t="s">
        <v>86</v>
      </c>
      <c r="AB12" s="42" t="s">
        <v>89</v>
      </c>
      <c r="AE12" s="43" t="s">
        <v>65</v>
      </c>
      <c r="AF12" s="42" t="s">
        <v>69</v>
      </c>
      <c r="AG12" s="43" t="s">
        <v>72</v>
      </c>
      <c r="AH12" s="42" t="s">
        <v>100</v>
      </c>
      <c r="AI12" s="43" t="s">
        <v>102</v>
      </c>
    </row>
    <row r="13" spans="1:70" ht="14.25" customHeight="1" x14ac:dyDescent="0.3">
      <c r="X13" s="42">
        <v>1</v>
      </c>
      <c r="Y13" s="43">
        <v>0.5</v>
      </c>
      <c r="Z13" s="42">
        <v>1</v>
      </c>
      <c r="AA13" s="43">
        <v>3</v>
      </c>
      <c r="AB13" s="42">
        <v>0.5</v>
      </c>
      <c r="AE13" s="43">
        <v>1</v>
      </c>
      <c r="AF13" s="42">
        <v>0.125</v>
      </c>
      <c r="AG13" s="43">
        <v>1</v>
      </c>
      <c r="AH13" s="42">
        <v>5</v>
      </c>
      <c r="AI13" s="43">
        <v>2</v>
      </c>
    </row>
    <row r="15" spans="1:70" ht="16.350000000000001" customHeight="1" x14ac:dyDescent="0.3">
      <c r="A15" s="47" t="s">
        <v>139</v>
      </c>
      <c r="B15" s="47" t="s">
        <v>140</v>
      </c>
      <c r="C15" s="187" t="s">
        <v>130</v>
      </c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7"/>
    </row>
    <row r="16" spans="1:70" ht="16.350000000000001" customHeight="1" x14ac:dyDescent="0.3">
      <c r="A16" s="47" t="s">
        <v>131</v>
      </c>
      <c r="B16" s="47" t="str">
        <f>"LT: "&amp;ROUND(INDEX($H$5:$V$5,1,MATCH("RM01",$H$3:$V$3,0))/7,0)</f>
        <v>LT: 1</v>
      </c>
      <c r="C16" s="48" cm="1">
        <f t="array" ref="C16:AK16">TRANSPOSE(BOM_demand!$A$2:$A$36)</f>
        <v>46132</v>
      </c>
      <c r="D16" s="48">
        <v>46139</v>
      </c>
      <c r="E16" s="48">
        <v>46146</v>
      </c>
      <c r="F16" s="48">
        <v>46153</v>
      </c>
      <c r="G16" s="48">
        <v>46160</v>
      </c>
      <c r="H16" s="48">
        <v>46167</v>
      </c>
      <c r="I16" s="48">
        <v>46174</v>
      </c>
      <c r="J16" s="48">
        <v>46181</v>
      </c>
      <c r="K16" s="48">
        <v>46188</v>
      </c>
      <c r="L16" s="48">
        <v>46195</v>
      </c>
      <c r="M16" s="48">
        <v>46202</v>
      </c>
      <c r="N16" s="48">
        <v>46209</v>
      </c>
      <c r="O16" s="48">
        <v>46216</v>
      </c>
      <c r="P16" s="48">
        <v>46223</v>
      </c>
      <c r="Q16" s="48">
        <v>46230</v>
      </c>
      <c r="R16" s="48">
        <v>46237</v>
      </c>
      <c r="S16" s="48">
        <v>46244</v>
      </c>
      <c r="T16" s="48">
        <v>46251</v>
      </c>
      <c r="U16" s="48">
        <v>46258</v>
      </c>
      <c r="V16" s="48">
        <v>46265</v>
      </c>
      <c r="W16" s="48">
        <v>46272</v>
      </c>
      <c r="X16" s="48">
        <v>46279</v>
      </c>
      <c r="Y16" s="48">
        <v>46286</v>
      </c>
      <c r="Z16" s="48">
        <v>46293</v>
      </c>
      <c r="AA16" s="48">
        <v>46300</v>
      </c>
      <c r="AB16" s="48">
        <v>46307</v>
      </c>
      <c r="AC16" s="48">
        <v>46314</v>
      </c>
      <c r="AD16" s="48">
        <v>46321</v>
      </c>
      <c r="AE16" s="48">
        <v>46328</v>
      </c>
      <c r="AF16" s="48">
        <v>46335</v>
      </c>
      <c r="AG16" s="48">
        <v>46342</v>
      </c>
      <c r="AH16" s="48">
        <v>46349</v>
      </c>
      <c r="AI16" s="48">
        <v>46356</v>
      </c>
      <c r="AJ16" s="48">
        <v>46363</v>
      </c>
      <c r="AK16" s="49">
        <v>46370</v>
      </c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</row>
    <row r="17" spans="1:55" ht="16.350000000000001" customHeight="1" x14ac:dyDescent="0.3">
      <c r="A17" s="51" t="s">
        <v>132</v>
      </c>
      <c r="C17" s="34" cm="1">
        <f t="array" ref="C17:AK17">TRANSPOSE(BOM_demand!$H$2:$H$36)</f>
        <v>3000</v>
      </c>
      <c r="D17" s="34">
        <v>14156</v>
      </c>
      <c r="E17" s="34">
        <v>34460</v>
      </c>
      <c r="F17" s="34">
        <v>43698</v>
      </c>
      <c r="G17" s="34">
        <v>32865</v>
      </c>
      <c r="H17" s="34">
        <v>28446</v>
      </c>
      <c r="I17" s="34">
        <v>29897</v>
      </c>
      <c r="J17" s="34">
        <v>22838</v>
      </c>
      <c r="K17" s="34">
        <v>25975</v>
      </c>
      <c r="L17" s="34">
        <v>23173</v>
      </c>
      <c r="M17" s="34">
        <v>21741</v>
      </c>
      <c r="N17" s="34">
        <v>21340</v>
      </c>
      <c r="O17" s="34">
        <v>9300</v>
      </c>
      <c r="P17" s="34">
        <v>6700</v>
      </c>
      <c r="Q17" s="34">
        <v>18876</v>
      </c>
      <c r="R17" s="34">
        <v>17698</v>
      </c>
      <c r="S17" s="34">
        <v>9248</v>
      </c>
      <c r="T17" s="34">
        <v>8946</v>
      </c>
      <c r="U17" s="34">
        <v>10655</v>
      </c>
      <c r="V17" s="34">
        <v>10554</v>
      </c>
      <c r="W17" s="34">
        <v>8797</v>
      </c>
      <c r="X17" s="34">
        <v>8398</v>
      </c>
      <c r="Y17" s="34">
        <v>7797</v>
      </c>
      <c r="Z17" s="34">
        <v>10719</v>
      </c>
      <c r="AA17" s="34">
        <v>18960</v>
      </c>
      <c r="AB17" s="34">
        <v>20408</v>
      </c>
      <c r="AC17" s="34">
        <v>20408</v>
      </c>
      <c r="AD17" s="34">
        <v>24198</v>
      </c>
      <c r="AE17" s="34">
        <v>14085</v>
      </c>
      <c r="AF17" s="34">
        <v>13788</v>
      </c>
      <c r="AG17" s="34">
        <v>13787</v>
      </c>
      <c r="AH17" s="34">
        <v>16538</v>
      </c>
      <c r="AI17" s="34">
        <v>17009</v>
      </c>
      <c r="AJ17" s="34">
        <v>20756</v>
      </c>
      <c r="AK17" s="62">
        <v>20753</v>
      </c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</row>
    <row r="18" spans="1:55" ht="16.350000000000001" customHeight="1" x14ac:dyDescent="0.3">
      <c r="A18" s="186" t="s">
        <v>129</v>
      </c>
      <c r="B18" s="157"/>
      <c r="C18" s="34">
        <f>IFERROR(INDEX($H$7:$V$7,1,MATCH("RM01",$H$3:$V$3,0)),0)</f>
        <v>0</v>
      </c>
      <c r="D18" s="34">
        <f>0</f>
        <v>0</v>
      </c>
      <c r="E18" s="34">
        <f>0</f>
        <v>0</v>
      </c>
      <c r="F18" s="34">
        <f>0</f>
        <v>0</v>
      </c>
      <c r="G18" s="34">
        <f>0</f>
        <v>0</v>
      </c>
      <c r="H18" s="34">
        <f>0</f>
        <v>0</v>
      </c>
      <c r="I18" s="34">
        <f>0</f>
        <v>0</v>
      </c>
      <c r="J18" s="34">
        <f>0</f>
        <v>0</v>
      </c>
      <c r="K18" s="8">
        <f>0</f>
        <v>0</v>
      </c>
      <c r="L18" s="8">
        <f>0</f>
        <v>0</v>
      </c>
      <c r="M18" s="8">
        <f>0</f>
        <v>0</v>
      </c>
      <c r="N18" s="8">
        <f>0</f>
        <v>0</v>
      </c>
      <c r="O18" s="8">
        <f>0</f>
        <v>0</v>
      </c>
      <c r="P18" s="8">
        <f>0</f>
        <v>0</v>
      </c>
      <c r="Q18" s="8">
        <f>0</f>
        <v>0</v>
      </c>
      <c r="R18" s="8">
        <f>0</f>
        <v>0</v>
      </c>
      <c r="S18" s="8">
        <f>0</f>
        <v>0</v>
      </c>
      <c r="T18" s="8">
        <f>0</f>
        <v>0</v>
      </c>
      <c r="U18" s="8">
        <f>0</f>
        <v>0</v>
      </c>
      <c r="V18" s="8">
        <f>0</f>
        <v>0</v>
      </c>
      <c r="W18" s="8">
        <f>0</f>
        <v>0</v>
      </c>
      <c r="X18" s="8">
        <f>0</f>
        <v>0</v>
      </c>
      <c r="Y18" s="8">
        <f>0</f>
        <v>0</v>
      </c>
      <c r="Z18" s="8">
        <f>0</f>
        <v>0</v>
      </c>
      <c r="AA18" s="8">
        <f>0</f>
        <v>0</v>
      </c>
      <c r="AB18" s="8">
        <f>0</f>
        <v>0</v>
      </c>
      <c r="AC18" s="8">
        <f>0</f>
        <v>0</v>
      </c>
      <c r="AD18" s="8">
        <f>0</f>
        <v>0</v>
      </c>
      <c r="AE18" s="8">
        <f>0</f>
        <v>0</v>
      </c>
      <c r="AF18" s="8">
        <f>0</f>
        <v>0</v>
      </c>
      <c r="AG18" s="8">
        <f>0</f>
        <v>0</v>
      </c>
      <c r="AH18" s="8">
        <f>0</f>
        <v>0</v>
      </c>
      <c r="AI18" s="8">
        <f>0</f>
        <v>0</v>
      </c>
      <c r="AJ18" s="8">
        <f>0</f>
        <v>0</v>
      </c>
      <c r="AK18" s="63">
        <f>0</f>
        <v>0</v>
      </c>
    </row>
    <row r="19" spans="1:55" ht="16.350000000000001" customHeight="1" x14ac:dyDescent="0.3">
      <c r="A19" s="34" t="s">
        <v>137</v>
      </c>
      <c r="B19" s="46">
        <f>IFERROR(INDEX($H$8:$V$8,1,MATCH("RM01",$H$3:$V$3,0)),0)</f>
        <v>18000</v>
      </c>
      <c r="C19" s="34">
        <f t="shared" ref="C19:AK19" si="0">$B19</f>
        <v>18000</v>
      </c>
      <c r="D19" s="34">
        <f t="shared" si="0"/>
        <v>18000</v>
      </c>
      <c r="E19" s="34">
        <f t="shared" si="0"/>
        <v>18000</v>
      </c>
      <c r="F19" s="34">
        <f t="shared" si="0"/>
        <v>18000</v>
      </c>
      <c r="G19" s="34">
        <f t="shared" si="0"/>
        <v>18000</v>
      </c>
      <c r="H19" s="34">
        <f t="shared" si="0"/>
        <v>18000</v>
      </c>
      <c r="I19" s="34">
        <f t="shared" si="0"/>
        <v>18000</v>
      </c>
      <c r="J19" s="34">
        <f t="shared" si="0"/>
        <v>18000</v>
      </c>
      <c r="K19" s="8">
        <f t="shared" si="0"/>
        <v>18000</v>
      </c>
      <c r="L19" s="8">
        <f t="shared" si="0"/>
        <v>18000</v>
      </c>
      <c r="M19" s="8">
        <f t="shared" si="0"/>
        <v>18000</v>
      </c>
      <c r="N19" s="8">
        <f t="shared" si="0"/>
        <v>18000</v>
      </c>
      <c r="O19" s="8">
        <f t="shared" si="0"/>
        <v>18000</v>
      </c>
      <c r="P19" s="8">
        <f t="shared" si="0"/>
        <v>18000</v>
      </c>
      <c r="Q19" s="8">
        <f t="shared" si="0"/>
        <v>18000</v>
      </c>
      <c r="R19" s="8">
        <f t="shared" si="0"/>
        <v>18000</v>
      </c>
      <c r="S19" s="8">
        <f t="shared" si="0"/>
        <v>18000</v>
      </c>
      <c r="T19" s="8">
        <f t="shared" si="0"/>
        <v>18000</v>
      </c>
      <c r="U19" s="8">
        <f t="shared" si="0"/>
        <v>18000</v>
      </c>
      <c r="V19" s="8">
        <f t="shared" si="0"/>
        <v>18000</v>
      </c>
      <c r="W19" s="8">
        <f t="shared" si="0"/>
        <v>18000</v>
      </c>
      <c r="X19" s="8">
        <f t="shared" si="0"/>
        <v>18000</v>
      </c>
      <c r="Y19" s="8">
        <f t="shared" si="0"/>
        <v>18000</v>
      </c>
      <c r="Z19" s="8">
        <f t="shared" si="0"/>
        <v>18000</v>
      </c>
      <c r="AA19" s="8">
        <f t="shared" si="0"/>
        <v>18000</v>
      </c>
      <c r="AB19" s="8">
        <f t="shared" si="0"/>
        <v>18000</v>
      </c>
      <c r="AC19" s="8">
        <f t="shared" si="0"/>
        <v>18000</v>
      </c>
      <c r="AD19" s="8">
        <f t="shared" si="0"/>
        <v>18000</v>
      </c>
      <c r="AE19" s="8">
        <f t="shared" si="0"/>
        <v>18000</v>
      </c>
      <c r="AF19" s="8">
        <f t="shared" si="0"/>
        <v>18000</v>
      </c>
      <c r="AG19" s="8">
        <f t="shared" si="0"/>
        <v>18000</v>
      </c>
      <c r="AH19" s="8">
        <f t="shared" si="0"/>
        <v>18000</v>
      </c>
      <c r="AI19" s="8">
        <f t="shared" si="0"/>
        <v>18000</v>
      </c>
      <c r="AJ19" s="8">
        <f t="shared" si="0"/>
        <v>18000</v>
      </c>
      <c r="AK19" s="63">
        <f t="shared" si="0"/>
        <v>18000</v>
      </c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</row>
    <row r="20" spans="1:55" ht="16.350000000000001" customHeight="1" x14ac:dyDescent="0.3">
      <c r="A20" s="34" t="s">
        <v>133</v>
      </c>
      <c r="B20" s="46">
        <f>IFERROR(INDEX($H$6:$V$6,1,MATCH("RM01",$H$3:$V$3,0)),0)</f>
        <v>588</v>
      </c>
      <c r="C20" s="34">
        <f>$B20+C18+C22-C17</f>
        <v>18000</v>
      </c>
      <c r="D20" s="34">
        <f t="shared" ref="D20:AK20" si="1">C20+D18+D22-D17</f>
        <v>18000</v>
      </c>
      <c r="E20" s="34">
        <f t="shared" si="1"/>
        <v>18000</v>
      </c>
      <c r="F20" s="34">
        <f t="shared" si="1"/>
        <v>18000</v>
      </c>
      <c r="G20" s="34">
        <f t="shared" si="1"/>
        <v>18000</v>
      </c>
      <c r="H20" s="34">
        <f t="shared" si="1"/>
        <v>18000</v>
      </c>
      <c r="I20" s="34">
        <f t="shared" si="1"/>
        <v>18000</v>
      </c>
      <c r="J20" s="34">
        <f t="shared" si="1"/>
        <v>18000</v>
      </c>
      <c r="K20" s="8">
        <f t="shared" si="1"/>
        <v>18000</v>
      </c>
      <c r="L20" s="8">
        <f t="shared" si="1"/>
        <v>18000</v>
      </c>
      <c r="M20" s="8">
        <f t="shared" si="1"/>
        <v>18000</v>
      </c>
      <c r="N20" s="8">
        <f t="shared" si="1"/>
        <v>18000</v>
      </c>
      <c r="O20" s="8">
        <f t="shared" si="1"/>
        <v>18000</v>
      </c>
      <c r="P20" s="8">
        <f t="shared" si="1"/>
        <v>18000</v>
      </c>
      <c r="Q20" s="8">
        <f t="shared" si="1"/>
        <v>18000</v>
      </c>
      <c r="R20" s="8">
        <f t="shared" si="1"/>
        <v>18000</v>
      </c>
      <c r="S20" s="8">
        <f t="shared" si="1"/>
        <v>18000</v>
      </c>
      <c r="T20" s="8">
        <f t="shared" si="1"/>
        <v>18000</v>
      </c>
      <c r="U20" s="8">
        <f t="shared" si="1"/>
        <v>18000</v>
      </c>
      <c r="V20" s="8">
        <f t="shared" si="1"/>
        <v>18000</v>
      </c>
      <c r="W20" s="8">
        <f t="shared" si="1"/>
        <v>18000</v>
      </c>
      <c r="X20" s="8">
        <f t="shared" si="1"/>
        <v>18000</v>
      </c>
      <c r="Y20" s="8">
        <f t="shared" si="1"/>
        <v>18000</v>
      </c>
      <c r="Z20" s="8">
        <f t="shared" si="1"/>
        <v>18000</v>
      </c>
      <c r="AA20" s="8">
        <f t="shared" si="1"/>
        <v>18000</v>
      </c>
      <c r="AB20" s="8">
        <f t="shared" si="1"/>
        <v>18000</v>
      </c>
      <c r="AC20" s="8">
        <f t="shared" si="1"/>
        <v>18000</v>
      </c>
      <c r="AD20" s="8">
        <f t="shared" si="1"/>
        <v>18000</v>
      </c>
      <c r="AE20" s="8">
        <f t="shared" si="1"/>
        <v>18000</v>
      </c>
      <c r="AF20" s="8">
        <f t="shared" si="1"/>
        <v>18000</v>
      </c>
      <c r="AG20" s="8">
        <f t="shared" si="1"/>
        <v>18000</v>
      </c>
      <c r="AH20" s="8">
        <f t="shared" si="1"/>
        <v>18000</v>
      </c>
      <c r="AI20" s="8">
        <f t="shared" si="1"/>
        <v>18000</v>
      </c>
      <c r="AJ20" s="8">
        <f t="shared" si="1"/>
        <v>18000</v>
      </c>
      <c r="AK20" s="63">
        <f t="shared" si="1"/>
        <v>18000</v>
      </c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</row>
    <row r="21" spans="1:55" ht="16.350000000000001" customHeight="1" x14ac:dyDescent="0.3">
      <c r="A21" s="34" t="s">
        <v>141</v>
      </c>
      <c r="B21" s="46"/>
      <c r="C21" s="34">
        <f>MAX(C17+C19-($B20+C18),0)</f>
        <v>20412</v>
      </c>
      <c r="D21" s="34">
        <f t="shared" ref="D21:AK21" si="2">MAX(D17+D19-(C20+D18),0)</f>
        <v>14156</v>
      </c>
      <c r="E21" s="34">
        <f t="shared" si="2"/>
        <v>34460</v>
      </c>
      <c r="F21" s="34">
        <f t="shared" si="2"/>
        <v>43698</v>
      </c>
      <c r="G21" s="34">
        <f t="shared" si="2"/>
        <v>32865</v>
      </c>
      <c r="H21" s="34">
        <f t="shared" si="2"/>
        <v>28446</v>
      </c>
      <c r="I21" s="34">
        <f t="shared" si="2"/>
        <v>29897</v>
      </c>
      <c r="J21" s="34">
        <f t="shared" si="2"/>
        <v>22838</v>
      </c>
      <c r="K21" s="8">
        <f t="shared" si="2"/>
        <v>25975</v>
      </c>
      <c r="L21" s="8">
        <f t="shared" si="2"/>
        <v>23173</v>
      </c>
      <c r="M21" s="8">
        <f t="shared" si="2"/>
        <v>21741</v>
      </c>
      <c r="N21" s="8">
        <f t="shared" si="2"/>
        <v>21340</v>
      </c>
      <c r="O21" s="8">
        <f t="shared" si="2"/>
        <v>9300</v>
      </c>
      <c r="P21" s="8">
        <f t="shared" si="2"/>
        <v>6700</v>
      </c>
      <c r="Q21" s="8">
        <f t="shared" si="2"/>
        <v>18876</v>
      </c>
      <c r="R21" s="8">
        <f t="shared" si="2"/>
        <v>17698</v>
      </c>
      <c r="S21" s="8">
        <f t="shared" si="2"/>
        <v>9248</v>
      </c>
      <c r="T21" s="8">
        <f t="shared" si="2"/>
        <v>8946</v>
      </c>
      <c r="U21" s="8">
        <f t="shared" si="2"/>
        <v>10655</v>
      </c>
      <c r="V21" s="8">
        <f t="shared" si="2"/>
        <v>10554</v>
      </c>
      <c r="W21" s="8">
        <f t="shared" si="2"/>
        <v>8797</v>
      </c>
      <c r="X21" s="8">
        <f t="shared" si="2"/>
        <v>8398</v>
      </c>
      <c r="Y21" s="8">
        <f t="shared" si="2"/>
        <v>7797</v>
      </c>
      <c r="Z21" s="8">
        <f t="shared" si="2"/>
        <v>10719</v>
      </c>
      <c r="AA21" s="8">
        <f t="shared" si="2"/>
        <v>18960</v>
      </c>
      <c r="AB21" s="8">
        <f t="shared" si="2"/>
        <v>20408</v>
      </c>
      <c r="AC21" s="8">
        <f t="shared" si="2"/>
        <v>20408</v>
      </c>
      <c r="AD21" s="8">
        <f t="shared" si="2"/>
        <v>24198</v>
      </c>
      <c r="AE21" s="8">
        <f t="shared" si="2"/>
        <v>14085</v>
      </c>
      <c r="AF21" s="8">
        <f t="shared" si="2"/>
        <v>13788</v>
      </c>
      <c r="AG21" s="8">
        <f t="shared" si="2"/>
        <v>13787</v>
      </c>
      <c r="AH21" s="8">
        <f t="shared" si="2"/>
        <v>16538</v>
      </c>
      <c r="AI21" s="8">
        <f t="shared" si="2"/>
        <v>17009</v>
      </c>
      <c r="AJ21" s="8">
        <f t="shared" si="2"/>
        <v>20756</v>
      </c>
      <c r="AK21" s="63">
        <f t="shared" si="2"/>
        <v>20753</v>
      </c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</row>
    <row r="22" spans="1:55" ht="16.350000000000001" customHeight="1" x14ac:dyDescent="0.3">
      <c r="A22" s="186" t="s">
        <v>134</v>
      </c>
      <c r="B22" s="157"/>
      <c r="C22" s="34">
        <f t="shared" ref="C22:AK22" si="3">C21</f>
        <v>20412</v>
      </c>
      <c r="D22" s="34">
        <f t="shared" si="3"/>
        <v>14156</v>
      </c>
      <c r="E22" s="34">
        <f t="shared" si="3"/>
        <v>34460</v>
      </c>
      <c r="F22" s="34">
        <f t="shared" si="3"/>
        <v>43698</v>
      </c>
      <c r="G22" s="34">
        <f t="shared" si="3"/>
        <v>32865</v>
      </c>
      <c r="H22" s="34">
        <f t="shared" si="3"/>
        <v>28446</v>
      </c>
      <c r="I22" s="34">
        <f t="shared" si="3"/>
        <v>29897</v>
      </c>
      <c r="J22" s="34">
        <f t="shared" si="3"/>
        <v>22838</v>
      </c>
      <c r="K22" s="8">
        <f t="shared" si="3"/>
        <v>25975</v>
      </c>
      <c r="L22" s="8">
        <f t="shared" si="3"/>
        <v>23173</v>
      </c>
      <c r="M22" s="8">
        <f t="shared" si="3"/>
        <v>21741</v>
      </c>
      <c r="N22" s="8">
        <f t="shared" si="3"/>
        <v>21340</v>
      </c>
      <c r="O22" s="8">
        <f t="shared" si="3"/>
        <v>9300</v>
      </c>
      <c r="P22" s="8">
        <f t="shared" si="3"/>
        <v>6700</v>
      </c>
      <c r="Q22" s="8">
        <f t="shared" si="3"/>
        <v>18876</v>
      </c>
      <c r="R22" s="8">
        <f t="shared" si="3"/>
        <v>17698</v>
      </c>
      <c r="S22" s="8">
        <f t="shared" si="3"/>
        <v>9248</v>
      </c>
      <c r="T22" s="8">
        <f t="shared" si="3"/>
        <v>8946</v>
      </c>
      <c r="U22" s="8">
        <f t="shared" si="3"/>
        <v>10655</v>
      </c>
      <c r="V22" s="8">
        <f t="shared" si="3"/>
        <v>10554</v>
      </c>
      <c r="W22" s="8">
        <f t="shared" si="3"/>
        <v>8797</v>
      </c>
      <c r="X22" s="8">
        <f t="shared" si="3"/>
        <v>8398</v>
      </c>
      <c r="Y22" s="8">
        <f t="shared" si="3"/>
        <v>7797</v>
      </c>
      <c r="Z22" s="8">
        <f t="shared" si="3"/>
        <v>10719</v>
      </c>
      <c r="AA22" s="8">
        <f t="shared" si="3"/>
        <v>18960</v>
      </c>
      <c r="AB22" s="8">
        <f t="shared" si="3"/>
        <v>20408</v>
      </c>
      <c r="AC22" s="8">
        <f t="shared" si="3"/>
        <v>20408</v>
      </c>
      <c r="AD22" s="8">
        <f t="shared" si="3"/>
        <v>24198</v>
      </c>
      <c r="AE22" s="8">
        <f t="shared" si="3"/>
        <v>14085</v>
      </c>
      <c r="AF22" s="8">
        <f t="shared" si="3"/>
        <v>13788</v>
      </c>
      <c r="AG22" s="8">
        <f t="shared" si="3"/>
        <v>13787</v>
      </c>
      <c r="AH22" s="8">
        <f t="shared" si="3"/>
        <v>16538</v>
      </c>
      <c r="AI22" s="8">
        <f t="shared" si="3"/>
        <v>17009</v>
      </c>
      <c r="AJ22" s="8">
        <f t="shared" si="3"/>
        <v>20756</v>
      </c>
      <c r="AK22" s="63">
        <f t="shared" si="3"/>
        <v>20753</v>
      </c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</row>
    <row r="23" spans="1:55" ht="16.350000000000001" customHeight="1" x14ac:dyDescent="0.3">
      <c r="A23" s="34" t="s">
        <v>135</v>
      </c>
      <c r="B23" s="46"/>
      <c r="C23" s="34">
        <f>IFERROR(INDEX($C$22:$AK$22,1,1+ROUND(INDEX($H$5:$V$5,1,MATCH("RM01",$H$3:$V$3,0))/7,0)),0)</f>
        <v>14156</v>
      </c>
      <c r="D23" s="34">
        <f>IFERROR(INDEX($C$22:$AK$22,1,2+ROUND(INDEX($H$5:$V$5,1,MATCH("RM01",$H$3:$V$3,0))/7,0)),0)</f>
        <v>34460</v>
      </c>
      <c r="E23" s="34">
        <f>IFERROR(INDEX($C$22:$AK$22,1,3+ROUND(INDEX($H$5:$V$5,1,MATCH("RM01",$H$3:$V$3,0))/7,0)),0)</f>
        <v>43698</v>
      </c>
      <c r="F23" s="34">
        <f>IFERROR(INDEX($C$22:$AK$22,1,4+ROUND(INDEX($H$5:$V$5,1,MATCH("RM01",$H$3:$V$3,0))/7,0)),0)</f>
        <v>32865</v>
      </c>
      <c r="G23" s="34">
        <f>IFERROR(INDEX($C$22:$AK$22,1,5+ROUND(INDEX($H$5:$V$5,1,MATCH("RM01",$H$3:$V$3,0))/7,0)),0)</f>
        <v>28446</v>
      </c>
      <c r="H23" s="34">
        <f>IFERROR(INDEX($C$22:$AK$22,1,6+ROUND(INDEX($H$5:$V$5,1,MATCH("RM01",$H$3:$V$3,0))/7,0)),0)</f>
        <v>29897</v>
      </c>
      <c r="I23" s="34">
        <f>IFERROR(INDEX($C$22:$AK$22,1,7+ROUND(INDEX($H$5:$V$5,1,MATCH("RM01",$H$3:$V$3,0))/7,0)),0)</f>
        <v>22838</v>
      </c>
      <c r="J23" s="34">
        <f>IFERROR(INDEX($C$22:$AK$22,1,8+ROUND(INDEX($H$5:$V$5,1,MATCH("RM01",$H$3:$V$3,0))/7,0)),0)</f>
        <v>25975</v>
      </c>
      <c r="K23" s="8">
        <f>IFERROR(INDEX($C$22:$AK$22,1,9+ROUND(INDEX($H$5:$V$5,1,MATCH("RM01",$H$3:$V$3,0))/7,0)),0)</f>
        <v>23173</v>
      </c>
      <c r="L23" s="8">
        <f>IFERROR(INDEX($C$22:$AK$22,1,10+ROUND(INDEX($H$5:$V$5,1,MATCH("RM01",$H$3:$V$3,0))/7,0)),0)</f>
        <v>21741</v>
      </c>
      <c r="M23" s="8">
        <f>IFERROR(INDEX($C$22:$AK$22,1,11+ROUND(INDEX($H$5:$V$5,1,MATCH("RM01",$H$3:$V$3,0))/7,0)),0)</f>
        <v>21340</v>
      </c>
      <c r="N23" s="8">
        <f>IFERROR(INDEX($C$22:$AK$22,1,12+ROUND(INDEX($H$5:$V$5,1,MATCH("RM01",$H$3:$V$3,0))/7,0)),0)</f>
        <v>9300</v>
      </c>
      <c r="O23" s="8">
        <f>IFERROR(INDEX($C$22:$AK$22,1,13+ROUND(INDEX($H$5:$V$5,1,MATCH("RM01",$H$3:$V$3,0))/7,0)),0)</f>
        <v>6700</v>
      </c>
      <c r="P23" s="8">
        <f>IFERROR(INDEX($C$22:$AK$22,1,14+ROUND(INDEX($H$5:$V$5,1,MATCH("RM01",$H$3:$V$3,0))/7,0)),0)</f>
        <v>18876</v>
      </c>
      <c r="Q23" s="8">
        <f>IFERROR(INDEX($C$22:$AK$22,1,15+ROUND(INDEX($H$5:$V$5,1,MATCH("RM01",$H$3:$V$3,0))/7,0)),0)</f>
        <v>17698</v>
      </c>
      <c r="R23" s="8">
        <f>IFERROR(INDEX($C$22:$AK$22,1,16+ROUND(INDEX($H$5:$V$5,1,MATCH("RM01",$H$3:$V$3,0))/7,0)),0)</f>
        <v>9248</v>
      </c>
      <c r="S23" s="8">
        <f>IFERROR(INDEX($C$22:$AK$22,1,17+ROUND(INDEX($H$5:$V$5,1,MATCH("RM01",$H$3:$V$3,0))/7,0)),0)</f>
        <v>8946</v>
      </c>
      <c r="T23" s="8">
        <f>IFERROR(INDEX($C$22:$AK$22,1,18+ROUND(INDEX($H$5:$V$5,1,MATCH("RM01",$H$3:$V$3,0))/7,0)),0)</f>
        <v>10655</v>
      </c>
      <c r="U23" s="8">
        <f>IFERROR(INDEX($C$22:$AK$22,1,19+ROUND(INDEX($H$5:$V$5,1,MATCH("RM01",$H$3:$V$3,0))/7,0)),0)</f>
        <v>10554</v>
      </c>
      <c r="V23" s="8">
        <f>IFERROR(INDEX($C$22:$AK$22,1,20+ROUND(INDEX($H$5:$V$5,1,MATCH("RM01",$H$3:$V$3,0))/7,0)),0)</f>
        <v>8797</v>
      </c>
      <c r="W23" s="8">
        <f>IFERROR(INDEX($C$22:$AK$22,1,21+ROUND(INDEX($H$5:$V$5,1,MATCH("RM01",$H$3:$V$3,0))/7,0)),0)</f>
        <v>8398</v>
      </c>
      <c r="X23" s="8">
        <f>IFERROR(INDEX($C$22:$AK$22,1,22+ROUND(INDEX($H$5:$V$5,1,MATCH("RM01",$H$3:$V$3,0))/7,0)),0)</f>
        <v>7797</v>
      </c>
      <c r="Y23" s="8">
        <f>IFERROR(INDEX($C$22:$AK$22,1,23+ROUND(INDEX($H$5:$V$5,1,MATCH("RM01",$H$3:$V$3,0))/7,0)),0)</f>
        <v>10719</v>
      </c>
      <c r="Z23" s="8">
        <f>IFERROR(INDEX($C$22:$AK$22,1,24+ROUND(INDEX($H$5:$V$5,1,MATCH("RM01",$H$3:$V$3,0))/7,0)),0)</f>
        <v>18960</v>
      </c>
      <c r="AA23" s="8">
        <f>IFERROR(INDEX($C$22:$AK$22,1,25+ROUND(INDEX($H$5:$V$5,1,MATCH("RM01",$H$3:$V$3,0))/7,0)),0)</f>
        <v>20408</v>
      </c>
      <c r="AB23" s="8">
        <f>IFERROR(INDEX($C$22:$AK$22,1,26+ROUND(INDEX($H$5:$V$5,1,MATCH("RM01",$H$3:$V$3,0))/7,0)),0)</f>
        <v>20408</v>
      </c>
      <c r="AC23" s="8">
        <f>IFERROR(INDEX($C$22:$AK$22,1,27+ROUND(INDEX($H$5:$V$5,1,MATCH("RM01",$H$3:$V$3,0))/7,0)),0)</f>
        <v>24198</v>
      </c>
      <c r="AD23" s="8">
        <f>IFERROR(INDEX($C$22:$AK$22,1,28+ROUND(INDEX($H$5:$V$5,1,MATCH("RM01",$H$3:$V$3,0))/7,0)),0)</f>
        <v>14085</v>
      </c>
      <c r="AE23" s="8">
        <f>IFERROR(INDEX($C$22:$AK$22,1,29+ROUND(INDEX($H$5:$V$5,1,MATCH("RM01",$H$3:$V$3,0))/7,0)),0)</f>
        <v>13788</v>
      </c>
      <c r="AF23" s="8">
        <f>IFERROR(INDEX($C$22:$AK$22,1,30+ROUND(INDEX($H$5:$V$5,1,MATCH("RM01",$H$3:$V$3,0))/7,0)),0)</f>
        <v>13787</v>
      </c>
      <c r="AG23" s="8">
        <f>IFERROR(INDEX($C$22:$AK$22,1,31+ROUND(INDEX($H$5:$V$5,1,MATCH("RM01",$H$3:$V$3,0))/7,0)),0)</f>
        <v>16538</v>
      </c>
      <c r="AH23" s="8">
        <f>IFERROR(INDEX($C$22:$AK$22,1,32+ROUND(INDEX($H$5:$V$5,1,MATCH("RM01",$H$3:$V$3,0))/7,0)),0)</f>
        <v>17009</v>
      </c>
      <c r="AI23" s="8">
        <f>IFERROR(INDEX($C$22:$AK$22,1,33+ROUND(INDEX($H$5:$V$5,1,MATCH("RM01",$H$3:$V$3,0))/7,0)),0)</f>
        <v>20756</v>
      </c>
      <c r="AJ23" s="8">
        <f>IFERROR(INDEX($C$22:$AK$22,1,34+ROUND(INDEX($H$5:$V$5,1,MATCH("RM01",$H$3:$V$3,0))/7,0)),0)</f>
        <v>20753</v>
      </c>
      <c r="AK23" s="63">
        <f>IFERROR(INDEX($C$22:$AK$22,1,35+ROUND(INDEX($H$5:$V$5,1,MATCH("RM01",$H$3:$V$3,0))/7,0)),0)</f>
        <v>0</v>
      </c>
    </row>
    <row r="25" spans="1:55" ht="16.350000000000001" customHeight="1" x14ac:dyDescent="0.3">
      <c r="A25" s="47" t="s">
        <v>142</v>
      </c>
      <c r="B25" s="47" t="s">
        <v>140</v>
      </c>
      <c r="C25" s="187" t="s">
        <v>130</v>
      </c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7"/>
    </row>
    <row r="26" spans="1:55" ht="16.350000000000001" customHeight="1" x14ac:dyDescent="0.3">
      <c r="A26" s="47" t="s">
        <v>131</v>
      </c>
      <c r="B26" s="47" t="str">
        <f>"LT: "&amp;ROUND(INDEX($H$5:$V$5,1,MATCH("RM02",$H$3:$V$3,0))/7,0)</f>
        <v>LT: 2</v>
      </c>
      <c r="C26" s="48" cm="1">
        <f t="array" ref="C26:AK26">TRANSPOSE(BOM_demand!$A$2:$A$36)</f>
        <v>46132</v>
      </c>
      <c r="D26" s="48">
        <v>46139</v>
      </c>
      <c r="E26" s="48">
        <v>46146</v>
      </c>
      <c r="F26" s="48">
        <v>46153</v>
      </c>
      <c r="G26" s="48">
        <v>46160</v>
      </c>
      <c r="H26" s="48">
        <v>46167</v>
      </c>
      <c r="I26" s="48">
        <v>46174</v>
      </c>
      <c r="J26" s="48">
        <v>46181</v>
      </c>
      <c r="K26" s="48">
        <v>46188</v>
      </c>
      <c r="L26" s="48">
        <v>46195</v>
      </c>
      <c r="M26" s="48">
        <v>46202</v>
      </c>
      <c r="N26" s="48">
        <v>46209</v>
      </c>
      <c r="O26" s="48">
        <v>46216</v>
      </c>
      <c r="P26" s="48">
        <v>46223</v>
      </c>
      <c r="Q26" s="48">
        <v>46230</v>
      </c>
      <c r="R26" s="48">
        <v>46237</v>
      </c>
      <c r="S26" s="48">
        <v>46244</v>
      </c>
      <c r="T26" s="48">
        <v>46251</v>
      </c>
      <c r="U26" s="48">
        <v>46258</v>
      </c>
      <c r="V26" s="48">
        <v>46265</v>
      </c>
      <c r="W26" s="48">
        <v>46272</v>
      </c>
      <c r="X26" s="48">
        <v>46279</v>
      </c>
      <c r="Y26" s="48">
        <v>46286</v>
      </c>
      <c r="Z26" s="48">
        <v>46293</v>
      </c>
      <c r="AA26" s="48">
        <v>46300</v>
      </c>
      <c r="AB26" s="48">
        <v>46307</v>
      </c>
      <c r="AC26" s="48">
        <v>46314</v>
      </c>
      <c r="AD26" s="48">
        <v>46321</v>
      </c>
      <c r="AE26" s="48">
        <v>46328</v>
      </c>
      <c r="AF26" s="48">
        <v>46335</v>
      </c>
      <c r="AG26" s="48">
        <v>46342</v>
      </c>
      <c r="AH26" s="48">
        <v>46349</v>
      </c>
      <c r="AI26" s="48">
        <v>46356</v>
      </c>
      <c r="AJ26" s="48">
        <v>46363</v>
      </c>
      <c r="AK26" s="48">
        <v>46370</v>
      </c>
    </row>
    <row r="27" spans="1:55" ht="16.350000000000001" customHeight="1" x14ac:dyDescent="0.3">
      <c r="A27" s="51" t="s">
        <v>132</v>
      </c>
      <c r="C27" s="34" cm="1">
        <f t="array" ref="C27:AK27">TRANSPOSE(BOM_demand!$I$2:$I$36)</f>
        <v>375</v>
      </c>
      <c r="D27" s="34">
        <v>3282</v>
      </c>
      <c r="E27" s="34">
        <v>9565</v>
      </c>
      <c r="F27" s="34">
        <v>11974</v>
      </c>
      <c r="G27" s="34">
        <v>9091.25</v>
      </c>
      <c r="H27" s="34">
        <v>8061.5</v>
      </c>
      <c r="I27" s="34">
        <v>8349.25</v>
      </c>
      <c r="J27" s="34">
        <v>6584.5</v>
      </c>
      <c r="K27" s="34">
        <v>7443.75</v>
      </c>
      <c r="L27" s="34">
        <v>6668.25</v>
      </c>
      <c r="M27" s="34">
        <v>5860.25</v>
      </c>
      <c r="N27" s="34">
        <v>5660</v>
      </c>
      <c r="O27" s="34">
        <v>2650</v>
      </c>
      <c r="P27" s="34">
        <v>1625</v>
      </c>
      <c r="Q27" s="34">
        <v>4909.5</v>
      </c>
      <c r="R27" s="34">
        <v>4512.25</v>
      </c>
      <c r="S27" s="34">
        <v>2474.5</v>
      </c>
      <c r="T27" s="34">
        <v>2324.25</v>
      </c>
      <c r="U27" s="34">
        <v>2663</v>
      </c>
      <c r="V27" s="34">
        <v>2712.75</v>
      </c>
      <c r="W27" s="34">
        <v>2198.5</v>
      </c>
      <c r="X27" s="34">
        <v>2098.75</v>
      </c>
      <c r="Y27" s="34">
        <v>1918.5</v>
      </c>
      <c r="Z27" s="34">
        <v>2904.75</v>
      </c>
      <c r="AA27" s="34">
        <v>4890</v>
      </c>
      <c r="AB27" s="34">
        <v>5071</v>
      </c>
      <c r="AC27" s="34">
        <v>5071</v>
      </c>
      <c r="AD27" s="34">
        <v>5993.5</v>
      </c>
      <c r="AE27" s="34">
        <v>3502</v>
      </c>
      <c r="AF27" s="34">
        <v>3352.5</v>
      </c>
      <c r="AG27" s="34">
        <v>3352.25</v>
      </c>
      <c r="AH27" s="34">
        <v>4665</v>
      </c>
      <c r="AI27" s="34">
        <v>4836.25</v>
      </c>
      <c r="AJ27" s="34">
        <v>5697.75</v>
      </c>
      <c r="AK27" s="34">
        <v>5697.25</v>
      </c>
    </row>
    <row r="28" spans="1:55" ht="16.350000000000001" customHeight="1" x14ac:dyDescent="0.3">
      <c r="A28" s="186" t="s">
        <v>129</v>
      </c>
      <c r="B28" s="157"/>
      <c r="C28" s="34">
        <f>IFERROR(INDEX($H$7:$V$7,1,MATCH("RM02",$H$3:$V$3,0)),0)</f>
        <v>0</v>
      </c>
      <c r="D28" s="34">
        <f>0</f>
        <v>0</v>
      </c>
      <c r="E28" s="34">
        <f>0</f>
        <v>0</v>
      </c>
      <c r="F28" s="34">
        <f>0</f>
        <v>0</v>
      </c>
      <c r="G28" s="34">
        <f>0</f>
        <v>0</v>
      </c>
      <c r="H28" s="34">
        <f>0</f>
        <v>0</v>
      </c>
      <c r="I28" s="34">
        <f>0</f>
        <v>0</v>
      </c>
      <c r="J28" s="34">
        <f>0</f>
        <v>0</v>
      </c>
      <c r="K28" s="8">
        <f>0</f>
        <v>0</v>
      </c>
      <c r="L28" s="8">
        <f>0</f>
        <v>0</v>
      </c>
      <c r="M28" s="8">
        <f>0</f>
        <v>0</v>
      </c>
      <c r="N28" s="8">
        <f>0</f>
        <v>0</v>
      </c>
      <c r="O28" s="8">
        <f>0</f>
        <v>0</v>
      </c>
      <c r="P28" s="8">
        <f>0</f>
        <v>0</v>
      </c>
      <c r="Q28" s="8">
        <f>0</f>
        <v>0</v>
      </c>
      <c r="R28" s="8">
        <f>0</f>
        <v>0</v>
      </c>
      <c r="S28" s="8">
        <f>0</f>
        <v>0</v>
      </c>
      <c r="T28" s="8">
        <f>0</f>
        <v>0</v>
      </c>
      <c r="U28" s="8">
        <f>0</f>
        <v>0</v>
      </c>
      <c r="V28" s="8">
        <f>0</f>
        <v>0</v>
      </c>
      <c r="W28" s="8">
        <f>0</f>
        <v>0</v>
      </c>
      <c r="X28" s="8">
        <f>0</f>
        <v>0</v>
      </c>
      <c r="Y28" s="8">
        <f>0</f>
        <v>0</v>
      </c>
      <c r="Z28" s="8">
        <f>0</f>
        <v>0</v>
      </c>
      <c r="AA28" s="8">
        <f>0</f>
        <v>0</v>
      </c>
      <c r="AB28" s="8">
        <f>0</f>
        <v>0</v>
      </c>
      <c r="AC28" s="8">
        <f>0</f>
        <v>0</v>
      </c>
      <c r="AD28" s="8">
        <f>0</f>
        <v>0</v>
      </c>
      <c r="AE28" s="8">
        <f>0</f>
        <v>0</v>
      </c>
      <c r="AF28" s="8">
        <f>0</f>
        <v>0</v>
      </c>
      <c r="AG28" s="8">
        <f>0</f>
        <v>0</v>
      </c>
      <c r="AH28" s="8">
        <f>0</f>
        <v>0</v>
      </c>
      <c r="AI28" s="8">
        <f>0</f>
        <v>0</v>
      </c>
      <c r="AJ28" s="8">
        <f>0</f>
        <v>0</v>
      </c>
      <c r="AK28" s="8">
        <f>0</f>
        <v>0</v>
      </c>
    </row>
    <row r="29" spans="1:55" ht="16.350000000000001" customHeight="1" x14ac:dyDescent="0.3">
      <c r="A29" s="34" t="s">
        <v>137</v>
      </c>
      <c r="B29" s="46">
        <f>IFERROR(INDEX($H$8:$V$8,1,MATCH("RM02",$H$3:$V$3,0)),0)</f>
        <v>4801</v>
      </c>
      <c r="C29" s="34">
        <f t="shared" ref="C29:AK29" si="4">$B29</f>
        <v>4801</v>
      </c>
      <c r="D29" s="34">
        <f t="shared" si="4"/>
        <v>4801</v>
      </c>
      <c r="E29" s="34">
        <f t="shared" si="4"/>
        <v>4801</v>
      </c>
      <c r="F29" s="34">
        <f t="shared" si="4"/>
        <v>4801</v>
      </c>
      <c r="G29" s="34">
        <f t="shared" si="4"/>
        <v>4801</v>
      </c>
      <c r="H29" s="34">
        <f t="shared" si="4"/>
        <v>4801</v>
      </c>
      <c r="I29" s="34">
        <f t="shared" si="4"/>
        <v>4801</v>
      </c>
      <c r="J29" s="34">
        <f t="shared" si="4"/>
        <v>4801</v>
      </c>
      <c r="K29" s="8">
        <f t="shared" si="4"/>
        <v>4801</v>
      </c>
      <c r="L29" s="8">
        <f t="shared" si="4"/>
        <v>4801</v>
      </c>
      <c r="M29" s="8">
        <f t="shared" si="4"/>
        <v>4801</v>
      </c>
      <c r="N29" s="8">
        <f t="shared" si="4"/>
        <v>4801</v>
      </c>
      <c r="O29" s="8">
        <f t="shared" si="4"/>
        <v>4801</v>
      </c>
      <c r="P29" s="8">
        <f t="shared" si="4"/>
        <v>4801</v>
      </c>
      <c r="Q29" s="8">
        <f t="shared" si="4"/>
        <v>4801</v>
      </c>
      <c r="R29" s="8">
        <f t="shared" si="4"/>
        <v>4801</v>
      </c>
      <c r="S29" s="8">
        <f t="shared" si="4"/>
        <v>4801</v>
      </c>
      <c r="T29" s="8">
        <f t="shared" si="4"/>
        <v>4801</v>
      </c>
      <c r="U29" s="8">
        <f t="shared" si="4"/>
        <v>4801</v>
      </c>
      <c r="V29" s="8">
        <f t="shared" si="4"/>
        <v>4801</v>
      </c>
      <c r="W29" s="8">
        <f t="shared" si="4"/>
        <v>4801</v>
      </c>
      <c r="X29" s="8">
        <f t="shared" si="4"/>
        <v>4801</v>
      </c>
      <c r="Y29" s="8">
        <f t="shared" si="4"/>
        <v>4801</v>
      </c>
      <c r="Z29" s="8">
        <f t="shared" si="4"/>
        <v>4801</v>
      </c>
      <c r="AA29" s="8">
        <f t="shared" si="4"/>
        <v>4801</v>
      </c>
      <c r="AB29" s="8">
        <f t="shared" si="4"/>
        <v>4801</v>
      </c>
      <c r="AC29" s="8">
        <f t="shared" si="4"/>
        <v>4801</v>
      </c>
      <c r="AD29" s="8">
        <f t="shared" si="4"/>
        <v>4801</v>
      </c>
      <c r="AE29" s="8">
        <f t="shared" si="4"/>
        <v>4801</v>
      </c>
      <c r="AF29" s="8">
        <f t="shared" si="4"/>
        <v>4801</v>
      </c>
      <c r="AG29" s="8">
        <f t="shared" si="4"/>
        <v>4801</v>
      </c>
      <c r="AH29" s="8">
        <f t="shared" si="4"/>
        <v>4801</v>
      </c>
      <c r="AI29" s="8">
        <f t="shared" si="4"/>
        <v>4801</v>
      </c>
      <c r="AJ29" s="8">
        <f t="shared" si="4"/>
        <v>4801</v>
      </c>
      <c r="AK29" s="8">
        <f t="shared" si="4"/>
        <v>4801</v>
      </c>
    </row>
    <row r="30" spans="1:55" ht="16.350000000000001" customHeight="1" x14ac:dyDescent="0.3">
      <c r="A30" s="34" t="s">
        <v>133</v>
      </c>
      <c r="B30" s="46">
        <f>IFERROR(INDEX($H$6:$V$6,1,MATCH("RM02",$H$3:$V$3,0)),0)</f>
        <v>1443</v>
      </c>
      <c r="C30" s="34">
        <f>$B30+C28+C32-C27</f>
        <v>4801</v>
      </c>
      <c r="D30" s="34">
        <f t="shared" ref="D30:AK30" si="5">C30+D28+D32-D27</f>
        <v>4801</v>
      </c>
      <c r="E30" s="34">
        <f t="shared" si="5"/>
        <v>4801</v>
      </c>
      <c r="F30" s="34">
        <f t="shared" si="5"/>
        <v>4801</v>
      </c>
      <c r="G30" s="34">
        <f t="shared" si="5"/>
        <v>4801</v>
      </c>
      <c r="H30" s="34">
        <f t="shared" si="5"/>
        <v>4801</v>
      </c>
      <c r="I30" s="34">
        <f t="shared" si="5"/>
        <v>4801</v>
      </c>
      <c r="J30" s="34">
        <f t="shared" si="5"/>
        <v>4801</v>
      </c>
      <c r="K30" s="8">
        <f t="shared" si="5"/>
        <v>4801</v>
      </c>
      <c r="L30" s="8">
        <f t="shared" si="5"/>
        <v>4801</v>
      </c>
      <c r="M30" s="8">
        <f t="shared" si="5"/>
        <v>4801</v>
      </c>
      <c r="N30" s="8">
        <f t="shared" si="5"/>
        <v>4801</v>
      </c>
      <c r="O30" s="8">
        <f t="shared" si="5"/>
        <v>4801</v>
      </c>
      <c r="P30" s="8">
        <f t="shared" si="5"/>
        <v>4801</v>
      </c>
      <c r="Q30" s="8">
        <f t="shared" si="5"/>
        <v>4801</v>
      </c>
      <c r="R30" s="8">
        <f t="shared" si="5"/>
        <v>4801</v>
      </c>
      <c r="S30" s="8">
        <f t="shared" si="5"/>
        <v>4801</v>
      </c>
      <c r="T30" s="8">
        <f t="shared" si="5"/>
        <v>4801</v>
      </c>
      <c r="U30" s="8">
        <f t="shared" si="5"/>
        <v>4801</v>
      </c>
      <c r="V30" s="8">
        <f t="shared" si="5"/>
        <v>4801</v>
      </c>
      <c r="W30" s="8">
        <f t="shared" si="5"/>
        <v>4801</v>
      </c>
      <c r="X30" s="8">
        <f t="shared" si="5"/>
        <v>4801</v>
      </c>
      <c r="Y30" s="8">
        <f t="shared" si="5"/>
        <v>4801</v>
      </c>
      <c r="Z30" s="8">
        <f t="shared" si="5"/>
        <v>4801</v>
      </c>
      <c r="AA30" s="8">
        <f t="shared" si="5"/>
        <v>4801</v>
      </c>
      <c r="AB30" s="8">
        <f t="shared" si="5"/>
        <v>4801</v>
      </c>
      <c r="AC30" s="8">
        <f t="shared" si="5"/>
        <v>4801</v>
      </c>
      <c r="AD30" s="8">
        <f t="shared" si="5"/>
        <v>4801</v>
      </c>
      <c r="AE30" s="8">
        <f t="shared" si="5"/>
        <v>4801</v>
      </c>
      <c r="AF30" s="8">
        <f t="shared" si="5"/>
        <v>4801</v>
      </c>
      <c r="AG30" s="8">
        <f t="shared" si="5"/>
        <v>4801</v>
      </c>
      <c r="AH30" s="8">
        <f t="shared" si="5"/>
        <v>4801</v>
      </c>
      <c r="AI30" s="8">
        <f t="shared" si="5"/>
        <v>4801</v>
      </c>
      <c r="AJ30" s="8">
        <f t="shared" si="5"/>
        <v>4801</v>
      </c>
      <c r="AK30" s="8">
        <f t="shared" si="5"/>
        <v>4801</v>
      </c>
    </row>
    <row r="31" spans="1:55" ht="16.350000000000001" customHeight="1" x14ac:dyDescent="0.3">
      <c r="A31" s="34" t="s">
        <v>141</v>
      </c>
      <c r="B31" s="46"/>
      <c r="C31" s="34">
        <f>MAX(C27+C29-($B30+C28),0)</f>
        <v>3733</v>
      </c>
      <c r="D31" s="34">
        <f t="shared" ref="D31:AK31" si="6">MAX(D27+D29-(C30+D28),0)</f>
        <v>3282</v>
      </c>
      <c r="E31" s="34">
        <f t="shared" si="6"/>
        <v>9565</v>
      </c>
      <c r="F31" s="34">
        <f t="shared" si="6"/>
        <v>11974</v>
      </c>
      <c r="G31" s="34">
        <f t="shared" si="6"/>
        <v>9091.25</v>
      </c>
      <c r="H31" s="34">
        <f t="shared" si="6"/>
        <v>8061.5</v>
      </c>
      <c r="I31" s="34">
        <f t="shared" si="6"/>
        <v>8349.25</v>
      </c>
      <c r="J31" s="34">
        <f t="shared" si="6"/>
        <v>6584.5</v>
      </c>
      <c r="K31" s="8">
        <f t="shared" si="6"/>
        <v>7443.75</v>
      </c>
      <c r="L31" s="8">
        <f t="shared" si="6"/>
        <v>6668.25</v>
      </c>
      <c r="M31" s="8">
        <f t="shared" si="6"/>
        <v>5860.25</v>
      </c>
      <c r="N31" s="8">
        <f t="shared" si="6"/>
        <v>5660</v>
      </c>
      <c r="O31" s="8">
        <f t="shared" si="6"/>
        <v>2650</v>
      </c>
      <c r="P31" s="8">
        <f t="shared" si="6"/>
        <v>1625</v>
      </c>
      <c r="Q31" s="8">
        <f t="shared" si="6"/>
        <v>4909.5</v>
      </c>
      <c r="R31" s="8">
        <f t="shared" si="6"/>
        <v>4512.25</v>
      </c>
      <c r="S31" s="8">
        <f t="shared" si="6"/>
        <v>2474.5</v>
      </c>
      <c r="T31" s="8">
        <f t="shared" si="6"/>
        <v>2324.25</v>
      </c>
      <c r="U31" s="8">
        <f t="shared" si="6"/>
        <v>2663</v>
      </c>
      <c r="V31" s="8">
        <f t="shared" si="6"/>
        <v>2712.75</v>
      </c>
      <c r="W31" s="8">
        <f t="shared" si="6"/>
        <v>2198.5</v>
      </c>
      <c r="X31" s="8">
        <f t="shared" si="6"/>
        <v>2098.75</v>
      </c>
      <c r="Y31" s="8">
        <f t="shared" si="6"/>
        <v>1918.5</v>
      </c>
      <c r="Z31" s="8">
        <f t="shared" si="6"/>
        <v>2904.75</v>
      </c>
      <c r="AA31" s="8">
        <f t="shared" si="6"/>
        <v>4890</v>
      </c>
      <c r="AB31" s="8">
        <f t="shared" si="6"/>
        <v>5071</v>
      </c>
      <c r="AC31" s="8">
        <f t="shared" si="6"/>
        <v>5071</v>
      </c>
      <c r="AD31" s="8">
        <f t="shared" si="6"/>
        <v>5993.5</v>
      </c>
      <c r="AE31" s="8">
        <f t="shared" si="6"/>
        <v>3502</v>
      </c>
      <c r="AF31" s="8">
        <f t="shared" si="6"/>
        <v>3352.5</v>
      </c>
      <c r="AG31" s="8">
        <f t="shared" si="6"/>
        <v>3352.25</v>
      </c>
      <c r="AH31" s="8">
        <f t="shared" si="6"/>
        <v>4665</v>
      </c>
      <c r="AI31" s="8">
        <f t="shared" si="6"/>
        <v>4836.25</v>
      </c>
      <c r="AJ31" s="8">
        <f t="shared" si="6"/>
        <v>5697.75</v>
      </c>
      <c r="AK31" s="8">
        <f t="shared" si="6"/>
        <v>5697.25</v>
      </c>
    </row>
    <row r="32" spans="1:55" ht="16.350000000000001" customHeight="1" x14ac:dyDescent="0.3">
      <c r="A32" s="186" t="s">
        <v>134</v>
      </c>
      <c r="B32" s="157"/>
      <c r="C32" s="34">
        <f t="shared" ref="C32:AK32" si="7">C31</f>
        <v>3733</v>
      </c>
      <c r="D32" s="34">
        <f t="shared" si="7"/>
        <v>3282</v>
      </c>
      <c r="E32" s="34">
        <f t="shared" si="7"/>
        <v>9565</v>
      </c>
      <c r="F32" s="34">
        <f t="shared" si="7"/>
        <v>11974</v>
      </c>
      <c r="G32" s="34">
        <f t="shared" si="7"/>
        <v>9091.25</v>
      </c>
      <c r="H32" s="34">
        <f t="shared" si="7"/>
        <v>8061.5</v>
      </c>
      <c r="I32" s="34">
        <f t="shared" si="7"/>
        <v>8349.25</v>
      </c>
      <c r="J32" s="34">
        <f t="shared" si="7"/>
        <v>6584.5</v>
      </c>
      <c r="K32" s="8">
        <f t="shared" si="7"/>
        <v>7443.75</v>
      </c>
      <c r="L32" s="8">
        <f t="shared" si="7"/>
        <v>6668.25</v>
      </c>
      <c r="M32" s="8">
        <f t="shared" si="7"/>
        <v>5860.25</v>
      </c>
      <c r="N32" s="8">
        <f t="shared" si="7"/>
        <v>5660</v>
      </c>
      <c r="O32" s="8">
        <f t="shared" si="7"/>
        <v>2650</v>
      </c>
      <c r="P32" s="8">
        <f t="shared" si="7"/>
        <v>1625</v>
      </c>
      <c r="Q32" s="8">
        <f t="shared" si="7"/>
        <v>4909.5</v>
      </c>
      <c r="R32" s="8">
        <f t="shared" si="7"/>
        <v>4512.25</v>
      </c>
      <c r="S32" s="8">
        <f t="shared" si="7"/>
        <v>2474.5</v>
      </c>
      <c r="T32" s="8">
        <f t="shared" si="7"/>
        <v>2324.25</v>
      </c>
      <c r="U32" s="8">
        <f t="shared" si="7"/>
        <v>2663</v>
      </c>
      <c r="V32" s="8">
        <f t="shared" si="7"/>
        <v>2712.75</v>
      </c>
      <c r="W32" s="8">
        <f t="shared" si="7"/>
        <v>2198.5</v>
      </c>
      <c r="X32" s="8">
        <f t="shared" si="7"/>
        <v>2098.75</v>
      </c>
      <c r="Y32" s="8">
        <f t="shared" si="7"/>
        <v>1918.5</v>
      </c>
      <c r="Z32" s="8">
        <f t="shared" si="7"/>
        <v>2904.75</v>
      </c>
      <c r="AA32" s="8">
        <f t="shared" si="7"/>
        <v>4890</v>
      </c>
      <c r="AB32" s="8">
        <f t="shared" si="7"/>
        <v>5071</v>
      </c>
      <c r="AC32" s="8">
        <f t="shared" si="7"/>
        <v>5071</v>
      </c>
      <c r="AD32" s="8">
        <f t="shared" si="7"/>
        <v>5993.5</v>
      </c>
      <c r="AE32" s="8">
        <f t="shared" si="7"/>
        <v>3502</v>
      </c>
      <c r="AF32" s="8">
        <f t="shared" si="7"/>
        <v>3352.5</v>
      </c>
      <c r="AG32" s="8">
        <f t="shared" si="7"/>
        <v>3352.25</v>
      </c>
      <c r="AH32" s="8">
        <f t="shared" si="7"/>
        <v>4665</v>
      </c>
      <c r="AI32" s="8">
        <f t="shared" si="7"/>
        <v>4836.25</v>
      </c>
      <c r="AJ32" s="8">
        <f t="shared" si="7"/>
        <v>5697.75</v>
      </c>
      <c r="AK32" s="8">
        <f t="shared" si="7"/>
        <v>5697.25</v>
      </c>
    </row>
    <row r="33" spans="1:37" ht="16.350000000000001" customHeight="1" x14ac:dyDescent="0.3">
      <c r="A33" s="34" t="s">
        <v>135</v>
      </c>
      <c r="B33" s="46"/>
      <c r="C33" s="34">
        <f>IFERROR(INDEX($C$32:$AK$32,1,1+ROUND(INDEX($H$5:$V$5,1,MATCH("RM02",$H$3:$V$3,0))/7,0)),0)</f>
        <v>9565</v>
      </c>
      <c r="D33" s="34">
        <f>IFERROR(INDEX($C$32:$AK$32,1,2+ROUND(INDEX($H$5:$V$5,1,MATCH("RM02",$H$3:$V$3,0))/7,0)),0)</f>
        <v>11974</v>
      </c>
      <c r="E33" s="34">
        <f>IFERROR(INDEX($C$32:$AK$32,1,3+ROUND(INDEX($H$5:$V$5,1,MATCH("RM02",$H$3:$V$3,0))/7,0)),0)</f>
        <v>9091.25</v>
      </c>
      <c r="F33" s="34">
        <f>IFERROR(INDEX($C$32:$AK$32,1,4+ROUND(INDEX($H$5:$V$5,1,MATCH("RM02",$H$3:$V$3,0))/7,0)),0)</f>
        <v>8061.5</v>
      </c>
      <c r="G33" s="34">
        <f>IFERROR(INDEX($C$32:$AK$32,1,5+ROUND(INDEX($H$5:$V$5,1,MATCH("RM02",$H$3:$V$3,0))/7,0)),0)</f>
        <v>8349.25</v>
      </c>
      <c r="H33" s="34">
        <f>IFERROR(INDEX($C$32:$AK$32,1,6+ROUND(INDEX($H$5:$V$5,1,MATCH("RM02",$H$3:$V$3,0))/7,0)),0)</f>
        <v>6584.5</v>
      </c>
      <c r="I33" s="34">
        <f>IFERROR(INDEX($C$32:$AK$32,1,7+ROUND(INDEX($H$5:$V$5,1,MATCH("RM02",$H$3:$V$3,0))/7,0)),0)</f>
        <v>7443.75</v>
      </c>
      <c r="J33" s="34">
        <f>IFERROR(INDEX($C$32:$AK$32,1,8+ROUND(INDEX($H$5:$V$5,1,MATCH("RM02",$H$3:$V$3,0))/7,0)),0)</f>
        <v>6668.25</v>
      </c>
      <c r="K33" s="8">
        <f>IFERROR(INDEX($C$32:$AK$32,1,9+ROUND(INDEX($H$5:$V$5,1,MATCH("RM02",$H$3:$V$3,0))/7,0)),0)</f>
        <v>5860.25</v>
      </c>
      <c r="L33" s="8">
        <f>IFERROR(INDEX($C$32:$AK$32,1,10+ROUND(INDEX($H$5:$V$5,1,MATCH("RM02",$H$3:$V$3,0))/7,0)),0)</f>
        <v>5660</v>
      </c>
      <c r="M33" s="8">
        <f>IFERROR(INDEX($C$32:$AK$32,1,11+ROUND(INDEX($H$5:$V$5,1,MATCH("RM02",$H$3:$V$3,0))/7,0)),0)</f>
        <v>2650</v>
      </c>
      <c r="N33" s="8">
        <f>IFERROR(INDEX($C$32:$AK$32,1,12+ROUND(INDEX($H$5:$V$5,1,MATCH("RM02",$H$3:$V$3,0))/7,0)),0)</f>
        <v>1625</v>
      </c>
      <c r="O33" s="8">
        <f>IFERROR(INDEX($C$32:$AK$32,1,13+ROUND(INDEX($H$5:$V$5,1,MATCH("RM02",$H$3:$V$3,0))/7,0)),0)</f>
        <v>4909.5</v>
      </c>
      <c r="P33" s="8">
        <f>IFERROR(INDEX($C$32:$AK$32,1,14+ROUND(INDEX($H$5:$V$5,1,MATCH("RM02",$H$3:$V$3,0))/7,0)),0)</f>
        <v>4512.25</v>
      </c>
      <c r="Q33" s="8">
        <f>IFERROR(INDEX($C$32:$AK$32,1,15+ROUND(INDEX($H$5:$V$5,1,MATCH("RM02",$H$3:$V$3,0))/7,0)),0)</f>
        <v>2474.5</v>
      </c>
      <c r="R33" s="8">
        <f>IFERROR(INDEX($C$32:$AK$32,1,16+ROUND(INDEX($H$5:$V$5,1,MATCH("RM02",$H$3:$V$3,0))/7,0)),0)</f>
        <v>2324.25</v>
      </c>
      <c r="S33" s="8">
        <f>IFERROR(INDEX($C$32:$AK$32,1,17+ROUND(INDEX($H$5:$V$5,1,MATCH("RM02",$H$3:$V$3,0))/7,0)),0)</f>
        <v>2663</v>
      </c>
      <c r="T33" s="8">
        <f>IFERROR(INDEX($C$32:$AK$32,1,18+ROUND(INDEX($H$5:$V$5,1,MATCH("RM02",$H$3:$V$3,0))/7,0)),0)</f>
        <v>2712.75</v>
      </c>
      <c r="U33" s="8">
        <f>IFERROR(INDEX($C$32:$AK$32,1,19+ROUND(INDEX($H$5:$V$5,1,MATCH("RM02",$H$3:$V$3,0))/7,0)),0)</f>
        <v>2198.5</v>
      </c>
      <c r="V33" s="8">
        <f>IFERROR(INDEX($C$32:$AK$32,1,20+ROUND(INDEX($H$5:$V$5,1,MATCH("RM02",$H$3:$V$3,0))/7,0)),0)</f>
        <v>2098.75</v>
      </c>
      <c r="W33" s="8">
        <f>IFERROR(INDEX($C$32:$AK$32,1,21+ROUND(INDEX($H$5:$V$5,1,MATCH("RM02",$H$3:$V$3,0))/7,0)),0)</f>
        <v>1918.5</v>
      </c>
      <c r="X33" s="8">
        <f>IFERROR(INDEX($C$32:$AK$32,1,22+ROUND(INDEX($H$5:$V$5,1,MATCH("RM02",$H$3:$V$3,0))/7,0)),0)</f>
        <v>2904.75</v>
      </c>
      <c r="Y33" s="8">
        <f>IFERROR(INDEX($C$32:$AK$32,1,23+ROUND(INDEX($H$5:$V$5,1,MATCH("RM02",$H$3:$V$3,0))/7,0)),0)</f>
        <v>4890</v>
      </c>
      <c r="Z33" s="8">
        <f>IFERROR(INDEX($C$32:$AK$32,1,24+ROUND(INDEX($H$5:$V$5,1,MATCH("RM02",$H$3:$V$3,0))/7,0)),0)</f>
        <v>5071</v>
      </c>
      <c r="AA33" s="8">
        <f>IFERROR(INDEX($C$32:$AK$32,1,25+ROUND(INDEX($H$5:$V$5,1,MATCH("RM02",$H$3:$V$3,0))/7,0)),0)</f>
        <v>5071</v>
      </c>
      <c r="AB33" s="8">
        <f>IFERROR(INDEX($C$32:$AK$32,1,26+ROUND(INDEX($H$5:$V$5,1,MATCH("RM02",$H$3:$V$3,0))/7,0)),0)</f>
        <v>5993.5</v>
      </c>
      <c r="AC33" s="8">
        <f>IFERROR(INDEX($C$32:$AK$32,1,27+ROUND(INDEX($H$5:$V$5,1,MATCH("RM02",$H$3:$V$3,0))/7,0)),0)</f>
        <v>3502</v>
      </c>
      <c r="AD33" s="8">
        <f>IFERROR(INDEX($C$32:$AK$32,1,28+ROUND(INDEX($H$5:$V$5,1,MATCH("RM02",$H$3:$V$3,0))/7,0)),0)</f>
        <v>3352.5</v>
      </c>
      <c r="AE33" s="8">
        <f>IFERROR(INDEX($C$32:$AK$32,1,29+ROUND(INDEX($H$5:$V$5,1,MATCH("RM02",$H$3:$V$3,0))/7,0)),0)</f>
        <v>3352.25</v>
      </c>
      <c r="AF33" s="8">
        <f>IFERROR(INDEX($C$32:$AK$32,1,30+ROUND(INDEX($H$5:$V$5,1,MATCH("RM02",$H$3:$V$3,0))/7,0)),0)</f>
        <v>4665</v>
      </c>
      <c r="AG33" s="8">
        <f>IFERROR(INDEX($C$32:$AK$32,1,31+ROUND(INDEX($H$5:$V$5,1,MATCH("RM02",$H$3:$V$3,0))/7,0)),0)</f>
        <v>4836.25</v>
      </c>
      <c r="AH33" s="8">
        <f>IFERROR(INDEX($C$32:$AK$32,1,32+ROUND(INDEX($H$5:$V$5,1,MATCH("RM02",$H$3:$V$3,0))/7,0)),0)</f>
        <v>5697.75</v>
      </c>
      <c r="AI33" s="8">
        <f>IFERROR(INDEX($C$32:$AK$32,1,33+ROUND(INDEX($H$5:$V$5,1,MATCH("RM02",$H$3:$V$3,0))/7,0)),0)</f>
        <v>5697.25</v>
      </c>
      <c r="AJ33" s="8">
        <f>IFERROR(INDEX($C$32:$AK$32,1,34+ROUND(INDEX($H$5:$V$5,1,MATCH("RM02",$H$3:$V$3,0))/7,0)),0)</f>
        <v>0</v>
      </c>
      <c r="AK33" s="8">
        <f>IFERROR(INDEX($C$32:$AK$32,1,35+ROUND(INDEX($H$5:$V$5,1,MATCH("RM02",$H$3:$V$3,0))/7,0)),0)</f>
        <v>0</v>
      </c>
    </row>
    <row r="35" spans="1:37" ht="16.350000000000001" customHeight="1" x14ac:dyDescent="0.3">
      <c r="A35" s="47" t="s">
        <v>143</v>
      </c>
      <c r="B35" s="47" t="s">
        <v>140</v>
      </c>
      <c r="C35" s="187" t="s">
        <v>130</v>
      </c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7"/>
    </row>
    <row r="36" spans="1:37" ht="16.350000000000001" customHeight="1" x14ac:dyDescent="0.3">
      <c r="A36" s="47" t="s">
        <v>131</v>
      </c>
      <c r="B36" s="47" t="str">
        <f>"LT: "&amp;ROUND(INDEX($H$5:$V$5,1,MATCH("RM03",$H$3:$V$3,0))/7,0)</f>
        <v>LT: 3</v>
      </c>
      <c r="C36" s="48" cm="1">
        <f t="array" ref="C36:AK36">TRANSPOSE(BOM_demand!$A$2:$A$36)</f>
        <v>46132</v>
      </c>
      <c r="D36" s="48">
        <v>46139</v>
      </c>
      <c r="E36" s="48">
        <v>46146</v>
      </c>
      <c r="F36" s="48">
        <v>46153</v>
      </c>
      <c r="G36" s="48">
        <v>46160</v>
      </c>
      <c r="H36" s="48">
        <v>46167</v>
      </c>
      <c r="I36" s="48">
        <v>46174</v>
      </c>
      <c r="J36" s="48">
        <v>46181</v>
      </c>
      <c r="K36" s="48">
        <v>46188</v>
      </c>
      <c r="L36" s="48">
        <v>46195</v>
      </c>
      <c r="M36" s="48">
        <v>46202</v>
      </c>
      <c r="N36" s="48">
        <v>46209</v>
      </c>
      <c r="O36" s="48">
        <v>46216</v>
      </c>
      <c r="P36" s="48">
        <v>46223</v>
      </c>
      <c r="Q36" s="48">
        <v>46230</v>
      </c>
      <c r="R36" s="48">
        <v>46237</v>
      </c>
      <c r="S36" s="48">
        <v>46244</v>
      </c>
      <c r="T36" s="48">
        <v>46251</v>
      </c>
      <c r="U36" s="48">
        <v>46258</v>
      </c>
      <c r="V36" s="48">
        <v>46265</v>
      </c>
      <c r="W36" s="48">
        <v>46272</v>
      </c>
      <c r="X36" s="48">
        <v>46279</v>
      </c>
      <c r="Y36" s="48">
        <v>46286</v>
      </c>
      <c r="Z36" s="48">
        <v>46293</v>
      </c>
      <c r="AA36" s="48">
        <v>46300</v>
      </c>
      <c r="AB36" s="48">
        <v>46307</v>
      </c>
      <c r="AC36" s="48">
        <v>46314</v>
      </c>
      <c r="AD36" s="48">
        <v>46321</v>
      </c>
      <c r="AE36" s="48">
        <v>46328</v>
      </c>
      <c r="AF36" s="48">
        <v>46335</v>
      </c>
      <c r="AG36" s="48">
        <v>46342</v>
      </c>
      <c r="AH36" s="48">
        <v>46349</v>
      </c>
      <c r="AI36" s="48">
        <v>46356</v>
      </c>
      <c r="AJ36" s="48">
        <v>46363</v>
      </c>
      <c r="AK36" s="48">
        <v>46370</v>
      </c>
    </row>
    <row r="37" spans="1:37" ht="16.350000000000001" customHeight="1" x14ac:dyDescent="0.3">
      <c r="A37" s="51" t="s">
        <v>132</v>
      </c>
      <c r="C37" s="34" cm="1">
        <f t="array" ref="C37:AK37">TRANSPOSE(BOM_demand!$J$2:$J$36)</f>
        <v>3000</v>
      </c>
      <c r="D37" s="34">
        <v>14156</v>
      </c>
      <c r="E37" s="34">
        <v>34460</v>
      </c>
      <c r="F37" s="34">
        <v>43698</v>
      </c>
      <c r="G37" s="34">
        <v>32865</v>
      </c>
      <c r="H37" s="34">
        <v>28446</v>
      </c>
      <c r="I37" s="34">
        <v>29897</v>
      </c>
      <c r="J37" s="34">
        <v>22838</v>
      </c>
      <c r="K37" s="34">
        <v>25975</v>
      </c>
      <c r="L37" s="34">
        <v>23173</v>
      </c>
      <c r="M37" s="34">
        <v>21741</v>
      </c>
      <c r="N37" s="34">
        <v>21340</v>
      </c>
      <c r="O37" s="34">
        <v>9300</v>
      </c>
      <c r="P37" s="34">
        <v>6700</v>
      </c>
      <c r="Q37" s="34">
        <v>18876</v>
      </c>
      <c r="R37" s="34">
        <v>17698</v>
      </c>
      <c r="S37" s="34">
        <v>9248</v>
      </c>
      <c r="T37" s="34">
        <v>8946</v>
      </c>
      <c r="U37" s="34">
        <v>10655</v>
      </c>
      <c r="V37" s="34">
        <v>10554</v>
      </c>
      <c r="W37" s="34">
        <v>8797</v>
      </c>
      <c r="X37" s="34">
        <v>8398</v>
      </c>
      <c r="Y37" s="34">
        <v>7797</v>
      </c>
      <c r="Z37" s="34">
        <v>10719</v>
      </c>
      <c r="AA37" s="34">
        <v>18960</v>
      </c>
      <c r="AB37" s="34">
        <v>20408</v>
      </c>
      <c r="AC37" s="34">
        <v>20408</v>
      </c>
      <c r="AD37" s="34">
        <v>24198</v>
      </c>
      <c r="AE37" s="34">
        <v>14085</v>
      </c>
      <c r="AF37" s="34">
        <v>13788</v>
      </c>
      <c r="AG37" s="34">
        <v>13787</v>
      </c>
      <c r="AH37" s="34">
        <v>16538</v>
      </c>
      <c r="AI37" s="34">
        <v>17009</v>
      </c>
      <c r="AJ37" s="34">
        <v>20756</v>
      </c>
      <c r="AK37" s="34">
        <v>20753</v>
      </c>
    </row>
    <row r="38" spans="1:37" ht="16.350000000000001" customHeight="1" x14ac:dyDescent="0.3">
      <c r="A38" s="186" t="s">
        <v>129</v>
      </c>
      <c r="B38" s="157"/>
      <c r="C38" s="34">
        <f>IFERROR(INDEX($H$7:$V$7,1,MATCH("RM03",$H$3:$V$3,0)),0)</f>
        <v>0</v>
      </c>
      <c r="D38" s="34">
        <f>0</f>
        <v>0</v>
      </c>
      <c r="E38" s="34">
        <f>0</f>
        <v>0</v>
      </c>
      <c r="F38" s="34">
        <f>0</f>
        <v>0</v>
      </c>
      <c r="G38" s="34">
        <f>0</f>
        <v>0</v>
      </c>
      <c r="H38" s="34">
        <f>0</f>
        <v>0</v>
      </c>
      <c r="I38" s="34">
        <f>0</f>
        <v>0</v>
      </c>
      <c r="J38" s="34">
        <f>0</f>
        <v>0</v>
      </c>
      <c r="K38" s="8">
        <f>0</f>
        <v>0</v>
      </c>
      <c r="L38" s="8">
        <f>0</f>
        <v>0</v>
      </c>
      <c r="M38" s="8">
        <f>0</f>
        <v>0</v>
      </c>
      <c r="N38" s="8">
        <f>0</f>
        <v>0</v>
      </c>
      <c r="O38" s="8">
        <f>0</f>
        <v>0</v>
      </c>
      <c r="P38" s="8">
        <f>0</f>
        <v>0</v>
      </c>
      <c r="Q38" s="8">
        <f>0</f>
        <v>0</v>
      </c>
      <c r="R38" s="8">
        <f>0</f>
        <v>0</v>
      </c>
      <c r="S38" s="8">
        <f>0</f>
        <v>0</v>
      </c>
      <c r="T38" s="8">
        <f>0</f>
        <v>0</v>
      </c>
      <c r="U38" s="8">
        <f>0</f>
        <v>0</v>
      </c>
      <c r="V38" s="8">
        <f>0</f>
        <v>0</v>
      </c>
      <c r="W38" s="8">
        <f>0</f>
        <v>0</v>
      </c>
      <c r="X38" s="8">
        <f>0</f>
        <v>0</v>
      </c>
      <c r="Y38" s="8">
        <f>0</f>
        <v>0</v>
      </c>
      <c r="Z38" s="8">
        <f>0</f>
        <v>0</v>
      </c>
      <c r="AA38" s="8">
        <f>0</f>
        <v>0</v>
      </c>
      <c r="AB38" s="8">
        <f>0</f>
        <v>0</v>
      </c>
      <c r="AC38" s="8">
        <f>0</f>
        <v>0</v>
      </c>
      <c r="AD38" s="8">
        <f>0</f>
        <v>0</v>
      </c>
      <c r="AE38" s="8">
        <f>0</f>
        <v>0</v>
      </c>
      <c r="AF38" s="8">
        <f>0</f>
        <v>0</v>
      </c>
      <c r="AG38" s="8">
        <f>0</f>
        <v>0</v>
      </c>
      <c r="AH38" s="8">
        <f>0</f>
        <v>0</v>
      </c>
      <c r="AI38" s="8">
        <f>0</f>
        <v>0</v>
      </c>
      <c r="AJ38" s="8">
        <f>0</f>
        <v>0</v>
      </c>
      <c r="AK38" s="8">
        <f>0</f>
        <v>0</v>
      </c>
    </row>
    <row r="39" spans="1:37" ht="16.350000000000001" customHeight="1" x14ac:dyDescent="0.3">
      <c r="A39" s="34" t="s">
        <v>137</v>
      </c>
      <c r="B39" s="46">
        <f>IFERROR(INDEX($H$8:$V$8,1,MATCH("RM03",$H$3:$V$3,0)),0)</f>
        <v>18000</v>
      </c>
      <c r="C39" s="34">
        <f t="shared" ref="C39:AK39" si="8">$B39</f>
        <v>18000</v>
      </c>
      <c r="D39" s="34">
        <f t="shared" si="8"/>
        <v>18000</v>
      </c>
      <c r="E39" s="34">
        <f t="shared" si="8"/>
        <v>18000</v>
      </c>
      <c r="F39" s="34">
        <f t="shared" si="8"/>
        <v>18000</v>
      </c>
      <c r="G39" s="34">
        <f t="shared" si="8"/>
        <v>18000</v>
      </c>
      <c r="H39" s="34">
        <f t="shared" si="8"/>
        <v>18000</v>
      </c>
      <c r="I39" s="34">
        <f t="shared" si="8"/>
        <v>18000</v>
      </c>
      <c r="J39" s="34">
        <f t="shared" si="8"/>
        <v>18000</v>
      </c>
      <c r="K39" s="8">
        <f t="shared" si="8"/>
        <v>18000</v>
      </c>
      <c r="L39" s="8">
        <f t="shared" si="8"/>
        <v>18000</v>
      </c>
      <c r="M39" s="8">
        <f t="shared" si="8"/>
        <v>18000</v>
      </c>
      <c r="N39" s="8">
        <f t="shared" si="8"/>
        <v>18000</v>
      </c>
      <c r="O39" s="8">
        <f t="shared" si="8"/>
        <v>18000</v>
      </c>
      <c r="P39" s="8">
        <f t="shared" si="8"/>
        <v>18000</v>
      </c>
      <c r="Q39" s="8">
        <f t="shared" si="8"/>
        <v>18000</v>
      </c>
      <c r="R39" s="8">
        <f t="shared" si="8"/>
        <v>18000</v>
      </c>
      <c r="S39" s="8">
        <f t="shared" si="8"/>
        <v>18000</v>
      </c>
      <c r="T39" s="8">
        <f t="shared" si="8"/>
        <v>18000</v>
      </c>
      <c r="U39" s="8">
        <f t="shared" si="8"/>
        <v>18000</v>
      </c>
      <c r="V39" s="8">
        <f t="shared" si="8"/>
        <v>18000</v>
      </c>
      <c r="W39" s="8">
        <f t="shared" si="8"/>
        <v>18000</v>
      </c>
      <c r="X39" s="8">
        <f t="shared" si="8"/>
        <v>18000</v>
      </c>
      <c r="Y39" s="8">
        <f t="shared" si="8"/>
        <v>18000</v>
      </c>
      <c r="Z39" s="8">
        <f t="shared" si="8"/>
        <v>18000</v>
      </c>
      <c r="AA39" s="8">
        <f t="shared" si="8"/>
        <v>18000</v>
      </c>
      <c r="AB39" s="8">
        <f t="shared" si="8"/>
        <v>18000</v>
      </c>
      <c r="AC39" s="8">
        <f t="shared" si="8"/>
        <v>18000</v>
      </c>
      <c r="AD39" s="8">
        <f t="shared" si="8"/>
        <v>18000</v>
      </c>
      <c r="AE39" s="8">
        <f t="shared" si="8"/>
        <v>18000</v>
      </c>
      <c r="AF39" s="8">
        <f t="shared" si="8"/>
        <v>18000</v>
      </c>
      <c r="AG39" s="8">
        <f t="shared" si="8"/>
        <v>18000</v>
      </c>
      <c r="AH39" s="8">
        <f t="shared" si="8"/>
        <v>18000</v>
      </c>
      <c r="AI39" s="8">
        <f t="shared" si="8"/>
        <v>18000</v>
      </c>
      <c r="AJ39" s="8">
        <f t="shared" si="8"/>
        <v>18000</v>
      </c>
      <c r="AK39" s="8">
        <f t="shared" si="8"/>
        <v>18000</v>
      </c>
    </row>
    <row r="40" spans="1:37" ht="16.350000000000001" customHeight="1" x14ac:dyDescent="0.3">
      <c r="A40" s="34" t="s">
        <v>133</v>
      </c>
      <c r="B40" s="46">
        <f>IFERROR(INDEX($H$6:$V$6,1,MATCH("RM03",$H$3:$V$3,0)),0)</f>
        <v>42524</v>
      </c>
      <c r="C40" s="34">
        <f>$B40+C38+C42-C37</f>
        <v>39524</v>
      </c>
      <c r="D40" s="34">
        <f t="shared" ref="D40:AK40" si="9">C40+D38+D42-D37</f>
        <v>25368</v>
      </c>
      <c r="E40" s="34">
        <f t="shared" si="9"/>
        <v>18000</v>
      </c>
      <c r="F40" s="34">
        <f t="shared" si="9"/>
        <v>18000</v>
      </c>
      <c r="G40" s="34">
        <f t="shared" si="9"/>
        <v>18000</v>
      </c>
      <c r="H40" s="34">
        <f t="shared" si="9"/>
        <v>18000</v>
      </c>
      <c r="I40" s="34">
        <f t="shared" si="9"/>
        <v>18000</v>
      </c>
      <c r="J40" s="34">
        <f t="shared" si="9"/>
        <v>18000</v>
      </c>
      <c r="K40" s="8">
        <f t="shared" si="9"/>
        <v>18000</v>
      </c>
      <c r="L40" s="8">
        <f t="shared" si="9"/>
        <v>18000</v>
      </c>
      <c r="M40" s="8">
        <f t="shared" si="9"/>
        <v>18000</v>
      </c>
      <c r="N40" s="8">
        <f t="shared" si="9"/>
        <v>18000</v>
      </c>
      <c r="O40" s="8">
        <f t="shared" si="9"/>
        <v>18000</v>
      </c>
      <c r="P40" s="8">
        <f t="shared" si="9"/>
        <v>18000</v>
      </c>
      <c r="Q40" s="8">
        <f t="shared" si="9"/>
        <v>18000</v>
      </c>
      <c r="R40" s="8">
        <f t="shared" si="9"/>
        <v>18000</v>
      </c>
      <c r="S40" s="8">
        <f t="shared" si="9"/>
        <v>18000</v>
      </c>
      <c r="T40" s="8">
        <f t="shared" si="9"/>
        <v>18000</v>
      </c>
      <c r="U40" s="8">
        <f t="shared" si="9"/>
        <v>18000</v>
      </c>
      <c r="V40" s="8">
        <f t="shared" si="9"/>
        <v>18000</v>
      </c>
      <c r="W40" s="8">
        <f t="shared" si="9"/>
        <v>18000</v>
      </c>
      <c r="X40" s="8">
        <f t="shared" si="9"/>
        <v>18000</v>
      </c>
      <c r="Y40" s="8">
        <f t="shared" si="9"/>
        <v>18000</v>
      </c>
      <c r="Z40" s="8">
        <f t="shared" si="9"/>
        <v>18000</v>
      </c>
      <c r="AA40" s="8">
        <f t="shared" si="9"/>
        <v>18000</v>
      </c>
      <c r="AB40" s="8">
        <f t="shared" si="9"/>
        <v>18000</v>
      </c>
      <c r="AC40" s="8">
        <f t="shared" si="9"/>
        <v>18000</v>
      </c>
      <c r="AD40" s="8">
        <f t="shared" si="9"/>
        <v>18000</v>
      </c>
      <c r="AE40" s="8">
        <f t="shared" si="9"/>
        <v>18000</v>
      </c>
      <c r="AF40" s="8">
        <f t="shared" si="9"/>
        <v>18000</v>
      </c>
      <c r="AG40" s="8">
        <f t="shared" si="9"/>
        <v>18000</v>
      </c>
      <c r="AH40" s="8">
        <f t="shared" si="9"/>
        <v>18000</v>
      </c>
      <c r="AI40" s="8">
        <f t="shared" si="9"/>
        <v>18000</v>
      </c>
      <c r="AJ40" s="8">
        <f t="shared" si="9"/>
        <v>18000</v>
      </c>
      <c r="AK40" s="8">
        <f t="shared" si="9"/>
        <v>18000</v>
      </c>
    </row>
    <row r="41" spans="1:37" ht="16.350000000000001" customHeight="1" x14ac:dyDescent="0.3">
      <c r="A41" s="34" t="s">
        <v>141</v>
      </c>
      <c r="B41" s="46"/>
      <c r="C41" s="34">
        <f>MAX(C37+C39-($B40+C38),0)</f>
        <v>0</v>
      </c>
      <c r="D41" s="34">
        <f t="shared" ref="D41:AK41" si="10">MAX(D37+D39-(C40+D38),0)</f>
        <v>0</v>
      </c>
      <c r="E41" s="34">
        <f t="shared" si="10"/>
        <v>27092</v>
      </c>
      <c r="F41" s="34">
        <f t="shared" si="10"/>
        <v>43698</v>
      </c>
      <c r="G41" s="34">
        <f t="shared" si="10"/>
        <v>32865</v>
      </c>
      <c r="H41" s="34">
        <f t="shared" si="10"/>
        <v>28446</v>
      </c>
      <c r="I41" s="34">
        <f t="shared" si="10"/>
        <v>29897</v>
      </c>
      <c r="J41" s="34">
        <f t="shared" si="10"/>
        <v>22838</v>
      </c>
      <c r="K41" s="8">
        <f t="shared" si="10"/>
        <v>25975</v>
      </c>
      <c r="L41" s="8">
        <f t="shared" si="10"/>
        <v>23173</v>
      </c>
      <c r="M41" s="8">
        <f t="shared" si="10"/>
        <v>21741</v>
      </c>
      <c r="N41" s="8">
        <f t="shared" si="10"/>
        <v>21340</v>
      </c>
      <c r="O41" s="8">
        <f t="shared" si="10"/>
        <v>9300</v>
      </c>
      <c r="P41" s="8">
        <f t="shared" si="10"/>
        <v>6700</v>
      </c>
      <c r="Q41" s="8">
        <f t="shared" si="10"/>
        <v>18876</v>
      </c>
      <c r="R41" s="8">
        <f t="shared" si="10"/>
        <v>17698</v>
      </c>
      <c r="S41" s="8">
        <f t="shared" si="10"/>
        <v>9248</v>
      </c>
      <c r="T41" s="8">
        <f t="shared" si="10"/>
        <v>8946</v>
      </c>
      <c r="U41" s="8">
        <f t="shared" si="10"/>
        <v>10655</v>
      </c>
      <c r="V41" s="8">
        <f t="shared" si="10"/>
        <v>10554</v>
      </c>
      <c r="W41" s="8">
        <f t="shared" si="10"/>
        <v>8797</v>
      </c>
      <c r="X41" s="8">
        <f t="shared" si="10"/>
        <v>8398</v>
      </c>
      <c r="Y41" s="8">
        <f t="shared" si="10"/>
        <v>7797</v>
      </c>
      <c r="Z41" s="8">
        <f t="shared" si="10"/>
        <v>10719</v>
      </c>
      <c r="AA41" s="8">
        <f t="shared" si="10"/>
        <v>18960</v>
      </c>
      <c r="AB41" s="8">
        <f t="shared" si="10"/>
        <v>20408</v>
      </c>
      <c r="AC41" s="8">
        <f t="shared" si="10"/>
        <v>20408</v>
      </c>
      <c r="AD41" s="8">
        <f t="shared" si="10"/>
        <v>24198</v>
      </c>
      <c r="AE41" s="8">
        <f t="shared" si="10"/>
        <v>14085</v>
      </c>
      <c r="AF41" s="8">
        <f t="shared" si="10"/>
        <v>13788</v>
      </c>
      <c r="AG41" s="8">
        <f t="shared" si="10"/>
        <v>13787</v>
      </c>
      <c r="AH41" s="8">
        <f t="shared" si="10"/>
        <v>16538</v>
      </c>
      <c r="AI41" s="8">
        <f t="shared" si="10"/>
        <v>17009</v>
      </c>
      <c r="AJ41" s="8">
        <f t="shared" si="10"/>
        <v>20756</v>
      </c>
      <c r="AK41" s="8">
        <f t="shared" si="10"/>
        <v>20753</v>
      </c>
    </row>
    <row r="42" spans="1:37" ht="16.350000000000001" customHeight="1" x14ac:dyDescent="0.3">
      <c r="A42" s="186" t="s">
        <v>134</v>
      </c>
      <c r="B42" s="157"/>
      <c r="C42" s="34">
        <f t="shared" ref="C42:AK42" si="11">C41</f>
        <v>0</v>
      </c>
      <c r="D42" s="34">
        <f t="shared" si="11"/>
        <v>0</v>
      </c>
      <c r="E42" s="34">
        <f t="shared" si="11"/>
        <v>27092</v>
      </c>
      <c r="F42" s="34">
        <f t="shared" si="11"/>
        <v>43698</v>
      </c>
      <c r="G42" s="34">
        <f t="shared" si="11"/>
        <v>32865</v>
      </c>
      <c r="H42" s="34">
        <f t="shared" si="11"/>
        <v>28446</v>
      </c>
      <c r="I42" s="34">
        <f t="shared" si="11"/>
        <v>29897</v>
      </c>
      <c r="J42" s="34">
        <f t="shared" si="11"/>
        <v>22838</v>
      </c>
      <c r="K42" s="8">
        <f t="shared" si="11"/>
        <v>25975</v>
      </c>
      <c r="L42" s="8">
        <f t="shared" si="11"/>
        <v>23173</v>
      </c>
      <c r="M42" s="8">
        <f t="shared" si="11"/>
        <v>21741</v>
      </c>
      <c r="N42" s="8">
        <f t="shared" si="11"/>
        <v>21340</v>
      </c>
      <c r="O42" s="8">
        <f t="shared" si="11"/>
        <v>9300</v>
      </c>
      <c r="P42" s="8">
        <f t="shared" si="11"/>
        <v>6700</v>
      </c>
      <c r="Q42" s="8">
        <f t="shared" si="11"/>
        <v>18876</v>
      </c>
      <c r="R42" s="8">
        <f t="shared" si="11"/>
        <v>17698</v>
      </c>
      <c r="S42" s="8">
        <f t="shared" si="11"/>
        <v>9248</v>
      </c>
      <c r="T42" s="8">
        <f t="shared" si="11"/>
        <v>8946</v>
      </c>
      <c r="U42" s="8">
        <f t="shared" si="11"/>
        <v>10655</v>
      </c>
      <c r="V42" s="8">
        <f t="shared" si="11"/>
        <v>10554</v>
      </c>
      <c r="W42" s="8">
        <f t="shared" si="11"/>
        <v>8797</v>
      </c>
      <c r="X42" s="8">
        <f t="shared" si="11"/>
        <v>8398</v>
      </c>
      <c r="Y42" s="8">
        <f t="shared" si="11"/>
        <v>7797</v>
      </c>
      <c r="Z42" s="8">
        <f t="shared" si="11"/>
        <v>10719</v>
      </c>
      <c r="AA42" s="8">
        <f t="shared" si="11"/>
        <v>18960</v>
      </c>
      <c r="AB42" s="8">
        <f t="shared" si="11"/>
        <v>20408</v>
      </c>
      <c r="AC42" s="8">
        <f t="shared" si="11"/>
        <v>20408</v>
      </c>
      <c r="AD42" s="8">
        <f t="shared" si="11"/>
        <v>24198</v>
      </c>
      <c r="AE42" s="8">
        <f t="shared" si="11"/>
        <v>14085</v>
      </c>
      <c r="AF42" s="8">
        <f t="shared" si="11"/>
        <v>13788</v>
      </c>
      <c r="AG42" s="8">
        <f t="shared" si="11"/>
        <v>13787</v>
      </c>
      <c r="AH42" s="8">
        <f t="shared" si="11"/>
        <v>16538</v>
      </c>
      <c r="AI42" s="8">
        <f t="shared" si="11"/>
        <v>17009</v>
      </c>
      <c r="AJ42" s="8">
        <f t="shared" si="11"/>
        <v>20756</v>
      </c>
      <c r="AK42" s="8">
        <f t="shared" si="11"/>
        <v>20753</v>
      </c>
    </row>
    <row r="43" spans="1:37" ht="16.350000000000001" customHeight="1" x14ac:dyDescent="0.3">
      <c r="A43" s="34" t="s">
        <v>135</v>
      </c>
      <c r="B43" s="46"/>
      <c r="C43" s="34">
        <f>IFERROR(INDEX($C$42:$AK$42,1,1+ROUND(INDEX($H$5:$V$5,1,MATCH("RM03",$H$3:$V$3,0))/7,0)),0)</f>
        <v>43698</v>
      </c>
      <c r="D43" s="34">
        <f>IFERROR(INDEX($C$42:$AK$42,1,2+ROUND(INDEX($H$5:$V$5,1,MATCH("RM03",$H$3:$V$3,0))/7,0)),0)</f>
        <v>32865</v>
      </c>
      <c r="E43" s="34">
        <f>IFERROR(INDEX($C$42:$AK$42,1,3+ROUND(INDEX($H$5:$V$5,1,MATCH("RM03",$H$3:$V$3,0))/7,0)),0)</f>
        <v>28446</v>
      </c>
      <c r="F43" s="34">
        <f>IFERROR(INDEX($C$42:$AK$42,1,4+ROUND(INDEX($H$5:$V$5,1,MATCH("RM03",$H$3:$V$3,0))/7,0)),0)</f>
        <v>29897</v>
      </c>
      <c r="G43" s="34">
        <f>IFERROR(INDEX($C$42:$AK$42,1,5+ROUND(INDEX($H$5:$V$5,1,MATCH("RM03",$H$3:$V$3,0))/7,0)),0)</f>
        <v>22838</v>
      </c>
      <c r="H43" s="34">
        <f>IFERROR(INDEX($C$42:$AK$42,1,6+ROUND(INDEX($H$5:$V$5,1,MATCH("RM03",$H$3:$V$3,0))/7,0)),0)</f>
        <v>25975</v>
      </c>
      <c r="I43" s="34">
        <f>IFERROR(INDEX($C$42:$AK$42,1,7+ROUND(INDEX($H$5:$V$5,1,MATCH("RM03",$H$3:$V$3,0))/7,0)),0)</f>
        <v>23173</v>
      </c>
      <c r="J43" s="34">
        <f>IFERROR(INDEX($C$42:$AK$42,1,8+ROUND(INDEX($H$5:$V$5,1,MATCH("RM03",$H$3:$V$3,0))/7,0)),0)</f>
        <v>21741</v>
      </c>
      <c r="K43" s="8">
        <f>IFERROR(INDEX($C$42:$AK$42,1,9+ROUND(INDEX($H$5:$V$5,1,MATCH("RM03",$H$3:$V$3,0))/7,0)),0)</f>
        <v>21340</v>
      </c>
      <c r="L43" s="8">
        <f>IFERROR(INDEX($C$42:$AK$42,1,10+ROUND(INDEX($H$5:$V$5,1,MATCH("RM03",$H$3:$V$3,0))/7,0)),0)</f>
        <v>9300</v>
      </c>
      <c r="M43" s="8">
        <f>IFERROR(INDEX($C$42:$AK$42,1,11+ROUND(INDEX($H$5:$V$5,1,MATCH("RM03",$H$3:$V$3,0))/7,0)),0)</f>
        <v>6700</v>
      </c>
      <c r="N43" s="8">
        <f>IFERROR(INDEX($C$42:$AK$42,1,12+ROUND(INDEX($H$5:$V$5,1,MATCH("RM03",$H$3:$V$3,0))/7,0)),0)</f>
        <v>18876</v>
      </c>
      <c r="O43" s="8">
        <f>IFERROR(INDEX($C$42:$AK$42,1,13+ROUND(INDEX($H$5:$V$5,1,MATCH("RM03",$H$3:$V$3,0))/7,0)),0)</f>
        <v>17698</v>
      </c>
      <c r="P43" s="8">
        <f>IFERROR(INDEX($C$42:$AK$42,1,14+ROUND(INDEX($H$5:$V$5,1,MATCH("RM03",$H$3:$V$3,0))/7,0)),0)</f>
        <v>9248</v>
      </c>
      <c r="Q43" s="8">
        <f>IFERROR(INDEX($C$42:$AK$42,1,15+ROUND(INDEX($H$5:$V$5,1,MATCH("RM03",$H$3:$V$3,0))/7,0)),0)</f>
        <v>8946</v>
      </c>
      <c r="R43" s="8">
        <f>IFERROR(INDEX($C$42:$AK$42,1,16+ROUND(INDEX($H$5:$V$5,1,MATCH("RM03",$H$3:$V$3,0))/7,0)),0)</f>
        <v>10655</v>
      </c>
      <c r="S43" s="8">
        <f>IFERROR(INDEX($C$42:$AK$42,1,17+ROUND(INDEX($H$5:$V$5,1,MATCH("RM03",$H$3:$V$3,0))/7,0)),0)</f>
        <v>10554</v>
      </c>
      <c r="T43" s="8">
        <f>IFERROR(INDEX($C$42:$AK$42,1,18+ROUND(INDEX($H$5:$V$5,1,MATCH("RM03",$H$3:$V$3,0))/7,0)),0)</f>
        <v>8797</v>
      </c>
      <c r="U43" s="8">
        <f>IFERROR(INDEX($C$42:$AK$42,1,19+ROUND(INDEX($H$5:$V$5,1,MATCH("RM03",$H$3:$V$3,0))/7,0)),0)</f>
        <v>8398</v>
      </c>
      <c r="V43" s="8">
        <f>IFERROR(INDEX($C$42:$AK$42,1,20+ROUND(INDEX($H$5:$V$5,1,MATCH("RM03",$H$3:$V$3,0))/7,0)),0)</f>
        <v>7797</v>
      </c>
      <c r="W43" s="8">
        <f>IFERROR(INDEX($C$42:$AK$42,1,21+ROUND(INDEX($H$5:$V$5,1,MATCH("RM03",$H$3:$V$3,0))/7,0)),0)</f>
        <v>10719</v>
      </c>
      <c r="X43" s="8">
        <f>IFERROR(INDEX($C$42:$AK$42,1,22+ROUND(INDEX($H$5:$V$5,1,MATCH("RM03",$H$3:$V$3,0))/7,0)),0)</f>
        <v>18960</v>
      </c>
      <c r="Y43" s="8">
        <f>IFERROR(INDEX($C$42:$AK$42,1,23+ROUND(INDEX($H$5:$V$5,1,MATCH("RM03",$H$3:$V$3,0))/7,0)),0)</f>
        <v>20408</v>
      </c>
      <c r="Z43" s="8">
        <f>IFERROR(INDEX($C$42:$AK$42,1,24+ROUND(INDEX($H$5:$V$5,1,MATCH("RM03",$H$3:$V$3,0))/7,0)),0)</f>
        <v>20408</v>
      </c>
      <c r="AA43" s="8">
        <f>IFERROR(INDEX($C$42:$AK$42,1,25+ROUND(INDEX($H$5:$V$5,1,MATCH("RM03",$H$3:$V$3,0))/7,0)),0)</f>
        <v>24198</v>
      </c>
      <c r="AB43" s="8">
        <f>IFERROR(INDEX($C$42:$AK$42,1,26+ROUND(INDEX($H$5:$V$5,1,MATCH("RM03",$H$3:$V$3,0))/7,0)),0)</f>
        <v>14085</v>
      </c>
      <c r="AC43" s="8">
        <f>IFERROR(INDEX($C$42:$AK$42,1,27+ROUND(INDEX($H$5:$V$5,1,MATCH("RM03",$H$3:$V$3,0))/7,0)),0)</f>
        <v>13788</v>
      </c>
      <c r="AD43" s="8">
        <f>IFERROR(INDEX($C$42:$AK$42,1,28+ROUND(INDEX($H$5:$V$5,1,MATCH("RM03",$H$3:$V$3,0))/7,0)),0)</f>
        <v>13787</v>
      </c>
      <c r="AE43" s="8">
        <f>IFERROR(INDEX($C$42:$AK$42,1,29+ROUND(INDEX($H$5:$V$5,1,MATCH("RM03",$H$3:$V$3,0))/7,0)),0)</f>
        <v>16538</v>
      </c>
      <c r="AF43" s="8">
        <f>IFERROR(INDEX($C$42:$AK$42,1,30+ROUND(INDEX($H$5:$V$5,1,MATCH("RM03",$H$3:$V$3,0))/7,0)),0)</f>
        <v>17009</v>
      </c>
      <c r="AG43" s="8">
        <f>IFERROR(INDEX($C$42:$AK$42,1,31+ROUND(INDEX($H$5:$V$5,1,MATCH("RM03",$H$3:$V$3,0))/7,0)),0)</f>
        <v>20756</v>
      </c>
      <c r="AH43" s="8">
        <f>IFERROR(INDEX($C$42:$AK$42,1,32+ROUND(INDEX($H$5:$V$5,1,MATCH("RM03",$H$3:$V$3,0))/7,0)),0)</f>
        <v>20753</v>
      </c>
      <c r="AI43" s="8">
        <f>IFERROR(INDEX($C$42:$AK$42,1,33+ROUND(INDEX($H$5:$V$5,1,MATCH("RM03",$H$3:$V$3,0))/7,0)),0)</f>
        <v>0</v>
      </c>
      <c r="AJ43" s="8">
        <f>IFERROR(INDEX($C$42:$AK$42,1,34+ROUND(INDEX($H$5:$V$5,1,MATCH("RM03",$H$3:$V$3,0))/7,0)),0)</f>
        <v>0</v>
      </c>
      <c r="AK43" s="8">
        <f>IFERROR(INDEX($C$42:$AK$42,1,35+ROUND(INDEX($H$5:$V$5,1,MATCH("RM03",$H$3:$V$3,0))/7,0)),0)</f>
        <v>0</v>
      </c>
    </row>
    <row r="45" spans="1:37" ht="16.350000000000001" customHeight="1" x14ac:dyDescent="0.3">
      <c r="A45" s="47" t="s">
        <v>144</v>
      </c>
      <c r="B45" s="47" t="s">
        <v>140</v>
      </c>
      <c r="C45" s="187" t="s">
        <v>130</v>
      </c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  <c r="AH45" s="156"/>
      <c r="AI45" s="156"/>
      <c r="AJ45" s="156"/>
      <c r="AK45" s="157"/>
    </row>
    <row r="46" spans="1:37" ht="16.350000000000001" customHeight="1" x14ac:dyDescent="0.3">
      <c r="A46" s="47" t="s">
        <v>131</v>
      </c>
      <c r="B46" s="47" t="str">
        <f>"LT: "&amp;ROUND(INDEX($H$5:$V$5,1,MATCH("RM04",$H$3:$V$3,0))/7,0)</f>
        <v>LT: 20</v>
      </c>
      <c r="C46" s="48" cm="1">
        <f t="array" ref="C46:AK46">TRANSPOSE(BOM_demand!$A$2:$A$36)</f>
        <v>46132</v>
      </c>
      <c r="D46" s="48">
        <v>46139</v>
      </c>
      <c r="E46" s="48">
        <v>46146</v>
      </c>
      <c r="F46" s="48">
        <v>46153</v>
      </c>
      <c r="G46" s="48">
        <v>46160</v>
      </c>
      <c r="H46" s="48">
        <v>46167</v>
      </c>
      <c r="I46" s="48">
        <v>46174</v>
      </c>
      <c r="J46" s="48">
        <v>46181</v>
      </c>
      <c r="K46" s="48">
        <v>46188</v>
      </c>
      <c r="L46" s="48">
        <v>46195</v>
      </c>
      <c r="M46" s="48">
        <v>46202</v>
      </c>
      <c r="N46" s="48">
        <v>46209</v>
      </c>
      <c r="O46" s="48">
        <v>46216</v>
      </c>
      <c r="P46" s="48">
        <v>46223</v>
      </c>
      <c r="Q46" s="48">
        <v>46230</v>
      </c>
      <c r="R46" s="48">
        <v>46237</v>
      </c>
      <c r="S46" s="48">
        <v>46244</v>
      </c>
      <c r="T46" s="48">
        <v>46251</v>
      </c>
      <c r="U46" s="48">
        <v>46258</v>
      </c>
      <c r="V46" s="48">
        <v>46265</v>
      </c>
      <c r="W46" s="48">
        <v>46272</v>
      </c>
      <c r="X46" s="48">
        <v>46279</v>
      </c>
      <c r="Y46" s="48">
        <v>46286</v>
      </c>
      <c r="Z46" s="48">
        <v>46293</v>
      </c>
      <c r="AA46" s="48">
        <v>46300</v>
      </c>
      <c r="AB46" s="48">
        <v>46307</v>
      </c>
      <c r="AC46" s="48">
        <v>46314</v>
      </c>
      <c r="AD46" s="48">
        <v>46321</v>
      </c>
      <c r="AE46" s="48">
        <v>46328</v>
      </c>
      <c r="AF46" s="48">
        <v>46335</v>
      </c>
      <c r="AG46" s="48">
        <v>46342</v>
      </c>
      <c r="AH46" s="48">
        <v>46349</v>
      </c>
      <c r="AI46" s="48">
        <v>46356</v>
      </c>
      <c r="AJ46" s="48">
        <v>46363</v>
      </c>
      <c r="AK46" s="48">
        <v>46370</v>
      </c>
    </row>
    <row r="47" spans="1:37" ht="16.350000000000001" customHeight="1" x14ac:dyDescent="0.3">
      <c r="A47" s="51" t="s">
        <v>132</v>
      </c>
      <c r="C47" s="34" cm="1">
        <f t="array" ref="C47:AK47">TRANSPOSE(BOM_demand!$K$2:$K$36)</f>
        <v>0</v>
      </c>
      <c r="D47" s="34">
        <v>21368</v>
      </c>
      <c r="E47" s="34">
        <v>30000</v>
      </c>
      <c r="F47" s="34">
        <v>30000</v>
      </c>
      <c r="G47" s="34">
        <v>22000</v>
      </c>
      <c r="H47" s="34">
        <v>26000</v>
      </c>
      <c r="I47" s="34">
        <v>27546</v>
      </c>
      <c r="J47" s="34">
        <v>14116</v>
      </c>
      <c r="K47" s="34">
        <v>17816</v>
      </c>
      <c r="L47" s="34">
        <v>23346</v>
      </c>
      <c r="M47" s="34">
        <v>24082</v>
      </c>
      <c r="N47" s="34">
        <v>24080</v>
      </c>
      <c r="O47" s="34">
        <v>0</v>
      </c>
      <c r="P47" s="34">
        <v>0</v>
      </c>
      <c r="Q47" s="34">
        <v>30000</v>
      </c>
      <c r="R47" s="34">
        <v>30000</v>
      </c>
      <c r="S47" s="34">
        <v>8496</v>
      </c>
      <c r="T47" s="34">
        <v>8496</v>
      </c>
      <c r="U47" s="34">
        <v>8498</v>
      </c>
      <c r="V47" s="34">
        <v>8496</v>
      </c>
      <c r="W47" s="34">
        <v>4782</v>
      </c>
      <c r="X47" s="34">
        <v>4784</v>
      </c>
      <c r="Y47" s="34">
        <v>4782</v>
      </c>
      <c r="Z47" s="34">
        <v>12918</v>
      </c>
      <c r="AA47" s="34">
        <v>30000</v>
      </c>
      <c r="AB47" s="34">
        <v>30000</v>
      </c>
      <c r="AC47" s="34">
        <v>30000</v>
      </c>
      <c r="AD47" s="34">
        <v>30000</v>
      </c>
      <c r="AE47" s="34">
        <v>8562</v>
      </c>
      <c r="AF47" s="34">
        <v>8564</v>
      </c>
      <c r="AG47" s="34">
        <v>8562</v>
      </c>
      <c r="AH47" s="34">
        <v>8564</v>
      </c>
      <c r="AI47" s="34">
        <v>8562</v>
      </c>
      <c r="AJ47" s="34">
        <v>16652</v>
      </c>
      <c r="AK47" s="34">
        <v>16650</v>
      </c>
    </row>
    <row r="48" spans="1:37" ht="16.350000000000001" customHeight="1" x14ac:dyDescent="0.3">
      <c r="A48" s="186" t="s">
        <v>129</v>
      </c>
      <c r="B48" s="157"/>
      <c r="C48" s="34">
        <f>IFERROR(INDEX($H$7:$V$7,1,MATCH("RM04",$H$3:$V$3,0)),0)</f>
        <v>30000</v>
      </c>
      <c r="D48" s="34">
        <f>0</f>
        <v>0</v>
      </c>
      <c r="E48" s="34">
        <f>0</f>
        <v>0</v>
      </c>
      <c r="F48" s="34">
        <f>0</f>
        <v>0</v>
      </c>
      <c r="G48" s="34">
        <f>0</f>
        <v>0</v>
      </c>
      <c r="H48" s="34">
        <f>0</f>
        <v>0</v>
      </c>
      <c r="I48" s="34">
        <f>0</f>
        <v>0</v>
      </c>
      <c r="J48" s="34">
        <f>0</f>
        <v>0</v>
      </c>
      <c r="K48" s="8">
        <f>0</f>
        <v>0</v>
      </c>
      <c r="L48" s="8">
        <f>0</f>
        <v>0</v>
      </c>
      <c r="M48" s="8">
        <f>0</f>
        <v>0</v>
      </c>
      <c r="N48" s="8">
        <f>0</f>
        <v>0</v>
      </c>
      <c r="O48" s="8">
        <f>0</f>
        <v>0</v>
      </c>
      <c r="P48" s="8">
        <f>0</f>
        <v>0</v>
      </c>
      <c r="Q48" s="8">
        <f>0</f>
        <v>0</v>
      </c>
      <c r="R48" s="8">
        <f>0</f>
        <v>0</v>
      </c>
      <c r="S48" s="8">
        <f>0</f>
        <v>0</v>
      </c>
      <c r="T48" s="8">
        <f>0</f>
        <v>0</v>
      </c>
      <c r="U48" s="8">
        <f>0</f>
        <v>0</v>
      </c>
      <c r="V48" s="8">
        <f>0</f>
        <v>0</v>
      </c>
      <c r="W48" s="8">
        <f>0</f>
        <v>0</v>
      </c>
      <c r="X48" s="8">
        <f>0</f>
        <v>0</v>
      </c>
      <c r="Y48" s="8">
        <f>0</f>
        <v>0</v>
      </c>
      <c r="Z48" s="8">
        <f>0</f>
        <v>0</v>
      </c>
      <c r="AA48" s="8">
        <f>0</f>
        <v>0</v>
      </c>
      <c r="AB48" s="8">
        <f>0</f>
        <v>0</v>
      </c>
      <c r="AC48" s="8">
        <f>0</f>
        <v>0</v>
      </c>
      <c r="AD48" s="8">
        <f>0</f>
        <v>0</v>
      </c>
      <c r="AE48" s="8">
        <f>0</f>
        <v>0</v>
      </c>
      <c r="AF48" s="8">
        <f>0</f>
        <v>0</v>
      </c>
      <c r="AG48" s="8">
        <f>0</f>
        <v>0</v>
      </c>
      <c r="AH48" s="8">
        <f>0</f>
        <v>0</v>
      </c>
      <c r="AI48" s="8">
        <f>0</f>
        <v>0</v>
      </c>
      <c r="AJ48" s="8">
        <f>0</f>
        <v>0</v>
      </c>
      <c r="AK48" s="8">
        <f>0</f>
        <v>0</v>
      </c>
    </row>
    <row r="49" spans="1:37" ht="16.350000000000001" customHeight="1" x14ac:dyDescent="0.3">
      <c r="A49" s="34" t="s">
        <v>137</v>
      </c>
      <c r="B49" s="46">
        <f>IFERROR(INDEX($H$8:$V$8,1,MATCH("RM04",$H$3:$V$3,0)),0)</f>
        <v>33013</v>
      </c>
      <c r="C49" s="34">
        <f t="shared" ref="C49:AK49" si="12">$B49</f>
        <v>33013</v>
      </c>
      <c r="D49" s="34">
        <f t="shared" si="12"/>
        <v>33013</v>
      </c>
      <c r="E49" s="34">
        <f t="shared" si="12"/>
        <v>33013</v>
      </c>
      <c r="F49" s="34">
        <f t="shared" si="12"/>
        <v>33013</v>
      </c>
      <c r="G49" s="34">
        <f t="shared" si="12"/>
        <v>33013</v>
      </c>
      <c r="H49" s="34">
        <f t="shared" si="12"/>
        <v>33013</v>
      </c>
      <c r="I49" s="34">
        <f t="shared" si="12"/>
        <v>33013</v>
      </c>
      <c r="J49" s="34">
        <f t="shared" si="12"/>
        <v>33013</v>
      </c>
      <c r="K49" s="8">
        <f t="shared" si="12"/>
        <v>33013</v>
      </c>
      <c r="L49" s="8">
        <f t="shared" si="12"/>
        <v>33013</v>
      </c>
      <c r="M49" s="8">
        <f t="shared" si="12"/>
        <v>33013</v>
      </c>
      <c r="N49" s="8">
        <f t="shared" si="12"/>
        <v>33013</v>
      </c>
      <c r="O49" s="8">
        <f t="shared" si="12"/>
        <v>33013</v>
      </c>
      <c r="P49" s="8">
        <f t="shared" si="12"/>
        <v>33013</v>
      </c>
      <c r="Q49" s="8">
        <f t="shared" si="12"/>
        <v>33013</v>
      </c>
      <c r="R49" s="8">
        <f t="shared" si="12"/>
        <v>33013</v>
      </c>
      <c r="S49" s="8">
        <f t="shared" si="12"/>
        <v>33013</v>
      </c>
      <c r="T49" s="8">
        <f t="shared" si="12"/>
        <v>33013</v>
      </c>
      <c r="U49" s="8">
        <f t="shared" si="12"/>
        <v>33013</v>
      </c>
      <c r="V49" s="8">
        <f t="shared" si="12"/>
        <v>33013</v>
      </c>
      <c r="W49" s="8">
        <f t="shared" si="12"/>
        <v>33013</v>
      </c>
      <c r="X49" s="8">
        <f t="shared" si="12"/>
        <v>33013</v>
      </c>
      <c r="Y49" s="8">
        <f t="shared" si="12"/>
        <v>33013</v>
      </c>
      <c r="Z49" s="8">
        <f t="shared" si="12"/>
        <v>33013</v>
      </c>
      <c r="AA49" s="8">
        <f t="shared" si="12"/>
        <v>33013</v>
      </c>
      <c r="AB49" s="8">
        <f t="shared" si="12"/>
        <v>33013</v>
      </c>
      <c r="AC49" s="8">
        <f t="shared" si="12"/>
        <v>33013</v>
      </c>
      <c r="AD49" s="8">
        <f t="shared" si="12"/>
        <v>33013</v>
      </c>
      <c r="AE49" s="8">
        <f t="shared" si="12"/>
        <v>33013</v>
      </c>
      <c r="AF49" s="8">
        <f t="shared" si="12"/>
        <v>33013</v>
      </c>
      <c r="AG49" s="8">
        <f t="shared" si="12"/>
        <v>33013</v>
      </c>
      <c r="AH49" s="8">
        <f t="shared" si="12"/>
        <v>33013</v>
      </c>
      <c r="AI49" s="8">
        <f t="shared" si="12"/>
        <v>33013</v>
      </c>
      <c r="AJ49" s="8">
        <f t="shared" si="12"/>
        <v>33013</v>
      </c>
      <c r="AK49" s="8">
        <f t="shared" si="12"/>
        <v>33013</v>
      </c>
    </row>
    <row r="50" spans="1:37" ht="16.350000000000001" customHeight="1" x14ac:dyDescent="0.3">
      <c r="A50" s="34" t="s">
        <v>133</v>
      </c>
      <c r="B50" s="46">
        <f>IFERROR(INDEX($H$6:$V$6,1,MATCH("RM04",$H$3:$V$3,0)),0)</f>
        <v>340000</v>
      </c>
      <c r="C50" s="34">
        <f>$B50+C48+C52-C47</f>
        <v>370000</v>
      </c>
      <c r="D50" s="34">
        <f t="shared" ref="D50:AK50" si="13">C50+D48+D52-D47</f>
        <v>348632</v>
      </c>
      <c r="E50" s="34">
        <f t="shared" si="13"/>
        <v>318632</v>
      </c>
      <c r="F50" s="34">
        <f t="shared" si="13"/>
        <v>288632</v>
      </c>
      <c r="G50" s="34">
        <f t="shared" si="13"/>
        <v>266632</v>
      </c>
      <c r="H50" s="34">
        <f t="shared" si="13"/>
        <v>240632</v>
      </c>
      <c r="I50" s="34">
        <f t="shared" si="13"/>
        <v>213086</v>
      </c>
      <c r="J50" s="34">
        <f t="shared" si="13"/>
        <v>198970</v>
      </c>
      <c r="K50" s="8">
        <f t="shared" si="13"/>
        <v>181154</v>
      </c>
      <c r="L50" s="8">
        <f t="shared" si="13"/>
        <v>157808</v>
      </c>
      <c r="M50" s="8">
        <f t="shared" si="13"/>
        <v>133726</v>
      </c>
      <c r="N50" s="8">
        <f t="shared" si="13"/>
        <v>109646</v>
      </c>
      <c r="O50" s="8">
        <f t="shared" si="13"/>
        <v>109646</v>
      </c>
      <c r="P50" s="8">
        <f t="shared" si="13"/>
        <v>109646</v>
      </c>
      <c r="Q50" s="8">
        <f t="shared" si="13"/>
        <v>79646</v>
      </c>
      <c r="R50" s="8">
        <f t="shared" si="13"/>
        <v>49646</v>
      </c>
      <c r="S50" s="8">
        <f t="shared" si="13"/>
        <v>41150</v>
      </c>
      <c r="T50" s="8">
        <f t="shared" si="13"/>
        <v>33013</v>
      </c>
      <c r="U50" s="8">
        <f t="shared" si="13"/>
        <v>33013</v>
      </c>
      <c r="V50" s="8">
        <f t="shared" si="13"/>
        <v>33013</v>
      </c>
      <c r="W50" s="8">
        <f t="shared" si="13"/>
        <v>33013</v>
      </c>
      <c r="X50" s="8">
        <f t="shared" si="13"/>
        <v>33013</v>
      </c>
      <c r="Y50" s="8">
        <f t="shared" si="13"/>
        <v>33013</v>
      </c>
      <c r="Z50" s="8">
        <f t="shared" si="13"/>
        <v>33013</v>
      </c>
      <c r="AA50" s="8">
        <f t="shared" si="13"/>
        <v>33013</v>
      </c>
      <c r="AB50" s="8">
        <f t="shared" si="13"/>
        <v>33013</v>
      </c>
      <c r="AC50" s="8">
        <f t="shared" si="13"/>
        <v>33013</v>
      </c>
      <c r="AD50" s="8">
        <f t="shared" si="13"/>
        <v>33013</v>
      </c>
      <c r="AE50" s="8">
        <f t="shared" si="13"/>
        <v>33013</v>
      </c>
      <c r="AF50" s="8">
        <f t="shared" si="13"/>
        <v>33013</v>
      </c>
      <c r="AG50" s="8">
        <f t="shared" si="13"/>
        <v>33013</v>
      </c>
      <c r="AH50" s="8">
        <f t="shared" si="13"/>
        <v>33013</v>
      </c>
      <c r="AI50" s="8">
        <f t="shared" si="13"/>
        <v>33013</v>
      </c>
      <c r="AJ50" s="8">
        <f t="shared" si="13"/>
        <v>33013</v>
      </c>
      <c r="AK50" s="8">
        <f t="shared" si="13"/>
        <v>33013</v>
      </c>
    </row>
    <row r="51" spans="1:37" ht="16.350000000000001" customHeight="1" x14ac:dyDescent="0.3">
      <c r="A51" s="34" t="s">
        <v>141</v>
      </c>
      <c r="B51" s="46"/>
      <c r="C51" s="34">
        <f>MAX(C47+C49-($B50+C48),0)</f>
        <v>0</v>
      </c>
      <c r="D51" s="34">
        <f t="shared" ref="D51:AK51" si="14">MAX(D47+D49-(C50+D48),0)</f>
        <v>0</v>
      </c>
      <c r="E51" s="34">
        <f t="shared" si="14"/>
        <v>0</v>
      </c>
      <c r="F51" s="34">
        <f t="shared" si="14"/>
        <v>0</v>
      </c>
      <c r="G51" s="34">
        <f t="shared" si="14"/>
        <v>0</v>
      </c>
      <c r="H51" s="34">
        <f t="shared" si="14"/>
        <v>0</v>
      </c>
      <c r="I51" s="34">
        <f t="shared" si="14"/>
        <v>0</v>
      </c>
      <c r="J51" s="34">
        <f t="shared" si="14"/>
        <v>0</v>
      </c>
      <c r="K51" s="8">
        <f t="shared" si="14"/>
        <v>0</v>
      </c>
      <c r="L51" s="8">
        <f t="shared" si="14"/>
        <v>0</v>
      </c>
      <c r="M51" s="8">
        <f t="shared" si="14"/>
        <v>0</v>
      </c>
      <c r="N51" s="8">
        <f t="shared" si="14"/>
        <v>0</v>
      </c>
      <c r="O51" s="8">
        <f t="shared" si="14"/>
        <v>0</v>
      </c>
      <c r="P51" s="8">
        <f t="shared" si="14"/>
        <v>0</v>
      </c>
      <c r="Q51" s="8">
        <f t="shared" si="14"/>
        <v>0</v>
      </c>
      <c r="R51" s="8">
        <f t="shared" si="14"/>
        <v>0</v>
      </c>
      <c r="S51" s="8">
        <f t="shared" si="14"/>
        <v>0</v>
      </c>
      <c r="T51" s="8">
        <f t="shared" si="14"/>
        <v>359</v>
      </c>
      <c r="U51" s="8">
        <f t="shared" si="14"/>
        <v>8498</v>
      </c>
      <c r="V51" s="8">
        <f t="shared" si="14"/>
        <v>8496</v>
      </c>
      <c r="W51" s="8">
        <f t="shared" si="14"/>
        <v>4782</v>
      </c>
      <c r="X51" s="8">
        <f t="shared" si="14"/>
        <v>4784</v>
      </c>
      <c r="Y51" s="8">
        <f t="shared" si="14"/>
        <v>4782</v>
      </c>
      <c r="Z51" s="8">
        <f t="shared" si="14"/>
        <v>12918</v>
      </c>
      <c r="AA51" s="8">
        <f t="shared" si="14"/>
        <v>30000</v>
      </c>
      <c r="AB51" s="8">
        <f t="shared" si="14"/>
        <v>30000</v>
      </c>
      <c r="AC51" s="8">
        <f t="shared" si="14"/>
        <v>30000</v>
      </c>
      <c r="AD51" s="8">
        <f t="shared" si="14"/>
        <v>30000</v>
      </c>
      <c r="AE51" s="8">
        <f t="shared" si="14"/>
        <v>8562</v>
      </c>
      <c r="AF51" s="8">
        <f t="shared" si="14"/>
        <v>8564</v>
      </c>
      <c r="AG51" s="8">
        <f t="shared" si="14"/>
        <v>8562</v>
      </c>
      <c r="AH51" s="8">
        <f t="shared" si="14"/>
        <v>8564</v>
      </c>
      <c r="AI51" s="8">
        <f t="shared" si="14"/>
        <v>8562</v>
      </c>
      <c r="AJ51" s="8">
        <f t="shared" si="14"/>
        <v>16652</v>
      </c>
      <c r="AK51" s="8">
        <f t="shared" si="14"/>
        <v>16650</v>
      </c>
    </row>
    <row r="52" spans="1:37" ht="16.350000000000001" customHeight="1" x14ac:dyDescent="0.3">
      <c r="A52" s="186" t="s">
        <v>134</v>
      </c>
      <c r="B52" s="157"/>
      <c r="C52" s="34">
        <f t="shared" ref="C52:AK52" si="15">C51</f>
        <v>0</v>
      </c>
      <c r="D52" s="34">
        <f t="shared" si="15"/>
        <v>0</v>
      </c>
      <c r="E52" s="34">
        <f t="shared" si="15"/>
        <v>0</v>
      </c>
      <c r="F52" s="34">
        <f t="shared" si="15"/>
        <v>0</v>
      </c>
      <c r="G52" s="34">
        <f t="shared" si="15"/>
        <v>0</v>
      </c>
      <c r="H52" s="34">
        <f t="shared" si="15"/>
        <v>0</v>
      </c>
      <c r="I52" s="34">
        <f t="shared" si="15"/>
        <v>0</v>
      </c>
      <c r="J52" s="34">
        <f t="shared" si="15"/>
        <v>0</v>
      </c>
      <c r="K52" s="8">
        <f t="shared" si="15"/>
        <v>0</v>
      </c>
      <c r="L52" s="8">
        <f t="shared" si="15"/>
        <v>0</v>
      </c>
      <c r="M52" s="8">
        <f t="shared" si="15"/>
        <v>0</v>
      </c>
      <c r="N52" s="8">
        <f t="shared" si="15"/>
        <v>0</v>
      </c>
      <c r="O52" s="8">
        <f t="shared" si="15"/>
        <v>0</v>
      </c>
      <c r="P52" s="8">
        <f t="shared" si="15"/>
        <v>0</v>
      </c>
      <c r="Q52" s="8">
        <f t="shared" si="15"/>
        <v>0</v>
      </c>
      <c r="R52" s="8">
        <f t="shared" si="15"/>
        <v>0</v>
      </c>
      <c r="S52" s="8">
        <f t="shared" si="15"/>
        <v>0</v>
      </c>
      <c r="T52" s="8">
        <f t="shared" si="15"/>
        <v>359</v>
      </c>
      <c r="U52" s="8">
        <f t="shared" si="15"/>
        <v>8498</v>
      </c>
      <c r="V52" s="8">
        <f t="shared" si="15"/>
        <v>8496</v>
      </c>
      <c r="W52" s="8">
        <f t="shared" si="15"/>
        <v>4782</v>
      </c>
      <c r="X52" s="8">
        <f t="shared" si="15"/>
        <v>4784</v>
      </c>
      <c r="Y52" s="8">
        <f t="shared" si="15"/>
        <v>4782</v>
      </c>
      <c r="Z52" s="8">
        <f t="shared" si="15"/>
        <v>12918</v>
      </c>
      <c r="AA52" s="8">
        <f t="shared" si="15"/>
        <v>30000</v>
      </c>
      <c r="AB52" s="8">
        <f t="shared" si="15"/>
        <v>30000</v>
      </c>
      <c r="AC52" s="8">
        <f t="shared" si="15"/>
        <v>30000</v>
      </c>
      <c r="AD52" s="8">
        <f t="shared" si="15"/>
        <v>30000</v>
      </c>
      <c r="AE52" s="8">
        <f t="shared" si="15"/>
        <v>8562</v>
      </c>
      <c r="AF52" s="8">
        <f t="shared" si="15"/>
        <v>8564</v>
      </c>
      <c r="AG52" s="8">
        <f t="shared" si="15"/>
        <v>8562</v>
      </c>
      <c r="AH52" s="8">
        <f t="shared" si="15"/>
        <v>8564</v>
      </c>
      <c r="AI52" s="8">
        <f t="shared" si="15"/>
        <v>8562</v>
      </c>
      <c r="AJ52" s="8">
        <f t="shared" si="15"/>
        <v>16652</v>
      </c>
      <c r="AK52" s="8">
        <f t="shared" si="15"/>
        <v>16650</v>
      </c>
    </row>
    <row r="53" spans="1:37" ht="16.350000000000001" customHeight="1" x14ac:dyDescent="0.3">
      <c r="A53" s="34" t="s">
        <v>135</v>
      </c>
      <c r="B53" s="46"/>
      <c r="C53" s="34">
        <f>IFERROR(INDEX($C$52:$AK$52,1,1+ROUND(INDEX($H$5:$V$5,1,MATCH("RM04",$H$3:$V$3,0))/7,0)),0)</f>
        <v>4782</v>
      </c>
      <c r="D53" s="34">
        <f>IFERROR(INDEX($C$52:$AK$52,1,2+ROUND(INDEX($H$5:$V$5,1,MATCH("RM04",$H$3:$V$3,0))/7,0)),0)</f>
        <v>4784</v>
      </c>
      <c r="E53" s="34">
        <f>IFERROR(INDEX($C$52:$AK$52,1,3+ROUND(INDEX($H$5:$V$5,1,MATCH("RM04",$H$3:$V$3,0))/7,0)),0)</f>
        <v>4782</v>
      </c>
      <c r="F53" s="34">
        <f>IFERROR(INDEX($C$52:$AK$52,1,4+ROUND(INDEX($H$5:$V$5,1,MATCH("RM04",$H$3:$V$3,0))/7,0)),0)</f>
        <v>12918</v>
      </c>
      <c r="G53" s="34">
        <f>IFERROR(INDEX($C$52:$AK$52,1,5+ROUND(INDEX($H$5:$V$5,1,MATCH("RM04",$H$3:$V$3,0))/7,0)),0)</f>
        <v>30000</v>
      </c>
      <c r="H53" s="34">
        <f>IFERROR(INDEX($C$52:$AK$52,1,6+ROUND(INDEX($H$5:$V$5,1,MATCH("RM04",$H$3:$V$3,0))/7,0)),0)</f>
        <v>30000</v>
      </c>
      <c r="I53" s="34">
        <f>IFERROR(INDEX($C$52:$AK$52,1,7+ROUND(INDEX($H$5:$V$5,1,MATCH("RM04",$H$3:$V$3,0))/7,0)),0)</f>
        <v>30000</v>
      </c>
      <c r="J53" s="34">
        <f>IFERROR(INDEX($C$52:$AK$52,1,8+ROUND(INDEX($H$5:$V$5,1,MATCH("RM04",$H$3:$V$3,0))/7,0)),0)</f>
        <v>30000</v>
      </c>
      <c r="K53" s="8">
        <f>IFERROR(INDEX($C$52:$AK$52,1,9+ROUND(INDEX($H$5:$V$5,1,MATCH("RM04",$H$3:$V$3,0))/7,0)),0)</f>
        <v>8562</v>
      </c>
      <c r="L53" s="8">
        <f>IFERROR(INDEX($C$52:$AK$52,1,10+ROUND(INDEX($H$5:$V$5,1,MATCH("RM04",$H$3:$V$3,0))/7,0)),0)</f>
        <v>8564</v>
      </c>
      <c r="M53" s="8">
        <f>IFERROR(INDEX($C$52:$AK$52,1,11+ROUND(INDEX($H$5:$V$5,1,MATCH("RM04",$H$3:$V$3,0))/7,0)),0)</f>
        <v>8562</v>
      </c>
      <c r="N53" s="8">
        <f>IFERROR(INDEX($C$52:$AK$52,1,12+ROUND(INDEX($H$5:$V$5,1,MATCH("RM04",$H$3:$V$3,0))/7,0)),0)</f>
        <v>8564</v>
      </c>
      <c r="O53" s="8">
        <f>IFERROR(INDEX($C$52:$AK$52,1,13+ROUND(INDEX($H$5:$V$5,1,MATCH("RM04",$H$3:$V$3,0))/7,0)),0)</f>
        <v>8562</v>
      </c>
      <c r="P53" s="8">
        <f>IFERROR(INDEX($C$52:$AK$52,1,14+ROUND(INDEX($H$5:$V$5,1,MATCH("RM04",$H$3:$V$3,0))/7,0)),0)</f>
        <v>16652</v>
      </c>
      <c r="Q53" s="8">
        <f>IFERROR(INDEX($C$52:$AK$52,1,15+ROUND(INDEX($H$5:$V$5,1,MATCH("RM04",$H$3:$V$3,0))/7,0)),0)</f>
        <v>16650</v>
      </c>
      <c r="R53" s="8">
        <f>IFERROR(INDEX($C$52:$AK$52,1,16+ROUND(INDEX($H$5:$V$5,1,MATCH("RM04",$H$3:$V$3,0))/7,0)),0)</f>
        <v>0</v>
      </c>
      <c r="S53" s="8">
        <f>IFERROR(INDEX($C$52:$AK$52,1,17+ROUND(INDEX($H$5:$V$5,1,MATCH("RM04",$H$3:$V$3,0))/7,0)),0)</f>
        <v>0</v>
      </c>
      <c r="T53" s="8">
        <f>IFERROR(INDEX($C$52:$AK$52,1,18+ROUND(INDEX($H$5:$V$5,1,MATCH("RM04",$H$3:$V$3,0))/7,0)),0)</f>
        <v>0</v>
      </c>
      <c r="U53" s="8">
        <f>IFERROR(INDEX($C$52:$AK$52,1,19+ROUND(INDEX($H$5:$V$5,1,MATCH("RM04",$H$3:$V$3,0))/7,0)),0)</f>
        <v>0</v>
      </c>
      <c r="V53" s="8">
        <f>IFERROR(INDEX($C$52:$AK$52,1,20+ROUND(INDEX($H$5:$V$5,1,MATCH("RM04",$H$3:$V$3,0))/7,0)),0)</f>
        <v>0</v>
      </c>
      <c r="W53" s="8">
        <f>IFERROR(INDEX($C$52:$AK$52,1,21+ROUND(INDEX($H$5:$V$5,1,MATCH("RM04",$H$3:$V$3,0))/7,0)),0)</f>
        <v>0</v>
      </c>
      <c r="X53" s="8">
        <f>IFERROR(INDEX($C$52:$AK$52,1,22+ROUND(INDEX($H$5:$V$5,1,MATCH("RM04",$H$3:$V$3,0))/7,0)),0)</f>
        <v>0</v>
      </c>
      <c r="Y53" s="8">
        <f>IFERROR(INDEX($C$52:$AK$52,1,23+ROUND(INDEX($H$5:$V$5,1,MATCH("RM04",$H$3:$V$3,0))/7,0)),0)</f>
        <v>0</v>
      </c>
      <c r="Z53" s="8">
        <f>IFERROR(INDEX($C$52:$AK$52,1,24+ROUND(INDEX($H$5:$V$5,1,MATCH("RM04",$H$3:$V$3,0))/7,0)),0)</f>
        <v>0</v>
      </c>
      <c r="AA53" s="8">
        <f>IFERROR(INDEX($C$52:$AK$52,1,25+ROUND(INDEX($H$5:$V$5,1,MATCH("RM04",$H$3:$V$3,0))/7,0)),0)</f>
        <v>0</v>
      </c>
      <c r="AB53" s="8">
        <f>IFERROR(INDEX($C$52:$AK$52,1,26+ROUND(INDEX($H$5:$V$5,1,MATCH("RM04",$H$3:$V$3,0))/7,0)),0)</f>
        <v>0</v>
      </c>
      <c r="AC53" s="8">
        <f>IFERROR(INDEX($C$52:$AK$52,1,27+ROUND(INDEX($H$5:$V$5,1,MATCH("RM04",$H$3:$V$3,0))/7,0)),0)</f>
        <v>0</v>
      </c>
      <c r="AD53" s="8">
        <f>IFERROR(INDEX($C$52:$AK$52,1,28+ROUND(INDEX($H$5:$V$5,1,MATCH("RM04",$H$3:$V$3,0))/7,0)),0)</f>
        <v>0</v>
      </c>
      <c r="AE53" s="8">
        <f>IFERROR(INDEX($C$52:$AK$52,1,29+ROUND(INDEX($H$5:$V$5,1,MATCH("RM04",$H$3:$V$3,0))/7,0)),0)</f>
        <v>0</v>
      </c>
      <c r="AF53" s="8">
        <f>IFERROR(INDEX($C$52:$AK$52,1,30+ROUND(INDEX($H$5:$V$5,1,MATCH("RM04",$H$3:$V$3,0))/7,0)),0)</f>
        <v>0</v>
      </c>
      <c r="AG53" s="8">
        <f>IFERROR(INDEX($C$52:$AK$52,1,31+ROUND(INDEX($H$5:$V$5,1,MATCH("RM04",$H$3:$V$3,0))/7,0)),0)</f>
        <v>0</v>
      </c>
      <c r="AH53" s="8">
        <f>IFERROR(INDEX($C$52:$AK$52,1,32+ROUND(INDEX($H$5:$V$5,1,MATCH("RM04",$H$3:$V$3,0))/7,0)),0)</f>
        <v>0</v>
      </c>
      <c r="AI53" s="8">
        <f>IFERROR(INDEX($C$52:$AK$52,1,33+ROUND(INDEX($H$5:$V$5,1,MATCH("RM04",$H$3:$V$3,0))/7,0)),0)</f>
        <v>0</v>
      </c>
      <c r="AJ53" s="8">
        <f>IFERROR(INDEX($C$52:$AK$52,1,34+ROUND(INDEX($H$5:$V$5,1,MATCH("RM04",$H$3:$V$3,0))/7,0)),0)</f>
        <v>0</v>
      </c>
      <c r="AK53" s="8">
        <f>IFERROR(INDEX($C$52:$AK$52,1,35+ROUND(INDEX($H$5:$V$5,1,MATCH("RM04",$H$3:$V$3,0))/7,0)),0)</f>
        <v>0</v>
      </c>
    </row>
    <row r="55" spans="1:37" ht="16.350000000000001" customHeight="1" x14ac:dyDescent="0.3">
      <c r="A55" s="47" t="s">
        <v>145</v>
      </c>
      <c r="B55" s="47" t="s">
        <v>140</v>
      </c>
      <c r="C55" s="187" t="s">
        <v>130</v>
      </c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7"/>
    </row>
    <row r="56" spans="1:37" ht="16.350000000000001" customHeight="1" x14ac:dyDescent="0.3">
      <c r="A56" s="47" t="s">
        <v>131</v>
      </c>
      <c r="B56" s="47" t="str">
        <f>"LT: "&amp;ROUND(INDEX($H$5:$V$5,1,MATCH("RM05",$H$3:$V$3,0))/7,0)</f>
        <v>LT: 10</v>
      </c>
      <c r="C56" s="48" cm="1">
        <f t="array" ref="C56:AK56">TRANSPOSE(BOM_demand!$A$2:$A$36)</f>
        <v>46132</v>
      </c>
      <c r="D56" s="48">
        <v>46139</v>
      </c>
      <c r="E56" s="48">
        <v>46146</v>
      </c>
      <c r="F56" s="48">
        <v>46153</v>
      </c>
      <c r="G56" s="48">
        <v>46160</v>
      </c>
      <c r="H56" s="48">
        <v>46167</v>
      </c>
      <c r="I56" s="48">
        <v>46174</v>
      </c>
      <c r="J56" s="48">
        <v>46181</v>
      </c>
      <c r="K56" s="48">
        <v>46188</v>
      </c>
      <c r="L56" s="48">
        <v>46195</v>
      </c>
      <c r="M56" s="48">
        <v>46202</v>
      </c>
      <c r="N56" s="48">
        <v>46209</v>
      </c>
      <c r="O56" s="48">
        <v>46216</v>
      </c>
      <c r="P56" s="48">
        <v>46223</v>
      </c>
      <c r="Q56" s="48">
        <v>46230</v>
      </c>
      <c r="R56" s="48">
        <v>46237</v>
      </c>
      <c r="S56" s="48">
        <v>46244</v>
      </c>
      <c r="T56" s="48">
        <v>46251</v>
      </c>
      <c r="U56" s="48">
        <v>46258</v>
      </c>
      <c r="V56" s="48">
        <v>46265</v>
      </c>
      <c r="W56" s="48">
        <v>46272</v>
      </c>
      <c r="X56" s="48">
        <v>46279</v>
      </c>
      <c r="Y56" s="48">
        <v>46286</v>
      </c>
      <c r="Z56" s="48">
        <v>46293</v>
      </c>
      <c r="AA56" s="48">
        <v>46300</v>
      </c>
      <c r="AB56" s="48">
        <v>46307</v>
      </c>
      <c r="AC56" s="48">
        <v>46314</v>
      </c>
      <c r="AD56" s="48">
        <v>46321</v>
      </c>
      <c r="AE56" s="48">
        <v>46328</v>
      </c>
      <c r="AF56" s="48">
        <v>46335</v>
      </c>
      <c r="AG56" s="48">
        <v>46342</v>
      </c>
      <c r="AH56" s="48">
        <v>46349</v>
      </c>
      <c r="AI56" s="48">
        <v>46356</v>
      </c>
      <c r="AJ56" s="48">
        <v>46363</v>
      </c>
      <c r="AK56" s="48">
        <v>46370</v>
      </c>
    </row>
    <row r="57" spans="1:37" ht="16.350000000000001" customHeight="1" x14ac:dyDescent="0.3">
      <c r="A57" s="51" t="s">
        <v>132</v>
      </c>
      <c r="C57" s="34" cm="1">
        <f t="array" ref="C57:AK57">TRANSPOSE(BOM_demand!$L$2:$L$36)</f>
        <v>0</v>
      </c>
      <c r="D57" s="34">
        <v>10684</v>
      </c>
      <c r="E57" s="34">
        <v>15000</v>
      </c>
      <c r="F57" s="34">
        <v>15000</v>
      </c>
      <c r="G57" s="34">
        <v>11000</v>
      </c>
      <c r="H57" s="34">
        <v>13000</v>
      </c>
      <c r="I57" s="34">
        <v>13773</v>
      </c>
      <c r="J57" s="34">
        <v>7058</v>
      </c>
      <c r="K57" s="34">
        <v>8908</v>
      </c>
      <c r="L57" s="34">
        <v>11673</v>
      </c>
      <c r="M57" s="34">
        <v>12041</v>
      </c>
      <c r="N57" s="34">
        <v>12040</v>
      </c>
      <c r="O57" s="34">
        <v>0</v>
      </c>
      <c r="P57" s="34">
        <v>0</v>
      </c>
      <c r="Q57" s="34">
        <v>15000</v>
      </c>
      <c r="R57" s="34">
        <v>15000</v>
      </c>
      <c r="S57" s="34">
        <v>4248</v>
      </c>
      <c r="T57" s="34">
        <v>4248</v>
      </c>
      <c r="U57" s="34">
        <v>4249</v>
      </c>
      <c r="V57" s="34">
        <v>4248</v>
      </c>
      <c r="W57" s="34">
        <v>2391</v>
      </c>
      <c r="X57" s="34">
        <v>2392</v>
      </c>
      <c r="Y57" s="34">
        <v>2391</v>
      </c>
      <c r="Z57" s="34">
        <v>6459</v>
      </c>
      <c r="AA57" s="34">
        <v>15000</v>
      </c>
      <c r="AB57" s="34">
        <v>15000</v>
      </c>
      <c r="AC57" s="34">
        <v>15000</v>
      </c>
      <c r="AD57" s="34">
        <v>15000</v>
      </c>
      <c r="AE57" s="34">
        <v>4281</v>
      </c>
      <c r="AF57" s="34">
        <v>4282</v>
      </c>
      <c r="AG57" s="34">
        <v>4281</v>
      </c>
      <c r="AH57" s="34">
        <v>4282</v>
      </c>
      <c r="AI57" s="34">
        <v>4281</v>
      </c>
      <c r="AJ57" s="34">
        <v>8326</v>
      </c>
      <c r="AK57" s="34">
        <v>8325</v>
      </c>
    </row>
    <row r="58" spans="1:37" ht="16.350000000000001" customHeight="1" x14ac:dyDescent="0.3">
      <c r="A58" s="186" t="s">
        <v>129</v>
      </c>
      <c r="B58" s="157"/>
      <c r="C58" s="34">
        <f>IFERROR(INDEX($H$7:$V$7,1,MATCH("RM05",$H$3:$V$3,0)),0)</f>
        <v>0</v>
      </c>
      <c r="D58" s="34">
        <f>0</f>
        <v>0</v>
      </c>
      <c r="E58" s="34">
        <f>0</f>
        <v>0</v>
      </c>
      <c r="F58" s="34">
        <f>0</f>
        <v>0</v>
      </c>
      <c r="G58" s="34">
        <f>0</f>
        <v>0</v>
      </c>
      <c r="H58" s="34">
        <f>0</f>
        <v>0</v>
      </c>
      <c r="I58" s="34">
        <f>0</f>
        <v>0</v>
      </c>
      <c r="J58" s="34">
        <f>0</f>
        <v>0</v>
      </c>
      <c r="K58" s="8">
        <f>0</f>
        <v>0</v>
      </c>
      <c r="L58" s="8">
        <f>0</f>
        <v>0</v>
      </c>
      <c r="M58" s="8">
        <f>0</f>
        <v>0</v>
      </c>
      <c r="N58" s="8">
        <f>0</f>
        <v>0</v>
      </c>
      <c r="O58" s="8">
        <f>0</f>
        <v>0</v>
      </c>
      <c r="P58" s="8">
        <f>0</f>
        <v>0</v>
      </c>
      <c r="Q58" s="8">
        <f>0</f>
        <v>0</v>
      </c>
      <c r="R58" s="8">
        <f>0</f>
        <v>0</v>
      </c>
      <c r="S58" s="8">
        <f>0</f>
        <v>0</v>
      </c>
      <c r="T58" s="8">
        <f>0</f>
        <v>0</v>
      </c>
      <c r="U58" s="8">
        <f>0</f>
        <v>0</v>
      </c>
      <c r="V58" s="8">
        <f>0</f>
        <v>0</v>
      </c>
      <c r="W58" s="8">
        <f>0</f>
        <v>0</v>
      </c>
      <c r="X58" s="8">
        <f>0</f>
        <v>0</v>
      </c>
      <c r="Y58" s="8">
        <f>0</f>
        <v>0</v>
      </c>
      <c r="Z58" s="8">
        <f>0</f>
        <v>0</v>
      </c>
      <c r="AA58" s="8">
        <f>0</f>
        <v>0</v>
      </c>
      <c r="AB58" s="8">
        <f>0</f>
        <v>0</v>
      </c>
      <c r="AC58" s="8">
        <f>0</f>
        <v>0</v>
      </c>
      <c r="AD58" s="8">
        <f>0</f>
        <v>0</v>
      </c>
      <c r="AE58" s="8">
        <f>0</f>
        <v>0</v>
      </c>
      <c r="AF58" s="8">
        <f>0</f>
        <v>0</v>
      </c>
      <c r="AG58" s="8">
        <f>0</f>
        <v>0</v>
      </c>
      <c r="AH58" s="8">
        <f>0</f>
        <v>0</v>
      </c>
      <c r="AI58" s="8">
        <f>0</f>
        <v>0</v>
      </c>
      <c r="AJ58" s="8">
        <f>0</f>
        <v>0</v>
      </c>
      <c r="AK58" s="8">
        <f>0</f>
        <v>0</v>
      </c>
    </row>
    <row r="59" spans="1:37" ht="16.350000000000001" customHeight="1" x14ac:dyDescent="0.3">
      <c r="A59" s="34" t="s">
        <v>137</v>
      </c>
      <c r="B59" s="46">
        <f>IFERROR(INDEX($H$8:$V$8,1,MATCH("RM05",$H$3:$V$3,0)),0)</f>
        <v>16507</v>
      </c>
      <c r="C59" s="34">
        <f t="shared" ref="C59:AK59" si="16">$B59</f>
        <v>16507</v>
      </c>
      <c r="D59" s="34">
        <f t="shared" si="16"/>
        <v>16507</v>
      </c>
      <c r="E59" s="34">
        <f t="shared" si="16"/>
        <v>16507</v>
      </c>
      <c r="F59" s="34">
        <f t="shared" si="16"/>
        <v>16507</v>
      </c>
      <c r="G59" s="34">
        <f t="shared" si="16"/>
        <v>16507</v>
      </c>
      <c r="H59" s="34">
        <f t="shared" si="16"/>
        <v>16507</v>
      </c>
      <c r="I59" s="34">
        <f t="shared" si="16"/>
        <v>16507</v>
      </c>
      <c r="J59" s="34">
        <f t="shared" si="16"/>
        <v>16507</v>
      </c>
      <c r="K59" s="8">
        <f t="shared" si="16"/>
        <v>16507</v>
      </c>
      <c r="L59" s="8">
        <f t="shared" si="16"/>
        <v>16507</v>
      </c>
      <c r="M59" s="8">
        <f t="shared" si="16"/>
        <v>16507</v>
      </c>
      <c r="N59" s="8">
        <f t="shared" si="16"/>
        <v>16507</v>
      </c>
      <c r="O59" s="8">
        <f t="shared" si="16"/>
        <v>16507</v>
      </c>
      <c r="P59" s="8">
        <f t="shared" si="16"/>
        <v>16507</v>
      </c>
      <c r="Q59" s="8">
        <f t="shared" si="16"/>
        <v>16507</v>
      </c>
      <c r="R59" s="8">
        <f t="shared" si="16"/>
        <v>16507</v>
      </c>
      <c r="S59" s="8">
        <f t="shared" si="16"/>
        <v>16507</v>
      </c>
      <c r="T59" s="8">
        <f t="shared" si="16"/>
        <v>16507</v>
      </c>
      <c r="U59" s="8">
        <f t="shared" si="16"/>
        <v>16507</v>
      </c>
      <c r="V59" s="8">
        <f t="shared" si="16"/>
        <v>16507</v>
      </c>
      <c r="W59" s="8">
        <f t="shared" si="16"/>
        <v>16507</v>
      </c>
      <c r="X59" s="8">
        <f t="shared" si="16"/>
        <v>16507</v>
      </c>
      <c r="Y59" s="8">
        <f t="shared" si="16"/>
        <v>16507</v>
      </c>
      <c r="Z59" s="8">
        <f t="shared" si="16"/>
        <v>16507</v>
      </c>
      <c r="AA59" s="8">
        <f t="shared" si="16"/>
        <v>16507</v>
      </c>
      <c r="AB59" s="8">
        <f t="shared" si="16"/>
        <v>16507</v>
      </c>
      <c r="AC59" s="8">
        <f t="shared" si="16"/>
        <v>16507</v>
      </c>
      <c r="AD59" s="8">
        <f t="shared" si="16"/>
        <v>16507</v>
      </c>
      <c r="AE59" s="8">
        <f t="shared" si="16"/>
        <v>16507</v>
      </c>
      <c r="AF59" s="8">
        <f t="shared" si="16"/>
        <v>16507</v>
      </c>
      <c r="AG59" s="8">
        <f t="shared" si="16"/>
        <v>16507</v>
      </c>
      <c r="AH59" s="8">
        <f t="shared" si="16"/>
        <v>16507</v>
      </c>
      <c r="AI59" s="8">
        <f t="shared" si="16"/>
        <v>16507</v>
      </c>
      <c r="AJ59" s="8">
        <f t="shared" si="16"/>
        <v>16507</v>
      </c>
      <c r="AK59" s="8">
        <f t="shared" si="16"/>
        <v>16507</v>
      </c>
    </row>
    <row r="60" spans="1:37" ht="16.350000000000001" customHeight="1" x14ac:dyDescent="0.3">
      <c r="A60" s="34" t="s">
        <v>133</v>
      </c>
      <c r="B60" s="46">
        <f>IFERROR(INDEX($H$6:$V$6,1,MATCH("RM05",$H$3:$V$3,0)),0)</f>
        <v>90000</v>
      </c>
      <c r="C60" s="34">
        <f>$B60+C58+C62-C57</f>
        <v>90000</v>
      </c>
      <c r="D60" s="34">
        <f t="shared" ref="D60:AK60" si="17">C60+D58+D62-D57</f>
        <v>79316</v>
      </c>
      <c r="E60" s="34">
        <f t="shared" si="17"/>
        <v>64316</v>
      </c>
      <c r="F60" s="34">
        <f t="shared" si="17"/>
        <v>49316</v>
      </c>
      <c r="G60" s="34">
        <f t="shared" si="17"/>
        <v>38316</v>
      </c>
      <c r="H60" s="34">
        <f t="shared" si="17"/>
        <v>25316</v>
      </c>
      <c r="I60" s="34">
        <f t="shared" si="17"/>
        <v>16507</v>
      </c>
      <c r="J60" s="34">
        <f t="shared" si="17"/>
        <v>16507</v>
      </c>
      <c r="K60" s="8">
        <f t="shared" si="17"/>
        <v>16507</v>
      </c>
      <c r="L60" s="8">
        <f t="shared" si="17"/>
        <v>16507</v>
      </c>
      <c r="M60" s="8">
        <f t="shared" si="17"/>
        <v>16507</v>
      </c>
      <c r="N60" s="8">
        <f t="shared" si="17"/>
        <v>16507</v>
      </c>
      <c r="O60" s="8">
        <f t="shared" si="17"/>
        <v>16507</v>
      </c>
      <c r="P60" s="8">
        <f t="shared" si="17"/>
        <v>16507</v>
      </c>
      <c r="Q60" s="8">
        <f t="shared" si="17"/>
        <v>16507</v>
      </c>
      <c r="R60" s="8">
        <f t="shared" si="17"/>
        <v>16507</v>
      </c>
      <c r="S60" s="8">
        <f t="shared" si="17"/>
        <v>16507</v>
      </c>
      <c r="T60" s="8">
        <f t="shared" si="17"/>
        <v>16507</v>
      </c>
      <c r="U60" s="8">
        <f t="shared" si="17"/>
        <v>16507</v>
      </c>
      <c r="V60" s="8">
        <f t="shared" si="17"/>
        <v>16507</v>
      </c>
      <c r="W60" s="8">
        <f t="shared" si="17"/>
        <v>16507</v>
      </c>
      <c r="X60" s="8">
        <f t="shared" si="17"/>
        <v>16507</v>
      </c>
      <c r="Y60" s="8">
        <f t="shared" si="17"/>
        <v>16507</v>
      </c>
      <c r="Z60" s="8">
        <f t="shared" si="17"/>
        <v>16507</v>
      </c>
      <c r="AA60" s="8">
        <f t="shared" si="17"/>
        <v>16507</v>
      </c>
      <c r="AB60" s="8">
        <f t="shared" si="17"/>
        <v>16507</v>
      </c>
      <c r="AC60" s="8">
        <f t="shared" si="17"/>
        <v>16507</v>
      </c>
      <c r="AD60" s="8">
        <f t="shared" si="17"/>
        <v>16507</v>
      </c>
      <c r="AE60" s="8">
        <f t="shared" si="17"/>
        <v>16507</v>
      </c>
      <c r="AF60" s="8">
        <f t="shared" si="17"/>
        <v>16507</v>
      </c>
      <c r="AG60" s="8">
        <f t="shared" si="17"/>
        <v>16507</v>
      </c>
      <c r="AH60" s="8">
        <f t="shared" si="17"/>
        <v>16507</v>
      </c>
      <c r="AI60" s="8">
        <f t="shared" si="17"/>
        <v>16507</v>
      </c>
      <c r="AJ60" s="8">
        <f t="shared" si="17"/>
        <v>16507</v>
      </c>
      <c r="AK60" s="8">
        <f t="shared" si="17"/>
        <v>16507</v>
      </c>
    </row>
    <row r="61" spans="1:37" ht="16.350000000000001" customHeight="1" x14ac:dyDescent="0.3">
      <c r="A61" s="34" t="s">
        <v>141</v>
      </c>
      <c r="B61" s="46"/>
      <c r="C61" s="34">
        <f>MAX(C57+C59-($B60+C58),0)</f>
        <v>0</v>
      </c>
      <c r="D61" s="34">
        <f t="shared" ref="D61:AK61" si="18">MAX(D57+D59-(C60+D58),0)</f>
        <v>0</v>
      </c>
      <c r="E61" s="34">
        <f t="shared" si="18"/>
        <v>0</v>
      </c>
      <c r="F61" s="34">
        <f t="shared" si="18"/>
        <v>0</v>
      </c>
      <c r="G61" s="34">
        <f t="shared" si="18"/>
        <v>0</v>
      </c>
      <c r="H61" s="34">
        <f t="shared" si="18"/>
        <v>0</v>
      </c>
      <c r="I61" s="34">
        <f t="shared" si="18"/>
        <v>4964</v>
      </c>
      <c r="J61" s="34">
        <f t="shared" si="18"/>
        <v>7058</v>
      </c>
      <c r="K61" s="8">
        <f t="shared" si="18"/>
        <v>8908</v>
      </c>
      <c r="L61" s="8">
        <f t="shared" si="18"/>
        <v>11673</v>
      </c>
      <c r="M61" s="8">
        <f t="shared" si="18"/>
        <v>12041</v>
      </c>
      <c r="N61" s="8">
        <f t="shared" si="18"/>
        <v>12040</v>
      </c>
      <c r="O61" s="8">
        <f t="shared" si="18"/>
        <v>0</v>
      </c>
      <c r="P61" s="8">
        <f t="shared" si="18"/>
        <v>0</v>
      </c>
      <c r="Q61" s="8">
        <f t="shared" si="18"/>
        <v>15000</v>
      </c>
      <c r="R61" s="8">
        <f t="shared" si="18"/>
        <v>15000</v>
      </c>
      <c r="S61" s="8">
        <f t="shared" si="18"/>
        <v>4248</v>
      </c>
      <c r="T61" s="8">
        <f t="shared" si="18"/>
        <v>4248</v>
      </c>
      <c r="U61" s="8">
        <f t="shared" si="18"/>
        <v>4249</v>
      </c>
      <c r="V61" s="8">
        <f t="shared" si="18"/>
        <v>4248</v>
      </c>
      <c r="W61" s="8">
        <f t="shared" si="18"/>
        <v>2391</v>
      </c>
      <c r="X61" s="8">
        <f t="shared" si="18"/>
        <v>2392</v>
      </c>
      <c r="Y61" s="8">
        <f t="shared" si="18"/>
        <v>2391</v>
      </c>
      <c r="Z61" s="8">
        <f t="shared" si="18"/>
        <v>6459</v>
      </c>
      <c r="AA61" s="8">
        <f t="shared" si="18"/>
        <v>15000</v>
      </c>
      <c r="AB61" s="8">
        <f t="shared" si="18"/>
        <v>15000</v>
      </c>
      <c r="AC61" s="8">
        <f t="shared" si="18"/>
        <v>15000</v>
      </c>
      <c r="AD61" s="8">
        <f t="shared" si="18"/>
        <v>15000</v>
      </c>
      <c r="AE61" s="8">
        <f t="shared" si="18"/>
        <v>4281</v>
      </c>
      <c r="AF61" s="8">
        <f t="shared" si="18"/>
        <v>4282</v>
      </c>
      <c r="AG61" s="8">
        <f t="shared" si="18"/>
        <v>4281</v>
      </c>
      <c r="AH61" s="8">
        <f t="shared" si="18"/>
        <v>4282</v>
      </c>
      <c r="AI61" s="8">
        <f t="shared" si="18"/>
        <v>4281</v>
      </c>
      <c r="AJ61" s="8">
        <f t="shared" si="18"/>
        <v>8326</v>
      </c>
      <c r="AK61" s="8">
        <f t="shared" si="18"/>
        <v>8325</v>
      </c>
    </row>
    <row r="62" spans="1:37" ht="16.350000000000001" customHeight="1" x14ac:dyDescent="0.3">
      <c r="A62" s="186" t="s">
        <v>134</v>
      </c>
      <c r="B62" s="157"/>
      <c r="C62" s="34">
        <f t="shared" ref="C62:AK62" si="19">C61</f>
        <v>0</v>
      </c>
      <c r="D62" s="34">
        <f t="shared" si="19"/>
        <v>0</v>
      </c>
      <c r="E62" s="34">
        <f t="shared" si="19"/>
        <v>0</v>
      </c>
      <c r="F62" s="34">
        <f t="shared" si="19"/>
        <v>0</v>
      </c>
      <c r="G62" s="34">
        <f t="shared" si="19"/>
        <v>0</v>
      </c>
      <c r="H62" s="34">
        <f t="shared" si="19"/>
        <v>0</v>
      </c>
      <c r="I62" s="34">
        <f t="shared" si="19"/>
        <v>4964</v>
      </c>
      <c r="J62" s="34">
        <f t="shared" si="19"/>
        <v>7058</v>
      </c>
      <c r="K62" s="8">
        <f t="shared" si="19"/>
        <v>8908</v>
      </c>
      <c r="L62" s="8">
        <f t="shared" si="19"/>
        <v>11673</v>
      </c>
      <c r="M62" s="8">
        <f t="shared" si="19"/>
        <v>12041</v>
      </c>
      <c r="N62" s="8">
        <f t="shared" si="19"/>
        <v>12040</v>
      </c>
      <c r="O62" s="8">
        <f t="shared" si="19"/>
        <v>0</v>
      </c>
      <c r="P62" s="8">
        <f t="shared" si="19"/>
        <v>0</v>
      </c>
      <c r="Q62" s="8">
        <f t="shared" si="19"/>
        <v>15000</v>
      </c>
      <c r="R62" s="8">
        <f t="shared" si="19"/>
        <v>15000</v>
      </c>
      <c r="S62" s="8">
        <f t="shared" si="19"/>
        <v>4248</v>
      </c>
      <c r="T62" s="8">
        <f t="shared" si="19"/>
        <v>4248</v>
      </c>
      <c r="U62" s="8">
        <f t="shared" si="19"/>
        <v>4249</v>
      </c>
      <c r="V62" s="8">
        <f t="shared" si="19"/>
        <v>4248</v>
      </c>
      <c r="W62" s="8">
        <f t="shared" si="19"/>
        <v>2391</v>
      </c>
      <c r="X62" s="8">
        <f t="shared" si="19"/>
        <v>2392</v>
      </c>
      <c r="Y62" s="8">
        <f t="shared" si="19"/>
        <v>2391</v>
      </c>
      <c r="Z62" s="8">
        <f t="shared" si="19"/>
        <v>6459</v>
      </c>
      <c r="AA62" s="8">
        <f t="shared" si="19"/>
        <v>15000</v>
      </c>
      <c r="AB62" s="8">
        <f t="shared" si="19"/>
        <v>15000</v>
      </c>
      <c r="AC62" s="8">
        <f t="shared" si="19"/>
        <v>15000</v>
      </c>
      <c r="AD62" s="8">
        <f t="shared" si="19"/>
        <v>15000</v>
      </c>
      <c r="AE62" s="8">
        <f t="shared" si="19"/>
        <v>4281</v>
      </c>
      <c r="AF62" s="8">
        <f t="shared" si="19"/>
        <v>4282</v>
      </c>
      <c r="AG62" s="8">
        <f t="shared" si="19"/>
        <v>4281</v>
      </c>
      <c r="AH62" s="8">
        <f t="shared" si="19"/>
        <v>4282</v>
      </c>
      <c r="AI62" s="8">
        <f t="shared" si="19"/>
        <v>4281</v>
      </c>
      <c r="AJ62" s="8">
        <f t="shared" si="19"/>
        <v>8326</v>
      </c>
      <c r="AK62" s="8">
        <f t="shared" si="19"/>
        <v>8325</v>
      </c>
    </row>
    <row r="63" spans="1:37" ht="16.350000000000001" customHeight="1" x14ac:dyDescent="0.3">
      <c r="A63" s="34" t="s">
        <v>135</v>
      </c>
      <c r="B63" s="46"/>
      <c r="C63" s="34">
        <f>IFERROR(INDEX($C$62:$AK$62,1,1+ROUND(INDEX($H$5:$V$5,1,MATCH("RM05",$H$3:$V$3,0))/7,0)),0)</f>
        <v>12041</v>
      </c>
      <c r="D63" s="34">
        <f>IFERROR(INDEX($C$62:$AK$62,1,2+ROUND(INDEX($H$5:$V$5,1,MATCH("RM05",$H$3:$V$3,0))/7,0)),0)</f>
        <v>12040</v>
      </c>
      <c r="E63" s="34">
        <f>IFERROR(INDEX($C$62:$AK$62,1,3+ROUND(INDEX($H$5:$V$5,1,MATCH("RM05",$H$3:$V$3,0))/7,0)),0)</f>
        <v>0</v>
      </c>
      <c r="F63" s="34">
        <f>IFERROR(INDEX($C$62:$AK$62,1,4+ROUND(INDEX($H$5:$V$5,1,MATCH("RM05",$H$3:$V$3,0))/7,0)),0)</f>
        <v>0</v>
      </c>
      <c r="G63" s="34">
        <f>IFERROR(INDEX($C$62:$AK$62,1,5+ROUND(INDEX($H$5:$V$5,1,MATCH("RM05",$H$3:$V$3,0))/7,0)),0)</f>
        <v>15000</v>
      </c>
      <c r="H63" s="34">
        <f>IFERROR(INDEX($C$62:$AK$62,1,6+ROUND(INDEX($H$5:$V$5,1,MATCH("RM05",$H$3:$V$3,0))/7,0)),0)</f>
        <v>15000</v>
      </c>
      <c r="I63" s="34">
        <f>IFERROR(INDEX($C$62:$AK$62,1,7+ROUND(INDEX($H$5:$V$5,1,MATCH("RM05",$H$3:$V$3,0))/7,0)),0)</f>
        <v>4248</v>
      </c>
      <c r="J63" s="34">
        <f>IFERROR(INDEX($C$62:$AK$62,1,8+ROUND(INDEX($H$5:$V$5,1,MATCH("RM05",$H$3:$V$3,0))/7,0)),0)</f>
        <v>4248</v>
      </c>
      <c r="K63" s="8">
        <f>IFERROR(INDEX($C$62:$AK$62,1,9+ROUND(INDEX($H$5:$V$5,1,MATCH("RM05",$H$3:$V$3,0))/7,0)),0)</f>
        <v>4249</v>
      </c>
      <c r="L63" s="8">
        <f>IFERROR(INDEX($C$62:$AK$62,1,10+ROUND(INDEX($H$5:$V$5,1,MATCH("RM05",$H$3:$V$3,0))/7,0)),0)</f>
        <v>4248</v>
      </c>
      <c r="M63" s="8">
        <f>IFERROR(INDEX($C$62:$AK$62,1,11+ROUND(INDEX($H$5:$V$5,1,MATCH("RM05",$H$3:$V$3,0))/7,0)),0)</f>
        <v>2391</v>
      </c>
      <c r="N63" s="8">
        <f>IFERROR(INDEX($C$62:$AK$62,1,12+ROUND(INDEX($H$5:$V$5,1,MATCH("RM05",$H$3:$V$3,0))/7,0)),0)</f>
        <v>2392</v>
      </c>
      <c r="O63" s="8">
        <f>IFERROR(INDEX($C$62:$AK$62,1,13+ROUND(INDEX($H$5:$V$5,1,MATCH("RM05",$H$3:$V$3,0))/7,0)),0)</f>
        <v>2391</v>
      </c>
      <c r="P63" s="8">
        <f>IFERROR(INDEX($C$62:$AK$62,1,14+ROUND(INDEX($H$5:$V$5,1,MATCH("RM05",$H$3:$V$3,0))/7,0)),0)</f>
        <v>6459</v>
      </c>
      <c r="Q63" s="8">
        <f>IFERROR(INDEX($C$62:$AK$62,1,15+ROUND(INDEX($H$5:$V$5,1,MATCH("RM05",$H$3:$V$3,0))/7,0)),0)</f>
        <v>15000</v>
      </c>
      <c r="R63" s="8">
        <f>IFERROR(INDEX($C$62:$AK$62,1,16+ROUND(INDEX($H$5:$V$5,1,MATCH("RM05",$H$3:$V$3,0))/7,0)),0)</f>
        <v>15000</v>
      </c>
      <c r="S63" s="8">
        <f>IFERROR(INDEX($C$62:$AK$62,1,17+ROUND(INDEX($H$5:$V$5,1,MATCH("RM05",$H$3:$V$3,0))/7,0)),0)</f>
        <v>15000</v>
      </c>
      <c r="T63" s="8">
        <f>IFERROR(INDEX($C$62:$AK$62,1,18+ROUND(INDEX($H$5:$V$5,1,MATCH("RM05",$H$3:$V$3,0))/7,0)),0)</f>
        <v>15000</v>
      </c>
      <c r="U63" s="8">
        <f>IFERROR(INDEX($C$62:$AK$62,1,19+ROUND(INDEX($H$5:$V$5,1,MATCH("RM05",$H$3:$V$3,0))/7,0)),0)</f>
        <v>4281</v>
      </c>
      <c r="V63" s="8">
        <f>IFERROR(INDEX($C$62:$AK$62,1,20+ROUND(INDEX($H$5:$V$5,1,MATCH("RM05",$H$3:$V$3,0))/7,0)),0)</f>
        <v>4282</v>
      </c>
      <c r="W63" s="8">
        <f>IFERROR(INDEX($C$62:$AK$62,1,21+ROUND(INDEX($H$5:$V$5,1,MATCH("RM05",$H$3:$V$3,0))/7,0)),0)</f>
        <v>4281</v>
      </c>
      <c r="X63" s="8">
        <f>IFERROR(INDEX($C$62:$AK$62,1,22+ROUND(INDEX($H$5:$V$5,1,MATCH("RM05",$H$3:$V$3,0))/7,0)),0)</f>
        <v>4282</v>
      </c>
      <c r="Y63" s="8">
        <f>IFERROR(INDEX($C$62:$AK$62,1,23+ROUND(INDEX($H$5:$V$5,1,MATCH("RM05",$H$3:$V$3,0))/7,0)),0)</f>
        <v>4281</v>
      </c>
      <c r="Z63" s="8">
        <f>IFERROR(INDEX($C$62:$AK$62,1,24+ROUND(INDEX($H$5:$V$5,1,MATCH("RM05",$H$3:$V$3,0))/7,0)),0)</f>
        <v>8326</v>
      </c>
      <c r="AA63" s="8">
        <f>IFERROR(INDEX($C$62:$AK$62,1,25+ROUND(INDEX($H$5:$V$5,1,MATCH("RM05",$H$3:$V$3,0))/7,0)),0)</f>
        <v>8325</v>
      </c>
      <c r="AB63" s="8">
        <f>IFERROR(INDEX($C$62:$AK$62,1,26+ROUND(INDEX($H$5:$V$5,1,MATCH("RM05",$H$3:$V$3,0))/7,0)),0)</f>
        <v>0</v>
      </c>
      <c r="AC63" s="8">
        <f>IFERROR(INDEX($C$62:$AK$62,1,27+ROUND(INDEX($H$5:$V$5,1,MATCH("RM05",$H$3:$V$3,0))/7,0)),0)</f>
        <v>0</v>
      </c>
      <c r="AD63" s="8">
        <f>IFERROR(INDEX($C$62:$AK$62,1,28+ROUND(INDEX($H$5:$V$5,1,MATCH("RM05",$H$3:$V$3,0))/7,0)),0)</f>
        <v>0</v>
      </c>
      <c r="AE63" s="8">
        <f>IFERROR(INDEX($C$62:$AK$62,1,29+ROUND(INDEX($H$5:$V$5,1,MATCH("RM05",$H$3:$V$3,0))/7,0)),0)</f>
        <v>0</v>
      </c>
      <c r="AF63" s="8">
        <f>IFERROR(INDEX($C$62:$AK$62,1,30+ROUND(INDEX($H$5:$V$5,1,MATCH("RM05",$H$3:$V$3,0))/7,0)),0)</f>
        <v>0</v>
      </c>
      <c r="AG63" s="8">
        <f>IFERROR(INDEX($C$62:$AK$62,1,31+ROUND(INDEX($H$5:$V$5,1,MATCH("RM05",$H$3:$V$3,0))/7,0)),0)</f>
        <v>0</v>
      </c>
      <c r="AH63" s="8">
        <f>IFERROR(INDEX($C$62:$AK$62,1,32+ROUND(INDEX($H$5:$V$5,1,MATCH("RM05",$H$3:$V$3,0))/7,0)),0)</f>
        <v>0</v>
      </c>
      <c r="AI63" s="8">
        <f>IFERROR(INDEX($C$62:$AK$62,1,33+ROUND(INDEX($H$5:$V$5,1,MATCH("RM05",$H$3:$V$3,0))/7,0)),0)</f>
        <v>0</v>
      </c>
      <c r="AJ63" s="8">
        <f>IFERROR(INDEX($C$62:$AK$62,1,34+ROUND(INDEX($H$5:$V$5,1,MATCH("RM05",$H$3:$V$3,0))/7,0)),0)</f>
        <v>0</v>
      </c>
      <c r="AK63" s="8">
        <f>IFERROR(INDEX($C$62:$AK$62,1,35+ROUND(INDEX($H$5:$V$5,1,MATCH("RM05",$H$3:$V$3,0))/7,0)),0)</f>
        <v>0</v>
      </c>
    </row>
    <row r="65" spans="1:37" ht="16.350000000000001" customHeight="1" x14ac:dyDescent="0.3">
      <c r="A65" s="47" t="s">
        <v>146</v>
      </c>
      <c r="B65" s="47" t="s">
        <v>140</v>
      </c>
      <c r="C65" s="187" t="s">
        <v>130</v>
      </c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  <c r="AK65" s="157"/>
    </row>
    <row r="66" spans="1:37" ht="16.350000000000001" customHeight="1" x14ac:dyDescent="0.3">
      <c r="A66" s="47" t="s">
        <v>131</v>
      </c>
      <c r="B66" s="47" t="str">
        <f>"LT: "&amp;ROUND(INDEX($H$5:$V$5,1,MATCH("RM06",$H$3:$V$3,0))/7,0)</f>
        <v>LT: 5</v>
      </c>
      <c r="C66" s="48" cm="1">
        <f t="array" ref="C66:AK66">TRANSPOSE(BOM_demand!$A$2:$A$36)</f>
        <v>46132</v>
      </c>
      <c r="D66" s="48">
        <v>46139</v>
      </c>
      <c r="E66" s="48">
        <v>46146</v>
      </c>
      <c r="F66" s="48">
        <v>46153</v>
      </c>
      <c r="G66" s="48">
        <v>46160</v>
      </c>
      <c r="H66" s="48">
        <v>46167</v>
      </c>
      <c r="I66" s="48">
        <v>46174</v>
      </c>
      <c r="J66" s="48">
        <v>46181</v>
      </c>
      <c r="K66" s="48">
        <v>46188</v>
      </c>
      <c r="L66" s="48">
        <v>46195</v>
      </c>
      <c r="M66" s="48">
        <v>46202</v>
      </c>
      <c r="N66" s="48">
        <v>46209</v>
      </c>
      <c r="O66" s="48">
        <v>46216</v>
      </c>
      <c r="P66" s="48">
        <v>46223</v>
      </c>
      <c r="Q66" s="48">
        <v>46230</v>
      </c>
      <c r="R66" s="48">
        <v>46237</v>
      </c>
      <c r="S66" s="48">
        <v>46244</v>
      </c>
      <c r="T66" s="48">
        <v>46251</v>
      </c>
      <c r="U66" s="48">
        <v>46258</v>
      </c>
      <c r="V66" s="48">
        <v>46265</v>
      </c>
      <c r="W66" s="48">
        <v>46272</v>
      </c>
      <c r="X66" s="48">
        <v>46279</v>
      </c>
      <c r="Y66" s="48">
        <v>46286</v>
      </c>
      <c r="Z66" s="48">
        <v>46293</v>
      </c>
      <c r="AA66" s="48">
        <v>46300</v>
      </c>
      <c r="AB66" s="48">
        <v>46307</v>
      </c>
      <c r="AC66" s="48">
        <v>46314</v>
      </c>
      <c r="AD66" s="48">
        <v>46321</v>
      </c>
      <c r="AE66" s="48">
        <v>46328</v>
      </c>
      <c r="AF66" s="48">
        <v>46335</v>
      </c>
      <c r="AG66" s="48">
        <v>46342</v>
      </c>
      <c r="AH66" s="48">
        <v>46349</v>
      </c>
      <c r="AI66" s="48">
        <v>46356</v>
      </c>
      <c r="AJ66" s="48">
        <v>46363</v>
      </c>
      <c r="AK66" s="48">
        <v>46370</v>
      </c>
    </row>
    <row r="67" spans="1:37" ht="16.350000000000001" customHeight="1" x14ac:dyDescent="0.3">
      <c r="A67" s="51" t="s">
        <v>132</v>
      </c>
      <c r="C67" s="34" cm="1">
        <f t="array" ref="C67:AK67">TRANSPOSE(BOM_demand!$M$2:$M$36)</f>
        <v>0</v>
      </c>
      <c r="D67" s="34">
        <v>0</v>
      </c>
      <c r="E67" s="34">
        <v>15400</v>
      </c>
      <c r="F67" s="34">
        <v>37500</v>
      </c>
      <c r="G67" s="34">
        <v>22162.5</v>
      </c>
      <c r="H67" s="34">
        <v>5365</v>
      </c>
      <c r="I67" s="34">
        <v>17807.5</v>
      </c>
      <c r="J67" s="34">
        <v>13272.5</v>
      </c>
      <c r="K67" s="34">
        <v>13272.5</v>
      </c>
      <c r="L67" s="34">
        <v>7500</v>
      </c>
      <c r="M67" s="34">
        <v>7500</v>
      </c>
      <c r="N67" s="34">
        <v>7500</v>
      </c>
      <c r="O67" s="34">
        <v>7500</v>
      </c>
      <c r="P67" s="34">
        <v>6000</v>
      </c>
      <c r="Q67" s="34">
        <v>6000</v>
      </c>
      <c r="R67" s="34">
        <v>0</v>
      </c>
      <c r="S67" s="34">
        <v>6000</v>
      </c>
      <c r="T67" s="34">
        <v>6000</v>
      </c>
      <c r="U67" s="34">
        <v>9375</v>
      </c>
      <c r="V67" s="34">
        <v>9375</v>
      </c>
      <c r="W67" s="34">
        <v>9375</v>
      </c>
      <c r="X67" s="34">
        <v>9375</v>
      </c>
      <c r="Y67" s="34">
        <v>7500</v>
      </c>
      <c r="Z67" s="34">
        <v>7500</v>
      </c>
      <c r="AA67" s="34">
        <v>7500</v>
      </c>
      <c r="AB67" s="34">
        <v>7500</v>
      </c>
      <c r="AC67" s="34">
        <v>7500</v>
      </c>
      <c r="AD67" s="34">
        <v>15625</v>
      </c>
      <c r="AE67" s="34">
        <v>15625</v>
      </c>
      <c r="AF67" s="34">
        <v>15625</v>
      </c>
      <c r="AG67" s="34">
        <v>15625</v>
      </c>
      <c r="AH67" s="34">
        <v>15625</v>
      </c>
      <c r="AI67" s="34">
        <v>15625</v>
      </c>
      <c r="AJ67" s="34">
        <v>15625</v>
      </c>
      <c r="AK67" s="34">
        <v>15625</v>
      </c>
    </row>
    <row r="68" spans="1:37" ht="16.350000000000001" customHeight="1" x14ac:dyDescent="0.3">
      <c r="A68" s="186" t="s">
        <v>129</v>
      </c>
      <c r="B68" s="157"/>
      <c r="C68" s="34">
        <f>IFERROR(INDEX($H$7:$V$7,1,MATCH("RM06",$H$3:$V$3,0)),0)</f>
        <v>0</v>
      </c>
      <c r="D68" s="34">
        <f>0</f>
        <v>0</v>
      </c>
      <c r="E68" s="34">
        <f>0</f>
        <v>0</v>
      </c>
      <c r="F68" s="34">
        <f>0</f>
        <v>0</v>
      </c>
      <c r="G68" s="34">
        <f>0</f>
        <v>0</v>
      </c>
      <c r="H68" s="34">
        <f>0</f>
        <v>0</v>
      </c>
      <c r="I68" s="34">
        <f>0</f>
        <v>0</v>
      </c>
      <c r="J68" s="34">
        <f>0</f>
        <v>0</v>
      </c>
      <c r="K68" s="8">
        <f>0</f>
        <v>0</v>
      </c>
      <c r="L68" s="8">
        <f>0</f>
        <v>0</v>
      </c>
      <c r="M68" s="8">
        <f>0</f>
        <v>0</v>
      </c>
      <c r="N68" s="8">
        <f>0</f>
        <v>0</v>
      </c>
      <c r="O68" s="8">
        <f>0</f>
        <v>0</v>
      </c>
      <c r="P68" s="8">
        <f>0</f>
        <v>0</v>
      </c>
      <c r="Q68" s="8">
        <f>0</f>
        <v>0</v>
      </c>
      <c r="R68" s="8">
        <f>0</f>
        <v>0</v>
      </c>
      <c r="S68" s="8">
        <f>0</f>
        <v>0</v>
      </c>
      <c r="T68" s="8">
        <f>0</f>
        <v>0</v>
      </c>
      <c r="U68" s="8">
        <f>0</f>
        <v>0</v>
      </c>
      <c r="V68" s="8">
        <f>0</f>
        <v>0</v>
      </c>
      <c r="W68" s="8">
        <f>0</f>
        <v>0</v>
      </c>
      <c r="X68" s="8">
        <f>0</f>
        <v>0</v>
      </c>
      <c r="Y68" s="8">
        <f>0</f>
        <v>0</v>
      </c>
      <c r="Z68" s="8">
        <f>0</f>
        <v>0</v>
      </c>
      <c r="AA68" s="8">
        <f>0</f>
        <v>0</v>
      </c>
      <c r="AB68" s="8">
        <f>0</f>
        <v>0</v>
      </c>
      <c r="AC68" s="8">
        <f>0</f>
        <v>0</v>
      </c>
      <c r="AD68" s="8">
        <f>0</f>
        <v>0</v>
      </c>
      <c r="AE68" s="8">
        <f>0</f>
        <v>0</v>
      </c>
      <c r="AF68" s="8">
        <f>0</f>
        <v>0</v>
      </c>
      <c r="AG68" s="8">
        <f>0</f>
        <v>0</v>
      </c>
      <c r="AH68" s="8">
        <f>0</f>
        <v>0</v>
      </c>
      <c r="AI68" s="8">
        <f>0</f>
        <v>0</v>
      </c>
      <c r="AJ68" s="8">
        <f>0</f>
        <v>0</v>
      </c>
      <c r="AK68" s="8">
        <f>0</f>
        <v>0</v>
      </c>
    </row>
    <row r="69" spans="1:37" ht="16.350000000000001" customHeight="1" x14ac:dyDescent="0.3">
      <c r="A69" s="34" t="s">
        <v>137</v>
      </c>
      <c r="B69" s="46">
        <f>IFERROR(INDEX($H$8:$V$8,1,MATCH("RM06",$H$3:$V$3,0)),0)</f>
        <v>21645</v>
      </c>
      <c r="C69" s="34">
        <f t="shared" ref="C69:AK69" si="20">$B69</f>
        <v>21645</v>
      </c>
      <c r="D69" s="34">
        <f t="shared" si="20"/>
        <v>21645</v>
      </c>
      <c r="E69" s="34">
        <f t="shared" si="20"/>
        <v>21645</v>
      </c>
      <c r="F69" s="34">
        <f t="shared" si="20"/>
        <v>21645</v>
      </c>
      <c r="G69" s="34">
        <f t="shared" si="20"/>
        <v>21645</v>
      </c>
      <c r="H69" s="34">
        <f t="shared" si="20"/>
        <v>21645</v>
      </c>
      <c r="I69" s="34">
        <f t="shared" si="20"/>
        <v>21645</v>
      </c>
      <c r="J69" s="34">
        <f t="shared" si="20"/>
        <v>21645</v>
      </c>
      <c r="K69" s="8">
        <f t="shared" si="20"/>
        <v>21645</v>
      </c>
      <c r="L69" s="8">
        <f t="shared" si="20"/>
        <v>21645</v>
      </c>
      <c r="M69" s="8">
        <f t="shared" si="20"/>
        <v>21645</v>
      </c>
      <c r="N69" s="8">
        <f t="shared" si="20"/>
        <v>21645</v>
      </c>
      <c r="O69" s="8">
        <f t="shared" si="20"/>
        <v>21645</v>
      </c>
      <c r="P69" s="8">
        <f t="shared" si="20"/>
        <v>21645</v>
      </c>
      <c r="Q69" s="8">
        <f t="shared" si="20"/>
        <v>21645</v>
      </c>
      <c r="R69" s="8">
        <f t="shared" si="20"/>
        <v>21645</v>
      </c>
      <c r="S69" s="8">
        <f t="shared" si="20"/>
        <v>21645</v>
      </c>
      <c r="T69" s="8">
        <f t="shared" si="20"/>
        <v>21645</v>
      </c>
      <c r="U69" s="8">
        <f t="shared" si="20"/>
        <v>21645</v>
      </c>
      <c r="V69" s="8">
        <f t="shared" si="20"/>
        <v>21645</v>
      </c>
      <c r="W69" s="8">
        <f t="shared" si="20"/>
        <v>21645</v>
      </c>
      <c r="X69" s="8">
        <f t="shared" si="20"/>
        <v>21645</v>
      </c>
      <c r="Y69" s="8">
        <f t="shared" si="20"/>
        <v>21645</v>
      </c>
      <c r="Z69" s="8">
        <f t="shared" si="20"/>
        <v>21645</v>
      </c>
      <c r="AA69" s="8">
        <f t="shared" si="20"/>
        <v>21645</v>
      </c>
      <c r="AB69" s="8">
        <f t="shared" si="20"/>
        <v>21645</v>
      </c>
      <c r="AC69" s="8">
        <f t="shared" si="20"/>
        <v>21645</v>
      </c>
      <c r="AD69" s="8">
        <f t="shared" si="20"/>
        <v>21645</v>
      </c>
      <c r="AE69" s="8">
        <f t="shared" si="20"/>
        <v>21645</v>
      </c>
      <c r="AF69" s="8">
        <f t="shared" si="20"/>
        <v>21645</v>
      </c>
      <c r="AG69" s="8">
        <f t="shared" si="20"/>
        <v>21645</v>
      </c>
      <c r="AH69" s="8">
        <f t="shared" si="20"/>
        <v>21645</v>
      </c>
      <c r="AI69" s="8">
        <f t="shared" si="20"/>
        <v>21645</v>
      </c>
      <c r="AJ69" s="8">
        <f t="shared" si="20"/>
        <v>21645</v>
      </c>
      <c r="AK69" s="8">
        <f t="shared" si="20"/>
        <v>21645</v>
      </c>
    </row>
    <row r="70" spans="1:37" ht="16.350000000000001" customHeight="1" x14ac:dyDescent="0.3">
      <c r="A70" s="34" t="s">
        <v>133</v>
      </c>
      <c r="B70" s="46">
        <f>IFERROR(INDEX($H$6:$V$6,1,MATCH("RM06",$H$3:$V$3,0)),0)</f>
        <v>76000</v>
      </c>
      <c r="C70" s="34">
        <f>$B70+C68+C72-C67</f>
        <v>76000</v>
      </c>
      <c r="D70" s="34">
        <f t="shared" ref="D70:AK70" si="21">C70+D68+D72-D67</f>
        <v>76000</v>
      </c>
      <c r="E70" s="34">
        <f t="shared" si="21"/>
        <v>60600</v>
      </c>
      <c r="F70" s="34">
        <f t="shared" si="21"/>
        <v>23100</v>
      </c>
      <c r="G70" s="34">
        <f t="shared" si="21"/>
        <v>21645</v>
      </c>
      <c r="H70" s="34">
        <f t="shared" si="21"/>
        <v>21645</v>
      </c>
      <c r="I70" s="34">
        <f t="shared" si="21"/>
        <v>21645</v>
      </c>
      <c r="J70" s="34">
        <f t="shared" si="21"/>
        <v>21645</v>
      </c>
      <c r="K70" s="8">
        <f t="shared" si="21"/>
        <v>21645</v>
      </c>
      <c r="L70" s="8">
        <f t="shared" si="21"/>
        <v>21645</v>
      </c>
      <c r="M70" s="8">
        <f t="shared" si="21"/>
        <v>21645</v>
      </c>
      <c r="N70" s="8">
        <f t="shared" si="21"/>
        <v>21645</v>
      </c>
      <c r="O70" s="8">
        <f t="shared" si="21"/>
        <v>21645</v>
      </c>
      <c r="P70" s="8">
        <f t="shared" si="21"/>
        <v>21645</v>
      </c>
      <c r="Q70" s="8">
        <f t="shared" si="21"/>
        <v>21645</v>
      </c>
      <c r="R70" s="8">
        <f t="shared" si="21"/>
        <v>21645</v>
      </c>
      <c r="S70" s="8">
        <f t="shared" si="21"/>
        <v>21645</v>
      </c>
      <c r="T70" s="8">
        <f t="shared" si="21"/>
        <v>21645</v>
      </c>
      <c r="U70" s="8">
        <f t="shared" si="21"/>
        <v>21645</v>
      </c>
      <c r="V70" s="8">
        <f t="shared" si="21"/>
        <v>21645</v>
      </c>
      <c r="W70" s="8">
        <f t="shared" si="21"/>
        <v>21645</v>
      </c>
      <c r="X70" s="8">
        <f t="shared" si="21"/>
        <v>21645</v>
      </c>
      <c r="Y70" s="8">
        <f t="shared" si="21"/>
        <v>21645</v>
      </c>
      <c r="Z70" s="8">
        <f t="shared" si="21"/>
        <v>21645</v>
      </c>
      <c r="AA70" s="8">
        <f t="shared" si="21"/>
        <v>21645</v>
      </c>
      <c r="AB70" s="8">
        <f t="shared" si="21"/>
        <v>21645</v>
      </c>
      <c r="AC70" s="8">
        <f t="shared" si="21"/>
        <v>21645</v>
      </c>
      <c r="AD70" s="8">
        <f t="shared" si="21"/>
        <v>21645</v>
      </c>
      <c r="AE70" s="8">
        <f t="shared" si="21"/>
        <v>21645</v>
      </c>
      <c r="AF70" s="8">
        <f t="shared" si="21"/>
        <v>21645</v>
      </c>
      <c r="AG70" s="8">
        <f t="shared" si="21"/>
        <v>21645</v>
      </c>
      <c r="AH70" s="8">
        <f t="shared" si="21"/>
        <v>21645</v>
      </c>
      <c r="AI70" s="8">
        <f t="shared" si="21"/>
        <v>21645</v>
      </c>
      <c r="AJ70" s="8">
        <f t="shared" si="21"/>
        <v>21645</v>
      </c>
      <c r="AK70" s="8">
        <f t="shared" si="21"/>
        <v>21645</v>
      </c>
    </row>
    <row r="71" spans="1:37" ht="16.350000000000001" customHeight="1" x14ac:dyDescent="0.3">
      <c r="A71" s="34" t="s">
        <v>141</v>
      </c>
      <c r="B71" s="46"/>
      <c r="C71" s="34">
        <f>MAX(C67+C69-($B70+C68),0)</f>
        <v>0</v>
      </c>
      <c r="D71" s="34">
        <f t="shared" ref="D71:AK71" si="22">MAX(D67+D69-(C70+D68),0)</f>
        <v>0</v>
      </c>
      <c r="E71" s="34">
        <f t="shared" si="22"/>
        <v>0</v>
      </c>
      <c r="F71" s="34">
        <f t="shared" si="22"/>
        <v>0</v>
      </c>
      <c r="G71" s="34">
        <f t="shared" si="22"/>
        <v>20707.5</v>
      </c>
      <c r="H71" s="34">
        <f t="shared" si="22"/>
        <v>5365</v>
      </c>
      <c r="I71" s="34">
        <f t="shared" si="22"/>
        <v>17807.5</v>
      </c>
      <c r="J71" s="34">
        <f t="shared" si="22"/>
        <v>13272.5</v>
      </c>
      <c r="K71" s="8">
        <f t="shared" si="22"/>
        <v>13272.5</v>
      </c>
      <c r="L71" s="8">
        <f t="shared" si="22"/>
        <v>7500</v>
      </c>
      <c r="M71" s="8">
        <f t="shared" si="22"/>
        <v>7500</v>
      </c>
      <c r="N71" s="8">
        <f t="shared" si="22"/>
        <v>7500</v>
      </c>
      <c r="O71" s="8">
        <f t="shared" si="22"/>
        <v>7500</v>
      </c>
      <c r="P71" s="8">
        <f t="shared" si="22"/>
        <v>6000</v>
      </c>
      <c r="Q71" s="8">
        <f t="shared" si="22"/>
        <v>6000</v>
      </c>
      <c r="R71" s="8">
        <f t="shared" si="22"/>
        <v>0</v>
      </c>
      <c r="S71" s="8">
        <f t="shared" si="22"/>
        <v>6000</v>
      </c>
      <c r="T71" s="8">
        <f t="shared" si="22"/>
        <v>6000</v>
      </c>
      <c r="U71" s="8">
        <f t="shared" si="22"/>
        <v>9375</v>
      </c>
      <c r="V71" s="8">
        <f t="shared" si="22"/>
        <v>9375</v>
      </c>
      <c r="W71" s="8">
        <f t="shared" si="22"/>
        <v>9375</v>
      </c>
      <c r="X71" s="8">
        <f t="shared" si="22"/>
        <v>9375</v>
      </c>
      <c r="Y71" s="8">
        <f t="shared" si="22"/>
        <v>7500</v>
      </c>
      <c r="Z71" s="8">
        <f t="shared" si="22"/>
        <v>7500</v>
      </c>
      <c r="AA71" s="8">
        <f t="shared" si="22"/>
        <v>7500</v>
      </c>
      <c r="AB71" s="8">
        <f t="shared" si="22"/>
        <v>7500</v>
      </c>
      <c r="AC71" s="8">
        <f t="shared" si="22"/>
        <v>7500</v>
      </c>
      <c r="AD71" s="8">
        <f t="shared" si="22"/>
        <v>15625</v>
      </c>
      <c r="AE71" s="8">
        <f t="shared" si="22"/>
        <v>15625</v>
      </c>
      <c r="AF71" s="8">
        <f t="shared" si="22"/>
        <v>15625</v>
      </c>
      <c r="AG71" s="8">
        <f t="shared" si="22"/>
        <v>15625</v>
      </c>
      <c r="AH71" s="8">
        <f t="shared" si="22"/>
        <v>15625</v>
      </c>
      <c r="AI71" s="8">
        <f t="shared" si="22"/>
        <v>15625</v>
      </c>
      <c r="AJ71" s="8">
        <f t="shared" si="22"/>
        <v>15625</v>
      </c>
      <c r="AK71" s="8">
        <f t="shared" si="22"/>
        <v>15625</v>
      </c>
    </row>
    <row r="72" spans="1:37" ht="16.350000000000001" customHeight="1" x14ac:dyDescent="0.3">
      <c r="A72" s="186" t="s">
        <v>134</v>
      </c>
      <c r="B72" s="157"/>
      <c r="C72" s="34">
        <f t="shared" ref="C72:AK72" si="23">C71</f>
        <v>0</v>
      </c>
      <c r="D72" s="34">
        <f t="shared" si="23"/>
        <v>0</v>
      </c>
      <c r="E72" s="34">
        <f t="shared" si="23"/>
        <v>0</v>
      </c>
      <c r="F72" s="34">
        <f t="shared" si="23"/>
        <v>0</v>
      </c>
      <c r="G72" s="34">
        <f t="shared" si="23"/>
        <v>20707.5</v>
      </c>
      <c r="H72" s="34">
        <f t="shared" si="23"/>
        <v>5365</v>
      </c>
      <c r="I72" s="34">
        <f t="shared" si="23"/>
        <v>17807.5</v>
      </c>
      <c r="J72" s="34">
        <f t="shared" si="23"/>
        <v>13272.5</v>
      </c>
      <c r="K72" s="8">
        <f t="shared" si="23"/>
        <v>13272.5</v>
      </c>
      <c r="L72" s="8">
        <f t="shared" si="23"/>
        <v>7500</v>
      </c>
      <c r="M72" s="8">
        <f t="shared" si="23"/>
        <v>7500</v>
      </c>
      <c r="N72" s="8">
        <f t="shared" si="23"/>
        <v>7500</v>
      </c>
      <c r="O72" s="8">
        <f t="shared" si="23"/>
        <v>7500</v>
      </c>
      <c r="P72" s="8">
        <f t="shared" si="23"/>
        <v>6000</v>
      </c>
      <c r="Q72" s="8">
        <f t="shared" si="23"/>
        <v>6000</v>
      </c>
      <c r="R72" s="8">
        <f t="shared" si="23"/>
        <v>0</v>
      </c>
      <c r="S72" s="8">
        <f t="shared" si="23"/>
        <v>6000</v>
      </c>
      <c r="T72" s="8">
        <f t="shared" si="23"/>
        <v>6000</v>
      </c>
      <c r="U72" s="8">
        <f t="shared" si="23"/>
        <v>9375</v>
      </c>
      <c r="V72" s="8">
        <f t="shared" si="23"/>
        <v>9375</v>
      </c>
      <c r="W72" s="8">
        <f t="shared" si="23"/>
        <v>9375</v>
      </c>
      <c r="X72" s="8">
        <f t="shared" si="23"/>
        <v>9375</v>
      </c>
      <c r="Y72" s="8">
        <f t="shared" si="23"/>
        <v>7500</v>
      </c>
      <c r="Z72" s="8">
        <f t="shared" si="23"/>
        <v>7500</v>
      </c>
      <c r="AA72" s="8">
        <f t="shared" si="23"/>
        <v>7500</v>
      </c>
      <c r="AB72" s="8">
        <f t="shared" si="23"/>
        <v>7500</v>
      </c>
      <c r="AC72" s="8">
        <f t="shared" si="23"/>
        <v>7500</v>
      </c>
      <c r="AD72" s="8">
        <f t="shared" si="23"/>
        <v>15625</v>
      </c>
      <c r="AE72" s="8">
        <f t="shared" si="23"/>
        <v>15625</v>
      </c>
      <c r="AF72" s="8">
        <f t="shared" si="23"/>
        <v>15625</v>
      </c>
      <c r="AG72" s="8">
        <f t="shared" si="23"/>
        <v>15625</v>
      </c>
      <c r="AH72" s="8">
        <f t="shared" si="23"/>
        <v>15625</v>
      </c>
      <c r="AI72" s="8">
        <f t="shared" si="23"/>
        <v>15625</v>
      </c>
      <c r="AJ72" s="8">
        <f t="shared" si="23"/>
        <v>15625</v>
      </c>
      <c r="AK72" s="8">
        <f t="shared" si="23"/>
        <v>15625</v>
      </c>
    </row>
    <row r="73" spans="1:37" ht="16.350000000000001" customHeight="1" x14ac:dyDescent="0.3">
      <c r="A73" s="34" t="s">
        <v>135</v>
      </c>
      <c r="B73" s="46"/>
      <c r="C73" s="34">
        <f>IFERROR(INDEX($C$72:$AK$72,1,1+ROUND(INDEX($H$5:$V$5,1,MATCH("RM06",$H$3:$V$3,0))/7,0)),0)</f>
        <v>5365</v>
      </c>
      <c r="D73" s="34">
        <f>IFERROR(INDEX($C$72:$AK$72,1,2+ROUND(INDEX($H$5:$V$5,1,MATCH("RM06",$H$3:$V$3,0))/7,0)),0)</f>
        <v>17807.5</v>
      </c>
      <c r="E73" s="34">
        <f>IFERROR(INDEX($C$72:$AK$72,1,3+ROUND(INDEX($H$5:$V$5,1,MATCH("RM06",$H$3:$V$3,0))/7,0)),0)</f>
        <v>13272.5</v>
      </c>
      <c r="F73" s="34">
        <f>IFERROR(INDEX($C$72:$AK$72,1,4+ROUND(INDEX($H$5:$V$5,1,MATCH("RM06",$H$3:$V$3,0))/7,0)),0)</f>
        <v>13272.5</v>
      </c>
      <c r="G73" s="34">
        <f>IFERROR(INDEX($C$72:$AK$72,1,5+ROUND(INDEX($H$5:$V$5,1,MATCH("RM06",$H$3:$V$3,0))/7,0)),0)</f>
        <v>7500</v>
      </c>
      <c r="H73" s="34">
        <f>IFERROR(INDEX($C$72:$AK$72,1,6+ROUND(INDEX($H$5:$V$5,1,MATCH("RM06",$H$3:$V$3,0))/7,0)),0)</f>
        <v>7500</v>
      </c>
      <c r="I73" s="34">
        <f>IFERROR(INDEX($C$72:$AK$72,1,7+ROUND(INDEX($H$5:$V$5,1,MATCH("RM06",$H$3:$V$3,0))/7,0)),0)</f>
        <v>7500</v>
      </c>
      <c r="J73" s="34">
        <f>IFERROR(INDEX($C$72:$AK$72,1,8+ROUND(INDEX($H$5:$V$5,1,MATCH("RM06",$H$3:$V$3,0))/7,0)),0)</f>
        <v>7500</v>
      </c>
      <c r="K73" s="8">
        <f>IFERROR(INDEX($C$72:$AK$72,1,9+ROUND(INDEX($H$5:$V$5,1,MATCH("RM06",$H$3:$V$3,0))/7,0)),0)</f>
        <v>6000</v>
      </c>
      <c r="L73" s="8">
        <f>IFERROR(INDEX($C$72:$AK$72,1,10+ROUND(INDEX($H$5:$V$5,1,MATCH("RM06",$H$3:$V$3,0))/7,0)),0)</f>
        <v>6000</v>
      </c>
      <c r="M73" s="8">
        <f>IFERROR(INDEX($C$72:$AK$72,1,11+ROUND(INDEX($H$5:$V$5,1,MATCH("RM06",$H$3:$V$3,0))/7,0)),0)</f>
        <v>0</v>
      </c>
      <c r="N73" s="8">
        <f>IFERROR(INDEX($C$72:$AK$72,1,12+ROUND(INDEX($H$5:$V$5,1,MATCH("RM06",$H$3:$V$3,0))/7,0)),0)</f>
        <v>6000</v>
      </c>
      <c r="O73" s="8">
        <f>IFERROR(INDEX($C$72:$AK$72,1,13+ROUND(INDEX($H$5:$V$5,1,MATCH("RM06",$H$3:$V$3,0))/7,0)),0)</f>
        <v>6000</v>
      </c>
      <c r="P73" s="8">
        <f>IFERROR(INDEX($C$72:$AK$72,1,14+ROUND(INDEX($H$5:$V$5,1,MATCH("RM06",$H$3:$V$3,0))/7,0)),0)</f>
        <v>9375</v>
      </c>
      <c r="Q73" s="8">
        <f>IFERROR(INDEX($C$72:$AK$72,1,15+ROUND(INDEX($H$5:$V$5,1,MATCH("RM06",$H$3:$V$3,0))/7,0)),0)</f>
        <v>9375</v>
      </c>
      <c r="R73" s="8">
        <f>IFERROR(INDEX($C$72:$AK$72,1,16+ROUND(INDEX($H$5:$V$5,1,MATCH("RM06",$H$3:$V$3,0))/7,0)),0)</f>
        <v>9375</v>
      </c>
      <c r="S73" s="8">
        <f>IFERROR(INDEX($C$72:$AK$72,1,17+ROUND(INDEX($H$5:$V$5,1,MATCH("RM06",$H$3:$V$3,0))/7,0)),0)</f>
        <v>9375</v>
      </c>
      <c r="T73" s="8">
        <f>IFERROR(INDEX($C$72:$AK$72,1,18+ROUND(INDEX($H$5:$V$5,1,MATCH("RM06",$H$3:$V$3,0))/7,0)),0)</f>
        <v>7500</v>
      </c>
      <c r="U73" s="8">
        <f>IFERROR(INDEX($C$72:$AK$72,1,19+ROUND(INDEX($H$5:$V$5,1,MATCH("RM06",$H$3:$V$3,0))/7,0)),0)</f>
        <v>7500</v>
      </c>
      <c r="V73" s="8">
        <f>IFERROR(INDEX($C$72:$AK$72,1,20+ROUND(INDEX($H$5:$V$5,1,MATCH("RM06",$H$3:$V$3,0))/7,0)),0)</f>
        <v>7500</v>
      </c>
      <c r="W73" s="8">
        <f>IFERROR(INDEX($C$72:$AK$72,1,21+ROUND(INDEX($H$5:$V$5,1,MATCH("RM06",$H$3:$V$3,0))/7,0)),0)</f>
        <v>7500</v>
      </c>
      <c r="X73" s="8">
        <f>IFERROR(INDEX($C$72:$AK$72,1,22+ROUND(INDEX($H$5:$V$5,1,MATCH("RM06",$H$3:$V$3,0))/7,0)),0)</f>
        <v>7500</v>
      </c>
      <c r="Y73" s="8">
        <f>IFERROR(INDEX($C$72:$AK$72,1,23+ROUND(INDEX($H$5:$V$5,1,MATCH("RM06",$H$3:$V$3,0))/7,0)),0)</f>
        <v>15625</v>
      </c>
      <c r="Z73" s="8">
        <f>IFERROR(INDEX($C$72:$AK$72,1,24+ROUND(INDEX($H$5:$V$5,1,MATCH("RM06",$H$3:$V$3,0))/7,0)),0)</f>
        <v>15625</v>
      </c>
      <c r="AA73" s="8">
        <f>IFERROR(INDEX($C$72:$AK$72,1,25+ROUND(INDEX($H$5:$V$5,1,MATCH("RM06",$H$3:$V$3,0))/7,0)),0)</f>
        <v>15625</v>
      </c>
      <c r="AB73" s="8">
        <f>IFERROR(INDEX($C$72:$AK$72,1,26+ROUND(INDEX($H$5:$V$5,1,MATCH("RM06",$H$3:$V$3,0))/7,0)),0)</f>
        <v>15625</v>
      </c>
      <c r="AC73" s="8">
        <f>IFERROR(INDEX($C$72:$AK$72,1,27+ROUND(INDEX($H$5:$V$5,1,MATCH("RM06",$H$3:$V$3,0))/7,0)),0)</f>
        <v>15625</v>
      </c>
      <c r="AD73" s="8">
        <f>IFERROR(INDEX($C$72:$AK$72,1,28+ROUND(INDEX($H$5:$V$5,1,MATCH("RM06",$H$3:$V$3,0))/7,0)),0)</f>
        <v>15625</v>
      </c>
      <c r="AE73" s="8">
        <f>IFERROR(INDEX($C$72:$AK$72,1,29+ROUND(INDEX($H$5:$V$5,1,MATCH("RM06",$H$3:$V$3,0))/7,0)),0)</f>
        <v>15625</v>
      </c>
      <c r="AF73" s="8">
        <f>IFERROR(INDEX($C$72:$AK$72,1,30+ROUND(INDEX($H$5:$V$5,1,MATCH("RM06",$H$3:$V$3,0))/7,0)),0)</f>
        <v>15625</v>
      </c>
      <c r="AG73" s="8">
        <f>IFERROR(INDEX($C$72:$AK$72,1,31+ROUND(INDEX($H$5:$V$5,1,MATCH("RM06",$H$3:$V$3,0))/7,0)),0)</f>
        <v>0</v>
      </c>
      <c r="AH73" s="8">
        <f>IFERROR(INDEX($C$72:$AK$72,1,32+ROUND(INDEX($H$5:$V$5,1,MATCH("RM06",$H$3:$V$3,0))/7,0)),0)</f>
        <v>0</v>
      </c>
      <c r="AI73" s="8">
        <f>IFERROR(INDEX($C$72:$AK$72,1,33+ROUND(INDEX($H$5:$V$5,1,MATCH("RM06",$H$3:$V$3,0))/7,0)),0)</f>
        <v>0</v>
      </c>
      <c r="AJ73" s="8">
        <f>IFERROR(INDEX($C$72:$AK$72,1,34+ROUND(INDEX($H$5:$V$5,1,MATCH("RM06",$H$3:$V$3,0))/7,0)),0)</f>
        <v>0</v>
      </c>
      <c r="AK73" s="8">
        <f>IFERROR(INDEX($C$72:$AK$72,1,35+ROUND(INDEX($H$5:$V$5,1,MATCH("RM06",$H$3:$V$3,0))/7,0)),0)</f>
        <v>0</v>
      </c>
    </row>
    <row r="75" spans="1:37" ht="16.350000000000001" customHeight="1" x14ac:dyDescent="0.3">
      <c r="A75" s="47" t="s">
        <v>147</v>
      </c>
      <c r="B75" s="47" t="s">
        <v>140</v>
      </c>
      <c r="C75" s="187" t="s">
        <v>130</v>
      </c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  <c r="AK75" s="157"/>
    </row>
    <row r="76" spans="1:37" ht="16.350000000000001" customHeight="1" x14ac:dyDescent="0.3">
      <c r="A76" s="47" t="s">
        <v>131</v>
      </c>
      <c r="B76" s="47" t="str">
        <f>"LT: "&amp;ROUND(INDEX($H$5:$V$5,1,MATCH("RM07",$H$3:$V$3,0))/7,0)</f>
        <v>LT: 6</v>
      </c>
      <c r="C76" s="48" cm="1">
        <f t="array" ref="C76:AK76">TRANSPOSE(BOM_demand!$A$2:$A$36)</f>
        <v>46132</v>
      </c>
      <c r="D76" s="48">
        <v>46139</v>
      </c>
      <c r="E76" s="48">
        <v>46146</v>
      </c>
      <c r="F76" s="48">
        <v>46153</v>
      </c>
      <c r="G76" s="48">
        <v>46160</v>
      </c>
      <c r="H76" s="48">
        <v>46167</v>
      </c>
      <c r="I76" s="48">
        <v>46174</v>
      </c>
      <c r="J76" s="48">
        <v>46181</v>
      </c>
      <c r="K76" s="48">
        <v>46188</v>
      </c>
      <c r="L76" s="48">
        <v>46195</v>
      </c>
      <c r="M76" s="48">
        <v>46202</v>
      </c>
      <c r="N76" s="48">
        <v>46209</v>
      </c>
      <c r="O76" s="48">
        <v>46216</v>
      </c>
      <c r="P76" s="48">
        <v>46223</v>
      </c>
      <c r="Q76" s="48">
        <v>46230</v>
      </c>
      <c r="R76" s="48">
        <v>46237</v>
      </c>
      <c r="S76" s="48">
        <v>46244</v>
      </c>
      <c r="T76" s="48">
        <v>46251</v>
      </c>
      <c r="U76" s="48">
        <v>46258</v>
      </c>
      <c r="V76" s="48">
        <v>46265</v>
      </c>
      <c r="W76" s="48">
        <v>46272</v>
      </c>
      <c r="X76" s="48">
        <v>46279</v>
      </c>
      <c r="Y76" s="48">
        <v>46286</v>
      </c>
      <c r="Z76" s="48">
        <v>46293</v>
      </c>
      <c r="AA76" s="48">
        <v>46300</v>
      </c>
      <c r="AB76" s="48">
        <v>46307</v>
      </c>
      <c r="AC76" s="48">
        <v>46314</v>
      </c>
      <c r="AD76" s="48">
        <v>46321</v>
      </c>
      <c r="AE76" s="48">
        <v>46328</v>
      </c>
      <c r="AF76" s="48">
        <v>46335</v>
      </c>
      <c r="AG76" s="48">
        <v>46342</v>
      </c>
      <c r="AH76" s="48">
        <v>46349</v>
      </c>
      <c r="AI76" s="48">
        <v>46356</v>
      </c>
      <c r="AJ76" s="48">
        <v>46363</v>
      </c>
      <c r="AK76" s="48">
        <v>46370</v>
      </c>
    </row>
    <row r="77" spans="1:37" ht="16.350000000000001" customHeight="1" x14ac:dyDescent="0.3">
      <c r="A77" s="51" t="s">
        <v>132</v>
      </c>
      <c r="C77" s="34" cm="1">
        <f t="array" ref="C77:AK77">TRANSPOSE(BOM_demand!$N$2:$N$36)</f>
        <v>0</v>
      </c>
      <c r="D77" s="34">
        <v>0</v>
      </c>
      <c r="E77" s="34">
        <v>9240</v>
      </c>
      <c r="F77" s="34">
        <v>22500</v>
      </c>
      <c r="G77" s="34">
        <v>13297.5</v>
      </c>
      <c r="H77" s="34">
        <v>3219</v>
      </c>
      <c r="I77" s="34">
        <v>10684.5</v>
      </c>
      <c r="J77" s="34">
        <v>7963.5</v>
      </c>
      <c r="K77" s="34">
        <v>7963.5</v>
      </c>
      <c r="L77" s="34">
        <v>4500</v>
      </c>
      <c r="M77" s="34">
        <v>4500</v>
      </c>
      <c r="N77" s="34">
        <v>4500</v>
      </c>
      <c r="O77" s="34">
        <v>4500</v>
      </c>
      <c r="P77" s="34">
        <v>3600</v>
      </c>
      <c r="Q77" s="34">
        <v>3600</v>
      </c>
      <c r="R77" s="34">
        <v>0</v>
      </c>
      <c r="S77" s="34">
        <v>3600</v>
      </c>
      <c r="T77" s="34">
        <v>3600</v>
      </c>
      <c r="U77" s="34">
        <v>5625</v>
      </c>
      <c r="V77" s="34">
        <v>5625</v>
      </c>
      <c r="W77" s="34">
        <v>5625</v>
      </c>
      <c r="X77" s="34">
        <v>5625</v>
      </c>
      <c r="Y77" s="34">
        <v>4500</v>
      </c>
      <c r="Z77" s="34">
        <v>4500</v>
      </c>
      <c r="AA77" s="34">
        <v>4500</v>
      </c>
      <c r="AB77" s="34">
        <v>4500</v>
      </c>
      <c r="AC77" s="34">
        <v>4500</v>
      </c>
      <c r="AD77" s="34">
        <v>9375</v>
      </c>
      <c r="AE77" s="34">
        <v>9375</v>
      </c>
      <c r="AF77" s="34">
        <v>9375</v>
      </c>
      <c r="AG77" s="34">
        <v>9375</v>
      </c>
      <c r="AH77" s="34">
        <v>9375</v>
      </c>
      <c r="AI77" s="34">
        <v>9375</v>
      </c>
      <c r="AJ77" s="34">
        <v>9375</v>
      </c>
      <c r="AK77" s="34">
        <v>9375</v>
      </c>
    </row>
    <row r="78" spans="1:37" ht="16.350000000000001" customHeight="1" x14ac:dyDescent="0.3">
      <c r="A78" s="186" t="s">
        <v>129</v>
      </c>
      <c r="B78" s="157"/>
      <c r="C78" s="34">
        <f>IFERROR(INDEX($H$7:$V$7,1,MATCH("RM07",$H$3:$V$3,0)),0)</f>
        <v>0</v>
      </c>
      <c r="D78" s="34">
        <f>0</f>
        <v>0</v>
      </c>
      <c r="E78" s="34">
        <f>0</f>
        <v>0</v>
      </c>
      <c r="F78" s="34">
        <f>0</f>
        <v>0</v>
      </c>
      <c r="G78" s="34">
        <f>0</f>
        <v>0</v>
      </c>
      <c r="H78" s="34">
        <f>0</f>
        <v>0</v>
      </c>
      <c r="I78" s="34">
        <f>0</f>
        <v>0</v>
      </c>
      <c r="J78" s="34">
        <f>0</f>
        <v>0</v>
      </c>
      <c r="K78" s="8">
        <f>0</f>
        <v>0</v>
      </c>
      <c r="L78" s="8">
        <f>0</f>
        <v>0</v>
      </c>
      <c r="M78" s="8">
        <f>0</f>
        <v>0</v>
      </c>
      <c r="N78" s="8">
        <f>0</f>
        <v>0</v>
      </c>
      <c r="O78" s="8">
        <f>0</f>
        <v>0</v>
      </c>
      <c r="P78" s="8">
        <f>0</f>
        <v>0</v>
      </c>
      <c r="Q78" s="8">
        <f>0</f>
        <v>0</v>
      </c>
      <c r="R78" s="8">
        <f>0</f>
        <v>0</v>
      </c>
      <c r="S78" s="8">
        <f>0</f>
        <v>0</v>
      </c>
      <c r="T78" s="8">
        <f>0</f>
        <v>0</v>
      </c>
      <c r="U78" s="8">
        <f>0</f>
        <v>0</v>
      </c>
      <c r="V78" s="8">
        <f>0</f>
        <v>0</v>
      </c>
      <c r="W78" s="8">
        <f>0</f>
        <v>0</v>
      </c>
      <c r="X78" s="8">
        <f>0</f>
        <v>0</v>
      </c>
      <c r="Y78" s="8">
        <f>0</f>
        <v>0</v>
      </c>
      <c r="Z78" s="8">
        <f>0</f>
        <v>0</v>
      </c>
      <c r="AA78" s="8">
        <f>0</f>
        <v>0</v>
      </c>
      <c r="AB78" s="8">
        <f>0</f>
        <v>0</v>
      </c>
      <c r="AC78" s="8">
        <f>0</f>
        <v>0</v>
      </c>
      <c r="AD78" s="8">
        <f>0</f>
        <v>0</v>
      </c>
      <c r="AE78" s="8">
        <f>0</f>
        <v>0</v>
      </c>
      <c r="AF78" s="8">
        <f>0</f>
        <v>0</v>
      </c>
      <c r="AG78" s="8">
        <f>0</f>
        <v>0</v>
      </c>
      <c r="AH78" s="8">
        <f>0</f>
        <v>0</v>
      </c>
      <c r="AI78" s="8">
        <f>0</f>
        <v>0</v>
      </c>
      <c r="AJ78" s="8">
        <f>0</f>
        <v>0</v>
      </c>
      <c r="AK78" s="8">
        <f>0</f>
        <v>0</v>
      </c>
    </row>
    <row r="79" spans="1:37" ht="16.350000000000001" customHeight="1" x14ac:dyDescent="0.3">
      <c r="A79" s="34" t="s">
        <v>137</v>
      </c>
      <c r="B79" s="46">
        <f>IFERROR(INDEX($H$8:$V$8,1,MATCH("RM07",$H$3:$V$3,0)),0)</f>
        <v>12987</v>
      </c>
      <c r="C79" s="34">
        <f t="shared" ref="C79:AK79" si="24">$B79</f>
        <v>12987</v>
      </c>
      <c r="D79" s="34">
        <f t="shared" si="24"/>
        <v>12987</v>
      </c>
      <c r="E79" s="34">
        <f t="shared" si="24"/>
        <v>12987</v>
      </c>
      <c r="F79" s="34">
        <f t="shared" si="24"/>
        <v>12987</v>
      </c>
      <c r="G79" s="34">
        <f t="shared" si="24"/>
        <v>12987</v>
      </c>
      <c r="H79" s="34">
        <f t="shared" si="24"/>
        <v>12987</v>
      </c>
      <c r="I79" s="34">
        <f t="shared" si="24"/>
        <v>12987</v>
      </c>
      <c r="J79" s="34">
        <f t="shared" si="24"/>
        <v>12987</v>
      </c>
      <c r="K79" s="8">
        <f t="shared" si="24"/>
        <v>12987</v>
      </c>
      <c r="L79" s="8">
        <f t="shared" si="24"/>
        <v>12987</v>
      </c>
      <c r="M79" s="8">
        <f t="shared" si="24"/>
        <v>12987</v>
      </c>
      <c r="N79" s="8">
        <f t="shared" si="24"/>
        <v>12987</v>
      </c>
      <c r="O79" s="8">
        <f t="shared" si="24"/>
        <v>12987</v>
      </c>
      <c r="P79" s="8">
        <f t="shared" si="24"/>
        <v>12987</v>
      </c>
      <c r="Q79" s="8">
        <f t="shared" si="24"/>
        <v>12987</v>
      </c>
      <c r="R79" s="8">
        <f t="shared" si="24"/>
        <v>12987</v>
      </c>
      <c r="S79" s="8">
        <f t="shared" si="24"/>
        <v>12987</v>
      </c>
      <c r="T79" s="8">
        <f t="shared" si="24"/>
        <v>12987</v>
      </c>
      <c r="U79" s="8">
        <f t="shared" si="24"/>
        <v>12987</v>
      </c>
      <c r="V79" s="8">
        <f t="shared" si="24"/>
        <v>12987</v>
      </c>
      <c r="W79" s="8">
        <f t="shared" si="24"/>
        <v>12987</v>
      </c>
      <c r="X79" s="8">
        <f t="shared" si="24"/>
        <v>12987</v>
      </c>
      <c r="Y79" s="8">
        <f t="shared" si="24"/>
        <v>12987</v>
      </c>
      <c r="Z79" s="8">
        <f t="shared" si="24"/>
        <v>12987</v>
      </c>
      <c r="AA79" s="8">
        <f t="shared" si="24"/>
        <v>12987</v>
      </c>
      <c r="AB79" s="8">
        <f t="shared" si="24"/>
        <v>12987</v>
      </c>
      <c r="AC79" s="8">
        <f t="shared" si="24"/>
        <v>12987</v>
      </c>
      <c r="AD79" s="8">
        <f t="shared" si="24"/>
        <v>12987</v>
      </c>
      <c r="AE79" s="8">
        <f t="shared" si="24"/>
        <v>12987</v>
      </c>
      <c r="AF79" s="8">
        <f t="shared" si="24"/>
        <v>12987</v>
      </c>
      <c r="AG79" s="8">
        <f t="shared" si="24"/>
        <v>12987</v>
      </c>
      <c r="AH79" s="8">
        <f t="shared" si="24"/>
        <v>12987</v>
      </c>
      <c r="AI79" s="8">
        <f t="shared" si="24"/>
        <v>12987</v>
      </c>
      <c r="AJ79" s="8">
        <f t="shared" si="24"/>
        <v>12987</v>
      </c>
      <c r="AK79" s="8">
        <f t="shared" si="24"/>
        <v>12987</v>
      </c>
    </row>
    <row r="80" spans="1:37" ht="16.350000000000001" customHeight="1" x14ac:dyDescent="0.3">
      <c r="A80" s="34" t="s">
        <v>133</v>
      </c>
      <c r="B80" s="46">
        <f>IFERROR(INDEX($H$6:$V$6,1,MATCH("RM07",$H$3:$V$3,0)),0)</f>
        <v>50000</v>
      </c>
      <c r="C80" s="34">
        <f>$B80+C78+C82-C77</f>
        <v>50000</v>
      </c>
      <c r="D80" s="34">
        <f t="shared" ref="D80:AK80" si="25">C80+D78+D82-D77</f>
        <v>50000</v>
      </c>
      <c r="E80" s="34">
        <f t="shared" si="25"/>
        <v>40760</v>
      </c>
      <c r="F80" s="34">
        <f t="shared" si="25"/>
        <v>18260</v>
      </c>
      <c r="G80" s="34">
        <f t="shared" si="25"/>
        <v>12987</v>
      </c>
      <c r="H80" s="34">
        <f t="shared" si="25"/>
        <v>12987</v>
      </c>
      <c r="I80" s="34">
        <f t="shared" si="25"/>
        <v>12987</v>
      </c>
      <c r="J80" s="34">
        <f t="shared" si="25"/>
        <v>12987</v>
      </c>
      <c r="K80" s="8">
        <f t="shared" si="25"/>
        <v>12987</v>
      </c>
      <c r="L80" s="8">
        <f t="shared" si="25"/>
        <v>12987</v>
      </c>
      <c r="M80" s="8">
        <f t="shared" si="25"/>
        <v>12987</v>
      </c>
      <c r="N80" s="8">
        <f t="shared" si="25"/>
        <v>12987</v>
      </c>
      <c r="O80" s="8">
        <f t="shared" si="25"/>
        <v>12987</v>
      </c>
      <c r="P80" s="8">
        <f t="shared" si="25"/>
        <v>12987</v>
      </c>
      <c r="Q80" s="8">
        <f t="shared" si="25"/>
        <v>12987</v>
      </c>
      <c r="R80" s="8">
        <f t="shared" si="25"/>
        <v>12987</v>
      </c>
      <c r="S80" s="8">
        <f t="shared" si="25"/>
        <v>12987</v>
      </c>
      <c r="T80" s="8">
        <f t="shared" si="25"/>
        <v>12987</v>
      </c>
      <c r="U80" s="8">
        <f t="shared" si="25"/>
        <v>12987</v>
      </c>
      <c r="V80" s="8">
        <f t="shared" si="25"/>
        <v>12987</v>
      </c>
      <c r="W80" s="8">
        <f t="shared" si="25"/>
        <v>12987</v>
      </c>
      <c r="X80" s="8">
        <f t="shared" si="25"/>
        <v>12987</v>
      </c>
      <c r="Y80" s="8">
        <f t="shared" si="25"/>
        <v>12987</v>
      </c>
      <c r="Z80" s="8">
        <f t="shared" si="25"/>
        <v>12987</v>
      </c>
      <c r="AA80" s="8">
        <f t="shared" si="25"/>
        <v>12987</v>
      </c>
      <c r="AB80" s="8">
        <f t="shared" si="25"/>
        <v>12987</v>
      </c>
      <c r="AC80" s="8">
        <f t="shared" si="25"/>
        <v>12987</v>
      </c>
      <c r="AD80" s="8">
        <f t="shared" si="25"/>
        <v>12987</v>
      </c>
      <c r="AE80" s="8">
        <f t="shared" si="25"/>
        <v>12987</v>
      </c>
      <c r="AF80" s="8">
        <f t="shared" si="25"/>
        <v>12987</v>
      </c>
      <c r="AG80" s="8">
        <f t="shared" si="25"/>
        <v>12987</v>
      </c>
      <c r="AH80" s="8">
        <f t="shared" si="25"/>
        <v>12987</v>
      </c>
      <c r="AI80" s="8">
        <f t="shared" si="25"/>
        <v>12987</v>
      </c>
      <c r="AJ80" s="8">
        <f t="shared" si="25"/>
        <v>12987</v>
      </c>
      <c r="AK80" s="8">
        <f t="shared" si="25"/>
        <v>12987</v>
      </c>
    </row>
    <row r="81" spans="1:37" ht="16.350000000000001" customHeight="1" x14ac:dyDescent="0.3">
      <c r="A81" s="34" t="s">
        <v>141</v>
      </c>
      <c r="B81" s="46"/>
      <c r="C81" s="34">
        <f>MAX(C77+C79-($B80+C78),0)</f>
        <v>0</v>
      </c>
      <c r="D81" s="34">
        <f t="shared" ref="D81:AK81" si="26">MAX(D77+D79-(C80+D78),0)</f>
        <v>0</v>
      </c>
      <c r="E81" s="34">
        <f t="shared" si="26"/>
        <v>0</v>
      </c>
      <c r="F81" s="34">
        <f t="shared" si="26"/>
        <v>0</v>
      </c>
      <c r="G81" s="34">
        <f t="shared" si="26"/>
        <v>8024.5</v>
      </c>
      <c r="H81" s="34">
        <f t="shared" si="26"/>
        <v>3219</v>
      </c>
      <c r="I81" s="34">
        <f t="shared" si="26"/>
        <v>10684.5</v>
      </c>
      <c r="J81" s="34">
        <f t="shared" si="26"/>
        <v>7963.5</v>
      </c>
      <c r="K81" s="8">
        <f t="shared" si="26"/>
        <v>7963.5</v>
      </c>
      <c r="L81" s="8">
        <f t="shared" si="26"/>
        <v>4500</v>
      </c>
      <c r="M81" s="8">
        <f t="shared" si="26"/>
        <v>4500</v>
      </c>
      <c r="N81" s="8">
        <f t="shared" si="26"/>
        <v>4500</v>
      </c>
      <c r="O81" s="8">
        <f t="shared" si="26"/>
        <v>4500</v>
      </c>
      <c r="P81" s="8">
        <f t="shared" si="26"/>
        <v>3600</v>
      </c>
      <c r="Q81" s="8">
        <f t="shared" si="26"/>
        <v>3600</v>
      </c>
      <c r="R81" s="8">
        <f t="shared" si="26"/>
        <v>0</v>
      </c>
      <c r="S81" s="8">
        <f t="shared" si="26"/>
        <v>3600</v>
      </c>
      <c r="T81" s="8">
        <f t="shared" si="26"/>
        <v>3600</v>
      </c>
      <c r="U81" s="8">
        <f t="shared" si="26"/>
        <v>5625</v>
      </c>
      <c r="V81" s="8">
        <f t="shared" si="26"/>
        <v>5625</v>
      </c>
      <c r="W81" s="8">
        <f t="shared" si="26"/>
        <v>5625</v>
      </c>
      <c r="X81" s="8">
        <f t="shared" si="26"/>
        <v>5625</v>
      </c>
      <c r="Y81" s="8">
        <f t="shared" si="26"/>
        <v>4500</v>
      </c>
      <c r="Z81" s="8">
        <f t="shared" si="26"/>
        <v>4500</v>
      </c>
      <c r="AA81" s="8">
        <f t="shared" si="26"/>
        <v>4500</v>
      </c>
      <c r="AB81" s="8">
        <f t="shared" si="26"/>
        <v>4500</v>
      </c>
      <c r="AC81" s="8">
        <f t="shared" si="26"/>
        <v>4500</v>
      </c>
      <c r="AD81" s="8">
        <f t="shared" si="26"/>
        <v>9375</v>
      </c>
      <c r="AE81" s="8">
        <f t="shared" si="26"/>
        <v>9375</v>
      </c>
      <c r="AF81" s="8">
        <f t="shared" si="26"/>
        <v>9375</v>
      </c>
      <c r="AG81" s="8">
        <f t="shared" si="26"/>
        <v>9375</v>
      </c>
      <c r="AH81" s="8">
        <f t="shared" si="26"/>
        <v>9375</v>
      </c>
      <c r="AI81" s="8">
        <f t="shared" si="26"/>
        <v>9375</v>
      </c>
      <c r="AJ81" s="8">
        <f t="shared" si="26"/>
        <v>9375</v>
      </c>
      <c r="AK81" s="8">
        <f t="shared" si="26"/>
        <v>9375</v>
      </c>
    </row>
    <row r="82" spans="1:37" ht="16.350000000000001" customHeight="1" x14ac:dyDescent="0.3">
      <c r="A82" s="186" t="s">
        <v>134</v>
      </c>
      <c r="B82" s="157"/>
      <c r="C82" s="34">
        <f t="shared" ref="C82:AK82" si="27">C81</f>
        <v>0</v>
      </c>
      <c r="D82" s="34">
        <f t="shared" si="27"/>
        <v>0</v>
      </c>
      <c r="E82" s="34">
        <f t="shared" si="27"/>
        <v>0</v>
      </c>
      <c r="F82" s="34">
        <f t="shared" si="27"/>
        <v>0</v>
      </c>
      <c r="G82" s="34">
        <f t="shared" si="27"/>
        <v>8024.5</v>
      </c>
      <c r="H82" s="34">
        <f t="shared" si="27"/>
        <v>3219</v>
      </c>
      <c r="I82" s="34">
        <f t="shared" si="27"/>
        <v>10684.5</v>
      </c>
      <c r="J82" s="34">
        <f t="shared" si="27"/>
        <v>7963.5</v>
      </c>
      <c r="K82" s="8">
        <f t="shared" si="27"/>
        <v>7963.5</v>
      </c>
      <c r="L82" s="8">
        <f t="shared" si="27"/>
        <v>4500</v>
      </c>
      <c r="M82" s="8">
        <f t="shared" si="27"/>
        <v>4500</v>
      </c>
      <c r="N82" s="8">
        <f t="shared" si="27"/>
        <v>4500</v>
      </c>
      <c r="O82" s="8">
        <f t="shared" si="27"/>
        <v>4500</v>
      </c>
      <c r="P82" s="8">
        <f t="shared" si="27"/>
        <v>3600</v>
      </c>
      <c r="Q82" s="8">
        <f t="shared" si="27"/>
        <v>3600</v>
      </c>
      <c r="R82" s="8">
        <f t="shared" si="27"/>
        <v>0</v>
      </c>
      <c r="S82" s="8">
        <f t="shared" si="27"/>
        <v>3600</v>
      </c>
      <c r="T82" s="8">
        <f t="shared" si="27"/>
        <v>3600</v>
      </c>
      <c r="U82" s="8">
        <f t="shared" si="27"/>
        <v>5625</v>
      </c>
      <c r="V82" s="8">
        <f t="shared" si="27"/>
        <v>5625</v>
      </c>
      <c r="W82" s="8">
        <f t="shared" si="27"/>
        <v>5625</v>
      </c>
      <c r="X82" s="8">
        <f t="shared" si="27"/>
        <v>5625</v>
      </c>
      <c r="Y82" s="8">
        <f t="shared" si="27"/>
        <v>4500</v>
      </c>
      <c r="Z82" s="8">
        <f t="shared" si="27"/>
        <v>4500</v>
      </c>
      <c r="AA82" s="8">
        <f t="shared" si="27"/>
        <v>4500</v>
      </c>
      <c r="AB82" s="8">
        <f t="shared" si="27"/>
        <v>4500</v>
      </c>
      <c r="AC82" s="8">
        <f t="shared" si="27"/>
        <v>4500</v>
      </c>
      <c r="AD82" s="8">
        <f t="shared" si="27"/>
        <v>9375</v>
      </c>
      <c r="AE82" s="8">
        <f t="shared" si="27"/>
        <v>9375</v>
      </c>
      <c r="AF82" s="8">
        <f t="shared" si="27"/>
        <v>9375</v>
      </c>
      <c r="AG82" s="8">
        <f t="shared" si="27"/>
        <v>9375</v>
      </c>
      <c r="AH82" s="8">
        <f t="shared" si="27"/>
        <v>9375</v>
      </c>
      <c r="AI82" s="8">
        <f t="shared" si="27"/>
        <v>9375</v>
      </c>
      <c r="AJ82" s="8">
        <f t="shared" si="27"/>
        <v>9375</v>
      </c>
      <c r="AK82" s="8">
        <f t="shared" si="27"/>
        <v>9375</v>
      </c>
    </row>
    <row r="83" spans="1:37" ht="16.350000000000001" customHeight="1" x14ac:dyDescent="0.3">
      <c r="A83" s="34" t="s">
        <v>135</v>
      </c>
      <c r="B83" s="46"/>
      <c r="C83" s="34">
        <f>IFERROR(INDEX($C$82:$AK$82,1,1+ROUND(INDEX($H$5:$V$5,1,MATCH("RM07",$H$3:$V$3,0))/7,0)),0)</f>
        <v>10684.5</v>
      </c>
      <c r="D83" s="34">
        <f>IFERROR(INDEX($C$82:$AK$82,1,2+ROUND(INDEX($H$5:$V$5,1,MATCH("RM07",$H$3:$V$3,0))/7,0)),0)</f>
        <v>7963.5</v>
      </c>
      <c r="E83" s="34">
        <f>IFERROR(INDEX($C$82:$AK$82,1,3+ROUND(INDEX($H$5:$V$5,1,MATCH("RM07",$H$3:$V$3,0))/7,0)),0)</f>
        <v>7963.5</v>
      </c>
      <c r="F83" s="34">
        <f>IFERROR(INDEX($C$82:$AK$82,1,4+ROUND(INDEX($H$5:$V$5,1,MATCH("RM07",$H$3:$V$3,0))/7,0)),0)</f>
        <v>4500</v>
      </c>
      <c r="G83" s="34">
        <f>IFERROR(INDEX($C$82:$AK$82,1,5+ROUND(INDEX($H$5:$V$5,1,MATCH("RM07",$H$3:$V$3,0))/7,0)),0)</f>
        <v>4500</v>
      </c>
      <c r="H83" s="34">
        <f>IFERROR(INDEX($C$82:$AK$82,1,6+ROUND(INDEX($H$5:$V$5,1,MATCH("RM07",$H$3:$V$3,0))/7,0)),0)</f>
        <v>4500</v>
      </c>
      <c r="I83" s="34">
        <f>IFERROR(INDEX($C$82:$AK$82,1,7+ROUND(INDEX($H$5:$V$5,1,MATCH("RM07",$H$3:$V$3,0))/7,0)),0)</f>
        <v>4500</v>
      </c>
      <c r="J83" s="34">
        <f>IFERROR(INDEX($C$82:$AK$82,1,8+ROUND(INDEX($H$5:$V$5,1,MATCH("RM07",$H$3:$V$3,0))/7,0)),0)</f>
        <v>3600</v>
      </c>
      <c r="K83" s="8">
        <f>IFERROR(INDEX($C$82:$AK$82,1,9+ROUND(INDEX($H$5:$V$5,1,MATCH("RM07",$H$3:$V$3,0))/7,0)),0)</f>
        <v>3600</v>
      </c>
      <c r="L83" s="8">
        <f>IFERROR(INDEX($C$82:$AK$82,1,10+ROUND(INDEX($H$5:$V$5,1,MATCH("RM07",$H$3:$V$3,0))/7,0)),0)</f>
        <v>0</v>
      </c>
      <c r="M83" s="8">
        <f>IFERROR(INDEX($C$82:$AK$82,1,11+ROUND(INDEX($H$5:$V$5,1,MATCH("RM07",$H$3:$V$3,0))/7,0)),0)</f>
        <v>3600</v>
      </c>
      <c r="N83" s="8">
        <f>IFERROR(INDEX($C$82:$AK$82,1,12+ROUND(INDEX($H$5:$V$5,1,MATCH("RM07",$H$3:$V$3,0))/7,0)),0)</f>
        <v>3600</v>
      </c>
      <c r="O83" s="8">
        <f>IFERROR(INDEX($C$82:$AK$82,1,13+ROUND(INDEX($H$5:$V$5,1,MATCH("RM07",$H$3:$V$3,0))/7,0)),0)</f>
        <v>5625</v>
      </c>
      <c r="P83" s="8">
        <f>IFERROR(INDEX($C$82:$AK$82,1,14+ROUND(INDEX($H$5:$V$5,1,MATCH("RM07",$H$3:$V$3,0))/7,0)),0)</f>
        <v>5625</v>
      </c>
      <c r="Q83" s="8">
        <f>IFERROR(INDEX($C$82:$AK$82,1,15+ROUND(INDEX($H$5:$V$5,1,MATCH("RM07",$H$3:$V$3,0))/7,0)),0)</f>
        <v>5625</v>
      </c>
      <c r="R83" s="8">
        <f>IFERROR(INDEX($C$82:$AK$82,1,16+ROUND(INDEX($H$5:$V$5,1,MATCH("RM07",$H$3:$V$3,0))/7,0)),0)</f>
        <v>5625</v>
      </c>
      <c r="S83" s="8">
        <f>IFERROR(INDEX($C$82:$AK$82,1,17+ROUND(INDEX($H$5:$V$5,1,MATCH("RM07",$H$3:$V$3,0))/7,0)),0)</f>
        <v>4500</v>
      </c>
      <c r="T83" s="8">
        <f>IFERROR(INDEX($C$82:$AK$82,1,18+ROUND(INDEX($H$5:$V$5,1,MATCH("RM07",$H$3:$V$3,0))/7,0)),0)</f>
        <v>4500</v>
      </c>
      <c r="U83" s="8">
        <f>IFERROR(INDEX($C$82:$AK$82,1,19+ROUND(INDEX($H$5:$V$5,1,MATCH("RM07",$H$3:$V$3,0))/7,0)),0)</f>
        <v>4500</v>
      </c>
      <c r="V83" s="8">
        <f>IFERROR(INDEX($C$82:$AK$82,1,20+ROUND(INDEX($H$5:$V$5,1,MATCH("RM07",$H$3:$V$3,0))/7,0)),0)</f>
        <v>4500</v>
      </c>
      <c r="W83" s="8">
        <f>IFERROR(INDEX($C$82:$AK$82,1,21+ROUND(INDEX($H$5:$V$5,1,MATCH("RM07",$H$3:$V$3,0))/7,0)),0)</f>
        <v>4500</v>
      </c>
      <c r="X83" s="8">
        <f>IFERROR(INDEX($C$82:$AK$82,1,22+ROUND(INDEX($H$5:$V$5,1,MATCH("RM07",$H$3:$V$3,0))/7,0)),0)</f>
        <v>9375</v>
      </c>
      <c r="Y83" s="8">
        <f>IFERROR(INDEX($C$82:$AK$82,1,23+ROUND(INDEX($H$5:$V$5,1,MATCH("RM07",$H$3:$V$3,0))/7,0)),0)</f>
        <v>9375</v>
      </c>
      <c r="Z83" s="8">
        <f>IFERROR(INDEX($C$82:$AK$82,1,24+ROUND(INDEX($H$5:$V$5,1,MATCH("RM07",$H$3:$V$3,0))/7,0)),0)</f>
        <v>9375</v>
      </c>
      <c r="AA83" s="8">
        <f>IFERROR(INDEX($C$82:$AK$82,1,25+ROUND(INDEX($H$5:$V$5,1,MATCH("RM07",$H$3:$V$3,0))/7,0)),0)</f>
        <v>9375</v>
      </c>
      <c r="AB83" s="8">
        <f>IFERROR(INDEX($C$82:$AK$82,1,26+ROUND(INDEX($H$5:$V$5,1,MATCH("RM07",$H$3:$V$3,0))/7,0)),0)</f>
        <v>9375</v>
      </c>
      <c r="AC83" s="8">
        <f>IFERROR(INDEX($C$82:$AK$82,1,27+ROUND(INDEX($H$5:$V$5,1,MATCH("RM07",$H$3:$V$3,0))/7,0)),0)</f>
        <v>9375</v>
      </c>
      <c r="AD83" s="8">
        <f>IFERROR(INDEX($C$82:$AK$82,1,28+ROUND(INDEX($H$5:$V$5,1,MATCH("RM07",$H$3:$V$3,0))/7,0)),0)</f>
        <v>9375</v>
      </c>
      <c r="AE83" s="8">
        <f>IFERROR(INDEX($C$82:$AK$82,1,29+ROUND(INDEX($H$5:$V$5,1,MATCH("RM07",$H$3:$V$3,0))/7,0)),0)</f>
        <v>9375</v>
      </c>
      <c r="AF83" s="8">
        <f>IFERROR(INDEX($C$82:$AK$82,1,30+ROUND(INDEX($H$5:$V$5,1,MATCH("RM07",$H$3:$V$3,0))/7,0)),0)</f>
        <v>0</v>
      </c>
      <c r="AG83" s="8">
        <f>IFERROR(INDEX($C$82:$AK$82,1,31+ROUND(INDEX($H$5:$V$5,1,MATCH("RM07",$H$3:$V$3,0))/7,0)),0)</f>
        <v>0</v>
      </c>
      <c r="AH83" s="8">
        <f>IFERROR(INDEX($C$82:$AK$82,1,32+ROUND(INDEX($H$5:$V$5,1,MATCH("RM07",$H$3:$V$3,0))/7,0)),0)</f>
        <v>0</v>
      </c>
      <c r="AI83" s="8">
        <f>IFERROR(INDEX($C$82:$AK$82,1,33+ROUND(INDEX($H$5:$V$5,1,MATCH("RM07",$H$3:$V$3,0))/7,0)),0)</f>
        <v>0</v>
      </c>
      <c r="AJ83" s="8">
        <f>IFERROR(INDEX($C$82:$AK$82,1,34+ROUND(INDEX($H$5:$V$5,1,MATCH("RM07",$H$3:$V$3,0))/7,0)),0)</f>
        <v>0</v>
      </c>
      <c r="AK83" s="8">
        <f>IFERROR(INDEX($C$82:$AK$82,1,35+ROUND(INDEX($H$5:$V$5,1,MATCH("RM07",$H$3:$V$3,0))/7,0)),0)</f>
        <v>0</v>
      </c>
    </row>
    <row r="85" spans="1:37" ht="16.350000000000001" customHeight="1" x14ac:dyDescent="0.3">
      <c r="A85" s="47" t="s">
        <v>148</v>
      </c>
      <c r="B85" s="47" t="s">
        <v>140</v>
      </c>
      <c r="C85" s="187" t="s">
        <v>130</v>
      </c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  <c r="AK85" s="157"/>
    </row>
    <row r="86" spans="1:37" ht="16.350000000000001" customHeight="1" x14ac:dyDescent="0.3">
      <c r="A86" s="47" t="s">
        <v>131</v>
      </c>
      <c r="B86" s="47" t="str">
        <f>"LT: "&amp;ROUND(INDEX($H$5:$V$5,1,MATCH("RM08",$H$3:$V$3,0))/7,0)</f>
        <v>LT: 9</v>
      </c>
      <c r="C86" s="48" cm="1">
        <f t="array" ref="C86:AK86">TRANSPOSE(BOM_demand!$A$2:$A$36)</f>
        <v>46132</v>
      </c>
      <c r="D86" s="48">
        <v>46139</v>
      </c>
      <c r="E86" s="48">
        <v>46146</v>
      </c>
      <c r="F86" s="48">
        <v>46153</v>
      </c>
      <c r="G86" s="48">
        <v>46160</v>
      </c>
      <c r="H86" s="48">
        <v>46167</v>
      </c>
      <c r="I86" s="48">
        <v>46174</v>
      </c>
      <c r="J86" s="48">
        <v>46181</v>
      </c>
      <c r="K86" s="48">
        <v>46188</v>
      </c>
      <c r="L86" s="48">
        <v>46195</v>
      </c>
      <c r="M86" s="48">
        <v>46202</v>
      </c>
      <c r="N86" s="48">
        <v>46209</v>
      </c>
      <c r="O86" s="48">
        <v>46216</v>
      </c>
      <c r="P86" s="48">
        <v>46223</v>
      </c>
      <c r="Q86" s="48">
        <v>46230</v>
      </c>
      <c r="R86" s="48">
        <v>46237</v>
      </c>
      <c r="S86" s="48">
        <v>46244</v>
      </c>
      <c r="T86" s="48">
        <v>46251</v>
      </c>
      <c r="U86" s="48">
        <v>46258</v>
      </c>
      <c r="V86" s="48">
        <v>46265</v>
      </c>
      <c r="W86" s="48">
        <v>46272</v>
      </c>
      <c r="X86" s="48">
        <v>46279</v>
      </c>
      <c r="Y86" s="48">
        <v>46286</v>
      </c>
      <c r="Z86" s="48">
        <v>46293</v>
      </c>
      <c r="AA86" s="48">
        <v>46300</v>
      </c>
      <c r="AB86" s="48">
        <v>46307</v>
      </c>
      <c r="AC86" s="48">
        <v>46314</v>
      </c>
      <c r="AD86" s="48">
        <v>46321</v>
      </c>
      <c r="AE86" s="48">
        <v>46328</v>
      </c>
      <c r="AF86" s="48">
        <v>46335</v>
      </c>
      <c r="AG86" s="48">
        <v>46342</v>
      </c>
      <c r="AH86" s="48">
        <v>46349</v>
      </c>
      <c r="AI86" s="48">
        <v>46356</v>
      </c>
      <c r="AJ86" s="48">
        <v>46363</v>
      </c>
      <c r="AK86" s="48">
        <v>46370</v>
      </c>
    </row>
    <row r="87" spans="1:37" ht="16.350000000000001" customHeight="1" x14ac:dyDescent="0.3">
      <c r="A87" s="51" t="s">
        <v>132</v>
      </c>
      <c r="C87" s="34" cm="1">
        <f t="array" ref="C87:AK87">TRANSPOSE(BOM_demand!$O$2:$O$36)</f>
        <v>0</v>
      </c>
      <c r="D87" s="34">
        <v>0</v>
      </c>
      <c r="E87" s="34">
        <v>15000</v>
      </c>
      <c r="F87" s="34">
        <v>15000</v>
      </c>
      <c r="G87" s="34">
        <v>15000</v>
      </c>
      <c r="H87" s="34">
        <v>15000</v>
      </c>
      <c r="I87" s="34">
        <v>15000</v>
      </c>
      <c r="J87" s="34">
        <v>15000</v>
      </c>
      <c r="K87" s="34">
        <v>15000</v>
      </c>
      <c r="L87" s="34">
        <v>15000</v>
      </c>
      <c r="M87" s="34">
        <v>7500</v>
      </c>
      <c r="N87" s="34">
        <v>7500</v>
      </c>
      <c r="O87" s="34">
        <v>7500</v>
      </c>
      <c r="P87" s="34">
        <v>3000</v>
      </c>
      <c r="Q87" s="34">
        <v>3000</v>
      </c>
      <c r="R87" s="34">
        <v>3000</v>
      </c>
      <c r="S87" s="34">
        <v>3000</v>
      </c>
      <c r="T87" s="34">
        <v>3000</v>
      </c>
      <c r="U87" s="34">
        <v>2250</v>
      </c>
      <c r="V87" s="34">
        <v>2250</v>
      </c>
      <c r="W87" s="34">
        <v>2250</v>
      </c>
      <c r="X87" s="34">
        <v>2250</v>
      </c>
      <c r="Y87" s="34">
        <v>1800</v>
      </c>
      <c r="Z87" s="34">
        <v>1800</v>
      </c>
      <c r="AA87" s="34">
        <v>1800</v>
      </c>
      <c r="AB87" s="34">
        <v>1800</v>
      </c>
      <c r="AC87" s="34">
        <v>1800</v>
      </c>
      <c r="AD87" s="34">
        <v>1500</v>
      </c>
      <c r="AE87" s="34">
        <v>1500</v>
      </c>
      <c r="AF87" s="34">
        <v>1500</v>
      </c>
      <c r="AG87" s="34">
        <v>1500</v>
      </c>
      <c r="AH87" s="34">
        <v>9000</v>
      </c>
      <c r="AI87" s="34">
        <v>9000</v>
      </c>
      <c r="AJ87" s="34">
        <v>9000</v>
      </c>
      <c r="AK87" s="34">
        <v>9000</v>
      </c>
    </row>
    <row r="88" spans="1:37" ht="16.350000000000001" customHeight="1" x14ac:dyDescent="0.3">
      <c r="A88" s="186" t="s">
        <v>129</v>
      </c>
      <c r="B88" s="157"/>
      <c r="C88" s="34">
        <f>IFERROR(INDEX($H$7:$V$7,1,MATCH("RM08",$H$3:$V$3,0)),0)</f>
        <v>38000</v>
      </c>
      <c r="D88" s="34">
        <f>0</f>
        <v>0</v>
      </c>
      <c r="E88" s="34">
        <f>0</f>
        <v>0</v>
      </c>
      <c r="F88" s="34">
        <f>0</f>
        <v>0</v>
      </c>
      <c r="G88" s="34">
        <f>0</f>
        <v>0</v>
      </c>
      <c r="H88" s="34">
        <f>0</f>
        <v>0</v>
      </c>
      <c r="I88" s="34">
        <f>0</f>
        <v>0</v>
      </c>
      <c r="J88" s="34">
        <f>0</f>
        <v>0</v>
      </c>
      <c r="K88" s="8">
        <f>0</f>
        <v>0</v>
      </c>
      <c r="L88" s="8">
        <f>0</f>
        <v>0</v>
      </c>
      <c r="M88" s="8">
        <f>0</f>
        <v>0</v>
      </c>
      <c r="N88" s="8">
        <f>0</f>
        <v>0</v>
      </c>
      <c r="O88" s="8">
        <f>0</f>
        <v>0</v>
      </c>
      <c r="P88" s="8">
        <f>0</f>
        <v>0</v>
      </c>
      <c r="Q88" s="8">
        <f>0</f>
        <v>0</v>
      </c>
      <c r="R88" s="8">
        <f>0</f>
        <v>0</v>
      </c>
      <c r="S88" s="8">
        <f>0</f>
        <v>0</v>
      </c>
      <c r="T88" s="8">
        <f>0</f>
        <v>0</v>
      </c>
      <c r="U88" s="8">
        <f>0</f>
        <v>0</v>
      </c>
      <c r="V88" s="8">
        <f>0</f>
        <v>0</v>
      </c>
      <c r="W88" s="8">
        <f>0</f>
        <v>0</v>
      </c>
      <c r="X88" s="8">
        <f>0</f>
        <v>0</v>
      </c>
      <c r="Y88" s="8">
        <f>0</f>
        <v>0</v>
      </c>
      <c r="Z88" s="8">
        <f>0</f>
        <v>0</v>
      </c>
      <c r="AA88" s="8">
        <f>0</f>
        <v>0</v>
      </c>
      <c r="AB88" s="8">
        <f>0</f>
        <v>0</v>
      </c>
      <c r="AC88" s="8">
        <f>0</f>
        <v>0</v>
      </c>
      <c r="AD88" s="8">
        <f>0</f>
        <v>0</v>
      </c>
      <c r="AE88" s="8">
        <f>0</f>
        <v>0</v>
      </c>
      <c r="AF88" s="8">
        <f>0</f>
        <v>0</v>
      </c>
      <c r="AG88" s="8">
        <f>0</f>
        <v>0</v>
      </c>
      <c r="AH88" s="8">
        <f>0</f>
        <v>0</v>
      </c>
      <c r="AI88" s="8">
        <f>0</f>
        <v>0</v>
      </c>
      <c r="AJ88" s="8">
        <f>0</f>
        <v>0</v>
      </c>
      <c r="AK88" s="8">
        <f>0</f>
        <v>0</v>
      </c>
    </row>
    <row r="89" spans="1:37" ht="16.350000000000001" customHeight="1" x14ac:dyDescent="0.3">
      <c r="A89" s="34" t="s">
        <v>137</v>
      </c>
      <c r="B89" s="46">
        <f>IFERROR(INDEX($H$8:$V$8,1,MATCH("RM08",$H$3:$V$3,0)),0)</f>
        <v>12429</v>
      </c>
      <c r="C89" s="34">
        <f t="shared" ref="C89:AK89" si="28">$B89</f>
        <v>12429</v>
      </c>
      <c r="D89" s="34">
        <f t="shared" si="28"/>
        <v>12429</v>
      </c>
      <c r="E89" s="34">
        <f t="shared" si="28"/>
        <v>12429</v>
      </c>
      <c r="F89" s="34">
        <f t="shared" si="28"/>
        <v>12429</v>
      </c>
      <c r="G89" s="34">
        <f t="shared" si="28"/>
        <v>12429</v>
      </c>
      <c r="H89" s="34">
        <f t="shared" si="28"/>
        <v>12429</v>
      </c>
      <c r="I89" s="34">
        <f t="shared" si="28"/>
        <v>12429</v>
      </c>
      <c r="J89" s="34">
        <f t="shared" si="28"/>
        <v>12429</v>
      </c>
      <c r="K89" s="8">
        <f t="shared" si="28"/>
        <v>12429</v>
      </c>
      <c r="L89" s="8">
        <f t="shared" si="28"/>
        <v>12429</v>
      </c>
      <c r="M89" s="8">
        <f t="shared" si="28"/>
        <v>12429</v>
      </c>
      <c r="N89" s="8">
        <f t="shared" si="28"/>
        <v>12429</v>
      </c>
      <c r="O89" s="8">
        <f t="shared" si="28"/>
        <v>12429</v>
      </c>
      <c r="P89" s="8">
        <f t="shared" si="28"/>
        <v>12429</v>
      </c>
      <c r="Q89" s="8">
        <f t="shared" si="28"/>
        <v>12429</v>
      </c>
      <c r="R89" s="8">
        <f t="shared" si="28"/>
        <v>12429</v>
      </c>
      <c r="S89" s="8">
        <f t="shared" si="28"/>
        <v>12429</v>
      </c>
      <c r="T89" s="8">
        <f t="shared" si="28"/>
        <v>12429</v>
      </c>
      <c r="U89" s="8">
        <f t="shared" si="28"/>
        <v>12429</v>
      </c>
      <c r="V89" s="8">
        <f t="shared" si="28"/>
        <v>12429</v>
      </c>
      <c r="W89" s="8">
        <f t="shared" si="28"/>
        <v>12429</v>
      </c>
      <c r="X89" s="8">
        <f t="shared" si="28"/>
        <v>12429</v>
      </c>
      <c r="Y89" s="8">
        <f t="shared" si="28"/>
        <v>12429</v>
      </c>
      <c r="Z89" s="8">
        <f t="shared" si="28"/>
        <v>12429</v>
      </c>
      <c r="AA89" s="8">
        <f t="shared" si="28"/>
        <v>12429</v>
      </c>
      <c r="AB89" s="8">
        <f t="shared" si="28"/>
        <v>12429</v>
      </c>
      <c r="AC89" s="8">
        <f t="shared" si="28"/>
        <v>12429</v>
      </c>
      <c r="AD89" s="8">
        <f t="shared" si="28"/>
        <v>12429</v>
      </c>
      <c r="AE89" s="8">
        <f t="shared" si="28"/>
        <v>12429</v>
      </c>
      <c r="AF89" s="8">
        <f t="shared" si="28"/>
        <v>12429</v>
      </c>
      <c r="AG89" s="8">
        <f t="shared" si="28"/>
        <v>12429</v>
      </c>
      <c r="AH89" s="8">
        <f t="shared" si="28"/>
        <v>12429</v>
      </c>
      <c r="AI89" s="8">
        <f t="shared" si="28"/>
        <v>12429</v>
      </c>
      <c r="AJ89" s="8">
        <f t="shared" si="28"/>
        <v>12429</v>
      </c>
      <c r="AK89" s="8">
        <f t="shared" si="28"/>
        <v>12429</v>
      </c>
    </row>
    <row r="90" spans="1:37" ht="16.350000000000001" customHeight="1" x14ac:dyDescent="0.3">
      <c r="A90" s="34" t="s">
        <v>133</v>
      </c>
      <c r="B90" s="46">
        <f>IFERROR(INDEX($H$6:$V$6,1,MATCH("RM08",$H$3:$V$3,0)),0)</f>
        <v>123000</v>
      </c>
      <c r="C90" s="34">
        <f>$B90+C88+C92-C87</f>
        <v>161000</v>
      </c>
      <c r="D90" s="34">
        <f t="shared" ref="D90:AK90" si="29">C90+D88+D92-D87</f>
        <v>161000</v>
      </c>
      <c r="E90" s="34">
        <f t="shared" si="29"/>
        <v>146000</v>
      </c>
      <c r="F90" s="34">
        <f t="shared" si="29"/>
        <v>131000</v>
      </c>
      <c r="G90" s="34">
        <f t="shared" si="29"/>
        <v>116000</v>
      </c>
      <c r="H90" s="34">
        <f t="shared" si="29"/>
        <v>101000</v>
      </c>
      <c r="I90" s="34">
        <f t="shared" si="29"/>
        <v>86000</v>
      </c>
      <c r="J90" s="34">
        <f t="shared" si="29"/>
        <v>71000</v>
      </c>
      <c r="K90" s="8">
        <f t="shared" si="29"/>
        <v>56000</v>
      </c>
      <c r="L90" s="8">
        <f t="shared" si="29"/>
        <v>41000</v>
      </c>
      <c r="M90" s="8">
        <f t="shared" si="29"/>
        <v>33500</v>
      </c>
      <c r="N90" s="8">
        <f t="shared" si="29"/>
        <v>26000</v>
      </c>
      <c r="O90" s="8">
        <f t="shared" si="29"/>
        <v>18500</v>
      </c>
      <c r="P90" s="8">
        <f t="shared" si="29"/>
        <v>15500</v>
      </c>
      <c r="Q90" s="8">
        <f t="shared" si="29"/>
        <v>12500</v>
      </c>
      <c r="R90" s="8">
        <f t="shared" si="29"/>
        <v>12429</v>
      </c>
      <c r="S90" s="8">
        <f t="shared" si="29"/>
        <v>12429</v>
      </c>
      <c r="T90" s="8">
        <f t="shared" si="29"/>
        <v>12429</v>
      </c>
      <c r="U90" s="8">
        <f t="shared" si="29"/>
        <v>12429</v>
      </c>
      <c r="V90" s="8">
        <f t="shared" si="29"/>
        <v>12429</v>
      </c>
      <c r="W90" s="8">
        <f t="shared" si="29"/>
        <v>12429</v>
      </c>
      <c r="X90" s="8">
        <f t="shared" si="29"/>
        <v>12429</v>
      </c>
      <c r="Y90" s="8">
        <f t="shared" si="29"/>
        <v>12429</v>
      </c>
      <c r="Z90" s="8">
        <f t="shared" si="29"/>
        <v>12429</v>
      </c>
      <c r="AA90" s="8">
        <f t="shared" si="29"/>
        <v>12429</v>
      </c>
      <c r="AB90" s="8">
        <f t="shared" si="29"/>
        <v>12429</v>
      </c>
      <c r="AC90" s="8">
        <f t="shared" si="29"/>
        <v>12429</v>
      </c>
      <c r="AD90" s="8">
        <f t="shared" si="29"/>
        <v>12429</v>
      </c>
      <c r="AE90" s="8">
        <f t="shared" si="29"/>
        <v>12429</v>
      </c>
      <c r="AF90" s="8">
        <f t="shared" si="29"/>
        <v>12429</v>
      </c>
      <c r="AG90" s="8">
        <f t="shared" si="29"/>
        <v>12429</v>
      </c>
      <c r="AH90" s="8">
        <f t="shared" si="29"/>
        <v>12429</v>
      </c>
      <c r="AI90" s="8">
        <f t="shared" si="29"/>
        <v>12429</v>
      </c>
      <c r="AJ90" s="8">
        <f t="shared" si="29"/>
        <v>12429</v>
      </c>
      <c r="AK90" s="8">
        <f t="shared" si="29"/>
        <v>12429</v>
      </c>
    </row>
    <row r="91" spans="1:37" ht="16.350000000000001" customHeight="1" x14ac:dyDescent="0.3">
      <c r="A91" s="34" t="s">
        <v>141</v>
      </c>
      <c r="B91" s="46"/>
      <c r="C91" s="34">
        <f>MAX(C87+C89-($B90+C88),0)</f>
        <v>0</v>
      </c>
      <c r="D91" s="34">
        <f t="shared" ref="D91:AK91" si="30">MAX(D87+D89-(C90+D88),0)</f>
        <v>0</v>
      </c>
      <c r="E91" s="34">
        <f t="shared" si="30"/>
        <v>0</v>
      </c>
      <c r="F91" s="34">
        <f t="shared" si="30"/>
        <v>0</v>
      </c>
      <c r="G91" s="34">
        <f t="shared" si="30"/>
        <v>0</v>
      </c>
      <c r="H91" s="34">
        <f t="shared" si="30"/>
        <v>0</v>
      </c>
      <c r="I91" s="34">
        <f t="shared" si="30"/>
        <v>0</v>
      </c>
      <c r="J91" s="34">
        <f t="shared" si="30"/>
        <v>0</v>
      </c>
      <c r="K91" s="8">
        <f t="shared" si="30"/>
        <v>0</v>
      </c>
      <c r="L91" s="8">
        <f t="shared" si="30"/>
        <v>0</v>
      </c>
      <c r="M91" s="8">
        <f t="shared" si="30"/>
        <v>0</v>
      </c>
      <c r="N91" s="8">
        <f t="shared" si="30"/>
        <v>0</v>
      </c>
      <c r="O91" s="8">
        <f t="shared" si="30"/>
        <v>0</v>
      </c>
      <c r="P91" s="8">
        <f t="shared" si="30"/>
        <v>0</v>
      </c>
      <c r="Q91" s="8">
        <f t="shared" si="30"/>
        <v>0</v>
      </c>
      <c r="R91" s="8">
        <f t="shared" si="30"/>
        <v>2929</v>
      </c>
      <c r="S91" s="8">
        <f t="shared" si="30"/>
        <v>3000</v>
      </c>
      <c r="T91" s="8">
        <f t="shared" si="30"/>
        <v>3000</v>
      </c>
      <c r="U91" s="8">
        <f t="shared" si="30"/>
        <v>2250</v>
      </c>
      <c r="V91" s="8">
        <f t="shared" si="30"/>
        <v>2250</v>
      </c>
      <c r="W91" s="8">
        <f t="shared" si="30"/>
        <v>2250</v>
      </c>
      <c r="X91" s="8">
        <f t="shared" si="30"/>
        <v>2250</v>
      </c>
      <c r="Y91" s="8">
        <f t="shared" si="30"/>
        <v>1800</v>
      </c>
      <c r="Z91" s="8">
        <f t="shared" si="30"/>
        <v>1800</v>
      </c>
      <c r="AA91" s="8">
        <f t="shared" si="30"/>
        <v>1800</v>
      </c>
      <c r="AB91" s="8">
        <f t="shared" si="30"/>
        <v>1800</v>
      </c>
      <c r="AC91" s="8">
        <f t="shared" si="30"/>
        <v>1800</v>
      </c>
      <c r="AD91" s="8">
        <f t="shared" si="30"/>
        <v>1500</v>
      </c>
      <c r="AE91" s="8">
        <f t="shared" si="30"/>
        <v>1500</v>
      </c>
      <c r="AF91" s="8">
        <f t="shared" si="30"/>
        <v>1500</v>
      </c>
      <c r="AG91" s="8">
        <f t="shared" si="30"/>
        <v>1500</v>
      </c>
      <c r="AH91" s="8">
        <f t="shared" si="30"/>
        <v>9000</v>
      </c>
      <c r="AI91" s="8">
        <f t="shared" si="30"/>
        <v>9000</v>
      </c>
      <c r="AJ91" s="8">
        <f t="shared" si="30"/>
        <v>9000</v>
      </c>
      <c r="AK91" s="8">
        <f t="shared" si="30"/>
        <v>9000</v>
      </c>
    </row>
    <row r="92" spans="1:37" ht="16.350000000000001" customHeight="1" x14ac:dyDescent="0.3">
      <c r="A92" s="186" t="s">
        <v>134</v>
      </c>
      <c r="B92" s="157"/>
      <c r="C92" s="34">
        <f t="shared" ref="C92:AK92" si="31">C91</f>
        <v>0</v>
      </c>
      <c r="D92" s="34">
        <f t="shared" si="31"/>
        <v>0</v>
      </c>
      <c r="E92" s="34">
        <f t="shared" si="31"/>
        <v>0</v>
      </c>
      <c r="F92" s="34">
        <f t="shared" si="31"/>
        <v>0</v>
      </c>
      <c r="G92" s="34">
        <f t="shared" si="31"/>
        <v>0</v>
      </c>
      <c r="H92" s="34">
        <f t="shared" si="31"/>
        <v>0</v>
      </c>
      <c r="I92" s="34">
        <f t="shared" si="31"/>
        <v>0</v>
      </c>
      <c r="J92" s="34">
        <f t="shared" si="31"/>
        <v>0</v>
      </c>
      <c r="K92" s="8">
        <f t="shared" si="31"/>
        <v>0</v>
      </c>
      <c r="L92" s="8">
        <f t="shared" si="31"/>
        <v>0</v>
      </c>
      <c r="M92" s="8">
        <f t="shared" si="31"/>
        <v>0</v>
      </c>
      <c r="N92" s="8">
        <f t="shared" si="31"/>
        <v>0</v>
      </c>
      <c r="O92" s="8">
        <f t="shared" si="31"/>
        <v>0</v>
      </c>
      <c r="P92" s="8">
        <f t="shared" si="31"/>
        <v>0</v>
      </c>
      <c r="Q92" s="8">
        <f t="shared" si="31"/>
        <v>0</v>
      </c>
      <c r="R92" s="8">
        <f t="shared" si="31"/>
        <v>2929</v>
      </c>
      <c r="S92" s="8">
        <f t="shared" si="31"/>
        <v>3000</v>
      </c>
      <c r="T92" s="8">
        <f t="shared" si="31"/>
        <v>3000</v>
      </c>
      <c r="U92" s="8">
        <f t="shared" si="31"/>
        <v>2250</v>
      </c>
      <c r="V92" s="8">
        <f t="shared" si="31"/>
        <v>2250</v>
      </c>
      <c r="W92" s="8">
        <f t="shared" si="31"/>
        <v>2250</v>
      </c>
      <c r="X92" s="8">
        <f t="shared" si="31"/>
        <v>2250</v>
      </c>
      <c r="Y92" s="8">
        <f t="shared" si="31"/>
        <v>1800</v>
      </c>
      <c r="Z92" s="8">
        <f t="shared" si="31"/>
        <v>1800</v>
      </c>
      <c r="AA92" s="8">
        <f t="shared" si="31"/>
        <v>1800</v>
      </c>
      <c r="AB92" s="8">
        <f t="shared" si="31"/>
        <v>1800</v>
      </c>
      <c r="AC92" s="8">
        <f t="shared" si="31"/>
        <v>1800</v>
      </c>
      <c r="AD92" s="8">
        <f t="shared" si="31"/>
        <v>1500</v>
      </c>
      <c r="AE92" s="8">
        <f t="shared" si="31"/>
        <v>1500</v>
      </c>
      <c r="AF92" s="8">
        <f t="shared" si="31"/>
        <v>1500</v>
      </c>
      <c r="AG92" s="8">
        <f t="shared" si="31"/>
        <v>1500</v>
      </c>
      <c r="AH92" s="8">
        <f t="shared" si="31"/>
        <v>9000</v>
      </c>
      <c r="AI92" s="8">
        <f t="shared" si="31"/>
        <v>9000</v>
      </c>
      <c r="AJ92" s="8">
        <f t="shared" si="31"/>
        <v>9000</v>
      </c>
      <c r="AK92" s="8">
        <f t="shared" si="31"/>
        <v>9000</v>
      </c>
    </row>
    <row r="93" spans="1:37" ht="16.350000000000001" customHeight="1" x14ac:dyDescent="0.3">
      <c r="A93" s="34" t="s">
        <v>135</v>
      </c>
      <c r="B93" s="46"/>
      <c r="C93" s="34">
        <f>IFERROR(INDEX($C$92:$AK$92,1,1+ROUND(INDEX($H$5:$V$5,1,MATCH("RM08",$H$3:$V$3,0))/7,0)),0)</f>
        <v>0</v>
      </c>
      <c r="D93" s="34">
        <f>IFERROR(INDEX($C$92:$AK$92,1,2+ROUND(INDEX($H$5:$V$5,1,MATCH("RM08",$H$3:$V$3,0))/7,0)),0)</f>
        <v>0</v>
      </c>
      <c r="E93" s="34">
        <f>IFERROR(INDEX($C$92:$AK$92,1,3+ROUND(INDEX($H$5:$V$5,1,MATCH("RM08",$H$3:$V$3,0))/7,0)),0)</f>
        <v>0</v>
      </c>
      <c r="F93" s="34">
        <f>IFERROR(INDEX($C$92:$AK$92,1,4+ROUND(INDEX($H$5:$V$5,1,MATCH("RM08",$H$3:$V$3,0))/7,0)),0)</f>
        <v>0</v>
      </c>
      <c r="G93" s="34">
        <f>IFERROR(INDEX($C$92:$AK$92,1,5+ROUND(INDEX($H$5:$V$5,1,MATCH("RM08",$H$3:$V$3,0))/7,0)),0)</f>
        <v>0</v>
      </c>
      <c r="H93" s="34">
        <f>IFERROR(INDEX($C$92:$AK$92,1,6+ROUND(INDEX($H$5:$V$5,1,MATCH("RM08",$H$3:$V$3,0))/7,0)),0)</f>
        <v>0</v>
      </c>
      <c r="I93" s="34">
        <f>IFERROR(INDEX($C$92:$AK$92,1,7+ROUND(INDEX($H$5:$V$5,1,MATCH("RM08",$H$3:$V$3,0))/7,0)),0)</f>
        <v>2929</v>
      </c>
      <c r="J93" s="34">
        <f>IFERROR(INDEX($C$92:$AK$92,1,8+ROUND(INDEX($H$5:$V$5,1,MATCH("RM08",$H$3:$V$3,0))/7,0)),0)</f>
        <v>3000</v>
      </c>
      <c r="K93" s="8">
        <f>IFERROR(INDEX($C$92:$AK$92,1,9+ROUND(INDEX($H$5:$V$5,1,MATCH("RM08",$H$3:$V$3,0))/7,0)),0)</f>
        <v>3000</v>
      </c>
      <c r="L93" s="8">
        <f>IFERROR(INDEX($C$92:$AK$92,1,10+ROUND(INDEX($H$5:$V$5,1,MATCH("RM08",$H$3:$V$3,0))/7,0)),0)</f>
        <v>2250</v>
      </c>
      <c r="M93" s="8">
        <f>IFERROR(INDEX($C$92:$AK$92,1,11+ROUND(INDEX($H$5:$V$5,1,MATCH("RM08",$H$3:$V$3,0))/7,0)),0)</f>
        <v>2250</v>
      </c>
      <c r="N93" s="8">
        <f>IFERROR(INDEX($C$92:$AK$92,1,12+ROUND(INDEX($H$5:$V$5,1,MATCH("RM08",$H$3:$V$3,0))/7,0)),0)</f>
        <v>2250</v>
      </c>
      <c r="O93" s="8">
        <f>IFERROR(INDEX($C$92:$AK$92,1,13+ROUND(INDEX($H$5:$V$5,1,MATCH("RM08",$H$3:$V$3,0))/7,0)),0)</f>
        <v>2250</v>
      </c>
      <c r="P93" s="8">
        <f>IFERROR(INDEX($C$92:$AK$92,1,14+ROUND(INDEX($H$5:$V$5,1,MATCH("RM08",$H$3:$V$3,0))/7,0)),0)</f>
        <v>1800</v>
      </c>
      <c r="Q93" s="8">
        <f>IFERROR(INDEX($C$92:$AK$92,1,15+ROUND(INDEX($H$5:$V$5,1,MATCH("RM08",$H$3:$V$3,0))/7,0)),0)</f>
        <v>1800</v>
      </c>
      <c r="R93" s="8">
        <f>IFERROR(INDEX($C$92:$AK$92,1,16+ROUND(INDEX($H$5:$V$5,1,MATCH("RM08",$H$3:$V$3,0))/7,0)),0)</f>
        <v>1800</v>
      </c>
      <c r="S93" s="8">
        <f>IFERROR(INDEX($C$92:$AK$92,1,17+ROUND(INDEX($H$5:$V$5,1,MATCH("RM08",$H$3:$V$3,0))/7,0)),0)</f>
        <v>1800</v>
      </c>
      <c r="T93" s="8">
        <f>IFERROR(INDEX($C$92:$AK$92,1,18+ROUND(INDEX($H$5:$V$5,1,MATCH("RM08",$H$3:$V$3,0))/7,0)),0)</f>
        <v>1800</v>
      </c>
      <c r="U93" s="8">
        <f>IFERROR(INDEX($C$92:$AK$92,1,19+ROUND(INDEX($H$5:$V$5,1,MATCH("RM08",$H$3:$V$3,0))/7,0)),0)</f>
        <v>1500</v>
      </c>
      <c r="V93" s="8">
        <f>IFERROR(INDEX($C$92:$AK$92,1,20+ROUND(INDEX($H$5:$V$5,1,MATCH("RM08",$H$3:$V$3,0))/7,0)),0)</f>
        <v>1500</v>
      </c>
      <c r="W93" s="8">
        <f>IFERROR(INDEX($C$92:$AK$92,1,21+ROUND(INDEX($H$5:$V$5,1,MATCH("RM08",$H$3:$V$3,0))/7,0)),0)</f>
        <v>1500</v>
      </c>
      <c r="X93" s="8">
        <f>IFERROR(INDEX($C$92:$AK$92,1,22+ROUND(INDEX($H$5:$V$5,1,MATCH("RM08",$H$3:$V$3,0))/7,0)),0)</f>
        <v>1500</v>
      </c>
      <c r="Y93" s="8">
        <f>IFERROR(INDEX($C$92:$AK$92,1,23+ROUND(INDEX($H$5:$V$5,1,MATCH("RM08",$H$3:$V$3,0))/7,0)),0)</f>
        <v>9000</v>
      </c>
      <c r="Z93" s="8">
        <f>IFERROR(INDEX($C$92:$AK$92,1,24+ROUND(INDEX($H$5:$V$5,1,MATCH("RM08",$H$3:$V$3,0))/7,0)),0)</f>
        <v>9000</v>
      </c>
      <c r="AA93" s="8">
        <f>IFERROR(INDEX($C$92:$AK$92,1,25+ROUND(INDEX($H$5:$V$5,1,MATCH("RM08",$H$3:$V$3,0))/7,0)),0)</f>
        <v>9000</v>
      </c>
      <c r="AB93" s="8">
        <f>IFERROR(INDEX($C$92:$AK$92,1,26+ROUND(INDEX($H$5:$V$5,1,MATCH("RM08",$H$3:$V$3,0))/7,0)),0)</f>
        <v>9000</v>
      </c>
      <c r="AC93" s="8">
        <f>IFERROR(INDEX($C$92:$AK$92,1,27+ROUND(INDEX($H$5:$V$5,1,MATCH("RM08",$H$3:$V$3,0))/7,0)),0)</f>
        <v>0</v>
      </c>
      <c r="AD93" s="8">
        <f>IFERROR(INDEX($C$92:$AK$92,1,28+ROUND(INDEX($H$5:$V$5,1,MATCH("RM08",$H$3:$V$3,0))/7,0)),0)</f>
        <v>0</v>
      </c>
      <c r="AE93" s="8">
        <f>IFERROR(INDEX($C$92:$AK$92,1,29+ROUND(INDEX($H$5:$V$5,1,MATCH("RM08",$H$3:$V$3,0))/7,0)),0)</f>
        <v>0</v>
      </c>
      <c r="AF93" s="8">
        <f>IFERROR(INDEX($C$92:$AK$92,1,30+ROUND(INDEX($H$5:$V$5,1,MATCH("RM08",$H$3:$V$3,0))/7,0)),0)</f>
        <v>0</v>
      </c>
      <c r="AG93" s="8">
        <f>IFERROR(INDEX($C$92:$AK$92,1,31+ROUND(INDEX($H$5:$V$5,1,MATCH("RM08",$H$3:$V$3,0))/7,0)),0)</f>
        <v>0</v>
      </c>
      <c r="AH93" s="8">
        <f>IFERROR(INDEX($C$92:$AK$92,1,32+ROUND(INDEX($H$5:$V$5,1,MATCH("RM08",$H$3:$V$3,0))/7,0)),0)</f>
        <v>0</v>
      </c>
      <c r="AI93" s="8">
        <f>IFERROR(INDEX($C$92:$AK$92,1,33+ROUND(INDEX($H$5:$V$5,1,MATCH("RM08",$H$3:$V$3,0))/7,0)),0)</f>
        <v>0</v>
      </c>
      <c r="AJ93" s="8">
        <f>IFERROR(INDEX($C$92:$AK$92,1,34+ROUND(INDEX($H$5:$V$5,1,MATCH("RM08",$H$3:$V$3,0))/7,0)),0)</f>
        <v>0</v>
      </c>
      <c r="AK93" s="8">
        <f>IFERROR(INDEX($C$92:$AK$92,1,35+ROUND(INDEX($H$5:$V$5,1,MATCH("RM08",$H$3:$V$3,0))/7,0)),0)</f>
        <v>0</v>
      </c>
    </row>
    <row r="95" spans="1:37" ht="16.350000000000001" customHeight="1" x14ac:dyDescent="0.3">
      <c r="A95" s="47" t="s">
        <v>149</v>
      </c>
      <c r="B95" s="47" t="s">
        <v>140</v>
      </c>
      <c r="C95" s="187" t="s">
        <v>130</v>
      </c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  <c r="AA95" s="156"/>
      <c r="AB95" s="156"/>
      <c r="AC95" s="156"/>
      <c r="AD95" s="156"/>
      <c r="AE95" s="156"/>
      <c r="AF95" s="156"/>
      <c r="AG95" s="156"/>
      <c r="AH95" s="156"/>
      <c r="AI95" s="156"/>
      <c r="AJ95" s="156"/>
      <c r="AK95" s="157"/>
    </row>
    <row r="96" spans="1:37" ht="16.350000000000001" customHeight="1" x14ac:dyDescent="0.3">
      <c r="A96" s="47" t="s">
        <v>131</v>
      </c>
      <c r="B96" s="47" t="str">
        <f>"LT: "&amp;ROUND(INDEX($H$5:$V$5,1,MATCH("RM09",$H$3:$V$3,0))/7,0)</f>
        <v>LT: 4</v>
      </c>
      <c r="C96" s="48" cm="1">
        <f t="array" ref="C96:AK96">TRANSPOSE(BOM_demand!$A$2:$A$36)</f>
        <v>46132</v>
      </c>
      <c r="D96" s="48">
        <v>46139</v>
      </c>
      <c r="E96" s="48">
        <v>46146</v>
      </c>
      <c r="F96" s="48">
        <v>46153</v>
      </c>
      <c r="G96" s="48">
        <v>46160</v>
      </c>
      <c r="H96" s="48">
        <v>46167</v>
      </c>
      <c r="I96" s="48">
        <v>46174</v>
      </c>
      <c r="J96" s="48">
        <v>46181</v>
      </c>
      <c r="K96" s="48">
        <v>46188</v>
      </c>
      <c r="L96" s="48">
        <v>46195</v>
      </c>
      <c r="M96" s="48">
        <v>46202</v>
      </c>
      <c r="N96" s="48">
        <v>46209</v>
      </c>
      <c r="O96" s="48">
        <v>46216</v>
      </c>
      <c r="P96" s="48">
        <v>46223</v>
      </c>
      <c r="Q96" s="48">
        <v>46230</v>
      </c>
      <c r="R96" s="48">
        <v>46237</v>
      </c>
      <c r="S96" s="48">
        <v>46244</v>
      </c>
      <c r="T96" s="48">
        <v>46251</v>
      </c>
      <c r="U96" s="48">
        <v>46258</v>
      </c>
      <c r="V96" s="48">
        <v>46265</v>
      </c>
      <c r="W96" s="48">
        <v>46272</v>
      </c>
      <c r="X96" s="48">
        <v>46279</v>
      </c>
      <c r="Y96" s="48">
        <v>46286</v>
      </c>
      <c r="Z96" s="48">
        <v>46293</v>
      </c>
      <c r="AA96" s="48">
        <v>46300</v>
      </c>
      <c r="AB96" s="48">
        <v>46307</v>
      </c>
      <c r="AC96" s="48">
        <v>46314</v>
      </c>
      <c r="AD96" s="48">
        <v>46321</v>
      </c>
      <c r="AE96" s="48">
        <v>46328</v>
      </c>
      <c r="AF96" s="48">
        <v>46335</v>
      </c>
      <c r="AG96" s="48">
        <v>46342</v>
      </c>
      <c r="AH96" s="48">
        <v>46349</v>
      </c>
      <c r="AI96" s="48">
        <v>46356</v>
      </c>
      <c r="AJ96" s="48">
        <v>46363</v>
      </c>
      <c r="AK96" s="48">
        <v>46370</v>
      </c>
    </row>
    <row r="97" spans="1:37" ht="16.350000000000001" customHeight="1" x14ac:dyDescent="0.3">
      <c r="A97" s="51" t="s">
        <v>132</v>
      </c>
      <c r="C97" s="34" cm="1">
        <f t="array" ref="C97:AK97">TRANSPOSE(BOM_demand!$P$2:$P$36)</f>
        <v>0</v>
      </c>
      <c r="D97" s="34">
        <v>0</v>
      </c>
      <c r="E97" s="34">
        <v>2500</v>
      </c>
      <c r="F97" s="34">
        <v>2500</v>
      </c>
      <c r="G97" s="34">
        <v>2500</v>
      </c>
      <c r="H97" s="34">
        <v>2500</v>
      </c>
      <c r="I97" s="34">
        <v>2500</v>
      </c>
      <c r="J97" s="34">
        <v>2500</v>
      </c>
      <c r="K97" s="34">
        <v>2500</v>
      </c>
      <c r="L97" s="34">
        <v>2500</v>
      </c>
      <c r="M97" s="34">
        <v>1250</v>
      </c>
      <c r="N97" s="34">
        <v>1250</v>
      </c>
      <c r="O97" s="34">
        <v>1250</v>
      </c>
      <c r="P97" s="34">
        <v>500</v>
      </c>
      <c r="Q97" s="34">
        <v>500</v>
      </c>
      <c r="R97" s="34">
        <v>500</v>
      </c>
      <c r="S97" s="34">
        <v>500</v>
      </c>
      <c r="T97" s="34">
        <v>500</v>
      </c>
      <c r="U97" s="34">
        <v>375</v>
      </c>
      <c r="V97" s="34">
        <v>375</v>
      </c>
      <c r="W97" s="34">
        <v>375</v>
      </c>
      <c r="X97" s="34">
        <v>375</v>
      </c>
      <c r="Y97" s="34">
        <v>300</v>
      </c>
      <c r="Z97" s="34">
        <v>300</v>
      </c>
      <c r="AA97" s="34">
        <v>300</v>
      </c>
      <c r="AB97" s="34">
        <v>300</v>
      </c>
      <c r="AC97" s="34">
        <v>300</v>
      </c>
      <c r="AD97" s="34">
        <v>250</v>
      </c>
      <c r="AE97" s="34">
        <v>250</v>
      </c>
      <c r="AF97" s="34">
        <v>250</v>
      </c>
      <c r="AG97" s="34">
        <v>250</v>
      </c>
      <c r="AH97" s="34">
        <v>1500</v>
      </c>
      <c r="AI97" s="34">
        <v>1500</v>
      </c>
      <c r="AJ97" s="34">
        <v>1500</v>
      </c>
      <c r="AK97" s="34">
        <v>1500</v>
      </c>
    </row>
    <row r="98" spans="1:37" ht="16.350000000000001" customHeight="1" x14ac:dyDescent="0.3">
      <c r="A98" s="186" t="s">
        <v>129</v>
      </c>
      <c r="B98" s="157"/>
      <c r="C98" s="34">
        <f>IFERROR(INDEX($H$7:$V$7,1,MATCH("RM09",$H$3:$V$3,0)),0)</f>
        <v>0</v>
      </c>
      <c r="D98" s="34">
        <f>0</f>
        <v>0</v>
      </c>
      <c r="E98" s="34">
        <f>0</f>
        <v>0</v>
      </c>
      <c r="F98" s="34">
        <f>0</f>
        <v>0</v>
      </c>
      <c r="G98" s="34">
        <f>0</f>
        <v>0</v>
      </c>
      <c r="H98" s="34">
        <f>0</f>
        <v>0</v>
      </c>
      <c r="I98" s="34">
        <f>0</f>
        <v>0</v>
      </c>
      <c r="J98" s="34">
        <f>0</f>
        <v>0</v>
      </c>
      <c r="K98" s="8">
        <f>0</f>
        <v>0</v>
      </c>
      <c r="L98" s="8">
        <f>0</f>
        <v>0</v>
      </c>
      <c r="M98" s="8">
        <f>0</f>
        <v>0</v>
      </c>
      <c r="N98" s="8">
        <f>0</f>
        <v>0</v>
      </c>
      <c r="O98" s="8">
        <f>0</f>
        <v>0</v>
      </c>
      <c r="P98" s="8">
        <f>0</f>
        <v>0</v>
      </c>
      <c r="Q98" s="8">
        <f>0</f>
        <v>0</v>
      </c>
      <c r="R98" s="8">
        <f>0</f>
        <v>0</v>
      </c>
      <c r="S98" s="8">
        <f>0</f>
        <v>0</v>
      </c>
      <c r="T98" s="8">
        <f>0</f>
        <v>0</v>
      </c>
      <c r="U98" s="8">
        <f>0</f>
        <v>0</v>
      </c>
      <c r="V98" s="8">
        <f>0</f>
        <v>0</v>
      </c>
      <c r="W98" s="8">
        <f>0</f>
        <v>0</v>
      </c>
      <c r="X98" s="8">
        <f>0</f>
        <v>0</v>
      </c>
      <c r="Y98" s="8">
        <f>0</f>
        <v>0</v>
      </c>
      <c r="Z98" s="8">
        <f>0</f>
        <v>0</v>
      </c>
      <c r="AA98" s="8">
        <f>0</f>
        <v>0</v>
      </c>
      <c r="AB98" s="8">
        <f>0</f>
        <v>0</v>
      </c>
      <c r="AC98" s="8">
        <f>0</f>
        <v>0</v>
      </c>
      <c r="AD98" s="8">
        <f>0</f>
        <v>0</v>
      </c>
      <c r="AE98" s="8">
        <f>0</f>
        <v>0</v>
      </c>
      <c r="AF98" s="8">
        <f>0</f>
        <v>0</v>
      </c>
      <c r="AG98" s="8">
        <f>0</f>
        <v>0</v>
      </c>
      <c r="AH98" s="8">
        <f>0</f>
        <v>0</v>
      </c>
      <c r="AI98" s="8">
        <f>0</f>
        <v>0</v>
      </c>
      <c r="AJ98" s="8">
        <f>0</f>
        <v>0</v>
      </c>
      <c r="AK98" s="8">
        <f>0</f>
        <v>0</v>
      </c>
    </row>
    <row r="99" spans="1:37" ht="16.350000000000001" customHeight="1" x14ac:dyDescent="0.3">
      <c r="A99" s="34" t="s">
        <v>137</v>
      </c>
      <c r="B99" s="46">
        <f>IFERROR(INDEX($H$8:$V$8,1,MATCH("RM09",$H$3:$V$3,0)),0)</f>
        <v>2072</v>
      </c>
      <c r="C99" s="34">
        <f t="shared" ref="C99:AK99" si="32">$B99</f>
        <v>2072</v>
      </c>
      <c r="D99" s="34">
        <f t="shared" si="32"/>
        <v>2072</v>
      </c>
      <c r="E99" s="34">
        <f t="shared" si="32"/>
        <v>2072</v>
      </c>
      <c r="F99" s="34">
        <f t="shared" si="32"/>
        <v>2072</v>
      </c>
      <c r="G99" s="34">
        <f t="shared" si="32"/>
        <v>2072</v>
      </c>
      <c r="H99" s="34">
        <f t="shared" si="32"/>
        <v>2072</v>
      </c>
      <c r="I99" s="34">
        <f t="shared" si="32"/>
        <v>2072</v>
      </c>
      <c r="J99" s="34">
        <f t="shared" si="32"/>
        <v>2072</v>
      </c>
      <c r="K99" s="8">
        <f t="shared" si="32"/>
        <v>2072</v>
      </c>
      <c r="L99" s="8">
        <f t="shared" si="32"/>
        <v>2072</v>
      </c>
      <c r="M99" s="8">
        <f t="shared" si="32"/>
        <v>2072</v>
      </c>
      <c r="N99" s="8">
        <f t="shared" si="32"/>
        <v>2072</v>
      </c>
      <c r="O99" s="8">
        <f t="shared" si="32"/>
        <v>2072</v>
      </c>
      <c r="P99" s="8">
        <f t="shared" si="32"/>
        <v>2072</v>
      </c>
      <c r="Q99" s="8">
        <f t="shared" si="32"/>
        <v>2072</v>
      </c>
      <c r="R99" s="8">
        <f t="shared" si="32"/>
        <v>2072</v>
      </c>
      <c r="S99" s="8">
        <f t="shared" si="32"/>
        <v>2072</v>
      </c>
      <c r="T99" s="8">
        <f t="shared" si="32"/>
        <v>2072</v>
      </c>
      <c r="U99" s="8">
        <f t="shared" si="32"/>
        <v>2072</v>
      </c>
      <c r="V99" s="8">
        <f t="shared" si="32"/>
        <v>2072</v>
      </c>
      <c r="W99" s="8">
        <f t="shared" si="32"/>
        <v>2072</v>
      </c>
      <c r="X99" s="8">
        <f t="shared" si="32"/>
        <v>2072</v>
      </c>
      <c r="Y99" s="8">
        <f t="shared" si="32"/>
        <v>2072</v>
      </c>
      <c r="Z99" s="8">
        <f t="shared" si="32"/>
        <v>2072</v>
      </c>
      <c r="AA99" s="8">
        <f t="shared" si="32"/>
        <v>2072</v>
      </c>
      <c r="AB99" s="8">
        <f t="shared" si="32"/>
        <v>2072</v>
      </c>
      <c r="AC99" s="8">
        <f t="shared" si="32"/>
        <v>2072</v>
      </c>
      <c r="AD99" s="8">
        <f t="shared" si="32"/>
        <v>2072</v>
      </c>
      <c r="AE99" s="8">
        <f t="shared" si="32"/>
        <v>2072</v>
      </c>
      <c r="AF99" s="8">
        <f t="shared" si="32"/>
        <v>2072</v>
      </c>
      <c r="AG99" s="8">
        <f t="shared" si="32"/>
        <v>2072</v>
      </c>
      <c r="AH99" s="8">
        <f t="shared" si="32"/>
        <v>2072</v>
      </c>
      <c r="AI99" s="8">
        <f t="shared" si="32"/>
        <v>2072</v>
      </c>
      <c r="AJ99" s="8">
        <f t="shared" si="32"/>
        <v>2072</v>
      </c>
      <c r="AK99" s="8">
        <f t="shared" si="32"/>
        <v>2072</v>
      </c>
    </row>
    <row r="100" spans="1:37" ht="16.350000000000001" customHeight="1" x14ac:dyDescent="0.3">
      <c r="A100" s="34" t="s">
        <v>133</v>
      </c>
      <c r="B100" s="46">
        <f>IFERROR(INDEX($H$6:$V$6,1,MATCH("RM09",$H$3:$V$3,0)),0)</f>
        <v>6500</v>
      </c>
      <c r="C100" s="34">
        <f>$B100+C98+C102-C97</f>
        <v>6500</v>
      </c>
      <c r="D100" s="34">
        <f t="shared" ref="D100:AK100" si="33">C100+D98+D102-D97</f>
        <v>6500</v>
      </c>
      <c r="E100" s="34">
        <f t="shared" si="33"/>
        <v>4000</v>
      </c>
      <c r="F100" s="34">
        <f t="shared" si="33"/>
        <v>2072</v>
      </c>
      <c r="G100" s="34">
        <f t="shared" si="33"/>
        <v>2072</v>
      </c>
      <c r="H100" s="34">
        <f t="shared" si="33"/>
        <v>2072</v>
      </c>
      <c r="I100" s="34">
        <f t="shared" si="33"/>
        <v>2072</v>
      </c>
      <c r="J100" s="34">
        <f t="shared" si="33"/>
        <v>2072</v>
      </c>
      <c r="K100" s="8">
        <f t="shared" si="33"/>
        <v>2072</v>
      </c>
      <c r="L100" s="8">
        <f t="shared" si="33"/>
        <v>2072</v>
      </c>
      <c r="M100" s="8">
        <f t="shared" si="33"/>
        <v>2072</v>
      </c>
      <c r="N100" s="8">
        <f t="shared" si="33"/>
        <v>2072</v>
      </c>
      <c r="O100" s="8">
        <f t="shared" si="33"/>
        <v>2072</v>
      </c>
      <c r="P100" s="8">
        <f t="shared" si="33"/>
        <v>2072</v>
      </c>
      <c r="Q100" s="8">
        <f t="shared" si="33"/>
        <v>2072</v>
      </c>
      <c r="R100" s="8">
        <f t="shared" si="33"/>
        <v>2072</v>
      </c>
      <c r="S100" s="8">
        <f t="shared" si="33"/>
        <v>2072</v>
      </c>
      <c r="T100" s="8">
        <f t="shared" si="33"/>
        <v>2072</v>
      </c>
      <c r="U100" s="8">
        <f t="shared" si="33"/>
        <v>2072</v>
      </c>
      <c r="V100" s="8">
        <f t="shared" si="33"/>
        <v>2072</v>
      </c>
      <c r="W100" s="8">
        <f t="shared" si="33"/>
        <v>2072</v>
      </c>
      <c r="X100" s="8">
        <f t="shared" si="33"/>
        <v>2072</v>
      </c>
      <c r="Y100" s="8">
        <f t="shared" si="33"/>
        <v>2072</v>
      </c>
      <c r="Z100" s="8">
        <f t="shared" si="33"/>
        <v>2072</v>
      </c>
      <c r="AA100" s="8">
        <f t="shared" si="33"/>
        <v>2072</v>
      </c>
      <c r="AB100" s="8">
        <f t="shared" si="33"/>
        <v>2072</v>
      </c>
      <c r="AC100" s="8">
        <f t="shared" si="33"/>
        <v>2072</v>
      </c>
      <c r="AD100" s="8">
        <f t="shared" si="33"/>
        <v>2072</v>
      </c>
      <c r="AE100" s="8">
        <f t="shared" si="33"/>
        <v>2072</v>
      </c>
      <c r="AF100" s="8">
        <f t="shared" si="33"/>
        <v>2072</v>
      </c>
      <c r="AG100" s="8">
        <f t="shared" si="33"/>
        <v>2072</v>
      </c>
      <c r="AH100" s="8">
        <f t="shared" si="33"/>
        <v>2072</v>
      </c>
      <c r="AI100" s="8">
        <f t="shared" si="33"/>
        <v>2072</v>
      </c>
      <c r="AJ100" s="8">
        <f t="shared" si="33"/>
        <v>2072</v>
      </c>
      <c r="AK100" s="8">
        <f t="shared" si="33"/>
        <v>2072</v>
      </c>
    </row>
    <row r="101" spans="1:37" ht="16.350000000000001" customHeight="1" x14ac:dyDescent="0.3">
      <c r="A101" s="34" t="s">
        <v>141</v>
      </c>
      <c r="B101" s="46"/>
      <c r="C101" s="34">
        <f>MAX(C97+C99-($B100+C98),0)</f>
        <v>0</v>
      </c>
      <c r="D101" s="34">
        <f t="shared" ref="D101:AK101" si="34">MAX(D97+D99-(C100+D98),0)</f>
        <v>0</v>
      </c>
      <c r="E101" s="34">
        <f t="shared" si="34"/>
        <v>0</v>
      </c>
      <c r="F101" s="34">
        <f t="shared" si="34"/>
        <v>572</v>
      </c>
      <c r="G101" s="34">
        <f t="shared" si="34"/>
        <v>2500</v>
      </c>
      <c r="H101" s="34">
        <f t="shared" si="34"/>
        <v>2500</v>
      </c>
      <c r="I101" s="34">
        <f t="shared" si="34"/>
        <v>2500</v>
      </c>
      <c r="J101" s="34">
        <f t="shared" si="34"/>
        <v>2500</v>
      </c>
      <c r="K101" s="8">
        <f t="shared" si="34"/>
        <v>2500</v>
      </c>
      <c r="L101" s="8">
        <f t="shared" si="34"/>
        <v>2500</v>
      </c>
      <c r="M101" s="8">
        <f t="shared" si="34"/>
        <v>1250</v>
      </c>
      <c r="N101" s="8">
        <f t="shared" si="34"/>
        <v>1250</v>
      </c>
      <c r="O101" s="8">
        <f t="shared" si="34"/>
        <v>1250</v>
      </c>
      <c r="P101" s="8">
        <f t="shared" si="34"/>
        <v>500</v>
      </c>
      <c r="Q101" s="8">
        <f t="shared" si="34"/>
        <v>500</v>
      </c>
      <c r="R101" s="8">
        <f t="shared" si="34"/>
        <v>500</v>
      </c>
      <c r="S101" s="8">
        <f t="shared" si="34"/>
        <v>500</v>
      </c>
      <c r="T101" s="8">
        <f t="shared" si="34"/>
        <v>500</v>
      </c>
      <c r="U101" s="8">
        <f t="shared" si="34"/>
        <v>375</v>
      </c>
      <c r="V101" s="8">
        <f t="shared" si="34"/>
        <v>375</v>
      </c>
      <c r="W101" s="8">
        <f t="shared" si="34"/>
        <v>375</v>
      </c>
      <c r="X101" s="8">
        <f t="shared" si="34"/>
        <v>375</v>
      </c>
      <c r="Y101" s="8">
        <f t="shared" si="34"/>
        <v>300</v>
      </c>
      <c r="Z101" s="8">
        <f t="shared" si="34"/>
        <v>300</v>
      </c>
      <c r="AA101" s="8">
        <f t="shared" si="34"/>
        <v>300</v>
      </c>
      <c r="AB101" s="8">
        <f t="shared" si="34"/>
        <v>300</v>
      </c>
      <c r="AC101" s="8">
        <f t="shared" si="34"/>
        <v>300</v>
      </c>
      <c r="AD101" s="8">
        <f t="shared" si="34"/>
        <v>250</v>
      </c>
      <c r="AE101" s="8">
        <f t="shared" si="34"/>
        <v>250</v>
      </c>
      <c r="AF101" s="8">
        <f t="shared" si="34"/>
        <v>250</v>
      </c>
      <c r="AG101" s="8">
        <f t="shared" si="34"/>
        <v>250</v>
      </c>
      <c r="AH101" s="8">
        <f t="shared" si="34"/>
        <v>1500</v>
      </c>
      <c r="AI101" s="8">
        <f t="shared" si="34"/>
        <v>1500</v>
      </c>
      <c r="AJ101" s="8">
        <f t="shared" si="34"/>
        <v>1500</v>
      </c>
      <c r="AK101" s="8">
        <f t="shared" si="34"/>
        <v>1500</v>
      </c>
    </row>
    <row r="102" spans="1:37" ht="16.350000000000001" customHeight="1" x14ac:dyDescent="0.3">
      <c r="A102" s="186" t="s">
        <v>134</v>
      </c>
      <c r="B102" s="157"/>
      <c r="C102" s="34">
        <f t="shared" ref="C102:AK102" si="35">C101</f>
        <v>0</v>
      </c>
      <c r="D102" s="34">
        <f t="shared" si="35"/>
        <v>0</v>
      </c>
      <c r="E102" s="34">
        <f t="shared" si="35"/>
        <v>0</v>
      </c>
      <c r="F102" s="34">
        <f t="shared" si="35"/>
        <v>572</v>
      </c>
      <c r="G102" s="34">
        <f t="shared" si="35"/>
        <v>2500</v>
      </c>
      <c r="H102" s="34">
        <f t="shared" si="35"/>
        <v>2500</v>
      </c>
      <c r="I102" s="34">
        <f t="shared" si="35"/>
        <v>2500</v>
      </c>
      <c r="J102" s="34">
        <f t="shared" si="35"/>
        <v>2500</v>
      </c>
      <c r="K102" s="8">
        <f t="shared" si="35"/>
        <v>2500</v>
      </c>
      <c r="L102" s="8">
        <f t="shared" si="35"/>
        <v>2500</v>
      </c>
      <c r="M102" s="8">
        <f t="shared" si="35"/>
        <v>1250</v>
      </c>
      <c r="N102" s="8">
        <f t="shared" si="35"/>
        <v>1250</v>
      </c>
      <c r="O102" s="8">
        <f t="shared" si="35"/>
        <v>1250</v>
      </c>
      <c r="P102" s="8">
        <f t="shared" si="35"/>
        <v>500</v>
      </c>
      <c r="Q102" s="8">
        <f t="shared" si="35"/>
        <v>500</v>
      </c>
      <c r="R102" s="8">
        <f t="shared" si="35"/>
        <v>500</v>
      </c>
      <c r="S102" s="8">
        <f t="shared" si="35"/>
        <v>500</v>
      </c>
      <c r="T102" s="8">
        <f t="shared" si="35"/>
        <v>500</v>
      </c>
      <c r="U102" s="8">
        <f t="shared" si="35"/>
        <v>375</v>
      </c>
      <c r="V102" s="8">
        <f t="shared" si="35"/>
        <v>375</v>
      </c>
      <c r="W102" s="8">
        <f t="shared" si="35"/>
        <v>375</v>
      </c>
      <c r="X102" s="8">
        <f t="shared" si="35"/>
        <v>375</v>
      </c>
      <c r="Y102" s="8">
        <f t="shared" si="35"/>
        <v>300</v>
      </c>
      <c r="Z102" s="8">
        <f t="shared" si="35"/>
        <v>300</v>
      </c>
      <c r="AA102" s="8">
        <f t="shared" si="35"/>
        <v>300</v>
      </c>
      <c r="AB102" s="8">
        <f t="shared" si="35"/>
        <v>300</v>
      </c>
      <c r="AC102" s="8">
        <f t="shared" si="35"/>
        <v>300</v>
      </c>
      <c r="AD102" s="8">
        <f t="shared" si="35"/>
        <v>250</v>
      </c>
      <c r="AE102" s="8">
        <f t="shared" si="35"/>
        <v>250</v>
      </c>
      <c r="AF102" s="8">
        <f t="shared" si="35"/>
        <v>250</v>
      </c>
      <c r="AG102" s="8">
        <f t="shared" si="35"/>
        <v>250</v>
      </c>
      <c r="AH102" s="8">
        <f t="shared" si="35"/>
        <v>1500</v>
      </c>
      <c r="AI102" s="8">
        <f t="shared" si="35"/>
        <v>1500</v>
      </c>
      <c r="AJ102" s="8">
        <f t="shared" si="35"/>
        <v>1500</v>
      </c>
      <c r="AK102" s="8">
        <f t="shared" si="35"/>
        <v>1500</v>
      </c>
    </row>
    <row r="103" spans="1:37" ht="16.350000000000001" customHeight="1" x14ac:dyDescent="0.3">
      <c r="A103" s="34" t="s">
        <v>135</v>
      </c>
      <c r="B103" s="46"/>
      <c r="C103" s="34">
        <f>IFERROR(INDEX($C$102:$AK$102,1,1+ROUND(INDEX($H$5:$V$5,1,MATCH("RM09",$H$3:$V$3,0))/7,0)),0)</f>
        <v>2500</v>
      </c>
      <c r="D103" s="34">
        <f>IFERROR(INDEX($C$102:$AK$102,1,2+ROUND(INDEX($H$5:$V$5,1,MATCH("RM09",$H$3:$V$3,0))/7,0)),0)</f>
        <v>2500</v>
      </c>
      <c r="E103" s="34">
        <f>IFERROR(INDEX($C$102:$AK$102,1,3+ROUND(INDEX($H$5:$V$5,1,MATCH("RM09",$H$3:$V$3,0))/7,0)),0)</f>
        <v>2500</v>
      </c>
      <c r="F103" s="34">
        <f>IFERROR(INDEX($C$102:$AK$102,1,4+ROUND(INDEX($H$5:$V$5,1,MATCH("RM09",$H$3:$V$3,0))/7,0)),0)</f>
        <v>2500</v>
      </c>
      <c r="G103" s="34">
        <f>IFERROR(INDEX($C$102:$AK$102,1,5+ROUND(INDEX($H$5:$V$5,1,MATCH("RM09",$H$3:$V$3,0))/7,0)),0)</f>
        <v>2500</v>
      </c>
      <c r="H103" s="34">
        <f>IFERROR(INDEX($C$102:$AK$102,1,6+ROUND(INDEX($H$5:$V$5,1,MATCH("RM09",$H$3:$V$3,0))/7,0)),0)</f>
        <v>2500</v>
      </c>
      <c r="I103" s="34">
        <f>IFERROR(INDEX($C$102:$AK$102,1,7+ROUND(INDEX($H$5:$V$5,1,MATCH("RM09",$H$3:$V$3,0))/7,0)),0)</f>
        <v>1250</v>
      </c>
      <c r="J103" s="34">
        <f>IFERROR(INDEX($C$102:$AK$102,1,8+ROUND(INDEX($H$5:$V$5,1,MATCH("RM09",$H$3:$V$3,0))/7,0)),0)</f>
        <v>1250</v>
      </c>
      <c r="K103" s="8">
        <f>IFERROR(INDEX($C$102:$AK$102,1,9+ROUND(INDEX($H$5:$V$5,1,MATCH("RM09",$H$3:$V$3,0))/7,0)),0)</f>
        <v>1250</v>
      </c>
      <c r="L103" s="8">
        <f>IFERROR(INDEX($C$102:$AK$102,1,10+ROUND(INDEX($H$5:$V$5,1,MATCH("RM09",$H$3:$V$3,0))/7,0)),0)</f>
        <v>500</v>
      </c>
      <c r="M103" s="8">
        <f>IFERROR(INDEX($C$102:$AK$102,1,11+ROUND(INDEX($H$5:$V$5,1,MATCH("RM09",$H$3:$V$3,0))/7,0)),0)</f>
        <v>500</v>
      </c>
      <c r="N103" s="8">
        <f>IFERROR(INDEX($C$102:$AK$102,1,12+ROUND(INDEX($H$5:$V$5,1,MATCH("RM09",$H$3:$V$3,0))/7,0)),0)</f>
        <v>500</v>
      </c>
      <c r="O103" s="8">
        <f>IFERROR(INDEX($C$102:$AK$102,1,13+ROUND(INDEX($H$5:$V$5,1,MATCH("RM09",$H$3:$V$3,0))/7,0)),0)</f>
        <v>500</v>
      </c>
      <c r="P103" s="8">
        <f>IFERROR(INDEX($C$102:$AK$102,1,14+ROUND(INDEX($H$5:$V$5,1,MATCH("RM09",$H$3:$V$3,0))/7,0)),0)</f>
        <v>500</v>
      </c>
      <c r="Q103" s="8">
        <f>IFERROR(INDEX($C$102:$AK$102,1,15+ROUND(INDEX($H$5:$V$5,1,MATCH("RM09",$H$3:$V$3,0))/7,0)),0)</f>
        <v>375</v>
      </c>
      <c r="R103" s="8">
        <f>IFERROR(INDEX($C$102:$AK$102,1,16+ROUND(INDEX($H$5:$V$5,1,MATCH("RM09",$H$3:$V$3,0))/7,0)),0)</f>
        <v>375</v>
      </c>
      <c r="S103" s="8">
        <f>IFERROR(INDEX($C$102:$AK$102,1,17+ROUND(INDEX($H$5:$V$5,1,MATCH("RM09",$H$3:$V$3,0))/7,0)),0)</f>
        <v>375</v>
      </c>
      <c r="T103" s="8">
        <f>IFERROR(INDEX($C$102:$AK$102,1,18+ROUND(INDEX($H$5:$V$5,1,MATCH("RM09",$H$3:$V$3,0))/7,0)),0)</f>
        <v>375</v>
      </c>
      <c r="U103" s="8">
        <f>IFERROR(INDEX($C$102:$AK$102,1,19+ROUND(INDEX($H$5:$V$5,1,MATCH("RM09",$H$3:$V$3,0))/7,0)),0)</f>
        <v>300</v>
      </c>
      <c r="V103" s="8">
        <f>IFERROR(INDEX($C$102:$AK$102,1,20+ROUND(INDEX($H$5:$V$5,1,MATCH("RM09",$H$3:$V$3,0))/7,0)),0)</f>
        <v>300</v>
      </c>
      <c r="W103" s="8">
        <f>IFERROR(INDEX($C$102:$AK$102,1,21+ROUND(INDEX($H$5:$V$5,1,MATCH("RM09",$H$3:$V$3,0))/7,0)),0)</f>
        <v>300</v>
      </c>
      <c r="X103" s="8">
        <f>IFERROR(INDEX($C$102:$AK$102,1,22+ROUND(INDEX($H$5:$V$5,1,MATCH("RM09",$H$3:$V$3,0))/7,0)),0)</f>
        <v>300</v>
      </c>
      <c r="Y103" s="8">
        <f>IFERROR(INDEX($C$102:$AK$102,1,23+ROUND(INDEX($H$5:$V$5,1,MATCH("RM09",$H$3:$V$3,0))/7,0)),0)</f>
        <v>300</v>
      </c>
      <c r="Z103" s="8">
        <f>IFERROR(INDEX($C$102:$AK$102,1,24+ROUND(INDEX($H$5:$V$5,1,MATCH("RM09",$H$3:$V$3,0))/7,0)),0)</f>
        <v>250</v>
      </c>
      <c r="AA103" s="8">
        <f>IFERROR(INDEX($C$102:$AK$102,1,25+ROUND(INDEX($H$5:$V$5,1,MATCH("RM09",$H$3:$V$3,0))/7,0)),0)</f>
        <v>250</v>
      </c>
      <c r="AB103" s="8">
        <f>IFERROR(INDEX($C$102:$AK$102,1,26+ROUND(INDEX($H$5:$V$5,1,MATCH("RM09",$H$3:$V$3,0))/7,0)),0)</f>
        <v>250</v>
      </c>
      <c r="AC103" s="8">
        <f>IFERROR(INDEX($C$102:$AK$102,1,27+ROUND(INDEX($H$5:$V$5,1,MATCH("RM09",$H$3:$V$3,0))/7,0)),0)</f>
        <v>250</v>
      </c>
      <c r="AD103" s="8">
        <f>IFERROR(INDEX($C$102:$AK$102,1,28+ROUND(INDEX($H$5:$V$5,1,MATCH("RM09",$H$3:$V$3,0))/7,0)),0)</f>
        <v>1500</v>
      </c>
      <c r="AE103" s="8">
        <f>IFERROR(INDEX($C$102:$AK$102,1,29+ROUND(INDEX($H$5:$V$5,1,MATCH("RM09",$H$3:$V$3,0))/7,0)),0)</f>
        <v>1500</v>
      </c>
      <c r="AF103" s="8">
        <f>IFERROR(INDEX($C$102:$AK$102,1,30+ROUND(INDEX($H$5:$V$5,1,MATCH("RM09",$H$3:$V$3,0))/7,0)),0)</f>
        <v>1500</v>
      </c>
      <c r="AG103" s="8">
        <f>IFERROR(INDEX($C$102:$AK$102,1,31+ROUND(INDEX($H$5:$V$5,1,MATCH("RM09",$H$3:$V$3,0))/7,0)),0)</f>
        <v>1500</v>
      </c>
      <c r="AH103" s="8">
        <f>IFERROR(INDEX($C$102:$AK$102,1,32+ROUND(INDEX($H$5:$V$5,1,MATCH("RM09",$H$3:$V$3,0))/7,0)),0)</f>
        <v>0</v>
      </c>
      <c r="AI103" s="8">
        <f>IFERROR(INDEX($C$102:$AK$102,1,33+ROUND(INDEX($H$5:$V$5,1,MATCH("RM09",$H$3:$V$3,0))/7,0)),0)</f>
        <v>0</v>
      </c>
      <c r="AJ103" s="8">
        <f>IFERROR(INDEX($C$102:$AK$102,1,34+ROUND(INDEX($H$5:$V$5,1,MATCH("RM09",$H$3:$V$3,0))/7,0)),0)</f>
        <v>0</v>
      </c>
      <c r="AK103" s="8">
        <f>IFERROR(INDEX($C$102:$AK$102,1,35+ROUND(INDEX($H$5:$V$5,1,MATCH("RM09",$H$3:$V$3,0))/7,0)),0)</f>
        <v>0</v>
      </c>
    </row>
    <row r="105" spans="1:37" ht="16.350000000000001" customHeight="1" x14ac:dyDescent="0.3">
      <c r="A105" s="47" t="s">
        <v>150</v>
      </c>
      <c r="B105" s="47" t="s">
        <v>140</v>
      </c>
      <c r="C105" s="187" t="s">
        <v>130</v>
      </c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  <c r="AA105" s="156"/>
      <c r="AB105" s="156"/>
      <c r="AC105" s="156"/>
      <c r="AD105" s="156"/>
      <c r="AE105" s="156"/>
      <c r="AF105" s="156"/>
      <c r="AG105" s="156"/>
      <c r="AH105" s="156"/>
      <c r="AI105" s="156"/>
      <c r="AJ105" s="156"/>
      <c r="AK105" s="157"/>
    </row>
    <row r="106" spans="1:37" ht="16.350000000000001" customHeight="1" x14ac:dyDescent="0.3">
      <c r="A106" s="47" t="s">
        <v>131</v>
      </c>
      <c r="B106" s="47" t="str">
        <f>"LT: "&amp;ROUND(INDEX($H$5:$V$5,1,MATCH("RM10",$H$3:$V$3,0))/7,0)</f>
        <v>LT: 11</v>
      </c>
      <c r="C106" s="48" cm="1">
        <f t="array" ref="C106:AK106">TRANSPOSE(BOM_demand!$A$2:$A$36)</f>
        <v>46132</v>
      </c>
      <c r="D106" s="48">
        <v>46139</v>
      </c>
      <c r="E106" s="48">
        <v>46146</v>
      </c>
      <c r="F106" s="48">
        <v>46153</v>
      </c>
      <c r="G106" s="48">
        <v>46160</v>
      </c>
      <c r="H106" s="48">
        <v>46167</v>
      </c>
      <c r="I106" s="48">
        <v>46174</v>
      </c>
      <c r="J106" s="48">
        <v>46181</v>
      </c>
      <c r="K106" s="48">
        <v>46188</v>
      </c>
      <c r="L106" s="48">
        <v>46195</v>
      </c>
      <c r="M106" s="48">
        <v>46202</v>
      </c>
      <c r="N106" s="48">
        <v>46209</v>
      </c>
      <c r="O106" s="48">
        <v>46216</v>
      </c>
      <c r="P106" s="48">
        <v>46223</v>
      </c>
      <c r="Q106" s="48">
        <v>46230</v>
      </c>
      <c r="R106" s="48">
        <v>46237</v>
      </c>
      <c r="S106" s="48">
        <v>46244</v>
      </c>
      <c r="T106" s="48">
        <v>46251</v>
      </c>
      <c r="U106" s="48">
        <v>46258</v>
      </c>
      <c r="V106" s="48">
        <v>46265</v>
      </c>
      <c r="W106" s="48">
        <v>46272</v>
      </c>
      <c r="X106" s="48">
        <v>46279</v>
      </c>
      <c r="Y106" s="48">
        <v>46286</v>
      </c>
      <c r="Z106" s="48">
        <v>46293</v>
      </c>
      <c r="AA106" s="48">
        <v>46300</v>
      </c>
      <c r="AB106" s="48">
        <v>46307</v>
      </c>
      <c r="AC106" s="48">
        <v>46314</v>
      </c>
      <c r="AD106" s="48">
        <v>46321</v>
      </c>
      <c r="AE106" s="48">
        <v>46328</v>
      </c>
      <c r="AF106" s="48">
        <v>46335</v>
      </c>
      <c r="AG106" s="48">
        <v>46342</v>
      </c>
      <c r="AH106" s="48">
        <v>46349</v>
      </c>
      <c r="AI106" s="48">
        <v>46356</v>
      </c>
      <c r="AJ106" s="48">
        <v>46363</v>
      </c>
      <c r="AK106" s="48">
        <v>46370</v>
      </c>
    </row>
    <row r="107" spans="1:37" ht="16.350000000000001" customHeight="1" x14ac:dyDescent="0.3">
      <c r="A107" s="51" t="s">
        <v>132</v>
      </c>
      <c r="C107" s="34" cm="1">
        <f t="array" ref="C107:AK107">TRANSPOSE(BOM_demand!$Q$2:$Q$36)</f>
        <v>0</v>
      </c>
      <c r="D107" s="34">
        <v>0</v>
      </c>
      <c r="E107" s="34">
        <v>10000</v>
      </c>
      <c r="F107" s="34">
        <v>10000</v>
      </c>
      <c r="G107" s="34">
        <v>10000</v>
      </c>
      <c r="H107" s="34">
        <v>10000</v>
      </c>
      <c r="I107" s="34">
        <v>2002</v>
      </c>
      <c r="J107" s="34">
        <v>4942</v>
      </c>
      <c r="K107" s="34">
        <v>6916</v>
      </c>
      <c r="L107" s="34">
        <v>1000</v>
      </c>
      <c r="M107" s="34">
        <v>1000</v>
      </c>
      <c r="N107" s="34">
        <v>1000</v>
      </c>
      <c r="O107" s="34">
        <v>1000</v>
      </c>
      <c r="P107" s="34">
        <v>0</v>
      </c>
      <c r="Q107" s="34">
        <v>0</v>
      </c>
      <c r="R107" s="34">
        <v>800</v>
      </c>
      <c r="S107" s="34">
        <v>0</v>
      </c>
      <c r="T107" s="34">
        <v>0</v>
      </c>
      <c r="U107" s="34">
        <v>800</v>
      </c>
      <c r="V107" s="34">
        <v>0</v>
      </c>
      <c r="W107" s="34">
        <v>800</v>
      </c>
      <c r="X107" s="34">
        <v>0</v>
      </c>
      <c r="Y107" s="34">
        <v>720</v>
      </c>
      <c r="Z107" s="34">
        <v>720</v>
      </c>
      <c r="AA107" s="34">
        <v>720</v>
      </c>
      <c r="AB107" s="34">
        <v>720</v>
      </c>
      <c r="AC107" s="34">
        <v>720</v>
      </c>
      <c r="AD107" s="34">
        <v>2000</v>
      </c>
      <c r="AE107" s="34">
        <v>2000</v>
      </c>
      <c r="AF107" s="34">
        <v>2000</v>
      </c>
      <c r="AG107" s="34">
        <v>2000</v>
      </c>
      <c r="AH107" s="34">
        <v>2500</v>
      </c>
      <c r="AI107" s="34">
        <v>2500</v>
      </c>
      <c r="AJ107" s="34">
        <v>2500</v>
      </c>
      <c r="AK107" s="34">
        <v>2500</v>
      </c>
    </row>
    <row r="108" spans="1:37" ht="16.350000000000001" customHeight="1" x14ac:dyDescent="0.3">
      <c r="A108" s="186" t="s">
        <v>129</v>
      </c>
      <c r="B108" s="157"/>
      <c r="C108" s="34">
        <f>IFERROR(INDEX($H$7:$V$7,1,MATCH("RM10",$H$3:$V$3,0)),0)</f>
        <v>5000</v>
      </c>
      <c r="D108" s="34">
        <f>0</f>
        <v>0</v>
      </c>
      <c r="E108" s="34">
        <f>0</f>
        <v>0</v>
      </c>
      <c r="F108" s="34">
        <f>0</f>
        <v>0</v>
      </c>
      <c r="G108" s="34">
        <f>0</f>
        <v>0</v>
      </c>
      <c r="H108" s="34">
        <f>0</f>
        <v>0</v>
      </c>
      <c r="I108" s="34">
        <f>0</f>
        <v>0</v>
      </c>
      <c r="J108" s="34">
        <f>0</f>
        <v>0</v>
      </c>
      <c r="K108" s="8">
        <f>0</f>
        <v>0</v>
      </c>
      <c r="L108" s="8">
        <f>0</f>
        <v>0</v>
      </c>
      <c r="M108" s="8">
        <f>0</f>
        <v>0</v>
      </c>
      <c r="N108" s="8">
        <f>0</f>
        <v>0</v>
      </c>
      <c r="O108" s="8">
        <f>0</f>
        <v>0</v>
      </c>
      <c r="P108" s="8">
        <f>0</f>
        <v>0</v>
      </c>
      <c r="Q108" s="8">
        <f>0</f>
        <v>0</v>
      </c>
      <c r="R108" s="8">
        <f>0</f>
        <v>0</v>
      </c>
      <c r="S108" s="8">
        <f>0</f>
        <v>0</v>
      </c>
      <c r="T108" s="8">
        <f>0</f>
        <v>0</v>
      </c>
      <c r="U108" s="8">
        <f>0</f>
        <v>0</v>
      </c>
      <c r="V108" s="8">
        <f>0</f>
        <v>0</v>
      </c>
      <c r="W108" s="8">
        <f>0</f>
        <v>0</v>
      </c>
      <c r="X108" s="8">
        <f>0</f>
        <v>0</v>
      </c>
      <c r="Y108" s="8">
        <f>0</f>
        <v>0</v>
      </c>
      <c r="Z108" s="8">
        <f>0</f>
        <v>0</v>
      </c>
      <c r="AA108" s="8">
        <f>0</f>
        <v>0</v>
      </c>
      <c r="AB108" s="8">
        <f>0</f>
        <v>0</v>
      </c>
      <c r="AC108" s="8">
        <f>0</f>
        <v>0</v>
      </c>
      <c r="AD108" s="8">
        <f>0</f>
        <v>0</v>
      </c>
      <c r="AE108" s="8">
        <f>0</f>
        <v>0</v>
      </c>
      <c r="AF108" s="8">
        <f>0</f>
        <v>0</v>
      </c>
      <c r="AG108" s="8">
        <f>0</f>
        <v>0</v>
      </c>
      <c r="AH108" s="8">
        <f>0</f>
        <v>0</v>
      </c>
      <c r="AI108" s="8">
        <f>0</f>
        <v>0</v>
      </c>
      <c r="AJ108" s="8">
        <f>0</f>
        <v>0</v>
      </c>
      <c r="AK108" s="8">
        <f>0</f>
        <v>0</v>
      </c>
    </row>
    <row r="109" spans="1:37" ht="16.350000000000001" customHeight="1" x14ac:dyDescent="0.3">
      <c r="A109" s="34" t="s">
        <v>137</v>
      </c>
      <c r="B109" s="46">
        <f>IFERROR(INDEX($H$8:$V$8,1,MATCH("RM10",$H$3:$V$3,0)),0)</f>
        <v>4678</v>
      </c>
      <c r="C109" s="34">
        <f t="shared" ref="C109:AK109" si="36">$B109</f>
        <v>4678</v>
      </c>
      <c r="D109" s="34">
        <f t="shared" si="36"/>
        <v>4678</v>
      </c>
      <c r="E109" s="34">
        <f t="shared" si="36"/>
        <v>4678</v>
      </c>
      <c r="F109" s="34">
        <f t="shared" si="36"/>
        <v>4678</v>
      </c>
      <c r="G109" s="34">
        <f t="shared" si="36"/>
        <v>4678</v>
      </c>
      <c r="H109" s="34">
        <f t="shared" si="36"/>
        <v>4678</v>
      </c>
      <c r="I109" s="34">
        <f t="shared" si="36"/>
        <v>4678</v>
      </c>
      <c r="J109" s="34">
        <f t="shared" si="36"/>
        <v>4678</v>
      </c>
      <c r="K109" s="8">
        <f t="shared" si="36"/>
        <v>4678</v>
      </c>
      <c r="L109" s="8">
        <f t="shared" si="36"/>
        <v>4678</v>
      </c>
      <c r="M109" s="8">
        <f t="shared" si="36"/>
        <v>4678</v>
      </c>
      <c r="N109" s="8">
        <f t="shared" si="36"/>
        <v>4678</v>
      </c>
      <c r="O109" s="8">
        <f t="shared" si="36"/>
        <v>4678</v>
      </c>
      <c r="P109" s="8">
        <f t="shared" si="36"/>
        <v>4678</v>
      </c>
      <c r="Q109" s="8">
        <f t="shared" si="36"/>
        <v>4678</v>
      </c>
      <c r="R109" s="8">
        <f t="shared" si="36"/>
        <v>4678</v>
      </c>
      <c r="S109" s="8">
        <f t="shared" si="36"/>
        <v>4678</v>
      </c>
      <c r="T109" s="8">
        <f t="shared" si="36"/>
        <v>4678</v>
      </c>
      <c r="U109" s="8">
        <f t="shared" si="36"/>
        <v>4678</v>
      </c>
      <c r="V109" s="8">
        <f t="shared" si="36"/>
        <v>4678</v>
      </c>
      <c r="W109" s="8">
        <f t="shared" si="36"/>
        <v>4678</v>
      </c>
      <c r="X109" s="8">
        <f t="shared" si="36"/>
        <v>4678</v>
      </c>
      <c r="Y109" s="8">
        <f t="shared" si="36"/>
        <v>4678</v>
      </c>
      <c r="Z109" s="8">
        <f t="shared" si="36"/>
        <v>4678</v>
      </c>
      <c r="AA109" s="8">
        <f t="shared" si="36"/>
        <v>4678</v>
      </c>
      <c r="AB109" s="8">
        <f t="shared" si="36"/>
        <v>4678</v>
      </c>
      <c r="AC109" s="8">
        <f t="shared" si="36"/>
        <v>4678</v>
      </c>
      <c r="AD109" s="8">
        <f t="shared" si="36"/>
        <v>4678</v>
      </c>
      <c r="AE109" s="8">
        <f t="shared" si="36"/>
        <v>4678</v>
      </c>
      <c r="AF109" s="8">
        <f t="shared" si="36"/>
        <v>4678</v>
      </c>
      <c r="AG109" s="8">
        <f t="shared" si="36"/>
        <v>4678</v>
      </c>
      <c r="AH109" s="8">
        <f t="shared" si="36"/>
        <v>4678</v>
      </c>
      <c r="AI109" s="8">
        <f t="shared" si="36"/>
        <v>4678</v>
      </c>
      <c r="AJ109" s="8">
        <f t="shared" si="36"/>
        <v>4678</v>
      </c>
      <c r="AK109" s="8">
        <f t="shared" si="36"/>
        <v>4678</v>
      </c>
    </row>
    <row r="110" spans="1:37" ht="16.350000000000001" customHeight="1" x14ac:dyDescent="0.3">
      <c r="A110" s="34" t="s">
        <v>133</v>
      </c>
      <c r="B110" s="46">
        <f>IFERROR(INDEX($H$6:$V$6,1,MATCH("RM10",$H$3:$V$3,0)),0)</f>
        <v>60000</v>
      </c>
      <c r="C110" s="34">
        <f>$B110+C108+C112-C107</f>
        <v>65000</v>
      </c>
      <c r="D110" s="34">
        <f t="shared" ref="D110:AK110" si="37">C110+D108+D112-D107</f>
        <v>65000</v>
      </c>
      <c r="E110" s="34">
        <f t="shared" si="37"/>
        <v>55000</v>
      </c>
      <c r="F110" s="34">
        <f t="shared" si="37"/>
        <v>45000</v>
      </c>
      <c r="G110" s="34">
        <f t="shared" si="37"/>
        <v>35000</v>
      </c>
      <c r="H110" s="34">
        <f t="shared" si="37"/>
        <v>25000</v>
      </c>
      <c r="I110" s="34">
        <f t="shared" si="37"/>
        <v>22998</v>
      </c>
      <c r="J110" s="34">
        <f t="shared" si="37"/>
        <v>18056</v>
      </c>
      <c r="K110" s="8">
        <f t="shared" si="37"/>
        <v>11140</v>
      </c>
      <c r="L110" s="8">
        <f t="shared" si="37"/>
        <v>10140</v>
      </c>
      <c r="M110" s="8">
        <f t="shared" si="37"/>
        <v>9140</v>
      </c>
      <c r="N110" s="8">
        <f t="shared" si="37"/>
        <v>8140</v>
      </c>
      <c r="O110" s="8">
        <f t="shared" si="37"/>
        <v>7140</v>
      </c>
      <c r="P110" s="8">
        <f t="shared" si="37"/>
        <v>7140</v>
      </c>
      <c r="Q110" s="8">
        <f t="shared" si="37"/>
        <v>7140</v>
      </c>
      <c r="R110" s="8">
        <f t="shared" si="37"/>
        <v>6340</v>
      </c>
      <c r="S110" s="8">
        <f t="shared" si="37"/>
        <v>6340</v>
      </c>
      <c r="T110" s="8">
        <f t="shared" si="37"/>
        <v>6340</v>
      </c>
      <c r="U110" s="8">
        <f t="shared" si="37"/>
        <v>5540</v>
      </c>
      <c r="V110" s="8">
        <f t="shared" si="37"/>
        <v>5540</v>
      </c>
      <c r="W110" s="8">
        <f t="shared" si="37"/>
        <v>4740</v>
      </c>
      <c r="X110" s="8">
        <f t="shared" si="37"/>
        <v>4740</v>
      </c>
      <c r="Y110" s="8">
        <f t="shared" si="37"/>
        <v>4678</v>
      </c>
      <c r="Z110" s="8">
        <f t="shared" si="37"/>
        <v>4678</v>
      </c>
      <c r="AA110" s="8">
        <f t="shared" si="37"/>
        <v>4678</v>
      </c>
      <c r="AB110" s="8">
        <f t="shared" si="37"/>
        <v>4678</v>
      </c>
      <c r="AC110" s="8">
        <f t="shared" si="37"/>
        <v>4678</v>
      </c>
      <c r="AD110" s="8">
        <f t="shared" si="37"/>
        <v>4678</v>
      </c>
      <c r="AE110" s="8">
        <f t="shared" si="37"/>
        <v>4678</v>
      </c>
      <c r="AF110" s="8">
        <f t="shared" si="37"/>
        <v>4678</v>
      </c>
      <c r="AG110" s="8">
        <f t="shared" si="37"/>
        <v>4678</v>
      </c>
      <c r="AH110" s="8">
        <f t="shared" si="37"/>
        <v>4678</v>
      </c>
      <c r="AI110" s="8">
        <f t="shared" si="37"/>
        <v>4678</v>
      </c>
      <c r="AJ110" s="8">
        <f t="shared" si="37"/>
        <v>4678</v>
      </c>
      <c r="AK110" s="8">
        <f t="shared" si="37"/>
        <v>4678</v>
      </c>
    </row>
    <row r="111" spans="1:37" ht="16.350000000000001" customHeight="1" x14ac:dyDescent="0.3">
      <c r="A111" s="34" t="s">
        <v>141</v>
      </c>
      <c r="B111" s="46"/>
      <c r="C111" s="34">
        <f>MAX(C107+C109-($B110+C108),0)</f>
        <v>0</v>
      </c>
      <c r="D111" s="34">
        <f t="shared" ref="D111:AK111" si="38">MAX(D107+D109-(C110+D108),0)</f>
        <v>0</v>
      </c>
      <c r="E111" s="34">
        <f t="shared" si="38"/>
        <v>0</v>
      </c>
      <c r="F111" s="34">
        <f t="shared" si="38"/>
        <v>0</v>
      </c>
      <c r="G111" s="34">
        <f t="shared" si="38"/>
        <v>0</v>
      </c>
      <c r="H111" s="34">
        <f t="shared" si="38"/>
        <v>0</v>
      </c>
      <c r="I111" s="34">
        <f t="shared" si="38"/>
        <v>0</v>
      </c>
      <c r="J111" s="34">
        <f t="shared" si="38"/>
        <v>0</v>
      </c>
      <c r="K111" s="8">
        <f t="shared" si="38"/>
        <v>0</v>
      </c>
      <c r="L111" s="8">
        <f t="shared" si="38"/>
        <v>0</v>
      </c>
      <c r="M111" s="8">
        <f t="shared" si="38"/>
        <v>0</v>
      </c>
      <c r="N111" s="8">
        <f t="shared" si="38"/>
        <v>0</v>
      </c>
      <c r="O111" s="8">
        <f t="shared" si="38"/>
        <v>0</v>
      </c>
      <c r="P111" s="8">
        <f t="shared" si="38"/>
        <v>0</v>
      </c>
      <c r="Q111" s="8">
        <f t="shared" si="38"/>
        <v>0</v>
      </c>
      <c r="R111" s="8">
        <f t="shared" si="38"/>
        <v>0</v>
      </c>
      <c r="S111" s="8">
        <f t="shared" si="38"/>
        <v>0</v>
      </c>
      <c r="T111" s="8">
        <f t="shared" si="38"/>
        <v>0</v>
      </c>
      <c r="U111" s="8">
        <f t="shared" si="38"/>
        <v>0</v>
      </c>
      <c r="V111" s="8">
        <f t="shared" si="38"/>
        <v>0</v>
      </c>
      <c r="W111" s="8">
        <f t="shared" si="38"/>
        <v>0</v>
      </c>
      <c r="X111" s="8">
        <f t="shared" si="38"/>
        <v>0</v>
      </c>
      <c r="Y111" s="8">
        <f t="shared" si="38"/>
        <v>658</v>
      </c>
      <c r="Z111" s="8">
        <f t="shared" si="38"/>
        <v>720</v>
      </c>
      <c r="AA111" s="8">
        <f t="shared" si="38"/>
        <v>720</v>
      </c>
      <c r="AB111" s="8">
        <f t="shared" si="38"/>
        <v>720</v>
      </c>
      <c r="AC111" s="8">
        <f t="shared" si="38"/>
        <v>720</v>
      </c>
      <c r="AD111" s="8">
        <f t="shared" si="38"/>
        <v>2000</v>
      </c>
      <c r="AE111" s="8">
        <f t="shared" si="38"/>
        <v>2000</v>
      </c>
      <c r="AF111" s="8">
        <f t="shared" si="38"/>
        <v>2000</v>
      </c>
      <c r="AG111" s="8">
        <f t="shared" si="38"/>
        <v>2000</v>
      </c>
      <c r="AH111" s="8">
        <f t="shared" si="38"/>
        <v>2500</v>
      </c>
      <c r="AI111" s="8">
        <f t="shared" si="38"/>
        <v>2500</v>
      </c>
      <c r="AJ111" s="8">
        <f t="shared" si="38"/>
        <v>2500</v>
      </c>
      <c r="AK111" s="8">
        <f t="shared" si="38"/>
        <v>2500</v>
      </c>
    </row>
    <row r="112" spans="1:37" ht="16.350000000000001" customHeight="1" x14ac:dyDescent="0.3">
      <c r="A112" s="186" t="s">
        <v>134</v>
      </c>
      <c r="B112" s="157"/>
      <c r="C112" s="34">
        <f t="shared" ref="C112:AK112" si="39">C111</f>
        <v>0</v>
      </c>
      <c r="D112" s="34">
        <f t="shared" si="39"/>
        <v>0</v>
      </c>
      <c r="E112" s="34">
        <f t="shared" si="39"/>
        <v>0</v>
      </c>
      <c r="F112" s="34">
        <f t="shared" si="39"/>
        <v>0</v>
      </c>
      <c r="G112" s="34">
        <f t="shared" si="39"/>
        <v>0</v>
      </c>
      <c r="H112" s="34">
        <f t="shared" si="39"/>
        <v>0</v>
      </c>
      <c r="I112" s="34">
        <f t="shared" si="39"/>
        <v>0</v>
      </c>
      <c r="J112" s="34">
        <f t="shared" si="39"/>
        <v>0</v>
      </c>
      <c r="K112" s="8">
        <f t="shared" si="39"/>
        <v>0</v>
      </c>
      <c r="L112" s="8">
        <f t="shared" si="39"/>
        <v>0</v>
      </c>
      <c r="M112" s="8">
        <f t="shared" si="39"/>
        <v>0</v>
      </c>
      <c r="N112" s="8">
        <f t="shared" si="39"/>
        <v>0</v>
      </c>
      <c r="O112" s="8">
        <f t="shared" si="39"/>
        <v>0</v>
      </c>
      <c r="P112" s="8">
        <f t="shared" si="39"/>
        <v>0</v>
      </c>
      <c r="Q112" s="8">
        <f t="shared" si="39"/>
        <v>0</v>
      </c>
      <c r="R112" s="8">
        <f t="shared" si="39"/>
        <v>0</v>
      </c>
      <c r="S112" s="8">
        <f t="shared" si="39"/>
        <v>0</v>
      </c>
      <c r="T112" s="8">
        <f t="shared" si="39"/>
        <v>0</v>
      </c>
      <c r="U112" s="8">
        <f t="shared" si="39"/>
        <v>0</v>
      </c>
      <c r="V112" s="8">
        <f t="shared" si="39"/>
        <v>0</v>
      </c>
      <c r="W112" s="8">
        <f t="shared" si="39"/>
        <v>0</v>
      </c>
      <c r="X112" s="8">
        <f t="shared" si="39"/>
        <v>0</v>
      </c>
      <c r="Y112" s="8">
        <f t="shared" si="39"/>
        <v>658</v>
      </c>
      <c r="Z112" s="8">
        <f t="shared" si="39"/>
        <v>720</v>
      </c>
      <c r="AA112" s="8">
        <f t="shared" si="39"/>
        <v>720</v>
      </c>
      <c r="AB112" s="8">
        <f t="shared" si="39"/>
        <v>720</v>
      </c>
      <c r="AC112" s="8">
        <f t="shared" si="39"/>
        <v>720</v>
      </c>
      <c r="AD112" s="8">
        <f t="shared" si="39"/>
        <v>2000</v>
      </c>
      <c r="AE112" s="8">
        <f t="shared" si="39"/>
        <v>2000</v>
      </c>
      <c r="AF112" s="8">
        <f t="shared" si="39"/>
        <v>2000</v>
      </c>
      <c r="AG112" s="8">
        <f t="shared" si="39"/>
        <v>2000</v>
      </c>
      <c r="AH112" s="8">
        <f t="shared" si="39"/>
        <v>2500</v>
      </c>
      <c r="AI112" s="8">
        <f t="shared" si="39"/>
        <v>2500</v>
      </c>
      <c r="AJ112" s="8">
        <f t="shared" si="39"/>
        <v>2500</v>
      </c>
      <c r="AK112" s="8">
        <f t="shared" si="39"/>
        <v>2500</v>
      </c>
    </row>
    <row r="113" spans="1:37" ht="16.350000000000001" customHeight="1" x14ac:dyDescent="0.3">
      <c r="A113" s="34" t="s">
        <v>135</v>
      </c>
      <c r="B113" s="46"/>
      <c r="C113" s="34">
        <f>IFERROR(INDEX($C$112:$AK$112,1,1+ROUND(INDEX($H$5:$V$5,1,MATCH("RM10",$H$3:$V$3,0))/7,0)),0)</f>
        <v>0</v>
      </c>
      <c r="D113" s="34">
        <f>IFERROR(INDEX($C$112:$AK$112,1,2+ROUND(INDEX($H$5:$V$5,1,MATCH("RM10",$H$3:$V$3,0))/7,0)),0)</f>
        <v>0</v>
      </c>
      <c r="E113" s="34">
        <f>IFERROR(INDEX($C$112:$AK$112,1,3+ROUND(INDEX($H$5:$V$5,1,MATCH("RM10",$H$3:$V$3,0))/7,0)),0)</f>
        <v>0</v>
      </c>
      <c r="F113" s="34">
        <f>IFERROR(INDEX($C$112:$AK$112,1,4+ROUND(INDEX($H$5:$V$5,1,MATCH("RM10",$H$3:$V$3,0))/7,0)),0)</f>
        <v>0</v>
      </c>
      <c r="G113" s="34">
        <f>IFERROR(INDEX($C$112:$AK$112,1,5+ROUND(INDEX($H$5:$V$5,1,MATCH("RM10",$H$3:$V$3,0))/7,0)),0)</f>
        <v>0</v>
      </c>
      <c r="H113" s="34">
        <f>IFERROR(INDEX($C$112:$AK$112,1,6+ROUND(INDEX($H$5:$V$5,1,MATCH("RM10",$H$3:$V$3,0))/7,0)),0)</f>
        <v>0</v>
      </c>
      <c r="I113" s="34">
        <f>IFERROR(INDEX($C$112:$AK$112,1,7+ROUND(INDEX($H$5:$V$5,1,MATCH("RM10",$H$3:$V$3,0))/7,0)),0)</f>
        <v>0</v>
      </c>
      <c r="J113" s="34">
        <f>IFERROR(INDEX($C$112:$AK$112,1,8+ROUND(INDEX($H$5:$V$5,1,MATCH("RM10",$H$3:$V$3,0))/7,0)),0)</f>
        <v>0</v>
      </c>
      <c r="K113" s="8">
        <f>IFERROR(INDEX($C$112:$AK$112,1,9+ROUND(INDEX($H$5:$V$5,1,MATCH("RM10",$H$3:$V$3,0))/7,0)),0)</f>
        <v>0</v>
      </c>
      <c r="L113" s="8">
        <f>IFERROR(INDEX($C$112:$AK$112,1,10+ROUND(INDEX($H$5:$V$5,1,MATCH("RM10",$H$3:$V$3,0))/7,0)),0)</f>
        <v>0</v>
      </c>
      <c r="M113" s="8">
        <f>IFERROR(INDEX($C$112:$AK$112,1,11+ROUND(INDEX($H$5:$V$5,1,MATCH("RM10",$H$3:$V$3,0))/7,0)),0)</f>
        <v>0</v>
      </c>
      <c r="N113" s="8">
        <f>IFERROR(INDEX($C$112:$AK$112,1,12+ROUND(INDEX($H$5:$V$5,1,MATCH("RM10",$H$3:$V$3,0))/7,0)),0)</f>
        <v>658</v>
      </c>
      <c r="O113" s="8">
        <f>IFERROR(INDEX($C$112:$AK$112,1,13+ROUND(INDEX($H$5:$V$5,1,MATCH("RM10",$H$3:$V$3,0))/7,0)),0)</f>
        <v>720</v>
      </c>
      <c r="P113" s="8">
        <f>IFERROR(INDEX($C$112:$AK$112,1,14+ROUND(INDEX($H$5:$V$5,1,MATCH("RM10",$H$3:$V$3,0))/7,0)),0)</f>
        <v>720</v>
      </c>
      <c r="Q113" s="8">
        <f>IFERROR(INDEX($C$112:$AK$112,1,15+ROUND(INDEX($H$5:$V$5,1,MATCH("RM10",$H$3:$V$3,0))/7,0)),0)</f>
        <v>720</v>
      </c>
      <c r="R113" s="8">
        <f>IFERROR(INDEX($C$112:$AK$112,1,16+ROUND(INDEX($H$5:$V$5,1,MATCH("RM10",$H$3:$V$3,0))/7,0)),0)</f>
        <v>720</v>
      </c>
      <c r="S113" s="8">
        <f>IFERROR(INDEX($C$112:$AK$112,1,17+ROUND(INDEX($H$5:$V$5,1,MATCH("RM10",$H$3:$V$3,0))/7,0)),0)</f>
        <v>2000</v>
      </c>
      <c r="T113" s="8">
        <f>IFERROR(INDEX($C$112:$AK$112,1,18+ROUND(INDEX($H$5:$V$5,1,MATCH("RM10",$H$3:$V$3,0))/7,0)),0)</f>
        <v>2000</v>
      </c>
      <c r="U113" s="8">
        <f>IFERROR(INDEX($C$112:$AK$112,1,19+ROUND(INDEX($H$5:$V$5,1,MATCH("RM10",$H$3:$V$3,0))/7,0)),0)</f>
        <v>2000</v>
      </c>
      <c r="V113" s="8">
        <f>IFERROR(INDEX($C$112:$AK$112,1,20+ROUND(INDEX($H$5:$V$5,1,MATCH("RM10",$H$3:$V$3,0))/7,0)),0)</f>
        <v>2000</v>
      </c>
      <c r="W113" s="8">
        <f>IFERROR(INDEX($C$112:$AK$112,1,21+ROUND(INDEX($H$5:$V$5,1,MATCH("RM10",$H$3:$V$3,0))/7,0)),0)</f>
        <v>2500</v>
      </c>
      <c r="X113" s="8">
        <f>IFERROR(INDEX($C$112:$AK$112,1,22+ROUND(INDEX($H$5:$V$5,1,MATCH("RM10",$H$3:$V$3,0))/7,0)),0)</f>
        <v>2500</v>
      </c>
      <c r="Y113" s="8">
        <f>IFERROR(INDEX($C$112:$AK$112,1,23+ROUND(INDEX($H$5:$V$5,1,MATCH("RM10",$H$3:$V$3,0))/7,0)),0)</f>
        <v>2500</v>
      </c>
      <c r="Z113" s="8">
        <f>IFERROR(INDEX($C$112:$AK$112,1,24+ROUND(INDEX($H$5:$V$5,1,MATCH("RM10",$H$3:$V$3,0))/7,0)),0)</f>
        <v>2500</v>
      </c>
      <c r="AA113" s="8">
        <f>IFERROR(INDEX($C$112:$AK$112,1,25+ROUND(INDEX($H$5:$V$5,1,MATCH("RM10",$H$3:$V$3,0))/7,0)),0)</f>
        <v>0</v>
      </c>
      <c r="AB113" s="8">
        <f>IFERROR(INDEX($C$112:$AK$112,1,26+ROUND(INDEX($H$5:$V$5,1,MATCH("RM10",$H$3:$V$3,0))/7,0)),0)</f>
        <v>0</v>
      </c>
      <c r="AC113" s="8">
        <f>IFERROR(INDEX($C$112:$AK$112,1,27+ROUND(INDEX($H$5:$V$5,1,MATCH("RM10",$H$3:$V$3,0))/7,0)),0)</f>
        <v>0</v>
      </c>
      <c r="AD113" s="8">
        <f>IFERROR(INDEX($C$112:$AK$112,1,28+ROUND(INDEX($H$5:$V$5,1,MATCH("RM10",$H$3:$V$3,0))/7,0)),0)</f>
        <v>0</v>
      </c>
      <c r="AE113" s="8">
        <f>IFERROR(INDEX($C$112:$AK$112,1,29+ROUND(INDEX($H$5:$V$5,1,MATCH("RM10",$H$3:$V$3,0))/7,0)),0)</f>
        <v>0</v>
      </c>
      <c r="AF113" s="8">
        <f>IFERROR(INDEX($C$112:$AK$112,1,30+ROUND(INDEX($H$5:$V$5,1,MATCH("RM10",$H$3:$V$3,0))/7,0)),0)</f>
        <v>0</v>
      </c>
      <c r="AG113" s="8">
        <f>IFERROR(INDEX($C$112:$AK$112,1,31+ROUND(INDEX($H$5:$V$5,1,MATCH("RM10",$H$3:$V$3,0))/7,0)),0)</f>
        <v>0</v>
      </c>
      <c r="AH113" s="8">
        <f>IFERROR(INDEX($C$112:$AK$112,1,32+ROUND(INDEX($H$5:$V$5,1,MATCH("RM10",$H$3:$V$3,0))/7,0)),0)</f>
        <v>0</v>
      </c>
      <c r="AI113" s="8">
        <f>IFERROR(INDEX($C$112:$AK$112,1,33+ROUND(INDEX($H$5:$V$5,1,MATCH("RM10",$H$3:$V$3,0))/7,0)),0)</f>
        <v>0</v>
      </c>
      <c r="AJ113" s="8">
        <f>IFERROR(INDEX($C$112:$AK$112,1,34+ROUND(INDEX($H$5:$V$5,1,MATCH("RM10",$H$3:$V$3,0))/7,0)),0)</f>
        <v>0</v>
      </c>
      <c r="AK113" s="8">
        <f>IFERROR(INDEX($C$112:$AK$112,1,35+ROUND(INDEX($H$5:$V$5,1,MATCH("RM10",$H$3:$V$3,0))/7,0)),0)</f>
        <v>0</v>
      </c>
    </row>
    <row r="115" spans="1:37" ht="16.350000000000001" customHeight="1" x14ac:dyDescent="0.3">
      <c r="A115" s="47" t="s">
        <v>151</v>
      </c>
      <c r="B115" s="47" t="s">
        <v>140</v>
      </c>
      <c r="C115" s="187" t="s">
        <v>130</v>
      </c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  <c r="AA115" s="156"/>
      <c r="AB115" s="156"/>
      <c r="AC115" s="156"/>
      <c r="AD115" s="156"/>
      <c r="AE115" s="156"/>
      <c r="AF115" s="156"/>
      <c r="AG115" s="156"/>
      <c r="AH115" s="156"/>
      <c r="AI115" s="156"/>
      <c r="AJ115" s="156"/>
      <c r="AK115" s="157"/>
    </row>
    <row r="116" spans="1:37" ht="16.350000000000001" customHeight="1" x14ac:dyDescent="0.3">
      <c r="A116" s="47" t="s">
        <v>131</v>
      </c>
      <c r="B116" s="47" t="str">
        <f>"LT: "&amp;ROUND(INDEX($H$5:$V$5,1,MATCH("RM11",$H$3:$V$3,0))/7,0)</f>
        <v>LT: 3</v>
      </c>
      <c r="C116" s="48" cm="1">
        <f t="array" ref="C116:AK116">TRANSPOSE(BOM_demand!$A$2:$A$36)</f>
        <v>46132</v>
      </c>
      <c r="D116" s="48">
        <v>46139</v>
      </c>
      <c r="E116" s="48">
        <v>46146</v>
      </c>
      <c r="F116" s="48">
        <v>46153</v>
      </c>
      <c r="G116" s="48">
        <v>46160</v>
      </c>
      <c r="H116" s="48">
        <v>46167</v>
      </c>
      <c r="I116" s="48">
        <v>46174</v>
      </c>
      <c r="J116" s="48">
        <v>46181</v>
      </c>
      <c r="K116" s="48">
        <v>46188</v>
      </c>
      <c r="L116" s="48">
        <v>46195</v>
      </c>
      <c r="M116" s="48">
        <v>46202</v>
      </c>
      <c r="N116" s="48">
        <v>46209</v>
      </c>
      <c r="O116" s="48">
        <v>46216</v>
      </c>
      <c r="P116" s="48">
        <v>46223</v>
      </c>
      <c r="Q116" s="48">
        <v>46230</v>
      </c>
      <c r="R116" s="48">
        <v>46237</v>
      </c>
      <c r="S116" s="48">
        <v>46244</v>
      </c>
      <c r="T116" s="48">
        <v>46251</v>
      </c>
      <c r="U116" s="48">
        <v>46258</v>
      </c>
      <c r="V116" s="48">
        <v>46265</v>
      </c>
      <c r="W116" s="48">
        <v>46272</v>
      </c>
      <c r="X116" s="48">
        <v>46279</v>
      </c>
      <c r="Y116" s="48">
        <v>46286</v>
      </c>
      <c r="Z116" s="48">
        <v>46293</v>
      </c>
      <c r="AA116" s="48">
        <v>46300</v>
      </c>
      <c r="AB116" s="48">
        <v>46307</v>
      </c>
      <c r="AC116" s="48">
        <v>46314</v>
      </c>
      <c r="AD116" s="48">
        <v>46321</v>
      </c>
      <c r="AE116" s="48">
        <v>46328</v>
      </c>
      <c r="AF116" s="48">
        <v>46335</v>
      </c>
      <c r="AG116" s="48">
        <v>46342</v>
      </c>
      <c r="AH116" s="48">
        <v>46349</v>
      </c>
      <c r="AI116" s="48">
        <v>46356</v>
      </c>
      <c r="AJ116" s="48">
        <v>46363</v>
      </c>
      <c r="AK116" s="48">
        <v>46370</v>
      </c>
    </row>
    <row r="117" spans="1:37" ht="16.350000000000001" customHeight="1" x14ac:dyDescent="0.3">
      <c r="A117" s="51" t="s">
        <v>132</v>
      </c>
      <c r="C117" s="34" cm="1">
        <f t="array" ref="C117:AK117">TRANSPOSE(BOM_demand!$R$2:$R$36)</f>
        <v>0</v>
      </c>
      <c r="D117" s="34">
        <v>0</v>
      </c>
      <c r="E117" s="34">
        <v>7500</v>
      </c>
      <c r="F117" s="34">
        <v>7500</v>
      </c>
      <c r="G117" s="34">
        <v>7500</v>
      </c>
      <c r="H117" s="34">
        <v>7500</v>
      </c>
      <c r="I117" s="34">
        <v>1501.5</v>
      </c>
      <c r="J117" s="34">
        <v>3706.5</v>
      </c>
      <c r="K117" s="34">
        <v>5187</v>
      </c>
      <c r="L117" s="34">
        <v>750</v>
      </c>
      <c r="M117" s="34">
        <v>750</v>
      </c>
      <c r="N117" s="34">
        <v>750</v>
      </c>
      <c r="O117" s="34">
        <v>750</v>
      </c>
      <c r="P117" s="34">
        <v>0</v>
      </c>
      <c r="Q117" s="34">
        <v>0</v>
      </c>
      <c r="R117" s="34">
        <v>600</v>
      </c>
      <c r="S117" s="34">
        <v>0</v>
      </c>
      <c r="T117" s="34">
        <v>0</v>
      </c>
      <c r="U117" s="34">
        <v>600</v>
      </c>
      <c r="V117" s="34">
        <v>0</v>
      </c>
      <c r="W117" s="34">
        <v>600</v>
      </c>
      <c r="X117" s="34">
        <v>0</v>
      </c>
      <c r="Y117" s="34">
        <v>540</v>
      </c>
      <c r="Z117" s="34">
        <v>540</v>
      </c>
      <c r="AA117" s="34">
        <v>540</v>
      </c>
      <c r="AB117" s="34">
        <v>540</v>
      </c>
      <c r="AC117" s="34">
        <v>540</v>
      </c>
      <c r="AD117" s="34">
        <v>1500</v>
      </c>
      <c r="AE117" s="34">
        <v>1500</v>
      </c>
      <c r="AF117" s="34">
        <v>1500</v>
      </c>
      <c r="AG117" s="34">
        <v>1500</v>
      </c>
      <c r="AH117" s="34">
        <v>1875</v>
      </c>
      <c r="AI117" s="34">
        <v>1875</v>
      </c>
      <c r="AJ117" s="34">
        <v>1875</v>
      </c>
      <c r="AK117" s="34">
        <v>1875</v>
      </c>
    </row>
    <row r="118" spans="1:37" ht="16.350000000000001" customHeight="1" x14ac:dyDescent="0.3">
      <c r="A118" s="186" t="s">
        <v>129</v>
      </c>
      <c r="B118" s="157"/>
      <c r="C118" s="34">
        <f>IFERROR(INDEX($H$7:$V$7,1,MATCH("RM11",$H$3:$V$3,0)),0)</f>
        <v>0</v>
      </c>
      <c r="D118" s="34">
        <f>0</f>
        <v>0</v>
      </c>
      <c r="E118" s="34">
        <f>0</f>
        <v>0</v>
      </c>
      <c r="F118" s="34">
        <f>0</f>
        <v>0</v>
      </c>
      <c r="G118" s="34">
        <f>0</f>
        <v>0</v>
      </c>
      <c r="H118" s="34">
        <f>0</f>
        <v>0</v>
      </c>
      <c r="I118" s="34">
        <f>0</f>
        <v>0</v>
      </c>
      <c r="J118" s="34">
        <f>0</f>
        <v>0</v>
      </c>
      <c r="K118" s="8">
        <f>0</f>
        <v>0</v>
      </c>
      <c r="L118" s="8">
        <f>0</f>
        <v>0</v>
      </c>
      <c r="M118" s="8">
        <f>0</f>
        <v>0</v>
      </c>
      <c r="N118" s="8">
        <f>0</f>
        <v>0</v>
      </c>
      <c r="O118" s="8">
        <f>0</f>
        <v>0</v>
      </c>
      <c r="P118" s="8">
        <f>0</f>
        <v>0</v>
      </c>
      <c r="Q118" s="8">
        <f>0</f>
        <v>0</v>
      </c>
      <c r="R118" s="8">
        <f>0</f>
        <v>0</v>
      </c>
      <c r="S118" s="8">
        <f>0</f>
        <v>0</v>
      </c>
      <c r="T118" s="8">
        <f>0</f>
        <v>0</v>
      </c>
      <c r="U118" s="8">
        <f>0</f>
        <v>0</v>
      </c>
      <c r="V118" s="8">
        <f>0</f>
        <v>0</v>
      </c>
      <c r="W118" s="8">
        <f>0</f>
        <v>0</v>
      </c>
      <c r="X118" s="8">
        <f>0</f>
        <v>0</v>
      </c>
      <c r="Y118" s="8">
        <f>0</f>
        <v>0</v>
      </c>
      <c r="Z118" s="8">
        <f>0</f>
        <v>0</v>
      </c>
      <c r="AA118" s="8">
        <f>0</f>
        <v>0</v>
      </c>
      <c r="AB118" s="8">
        <f>0</f>
        <v>0</v>
      </c>
      <c r="AC118" s="8">
        <f>0</f>
        <v>0</v>
      </c>
      <c r="AD118" s="8">
        <f>0</f>
        <v>0</v>
      </c>
      <c r="AE118" s="8">
        <f>0</f>
        <v>0</v>
      </c>
      <c r="AF118" s="8">
        <f>0</f>
        <v>0</v>
      </c>
      <c r="AG118" s="8">
        <f>0</f>
        <v>0</v>
      </c>
      <c r="AH118" s="8">
        <f>0</f>
        <v>0</v>
      </c>
      <c r="AI118" s="8">
        <f>0</f>
        <v>0</v>
      </c>
      <c r="AJ118" s="8">
        <f>0</f>
        <v>0</v>
      </c>
      <c r="AK118" s="8">
        <f>0</f>
        <v>0</v>
      </c>
    </row>
    <row r="119" spans="1:37" ht="16.350000000000001" customHeight="1" x14ac:dyDescent="0.3">
      <c r="A119" s="34" t="s">
        <v>137</v>
      </c>
      <c r="B119" s="46">
        <f>IFERROR(INDEX($H$8:$V$8,1,MATCH("RM11",$H$3:$V$3,0)),0)</f>
        <v>3509</v>
      </c>
      <c r="C119" s="34">
        <f t="shared" ref="C119:AK119" si="40">$B119</f>
        <v>3509</v>
      </c>
      <c r="D119" s="34">
        <f t="shared" si="40"/>
        <v>3509</v>
      </c>
      <c r="E119" s="34">
        <f t="shared" si="40"/>
        <v>3509</v>
      </c>
      <c r="F119" s="34">
        <f t="shared" si="40"/>
        <v>3509</v>
      </c>
      <c r="G119" s="34">
        <f t="shared" si="40"/>
        <v>3509</v>
      </c>
      <c r="H119" s="34">
        <f t="shared" si="40"/>
        <v>3509</v>
      </c>
      <c r="I119" s="34">
        <f t="shared" si="40"/>
        <v>3509</v>
      </c>
      <c r="J119" s="34">
        <f t="shared" si="40"/>
        <v>3509</v>
      </c>
      <c r="K119" s="8">
        <f t="shared" si="40"/>
        <v>3509</v>
      </c>
      <c r="L119" s="8">
        <f t="shared" si="40"/>
        <v>3509</v>
      </c>
      <c r="M119" s="8">
        <f t="shared" si="40"/>
        <v>3509</v>
      </c>
      <c r="N119" s="8">
        <f t="shared" si="40"/>
        <v>3509</v>
      </c>
      <c r="O119" s="8">
        <f t="shared" si="40"/>
        <v>3509</v>
      </c>
      <c r="P119" s="8">
        <f t="shared" si="40"/>
        <v>3509</v>
      </c>
      <c r="Q119" s="8">
        <f t="shared" si="40"/>
        <v>3509</v>
      </c>
      <c r="R119" s="8">
        <f t="shared" si="40"/>
        <v>3509</v>
      </c>
      <c r="S119" s="8">
        <f t="shared" si="40"/>
        <v>3509</v>
      </c>
      <c r="T119" s="8">
        <f t="shared" si="40"/>
        <v>3509</v>
      </c>
      <c r="U119" s="8">
        <f t="shared" si="40"/>
        <v>3509</v>
      </c>
      <c r="V119" s="8">
        <f t="shared" si="40"/>
        <v>3509</v>
      </c>
      <c r="W119" s="8">
        <f t="shared" si="40"/>
        <v>3509</v>
      </c>
      <c r="X119" s="8">
        <f t="shared" si="40"/>
        <v>3509</v>
      </c>
      <c r="Y119" s="8">
        <f t="shared" si="40"/>
        <v>3509</v>
      </c>
      <c r="Z119" s="8">
        <f t="shared" si="40"/>
        <v>3509</v>
      </c>
      <c r="AA119" s="8">
        <f t="shared" si="40"/>
        <v>3509</v>
      </c>
      <c r="AB119" s="8">
        <f t="shared" si="40"/>
        <v>3509</v>
      </c>
      <c r="AC119" s="8">
        <f t="shared" si="40"/>
        <v>3509</v>
      </c>
      <c r="AD119" s="8">
        <f t="shared" si="40"/>
        <v>3509</v>
      </c>
      <c r="AE119" s="8">
        <f t="shared" si="40"/>
        <v>3509</v>
      </c>
      <c r="AF119" s="8">
        <f t="shared" si="40"/>
        <v>3509</v>
      </c>
      <c r="AG119" s="8">
        <f t="shared" si="40"/>
        <v>3509</v>
      </c>
      <c r="AH119" s="8">
        <f t="shared" si="40"/>
        <v>3509</v>
      </c>
      <c r="AI119" s="8">
        <f t="shared" si="40"/>
        <v>3509</v>
      </c>
      <c r="AJ119" s="8">
        <f t="shared" si="40"/>
        <v>3509</v>
      </c>
      <c r="AK119" s="8">
        <f t="shared" si="40"/>
        <v>3509</v>
      </c>
    </row>
    <row r="120" spans="1:37" ht="16.350000000000001" customHeight="1" x14ac:dyDescent="0.3">
      <c r="A120" s="34" t="s">
        <v>133</v>
      </c>
      <c r="B120" s="46">
        <f>IFERROR(INDEX($H$6:$V$6,1,MATCH("RM11",$H$3:$V$3,0)),0)</f>
        <v>100000</v>
      </c>
      <c r="C120" s="34">
        <f>$B120+C118+C122-C117</f>
        <v>100000</v>
      </c>
      <c r="D120" s="34">
        <f t="shared" ref="D120:AK120" si="41">C120+D118+D122-D117</f>
        <v>100000</v>
      </c>
      <c r="E120" s="34">
        <f t="shared" si="41"/>
        <v>92500</v>
      </c>
      <c r="F120" s="34">
        <f t="shared" si="41"/>
        <v>85000</v>
      </c>
      <c r="G120" s="34">
        <f t="shared" si="41"/>
        <v>77500</v>
      </c>
      <c r="H120" s="34">
        <f t="shared" si="41"/>
        <v>70000</v>
      </c>
      <c r="I120" s="34">
        <f t="shared" si="41"/>
        <v>68498.5</v>
      </c>
      <c r="J120" s="34">
        <f t="shared" si="41"/>
        <v>64792</v>
      </c>
      <c r="K120" s="8">
        <f t="shared" si="41"/>
        <v>59605</v>
      </c>
      <c r="L120" s="8">
        <f t="shared" si="41"/>
        <v>58855</v>
      </c>
      <c r="M120" s="8">
        <f t="shared" si="41"/>
        <v>58105</v>
      </c>
      <c r="N120" s="8">
        <f t="shared" si="41"/>
        <v>57355</v>
      </c>
      <c r="O120" s="8">
        <f t="shared" si="41"/>
        <v>56605</v>
      </c>
      <c r="P120" s="8">
        <f t="shared" si="41"/>
        <v>56605</v>
      </c>
      <c r="Q120" s="8">
        <f t="shared" si="41"/>
        <v>56605</v>
      </c>
      <c r="R120" s="8">
        <f t="shared" si="41"/>
        <v>56005</v>
      </c>
      <c r="S120" s="8">
        <f t="shared" si="41"/>
        <v>56005</v>
      </c>
      <c r="T120" s="8">
        <f t="shared" si="41"/>
        <v>56005</v>
      </c>
      <c r="U120" s="8">
        <f t="shared" si="41"/>
        <v>55405</v>
      </c>
      <c r="V120" s="8">
        <f t="shared" si="41"/>
        <v>55405</v>
      </c>
      <c r="W120" s="8">
        <f t="shared" si="41"/>
        <v>54805</v>
      </c>
      <c r="X120" s="8">
        <f t="shared" si="41"/>
        <v>54805</v>
      </c>
      <c r="Y120" s="8">
        <f t="shared" si="41"/>
        <v>54265</v>
      </c>
      <c r="Z120" s="8">
        <f t="shared" si="41"/>
        <v>53725</v>
      </c>
      <c r="AA120" s="8">
        <f t="shared" si="41"/>
        <v>53185</v>
      </c>
      <c r="AB120" s="8">
        <f t="shared" si="41"/>
        <v>52645</v>
      </c>
      <c r="AC120" s="8">
        <f t="shared" si="41"/>
        <v>52105</v>
      </c>
      <c r="AD120" s="8">
        <f t="shared" si="41"/>
        <v>50605</v>
      </c>
      <c r="AE120" s="8">
        <f t="shared" si="41"/>
        <v>49105</v>
      </c>
      <c r="AF120" s="8">
        <f t="shared" si="41"/>
        <v>47605</v>
      </c>
      <c r="AG120" s="8">
        <f t="shared" si="41"/>
        <v>46105</v>
      </c>
      <c r="AH120" s="8">
        <f t="shared" si="41"/>
        <v>44230</v>
      </c>
      <c r="AI120" s="8">
        <f t="shared" si="41"/>
        <v>42355</v>
      </c>
      <c r="AJ120" s="8">
        <f t="shared" si="41"/>
        <v>40480</v>
      </c>
      <c r="AK120" s="8">
        <f t="shared" si="41"/>
        <v>38605</v>
      </c>
    </row>
    <row r="121" spans="1:37" ht="16.350000000000001" customHeight="1" x14ac:dyDescent="0.3">
      <c r="A121" s="34" t="s">
        <v>141</v>
      </c>
      <c r="B121" s="46"/>
      <c r="C121" s="34">
        <f>MAX(C117+C119-($B120+C118),0)</f>
        <v>0</v>
      </c>
      <c r="D121" s="34">
        <f t="shared" ref="D121:AK121" si="42">MAX(D117+D119-(C120+D118),0)</f>
        <v>0</v>
      </c>
      <c r="E121" s="34">
        <f t="shared" si="42"/>
        <v>0</v>
      </c>
      <c r="F121" s="34">
        <f t="shared" si="42"/>
        <v>0</v>
      </c>
      <c r="G121" s="34">
        <f t="shared" si="42"/>
        <v>0</v>
      </c>
      <c r="H121" s="34">
        <f t="shared" si="42"/>
        <v>0</v>
      </c>
      <c r="I121" s="34">
        <f t="shared" si="42"/>
        <v>0</v>
      </c>
      <c r="J121" s="34">
        <f t="shared" si="42"/>
        <v>0</v>
      </c>
      <c r="K121" s="8">
        <f t="shared" si="42"/>
        <v>0</v>
      </c>
      <c r="L121" s="8">
        <f t="shared" si="42"/>
        <v>0</v>
      </c>
      <c r="M121" s="8">
        <f t="shared" si="42"/>
        <v>0</v>
      </c>
      <c r="N121" s="8">
        <f t="shared" si="42"/>
        <v>0</v>
      </c>
      <c r="O121" s="8">
        <f t="shared" si="42"/>
        <v>0</v>
      </c>
      <c r="P121" s="8">
        <f t="shared" si="42"/>
        <v>0</v>
      </c>
      <c r="Q121" s="8">
        <f t="shared" si="42"/>
        <v>0</v>
      </c>
      <c r="R121" s="8">
        <f t="shared" si="42"/>
        <v>0</v>
      </c>
      <c r="S121" s="8">
        <f t="shared" si="42"/>
        <v>0</v>
      </c>
      <c r="T121" s="8">
        <f t="shared" si="42"/>
        <v>0</v>
      </c>
      <c r="U121" s="8">
        <f t="shared" si="42"/>
        <v>0</v>
      </c>
      <c r="V121" s="8">
        <f t="shared" si="42"/>
        <v>0</v>
      </c>
      <c r="W121" s="8">
        <f t="shared" si="42"/>
        <v>0</v>
      </c>
      <c r="X121" s="8">
        <f t="shared" si="42"/>
        <v>0</v>
      </c>
      <c r="Y121" s="8">
        <f t="shared" si="42"/>
        <v>0</v>
      </c>
      <c r="Z121" s="8">
        <f t="shared" si="42"/>
        <v>0</v>
      </c>
      <c r="AA121" s="8">
        <f t="shared" si="42"/>
        <v>0</v>
      </c>
      <c r="AB121" s="8">
        <f t="shared" si="42"/>
        <v>0</v>
      </c>
      <c r="AC121" s="8">
        <f t="shared" si="42"/>
        <v>0</v>
      </c>
      <c r="AD121" s="8">
        <f t="shared" si="42"/>
        <v>0</v>
      </c>
      <c r="AE121" s="8">
        <f t="shared" si="42"/>
        <v>0</v>
      </c>
      <c r="AF121" s="8">
        <f t="shared" si="42"/>
        <v>0</v>
      </c>
      <c r="AG121" s="8">
        <f t="shared" si="42"/>
        <v>0</v>
      </c>
      <c r="AH121" s="8">
        <f t="shared" si="42"/>
        <v>0</v>
      </c>
      <c r="AI121" s="8">
        <f t="shared" si="42"/>
        <v>0</v>
      </c>
      <c r="AJ121" s="8">
        <f t="shared" si="42"/>
        <v>0</v>
      </c>
      <c r="AK121" s="8">
        <f t="shared" si="42"/>
        <v>0</v>
      </c>
    </row>
    <row r="122" spans="1:37" ht="16.350000000000001" customHeight="1" x14ac:dyDescent="0.3">
      <c r="A122" s="186" t="s">
        <v>134</v>
      </c>
      <c r="B122" s="157"/>
      <c r="C122" s="34">
        <f t="shared" ref="C122:AK122" si="43">C121</f>
        <v>0</v>
      </c>
      <c r="D122" s="34">
        <f t="shared" si="43"/>
        <v>0</v>
      </c>
      <c r="E122" s="34">
        <f t="shared" si="43"/>
        <v>0</v>
      </c>
      <c r="F122" s="34">
        <f t="shared" si="43"/>
        <v>0</v>
      </c>
      <c r="G122" s="34">
        <f t="shared" si="43"/>
        <v>0</v>
      </c>
      <c r="H122" s="34">
        <f t="shared" si="43"/>
        <v>0</v>
      </c>
      <c r="I122" s="34">
        <f t="shared" si="43"/>
        <v>0</v>
      </c>
      <c r="J122" s="34">
        <f t="shared" si="43"/>
        <v>0</v>
      </c>
      <c r="K122" s="8">
        <f t="shared" si="43"/>
        <v>0</v>
      </c>
      <c r="L122" s="8">
        <f t="shared" si="43"/>
        <v>0</v>
      </c>
      <c r="M122" s="8">
        <f t="shared" si="43"/>
        <v>0</v>
      </c>
      <c r="N122" s="8">
        <f t="shared" si="43"/>
        <v>0</v>
      </c>
      <c r="O122" s="8">
        <f t="shared" si="43"/>
        <v>0</v>
      </c>
      <c r="P122" s="8">
        <f t="shared" si="43"/>
        <v>0</v>
      </c>
      <c r="Q122" s="8">
        <f t="shared" si="43"/>
        <v>0</v>
      </c>
      <c r="R122" s="8">
        <f t="shared" si="43"/>
        <v>0</v>
      </c>
      <c r="S122" s="8">
        <f t="shared" si="43"/>
        <v>0</v>
      </c>
      <c r="T122" s="8">
        <f t="shared" si="43"/>
        <v>0</v>
      </c>
      <c r="U122" s="8">
        <f t="shared" si="43"/>
        <v>0</v>
      </c>
      <c r="V122" s="8">
        <f t="shared" si="43"/>
        <v>0</v>
      </c>
      <c r="W122" s="8">
        <f t="shared" si="43"/>
        <v>0</v>
      </c>
      <c r="X122" s="8">
        <f t="shared" si="43"/>
        <v>0</v>
      </c>
      <c r="Y122" s="8">
        <f t="shared" si="43"/>
        <v>0</v>
      </c>
      <c r="Z122" s="8">
        <f t="shared" si="43"/>
        <v>0</v>
      </c>
      <c r="AA122" s="8">
        <f t="shared" si="43"/>
        <v>0</v>
      </c>
      <c r="AB122" s="8">
        <f t="shared" si="43"/>
        <v>0</v>
      </c>
      <c r="AC122" s="8">
        <f t="shared" si="43"/>
        <v>0</v>
      </c>
      <c r="AD122" s="8">
        <f t="shared" si="43"/>
        <v>0</v>
      </c>
      <c r="AE122" s="8">
        <f t="shared" si="43"/>
        <v>0</v>
      </c>
      <c r="AF122" s="8">
        <f t="shared" si="43"/>
        <v>0</v>
      </c>
      <c r="AG122" s="8">
        <f t="shared" si="43"/>
        <v>0</v>
      </c>
      <c r="AH122" s="8">
        <f t="shared" si="43"/>
        <v>0</v>
      </c>
      <c r="AI122" s="8">
        <f t="shared" si="43"/>
        <v>0</v>
      </c>
      <c r="AJ122" s="8">
        <f t="shared" si="43"/>
        <v>0</v>
      </c>
      <c r="AK122" s="8">
        <f t="shared" si="43"/>
        <v>0</v>
      </c>
    </row>
    <row r="123" spans="1:37" ht="16.350000000000001" customHeight="1" x14ac:dyDescent="0.3">
      <c r="A123" s="34" t="s">
        <v>135</v>
      </c>
      <c r="B123" s="46"/>
      <c r="C123" s="34">
        <f>IFERROR(INDEX($C$122:$AK$122,1,1+ROUND(INDEX($H$5:$V$5,1,MATCH("RM11",$H$3:$V$3,0))/7,0)),0)</f>
        <v>0</v>
      </c>
      <c r="D123" s="34">
        <f>IFERROR(INDEX($C$122:$AK$122,1,2+ROUND(INDEX($H$5:$V$5,1,MATCH("RM11",$H$3:$V$3,0))/7,0)),0)</f>
        <v>0</v>
      </c>
      <c r="E123" s="34">
        <f>IFERROR(INDEX($C$122:$AK$122,1,3+ROUND(INDEX($H$5:$V$5,1,MATCH("RM11",$H$3:$V$3,0))/7,0)),0)</f>
        <v>0</v>
      </c>
      <c r="F123" s="34">
        <f>IFERROR(INDEX($C$122:$AK$122,1,4+ROUND(INDEX($H$5:$V$5,1,MATCH("RM11",$H$3:$V$3,0))/7,0)),0)</f>
        <v>0</v>
      </c>
      <c r="G123" s="34">
        <f>IFERROR(INDEX($C$122:$AK$122,1,5+ROUND(INDEX($H$5:$V$5,1,MATCH("RM11",$H$3:$V$3,0))/7,0)),0)</f>
        <v>0</v>
      </c>
      <c r="H123" s="34">
        <f>IFERROR(INDEX($C$122:$AK$122,1,6+ROUND(INDEX($H$5:$V$5,1,MATCH("RM11",$H$3:$V$3,0))/7,0)),0)</f>
        <v>0</v>
      </c>
      <c r="I123" s="34">
        <f>IFERROR(INDEX($C$122:$AK$122,1,7+ROUND(INDEX($H$5:$V$5,1,MATCH("RM11",$H$3:$V$3,0))/7,0)),0)</f>
        <v>0</v>
      </c>
      <c r="J123" s="34">
        <f>IFERROR(INDEX($C$122:$AK$122,1,8+ROUND(INDEX($H$5:$V$5,1,MATCH("RM11",$H$3:$V$3,0))/7,0)),0)</f>
        <v>0</v>
      </c>
      <c r="K123" s="8">
        <f>IFERROR(INDEX($C$122:$AK$122,1,9+ROUND(INDEX($H$5:$V$5,1,MATCH("RM11",$H$3:$V$3,0))/7,0)),0)</f>
        <v>0</v>
      </c>
      <c r="L123" s="8">
        <f>IFERROR(INDEX($C$122:$AK$122,1,10+ROUND(INDEX($H$5:$V$5,1,MATCH("RM11",$H$3:$V$3,0))/7,0)),0)</f>
        <v>0</v>
      </c>
      <c r="M123" s="8">
        <f>IFERROR(INDEX($C$122:$AK$122,1,11+ROUND(INDEX($H$5:$V$5,1,MATCH("RM11",$H$3:$V$3,0))/7,0)),0)</f>
        <v>0</v>
      </c>
      <c r="N123" s="8">
        <f>IFERROR(INDEX($C$122:$AK$122,1,12+ROUND(INDEX($H$5:$V$5,1,MATCH("RM11",$H$3:$V$3,0))/7,0)),0)</f>
        <v>0</v>
      </c>
      <c r="O123" s="8">
        <f>IFERROR(INDEX($C$122:$AK$122,1,13+ROUND(INDEX($H$5:$V$5,1,MATCH("RM11",$H$3:$V$3,0))/7,0)),0)</f>
        <v>0</v>
      </c>
      <c r="P123" s="8">
        <f>IFERROR(INDEX($C$122:$AK$122,1,14+ROUND(INDEX($H$5:$V$5,1,MATCH("RM11",$H$3:$V$3,0))/7,0)),0)</f>
        <v>0</v>
      </c>
      <c r="Q123" s="8">
        <f>IFERROR(INDEX($C$122:$AK$122,1,15+ROUND(INDEX($H$5:$V$5,1,MATCH("RM11",$H$3:$V$3,0))/7,0)),0)</f>
        <v>0</v>
      </c>
      <c r="R123" s="8">
        <f>IFERROR(INDEX($C$122:$AK$122,1,16+ROUND(INDEX($H$5:$V$5,1,MATCH("RM11",$H$3:$V$3,0))/7,0)),0)</f>
        <v>0</v>
      </c>
      <c r="S123" s="8">
        <f>IFERROR(INDEX($C$122:$AK$122,1,17+ROUND(INDEX($H$5:$V$5,1,MATCH("RM11",$H$3:$V$3,0))/7,0)),0)</f>
        <v>0</v>
      </c>
      <c r="T123" s="8">
        <f>IFERROR(INDEX($C$122:$AK$122,1,18+ROUND(INDEX($H$5:$V$5,1,MATCH("RM11",$H$3:$V$3,0))/7,0)),0)</f>
        <v>0</v>
      </c>
      <c r="U123" s="8">
        <f>IFERROR(INDEX($C$122:$AK$122,1,19+ROUND(INDEX($H$5:$V$5,1,MATCH("RM11",$H$3:$V$3,0))/7,0)),0)</f>
        <v>0</v>
      </c>
      <c r="V123" s="8">
        <f>IFERROR(INDEX($C$122:$AK$122,1,20+ROUND(INDEX($H$5:$V$5,1,MATCH("RM11",$H$3:$V$3,0))/7,0)),0)</f>
        <v>0</v>
      </c>
      <c r="W123" s="8">
        <f>IFERROR(INDEX($C$122:$AK$122,1,21+ROUND(INDEX($H$5:$V$5,1,MATCH("RM11",$H$3:$V$3,0))/7,0)),0)</f>
        <v>0</v>
      </c>
      <c r="X123" s="8">
        <f>IFERROR(INDEX($C$122:$AK$122,1,22+ROUND(INDEX($H$5:$V$5,1,MATCH("RM11",$H$3:$V$3,0))/7,0)),0)</f>
        <v>0</v>
      </c>
      <c r="Y123" s="8">
        <f>IFERROR(INDEX($C$122:$AK$122,1,23+ROUND(INDEX($H$5:$V$5,1,MATCH("RM11",$H$3:$V$3,0))/7,0)),0)</f>
        <v>0</v>
      </c>
      <c r="Z123" s="8">
        <f>IFERROR(INDEX($C$122:$AK$122,1,24+ROUND(INDEX($H$5:$V$5,1,MATCH("RM11",$H$3:$V$3,0))/7,0)),0)</f>
        <v>0</v>
      </c>
      <c r="AA123" s="8">
        <f>IFERROR(INDEX($C$122:$AK$122,1,25+ROUND(INDEX($H$5:$V$5,1,MATCH("RM11",$H$3:$V$3,0))/7,0)),0)</f>
        <v>0</v>
      </c>
      <c r="AB123" s="8">
        <f>IFERROR(INDEX($C$122:$AK$122,1,26+ROUND(INDEX($H$5:$V$5,1,MATCH("RM11",$H$3:$V$3,0))/7,0)),0)</f>
        <v>0</v>
      </c>
      <c r="AC123" s="8">
        <f>IFERROR(INDEX($C$122:$AK$122,1,27+ROUND(INDEX($H$5:$V$5,1,MATCH("RM11",$H$3:$V$3,0))/7,0)),0)</f>
        <v>0</v>
      </c>
      <c r="AD123" s="8">
        <f>IFERROR(INDEX($C$122:$AK$122,1,28+ROUND(INDEX($H$5:$V$5,1,MATCH("RM11",$H$3:$V$3,0))/7,0)),0)</f>
        <v>0</v>
      </c>
      <c r="AE123" s="8">
        <f>IFERROR(INDEX($C$122:$AK$122,1,29+ROUND(INDEX($H$5:$V$5,1,MATCH("RM11",$H$3:$V$3,0))/7,0)),0)</f>
        <v>0</v>
      </c>
      <c r="AF123" s="8">
        <f>IFERROR(INDEX($C$122:$AK$122,1,30+ROUND(INDEX($H$5:$V$5,1,MATCH("RM11",$H$3:$V$3,0))/7,0)),0)</f>
        <v>0</v>
      </c>
      <c r="AG123" s="8">
        <f>IFERROR(INDEX($C$122:$AK$122,1,31+ROUND(INDEX($H$5:$V$5,1,MATCH("RM11",$H$3:$V$3,0))/7,0)),0)</f>
        <v>0</v>
      </c>
      <c r="AH123" s="8">
        <f>IFERROR(INDEX($C$122:$AK$122,1,32+ROUND(INDEX($H$5:$V$5,1,MATCH("RM11",$H$3:$V$3,0))/7,0)),0)</f>
        <v>0</v>
      </c>
      <c r="AI123" s="8">
        <f>IFERROR(INDEX($C$122:$AK$122,1,33+ROUND(INDEX($H$5:$V$5,1,MATCH("RM11",$H$3:$V$3,0))/7,0)),0)</f>
        <v>0</v>
      </c>
      <c r="AJ123" s="8">
        <f>IFERROR(INDEX($C$122:$AK$122,1,34+ROUND(INDEX($H$5:$V$5,1,MATCH("RM11",$H$3:$V$3,0))/7,0)),0)</f>
        <v>0</v>
      </c>
      <c r="AK123" s="8">
        <f>IFERROR(INDEX($C$122:$AK$122,1,35+ROUND(INDEX($H$5:$V$5,1,MATCH("RM11",$H$3:$V$3,0))/7,0)),0)</f>
        <v>0</v>
      </c>
    </row>
    <row r="125" spans="1:37" ht="16.350000000000001" customHeight="1" x14ac:dyDescent="0.3">
      <c r="A125" s="47" t="s">
        <v>152</v>
      </c>
      <c r="B125" s="47" t="s">
        <v>140</v>
      </c>
      <c r="C125" s="187" t="s">
        <v>130</v>
      </c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  <c r="AC125" s="156"/>
      <c r="AD125" s="156"/>
      <c r="AE125" s="156"/>
      <c r="AF125" s="156"/>
      <c r="AG125" s="156"/>
      <c r="AH125" s="156"/>
      <c r="AI125" s="156"/>
      <c r="AJ125" s="156"/>
      <c r="AK125" s="157"/>
    </row>
    <row r="126" spans="1:37" ht="16.350000000000001" customHeight="1" x14ac:dyDescent="0.3">
      <c r="A126" s="47" t="s">
        <v>131</v>
      </c>
      <c r="B126" s="47" t="str">
        <f>"LT: "&amp;ROUND(INDEX($H$5:$V$5,1,MATCH("RM12",$H$3:$V$3,0))/7,0)</f>
        <v>LT: 8</v>
      </c>
      <c r="C126" s="48" cm="1">
        <f t="array" ref="C126:AK126">TRANSPOSE(BOM_demand!$A$2:$A$36)</f>
        <v>46132</v>
      </c>
      <c r="D126" s="48">
        <v>46139</v>
      </c>
      <c r="E126" s="48">
        <v>46146</v>
      </c>
      <c r="F126" s="48">
        <v>46153</v>
      </c>
      <c r="G126" s="48">
        <v>46160</v>
      </c>
      <c r="H126" s="48">
        <v>46167</v>
      </c>
      <c r="I126" s="48">
        <v>46174</v>
      </c>
      <c r="J126" s="48">
        <v>46181</v>
      </c>
      <c r="K126" s="48">
        <v>46188</v>
      </c>
      <c r="L126" s="48">
        <v>46195</v>
      </c>
      <c r="M126" s="48">
        <v>46202</v>
      </c>
      <c r="N126" s="48">
        <v>46209</v>
      </c>
      <c r="O126" s="48">
        <v>46216</v>
      </c>
      <c r="P126" s="48">
        <v>46223</v>
      </c>
      <c r="Q126" s="48">
        <v>46230</v>
      </c>
      <c r="R126" s="48">
        <v>46237</v>
      </c>
      <c r="S126" s="48">
        <v>46244</v>
      </c>
      <c r="T126" s="48">
        <v>46251</v>
      </c>
      <c r="U126" s="48">
        <v>46258</v>
      </c>
      <c r="V126" s="48">
        <v>46265</v>
      </c>
      <c r="W126" s="48">
        <v>46272</v>
      </c>
      <c r="X126" s="48">
        <v>46279</v>
      </c>
      <c r="Y126" s="48">
        <v>46286</v>
      </c>
      <c r="Z126" s="48">
        <v>46293</v>
      </c>
      <c r="AA126" s="48">
        <v>46300</v>
      </c>
      <c r="AB126" s="48">
        <v>46307</v>
      </c>
      <c r="AC126" s="48">
        <v>46314</v>
      </c>
      <c r="AD126" s="48">
        <v>46321</v>
      </c>
      <c r="AE126" s="48">
        <v>46328</v>
      </c>
      <c r="AF126" s="48">
        <v>46335</v>
      </c>
      <c r="AG126" s="48">
        <v>46342</v>
      </c>
      <c r="AH126" s="48">
        <v>46349</v>
      </c>
      <c r="AI126" s="48">
        <v>46356</v>
      </c>
      <c r="AJ126" s="48">
        <v>46363</v>
      </c>
      <c r="AK126" s="48">
        <v>46370</v>
      </c>
    </row>
    <row r="127" spans="1:37" ht="16.350000000000001" customHeight="1" x14ac:dyDescent="0.3">
      <c r="A127" s="51" t="s">
        <v>132</v>
      </c>
      <c r="C127" s="34" cm="1">
        <f t="array" ref="C127:AK127">TRANSPOSE(BOM_demand!$S$2:$S$36)</f>
        <v>0</v>
      </c>
      <c r="D127" s="34">
        <v>1416</v>
      </c>
      <c r="E127" s="34">
        <v>900</v>
      </c>
      <c r="F127" s="34">
        <v>2094</v>
      </c>
      <c r="G127" s="34">
        <v>0</v>
      </c>
      <c r="H127" s="34">
        <v>900</v>
      </c>
      <c r="I127" s="34">
        <v>0</v>
      </c>
      <c r="J127" s="34">
        <v>0</v>
      </c>
      <c r="K127" s="34">
        <v>900</v>
      </c>
      <c r="L127" s="34">
        <v>0</v>
      </c>
      <c r="M127" s="34">
        <v>2100</v>
      </c>
      <c r="N127" s="34">
        <v>900</v>
      </c>
      <c r="O127" s="34">
        <v>900</v>
      </c>
      <c r="P127" s="34">
        <v>900</v>
      </c>
      <c r="Q127" s="34">
        <v>0</v>
      </c>
      <c r="R127" s="34">
        <v>0</v>
      </c>
      <c r="S127" s="34">
        <v>900</v>
      </c>
      <c r="T127" s="34">
        <v>0</v>
      </c>
      <c r="U127" s="34">
        <v>0</v>
      </c>
      <c r="V127" s="34">
        <v>900</v>
      </c>
      <c r="W127" s="34">
        <v>0</v>
      </c>
      <c r="X127" s="34">
        <v>0</v>
      </c>
      <c r="Y127" s="34">
        <v>0</v>
      </c>
      <c r="Z127" s="34">
        <v>900</v>
      </c>
      <c r="AA127" s="34">
        <v>0</v>
      </c>
      <c r="AB127" s="34">
        <v>0</v>
      </c>
      <c r="AC127" s="34">
        <v>0</v>
      </c>
      <c r="AD127" s="34">
        <v>0</v>
      </c>
      <c r="AE127" s="34">
        <v>900</v>
      </c>
      <c r="AF127" s="34">
        <v>0</v>
      </c>
      <c r="AG127" s="34">
        <v>0</v>
      </c>
      <c r="AH127" s="34">
        <v>0</v>
      </c>
      <c r="AI127" s="34">
        <v>900</v>
      </c>
      <c r="AJ127" s="34">
        <v>0</v>
      </c>
      <c r="AK127" s="34">
        <v>0</v>
      </c>
    </row>
    <row r="128" spans="1:37" ht="16.350000000000001" customHeight="1" x14ac:dyDescent="0.3">
      <c r="A128" s="186" t="s">
        <v>129</v>
      </c>
      <c r="B128" s="157"/>
      <c r="C128" s="34">
        <f>IFERROR(INDEX($H$7:$V$7,1,MATCH("RM12",$H$3:$V$3,0)),0)</f>
        <v>0</v>
      </c>
      <c r="D128" s="34">
        <f>0</f>
        <v>0</v>
      </c>
      <c r="E128" s="34">
        <f>0</f>
        <v>0</v>
      </c>
      <c r="F128" s="34">
        <f>0</f>
        <v>0</v>
      </c>
      <c r="G128" s="34">
        <f>0</f>
        <v>0</v>
      </c>
      <c r="H128" s="34">
        <f>0</f>
        <v>0</v>
      </c>
      <c r="I128" s="34">
        <f>0</f>
        <v>0</v>
      </c>
      <c r="J128" s="34">
        <f>0</f>
        <v>0</v>
      </c>
      <c r="K128" s="8">
        <f>0</f>
        <v>0</v>
      </c>
      <c r="L128" s="8">
        <f>0</f>
        <v>0</v>
      </c>
      <c r="M128" s="8">
        <f>0</f>
        <v>0</v>
      </c>
      <c r="N128" s="8">
        <f>0</f>
        <v>0</v>
      </c>
      <c r="O128" s="8">
        <f>0</f>
        <v>0</v>
      </c>
      <c r="P128" s="8">
        <f>0</f>
        <v>0</v>
      </c>
      <c r="Q128" s="8">
        <f>0</f>
        <v>0</v>
      </c>
      <c r="R128" s="8">
        <f>0</f>
        <v>0</v>
      </c>
      <c r="S128" s="8">
        <f>0</f>
        <v>0</v>
      </c>
      <c r="T128" s="8">
        <f>0</f>
        <v>0</v>
      </c>
      <c r="U128" s="8">
        <f>0</f>
        <v>0</v>
      </c>
      <c r="V128" s="8">
        <f>0</f>
        <v>0</v>
      </c>
      <c r="W128" s="8">
        <f>0</f>
        <v>0</v>
      </c>
      <c r="X128" s="8">
        <f>0</f>
        <v>0</v>
      </c>
      <c r="Y128" s="8">
        <f>0</f>
        <v>0</v>
      </c>
      <c r="Z128" s="8">
        <f>0</f>
        <v>0</v>
      </c>
      <c r="AA128" s="8">
        <f>0</f>
        <v>0</v>
      </c>
      <c r="AB128" s="8">
        <f>0</f>
        <v>0</v>
      </c>
      <c r="AC128" s="8">
        <f>0</f>
        <v>0</v>
      </c>
      <c r="AD128" s="8">
        <f>0</f>
        <v>0</v>
      </c>
      <c r="AE128" s="8">
        <f>0</f>
        <v>0</v>
      </c>
      <c r="AF128" s="8">
        <f>0</f>
        <v>0</v>
      </c>
      <c r="AG128" s="8">
        <f>0</f>
        <v>0</v>
      </c>
      <c r="AH128" s="8">
        <f>0</f>
        <v>0</v>
      </c>
      <c r="AI128" s="8">
        <f>0</f>
        <v>0</v>
      </c>
      <c r="AJ128" s="8">
        <f>0</f>
        <v>0</v>
      </c>
      <c r="AK128" s="8">
        <f>0</f>
        <v>0</v>
      </c>
    </row>
    <row r="129" spans="1:37" ht="16.350000000000001" customHeight="1" x14ac:dyDescent="0.3">
      <c r="A129" s="34" t="s">
        <v>137</v>
      </c>
      <c r="B129" s="46">
        <f>IFERROR(INDEX($H$8:$V$8,1,MATCH("RM12",$H$3:$V$3,0)),0)</f>
        <v>887</v>
      </c>
      <c r="C129" s="34">
        <f t="shared" ref="C129:AK129" si="44">$B129</f>
        <v>887</v>
      </c>
      <c r="D129" s="34">
        <f t="shared" si="44"/>
        <v>887</v>
      </c>
      <c r="E129" s="34">
        <f t="shared" si="44"/>
        <v>887</v>
      </c>
      <c r="F129" s="34">
        <f t="shared" si="44"/>
        <v>887</v>
      </c>
      <c r="G129" s="34">
        <f t="shared" si="44"/>
        <v>887</v>
      </c>
      <c r="H129" s="34">
        <f t="shared" si="44"/>
        <v>887</v>
      </c>
      <c r="I129" s="34">
        <f t="shared" si="44"/>
        <v>887</v>
      </c>
      <c r="J129" s="34">
        <f t="shared" si="44"/>
        <v>887</v>
      </c>
      <c r="K129" s="8">
        <f t="shared" si="44"/>
        <v>887</v>
      </c>
      <c r="L129" s="8">
        <f t="shared" si="44"/>
        <v>887</v>
      </c>
      <c r="M129" s="8">
        <f t="shared" si="44"/>
        <v>887</v>
      </c>
      <c r="N129" s="8">
        <f t="shared" si="44"/>
        <v>887</v>
      </c>
      <c r="O129" s="8">
        <f t="shared" si="44"/>
        <v>887</v>
      </c>
      <c r="P129" s="8">
        <f t="shared" si="44"/>
        <v>887</v>
      </c>
      <c r="Q129" s="8">
        <f t="shared" si="44"/>
        <v>887</v>
      </c>
      <c r="R129" s="8">
        <f t="shared" si="44"/>
        <v>887</v>
      </c>
      <c r="S129" s="8">
        <f t="shared" si="44"/>
        <v>887</v>
      </c>
      <c r="T129" s="8">
        <f t="shared" si="44"/>
        <v>887</v>
      </c>
      <c r="U129" s="8">
        <f t="shared" si="44"/>
        <v>887</v>
      </c>
      <c r="V129" s="8">
        <f t="shared" si="44"/>
        <v>887</v>
      </c>
      <c r="W129" s="8">
        <f t="shared" si="44"/>
        <v>887</v>
      </c>
      <c r="X129" s="8">
        <f t="shared" si="44"/>
        <v>887</v>
      </c>
      <c r="Y129" s="8">
        <f t="shared" si="44"/>
        <v>887</v>
      </c>
      <c r="Z129" s="8">
        <f t="shared" si="44"/>
        <v>887</v>
      </c>
      <c r="AA129" s="8">
        <f t="shared" si="44"/>
        <v>887</v>
      </c>
      <c r="AB129" s="8">
        <f t="shared" si="44"/>
        <v>887</v>
      </c>
      <c r="AC129" s="8">
        <f t="shared" si="44"/>
        <v>887</v>
      </c>
      <c r="AD129" s="8">
        <f t="shared" si="44"/>
        <v>887</v>
      </c>
      <c r="AE129" s="8">
        <f t="shared" si="44"/>
        <v>887</v>
      </c>
      <c r="AF129" s="8">
        <f t="shared" si="44"/>
        <v>887</v>
      </c>
      <c r="AG129" s="8">
        <f t="shared" si="44"/>
        <v>887</v>
      </c>
      <c r="AH129" s="8">
        <f t="shared" si="44"/>
        <v>887</v>
      </c>
      <c r="AI129" s="8">
        <f t="shared" si="44"/>
        <v>887</v>
      </c>
      <c r="AJ129" s="8">
        <f t="shared" si="44"/>
        <v>887</v>
      </c>
      <c r="AK129" s="8">
        <f t="shared" si="44"/>
        <v>887</v>
      </c>
    </row>
    <row r="130" spans="1:37" ht="16.350000000000001" customHeight="1" x14ac:dyDescent="0.3">
      <c r="A130" s="34" t="s">
        <v>133</v>
      </c>
      <c r="B130" s="46">
        <f>IFERROR(INDEX($H$6:$V$6,1,MATCH("RM12",$H$3:$V$3,0)),0)</f>
        <v>5500</v>
      </c>
      <c r="C130" s="34">
        <f>$B130+C128+C132-C127</f>
        <v>5500</v>
      </c>
      <c r="D130" s="34">
        <f t="shared" ref="D130:AK130" si="45">C130+D128+D132-D127</f>
        <v>4084</v>
      </c>
      <c r="E130" s="34">
        <f t="shared" si="45"/>
        <v>3184</v>
      </c>
      <c r="F130" s="34">
        <f t="shared" si="45"/>
        <v>1090</v>
      </c>
      <c r="G130" s="34">
        <f t="shared" si="45"/>
        <v>1090</v>
      </c>
      <c r="H130" s="34">
        <f t="shared" si="45"/>
        <v>887</v>
      </c>
      <c r="I130" s="34">
        <f t="shared" si="45"/>
        <v>887</v>
      </c>
      <c r="J130" s="34">
        <f t="shared" si="45"/>
        <v>887</v>
      </c>
      <c r="K130" s="8">
        <f t="shared" si="45"/>
        <v>887</v>
      </c>
      <c r="L130" s="8">
        <f t="shared" si="45"/>
        <v>887</v>
      </c>
      <c r="M130" s="8">
        <f t="shared" si="45"/>
        <v>887</v>
      </c>
      <c r="N130" s="8">
        <f t="shared" si="45"/>
        <v>887</v>
      </c>
      <c r="O130" s="8">
        <f t="shared" si="45"/>
        <v>887</v>
      </c>
      <c r="P130" s="8">
        <f t="shared" si="45"/>
        <v>887</v>
      </c>
      <c r="Q130" s="8">
        <f t="shared" si="45"/>
        <v>887</v>
      </c>
      <c r="R130" s="8">
        <f t="shared" si="45"/>
        <v>887</v>
      </c>
      <c r="S130" s="8">
        <f t="shared" si="45"/>
        <v>887</v>
      </c>
      <c r="T130" s="8">
        <f t="shared" si="45"/>
        <v>887</v>
      </c>
      <c r="U130" s="8">
        <f t="shared" si="45"/>
        <v>887</v>
      </c>
      <c r="V130" s="8">
        <f t="shared" si="45"/>
        <v>887</v>
      </c>
      <c r="W130" s="8">
        <f t="shared" si="45"/>
        <v>887</v>
      </c>
      <c r="X130" s="8">
        <f t="shared" si="45"/>
        <v>887</v>
      </c>
      <c r="Y130" s="8">
        <f t="shared" si="45"/>
        <v>887</v>
      </c>
      <c r="Z130" s="8">
        <f t="shared" si="45"/>
        <v>887</v>
      </c>
      <c r="AA130" s="8">
        <f t="shared" si="45"/>
        <v>887</v>
      </c>
      <c r="AB130" s="8">
        <f t="shared" si="45"/>
        <v>887</v>
      </c>
      <c r="AC130" s="8">
        <f t="shared" si="45"/>
        <v>887</v>
      </c>
      <c r="AD130" s="8">
        <f t="shared" si="45"/>
        <v>887</v>
      </c>
      <c r="AE130" s="8">
        <f t="shared" si="45"/>
        <v>887</v>
      </c>
      <c r="AF130" s="8">
        <f t="shared" si="45"/>
        <v>887</v>
      </c>
      <c r="AG130" s="8">
        <f t="shared" si="45"/>
        <v>887</v>
      </c>
      <c r="AH130" s="8">
        <f t="shared" si="45"/>
        <v>887</v>
      </c>
      <c r="AI130" s="8">
        <f t="shared" si="45"/>
        <v>887</v>
      </c>
      <c r="AJ130" s="8">
        <f t="shared" si="45"/>
        <v>887</v>
      </c>
      <c r="AK130" s="8">
        <f t="shared" si="45"/>
        <v>887</v>
      </c>
    </row>
    <row r="131" spans="1:37" ht="16.350000000000001" customHeight="1" x14ac:dyDescent="0.3">
      <c r="A131" s="34" t="s">
        <v>141</v>
      </c>
      <c r="B131" s="46"/>
      <c r="C131" s="34">
        <f>MAX(C127+C129-($B130+C128),0)</f>
        <v>0</v>
      </c>
      <c r="D131" s="34">
        <f t="shared" ref="D131:AK131" si="46">MAX(D127+D129-(C130+D128),0)</f>
        <v>0</v>
      </c>
      <c r="E131" s="34">
        <f t="shared" si="46"/>
        <v>0</v>
      </c>
      <c r="F131" s="34">
        <f t="shared" si="46"/>
        <v>0</v>
      </c>
      <c r="G131" s="34">
        <f t="shared" si="46"/>
        <v>0</v>
      </c>
      <c r="H131" s="34">
        <f t="shared" si="46"/>
        <v>697</v>
      </c>
      <c r="I131" s="34">
        <f t="shared" si="46"/>
        <v>0</v>
      </c>
      <c r="J131" s="34">
        <f t="shared" si="46"/>
        <v>0</v>
      </c>
      <c r="K131" s="8">
        <f t="shared" si="46"/>
        <v>900</v>
      </c>
      <c r="L131" s="8">
        <f t="shared" si="46"/>
        <v>0</v>
      </c>
      <c r="M131" s="8">
        <f t="shared" si="46"/>
        <v>2100</v>
      </c>
      <c r="N131" s="8">
        <f t="shared" si="46"/>
        <v>900</v>
      </c>
      <c r="O131" s="8">
        <f t="shared" si="46"/>
        <v>900</v>
      </c>
      <c r="P131" s="8">
        <f t="shared" si="46"/>
        <v>900</v>
      </c>
      <c r="Q131" s="8">
        <f t="shared" si="46"/>
        <v>0</v>
      </c>
      <c r="R131" s="8">
        <f t="shared" si="46"/>
        <v>0</v>
      </c>
      <c r="S131" s="8">
        <f t="shared" si="46"/>
        <v>900</v>
      </c>
      <c r="T131" s="8">
        <f t="shared" si="46"/>
        <v>0</v>
      </c>
      <c r="U131" s="8">
        <f t="shared" si="46"/>
        <v>0</v>
      </c>
      <c r="V131" s="8">
        <f t="shared" si="46"/>
        <v>900</v>
      </c>
      <c r="W131" s="8">
        <f t="shared" si="46"/>
        <v>0</v>
      </c>
      <c r="X131" s="8">
        <f t="shared" si="46"/>
        <v>0</v>
      </c>
      <c r="Y131" s="8">
        <f t="shared" si="46"/>
        <v>0</v>
      </c>
      <c r="Z131" s="8">
        <f t="shared" si="46"/>
        <v>900</v>
      </c>
      <c r="AA131" s="8">
        <f t="shared" si="46"/>
        <v>0</v>
      </c>
      <c r="AB131" s="8">
        <f t="shared" si="46"/>
        <v>0</v>
      </c>
      <c r="AC131" s="8">
        <f t="shared" si="46"/>
        <v>0</v>
      </c>
      <c r="AD131" s="8">
        <f t="shared" si="46"/>
        <v>0</v>
      </c>
      <c r="AE131" s="8">
        <f t="shared" si="46"/>
        <v>900</v>
      </c>
      <c r="AF131" s="8">
        <f t="shared" si="46"/>
        <v>0</v>
      </c>
      <c r="AG131" s="8">
        <f t="shared" si="46"/>
        <v>0</v>
      </c>
      <c r="AH131" s="8">
        <f t="shared" si="46"/>
        <v>0</v>
      </c>
      <c r="AI131" s="8">
        <f t="shared" si="46"/>
        <v>900</v>
      </c>
      <c r="AJ131" s="8">
        <f t="shared" si="46"/>
        <v>0</v>
      </c>
      <c r="AK131" s="8">
        <f t="shared" si="46"/>
        <v>0</v>
      </c>
    </row>
    <row r="132" spans="1:37" ht="16.350000000000001" customHeight="1" x14ac:dyDescent="0.3">
      <c r="A132" s="186" t="s">
        <v>134</v>
      </c>
      <c r="B132" s="157"/>
      <c r="C132" s="34">
        <f t="shared" ref="C132:AK132" si="47">C131</f>
        <v>0</v>
      </c>
      <c r="D132" s="34">
        <f t="shared" si="47"/>
        <v>0</v>
      </c>
      <c r="E132" s="34">
        <f t="shared" si="47"/>
        <v>0</v>
      </c>
      <c r="F132" s="34">
        <f t="shared" si="47"/>
        <v>0</v>
      </c>
      <c r="G132" s="34">
        <f t="shared" si="47"/>
        <v>0</v>
      </c>
      <c r="H132" s="34">
        <f t="shared" si="47"/>
        <v>697</v>
      </c>
      <c r="I132" s="34">
        <f t="shared" si="47"/>
        <v>0</v>
      </c>
      <c r="J132" s="34">
        <f t="shared" si="47"/>
        <v>0</v>
      </c>
      <c r="K132" s="8">
        <f t="shared" si="47"/>
        <v>900</v>
      </c>
      <c r="L132" s="8">
        <f t="shared" si="47"/>
        <v>0</v>
      </c>
      <c r="M132" s="8">
        <f t="shared" si="47"/>
        <v>2100</v>
      </c>
      <c r="N132" s="8">
        <f t="shared" si="47"/>
        <v>900</v>
      </c>
      <c r="O132" s="8">
        <f t="shared" si="47"/>
        <v>900</v>
      </c>
      <c r="P132" s="8">
        <f t="shared" si="47"/>
        <v>900</v>
      </c>
      <c r="Q132" s="8">
        <f t="shared" si="47"/>
        <v>0</v>
      </c>
      <c r="R132" s="8">
        <f t="shared" si="47"/>
        <v>0</v>
      </c>
      <c r="S132" s="8">
        <f t="shared" si="47"/>
        <v>900</v>
      </c>
      <c r="T132" s="8">
        <f t="shared" si="47"/>
        <v>0</v>
      </c>
      <c r="U132" s="8">
        <f t="shared" si="47"/>
        <v>0</v>
      </c>
      <c r="V132" s="8">
        <f t="shared" si="47"/>
        <v>900</v>
      </c>
      <c r="W132" s="8">
        <f t="shared" si="47"/>
        <v>0</v>
      </c>
      <c r="X132" s="8">
        <f t="shared" si="47"/>
        <v>0</v>
      </c>
      <c r="Y132" s="8">
        <f t="shared" si="47"/>
        <v>0</v>
      </c>
      <c r="Z132" s="8">
        <f t="shared" si="47"/>
        <v>900</v>
      </c>
      <c r="AA132" s="8">
        <f t="shared" si="47"/>
        <v>0</v>
      </c>
      <c r="AB132" s="8">
        <f t="shared" si="47"/>
        <v>0</v>
      </c>
      <c r="AC132" s="8">
        <f t="shared" si="47"/>
        <v>0</v>
      </c>
      <c r="AD132" s="8">
        <f t="shared" si="47"/>
        <v>0</v>
      </c>
      <c r="AE132" s="8">
        <f t="shared" si="47"/>
        <v>900</v>
      </c>
      <c r="AF132" s="8">
        <f t="shared" si="47"/>
        <v>0</v>
      </c>
      <c r="AG132" s="8">
        <f t="shared" si="47"/>
        <v>0</v>
      </c>
      <c r="AH132" s="8">
        <f t="shared" si="47"/>
        <v>0</v>
      </c>
      <c r="AI132" s="8">
        <f t="shared" si="47"/>
        <v>900</v>
      </c>
      <c r="AJ132" s="8">
        <f t="shared" si="47"/>
        <v>0</v>
      </c>
      <c r="AK132" s="8">
        <f t="shared" si="47"/>
        <v>0</v>
      </c>
    </row>
    <row r="133" spans="1:37" ht="16.350000000000001" customHeight="1" x14ac:dyDescent="0.3">
      <c r="A133" s="34" t="s">
        <v>135</v>
      </c>
      <c r="B133" s="46"/>
      <c r="C133" s="34">
        <f>IFERROR(INDEX($C$132:$AK$132,1,1+ROUND(INDEX($H$5:$V$5,1,MATCH("RM12",$H$3:$V$3,0))/7,0)),0)</f>
        <v>900</v>
      </c>
      <c r="D133" s="34">
        <f>IFERROR(INDEX($C$132:$AK$132,1,2+ROUND(INDEX($H$5:$V$5,1,MATCH("RM12",$H$3:$V$3,0))/7,0)),0)</f>
        <v>0</v>
      </c>
      <c r="E133" s="34">
        <f>IFERROR(INDEX($C$132:$AK$132,1,3+ROUND(INDEX($H$5:$V$5,1,MATCH("RM12",$H$3:$V$3,0))/7,0)),0)</f>
        <v>2100</v>
      </c>
      <c r="F133" s="34">
        <f>IFERROR(INDEX($C$132:$AK$132,1,4+ROUND(INDEX($H$5:$V$5,1,MATCH("RM12",$H$3:$V$3,0))/7,0)),0)</f>
        <v>900</v>
      </c>
      <c r="G133" s="34">
        <f>IFERROR(INDEX($C$132:$AK$132,1,5+ROUND(INDEX($H$5:$V$5,1,MATCH("RM12",$H$3:$V$3,0))/7,0)),0)</f>
        <v>900</v>
      </c>
      <c r="H133" s="34">
        <f>IFERROR(INDEX($C$132:$AK$132,1,6+ROUND(INDEX($H$5:$V$5,1,MATCH("RM12",$H$3:$V$3,0))/7,0)),0)</f>
        <v>900</v>
      </c>
      <c r="I133" s="34">
        <f>IFERROR(INDEX($C$132:$AK$132,1,7+ROUND(INDEX($H$5:$V$5,1,MATCH("RM12",$H$3:$V$3,0))/7,0)),0)</f>
        <v>0</v>
      </c>
      <c r="J133" s="34">
        <f>IFERROR(INDEX($C$132:$AK$132,1,8+ROUND(INDEX($H$5:$V$5,1,MATCH("RM12",$H$3:$V$3,0))/7,0)),0)</f>
        <v>0</v>
      </c>
      <c r="K133" s="8">
        <f>IFERROR(INDEX($C$132:$AK$132,1,9+ROUND(INDEX($H$5:$V$5,1,MATCH("RM12",$H$3:$V$3,0))/7,0)),0)</f>
        <v>900</v>
      </c>
      <c r="L133" s="8">
        <f>IFERROR(INDEX($C$132:$AK$132,1,10+ROUND(INDEX($H$5:$V$5,1,MATCH("RM12",$H$3:$V$3,0))/7,0)),0)</f>
        <v>0</v>
      </c>
      <c r="M133" s="8">
        <f>IFERROR(INDEX($C$132:$AK$132,1,11+ROUND(INDEX($H$5:$V$5,1,MATCH("RM12",$H$3:$V$3,0))/7,0)),0)</f>
        <v>0</v>
      </c>
      <c r="N133" s="8">
        <f>IFERROR(INDEX($C$132:$AK$132,1,12+ROUND(INDEX($H$5:$V$5,1,MATCH("RM12",$H$3:$V$3,0))/7,0)),0)</f>
        <v>900</v>
      </c>
      <c r="O133" s="8">
        <f>IFERROR(INDEX($C$132:$AK$132,1,13+ROUND(INDEX($H$5:$V$5,1,MATCH("RM12",$H$3:$V$3,0))/7,0)),0)</f>
        <v>0</v>
      </c>
      <c r="P133" s="8">
        <f>IFERROR(INDEX($C$132:$AK$132,1,14+ROUND(INDEX($H$5:$V$5,1,MATCH("RM12",$H$3:$V$3,0))/7,0)),0)</f>
        <v>0</v>
      </c>
      <c r="Q133" s="8">
        <f>IFERROR(INDEX($C$132:$AK$132,1,15+ROUND(INDEX($H$5:$V$5,1,MATCH("RM12",$H$3:$V$3,0))/7,0)),0)</f>
        <v>0</v>
      </c>
      <c r="R133" s="8">
        <f>IFERROR(INDEX($C$132:$AK$132,1,16+ROUND(INDEX($H$5:$V$5,1,MATCH("RM12",$H$3:$V$3,0))/7,0)),0)</f>
        <v>900</v>
      </c>
      <c r="S133" s="8">
        <f>IFERROR(INDEX($C$132:$AK$132,1,17+ROUND(INDEX($H$5:$V$5,1,MATCH("RM12",$H$3:$V$3,0))/7,0)),0)</f>
        <v>0</v>
      </c>
      <c r="T133" s="8">
        <f>IFERROR(INDEX($C$132:$AK$132,1,18+ROUND(INDEX($H$5:$V$5,1,MATCH("RM12",$H$3:$V$3,0))/7,0)),0)</f>
        <v>0</v>
      </c>
      <c r="U133" s="8">
        <f>IFERROR(INDEX($C$132:$AK$132,1,19+ROUND(INDEX($H$5:$V$5,1,MATCH("RM12",$H$3:$V$3,0))/7,0)),0)</f>
        <v>0</v>
      </c>
      <c r="V133" s="8">
        <f>IFERROR(INDEX($C$132:$AK$132,1,20+ROUND(INDEX($H$5:$V$5,1,MATCH("RM12",$H$3:$V$3,0))/7,0)),0)</f>
        <v>0</v>
      </c>
      <c r="W133" s="8">
        <f>IFERROR(INDEX($C$132:$AK$132,1,21+ROUND(INDEX($H$5:$V$5,1,MATCH("RM12",$H$3:$V$3,0))/7,0)),0)</f>
        <v>900</v>
      </c>
      <c r="X133" s="8">
        <f>IFERROR(INDEX($C$132:$AK$132,1,22+ROUND(INDEX($H$5:$V$5,1,MATCH("RM12",$H$3:$V$3,0))/7,0)),0)</f>
        <v>0</v>
      </c>
      <c r="Y133" s="8">
        <f>IFERROR(INDEX($C$132:$AK$132,1,23+ROUND(INDEX($H$5:$V$5,1,MATCH("RM12",$H$3:$V$3,0))/7,0)),0)</f>
        <v>0</v>
      </c>
      <c r="Z133" s="8">
        <f>IFERROR(INDEX($C$132:$AK$132,1,24+ROUND(INDEX($H$5:$V$5,1,MATCH("RM12",$H$3:$V$3,0))/7,0)),0)</f>
        <v>0</v>
      </c>
      <c r="AA133" s="8">
        <f>IFERROR(INDEX($C$132:$AK$132,1,25+ROUND(INDEX($H$5:$V$5,1,MATCH("RM12",$H$3:$V$3,0))/7,0)),0)</f>
        <v>900</v>
      </c>
      <c r="AB133" s="8">
        <f>IFERROR(INDEX($C$132:$AK$132,1,26+ROUND(INDEX($H$5:$V$5,1,MATCH("RM12",$H$3:$V$3,0))/7,0)),0)</f>
        <v>0</v>
      </c>
      <c r="AC133" s="8">
        <f>IFERROR(INDEX($C$132:$AK$132,1,27+ROUND(INDEX($H$5:$V$5,1,MATCH("RM12",$H$3:$V$3,0))/7,0)),0)</f>
        <v>0</v>
      </c>
      <c r="AD133" s="8">
        <f>IFERROR(INDEX($C$132:$AK$132,1,28+ROUND(INDEX($H$5:$V$5,1,MATCH("RM12",$H$3:$V$3,0))/7,0)),0)</f>
        <v>0</v>
      </c>
      <c r="AE133" s="8">
        <f>IFERROR(INDEX($C$132:$AK$132,1,29+ROUND(INDEX($H$5:$V$5,1,MATCH("RM12",$H$3:$V$3,0))/7,0)),0)</f>
        <v>0</v>
      </c>
      <c r="AF133" s="8">
        <f>IFERROR(INDEX($C$132:$AK$132,1,30+ROUND(INDEX($H$5:$V$5,1,MATCH("RM12",$H$3:$V$3,0))/7,0)),0)</f>
        <v>0</v>
      </c>
      <c r="AG133" s="8">
        <f>IFERROR(INDEX($C$132:$AK$132,1,31+ROUND(INDEX($H$5:$V$5,1,MATCH("RM12",$H$3:$V$3,0))/7,0)),0)</f>
        <v>0</v>
      </c>
      <c r="AH133" s="8">
        <f>IFERROR(INDEX($C$132:$AK$132,1,32+ROUND(INDEX($H$5:$V$5,1,MATCH("RM12",$H$3:$V$3,0))/7,0)),0)</f>
        <v>0</v>
      </c>
      <c r="AI133" s="8">
        <f>IFERROR(INDEX($C$132:$AK$132,1,33+ROUND(INDEX($H$5:$V$5,1,MATCH("RM12",$H$3:$V$3,0))/7,0)),0)</f>
        <v>0</v>
      </c>
      <c r="AJ133" s="8">
        <f>IFERROR(INDEX($C$132:$AK$132,1,34+ROUND(INDEX($H$5:$V$5,1,MATCH("RM12",$H$3:$V$3,0))/7,0)),0)</f>
        <v>0</v>
      </c>
      <c r="AK133" s="8">
        <f>IFERROR(INDEX($C$132:$AK$132,1,35+ROUND(INDEX($H$5:$V$5,1,MATCH("RM12",$H$3:$V$3,0))/7,0)),0)</f>
        <v>0</v>
      </c>
    </row>
    <row r="135" spans="1:37" ht="16.350000000000001" customHeight="1" x14ac:dyDescent="0.3">
      <c r="A135" s="47" t="s">
        <v>153</v>
      </c>
      <c r="B135" s="47" t="s">
        <v>140</v>
      </c>
      <c r="C135" s="187" t="s">
        <v>130</v>
      </c>
      <c r="D135" s="156"/>
      <c r="E135" s="156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  <c r="AA135" s="156"/>
      <c r="AB135" s="156"/>
      <c r="AC135" s="156"/>
      <c r="AD135" s="156"/>
      <c r="AE135" s="156"/>
      <c r="AF135" s="156"/>
      <c r="AG135" s="156"/>
      <c r="AH135" s="156"/>
      <c r="AI135" s="156"/>
      <c r="AJ135" s="156"/>
      <c r="AK135" s="157"/>
    </row>
    <row r="136" spans="1:37" ht="16.350000000000001" customHeight="1" x14ac:dyDescent="0.3">
      <c r="A136" s="47" t="s">
        <v>131</v>
      </c>
      <c r="B136" s="47" t="str">
        <f>"LT: "&amp;ROUND(INDEX($H$5:$V$5,1,MATCH("RM13",$H$3:$V$3,0))/7,0)</f>
        <v>LT: 5</v>
      </c>
      <c r="C136" s="48" cm="1">
        <f t="array" ref="C136:AK136">TRANSPOSE(BOM_demand!$A$2:$A$36)</f>
        <v>46132</v>
      </c>
      <c r="D136" s="48">
        <v>46139</v>
      </c>
      <c r="E136" s="48">
        <v>46146</v>
      </c>
      <c r="F136" s="48">
        <v>46153</v>
      </c>
      <c r="G136" s="48">
        <v>46160</v>
      </c>
      <c r="H136" s="48">
        <v>46167</v>
      </c>
      <c r="I136" s="48">
        <v>46174</v>
      </c>
      <c r="J136" s="48">
        <v>46181</v>
      </c>
      <c r="K136" s="48">
        <v>46188</v>
      </c>
      <c r="L136" s="48">
        <v>46195</v>
      </c>
      <c r="M136" s="48">
        <v>46202</v>
      </c>
      <c r="N136" s="48">
        <v>46209</v>
      </c>
      <c r="O136" s="48">
        <v>46216</v>
      </c>
      <c r="P136" s="48">
        <v>46223</v>
      </c>
      <c r="Q136" s="48">
        <v>46230</v>
      </c>
      <c r="R136" s="48">
        <v>46237</v>
      </c>
      <c r="S136" s="48">
        <v>46244</v>
      </c>
      <c r="T136" s="48">
        <v>46251</v>
      </c>
      <c r="U136" s="48">
        <v>46258</v>
      </c>
      <c r="V136" s="48">
        <v>46265</v>
      </c>
      <c r="W136" s="48">
        <v>46272</v>
      </c>
      <c r="X136" s="48">
        <v>46279</v>
      </c>
      <c r="Y136" s="48">
        <v>46286</v>
      </c>
      <c r="Z136" s="48">
        <v>46293</v>
      </c>
      <c r="AA136" s="48">
        <v>46300</v>
      </c>
      <c r="AB136" s="48">
        <v>46307</v>
      </c>
      <c r="AC136" s="48">
        <v>46314</v>
      </c>
      <c r="AD136" s="48">
        <v>46321</v>
      </c>
      <c r="AE136" s="48">
        <v>46328</v>
      </c>
      <c r="AF136" s="48">
        <v>46335</v>
      </c>
      <c r="AG136" s="48">
        <v>46342</v>
      </c>
      <c r="AH136" s="48">
        <v>46349</v>
      </c>
      <c r="AI136" s="48">
        <v>46356</v>
      </c>
      <c r="AJ136" s="48">
        <v>46363</v>
      </c>
      <c r="AK136" s="48">
        <v>46370</v>
      </c>
    </row>
    <row r="137" spans="1:37" ht="16.350000000000001" customHeight="1" x14ac:dyDescent="0.3">
      <c r="A137" s="51" t="s">
        <v>132</v>
      </c>
      <c r="C137" s="34" cm="1">
        <f t="array" ref="C137:AK137">TRANSPOSE(BOM_demand!$T$2:$T$36)</f>
        <v>0</v>
      </c>
      <c r="D137" s="34">
        <v>1888</v>
      </c>
      <c r="E137" s="34">
        <v>1200</v>
      </c>
      <c r="F137" s="34">
        <v>2792</v>
      </c>
      <c r="G137" s="34">
        <v>0</v>
      </c>
      <c r="H137" s="34">
        <v>1200</v>
      </c>
      <c r="I137" s="34">
        <v>0</v>
      </c>
      <c r="J137" s="34">
        <v>0</v>
      </c>
      <c r="K137" s="34">
        <v>1200</v>
      </c>
      <c r="L137" s="34">
        <v>0</v>
      </c>
      <c r="M137" s="34">
        <v>2800</v>
      </c>
      <c r="N137" s="34">
        <v>1200</v>
      </c>
      <c r="O137" s="34">
        <v>1200</v>
      </c>
      <c r="P137" s="34">
        <v>1200</v>
      </c>
      <c r="Q137" s="34">
        <v>0</v>
      </c>
      <c r="R137" s="34">
        <v>0</v>
      </c>
      <c r="S137" s="34">
        <v>1200</v>
      </c>
      <c r="T137" s="34">
        <v>0</v>
      </c>
      <c r="U137" s="34">
        <v>0</v>
      </c>
      <c r="V137" s="34">
        <v>1200</v>
      </c>
      <c r="W137" s="34">
        <v>0</v>
      </c>
      <c r="X137" s="34">
        <v>0</v>
      </c>
      <c r="Y137" s="34">
        <v>0</v>
      </c>
      <c r="Z137" s="34">
        <v>1200</v>
      </c>
      <c r="AA137" s="34">
        <v>0</v>
      </c>
      <c r="AB137" s="34">
        <v>0</v>
      </c>
      <c r="AC137" s="34">
        <v>0</v>
      </c>
      <c r="AD137" s="34">
        <v>0</v>
      </c>
      <c r="AE137" s="34">
        <v>1200</v>
      </c>
      <c r="AF137" s="34">
        <v>0</v>
      </c>
      <c r="AG137" s="34">
        <v>0</v>
      </c>
      <c r="AH137" s="34">
        <v>0</v>
      </c>
      <c r="AI137" s="34">
        <v>1200</v>
      </c>
      <c r="AJ137" s="34">
        <v>0</v>
      </c>
      <c r="AK137" s="34">
        <v>0</v>
      </c>
    </row>
    <row r="138" spans="1:37" ht="16.350000000000001" customHeight="1" x14ac:dyDescent="0.3">
      <c r="A138" s="186" t="s">
        <v>129</v>
      </c>
      <c r="B138" s="157"/>
      <c r="C138" s="34">
        <f>IFERROR(INDEX($H$7:$V$7,1,MATCH("RM13",$H$3:$V$3,0)),0)</f>
        <v>1000</v>
      </c>
      <c r="D138" s="34">
        <f>0</f>
        <v>0</v>
      </c>
      <c r="E138" s="34">
        <f>0</f>
        <v>0</v>
      </c>
      <c r="F138" s="34">
        <f>0</f>
        <v>0</v>
      </c>
      <c r="G138" s="34">
        <f>0</f>
        <v>0</v>
      </c>
      <c r="H138" s="34">
        <f>0</f>
        <v>0</v>
      </c>
      <c r="I138" s="34">
        <f>0</f>
        <v>0</v>
      </c>
      <c r="J138" s="34">
        <f>0</f>
        <v>0</v>
      </c>
      <c r="K138" s="8">
        <f>0</f>
        <v>0</v>
      </c>
      <c r="L138" s="8">
        <f>0</f>
        <v>0</v>
      </c>
      <c r="M138" s="8">
        <f>0</f>
        <v>0</v>
      </c>
      <c r="N138" s="8">
        <f>0</f>
        <v>0</v>
      </c>
      <c r="O138" s="8">
        <f>0</f>
        <v>0</v>
      </c>
      <c r="P138" s="8">
        <f>0</f>
        <v>0</v>
      </c>
      <c r="Q138" s="8">
        <f>0</f>
        <v>0</v>
      </c>
      <c r="R138" s="8">
        <f>0</f>
        <v>0</v>
      </c>
      <c r="S138" s="8">
        <f>0</f>
        <v>0</v>
      </c>
      <c r="T138" s="8">
        <f>0</f>
        <v>0</v>
      </c>
      <c r="U138" s="8">
        <f>0</f>
        <v>0</v>
      </c>
      <c r="V138" s="8">
        <f>0</f>
        <v>0</v>
      </c>
      <c r="W138" s="8">
        <f>0</f>
        <v>0</v>
      </c>
      <c r="X138" s="8">
        <f>0</f>
        <v>0</v>
      </c>
      <c r="Y138" s="8">
        <f>0</f>
        <v>0</v>
      </c>
      <c r="Z138" s="8">
        <f>0</f>
        <v>0</v>
      </c>
      <c r="AA138" s="8">
        <f>0</f>
        <v>0</v>
      </c>
      <c r="AB138" s="8">
        <f>0</f>
        <v>0</v>
      </c>
      <c r="AC138" s="8">
        <f>0</f>
        <v>0</v>
      </c>
      <c r="AD138" s="8">
        <f>0</f>
        <v>0</v>
      </c>
      <c r="AE138" s="8">
        <f>0</f>
        <v>0</v>
      </c>
      <c r="AF138" s="8">
        <f>0</f>
        <v>0</v>
      </c>
      <c r="AG138" s="8">
        <f>0</f>
        <v>0</v>
      </c>
      <c r="AH138" s="8">
        <f>0</f>
        <v>0</v>
      </c>
      <c r="AI138" s="8">
        <f>0</f>
        <v>0</v>
      </c>
      <c r="AJ138" s="8">
        <f>0</f>
        <v>0</v>
      </c>
      <c r="AK138" s="8">
        <f>0</f>
        <v>0</v>
      </c>
    </row>
    <row r="139" spans="1:37" ht="16.350000000000001" customHeight="1" x14ac:dyDescent="0.3">
      <c r="A139" s="34" t="s">
        <v>137</v>
      </c>
      <c r="B139" s="46">
        <f>IFERROR(INDEX($H$8:$V$8,1,MATCH("RM13",$H$3:$V$3,0)),0)</f>
        <v>1182</v>
      </c>
      <c r="C139" s="34">
        <f t="shared" ref="C139:AK139" si="48">$B139</f>
        <v>1182</v>
      </c>
      <c r="D139" s="34">
        <f t="shared" si="48"/>
        <v>1182</v>
      </c>
      <c r="E139" s="34">
        <f t="shared" si="48"/>
        <v>1182</v>
      </c>
      <c r="F139" s="34">
        <f t="shared" si="48"/>
        <v>1182</v>
      </c>
      <c r="G139" s="34">
        <f t="shared" si="48"/>
        <v>1182</v>
      </c>
      <c r="H139" s="34">
        <f t="shared" si="48"/>
        <v>1182</v>
      </c>
      <c r="I139" s="34">
        <f t="shared" si="48"/>
        <v>1182</v>
      </c>
      <c r="J139" s="34">
        <f t="shared" si="48"/>
        <v>1182</v>
      </c>
      <c r="K139" s="8">
        <f t="shared" si="48"/>
        <v>1182</v>
      </c>
      <c r="L139" s="8">
        <f t="shared" si="48"/>
        <v>1182</v>
      </c>
      <c r="M139" s="8">
        <f t="shared" si="48"/>
        <v>1182</v>
      </c>
      <c r="N139" s="8">
        <f t="shared" si="48"/>
        <v>1182</v>
      </c>
      <c r="O139" s="8">
        <f t="shared" si="48"/>
        <v>1182</v>
      </c>
      <c r="P139" s="8">
        <f t="shared" si="48"/>
        <v>1182</v>
      </c>
      <c r="Q139" s="8">
        <f t="shared" si="48"/>
        <v>1182</v>
      </c>
      <c r="R139" s="8">
        <f t="shared" si="48"/>
        <v>1182</v>
      </c>
      <c r="S139" s="8">
        <f t="shared" si="48"/>
        <v>1182</v>
      </c>
      <c r="T139" s="8">
        <f t="shared" si="48"/>
        <v>1182</v>
      </c>
      <c r="U139" s="8">
        <f t="shared" si="48"/>
        <v>1182</v>
      </c>
      <c r="V139" s="8">
        <f t="shared" si="48"/>
        <v>1182</v>
      </c>
      <c r="W139" s="8">
        <f t="shared" si="48"/>
        <v>1182</v>
      </c>
      <c r="X139" s="8">
        <f t="shared" si="48"/>
        <v>1182</v>
      </c>
      <c r="Y139" s="8">
        <f t="shared" si="48"/>
        <v>1182</v>
      </c>
      <c r="Z139" s="8">
        <f t="shared" si="48"/>
        <v>1182</v>
      </c>
      <c r="AA139" s="8">
        <f t="shared" si="48"/>
        <v>1182</v>
      </c>
      <c r="AB139" s="8">
        <f t="shared" si="48"/>
        <v>1182</v>
      </c>
      <c r="AC139" s="8">
        <f t="shared" si="48"/>
        <v>1182</v>
      </c>
      <c r="AD139" s="8">
        <f t="shared" si="48"/>
        <v>1182</v>
      </c>
      <c r="AE139" s="8">
        <f t="shared" si="48"/>
        <v>1182</v>
      </c>
      <c r="AF139" s="8">
        <f t="shared" si="48"/>
        <v>1182</v>
      </c>
      <c r="AG139" s="8">
        <f t="shared" si="48"/>
        <v>1182</v>
      </c>
      <c r="AH139" s="8">
        <f t="shared" si="48"/>
        <v>1182</v>
      </c>
      <c r="AI139" s="8">
        <f t="shared" si="48"/>
        <v>1182</v>
      </c>
      <c r="AJ139" s="8">
        <f t="shared" si="48"/>
        <v>1182</v>
      </c>
      <c r="AK139" s="8">
        <f t="shared" si="48"/>
        <v>1182</v>
      </c>
    </row>
    <row r="140" spans="1:37" ht="16.350000000000001" customHeight="1" x14ac:dyDescent="0.3">
      <c r="A140" s="34" t="s">
        <v>133</v>
      </c>
      <c r="B140" s="46">
        <f>IFERROR(INDEX($H$6:$V$6,1,MATCH("RM13",$H$3:$V$3,0)),0)</f>
        <v>6000</v>
      </c>
      <c r="C140" s="34">
        <f>$B140+C138+C142-C137</f>
        <v>7000</v>
      </c>
      <c r="D140" s="34">
        <f t="shared" ref="D140:AK140" si="49">C140+D138+D142-D137</f>
        <v>5112</v>
      </c>
      <c r="E140" s="34">
        <f t="shared" si="49"/>
        <v>3912</v>
      </c>
      <c r="F140" s="34">
        <f t="shared" si="49"/>
        <v>1182</v>
      </c>
      <c r="G140" s="34">
        <f t="shared" si="49"/>
        <v>1182</v>
      </c>
      <c r="H140" s="34">
        <f t="shared" si="49"/>
        <v>1182</v>
      </c>
      <c r="I140" s="34">
        <f t="shared" si="49"/>
        <v>1182</v>
      </c>
      <c r="J140" s="34">
        <f t="shared" si="49"/>
        <v>1182</v>
      </c>
      <c r="K140" s="8">
        <f t="shared" si="49"/>
        <v>1182</v>
      </c>
      <c r="L140" s="8">
        <f t="shared" si="49"/>
        <v>1182</v>
      </c>
      <c r="M140" s="8">
        <f t="shared" si="49"/>
        <v>1182</v>
      </c>
      <c r="N140" s="8">
        <f t="shared" si="49"/>
        <v>1182</v>
      </c>
      <c r="O140" s="8">
        <f t="shared" si="49"/>
        <v>1182</v>
      </c>
      <c r="P140" s="8">
        <f t="shared" si="49"/>
        <v>1182</v>
      </c>
      <c r="Q140" s="8">
        <f t="shared" si="49"/>
        <v>1182</v>
      </c>
      <c r="R140" s="8">
        <f t="shared" si="49"/>
        <v>1182</v>
      </c>
      <c r="S140" s="8">
        <f t="shared" si="49"/>
        <v>1182</v>
      </c>
      <c r="T140" s="8">
        <f t="shared" si="49"/>
        <v>1182</v>
      </c>
      <c r="U140" s="8">
        <f t="shared" si="49"/>
        <v>1182</v>
      </c>
      <c r="V140" s="8">
        <f t="shared" si="49"/>
        <v>1182</v>
      </c>
      <c r="W140" s="8">
        <f t="shared" si="49"/>
        <v>1182</v>
      </c>
      <c r="X140" s="8">
        <f t="shared" si="49"/>
        <v>1182</v>
      </c>
      <c r="Y140" s="8">
        <f t="shared" si="49"/>
        <v>1182</v>
      </c>
      <c r="Z140" s="8">
        <f t="shared" si="49"/>
        <v>1182</v>
      </c>
      <c r="AA140" s="8">
        <f t="shared" si="49"/>
        <v>1182</v>
      </c>
      <c r="AB140" s="8">
        <f t="shared" si="49"/>
        <v>1182</v>
      </c>
      <c r="AC140" s="8">
        <f t="shared" si="49"/>
        <v>1182</v>
      </c>
      <c r="AD140" s="8">
        <f t="shared" si="49"/>
        <v>1182</v>
      </c>
      <c r="AE140" s="8">
        <f t="shared" si="49"/>
        <v>1182</v>
      </c>
      <c r="AF140" s="8">
        <f t="shared" si="49"/>
        <v>1182</v>
      </c>
      <c r="AG140" s="8">
        <f t="shared" si="49"/>
        <v>1182</v>
      </c>
      <c r="AH140" s="8">
        <f t="shared" si="49"/>
        <v>1182</v>
      </c>
      <c r="AI140" s="8">
        <f t="shared" si="49"/>
        <v>1182</v>
      </c>
      <c r="AJ140" s="8">
        <f t="shared" si="49"/>
        <v>1182</v>
      </c>
      <c r="AK140" s="8">
        <f t="shared" si="49"/>
        <v>1182</v>
      </c>
    </row>
    <row r="141" spans="1:37" ht="16.350000000000001" customHeight="1" x14ac:dyDescent="0.3">
      <c r="A141" s="34" t="s">
        <v>141</v>
      </c>
      <c r="B141" s="46"/>
      <c r="C141" s="34">
        <f>MAX(C137+C139-($B140+C138),0)</f>
        <v>0</v>
      </c>
      <c r="D141" s="34">
        <f t="shared" ref="D141:AK141" si="50">MAX(D137+D139-(C140+D138),0)</f>
        <v>0</v>
      </c>
      <c r="E141" s="34">
        <f t="shared" si="50"/>
        <v>0</v>
      </c>
      <c r="F141" s="34">
        <f t="shared" si="50"/>
        <v>62</v>
      </c>
      <c r="G141" s="34">
        <f t="shared" si="50"/>
        <v>0</v>
      </c>
      <c r="H141" s="34">
        <f t="shared" si="50"/>
        <v>1200</v>
      </c>
      <c r="I141" s="34">
        <f t="shared" si="50"/>
        <v>0</v>
      </c>
      <c r="J141" s="34">
        <f t="shared" si="50"/>
        <v>0</v>
      </c>
      <c r="K141" s="8">
        <f t="shared" si="50"/>
        <v>1200</v>
      </c>
      <c r="L141" s="8">
        <f t="shared" si="50"/>
        <v>0</v>
      </c>
      <c r="M141" s="8">
        <f t="shared" si="50"/>
        <v>2800</v>
      </c>
      <c r="N141" s="8">
        <f t="shared" si="50"/>
        <v>1200</v>
      </c>
      <c r="O141" s="8">
        <f t="shared" si="50"/>
        <v>1200</v>
      </c>
      <c r="P141" s="8">
        <f t="shared" si="50"/>
        <v>1200</v>
      </c>
      <c r="Q141" s="8">
        <f t="shared" si="50"/>
        <v>0</v>
      </c>
      <c r="R141" s="8">
        <f t="shared" si="50"/>
        <v>0</v>
      </c>
      <c r="S141" s="8">
        <f t="shared" si="50"/>
        <v>1200</v>
      </c>
      <c r="T141" s="8">
        <f t="shared" si="50"/>
        <v>0</v>
      </c>
      <c r="U141" s="8">
        <f t="shared" si="50"/>
        <v>0</v>
      </c>
      <c r="V141" s="8">
        <f t="shared" si="50"/>
        <v>1200</v>
      </c>
      <c r="W141" s="8">
        <f t="shared" si="50"/>
        <v>0</v>
      </c>
      <c r="X141" s="8">
        <f t="shared" si="50"/>
        <v>0</v>
      </c>
      <c r="Y141" s="8">
        <f t="shared" si="50"/>
        <v>0</v>
      </c>
      <c r="Z141" s="8">
        <f t="shared" si="50"/>
        <v>1200</v>
      </c>
      <c r="AA141" s="8">
        <f t="shared" si="50"/>
        <v>0</v>
      </c>
      <c r="AB141" s="8">
        <f t="shared" si="50"/>
        <v>0</v>
      </c>
      <c r="AC141" s="8">
        <f t="shared" si="50"/>
        <v>0</v>
      </c>
      <c r="AD141" s="8">
        <f t="shared" si="50"/>
        <v>0</v>
      </c>
      <c r="AE141" s="8">
        <f t="shared" si="50"/>
        <v>1200</v>
      </c>
      <c r="AF141" s="8">
        <f t="shared" si="50"/>
        <v>0</v>
      </c>
      <c r="AG141" s="8">
        <f t="shared" si="50"/>
        <v>0</v>
      </c>
      <c r="AH141" s="8">
        <f t="shared" si="50"/>
        <v>0</v>
      </c>
      <c r="AI141" s="8">
        <f t="shared" si="50"/>
        <v>1200</v>
      </c>
      <c r="AJ141" s="8">
        <f t="shared" si="50"/>
        <v>0</v>
      </c>
      <c r="AK141" s="8">
        <f t="shared" si="50"/>
        <v>0</v>
      </c>
    </row>
    <row r="142" spans="1:37" ht="16.350000000000001" customHeight="1" x14ac:dyDescent="0.3">
      <c r="A142" s="186" t="s">
        <v>134</v>
      </c>
      <c r="B142" s="157"/>
      <c r="C142" s="34">
        <f t="shared" ref="C142:AK142" si="51">C141</f>
        <v>0</v>
      </c>
      <c r="D142" s="34">
        <f t="shared" si="51"/>
        <v>0</v>
      </c>
      <c r="E142" s="34">
        <f t="shared" si="51"/>
        <v>0</v>
      </c>
      <c r="F142" s="34">
        <f t="shared" si="51"/>
        <v>62</v>
      </c>
      <c r="G142" s="34">
        <f t="shared" si="51"/>
        <v>0</v>
      </c>
      <c r="H142" s="34">
        <f t="shared" si="51"/>
        <v>1200</v>
      </c>
      <c r="I142" s="34">
        <f t="shared" si="51"/>
        <v>0</v>
      </c>
      <c r="J142" s="34">
        <f t="shared" si="51"/>
        <v>0</v>
      </c>
      <c r="K142" s="8">
        <f t="shared" si="51"/>
        <v>1200</v>
      </c>
      <c r="L142" s="8">
        <f t="shared" si="51"/>
        <v>0</v>
      </c>
      <c r="M142" s="8">
        <f t="shared" si="51"/>
        <v>2800</v>
      </c>
      <c r="N142" s="8">
        <f t="shared" si="51"/>
        <v>1200</v>
      </c>
      <c r="O142" s="8">
        <f t="shared" si="51"/>
        <v>1200</v>
      </c>
      <c r="P142" s="8">
        <f t="shared" si="51"/>
        <v>1200</v>
      </c>
      <c r="Q142" s="8">
        <f t="shared" si="51"/>
        <v>0</v>
      </c>
      <c r="R142" s="8">
        <f t="shared" si="51"/>
        <v>0</v>
      </c>
      <c r="S142" s="8">
        <f t="shared" si="51"/>
        <v>1200</v>
      </c>
      <c r="T142" s="8">
        <f t="shared" si="51"/>
        <v>0</v>
      </c>
      <c r="U142" s="8">
        <f t="shared" si="51"/>
        <v>0</v>
      </c>
      <c r="V142" s="8">
        <f t="shared" si="51"/>
        <v>1200</v>
      </c>
      <c r="W142" s="8">
        <f t="shared" si="51"/>
        <v>0</v>
      </c>
      <c r="X142" s="8">
        <f t="shared" si="51"/>
        <v>0</v>
      </c>
      <c r="Y142" s="8">
        <f t="shared" si="51"/>
        <v>0</v>
      </c>
      <c r="Z142" s="8">
        <f t="shared" si="51"/>
        <v>1200</v>
      </c>
      <c r="AA142" s="8">
        <f t="shared" si="51"/>
        <v>0</v>
      </c>
      <c r="AB142" s="8">
        <f t="shared" si="51"/>
        <v>0</v>
      </c>
      <c r="AC142" s="8">
        <f t="shared" si="51"/>
        <v>0</v>
      </c>
      <c r="AD142" s="8">
        <f t="shared" si="51"/>
        <v>0</v>
      </c>
      <c r="AE142" s="8">
        <f t="shared" si="51"/>
        <v>1200</v>
      </c>
      <c r="AF142" s="8">
        <f t="shared" si="51"/>
        <v>0</v>
      </c>
      <c r="AG142" s="8">
        <f t="shared" si="51"/>
        <v>0</v>
      </c>
      <c r="AH142" s="8">
        <f t="shared" si="51"/>
        <v>0</v>
      </c>
      <c r="AI142" s="8">
        <f t="shared" si="51"/>
        <v>1200</v>
      </c>
      <c r="AJ142" s="8">
        <f t="shared" si="51"/>
        <v>0</v>
      </c>
      <c r="AK142" s="8">
        <f t="shared" si="51"/>
        <v>0</v>
      </c>
    </row>
    <row r="143" spans="1:37" ht="16.350000000000001" customHeight="1" x14ac:dyDescent="0.3">
      <c r="A143" s="34" t="s">
        <v>135</v>
      </c>
      <c r="B143" s="46"/>
      <c r="C143" s="34">
        <f>IFERROR(INDEX($C$142:$AK$142,1,1+ROUND(INDEX($H$5:$V$5,1,MATCH("RM13",$H$3:$V$3,0))/7,0)),0)</f>
        <v>1200</v>
      </c>
      <c r="D143" s="34">
        <f>IFERROR(INDEX($C$142:$AK$142,1,2+ROUND(INDEX($H$5:$V$5,1,MATCH("RM13",$H$3:$V$3,0))/7,0)),0)</f>
        <v>0</v>
      </c>
      <c r="E143" s="34">
        <f>IFERROR(INDEX($C$142:$AK$142,1,3+ROUND(INDEX($H$5:$V$5,1,MATCH("RM13",$H$3:$V$3,0))/7,0)),0)</f>
        <v>0</v>
      </c>
      <c r="F143" s="34">
        <f>IFERROR(INDEX($C$142:$AK$142,1,4+ROUND(INDEX($H$5:$V$5,1,MATCH("RM13",$H$3:$V$3,0))/7,0)),0)</f>
        <v>1200</v>
      </c>
      <c r="G143" s="34">
        <f>IFERROR(INDEX($C$142:$AK$142,1,5+ROUND(INDEX($H$5:$V$5,1,MATCH("RM13",$H$3:$V$3,0))/7,0)),0)</f>
        <v>0</v>
      </c>
      <c r="H143" s="34">
        <f>IFERROR(INDEX($C$142:$AK$142,1,6+ROUND(INDEX($H$5:$V$5,1,MATCH("RM13",$H$3:$V$3,0))/7,0)),0)</f>
        <v>2800</v>
      </c>
      <c r="I143" s="34">
        <f>IFERROR(INDEX($C$142:$AK$142,1,7+ROUND(INDEX($H$5:$V$5,1,MATCH("RM13",$H$3:$V$3,0))/7,0)),0)</f>
        <v>1200</v>
      </c>
      <c r="J143" s="34">
        <f>IFERROR(INDEX($C$142:$AK$142,1,8+ROUND(INDEX($H$5:$V$5,1,MATCH("RM13",$H$3:$V$3,0))/7,0)),0)</f>
        <v>1200</v>
      </c>
      <c r="K143" s="8">
        <f>IFERROR(INDEX($C$142:$AK$142,1,9+ROUND(INDEX($H$5:$V$5,1,MATCH("RM13",$H$3:$V$3,0))/7,0)),0)</f>
        <v>1200</v>
      </c>
      <c r="L143" s="8">
        <f>IFERROR(INDEX($C$142:$AK$142,1,10+ROUND(INDEX($H$5:$V$5,1,MATCH("RM13",$H$3:$V$3,0))/7,0)),0)</f>
        <v>0</v>
      </c>
      <c r="M143" s="8">
        <f>IFERROR(INDEX($C$142:$AK$142,1,11+ROUND(INDEX($H$5:$V$5,1,MATCH("RM13",$H$3:$V$3,0))/7,0)),0)</f>
        <v>0</v>
      </c>
      <c r="N143" s="8">
        <f>IFERROR(INDEX($C$142:$AK$142,1,12+ROUND(INDEX($H$5:$V$5,1,MATCH("RM13",$H$3:$V$3,0))/7,0)),0)</f>
        <v>1200</v>
      </c>
      <c r="O143" s="8">
        <f>IFERROR(INDEX($C$142:$AK$142,1,13+ROUND(INDEX($H$5:$V$5,1,MATCH("RM13",$H$3:$V$3,0))/7,0)),0)</f>
        <v>0</v>
      </c>
      <c r="P143" s="8">
        <f>IFERROR(INDEX($C$142:$AK$142,1,14+ROUND(INDEX($H$5:$V$5,1,MATCH("RM13",$H$3:$V$3,0))/7,0)),0)</f>
        <v>0</v>
      </c>
      <c r="Q143" s="8">
        <f>IFERROR(INDEX($C$142:$AK$142,1,15+ROUND(INDEX($H$5:$V$5,1,MATCH("RM13",$H$3:$V$3,0))/7,0)),0)</f>
        <v>1200</v>
      </c>
      <c r="R143" s="8">
        <f>IFERROR(INDEX($C$142:$AK$142,1,16+ROUND(INDEX($H$5:$V$5,1,MATCH("RM13",$H$3:$V$3,0))/7,0)),0)</f>
        <v>0</v>
      </c>
      <c r="S143" s="8">
        <f>IFERROR(INDEX($C$142:$AK$142,1,17+ROUND(INDEX($H$5:$V$5,1,MATCH("RM13",$H$3:$V$3,0))/7,0)),0)</f>
        <v>0</v>
      </c>
      <c r="T143" s="8">
        <f>IFERROR(INDEX($C$142:$AK$142,1,18+ROUND(INDEX($H$5:$V$5,1,MATCH("RM13",$H$3:$V$3,0))/7,0)),0)</f>
        <v>0</v>
      </c>
      <c r="U143" s="8">
        <f>IFERROR(INDEX($C$142:$AK$142,1,19+ROUND(INDEX($H$5:$V$5,1,MATCH("RM13",$H$3:$V$3,0))/7,0)),0)</f>
        <v>1200</v>
      </c>
      <c r="V143" s="8">
        <f>IFERROR(INDEX($C$142:$AK$142,1,20+ROUND(INDEX($H$5:$V$5,1,MATCH("RM13",$H$3:$V$3,0))/7,0)),0)</f>
        <v>0</v>
      </c>
      <c r="W143" s="8">
        <f>IFERROR(INDEX($C$142:$AK$142,1,21+ROUND(INDEX($H$5:$V$5,1,MATCH("RM13",$H$3:$V$3,0))/7,0)),0)</f>
        <v>0</v>
      </c>
      <c r="X143" s="8">
        <f>IFERROR(INDEX($C$142:$AK$142,1,22+ROUND(INDEX($H$5:$V$5,1,MATCH("RM13",$H$3:$V$3,0))/7,0)),0)</f>
        <v>0</v>
      </c>
      <c r="Y143" s="8">
        <f>IFERROR(INDEX($C$142:$AK$142,1,23+ROUND(INDEX($H$5:$V$5,1,MATCH("RM13",$H$3:$V$3,0))/7,0)),0)</f>
        <v>0</v>
      </c>
      <c r="Z143" s="8">
        <f>IFERROR(INDEX($C$142:$AK$142,1,24+ROUND(INDEX($H$5:$V$5,1,MATCH("RM13",$H$3:$V$3,0))/7,0)),0)</f>
        <v>1200</v>
      </c>
      <c r="AA143" s="8">
        <f>IFERROR(INDEX($C$142:$AK$142,1,25+ROUND(INDEX($H$5:$V$5,1,MATCH("RM13",$H$3:$V$3,0))/7,0)),0)</f>
        <v>0</v>
      </c>
      <c r="AB143" s="8">
        <f>IFERROR(INDEX($C$142:$AK$142,1,26+ROUND(INDEX($H$5:$V$5,1,MATCH("RM13",$H$3:$V$3,0))/7,0)),0)</f>
        <v>0</v>
      </c>
      <c r="AC143" s="8">
        <f>IFERROR(INDEX($C$142:$AK$142,1,27+ROUND(INDEX($H$5:$V$5,1,MATCH("RM13",$H$3:$V$3,0))/7,0)),0)</f>
        <v>0</v>
      </c>
      <c r="AD143" s="8">
        <f>IFERROR(INDEX($C$142:$AK$142,1,28+ROUND(INDEX($H$5:$V$5,1,MATCH("RM13",$H$3:$V$3,0))/7,0)),0)</f>
        <v>1200</v>
      </c>
      <c r="AE143" s="8">
        <f>IFERROR(INDEX($C$142:$AK$142,1,29+ROUND(INDEX($H$5:$V$5,1,MATCH("RM13",$H$3:$V$3,0))/7,0)),0)</f>
        <v>0</v>
      </c>
      <c r="AF143" s="8">
        <f>IFERROR(INDEX($C$142:$AK$142,1,30+ROUND(INDEX($H$5:$V$5,1,MATCH("RM13",$H$3:$V$3,0))/7,0)),0)</f>
        <v>0</v>
      </c>
      <c r="AG143" s="8">
        <f>IFERROR(INDEX($C$142:$AK$142,1,31+ROUND(INDEX($H$5:$V$5,1,MATCH("RM13",$H$3:$V$3,0))/7,0)),0)</f>
        <v>0</v>
      </c>
      <c r="AH143" s="8">
        <f>IFERROR(INDEX($C$142:$AK$142,1,32+ROUND(INDEX($H$5:$V$5,1,MATCH("RM13",$H$3:$V$3,0))/7,0)),0)</f>
        <v>0</v>
      </c>
      <c r="AI143" s="8">
        <f>IFERROR(INDEX($C$142:$AK$142,1,33+ROUND(INDEX($H$5:$V$5,1,MATCH("RM13",$H$3:$V$3,0))/7,0)),0)</f>
        <v>0</v>
      </c>
      <c r="AJ143" s="8">
        <f>IFERROR(INDEX($C$142:$AK$142,1,34+ROUND(INDEX($H$5:$V$5,1,MATCH("RM13",$H$3:$V$3,0))/7,0)),0)</f>
        <v>0</v>
      </c>
      <c r="AK143" s="8">
        <f>IFERROR(INDEX($C$142:$AK$142,1,35+ROUND(INDEX($H$5:$V$5,1,MATCH("RM13",$H$3:$V$3,0))/7,0)),0)</f>
        <v>0</v>
      </c>
    </row>
    <row r="145" spans="1:37" ht="16.350000000000001" customHeight="1" x14ac:dyDescent="0.3">
      <c r="A145" s="47" t="s">
        <v>154</v>
      </c>
      <c r="B145" s="47" t="s">
        <v>140</v>
      </c>
      <c r="C145" s="187" t="s">
        <v>130</v>
      </c>
      <c r="D145" s="156"/>
      <c r="E145" s="156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  <c r="AK145" s="157"/>
    </row>
    <row r="146" spans="1:37" ht="16.350000000000001" customHeight="1" x14ac:dyDescent="0.3">
      <c r="A146" s="47" t="s">
        <v>131</v>
      </c>
      <c r="B146" s="47" t="str">
        <f>"LT: "&amp;ROUND(INDEX($H$5:$V$5,1,MATCH("RM14",$H$3:$V$3,0))/7,0)</f>
        <v>LT: 9</v>
      </c>
      <c r="C146" s="48" cm="1">
        <f t="array" ref="C146:AK146">TRANSPOSE(BOM_demand!$A$2:$A$36)</f>
        <v>46132</v>
      </c>
      <c r="D146" s="48">
        <v>46139</v>
      </c>
      <c r="E146" s="48">
        <v>46146</v>
      </c>
      <c r="F146" s="48">
        <v>46153</v>
      </c>
      <c r="G146" s="48">
        <v>46160</v>
      </c>
      <c r="H146" s="48">
        <v>46167</v>
      </c>
      <c r="I146" s="48">
        <v>46174</v>
      </c>
      <c r="J146" s="48">
        <v>46181</v>
      </c>
      <c r="K146" s="48">
        <v>46188</v>
      </c>
      <c r="L146" s="48">
        <v>46195</v>
      </c>
      <c r="M146" s="48">
        <v>46202</v>
      </c>
      <c r="N146" s="48">
        <v>46209</v>
      </c>
      <c r="O146" s="48">
        <v>46216</v>
      </c>
      <c r="P146" s="48">
        <v>46223</v>
      </c>
      <c r="Q146" s="48">
        <v>46230</v>
      </c>
      <c r="R146" s="48">
        <v>46237</v>
      </c>
      <c r="S146" s="48">
        <v>46244</v>
      </c>
      <c r="T146" s="48">
        <v>46251</v>
      </c>
      <c r="U146" s="48">
        <v>46258</v>
      </c>
      <c r="V146" s="48">
        <v>46265</v>
      </c>
      <c r="W146" s="48">
        <v>46272</v>
      </c>
      <c r="X146" s="48">
        <v>46279</v>
      </c>
      <c r="Y146" s="48">
        <v>46286</v>
      </c>
      <c r="Z146" s="48">
        <v>46293</v>
      </c>
      <c r="AA146" s="48">
        <v>46300</v>
      </c>
      <c r="AB146" s="48">
        <v>46307</v>
      </c>
      <c r="AC146" s="48">
        <v>46314</v>
      </c>
      <c r="AD146" s="48">
        <v>46321</v>
      </c>
      <c r="AE146" s="48">
        <v>46328</v>
      </c>
      <c r="AF146" s="48">
        <v>46335</v>
      </c>
      <c r="AG146" s="48">
        <v>46342</v>
      </c>
      <c r="AH146" s="48">
        <v>46349</v>
      </c>
      <c r="AI146" s="48">
        <v>46356</v>
      </c>
      <c r="AJ146" s="48">
        <v>46363</v>
      </c>
      <c r="AK146" s="48">
        <v>46370</v>
      </c>
    </row>
    <row r="147" spans="1:37" ht="16.350000000000001" customHeight="1" x14ac:dyDescent="0.3">
      <c r="A147" s="51" t="s">
        <v>132</v>
      </c>
      <c r="C147" s="34" cm="1">
        <f t="array" ref="C147:AK147">TRANSPOSE(BOM_demand!$U$2:$U$36)</f>
        <v>15000</v>
      </c>
      <c r="D147" s="34">
        <v>15000</v>
      </c>
      <c r="E147" s="34">
        <v>15000</v>
      </c>
      <c r="F147" s="34">
        <v>15000</v>
      </c>
      <c r="G147" s="34">
        <v>15000</v>
      </c>
      <c r="H147" s="34">
        <v>15000</v>
      </c>
      <c r="I147" s="34">
        <v>15000</v>
      </c>
      <c r="J147" s="34">
        <v>15000</v>
      </c>
      <c r="K147" s="34">
        <v>15000</v>
      </c>
      <c r="L147" s="34">
        <v>15000</v>
      </c>
      <c r="M147" s="34">
        <v>15000</v>
      </c>
      <c r="N147" s="34">
        <v>15000</v>
      </c>
      <c r="O147" s="34">
        <v>15000</v>
      </c>
      <c r="P147" s="34">
        <v>15000</v>
      </c>
      <c r="Q147" s="34">
        <v>2380</v>
      </c>
      <c r="R147" s="34">
        <v>6490</v>
      </c>
      <c r="S147" s="34">
        <v>6500</v>
      </c>
      <c r="T147" s="34">
        <v>6490</v>
      </c>
      <c r="U147" s="34">
        <v>7530</v>
      </c>
      <c r="V147" s="34">
        <v>7530</v>
      </c>
      <c r="W147" s="34">
        <v>7530</v>
      </c>
      <c r="X147" s="34">
        <v>7530</v>
      </c>
      <c r="Y147" s="34">
        <v>7230</v>
      </c>
      <c r="Z147" s="34">
        <v>0</v>
      </c>
      <c r="AA147" s="34">
        <v>0</v>
      </c>
      <c r="AB147" s="34">
        <v>7240</v>
      </c>
      <c r="AC147" s="34">
        <v>7240</v>
      </c>
      <c r="AD147" s="34">
        <v>7240</v>
      </c>
      <c r="AE147" s="34">
        <v>8770</v>
      </c>
      <c r="AF147" s="34">
        <v>8780</v>
      </c>
      <c r="AG147" s="34">
        <v>8780</v>
      </c>
      <c r="AH147" s="34">
        <v>8780</v>
      </c>
      <c r="AI147" s="34">
        <v>9640</v>
      </c>
      <c r="AJ147" s="34">
        <v>9650</v>
      </c>
      <c r="AK147" s="34">
        <v>9640</v>
      </c>
    </row>
    <row r="148" spans="1:37" ht="16.350000000000001" customHeight="1" x14ac:dyDescent="0.3">
      <c r="A148" s="186" t="s">
        <v>129</v>
      </c>
      <c r="B148" s="157"/>
      <c r="C148" s="34">
        <f>IFERROR(INDEX($H$7:$V$7,1,MATCH("RM14",$H$3:$V$3,0)),0)</f>
        <v>0</v>
      </c>
      <c r="D148" s="34">
        <f>0</f>
        <v>0</v>
      </c>
      <c r="E148" s="34">
        <f>0</f>
        <v>0</v>
      </c>
      <c r="F148" s="34">
        <f>0</f>
        <v>0</v>
      </c>
      <c r="G148" s="34">
        <f>0</f>
        <v>0</v>
      </c>
      <c r="H148" s="34">
        <f>0</f>
        <v>0</v>
      </c>
      <c r="I148" s="34">
        <f>0</f>
        <v>0</v>
      </c>
      <c r="J148" s="34">
        <f>0</f>
        <v>0</v>
      </c>
      <c r="K148" s="8">
        <f>0</f>
        <v>0</v>
      </c>
      <c r="L148" s="8">
        <f>0</f>
        <v>0</v>
      </c>
      <c r="M148" s="8">
        <f>0</f>
        <v>0</v>
      </c>
      <c r="N148" s="8">
        <f>0</f>
        <v>0</v>
      </c>
      <c r="O148" s="8">
        <f>0</f>
        <v>0</v>
      </c>
      <c r="P148" s="8">
        <f>0</f>
        <v>0</v>
      </c>
      <c r="Q148" s="8">
        <f>0</f>
        <v>0</v>
      </c>
      <c r="R148" s="8">
        <f>0</f>
        <v>0</v>
      </c>
      <c r="S148" s="8">
        <f>0</f>
        <v>0</v>
      </c>
      <c r="T148" s="8">
        <f>0</f>
        <v>0</v>
      </c>
      <c r="U148" s="8">
        <f>0</f>
        <v>0</v>
      </c>
      <c r="V148" s="8">
        <f>0</f>
        <v>0</v>
      </c>
      <c r="W148" s="8">
        <f>0</f>
        <v>0</v>
      </c>
      <c r="X148" s="8">
        <f>0</f>
        <v>0</v>
      </c>
      <c r="Y148" s="8">
        <f>0</f>
        <v>0</v>
      </c>
      <c r="Z148" s="8">
        <f>0</f>
        <v>0</v>
      </c>
      <c r="AA148" s="8">
        <f>0</f>
        <v>0</v>
      </c>
      <c r="AB148" s="8">
        <f>0</f>
        <v>0</v>
      </c>
      <c r="AC148" s="8">
        <f>0</f>
        <v>0</v>
      </c>
      <c r="AD148" s="8">
        <f>0</f>
        <v>0</v>
      </c>
      <c r="AE148" s="8">
        <f>0</f>
        <v>0</v>
      </c>
      <c r="AF148" s="8">
        <f>0</f>
        <v>0</v>
      </c>
      <c r="AG148" s="8">
        <f>0</f>
        <v>0</v>
      </c>
      <c r="AH148" s="8">
        <f>0</f>
        <v>0</v>
      </c>
      <c r="AI148" s="8">
        <f>0</f>
        <v>0</v>
      </c>
      <c r="AJ148" s="8">
        <f>0</f>
        <v>0</v>
      </c>
      <c r="AK148" s="8">
        <f>0</f>
        <v>0</v>
      </c>
    </row>
    <row r="149" spans="1:37" ht="16.350000000000001" customHeight="1" x14ac:dyDescent="0.3">
      <c r="A149" s="34" t="s">
        <v>137</v>
      </c>
      <c r="B149" s="46">
        <f>IFERROR(INDEX($H$8:$V$8,1,MATCH("RM14",$H$3:$V$3,0)),0)</f>
        <v>20284</v>
      </c>
      <c r="C149" s="34">
        <f t="shared" ref="C149:AK149" si="52">$B149</f>
        <v>20284</v>
      </c>
      <c r="D149" s="34">
        <f t="shared" si="52"/>
        <v>20284</v>
      </c>
      <c r="E149" s="34">
        <f t="shared" si="52"/>
        <v>20284</v>
      </c>
      <c r="F149" s="34">
        <f t="shared" si="52"/>
        <v>20284</v>
      </c>
      <c r="G149" s="34">
        <f t="shared" si="52"/>
        <v>20284</v>
      </c>
      <c r="H149" s="34">
        <f t="shared" si="52"/>
        <v>20284</v>
      </c>
      <c r="I149" s="34">
        <f t="shared" si="52"/>
        <v>20284</v>
      </c>
      <c r="J149" s="34">
        <f t="shared" si="52"/>
        <v>20284</v>
      </c>
      <c r="K149" s="8">
        <f t="shared" si="52"/>
        <v>20284</v>
      </c>
      <c r="L149" s="8">
        <f t="shared" si="52"/>
        <v>20284</v>
      </c>
      <c r="M149" s="8">
        <f t="shared" si="52"/>
        <v>20284</v>
      </c>
      <c r="N149" s="8">
        <f t="shared" si="52"/>
        <v>20284</v>
      </c>
      <c r="O149" s="8">
        <f t="shared" si="52"/>
        <v>20284</v>
      </c>
      <c r="P149" s="8">
        <f t="shared" si="52"/>
        <v>20284</v>
      </c>
      <c r="Q149" s="8">
        <f t="shared" si="52"/>
        <v>20284</v>
      </c>
      <c r="R149" s="8">
        <f t="shared" si="52"/>
        <v>20284</v>
      </c>
      <c r="S149" s="8">
        <f t="shared" si="52"/>
        <v>20284</v>
      </c>
      <c r="T149" s="8">
        <f t="shared" si="52"/>
        <v>20284</v>
      </c>
      <c r="U149" s="8">
        <f t="shared" si="52"/>
        <v>20284</v>
      </c>
      <c r="V149" s="8">
        <f t="shared" si="52"/>
        <v>20284</v>
      </c>
      <c r="W149" s="8">
        <f t="shared" si="52"/>
        <v>20284</v>
      </c>
      <c r="X149" s="8">
        <f t="shared" si="52"/>
        <v>20284</v>
      </c>
      <c r="Y149" s="8">
        <f t="shared" si="52"/>
        <v>20284</v>
      </c>
      <c r="Z149" s="8">
        <f t="shared" si="52"/>
        <v>20284</v>
      </c>
      <c r="AA149" s="8">
        <f t="shared" si="52"/>
        <v>20284</v>
      </c>
      <c r="AB149" s="8">
        <f t="shared" si="52"/>
        <v>20284</v>
      </c>
      <c r="AC149" s="8">
        <f t="shared" si="52"/>
        <v>20284</v>
      </c>
      <c r="AD149" s="8">
        <f t="shared" si="52"/>
        <v>20284</v>
      </c>
      <c r="AE149" s="8">
        <f t="shared" si="52"/>
        <v>20284</v>
      </c>
      <c r="AF149" s="8">
        <f t="shared" si="52"/>
        <v>20284</v>
      </c>
      <c r="AG149" s="8">
        <f t="shared" si="52"/>
        <v>20284</v>
      </c>
      <c r="AH149" s="8">
        <f t="shared" si="52"/>
        <v>20284</v>
      </c>
      <c r="AI149" s="8">
        <f t="shared" si="52"/>
        <v>20284</v>
      </c>
      <c r="AJ149" s="8">
        <f t="shared" si="52"/>
        <v>20284</v>
      </c>
      <c r="AK149" s="8">
        <f t="shared" si="52"/>
        <v>20284</v>
      </c>
    </row>
    <row r="150" spans="1:37" ht="16.350000000000001" customHeight="1" x14ac:dyDescent="0.3">
      <c r="A150" s="34" t="s">
        <v>133</v>
      </c>
      <c r="B150" s="46">
        <f>IFERROR(INDEX($H$6:$V$6,1,MATCH("RM14",$H$3:$V$3,0)),0)</f>
        <v>130000</v>
      </c>
      <c r="C150" s="34">
        <f>$B150+C148+C152-C147</f>
        <v>115000</v>
      </c>
      <c r="D150" s="34">
        <f t="shared" ref="D150:AK150" si="53">C150+D148+D152-D147</f>
        <v>100000</v>
      </c>
      <c r="E150" s="34">
        <f t="shared" si="53"/>
        <v>85000</v>
      </c>
      <c r="F150" s="34">
        <f t="shared" si="53"/>
        <v>70000</v>
      </c>
      <c r="G150" s="34">
        <f t="shared" si="53"/>
        <v>55000</v>
      </c>
      <c r="H150" s="34">
        <f t="shared" si="53"/>
        <v>40000</v>
      </c>
      <c r="I150" s="34">
        <f t="shared" si="53"/>
        <v>25000</v>
      </c>
      <c r="J150" s="34">
        <f t="shared" si="53"/>
        <v>20284</v>
      </c>
      <c r="K150" s="8">
        <f t="shared" si="53"/>
        <v>20284</v>
      </c>
      <c r="L150" s="8">
        <f t="shared" si="53"/>
        <v>20284</v>
      </c>
      <c r="M150" s="8">
        <f t="shared" si="53"/>
        <v>20284</v>
      </c>
      <c r="N150" s="8">
        <f t="shared" si="53"/>
        <v>20284</v>
      </c>
      <c r="O150" s="8">
        <f t="shared" si="53"/>
        <v>20284</v>
      </c>
      <c r="P150" s="8">
        <f t="shared" si="53"/>
        <v>20284</v>
      </c>
      <c r="Q150" s="8">
        <f t="shared" si="53"/>
        <v>20284</v>
      </c>
      <c r="R150" s="8">
        <f t="shared" si="53"/>
        <v>20284</v>
      </c>
      <c r="S150" s="8">
        <f t="shared" si="53"/>
        <v>20284</v>
      </c>
      <c r="T150" s="8">
        <f t="shared" si="53"/>
        <v>20284</v>
      </c>
      <c r="U150" s="8">
        <f t="shared" si="53"/>
        <v>20284</v>
      </c>
      <c r="V150" s="8">
        <f t="shared" si="53"/>
        <v>20284</v>
      </c>
      <c r="W150" s="8">
        <f t="shared" si="53"/>
        <v>20284</v>
      </c>
      <c r="X150" s="8">
        <f t="shared" si="53"/>
        <v>20284</v>
      </c>
      <c r="Y150" s="8">
        <f t="shared" si="53"/>
        <v>20284</v>
      </c>
      <c r="Z150" s="8">
        <f t="shared" si="53"/>
        <v>20284</v>
      </c>
      <c r="AA150" s="8">
        <f t="shared" si="53"/>
        <v>20284</v>
      </c>
      <c r="AB150" s="8">
        <f t="shared" si="53"/>
        <v>20284</v>
      </c>
      <c r="AC150" s="8">
        <f t="shared" si="53"/>
        <v>20284</v>
      </c>
      <c r="AD150" s="8">
        <f t="shared" si="53"/>
        <v>20284</v>
      </c>
      <c r="AE150" s="8">
        <f t="shared" si="53"/>
        <v>20284</v>
      </c>
      <c r="AF150" s="8">
        <f t="shared" si="53"/>
        <v>20284</v>
      </c>
      <c r="AG150" s="8">
        <f t="shared" si="53"/>
        <v>20284</v>
      </c>
      <c r="AH150" s="8">
        <f t="shared" si="53"/>
        <v>20284</v>
      </c>
      <c r="AI150" s="8">
        <f t="shared" si="53"/>
        <v>20284</v>
      </c>
      <c r="AJ150" s="8">
        <f t="shared" si="53"/>
        <v>20284</v>
      </c>
      <c r="AK150" s="8">
        <f t="shared" si="53"/>
        <v>20284</v>
      </c>
    </row>
    <row r="151" spans="1:37" ht="16.350000000000001" customHeight="1" x14ac:dyDescent="0.3">
      <c r="A151" s="34" t="s">
        <v>141</v>
      </c>
      <c r="B151" s="46"/>
      <c r="C151" s="34">
        <f>MAX(C147+C149-($B150+C148),0)</f>
        <v>0</v>
      </c>
      <c r="D151" s="34">
        <f t="shared" ref="D151:AK151" si="54">MAX(D147+D149-(C150+D148),0)</f>
        <v>0</v>
      </c>
      <c r="E151" s="34">
        <f t="shared" si="54"/>
        <v>0</v>
      </c>
      <c r="F151" s="34">
        <f t="shared" si="54"/>
        <v>0</v>
      </c>
      <c r="G151" s="34">
        <f t="shared" si="54"/>
        <v>0</v>
      </c>
      <c r="H151" s="34">
        <f t="shared" si="54"/>
        <v>0</v>
      </c>
      <c r="I151" s="34">
        <f t="shared" si="54"/>
        <v>0</v>
      </c>
      <c r="J151" s="34">
        <f t="shared" si="54"/>
        <v>10284</v>
      </c>
      <c r="K151" s="8">
        <f t="shared" si="54"/>
        <v>15000</v>
      </c>
      <c r="L151" s="8">
        <f t="shared" si="54"/>
        <v>15000</v>
      </c>
      <c r="M151" s="8">
        <f t="shared" si="54"/>
        <v>15000</v>
      </c>
      <c r="N151" s="8">
        <f t="shared" si="54"/>
        <v>15000</v>
      </c>
      <c r="O151" s="8">
        <f t="shared" si="54"/>
        <v>15000</v>
      </c>
      <c r="P151" s="8">
        <f t="shared" si="54"/>
        <v>15000</v>
      </c>
      <c r="Q151" s="8">
        <f t="shared" si="54"/>
        <v>2380</v>
      </c>
      <c r="R151" s="8">
        <f t="shared" si="54"/>
        <v>6490</v>
      </c>
      <c r="S151" s="8">
        <f t="shared" si="54"/>
        <v>6500</v>
      </c>
      <c r="T151" s="8">
        <f t="shared" si="54"/>
        <v>6490</v>
      </c>
      <c r="U151" s="8">
        <f t="shared" si="54"/>
        <v>7530</v>
      </c>
      <c r="V151" s="8">
        <f t="shared" si="54"/>
        <v>7530</v>
      </c>
      <c r="W151" s="8">
        <f t="shared" si="54"/>
        <v>7530</v>
      </c>
      <c r="X151" s="8">
        <f t="shared" si="54"/>
        <v>7530</v>
      </c>
      <c r="Y151" s="8">
        <f t="shared" si="54"/>
        <v>7230</v>
      </c>
      <c r="Z151" s="8">
        <f t="shared" si="54"/>
        <v>0</v>
      </c>
      <c r="AA151" s="8">
        <f t="shared" si="54"/>
        <v>0</v>
      </c>
      <c r="AB151" s="8">
        <f t="shared" si="54"/>
        <v>7240</v>
      </c>
      <c r="AC151" s="8">
        <f t="shared" si="54"/>
        <v>7240</v>
      </c>
      <c r="AD151" s="8">
        <f t="shared" si="54"/>
        <v>7240</v>
      </c>
      <c r="AE151" s="8">
        <f t="shared" si="54"/>
        <v>8770</v>
      </c>
      <c r="AF151" s="8">
        <f t="shared" si="54"/>
        <v>8780</v>
      </c>
      <c r="AG151" s="8">
        <f t="shared" si="54"/>
        <v>8780</v>
      </c>
      <c r="AH151" s="8">
        <f t="shared" si="54"/>
        <v>8780</v>
      </c>
      <c r="AI151" s="8">
        <f t="shared" si="54"/>
        <v>9640</v>
      </c>
      <c r="AJ151" s="8">
        <f t="shared" si="54"/>
        <v>9650</v>
      </c>
      <c r="AK151" s="8">
        <f t="shared" si="54"/>
        <v>9640</v>
      </c>
    </row>
    <row r="152" spans="1:37" ht="16.350000000000001" customHeight="1" x14ac:dyDescent="0.3">
      <c r="A152" s="186" t="s">
        <v>134</v>
      </c>
      <c r="B152" s="157"/>
      <c r="C152" s="34">
        <f t="shared" ref="C152:AK152" si="55">C151</f>
        <v>0</v>
      </c>
      <c r="D152" s="34">
        <f t="shared" si="55"/>
        <v>0</v>
      </c>
      <c r="E152" s="34">
        <f t="shared" si="55"/>
        <v>0</v>
      </c>
      <c r="F152" s="34">
        <f t="shared" si="55"/>
        <v>0</v>
      </c>
      <c r="G152" s="34">
        <f t="shared" si="55"/>
        <v>0</v>
      </c>
      <c r="H152" s="34">
        <f t="shared" si="55"/>
        <v>0</v>
      </c>
      <c r="I152" s="34">
        <f t="shared" si="55"/>
        <v>0</v>
      </c>
      <c r="J152" s="34">
        <f t="shared" si="55"/>
        <v>10284</v>
      </c>
      <c r="K152" s="8">
        <f t="shared" si="55"/>
        <v>15000</v>
      </c>
      <c r="L152" s="8">
        <f t="shared" si="55"/>
        <v>15000</v>
      </c>
      <c r="M152" s="8">
        <f t="shared" si="55"/>
        <v>15000</v>
      </c>
      <c r="N152" s="8">
        <f t="shared" si="55"/>
        <v>15000</v>
      </c>
      <c r="O152" s="8">
        <f t="shared" si="55"/>
        <v>15000</v>
      </c>
      <c r="P152" s="8">
        <f t="shared" si="55"/>
        <v>15000</v>
      </c>
      <c r="Q152" s="8">
        <f t="shared" si="55"/>
        <v>2380</v>
      </c>
      <c r="R152" s="8">
        <f t="shared" si="55"/>
        <v>6490</v>
      </c>
      <c r="S152" s="8">
        <f t="shared" si="55"/>
        <v>6500</v>
      </c>
      <c r="T152" s="8">
        <f t="shared" si="55"/>
        <v>6490</v>
      </c>
      <c r="U152" s="8">
        <f t="shared" si="55"/>
        <v>7530</v>
      </c>
      <c r="V152" s="8">
        <f t="shared" si="55"/>
        <v>7530</v>
      </c>
      <c r="W152" s="8">
        <f t="shared" si="55"/>
        <v>7530</v>
      </c>
      <c r="X152" s="8">
        <f t="shared" si="55"/>
        <v>7530</v>
      </c>
      <c r="Y152" s="8">
        <f t="shared" si="55"/>
        <v>7230</v>
      </c>
      <c r="Z152" s="8">
        <f t="shared" si="55"/>
        <v>0</v>
      </c>
      <c r="AA152" s="8">
        <f t="shared" si="55"/>
        <v>0</v>
      </c>
      <c r="AB152" s="8">
        <f t="shared" si="55"/>
        <v>7240</v>
      </c>
      <c r="AC152" s="8">
        <f t="shared" si="55"/>
        <v>7240</v>
      </c>
      <c r="AD152" s="8">
        <f t="shared" si="55"/>
        <v>7240</v>
      </c>
      <c r="AE152" s="8">
        <f t="shared" si="55"/>
        <v>8770</v>
      </c>
      <c r="AF152" s="8">
        <f t="shared" si="55"/>
        <v>8780</v>
      </c>
      <c r="AG152" s="8">
        <f t="shared" si="55"/>
        <v>8780</v>
      </c>
      <c r="AH152" s="8">
        <f t="shared" si="55"/>
        <v>8780</v>
      </c>
      <c r="AI152" s="8">
        <f t="shared" si="55"/>
        <v>9640</v>
      </c>
      <c r="AJ152" s="8">
        <f t="shared" si="55"/>
        <v>9650</v>
      </c>
      <c r="AK152" s="8">
        <f t="shared" si="55"/>
        <v>9640</v>
      </c>
    </row>
    <row r="153" spans="1:37" ht="16.350000000000001" customHeight="1" x14ac:dyDescent="0.3">
      <c r="A153" s="34" t="s">
        <v>135</v>
      </c>
      <c r="B153" s="46"/>
      <c r="C153" s="34">
        <f>IFERROR(INDEX($C$152:$AK$152,1,1+ROUND(INDEX($H$5:$V$5,1,MATCH("RM14",$H$3:$V$3,0))/7,0)),0)</f>
        <v>15000</v>
      </c>
      <c r="D153" s="34">
        <f>IFERROR(INDEX($C$152:$AK$152,1,2+ROUND(INDEX($H$5:$V$5,1,MATCH("RM14",$H$3:$V$3,0))/7,0)),0)</f>
        <v>15000</v>
      </c>
      <c r="E153" s="34">
        <f>IFERROR(INDEX($C$152:$AK$152,1,3+ROUND(INDEX($H$5:$V$5,1,MATCH("RM14",$H$3:$V$3,0))/7,0)),0)</f>
        <v>15000</v>
      </c>
      <c r="F153" s="34">
        <f>IFERROR(INDEX($C$152:$AK$152,1,4+ROUND(INDEX($H$5:$V$5,1,MATCH("RM14",$H$3:$V$3,0))/7,0)),0)</f>
        <v>15000</v>
      </c>
      <c r="G153" s="34">
        <f>IFERROR(INDEX($C$152:$AK$152,1,5+ROUND(INDEX($H$5:$V$5,1,MATCH("RM14",$H$3:$V$3,0))/7,0)),0)</f>
        <v>15000</v>
      </c>
      <c r="H153" s="34">
        <f>IFERROR(INDEX($C$152:$AK$152,1,6+ROUND(INDEX($H$5:$V$5,1,MATCH("RM14",$H$3:$V$3,0))/7,0)),0)</f>
        <v>2380</v>
      </c>
      <c r="I153" s="34">
        <f>IFERROR(INDEX($C$152:$AK$152,1,7+ROUND(INDEX($H$5:$V$5,1,MATCH("RM14",$H$3:$V$3,0))/7,0)),0)</f>
        <v>6490</v>
      </c>
      <c r="J153" s="34">
        <f>IFERROR(INDEX($C$152:$AK$152,1,8+ROUND(INDEX($H$5:$V$5,1,MATCH("RM14",$H$3:$V$3,0))/7,0)),0)</f>
        <v>6500</v>
      </c>
      <c r="K153" s="8">
        <f>IFERROR(INDEX($C$152:$AK$152,1,9+ROUND(INDEX($H$5:$V$5,1,MATCH("RM14",$H$3:$V$3,0))/7,0)),0)</f>
        <v>6490</v>
      </c>
      <c r="L153" s="8">
        <f>IFERROR(INDEX($C$152:$AK$152,1,10+ROUND(INDEX($H$5:$V$5,1,MATCH("RM14",$H$3:$V$3,0))/7,0)),0)</f>
        <v>7530</v>
      </c>
      <c r="M153" s="8">
        <f>IFERROR(INDEX($C$152:$AK$152,1,11+ROUND(INDEX($H$5:$V$5,1,MATCH("RM14",$H$3:$V$3,0))/7,0)),0)</f>
        <v>7530</v>
      </c>
      <c r="N153" s="8">
        <f>IFERROR(INDEX($C$152:$AK$152,1,12+ROUND(INDEX($H$5:$V$5,1,MATCH("RM14",$H$3:$V$3,0))/7,0)),0)</f>
        <v>7530</v>
      </c>
      <c r="O153" s="8">
        <f>IFERROR(INDEX($C$152:$AK$152,1,13+ROUND(INDEX($H$5:$V$5,1,MATCH("RM14",$H$3:$V$3,0))/7,0)),0)</f>
        <v>7530</v>
      </c>
      <c r="P153" s="8">
        <f>IFERROR(INDEX($C$152:$AK$152,1,14+ROUND(INDEX($H$5:$V$5,1,MATCH("RM14",$H$3:$V$3,0))/7,0)),0)</f>
        <v>7230</v>
      </c>
      <c r="Q153" s="8">
        <f>IFERROR(INDEX($C$152:$AK$152,1,15+ROUND(INDEX($H$5:$V$5,1,MATCH("RM14",$H$3:$V$3,0))/7,0)),0)</f>
        <v>0</v>
      </c>
      <c r="R153" s="8">
        <f>IFERROR(INDEX($C$152:$AK$152,1,16+ROUND(INDEX($H$5:$V$5,1,MATCH("RM14",$H$3:$V$3,0))/7,0)),0)</f>
        <v>0</v>
      </c>
      <c r="S153" s="8">
        <f>IFERROR(INDEX($C$152:$AK$152,1,17+ROUND(INDEX($H$5:$V$5,1,MATCH("RM14",$H$3:$V$3,0))/7,0)),0)</f>
        <v>7240</v>
      </c>
      <c r="T153" s="8">
        <f>IFERROR(INDEX($C$152:$AK$152,1,18+ROUND(INDEX($H$5:$V$5,1,MATCH("RM14",$H$3:$V$3,0))/7,0)),0)</f>
        <v>7240</v>
      </c>
      <c r="U153" s="8">
        <f>IFERROR(INDEX($C$152:$AK$152,1,19+ROUND(INDEX($H$5:$V$5,1,MATCH("RM14",$H$3:$V$3,0))/7,0)),0)</f>
        <v>7240</v>
      </c>
      <c r="V153" s="8">
        <f>IFERROR(INDEX($C$152:$AK$152,1,20+ROUND(INDEX($H$5:$V$5,1,MATCH("RM14",$H$3:$V$3,0))/7,0)),0)</f>
        <v>8770</v>
      </c>
      <c r="W153" s="8">
        <f>IFERROR(INDEX($C$152:$AK$152,1,21+ROUND(INDEX($H$5:$V$5,1,MATCH("RM14",$H$3:$V$3,0))/7,0)),0)</f>
        <v>8780</v>
      </c>
      <c r="X153" s="8">
        <f>IFERROR(INDEX($C$152:$AK$152,1,22+ROUND(INDEX($H$5:$V$5,1,MATCH("RM14",$H$3:$V$3,0))/7,0)),0)</f>
        <v>8780</v>
      </c>
      <c r="Y153" s="8">
        <f>IFERROR(INDEX($C$152:$AK$152,1,23+ROUND(INDEX($H$5:$V$5,1,MATCH("RM14",$H$3:$V$3,0))/7,0)),0)</f>
        <v>8780</v>
      </c>
      <c r="Z153" s="8">
        <f>IFERROR(INDEX($C$152:$AK$152,1,24+ROUND(INDEX($H$5:$V$5,1,MATCH("RM14",$H$3:$V$3,0))/7,0)),0)</f>
        <v>9640</v>
      </c>
      <c r="AA153" s="8">
        <f>IFERROR(INDEX($C$152:$AK$152,1,25+ROUND(INDEX($H$5:$V$5,1,MATCH("RM14",$H$3:$V$3,0))/7,0)),0)</f>
        <v>9650</v>
      </c>
      <c r="AB153" s="8">
        <f>IFERROR(INDEX($C$152:$AK$152,1,26+ROUND(INDEX($H$5:$V$5,1,MATCH("RM14",$H$3:$V$3,0))/7,0)),0)</f>
        <v>9640</v>
      </c>
      <c r="AC153" s="8">
        <f>IFERROR(INDEX($C$152:$AK$152,1,27+ROUND(INDEX($H$5:$V$5,1,MATCH("RM14",$H$3:$V$3,0))/7,0)),0)</f>
        <v>0</v>
      </c>
      <c r="AD153" s="8">
        <f>IFERROR(INDEX($C$152:$AK$152,1,28+ROUND(INDEX($H$5:$V$5,1,MATCH("RM14",$H$3:$V$3,0))/7,0)),0)</f>
        <v>0</v>
      </c>
      <c r="AE153" s="8">
        <f>IFERROR(INDEX($C$152:$AK$152,1,29+ROUND(INDEX($H$5:$V$5,1,MATCH("RM14",$H$3:$V$3,0))/7,0)),0)</f>
        <v>0</v>
      </c>
      <c r="AF153" s="8">
        <f>IFERROR(INDEX($C$152:$AK$152,1,30+ROUND(INDEX($H$5:$V$5,1,MATCH("RM14",$H$3:$V$3,0))/7,0)),0)</f>
        <v>0</v>
      </c>
      <c r="AG153" s="8">
        <f>IFERROR(INDEX($C$152:$AK$152,1,31+ROUND(INDEX($H$5:$V$5,1,MATCH("RM14",$H$3:$V$3,0))/7,0)),0)</f>
        <v>0</v>
      </c>
      <c r="AH153" s="8">
        <f>IFERROR(INDEX($C$152:$AK$152,1,32+ROUND(INDEX($H$5:$V$5,1,MATCH("RM14",$H$3:$V$3,0))/7,0)),0)</f>
        <v>0</v>
      </c>
      <c r="AI153" s="8">
        <f>IFERROR(INDEX($C$152:$AK$152,1,33+ROUND(INDEX($H$5:$V$5,1,MATCH("RM14",$H$3:$V$3,0))/7,0)),0)</f>
        <v>0</v>
      </c>
      <c r="AJ153" s="8">
        <f>IFERROR(INDEX($C$152:$AK$152,1,34+ROUND(INDEX($H$5:$V$5,1,MATCH("RM14",$H$3:$V$3,0))/7,0)),0)</f>
        <v>0</v>
      </c>
      <c r="AK153" s="8">
        <f>IFERROR(INDEX($C$152:$AK$152,1,35+ROUND(INDEX($H$5:$V$5,1,MATCH("RM14",$H$3:$V$3,0))/7,0)),0)</f>
        <v>0</v>
      </c>
    </row>
    <row r="155" spans="1:37" ht="16.350000000000001" customHeight="1" x14ac:dyDescent="0.3">
      <c r="A155" s="47" t="s">
        <v>155</v>
      </c>
      <c r="B155" s="47" t="s">
        <v>140</v>
      </c>
      <c r="C155" s="187" t="s">
        <v>130</v>
      </c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  <c r="AA155" s="156"/>
      <c r="AB155" s="156"/>
      <c r="AC155" s="156"/>
      <c r="AD155" s="156"/>
      <c r="AE155" s="156"/>
      <c r="AF155" s="156"/>
      <c r="AG155" s="156"/>
      <c r="AH155" s="156"/>
      <c r="AI155" s="156"/>
      <c r="AJ155" s="156"/>
      <c r="AK155" s="157"/>
    </row>
    <row r="156" spans="1:37" ht="16.350000000000001" customHeight="1" x14ac:dyDescent="0.3">
      <c r="A156" s="47" t="s">
        <v>131</v>
      </c>
      <c r="B156" s="47" t="str">
        <f>"LT: "&amp;ROUND(INDEX($H$5:$V$5,1,MATCH("RM15",$H$3:$V$3,0))/7,0)</f>
        <v>LT: 7</v>
      </c>
      <c r="C156" s="48" cm="1">
        <f t="array" ref="C156:AK156">TRANSPOSE(BOM_demand!$A$2:$A$36)</f>
        <v>46132</v>
      </c>
      <c r="D156" s="48">
        <v>46139</v>
      </c>
      <c r="E156" s="48">
        <v>46146</v>
      </c>
      <c r="F156" s="48">
        <v>46153</v>
      </c>
      <c r="G156" s="48">
        <v>46160</v>
      </c>
      <c r="H156" s="48">
        <v>46167</v>
      </c>
      <c r="I156" s="48">
        <v>46174</v>
      </c>
      <c r="J156" s="48">
        <v>46181</v>
      </c>
      <c r="K156" s="48">
        <v>46188</v>
      </c>
      <c r="L156" s="48">
        <v>46195</v>
      </c>
      <c r="M156" s="48">
        <v>46202</v>
      </c>
      <c r="N156" s="48">
        <v>46209</v>
      </c>
      <c r="O156" s="48">
        <v>46216</v>
      </c>
      <c r="P156" s="48">
        <v>46223</v>
      </c>
      <c r="Q156" s="48">
        <v>46230</v>
      </c>
      <c r="R156" s="48">
        <v>46237</v>
      </c>
      <c r="S156" s="48">
        <v>46244</v>
      </c>
      <c r="T156" s="48">
        <v>46251</v>
      </c>
      <c r="U156" s="48">
        <v>46258</v>
      </c>
      <c r="V156" s="48">
        <v>46265</v>
      </c>
      <c r="W156" s="48">
        <v>46272</v>
      </c>
      <c r="X156" s="48">
        <v>46279</v>
      </c>
      <c r="Y156" s="48">
        <v>46286</v>
      </c>
      <c r="Z156" s="48">
        <v>46293</v>
      </c>
      <c r="AA156" s="48">
        <v>46300</v>
      </c>
      <c r="AB156" s="48">
        <v>46307</v>
      </c>
      <c r="AC156" s="48">
        <v>46314</v>
      </c>
      <c r="AD156" s="48">
        <v>46321</v>
      </c>
      <c r="AE156" s="48">
        <v>46328</v>
      </c>
      <c r="AF156" s="48">
        <v>46335</v>
      </c>
      <c r="AG156" s="48">
        <v>46342</v>
      </c>
      <c r="AH156" s="48">
        <v>46349</v>
      </c>
      <c r="AI156" s="48">
        <v>46356</v>
      </c>
      <c r="AJ156" s="48">
        <v>46363</v>
      </c>
      <c r="AK156" s="48">
        <v>46370</v>
      </c>
    </row>
    <row r="157" spans="1:37" ht="16.350000000000001" customHeight="1" x14ac:dyDescent="0.3">
      <c r="A157" s="51" t="s">
        <v>132</v>
      </c>
      <c r="C157" s="34" cm="1">
        <f t="array" ref="C157:AK157">TRANSPOSE(BOM_demand!$V$2:$V$36)</f>
        <v>6000</v>
      </c>
      <c r="D157" s="34">
        <v>6000</v>
      </c>
      <c r="E157" s="34">
        <v>6000</v>
      </c>
      <c r="F157" s="34">
        <v>6000</v>
      </c>
      <c r="G157" s="34">
        <v>6000</v>
      </c>
      <c r="H157" s="34">
        <v>6000</v>
      </c>
      <c r="I157" s="34">
        <v>6000</v>
      </c>
      <c r="J157" s="34">
        <v>6000</v>
      </c>
      <c r="K157" s="34">
        <v>6000</v>
      </c>
      <c r="L157" s="34">
        <v>6000</v>
      </c>
      <c r="M157" s="34">
        <v>6000</v>
      </c>
      <c r="N157" s="34">
        <v>6000</v>
      </c>
      <c r="O157" s="34">
        <v>6000</v>
      </c>
      <c r="P157" s="34">
        <v>6000</v>
      </c>
      <c r="Q157" s="34">
        <v>952</v>
      </c>
      <c r="R157" s="34">
        <v>2596</v>
      </c>
      <c r="S157" s="34">
        <v>2600</v>
      </c>
      <c r="T157" s="34">
        <v>2596</v>
      </c>
      <c r="U157" s="34">
        <v>3012</v>
      </c>
      <c r="V157" s="34">
        <v>3012</v>
      </c>
      <c r="W157" s="34">
        <v>3012</v>
      </c>
      <c r="X157" s="34">
        <v>3012</v>
      </c>
      <c r="Y157" s="34">
        <v>2892</v>
      </c>
      <c r="Z157" s="34">
        <v>0</v>
      </c>
      <c r="AA157" s="34">
        <v>0</v>
      </c>
      <c r="AB157" s="34">
        <v>2896</v>
      </c>
      <c r="AC157" s="34">
        <v>2896</v>
      </c>
      <c r="AD157" s="34">
        <v>2896</v>
      </c>
      <c r="AE157" s="34">
        <v>3508</v>
      </c>
      <c r="AF157" s="34">
        <v>3512</v>
      </c>
      <c r="AG157" s="34">
        <v>3512</v>
      </c>
      <c r="AH157" s="34">
        <v>3512</v>
      </c>
      <c r="AI157" s="34">
        <v>3856</v>
      </c>
      <c r="AJ157" s="34">
        <v>3860</v>
      </c>
      <c r="AK157" s="34">
        <v>3856</v>
      </c>
    </row>
    <row r="158" spans="1:37" ht="16.350000000000001" customHeight="1" x14ac:dyDescent="0.3">
      <c r="A158" s="186" t="s">
        <v>129</v>
      </c>
      <c r="B158" s="157"/>
      <c r="C158" s="34">
        <f>IFERROR(INDEX($H$7:$V$7,1,MATCH("RM15",$H$3:$V$3,0)),0)</f>
        <v>21000</v>
      </c>
      <c r="D158" s="34">
        <f>0</f>
        <v>0</v>
      </c>
      <c r="E158" s="34">
        <f>0</f>
        <v>0</v>
      </c>
      <c r="F158" s="34">
        <f>0</f>
        <v>0</v>
      </c>
      <c r="G158" s="34">
        <f>0</f>
        <v>0</v>
      </c>
      <c r="H158" s="34">
        <f>0</f>
        <v>0</v>
      </c>
      <c r="I158" s="34">
        <f>0</f>
        <v>0</v>
      </c>
      <c r="J158" s="34">
        <f>0</f>
        <v>0</v>
      </c>
      <c r="K158" s="8">
        <f>0</f>
        <v>0</v>
      </c>
      <c r="L158" s="8">
        <f>0</f>
        <v>0</v>
      </c>
      <c r="M158" s="8">
        <f>0</f>
        <v>0</v>
      </c>
      <c r="N158" s="8">
        <f>0</f>
        <v>0</v>
      </c>
      <c r="O158" s="8">
        <f>0</f>
        <v>0</v>
      </c>
      <c r="P158" s="8">
        <f>0</f>
        <v>0</v>
      </c>
      <c r="Q158" s="8">
        <f>0</f>
        <v>0</v>
      </c>
      <c r="R158" s="8">
        <f>0</f>
        <v>0</v>
      </c>
      <c r="S158" s="8">
        <f>0</f>
        <v>0</v>
      </c>
      <c r="T158" s="8">
        <f>0</f>
        <v>0</v>
      </c>
      <c r="U158" s="8">
        <f>0</f>
        <v>0</v>
      </c>
      <c r="V158" s="8">
        <f>0</f>
        <v>0</v>
      </c>
      <c r="W158" s="8">
        <f>0</f>
        <v>0</v>
      </c>
      <c r="X158" s="8">
        <f>0</f>
        <v>0</v>
      </c>
      <c r="Y158" s="8">
        <f>0</f>
        <v>0</v>
      </c>
      <c r="Z158" s="8">
        <f>0</f>
        <v>0</v>
      </c>
      <c r="AA158" s="8">
        <f>0</f>
        <v>0</v>
      </c>
      <c r="AB158" s="8">
        <f>0</f>
        <v>0</v>
      </c>
      <c r="AC158" s="8">
        <f>0</f>
        <v>0</v>
      </c>
      <c r="AD158" s="8">
        <f>0</f>
        <v>0</v>
      </c>
      <c r="AE158" s="8">
        <f>0</f>
        <v>0</v>
      </c>
      <c r="AF158" s="8">
        <f>0</f>
        <v>0</v>
      </c>
      <c r="AG158" s="8">
        <f>0</f>
        <v>0</v>
      </c>
      <c r="AH158" s="8">
        <f>0</f>
        <v>0</v>
      </c>
      <c r="AI158" s="8">
        <f>0</f>
        <v>0</v>
      </c>
      <c r="AJ158" s="8">
        <f>0</f>
        <v>0</v>
      </c>
      <c r="AK158" s="8">
        <f>0</f>
        <v>0</v>
      </c>
    </row>
    <row r="159" spans="1:37" ht="16.350000000000001" customHeight="1" x14ac:dyDescent="0.3">
      <c r="A159" s="34" t="s">
        <v>137</v>
      </c>
      <c r="B159" s="46">
        <f>IFERROR(INDEX($H$8:$V$8,1,MATCH("RM15",$H$3:$V$3,0)),0)</f>
        <v>8114</v>
      </c>
      <c r="C159" s="34">
        <f t="shared" ref="C159:AK159" si="56">$B159</f>
        <v>8114</v>
      </c>
      <c r="D159" s="34">
        <f t="shared" si="56"/>
        <v>8114</v>
      </c>
      <c r="E159" s="34">
        <f t="shared" si="56"/>
        <v>8114</v>
      </c>
      <c r="F159" s="34">
        <f t="shared" si="56"/>
        <v>8114</v>
      </c>
      <c r="G159" s="34">
        <f t="shared" si="56"/>
        <v>8114</v>
      </c>
      <c r="H159" s="34">
        <f t="shared" si="56"/>
        <v>8114</v>
      </c>
      <c r="I159" s="34">
        <f t="shared" si="56"/>
        <v>8114</v>
      </c>
      <c r="J159" s="34">
        <f t="shared" si="56"/>
        <v>8114</v>
      </c>
      <c r="K159" s="8">
        <f t="shared" si="56"/>
        <v>8114</v>
      </c>
      <c r="L159" s="8">
        <f t="shared" si="56"/>
        <v>8114</v>
      </c>
      <c r="M159" s="8">
        <f t="shared" si="56"/>
        <v>8114</v>
      </c>
      <c r="N159" s="8">
        <f t="shared" si="56"/>
        <v>8114</v>
      </c>
      <c r="O159" s="8">
        <f t="shared" si="56"/>
        <v>8114</v>
      </c>
      <c r="P159" s="8">
        <f t="shared" si="56"/>
        <v>8114</v>
      </c>
      <c r="Q159" s="8">
        <f t="shared" si="56"/>
        <v>8114</v>
      </c>
      <c r="R159" s="8">
        <f t="shared" si="56"/>
        <v>8114</v>
      </c>
      <c r="S159" s="8">
        <f t="shared" si="56"/>
        <v>8114</v>
      </c>
      <c r="T159" s="8">
        <f t="shared" si="56"/>
        <v>8114</v>
      </c>
      <c r="U159" s="8">
        <f t="shared" si="56"/>
        <v>8114</v>
      </c>
      <c r="V159" s="8">
        <f t="shared" si="56"/>
        <v>8114</v>
      </c>
      <c r="W159" s="8">
        <f t="shared" si="56"/>
        <v>8114</v>
      </c>
      <c r="X159" s="8">
        <f t="shared" si="56"/>
        <v>8114</v>
      </c>
      <c r="Y159" s="8">
        <f t="shared" si="56"/>
        <v>8114</v>
      </c>
      <c r="Z159" s="8">
        <f t="shared" si="56"/>
        <v>8114</v>
      </c>
      <c r="AA159" s="8">
        <f t="shared" si="56"/>
        <v>8114</v>
      </c>
      <c r="AB159" s="8">
        <f t="shared" si="56"/>
        <v>8114</v>
      </c>
      <c r="AC159" s="8">
        <f t="shared" si="56"/>
        <v>8114</v>
      </c>
      <c r="AD159" s="8">
        <f t="shared" si="56"/>
        <v>8114</v>
      </c>
      <c r="AE159" s="8">
        <f t="shared" si="56"/>
        <v>8114</v>
      </c>
      <c r="AF159" s="8">
        <f t="shared" si="56"/>
        <v>8114</v>
      </c>
      <c r="AG159" s="8">
        <f t="shared" si="56"/>
        <v>8114</v>
      </c>
      <c r="AH159" s="8">
        <f t="shared" si="56"/>
        <v>8114</v>
      </c>
      <c r="AI159" s="8">
        <f t="shared" si="56"/>
        <v>8114</v>
      </c>
      <c r="AJ159" s="8">
        <f t="shared" si="56"/>
        <v>8114</v>
      </c>
      <c r="AK159" s="8">
        <f t="shared" si="56"/>
        <v>8114</v>
      </c>
    </row>
    <row r="160" spans="1:37" ht="16.350000000000001" customHeight="1" x14ac:dyDescent="0.3">
      <c r="A160" s="34" t="s">
        <v>133</v>
      </c>
      <c r="B160" s="46">
        <f>IFERROR(INDEX($H$6:$V$6,1,MATCH("RM15",$H$3:$V$3,0)),0)</f>
        <v>20000</v>
      </c>
      <c r="C160" s="34">
        <f>$B160+C158+C162-C157</f>
        <v>35000</v>
      </c>
      <c r="D160" s="34">
        <f t="shared" ref="D160:AK160" si="57">C160+D158+D162-D157</f>
        <v>29000</v>
      </c>
      <c r="E160" s="34">
        <f t="shared" si="57"/>
        <v>23000</v>
      </c>
      <c r="F160" s="34">
        <f t="shared" si="57"/>
        <v>17000</v>
      </c>
      <c r="G160" s="34">
        <f t="shared" si="57"/>
        <v>11000</v>
      </c>
      <c r="H160" s="34">
        <f t="shared" si="57"/>
        <v>8114</v>
      </c>
      <c r="I160" s="34">
        <f t="shared" si="57"/>
        <v>8114</v>
      </c>
      <c r="J160" s="34">
        <f t="shared" si="57"/>
        <v>8114</v>
      </c>
      <c r="K160" s="8">
        <f t="shared" si="57"/>
        <v>8114</v>
      </c>
      <c r="L160" s="8">
        <f t="shared" si="57"/>
        <v>8114</v>
      </c>
      <c r="M160" s="8">
        <f t="shared" si="57"/>
        <v>8114</v>
      </c>
      <c r="N160" s="8">
        <f t="shared" si="57"/>
        <v>8114</v>
      </c>
      <c r="O160" s="8">
        <f t="shared" si="57"/>
        <v>8114</v>
      </c>
      <c r="P160" s="8">
        <f t="shared" si="57"/>
        <v>8114</v>
      </c>
      <c r="Q160" s="8">
        <f t="shared" si="57"/>
        <v>8114</v>
      </c>
      <c r="R160" s="8">
        <f t="shared" si="57"/>
        <v>8114</v>
      </c>
      <c r="S160" s="8">
        <f t="shared" si="57"/>
        <v>8114</v>
      </c>
      <c r="T160" s="8">
        <f t="shared" si="57"/>
        <v>8114</v>
      </c>
      <c r="U160" s="8">
        <f t="shared" si="57"/>
        <v>8114</v>
      </c>
      <c r="V160" s="8">
        <f t="shared" si="57"/>
        <v>8114</v>
      </c>
      <c r="W160" s="8">
        <f t="shared" si="57"/>
        <v>8114</v>
      </c>
      <c r="X160" s="8">
        <f t="shared" si="57"/>
        <v>8114</v>
      </c>
      <c r="Y160" s="8">
        <f t="shared" si="57"/>
        <v>8114</v>
      </c>
      <c r="Z160" s="8">
        <f t="shared" si="57"/>
        <v>8114</v>
      </c>
      <c r="AA160" s="8">
        <f t="shared" si="57"/>
        <v>8114</v>
      </c>
      <c r="AB160" s="8">
        <f t="shared" si="57"/>
        <v>8114</v>
      </c>
      <c r="AC160" s="8">
        <f t="shared" si="57"/>
        <v>8114</v>
      </c>
      <c r="AD160" s="8">
        <f t="shared" si="57"/>
        <v>8114</v>
      </c>
      <c r="AE160" s="8">
        <f t="shared" si="57"/>
        <v>8114</v>
      </c>
      <c r="AF160" s="8">
        <f t="shared" si="57"/>
        <v>8114</v>
      </c>
      <c r="AG160" s="8">
        <f t="shared" si="57"/>
        <v>8114</v>
      </c>
      <c r="AH160" s="8">
        <f t="shared" si="57"/>
        <v>8114</v>
      </c>
      <c r="AI160" s="8">
        <f t="shared" si="57"/>
        <v>8114</v>
      </c>
      <c r="AJ160" s="8">
        <f t="shared" si="57"/>
        <v>8114</v>
      </c>
      <c r="AK160" s="8">
        <f t="shared" si="57"/>
        <v>8114</v>
      </c>
    </row>
    <row r="161" spans="1:37" ht="16.350000000000001" customHeight="1" x14ac:dyDescent="0.3">
      <c r="A161" s="34" t="s">
        <v>141</v>
      </c>
      <c r="B161" s="46"/>
      <c r="C161" s="34">
        <f>MAX(C157+C159-($B160+C158),0)</f>
        <v>0</v>
      </c>
      <c r="D161" s="34">
        <f t="shared" ref="D161:AK161" si="58">MAX(D157+D159-(C160+D158),0)</f>
        <v>0</v>
      </c>
      <c r="E161" s="34">
        <f t="shared" si="58"/>
        <v>0</v>
      </c>
      <c r="F161" s="34">
        <f t="shared" si="58"/>
        <v>0</v>
      </c>
      <c r="G161" s="34">
        <f t="shared" si="58"/>
        <v>0</v>
      </c>
      <c r="H161" s="34">
        <f t="shared" si="58"/>
        <v>3114</v>
      </c>
      <c r="I161" s="34">
        <f t="shared" si="58"/>
        <v>6000</v>
      </c>
      <c r="J161" s="34">
        <f t="shared" si="58"/>
        <v>6000</v>
      </c>
      <c r="K161" s="8">
        <f t="shared" si="58"/>
        <v>6000</v>
      </c>
      <c r="L161" s="8">
        <f t="shared" si="58"/>
        <v>6000</v>
      </c>
      <c r="M161" s="8">
        <f t="shared" si="58"/>
        <v>6000</v>
      </c>
      <c r="N161" s="8">
        <f t="shared" si="58"/>
        <v>6000</v>
      </c>
      <c r="O161" s="8">
        <f t="shared" si="58"/>
        <v>6000</v>
      </c>
      <c r="P161" s="8">
        <f t="shared" si="58"/>
        <v>6000</v>
      </c>
      <c r="Q161" s="8">
        <f t="shared" si="58"/>
        <v>952</v>
      </c>
      <c r="R161" s="8">
        <f t="shared" si="58"/>
        <v>2596</v>
      </c>
      <c r="S161" s="8">
        <f t="shared" si="58"/>
        <v>2600</v>
      </c>
      <c r="T161" s="8">
        <f t="shared" si="58"/>
        <v>2596</v>
      </c>
      <c r="U161" s="8">
        <f t="shared" si="58"/>
        <v>3012</v>
      </c>
      <c r="V161" s="8">
        <f t="shared" si="58"/>
        <v>3012</v>
      </c>
      <c r="W161" s="8">
        <f t="shared" si="58"/>
        <v>3012</v>
      </c>
      <c r="X161" s="8">
        <f t="shared" si="58"/>
        <v>3012</v>
      </c>
      <c r="Y161" s="8">
        <f t="shared" si="58"/>
        <v>2892</v>
      </c>
      <c r="Z161" s="8">
        <f t="shared" si="58"/>
        <v>0</v>
      </c>
      <c r="AA161" s="8">
        <f t="shared" si="58"/>
        <v>0</v>
      </c>
      <c r="AB161" s="8">
        <f t="shared" si="58"/>
        <v>2896</v>
      </c>
      <c r="AC161" s="8">
        <f t="shared" si="58"/>
        <v>2896</v>
      </c>
      <c r="AD161" s="8">
        <f t="shared" si="58"/>
        <v>2896</v>
      </c>
      <c r="AE161" s="8">
        <f t="shared" si="58"/>
        <v>3508</v>
      </c>
      <c r="AF161" s="8">
        <f t="shared" si="58"/>
        <v>3512</v>
      </c>
      <c r="AG161" s="8">
        <f t="shared" si="58"/>
        <v>3512</v>
      </c>
      <c r="AH161" s="8">
        <f t="shared" si="58"/>
        <v>3512</v>
      </c>
      <c r="AI161" s="8">
        <f t="shared" si="58"/>
        <v>3856</v>
      </c>
      <c r="AJ161" s="8">
        <f t="shared" si="58"/>
        <v>3860</v>
      </c>
      <c r="AK161" s="8">
        <f t="shared" si="58"/>
        <v>3856</v>
      </c>
    </row>
    <row r="162" spans="1:37" ht="16.350000000000001" customHeight="1" x14ac:dyDescent="0.3">
      <c r="A162" s="186" t="s">
        <v>134</v>
      </c>
      <c r="B162" s="157"/>
      <c r="C162" s="34">
        <f t="shared" ref="C162:AK162" si="59">C161</f>
        <v>0</v>
      </c>
      <c r="D162" s="34">
        <f t="shared" si="59"/>
        <v>0</v>
      </c>
      <c r="E162" s="34">
        <f t="shared" si="59"/>
        <v>0</v>
      </c>
      <c r="F162" s="34">
        <f t="shared" si="59"/>
        <v>0</v>
      </c>
      <c r="G162" s="34">
        <f t="shared" si="59"/>
        <v>0</v>
      </c>
      <c r="H162" s="34">
        <f t="shared" si="59"/>
        <v>3114</v>
      </c>
      <c r="I162" s="34">
        <f t="shared" si="59"/>
        <v>6000</v>
      </c>
      <c r="J162" s="34">
        <f t="shared" si="59"/>
        <v>6000</v>
      </c>
      <c r="K162" s="8">
        <f t="shared" si="59"/>
        <v>6000</v>
      </c>
      <c r="L162" s="8">
        <f t="shared" si="59"/>
        <v>6000</v>
      </c>
      <c r="M162" s="8">
        <f t="shared" si="59"/>
        <v>6000</v>
      </c>
      <c r="N162" s="8">
        <f t="shared" si="59"/>
        <v>6000</v>
      </c>
      <c r="O162" s="8">
        <f t="shared" si="59"/>
        <v>6000</v>
      </c>
      <c r="P162" s="8">
        <f t="shared" si="59"/>
        <v>6000</v>
      </c>
      <c r="Q162" s="8">
        <f t="shared" si="59"/>
        <v>952</v>
      </c>
      <c r="R162" s="8">
        <f t="shared" si="59"/>
        <v>2596</v>
      </c>
      <c r="S162" s="8">
        <f t="shared" si="59"/>
        <v>2600</v>
      </c>
      <c r="T162" s="8">
        <f t="shared" si="59"/>
        <v>2596</v>
      </c>
      <c r="U162" s="8">
        <f t="shared" si="59"/>
        <v>3012</v>
      </c>
      <c r="V162" s="8">
        <f t="shared" si="59"/>
        <v>3012</v>
      </c>
      <c r="W162" s="8">
        <f t="shared" si="59"/>
        <v>3012</v>
      </c>
      <c r="X162" s="8">
        <f t="shared" si="59"/>
        <v>3012</v>
      </c>
      <c r="Y162" s="8">
        <f t="shared" si="59"/>
        <v>2892</v>
      </c>
      <c r="Z162" s="8">
        <f t="shared" si="59"/>
        <v>0</v>
      </c>
      <c r="AA162" s="8">
        <f t="shared" si="59"/>
        <v>0</v>
      </c>
      <c r="AB162" s="8">
        <f t="shared" si="59"/>
        <v>2896</v>
      </c>
      <c r="AC162" s="8">
        <f t="shared" si="59"/>
        <v>2896</v>
      </c>
      <c r="AD162" s="8">
        <f t="shared" si="59"/>
        <v>2896</v>
      </c>
      <c r="AE162" s="8">
        <f t="shared" si="59"/>
        <v>3508</v>
      </c>
      <c r="AF162" s="8">
        <f t="shared" si="59"/>
        <v>3512</v>
      </c>
      <c r="AG162" s="8">
        <f t="shared" si="59"/>
        <v>3512</v>
      </c>
      <c r="AH162" s="8">
        <f t="shared" si="59"/>
        <v>3512</v>
      </c>
      <c r="AI162" s="8">
        <f t="shared" si="59"/>
        <v>3856</v>
      </c>
      <c r="AJ162" s="8">
        <f t="shared" si="59"/>
        <v>3860</v>
      </c>
      <c r="AK162" s="8">
        <f t="shared" si="59"/>
        <v>3856</v>
      </c>
    </row>
    <row r="163" spans="1:37" ht="16.350000000000001" customHeight="1" x14ac:dyDescent="0.3">
      <c r="A163" s="34" t="s">
        <v>135</v>
      </c>
      <c r="B163" s="46"/>
      <c r="C163" s="34">
        <f>IFERROR(INDEX($C$162:$AK$162,1,1+ROUND(INDEX($H$5:$V$5,1,MATCH("RM15",$H$3:$V$3,0))/7,0)),0)</f>
        <v>6000</v>
      </c>
      <c r="D163" s="34">
        <f>IFERROR(INDEX($C$162:$AK$162,1,2+ROUND(INDEX($H$5:$V$5,1,MATCH("RM15",$H$3:$V$3,0))/7,0)),0)</f>
        <v>6000</v>
      </c>
      <c r="E163" s="34">
        <f>IFERROR(INDEX($C$162:$AK$162,1,3+ROUND(INDEX($H$5:$V$5,1,MATCH("RM15",$H$3:$V$3,0))/7,0)),0)</f>
        <v>6000</v>
      </c>
      <c r="F163" s="34">
        <f>IFERROR(INDEX($C$162:$AK$162,1,4+ROUND(INDEX($H$5:$V$5,1,MATCH("RM15",$H$3:$V$3,0))/7,0)),0)</f>
        <v>6000</v>
      </c>
      <c r="G163" s="34">
        <f>IFERROR(INDEX($C$162:$AK$162,1,5+ROUND(INDEX($H$5:$V$5,1,MATCH("RM15",$H$3:$V$3,0))/7,0)),0)</f>
        <v>6000</v>
      </c>
      <c r="H163" s="34">
        <f>IFERROR(INDEX($C$162:$AK$162,1,6+ROUND(INDEX($H$5:$V$5,1,MATCH("RM15",$H$3:$V$3,0))/7,0)),0)</f>
        <v>6000</v>
      </c>
      <c r="I163" s="34">
        <f>IFERROR(INDEX($C$162:$AK$162,1,7+ROUND(INDEX($H$5:$V$5,1,MATCH("RM15",$H$3:$V$3,0))/7,0)),0)</f>
        <v>6000</v>
      </c>
      <c r="J163" s="34">
        <f>IFERROR(INDEX($C$162:$AK$162,1,8+ROUND(INDEX($H$5:$V$5,1,MATCH("RM15",$H$3:$V$3,0))/7,0)),0)</f>
        <v>952</v>
      </c>
      <c r="K163" s="8">
        <f>IFERROR(INDEX($C$162:$AK$162,1,9+ROUND(INDEX($H$5:$V$5,1,MATCH("RM15",$H$3:$V$3,0))/7,0)),0)</f>
        <v>2596</v>
      </c>
      <c r="L163" s="8">
        <f>IFERROR(INDEX($C$162:$AK$162,1,10+ROUND(INDEX($H$5:$V$5,1,MATCH("RM15",$H$3:$V$3,0))/7,0)),0)</f>
        <v>2600</v>
      </c>
      <c r="M163" s="8">
        <f>IFERROR(INDEX($C$162:$AK$162,1,11+ROUND(INDEX($H$5:$V$5,1,MATCH("RM15",$H$3:$V$3,0))/7,0)),0)</f>
        <v>2596</v>
      </c>
      <c r="N163" s="8">
        <f>IFERROR(INDEX($C$162:$AK$162,1,12+ROUND(INDEX($H$5:$V$5,1,MATCH("RM15",$H$3:$V$3,0))/7,0)),0)</f>
        <v>3012</v>
      </c>
      <c r="O163" s="8">
        <f>IFERROR(INDEX($C$162:$AK$162,1,13+ROUND(INDEX($H$5:$V$5,1,MATCH("RM15",$H$3:$V$3,0))/7,0)),0)</f>
        <v>3012</v>
      </c>
      <c r="P163" s="8">
        <f>IFERROR(INDEX($C$162:$AK$162,1,14+ROUND(INDEX($H$5:$V$5,1,MATCH("RM15",$H$3:$V$3,0))/7,0)),0)</f>
        <v>3012</v>
      </c>
      <c r="Q163" s="8">
        <f>IFERROR(INDEX($C$162:$AK$162,1,15+ROUND(INDEX($H$5:$V$5,1,MATCH("RM15",$H$3:$V$3,0))/7,0)),0)</f>
        <v>3012</v>
      </c>
      <c r="R163" s="8">
        <f>IFERROR(INDEX($C$162:$AK$162,1,16+ROUND(INDEX($H$5:$V$5,1,MATCH("RM15",$H$3:$V$3,0))/7,0)),0)</f>
        <v>2892</v>
      </c>
      <c r="S163" s="8">
        <f>IFERROR(INDEX($C$162:$AK$162,1,17+ROUND(INDEX($H$5:$V$5,1,MATCH("RM15",$H$3:$V$3,0))/7,0)),0)</f>
        <v>0</v>
      </c>
      <c r="T163" s="8">
        <f>IFERROR(INDEX($C$162:$AK$162,1,18+ROUND(INDEX($H$5:$V$5,1,MATCH("RM15",$H$3:$V$3,0))/7,0)),0)</f>
        <v>0</v>
      </c>
      <c r="U163" s="8">
        <f>IFERROR(INDEX($C$162:$AK$162,1,19+ROUND(INDEX($H$5:$V$5,1,MATCH("RM15",$H$3:$V$3,0))/7,0)),0)</f>
        <v>2896</v>
      </c>
      <c r="V163" s="8">
        <f>IFERROR(INDEX($C$162:$AK$162,1,20+ROUND(INDEX($H$5:$V$5,1,MATCH("RM15",$H$3:$V$3,0))/7,0)),0)</f>
        <v>2896</v>
      </c>
      <c r="W163" s="8">
        <f>IFERROR(INDEX($C$162:$AK$162,1,21+ROUND(INDEX($H$5:$V$5,1,MATCH("RM15",$H$3:$V$3,0))/7,0)),0)</f>
        <v>2896</v>
      </c>
      <c r="X163" s="8">
        <f>IFERROR(INDEX($C$162:$AK$162,1,22+ROUND(INDEX($H$5:$V$5,1,MATCH("RM15",$H$3:$V$3,0))/7,0)),0)</f>
        <v>3508</v>
      </c>
      <c r="Y163" s="8">
        <f>IFERROR(INDEX($C$162:$AK$162,1,23+ROUND(INDEX($H$5:$V$5,1,MATCH("RM15",$H$3:$V$3,0))/7,0)),0)</f>
        <v>3512</v>
      </c>
      <c r="Z163" s="8">
        <f>IFERROR(INDEX($C$162:$AK$162,1,24+ROUND(INDEX($H$5:$V$5,1,MATCH("RM15",$H$3:$V$3,0))/7,0)),0)</f>
        <v>3512</v>
      </c>
      <c r="AA163" s="8">
        <f>IFERROR(INDEX($C$162:$AK$162,1,25+ROUND(INDEX($H$5:$V$5,1,MATCH("RM15",$H$3:$V$3,0))/7,0)),0)</f>
        <v>3512</v>
      </c>
      <c r="AB163" s="8">
        <f>IFERROR(INDEX($C$162:$AK$162,1,26+ROUND(INDEX($H$5:$V$5,1,MATCH("RM15",$H$3:$V$3,0))/7,0)),0)</f>
        <v>3856</v>
      </c>
      <c r="AC163" s="8">
        <f>IFERROR(INDEX($C$162:$AK$162,1,27+ROUND(INDEX($H$5:$V$5,1,MATCH("RM15",$H$3:$V$3,0))/7,0)),0)</f>
        <v>3860</v>
      </c>
      <c r="AD163" s="8">
        <f>IFERROR(INDEX($C$162:$AK$162,1,28+ROUND(INDEX($H$5:$V$5,1,MATCH("RM15",$H$3:$V$3,0))/7,0)),0)</f>
        <v>3856</v>
      </c>
      <c r="AE163" s="8">
        <f>IFERROR(INDEX($C$162:$AK$162,1,29+ROUND(INDEX($H$5:$V$5,1,MATCH("RM15",$H$3:$V$3,0))/7,0)),0)</f>
        <v>0</v>
      </c>
      <c r="AF163" s="8">
        <f>IFERROR(INDEX($C$162:$AK$162,1,30+ROUND(INDEX($H$5:$V$5,1,MATCH("RM15",$H$3:$V$3,0))/7,0)),0)</f>
        <v>0</v>
      </c>
      <c r="AG163" s="8">
        <f>IFERROR(INDEX($C$162:$AK$162,1,31+ROUND(INDEX($H$5:$V$5,1,MATCH("RM15",$H$3:$V$3,0))/7,0)),0)</f>
        <v>0</v>
      </c>
      <c r="AH163" s="8">
        <f>IFERROR(INDEX($C$162:$AK$162,1,32+ROUND(INDEX($H$5:$V$5,1,MATCH("RM15",$H$3:$V$3,0))/7,0)),0)</f>
        <v>0</v>
      </c>
      <c r="AI163" s="8">
        <f>IFERROR(INDEX($C$162:$AK$162,1,33+ROUND(INDEX($H$5:$V$5,1,MATCH("RM15",$H$3:$V$3,0))/7,0)),0)</f>
        <v>0</v>
      </c>
      <c r="AJ163" s="8">
        <f>IFERROR(INDEX($C$162:$AK$162,1,34+ROUND(INDEX($H$5:$V$5,1,MATCH("RM15",$H$3:$V$3,0))/7,0)),0)</f>
        <v>0</v>
      </c>
      <c r="AK163" s="8">
        <f>IFERROR(INDEX($C$162:$AK$162,1,35+ROUND(INDEX($H$5:$V$5,1,MATCH("RM15",$H$3:$V$3,0))/7,0)),0)</f>
        <v>0</v>
      </c>
    </row>
  </sheetData>
  <mergeCells count="46">
    <mergeCell ref="A22:B22"/>
    <mergeCell ref="C25:AK25"/>
    <mergeCell ref="A28:B28"/>
    <mergeCell ref="B5:G5"/>
    <mergeCell ref="C15:AK15"/>
    <mergeCell ref="A18:B18"/>
    <mergeCell ref="A42:B42"/>
    <mergeCell ref="C45:AK45"/>
    <mergeCell ref="A48:B48"/>
    <mergeCell ref="A32:B32"/>
    <mergeCell ref="C35:AK35"/>
    <mergeCell ref="A38:B38"/>
    <mergeCell ref="A88:B88"/>
    <mergeCell ref="A62:B62"/>
    <mergeCell ref="C65:AK65"/>
    <mergeCell ref="A68:B68"/>
    <mergeCell ref="A52:B52"/>
    <mergeCell ref="C55:AK55"/>
    <mergeCell ref="A58:B58"/>
    <mergeCell ref="A72:B72"/>
    <mergeCell ref="C75:AK75"/>
    <mergeCell ref="A78:B78"/>
    <mergeCell ref="A82:B82"/>
    <mergeCell ref="C85:AK85"/>
    <mergeCell ref="A128:B128"/>
    <mergeCell ref="A92:B92"/>
    <mergeCell ref="C95:AK95"/>
    <mergeCell ref="A98:B98"/>
    <mergeCell ref="A102:B102"/>
    <mergeCell ref="C105:AK105"/>
    <mergeCell ref="A108:B108"/>
    <mergeCell ref="A112:B112"/>
    <mergeCell ref="C115:AK115"/>
    <mergeCell ref="A118:B118"/>
    <mergeCell ref="A122:B122"/>
    <mergeCell ref="C125:AK125"/>
    <mergeCell ref="A152:B152"/>
    <mergeCell ref="C155:AK155"/>
    <mergeCell ref="A158:B158"/>
    <mergeCell ref="A162:B162"/>
    <mergeCell ref="A132:B132"/>
    <mergeCell ref="C135:AK135"/>
    <mergeCell ref="A138:B138"/>
    <mergeCell ref="A142:B142"/>
    <mergeCell ref="C145:AK145"/>
    <mergeCell ref="A148:B1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8BC1-D2EA-4902-B2C4-168F09163747}">
  <dimension ref="A1:AC91"/>
  <sheetViews>
    <sheetView zoomScale="40" zoomScaleNormal="40" workbookViewId="0">
      <selection activeCell="Q21" sqref="Q21"/>
    </sheetView>
  </sheetViews>
  <sheetFormatPr defaultRowHeight="14.4" x14ac:dyDescent="0.3"/>
  <cols>
    <col min="1" max="2" width="10" customWidth="1"/>
    <col min="3" max="3" width="12" customWidth="1"/>
    <col min="4" max="4" width="11" customWidth="1"/>
    <col min="5" max="5" width="12" customWidth="1"/>
    <col min="6" max="6" width="10" customWidth="1"/>
    <col min="7" max="7" width="14" customWidth="1"/>
    <col min="8" max="16" width="10" customWidth="1"/>
    <col min="17" max="18" width="13" customWidth="1"/>
    <col min="19" max="20" width="11" customWidth="1"/>
    <col min="21" max="29" width="10" customWidth="1"/>
  </cols>
  <sheetData>
    <row r="1" spans="1:29" x14ac:dyDescent="0.3">
      <c r="A1" s="98" t="s">
        <v>202</v>
      </c>
      <c r="B1" s="98" t="s">
        <v>130</v>
      </c>
      <c r="C1" s="98" t="s">
        <v>219</v>
      </c>
      <c r="D1" s="98" t="s">
        <v>220</v>
      </c>
      <c r="E1" s="98" t="s">
        <v>221</v>
      </c>
      <c r="F1" s="98" t="s">
        <v>222</v>
      </c>
      <c r="G1" s="98" t="s">
        <v>223</v>
      </c>
      <c r="H1" s="98" t="s">
        <v>224</v>
      </c>
      <c r="I1" s="98" t="s">
        <v>225</v>
      </c>
      <c r="J1" s="98" t="s">
        <v>226</v>
      </c>
      <c r="K1" s="98" t="s">
        <v>227</v>
      </c>
      <c r="L1" s="98" t="s">
        <v>228</v>
      </c>
      <c r="M1" s="98" t="s">
        <v>229</v>
      </c>
      <c r="N1" s="98" t="s">
        <v>230</v>
      </c>
      <c r="O1" s="98" t="s">
        <v>231</v>
      </c>
      <c r="P1" s="98" t="s">
        <v>232</v>
      </c>
      <c r="Q1" s="98" t="s">
        <v>233</v>
      </c>
      <c r="R1" s="98" t="s">
        <v>234</v>
      </c>
      <c r="S1" s="98" t="s">
        <v>235</v>
      </c>
      <c r="T1" s="98" t="s">
        <v>236</v>
      </c>
      <c r="U1" s="98" t="s">
        <v>237</v>
      </c>
      <c r="V1" s="98" t="s">
        <v>238</v>
      </c>
      <c r="W1" s="98" t="s">
        <v>239</v>
      </c>
      <c r="X1" s="98" t="s">
        <v>240</v>
      </c>
      <c r="Y1" s="98" t="s">
        <v>241</v>
      </c>
      <c r="Z1" s="98" t="s">
        <v>242</v>
      </c>
      <c r="AA1" s="98" t="s">
        <v>243</v>
      </c>
      <c r="AB1" s="98" t="s">
        <v>244</v>
      </c>
      <c r="AC1" s="98" t="s">
        <v>245</v>
      </c>
    </row>
    <row r="2" spans="1:29" x14ac:dyDescent="0.3">
      <c r="A2" s="99" t="s">
        <v>32</v>
      </c>
      <c r="B2" s="99">
        <v>1</v>
      </c>
      <c r="C2" s="99" t="s">
        <v>246</v>
      </c>
      <c r="D2" s="99" t="s">
        <v>247</v>
      </c>
      <c r="E2" s="99">
        <v>1</v>
      </c>
      <c r="F2" s="99" t="s">
        <v>247</v>
      </c>
      <c r="G2" s="99"/>
      <c r="H2" s="99">
        <v>0</v>
      </c>
      <c r="I2" s="99">
        <v>0</v>
      </c>
      <c r="J2" s="99">
        <v>0</v>
      </c>
      <c r="K2" s="99">
        <v>0</v>
      </c>
      <c r="L2" s="99">
        <v>0</v>
      </c>
      <c r="M2" s="99">
        <v>0</v>
      </c>
      <c r="N2" s="99">
        <v>74</v>
      </c>
      <c r="O2" s="99">
        <v>592</v>
      </c>
      <c r="P2" s="99">
        <v>0.578125</v>
      </c>
      <c r="Q2" s="99">
        <v>74</v>
      </c>
      <c r="R2" s="99">
        <v>592</v>
      </c>
      <c r="S2" s="99">
        <v>0.578125</v>
      </c>
      <c r="T2" s="99">
        <v>0</v>
      </c>
      <c r="U2" s="99"/>
      <c r="V2" s="99"/>
      <c r="W2" s="99"/>
      <c r="X2" s="99"/>
      <c r="Y2" s="99"/>
      <c r="Z2" s="99"/>
      <c r="AA2" s="99"/>
      <c r="AB2" s="99"/>
      <c r="AC2" s="99"/>
    </row>
    <row r="3" spans="1:29" x14ac:dyDescent="0.3">
      <c r="A3" s="99" t="s">
        <v>32</v>
      </c>
      <c r="B3" s="99">
        <v>2</v>
      </c>
      <c r="C3" s="99" t="s">
        <v>248</v>
      </c>
      <c r="D3" s="99" t="s">
        <v>247</v>
      </c>
      <c r="E3" s="99">
        <v>1</v>
      </c>
      <c r="F3" s="99" t="s">
        <v>247</v>
      </c>
      <c r="G3" s="99"/>
      <c r="H3" s="99">
        <v>171</v>
      </c>
      <c r="I3" s="99">
        <v>684</v>
      </c>
      <c r="J3" s="99">
        <v>1.71</v>
      </c>
      <c r="K3" s="99">
        <v>0</v>
      </c>
      <c r="L3" s="99">
        <v>0</v>
      </c>
      <c r="M3" s="99">
        <v>0</v>
      </c>
      <c r="N3" s="99">
        <v>504</v>
      </c>
      <c r="O3" s="99">
        <v>4032</v>
      </c>
      <c r="P3" s="99">
        <v>3.9375</v>
      </c>
      <c r="Q3" s="99">
        <v>675</v>
      </c>
      <c r="R3" s="99">
        <v>4716</v>
      </c>
      <c r="S3" s="99">
        <v>5.6475</v>
      </c>
      <c r="T3" s="99">
        <v>0</v>
      </c>
      <c r="U3" s="99"/>
      <c r="V3" s="99"/>
      <c r="W3" s="99"/>
      <c r="X3" s="99"/>
      <c r="Y3" s="99"/>
      <c r="Z3" s="99"/>
      <c r="AA3" s="99"/>
      <c r="AB3" s="99"/>
      <c r="AC3" s="99"/>
    </row>
    <row r="4" spans="1:29" x14ac:dyDescent="0.3">
      <c r="A4" s="99" t="s">
        <v>32</v>
      </c>
      <c r="B4" s="99">
        <v>3</v>
      </c>
      <c r="C4" s="99" t="s">
        <v>249</v>
      </c>
      <c r="D4" s="99" t="s">
        <v>250</v>
      </c>
      <c r="E4" s="99">
        <v>1</v>
      </c>
      <c r="F4" s="99" t="s">
        <v>251</v>
      </c>
      <c r="G4" s="99">
        <v>65</v>
      </c>
      <c r="H4" s="99">
        <v>5000</v>
      </c>
      <c r="I4" s="99">
        <v>20000</v>
      </c>
      <c r="J4" s="99">
        <v>50</v>
      </c>
      <c r="K4" s="99">
        <v>1376</v>
      </c>
      <c r="L4" s="99">
        <v>5504</v>
      </c>
      <c r="M4" s="99">
        <v>8.6</v>
      </c>
      <c r="N4" s="99">
        <v>525</v>
      </c>
      <c r="O4" s="99">
        <v>4200</v>
      </c>
      <c r="P4" s="99">
        <v>4.1015620000000004</v>
      </c>
      <c r="Q4" s="99">
        <v>6901</v>
      </c>
      <c r="R4" s="99">
        <v>29704</v>
      </c>
      <c r="S4" s="99">
        <v>62.701563</v>
      </c>
      <c r="T4" s="99">
        <v>2.2984369999999998</v>
      </c>
      <c r="U4" s="99"/>
      <c r="V4" s="99"/>
      <c r="W4" s="99"/>
      <c r="X4" s="99"/>
      <c r="Y4" s="99"/>
      <c r="Z4" s="99"/>
      <c r="AA4" s="99"/>
      <c r="AB4" s="99"/>
      <c r="AC4" s="99"/>
    </row>
    <row r="5" spans="1:29" x14ac:dyDescent="0.3">
      <c r="A5" s="99" t="s">
        <v>32</v>
      </c>
      <c r="B5" s="99">
        <v>4</v>
      </c>
      <c r="C5" s="99" t="s">
        <v>252</v>
      </c>
      <c r="D5" s="99" t="s">
        <v>250</v>
      </c>
      <c r="E5" s="99">
        <v>1</v>
      </c>
      <c r="F5" s="99" t="s">
        <v>251</v>
      </c>
      <c r="G5" s="99">
        <v>65</v>
      </c>
      <c r="H5" s="99">
        <v>4050</v>
      </c>
      <c r="I5" s="99">
        <v>16200</v>
      </c>
      <c r="J5" s="99">
        <v>40.5</v>
      </c>
      <c r="K5" s="99">
        <v>3915</v>
      </c>
      <c r="L5" s="99">
        <v>15660</v>
      </c>
      <c r="M5" s="99">
        <v>24.46875</v>
      </c>
      <c r="N5" s="99">
        <v>4</v>
      </c>
      <c r="O5" s="99">
        <v>32</v>
      </c>
      <c r="P5" s="99">
        <v>3.125E-2</v>
      </c>
      <c r="Q5" s="99">
        <v>7969</v>
      </c>
      <c r="R5" s="99">
        <v>31892</v>
      </c>
      <c r="S5" s="99">
        <v>65</v>
      </c>
      <c r="T5" s="99">
        <v>0</v>
      </c>
      <c r="U5" s="99"/>
      <c r="V5" s="99"/>
      <c r="W5" s="99"/>
      <c r="X5" s="99"/>
      <c r="Y5" s="99"/>
      <c r="Z5" s="99"/>
      <c r="AA5" s="99"/>
      <c r="AB5" s="99"/>
      <c r="AC5" s="99"/>
    </row>
    <row r="6" spans="1:29" x14ac:dyDescent="0.3">
      <c r="A6" s="99" t="s">
        <v>32</v>
      </c>
      <c r="B6" s="99">
        <v>4</v>
      </c>
      <c r="C6" s="99" t="s">
        <v>252</v>
      </c>
      <c r="D6" s="99" t="s">
        <v>247</v>
      </c>
      <c r="E6" s="99">
        <v>1</v>
      </c>
      <c r="F6" s="99" t="s">
        <v>247</v>
      </c>
      <c r="G6" s="99"/>
      <c r="H6" s="99">
        <v>950</v>
      </c>
      <c r="I6" s="99">
        <v>3800</v>
      </c>
      <c r="J6" s="99">
        <v>9.5</v>
      </c>
      <c r="K6" s="99">
        <v>0</v>
      </c>
      <c r="L6" s="99">
        <v>0</v>
      </c>
      <c r="M6" s="99">
        <v>0</v>
      </c>
      <c r="N6" s="99">
        <v>472</v>
      </c>
      <c r="O6" s="99">
        <v>3776</v>
      </c>
      <c r="P6" s="99">
        <v>3.6875</v>
      </c>
      <c r="Q6" s="99">
        <v>1422</v>
      </c>
      <c r="R6" s="99">
        <v>7576</v>
      </c>
      <c r="S6" s="99">
        <v>13.1875</v>
      </c>
      <c r="T6" s="99">
        <v>0</v>
      </c>
      <c r="U6" s="99"/>
      <c r="V6" s="99"/>
      <c r="W6" s="99"/>
      <c r="X6" s="99"/>
      <c r="Y6" s="99"/>
      <c r="Z6" s="99"/>
      <c r="AA6" s="99"/>
      <c r="AB6" s="99"/>
      <c r="AC6" s="99"/>
    </row>
    <row r="7" spans="1:29" x14ac:dyDescent="0.3">
      <c r="A7" s="99" t="s">
        <v>32</v>
      </c>
      <c r="B7" s="99">
        <v>5</v>
      </c>
      <c r="C7" s="99" t="s">
        <v>253</v>
      </c>
      <c r="D7" s="99" t="s">
        <v>250</v>
      </c>
      <c r="E7" s="99">
        <v>1</v>
      </c>
      <c r="F7" s="99" t="s">
        <v>251</v>
      </c>
      <c r="G7" s="99">
        <v>65</v>
      </c>
      <c r="H7" s="99">
        <v>2750</v>
      </c>
      <c r="I7" s="99">
        <v>11000</v>
      </c>
      <c r="J7" s="99">
        <v>27.5</v>
      </c>
      <c r="K7" s="99">
        <v>2217</v>
      </c>
      <c r="L7" s="99">
        <v>8868</v>
      </c>
      <c r="M7" s="99">
        <v>13.856249999999999</v>
      </c>
      <c r="N7" s="99">
        <v>563</v>
      </c>
      <c r="O7" s="99">
        <v>4504</v>
      </c>
      <c r="P7" s="99">
        <v>4.3984379999999996</v>
      </c>
      <c r="Q7" s="99">
        <v>5530</v>
      </c>
      <c r="R7" s="99">
        <v>24372</v>
      </c>
      <c r="S7" s="99">
        <v>45.754688000000002</v>
      </c>
      <c r="T7" s="99">
        <v>19.245311999999998</v>
      </c>
      <c r="U7" s="99"/>
      <c r="V7" s="99"/>
      <c r="W7" s="99"/>
      <c r="X7" s="99"/>
      <c r="Y7" s="99"/>
      <c r="Z7" s="99"/>
      <c r="AA7" s="99"/>
      <c r="AB7" s="99"/>
      <c r="AC7" s="99"/>
    </row>
    <row r="8" spans="1:29" x14ac:dyDescent="0.3">
      <c r="A8" s="99" t="s">
        <v>32</v>
      </c>
      <c r="B8" s="99">
        <v>6</v>
      </c>
      <c r="C8" s="99" t="s">
        <v>254</v>
      </c>
      <c r="D8" s="99" t="s">
        <v>250</v>
      </c>
      <c r="E8" s="99">
        <v>1</v>
      </c>
      <c r="F8" s="99" t="s">
        <v>251</v>
      </c>
      <c r="G8" s="99">
        <v>65</v>
      </c>
      <c r="H8" s="99">
        <v>3250</v>
      </c>
      <c r="I8" s="99">
        <v>13000</v>
      </c>
      <c r="J8" s="99">
        <v>32.5</v>
      </c>
      <c r="K8" s="99">
        <v>537</v>
      </c>
      <c r="L8" s="99">
        <v>2148</v>
      </c>
      <c r="M8" s="99">
        <v>3.3562500000000002</v>
      </c>
      <c r="N8" s="99">
        <v>525</v>
      </c>
      <c r="O8" s="99">
        <v>4200</v>
      </c>
      <c r="P8" s="99">
        <v>4.1015620000000004</v>
      </c>
      <c r="Q8" s="99">
        <v>4312</v>
      </c>
      <c r="R8" s="99">
        <v>19348</v>
      </c>
      <c r="S8" s="99">
        <v>39.957813000000002</v>
      </c>
      <c r="T8" s="99">
        <v>25.042186999999998</v>
      </c>
      <c r="U8" s="99"/>
      <c r="V8" s="99"/>
      <c r="W8" s="99"/>
      <c r="X8" s="99"/>
      <c r="Y8" s="99"/>
      <c r="Z8" s="99"/>
      <c r="AA8" s="99"/>
      <c r="AB8" s="99"/>
      <c r="AC8" s="99"/>
    </row>
    <row r="9" spans="1:29" x14ac:dyDescent="0.3">
      <c r="A9" s="99" t="s">
        <v>32</v>
      </c>
      <c r="B9" s="99">
        <v>7</v>
      </c>
      <c r="C9" s="99" t="s">
        <v>255</v>
      </c>
      <c r="D9" s="99" t="s">
        <v>250</v>
      </c>
      <c r="E9" s="99">
        <v>1</v>
      </c>
      <c r="F9" s="99" t="s">
        <v>251</v>
      </c>
      <c r="G9" s="99">
        <v>65</v>
      </c>
      <c r="H9" s="99">
        <v>3444</v>
      </c>
      <c r="I9" s="99">
        <v>13776</v>
      </c>
      <c r="J9" s="99">
        <v>34.44</v>
      </c>
      <c r="K9" s="99">
        <v>1781</v>
      </c>
      <c r="L9" s="99">
        <v>7124</v>
      </c>
      <c r="M9" s="99">
        <v>11.13125</v>
      </c>
      <c r="N9" s="99">
        <v>563</v>
      </c>
      <c r="O9" s="99">
        <v>4504</v>
      </c>
      <c r="P9" s="99">
        <v>4.3984379999999996</v>
      </c>
      <c r="Q9" s="99">
        <v>5788</v>
      </c>
      <c r="R9" s="99">
        <v>25404</v>
      </c>
      <c r="S9" s="99">
        <v>49.969687</v>
      </c>
      <c r="T9" s="99">
        <v>15.030313</v>
      </c>
      <c r="U9" s="99"/>
      <c r="V9" s="99"/>
      <c r="W9" s="99"/>
      <c r="X9" s="99"/>
      <c r="Y9" s="99"/>
      <c r="Z9" s="99"/>
      <c r="AA9" s="99"/>
      <c r="AB9" s="99"/>
      <c r="AC9" s="99"/>
    </row>
    <row r="10" spans="1:29" x14ac:dyDescent="0.3">
      <c r="A10" s="99" t="s">
        <v>32</v>
      </c>
      <c r="B10" s="99">
        <v>8</v>
      </c>
      <c r="C10" s="99" t="s">
        <v>256</v>
      </c>
      <c r="D10" s="99" t="s">
        <v>257</v>
      </c>
      <c r="E10" s="99">
        <v>1</v>
      </c>
      <c r="F10" s="99" t="s">
        <v>258</v>
      </c>
      <c r="G10" s="99">
        <v>28</v>
      </c>
      <c r="H10" s="99">
        <v>1765</v>
      </c>
      <c r="I10" s="99">
        <v>7060</v>
      </c>
      <c r="J10" s="99">
        <v>17.649999999999999</v>
      </c>
      <c r="K10" s="99">
        <v>952</v>
      </c>
      <c r="L10" s="99">
        <v>3808</v>
      </c>
      <c r="M10" s="99">
        <v>5.95</v>
      </c>
      <c r="N10" s="99">
        <v>563</v>
      </c>
      <c r="O10" s="99">
        <v>4504</v>
      </c>
      <c r="P10" s="99">
        <v>4.3984379999999996</v>
      </c>
      <c r="Q10" s="99">
        <v>3280</v>
      </c>
      <c r="R10" s="99">
        <v>15372</v>
      </c>
      <c r="S10" s="99">
        <v>27.998438</v>
      </c>
      <c r="T10" s="99">
        <v>1.562E-3</v>
      </c>
      <c r="U10" s="99"/>
      <c r="V10" s="99"/>
      <c r="W10" s="99"/>
      <c r="X10" s="99"/>
      <c r="Y10" s="99"/>
      <c r="Z10" s="99"/>
      <c r="AA10" s="99"/>
      <c r="AB10" s="99"/>
      <c r="AC10" s="99"/>
    </row>
    <row r="11" spans="1:29" x14ac:dyDescent="0.3">
      <c r="A11" s="99" t="s">
        <v>32</v>
      </c>
      <c r="B11" s="99">
        <v>8</v>
      </c>
      <c r="C11" s="99" t="s">
        <v>256</v>
      </c>
      <c r="D11" s="99" t="s">
        <v>247</v>
      </c>
      <c r="E11" s="99">
        <v>1</v>
      </c>
      <c r="F11" s="99" t="s">
        <v>247</v>
      </c>
      <c r="G11" s="99"/>
      <c r="H11" s="99">
        <v>0</v>
      </c>
      <c r="I11" s="99">
        <v>0</v>
      </c>
      <c r="J11" s="99">
        <v>0</v>
      </c>
      <c r="K11" s="99">
        <v>376</v>
      </c>
      <c r="L11" s="99">
        <v>1504</v>
      </c>
      <c r="M11" s="99">
        <v>2.35</v>
      </c>
      <c r="N11" s="99">
        <v>0</v>
      </c>
      <c r="O11" s="99">
        <v>0</v>
      </c>
      <c r="P11" s="99">
        <v>0</v>
      </c>
      <c r="Q11" s="99">
        <v>376</v>
      </c>
      <c r="R11" s="99">
        <v>1504</v>
      </c>
      <c r="S11" s="99">
        <v>2.35</v>
      </c>
      <c r="T11" s="99">
        <v>0</v>
      </c>
      <c r="U11" s="99"/>
      <c r="V11" s="99"/>
      <c r="W11" s="99"/>
      <c r="X11" s="99"/>
      <c r="Y11" s="99"/>
      <c r="Z11" s="99"/>
      <c r="AA11" s="99"/>
      <c r="AB11" s="99"/>
      <c r="AC11" s="99"/>
    </row>
    <row r="12" spans="1:29" x14ac:dyDescent="0.3">
      <c r="A12" s="99" t="s">
        <v>32</v>
      </c>
      <c r="B12" s="99">
        <v>9</v>
      </c>
      <c r="C12" s="99" t="s">
        <v>259</v>
      </c>
      <c r="D12" s="99" t="s">
        <v>257</v>
      </c>
      <c r="E12" s="99">
        <v>1</v>
      </c>
      <c r="F12" s="99" t="s">
        <v>258</v>
      </c>
      <c r="G12" s="99">
        <v>28</v>
      </c>
      <c r="H12" s="99">
        <v>510</v>
      </c>
      <c r="I12" s="99">
        <v>2040</v>
      </c>
      <c r="J12" s="99">
        <v>5.0999999999999996</v>
      </c>
      <c r="K12" s="99">
        <v>1328</v>
      </c>
      <c r="L12" s="99">
        <v>5312</v>
      </c>
      <c r="M12" s="99">
        <v>8.3000000000000007</v>
      </c>
      <c r="N12" s="99">
        <v>275</v>
      </c>
      <c r="O12" s="99">
        <v>2200</v>
      </c>
      <c r="P12" s="99">
        <v>2.1484380000000001</v>
      </c>
      <c r="Q12" s="99">
        <v>2113</v>
      </c>
      <c r="R12" s="99">
        <v>9552</v>
      </c>
      <c r="S12" s="99">
        <v>15.548438000000001</v>
      </c>
      <c r="T12" s="99">
        <v>12.451561999999999</v>
      </c>
      <c r="U12" s="99"/>
      <c r="V12" s="99"/>
      <c r="W12" s="99"/>
      <c r="X12" s="99"/>
      <c r="Y12" s="99"/>
      <c r="Z12" s="99"/>
      <c r="AA12" s="99"/>
      <c r="AB12" s="99"/>
      <c r="AC12" s="99"/>
    </row>
    <row r="13" spans="1:29" x14ac:dyDescent="0.3">
      <c r="A13" s="99" t="s">
        <v>32</v>
      </c>
      <c r="B13" s="99">
        <v>10</v>
      </c>
      <c r="C13" s="99" t="s">
        <v>260</v>
      </c>
      <c r="D13" s="99" t="s">
        <v>257</v>
      </c>
      <c r="E13" s="99">
        <v>1</v>
      </c>
      <c r="F13" s="99" t="s">
        <v>258</v>
      </c>
      <c r="G13" s="99">
        <v>28</v>
      </c>
      <c r="H13" s="99">
        <v>886</v>
      </c>
      <c r="I13" s="99">
        <v>3544</v>
      </c>
      <c r="J13" s="99">
        <v>8.86</v>
      </c>
      <c r="K13" s="99">
        <v>750</v>
      </c>
      <c r="L13" s="99">
        <v>3000</v>
      </c>
      <c r="M13" s="99">
        <v>4.6875</v>
      </c>
      <c r="N13" s="99">
        <v>625</v>
      </c>
      <c r="O13" s="99">
        <v>5000</v>
      </c>
      <c r="P13" s="99">
        <v>4.8828120000000004</v>
      </c>
      <c r="Q13" s="99">
        <v>2261</v>
      </c>
      <c r="R13" s="99">
        <v>11544</v>
      </c>
      <c r="S13" s="99">
        <v>18.430312000000001</v>
      </c>
      <c r="T13" s="99">
        <v>9.5696879999999993</v>
      </c>
      <c r="U13" s="99"/>
      <c r="V13" s="99"/>
      <c r="W13" s="99"/>
      <c r="X13" s="99"/>
      <c r="Y13" s="99"/>
      <c r="Z13" s="99"/>
      <c r="AA13" s="99"/>
      <c r="AB13" s="99"/>
      <c r="AC13" s="99"/>
    </row>
    <row r="14" spans="1:29" x14ac:dyDescent="0.3">
      <c r="A14" s="99" t="s">
        <v>32</v>
      </c>
      <c r="B14" s="99">
        <v>11</v>
      </c>
      <c r="C14" s="99" t="s">
        <v>261</v>
      </c>
      <c r="D14" s="99" t="s">
        <v>250</v>
      </c>
      <c r="E14" s="99">
        <v>1</v>
      </c>
      <c r="F14" s="99" t="s">
        <v>251</v>
      </c>
      <c r="G14" s="99">
        <v>65</v>
      </c>
      <c r="H14" s="99">
        <v>3011</v>
      </c>
      <c r="I14" s="99">
        <v>12044</v>
      </c>
      <c r="J14" s="99">
        <v>30.11</v>
      </c>
      <c r="K14" s="99">
        <v>750</v>
      </c>
      <c r="L14" s="99">
        <v>3000</v>
      </c>
      <c r="M14" s="99">
        <v>4.6875</v>
      </c>
      <c r="N14" s="99">
        <v>538</v>
      </c>
      <c r="O14" s="99">
        <v>4304</v>
      </c>
      <c r="P14" s="99">
        <v>4.203125</v>
      </c>
      <c r="Q14" s="99">
        <v>4299</v>
      </c>
      <c r="R14" s="99">
        <v>19348</v>
      </c>
      <c r="S14" s="99">
        <v>39.000624999999999</v>
      </c>
      <c r="T14" s="99">
        <v>25.999375000000001</v>
      </c>
      <c r="U14" s="99"/>
      <c r="V14" s="99"/>
      <c r="W14" s="99"/>
      <c r="X14" s="99"/>
      <c r="Y14" s="99"/>
      <c r="Z14" s="99"/>
      <c r="AA14" s="99"/>
      <c r="AB14" s="99"/>
      <c r="AC14" s="99"/>
    </row>
    <row r="15" spans="1:29" x14ac:dyDescent="0.3">
      <c r="A15" s="99" t="s">
        <v>32</v>
      </c>
      <c r="B15" s="99">
        <v>12</v>
      </c>
      <c r="C15" s="99" t="s">
        <v>262</v>
      </c>
      <c r="D15" s="99" t="s">
        <v>250</v>
      </c>
      <c r="E15" s="99">
        <v>1</v>
      </c>
      <c r="F15" s="99" t="s">
        <v>251</v>
      </c>
      <c r="G15" s="99">
        <v>65</v>
      </c>
      <c r="H15" s="99">
        <v>3010</v>
      </c>
      <c r="I15" s="99">
        <v>12040</v>
      </c>
      <c r="J15" s="99">
        <v>30.1</v>
      </c>
      <c r="K15" s="99">
        <v>750</v>
      </c>
      <c r="L15" s="99">
        <v>3000</v>
      </c>
      <c r="M15" s="99">
        <v>4.6875</v>
      </c>
      <c r="N15" s="99">
        <v>588</v>
      </c>
      <c r="O15" s="99">
        <v>4704</v>
      </c>
      <c r="P15" s="99">
        <v>4.59375</v>
      </c>
      <c r="Q15" s="99">
        <v>4348</v>
      </c>
      <c r="R15" s="99">
        <v>19744</v>
      </c>
      <c r="S15" s="99">
        <v>39.381250000000001</v>
      </c>
      <c r="T15" s="99">
        <v>25.618749999999999</v>
      </c>
      <c r="U15" s="99"/>
      <c r="V15" s="99"/>
      <c r="W15" s="99"/>
      <c r="X15" s="99"/>
      <c r="Y15" s="99"/>
      <c r="Z15" s="99"/>
      <c r="AA15" s="99"/>
      <c r="AB15" s="99"/>
      <c r="AC15" s="99"/>
    </row>
    <row r="16" spans="1:29" x14ac:dyDescent="0.3">
      <c r="A16" s="99" t="s">
        <v>32</v>
      </c>
      <c r="B16" s="99">
        <v>13</v>
      </c>
      <c r="C16" s="99" t="s">
        <v>263</v>
      </c>
      <c r="D16" s="99" t="s">
        <v>247</v>
      </c>
      <c r="E16" s="99">
        <v>1</v>
      </c>
      <c r="F16" s="99" t="s">
        <v>247</v>
      </c>
      <c r="G16" s="99"/>
      <c r="H16" s="99">
        <v>0</v>
      </c>
      <c r="I16" s="99">
        <v>0</v>
      </c>
      <c r="J16" s="99">
        <v>0</v>
      </c>
      <c r="K16" s="99">
        <v>750</v>
      </c>
      <c r="L16" s="99">
        <v>3000</v>
      </c>
      <c r="M16" s="99">
        <v>4.6875</v>
      </c>
      <c r="N16" s="99">
        <v>594</v>
      </c>
      <c r="O16" s="99">
        <v>4752</v>
      </c>
      <c r="P16" s="99">
        <v>4.640625</v>
      </c>
      <c r="Q16" s="99">
        <v>1344</v>
      </c>
      <c r="R16" s="99">
        <v>7752</v>
      </c>
      <c r="S16" s="99">
        <v>9.328125</v>
      </c>
      <c r="T16" s="99">
        <v>0</v>
      </c>
      <c r="U16" s="99"/>
      <c r="V16" s="99"/>
      <c r="W16" s="99"/>
      <c r="X16" s="99"/>
      <c r="Y16" s="99"/>
      <c r="Z16" s="99"/>
      <c r="AA16" s="99"/>
      <c r="AB16" s="99"/>
      <c r="AC16" s="99"/>
    </row>
    <row r="17" spans="1:29" x14ac:dyDescent="0.3">
      <c r="A17" s="99" t="s">
        <v>32</v>
      </c>
      <c r="B17" s="99">
        <v>14</v>
      </c>
      <c r="C17" s="99" t="s">
        <v>264</v>
      </c>
      <c r="D17" s="99" t="s">
        <v>247</v>
      </c>
      <c r="E17" s="99">
        <v>1</v>
      </c>
      <c r="F17" s="99" t="s">
        <v>247</v>
      </c>
      <c r="G17" s="99"/>
      <c r="H17" s="99">
        <v>0</v>
      </c>
      <c r="I17" s="99">
        <v>0</v>
      </c>
      <c r="J17" s="99">
        <v>0</v>
      </c>
      <c r="K17" s="99">
        <v>600</v>
      </c>
      <c r="L17" s="99">
        <v>2400</v>
      </c>
      <c r="M17" s="99">
        <v>3.75</v>
      </c>
      <c r="N17" s="99">
        <v>538</v>
      </c>
      <c r="O17" s="99">
        <v>4304</v>
      </c>
      <c r="P17" s="99">
        <v>4.203125</v>
      </c>
      <c r="Q17" s="99">
        <v>1138</v>
      </c>
      <c r="R17" s="99">
        <v>6704</v>
      </c>
      <c r="S17" s="99">
        <v>7.953125</v>
      </c>
      <c r="T17" s="99">
        <v>0</v>
      </c>
      <c r="U17" s="99"/>
      <c r="V17" s="99"/>
      <c r="W17" s="99"/>
      <c r="X17" s="99"/>
      <c r="Y17" s="99"/>
      <c r="Z17" s="99"/>
      <c r="AA17" s="99"/>
      <c r="AB17" s="99"/>
      <c r="AC17" s="99"/>
    </row>
    <row r="18" spans="1:29" x14ac:dyDescent="0.3">
      <c r="A18" s="99" t="s">
        <v>32</v>
      </c>
      <c r="B18" s="99">
        <v>15</v>
      </c>
      <c r="C18" s="99" t="s">
        <v>265</v>
      </c>
      <c r="D18" s="99" t="s">
        <v>250</v>
      </c>
      <c r="E18" s="99">
        <v>1</v>
      </c>
      <c r="F18" s="99" t="s">
        <v>251</v>
      </c>
      <c r="G18" s="99">
        <v>65</v>
      </c>
      <c r="H18" s="99">
        <v>6500</v>
      </c>
      <c r="I18" s="99">
        <v>26000</v>
      </c>
      <c r="J18" s="99">
        <v>65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6500</v>
      </c>
      <c r="R18" s="99">
        <v>26000</v>
      </c>
      <c r="S18" s="99">
        <v>65</v>
      </c>
      <c r="T18" s="99">
        <v>0</v>
      </c>
      <c r="U18" s="99"/>
      <c r="V18" s="99"/>
      <c r="W18" s="99"/>
      <c r="X18" s="99"/>
      <c r="Y18" s="99"/>
      <c r="Z18" s="99"/>
      <c r="AA18" s="99"/>
      <c r="AB18" s="99"/>
      <c r="AC18" s="99"/>
    </row>
    <row r="19" spans="1:29" x14ac:dyDescent="0.3">
      <c r="A19" s="99" t="s">
        <v>32</v>
      </c>
      <c r="B19" s="99">
        <v>15</v>
      </c>
      <c r="C19" s="99" t="s">
        <v>265</v>
      </c>
      <c r="D19" s="99" t="s">
        <v>247</v>
      </c>
      <c r="E19" s="99">
        <v>1</v>
      </c>
      <c r="F19" s="99" t="s">
        <v>247</v>
      </c>
      <c r="G19" s="99"/>
      <c r="H19" s="99">
        <v>440</v>
      </c>
      <c r="I19" s="99">
        <v>1760</v>
      </c>
      <c r="J19" s="99">
        <v>4.4000000000000004</v>
      </c>
      <c r="K19" s="99">
        <v>600</v>
      </c>
      <c r="L19" s="99">
        <v>2400</v>
      </c>
      <c r="M19" s="99">
        <v>3.75</v>
      </c>
      <c r="N19" s="99">
        <v>60</v>
      </c>
      <c r="O19" s="99">
        <v>480</v>
      </c>
      <c r="P19" s="99">
        <v>0.46875</v>
      </c>
      <c r="Q19" s="99">
        <v>1100</v>
      </c>
      <c r="R19" s="99">
        <v>4640</v>
      </c>
      <c r="S19" s="99">
        <v>8.6187500000000004</v>
      </c>
      <c r="T19" s="99">
        <v>0</v>
      </c>
      <c r="U19" s="99"/>
      <c r="V19" s="99"/>
      <c r="W19" s="99"/>
      <c r="X19" s="99"/>
      <c r="Y19" s="99"/>
      <c r="Z19" s="99"/>
      <c r="AA19" s="99"/>
      <c r="AB19" s="99"/>
      <c r="AC19" s="99"/>
    </row>
    <row r="20" spans="1:29" x14ac:dyDescent="0.3">
      <c r="A20" s="99" t="s">
        <v>32</v>
      </c>
      <c r="B20" s="99">
        <v>16</v>
      </c>
      <c r="C20" s="99" t="s">
        <v>266</v>
      </c>
      <c r="D20" s="99" t="s">
        <v>250</v>
      </c>
      <c r="E20" s="99">
        <v>1</v>
      </c>
      <c r="F20" s="99" t="s">
        <v>251</v>
      </c>
      <c r="G20" s="99">
        <v>65</v>
      </c>
      <c r="H20" s="99">
        <v>6500</v>
      </c>
      <c r="I20" s="99">
        <v>26000</v>
      </c>
      <c r="J20" s="99">
        <v>65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6500</v>
      </c>
      <c r="R20" s="99">
        <v>26000</v>
      </c>
      <c r="S20" s="99">
        <v>65</v>
      </c>
      <c r="T20" s="99">
        <v>0</v>
      </c>
      <c r="U20" s="99"/>
      <c r="V20" s="99"/>
      <c r="W20" s="99"/>
      <c r="X20" s="99"/>
      <c r="Y20" s="99"/>
      <c r="Z20" s="99"/>
      <c r="AA20" s="99"/>
      <c r="AB20" s="99"/>
      <c r="AC20" s="99"/>
    </row>
    <row r="21" spans="1:29" x14ac:dyDescent="0.3">
      <c r="A21" s="99" t="s">
        <v>32</v>
      </c>
      <c r="B21" s="99">
        <v>16</v>
      </c>
      <c r="C21" s="99" t="s">
        <v>266</v>
      </c>
      <c r="D21" s="99" t="s">
        <v>247</v>
      </c>
      <c r="E21" s="99">
        <v>1</v>
      </c>
      <c r="F21" s="99" t="s">
        <v>247</v>
      </c>
      <c r="G21" s="99"/>
      <c r="H21" s="99">
        <v>122</v>
      </c>
      <c r="I21" s="99">
        <v>488</v>
      </c>
      <c r="J21" s="99">
        <v>1.22</v>
      </c>
      <c r="K21" s="99">
        <v>0</v>
      </c>
      <c r="L21" s="99">
        <v>0</v>
      </c>
      <c r="M21" s="99">
        <v>0</v>
      </c>
      <c r="N21" s="99">
        <v>163</v>
      </c>
      <c r="O21" s="99">
        <v>1304</v>
      </c>
      <c r="P21" s="99">
        <v>1.2734380000000001</v>
      </c>
      <c r="Q21" s="99">
        <v>285</v>
      </c>
      <c r="R21" s="99">
        <v>1792</v>
      </c>
      <c r="S21" s="99">
        <v>2.4934370000000001</v>
      </c>
      <c r="T21" s="99">
        <v>0</v>
      </c>
      <c r="U21" s="99"/>
      <c r="V21" s="99"/>
      <c r="W21" s="99"/>
      <c r="X21" s="99"/>
      <c r="Y21" s="99"/>
      <c r="Z21" s="99"/>
      <c r="AA21" s="99"/>
      <c r="AB21" s="99"/>
      <c r="AC21" s="99"/>
    </row>
    <row r="22" spans="1:29" x14ac:dyDescent="0.3">
      <c r="A22" s="99" t="s">
        <v>32</v>
      </c>
      <c r="B22" s="99">
        <v>17</v>
      </c>
      <c r="C22" s="99" t="s">
        <v>267</v>
      </c>
      <c r="D22" s="99" t="s">
        <v>257</v>
      </c>
      <c r="E22" s="99">
        <v>1</v>
      </c>
      <c r="F22" s="99" t="s">
        <v>258</v>
      </c>
      <c r="G22" s="99">
        <v>28</v>
      </c>
      <c r="H22" s="99">
        <v>1062</v>
      </c>
      <c r="I22" s="99">
        <v>4248</v>
      </c>
      <c r="J22" s="99">
        <v>10.62</v>
      </c>
      <c r="K22" s="99">
        <v>600</v>
      </c>
      <c r="L22" s="99">
        <v>2400</v>
      </c>
      <c r="M22" s="99">
        <v>3.75</v>
      </c>
      <c r="N22" s="99">
        <v>163</v>
      </c>
      <c r="O22" s="99">
        <v>1304</v>
      </c>
      <c r="P22" s="99">
        <v>1.2734380000000001</v>
      </c>
      <c r="Q22" s="99">
        <v>1825</v>
      </c>
      <c r="R22" s="99">
        <v>7952</v>
      </c>
      <c r="S22" s="99">
        <v>15.643438</v>
      </c>
      <c r="T22" s="99">
        <v>12.356562</v>
      </c>
      <c r="U22" s="99"/>
      <c r="V22" s="99"/>
      <c r="W22" s="99"/>
      <c r="X22" s="99"/>
      <c r="Y22" s="99"/>
      <c r="Z22" s="99"/>
      <c r="AA22" s="99"/>
      <c r="AB22" s="99"/>
      <c r="AC22" s="99"/>
    </row>
    <row r="23" spans="1:29" x14ac:dyDescent="0.3">
      <c r="A23" s="99" t="s">
        <v>32</v>
      </c>
      <c r="B23" s="99">
        <v>18</v>
      </c>
      <c r="C23" s="99" t="s">
        <v>268</v>
      </c>
      <c r="D23" s="99" t="s">
        <v>257</v>
      </c>
      <c r="E23" s="99">
        <v>1</v>
      </c>
      <c r="F23" s="99" t="s">
        <v>258</v>
      </c>
      <c r="G23" s="99">
        <v>28</v>
      </c>
      <c r="H23" s="99">
        <v>1062</v>
      </c>
      <c r="I23" s="99">
        <v>4248</v>
      </c>
      <c r="J23" s="99">
        <v>10.62</v>
      </c>
      <c r="K23" s="99">
        <v>600</v>
      </c>
      <c r="L23" s="99">
        <v>2400</v>
      </c>
      <c r="M23" s="99">
        <v>3.75</v>
      </c>
      <c r="N23" s="99">
        <v>163</v>
      </c>
      <c r="O23" s="99">
        <v>1304</v>
      </c>
      <c r="P23" s="99">
        <v>1.2734380000000001</v>
      </c>
      <c r="Q23" s="99">
        <v>1825</v>
      </c>
      <c r="R23" s="99">
        <v>7952</v>
      </c>
      <c r="S23" s="99">
        <v>15.643438</v>
      </c>
      <c r="T23" s="99">
        <v>12.356562</v>
      </c>
      <c r="U23" s="99"/>
      <c r="V23" s="99"/>
      <c r="W23" s="99"/>
      <c r="X23" s="99"/>
      <c r="Y23" s="99"/>
      <c r="Z23" s="99"/>
      <c r="AA23" s="99"/>
      <c r="AB23" s="99"/>
      <c r="AC23" s="99"/>
    </row>
    <row r="24" spans="1:29" x14ac:dyDescent="0.3">
      <c r="A24" s="99" t="s">
        <v>32</v>
      </c>
      <c r="B24" s="99">
        <v>19</v>
      </c>
      <c r="C24" s="99" t="s">
        <v>269</v>
      </c>
      <c r="D24" s="99" t="s">
        <v>257</v>
      </c>
      <c r="E24" s="99">
        <v>1</v>
      </c>
      <c r="F24" s="99" t="s">
        <v>258</v>
      </c>
      <c r="G24" s="99">
        <v>28</v>
      </c>
      <c r="H24" s="99">
        <v>1063</v>
      </c>
      <c r="I24" s="99">
        <v>4252</v>
      </c>
      <c r="J24" s="99">
        <v>10.63</v>
      </c>
      <c r="K24" s="99">
        <v>938</v>
      </c>
      <c r="L24" s="99">
        <v>3752</v>
      </c>
      <c r="M24" s="99">
        <v>5.8624999999999998</v>
      </c>
      <c r="N24" s="99">
        <v>189</v>
      </c>
      <c r="O24" s="99">
        <v>1512</v>
      </c>
      <c r="P24" s="99">
        <v>1.4765619999999999</v>
      </c>
      <c r="Q24" s="99">
        <v>2190</v>
      </c>
      <c r="R24" s="99">
        <v>9516</v>
      </c>
      <c r="S24" s="99">
        <v>17.969062000000001</v>
      </c>
      <c r="T24" s="99">
        <v>10.030938000000001</v>
      </c>
      <c r="U24" s="99"/>
      <c r="V24" s="99"/>
      <c r="W24" s="99"/>
      <c r="X24" s="99"/>
      <c r="Y24" s="99"/>
      <c r="Z24" s="99"/>
      <c r="AA24" s="99"/>
      <c r="AB24" s="99"/>
      <c r="AC24" s="99"/>
    </row>
    <row r="25" spans="1:29" x14ac:dyDescent="0.3">
      <c r="A25" s="99" t="s">
        <v>32</v>
      </c>
      <c r="B25" s="99">
        <v>20</v>
      </c>
      <c r="C25" s="99" t="s">
        <v>270</v>
      </c>
      <c r="D25" s="99" t="s">
        <v>257</v>
      </c>
      <c r="E25" s="99">
        <v>1</v>
      </c>
      <c r="F25" s="99" t="s">
        <v>258</v>
      </c>
      <c r="G25" s="99">
        <v>28</v>
      </c>
      <c r="H25" s="99">
        <v>1062</v>
      </c>
      <c r="I25" s="99">
        <v>4248</v>
      </c>
      <c r="J25" s="99">
        <v>10.62</v>
      </c>
      <c r="K25" s="99">
        <v>938</v>
      </c>
      <c r="L25" s="99">
        <v>3752</v>
      </c>
      <c r="M25" s="99">
        <v>5.8624999999999998</v>
      </c>
      <c r="N25" s="99">
        <v>189</v>
      </c>
      <c r="O25" s="99">
        <v>1512</v>
      </c>
      <c r="P25" s="99">
        <v>1.4765619999999999</v>
      </c>
      <c r="Q25" s="99">
        <v>2189</v>
      </c>
      <c r="R25" s="99">
        <v>9512</v>
      </c>
      <c r="S25" s="99">
        <v>17.959063</v>
      </c>
      <c r="T25" s="99">
        <v>10.040937</v>
      </c>
      <c r="U25" s="99"/>
      <c r="V25" s="99"/>
      <c r="W25" s="99"/>
      <c r="X25" s="99"/>
      <c r="Y25" s="99"/>
      <c r="Z25" s="99"/>
      <c r="AA25" s="99"/>
      <c r="AB25" s="99"/>
      <c r="AC25" s="99"/>
    </row>
    <row r="26" spans="1:29" x14ac:dyDescent="0.3">
      <c r="A26" s="99" t="s">
        <v>32</v>
      </c>
      <c r="B26" s="99">
        <v>21</v>
      </c>
      <c r="C26" s="99" t="s">
        <v>271</v>
      </c>
      <c r="D26" s="99" t="s">
        <v>247</v>
      </c>
      <c r="E26" s="99">
        <v>1</v>
      </c>
      <c r="F26" s="99" t="s">
        <v>247</v>
      </c>
      <c r="G26" s="99"/>
      <c r="H26" s="99">
        <v>598</v>
      </c>
      <c r="I26" s="99">
        <v>2392</v>
      </c>
      <c r="J26" s="99">
        <v>5.98</v>
      </c>
      <c r="K26" s="99">
        <v>938</v>
      </c>
      <c r="L26" s="99">
        <v>3752</v>
      </c>
      <c r="M26" s="99">
        <v>5.8624999999999998</v>
      </c>
      <c r="N26" s="99">
        <v>189</v>
      </c>
      <c r="O26" s="99">
        <v>1512</v>
      </c>
      <c r="P26" s="99">
        <v>1.4765619999999999</v>
      </c>
      <c r="Q26" s="99">
        <v>1725</v>
      </c>
      <c r="R26" s="99">
        <v>7656</v>
      </c>
      <c r="S26" s="99">
        <v>13.319063</v>
      </c>
      <c r="T26" s="99">
        <v>0</v>
      </c>
      <c r="U26" s="99"/>
      <c r="V26" s="99"/>
      <c r="W26" s="99"/>
      <c r="X26" s="99"/>
      <c r="Y26" s="99"/>
      <c r="Z26" s="99"/>
      <c r="AA26" s="99"/>
      <c r="AB26" s="99"/>
      <c r="AC26" s="99"/>
    </row>
    <row r="27" spans="1:29" x14ac:dyDescent="0.3">
      <c r="A27" s="99" t="s">
        <v>32</v>
      </c>
      <c r="B27" s="99">
        <v>22</v>
      </c>
      <c r="C27" s="99" t="s">
        <v>272</v>
      </c>
      <c r="D27" s="99" t="s">
        <v>247</v>
      </c>
      <c r="E27" s="99">
        <v>1</v>
      </c>
      <c r="F27" s="99" t="s">
        <v>247</v>
      </c>
      <c r="G27" s="99"/>
      <c r="H27" s="99">
        <v>598</v>
      </c>
      <c r="I27" s="99">
        <v>2392</v>
      </c>
      <c r="J27" s="99">
        <v>5.98</v>
      </c>
      <c r="K27" s="99">
        <v>938</v>
      </c>
      <c r="L27" s="99">
        <v>3752</v>
      </c>
      <c r="M27" s="99">
        <v>5.8624999999999998</v>
      </c>
      <c r="N27" s="99">
        <v>189</v>
      </c>
      <c r="O27" s="99">
        <v>1512</v>
      </c>
      <c r="P27" s="99">
        <v>1.4765619999999999</v>
      </c>
      <c r="Q27" s="99">
        <v>1725</v>
      </c>
      <c r="R27" s="99">
        <v>7656</v>
      </c>
      <c r="S27" s="99">
        <v>13.319063</v>
      </c>
      <c r="T27" s="99">
        <v>0</v>
      </c>
      <c r="U27" s="99"/>
      <c r="V27" s="99"/>
      <c r="W27" s="99"/>
      <c r="X27" s="99"/>
      <c r="Y27" s="99"/>
      <c r="Z27" s="99"/>
      <c r="AA27" s="99"/>
      <c r="AB27" s="99"/>
      <c r="AC27" s="99"/>
    </row>
    <row r="28" spans="1:29" x14ac:dyDescent="0.3">
      <c r="A28" s="99" t="s">
        <v>32</v>
      </c>
      <c r="B28" s="99">
        <v>23</v>
      </c>
      <c r="C28" s="99" t="s">
        <v>273</v>
      </c>
      <c r="D28" s="99" t="s">
        <v>247</v>
      </c>
      <c r="E28" s="99">
        <v>1</v>
      </c>
      <c r="F28" s="99" t="s">
        <v>247</v>
      </c>
      <c r="G28" s="99"/>
      <c r="H28" s="99">
        <v>598</v>
      </c>
      <c r="I28" s="99">
        <v>2392</v>
      </c>
      <c r="J28" s="99">
        <v>5.98</v>
      </c>
      <c r="K28" s="99">
        <v>750</v>
      </c>
      <c r="L28" s="99">
        <v>3000</v>
      </c>
      <c r="M28" s="99">
        <v>4.6875</v>
      </c>
      <c r="N28" s="99">
        <v>181</v>
      </c>
      <c r="O28" s="99">
        <v>1448</v>
      </c>
      <c r="P28" s="99">
        <v>1.4140619999999999</v>
      </c>
      <c r="Q28" s="99">
        <v>1529</v>
      </c>
      <c r="R28" s="99">
        <v>6840</v>
      </c>
      <c r="S28" s="99">
        <v>12.081562999999999</v>
      </c>
      <c r="T28" s="99">
        <v>0</v>
      </c>
      <c r="U28" s="99"/>
      <c r="V28" s="99"/>
      <c r="W28" s="99"/>
      <c r="X28" s="99"/>
      <c r="Y28" s="99"/>
      <c r="Z28" s="99"/>
      <c r="AA28" s="99"/>
      <c r="AB28" s="99"/>
      <c r="AC28" s="99"/>
    </row>
    <row r="29" spans="1:29" x14ac:dyDescent="0.3">
      <c r="A29" s="99" t="s">
        <v>32</v>
      </c>
      <c r="B29" s="99">
        <v>24</v>
      </c>
      <c r="C29" s="99" t="s">
        <v>274</v>
      </c>
      <c r="D29" s="99" t="s">
        <v>247</v>
      </c>
      <c r="E29" s="99">
        <v>1</v>
      </c>
      <c r="F29" s="99" t="s">
        <v>247</v>
      </c>
      <c r="G29" s="99"/>
      <c r="H29" s="99">
        <v>598</v>
      </c>
      <c r="I29" s="99">
        <v>2392</v>
      </c>
      <c r="J29" s="99">
        <v>5.98</v>
      </c>
      <c r="K29" s="99">
        <v>750</v>
      </c>
      <c r="L29" s="99">
        <v>3000</v>
      </c>
      <c r="M29" s="99">
        <v>4.6875</v>
      </c>
      <c r="N29" s="99">
        <v>0</v>
      </c>
      <c r="O29" s="99">
        <v>0</v>
      </c>
      <c r="P29" s="99">
        <v>0</v>
      </c>
      <c r="Q29" s="99">
        <v>1348</v>
      </c>
      <c r="R29" s="99">
        <v>5392</v>
      </c>
      <c r="S29" s="99">
        <v>10.6675</v>
      </c>
      <c r="T29" s="99">
        <v>0</v>
      </c>
      <c r="U29" s="99"/>
      <c r="V29" s="99"/>
      <c r="W29" s="99"/>
      <c r="X29" s="99"/>
      <c r="Y29" s="99"/>
      <c r="Z29" s="99"/>
      <c r="AA29" s="99"/>
      <c r="AB29" s="99"/>
      <c r="AC29" s="99"/>
    </row>
    <row r="30" spans="1:29" x14ac:dyDescent="0.3">
      <c r="A30" s="99" t="s">
        <v>32</v>
      </c>
      <c r="B30" s="99">
        <v>25</v>
      </c>
      <c r="C30" s="99" t="s">
        <v>275</v>
      </c>
      <c r="D30" s="99" t="s">
        <v>250</v>
      </c>
      <c r="E30" s="99">
        <v>1</v>
      </c>
      <c r="F30" s="99" t="s">
        <v>251</v>
      </c>
      <c r="G30" s="99">
        <v>65</v>
      </c>
      <c r="H30" s="99">
        <v>4005</v>
      </c>
      <c r="I30" s="99">
        <v>16020</v>
      </c>
      <c r="J30" s="99">
        <v>40.049999999999997</v>
      </c>
      <c r="K30" s="99">
        <v>750</v>
      </c>
      <c r="L30" s="99">
        <v>3000</v>
      </c>
      <c r="M30" s="99">
        <v>4.6875</v>
      </c>
      <c r="N30" s="99">
        <v>0</v>
      </c>
      <c r="O30" s="99">
        <v>0</v>
      </c>
      <c r="P30" s="99">
        <v>0</v>
      </c>
      <c r="Q30" s="99">
        <v>4755</v>
      </c>
      <c r="R30" s="99">
        <v>19020</v>
      </c>
      <c r="S30" s="99">
        <v>44.737499999999997</v>
      </c>
      <c r="T30" s="99">
        <v>20.262499999999999</v>
      </c>
      <c r="U30" s="99"/>
      <c r="V30" s="99"/>
      <c r="W30" s="99"/>
      <c r="X30" s="99"/>
      <c r="Y30" s="99"/>
      <c r="Z30" s="99"/>
      <c r="AA30" s="99"/>
      <c r="AB30" s="99"/>
      <c r="AC30" s="99"/>
    </row>
    <row r="31" spans="1:29" x14ac:dyDescent="0.3">
      <c r="A31" s="99" t="s">
        <v>32</v>
      </c>
      <c r="B31" s="99">
        <v>26</v>
      </c>
      <c r="C31" s="99" t="s">
        <v>276</v>
      </c>
      <c r="D31" s="99" t="s">
        <v>250</v>
      </c>
      <c r="E31" s="99">
        <v>1</v>
      </c>
      <c r="F31" s="99" t="s">
        <v>251</v>
      </c>
      <c r="G31" s="99">
        <v>65</v>
      </c>
      <c r="H31" s="99">
        <v>4005</v>
      </c>
      <c r="I31" s="99">
        <v>16020</v>
      </c>
      <c r="J31" s="99">
        <v>40.049999999999997</v>
      </c>
      <c r="K31" s="99">
        <v>750</v>
      </c>
      <c r="L31" s="99">
        <v>3000</v>
      </c>
      <c r="M31" s="99">
        <v>4.6875</v>
      </c>
      <c r="N31" s="99">
        <v>181</v>
      </c>
      <c r="O31" s="99">
        <v>1448</v>
      </c>
      <c r="P31" s="99">
        <v>1.4140619999999999</v>
      </c>
      <c r="Q31" s="99">
        <v>4936</v>
      </c>
      <c r="R31" s="99">
        <v>20468</v>
      </c>
      <c r="S31" s="99">
        <v>46.151563000000003</v>
      </c>
      <c r="T31" s="99">
        <v>18.848437000000001</v>
      </c>
      <c r="U31" s="99"/>
      <c r="V31" s="99"/>
      <c r="W31" s="99"/>
      <c r="X31" s="99"/>
      <c r="Y31" s="99"/>
      <c r="Z31" s="99"/>
      <c r="AA31" s="99"/>
      <c r="AB31" s="99"/>
      <c r="AC31" s="99"/>
    </row>
    <row r="32" spans="1:29" x14ac:dyDescent="0.3">
      <c r="A32" s="99" t="s">
        <v>32</v>
      </c>
      <c r="B32" s="99">
        <v>27</v>
      </c>
      <c r="C32" s="99" t="s">
        <v>277</v>
      </c>
      <c r="D32" s="99" t="s">
        <v>250</v>
      </c>
      <c r="E32" s="99">
        <v>1</v>
      </c>
      <c r="F32" s="99" t="s">
        <v>251</v>
      </c>
      <c r="G32" s="99">
        <v>65</v>
      </c>
      <c r="H32" s="99">
        <v>4004</v>
      </c>
      <c r="I32" s="99">
        <v>16016</v>
      </c>
      <c r="J32" s="99">
        <v>40.04</v>
      </c>
      <c r="K32" s="99">
        <v>750</v>
      </c>
      <c r="L32" s="99">
        <v>3000</v>
      </c>
      <c r="M32" s="99">
        <v>4.6875</v>
      </c>
      <c r="N32" s="99">
        <v>181</v>
      </c>
      <c r="O32" s="99">
        <v>1448</v>
      </c>
      <c r="P32" s="99">
        <v>1.4140619999999999</v>
      </c>
      <c r="Q32" s="99">
        <v>4935</v>
      </c>
      <c r="R32" s="99">
        <v>20464</v>
      </c>
      <c r="S32" s="99">
        <v>46.141562</v>
      </c>
      <c r="T32" s="99">
        <v>18.858438</v>
      </c>
      <c r="U32" s="99"/>
      <c r="V32" s="99"/>
      <c r="W32" s="99"/>
      <c r="X32" s="99"/>
      <c r="Y32" s="99"/>
      <c r="Z32" s="99"/>
      <c r="AA32" s="99"/>
      <c r="AB32" s="99"/>
      <c r="AC32" s="99"/>
    </row>
    <row r="33" spans="1:29" x14ac:dyDescent="0.3">
      <c r="A33" s="99" t="s">
        <v>32</v>
      </c>
      <c r="B33" s="99">
        <v>28</v>
      </c>
      <c r="C33" s="99" t="s">
        <v>278</v>
      </c>
      <c r="D33" s="99" t="s">
        <v>250</v>
      </c>
      <c r="E33" s="99">
        <v>1</v>
      </c>
      <c r="F33" s="99" t="s">
        <v>251</v>
      </c>
      <c r="G33" s="99">
        <v>65</v>
      </c>
      <c r="H33" s="99">
        <v>4005</v>
      </c>
      <c r="I33" s="99">
        <v>16020</v>
      </c>
      <c r="J33" s="99">
        <v>40.049999999999997</v>
      </c>
      <c r="K33" s="99">
        <v>1563</v>
      </c>
      <c r="L33" s="99">
        <v>6252</v>
      </c>
      <c r="M33" s="99">
        <v>9.7687500000000007</v>
      </c>
      <c r="N33" s="99">
        <v>181</v>
      </c>
      <c r="O33" s="99">
        <v>1448</v>
      </c>
      <c r="P33" s="99">
        <v>1.4140619999999999</v>
      </c>
      <c r="Q33" s="99">
        <v>5749</v>
      </c>
      <c r="R33" s="99">
        <v>23720</v>
      </c>
      <c r="S33" s="99">
        <v>51.232813</v>
      </c>
      <c r="T33" s="99">
        <v>13.767187</v>
      </c>
      <c r="U33" s="99"/>
      <c r="V33" s="99"/>
      <c r="W33" s="99"/>
      <c r="X33" s="99"/>
      <c r="Y33" s="99"/>
      <c r="Z33" s="99"/>
      <c r="AA33" s="99"/>
      <c r="AB33" s="99"/>
      <c r="AC33" s="99"/>
    </row>
    <row r="34" spans="1:29" x14ac:dyDescent="0.3">
      <c r="A34" s="99" t="s">
        <v>32</v>
      </c>
      <c r="B34" s="99">
        <v>29</v>
      </c>
      <c r="C34" s="99" t="s">
        <v>279</v>
      </c>
      <c r="D34" s="99" t="s">
        <v>257</v>
      </c>
      <c r="E34" s="99">
        <v>1</v>
      </c>
      <c r="F34" s="99" t="s">
        <v>258</v>
      </c>
      <c r="G34" s="99">
        <v>28</v>
      </c>
      <c r="H34" s="99">
        <v>1071</v>
      </c>
      <c r="I34" s="99">
        <v>4284</v>
      </c>
      <c r="J34" s="99">
        <v>10.71</v>
      </c>
      <c r="K34" s="99">
        <v>1563</v>
      </c>
      <c r="L34" s="99">
        <v>6252</v>
      </c>
      <c r="M34" s="99">
        <v>9.7687500000000007</v>
      </c>
      <c r="N34" s="99">
        <v>220</v>
      </c>
      <c r="O34" s="99">
        <v>1760</v>
      </c>
      <c r="P34" s="99">
        <v>1.71875</v>
      </c>
      <c r="Q34" s="99">
        <v>2854</v>
      </c>
      <c r="R34" s="99">
        <v>12296</v>
      </c>
      <c r="S34" s="99">
        <v>22.197500000000002</v>
      </c>
      <c r="T34" s="99">
        <v>5.8025000000000002</v>
      </c>
      <c r="U34" s="99"/>
      <c r="V34" s="99"/>
      <c r="W34" s="99"/>
      <c r="X34" s="99"/>
      <c r="Y34" s="99"/>
      <c r="Z34" s="99"/>
      <c r="AA34" s="99"/>
      <c r="AB34" s="99"/>
      <c r="AC34" s="99"/>
    </row>
    <row r="35" spans="1:29" x14ac:dyDescent="0.3">
      <c r="A35" s="99" t="s">
        <v>32</v>
      </c>
      <c r="B35" s="99">
        <v>30</v>
      </c>
      <c r="C35" s="99" t="s">
        <v>280</v>
      </c>
      <c r="D35" s="99" t="s">
        <v>257</v>
      </c>
      <c r="E35" s="99">
        <v>1</v>
      </c>
      <c r="F35" s="99" t="s">
        <v>258</v>
      </c>
      <c r="G35" s="99">
        <v>28</v>
      </c>
      <c r="H35" s="99">
        <v>1071</v>
      </c>
      <c r="I35" s="99">
        <v>4284</v>
      </c>
      <c r="J35" s="99">
        <v>10.71</v>
      </c>
      <c r="K35" s="99">
        <v>1563</v>
      </c>
      <c r="L35" s="99">
        <v>6252</v>
      </c>
      <c r="M35" s="99">
        <v>9.7687500000000007</v>
      </c>
      <c r="N35" s="99">
        <v>220</v>
      </c>
      <c r="O35" s="99">
        <v>1760</v>
      </c>
      <c r="P35" s="99">
        <v>1.71875</v>
      </c>
      <c r="Q35" s="99">
        <v>2854</v>
      </c>
      <c r="R35" s="99">
        <v>12296</v>
      </c>
      <c r="S35" s="99">
        <v>22.197500000000002</v>
      </c>
      <c r="T35" s="99">
        <v>5.8025000000000002</v>
      </c>
      <c r="U35" s="99"/>
      <c r="V35" s="99"/>
      <c r="W35" s="99"/>
      <c r="X35" s="99"/>
      <c r="Y35" s="99"/>
      <c r="Z35" s="99"/>
      <c r="AA35" s="99"/>
      <c r="AB35" s="99"/>
      <c r="AC35" s="99"/>
    </row>
    <row r="36" spans="1:29" x14ac:dyDescent="0.3">
      <c r="A36" s="99" t="s">
        <v>32</v>
      </c>
      <c r="B36" s="99">
        <v>31</v>
      </c>
      <c r="C36" s="99" t="s">
        <v>281</v>
      </c>
      <c r="D36" s="99" t="s">
        <v>257</v>
      </c>
      <c r="E36" s="99">
        <v>1</v>
      </c>
      <c r="F36" s="99" t="s">
        <v>258</v>
      </c>
      <c r="G36" s="99">
        <v>28</v>
      </c>
      <c r="H36" s="99">
        <v>1071</v>
      </c>
      <c r="I36" s="99">
        <v>4284</v>
      </c>
      <c r="J36" s="99">
        <v>10.71</v>
      </c>
      <c r="K36" s="99">
        <v>1563</v>
      </c>
      <c r="L36" s="99">
        <v>6252</v>
      </c>
      <c r="M36" s="99">
        <v>9.7687500000000007</v>
      </c>
      <c r="N36" s="99">
        <v>220</v>
      </c>
      <c r="O36" s="99">
        <v>1760</v>
      </c>
      <c r="P36" s="99">
        <v>1.71875</v>
      </c>
      <c r="Q36" s="99">
        <v>2854</v>
      </c>
      <c r="R36" s="99">
        <v>12296</v>
      </c>
      <c r="S36" s="99">
        <v>22.197500000000002</v>
      </c>
      <c r="T36" s="99">
        <v>5.8025000000000002</v>
      </c>
      <c r="U36" s="99"/>
      <c r="V36" s="99"/>
      <c r="W36" s="99"/>
      <c r="X36" s="99"/>
      <c r="Y36" s="99"/>
      <c r="Z36" s="99"/>
      <c r="AA36" s="99"/>
      <c r="AB36" s="99"/>
      <c r="AC36" s="99"/>
    </row>
    <row r="37" spans="1:29" x14ac:dyDescent="0.3">
      <c r="A37" s="99" t="s">
        <v>32</v>
      </c>
      <c r="B37" s="99">
        <v>32</v>
      </c>
      <c r="C37" s="99" t="s">
        <v>282</v>
      </c>
      <c r="D37" s="99" t="s">
        <v>257</v>
      </c>
      <c r="E37" s="99">
        <v>1</v>
      </c>
      <c r="F37" s="99" t="s">
        <v>258</v>
      </c>
      <c r="G37" s="99">
        <v>28</v>
      </c>
      <c r="H37" s="99">
        <v>1071</v>
      </c>
      <c r="I37" s="99">
        <v>4284</v>
      </c>
      <c r="J37" s="99">
        <v>10.71</v>
      </c>
      <c r="K37" s="99">
        <v>1563</v>
      </c>
      <c r="L37" s="99">
        <v>6252</v>
      </c>
      <c r="M37" s="99">
        <v>9.7687500000000007</v>
      </c>
      <c r="N37" s="99">
        <v>220</v>
      </c>
      <c r="O37" s="99">
        <v>1760</v>
      </c>
      <c r="P37" s="99">
        <v>1.71875</v>
      </c>
      <c r="Q37" s="99">
        <v>2854</v>
      </c>
      <c r="R37" s="99">
        <v>12296</v>
      </c>
      <c r="S37" s="99">
        <v>22.197500000000002</v>
      </c>
      <c r="T37" s="99">
        <v>5.8025000000000002</v>
      </c>
      <c r="U37" s="99"/>
      <c r="V37" s="99"/>
      <c r="W37" s="99"/>
      <c r="X37" s="99"/>
      <c r="Y37" s="99"/>
      <c r="Z37" s="99"/>
      <c r="AA37" s="99"/>
      <c r="AB37" s="99"/>
      <c r="AC37" s="99"/>
    </row>
    <row r="38" spans="1:29" x14ac:dyDescent="0.3">
      <c r="A38" s="99" t="s">
        <v>32</v>
      </c>
      <c r="B38" s="99">
        <v>33</v>
      </c>
      <c r="C38" s="99" t="s">
        <v>283</v>
      </c>
      <c r="D38" s="99" t="s">
        <v>257</v>
      </c>
      <c r="E38" s="99">
        <v>1</v>
      </c>
      <c r="F38" s="99" t="s">
        <v>258</v>
      </c>
      <c r="G38" s="99">
        <v>28</v>
      </c>
      <c r="H38" s="99">
        <v>1071</v>
      </c>
      <c r="I38" s="99">
        <v>4284</v>
      </c>
      <c r="J38" s="99">
        <v>10.71</v>
      </c>
      <c r="K38" s="99">
        <v>1563</v>
      </c>
      <c r="L38" s="99">
        <v>6252</v>
      </c>
      <c r="M38" s="99">
        <v>9.7687500000000007</v>
      </c>
      <c r="N38" s="99">
        <v>241</v>
      </c>
      <c r="O38" s="99">
        <v>1928</v>
      </c>
      <c r="P38" s="99">
        <v>1.8828119999999999</v>
      </c>
      <c r="Q38" s="99">
        <v>2875</v>
      </c>
      <c r="R38" s="99">
        <v>12464</v>
      </c>
      <c r="S38" s="99">
        <v>22.361563</v>
      </c>
      <c r="T38" s="99">
        <v>5.6384369999999997</v>
      </c>
      <c r="U38" s="99"/>
      <c r="V38" s="99"/>
      <c r="W38" s="99"/>
      <c r="X38" s="99"/>
      <c r="Y38" s="99"/>
      <c r="Z38" s="99"/>
      <c r="AA38" s="99"/>
      <c r="AB38" s="99"/>
      <c r="AC38" s="99"/>
    </row>
    <row r="39" spans="1:29" x14ac:dyDescent="0.3">
      <c r="A39" s="99" t="s">
        <v>32</v>
      </c>
      <c r="B39" s="99">
        <v>34</v>
      </c>
      <c r="C39" s="99" t="s">
        <v>284</v>
      </c>
      <c r="D39" s="99" t="s">
        <v>257</v>
      </c>
      <c r="E39" s="99">
        <v>1</v>
      </c>
      <c r="F39" s="99" t="s">
        <v>258</v>
      </c>
      <c r="G39" s="99">
        <v>28</v>
      </c>
      <c r="H39" s="99">
        <v>2082</v>
      </c>
      <c r="I39" s="99">
        <v>8328</v>
      </c>
      <c r="J39" s="99">
        <v>20.82</v>
      </c>
      <c r="K39" s="99">
        <v>846</v>
      </c>
      <c r="L39" s="99">
        <v>3384</v>
      </c>
      <c r="M39" s="99">
        <v>5.2874999999999996</v>
      </c>
      <c r="N39" s="99">
        <v>242</v>
      </c>
      <c r="O39" s="99">
        <v>1936</v>
      </c>
      <c r="P39" s="99">
        <v>1.890625</v>
      </c>
      <c r="Q39" s="99">
        <v>3170</v>
      </c>
      <c r="R39" s="99">
        <v>13648</v>
      </c>
      <c r="S39" s="99">
        <v>27.998125000000002</v>
      </c>
      <c r="T39" s="99">
        <v>1.8749999999999999E-3</v>
      </c>
      <c r="U39" s="99"/>
      <c r="V39" s="99"/>
      <c r="W39" s="99"/>
      <c r="X39" s="99"/>
      <c r="Y39" s="99"/>
      <c r="Z39" s="99"/>
      <c r="AA39" s="99"/>
      <c r="AB39" s="99"/>
      <c r="AC39" s="99"/>
    </row>
    <row r="40" spans="1:29" x14ac:dyDescent="0.3">
      <c r="A40" s="99" t="s">
        <v>32</v>
      </c>
      <c r="B40" s="99">
        <v>34</v>
      </c>
      <c r="C40" s="99" t="s">
        <v>284</v>
      </c>
      <c r="D40" s="99" t="s">
        <v>247</v>
      </c>
      <c r="E40" s="99">
        <v>1</v>
      </c>
      <c r="F40" s="99" t="s">
        <v>247</v>
      </c>
      <c r="G40" s="99"/>
      <c r="H40" s="99">
        <v>0</v>
      </c>
      <c r="I40" s="99">
        <v>0</v>
      </c>
      <c r="J40" s="99">
        <v>0</v>
      </c>
      <c r="K40" s="99">
        <v>717</v>
      </c>
      <c r="L40" s="99">
        <v>2868</v>
      </c>
      <c r="M40" s="99">
        <v>4.4812500000000002</v>
      </c>
      <c r="N40" s="99">
        <v>0</v>
      </c>
      <c r="O40" s="99">
        <v>0</v>
      </c>
      <c r="P40" s="99">
        <v>0</v>
      </c>
      <c r="Q40" s="99">
        <v>717</v>
      </c>
      <c r="R40" s="99">
        <v>2868</v>
      </c>
      <c r="S40" s="99">
        <v>4.4812500000000002</v>
      </c>
      <c r="T40" s="99">
        <v>0</v>
      </c>
      <c r="U40" s="99"/>
      <c r="V40" s="99"/>
      <c r="W40" s="99"/>
      <c r="X40" s="99"/>
      <c r="Y40" s="99"/>
      <c r="Z40" s="99"/>
      <c r="AA40" s="99"/>
      <c r="AB40" s="99"/>
      <c r="AC40" s="99"/>
    </row>
    <row r="41" spans="1:29" x14ac:dyDescent="0.3">
      <c r="A41" s="99" t="s">
        <v>32</v>
      </c>
      <c r="B41" s="99">
        <v>35</v>
      </c>
      <c r="C41" s="99" t="s">
        <v>285</v>
      </c>
      <c r="D41" s="99" t="s">
        <v>257</v>
      </c>
      <c r="E41" s="99">
        <v>1</v>
      </c>
      <c r="F41" s="99" t="s">
        <v>258</v>
      </c>
      <c r="G41" s="99">
        <v>28</v>
      </c>
      <c r="H41" s="99">
        <v>2049</v>
      </c>
      <c r="I41" s="99">
        <v>8196</v>
      </c>
      <c r="J41" s="99">
        <v>20.49</v>
      </c>
      <c r="K41" s="99">
        <v>1154</v>
      </c>
      <c r="L41" s="99">
        <v>4616</v>
      </c>
      <c r="M41" s="99">
        <v>7.2125000000000004</v>
      </c>
      <c r="N41" s="99">
        <v>38</v>
      </c>
      <c r="O41" s="99">
        <v>304</v>
      </c>
      <c r="P41" s="99">
        <v>0.296875</v>
      </c>
      <c r="Q41" s="99">
        <v>3241</v>
      </c>
      <c r="R41" s="99">
        <v>13116</v>
      </c>
      <c r="S41" s="99">
        <v>27.999375000000001</v>
      </c>
      <c r="T41" s="99">
        <v>6.2500000000000001E-4</v>
      </c>
      <c r="U41" s="99"/>
      <c r="V41" s="99"/>
      <c r="W41" s="99"/>
      <c r="X41" s="99"/>
      <c r="Y41" s="99"/>
      <c r="Z41" s="99"/>
      <c r="AA41" s="99"/>
      <c r="AB41" s="99"/>
      <c r="AC41" s="99"/>
    </row>
    <row r="42" spans="1:29" x14ac:dyDescent="0.3">
      <c r="A42" s="99" t="s">
        <v>32</v>
      </c>
      <c r="B42" s="99">
        <v>35</v>
      </c>
      <c r="C42" s="99" t="s">
        <v>285</v>
      </c>
      <c r="D42" s="99" t="s">
        <v>247</v>
      </c>
      <c r="E42" s="99">
        <v>1</v>
      </c>
      <c r="F42" s="99" t="s">
        <v>247</v>
      </c>
      <c r="G42" s="99"/>
      <c r="H42" s="99">
        <v>33</v>
      </c>
      <c r="I42" s="99">
        <v>132</v>
      </c>
      <c r="J42" s="99">
        <v>0.33</v>
      </c>
      <c r="K42" s="99">
        <v>409</v>
      </c>
      <c r="L42" s="99">
        <v>1636</v>
      </c>
      <c r="M42" s="99">
        <v>2.5562499999999999</v>
      </c>
      <c r="N42" s="99">
        <v>203</v>
      </c>
      <c r="O42" s="99">
        <v>1624</v>
      </c>
      <c r="P42" s="99">
        <v>1.5859380000000001</v>
      </c>
      <c r="Q42" s="99">
        <v>645</v>
      </c>
      <c r="R42" s="99">
        <v>3392</v>
      </c>
      <c r="S42" s="99">
        <v>4.4721880000000001</v>
      </c>
      <c r="T42" s="99">
        <v>0</v>
      </c>
      <c r="U42" s="99"/>
      <c r="V42" s="99"/>
      <c r="W42" s="99"/>
      <c r="X42" s="99"/>
      <c r="Y42" s="99"/>
      <c r="Z42" s="99"/>
      <c r="AA42" s="99"/>
      <c r="AB42" s="99"/>
      <c r="AC42" s="99"/>
    </row>
    <row r="43" spans="1:29" x14ac:dyDescent="0.3">
      <c r="A43" s="99" t="s">
        <v>40</v>
      </c>
      <c r="B43" s="99">
        <v>3</v>
      </c>
      <c r="C43" s="99" t="s">
        <v>249</v>
      </c>
      <c r="D43" s="99" t="s">
        <v>247</v>
      </c>
      <c r="E43" s="99">
        <v>1</v>
      </c>
      <c r="F43" s="99" t="s">
        <v>247</v>
      </c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>
        <v>2768</v>
      </c>
      <c r="R43" s="99">
        <v>6752</v>
      </c>
      <c r="S43" s="99">
        <v>25.4</v>
      </c>
      <c r="T43" s="99">
        <v>0</v>
      </c>
      <c r="U43" s="99">
        <v>2160</v>
      </c>
      <c r="V43" s="99">
        <v>4320</v>
      </c>
      <c r="W43" s="99">
        <v>21.6</v>
      </c>
      <c r="X43" s="99">
        <v>608</v>
      </c>
      <c r="Y43" s="99">
        <v>2432</v>
      </c>
      <c r="Z43" s="99">
        <v>3.8</v>
      </c>
      <c r="AA43" s="99"/>
      <c r="AB43" s="99"/>
      <c r="AC43" s="99"/>
    </row>
    <row r="44" spans="1:29" x14ac:dyDescent="0.3">
      <c r="A44" s="99" t="s">
        <v>40</v>
      </c>
      <c r="B44" s="99">
        <v>4</v>
      </c>
      <c r="C44" s="99" t="s">
        <v>252</v>
      </c>
      <c r="D44" s="99" t="s">
        <v>247</v>
      </c>
      <c r="E44" s="99">
        <v>1</v>
      </c>
      <c r="F44" s="99" t="s">
        <v>247</v>
      </c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>
        <v>6683</v>
      </c>
      <c r="R44" s="99">
        <v>18362</v>
      </c>
      <c r="S44" s="99">
        <v>57.462499999999999</v>
      </c>
      <c r="T44" s="99">
        <v>0</v>
      </c>
      <c r="U44" s="99">
        <v>4185</v>
      </c>
      <c r="V44" s="99">
        <v>8370</v>
      </c>
      <c r="W44" s="99">
        <v>41.85</v>
      </c>
      <c r="X44" s="99">
        <v>2498</v>
      </c>
      <c r="Y44" s="99">
        <v>9992</v>
      </c>
      <c r="Z44" s="99">
        <v>15.612500000000001</v>
      </c>
      <c r="AA44" s="99"/>
      <c r="AB44" s="99"/>
      <c r="AC44" s="99"/>
    </row>
    <row r="45" spans="1:29" x14ac:dyDescent="0.3">
      <c r="A45" s="99" t="s">
        <v>40</v>
      </c>
      <c r="B45" s="99">
        <v>5</v>
      </c>
      <c r="C45" s="99" t="s">
        <v>253</v>
      </c>
      <c r="D45" s="99" t="s">
        <v>250</v>
      </c>
      <c r="E45" s="99">
        <v>1</v>
      </c>
      <c r="F45" s="99" t="s">
        <v>251</v>
      </c>
      <c r="G45" s="99">
        <v>65</v>
      </c>
      <c r="H45" s="99"/>
      <c r="I45" s="99"/>
      <c r="J45" s="99"/>
      <c r="K45" s="99"/>
      <c r="L45" s="99"/>
      <c r="M45" s="99"/>
      <c r="N45" s="99"/>
      <c r="O45" s="99"/>
      <c r="P45" s="99"/>
      <c r="Q45" s="99">
        <v>7047</v>
      </c>
      <c r="R45" s="99">
        <v>17014</v>
      </c>
      <c r="S45" s="99">
        <v>64.995000000000005</v>
      </c>
      <c r="T45" s="99">
        <v>5.0000000000000001E-3</v>
      </c>
      <c r="U45" s="99">
        <v>5587</v>
      </c>
      <c r="V45" s="99">
        <v>11174</v>
      </c>
      <c r="W45" s="99">
        <v>55.87</v>
      </c>
      <c r="X45" s="99">
        <v>1460</v>
      </c>
      <c r="Y45" s="99">
        <v>5840</v>
      </c>
      <c r="Z45" s="99">
        <v>9.125</v>
      </c>
      <c r="AA45" s="99"/>
      <c r="AB45" s="99"/>
      <c r="AC45" s="99"/>
    </row>
    <row r="46" spans="1:29" x14ac:dyDescent="0.3">
      <c r="A46" s="99" t="s">
        <v>40</v>
      </c>
      <c r="B46" s="99">
        <v>5</v>
      </c>
      <c r="C46" s="99" t="s">
        <v>253</v>
      </c>
      <c r="D46" s="99" t="s">
        <v>247</v>
      </c>
      <c r="E46" s="99">
        <v>1</v>
      </c>
      <c r="F46" s="99" t="s">
        <v>247</v>
      </c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>
        <v>304</v>
      </c>
      <c r="R46" s="99">
        <v>608</v>
      </c>
      <c r="S46" s="99">
        <v>3.04</v>
      </c>
      <c r="T46" s="99">
        <v>0</v>
      </c>
      <c r="U46" s="99">
        <v>304</v>
      </c>
      <c r="V46" s="99">
        <v>608</v>
      </c>
      <c r="W46" s="99">
        <v>3.04</v>
      </c>
      <c r="X46" s="99">
        <v>0</v>
      </c>
      <c r="Y46" s="99">
        <v>0</v>
      </c>
      <c r="Z46" s="99">
        <v>0</v>
      </c>
      <c r="AA46" s="99"/>
      <c r="AB46" s="99"/>
      <c r="AC46" s="99"/>
    </row>
    <row r="47" spans="1:29" x14ac:dyDescent="0.3">
      <c r="A47" s="99" t="s">
        <v>40</v>
      </c>
      <c r="B47" s="99">
        <v>6</v>
      </c>
      <c r="C47" s="99" t="s">
        <v>254</v>
      </c>
      <c r="D47" s="99" t="s">
        <v>250</v>
      </c>
      <c r="E47" s="99">
        <v>1</v>
      </c>
      <c r="F47" s="99" t="s">
        <v>251</v>
      </c>
      <c r="G47" s="99">
        <v>65</v>
      </c>
      <c r="H47" s="99"/>
      <c r="I47" s="99"/>
      <c r="J47" s="99"/>
      <c r="K47" s="99"/>
      <c r="L47" s="99"/>
      <c r="M47" s="99"/>
      <c r="N47" s="99"/>
      <c r="O47" s="99"/>
      <c r="P47" s="99"/>
      <c r="Q47" s="99">
        <v>7259</v>
      </c>
      <c r="R47" s="99">
        <v>18566</v>
      </c>
      <c r="S47" s="99">
        <v>65</v>
      </c>
      <c r="T47" s="99">
        <v>0</v>
      </c>
      <c r="U47" s="99">
        <v>5235</v>
      </c>
      <c r="V47" s="99">
        <v>10470</v>
      </c>
      <c r="W47" s="99">
        <v>52.35</v>
      </c>
      <c r="X47" s="99">
        <v>2024</v>
      </c>
      <c r="Y47" s="99">
        <v>8096</v>
      </c>
      <c r="Z47" s="99">
        <v>12.65</v>
      </c>
      <c r="AA47" s="99"/>
      <c r="AB47" s="99"/>
      <c r="AC47" s="99"/>
    </row>
    <row r="48" spans="1:29" x14ac:dyDescent="0.3">
      <c r="A48" s="99" t="s">
        <v>40</v>
      </c>
      <c r="B48" s="99">
        <v>6</v>
      </c>
      <c r="C48" s="99" t="s">
        <v>254</v>
      </c>
      <c r="D48" s="99" t="s">
        <v>247</v>
      </c>
      <c r="E48" s="99">
        <v>1</v>
      </c>
      <c r="F48" s="99" t="s">
        <v>247</v>
      </c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>
        <v>28</v>
      </c>
      <c r="R48" s="99">
        <v>58</v>
      </c>
      <c r="S48" s="99">
        <v>0.27625</v>
      </c>
      <c r="T48" s="99">
        <v>0</v>
      </c>
      <c r="U48" s="99">
        <v>27</v>
      </c>
      <c r="V48" s="99">
        <v>54</v>
      </c>
      <c r="W48" s="99">
        <v>0.27</v>
      </c>
      <c r="X48" s="99">
        <v>1</v>
      </c>
      <c r="Y48" s="99">
        <v>4</v>
      </c>
      <c r="Z48" s="99">
        <v>6.2500000000000003E-3</v>
      </c>
      <c r="AA48" s="99"/>
      <c r="AB48" s="99"/>
      <c r="AC48" s="99"/>
    </row>
    <row r="49" spans="1:29" x14ac:dyDescent="0.3">
      <c r="A49" s="99" t="s">
        <v>40</v>
      </c>
      <c r="B49" s="99">
        <v>7</v>
      </c>
      <c r="C49" s="99" t="s">
        <v>255</v>
      </c>
      <c r="D49" s="99" t="s">
        <v>247</v>
      </c>
      <c r="E49" s="99">
        <v>1</v>
      </c>
      <c r="F49" s="99" t="s">
        <v>247</v>
      </c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>
        <v>1871</v>
      </c>
      <c r="R49" s="99">
        <v>4244</v>
      </c>
      <c r="S49" s="99">
        <v>17.768750000000001</v>
      </c>
      <c r="T49" s="99">
        <v>0</v>
      </c>
      <c r="U49" s="99">
        <v>1620</v>
      </c>
      <c r="V49" s="99">
        <v>3240</v>
      </c>
      <c r="W49" s="99">
        <v>16.2</v>
      </c>
      <c r="X49" s="99">
        <v>251</v>
      </c>
      <c r="Y49" s="99">
        <v>1004</v>
      </c>
      <c r="Z49" s="99">
        <v>1.5687500000000001</v>
      </c>
      <c r="AA49" s="99"/>
      <c r="AB49" s="99"/>
      <c r="AC49" s="99"/>
    </row>
    <row r="50" spans="1:29" x14ac:dyDescent="0.3">
      <c r="A50" s="99" t="s">
        <v>40</v>
      </c>
      <c r="B50" s="99">
        <v>8</v>
      </c>
      <c r="C50" s="99" t="s">
        <v>256</v>
      </c>
      <c r="D50" s="99" t="s">
        <v>247</v>
      </c>
      <c r="E50" s="99">
        <v>1</v>
      </c>
      <c r="F50" s="99" t="s">
        <v>247</v>
      </c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>
        <v>3839</v>
      </c>
      <c r="R50" s="99">
        <v>8914</v>
      </c>
      <c r="S50" s="99">
        <v>36.072499999999998</v>
      </c>
      <c r="T50" s="99">
        <v>0</v>
      </c>
      <c r="U50" s="99">
        <v>3221</v>
      </c>
      <c r="V50" s="99">
        <v>6442</v>
      </c>
      <c r="W50" s="99">
        <v>32.21</v>
      </c>
      <c r="X50" s="99">
        <v>618</v>
      </c>
      <c r="Y50" s="99">
        <v>2472</v>
      </c>
      <c r="Z50" s="99">
        <v>3.8624999999999998</v>
      </c>
      <c r="AA50" s="99"/>
      <c r="AB50" s="99"/>
      <c r="AC50" s="99"/>
    </row>
    <row r="51" spans="1:29" x14ac:dyDescent="0.3">
      <c r="A51" s="99" t="s">
        <v>40</v>
      </c>
      <c r="B51" s="99">
        <v>9</v>
      </c>
      <c r="C51" s="99" t="s">
        <v>259</v>
      </c>
      <c r="D51" s="99" t="s">
        <v>247</v>
      </c>
      <c r="E51" s="99">
        <v>1</v>
      </c>
      <c r="F51" s="99" t="s">
        <v>247</v>
      </c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>
        <v>5266</v>
      </c>
      <c r="R51" s="99">
        <v>12262</v>
      </c>
      <c r="S51" s="99">
        <v>49.416249999999998</v>
      </c>
      <c r="T51" s="99">
        <v>0</v>
      </c>
      <c r="U51" s="99">
        <v>4401</v>
      </c>
      <c r="V51" s="99">
        <v>8802</v>
      </c>
      <c r="W51" s="99">
        <v>44.01</v>
      </c>
      <c r="X51" s="99">
        <v>865</v>
      </c>
      <c r="Y51" s="99">
        <v>3460</v>
      </c>
      <c r="Z51" s="99">
        <v>5.40625</v>
      </c>
      <c r="AA51" s="99"/>
      <c r="AB51" s="99"/>
      <c r="AC51" s="99"/>
    </row>
    <row r="52" spans="1:29" x14ac:dyDescent="0.3">
      <c r="A52" s="99" t="s">
        <v>40</v>
      </c>
      <c r="B52" s="99">
        <v>10</v>
      </c>
      <c r="C52" s="99" t="s">
        <v>260</v>
      </c>
      <c r="D52" s="99" t="s">
        <v>247</v>
      </c>
      <c r="E52" s="99">
        <v>1</v>
      </c>
      <c r="F52" s="99" t="s">
        <v>247</v>
      </c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>
        <v>3973</v>
      </c>
      <c r="R52" s="99">
        <v>8196</v>
      </c>
      <c r="S52" s="99">
        <v>39.261249999999997</v>
      </c>
      <c r="T52" s="99">
        <v>0</v>
      </c>
      <c r="U52" s="99">
        <v>3848</v>
      </c>
      <c r="V52" s="99">
        <v>7696</v>
      </c>
      <c r="W52" s="99">
        <v>38.479999999999997</v>
      </c>
      <c r="X52" s="99">
        <v>125</v>
      </c>
      <c r="Y52" s="99">
        <v>500</v>
      </c>
      <c r="Z52" s="99">
        <v>0.78125</v>
      </c>
      <c r="AA52" s="99"/>
      <c r="AB52" s="99"/>
      <c r="AC52" s="99"/>
    </row>
    <row r="53" spans="1:29" x14ac:dyDescent="0.3">
      <c r="A53" s="99" t="s">
        <v>40</v>
      </c>
      <c r="B53" s="99">
        <v>11</v>
      </c>
      <c r="C53" s="99" t="s">
        <v>261</v>
      </c>
      <c r="D53" s="99" t="s">
        <v>247</v>
      </c>
      <c r="E53" s="99">
        <v>1</v>
      </c>
      <c r="F53" s="99" t="s">
        <v>247</v>
      </c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>
        <v>1375</v>
      </c>
      <c r="R53" s="99">
        <v>3000</v>
      </c>
      <c r="S53" s="99">
        <v>13.28125</v>
      </c>
      <c r="T53" s="99">
        <v>0</v>
      </c>
      <c r="U53" s="99">
        <v>1250</v>
      </c>
      <c r="V53" s="99">
        <v>2500</v>
      </c>
      <c r="W53" s="99">
        <v>12.5</v>
      </c>
      <c r="X53" s="99">
        <v>125</v>
      </c>
      <c r="Y53" s="99">
        <v>500</v>
      </c>
      <c r="Z53" s="99">
        <v>0.78125</v>
      </c>
      <c r="AA53" s="99"/>
      <c r="AB53" s="99"/>
      <c r="AC53" s="99"/>
    </row>
    <row r="54" spans="1:29" x14ac:dyDescent="0.3">
      <c r="A54" s="99" t="s">
        <v>40</v>
      </c>
      <c r="B54" s="99">
        <v>12</v>
      </c>
      <c r="C54" s="99" t="s">
        <v>262</v>
      </c>
      <c r="D54" s="99" t="s">
        <v>247</v>
      </c>
      <c r="E54" s="99">
        <v>1</v>
      </c>
      <c r="F54" s="99" t="s">
        <v>247</v>
      </c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>
        <v>1375</v>
      </c>
      <c r="R54" s="99">
        <v>3000</v>
      </c>
      <c r="S54" s="99">
        <v>13.28125</v>
      </c>
      <c r="T54" s="99">
        <v>0</v>
      </c>
      <c r="U54" s="99">
        <v>1250</v>
      </c>
      <c r="V54" s="99">
        <v>2500</v>
      </c>
      <c r="W54" s="99">
        <v>12.5</v>
      </c>
      <c r="X54" s="99">
        <v>125</v>
      </c>
      <c r="Y54" s="99">
        <v>500</v>
      </c>
      <c r="Z54" s="99">
        <v>0.78125</v>
      </c>
      <c r="AA54" s="99"/>
      <c r="AB54" s="99"/>
      <c r="AC54" s="99"/>
    </row>
    <row r="55" spans="1:29" x14ac:dyDescent="0.3">
      <c r="A55" s="99" t="s">
        <v>40</v>
      </c>
      <c r="B55" s="99">
        <v>13</v>
      </c>
      <c r="C55" s="99" t="s">
        <v>263</v>
      </c>
      <c r="D55" s="99" t="s">
        <v>247</v>
      </c>
      <c r="E55" s="99">
        <v>1</v>
      </c>
      <c r="F55" s="99" t="s">
        <v>247</v>
      </c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>
        <v>1375</v>
      </c>
      <c r="R55" s="99">
        <v>3000</v>
      </c>
      <c r="S55" s="99">
        <v>13.28125</v>
      </c>
      <c r="T55" s="99">
        <v>0</v>
      </c>
      <c r="U55" s="99">
        <v>1250</v>
      </c>
      <c r="V55" s="99">
        <v>2500</v>
      </c>
      <c r="W55" s="99">
        <v>12.5</v>
      </c>
      <c r="X55" s="99">
        <v>125</v>
      </c>
      <c r="Y55" s="99">
        <v>500</v>
      </c>
      <c r="Z55" s="99">
        <v>0.78125</v>
      </c>
      <c r="AA55" s="99"/>
      <c r="AB55" s="99"/>
      <c r="AC55" s="99"/>
    </row>
    <row r="56" spans="1:29" x14ac:dyDescent="0.3">
      <c r="A56" s="99" t="s">
        <v>40</v>
      </c>
      <c r="B56" s="99">
        <v>14</v>
      </c>
      <c r="C56" s="99" t="s">
        <v>264</v>
      </c>
      <c r="D56" s="99" t="s">
        <v>247</v>
      </c>
      <c r="E56" s="99">
        <v>1</v>
      </c>
      <c r="F56" s="99" t="s">
        <v>247</v>
      </c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>
        <v>500</v>
      </c>
      <c r="R56" s="99">
        <v>1000</v>
      </c>
      <c r="S56" s="99">
        <v>5</v>
      </c>
      <c r="T56" s="99">
        <v>0</v>
      </c>
      <c r="U56" s="99">
        <v>500</v>
      </c>
      <c r="V56" s="99">
        <v>1000</v>
      </c>
      <c r="W56" s="99">
        <v>5</v>
      </c>
      <c r="X56" s="99">
        <v>0</v>
      </c>
      <c r="Y56" s="99">
        <v>0</v>
      </c>
      <c r="Z56" s="99">
        <v>0</v>
      </c>
      <c r="AA56" s="99"/>
      <c r="AB56" s="99"/>
      <c r="AC56" s="99"/>
    </row>
    <row r="57" spans="1:29" x14ac:dyDescent="0.3">
      <c r="A57" s="99" t="s">
        <v>40</v>
      </c>
      <c r="B57" s="99">
        <v>15</v>
      </c>
      <c r="C57" s="99" t="s">
        <v>265</v>
      </c>
      <c r="D57" s="99" t="s">
        <v>247</v>
      </c>
      <c r="E57" s="99">
        <v>1</v>
      </c>
      <c r="F57" s="99" t="s">
        <v>247</v>
      </c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>
        <v>500</v>
      </c>
      <c r="R57" s="99">
        <v>1000</v>
      </c>
      <c r="S57" s="99">
        <v>5</v>
      </c>
      <c r="T57" s="99">
        <v>0</v>
      </c>
      <c r="U57" s="99">
        <v>500</v>
      </c>
      <c r="V57" s="99">
        <v>1000</v>
      </c>
      <c r="W57" s="99">
        <v>5</v>
      </c>
      <c r="X57" s="99">
        <v>0</v>
      </c>
      <c r="Y57" s="99">
        <v>0</v>
      </c>
      <c r="Z57" s="99">
        <v>0</v>
      </c>
      <c r="AA57" s="99"/>
      <c r="AB57" s="99"/>
      <c r="AC57" s="99"/>
    </row>
    <row r="58" spans="1:29" x14ac:dyDescent="0.3">
      <c r="A58" s="99" t="s">
        <v>40</v>
      </c>
      <c r="B58" s="99">
        <v>16</v>
      </c>
      <c r="C58" s="99" t="s">
        <v>266</v>
      </c>
      <c r="D58" s="99" t="s">
        <v>247</v>
      </c>
      <c r="E58" s="99">
        <v>1</v>
      </c>
      <c r="F58" s="99" t="s">
        <v>247</v>
      </c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>
        <v>600</v>
      </c>
      <c r="R58" s="99">
        <v>1400</v>
      </c>
      <c r="S58" s="99">
        <v>5.625</v>
      </c>
      <c r="T58" s="99">
        <v>0</v>
      </c>
      <c r="U58" s="99">
        <v>500</v>
      </c>
      <c r="V58" s="99">
        <v>1000</v>
      </c>
      <c r="W58" s="99">
        <v>5</v>
      </c>
      <c r="X58" s="99">
        <v>100</v>
      </c>
      <c r="Y58" s="99">
        <v>400</v>
      </c>
      <c r="Z58" s="99">
        <v>0.625</v>
      </c>
      <c r="AA58" s="99"/>
      <c r="AB58" s="99"/>
      <c r="AC58" s="99"/>
    </row>
    <row r="59" spans="1:29" x14ac:dyDescent="0.3">
      <c r="A59" s="99" t="s">
        <v>40</v>
      </c>
      <c r="B59" s="99">
        <v>17</v>
      </c>
      <c r="C59" s="99" t="s">
        <v>267</v>
      </c>
      <c r="D59" s="99" t="s">
        <v>247</v>
      </c>
      <c r="E59" s="99">
        <v>1</v>
      </c>
      <c r="F59" s="99" t="s">
        <v>247</v>
      </c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>
        <v>500</v>
      </c>
      <c r="R59" s="99">
        <v>1000</v>
      </c>
      <c r="S59" s="99">
        <v>5</v>
      </c>
      <c r="T59" s="99">
        <v>0</v>
      </c>
      <c r="U59" s="99">
        <v>500</v>
      </c>
      <c r="V59" s="99">
        <v>1000</v>
      </c>
      <c r="W59" s="99">
        <v>5</v>
      </c>
      <c r="X59" s="99">
        <v>0</v>
      </c>
      <c r="Y59" s="99">
        <v>0</v>
      </c>
      <c r="Z59" s="99">
        <v>0</v>
      </c>
      <c r="AA59" s="99"/>
      <c r="AB59" s="99"/>
      <c r="AC59" s="99"/>
    </row>
    <row r="60" spans="1:29" x14ac:dyDescent="0.3">
      <c r="A60" s="99" t="s">
        <v>40</v>
      </c>
      <c r="B60" s="99">
        <v>18</v>
      </c>
      <c r="C60" s="99" t="s">
        <v>268</v>
      </c>
      <c r="D60" s="99" t="s">
        <v>247</v>
      </c>
      <c r="E60" s="99">
        <v>1</v>
      </c>
      <c r="F60" s="99" t="s">
        <v>247</v>
      </c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>
        <v>500</v>
      </c>
      <c r="R60" s="99">
        <v>1000</v>
      </c>
      <c r="S60" s="99">
        <v>5</v>
      </c>
      <c r="T60" s="99">
        <v>0</v>
      </c>
      <c r="U60" s="99">
        <v>500</v>
      </c>
      <c r="V60" s="99">
        <v>1000</v>
      </c>
      <c r="W60" s="99">
        <v>5</v>
      </c>
      <c r="X60" s="99">
        <v>0</v>
      </c>
      <c r="Y60" s="99">
        <v>0</v>
      </c>
      <c r="Z60" s="99">
        <v>0</v>
      </c>
      <c r="AA60" s="99"/>
      <c r="AB60" s="99"/>
      <c r="AC60" s="99"/>
    </row>
    <row r="61" spans="1:29" x14ac:dyDescent="0.3">
      <c r="A61" s="99" t="s">
        <v>40</v>
      </c>
      <c r="B61" s="99">
        <v>19</v>
      </c>
      <c r="C61" s="99" t="s">
        <v>269</v>
      </c>
      <c r="D61" s="99" t="s">
        <v>247</v>
      </c>
      <c r="E61" s="99">
        <v>1</v>
      </c>
      <c r="F61" s="99" t="s">
        <v>247</v>
      </c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>
        <v>475</v>
      </c>
      <c r="R61" s="99">
        <v>1150</v>
      </c>
      <c r="S61" s="99">
        <v>4.375</v>
      </c>
      <c r="T61" s="99">
        <v>0</v>
      </c>
      <c r="U61" s="99">
        <v>375</v>
      </c>
      <c r="V61" s="99">
        <v>750</v>
      </c>
      <c r="W61" s="99">
        <v>3.75</v>
      </c>
      <c r="X61" s="99">
        <v>100</v>
      </c>
      <c r="Y61" s="99">
        <v>400</v>
      </c>
      <c r="Z61" s="99">
        <v>0.625</v>
      </c>
      <c r="AA61" s="99"/>
      <c r="AB61" s="99"/>
      <c r="AC61" s="99"/>
    </row>
    <row r="62" spans="1:29" x14ac:dyDescent="0.3">
      <c r="A62" s="99" t="s">
        <v>40</v>
      </c>
      <c r="B62" s="99">
        <v>20</v>
      </c>
      <c r="C62" s="99" t="s">
        <v>270</v>
      </c>
      <c r="D62" s="99" t="s">
        <v>247</v>
      </c>
      <c r="E62" s="99">
        <v>1</v>
      </c>
      <c r="F62" s="99" t="s">
        <v>247</v>
      </c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>
        <v>375</v>
      </c>
      <c r="R62" s="99">
        <v>750</v>
      </c>
      <c r="S62" s="99">
        <v>3.75</v>
      </c>
      <c r="T62" s="99">
        <v>0</v>
      </c>
      <c r="U62" s="99">
        <v>375</v>
      </c>
      <c r="V62" s="99">
        <v>750</v>
      </c>
      <c r="W62" s="99">
        <v>3.75</v>
      </c>
      <c r="X62" s="99">
        <v>0</v>
      </c>
      <c r="Y62" s="99">
        <v>0</v>
      </c>
      <c r="Z62" s="99">
        <v>0</v>
      </c>
      <c r="AA62" s="99"/>
      <c r="AB62" s="99"/>
      <c r="AC62" s="99"/>
    </row>
    <row r="63" spans="1:29" x14ac:dyDescent="0.3">
      <c r="A63" s="99" t="s">
        <v>40</v>
      </c>
      <c r="B63" s="99">
        <v>21</v>
      </c>
      <c r="C63" s="99" t="s">
        <v>271</v>
      </c>
      <c r="D63" s="99" t="s">
        <v>247</v>
      </c>
      <c r="E63" s="99">
        <v>1</v>
      </c>
      <c r="F63" s="99" t="s">
        <v>247</v>
      </c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>
        <v>475</v>
      </c>
      <c r="R63" s="99">
        <v>1150</v>
      </c>
      <c r="S63" s="99">
        <v>4.375</v>
      </c>
      <c r="T63" s="99">
        <v>0</v>
      </c>
      <c r="U63" s="99">
        <v>375</v>
      </c>
      <c r="V63" s="99">
        <v>750</v>
      </c>
      <c r="W63" s="99">
        <v>3.75</v>
      </c>
      <c r="X63" s="99">
        <v>100</v>
      </c>
      <c r="Y63" s="99">
        <v>400</v>
      </c>
      <c r="Z63" s="99">
        <v>0.625</v>
      </c>
      <c r="AA63" s="99"/>
      <c r="AB63" s="99"/>
      <c r="AC63" s="99"/>
    </row>
    <row r="64" spans="1:29" x14ac:dyDescent="0.3">
      <c r="A64" s="99" t="s">
        <v>40</v>
      </c>
      <c r="B64" s="99">
        <v>22</v>
      </c>
      <c r="C64" s="99" t="s">
        <v>272</v>
      </c>
      <c r="D64" s="99" t="s">
        <v>247</v>
      </c>
      <c r="E64" s="99">
        <v>1</v>
      </c>
      <c r="F64" s="99" t="s">
        <v>247</v>
      </c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>
        <v>375</v>
      </c>
      <c r="R64" s="99">
        <v>750</v>
      </c>
      <c r="S64" s="99">
        <v>3.75</v>
      </c>
      <c r="T64" s="99">
        <v>0</v>
      </c>
      <c r="U64" s="99">
        <v>375</v>
      </c>
      <c r="V64" s="99">
        <v>750</v>
      </c>
      <c r="W64" s="99">
        <v>3.75</v>
      </c>
      <c r="X64" s="99">
        <v>0</v>
      </c>
      <c r="Y64" s="99">
        <v>0</v>
      </c>
      <c r="Z64" s="99">
        <v>0</v>
      </c>
      <c r="AA64" s="99"/>
      <c r="AB64" s="99"/>
      <c r="AC64" s="99"/>
    </row>
    <row r="65" spans="1:29" x14ac:dyDescent="0.3">
      <c r="A65" s="99" t="s">
        <v>40</v>
      </c>
      <c r="B65" s="99">
        <v>23</v>
      </c>
      <c r="C65" s="99" t="s">
        <v>273</v>
      </c>
      <c r="D65" s="99" t="s">
        <v>247</v>
      </c>
      <c r="E65" s="99">
        <v>1</v>
      </c>
      <c r="F65" s="99" t="s">
        <v>247</v>
      </c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>
        <v>390</v>
      </c>
      <c r="R65" s="99">
        <v>960</v>
      </c>
      <c r="S65" s="99">
        <v>3.5625</v>
      </c>
      <c r="T65" s="99">
        <v>0</v>
      </c>
      <c r="U65" s="99">
        <v>300</v>
      </c>
      <c r="V65" s="99">
        <v>600</v>
      </c>
      <c r="W65" s="99">
        <v>3</v>
      </c>
      <c r="X65" s="99">
        <v>90</v>
      </c>
      <c r="Y65" s="99">
        <v>360</v>
      </c>
      <c r="Z65" s="99">
        <v>0.5625</v>
      </c>
      <c r="AA65" s="99"/>
      <c r="AB65" s="99"/>
      <c r="AC65" s="99"/>
    </row>
    <row r="66" spans="1:29" x14ac:dyDescent="0.3">
      <c r="A66" s="99" t="s">
        <v>40</v>
      </c>
      <c r="B66" s="99">
        <v>24</v>
      </c>
      <c r="C66" s="99" t="s">
        <v>274</v>
      </c>
      <c r="D66" s="99" t="s">
        <v>247</v>
      </c>
      <c r="E66" s="99">
        <v>1</v>
      </c>
      <c r="F66" s="99" t="s">
        <v>247</v>
      </c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>
        <v>390</v>
      </c>
      <c r="R66" s="99">
        <v>960</v>
      </c>
      <c r="S66" s="99">
        <v>3.5625</v>
      </c>
      <c r="T66" s="99">
        <v>0</v>
      </c>
      <c r="U66" s="99">
        <v>300</v>
      </c>
      <c r="V66" s="99">
        <v>600</v>
      </c>
      <c r="W66" s="99">
        <v>3</v>
      </c>
      <c r="X66" s="99">
        <v>90</v>
      </c>
      <c r="Y66" s="99">
        <v>360</v>
      </c>
      <c r="Z66" s="99">
        <v>0.5625</v>
      </c>
      <c r="AA66" s="99"/>
      <c r="AB66" s="99"/>
      <c r="AC66" s="99"/>
    </row>
    <row r="67" spans="1:29" x14ac:dyDescent="0.3">
      <c r="A67" s="99" t="s">
        <v>40</v>
      </c>
      <c r="B67" s="99">
        <v>25</v>
      </c>
      <c r="C67" s="99" t="s">
        <v>275</v>
      </c>
      <c r="D67" s="99" t="s">
        <v>247</v>
      </c>
      <c r="E67" s="99">
        <v>1</v>
      </c>
      <c r="F67" s="99" t="s">
        <v>247</v>
      </c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>
        <v>390</v>
      </c>
      <c r="R67" s="99">
        <v>960</v>
      </c>
      <c r="S67" s="99">
        <v>3.5625</v>
      </c>
      <c r="T67" s="99">
        <v>0</v>
      </c>
      <c r="U67" s="99">
        <v>300</v>
      </c>
      <c r="V67" s="99">
        <v>600</v>
      </c>
      <c r="W67" s="99">
        <v>3</v>
      </c>
      <c r="X67" s="99">
        <v>90</v>
      </c>
      <c r="Y67" s="99">
        <v>360</v>
      </c>
      <c r="Z67" s="99">
        <v>0.5625</v>
      </c>
      <c r="AA67" s="99"/>
      <c r="AB67" s="99"/>
      <c r="AC67" s="99"/>
    </row>
    <row r="68" spans="1:29" x14ac:dyDescent="0.3">
      <c r="A68" s="99" t="s">
        <v>40</v>
      </c>
      <c r="B68" s="99">
        <v>26</v>
      </c>
      <c r="C68" s="99" t="s">
        <v>276</v>
      </c>
      <c r="D68" s="99" t="s">
        <v>247</v>
      </c>
      <c r="E68" s="99">
        <v>1</v>
      </c>
      <c r="F68" s="99" t="s">
        <v>247</v>
      </c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>
        <v>390</v>
      </c>
      <c r="R68" s="99">
        <v>960</v>
      </c>
      <c r="S68" s="99">
        <v>3.5625</v>
      </c>
      <c r="T68" s="99">
        <v>0</v>
      </c>
      <c r="U68" s="99">
        <v>300</v>
      </c>
      <c r="V68" s="99">
        <v>600</v>
      </c>
      <c r="W68" s="99">
        <v>3</v>
      </c>
      <c r="X68" s="99">
        <v>90</v>
      </c>
      <c r="Y68" s="99">
        <v>360</v>
      </c>
      <c r="Z68" s="99">
        <v>0.5625</v>
      </c>
      <c r="AA68" s="99"/>
      <c r="AB68" s="99"/>
      <c r="AC68" s="99"/>
    </row>
    <row r="69" spans="1:29" x14ac:dyDescent="0.3">
      <c r="A69" s="99" t="s">
        <v>40</v>
      </c>
      <c r="B69" s="99">
        <v>27</v>
      </c>
      <c r="C69" s="99" t="s">
        <v>277</v>
      </c>
      <c r="D69" s="99" t="s">
        <v>247</v>
      </c>
      <c r="E69" s="99">
        <v>1</v>
      </c>
      <c r="F69" s="99" t="s">
        <v>247</v>
      </c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>
        <v>390</v>
      </c>
      <c r="R69" s="99">
        <v>960</v>
      </c>
      <c r="S69" s="99">
        <v>3.5625</v>
      </c>
      <c r="T69" s="99">
        <v>0</v>
      </c>
      <c r="U69" s="99">
        <v>300</v>
      </c>
      <c r="V69" s="99">
        <v>600</v>
      </c>
      <c r="W69" s="99">
        <v>3</v>
      </c>
      <c r="X69" s="99">
        <v>90</v>
      </c>
      <c r="Y69" s="99">
        <v>360</v>
      </c>
      <c r="Z69" s="99">
        <v>0.5625</v>
      </c>
      <c r="AA69" s="99"/>
      <c r="AB69" s="99"/>
      <c r="AC69" s="99"/>
    </row>
    <row r="70" spans="1:29" x14ac:dyDescent="0.3">
      <c r="A70" s="99" t="s">
        <v>40</v>
      </c>
      <c r="B70" s="99">
        <v>28</v>
      </c>
      <c r="C70" s="99" t="s">
        <v>278</v>
      </c>
      <c r="D70" s="99" t="s">
        <v>247</v>
      </c>
      <c r="E70" s="99">
        <v>1</v>
      </c>
      <c r="F70" s="99" t="s">
        <v>247</v>
      </c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>
        <v>500</v>
      </c>
      <c r="R70" s="99">
        <v>1500</v>
      </c>
      <c r="S70" s="99">
        <v>4.0625</v>
      </c>
      <c r="T70" s="99">
        <v>0</v>
      </c>
      <c r="U70" s="99">
        <v>250</v>
      </c>
      <c r="V70" s="99">
        <v>500</v>
      </c>
      <c r="W70" s="99">
        <v>2.5</v>
      </c>
      <c r="X70" s="99">
        <v>250</v>
      </c>
      <c r="Y70" s="99">
        <v>1000</v>
      </c>
      <c r="Z70" s="99">
        <v>1.5625</v>
      </c>
      <c r="AA70" s="99"/>
      <c r="AB70" s="99"/>
      <c r="AC70" s="99"/>
    </row>
    <row r="71" spans="1:29" x14ac:dyDescent="0.3">
      <c r="A71" s="99" t="s">
        <v>40</v>
      </c>
      <c r="B71" s="99">
        <v>29</v>
      </c>
      <c r="C71" s="99" t="s">
        <v>279</v>
      </c>
      <c r="D71" s="99" t="s">
        <v>247</v>
      </c>
      <c r="E71" s="99">
        <v>1</v>
      </c>
      <c r="F71" s="99" t="s">
        <v>247</v>
      </c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>
        <v>500</v>
      </c>
      <c r="R71" s="99">
        <v>1500</v>
      </c>
      <c r="S71" s="99">
        <v>4.0625</v>
      </c>
      <c r="T71" s="99">
        <v>0</v>
      </c>
      <c r="U71" s="99">
        <v>250</v>
      </c>
      <c r="V71" s="99">
        <v>500</v>
      </c>
      <c r="W71" s="99">
        <v>2.5</v>
      </c>
      <c r="X71" s="99">
        <v>250</v>
      </c>
      <c r="Y71" s="99">
        <v>1000</v>
      </c>
      <c r="Z71" s="99">
        <v>1.5625</v>
      </c>
      <c r="AA71" s="99"/>
      <c r="AB71" s="99"/>
      <c r="AC71" s="99"/>
    </row>
    <row r="72" spans="1:29" x14ac:dyDescent="0.3">
      <c r="A72" s="99" t="s">
        <v>40</v>
      </c>
      <c r="B72" s="99">
        <v>30</v>
      </c>
      <c r="C72" s="99" t="s">
        <v>280</v>
      </c>
      <c r="D72" s="99" t="s">
        <v>247</v>
      </c>
      <c r="E72" s="99">
        <v>1</v>
      </c>
      <c r="F72" s="99" t="s">
        <v>247</v>
      </c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>
        <v>500</v>
      </c>
      <c r="R72" s="99">
        <v>1500</v>
      </c>
      <c r="S72" s="99">
        <v>4.0625</v>
      </c>
      <c r="T72" s="99">
        <v>0</v>
      </c>
      <c r="U72" s="99">
        <v>250</v>
      </c>
      <c r="V72" s="99">
        <v>500</v>
      </c>
      <c r="W72" s="99">
        <v>2.5</v>
      </c>
      <c r="X72" s="99">
        <v>250</v>
      </c>
      <c r="Y72" s="99">
        <v>1000</v>
      </c>
      <c r="Z72" s="99">
        <v>1.5625</v>
      </c>
      <c r="AA72" s="99"/>
      <c r="AB72" s="99"/>
      <c r="AC72" s="99"/>
    </row>
    <row r="73" spans="1:29" x14ac:dyDescent="0.3">
      <c r="A73" s="99" t="s">
        <v>40</v>
      </c>
      <c r="B73" s="99">
        <v>31</v>
      </c>
      <c r="C73" s="99" t="s">
        <v>281</v>
      </c>
      <c r="D73" s="99" t="s">
        <v>247</v>
      </c>
      <c r="E73" s="99">
        <v>1</v>
      </c>
      <c r="F73" s="99" t="s">
        <v>247</v>
      </c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>
        <v>500</v>
      </c>
      <c r="R73" s="99">
        <v>1500</v>
      </c>
      <c r="S73" s="99">
        <v>4.0625</v>
      </c>
      <c r="T73" s="99">
        <v>0</v>
      </c>
      <c r="U73" s="99">
        <v>250</v>
      </c>
      <c r="V73" s="99">
        <v>500</v>
      </c>
      <c r="W73" s="99">
        <v>2.5</v>
      </c>
      <c r="X73" s="99">
        <v>250</v>
      </c>
      <c r="Y73" s="99">
        <v>1000</v>
      </c>
      <c r="Z73" s="99">
        <v>1.5625</v>
      </c>
      <c r="AA73" s="99"/>
      <c r="AB73" s="99"/>
      <c r="AC73" s="99"/>
    </row>
    <row r="74" spans="1:29" x14ac:dyDescent="0.3">
      <c r="A74" s="99" t="s">
        <v>40</v>
      </c>
      <c r="B74" s="99">
        <v>32</v>
      </c>
      <c r="C74" s="99" t="s">
        <v>282</v>
      </c>
      <c r="D74" s="99" t="s">
        <v>247</v>
      </c>
      <c r="E74" s="99">
        <v>1</v>
      </c>
      <c r="F74" s="99" t="s">
        <v>247</v>
      </c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>
        <v>1813</v>
      </c>
      <c r="R74" s="99">
        <v>4252</v>
      </c>
      <c r="S74" s="99">
        <v>16.956250000000001</v>
      </c>
      <c r="T74" s="99">
        <v>0</v>
      </c>
      <c r="U74" s="99">
        <v>1500</v>
      </c>
      <c r="V74" s="99">
        <v>3000</v>
      </c>
      <c r="W74" s="99">
        <v>15</v>
      </c>
      <c r="X74" s="99">
        <v>313</v>
      </c>
      <c r="Y74" s="99">
        <v>1252</v>
      </c>
      <c r="Z74" s="99">
        <v>1.95625</v>
      </c>
      <c r="AA74" s="99"/>
      <c r="AB74" s="99"/>
      <c r="AC74" s="99"/>
    </row>
    <row r="75" spans="1:29" x14ac:dyDescent="0.3">
      <c r="A75" s="99" t="s">
        <v>40</v>
      </c>
      <c r="B75" s="99">
        <v>33</v>
      </c>
      <c r="C75" s="99" t="s">
        <v>283</v>
      </c>
      <c r="D75" s="99" t="s">
        <v>247</v>
      </c>
      <c r="E75" s="99">
        <v>1</v>
      </c>
      <c r="F75" s="99" t="s">
        <v>247</v>
      </c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>
        <v>1813</v>
      </c>
      <c r="R75" s="99">
        <v>4252</v>
      </c>
      <c r="S75" s="99">
        <v>16.956250000000001</v>
      </c>
      <c r="T75" s="99">
        <v>0</v>
      </c>
      <c r="U75" s="99">
        <v>1500</v>
      </c>
      <c r="V75" s="99">
        <v>3000</v>
      </c>
      <c r="W75" s="99">
        <v>15</v>
      </c>
      <c r="X75" s="99">
        <v>313</v>
      </c>
      <c r="Y75" s="99">
        <v>1252</v>
      </c>
      <c r="Z75" s="99">
        <v>1.95625</v>
      </c>
      <c r="AA75" s="99"/>
      <c r="AB75" s="99"/>
      <c r="AC75" s="99"/>
    </row>
    <row r="76" spans="1:29" x14ac:dyDescent="0.3">
      <c r="A76" s="99" t="s">
        <v>40</v>
      </c>
      <c r="B76" s="99">
        <v>34</v>
      </c>
      <c r="C76" s="99" t="s">
        <v>284</v>
      </c>
      <c r="D76" s="99" t="s">
        <v>247</v>
      </c>
      <c r="E76" s="99">
        <v>1</v>
      </c>
      <c r="F76" s="99" t="s">
        <v>247</v>
      </c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>
        <v>1813</v>
      </c>
      <c r="R76" s="99">
        <v>4252</v>
      </c>
      <c r="S76" s="99">
        <v>16.956250000000001</v>
      </c>
      <c r="T76" s="99">
        <v>0</v>
      </c>
      <c r="U76" s="99">
        <v>1500</v>
      </c>
      <c r="V76" s="99">
        <v>3000</v>
      </c>
      <c r="W76" s="99">
        <v>15</v>
      </c>
      <c r="X76" s="99">
        <v>313</v>
      </c>
      <c r="Y76" s="99">
        <v>1252</v>
      </c>
      <c r="Z76" s="99">
        <v>1.95625</v>
      </c>
      <c r="AA76" s="99"/>
      <c r="AB76" s="99"/>
      <c r="AC76" s="99"/>
    </row>
    <row r="77" spans="1:29" x14ac:dyDescent="0.3">
      <c r="A77" s="99" t="s">
        <v>40</v>
      </c>
      <c r="B77" s="99">
        <v>35</v>
      </c>
      <c r="C77" s="99" t="s">
        <v>285</v>
      </c>
      <c r="D77" s="99" t="s">
        <v>247</v>
      </c>
      <c r="E77" s="99">
        <v>1</v>
      </c>
      <c r="F77" s="99" t="s">
        <v>247</v>
      </c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>
        <v>1813</v>
      </c>
      <c r="R77" s="99">
        <v>4252</v>
      </c>
      <c r="S77" s="99">
        <v>16.956250000000001</v>
      </c>
      <c r="T77" s="99">
        <v>0</v>
      </c>
      <c r="U77" s="99">
        <v>1500</v>
      </c>
      <c r="V77" s="99">
        <v>3000</v>
      </c>
      <c r="W77" s="99">
        <v>15</v>
      </c>
      <c r="X77" s="99">
        <v>313</v>
      </c>
      <c r="Y77" s="99">
        <v>1252</v>
      </c>
      <c r="Z77" s="99">
        <v>1.95625</v>
      </c>
      <c r="AA77" s="99"/>
      <c r="AB77" s="99"/>
      <c r="AC77" s="99"/>
    </row>
    <row r="78" spans="1:29" x14ac:dyDescent="0.3">
      <c r="A78" s="99" t="s">
        <v>110</v>
      </c>
      <c r="B78" s="99">
        <v>2</v>
      </c>
      <c r="C78" s="99" t="s">
        <v>248</v>
      </c>
      <c r="D78" s="99" t="s">
        <v>247</v>
      </c>
      <c r="E78" s="99">
        <v>1</v>
      </c>
      <c r="F78" s="99" t="s">
        <v>247</v>
      </c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>
        <v>236</v>
      </c>
      <c r="R78" s="99">
        <v>472</v>
      </c>
      <c r="S78" s="99">
        <v>1.4750000000000001</v>
      </c>
      <c r="T78" s="99">
        <v>0</v>
      </c>
      <c r="U78" s="99"/>
      <c r="V78" s="99"/>
      <c r="W78" s="99"/>
      <c r="X78" s="99"/>
      <c r="Y78" s="99"/>
      <c r="Z78" s="99"/>
      <c r="AA78" s="99">
        <v>236</v>
      </c>
      <c r="AB78" s="99">
        <v>472</v>
      </c>
      <c r="AC78" s="99">
        <v>1.4750000000000001</v>
      </c>
    </row>
    <row r="79" spans="1:29" x14ac:dyDescent="0.3">
      <c r="A79" s="99" t="s">
        <v>110</v>
      </c>
      <c r="B79" s="99">
        <v>3</v>
      </c>
      <c r="C79" s="99" t="s">
        <v>249</v>
      </c>
      <c r="D79" s="99" t="s">
        <v>247</v>
      </c>
      <c r="E79" s="99">
        <v>1</v>
      </c>
      <c r="F79" s="99" t="s">
        <v>247</v>
      </c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>
        <v>150</v>
      </c>
      <c r="R79" s="99">
        <v>300</v>
      </c>
      <c r="S79" s="99">
        <v>0.9375</v>
      </c>
      <c r="T79" s="99">
        <v>0</v>
      </c>
      <c r="U79" s="99"/>
      <c r="V79" s="99"/>
      <c r="W79" s="99"/>
      <c r="X79" s="99"/>
      <c r="Y79" s="99"/>
      <c r="Z79" s="99"/>
      <c r="AA79" s="99">
        <v>150</v>
      </c>
      <c r="AB79" s="99">
        <v>300</v>
      </c>
      <c r="AC79" s="99">
        <v>0.9375</v>
      </c>
    </row>
    <row r="80" spans="1:29" x14ac:dyDescent="0.3">
      <c r="A80" s="99" t="s">
        <v>110</v>
      </c>
      <c r="B80" s="99">
        <v>4</v>
      </c>
      <c r="C80" s="99" t="s">
        <v>252</v>
      </c>
      <c r="D80" s="99" t="s">
        <v>247</v>
      </c>
      <c r="E80" s="99">
        <v>1</v>
      </c>
      <c r="F80" s="99" t="s">
        <v>247</v>
      </c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>
        <v>349</v>
      </c>
      <c r="R80" s="99">
        <v>698</v>
      </c>
      <c r="S80" s="99">
        <v>2.1812499999999999</v>
      </c>
      <c r="T80" s="99">
        <v>0</v>
      </c>
      <c r="U80" s="99"/>
      <c r="V80" s="99"/>
      <c r="W80" s="99"/>
      <c r="X80" s="99"/>
      <c r="Y80" s="99"/>
      <c r="Z80" s="99"/>
      <c r="AA80" s="99">
        <v>349</v>
      </c>
      <c r="AB80" s="99">
        <v>698</v>
      </c>
      <c r="AC80" s="99">
        <v>2.1812499999999999</v>
      </c>
    </row>
    <row r="81" spans="1:29" x14ac:dyDescent="0.3">
      <c r="A81" s="99" t="s">
        <v>110</v>
      </c>
      <c r="B81" s="99">
        <v>6</v>
      </c>
      <c r="C81" s="99" t="s">
        <v>254</v>
      </c>
      <c r="D81" s="99" t="s">
        <v>247</v>
      </c>
      <c r="E81" s="99">
        <v>1</v>
      </c>
      <c r="F81" s="99" t="s">
        <v>247</v>
      </c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>
        <v>150</v>
      </c>
      <c r="R81" s="99">
        <v>300</v>
      </c>
      <c r="S81" s="99">
        <v>0.9375</v>
      </c>
      <c r="T81" s="99">
        <v>0</v>
      </c>
      <c r="U81" s="99"/>
      <c r="V81" s="99"/>
      <c r="W81" s="99"/>
      <c r="X81" s="99"/>
      <c r="Y81" s="99"/>
      <c r="Z81" s="99"/>
      <c r="AA81" s="99">
        <v>150</v>
      </c>
      <c r="AB81" s="99">
        <v>300</v>
      </c>
      <c r="AC81" s="99">
        <v>0.9375</v>
      </c>
    </row>
    <row r="82" spans="1:29" x14ac:dyDescent="0.3">
      <c r="A82" s="99" t="s">
        <v>110</v>
      </c>
      <c r="B82" s="99">
        <v>9</v>
      </c>
      <c r="C82" s="99" t="s">
        <v>259</v>
      </c>
      <c r="D82" s="99" t="s">
        <v>247</v>
      </c>
      <c r="E82" s="99">
        <v>1</v>
      </c>
      <c r="F82" s="99" t="s">
        <v>247</v>
      </c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>
        <v>150</v>
      </c>
      <c r="R82" s="99">
        <v>300</v>
      </c>
      <c r="S82" s="99">
        <v>0.9375</v>
      </c>
      <c r="T82" s="99">
        <v>0</v>
      </c>
      <c r="U82" s="99"/>
      <c r="V82" s="99"/>
      <c r="W82" s="99"/>
      <c r="X82" s="99"/>
      <c r="Y82" s="99"/>
      <c r="Z82" s="99"/>
      <c r="AA82" s="99">
        <v>150</v>
      </c>
      <c r="AB82" s="99">
        <v>300</v>
      </c>
      <c r="AC82" s="99">
        <v>0.9375</v>
      </c>
    </row>
    <row r="83" spans="1:29" x14ac:dyDescent="0.3">
      <c r="A83" s="99" t="s">
        <v>110</v>
      </c>
      <c r="B83" s="99">
        <v>11</v>
      </c>
      <c r="C83" s="99" t="s">
        <v>261</v>
      </c>
      <c r="D83" s="99" t="s">
        <v>247</v>
      </c>
      <c r="E83" s="99">
        <v>1</v>
      </c>
      <c r="F83" s="99" t="s">
        <v>247</v>
      </c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>
        <v>350</v>
      </c>
      <c r="R83" s="99">
        <v>700</v>
      </c>
      <c r="S83" s="99">
        <v>2.1875</v>
      </c>
      <c r="T83" s="99">
        <v>0</v>
      </c>
      <c r="U83" s="99"/>
      <c r="V83" s="99"/>
      <c r="W83" s="99"/>
      <c r="X83" s="99"/>
      <c r="Y83" s="99"/>
      <c r="Z83" s="99"/>
      <c r="AA83" s="99">
        <v>350</v>
      </c>
      <c r="AB83" s="99">
        <v>700</v>
      </c>
      <c r="AC83" s="99">
        <v>2.1875</v>
      </c>
    </row>
    <row r="84" spans="1:29" x14ac:dyDescent="0.3">
      <c r="A84" s="99" t="s">
        <v>110</v>
      </c>
      <c r="B84" s="99">
        <v>12</v>
      </c>
      <c r="C84" s="99" t="s">
        <v>262</v>
      </c>
      <c r="D84" s="99" t="s">
        <v>247</v>
      </c>
      <c r="E84" s="99">
        <v>1</v>
      </c>
      <c r="F84" s="99" t="s">
        <v>247</v>
      </c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>
        <v>150</v>
      </c>
      <c r="R84" s="99">
        <v>300</v>
      </c>
      <c r="S84" s="99">
        <v>0.9375</v>
      </c>
      <c r="T84" s="99">
        <v>0</v>
      </c>
      <c r="U84" s="99"/>
      <c r="V84" s="99"/>
      <c r="W84" s="99"/>
      <c r="X84" s="99"/>
      <c r="Y84" s="99"/>
      <c r="Z84" s="99"/>
      <c r="AA84" s="99">
        <v>150</v>
      </c>
      <c r="AB84" s="99">
        <v>300</v>
      </c>
      <c r="AC84" s="99">
        <v>0.9375</v>
      </c>
    </row>
    <row r="85" spans="1:29" x14ac:dyDescent="0.3">
      <c r="A85" s="99" t="s">
        <v>110</v>
      </c>
      <c r="B85" s="99">
        <v>13</v>
      </c>
      <c r="C85" s="99" t="s">
        <v>263</v>
      </c>
      <c r="D85" s="99" t="s">
        <v>247</v>
      </c>
      <c r="E85" s="99">
        <v>1</v>
      </c>
      <c r="F85" s="99" t="s">
        <v>247</v>
      </c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>
        <v>150</v>
      </c>
      <c r="R85" s="99">
        <v>300</v>
      </c>
      <c r="S85" s="99">
        <v>0.9375</v>
      </c>
      <c r="T85" s="99">
        <v>0</v>
      </c>
      <c r="U85" s="99"/>
      <c r="V85" s="99"/>
      <c r="W85" s="99"/>
      <c r="X85" s="99"/>
      <c r="Y85" s="99"/>
      <c r="Z85" s="99"/>
      <c r="AA85" s="99">
        <v>150</v>
      </c>
      <c r="AB85" s="99">
        <v>300</v>
      </c>
      <c r="AC85" s="99">
        <v>0.9375</v>
      </c>
    </row>
    <row r="86" spans="1:29" x14ac:dyDescent="0.3">
      <c r="A86" s="99" t="s">
        <v>110</v>
      </c>
      <c r="B86" s="99">
        <v>14</v>
      </c>
      <c r="C86" s="99" t="s">
        <v>264</v>
      </c>
      <c r="D86" s="99" t="s">
        <v>247</v>
      </c>
      <c r="E86" s="99">
        <v>1</v>
      </c>
      <c r="F86" s="99" t="s">
        <v>247</v>
      </c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>
        <v>150</v>
      </c>
      <c r="R86" s="99">
        <v>300</v>
      </c>
      <c r="S86" s="99">
        <v>0.9375</v>
      </c>
      <c r="T86" s="99">
        <v>0</v>
      </c>
      <c r="U86" s="99"/>
      <c r="V86" s="99"/>
      <c r="W86" s="99"/>
      <c r="X86" s="99"/>
      <c r="Y86" s="99"/>
      <c r="Z86" s="99"/>
      <c r="AA86" s="99">
        <v>150</v>
      </c>
      <c r="AB86" s="99">
        <v>300</v>
      </c>
      <c r="AC86" s="99">
        <v>0.9375</v>
      </c>
    </row>
    <row r="87" spans="1:29" x14ac:dyDescent="0.3">
      <c r="A87" s="99" t="s">
        <v>110</v>
      </c>
      <c r="B87" s="99">
        <v>17</v>
      </c>
      <c r="C87" s="99" t="s">
        <v>267</v>
      </c>
      <c r="D87" s="99" t="s">
        <v>247</v>
      </c>
      <c r="E87" s="99">
        <v>1</v>
      </c>
      <c r="F87" s="99" t="s">
        <v>247</v>
      </c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>
        <v>150</v>
      </c>
      <c r="R87" s="99">
        <v>300</v>
      </c>
      <c r="S87" s="99">
        <v>0.9375</v>
      </c>
      <c r="T87" s="99">
        <v>0</v>
      </c>
      <c r="U87" s="99"/>
      <c r="V87" s="99"/>
      <c r="W87" s="99"/>
      <c r="X87" s="99"/>
      <c r="Y87" s="99"/>
      <c r="Z87" s="99"/>
      <c r="AA87" s="99">
        <v>150</v>
      </c>
      <c r="AB87" s="99">
        <v>300</v>
      </c>
      <c r="AC87" s="99">
        <v>0.9375</v>
      </c>
    </row>
    <row r="88" spans="1:29" x14ac:dyDescent="0.3">
      <c r="A88" s="99" t="s">
        <v>110</v>
      </c>
      <c r="B88" s="99">
        <v>20</v>
      </c>
      <c r="C88" s="99" t="s">
        <v>270</v>
      </c>
      <c r="D88" s="99" t="s">
        <v>247</v>
      </c>
      <c r="E88" s="99">
        <v>1</v>
      </c>
      <c r="F88" s="99" t="s">
        <v>247</v>
      </c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>
        <v>150</v>
      </c>
      <c r="R88" s="99">
        <v>300</v>
      </c>
      <c r="S88" s="99">
        <v>0.9375</v>
      </c>
      <c r="T88" s="99">
        <v>0</v>
      </c>
      <c r="U88" s="99"/>
      <c r="V88" s="99"/>
      <c r="W88" s="99"/>
      <c r="X88" s="99"/>
      <c r="Y88" s="99"/>
      <c r="Z88" s="99"/>
      <c r="AA88" s="99">
        <v>150</v>
      </c>
      <c r="AB88" s="99">
        <v>300</v>
      </c>
      <c r="AC88" s="99">
        <v>0.9375</v>
      </c>
    </row>
    <row r="89" spans="1:29" x14ac:dyDescent="0.3">
      <c r="A89" s="99" t="s">
        <v>110</v>
      </c>
      <c r="B89" s="99">
        <v>24</v>
      </c>
      <c r="C89" s="99" t="s">
        <v>274</v>
      </c>
      <c r="D89" s="99" t="s">
        <v>247</v>
      </c>
      <c r="E89" s="99">
        <v>1</v>
      </c>
      <c r="F89" s="99" t="s">
        <v>247</v>
      </c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>
        <v>150</v>
      </c>
      <c r="R89" s="99">
        <v>300</v>
      </c>
      <c r="S89" s="99">
        <v>0.9375</v>
      </c>
      <c r="T89" s="99">
        <v>0</v>
      </c>
      <c r="U89" s="99"/>
      <c r="V89" s="99"/>
      <c r="W89" s="99"/>
      <c r="X89" s="99"/>
      <c r="Y89" s="99"/>
      <c r="Z89" s="99"/>
      <c r="AA89" s="99">
        <v>150</v>
      </c>
      <c r="AB89" s="99">
        <v>300</v>
      </c>
      <c r="AC89" s="99">
        <v>0.9375</v>
      </c>
    </row>
    <row r="90" spans="1:29" x14ac:dyDescent="0.3">
      <c r="A90" s="99" t="s">
        <v>110</v>
      </c>
      <c r="B90" s="99">
        <v>29</v>
      </c>
      <c r="C90" s="99" t="s">
        <v>279</v>
      </c>
      <c r="D90" s="99" t="s">
        <v>247</v>
      </c>
      <c r="E90" s="99">
        <v>1</v>
      </c>
      <c r="F90" s="99" t="s">
        <v>247</v>
      </c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>
        <v>150</v>
      </c>
      <c r="R90" s="99">
        <v>300</v>
      </c>
      <c r="S90" s="99">
        <v>0.9375</v>
      </c>
      <c r="T90" s="99">
        <v>0</v>
      </c>
      <c r="U90" s="99"/>
      <c r="V90" s="99"/>
      <c r="W90" s="99"/>
      <c r="X90" s="99"/>
      <c r="Y90" s="99"/>
      <c r="Z90" s="99"/>
      <c r="AA90" s="99">
        <v>150</v>
      </c>
      <c r="AB90" s="99">
        <v>300</v>
      </c>
      <c r="AC90" s="99">
        <v>0.9375</v>
      </c>
    </row>
    <row r="91" spans="1:29" x14ac:dyDescent="0.3">
      <c r="A91" s="99" t="s">
        <v>110</v>
      </c>
      <c r="B91" s="99">
        <v>33</v>
      </c>
      <c r="C91" s="99" t="s">
        <v>283</v>
      </c>
      <c r="D91" s="99" t="s">
        <v>247</v>
      </c>
      <c r="E91" s="99">
        <v>1</v>
      </c>
      <c r="F91" s="99" t="s">
        <v>247</v>
      </c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>
        <v>150</v>
      </c>
      <c r="R91" s="99">
        <v>300</v>
      </c>
      <c r="S91" s="99">
        <v>0.9375</v>
      </c>
      <c r="T91" s="99">
        <v>0</v>
      </c>
      <c r="U91" s="99"/>
      <c r="V91" s="99"/>
      <c r="W91" s="99"/>
      <c r="X91" s="99"/>
      <c r="Y91" s="99"/>
      <c r="Z91" s="99"/>
      <c r="AA91" s="99">
        <v>150</v>
      </c>
      <c r="AB91" s="99">
        <v>300</v>
      </c>
      <c r="AC91" s="99">
        <v>0.9375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F26C-7A76-4EF4-B7D2-0D0A70E94D73}">
  <dimension ref="A1:AW106"/>
  <sheetViews>
    <sheetView topLeftCell="AJ1" zoomScale="68" workbookViewId="0">
      <selection activeCell="AS13" sqref="AS13"/>
    </sheetView>
  </sheetViews>
  <sheetFormatPr defaultRowHeight="14.4" x14ac:dyDescent="0.3"/>
  <cols>
    <col min="1" max="2" width="10" customWidth="1"/>
    <col min="3" max="3" width="12" customWidth="1"/>
    <col min="4" max="6" width="10" customWidth="1"/>
    <col min="7" max="8" width="13" customWidth="1"/>
    <col min="9" max="9" width="11" customWidth="1"/>
    <col min="10" max="12" width="10" customWidth="1"/>
    <col min="13" max="14" width="13" customWidth="1"/>
    <col min="15" max="15" width="11" customWidth="1"/>
    <col min="16" max="18" width="10" customWidth="1"/>
    <col min="19" max="20" width="13" customWidth="1"/>
    <col min="21" max="21" width="11" customWidth="1"/>
    <col min="22" max="22" width="18" customWidth="1"/>
    <col min="23" max="24" width="10" customWidth="1"/>
    <col min="25" max="25" width="11" customWidth="1"/>
    <col min="26" max="26" width="14" customWidth="1"/>
    <col min="27" max="27" width="11" customWidth="1"/>
    <col min="28" max="34" width="10" customWidth="1"/>
    <col min="35" max="36" width="13" customWidth="1"/>
    <col min="37" max="37" width="11" customWidth="1"/>
    <col min="38" max="40" width="10" customWidth="1"/>
    <col min="41" max="42" width="13" customWidth="1"/>
    <col min="43" max="43" width="11" customWidth="1"/>
    <col min="44" max="46" width="10" customWidth="1"/>
    <col min="47" max="48" width="13" customWidth="1"/>
    <col min="49" max="49" width="11" customWidth="1"/>
  </cols>
  <sheetData>
    <row r="1" spans="1:49" x14ac:dyDescent="0.3">
      <c r="A1" s="98" t="s">
        <v>202</v>
      </c>
      <c r="B1" s="98" t="s">
        <v>130</v>
      </c>
      <c r="C1" s="98" t="s">
        <v>219</v>
      </c>
      <c r="D1" s="98" t="s">
        <v>225</v>
      </c>
      <c r="E1" s="98" t="s">
        <v>224</v>
      </c>
      <c r="F1" s="98" t="s">
        <v>226</v>
      </c>
      <c r="G1" s="98" t="s">
        <v>286</v>
      </c>
      <c r="H1" s="98" t="s">
        <v>287</v>
      </c>
      <c r="I1" s="98" t="s">
        <v>288</v>
      </c>
      <c r="J1" s="98" t="s">
        <v>228</v>
      </c>
      <c r="K1" s="98" t="s">
        <v>227</v>
      </c>
      <c r="L1" s="98" t="s">
        <v>229</v>
      </c>
      <c r="M1" s="98" t="s">
        <v>289</v>
      </c>
      <c r="N1" s="98" t="s">
        <v>290</v>
      </c>
      <c r="O1" s="98" t="s">
        <v>291</v>
      </c>
      <c r="P1" s="98" t="s">
        <v>231</v>
      </c>
      <c r="Q1" s="98" t="s">
        <v>230</v>
      </c>
      <c r="R1" s="98" t="s">
        <v>232</v>
      </c>
      <c r="S1" s="98" t="s">
        <v>292</v>
      </c>
      <c r="T1" s="98" t="s">
        <v>293</v>
      </c>
      <c r="U1" s="98" t="s">
        <v>294</v>
      </c>
      <c r="V1" s="98" t="s">
        <v>295</v>
      </c>
      <c r="W1" s="98" t="s">
        <v>296</v>
      </c>
      <c r="X1" s="98" t="s">
        <v>297</v>
      </c>
      <c r="Y1" s="98" t="s">
        <v>298</v>
      </c>
      <c r="Z1" s="98" t="s">
        <v>299</v>
      </c>
      <c r="AA1" s="98" t="s">
        <v>236</v>
      </c>
      <c r="AB1" s="98" t="s">
        <v>300</v>
      </c>
      <c r="AC1" s="98" t="s">
        <v>301</v>
      </c>
      <c r="AD1" s="98" t="s">
        <v>302</v>
      </c>
      <c r="AE1" s="98" t="s">
        <v>303</v>
      </c>
      <c r="AF1" s="98" t="s">
        <v>238</v>
      </c>
      <c r="AG1" s="98" t="s">
        <v>237</v>
      </c>
      <c r="AH1" s="98" t="s">
        <v>239</v>
      </c>
      <c r="AI1" s="98" t="s">
        <v>304</v>
      </c>
      <c r="AJ1" s="98" t="s">
        <v>305</v>
      </c>
      <c r="AK1" s="98" t="s">
        <v>306</v>
      </c>
      <c r="AL1" s="98" t="s">
        <v>241</v>
      </c>
      <c r="AM1" s="98" t="s">
        <v>240</v>
      </c>
      <c r="AN1" s="98" t="s">
        <v>242</v>
      </c>
      <c r="AO1" s="98" t="s">
        <v>307</v>
      </c>
      <c r="AP1" s="98" t="s">
        <v>308</v>
      </c>
      <c r="AQ1" s="98" t="s">
        <v>309</v>
      </c>
      <c r="AR1" s="98" t="s">
        <v>244</v>
      </c>
      <c r="AS1" s="98" t="s">
        <v>243</v>
      </c>
      <c r="AT1" s="98" t="s">
        <v>245</v>
      </c>
      <c r="AU1" s="98" t="s">
        <v>310</v>
      </c>
      <c r="AV1" s="98" t="s">
        <v>311</v>
      </c>
      <c r="AW1" s="98" t="s">
        <v>312</v>
      </c>
    </row>
    <row r="2" spans="1:49" x14ac:dyDescent="0.3">
      <c r="A2" s="99" t="s">
        <v>32</v>
      </c>
      <c r="B2" s="99">
        <v>1</v>
      </c>
      <c r="C2" s="99" t="s">
        <v>246</v>
      </c>
      <c r="D2" s="99">
        <v>0</v>
      </c>
      <c r="E2" s="99">
        <v>0</v>
      </c>
      <c r="F2" s="99">
        <v>0</v>
      </c>
      <c r="G2" s="99">
        <v>0</v>
      </c>
      <c r="H2" s="99">
        <v>0</v>
      </c>
      <c r="I2" s="99">
        <v>0</v>
      </c>
      <c r="J2" s="99">
        <v>0</v>
      </c>
      <c r="K2" s="99">
        <v>0</v>
      </c>
      <c r="L2" s="99">
        <v>0</v>
      </c>
      <c r="M2" s="99">
        <v>0</v>
      </c>
      <c r="N2" s="99">
        <v>0</v>
      </c>
      <c r="O2" s="99">
        <v>0</v>
      </c>
      <c r="P2" s="99">
        <v>588</v>
      </c>
      <c r="Q2" s="99">
        <v>74</v>
      </c>
      <c r="R2" s="99">
        <v>0.578125</v>
      </c>
      <c r="S2" s="99">
        <v>74</v>
      </c>
      <c r="T2" s="99">
        <v>592</v>
      </c>
      <c r="U2" s="99">
        <v>0.578125</v>
      </c>
      <c r="V2" s="99">
        <v>0.578125</v>
      </c>
      <c r="W2" s="99">
        <v>0</v>
      </c>
      <c r="X2" s="99">
        <v>0</v>
      </c>
      <c r="Y2" s="99">
        <v>0.578125</v>
      </c>
      <c r="Z2" s="99">
        <v>0.578125</v>
      </c>
      <c r="AA2" s="99">
        <v>0</v>
      </c>
      <c r="AB2" s="99">
        <v>0</v>
      </c>
      <c r="AC2" s="99">
        <v>0</v>
      </c>
      <c r="AD2" s="99">
        <v>115.62</v>
      </c>
      <c r="AE2" s="99">
        <v>115.62</v>
      </c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99"/>
    </row>
    <row r="3" spans="1:49" x14ac:dyDescent="0.3">
      <c r="A3" s="99" t="s">
        <v>40</v>
      </c>
      <c r="B3" s="99">
        <v>1</v>
      </c>
      <c r="C3" s="99" t="s">
        <v>246</v>
      </c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>
        <v>0</v>
      </c>
      <c r="W3" s="99">
        <v>0</v>
      </c>
      <c r="X3" s="99">
        <v>0</v>
      </c>
      <c r="Y3" s="99">
        <v>0</v>
      </c>
      <c r="Z3" s="99">
        <v>0</v>
      </c>
      <c r="AA3" s="99">
        <v>0</v>
      </c>
      <c r="AB3" s="99">
        <v>0</v>
      </c>
      <c r="AC3" s="99">
        <v>0</v>
      </c>
      <c r="AD3" s="99">
        <v>0</v>
      </c>
      <c r="AE3" s="99">
        <v>0</v>
      </c>
      <c r="AF3" s="99">
        <v>0</v>
      </c>
      <c r="AG3" s="99">
        <v>0</v>
      </c>
      <c r="AH3" s="99">
        <v>0</v>
      </c>
      <c r="AI3" s="99">
        <v>0</v>
      </c>
      <c r="AJ3" s="99">
        <v>0</v>
      </c>
      <c r="AK3" s="99">
        <v>0</v>
      </c>
      <c r="AL3" s="99">
        <v>0</v>
      </c>
      <c r="AM3" s="99">
        <v>0</v>
      </c>
      <c r="AN3" s="99">
        <v>0</v>
      </c>
      <c r="AO3" s="99">
        <v>0</v>
      </c>
      <c r="AP3" s="99">
        <v>0</v>
      </c>
      <c r="AQ3" s="99">
        <v>0</v>
      </c>
      <c r="AR3" s="99"/>
      <c r="AS3" s="99"/>
      <c r="AT3" s="99"/>
      <c r="AU3" s="99"/>
      <c r="AV3" s="99"/>
      <c r="AW3" s="99"/>
    </row>
    <row r="4" spans="1:49" x14ac:dyDescent="0.3">
      <c r="A4" s="99" t="s">
        <v>110</v>
      </c>
      <c r="B4" s="99">
        <v>1</v>
      </c>
      <c r="C4" s="99" t="s">
        <v>246</v>
      </c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>
        <v>0</v>
      </c>
      <c r="W4" s="99">
        <v>0</v>
      </c>
      <c r="X4" s="99">
        <v>0</v>
      </c>
      <c r="Y4" s="99">
        <v>0</v>
      </c>
      <c r="Z4" s="99">
        <v>0</v>
      </c>
      <c r="AA4" s="99">
        <v>0</v>
      </c>
      <c r="AB4" s="99">
        <v>0</v>
      </c>
      <c r="AC4" s="99">
        <v>0</v>
      </c>
      <c r="AD4" s="99">
        <v>0</v>
      </c>
      <c r="AE4" s="99">
        <v>0</v>
      </c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>
        <v>0</v>
      </c>
      <c r="AS4" s="99">
        <v>0</v>
      </c>
      <c r="AT4" s="99">
        <v>0</v>
      </c>
      <c r="AU4" s="99">
        <v>0</v>
      </c>
      <c r="AV4" s="99">
        <v>0</v>
      </c>
      <c r="AW4" s="99">
        <v>0</v>
      </c>
    </row>
    <row r="5" spans="1:49" x14ac:dyDescent="0.3">
      <c r="A5" s="99" t="s">
        <v>32</v>
      </c>
      <c r="B5" s="99">
        <v>2</v>
      </c>
      <c r="C5" s="99" t="s">
        <v>248</v>
      </c>
      <c r="D5" s="99">
        <v>684</v>
      </c>
      <c r="E5" s="99">
        <v>171</v>
      </c>
      <c r="F5" s="99">
        <v>1.71</v>
      </c>
      <c r="G5" s="99">
        <v>171</v>
      </c>
      <c r="H5" s="99">
        <v>684</v>
      </c>
      <c r="I5" s="99">
        <v>1.71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4028</v>
      </c>
      <c r="Q5" s="99">
        <v>504</v>
      </c>
      <c r="R5" s="99">
        <v>3.9375</v>
      </c>
      <c r="S5" s="99">
        <v>504</v>
      </c>
      <c r="T5" s="99">
        <v>4032</v>
      </c>
      <c r="U5" s="99">
        <v>3.9375</v>
      </c>
      <c r="V5" s="99">
        <v>5.6475</v>
      </c>
      <c r="W5" s="99">
        <v>0</v>
      </c>
      <c r="X5" s="99">
        <v>0</v>
      </c>
      <c r="Y5" s="99">
        <v>5.6475</v>
      </c>
      <c r="Z5" s="99">
        <v>5.6475</v>
      </c>
      <c r="AA5" s="99">
        <v>0</v>
      </c>
      <c r="AB5" s="99">
        <v>0</v>
      </c>
      <c r="AC5" s="99">
        <v>0</v>
      </c>
      <c r="AD5" s="99">
        <v>1129.5</v>
      </c>
      <c r="AE5" s="99">
        <v>1129.5</v>
      </c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</row>
    <row r="6" spans="1:49" x14ac:dyDescent="0.3">
      <c r="A6" s="99" t="s">
        <v>40</v>
      </c>
      <c r="B6" s="99">
        <v>2</v>
      </c>
      <c r="C6" s="99" t="s">
        <v>248</v>
      </c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>
        <v>0</v>
      </c>
      <c r="W6" s="99">
        <v>0</v>
      </c>
      <c r="X6" s="99">
        <v>0</v>
      </c>
      <c r="Y6" s="99">
        <v>0</v>
      </c>
      <c r="Z6" s="99">
        <v>0</v>
      </c>
      <c r="AA6" s="99">
        <v>0</v>
      </c>
      <c r="AB6" s="99">
        <v>0</v>
      </c>
      <c r="AC6" s="99">
        <v>0</v>
      </c>
      <c r="AD6" s="99">
        <v>0</v>
      </c>
      <c r="AE6" s="99">
        <v>0</v>
      </c>
      <c r="AF6" s="99">
        <v>0</v>
      </c>
      <c r="AG6" s="99">
        <v>0</v>
      </c>
      <c r="AH6" s="99">
        <v>0</v>
      </c>
      <c r="AI6" s="99">
        <v>0</v>
      </c>
      <c r="AJ6" s="99">
        <v>0</v>
      </c>
      <c r="AK6" s="99">
        <v>0</v>
      </c>
      <c r="AL6" s="99">
        <v>0</v>
      </c>
      <c r="AM6" s="99">
        <v>0</v>
      </c>
      <c r="AN6" s="99">
        <v>0</v>
      </c>
      <c r="AO6" s="99">
        <v>0</v>
      </c>
      <c r="AP6" s="99">
        <v>0</v>
      </c>
      <c r="AQ6" s="99">
        <v>0</v>
      </c>
      <c r="AR6" s="99"/>
      <c r="AS6" s="99"/>
      <c r="AT6" s="99"/>
      <c r="AU6" s="99"/>
      <c r="AV6" s="99"/>
      <c r="AW6" s="99"/>
    </row>
    <row r="7" spans="1:49" x14ac:dyDescent="0.3">
      <c r="A7" s="99" t="s">
        <v>110</v>
      </c>
      <c r="B7" s="99">
        <v>2</v>
      </c>
      <c r="C7" s="99" t="s">
        <v>248</v>
      </c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>
        <v>1.4750000000000001</v>
      </c>
      <c r="W7" s="99">
        <v>0</v>
      </c>
      <c r="X7" s="99">
        <v>0</v>
      </c>
      <c r="Y7" s="99">
        <v>1.4750000000000001</v>
      </c>
      <c r="Z7" s="99">
        <v>1.4750000000000001</v>
      </c>
      <c r="AA7" s="99">
        <v>0</v>
      </c>
      <c r="AB7" s="99">
        <v>0</v>
      </c>
      <c r="AC7" s="99">
        <v>0</v>
      </c>
      <c r="AD7" s="99">
        <v>51.62</v>
      </c>
      <c r="AE7" s="99">
        <v>51.62</v>
      </c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>
        <v>472</v>
      </c>
      <c r="AS7" s="99">
        <v>236</v>
      </c>
      <c r="AT7" s="99">
        <v>1.4750000000000001</v>
      </c>
      <c r="AU7" s="99">
        <v>236</v>
      </c>
      <c r="AV7" s="99">
        <v>472</v>
      </c>
      <c r="AW7" s="99">
        <v>1.4750000000000001</v>
      </c>
    </row>
    <row r="8" spans="1:49" x14ac:dyDescent="0.3">
      <c r="A8" s="99" t="s">
        <v>32</v>
      </c>
      <c r="B8" s="99">
        <v>3</v>
      </c>
      <c r="C8" s="99" t="s">
        <v>249</v>
      </c>
      <c r="D8" s="99">
        <v>20000</v>
      </c>
      <c r="E8" s="99">
        <v>5000</v>
      </c>
      <c r="F8" s="99">
        <v>50</v>
      </c>
      <c r="G8" s="99">
        <v>0</v>
      </c>
      <c r="H8" s="99">
        <v>0</v>
      </c>
      <c r="I8" s="99">
        <v>0</v>
      </c>
      <c r="J8" s="99">
        <v>5502</v>
      </c>
      <c r="K8" s="99">
        <v>1376</v>
      </c>
      <c r="L8" s="99">
        <v>8.6</v>
      </c>
      <c r="M8" s="99">
        <v>0</v>
      </c>
      <c r="N8" s="99">
        <v>0</v>
      </c>
      <c r="O8" s="99">
        <v>0</v>
      </c>
      <c r="P8" s="99">
        <v>4200</v>
      </c>
      <c r="Q8" s="99">
        <v>525</v>
      </c>
      <c r="R8" s="99">
        <v>4.1015620000000004</v>
      </c>
      <c r="S8" s="99">
        <v>0</v>
      </c>
      <c r="T8" s="99">
        <v>0</v>
      </c>
      <c r="U8" s="99">
        <v>0</v>
      </c>
      <c r="V8" s="99">
        <v>62.701563</v>
      </c>
      <c r="W8" s="99">
        <v>1</v>
      </c>
      <c r="X8" s="99">
        <v>0</v>
      </c>
      <c r="Y8" s="99">
        <v>0</v>
      </c>
      <c r="Z8" s="99">
        <v>65</v>
      </c>
      <c r="AA8" s="99">
        <v>2.2984369999999998</v>
      </c>
      <c r="AB8" s="99">
        <v>5200</v>
      </c>
      <c r="AC8" s="99">
        <v>0</v>
      </c>
      <c r="AD8" s="99">
        <v>0</v>
      </c>
      <c r="AE8" s="99">
        <v>5200</v>
      </c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</row>
    <row r="9" spans="1:49" x14ac:dyDescent="0.3">
      <c r="A9" s="99" t="s">
        <v>40</v>
      </c>
      <c r="B9" s="99">
        <v>3</v>
      </c>
      <c r="C9" s="99" t="s">
        <v>249</v>
      </c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>
        <v>25.4</v>
      </c>
      <c r="W9" s="99">
        <v>0</v>
      </c>
      <c r="X9" s="99">
        <v>0</v>
      </c>
      <c r="Y9" s="99">
        <v>25.4</v>
      </c>
      <c r="Z9" s="99">
        <v>25.4</v>
      </c>
      <c r="AA9" s="99">
        <v>0</v>
      </c>
      <c r="AB9" s="99">
        <v>0</v>
      </c>
      <c r="AC9" s="99">
        <v>0</v>
      </c>
      <c r="AD9" s="99">
        <v>1778</v>
      </c>
      <c r="AE9" s="99">
        <v>1778</v>
      </c>
      <c r="AF9" s="99">
        <v>4320</v>
      </c>
      <c r="AG9" s="99">
        <v>2160</v>
      </c>
      <c r="AH9" s="99">
        <v>21.6</v>
      </c>
      <c r="AI9" s="99">
        <v>2160</v>
      </c>
      <c r="AJ9" s="99">
        <v>4320</v>
      </c>
      <c r="AK9" s="99">
        <v>21.6</v>
      </c>
      <c r="AL9" s="99">
        <v>2430</v>
      </c>
      <c r="AM9" s="99">
        <v>608</v>
      </c>
      <c r="AN9" s="99">
        <v>3.8</v>
      </c>
      <c r="AO9" s="99">
        <v>608</v>
      </c>
      <c r="AP9" s="99">
        <v>2432</v>
      </c>
      <c r="AQ9" s="99">
        <v>3.8</v>
      </c>
      <c r="AR9" s="99"/>
      <c r="AS9" s="99"/>
      <c r="AT9" s="99"/>
      <c r="AU9" s="99"/>
      <c r="AV9" s="99"/>
      <c r="AW9" s="99"/>
    </row>
    <row r="10" spans="1:49" x14ac:dyDescent="0.3">
      <c r="A10" s="99" t="s">
        <v>110</v>
      </c>
      <c r="B10" s="99">
        <v>3</v>
      </c>
      <c r="C10" s="99" t="s">
        <v>249</v>
      </c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>
        <v>0.9375</v>
      </c>
      <c r="W10" s="99">
        <v>0</v>
      </c>
      <c r="X10" s="99">
        <v>0</v>
      </c>
      <c r="Y10" s="99">
        <v>0.9375</v>
      </c>
      <c r="Z10" s="99">
        <v>0.9375</v>
      </c>
      <c r="AA10" s="99">
        <v>0</v>
      </c>
      <c r="AB10" s="99">
        <v>0</v>
      </c>
      <c r="AC10" s="99">
        <v>0</v>
      </c>
      <c r="AD10" s="99">
        <v>32.81</v>
      </c>
      <c r="AE10" s="99">
        <v>32.81</v>
      </c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>
        <v>300</v>
      </c>
      <c r="AS10" s="99">
        <v>150</v>
      </c>
      <c r="AT10" s="99">
        <v>0.9375</v>
      </c>
      <c r="AU10" s="99">
        <v>150</v>
      </c>
      <c r="AV10" s="99">
        <v>300</v>
      </c>
      <c r="AW10" s="99">
        <v>0.9375</v>
      </c>
    </row>
    <row r="11" spans="1:49" x14ac:dyDescent="0.3">
      <c r="A11" s="99" t="s">
        <v>32</v>
      </c>
      <c r="B11" s="99">
        <v>4</v>
      </c>
      <c r="C11" s="99" t="s">
        <v>252</v>
      </c>
      <c r="D11" s="99">
        <v>20000</v>
      </c>
      <c r="E11" s="99">
        <v>5000</v>
      </c>
      <c r="F11" s="99">
        <v>50</v>
      </c>
      <c r="G11" s="99">
        <v>950</v>
      </c>
      <c r="H11" s="99">
        <v>3800</v>
      </c>
      <c r="I11" s="99">
        <v>9.5</v>
      </c>
      <c r="J11" s="99">
        <v>15658</v>
      </c>
      <c r="K11" s="99">
        <v>3915</v>
      </c>
      <c r="L11" s="99">
        <v>24.46875</v>
      </c>
      <c r="M11" s="99">
        <v>0</v>
      </c>
      <c r="N11" s="99">
        <v>0</v>
      </c>
      <c r="O11" s="99">
        <v>0</v>
      </c>
      <c r="P11" s="99">
        <v>3802</v>
      </c>
      <c r="Q11" s="99">
        <v>476</v>
      </c>
      <c r="R11" s="99">
        <v>3.71875</v>
      </c>
      <c r="S11" s="99">
        <v>472</v>
      </c>
      <c r="T11" s="99">
        <v>3776</v>
      </c>
      <c r="U11" s="99">
        <v>3.6875</v>
      </c>
      <c r="V11" s="99">
        <v>78.1875</v>
      </c>
      <c r="W11" s="99">
        <v>1</v>
      </c>
      <c r="X11" s="99">
        <v>0</v>
      </c>
      <c r="Y11" s="99">
        <v>13.1875</v>
      </c>
      <c r="Z11" s="99">
        <v>78.1875</v>
      </c>
      <c r="AA11" s="99">
        <v>0</v>
      </c>
      <c r="AB11" s="99">
        <v>5200</v>
      </c>
      <c r="AC11" s="99">
        <v>0</v>
      </c>
      <c r="AD11" s="99">
        <v>2637.5</v>
      </c>
      <c r="AE11" s="99">
        <v>7837.5</v>
      </c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</row>
    <row r="12" spans="1:49" x14ac:dyDescent="0.3">
      <c r="A12" s="99" t="s">
        <v>40</v>
      </c>
      <c r="B12" s="99">
        <v>4</v>
      </c>
      <c r="C12" s="99" t="s">
        <v>252</v>
      </c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>
        <v>57.462499999999999</v>
      </c>
      <c r="W12" s="99">
        <v>0</v>
      </c>
      <c r="X12" s="99">
        <v>0</v>
      </c>
      <c r="Y12" s="99">
        <v>57.462499999999999</v>
      </c>
      <c r="Z12" s="99">
        <v>57.462499999999999</v>
      </c>
      <c r="AA12" s="99">
        <v>0</v>
      </c>
      <c r="AB12" s="99">
        <v>0</v>
      </c>
      <c r="AC12" s="99">
        <v>0</v>
      </c>
      <c r="AD12" s="99">
        <v>4022.38</v>
      </c>
      <c r="AE12" s="99">
        <v>4022.38</v>
      </c>
      <c r="AF12" s="99">
        <v>8370</v>
      </c>
      <c r="AG12" s="99">
        <v>4185</v>
      </c>
      <c r="AH12" s="99">
        <v>41.85</v>
      </c>
      <c r="AI12" s="99">
        <v>4185</v>
      </c>
      <c r="AJ12" s="99">
        <v>8370</v>
      </c>
      <c r="AK12" s="99">
        <v>41.85</v>
      </c>
      <c r="AL12" s="99">
        <v>9990</v>
      </c>
      <c r="AM12" s="99">
        <v>2498</v>
      </c>
      <c r="AN12" s="99">
        <v>15.612500000000001</v>
      </c>
      <c r="AO12" s="99">
        <v>2498</v>
      </c>
      <c r="AP12" s="99">
        <v>9992</v>
      </c>
      <c r="AQ12" s="99">
        <v>15.612500000000001</v>
      </c>
      <c r="AR12" s="99"/>
      <c r="AS12" s="99"/>
      <c r="AT12" s="99"/>
      <c r="AU12" s="99"/>
      <c r="AV12" s="99"/>
      <c r="AW12" s="99"/>
    </row>
    <row r="13" spans="1:49" x14ac:dyDescent="0.3">
      <c r="A13" s="99" t="s">
        <v>110</v>
      </c>
      <c r="B13" s="99">
        <v>4</v>
      </c>
      <c r="C13" s="99" t="s">
        <v>252</v>
      </c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>
        <v>2.1812499999999999</v>
      </c>
      <c r="W13" s="99">
        <v>0</v>
      </c>
      <c r="X13" s="99">
        <v>0</v>
      </c>
      <c r="Y13" s="99">
        <v>2.1812499999999999</v>
      </c>
      <c r="Z13" s="99">
        <v>2.1812499999999999</v>
      </c>
      <c r="AA13" s="99">
        <v>0</v>
      </c>
      <c r="AB13" s="99">
        <v>0</v>
      </c>
      <c r="AC13" s="99">
        <v>0</v>
      </c>
      <c r="AD13" s="99">
        <v>76.34</v>
      </c>
      <c r="AE13" s="99">
        <v>76.34</v>
      </c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>
        <v>698</v>
      </c>
      <c r="AS13" s="99">
        <v>349</v>
      </c>
      <c r="AT13" s="99">
        <v>2.1812499999999999</v>
      </c>
      <c r="AU13" s="99">
        <v>349</v>
      </c>
      <c r="AV13" s="99">
        <v>698</v>
      </c>
      <c r="AW13" s="99">
        <v>2.1812499999999999</v>
      </c>
    </row>
    <row r="14" spans="1:49" x14ac:dyDescent="0.3">
      <c r="A14" s="99" t="s">
        <v>32</v>
      </c>
      <c r="B14" s="99">
        <v>5</v>
      </c>
      <c r="C14" s="99" t="s">
        <v>253</v>
      </c>
      <c r="D14" s="99">
        <v>11000</v>
      </c>
      <c r="E14" s="99">
        <v>2750</v>
      </c>
      <c r="F14" s="99">
        <v>27.5</v>
      </c>
      <c r="G14" s="99">
        <v>0</v>
      </c>
      <c r="H14" s="99">
        <v>0</v>
      </c>
      <c r="I14" s="99">
        <v>0</v>
      </c>
      <c r="J14" s="99">
        <v>8865</v>
      </c>
      <c r="K14" s="99">
        <v>2217</v>
      </c>
      <c r="L14" s="99">
        <v>13.856249999999999</v>
      </c>
      <c r="M14" s="99">
        <v>0</v>
      </c>
      <c r="N14" s="99">
        <v>0</v>
      </c>
      <c r="O14" s="99">
        <v>0</v>
      </c>
      <c r="P14" s="99">
        <v>4500</v>
      </c>
      <c r="Q14" s="99">
        <v>563</v>
      </c>
      <c r="R14" s="99">
        <v>4.3984379999999996</v>
      </c>
      <c r="S14" s="99">
        <v>0</v>
      </c>
      <c r="T14" s="99">
        <v>0</v>
      </c>
      <c r="U14" s="99">
        <v>0</v>
      </c>
      <c r="V14" s="99">
        <v>45.754688000000002</v>
      </c>
      <c r="W14" s="99">
        <v>1</v>
      </c>
      <c r="X14" s="99">
        <v>0</v>
      </c>
      <c r="Y14" s="99">
        <v>0</v>
      </c>
      <c r="Z14" s="99">
        <v>65</v>
      </c>
      <c r="AA14" s="99">
        <v>19.245311999999998</v>
      </c>
      <c r="AB14" s="99">
        <v>5200</v>
      </c>
      <c r="AC14" s="99">
        <v>0</v>
      </c>
      <c r="AD14" s="99">
        <v>0</v>
      </c>
      <c r="AE14" s="99">
        <v>5200</v>
      </c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</row>
    <row r="15" spans="1:49" x14ac:dyDescent="0.3">
      <c r="A15" s="99" t="s">
        <v>40</v>
      </c>
      <c r="B15" s="99">
        <v>5</v>
      </c>
      <c r="C15" s="99" t="s">
        <v>253</v>
      </c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>
        <v>68.034999999999997</v>
      </c>
      <c r="W15" s="99">
        <v>1</v>
      </c>
      <c r="X15" s="99">
        <v>0</v>
      </c>
      <c r="Y15" s="99">
        <v>3.04</v>
      </c>
      <c r="Z15" s="99">
        <v>68.040000000000006</v>
      </c>
      <c r="AA15" s="99">
        <v>5.0000000000000001E-3</v>
      </c>
      <c r="AB15" s="99">
        <v>4200</v>
      </c>
      <c r="AC15" s="99">
        <v>0</v>
      </c>
      <c r="AD15" s="99">
        <v>212.8</v>
      </c>
      <c r="AE15" s="99">
        <v>4412.8</v>
      </c>
      <c r="AF15" s="99">
        <v>11782</v>
      </c>
      <c r="AG15" s="99">
        <v>5891</v>
      </c>
      <c r="AH15" s="99">
        <v>58.91</v>
      </c>
      <c r="AI15" s="99">
        <v>304</v>
      </c>
      <c r="AJ15" s="99">
        <v>608</v>
      </c>
      <c r="AK15" s="99">
        <v>3.04</v>
      </c>
      <c r="AL15" s="99">
        <v>5840</v>
      </c>
      <c r="AM15" s="99">
        <v>1460</v>
      </c>
      <c r="AN15" s="99">
        <v>9.125</v>
      </c>
      <c r="AO15" s="99">
        <v>0</v>
      </c>
      <c r="AP15" s="99">
        <v>0</v>
      </c>
      <c r="AQ15" s="99">
        <v>0</v>
      </c>
      <c r="AR15" s="99"/>
      <c r="AS15" s="99"/>
      <c r="AT15" s="99"/>
      <c r="AU15" s="99"/>
      <c r="AV15" s="99"/>
      <c r="AW15" s="99"/>
    </row>
    <row r="16" spans="1:49" x14ac:dyDescent="0.3">
      <c r="A16" s="99" t="s">
        <v>110</v>
      </c>
      <c r="B16" s="99">
        <v>5</v>
      </c>
      <c r="C16" s="99" t="s">
        <v>253</v>
      </c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>
        <v>0</v>
      </c>
      <c r="W16" s="99">
        <v>0</v>
      </c>
      <c r="X16" s="99">
        <v>0</v>
      </c>
      <c r="Y16" s="99">
        <v>0</v>
      </c>
      <c r="Z16" s="99">
        <v>0</v>
      </c>
      <c r="AA16" s="99">
        <v>0</v>
      </c>
      <c r="AB16" s="99">
        <v>0</v>
      </c>
      <c r="AC16" s="99">
        <v>0</v>
      </c>
      <c r="AD16" s="99">
        <v>0</v>
      </c>
      <c r="AE16" s="99">
        <v>0</v>
      </c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>
        <v>0</v>
      </c>
      <c r="AS16" s="99">
        <v>0</v>
      </c>
      <c r="AT16" s="99">
        <v>0</v>
      </c>
      <c r="AU16" s="99">
        <v>0</v>
      </c>
      <c r="AV16" s="99">
        <v>0</v>
      </c>
      <c r="AW16" s="99">
        <v>0</v>
      </c>
    </row>
    <row r="17" spans="1:49" x14ac:dyDescent="0.3">
      <c r="A17" s="99" t="s">
        <v>32</v>
      </c>
      <c r="B17" s="99">
        <v>6</v>
      </c>
      <c r="C17" s="99" t="s">
        <v>254</v>
      </c>
      <c r="D17" s="99">
        <v>13000</v>
      </c>
      <c r="E17" s="99">
        <v>3250</v>
      </c>
      <c r="F17" s="99">
        <v>32.5</v>
      </c>
      <c r="G17" s="99">
        <v>0</v>
      </c>
      <c r="H17" s="99">
        <v>0</v>
      </c>
      <c r="I17" s="99">
        <v>0</v>
      </c>
      <c r="J17" s="99">
        <v>2146</v>
      </c>
      <c r="K17" s="99">
        <v>537</v>
      </c>
      <c r="L17" s="99">
        <v>3.3562500000000002</v>
      </c>
      <c r="M17" s="99">
        <v>0</v>
      </c>
      <c r="N17" s="99">
        <v>0</v>
      </c>
      <c r="O17" s="99">
        <v>0</v>
      </c>
      <c r="P17" s="99">
        <v>4200</v>
      </c>
      <c r="Q17" s="99">
        <v>525</v>
      </c>
      <c r="R17" s="99">
        <v>4.1015620000000004</v>
      </c>
      <c r="S17" s="99">
        <v>0</v>
      </c>
      <c r="T17" s="99">
        <v>0</v>
      </c>
      <c r="U17" s="99">
        <v>0</v>
      </c>
      <c r="V17" s="99">
        <v>39.957813000000002</v>
      </c>
      <c r="W17" s="99">
        <v>1</v>
      </c>
      <c r="X17" s="99">
        <v>0</v>
      </c>
      <c r="Y17" s="99">
        <v>0</v>
      </c>
      <c r="Z17" s="99">
        <v>65</v>
      </c>
      <c r="AA17" s="99">
        <v>25.042186999999998</v>
      </c>
      <c r="AB17" s="99">
        <v>5200</v>
      </c>
      <c r="AC17" s="99">
        <v>0</v>
      </c>
      <c r="AD17" s="99">
        <v>0</v>
      </c>
      <c r="AE17" s="99">
        <v>5200</v>
      </c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</row>
    <row r="18" spans="1:49" x14ac:dyDescent="0.3">
      <c r="A18" s="99" t="s">
        <v>40</v>
      </c>
      <c r="B18" s="99">
        <v>6</v>
      </c>
      <c r="C18" s="99" t="s">
        <v>254</v>
      </c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>
        <v>65.276250000000005</v>
      </c>
      <c r="W18" s="99">
        <v>1</v>
      </c>
      <c r="X18" s="99">
        <v>0</v>
      </c>
      <c r="Y18" s="99">
        <v>0.27625</v>
      </c>
      <c r="Z18" s="99">
        <v>65.276250000000005</v>
      </c>
      <c r="AA18" s="99">
        <v>0</v>
      </c>
      <c r="AB18" s="99">
        <v>4200</v>
      </c>
      <c r="AC18" s="99">
        <v>0</v>
      </c>
      <c r="AD18" s="99">
        <v>19.34</v>
      </c>
      <c r="AE18" s="99">
        <v>4219.34</v>
      </c>
      <c r="AF18" s="99">
        <v>10524</v>
      </c>
      <c r="AG18" s="99">
        <v>5262</v>
      </c>
      <c r="AH18" s="99">
        <v>52.62</v>
      </c>
      <c r="AI18" s="99">
        <v>27</v>
      </c>
      <c r="AJ18" s="99">
        <v>54</v>
      </c>
      <c r="AK18" s="99">
        <v>0.27</v>
      </c>
      <c r="AL18" s="99">
        <v>8100</v>
      </c>
      <c r="AM18" s="99">
        <v>2025</v>
      </c>
      <c r="AN18" s="99">
        <v>12.65625</v>
      </c>
      <c r="AO18" s="99">
        <v>1</v>
      </c>
      <c r="AP18" s="99">
        <v>4</v>
      </c>
      <c r="AQ18" s="99">
        <v>6.2500000000000003E-3</v>
      </c>
      <c r="AR18" s="99"/>
      <c r="AS18" s="99"/>
      <c r="AT18" s="99"/>
      <c r="AU18" s="99"/>
      <c r="AV18" s="99"/>
      <c r="AW18" s="99"/>
    </row>
    <row r="19" spans="1:49" x14ac:dyDescent="0.3">
      <c r="A19" s="99" t="s">
        <v>110</v>
      </c>
      <c r="B19" s="99">
        <v>6</v>
      </c>
      <c r="C19" s="99" t="s">
        <v>254</v>
      </c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>
        <v>0.9375</v>
      </c>
      <c r="W19" s="99">
        <v>0</v>
      </c>
      <c r="X19" s="99">
        <v>0</v>
      </c>
      <c r="Y19" s="99">
        <v>0.9375</v>
      </c>
      <c r="Z19" s="99">
        <v>0.9375</v>
      </c>
      <c r="AA19" s="99">
        <v>0</v>
      </c>
      <c r="AB19" s="99">
        <v>0</v>
      </c>
      <c r="AC19" s="99">
        <v>0</v>
      </c>
      <c r="AD19" s="99">
        <v>32.81</v>
      </c>
      <c r="AE19" s="99">
        <v>32.81</v>
      </c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>
        <v>300</v>
      </c>
      <c r="AS19" s="99">
        <v>150</v>
      </c>
      <c r="AT19" s="99">
        <v>0.9375</v>
      </c>
      <c r="AU19" s="99">
        <v>150</v>
      </c>
      <c r="AV19" s="99">
        <v>300</v>
      </c>
      <c r="AW19" s="99">
        <v>0.9375</v>
      </c>
    </row>
    <row r="20" spans="1:49" x14ac:dyDescent="0.3">
      <c r="A20" s="99" t="s">
        <v>32</v>
      </c>
      <c r="B20" s="99">
        <v>7</v>
      </c>
      <c r="C20" s="99" t="s">
        <v>255</v>
      </c>
      <c r="D20" s="99">
        <v>13773</v>
      </c>
      <c r="E20" s="99">
        <v>3444</v>
      </c>
      <c r="F20" s="99">
        <v>34.44</v>
      </c>
      <c r="G20" s="99">
        <v>0</v>
      </c>
      <c r="H20" s="99">
        <v>0</v>
      </c>
      <c r="I20" s="99">
        <v>0</v>
      </c>
      <c r="J20" s="99">
        <v>7123</v>
      </c>
      <c r="K20" s="99">
        <v>1781</v>
      </c>
      <c r="L20" s="99">
        <v>11.13125</v>
      </c>
      <c r="M20" s="99">
        <v>0</v>
      </c>
      <c r="N20" s="99">
        <v>0</v>
      </c>
      <c r="O20" s="99">
        <v>0</v>
      </c>
      <c r="P20" s="99">
        <v>4500</v>
      </c>
      <c r="Q20" s="99">
        <v>563</v>
      </c>
      <c r="R20" s="99">
        <v>4.3984379999999996</v>
      </c>
      <c r="S20" s="99">
        <v>0</v>
      </c>
      <c r="T20" s="99">
        <v>0</v>
      </c>
      <c r="U20" s="99">
        <v>0</v>
      </c>
      <c r="V20" s="99">
        <v>49.969687</v>
      </c>
      <c r="W20" s="99">
        <v>1</v>
      </c>
      <c r="X20" s="99">
        <v>0</v>
      </c>
      <c r="Y20" s="99">
        <v>0</v>
      </c>
      <c r="Z20" s="99">
        <v>65</v>
      </c>
      <c r="AA20" s="99">
        <v>15.030313</v>
      </c>
      <c r="AB20" s="99">
        <v>5200</v>
      </c>
      <c r="AC20" s="99">
        <v>0</v>
      </c>
      <c r="AD20" s="99">
        <v>0</v>
      </c>
      <c r="AE20" s="99">
        <v>5200</v>
      </c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</row>
    <row r="21" spans="1:49" x14ac:dyDescent="0.3">
      <c r="A21" s="99" t="s">
        <v>40</v>
      </c>
      <c r="B21" s="99">
        <v>7</v>
      </c>
      <c r="C21" s="99" t="s">
        <v>255</v>
      </c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>
        <v>17.768750000000001</v>
      </c>
      <c r="W21" s="99">
        <v>0</v>
      </c>
      <c r="X21" s="99">
        <v>0</v>
      </c>
      <c r="Y21" s="99">
        <v>17.768750000000001</v>
      </c>
      <c r="Z21" s="99">
        <v>17.768750000000001</v>
      </c>
      <c r="AA21" s="99">
        <v>0</v>
      </c>
      <c r="AB21" s="99">
        <v>0</v>
      </c>
      <c r="AC21" s="99">
        <v>0</v>
      </c>
      <c r="AD21" s="99">
        <v>1243.81</v>
      </c>
      <c r="AE21" s="99">
        <v>1243.81</v>
      </c>
      <c r="AF21" s="99">
        <v>3240</v>
      </c>
      <c r="AG21" s="99">
        <v>1620</v>
      </c>
      <c r="AH21" s="99">
        <v>16.2</v>
      </c>
      <c r="AI21" s="99">
        <v>1620</v>
      </c>
      <c r="AJ21" s="99">
        <v>3240</v>
      </c>
      <c r="AK21" s="99">
        <v>16.2</v>
      </c>
      <c r="AL21" s="99">
        <v>1001</v>
      </c>
      <c r="AM21" s="99">
        <v>251</v>
      </c>
      <c r="AN21" s="99">
        <v>1.5687500000000001</v>
      </c>
      <c r="AO21" s="99">
        <v>251</v>
      </c>
      <c r="AP21" s="99">
        <v>1004</v>
      </c>
      <c r="AQ21" s="99">
        <v>1.5687500000000001</v>
      </c>
      <c r="AR21" s="99"/>
      <c r="AS21" s="99"/>
      <c r="AT21" s="99"/>
      <c r="AU21" s="99"/>
      <c r="AV21" s="99"/>
      <c r="AW21" s="99"/>
    </row>
    <row r="22" spans="1:49" x14ac:dyDescent="0.3">
      <c r="A22" s="99" t="s">
        <v>110</v>
      </c>
      <c r="B22" s="99">
        <v>7</v>
      </c>
      <c r="C22" s="99" t="s">
        <v>255</v>
      </c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>
        <v>0</v>
      </c>
      <c r="W22" s="99">
        <v>0</v>
      </c>
      <c r="X22" s="99">
        <v>0</v>
      </c>
      <c r="Y22" s="99">
        <v>0</v>
      </c>
      <c r="Z22" s="99">
        <v>0</v>
      </c>
      <c r="AA22" s="99">
        <v>0</v>
      </c>
      <c r="AB22" s="99">
        <v>0</v>
      </c>
      <c r="AC22" s="99">
        <v>0</v>
      </c>
      <c r="AD22" s="99">
        <v>0</v>
      </c>
      <c r="AE22" s="99">
        <v>0</v>
      </c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>
        <v>0</v>
      </c>
      <c r="AS22" s="99">
        <v>0</v>
      </c>
      <c r="AT22" s="99">
        <v>0</v>
      </c>
      <c r="AU22" s="99">
        <v>0</v>
      </c>
      <c r="AV22" s="99">
        <v>0</v>
      </c>
      <c r="AW22" s="99">
        <v>0</v>
      </c>
    </row>
    <row r="23" spans="1:49" x14ac:dyDescent="0.3">
      <c r="A23" s="99" t="s">
        <v>32</v>
      </c>
      <c r="B23" s="99">
        <v>8</v>
      </c>
      <c r="C23" s="99" t="s">
        <v>256</v>
      </c>
      <c r="D23" s="99">
        <v>7058</v>
      </c>
      <c r="E23" s="99">
        <v>1765</v>
      </c>
      <c r="F23" s="99">
        <v>17.649999999999999</v>
      </c>
      <c r="G23" s="99">
        <v>0</v>
      </c>
      <c r="H23" s="99">
        <v>0</v>
      </c>
      <c r="I23" s="99">
        <v>0</v>
      </c>
      <c r="J23" s="99">
        <v>5309</v>
      </c>
      <c r="K23" s="99">
        <v>1328</v>
      </c>
      <c r="L23" s="99">
        <v>8.3000000000000007</v>
      </c>
      <c r="M23" s="99">
        <v>376</v>
      </c>
      <c r="N23" s="99">
        <v>1504</v>
      </c>
      <c r="O23" s="99">
        <v>2.35</v>
      </c>
      <c r="P23" s="99">
        <v>4500</v>
      </c>
      <c r="Q23" s="99">
        <v>563</v>
      </c>
      <c r="R23" s="99">
        <v>4.3984379999999996</v>
      </c>
      <c r="S23" s="99">
        <v>0</v>
      </c>
      <c r="T23" s="99">
        <v>0</v>
      </c>
      <c r="U23" s="99">
        <v>0</v>
      </c>
      <c r="V23" s="99">
        <v>30.348438000000002</v>
      </c>
      <c r="W23" s="99">
        <v>0</v>
      </c>
      <c r="X23" s="99">
        <v>1</v>
      </c>
      <c r="Y23" s="99">
        <v>2.35</v>
      </c>
      <c r="Z23" s="99">
        <v>30.35</v>
      </c>
      <c r="AA23" s="99">
        <v>1.562E-3</v>
      </c>
      <c r="AB23" s="99">
        <v>0</v>
      </c>
      <c r="AC23" s="99">
        <v>3000</v>
      </c>
      <c r="AD23" s="99">
        <v>470</v>
      </c>
      <c r="AE23" s="99">
        <v>3470</v>
      </c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</row>
    <row r="24" spans="1:49" x14ac:dyDescent="0.3">
      <c r="A24" s="99" t="s">
        <v>40</v>
      </c>
      <c r="B24" s="99">
        <v>8</v>
      </c>
      <c r="C24" s="99" t="s">
        <v>256</v>
      </c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>
        <v>36.072499999999998</v>
      </c>
      <c r="W24" s="99">
        <v>0</v>
      </c>
      <c r="X24" s="99">
        <v>0</v>
      </c>
      <c r="Y24" s="99">
        <v>36.072499999999998</v>
      </c>
      <c r="Z24" s="99">
        <v>36.072499999999998</v>
      </c>
      <c r="AA24" s="99">
        <v>0</v>
      </c>
      <c r="AB24" s="99">
        <v>0</v>
      </c>
      <c r="AC24" s="99">
        <v>0</v>
      </c>
      <c r="AD24" s="99">
        <v>2525.0700000000002</v>
      </c>
      <c r="AE24" s="99">
        <v>2525.0700000000002</v>
      </c>
      <c r="AF24" s="99">
        <v>6442</v>
      </c>
      <c r="AG24" s="99">
        <v>3221</v>
      </c>
      <c r="AH24" s="99">
        <v>32.21</v>
      </c>
      <c r="AI24" s="99">
        <v>3221</v>
      </c>
      <c r="AJ24" s="99">
        <v>6442</v>
      </c>
      <c r="AK24" s="99">
        <v>32.21</v>
      </c>
      <c r="AL24" s="99">
        <v>2471</v>
      </c>
      <c r="AM24" s="99">
        <v>618</v>
      </c>
      <c r="AN24" s="99">
        <v>3.8624999999999998</v>
      </c>
      <c r="AO24" s="99">
        <v>618</v>
      </c>
      <c r="AP24" s="99">
        <v>2472</v>
      </c>
      <c r="AQ24" s="99">
        <v>3.8624999999999998</v>
      </c>
      <c r="AR24" s="99"/>
      <c r="AS24" s="99"/>
      <c r="AT24" s="99"/>
      <c r="AU24" s="99"/>
      <c r="AV24" s="99"/>
      <c r="AW24" s="99"/>
    </row>
    <row r="25" spans="1:49" x14ac:dyDescent="0.3">
      <c r="A25" s="99" t="s">
        <v>110</v>
      </c>
      <c r="B25" s="99">
        <v>8</v>
      </c>
      <c r="C25" s="99" t="s">
        <v>256</v>
      </c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>
        <v>0</v>
      </c>
      <c r="W25" s="99">
        <v>0</v>
      </c>
      <c r="X25" s="99">
        <v>0</v>
      </c>
      <c r="Y25" s="99">
        <v>0</v>
      </c>
      <c r="Z25" s="99">
        <v>0</v>
      </c>
      <c r="AA25" s="99">
        <v>0</v>
      </c>
      <c r="AB25" s="99">
        <v>0</v>
      </c>
      <c r="AC25" s="99">
        <v>0</v>
      </c>
      <c r="AD25" s="99">
        <v>0</v>
      </c>
      <c r="AE25" s="99">
        <v>0</v>
      </c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>
        <v>0</v>
      </c>
      <c r="AS25" s="99">
        <v>0</v>
      </c>
      <c r="AT25" s="99">
        <v>0</v>
      </c>
      <c r="AU25" s="99">
        <v>0</v>
      </c>
      <c r="AV25" s="99">
        <v>0</v>
      </c>
      <c r="AW25" s="99">
        <v>0</v>
      </c>
    </row>
    <row r="26" spans="1:49" x14ac:dyDescent="0.3">
      <c r="A26" s="99" t="s">
        <v>32</v>
      </c>
      <c r="B26" s="99">
        <v>9</v>
      </c>
      <c r="C26" s="99" t="s">
        <v>259</v>
      </c>
      <c r="D26" s="99">
        <v>2040</v>
      </c>
      <c r="E26" s="99">
        <v>510</v>
      </c>
      <c r="F26" s="99">
        <v>5.0999999999999996</v>
      </c>
      <c r="G26" s="99">
        <v>0</v>
      </c>
      <c r="H26" s="99">
        <v>0</v>
      </c>
      <c r="I26" s="99">
        <v>0</v>
      </c>
      <c r="J26" s="99">
        <v>5309</v>
      </c>
      <c r="K26" s="99">
        <v>1328</v>
      </c>
      <c r="L26" s="99">
        <v>8.3000000000000007</v>
      </c>
      <c r="M26" s="99">
        <v>0</v>
      </c>
      <c r="N26" s="99">
        <v>0</v>
      </c>
      <c r="O26" s="99">
        <v>0</v>
      </c>
      <c r="P26" s="99">
        <v>2200</v>
      </c>
      <c r="Q26" s="99">
        <v>275</v>
      </c>
      <c r="R26" s="99">
        <v>2.1484380000000001</v>
      </c>
      <c r="S26" s="99">
        <v>0</v>
      </c>
      <c r="T26" s="99">
        <v>0</v>
      </c>
      <c r="U26" s="99">
        <v>0</v>
      </c>
      <c r="V26" s="99">
        <v>15.548438000000001</v>
      </c>
      <c r="W26" s="99">
        <v>0</v>
      </c>
      <c r="X26" s="99">
        <v>1</v>
      </c>
      <c r="Y26" s="99">
        <v>0</v>
      </c>
      <c r="Z26" s="99">
        <v>28</v>
      </c>
      <c r="AA26" s="99">
        <v>12.451561999999999</v>
      </c>
      <c r="AB26" s="99">
        <v>0</v>
      </c>
      <c r="AC26" s="99">
        <v>3000</v>
      </c>
      <c r="AD26" s="99">
        <v>0</v>
      </c>
      <c r="AE26" s="99">
        <v>3000</v>
      </c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</row>
    <row r="27" spans="1:49" x14ac:dyDescent="0.3">
      <c r="A27" s="99" t="s">
        <v>40</v>
      </c>
      <c r="B27" s="99">
        <v>9</v>
      </c>
      <c r="C27" s="99" t="s">
        <v>259</v>
      </c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>
        <v>49.416249999999998</v>
      </c>
      <c r="W27" s="99">
        <v>0</v>
      </c>
      <c r="X27" s="99">
        <v>0</v>
      </c>
      <c r="Y27" s="99">
        <v>49.416249999999998</v>
      </c>
      <c r="Z27" s="99">
        <v>49.416249999999998</v>
      </c>
      <c r="AA27" s="99">
        <v>0</v>
      </c>
      <c r="AB27" s="99">
        <v>0</v>
      </c>
      <c r="AC27" s="99">
        <v>0</v>
      </c>
      <c r="AD27" s="99">
        <v>3459.14</v>
      </c>
      <c r="AE27" s="99">
        <v>3459.14</v>
      </c>
      <c r="AF27" s="99">
        <v>8802</v>
      </c>
      <c r="AG27" s="99">
        <v>4401</v>
      </c>
      <c r="AH27" s="99">
        <v>44.01</v>
      </c>
      <c r="AI27" s="99">
        <v>4401</v>
      </c>
      <c r="AJ27" s="99">
        <v>8802</v>
      </c>
      <c r="AK27" s="99">
        <v>44.01</v>
      </c>
      <c r="AL27" s="99">
        <v>3458</v>
      </c>
      <c r="AM27" s="99">
        <v>865</v>
      </c>
      <c r="AN27" s="99">
        <v>5.40625</v>
      </c>
      <c r="AO27" s="99">
        <v>865</v>
      </c>
      <c r="AP27" s="99">
        <v>3460</v>
      </c>
      <c r="AQ27" s="99">
        <v>5.40625</v>
      </c>
      <c r="AR27" s="99"/>
      <c r="AS27" s="99"/>
      <c r="AT27" s="99"/>
      <c r="AU27" s="99"/>
      <c r="AV27" s="99"/>
      <c r="AW27" s="99"/>
    </row>
    <row r="28" spans="1:49" x14ac:dyDescent="0.3">
      <c r="A28" s="99" t="s">
        <v>110</v>
      </c>
      <c r="B28" s="99">
        <v>9</v>
      </c>
      <c r="C28" s="99" t="s">
        <v>259</v>
      </c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>
        <v>0.9375</v>
      </c>
      <c r="W28" s="99">
        <v>0</v>
      </c>
      <c r="X28" s="99">
        <v>0</v>
      </c>
      <c r="Y28" s="99">
        <v>0.9375</v>
      </c>
      <c r="Z28" s="99">
        <v>0.9375</v>
      </c>
      <c r="AA28" s="99">
        <v>0</v>
      </c>
      <c r="AB28" s="99">
        <v>0</v>
      </c>
      <c r="AC28" s="99">
        <v>0</v>
      </c>
      <c r="AD28" s="99">
        <v>32.81</v>
      </c>
      <c r="AE28" s="99">
        <v>32.81</v>
      </c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>
        <v>300</v>
      </c>
      <c r="AS28" s="99">
        <v>150</v>
      </c>
      <c r="AT28" s="99">
        <v>0.9375</v>
      </c>
      <c r="AU28" s="99">
        <v>150</v>
      </c>
      <c r="AV28" s="99">
        <v>300</v>
      </c>
      <c r="AW28" s="99">
        <v>0.9375</v>
      </c>
    </row>
    <row r="29" spans="1:49" x14ac:dyDescent="0.3">
      <c r="A29" s="99" t="s">
        <v>32</v>
      </c>
      <c r="B29" s="99">
        <v>10</v>
      </c>
      <c r="C29" s="99" t="s">
        <v>260</v>
      </c>
      <c r="D29" s="99">
        <v>3541</v>
      </c>
      <c r="E29" s="99">
        <v>886</v>
      </c>
      <c r="F29" s="99">
        <v>8.86</v>
      </c>
      <c r="G29" s="99">
        <v>0</v>
      </c>
      <c r="H29" s="99">
        <v>0</v>
      </c>
      <c r="I29" s="99">
        <v>0</v>
      </c>
      <c r="J29" s="99">
        <v>3000</v>
      </c>
      <c r="K29" s="99">
        <v>750</v>
      </c>
      <c r="L29" s="99">
        <v>4.6875</v>
      </c>
      <c r="M29" s="99">
        <v>0</v>
      </c>
      <c r="N29" s="99">
        <v>0</v>
      </c>
      <c r="O29" s="99">
        <v>0</v>
      </c>
      <c r="P29" s="99">
        <v>5000</v>
      </c>
      <c r="Q29" s="99">
        <v>625</v>
      </c>
      <c r="R29" s="99">
        <v>4.8828120000000004</v>
      </c>
      <c r="S29" s="99">
        <v>0</v>
      </c>
      <c r="T29" s="99">
        <v>0</v>
      </c>
      <c r="U29" s="99">
        <v>0</v>
      </c>
      <c r="V29" s="99">
        <v>18.430312000000001</v>
      </c>
      <c r="W29" s="99">
        <v>0</v>
      </c>
      <c r="X29" s="99">
        <v>1</v>
      </c>
      <c r="Y29" s="99">
        <v>0</v>
      </c>
      <c r="Z29" s="99">
        <v>28</v>
      </c>
      <c r="AA29" s="99">
        <v>9.5696879999999993</v>
      </c>
      <c r="AB29" s="99">
        <v>0</v>
      </c>
      <c r="AC29" s="99">
        <v>3000</v>
      </c>
      <c r="AD29" s="99">
        <v>0</v>
      </c>
      <c r="AE29" s="99">
        <v>3000</v>
      </c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</row>
    <row r="30" spans="1:49" x14ac:dyDescent="0.3">
      <c r="A30" s="99" t="s">
        <v>40</v>
      </c>
      <c r="B30" s="99">
        <v>10</v>
      </c>
      <c r="C30" s="99" t="s">
        <v>260</v>
      </c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>
        <v>39.261249999999997</v>
      </c>
      <c r="W30" s="99">
        <v>0</v>
      </c>
      <c r="X30" s="99">
        <v>0</v>
      </c>
      <c r="Y30" s="99">
        <v>39.261249999999997</v>
      </c>
      <c r="Z30" s="99">
        <v>39.261249999999997</v>
      </c>
      <c r="AA30" s="99">
        <v>0</v>
      </c>
      <c r="AB30" s="99">
        <v>0</v>
      </c>
      <c r="AC30" s="99">
        <v>0</v>
      </c>
      <c r="AD30" s="99">
        <v>2748.29</v>
      </c>
      <c r="AE30" s="99">
        <v>2748.29</v>
      </c>
      <c r="AF30" s="99">
        <v>7695</v>
      </c>
      <c r="AG30" s="99">
        <v>3848</v>
      </c>
      <c r="AH30" s="99">
        <v>38.479999999999997</v>
      </c>
      <c r="AI30" s="99">
        <v>3848</v>
      </c>
      <c r="AJ30" s="99">
        <v>7696</v>
      </c>
      <c r="AK30" s="99">
        <v>38.479999999999997</v>
      </c>
      <c r="AL30" s="99">
        <v>500</v>
      </c>
      <c r="AM30" s="99">
        <v>125</v>
      </c>
      <c r="AN30" s="99">
        <v>0.78125</v>
      </c>
      <c r="AO30" s="99">
        <v>125</v>
      </c>
      <c r="AP30" s="99">
        <v>500</v>
      </c>
      <c r="AQ30" s="99">
        <v>0.78125</v>
      </c>
      <c r="AR30" s="99"/>
      <c r="AS30" s="99"/>
      <c r="AT30" s="99"/>
      <c r="AU30" s="99"/>
      <c r="AV30" s="99"/>
      <c r="AW30" s="99"/>
    </row>
    <row r="31" spans="1:49" x14ac:dyDescent="0.3">
      <c r="A31" s="99" t="s">
        <v>110</v>
      </c>
      <c r="B31" s="99">
        <v>10</v>
      </c>
      <c r="C31" s="99" t="s">
        <v>260</v>
      </c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>
        <v>0</v>
      </c>
      <c r="W31" s="99">
        <v>0</v>
      </c>
      <c r="X31" s="99">
        <v>0</v>
      </c>
      <c r="Y31" s="99">
        <v>0</v>
      </c>
      <c r="Z31" s="99">
        <v>0</v>
      </c>
      <c r="AA31" s="99">
        <v>0</v>
      </c>
      <c r="AB31" s="99">
        <v>0</v>
      </c>
      <c r="AC31" s="99">
        <v>0</v>
      </c>
      <c r="AD31" s="99">
        <v>0</v>
      </c>
      <c r="AE31" s="99">
        <v>0</v>
      </c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>
        <v>0</v>
      </c>
      <c r="AS31" s="99">
        <v>0</v>
      </c>
      <c r="AT31" s="99">
        <v>0</v>
      </c>
      <c r="AU31" s="99">
        <v>0</v>
      </c>
      <c r="AV31" s="99">
        <v>0</v>
      </c>
      <c r="AW31" s="99">
        <v>0</v>
      </c>
    </row>
    <row r="32" spans="1:49" x14ac:dyDescent="0.3">
      <c r="A32" s="99" t="s">
        <v>32</v>
      </c>
      <c r="B32" s="99">
        <v>11</v>
      </c>
      <c r="C32" s="99" t="s">
        <v>261</v>
      </c>
      <c r="D32" s="99">
        <v>12041</v>
      </c>
      <c r="E32" s="99">
        <v>3011</v>
      </c>
      <c r="F32" s="99">
        <v>30.11</v>
      </c>
      <c r="G32" s="99">
        <v>0</v>
      </c>
      <c r="H32" s="99">
        <v>0</v>
      </c>
      <c r="I32" s="99">
        <v>0</v>
      </c>
      <c r="J32" s="99">
        <v>3000</v>
      </c>
      <c r="K32" s="99">
        <v>750</v>
      </c>
      <c r="L32" s="99">
        <v>4.6875</v>
      </c>
      <c r="M32" s="99">
        <v>0</v>
      </c>
      <c r="N32" s="99">
        <v>0</v>
      </c>
      <c r="O32" s="99">
        <v>0</v>
      </c>
      <c r="P32" s="99">
        <v>4300</v>
      </c>
      <c r="Q32" s="99">
        <v>538</v>
      </c>
      <c r="R32" s="99">
        <v>4.203125</v>
      </c>
      <c r="S32" s="99">
        <v>0</v>
      </c>
      <c r="T32" s="99">
        <v>0</v>
      </c>
      <c r="U32" s="99">
        <v>0</v>
      </c>
      <c r="V32" s="99">
        <v>39.000624999999999</v>
      </c>
      <c r="W32" s="99">
        <v>1</v>
      </c>
      <c r="X32" s="99">
        <v>0</v>
      </c>
      <c r="Y32" s="99">
        <v>0</v>
      </c>
      <c r="Z32" s="99">
        <v>65</v>
      </c>
      <c r="AA32" s="99">
        <v>25.999375000000001</v>
      </c>
      <c r="AB32" s="99">
        <v>5200</v>
      </c>
      <c r="AC32" s="99">
        <v>0</v>
      </c>
      <c r="AD32" s="99">
        <v>0</v>
      </c>
      <c r="AE32" s="99">
        <v>5200</v>
      </c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</row>
    <row r="33" spans="1:49" x14ac:dyDescent="0.3">
      <c r="A33" s="99" t="s">
        <v>40</v>
      </c>
      <c r="B33" s="99">
        <v>11</v>
      </c>
      <c r="C33" s="99" t="s">
        <v>261</v>
      </c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>
        <v>13.28125</v>
      </c>
      <c r="W33" s="99">
        <v>0</v>
      </c>
      <c r="X33" s="99">
        <v>0</v>
      </c>
      <c r="Y33" s="99">
        <v>13.28125</v>
      </c>
      <c r="Z33" s="99">
        <v>13.28125</v>
      </c>
      <c r="AA33" s="99">
        <v>0</v>
      </c>
      <c r="AB33" s="99">
        <v>0</v>
      </c>
      <c r="AC33" s="99">
        <v>0</v>
      </c>
      <c r="AD33" s="99">
        <v>929.69</v>
      </c>
      <c r="AE33" s="99">
        <v>929.69</v>
      </c>
      <c r="AF33" s="99">
        <v>2500</v>
      </c>
      <c r="AG33" s="99">
        <v>1250</v>
      </c>
      <c r="AH33" s="99">
        <v>12.5</v>
      </c>
      <c r="AI33" s="99">
        <v>1250</v>
      </c>
      <c r="AJ33" s="99">
        <v>2500</v>
      </c>
      <c r="AK33" s="99">
        <v>12.5</v>
      </c>
      <c r="AL33" s="99">
        <v>500</v>
      </c>
      <c r="AM33" s="99">
        <v>125</v>
      </c>
      <c r="AN33" s="99">
        <v>0.78125</v>
      </c>
      <c r="AO33" s="99">
        <v>125</v>
      </c>
      <c r="AP33" s="99">
        <v>500</v>
      </c>
      <c r="AQ33" s="99">
        <v>0.78125</v>
      </c>
      <c r="AR33" s="99"/>
      <c r="AS33" s="99"/>
      <c r="AT33" s="99"/>
      <c r="AU33" s="99"/>
      <c r="AV33" s="99"/>
      <c r="AW33" s="99"/>
    </row>
    <row r="34" spans="1:49" x14ac:dyDescent="0.3">
      <c r="A34" s="99" t="s">
        <v>110</v>
      </c>
      <c r="B34" s="99">
        <v>11</v>
      </c>
      <c r="C34" s="99" t="s">
        <v>261</v>
      </c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>
        <v>2.1875</v>
      </c>
      <c r="W34" s="99">
        <v>0</v>
      </c>
      <c r="X34" s="99">
        <v>0</v>
      </c>
      <c r="Y34" s="99">
        <v>2.1875</v>
      </c>
      <c r="Z34" s="99">
        <v>2.1875</v>
      </c>
      <c r="AA34" s="99">
        <v>0</v>
      </c>
      <c r="AB34" s="99">
        <v>0</v>
      </c>
      <c r="AC34" s="99">
        <v>0</v>
      </c>
      <c r="AD34" s="99">
        <v>76.56</v>
      </c>
      <c r="AE34" s="99">
        <v>76.56</v>
      </c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>
        <v>700</v>
      </c>
      <c r="AS34" s="99">
        <v>350</v>
      </c>
      <c r="AT34" s="99">
        <v>2.1875</v>
      </c>
      <c r="AU34" s="99">
        <v>350</v>
      </c>
      <c r="AV34" s="99">
        <v>700</v>
      </c>
      <c r="AW34" s="99">
        <v>2.1875</v>
      </c>
    </row>
    <row r="35" spans="1:49" x14ac:dyDescent="0.3">
      <c r="A35" s="99" t="s">
        <v>32</v>
      </c>
      <c r="B35" s="99">
        <v>12</v>
      </c>
      <c r="C35" s="99" t="s">
        <v>262</v>
      </c>
      <c r="D35" s="99">
        <v>12040</v>
      </c>
      <c r="E35" s="99">
        <v>3010</v>
      </c>
      <c r="F35" s="99">
        <v>30.1</v>
      </c>
      <c r="G35" s="99">
        <v>0</v>
      </c>
      <c r="H35" s="99">
        <v>0</v>
      </c>
      <c r="I35" s="99">
        <v>0</v>
      </c>
      <c r="J35" s="99">
        <v>3000</v>
      </c>
      <c r="K35" s="99">
        <v>750</v>
      </c>
      <c r="L35" s="99">
        <v>4.6875</v>
      </c>
      <c r="M35" s="99">
        <v>0</v>
      </c>
      <c r="N35" s="99">
        <v>0</v>
      </c>
      <c r="O35" s="99">
        <v>0</v>
      </c>
      <c r="P35" s="99">
        <v>4700</v>
      </c>
      <c r="Q35" s="99">
        <v>588</v>
      </c>
      <c r="R35" s="99">
        <v>4.59375</v>
      </c>
      <c r="S35" s="99">
        <v>0</v>
      </c>
      <c r="T35" s="99">
        <v>0</v>
      </c>
      <c r="U35" s="99">
        <v>0</v>
      </c>
      <c r="V35" s="99">
        <v>39.381250000000001</v>
      </c>
      <c r="W35" s="99">
        <v>1</v>
      </c>
      <c r="X35" s="99">
        <v>0</v>
      </c>
      <c r="Y35" s="99">
        <v>0</v>
      </c>
      <c r="Z35" s="99">
        <v>65</v>
      </c>
      <c r="AA35" s="99">
        <v>25.618749999999999</v>
      </c>
      <c r="AB35" s="99">
        <v>5200</v>
      </c>
      <c r="AC35" s="99">
        <v>0</v>
      </c>
      <c r="AD35" s="99">
        <v>0</v>
      </c>
      <c r="AE35" s="99">
        <v>5200</v>
      </c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</row>
    <row r="36" spans="1:49" x14ac:dyDescent="0.3">
      <c r="A36" s="99" t="s">
        <v>40</v>
      </c>
      <c r="B36" s="99">
        <v>12</v>
      </c>
      <c r="C36" s="99" t="s">
        <v>262</v>
      </c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>
        <v>13.28125</v>
      </c>
      <c r="W36" s="99">
        <v>0</v>
      </c>
      <c r="X36" s="99">
        <v>0</v>
      </c>
      <c r="Y36" s="99">
        <v>13.28125</v>
      </c>
      <c r="Z36" s="99">
        <v>13.28125</v>
      </c>
      <c r="AA36" s="99">
        <v>0</v>
      </c>
      <c r="AB36" s="99">
        <v>0</v>
      </c>
      <c r="AC36" s="99">
        <v>0</v>
      </c>
      <c r="AD36" s="99">
        <v>929.69</v>
      </c>
      <c r="AE36" s="99">
        <v>929.69</v>
      </c>
      <c r="AF36" s="99">
        <v>2500</v>
      </c>
      <c r="AG36" s="99">
        <v>1250</v>
      </c>
      <c r="AH36" s="99">
        <v>12.5</v>
      </c>
      <c r="AI36" s="99">
        <v>1250</v>
      </c>
      <c r="AJ36" s="99">
        <v>2500</v>
      </c>
      <c r="AK36" s="99">
        <v>12.5</v>
      </c>
      <c r="AL36" s="99">
        <v>500</v>
      </c>
      <c r="AM36" s="99">
        <v>125</v>
      </c>
      <c r="AN36" s="99">
        <v>0.78125</v>
      </c>
      <c r="AO36" s="99">
        <v>125</v>
      </c>
      <c r="AP36" s="99">
        <v>500</v>
      </c>
      <c r="AQ36" s="99">
        <v>0.78125</v>
      </c>
      <c r="AR36" s="99"/>
      <c r="AS36" s="99"/>
      <c r="AT36" s="99"/>
      <c r="AU36" s="99"/>
      <c r="AV36" s="99"/>
      <c r="AW36" s="99"/>
    </row>
    <row r="37" spans="1:49" x14ac:dyDescent="0.3">
      <c r="A37" s="99" t="s">
        <v>110</v>
      </c>
      <c r="B37" s="99">
        <v>12</v>
      </c>
      <c r="C37" s="99" t="s">
        <v>262</v>
      </c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>
        <v>0.9375</v>
      </c>
      <c r="W37" s="99">
        <v>0</v>
      </c>
      <c r="X37" s="99">
        <v>0</v>
      </c>
      <c r="Y37" s="99">
        <v>0.9375</v>
      </c>
      <c r="Z37" s="99">
        <v>0.9375</v>
      </c>
      <c r="AA37" s="99">
        <v>0</v>
      </c>
      <c r="AB37" s="99">
        <v>0</v>
      </c>
      <c r="AC37" s="99">
        <v>0</v>
      </c>
      <c r="AD37" s="99">
        <v>32.81</v>
      </c>
      <c r="AE37" s="99">
        <v>32.81</v>
      </c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>
        <v>300</v>
      </c>
      <c r="AS37" s="99">
        <v>150</v>
      </c>
      <c r="AT37" s="99">
        <v>0.9375</v>
      </c>
      <c r="AU37" s="99">
        <v>150</v>
      </c>
      <c r="AV37" s="99">
        <v>300</v>
      </c>
      <c r="AW37" s="99">
        <v>0.9375</v>
      </c>
    </row>
    <row r="38" spans="1:49" x14ac:dyDescent="0.3">
      <c r="A38" s="99" t="s">
        <v>32</v>
      </c>
      <c r="B38" s="99">
        <v>13</v>
      </c>
      <c r="C38" s="99" t="s">
        <v>263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3000</v>
      </c>
      <c r="K38" s="99">
        <v>750</v>
      </c>
      <c r="L38" s="99">
        <v>4.6875</v>
      </c>
      <c r="M38" s="99">
        <v>750</v>
      </c>
      <c r="N38" s="99">
        <v>3000</v>
      </c>
      <c r="O38" s="99">
        <v>4.6875</v>
      </c>
      <c r="P38" s="99">
        <v>4746</v>
      </c>
      <c r="Q38" s="99">
        <v>594</v>
      </c>
      <c r="R38" s="99">
        <v>4.640625</v>
      </c>
      <c r="S38" s="99">
        <v>594</v>
      </c>
      <c r="T38" s="99">
        <v>4752</v>
      </c>
      <c r="U38" s="99">
        <v>4.640625</v>
      </c>
      <c r="V38" s="99">
        <v>9.328125</v>
      </c>
      <c r="W38" s="99">
        <v>0</v>
      </c>
      <c r="X38" s="99">
        <v>0</v>
      </c>
      <c r="Y38" s="99">
        <v>9.328125</v>
      </c>
      <c r="Z38" s="99">
        <v>9.328125</v>
      </c>
      <c r="AA38" s="99">
        <v>0</v>
      </c>
      <c r="AB38" s="99">
        <v>0</v>
      </c>
      <c r="AC38" s="99">
        <v>0</v>
      </c>
      <c r="AD38" s="99">
        <v>1865.62</v>
      </c>
      <c r="AE38" s="99">
        <v>1865.62</v>
      </c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</row>
    <row r="39" spans="1:49" x14ac:dyDescent="0.3">
      <c r="A39" s="99" t="s">
        <v>40</v>
      </c>
      <c r="B39" s="99">
        <v>13</v>
      </c>
      <c r="C39" s="99" t="s">
        <v>263</v>
      </c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>
        <v>13.28125</v>
      </c>
      <c r="W39" s="99">
        <v>0</v>
      </c>
      <c r="X39" s="99">
        <v>0</v>
      </c>
      <c r="Y39" s="99">
        <v>13.28125</v>
      </c>
      <c r="Z39" s="99">
        <v>13.28125</v>
      </c>
      <c r="AA39" s="99">
        <v>0</v>
      </c>
      <c r="AB39" s="99">
        <v>0</v>
      </c>
      <c r="AC39" s="99">
        <v>0</v>
      </c>
      <c r="AD39" s="99">
        <v>929.69</v>
      </c>
      <c r="AE39" s="99">
        <v>929.69</v>
      </c>
      <c r="AF39" s="99">
        <v>2500</v>
      </c>
      <c r="AG39" s="99">
        <v>1250</v>
      </c>
      <c r="AH39" s="99">
        <v>12.5</v>
      </c>
      <c r="AI39" s="99">
        <v>1250</v>
      </c>
      <c r="AJ39" s="99">
        <v>2500</v>
      </c>
      <c r="AK39" s="99">
        <v>12.5</v>
      </c>
      <c r="AL39" s="99">
        <v>500</v>
      </c>
      <c r="AM39" s="99">
        <v>125</v>
      </c>
      <c r="AN39" s="99">
        <v>0.78125</v>
      </c>
      <c r="AO39" s="99">
        <v>125</v>
      </c>
      <c r="AP39" s="99">
        <v>500</v>
      </c>
      <c r="AQ39" s="99">
        <v>0.78125</v>
      </c>
      <c r="AR39" s="99"/>
      <c r="AS39" s="99"/>
      <c r="AT39" s="99"/>
      <c r="AU39" s="99"/>
      <c r="AV39" s="99"/>
      <c r="AW39" s="99"/>
    </row>
    <row r="40" spans="1:49" x14ac:dyDescent="0.3">
      <c r="A40" s="99" t="s">
        <v>110</v>
      </c>
      <c r="B40" s="99">
        <v>13</v>
      </c>
      <c r="C40" s="99" t="s">
        <v>263</v>
      </c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>
        <v>0.9375</v>
      </c>
      <c r="W40" s="99">
        <v>0</v>
      </c>
      <c r="X40" s="99">
        <v>0</v>
      </c>
      <c r="Y40" s="99">
        <v>0.9375</v>
      </c>
      <c r="Z40" s="99">
        <v>0.9375</v>
      </c>
      <c r="AA40" s="99">
        <v>0</v>
      </c>
      <c r="AB40" s="99">
        <v>0</v>
      </c>
      <c r="AC40" s="99">
        <v>0</v>
      </c>
      <c r="AD40" s="99">
        <v>32.81</v>
      </c>
      <c r="AE40" s="99">
        <v>32.81</v>
      </c>
      <c r="AF40" s="99"/>
      <c r="AG40" s="99"/>
      <c r="AH40" s="99"/>
      <c r="AI40" s="99"/>
      <c r="AJ40" s="99"/>
      <c r="AK40" s="99"/>
      <c r="AL40" s="99"/>
      <c r="AM40" s="99"/>
      <c r="AN40" s="99"/>
      <c r="AO40" s="99"/>
      <c r="AP40" s="99"/>
      <c r="AQ40" s="99"/>
      <c r="AR40" s="99">
        <v>300</v>
      </c>
      <c r="AS40" s="99">
        <v>150</v>
      </c>
      <c r="AT40" s="99">
        <v>0.9375</v>
      </c>
      <c r="AU40" s="99">
        <v>150</v>
      </c>
      <c r="AV40" s="99">
        <v>300</v>
      </c>
      <c r="AW40" s="99">
        <v>0.9375</v>
      </c>
    </row>
    <row r="41" spans="1:49" x14ac:dyDescent="0.3">
      <c r="A41" s="99" t="s">
        <v>32</v>
      </c>
      <c r="B41" s="99">
        <v>14</v>
      </c>
      <c r="C41" s="99" t="s">
        <v>264</v>
      </c>
      <c r="D41" s="99">
        <v>0</v>
      </c>
      <c r="E41" s="99">
        <v>0</v>
      </c>
      <c r="F41" s="99">
        <v>0</v>
      </c>
      <c r="G41" s="99">
        <v>0</v>
      </c>
      <c r="H41" s="99">
        <v>0</v>
      </c>
      <c r="I41" s="99">
        <v>0</v>
      </c>
      <c r="J41" s="99">
        <v>2400</v>
      </c>
      <c r="K41" s="99">
        <v>600</v>
      </c>
      <c r="L41" s="99">
        <v>3.75</v>
      </c>
      <c r="M41" s="99">
        <v>600</v>
      </c>
      <c r="N41" s="99">
        <v>2400</v>
      </c>
      <c r="O41" s="99">
        <v>3.75</v>
      </c>
      <c r="P41" s="99">
        <v>4300</v>
      </c>
      <c r="Q41" s="99">
        <v>538</v>
      </c>
      <c r="R41" s="99">
        <v>4.203125</v>
      </c>
      <c r="S41" s="99">
        <v>538</v>
      </c>
      <c r="T41" s="99">
        <v>4304</v>
      </c>
      <c r="U41" s="99">
        <v>4.203125</v>
      </c>
      <c r="V41" s="99">
        <v>7.953125</v>
      </c>
      <c r="W41" s="99">
        <v>0</v>
      </c>
      <c r="X41" s="99">
        <v>0</v>
      </c>
      <c r="Y41" s="99">
        <v>7.953125</v>
      </c>
      <c r="Z41" s="99">
        <v>7.953125</v>
      </c>
      <c r="AA41" s="99">
        <v>0</v>
      </c>
      <c r="AB41" s="99">
        <v>0</v>
      </c>
      <c r="AC41" s="99">
        <v>0</v>
      </c>
      <c r="AD41" s="99">
        <v>1590.62</v>
      </c>
      <c r="AE41" s="99">
        <v>1590.62</v>
      </c>
      <c r="AF41" s="99"/>
      <c r="AG41" s="99"/>
      <c r="AH41" s="99"/>
      <c r="AI41" s="99"/>
      <c r="AJ41" s="99"/>
      <c r="AK41" s="99"/>
      <c r="AL41" s="99"/>
      <c r="AM41" s="99"/>
      <c r="AN41" s="99"/>
      <c r="AO41" s="99"/>
      <c r="AP41" s="99"/>
      <c r="AQ41" s="99"/>
      <c r="AR41" s="99"/>
      <c r="AS41" s="99"/>
      <c r="AT41" s="99"/>
      <c r="AU41" s="99"/>
      <c r="AV41" s="99"/>
      <c r="AW41" s="99"/>
    </row>
    <row r="42" spans="1:49" x14ac:dyDescent="0.3">
      <c r="A42" s="99" t="s">
        <v>40</v>
      </c>
      <c r="B42" s="99">
        <v>14</v>
      </c>
      <c r="C42" s="99" t="s">
        <v>264</v>
      </c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>
        <v>5</v>
      </c>
      <c r="W42" s="99">
        <v>0</v>
      </c>
      <c r="X42" s="99">
        <v>0</v>
      </c>
      <c r="Y42" s="99">
        <v>5</v>
      </c>
      <c r="Z42" s="99">
        <v>5</v>
      </c>
      <c r="AA42" s="99">
        <v>0</v>
      </c>
      <c r="AB42" s="99">
        <v>0</v>
      </c>
      <c r="AC42" s="99">
        <v>0</v>
      </c>
      <c r="AD42" s="99">
        <v>350</v>
      </c>
      <c r="AE42" s="99">
        <v>350</v>
      </c>
      <c r="AF42" s="99">
        <v>1000</v>
      </c>
      <c r="AG42" s="99">
        <v>500</v>
      </c>
      <c r="AH42" s="99">
        <v>5</v>
      </c>
      <c r="AI42" s="99">
        <v>500</v>
      </c>
      <c r="AJ42" s="99">
        <v>1000</v>
      </c>
      <c r="AK42" s="99">
        <v>5</v>
      </c>
      <c r="AL42" s="99">
        <v>0</v>
      </c>
      <c r="AM42" s="99">
        <v>0</v>
      </c>
      <c r="AN42" s="99">
        <v>0</v>
      </c>
      <c r="AO42" s="99">
        <v>0</v>
      </c>
      <c r="AP42" s="99">
        <v>0</v>
      </c>
      <c r="AQ42" s="99">
        <v>0</v>
      </c>
      <c r="AR42" s="99"/>
      <c r="AS42" s="99"/>
      <c r="AT42" s="99"/>
      <c r="AU42" s="99"/>
      <c r="AV42" s="99"/>
      <c r="AW42" s="99"/>
    </row>
    <row r="43" spans="1:49" x14ac:dyDescent="0.3">
      <c r="A43" s="99" t="s">
        <v>110</v>
      </c>
      <c r="B43" s="99">
        <v>14</v>
      </c>
      <c r="C43" s="99" t="s">
        <v>264</v>
      </c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>
        <v>0.9375</v>
      </c>
      <c r="W43" s="99">
        <v>0</v>
      </c>
      <c r="X43" s="99">
        <v>0</v>
      </c>
      <c r="Y43" s="99">
        <v>0.9375</v>
      </c>
      <c r="Z43" s="99">
        <v>0.9375</v>
      </c>
      <c r="AA43" s="99">
        <v>0</v>
      </c>
      <c r="AB43" s="99">
        <v>0</v>
      </c>
      <c r="AC43" s="99">
        <v>0</v>
      </c>
      <c r="AD43" s="99">
        <v>32.81</v>
      </c>
      <c r="AE43" s="99">
        <v>32.81</v>
      </c>
      <c r="AF43" s="99"/>
      <c r="AG43" s="99"/>
      <c r="AH43" s="99"/>
      <c r="AI43" s="99"/>
      <c r="AJ43" s="99"/>
      <c r="AK43" s="99"/>
      <c r="AL43" s="99"/>
      <c r="AM43" s="99"/>
      <c r="AN43" s="99"/>
      <c r="AO43" s="99"/>
      <c r="AP43" s="99"/>
      <c r="AQ43" s="99"/>
      <c r="AR43" s="99">
        <v>300</v>
      </c>
      <c r="AS43" s="99">
        <v>150</v>
      </c>
      <c r="AT43" s="99">
        <v>0.9375</v>
      </c>
      <c r="AU43" s="99">
        <v>150</v>
      </c>
      <c r="AV43" s="99">
        <v>300</v>
      </c>
      <c r="AW43" s="99">
        <v>0.9375</v>
      </c>
    </row>
    <row r="44" spans="1:49" x14ac:dyDescent="0.3">
      <c r="A44" s="99" t="s">
        <v>32</v>
      </c>
      <c r="B44" s="99">
        <v>15</v>
      </c>
      <c r="C44" s="99" t="s">
        <v>265</v>
      </c>
      <c r="D44" s="99">
        <v>27760</v>
      </c>
      <c r="E44" s="99">
        <v>6940</v>
      </c>
      <c r="F44" s="99">
        <v>69.400000000000006</v>
      </c>
      <c r="G44" s="99">
        <v>440</v>
      </c>
      <c r="H44" s="99">
        <v>1760</v>
      </c>
      <c r="I44" s="99">
        <v>4.4000000000000004</v>
      </c>
      <c r="J44" s="99">
        <v>2400</v>
      </c>
      <c r="K44" s="99">
        <v>600</v>
      </c>
      <c r="L44" s="99">
        <v>3.75</v>
      </c>
      <c r="M44" s="99">
        <v>600</v>
      </c>
      <c r="N44" s="99">
        <v>2400</v>
      </c>
      <c r="O44" s="99">
        <v>3.75</v>
      </c>
      <c r="P44" s="99">
        <v>476</v>
      </c>
      <c r="Q44" s="99">
        <v>60</v>
      </c>
      <c r="R44" s="99">
        <v>0.46875</v>
      </c>
      <c r="S44" s="99">
        <v>60</v>
      </c>
      <c r="T44" s="99">
        <v>480</v>
      </c>
      <c r="U44" s="99">
        <v>0.46875</v>
      </c>
      <c r="V44" s="99">
        <v>73.618750000000006</v>
      </c>
      <c r="W44" s="99">
        <v>1</v>
      </c>
      <c r="X44" s="99">
        <v>0</v>
      </c>
      <c r="Y44" s="99">
        <v>8.6187500000000004</v>
      </c>
      <c r="Z44" s="99">
        <v>73.618750000000006</v>
      </c>
      <c r="AA44" s="99">
        <v>0</v>
      </c>
      <c r="AB44" s="99">
        <v>5200</v>
      </c>
      <c r="AC44" s="99">
        <v>0</v>
      </c>
      <c r="AD44" s="99">
        <v>1723.75</v>
      </c>
      <c r="AE44" s="99">
        <v>6923.75</v>
      </c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</row>
    <row r="45" spans="1:49" x14ac:dyDescent="0.3">
      <c r="A45" s="99" t="s">
        <v>40</v>
      </c>
      <c r="B45" s="99">
        <v>15</v>
      </c>
      <c r="C45" s="99" t="s">
        <v>265</v>
      </c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>
        <v>5</v>
      </c>
      <c r="W45" s="99">
        <v>0</v>
      </c>
      <c r="X45" s="99">
        <v>0</v>
      </c>
      <c r="Y45" s="99">
        <v>5</v>
      </c>
      <c r="Z45" s="99">
        <v>5</v>
      </c>
      <c r="AA45" s="99">
        <v>0</v>
      </c>
      <c r="AB45" s="99">
        <v>0</v>
      </c>
      <c r="AC45" s="99">
        <v>0</v>
      </c>
      <c r="AD45" s="99">
        <v>350</v>
      </c>
      <c r="AE45" s="99">
        <v>350</v>
      </c>
      <c r="AF45" s="99">
        <v>1000</v>
      </c>
      <c r="AG45" s="99">
        <v>500</v>
      </c>
      <c r="AH45" s="99">
        <v>5</v>
      </c>
      <c r="AI45" s="99">
        <v>500</v>
      </c>
      <c r="AJ45" s="99">
        <v>1000</v>
      </c>
      <c r="AK45" s="99">
        <v>5</v>
      </c>
      <c r="AL45" s="99">
        <v>0</v>
      </c>
      <c r="AM45" s="99">
        <v>0</v>
      </c>
      <c r="AN45" s="99">
        <v>0</v>
      </c>
      <c r="AO45" s="99">
        <v>0</v>
      </c>
      <c r="AP45" s="99">
        <v>0</v>
      </c>
      <c r="AQ45" s="99">
        <v>0</v>
      </c>
      <c r="AR45" s="99"/>
      <c r="AS45" s="99"/>
      <c r="AT45" s="99"/>
      <c r="AU45" s="99"/>
      <c r="AV45" s="99"/>
      <c r="AW45" s="99"/>
    </row>
    <row r="46" spans="1:49" x14ac:dyDescent="0.3">
      <c r="A46" s="99" t="s">
        <v>110</v>
      </c>
      <c r="B46" s="99">
        <v>15</v>
      </c>
      <c r="C46" s="99" t="s">
        <v>265</v>
      </c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>
        <v>0</v>
      </c>
      <c r="W46" s="99">
        <v>0</v>
      </c>
      <c r="X46" s="99">
        <v>0</v>
      </c>
      <c r="Y46" s="99">
        <v>0</v>
      </c>
      <c r="Z46" s="99">
        <v>0</v>
      </c>
      <c r="AA46" s="99">
        <v>0</v>
      </c>
      <c r="AB46" s="99">
        <v>0</v>
      </c>
      <c r="AC46" s="99">
        <v>0</v>
      </c>
      <c r="AD46" s="99">
        <v>0</v>
      </c>
      <c r="AE46" s="99">
        <v>0</v>
      </c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>
        <v>0</v>
      </c>
      <c r="AS46" s="99">
        <v>0</v>
      </c>
      <c r="AT46" s="99">
        <v>0</v>
      </c>
      <c r="AU46" s="99">
        <v>0</v>
      </c>
      <c r="AV46" s="99">
        <v>0</v>
      </c>
      <c r="AW46" s="99">
        <v>0</v>
      </c>
    </row>
    <row r="47" spans="1:49" x14ac:dyDescent="0.3">
      <c r="A47" s="99" t="s">
        <v>32</v>
      </c>
      <c r="B47" s="99">
        <v>16</v>
      </c>
      <c r="C47" s="99" t="s">
        <v>266</v>
      </c>
      <c r="D47" s="99">
        <v>26486</v>
      </c>
      <c r="E47" s="99">
        <v>6622</v>
      </c>
      <c r="F47" s="99">
        <v>66.22</v>
      </c>
      <c r="G47" s="99">
        <v>122</v>
      </c>
      <c r="H47" s="99">
        <v>488</v>
      </c>
      <c r="I47" s="99">
        <v>1.22</v>
      </c>
      <c r="J47" s="99">
        <v>0</v>
      </c>
      <c r="K47" s="99">
        <v>0</v>
      </c>
      <c r="L47" s="99">
        <v>0</v>
      </c>
      <c r="M47" s="99">
        <v>0</v>
      </c>
      <c r="N47" s="99">
        <v>0</v>
      </c>
      <c r="O47" s="99">
        <v>0</v>
      </c>
      <c r="P47" s="99">
        <v>1298</v>
      </c>
      <c r="Q47" s="99">
        <v>163</v>
      </c>
      <c r="R47" s="99">
        <v>1.2734380000000001</v>
      </c>
      <c r="S47" s="99">
        <v>163</v>
      </c>
      <c r="T47" s="99">
        <v>1304</v>
      </c>
      <c r="U47" s="99">
        <v>1.2734380000000001</v>
      </c>
      <c r="V47" s="99">
        <v>67.493437</v>
      </c>
      <c r="W47" s="99">
        <v>1</v>
      </c>
      <c r="X47" s="99">
        <v>0</v>
      </c>
      <c r="Y47" s="99">
        <v>2.4934370000000001</v>
      </c>
      <c r="Z47" s="99">
        <v>67.493437</v>
      </c>
      <c r="AA47" s="99">
        <v>0</v>
      </c>
      <c r="AB47" s="99">
        <v>5200</v>
      </c>
      <c r="AC47" s="99">
        <v>0</v>
      </c>
      <c r="AD47" s="99">
        <v>498.69</v>
      </c>
      <c r="AE47" s="99">
        <v>5698.69</v>
      </c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99"/>
      <c r="AV47" s="99"/>
      <c r="AW47" s="99"/>
    </row>
    <row r="48" spans="1:49" x14ac:dyDescent="0.3">
      <c r="A48" s="99" t="s">
        <v>40</v>
      </c>
      <c r="B48" s="99">
        <v>16</v>
      </c>
      <c r="C48" s="99" t="s">
        <v>266</v>
      </c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>
        <v>5.625</v>
      </c>
      <c r="W48" s="99">
        <v>0</v>
      </c>
      <c r="X48" s="99">
        <v>0</v>
      </c>
      <c r="Y48" s="99">
        <v>5.625</v>
      </c>
      <c r="Z48" s="99">
        <v>5.625</v>
      </c>
      <c r="AA48" s="99">
        <v>0</v>
      </c>
      <c r="AB48" s="99">
        <v>0</v>
      </c>
      <c r="AC48" s="99">
        <v>0</v>
      </c>
      <c r="AD48" s="99">
        <v>393.75</v>
      </c>
      <c r="AE48" s="99">
        <v>393.75</v>
      </c>
      <c r="AF48" s="99">
        <v>1000</v>
      </c>
      <c r="AG48" s="99">
        <v>500</v>
      </c>
      <c r="AH48" s="99">
        <v>5</v>
      </c>
      <c r="AI48" s="99">
        <v>500</v>
      </c>
      <c r="AJ48" s="99">
        <v>1000</v>
      </c>
      <c r="AK48" s="99">
        <v>5</v>
      </c>
      <c r="AL48" s="99">
        <v>400</v>
      </c>
      <c r="AM48" s="99">
        <v>100</v>
      </c>
      <c r="AN48" s="99">
        <v>0.625</v>
      </c>
      <c r="AO48" s="99">
        <v>100</v>
      </c>
      <c r="AP48" s="99">
        <v>400</v>
      </c>
      <c r="AQ48" s="99">
        <v>0.625</v>
      </c>
      <c r="AR48" s="99"/>
      <c r="AS48" s="99"/>
      <c r="AT48" s="99"/>
      <c r="AU48" s="99"/>
      <c r="AV48" s="99"/>
      <c r="AW48" s="99"/>
    </row>
    <row r="49" spans="1:49" x14ac:dyDescent="0.3">
      <c r="A49" s="99" t="s">
        <v>110</v>
      </c>
      <c r="B49" s="99">
        <v>16</v>
      </c>
      <c r="C49" s="99" t="s">
        <v>266</v>
      </c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>
        <v>0</v>
      </c>
      <c r="W49" s="99">
        <v>0</v>
      </c>
      <c r="X49" s="99">
        <v>0</v>
      </c>
      <c r="Y49" s="99">
        <v>0</v>
      </c>
      <c r="Z49" s="99">
        <v>0</v>
      </c>
      <c r="AA49" s="99">
        <v>0</v>
      </c>
      <c r="AB49" s="99">
        <v>0</v>
      </c>
      <c r="AC49" s="99">
        <v>0</v>
      </c>
      <c r="AD49" s="99">
        <v>0</v>
      </c>
      <c r="AE49" s="99">
        <v>0</v>
      </c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/>
      <c r="AQ49" s="99"/>
      <c r="AR49" s="99">
        <v>0</v>
      </c>
      <c r="AS49" s="99">
        <v>0</v>
      </c>
      <c r="AT49" s="99">
        <v>0</v>
      </c>
      <c r="AU49" s="99">
        <v>0</v>
      </c>
      <c r="AV49" s="99">
        <v>0</v>
      </c>
      <c r="AW49" s="99">
        <v>0</v>
      </c>
    </row>
    <row r="50" spans="1:49" x14ac:dyDescent="0.3">
      <c r="A50" s="99" t="s">
        <v>32</v>
      </c>
      <c r="B50" s="99">
        <v>17</v>
      </c>
      <c r="C50" s="99" t="s">
        <v>267</v>
      </c>
      <c r="D50" s="99">
        <v>4248</v>
      </c>
      <c r="E50" s="99">
        <v>1062</v>
      </c>
      <c r="F50" s="99">
        <v>10.62</v>
      </c>
      <c r="G50" s="99">
        <v>0</v>
      </c>
      <c r="H50" s="99">
        <v>0</v>
      </c>
      <c r="I50" s="99">
        <v>0</v>
      </c>
      <c r="J50" s="99">
        <v>2400</v>
      </c>
      <c r="K50" s="99">
        <v>600</v>
      </c>
      <c r="L50" s="99">
        <v>3.75</v>
      </c>
      <c r="M50" s="99">
        <v>0</v>
      </c>
      <c r="N50" s="99">
        <v>0</v>
      </c>
      <c r="O50" s="99">
        <v>0</v>
      </c>
      <c r="P50" s="99">
        <v>1300</v>
      </c>
      <c r="Q50" s="99">
        <v>163</v>
      </c>
      <c r="R50" s="99">
        <v>1.2734380000000001</v>
      </c>
      <c r="S50" s="99">
        <v>0</v>
      </c>
      <c r="T50" s="99">
        <v>0</v>
      </c>
      <c r="U50" s="99">
        <v>0</v>
      </c>
      <c r="V50" s="99">
        <v>15.643438</v>
      </c>
      <c r="W50" s="99">
        <v>0</v>
      </c>
      <c r="X50" s="99">
        <v>1</v>
      </c>
      <c r="Y50" s="99">
        <v>0</v>
      </c>
      <c r="Z50" s="99">
        <v>28</v>
      </c>
      <c r="AA50" s="99">
        <v>12.356562</v>
      </c>
      <c r="AB50" s="99">
        <v>0</v>
      </c>
      <c r="AC50" s="99">
        <v>3000</v>
      </c>
      <c r="AD50" s="99">
        <v>0</v>
      </c>
      <c r="AE50" s="99">
        <v>3000</v>
      </c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</row>
    <row r="51" spans="1:49" x14ac:dyDescent="0.3">
      <c r="A51" s="99" t="s">
        <v>40</v>
      </c>
      <c r="B51" s="99">
        <v>17</v>
      </c>
      <c r="C51" s="99" t="s">
        <v>267</v>
      </c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>
        <v>5</v>
      </c>
      <c r="W51" s="99">
        <v>0</v>
      </c>
      <c r="X51" s="99">
        <v>0</v>
      </c>
      <c r="Y51" s="99">
        <v>5</v>
      </c>
      <c r="Z51" s="99">
        <v>5</v>
      </c>
      <c r="AA51" s="99">
        <v>0</v>
      </c>
      <c r="AB51" s="99">
        <v>0</v>
      </c>
      <c r="AC51" s="99">
        <v>0</v>
      </c>
      <c r="AD51" s="99">
        <v>350</v>
      </c>
      <c r="AE51" s="99">
        <v>350</v>
      </c>
      <c r="AF51" s="99">
        <v>1000</v>
      </c>
      <c r="AG51" s="99">
        <v>500</v>
      </c>
      <c r="AH51" s="99">
        <v>5</v>
      </c>
      <c r="AI51" s="99">
        <v>500</v>
      </c>
      <c r="AJ51" s="99">
        <v>1000</v>
      </c>
      <c r="AK51" s="99">
        <v>5</v>
      </c>
      <c r="AL51" s="99">
        <v>0</v>
      </c>
      <c r="AM51" s="99">
        <v>0</v>
      </c>
      <c r="AN51" s="99">
        <v>0</v>
      </c>
      <c r="AO51" s="99">
        <v>0</v>
      </c>
      <c r="AP51" s="99">
        <v>0</v>
      </c>
      <c r="AQ51" s="99">
        <v>0</v>
      </c>
      <c r="AR51" s="99"/>
      <c r="AS51" s="99"/>
      <c r="AT51" s="99"/>
      <c r="AU51" s="99"/>
      <c r="AV51" s="99"/>
      <c r="AW51" s="99"/>
    </row>
    <row r="52" spans="1:49" x14ac:dyDescent="0.3">
      <c r="A52" s="99" t="s">
        <v>110</v>
      </c>
      <c r="B52" s="99">
        <v>17</v>
      </c>
      <c r="C52" s="99" t="s">
        <v>267</v>
      </c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>
        <v>0.9375</v>
      </c>
      <c r="W52" s="99">
        <v>0</v>
      </c>
      <c r="X52" s="99">
        <v>0</v>
      </c>
      <c r="Y52" s="99">
        <v>0.9375</v>
      </c>
      <c r="Z52" s="99">
        <v>0.9375</v>
      </c>
      <c r="AA52" s="99">
        <v>0</v>
      </c>
      <c r="AB52" s="99">
        <v>0</v>
      </c>
      <c r="AC52" s="99">
        <v>0</v>
      </c>
      <c r="AD52" s="99">
        <v>32.81</v>
      </c>
      <c r="AE52" s="99">
        <v>32.81</v>
      </c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>
        <v>300</v>
      </c>
      <c r="AS52" s="99">
        <v>150</v>
      </c>
      <c r="AT52" s="99">
        <v>0.9375</v>
      </c>
      <c r="AU52" s="99">
        <v>150</v>
      </c>
      <c r="AV52" s="99">
        <v>300</v>
      </c>
      <c r="AW52" s="99">
        <v>0.9375</v>
      </c>
    </row>
    <row r="53" spans="1:49" x14ac:dyDescent="0.3">
      <c r="A53" s="99" t="s">
        <v>32</v>
      </c>
      <c r="B53" s="99">
        <v>18</v>
      </c>
      <c r="C53" s="99" t="s">
        <v>268</v>
      </c>
      <c r="D53" s="99">
        <v>4248</v>
      </c>
      <c r="E53" s="99">
        <v>1062</v>
      </c>
      <c r="F53" s="99">
        <v>10.62</v>
      </c>
      <c r="G53" s="99">
        <v>0</v>
      </c>
      <c r="H53" s="99">
        <v>0</v>
      </c>
      <c r="I53" s="99">
        <v>0</v>
      </c>
      <c r="J53" s="99">
        <v>2400</v>
      </c>
      <c r="K53" s="99">
        <v>600</v>
      </c>
      <c r="L53" s="99">
        <v>3.75</v>
      </c>
      <c r="M53" s="99">
        <v>0</v>
      </c>
      <c r="N53" s="99">
        <v>0</v>
      </c>
      <c r="O53" s="99">
        <v>0</v>
      </c>
      <c r="P53" s="99">
        <v>1298</v>
      </c>
      <c r="Q53" s="99">
        <v>163</v>
      </c>
      <c r="R53" s="99">
        <v>1.2734380000000001</v>
      </c>
      <c r="S53" s="99">
        <v>0</v>
      </c>
      <c r="T53" s="99">
        <v>0</v>
      </c>
      <c r="U53" s="99">
        <v>0</v>
      </c>
      <c r="V53" s="99">
        <v>15.643438</v>
      </c>
      <c r="W53" s="99">
        <v>0</v>
      </c>
      <c r="X53" s="99">
        <v>1</v>
      </c>
      <c r="Y53" s="99">
        <v>0</v>
      </c>
      <c r="Z53" s="99">
        <v>28</v>
      </c>
      <c r="AA53" s="99">
        <v>12.356562</v>
      </c>
      <c r="AB53" s="99">
        <v>0</v>
      </c>
      <c r="AC53" s="99">
        <v>3000</v>
      </c>
      <c r="AD53" s="99">
        <v>0</v>
      </c>
      <c r="AE53" s="99">
        <v>3000</v>
      </c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99"/>
    </row>
    <row r="54" spans="1:49" x14ac:dyDescent="0.3">
      <c r="A54" s="99" t="s">
        <v>40</v>
      </c>
      <c r="B54" s="99">
        <v>18</v>
      </c>
      <c r="C54" s="99" t="s">
        <v>268</v>
      </c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>
        <v>5</v>
      </c>
      <c r="W54" s="99">
        <v>0</v>
      </c>
      <c r="X54" s="99">
        <v>0</v>
      </c>
      <c r="Y54" s="99">
        <v>5</v>
      </c>
      <c r="Z54" s="99">
        <v>5</v>
      </c>
      <c r="AA54" s="99">
        <v>0</v>
      </c>
      <c r="AB54" s="99">
        <v>0</v>
      </c>
      <c r="AC54" s="99">
        <v>0</v>
      </c>
      <c r="AD54" s="99">
        <v>350</v>
      </c>
      <c r="AE54" s="99">
        <v>350</v>
      </c>
      <c r="AF54" s="99">
        <v>1000</v>
      </c>
      <c r="AG54" s="99">
        <v>500</v>
      </c>
      <c r="AH54" s="99">
        <v>5</v>
      </c>
      <c r="AI54" s="99">
        <v>500</v>
      </c>
      <c r="AJ54" s="99">
        <v>1000</v>
      </c>
      <c r="AK54" s="99">
        <v>5</v>
      </c>
      <c r="AL54" s="99">
        <v>0</v>
      </c>
      <c r="AM54" s="99">
        <v>0</v>
      </c>
      <c r="AN54" s="99">
        <v>0</v>
      </c>
      <c r="AO54" s="99">
        <v>0</v>
      </c>
      <c r="AP54" s="99">
        <v>0</v>
      </c>
      <c r="AQ54" s="99">
        <v>0</v>
      </c>
      <c r="AR54" s="99"/>
      <c r="AS54" s="99"/>
      <c r="AT54" s="99"/>
      <c r="AU54" s="99"/>
      <c r="AV54" s="99"/>
      <c r="AW54" s="99"/>
    </row>
    <row r="55" spans="1:49" x14ac:dyDescent="0.3">
      <c r="A55" s="99" t="s">
        <v>110</v>
      </c>
      <c r="B55" s="99">
        <v>18</v>
      </c>
      <c r="C55" s="99" t="s">
        <v>268</v>
      </c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>
        <v>0</v>
      </c>
      <c r="W55" s="99">
        <v>0</v>
      </c>
      <c r="X55" s="99">
        <v>0</v>
      </c>
      <c r="Y55" s="99">
        <v>0</v>
      </c>
      <c r="Z55" s="99">
        <v>0</v>
      </c>
      <c r="AA55" s="99">
        <v>0</v>
      </c>
      <c r="AB55" s="99">
        <v>0</v>
      </c>
      <c r="AC55" s="99">
        <v>0</v>
      </c>
      <c r="AD55" s="99">
        <v>0</v>
      </c>
      <c r="AE55" s="99">
        <v>0</v>
      </c>
      <c r="AF55" s="99"/>
      <c r="AG55" s="99"/>
      <c r="AH55" s="99"/>
      <c r="AI55" s="99"/>
      <c r="AJ55" s="99"/>
      <c r="AK55" s="99"/>
      <c r="AL55" s="99"/>
      <c r="AM55" s="99"/>
      <c r="AN55" s="99"/>
      <c r="AO55" s="99"/>
      <c r="AP55" s="99"/>
      <c r="AQ55" s="99"/>
      <c r="AR55" s="99">
        <v>0</v>
      </c>
      <c r="AS55" s="99">
        <v>0</v>
      </c>
      <c r="AT55" s="99">
        <v>0</v>
      </c>
      <c r="AU55" s="99">
        <v>0</v>
      </c>
      <c r="AV55" s="99">
        <v>0</v>
      </c>
      <c r="AW55" s="99">
        <v>0</v>
      </c>
    </row>
    <row r="56" spans="1:49" x14ac:dyDescent="0.3">
      <c r="A56" s="99" t="s">
        <v>32</v>
      </c>
      <c r="B56" s="99">
        <v>19</v>
      </c>
      <c r="C56" s="99" t="s">
        <v>269</v>
      </c>
      <c r="D56" s="99">
        <v>4249</v>
      </c>
      <c r="E56" s="99">
        <v>1063</v>
      </c>
      <c r="F56" s="99">
        <v>10.63</v>
      </c>
      <c r="G56" s="99">
        <v>0</v>
      </c>
      <c r="H56" s="99">
        <v>0</v>
      </c>
      <c r="I56" s="99">
        <v>0</v>
      </c>
      <c r="J56" s="99">
        <v>3750</v>
      </c>
      <c r="K56" s="99">
        <v>938</v>
      </c>
      <c r="L56" s="99">
        <v>5.8624999999999998</v>
      </c>
      <c r="M56" s="99">
        <v>0</v>
      </c>
      <c r="N56" s="99">
        <v>0</v>
      </c>
      <c r="O56" s="99">
        <v>0</v>
      </c>
      <c r="P56" s="99">
        <v>1506</v>
      </c>
      <c r="Q56" s="99">
        <v>189</v>
      </c>
      <c r="R56" s="99">
        <v>1.4765619999999999</v>
      </c>
      <c r="S56" s="99">
        <v>0</v>
      </c>
      <c r="T56" s="99">
        <v>0</v>
      </c>
      <c r="U56" s="99">
        <v>0</v>
      </c>
      <c r="V56" s="99">
        <v>17.969062000000001</v>
      </c>
      <c r="W56" s="99">
        <v>0</v>
      </c>
      <c r="X56" s="99">
        <v>1</v>
      </c>
      <c r="Y56" s="99">
        <v>0</v>
      </c>
      <c r="Z56" s="99">
        <v>28</v>
      </c>
      <c r="AA56" s="99">
        <v>10.030938000000001</v>
      </c>
      <c r="AB56" s="99">
        <v>0</v>
      </c>
      <c r="AC56" s="99">
        <v>3000</v>
      </c>
      <c r="AD56" s="99">
        <v>0</v>
      </c>
      <c r="AE56" s="99">
        <v>3000</v>
      </c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</row>
    <row r="57" spans="1:49" x14ac:dyDescent="0.3">
      <c r="A57" s="99" t="s">
        <v>40</v>
      </c>
      <c r="B57" s="99">
        <v>19</v>
      </c>
      <c r="C57" s="99" t="s">
        <v>269</v>
      </c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>
        <v>4.375</v>
      </c>
      <c r="W57" s="99">
        <v>0</v>
      </c>
      <c r="X57" s="99">
        <v>0</v>
      </c>
      <c r="Y57" s="99">
        <v>4.375</v>
      </c>
      <c r="Z57" s="99">
        <v>4.375</v>
      </c>
      <c r="AA57" s="99">
        <v>0</v>
      </c>
      <c r="AB57" s="99">
        <v>0</v>
      </c>
      <c r="AC57" s="99">
        <v>0</v>
      </c>
      <c r="AD57" s="99">
        <v>306.25</v>
      </c>
      <c r="AE57" s="99">
        <v>306.25</v>
      </c>
      <c r="AF57" s="99">
        <v>750</v>
      </c>
      <c r="AG57" s="99">
        <v>375</v>
      </c>
      <c r="AH57" s="99">
        <v>3.75</v>
      </c>
      <c r="AI57" s="99">
        <v>375</v>
      </c>
      <c r="AJ57" s="99">
        <v>750</v>
      </c>
      <c r="AK57" s="99">
        <v>3.75</v>
      </c>
      <c r="AL57" s="99">
        <v>400</v>
      </c>
      <c r="AM57" s="99">
        <v>100</v>
      </c>
      <c r="AN57" s="99">
        <v>0.625</v>
      </c>
      <c r="AO57" s="99">
        <v>100</v>
      </c>
      <c r="AP57" s="99">
        <v>400</v>
      </c>
      <c r="AQ57" s="99">
        <v>0.625</v>
      </c>
      <c r="AR57" s="99"/>
      <c r="AS57" s="99"/>
      <c r="AT57" s="99"/>
      <c r="AU57" s="99"/>
      <c r="AV57" s="99"/>
      <c r="AW57" s="99"/>
    </row>
    <row r="58" spans="1:49" x14ac:dyDescent="0.3">
      <c r="A58" s="99" t="s">
        <v>110</v>
      </c>
      <c r="B58" s="99">
        <v>19</v>
      </c>
      <c r="C58" s="99" t="s">
        <v>269</v>
      </c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>
        <v>0</v>
      </c>
      <c r="W58" s="99">
        <v>0</v>
      </c>
      <c r="X58" s="99">
        <v>0</v>
      </c>
      <c r="Y58" s="99">
        <v>0</v>
      </c>
      <c r="Z58" s="99">
        <v>0</v>
      </c>
      <c r="AA58" s="99">
        <v>0</v>
      </c>
      <c r="AB58" s="99">
        <v>0</v>
      </c>
      <c r="AC58" s="99">
        <v>0</v>
      </c>
      <c r="AD58" s="99">
        <v>0</v>
      </c>
      <c r="AE58" s="99">
        <v>0</v>
      </c>
      <c r="AF58" s="99"/>
      <c r="AG58" s="99"/>
      <c r="AH58" s="99"/>
      <c r="AI58" s="99"/>
      <c r="AJ58" s="99"/>
      <c r="AK58" s="99"/>
      <c r="AL58" s="99"/>
      <c r="AM58" s="99"/>
      <c r="AN58" s="99"/>
      <c r="AO58" s="99"/>
      <c r="AP58" s="99"/>
      <c r="AQ58" s="99"/>
      <c r="AR58" s="99">
        <v>0</v>
      </c>
      <c r="AS58" s="99">
        <v>0</v>
      </c>
      <c r="AT58" s="99">
        <v>0</v>
      </c>
      <c r="AU58" s="99">
        <v>0</v>
      </c>
      <c r="AV58" s="99">
        <v>0</v>
      </c>
      <c r="AW58" s="99">
        <v>0</v>
      </c>
    </row>
    <row r="59" spans="1:49" x14ac:dyDescent="0.3">
      <c r="A59" s="99" t="s">
        <v>32</v>
      </c>
      <c r="B59" s="99">
        <v>20</v>
      </c>
      <c r="C59" s="99" t="s">
        <v>270</v>
      </c>
      <c r="D59" s="99">
        <v>4248</v>
      </c>
      <c r="E59" s="99">
        <v>1062</v>
      </c>
      <c r="F59" s="99">
        <v>10.62</v>
      </c>
      <c r="G59" s="99">
        <v>0</v>
      </c>
      <c r="H59" s="99">
        <v>0</v>
      </c>
      <c r="I59" s="99">
        <v>0</v>
      </c>
      <c r="J59" s="99">
        <v>3750</v>
      </c>
      <c r="K59" s="99">
        <v>938</v>
      </c>
      <c r="L59" s="99">
        <v>5.8624999999999998</v>
      </c>
      <c r="M59" s="99">
        <v>0</v>
      </c>
      <c r="N59" s="99">
        <v>0</v>
      </c>
      <c r="O59" s="99">
        <v>0</v>
      </c>
      <c r="P59" s="99">
        <v>1506</v>
      </c>
      <c r="Q59" s="99">
        <v>189</v>
      </c>
      <c r="R59" s="99">
        <v>1.4765619999999999</v>
      </c>
      <c r="S59" s="99">
        <v>0</v>
      </c>
      <c r="T59" s="99">
        <v>0</v>
      </c>
      <c r="U59" s="99">
        <v>0</v>
      </c>
      <c r="V59" s="99">
        <v>17.959063</v>
      </c>
      <c r="W59" s="99">
        <v>0</v>
      </c>
      <c r="X59" s="99">
        <v>1</v>
      </c>
      <c r="Y59" s="99">
        <v>0</v>
      </c>
      <c r="Z59" s="99">
        <v>28</v>
      </c>
      <c r="AA59" s="99">
        <v>10.040937</v>
      </c>
      <c r="AB59" s="99">
        <v>0</v>
      </c>
      <c r="AC59" s="99">
        <v>3000</v>
      </c>
      <c r="AD59" s="99">
        <v>0</v>
      </c>
      <c r="AE59" s="99">
        <v>3000</v>
      </c>
      <c r="AF59" s="99"/>
      <c r="AG59" s="99"/>
      <c r="AH59" s="99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  <c r="AT59" s="99"/>
      <c r="AU59" s="99"/>
      <c r="AV59" s="99"/>
      <c r="AW59" s="99"/>
    </row>
    <row r="60" spans="1:49" x14ac:dyDescent="0.3">
      <c r="A60" s="99" t="s">
        <v>40</v>
      </c>
      <c r="B60" s="99">
        <v>20</v>
      </c>
      <c r="C60" s="99" t="s">
        <v>270</v>
      </c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>
        <v>3.75</v>
      </c>
      <c r="W60" s="99">
        <v>0</v>
      </c>
      <c r="X60" s="99">
        <v>0</v>
      </c>
      <c r="Y60" s="99">
        <v>3.75</v>
      </c>
      <c r="Z60" s="99">
        <v>3.75</v>
      </c>
      <c r="AA60" s="99">
        <v>0</v>
      </c>
      <c r="AB60" s="99">
        <v>0</v>
      </c>
      <c r="AC60" s="99">
        <v>0</v>
      </c>
      <c r="AD60" s="99">
        <v>262.5</v>
      </c>
      <c r="AE60" s="99">
        <v>262.5</v>
      </c>
      <c r="AF60" s="99">
        <v>750</v>
      </c>
      <c r="AG60" s="99">
        <v>375</v>
      </c>
      <c r="AH60" s="99">
        <v>3.75</v>
      </c>
      <c r="AI60" s="99">
        <v>375</v>
      </c>
      <c r="AJ60" s="99">
        <v>750</v>
      </c>
      <c r="AK60" s="99">
        <v>3.75</v>
      </c>
      <c r="AL60" s="99">
        <v>0</v>
      </c>
      <c r="AM60" s="99">
        <v>0</v>
      </c>
      <c r="AN60" s="99">
        <v>0</v>
      </c>
      <c r="AO60" s="99">
        <v>0</v>
      </c>
      <c r="AP60" s="99">
        <v>0</v>
      </c>
      <c r="AQ60" s="99">
        <v>0</v>
      </c>
      <c r="AR60" s="99"/>
      <c r="AS60" s="99"/>
      <c r="AT60" s="99"/>
      <c r="AU60" s="99"/>
      <c r="AV60" s="99"/>
      <c r="AW60" s="99"/>
    </row>
    <row r="61" spans="1:49" x14ac:dyDescent="0.3">
      <c r="A61" s="99" t="s">
        <v>110</v>
      </c>
      <c r="B61" s="99">
        <v>20</v>
      </c>
      <c r="C61" s="99" t="s">
        <v>270</v>
      </c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>
        <v>0.9375</v>
      </c>
      <c r="W61" s="99">
        <v>0</v>
      </c>
      <c r="X61" s="99">
        <v>0</v>
      </c>
      <c r="Y61" s="99">
        <v>0.9375</v>
      </c>
      <c r="Z61" s="99">
        <v>0.9375</v>
      </c>
      <c r="AA61" s="99">
        <v>0</v>
      </c>
      <c r="AB61" s="99">
        <v>0</v>
      </c>
      <c r="AC61" s="99">
        <v>0</v>
      </c>
      <c r="AD61" s="99">
        <v>32.81</v>
      </c>
      <c r="AE61" s="99">
        <v>32.81</v>
      </c>
      <c r="AF61" s="99"/>
      <c r="AG61" s="99"/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9">
        <v>300</v>
      </c>
      <c r="AS61" s="99">
        <v>150</v>
      </c>
      <c r="AT61" s="99">
        <v>0.9375</v>
      </c>
      <c r="AU61" s="99">
        <v>150</v>
      </c>
      <c r="AV61" s="99">
        <v>300</v>
      </c>
      <c r="AW61" s="99">
        <v>0.9375</v>
      </c>
    </row>
    <row r="62" spans="1:49" x14ac:dyDescent="0.3">
      <c r="A62" s="99" t="s">
        <v>32</v>
      </c>
      <c r="B62" s="99">
        <v>21</v>
      </c>
      <c r="C62" s="99" t="s">
        <v>271</v>
      </c>
      <c r="D62" s="99">
        <v>2391</v>
      </c>
      <c r="E62" s="99">
        <v>598</v>
      </c>
      <c r="F62" s="99">
        <v>5.98</v>
      </c>
      <c r="G62" s="99">
        <v>598</v>
      </c>
      <c r="H62" s="99">
        <v>2392</v>
      </c>
      <c r="I62" s="99">
        <v>5.98</v>
      </c>
      <c r="J62" s="99">
        <v>3750</v>
      </c>
      <c r="K62" s="99">
        <v>938</v>
      </c>
      <c r="L62" s="99">
        <v>5.8624999999999998</v>
      </c>
      <c r="M62" s="99">
        <v>938</v>
      </c>
      <c r="N62" s="99">
        <v>3752</v>
      </c>
      <c r="O62" s="99">
        <v>5.8624999999999998</v>
      </c>
      <c r="P62" s="99">
        <v>1506</v>
      </c>
      <c r="Q62" s="99">
        <v>189</v>
      </c>
      <c r="R62" s="99">
        <v>1.4765619999999999</v>
      </c>
      <c r="S62" s="99">
        <v>189</v>
      </c>
      <c r="T62" s="99">
        <v>1512</v>
      </c>
      <c r="U62" s="99">
        <v>1.4765619999999999</v>
      </c>
      <c r="V62" s="99">
        <v>13.319063</v>
      </c>
      <c r="W62" s="99">
        <v>0</v>
      </c>
      <c r="X62" s="99">
        <v>0</v>
      </c>
      <c r="Y62" s="99">
        <v>13.319063</v>
      </c>
      <c r="Z62" s="99">
        <v>13.319063</v>
      </c>
      <c r="AA62" s="99">
        <v>0</v>
      </c>
      <c r="AB62" s="99">
        <v>0</v>
      </c>
      <c r="AC62" s="99">
        <v>0</v>
      </c>
      <c r="AD62" s="99">
        <v>2663.81</v>
      </c>
      <c r="AE62" s="99">
        <v>2663.81</v>
      </c>
      <c r="AF62" s="99"/>
      <c r="AG62" s="99"/>
      <c r="AH62" s="99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</row>
    <row r="63" spans="1:49" x14ac:dyDescent="0.3">
      <c r="A63" s="99" t="s">
        <v>40</v>
      </c>
      <c r="B63" s="99">
        <v>21</v>
      </c>
      <c r="C63" s="99" t="s">
        <v>271</v>
      </c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>
        <v>4.375</v>
      </c>
      <c r="W63" s="99">
        <v>0</v>
      </c>
      <c r="X63" s="99">
        <v>0</v>
      </c>
      <c r="Y63" s="99">
        <v>4.375</v>
      </c>
      <c r="Z63" s="99">
        <v>4.375</v>
      </c>
      <c r="AA63" s="99">
        <v>0</v>
      </c>
      <c r="AB63" s="99">
        <v>0</v>
      </c>
      <c r="AC63" s="99">
        <v>0</v>
      </c>
      <c r="AD63" s="99">
        <v>306.25</v>
      </c>
      <c r="AE63" s="99">
        <v>306.25</v>
      </c>
      <c r="AF63" s="99">
        <v>750</v>
      </c>
      <c r="AG63" s="99">
        <v>375</v>
      </c>
      <c r="AH63" s="99">
        <v>3.75</v>
      </c>
      <c r="AI63" s="99">
        <v>375</v>
      </c>
      <c r="AJ63" s="99">
        <v>750</v>
      </c>
      <c r="AK63" s="99">
        <v>3.75</v>
      </c>
      <c r="AL63" s="99">
        <v>400</v>
      </c>
      <c r="AM63" s="99">
        <v>100</v>
      </c>
      <c r="AN63" s="99">
        <v>0.625</v>
      </c>
      <c r="AO63" s="99">
        <v>100</v>
      </c>
      <c r="AP63" s="99">
        <v>400</v>
      </c>
      <c r="AQ63" s="99">
        <v>0.625</v>
      </c>
      <c r="AR63" s="99"/>
      <c r="AS63" s="99"/>
      <c r="AT63" s="99"/>
      <c r="AU63" s="99"/>
      <c r="AV63" s="99"/>
      <c r="AW63" s="99"/>
    </row>
    <row r="64" spans="1:49" x14ac:dyDescent="0.3">
      <c r="A64" s="99" t="s">
        <v>110</v>
      </c>
      <c r="B64" s="99">
        <v>21</v>
      </c>
      <c r="C64" s="99" t="s">
        <v>271</v>
      </c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>
        <v>0</v>
      </c>
      <c r="W64" s="99">
        <v>0</v>
      </c>
      <c r="X64" s="99">
        <v>0</v>
      </c>
      <c r="Y64" s="99">
        <v>0</v>
      </c>
      <c r="Z64" s="99">
        <v>0</v>
      </c>
      <c r="AA64" s="99">
        <v>0</v>
      </c>
      <c r="AB64" s="99">
        <v>0</v>
      </c>
      <c r="AC64" s="99">
        <v>0</v>
      </c>
      <c r="AD64" s="99">
        <v>0</v>
      </c>
      <c r="AE64" s="99">
        <v>0</v>
      </c>
      <c r="AF64" s="99"/>
      <c r="AG64" s="99"/>
      <c r="AH64" s="99"/>
      <c r="AI64" s="99"/>
      <c r="AJ64" s="99"/>
      <c r="AK64" s="99"/>
      <c r="AL64" s="99"/>
      <c r="AM64" s="99"/>
      <c r="AN64" s="99"/>
      <c r="AO64" s="99"/>
      <c r="AP64" s="99"/>
      <c r="AQ64" s="99"/>
      <c r="AR64" s="99">
        <v>0</v>
      </c>
      <c r="AS64" s="99">
        <v>0</v>
      </c>
      <c r="AT64" s="99">
        <v>0</v>
      </c>
      <c r="AU64" s="99">
        <v>0</v>
      </c>
      <c r="AV64" s="99">
        <v>0</v>
      </c>
      <c r="AW64" s="99">
        <v>0</v>
      </c>
    </row>
    <row r="65" spans="1:49" x14ac:dyDescent="0.3">
      <c r="A65" s="99" t="s">
        <v>32</v>
      </c>
      <c r="B65" s="99">
        <v>22</v>
      </c>
      <c r="C65" s="99" t="s">
        <v>272</v>
      </c>
      <c r="D65" s="99">
        <v>2392</v>
      </c>
      <c r="E65" s="99">
        <v>598</v>
      </c>
      <c r="F65" s="99">
        <v>5.98</v>
      </c>
      <c r="G65" s="99">
        <v>598</v>
      </c>
      <c r="H65" s="99">
        <v>2392</v>
      </c>
      <c r="I65" s="99">
        <v>5.98</v>
      </c>
      <c r="J65" s="99">
        <v>3750</v>
      </c>
      <c r="K65" s="99">
        <v>938</v>
      </c>
      <c r="L65" s="99">
        <v>5.8624999999999998</v>
      </c>
      <c r="M65" s="99">
        <v>938</v>
      </c>
      <c r="N65" s="99">
        <v>3752</v>
      </c>
      <c r="O65" s="99">
        <v>5.8624999999999998</v>
      </c>
      <c r="P65" s="99">
        <v>1506</v>
      </c>
      <c r="Q65" s="99">
        <v>189</v>
      </c>
      <c r="R65" s="99">
        <v>1.4765619999999999</v>
      </c>
      <c r="S65" s="99">
        <v>189</v>
      </c>
      <c r="T65" s="99">
        <v>1512</v>
      </c>
      <c r="U65" s="99">
        <v>1.4765619999999999</v>
      </c>
      <c r="V65" s="99">
        <v>13.319063</v>
      </c>
      <c r="W65" s="99">
        <v>0</v>
      </c>
      <c r="X65" s="99">
        <v>0</v>
      </c>
      <c r="Y65" s="99">
        <v>13.319063</v>
      </c>
      <c r="Z65" s="99">
        <v>13.319063</v>
      </c>
      <c r="AA65" s="99">
        <v>0</v>
      </c>
      <c r="AB65" s="99">
        <v>0</v>
      </c>
      <c r="AC65" s="99">
        <v>0</v>
      </c>
      <c r="AD65" s="99">
        <v>2663.81</v>
      </c>
      <c r="AE65" s="99">
        <v>2663.81</v>
      </c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99"/>
      <c r="AW65" s="99"/>
    </row>
    <row r="66" spans="1:49" x14ac:dyDescent="0.3">
      <c r="A66" s="99" t="s">
        <v>40</v>
      </c>
      <c r="B66" s="99">
        <v>22</v>
      </c>
      <c r="C66" s="99" t="s">
        <v>272</v>
      </c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>
        <v>3.75</v>
      </c>
      <c r="W66" s="99">
        <v>0</v>
      </c>
      <c r="X66" s="99">
        <v>0</v>
      </c>
      <c r="Y66" s="99">
        <v>3.75</v>
      </c>
      <c r="Z66" s="99">
        <v>3.75</v>
      </c>
      <c r="AA66" s="99">
        <v>0</v>
      </c>
      <c r="AB66" s="99">
        <v>0</v>
      </c>
      <c r="AC66" s="99">
        <v>0</v>
      </c>
      <c r="AD66" s="99">
        <v>262.5</v>
      </c>
      <c r="AE66" s="99">
        <v>262.5</v>
      </c>
      <c r="AF66" s="99">
        <v>750</v>
      </c>
      <c r="AG66" s="99">
        <v>375</v>
      </c>
      <c r="AH66" s="99">
        <v>3.75</v>
      </c>
      <c r="AI66" s="99">
        <v>375</v>
      </c>
      <c r="AJ66" s="99">
        <v>750</v>
      </c>
      <c r="AK66" s="99">
        <v>3.75</v>
      </c>
      <c r="AL66" s="99">
        <v>0</v>
      </c>
      <c r="AM66" s="99">
        <v>0</v>
      </c>
      <c r="AN66" s="99">
        <v>0</v>
      </c>
      <c r="AO66" s="99">
        <v>0</v>
      </c>
      <c r="AP66" s="99">
        <v>0</v>
      </c>
      <c r="AQ66" s="99">
        <v>0</v>
      </c>
      <c r="AR66" s="99"/>
      <c r="AS66" s="99"/>
      <c r="AT66" s="99"/>
      <c r="AU66" s="99"/>
      <c r="AV66" s="99"/>
      <c r="AW66" s="99"/>
    </row>
    <row r="67" spans="1:49" x14ac:dyDescent="0.3">
      <c r="A67" s="99" t="s">
        <v>110</v>
      </c>
      <c r="B67" s="99">
        <v>22</v>
      </c>
      <c r="C67" s="99" t="s">
        <v>272</v>
      </c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>
        <v>0</v>
      </c>
      <c r="W67" s="99">
        <v>0</v>
      </c>
      <c r="X67" s="99">
        <v>0</v>
      </c>
      <c r="Y67" s="99">
        <v>0</v>
      </c>
      <c r="Z67" s="99">
        <v>0</v>
      </c>
      <c r="AA67" s="99">
        <v>0</v>
      </c>
      <c r="AB67" s="99">
        <v>0</v>
      </c>
      <c r="AC67" s="99">
        <v>0</v>
      </c>
      <c r="AD67" s="99">
        <v>0</v>
      </c>
      <c r="AE67" s="99">
        <v>0</v>
      </c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>
        <v>0</v>
      </c>
      <c r="AS67" s="99">
        <v>0</v>
      </c>
      <c r="AT67" s="99">
        <v>0</v>
      </c>
      <c r="AU67" s="99">
        <v>0</v>
      </c>
      <c r="AV67" s="99">
        <v>0</v>
      </c>
      <c r="AW67" s="99">
        <v>0</v>
      </c>
    </row>
    <row r="68" spans="1:49" x14ac:dyDescent="0.3">
      <c r="A68" s="99" t="s">
        <v>32</v>
      </c>
      <c r="B68" s="99">
        <v>23</v>
      </c>
      <c r="C68" s="99" t="s">
        <v>273</v>
      </c>
      <c r="D68" s="99">
        <v>2391</v>
      </c>
      <c r="E68" s="99">
        <v>598</v>
      </c>
      <c r="F68" s="99">
        <v>5.98</v>
      </c>
      <c r="G68" s="99">
        <v>598</v>
      </c>
      <c r="H68" s="99">
        <v>2392</v>
      </c>
      <c r="I68" s="99">
        <v>5.98</v>
      </c>
      <c r="J68" s="99">
        <v>3000</v>
      </c>
      <c r="K68" s="99">
        <v>750</v>
      </c>
      <c r="L68" s="99">
        <v>4.6875</v>
      </c>
      <c r="M68" s="99">
        <v>750</v>
      </c>
      <c r="N68" s="99">
        <v>3000</v>
      </c>
      <c r="O68" s="99">
        <v>4.6875</v>
      </c>
      <c r="P68" s="99">
        <v>1446</v>
      </c>
      <c r="Q68" s="99">
        <v>181</v>
      </c>
      <c r="R68" s="99">
        <v>1.4140619999999999</v>
      </c>
      <c r="S68" s="99">
        <v>181</v>
      </c>
      <c r="T68" s="99">
        <v>1448</v>
      </c>
      <c r="U68" s="99">
        <v>1.4140619999999999</v>
      </c>
      <c r="V68" s="99">
        <v>12.081562999999999</v>
      </c>
      <c r="W68" s="99">
        <v>0</v>
      </c>
      <c r="X68" s="99">
        <v>0</v>
      </c>
      <c r="Y68" s="99">
        <v>12.081562999999999</v>
      </c>
      <c r="Z68" s="99">
        <v>12.081562999999999</v>
      </c>
      <c r="AA68" s="99">
        <v>0</v>
      </c>
      <c r="AB68" s="99">
        <v>0</v>
      </c>
      <c r="AC68" s="99">
        <v>0</v>
      </c>
      <c r="AD68" s="99">
        <v>2416.31</v>
      </c>
      <c r="AE68" s="99">
        <v>2416.31</v>
      </c>
      <c r="AF68" s="99"/>
      <c r="AG68" s="99"/>
      <c r="AH68" s="99"/>
      <c r="AI68" s="99"/>
      <c r="AJ68" s="99"/>
      <c r="AK68" s="99"/>
      <c r="AL68" s="99"/>
      <c r="AM68" s="99"/>
      <c r="AN68" s="99"/>
      <c r="AO68" s="99"/>
      <c r="AP68" s="99"/>
      <c r="AQ68" s="99"/>
      <c r="AR68" s="99"/>
      <c r="AS68" s="99"/>
      <c r="AT68" s="99"/>
      <c r="AU68" s="99"/>
      <c r="AV68" s="99"/>
      <c r="AW68" s="99"/>
    </row>
    <row r="69" spans="1:49" x14ac:dyDescent="0.3">
      <c r="A69" s="99" t="s">
        <v>40</v>
      </c>
      <c r="B69" s="99">
        <v>23</v>
      </c>
      <c r="C69" s="99" t="s">
        <v>273</v>
      </c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>
        <v>3.5625</v>
      </c>
      <c r="W69" s="99">
        <v>0</v>
      </c>
      <c r="X69" s="99">
        <v>0</v>
      </c>
      <c r="Y69" s="99">
        <v>3.5625</v>
      </c>
      <c r="Z69" s="99">
        <v>3.5625</v>
      </c>
      <c r="AA69" s="99">
        <v>0</v>
      </c>
      <c r="AB69" s="99">
        <v>0</v>
      </c>
      <c r="AC69" s="99">
        <v>0</v>
      </c>
      <c r="AD69" s="99">
        <v>249.38</v>
      </c>
      <c r="AE69" s="99">
        <v>249.38</v>
      </c>
      <c r="AF69" s="99">
        <v>600</v>
      </c>
      <c r="AG69" s="99">
        <v>300</v>
      </c>
      <c r="AH69" s="99">
        <v>3</v>
      </c>
      <c r="AI69" s="99">
        <v>300</v>
      </c>
      <c r="AJ69" s="99">
        <v>600</v>
      </c>
      <c r="AK69" s="99">
        <v>3</v>
      </c>
      <c r="AL69" s="99">
        <v>360</v>
      </c>
      <c r="AM69" s="99">
        <v>90</v>
      </c>
      <c r="AN69" s="99">
        <v>0.5625</v>
      </c>
      <c r="AO69" s="99">
        <v>90</v>
      </c>
      <c r="AP69" s="99">
        <v>360</v>
      </c>
      <c r="AQ69" s="99">
        <v>0.5625</v>
      </c>
      <c r="AR69" s="99"/>
      <c r="AS69" s="99"/>
      <c r="AT69" s="99"/>
      <c r="AU69" s="99"/>
      <c r="AV69" s="99"/>
      <c r="AW69" s="99"/>
    </row>
    <row r="70" spans="1:49" x14ac:dyDescent="0.3">
      <c r="A70" s="99" t="s">
        <v>110</v>
      </c>
      <c r="B70" s="99">
        <v>23</v>
      </c>
      <c r="C70" s="99" t="s">
        <v>273</v>
      </c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>
        <v>0</v>
      </c>
      <c r="W70" s="99">
        <v>0</v>
      </c>
      <c r="X70" s="99">
        <v>0</v>
      </c>
      <c r="Y70" s="99">
        <v>0</v>
      </c>
      <c r="Z70" s="99">
        <v>0</v>
      </c>
      <c r="AA70" s="99">
        <v>0</v>
      </c>
      <c r="AB70" s="99">
        <v>0</v>
      </c>
      <c r="AC70" s="99">
        <v>0</v>
      </c>
      <c r="AD70" s="99">
        <v>0</v>
      </c>
      <c r="AE70" s="99">
        <v>0</v>
      </c>
      <c r="AF70" s="99"/>
      <c r="AG70" s="99"/>
      <c r="AH70" s="99"/>
      <c r="AI70" s="99"/>
      <c r="AJ70" s="99"/>
      <c r="AK70" s="99"/>
      <c r="AL70" s="99"/>
      <c r="AM70" s="99"/>
      <c r="AN70" s="99"/>
      <c r="AO70" s="99"/>
      <c r="AP70" s="99"/>
      <c r="AQ70" s="99"/>
      <c r="AR70" s="99">
        <v>0</v>
      </c>
      <c r="AS70" s="99">
        <v>0</v>
      </c>
      <c r="AT70" s="99">
        <v>0</v>
      </c>
      <c r="AU70" s="99">
        <v>0</v>
      </c>
      <c r="AV70" s="99">
        <v>0</v>
      </c>
      <c r="AW70" s="99">
        <v>0</v>
      </c>
    </row>
    <row r="71" spans="1:49" x14ac:dyDescent="0.3">
      <c r="A71" s="99" t="s">
        <v>32</v>
      </c>
      <c r="B71" s="99">
        <v>24</v>
      </c>
      <c r="C71" s="99" t="s">
        <v>274</v>
      </c>
      <c r="D71" s="99">
        <v>2392</v>
      </c>
      <c r="E71" s="99">
        <v>598</v>
      </c>
      <c r="F71" s="99">
        <v>5.98</v>
      </c>
      <c r="G71" s="99">
        <v>598</v>
      </c>
      <c r="H71" s="99">
        <v>2392</v>
      </c>
      <c r="I71" s="99">
        <v>5.98</v>
      </c>
      <c r="J71" s="99">
        <v>3000</v>
      </c>
      <c r="K71" s="99">
        <v>750</v>
      </c>
      <c r="L71" s="99">
        <v>4.6875</v>
      </c>
      <c r="M71" s="99">
        <v>750</v>
      </c>
      <c r="N71" s="99">
        <v>3000</v>
      </c>
      <c r="O71" s="99">
        <v>4.6875</v>
      </c>
      <c r="P71" s="99">
        <v>0</v>
      </c>
      <c r="Q71" s="99">
        <v>0</v>
      </c>
      <c r="R71" s="99">
        <v>0</v>
      </c>
      <c r="S71" s="99">
        <v>0</v>
      </c>
      <c r="T71" s="99">
        <v>0</v>
      </c>
      <c r="U71" s="99">
        <v>0</v>
      </c>
      <c r="V71" s="99">
        <v>10.6675</v>
      </c>
      <c r="W71" s="99">
        <v>0</v>
      </c>
      <c r="X71" s="99">
        <v>0</v>
      </c>
      <c r="Y71" s="99">
        <v>10.6675</v>
      </c>
      <c r="Z71" s="99">
        <v>10.6675</v>
      </c>
      <c r="AA71" s="99">
        <v>0</v>
      </c>
      <c r="AB71" s="99">
        <v>0</v>
      </c>
      <c r="AC71" s="99">
        <v>0</v>
      </c>
      <c r="AD71" s="99">
        <v>2133.5</v>
      </c>
      <c r="AE71" s="99">
        <v>2133.5</v>
      </c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99"/>
      <c r="AU71" s="99"/>
      <c r="AV71" s="99"/>
      <c r="AW71" s="99"/>
    </row>
    <row r="72" spans="1:49" x14ac:dyDescent="0.3">
      <c r="A72" s="99" t="s">
        <v>40</v>
      </c>
      <c r="B72" s="99">
        <v>24</v>
      </c>
      <c r="C72" s="99" t="s">
        <v>274</v>
      </c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>
        <v>3.5625</v>
      </c>
      <c r="W72" s="99">
        <v>0</v>
      </c>
      <c r="X72" s="99">
        <v>0</v>
      </c>
      <c r="Y72" s="99">
        <v>3.5625</v>
      </c>
      <c r="Z72" s="99">
        <v>3.5625</v>
      </c>
      <c r="AA72" s="99">
        <v>0</v>
      </c>
      <c r="AB72" s="99">
        <v>0</v>
      </c>
      <c r="AC72" s="99">
        <v>0</v>
      </c>
      <c r="AD72" s="99">
        <v>249.38</v>
      </c>
      <c r="AE72" s="99">
        <v>249.38</v>
      </c>
      <c r="AF72" s="99">
        <v>600</v>
      </c>
      <c r="AG72" s="99">
        <v>300</v>
      </c>
      <c r="AH72" s="99">
        <v>3</v>
      </c>
      <c r="AI72" s="99">
        <v>300</v>
      </c>
      <c r="AJ72" s="99">
        <v>600</v>
      </c>
      <c r="AK72" s="99">
        <v>3</v>
      </c>
      <c r="AL72" s="99">
        <v>360</v>
      </c>
      <c r="AM72" s="99">
        <v>90</v>
      </c>
      <c r="AN72" s="99">
        <v>0.5625</v>
      </c>
      <c r="AO72" s="99">
        <v>90</v>
      </c>
      <c r="AP72" s="99">
        <v>360</v>
      </c>
      <c r="AQ72" s="99">
        <v>0.5625</v>
      </c>
      <c r="AR72" s="99"/>
      <c r="AS72" s="99"/>
      <c r="AT72" s="99"/>
      <c r="AU72" s="99"/>
      <c r="AV72" s="99"/>
      <c r="AW72" s="99"/>
    </row>
    <row r="73" spans="1:49" x14ac:dyDescent="0.3">
      <c r="A73" s="99" t="s">
        <v>110</v>
      </c>
      <c r="B73" s="99">
        <v>24</v>
      </c>
      <c r="C73" s="99" t="s">
        <v>274</v>
      </c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>
        <v>0.9375</v>
      </c>
      <c r="W73" s="99">
        <v>0</v>
      </c>
      <c r="X73" s="99">
        <v>0</v>
      </c>
      <c r="Y73" s="99">
        <v>0.9375</v>
      </c>
      <c r="Z73" s="99">
        <v>0.9375</v>
      </c>
      <c r="AA73" s="99">
        <v>0</v>
      </c>
      <c r="AB73" s="99">
        <v>0</v>
      </c>
      <c r="AC73" s="99">
        <v>0</v>
      </c>
      <c r="AD73" s="99">
        <v>32.81</v>
      </c>
      <c r="AE73" s="99">
        <v>32.81</v>
      </c>
      <c r="AF73" s="99"/>
      <c r="AG73" s="99"/>
      <c r="AH73" s="99"/>
      <c r="AI73" s="99"/>
      <c r="AJ73" s="99"/>
      <c r="AK73" s="99"/>
      <c r="AL73" s="99"/>
      <c r="AM73" s="99"/>
      <c r="AN73" s="99"/>
      <c r="AO73" s="99"/>
      <c r="AP73" s="99"/>
      <c r="AQ73" s="99"/>
      <c r="AR73" s="99">
        <v>300</v>
      </c>
      <c r="AS73" s="99">
        <v>150</v>
      </c>
      <c r="AT73" s="99">
        <v>0.9375</v>
      </c>
      <c r="AU73" s="99">
        <v>150</v>
      </c>
      <c r="AV73" s="99">
        <v>300</v>
      </c>
      <c r="AW73" s="99">
        <v>0.9375</v>
      </c>
    </row>
    <row r="74" spans="1:49" x14ac:dyDescent="0.3">
      <c r="A74" s="99" t="s">
        <v>32</v>
      </c>
      <c r="B74" s="99">
        <v>25</v>
      </c>
      <c r="C74" s="99" t="s">
        <v>275</v>
      </c>
      <c r="D74" s="99">
        <v>16017</v>
      </c>
      <c r="E74" s="99">
        <v>4005</v>
      </c>
      <c r="F74" s="99">
        <v>40.049999999999997</v>
      </c>
      <c r="G74" s="99">
        <v>0</v>
      </c>
      <c r="H74" s="99">
        <v>0</v>
      </c>
      <c r="I74" s="99">
        <v>0</v>
      </c>
      <c r="J74" s="99">
        <v>3000</v>
      </c>
      <c r="K74" s="99">
        <v>750</v>
      </c>
      <c r="L74" s="99">
        <v>4.6875</v>
      </c>
      <c r="M74" s="99">
        <v>0</v>
      </c>
      <c r="N74" s="99">
        <v>0</v>
      </c>
      <c r="O74" s="99">
        <v>0</v>
      </c>
      <c r="P74" s="99">
        <v>0</v>
      </c>
      <c r="Q74" s="99">
        <v>0</v>
      </c>
      <c r="R74" s="99">
        <v>0</v>
      </c>
      <c r="S74" s="99">
        <v>0</v>
      </c>
      <c r="T74" s="99">
        <v>0</v>
      </c>
      <c r="U74" s="99">
        <v>0</v>
      </c>
      <c r="V74" s="99">
        <v>44.737499999999997</v>
      </c>
      <c r="W74" s="99">
        <v>1</v>
      </c>
      <c r="X74" s="99">
        <v>0</v>
      </c>
      <c r="Y74" s="99">
        <v>0</v>
      </c>
      <c r="Z74" s="99">
        <v>65</v>
      </c>
      <c r="AA74" s="99">
        <v>20.262499999999999</v>
      </c>
      <c r="AB74" s="99">
        <v>5200</v>
      </c>
      <c r="AC74" s="99">
        <v>0</v>
      </c>
      <c r="AD74" s="99">
        <v>0</v>
      </c>
      <c r="AE74" s="99">
        <v>5200</v>
      </c>
      <c r="AF74" s="99"/>
      <c r="AG74" s="99"/>
      <c r="AH74" s="99"/>
      <c r="AI74" s="99"/>
      <c r="AJ74" s="99"/>
      <c r="AK74" s="99"/>
      <c r="AL74" s="99"/>
      <c r="AM74" s="99"/>
      <c r="AN74" s="99"/>
      <c r="AO74" s="99"/>
      <c r="AP74" s="99"/>
      <c r="AQ74" s="99"/>
      <c r="AR74" s="99"/>
      <c r="AS74" s="99"/>
      <c r="AT74" s="99"/>
      <c r="AU74" s="99"/>
      <c r="AV74" s="99"/>
      <c r="AW74" s="99"/>
    </row>
    <row r="75" spans="1:49" x14ac:dyDescent="0.3">
      <c r="A75" s="99" t="s">
        <v>40</v>
      </c>
      <c r="B75" s="99">
        <v>25</v>
      </c>
      <c r="C75" s="99" t="s">
        <v>275</v>
      </c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>
        <v>3.5625</v>
      </c>
      <c r="W75" s="99">
        <v>0</v>
      </c>
      <c r="X75" s="99">
        <v>0</v>
      </c>
      <c r="Y75" s="99">
        <v>3.5625</v>
      </c>
      <c r="Z75" s="99">
        <v>3.5625</v>
      </c>
      <c r="AA75" s="99">
        <v>0</v>
      </c>
      <c r="AB75" s="99">
        <v>0</v>
      </c>
      <c r="AC75" s="99">
        <v>0</v>
      </c>
      <c r="AD75" s="99">
        <v>249.38</v>
      </c>
      <c r="AE75" s="99">
        <v>249.38</v>
      </c>
      <c r="AF75" s="99">
        <v>600</v>
      </c>
      <c r="AG75" s="99">
        <v>300</v>
      </c>
      <c r="AH75" s="99">
        <v>3</v>
      </c>
      <c r="AI75" s="99">
        <v>300</v>
      </c>
      <c r="AJ75" s="99">
        <v>600</v>
      </c>
      <c r="AK75" s="99">
        <v>3</v>
      </c>
      <c r="AL75" s="99">
        <v>360</v>
      </c>
      <c r="AM75" s="99">
        <v>90</v>
      </c>
      <c r="AN75" s="99">
        <v>0.5625</v>
      </c>
      <c r="AO75" s="99">
        <v>90</v>
      </c>
      <c r="AP75" s="99">
        <v>360</v>
      </c>
      <c r="AQ75" s="99">
        <v>0.5625</v>
      </c>
      <c r="AR75" s="99"/>
      <c r="AS75" s="99"/>
      <c r="AT75" s="99"/>
      <c r="AU75" s="99"/>
      <c r="AV75" s="99"/>
      <c r="AW75" s="99"/>
    </row>
    <row r="76" spans="1:49" x14ac:dyDescent="0.3">
      <c r="A76" s="99" t="s">
        <v>110</v>
      </c>
      <c r="B76" s="99">
        <v>25</v>
      </c>
      <c r="C76" s="99" t="s">
        <v>275</v>
      </c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>
        <v>0</v>
      </c>
      <c r="W76" s="99">
        <v>0</v>
      </c>
      <c r="X76" s="99">
        <v>0</v>
      </c>
      <c r="Y76" s="99">
        <v>0</v>
      </c>
      <c r="Z76" s="99">
        <v>0</v>
      </c>
      <c r="AA76" s="99">
        <v>0</v>
      </c>
      <c r="AB76" s="99">
        <v>0</v>
      </c>
      <c r="AC76" s="99">
        <v>0</v>
      </c>
      <c r="AD76" s="99">
        <v>0</v>
      </c>
      <c r="AE76" s="99">
        <v>0</v>
      </c>
      <c r="AF76" s="99"/>
      <c r="AG76" s="99"/>
      <c r="AH76" s="99"/>
      <c r="AI76" s="99"/>
      <c r="AJ76" s="99"/>
      <c r="AK76" s="99"/>
      <c r="AL76" s="99"/>
      <c r="AM76" s="99"/>
      <c r="AN76" s="99"/>
      <c r="AO76" s="99"/>
      <c r="AP76" s="99"/>
      <c r="AQ76" s="99"/>
      <c r="AR76" s="99">
        <v>0</v>
      </c>
      <c r="AS76" s="99">
        <v>0</v>
      </c>
      <c r="AT76" s="99">
        <v>0</v>
      </c>
      <c r="AU76" s="99">
        <v>0</v>
      </c>
      <c r="AV76" s="99">
        <v>0</v>
      </c>
      <c r="AW76" s="99">
        <v>0</v>
      </c>
    </row>
    <row r="77" spans="1:49" x14ac:dyDescent="0.3">
      <c r="A77" s="99" t="s">
        <v>32</v>
      </c>
      <c r="B77" s="99">
        <v>26</v>
      </c>
      <c r="C77" s="99" t="s">
        <v>276</v>
      </c>
      <c r="D77" s="99">
        <v>16017</v>
      </c>
      <c r="E77" s="99">
        <v>4005</v>
      </c>
      <c r="F77" s="99">
        <v>40.049999999999997</v>
      </c>
      <c r="G77" s="99">
        <v>0</v>
      </c>
      <c r="H77" s="99">
        <v>0</v>
      </c>
      <c r="I77" s="99">
        <v>0</v>
      </c>
      <c r="J77" s="99">
        <v>3000</v>
      </c>
      <c r="K77" s="99">
        <v>750</v>
      </c>
      <c r="L77" s="99">
        <v>4.6875</v>
      </c>
      <c r="M77" s="99">
        <v>0</v>
      </c>
      <c r="N77" s="99">
        <v>0</v>
      </c>
      <c r="O77" s="99">
        <v>0</v>
      </c>
      <c r="P77" s="99">
        <v>1448</v>
      </c>
      <c r="Q77" s="99">
        <v>181</v>
      </c>
      <c r="R77" s="99">
        <v>1.4140619999999999</v>
      </c>
      <c r="S77" s="99">
        <v>0</v>
      </c>
      <c r="T77" s="99">
        <v>0</v>
      </c>
      <c r="U77" s="99">
        <v>0</v>
      </c>
      <c r="V77" s="99">
        <v>46.151563000000003</v>
      </c>
      <c r="W77" s="99">
        <v>1</v>
      </c>
      <c r="X77" s="99">
        <v>0</v>
      </c>
      <c r="Y77" s="99">
        <v>0</v>
      </c>
      <c r="Z77" s="99">
        <v>65</v>
      </c>
      <c r="AA77" s="99">
        <v>18.848437000000001</v>
      </c>
      <c r="AB77" s="99">
        <v>5200</v>
      </c>
      <c r="AC77" s="99">
        <v>0</v>
      </c>
      <c r="AD77" s="99">
        <v>0</v>
      </c>
      <c r="AE77" s="99">
        <v>5200</v>
      </c>
      <c r="AF77" s="99"/>
      <c r="AG77" s="99"/>
      <c r="AH77" s="99"/>
      <c r="AI77" s="99"/>
      <c r="AJ77" s="99"/>
      <c r="AK77" s="99"/>
      <c r="AL77" s="99"/>
      <c r="AM77" s="99"/>
      <c r="AN77" s="99"/>
      <c r="AO77" s="99"/>
      <c r="AP77" s="99"/>
      <c r="AQ77" s="99"/>
      <c r="AR77" s="99"/>
      <c r="AS77" s="99"/>
      <c r="AT77" s="99"/>
      <c r="AU77" s="99"/>
      <c r="AV77" s="99"/>
      <c r="AW77" s="99"/>
    </row>
    <row r="78" spans="1:49" x14ac:dyDescent="0.3">
      <c r="A78" s="99" t="s">
        <v>40</v>
      </c>
      <c r="B78" s="99">
        <v>26</v>
      </c>
      <c r="C78" s="99" t="s">
        <v>276</v>
      </c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>
        <v>3.5625</v>
      </c>
      <c r="W78" s="99">
        <v>0</v>
      </c>
      <c r="X78" s="99">
        <v>0</v>
      </c>
      <c r="Y78" s="99">
        <v>3.5625</v>
      </c>
      <c r="Z78" s="99">
        <v>3.5625</v>
      </c>
      <c r="AA78" s="99">
        <v>0</v>
      </c>
      <c r="AB78" s="99">
        <v>0</v>
      </c>
      <c r="AC78" s="99">
        <v>0</v>
      </c>
      <c r="AD78" s="99">
        <v>249.38</v>
      </c>
      <c r="AE78" s="99">
        <v>249.38</v>
      </c>
      <c r="AF78" s="99">
        <v>600</v>
      </c>
      <c r="AG78" s="99">
        <v>300</v>
      </c>
      <c r="AH78" s="99">
        <v>3</v>
      </c>
      <c r="AI78" s="99">
        <v>300</v>
      </c>
      <c r="AJ78" s="99">
        <v>600</v>
      </c>
      <c r="AK78" s="99">
        <v>3</v>
      </c>
      <c r="AL78" s="99">
        <v>360</v>
      </c>
      <c r="AM78" s="99">
        <v>90</v>
      </c>
      <c r="AN78" s="99">
        <v>0.5625</v>
      </c>
      <c r="AO78" s="99">
        <v>90</v>
      </c>
      <c r="AP78" s="99">
        <v>360</v>
      </c>
      <c r="AQ78" s="99">
        <v>0.5625</v>
      </c>
      <c r="AR78" s="99"/>
      <c r="AS78" s="99"/>
      <c r="AT78" s="99"/>
      <c r="AU78" s="99"/>
      <c r="AV78" s="99"/>
      <c r="AW78" s="99"/>
    </row>
    <row r="79" spans="1:49" x14ac:dyDescent="0.3">
      <c r="A79" s="99" t="s">
        <v>110</v>
      </c>
      <c r="B79" s="99">
        <v>26</v>
      </c>
      <c r="C79" s="99" t="s">
        <v>276</v>
      </c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>
        <v>0</v>
      </c>
      <c r="W79" s="99">
        <v>0</v>
      </c>
      <c r="X79" s="99">
        <v>0</v>
      </c>
      <c r="Y79" s="99">
        <v>0</v>
      </c>
      <c r="Z79" s="99">
        <v>0</v>
      </c>
      <c r="AA79" s="99">
        <v>0</v>
      </c>
      <c r="AB79" s="99">
        <v>0</v>
      </c>
      <c r="AC79" s="99">
        <v>0</v>
      </c>
      <c r="AD79" s="99">
        <v>0</v>
      </c>
      <c r="AE79" s="99">
        <v>0</v>
      </c>
      <c r="AF79" s="99"/>
      <c r="AG79" s="99"/>
      <c r="AH79" s="99"/>
      <c r="AI79" s="99"/>
      <c r="AJ79" s="99"/>
      <c r="AK79" s="99"/>
      <c r="AL79" s="99"/>
      <c r="AM79" s="99"/>
      <c r="AN79" s="99"/>
      <c r="AO79" s="99"/>
      <c r="AP79" s="99"/>
      <c r="AQ79" s="99"/>
      <c r="AR79" s="99">
        <v>0</v>
      </c>
      <c r="AS79" s="99">
        <v>0</v>
      </c>
      <c r="AT79" s="99">
        <v>0</v>
      </c>
      <c r="AU79" s="99">
        <v>0</v>
      </c>
      <c r="AV79" s="99">
        <v>0</v>
      </c>
      <c r="AW79" s="99">
        <v>0</v>
      </c>
    </row>
    <row r="80" spans="1:49" x14ac:dyDescent="0.3">
      <c r="A80" s="99" t="s">
        <v>32</v>
      </c>
      <c r="B80" s="99">
        <v>27</v>
      </c>
      <c r="C80" s="99" t="s">
        <v>277</v>
      </c>
      <c r="D80" s="99">
        <v>16016</v>
      </c>
      <c r="E80" s="99">
        <v>4004</v>
      </c>
      <c r="F80" s="99">
        <v>40.04</v>
      </c>
      <c r="G80" s="99">
        <v>0</v>
      </c>
      <c r="H80" s="99">
        <v>0</v>
      </c>
      <c r="I80" s="99">
        <v>0</v>
      </c>
      <c r="J80" s="99">
        <v>3000</v>
      </c>
      <c r="K80" s="99">
        <v>750</v>
      </c>
      <c r="L80" s="99">
        <v>4.6875</v>
      </c>
      <c r="M80" s="99">
        <v>0</v>
      </c>
      <c r="N80" s="99">
        <v>0</v>
      </c>
      <c r="O80" s="99">
        <v>0</v>
      </c>
      <c r="P80" s="99">
        <v>1448</v>
      </c>
      <c r="Q80" s="99">
        <v>181</v>
      </c>
      <c r="R80" s="99">
        <v>1.4140619999999999</v>
      </c>
      <c r="S80" s="99">
        <v>0</v>
      </c>
      <c r="T80" s="99">
        <v>0</v>
      </c>
      <c r="U80" s="99">
        <v>0</v>
      </c>
      <c r="V80" s="99">
        <v>46.141562</v>
      </c>
      <c r="W80" s="99">
        <v>1</v>
      </c>
      <c r="X80" s="99">
        <v>0</v>
      </c>
      <c r="Y80" s="99">
        <v>0</v>
      </c>
      <c r="Z80" s="99">
        <v>65</v>
      </c>
      <c r="AA80" s="99">
        <v>18.858438</v>
      </c>
      <c r="AB80" s="99">
        <v>5200</v>
      </c>
      <c r="AC80" s="99">
        <v>0</v>
      </c>
      <c r="AD80" s="99">
        <v>0</v>
      </c>
      <c r="AE80" s="99">
        <v>5200</v>
      </c>
      <c r="AF80" s="99"/>
      <c r="AG80" s="99"/>
      <c r="AH80" s="99"/>
      <c r="AI80" s="99"/>
      <c r="AJ80" s="99"/>
      <c r="AK80" s="99"/>
      <c r="AL80" s="99"/>
      <c r="AM80" s="99"/>
      <c r="AN80" s="99"/>
      <c r="AO80" s="99"/>
      <c r="AP80" s="99"/>
      <c r="AQ80" s="99"/>
      <c r="AR80" s="99"/>
      <c r="AS80" s="99"/>
      <c r="AT80" s="99"/>
      <c r="AU80" s="99"/>
      <c r="AV80" s="99"/>
      <c r="AW80" s="99"/>
    </row>
    <row r="81" spans="1:49" x14ac:dyDescent="0.3">
      <c r="A81" s="99" t="s">
        <v>40</v>
      </c>
      <c r="B81" s="99">
        <v>27</v>
      </c>
      <c r="C81" s="99" t="s">
        <v>277</v>
      </c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>
        <v>3.5625</v>
      </c>
      <c r="W81" s="99">
        <v>0</v>
      </c>
      <c r="X81" s="99">
        <v>0</v>
      </c>
      <c r="Y81" s="99">
        <v>3.5625</v>
      </c>
      <c r="Z81" s="99">
        <v>3.5625</v>
      </c>
      <c r="AA81" s="99">
        <v>0</v>
      </c>
      <c r="AB81" s="99">
        <v>0</v>
      </c>
      <c r="AC81" s="99">
        <v>0</v>
      </c>
      <c r="AD81" s="99">
        <v>249.38</v>
      </c>
      <c r="AE81" s="99">
        <v>249.38</v>
      </c>
      <c r="AF81" s="99">
        <v>600</v>
      </c>
      <c r="AG81" s="99">
        <v>300</v>
      </c>
      <c r="AH81" s="99">
        <v>3</v>
      </c>
      <c r="AI81" s="99">
        <v>300</v>
      </c>
      <c r="AJ81" s="99">
        <v>600</v>
      </c>
      <c r="AK81" s="99">
        <v>3</v>
      </c>
      <c r="AL81" s="99">
        <v>360</v>
      </c>
      <c r="AM81" s="99">
        <v>90</v>
      </c>
      <c r="AN81" s="99">
        <v>0.5625</v>
      </c>
      <c r="AO81" s="99">
        <v>90</v>
      </c>
      <c r="AP81" s="99">
        <v>360</v>
      </c>
      <c r="AQ81" s="99">
        <v>0.5625</v>
      </c>
      <c r="AR81" s="99"/>
      <c r="AS81" s="99"/>
      <c r="AT81" s="99"/>
      <c r="AU81" s="99"/>
      <c r="AV81" s="99"/>
      <c r="AW81" s="99"/>
    </row>
    <row r="82" spans="1:49" x14ac:dyDescent="0.3">
      <c r="A82" s="99" t="s">
        <v>110</v>
      </c>
      <c r="B82" s="99">
        <v>27</v>
      </c>
      <c r="C82" s="99" t="s">
        <v>277</v>
      </c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>
        <v>0</v>
      </c>
      <c r="W82" s="99">
        <v>0</v>
      </c>
      <c r="X82" s="99">
        <v>0</v>
      </c>
      <c r="Y82" s="99">
        <v>0</v>
      </c>
      <c r="Z82" s="99">
        <v>0</v>
      </c>
      <c r="AA82" s="99">
        <v>0</v>
      </c>
      <c r="AB82" s="99">
        <v>0</v>
      </c>
      <c r="AC82" s="99">
        <v>0</v>
      </c>
      <c r="AD82" s="99">
        <v>0</v>
      </c>
      <c r="AE82" s="99">
        <v>0</v>
      </c>
      <c r="AF82" s="99"/>
      <c r="AG82" s="99"/>
      <c r="AH82" s="99"/>
      <c r="AI82" s="99"/>
      <c r="AJ82" s="99"/>
      <c r="AK82" s="99"/>
      <c r="AL82" s="99"/>
      <c r="AM82" s="99"/>
      <c r="AN82" s="99"/>
      <c r="AO82" s="99"/>
      <c r="AP82" s="99"/>
      <c r="AQ82" s="99"/>
      <c r="AR82" s="99">
        <v>0</v>
      </c>
      <c r="AS82" s="99">
        <v>0</v>
      </c>
      <c r="AT82" s="99">
        <v>0</v>
      </c>
      <c r="AU82" s="99">
        <v>0</v>
      </c>
      <c r="AV82" s="99">
        <v>0</v>
      </c>
      <c r="AW82" s="99">
        <v>0</v>
      </c>
    </row>
    <row r="83" spans="1:49" x14ac:dyDescent="0.3">
      <c r="A83" s="99" t="s">
        <v>32</v>
      </c>
      <c r="B83" s="99">
        <v>28</v>
      </c>
      <c r="C83" s="99" t="s">
        <v>278</v>
      </c>
      <c r="D83" s="99">
        <v>16017</v>
      </c>
      <c r="E83" s="99">
        <v>4005</v>
      </c>
      <c r="F83" s="99">
        <v>40.049999999999997</v>
      </c>
      <c r="G83" s="99">
        <v>0</v>
      </c>
      <c r="H83" s="99">
        <v>0</v>
      </c>
      <c r="I83" s="99">
        <v>0</v>
      </c>
      <c r="J83" s="99">
        <v>6250</v>
      </c>
      <c r="K83" s="99">
        <v>1563</v>
      </c>
      <c r="L83" s="99">
        <v>9.7687500000000007</v>
      </c>
      <c r="M83" s="99">
        <v>0</v>
      </c>
      <c r="N83" s="99">
        <v>0</v>
      </c>
      <c r="O83" s="99">
        <v>0</v>
      </c>
      <c r="P83" s="99">
        <v>1448</v>
      </c>
      <c r="Q83" s="99">
        <v>181</v>
      </c>
      <c r="R83" s="99">
        <v>1.4140619999999999</v>
      </c>
      <c r="S83" s="99">
        <v>0</v>
      </c>
      <c r="T83" s="99">
        <v>0</v>
      </c>
      <c r="U83" s="99">
        <v>0</v>
      </c>
      <c r="V83" s="99">
        <v>51.232813</v>
      </c>
      <c r="W83" s="99">
        <v>1</v>
      </c>
      <c r="X83" s="99">
        <v>0</v>
      </c>
      <c r="Y83" s="99">
        <v>0</v>
      </c>
      <c r="Z83" s="99">
        <v>65</v>
      </c>
      <c r="AA83" s="99">
        <v>13.767187</v>
      </c>
      <c r="AB83" s="99">
        <v>5200</v>
      </c>
      <c r="AC83" s="99">
        <v>0</v>
      </c>
      <c r="AD83" s="99">
        <v>0</v>
      </c>
      <c r="AE83" s="99">
        <v>5200</v>
      </c>
      <c r="AF83" s="99"/>
      <c r="AG83" s="99"/>
      <c r="AH83" s="99"/>
      <c r="AI83" s="99"/>
      <c r="AJ83" s="99"/>
      <c r="AK83" s="99"/>
      <c r="AL83" s="99"/>
      <c r="AM83" s="99"/>
      <c r="AN83" s="99"/>
      <c r="AO83" s="99"/>
      <c r="AP83" s="99"/>
      <c r="AQ83" s="99"/>
      <c r="AR83" s="99"/>
      <c r="AS83" s="99"/>
      <c r="AT83" s="99"/>
      <c r="AU83" s="99"/>
      <c r="AV83" s="99"/>
      <c r="AW83" s="99"/>
    </row>
    <row r="84" spans="1:49" x14ac:dyDescent="0.3">
      <c r="A84" s="99" t="s">
        <v>40</v>
      </c>
      <c r="B84" s="99">
        <v>28</v>
      </c>
      <c r="C84" s="99" t="s">
        <v>278</v>
      </c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>
        <v>4.0625</v>
      </c>
      <c r="W84" s="99">
        <v>0</v>
      </c>
      <c r="X84" s="99">
        <v>0</v>
      </c>
      <c r="Y84" s="99">
        <v>4.0625</v>
      </c>
      <c r="Z84" s="99">
        <v>4.0625</v>
      </c>
      <c r="AA84" s="99">
        <v>0</v>
      </c>
      <c r="AB84" s="99">
        <v>0</v>
      </c>
      <c r="AC84" s="99">
        <v>0</v>
      </c>
      <c r="AD84" s="99">
        <v>284.38</v>
      </c>
      <c r="AE84" s="99">
        <v>284.38</v>
      </c>
      <c r="AF84" s="99">
        <v>500</v>
      </c>
      <c r="AG84" s="99">
        <v>250</v>
      </c>
      <c r="AH84" s="99">
        <v>2.5</v>
      </c>
      <c r="AI84" s="99">
        <v>250</v>
      </c>
      <c r="AJ84" s="99">
        <v>500</v>
      </c>
      <c r="AK84" s="99">
        <v>2.5</v>
      </c>
      <c r="AL84" s="99">
        <v>1000</v>
      </c>
      <c r="AM84" s="99">
        <v>250</v>
      </c>
      <c r="AN84" s="99">
        <v>1.5625</v>
      </c>
      <c r="AO84" s="99">
        <v>250</v>
      </c>
      <c r="AP84" s="99">
        <v>1000</v>
      </c>
      <c r="AQ84" s="99">
        <v>1.5625</v>
      </c>
      <c r="AR84" s="99"/>
      <c r="AS84" s="99"/>
      <c r="AT84" s="99"/>
      <c r="AU84" s="99"/>
      <c r="AV84" s="99"/>
      <c r="AW84" s="99"/>
    </row>
    <row r="85" spans="1:49" x14ac:dyDescent="0.3">
      <c r="A85" s="99" t="s">
        <v>110</v>
      </c>
      <c r="B85" s="99">
        <v>28</v>
      </c>
      <c r="C85" s="99" t="s">
        <v>278</v>
      </c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>
        <v>0</v>
      </c>
      <c r="W85" s="99">
        <v>0</v>
      </c>
      <c r="X85" s="99">
        <v>0</v>
      </c>
      <c r="Y85" s="99">
        <v>0</v>
      </c>
      <c r="Z85" s="99">
        <v>0</v>
      </c>
      <c r="AA85" s="99">
        <v>0</v>
      </c>
      <c r="AB85" s="99">
        <v>0</v>
      </c>
      <c r="AC85" s="99">
        <v>0</v>
      </c>
      <c r="AD85" s="99">
        <v>0</v>
      </c>
      <c r="AE85" s="99">
        <v>0</v>
      </c>
      <c r="AF85" s="99"/>
      <c r="AG85" s="99"/>
      <c r="AH85" s="99"/>
      <c r="AI85" s="99"/>
      <c r="AJ85" s="99"/>
      <c r="AK85" s="99"/>
      <c r="AL85" s="99"/>
      <c r="AM85" s="99"/>
      <c r="AN85" s="99"/>
      <c r="AO85" s="99"/>
      <c r="AP85" s="99"/>
      <c r="AQ85" s="99"/>
      <c r="AR85" s="99">
        <v>0</v>
      </c>
      <c r="AS85" s="99">
        <v>0</v>
      </c>
      <c r="AT85" s="99">
        <v>0</v>
      </c>
      <c r="AU85" s="99">
        <v>0</v>
      </c>
      <c r="AV85" s="99">
        <v>0</v>
      </c>
      <c r="AW85" s="99">
        <v>0</v>
      </c>
    </row>
    <row r="86" spans="1:49" x14ac:dyDescent="0.3">
      <c r="A86" s="99" t="s">
        <v>32</v>
      </c>
      <c r="B86" s="99">
        <v>29</v>
      </c>
      <c r="C86" s="99" t="s">
        <v>279</v>
      </c>
      <c r="D86" s="99">
        <v>4281</v>
      </c>
      <c r="E86" s="99">
        <v>1071</v>
      </c>
      <c r="F86" s="99">
        <v>10.71</v>
      </c>
      <c r="G86" s="99">
        <v>0</v>
      </c>
      <c r="H86" s="99">
        <v>0</v>
      </c>
      <c r="I86" s="99">
        <v>0</v>
      </c>
      <c r="J86" s="99">
        <v>6250</v>
      </c>
      <c r="K86" s="99">
        <v>1563</v>
      </c>
      <c r="L86" s="99">
        <v>9.7687500000000007</v>
      </c>
      <c r="M86" s="99">
        <v>0</v>
      </c>
      <c r="N86" s="99">
        <v>0</v>
      </c>
      <c r="O86" s="99">
        <v>0</v>
      </c>
      <c r="P86" s="99">
        <v>1754</v>
      </c>
      <c r="Q86" s="99">
        <v>220</v>
      </c>
      <c r="R86" s="99">
        <v>1.71875</v>
      </c>
      <c r="S86" s="99">
        <v>0</v>
      </c>
      <c r="T86" s="99">
        <v>0</v>
      </c>
      <c r="U86" s="99">
        <v>0</v>
      </c>
      <c r="V86" s="99">
        <v>22.197500000000002</v>
      </c>
      <c r="W86" s="99">
        <v>0</v>
      </c>
      <c r="X86" s="99">
        <v>1</v>
      </c>
      <c r="Y86" s="99">
        <v>0</v>
      </c>
      <c r="Z86" s="99">
        <v>28</v>
      </c>
      <c r="AA86" s="99">
        <v>5.8025000000000002</v>
      </c>
      <c r="AB86" s="99">
        <v>0</v>
      </c>
      <c r="AC86" s="99">
        <v>3000</v>
      </c>
      <c r="AD86" s="99">
        <v>0</v>
      </c>
      <c r="AE86" s="99">
        <v>3000</v>
      </c>
      <c r="AF86" s="99"/>
      <c r="AG86" s="99"/>
      <c r="AH86" s="99"/>
      <c r="AI86" s="99"/>
      <c r="AJ86" s="99"/>
      <c r="AK86" s="99"/>
      <c r="AL86" s="99"/>
      <c r="AM86" s="99"/>
      <c r="AN86" s="99"/>
      <c r="AO86" s="99"/>
      <c r="AP86" s="99"/>
      <c r="AQ86" s="99"/>
      <c r="AR86" s="99"/>
      <c r="AS86" s="99"/>
      <c r="AT86" s="99"/>
      <c r="AU86" s="99"/>
      <c r="AV86" s="99"/>
      <c r="AW86" s="99"/>
    </row>
    <row r="87" spans="1:49" x14ac:dyDescent="0.3">
      <c r="A87" s="99" t="s">
        <v>40</v>
      </c>
      <c r="B87" s="99">
        <v>29</v>
      </c>
      <c r="C87" s="99" t="s">
        <v>279</v>
      </c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>
        <v>4.0625</v>
      </c>
      <c r="W87" s="99">
        <v>0</v>
      </c>
      <c r="X87" s="99">
        <v>0</v>
      </c>
      <c r="Y87" s="99">
        <v>4.0625</v>
      </c>
      <c r="Z87" s="99">
        <v>4.0625</v>
      </c>
      <c r="AA87" s="99">
        <v>0</v>
      </c>
      <c r="AB87" s="99">
        <v>0</v>
      </c>
      <c r="AC87" s="99">
        <v>0</v>
      </c>
      <c r="AD87" s="99">
        <v>284.38</v>
      </c>
      <c r="AE87" s="99">
        <v>284.38</v>
      </c>
      <c r="AF87" s="99">
        <v>500</v>
      </c>
      <c r="AG87" s="99">
        <v>250</v>
      </c>
      <c r="AH87" s="99">
        <v>2.5</v>
      </c>
      <c r="AI87" s="99">
        <v>250</v>
      </c>
      <c r="AJ87" s="99">
        <v>500</v>
      </c>
      <c r="AK87" s="99">
        <v>2.5</v>
      </c>
      <c r="AL87" s="99">
        <v>1000</v>
      </c>
      <c r="AM87" s="99">
        <v>250</v>
      </c>
      <c r="AN87" s="99">
        <v>1.5625</v>
      </c>
      <c r="AO87" s="99">
        <v>250</v>
      </c>
      <c r="AP87" s="99">
        <v>1000</v>
      </c>
      <c r="AQ87" s="99">
        <v>1.5625</v>
      </c>
      <c r="AR87" s="99"/>
      <c r="AS87" s="99"/>
      <c r="AT87" s="99"/>
      <c r="AU87" s="99"/>
      <c r="AV87" s="99"/>
      <c r="AW87" s="99"/>
    </row>
    <row r="88" spans="1:49" x14ac:dyDescent="0.3">
      <c r="A88" s="99" t="s">
        <v>110</v>
      </c>
      <c r="B88" s="99">
        <v>29</v>
      </c>
      <c r="C88" s="99" t="s">
        <v>279</v>
      </c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>
        <v>0.9375</v>
      </c>
      <c r="W88" s="99">
        <v>0</v>
      </c>
      <c r="X88" s="99">
        <v>0</v>
      </c>
      <c r="Y88" s="99">
        <v>0.9375</v>
      </c>
      <c r="Z88" s="99">
        <v>0.9375</v>
      </c>
      <c r="AA88" s="99">
        <v>0</v>
      </c>
      <c r="AB88" s="99">
        <v>0</v>
      </c>
      <c r="AC88" s="99">
        <v>0</v>
      </c>
      <c r="AD88" s="99">
        <v>32.81</v>
      </c>
      <c r="AE88" s="99">
        <v>32.81</v>
      </c>
      <c r="AF88" s="99"/>
      <c r="AG88" s="99"/>
      <c r="AH88" s="99"/>
      <c r="AI88" s="99"/>
      <c r="AJ88" s="99"/>
      <c r="AK88" s="99"/>
      <c r="AL88" s="99"/>
      <c r="AM88" s="99"/>
      <c r="AN88" s="99"/>
      <c r="AO88" s="99"/>
      <c r="AP88" s="99"/>
      <c r="AQ88" s="99"/>
      <c r="AR88" s="99">
        <v>300</v>
      </c>
      <c r="AS88" s="99">
        <v>150</v>
      </c>
      <c r="AT88" s="99">
        <v>0.9375</v>
      </c>
      <c r="AU88" s="99">
        <v>150</v>
      </c>
      <c r="AV88" s="99">
        <v>300</v>
      </c>
      <c r="AW88" s="99">
        <v>0.9375</v>
      </c>
    </row>
    <row r="89" spans="1:49" x14ac:dyDescent="0.3">
      <c r="A89" s="99" t="s">
        <v>32</v>
      </c>
      <c r="B89" s="99">
        <v>30</v>
      </c>
      <c r="C89" s="99" t="s">
        <v>280</v>
      </c>
      <c r="D89" s="99">
        <v>4282</v>
      </c>
      <c r="E89" s="99">
        <v>1071</v>
      </c>
      <c r="F89" s="99">
        <v>10.71</v>
      </c>
      <c r="G89" s="99">
        <v>0</v>
      </c>
      <c r="H89" s="99">
        <v>0</v>
      </c>
      <c r="I89" s="99">
        <v>0</v>
      </c>
      <c r="J89" s="99">
        <v>6250</v>
      </c>
      <c r="K89" s="99">
        <v>1563</v>
      </c>
      <c r="L89" s="99">
        <v>9.7687500000000007</v>
      </c>
      <c r="M89" s="99">
        <v>0</v>
      </c>
      <c r="N89" s="99">
        <v>0</v>
      </c>
      <c r="O89" s="99">
        <v>0</v>
      </c>
      <c r="P89" s="99">
        <v>1756</v>
      </c>
      <c r="Q89" s="99">
        <v>220</v>
      </c>
      <c r="R89" s="99">
        <v>1.71875</v>
      </c>
      <c r="S89" s="99">
        <v>0</v>
      </c>
      <c r="T89" s="99">
        <v>0</v>
      </c>
      <c r="U89" s="99">
        <v>0</v>
      </c>
      <c r="V89" s="99">
        <v>22.197500000000002</v>
      </c>
      <c r="W89" s="99">
        <v>0</v>
      </c>
      <c r="X89" s="99">
        <v>1</v>
      </c>
      <c r="Y89" s="99">
        <v>0</v>
      </c>
      <c r="Z89" s="99">
        <v>28</v>
      </c>
      <c r="AA89" s="99">
        <v>5.8025000000000002</v>
      </c>
      <c r="AB89" s="99">
        <v>0</v>
      </c>
      <c r="AC89" s="99">
        <v>3000</v>
      </c>
      <c r="AD89" s="99">
        <v>0</v>
      </c>
      <c r="AE89" s="99">
        <v>3000</v>
      </c>
      <c r="AF89" s="99"/>
      <c r="AG89" s="99"/>
      <c r="AH89" s="99"/>
      <c r="AI89" s="99"/>
      <c r="AJ89" s="99"/>
      <c r="AK89" s="99"/>
      <c r="AL89" s="99"/>
      <c r="AM89" s="99"/>
      <c r="AN89" s="99"/>
      <c r="AO89" s="99"/>
      <c r="AP89" s="99"/>
      <c r="AQ89" s="99"/>
      <c r="AR89" s="99"/>
      <c r="AS89" s="99"/>
      <c r="AT89" s="99"/>
      <c r="AU89" s="99"/>
      <c r="AV89" s="99"/>
      <c r="AW89" s="99"/>
    </row>
    <row r="90" spans="1:49" x14ac:dyDescent="0.3">
      <c r="A90" s="99" t="s">
        <v>40</v>
      </c>
      <c r="B90" s="99">
        <v>30</v>
      </c>
      <c r="C90" s="99" t="s">
        <v>280</v>
      </c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>
        <v>4.0625</v>
      </c>
      <c r="W90" s="99">
        <v>0</v>
      </c>
      <c r="X90" s="99">
        <v>0</v>
      </c>
      <c r="Y90" s="99">
        <v>4.0625</v>
      </c>
      <c r="Z90" s="99">
        <v>4.0625</v>
      </c>
      <c r="AA90" s="99">
        <v>0</v>
      </c>
      <c r="AB90" s="99">
        <v>0</v>
      </c>
      <c r="AC90" s="99">
        <v>0</v>
      </c>
      <c r="AD90" s="99">
        <v>284.38</v>
      </c>
      <c r="AE90" s="99">
        <v>284.38</v>
      </c>
      <c r="AF90" s="99">
        <v>500</v>
      </c>
      <c r="AG90" s="99">
        <v>250</v>
      </c>
      <c r="AH90" s="99">
        <v>2.5</v>
      </c>
      <c r="AI90" s="99">
        <v>250</v>
      </c>
      <c r="AJ90" s="99">
        <v>500</v>
      </c>
      <c r="AK90" s="99">
        <v>2.5</v>
      </c>
      <c r="AL90" s="99">
        <v>1000</v>
      </c>
      <c r="AM90" s="99">
        <v>250</v>
      </c>
      <c r="AN90" s="99">
        <v>1.5625</v>
      </c>
      <c r="AO90" s="99">
        <v>250</v>
      </c>
      <c r="AP90" s="99">
        <v>1000</v>
      </c>
      <c r="AQ90" s="99">
        <v>1.5625</v>
      </c>
      <c r="AR90" s="99"/>
      <c r="AS90" s="99"/>
      <c r="AT90" s="99"/>
      <c r="AU90" s="99"/>
      <c r="AV90" s="99"/>
      <c r="AW90" s="99"/>
    </row>
    <row r="91" spans="1:49" x14ac:dyDescent="0.3">
      <c r="A91" s="99" t="s">
        <v>110</v>
      </c>
      <c r="B91" s="99">
        <v>30</v>
      </c>
      <c r="C91" s="99" t="s">
        <v>280</v>
      </c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>
        <v>0</v>
      </c>
      <c r="W91" s="99">
        <v>0</v>
      </c>
      <c r="X91" s="99">
        <v>0</v>
      </c>
      <c r="Y91" s="99">
        <v>0</v>
      </c>
      <c r="Z91" s="99">
        <v>0</v>
      </c>
      <c r="AA91" s="99">
        <v>0</v>
      </c>
      <c r="AB91" s="99">
        <v>0</v>
      </c>
      <c r="AC91" s="99">
        <v>0</v>
      </c>
      <c r="AD91" s="99">
        <v>0</v>
      </c>
      <c r="AE91" s="99">
        <v>0</v>
      </c>
      <c r="AF91" s="99"/>
      <c r="AG91" s="99"/>
      <c r="AH91" s="99"/>
      <c r="AI91" s="99"/>
      <c r="AJ91" s="99"/>
      <c r="AK91" s="99"/>
      <c r="AL91" s="99"/>
      <c r="AM91" s="99"/>
      <c r="AN91" s="99"/>
      <c r="AO91" s="99"/>
      <c r="AP91" s="99"/>
      <c r="AQ91" s="99"/>
      <c r="AR91" s="99">
        <v>0</v>
      </c>
      <c r="AS91" s="99">
        <v>0</v>
      </c>
      <c r="AT91" s="99">
        <v>0</v>
      </c>
      <c r="AU91" s="99">
        <v>0</v>
      </c>
      <c r="AV91" s="99">
        <v>0</v>
      </c>
      <c r="AW91" s="99">
        <v>0</v>
      </c>
    </row>
    <row r="92" spans="1:49" x14ac:dyDescent="0.3">
      <c r="A92" s="99" t="s">
        <v>32</v>
      </c>
      <c r="B92" s="99">
        <v>31</v>
      </c>
      <c r="C92" s="99" t="s">
        <v>281</v>
      </c>
      <c r="D92" s="99">
        <v>4281</v>
      </c>
      <c r="E92" s="99">
        <v>1071</v>
      </c>
      <c r="F92" s="99">
        <v>10.71</v>
      </c>
      <c r="G92" s="99">
        <v>0</v>
      </c>
      <c r="H92" s="99">
        <v>0</v>
      </c>
      <c r="I92" s="99">
        <v>0</v>
      </c>
      <c r="J92" s="99">
        <v>6250</v>
      </c>
      <c r="K92" s="99">
        <v>1563</v>
      </c>
      <c r="L92" s="99">
        <v>9.7687500000000007</v>
      </c>
      <c r="M92" s="99">
        <v>0</v>
      </c>
      <c r="N92" s="99">
        <v>0</v>
      </c>
      <c r="O92" s="99">
        <v>0</v>
      </c>
      <c r="P92" s="99">
        <v>1756</v>
      </c>
      <c r="Q92" s="99">
        <v>220</v>
      </c>
      <c r="R92" s="99">
        <v>1.71875</v>
      </c>
      <c r="S92" s="99">
        <v>0</v>
      </c>
      <c r="T92" s="99">
        <v>0</v>
      </c>
      <c r="U92" s="99">
        <v>0</v>
      </c>
      <c r="V92" s="99">
        <v>22.197500000000002</v>
      </c>
      <c r="W92" s="99">
        <v>0</v>
      </c>
      <c r="X92" s="99">
        <v>1</v>
      </c>
      <c r="Y92" s="99">
        <v>0</v>
      </c>
      <c r="Z92" s="99">
        <v>28</v>
      </c>
      <c r="AA92" s="99">
        <v>5.8025000000000002</v>
      </c>
      <c r="AB92" s="99">
        <v>0</v>
      </c>
      <c r="AC92" s="99">
        <v>3000</v>
      </c>
      <c r="AD92" s="99">
        <v>0</v>
      </c>
      <c r="AE92" s="99">
        <v>3000</v>
      </c>
      <c r="AF92" s="99"/>
      <c r="AG92" s="99"/>
      <c r="AH92" s="99"/>
      <c r="AI92" s="99"/>
      <c r="AJ92" s="99"/>
      <c r="AK92" s="99"/>
      <c r="AL92" s="99"/>
      <c r="AM92" s="99"/>
      <c r="AN92" s="99"/>
      <c r="AO92" s="99"/>
      <c r="AP92" s="99"/>
      <c r="AQ92" s="99"/>
      <c r="AR92" s="99"/>
      <c r="AS92" s="99"/>
      <c r="AT92" s="99"/>
      <c r="AU92" s="99"/>
      <c r="AV92" s="99"/>
      <c r="AW92" s="99"/>
    </row>
    <row r="93" spans="1:49" x14ac:dyDescent="0.3">
      <c r="A93" s="99" t="s">
        <v>40</v>
      </c>
      <c r="B93" s="99">
        <v>31</v>
      </c>
      <c r="C93" s="99" t="s">
        <v>281</v>
      </c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>
        <v>4.0625</v>
      </c>
      <c r="W93" s="99">
        <v>0</v>
      </c>
      <c r="X93" s="99">
        <v>0</v>
      </c>
      <c r="Y93" s="99">
        <v>4.0625</v>
      </c>
      <c r="Z93" s="99">
        <v>4.0625</v>
      </c>
      <c r="AA93" s="99">
        <v>0</v>
      </c>
      <c r="AB93" s="99">
        <v>0</v>
      </c>
      <c r="AC93" s="99">
        <v>0</v>
      </c>
      <c r="AD93" s="99">
        <v>284.38</v>
      </c>
      <c r="AE93" s="99">
        <v>284.38</v>
      </c>
      <c r="AF93" s="99">
        <v>500</v>
      </c>
      <c r="AG93" s="99">
        <v>250</v>
      </c>
      <c r="AH93" s="99">
        <v>2.5</v>
      </c>
      <c r="AI93" s="99">
        <v>250</v>
      </c>
      <c r="AJ93" s="99">
        <v>500</v>
      </c>
      <c r="AK93" s="99">
        <v>2.5</v>
      </c>
      <c r="AL93" s="99">
        <v>1000</v>
      </c>
      <c r="AM93" s="99">
        <v>250</v>
      </c>
      <c r="AN93" s="99">
        <v>1.5625</v>
      </c>
      <c r="AO93" s="99">
        <v>250</v>
      </c>
      <c r="AP93" s="99">
        <v>1000</v>
      </c>
      <c r="AQ93" s="99">
        <v>1.5625</v>
      </c>
      <c r="AR93" s="99"/>
      <c r="AS93" s="99"/>
      <c r="AT93" s="99"/>
      <c r="AU93" s="99"/>
      <c r="AV93" s="99"/>
      <c r="AW93" s="99"/>
    </row>
    <row r="94" spans="1:49" x14ac:dyDescent="0.3">
      <c r="A94" s="99" t="s">
        <v>110</v>
      </c>
      <c r="B94" s="99">
        <v>31</v>
      </c>
      <c r="C94" s="99" t="s">
        <v>281</v>
      </c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>
        <v>0</v>
      </c>
      <c r="W94" s="99">
        <v>0</v>
      </c>
      <c r="X94" s="99">
        <v>0</v>
      </c>
      <c r="Y94" s="99">
        <v>0</v>
      </c>
      <c r="Z94" s="99">
        <v>0</v>
      </c>
      <c r="AA94" s="99">
        <v>0</v>
      </c>
      <c r="AB94" s="99">
        <v>0</v>
      </c>
      <c r="AC94" s="99">
        <v>0</v>
      </c>
      <c r="AD94" s="99">
        <v>0</v>
      </c>
      <c r="AE94" s="99">
        <v>0</v>
      </c>
      <c r="AF94" s="99"/>
      <c r="AG94" s="99"/>
      <c r="AH94" s="99"/>
      <c r="AI94" s="99"/>
      <c r="AJ94" s="99"/>
      <c r="AK94" s="99"/>
      <c r="AL94" s="99"/>
      <c r="AM94" s="99"/>
      <c r="AN94" s="99"/>
      <c r="AO94" s="99"/>
      <c r="AP94" s="99"/>
      <c r="AQ94" s="99"/>
      <c r="AR94" s="99">
        <v>0</v>
      </c>
      <c r="AS94" s="99">
        <v>0</v>
      </c>
      <c r="AT94" s="99">
        <v>0</v>
      </c>
      <c r="AU94" s="99">
        <v>0</v>
      </c>
      <c r="AV94" s="99">
        <v>0</v>
      </c>
      <c r="AW94" s="99">
        <v>0</v>
      </c>
    </row>
    <row r="95" spans="1:49" x14ac:dyDescent="0.3">
      <c r="A95" s="99" t="s">
        <v>32</v>
      </c>
      <c r="B95" s="99">
        <v>32</v>
      </c>
      <c r="C95" s="99" t="s">
        <v>282</v>
      </c>
      <c r="D95" s="99">
        <v>4282</v>
      </c>
      <c r="E95" s="99">
        <v>1071</v>
      </c>
      <c r="F95" s="99">
        <v>10.71</v>
      </c>
      <c r="G95" s="99">
        <v>0</v>
      </c>
      <c r="H95" s="99">
        <v>0</v>
      </c>
      <c r="I95" s="99">
        <v>0</v>
      </c>
      <c r="J95" s="99">
        <v>6250</v>
      </c>
      <c r="K95" s="99">
        <v>1563</v>
      </c>
      <c r="L95" s="99">
        <v>9.7687500000000007</v>
      </c>
      <c r="M95" s="99">
        <v>0</v>
      </c>
      <c r="N95" s="99">
        <v>0</v>
      </c>
      <c r="O95" s="99">
        <v>0</v>
      </c>
      <c r="P95" s="99">
        <v>1756</v>
      </c>
      <c r="Q95" s="99">
        <v>220</v>
      </c>
      <c r="R95" s="99">
        <v>1.71875</v>
      </c>
      <c r="S95" s="99">
        <v>0</v>
      </c>
      <c r="T95" s="99">
        <v>0</v>
      </c>
      <c r="U95" s="99">
        <v>0</v>
      </c>
      <c r="V95" s="99">
        <v>22.197500000000002</v>
      </c>
      <c r="W95" s="99">
        <v>0</v>
      </c>
      <c r="X95" s="99">
        <v>1</v>
      </c>
      <c r="Y95" s="99">
        <v>0</v>
      </c>
      <c r="Z95" s="99">
        <v>28</v>
      </c>
      <c r="AA95" s="99">
        <v>5.8025000000000002</v>
      </c>
      <c r="AB95" s="99">
        <v>0</v>
      </c>
      <c r="AC95" s="99">
        <v>3000</v>
      </c>
      <c r="AD95" s="99">
        <v>0</v>
      </c>
      <c r="AE95" s="99">
        <v>3000</v>
      </c>
      <c r="AF95" s="99"/>
      <c r="AG95" s="99"/>
      <c r="AH95" s="99"/>
      <c r="AI95" s="99"/>
      <c r="AJ95" s="99"/>
      <c r="AK95" s="99"/>
      <c r="AL95" s="99"/>
      <c r="AM95" s="99"/>
      <c r="AN95" s="99"/>
      <c r="AO95" s="99"/>
      <c r="AP95" s="99"/>
      <c r="AQ95" s="99"/>
      <c r="AR95" s="99"/>
      <c r="AS95" s="99"/>
      <c r="AT95" s="99"/>
      <c r="AU95" s="99"/>
      <c r="AV95" s="99"/>
      <c r="AW95" s="99"/>
    </row>
    <row r="96" spans="1:49" x14ac:dyDescent="0.3">
      <c r="A96" s="99" t="s">
        <v>40</v>
      </c>
      <c r="B96" s="99">
        <v>32</v>
      </c>
      <c r="C96" s="99" t="s">
        <v>282</v>
      </c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>
        <v>16.956250000000001</v>
      </c>
      <c r="W96" s="99">
        <v>0</v>
      </c>
      <c r="X96" s="99">
        <v>0</v>
      </c>
      <c r="Y96" s="99">
        <v>16.956250000000001</v>
      </c>
      <c r="Z96" s="99">
        <v>16.956250000000001</v>
      </c>
      <c r="AA96" s="99">
        <v>0</v>
      </c>
      <c r="AB96" s="99">
        <v>0</v>
      </c>
      <c r="AC96" s="99">
        <v>0</v>
      </c>
      <c r="AD96" s="99">
        <v>1186.94</v>
      </c>
      <c r="AE96" s="99">
        <v>1186.94</v>
      </c>
      <c r="AF96" s="99">
        <v>3000</v>
      </c>
      <c r="AG96" s="99">
        <v>1500</v>
      </c>
      <c r="AH96" s="99">
        <v>15</v>
      </c>
      <c r="AI96" s="99">
        <v>1500</v>
      </c>
      <c r="AJ96" s="99">
        <v>3000</v>
      </c>
      <c r="AK96" s="99">
        <v>15</v>
      </c>
      <c r="AL96" s="99">
        <v>1250</v>
      </c>
      <c r="AM96" s="99">
        <v>313</v>
      </c>
      <c r="AN96" s="99">
        <v>1.95625</v>
      </c>
      <c r="AO96" s="99">
        <v>313</v>
      </c>
      <c r="AP96" s="99">
        <v>1252</v>
      </c>
      <c r="AQ96" s="99">
        <v>1.95625</v>
      </c>
      <c r="AR96" s="99"/>
      <c r="AS96" s="99"/>
      <c r="AT96" s="99"/>
      <c r="AU96" s="99"/>
      <c r="AV96" s="99"/>
      <c r="AW96" s="99"/>
    </row>
    <row r="97" spans="1:49" x14ac:dyDescent="0.3">
      <c r="A97" s="99" t="s">
        <v>110</v>
      </c>
      <c r="B97" s="99">
        <v>32</v>
      </c>
      <c r="C97" s="99" t="s">
        <v>282</v>
      </c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>
        <v>0</v>
      </c>
      <c r="W97" s="99">
        <v>0</v>
      </c>
      <c r="X97" s="99">
        <v>0</v>
      </c>
      <c r="Y97" s="99">
        <v>0</v>
      </c>
      <c r="Z97" s="99">
        <v>0</v>
      </c>
      <c r="AA97" s="99">
        <v>0</v>
      </c>
      <c r="AB97" s="99">
        <v>0</v>
      </c>
      <c r="AC97" s="99">
        <v>0</v>
      </c>
      <c r="AD97" s="99">
        <v>0</v>
      </c>
      <c r="AE97" s="99">
        <v>0</v>
      </c>
      <c r="AF97" s="99"/>
      <c r="AG97" s="99"/>
      <c r="AH97" s="99"/>
      <c r="AI97" s="99"/>
      <c r="AJ97" s="99"/>
      <c r="AK97" s="99"/>
      <c r="AL97" s="99"/>
      <c r="AM97" s="99"/>
      <c r="AN97" s="99"/>
      <c r="AO97" s="99"/>
      <c r="AP97" s="99"/>
      <c r="AQ97" s="99"/>
      <c r="AR97" s="99">
        <v>0</v>
      </c>
      <c r="AS97" s="99">
        <v>0</v>
      </c>
      <c r="AT97" s="99">
        <v>0</v>
      </c>
      <c r="AU97" s="99">
        <v>0</v>
      </c>
      <c r="AV97" s="99">
        <v>0</v>
      </c>
      <c r="AW97" s="99">
        <v>0</v>
      </c>
    </row>
    <row r="98" spans="1:49" x14ac:dyDescent="0.3">
      <c r="A98" s="99" t="s">
        <v>32</v>
      </c>
      <c r="B98" s="99">
        <v>33</v>
      </c>
      <c r="C98" s="99" t="s">
        <v>283</v>
      </c>
      <c r="D98" s="99">
        <v>4281</v>
      </c>
      <c r="E98" s="99">
        <v>1071</v>
      </c>
      <c r="F98" s="99">
        <v>10.71</v>
      </c>
      <c r="G98" s="99">
        <v>0</v>
      </c>
      <c r="H98" s="99">
        <v>0</v>
      </c>
      <c r="I98" s="99">
        <v>0</v>
      </c>
      <c r="J98" s="99">
        <v>6250</v>
      </c>
      <c r="K98" s="99">
        <v>1563</v>
      </c>
      <c r="L98" s="99">
        <v>9.7687500000000007</v>
      </c>
      <c r="M98" s="99">
        <v>0</v>
      </c>
      <c r="N98" s="99">
        <v>0</v>
      </c>
      <c r="O98" s="99">
        <v>0</v>
      </c>
      <c r="P98" s="99">
        <v>1928</v>
      </c>
      <c r="Q98" s="99">
        <v>241</v>
      </c>
      <c r="R98" s="99">
        <v>1.8828119999999999</v>
      </c>
      <c r="S98" s="99">
        <v>0</v>
      </c>
      <c r="T98" s="99">
        <v>0</v>
      </c>
      <c r="U98" s="99">
        <v>0</v>
      </c>
      <c r="V98" s="99">
        <v>22.361563</v>
      </c>
      <c r="W98" s="99">
        <v>0</v>
      </c>
      <c r="X98" s="99">
        <v>1</v>
      </c>
      <c r="Y98" s="99">
        <v>0</v>
      </c>
      <c r="Z98" s="99">
        <v>28</v>
      </c>
      <c r="AA98" s="99">
        <v>5.6384369999999997</v>
      </c>
      <c r="AB98" s="99">
        <v>0</v>
      </c>
      <c r="AC98" s="99">
        <v>3000</v>
      </c>
      <c r="AD98" s="99">
        <v>0</v>
      </c>
      <c r="AE98" s="99">
        <v>3000</v>
      </c>
      <c r="AF98" s="99"/>
      <c r="AG98" s="99"/>
      <c r="AH98" s="99"/>
      <c r="AI98" s="99"/>
      <c r="AJ98" s="99"/>
      <c r="AK98" s="99"/>
      <c r="AL98" s="99"/>
      <c r="AM98" s="99"/>
      <c r="AN98" s="99"/>
      <c r="AO98" s="99"/>
      <c r="AP98" s="99"/>
      <c r="AQ98" s="99"/>
      <c r="AR98" s="99"/>
      <c r="AS98" s="99"/>
      <c r="AT98" s="99"/>
      <c r="AU98" s="99"/>
      <c r="AV98" s="99"/>
      <c r="AW98" s="99"/>
    </row>
    <row r="99" spans="1:49" x14ac:dyDescent="0.3">
      <c r="A99" s="99" t="s">
        <v>40</v>
      </c>
      <c r="B99" s="99">
        <v>33</v>
      </c>
      <c r="C99" s="99" t="s">
        <v>283</v>
      </c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>
        <v>16.956250000000001</v>
      </c>
      <c r="W99" s="99">
        <v>0</v>
      </c>
      <c r="X99" s="99">
        <v>0</v>
      </c>
      <c r="Y99" s="99">
        <v>16.956250000000001</v>
      </c>
      <c r="Z99" s="99">
        <v>16.956250000000001</v>
      </c>
      <c r="AA99" s="99">
        <v>0</v>
      </c>
      <c r="AB99" s="99">
        <v>0</v>
      </c>
      <c r="AC99" s="99">
        <v>0</v>
      </c>
      <c r="AD99" s="99">
        <v>1186.94</v>
      </c>
      <c r="AE99" s="99">
        <v>1186.94</v>
      </c>
      <c r="AF99" s="99">
        <v>3000</v>
      </c>
      <c r="AG99" s="99">
        <v>1500</v>
      </c>
      <c r="AH99" s="99">
        <v>15</v>
      </c>
      <c r="AI99" s="99">
        <v>1500</v>
      </c>
      <c r="AJ99" s="99">
        <v>3000</v>
      </c>
      <c r="AK99" s="99">
        <v>15</v>
      </c>
      <c r="AL99" s="99">
        <v>1250</v>
      </c>
      <c r="AM99" s="99">
        <v>313</v>
      </c>
      <c r="AN99" s="99">
        <v>1.95625</v>
      </c>
      <c r="AO99" s="99">
        <v>313</v>
      </c>
      <c r="AP99" s="99">
        <v>1252</v>
      </c>
      <c r="AQ99" s="99">
        <v>1.95625</v>
      </c>
      <c r="AR99" s="99"/>
      <c r="AS99" s="99"/>
      <c r="AT99" s="99"/>
      <c r="AU99" s="99"/>
      <c r="AV99" s="99"/>
      <c r="AW99" s="99"/>
    </row>
    <row r="100" spans="1:49" x14ac:dyDescent="0.3">
      <c r="A100" s="99" t="s">
        <v>110</v>
      </c>
      <c r="B100" s="99">
        <v>33</v>
      </c>
      <c r="C100" s="99" t="s">
        <v>283</v>
      </c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>
        <v>0.9375</v>
      </c>
      <c r="W100" s="99">
        <v>0</v>
      </c>
      <c r="X100" s="99">
        <v>0</v>
      </c>
      <c r="Y100" s="99">
        <v>0.9375</v>
      </c>
      <c r="Z100" s="99">
        <v>0.9375</v>
      </c>
      <c r="AA100" s="99">
        <v>0</v>
      </c>
      <c r="AB100" s="99">
        <v>0</v>
      </c>
      <c r="AC100" s="99">
        <v>0</v>
      </c>
      <c r="AD100" s="99">
        <v>32.81</v>
      </c>
      <c r="AE100" s="99">
        <v>32.81</v>
      </c>
      <c r="AF100" s="99"/>
      <c r="AG100" s="99"/>
      <c r="AH100" s="99"/>
      <c r="AI100" s="99"/>
      <c r="AJ100" s="99"/>
      <c r="AK100" s="99"/>
      <c r="AL100" s="99"/>
      <c r="AM100" s="99"/>
      <c r="AN100" s="99"/>
      <c r="AO100" s="99"/>
      <c r="AP100" s="99"/>
      <c r="AQ100" s="99"/>
      <c r="AR100" s="99">
        <v>300</v>
      </c>
      <c r="AS100" s="99">
        <v>150</v>
      </c>
      <c r="AT100" s="99">
        <v>0.9375</v>
      </c>
      <c r="AU100" s="99">
        <v>150</v>
      </c>
      <c r="AV100" s="99">
        <v>300</v>
      </c>
      <c r="AW100" s="99">
        <v>0.9375</v>
      </c>
    </row>
    <row r="101" spans="1:49" x14ac:dyDescent="0.3">
      <c r="A101" s="99" t="s">
        <v>32</v>
      </c>
      <c r="B101" s="99">
        <v>34</v>
      </c>
      <c r="C101" s="99" t="s">
        <v>284</v>
      </c>
      <c r="D101" s="99">
        <v>8326</v>
      </c>
      <c r="E101" s="99">
        <v>2082</v>
      </c>
      <c r="F101" s="99">
        <v>20.82</v>
      </c>
      <c r="G101" s="99">
        <v>0</v>
      </c>
      <c r="H101" s="99">
        <v>0</v>
      </c>
      <c r="I101" s="99">
        <v>0</v>
      </c>
      <c r="J101" s="99">
        <v>6250</v>
      </c>
      <c r="K101" s="99">
        <v>1563</v>
      </c>
      <c r="L101" s="99">
        <v>9.7687500000000007</v>
      </c>
      <c r="M101" s="99">
        <v>717</v>
      </c>
      <c r="N101" s="99">
        <v>2868</v>
      </c>
      <c r="O101" s="99">
        <v>4.4812500000000002</v>
      </c>
      <c r="P101" s="99">
        <v>1930</v>
      </c>
      <c r="Q101" s="99">
        <v>242</v>
      </c>
      <c r="R101" s="99">
        <v>1.890625</v>
      </c>
      <c r="S101" s="99">
        <v>0</v>
      </c>
      <c r="T101" s="99">
        <v>0</v>
      </c>
      <c r="U101" s="99">
        <v>0</v>
      </c>
      <c r="V101" s="99">
        <v>32.479374999999997</v>
      </c>
      <c r="W101" s="99">
        <v>0</v>
      </c>
      <c r="X101" s="99">
        <v>1</v>
      </c>
      <c r="Y101" s="99">
        <v>4.4812500000000002</v>
      </c>
      <c r="Z101" s="99">
        <v>32.481250000000003</v>
      </c>
      <c r="AA101" s="99">
        <v>1.8749999999999999E-3</v>
      </c>
      <c r="AB101" s="99">
        <v>0</v>
      </c>
      <c r="AC101" s="99">
        <v>3000</v>
      </c>
      <c r="AD101" s="99">
        <v>896.25</v>
      </c>
      <c r="AE101" s="99">
        <v>3896.25</v>
      </c>
      <c r="AF101" s="99"/>
      <c r="AG101" s="99"/>
      <c r="AH101" s="99"/>
      <c r="AI101" s="99"/>
      <c r="AJ101" s="99"/>
      <c r="AK101" s="99"/>
      <c r="AL101" s="99"/>
      <c r="AM101" s="99"/>
      <c r="AN101" s="99"/>
      <c r="AO101" s="99"/>
      <c r="AP101" s="99"/>
      <c r="AQ101" s="99"/>
      <c r="AR101" s="99"/>
      <c r="AS101" s="99"/>
      <c r="AT101" s="99"/>
      <c r="AU101" s="99"/>
      <c r="AV101" s="99"/>
      <c r="AW101" s="99"/>
    </row>
    <row r="102" spans="1:49" x14ac:dyDescent="0.3">
      <c r="A102" s="99" t="s">
        <v>40</v>
      </c>
      <c r="B102" s="99">
        <v>34</v>
      </c>
      <c r="C102" s="99" t="s">
        <v>284</v>
      </c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>
        <v>16.956250000000001</v>
      </c>
      <c r="W102" s="99">
        <v>0</v>
      </c>
      <c r="X102" s="99">
        <v>0</v>
      </c>
      <c r="Y102" s="99">
        <v>16.956250000000001</v>
      </c>
      <c r="Z102" s="99">
        <v>16.956250000000001</v>
      </c>
      <c r="AA102" s="99">
        <v>0</v>
      </c>
      <c r="AB102" s="99">
        <v>0</v>
      </c>
      <c r="AC102" s="99">
        <v>0</v>
      </c>
      <c r="AD102" s="99">
        <v>1186.94</v>
      </c>
      <c r="AE102" s="99">
        <v>1186.94</v>
      </c>
      <c r="AF102" s="99">
        <v>3000</v>
      </c>
      <c r="AG102" s="99">
        <v>1500</v>
      </c>
      <c r="AH102" s="99">
        <v>15</v>
      </c>
      <c r="AI102" s="99">
        <v>1500</v>
      </c>
      <c r="AJ102" s="99">
        <v>3000</v>
      </c>
      <c r="AK102" s="99">
        <v>15</v>
      </c>
      <c r="AL102" s="99">
        <v>1250</v>
      </c>
      <c r="AM102" s="99">
        <v>313</v>
      </c>
      <c r="AN102" s="99">
        <v>1.95625</v>
      </c>
      <c r="AO102" s="99">
        <v>313</v>
      </c>
      <c r="AP102" s="99">
        <v>1252</v>
      </c>
      <c r="AQ102" s="99">
        <v>1.95625</v>
      </c>
      <c r="AR102" s="99"/>
      <c r="AS102" s="99"/>
      <c r="AT102" s="99"/>
      <c r="AU102" s="99"/>
      <c r="AV102" s="99"/>
      <c r="AW102" s="99"/>
    </row>
    <row r="103" spans="1:49" x14ac:dyDescent="0.3">
      <c r="A103" s="99" t="s">
        <v>110</v>
      </c>
      <c r="B103" s="99">
        <v>34</v>
      </c>
      <c r="C103" s="99" t="s">
        <v>284</v>
      </c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>
        <v>0</v>
      </c>
      <c r="W103" s="99">
        <v>0</v>
      </c>
      <c r="X103" s="99">
        <v>0</v>
      </c>
      <c r="Y103" s="99">
        <v>0</v>
      </c>
      <c r="Z103" s="99">
        <v>0</v>
      </c>
      <c r="AA103" s="99">
        <v>0</v>
      </c>
      <c r="AB103" s="99">
        <v>0</v>
      </c>
      <c r="AC103" s="99">
        <v>0</v>
      </c>
      <c r="AD103" s="99">
        <v>0</v>
      </c>
      <c r="AE103" s="99">
        <v>0</v>
      </c>
      <c r="AF103" s="99"/>
      <c r="AG103" s="99"/>
      <c r="AH103" s="99"/>
      <c r="AI103" s="99"/>
      <c r="AJ103" s="99"/>
      <c r="AK103" s="99"/>
      <c r="AL103" s="99"/>
      <c r="AM103" s="99"/>
      <c r="AN103" s="99"/>
      <c r="AO103" s="99"/>
      <c r="AP103" s="99"/>
      <c r="AQ103" s="99"/>
      <c r="AR103" s="99">
        <v>0</v>
      </c>
      <c r="AS103" s="99">
        <v>0</v>
      </c>
      <c r="AT103" s="99">
        <v>0</v>
      </c>
      <c r="AU103" s="99">
        <v>0</v>
      </c>
      <c r="AV103" s="99">
        <v>0</v>
      </c>
      <c r="AW103" s="99">
        <v>0</v>
      </c>
    </row>
    <row r="104" spans="1:49" x14ac:dyDescent="0.3">
      <c r="A104" s="99" t="s">
        <v>32</v>
      </c>
      <c r="B104" s="99">
        <v>35</v>
      </c>
      <c r="C104" s="99" t="s">
        <v>285</v>
      </c>
      <c r="D104" s="99">
        <v>8325</v>
      </c>
      <c r="E104" s="99">
        <v>2082</v>
      </c>
      <c r="F104" s="99">
        <v>20.82</v>
      </c>
      <c r="G104" s="99">
        <v>33</v>
      </c>
      <c r="H104" s="99">
        <v>132</v>
      </c>
      <c r="I104" s="99">
        <v>0.33</v>
      </c>
      <c r="J104" s="99">
        <v>6250</v>
      </c>
      <c r="K104" s="99">
        <v>1563</v>
      </c>
      <c r="L104" s="99">
        <v>9.7687500000000007</v>
      </c>
      <c r="M104" s="99">
        <v>409</v>
      </c>
      <c r="N104" s="99">
        <v>1636</v>
      </c>
      <c r="O104" s="99">
        <v>2.5562499999999999</v>
      </c>
      <c r="P104" s="99">
        <v>1928</v>
      </c>
      <c r="Q104" s="99">
        <v>241</v>
      </c>
      <c r="R104" s="99">
        <v>1.8828119999999999</v>
      </c>
      <c r="S104" s="99">
        <v>203</v>
      </c>
      <c r="T104" s="99">
        <v>1624</v>
      </c>
      <c r="U104" s="99">
        <v>1.5859380000000001</v>
      </c>
      <c r="V104" s="99">
        <v>32.471563000000003</v>
      </c>
      <c r="W104" s="99">
        <v>0</v>
      </c>
      <c r="X104" s="99">
        <v>1</v>
      </c>
      <c r="Y104" s="99">
        <v>4.4721880000000001</v>
      </c>
      <c r="Z104" s="99">
        <v>32.472188000000003</v>
      </c>
      <c r="AA104" s="99">
        <v>6.2500000000000001E-4</v>
      </c>
      <c r="AB104" s="99">
        <v>0</v>
      </c>
      <c r="AC104" s="99">
        <v>3000</v>
      </c>
      <c r="AD104" s="99">
        <v>894.44</v>
      </c>
      <c r="AE104" s="99">
        <v>3894.44</v>
      </c>
      <c r="AF104" s="99"/>
      <c r="AG104" s="99"/>
      <c r="AH104" s="99"/>
      <c r="AI104" s="99"/>
      <c r="AJ104" s="99"/>
      <c r="AK104" s="99"/>
      <c r="AL104" s="99"/>
      <c r="AM104" s="99"/>
      <c r="AN104" s="99"/>
      <c r="AO104" s="99"/>
      <c r="AP104" s="99"/>
      <c r="AQ104" s="99"/>
      <c r="AR104" s="99"/>
      <c r="AS104" s="99"/>
      <c r="AT104" s="99"/>
      <c r="AU104" s="99"/>
      <c r="AV104" s="99"/>
      <c r="AW104" s="99"/>
    </row>
    <row r="105" spans="1:49" x14ac:dyDescent="0.3">
      <c r="A105" s="99" t="s">
        <v>40</v>
      </c>
      <c r="B105" s="99">
        <v>35</v>
      </c>
      <c r="C105" s="99" t="s">
        <v>285</v>
      </c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>
        <v>16.956250000000001</v>
      </c>
      <c r="W105" s="99">
        <v>0</v>
      </c>
      <c r="X105" s="99">
        <v>0</v>
      </c>
      <c r="Y105" s="99">
        <v>16.956250000000001</v>
      </c>
      <c r="Z105" s="99">
        <v>16.956250000000001</v>
      </c>
      <c r="AA105" s="99">
        <v>0</v>
      </c>
      <c r="AB105" s="99">
        <v>0</v>
      </c>
      <c r="AC105" s="99">
        <v>0</v>
      </c>
      <c r="AD105" s="99">
        <v>1186.94</v>
      </c>
      <c r="AE105" s="99">
        <v>1186.94</v>
      </c>
      <c r="AF105" s="99">
        <v>3000</v>
      </c>
      <c r="AG105" s="99">
        <v>1500</v>
      </c>
      <c r="AH105" s="99">
        <v>15</v>
      </c>
      <c r="AI105" s="99">
        <v>1500</v>
      </c>
      <c r="AJ105" s="99">
        <v>3000</v>
      </c>
      <c r="AK105" s="99">
        <v>15</v>
      </c>
      <c r="AL105" s="99">
        <v>1250</v>
      </c>
      <c r="AM105" s="99">
        <v>313</v>
      </c>
      <c r="AN105" s="99">
        <v>1.95625</v>
      </c>
      <c r="AO105" s="99">
        <v>313</v>
      </c>
      <c r="AP105" s="99">
        <v>1252</v>
      </c>
      <c r="AQ105" s="99">
        <v>1.95625</v>
      </c>
      <c r="AR105" s="99"/>
      <c r="AS105" s="99"/>
      <c r="AT105" s="99"/>
      <c r="AU105" s="99"/>
      <c r="AV105" s="99"/>
      <c r="AW105" s="99"/>
    </row>
    <row r="106" spans="1:49" x14ac:dyDescent="0.3">
      <c r="A106" s="99" t="s">
        <v>110</v>
      </c>
      <c r="B106" s="99">
        <v>35</v>
      </c>
      <c r="C106" s="99" t="s">
        <v>285</v>
      </c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>
        <v>0</v>
      </c>
      <c r="W106" s="99">
        <v>0</v>
      </c>
      <c r="X106" s="99">
        <v>0</v>
      </c>
      <c r="Y106" s="99">
        <v>0</v>
      </c>
      <c r="Z106" s="99">
        <v>0</v>
      </c>
      <c r="AA106" s="99">
        <v>0</v>
      </c>
      <c r="AB106" s="99">
        <v>0</v>
      </c>
      <c r="AC106" s="99">
        <v>0</v>
      </c>
      <c r="AD106" s="99">
        <v>0</v>
      </c>
      <c r="AE106" s="99">
        <v>0</v>
      </c>
      <c r="AF106" s="99"/>
      <c r="AG106" s="99"/>
      <c r="AH106" s="99"/>
      <c r="AI106" s="99"/>
      <c r="AJ106" s="99"/>
      <c r="AK106" s="99"/>
      <c r="AL106" s="99"/>
      <c r="AM106" s="99"/>
      <c r="AN106" s="99"/>
      <c r="AO106" s="99"/>
      <c r="AP106" s="99"/>
      <c r="AQ106" s="99"/>
      <c r="AR106" s="99">
        <v>0</v>
      </c>
      <c r="AS106" s="99">
        <v>0</v>
      </c>
      <c r="AT106" s="99">
        <v>0</v>
      </c>
      <c r="AU106" s="99">
        <v>0</v>
      </c>
      <c r="AV106" s="99">
        <v>0</v>
      </c>
      <c r="AW106" s="9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B1F2-4C6C-4EF3-9137-DDD65D6E4FA0}">
  <dimension ref="A1:L8"/>
  <sheetViews>
    <sheetView workbookViewId="0">
      <selection activeCell="L8" sqref="L8"/>
    </sheetView>
  </sheetViews>
  <sheetFormatPr defaultRowHeight="14.4" x14ac:dyDescent="0.3"/>
  <cols>
    <col min="1" max="2" width="10" customWidth="1"/>
    <col min="3" max="3" width="18" customWidth="1"/>
    <col min="4" max="5" width="11" customWidth="1"/>
    <col min="6" max="6" width="15" customWidth="1"/>
    <col min="7" max="7" width="20" customWidth="1"/>
    <col min="8" max="8" width="17" customWidth="1"/>
    <col min="9" max="10" width="15" customWidth="1"/>
    <col min="11" max="12" width="19" customWidth="1"/>
  </cols>
  <sheetData>
    <row r="1" spans="1:12" x14ac:dyDescent="0.3">
      <c r="A1" s="98" t="s">
        <v>202</v>
      </c>
      <c r="B1" s="98" t="s">
        <v>313</v>
      </c>
      <c r="C1" s="98" t="s">
        <v>295</v>
      </c>
      <c r="D1" s="98" t="s">
        <v>314</v>
      </c>
      <c r="E1" s="98" t="s">
        <v>315</v>
      </c>
      <c r="F1" s="98" t="s">
        <v>316</v>
      </c>
      <c r="G1" s="98" t="s">
        <v>317</v>
      </c>
      <c r="H1" s="98" t="s">
        <v>318</v>
      </c>
      <c r="I1" s="98" t="s">
        <v>319</v>
      </c>
      <c r="J1" s="98" t="s">
        <v>320</v>
      </c>
      <c r="K1" s="98" t="s">
        <v>321</v>
      </c>
      <c r="L1" s="98" t="s">
        <v>322</v>
      </c>
    </row>
    <row r="2" spans="1:12" x14ac:dyDescent="0.3">
      <c r="A2" s="99" t="s">
        <v>110</v>
      </c>
      <c r="B2" s="99">
        <v>35</v>
      </c>
      <c r="C2" s="99">
        <v>16.15625</v>
      </c>
      <c r="D2" s="99">
        <v>0</v>
      </c>
      <c r="E2" s="99">
        <v>0</v>
      </c>
      <c r="F2" s="99">
        <v>16.15625</v>
      </c>
      <c r="G2" s="99">
        <v>16.15625</v>
      </c>
      <c r="H2" s="99">
        <v>0</v>
      </c>
      <c r="I2" s="99">
        <v>0</v>
      </c>
      <c r="J2" s="99">
        <v>0</v>
      </c>
      <c r="K2" s="99">
        <v>565.43000000000006</v>
      </c>
      <c r="L2" s="99">
        <v>565.43000000000006</v>
      </c>
    </row>
    <row r="3" spans="1:12" x14ac:dyDescent="0.3">
      <c r="A3" s="99" t="s">
        <v>40</v>
      </c>
      <c r="B3" s="99">
        <v>35</v>
      </c>
      <c r="C3" s="99">
        <v>542.29875000000004</v>
      </c>
      <c r="D3" s="99">
        <v>2</v>
      </c>
      <c r="E3" s="99">
        <v>0</v>
      </c>
      <c r="F3" s="99">
        <v>412.30374999999998</v>
      </c>
      <c r="G3" s="99">
        <v>542.30375000000004</v>
      </c>
      <c r="H3" s="99">
        <v>5.0000000000000001E-3</v>
      </c>
      <c r="I3" s="99">
        <v>8400</v>
      </c>
      <c r="J3" s="99">
        <v>0</v>
      </c>
      <c r="K3" s="99">
        <v>28861.33</v>
      </c>
      <c r="L3" s="99">
        <v>37261.33</v>
      </c>
    </row>
    <row r="4" spans="1:12" x14ac:dyDescent="0.3">
      <c r="A4" s="99" t="s">
        <v>32</v>
      </c>
      <c r="B4" s="99">
        <v>35</v>
      </c>
      <c r="C4" s="99">
        <v>1064.8675049999999</v>
      </c>
      <c r="D4" s="99">
        <v>13</v>
      </c>
      <c r="E4" s="99">
        <v>14</v>
      </c>
      <c r="F4" s="99">
        <v>108.49718900000001</v>
      </c>
      <c r="G4" s="99">
        <v>1345.4971889999999</v>
      </c>
      <c r="H4" s="99">
        <v>280.629684</v>
      </c>
      <c r="I4" s="99">
        <v>67600</v>
      </c>
      <c r="J4" s="99">
        <v>42000</v>
      </c>
      <c r="K4" s="99">
        <v>21699.42</v>
      </c>
      <c r="L4" s="99">
        <v>131299.42000000001</v>
      </c>
    </row>
    <row r="7" spans="1:12" x14ac:dyDescent="0.3">
      <c r="A7" s="98" t="s">
        <v>323</v>
      </c>
      <c r="B7" s="98" t="s">
        <v>313</v>
      </c>
      <c r="C7" s="98" t="s">
        <v>295</v>
      </c>
      <c r="D7" s="98" t="s">
        <v>314</v>
      </c>
      <c r="E7" s="98" t="s">
        <v>315</v>
      </c>
      <c r="F7" s="98" t="s">
        <v>316</v>
      </c>
      <c r="G7" s="98" t="s">
        <v>317</v>
      </c>
      <c r="H7" s="98" t="s">
        <v>318</v>
      </c>
      <c r="I7" s="98" t="s">
        <v>319</v>
      </c>
      <c r="J7" s="98" t="s">
        <v>320</v>
      </c>
      <c r="K7" s="98" t="s">
        <v>321</v>
      </c>
      <c r="L7" s="98" t="s">
        <v>322</v>
      </c>
    </row>
    <row r="8" spans="1:12" x14ac:dyDescent="0.3">
      <c r="A8" s="99">
        <v>3</v>
      </c>
      <c r="B8" s="99">
        <v>35</v>
      </c>
      <c r="C8" s="99">
        <v>1623.3225050000001</v>
      </c>
      <c r="D8" s="99">
        <v>15</v>
      </c>
      <c r="E8" s="99">
        <v>14</v>
      </c>
      <c r="F8" s="99">
        <v>536.95718899999997</v>
      </c>
      <c r="G8" s="99">
        <v>1903.957189</v>
      </c>
      <c r="H8" s="99">
        <v>280.63468399999999</v>
      </c>
      <c r="I8" s="99">
        <v>76000</v>
      </c>
      <c r="J8" s="99">
        <v>42000</v>
      </c>
      <c r="K8" s="99">
        <v>51126.18</v>
      </c>
      <c r="L8" s="99">
        <v>169126.18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4FC0-8B4B-463E-9B71-59FA49528B01}">
  <dimension ref="C5:M35"/>
  <sheetViews>
    <sheetView workbookViewId="0">
      <selection activeCell="E44" sqref="E44"/>
    </sheetView>
  </sheetViews>
  <sheetFormatPr defaultRowHeight="14.4" x14ac:dyDescent="0.3"/>
  <cols>
    <col min="3" max="3" width="6.21875" customWidth="1"/>
    <col min="4" max="4" width="16.21875" customWidth="1"/>
    <col min="5" max="5" width="20.77734375" bestFit="1" customWidth="1"/>
    <col min="6" max="6" width="16.44140625" bestFit="1" customWidth="1"/>
    <col min="7" max="7" width="16.44140625" customWidth="1"/>
    <col min="8" max="8" width="13.44140625" customWidth="1"/>
    <col min="9" max="9" width="11.77734375" bestFit="1" customWidth="1"/>
    <col min="11" max="11" width="14.21875" bestFit="1" customWidth="1"/>
  </cols>
  <sheetData>
    <row r="5" spans="3:13" x14ac:dyDescent="0.3">
      <c r="C5" s="2" t="s">
        <v>54</v>
      </c>
      <c r="D5" s="2" t="s">
        <v>55</v>
      </c>
      <c r="E5" s="14" t="s">
        <v>56</v>
      </c>
      <c r="F5" s="2" t="s">
        <v>57</v>
      </c>
      <c r="G5" s="2" t="s">
        <v>58</v>
      </c>
      <c r="H5" s="2" t="s">
        <v>59</v>
      </c>
      <c r="I5" s="15" t="s">
        <v>60</v>
      </c>
      <c r="J5" s="15" t="s">
        <v>61</v>
      </c>
      <c r="K5" s="15" t="s">
        <v>62</v>
      </c>
      <c r="L5" s="15" t="s">
        <v>63</v>
      </c>
      <c r="M5" s="15" t="s">
        <v>64</v>
      </c>
    </row>
    <row r="6" spans="3:13" x14ac:dyDescent="0.3">
      <c r="C6">
        <v>1</v>
      </c>
      <c r="D6" t="s">
        <v>30</v>
      </c>
      <c r="E6" t="s">
        <v>65</v>
      </c>
      <c r="F6" t="s">
        <v>66</v>
      </c>
      <c r="G6" t="s">
        <v>67</v>
      </c>
      <c r="H6">
        <v>1</v>
      </c>
      <c r="I6">
        <v>7</v>
      </c>
      <c r="J6">
        <v>588</v>
      </c>
      <c r="K6">
        <v>0</v>
      </c>
      <c r="L6">
        <v>0.2</v>
      </c>
      <c r="M6" t="s">
        <v>68</v>
      </c>
    </row>
    <row r="7" spans="3:13" x14ac:dyDescent="0.3">
      <c r="C7">
        <v>2</v>
      </c>
      <c r="D7" t="s">
        <v>30</v>
      </c>
      <c r="E7" t="s">
        <v>69</v>
      </c>
      <c r="F7" t="s">
        <v>70</v>
      </c>
      <c r="G7" t="s">
        <v>67</v>
      </c>
      <c r="H7">
        <v>0.25</v>
      </c>
      <c r="I7">
        <v>14</v>
      </c>
      <c r="J7">
        <v>1443</v>
      </c>
      <c r="K7">
        <v>0</v>
      </c>
      <c r="L7">
        <v>4</v>
      </c>
      <c r="M7" t="s">
        <v>71</v>
      </c>
    </row>
    <row r="8" spans="3:13" x14ac:dyDescent="0.3">
      <c r="C8">
        <v>3</v>
      </c>
      <c r="D8" t="s">
        <v>30</v>
      </c>
      <c r="E8" t="s">
        <v>72</v>
      </c>
      <c r="F8" t="s">
        <v>73</v>
      </c>
      <c r="G8" t="s">
        <v>67</v>
      </c>
      <c r="H8">
        <v>1</v>
      </c>
      <c r="I8">
        <v>21</v>
      </c>
      <c r="J8">
        <v>42524</v>
      </c>
      <c r="K8">
        <v>0</v>
      </c>
      <c r="L8">
        <v>5</v>
      </c>
      <c r="M8" t="s">
        <v>74</v>
      </c>
    </row>
    <row r="9" spans="3:13" x14ac:dyDescent="0.3">
      <c r="C9">
        <v>4</v>
      </c>
      <c r="D9" t="s">
        <v>30</v>
      </c>
      <c r="E9" t="s">
        <v>75</v>
      </c>
      <c r="F9" t="s">
        <v>76</v>
      </c>
      <c r="G9" t="s">
        <v>77</v>
      </c>
      <c r="H9">
        <v>2</v>
      </c>
      <c r="I9">
        <v>140</v>
      </c>
      <c r="J9">
        <v>340000</v>
      </c>
      <c r="K9" s="16">
        <v>30000</v>
      </c>
      <c r="L9">
        <v>15</v>
      </c>
      <c r="M9" t="s">
        <v>68</v>
      </c>
    </row>
    <row r="10" spans="3:13" x14ac:dyDescent="0.3">
      <c r="C10">
        <v>5</v>
      </c>
      <c r="D10" t="s">
        <v>30</v>
      </c>
      <c r="E10" t="s">
        <v>78</v>
      </c>
      <c r="F10" t="s">
        <v>79</v>
      </c>
      <c r="G10" t="s">
        <v>77</v>
      </c>
      <c r="H10">
        <v>1</v>
      </c>
      <c r="I10">
        <v>70</v>
      </c>
      <c r="J10">
        <v>90000</v>
      </c>
      <c r="K10">
        <v>0</v>
      </c>
      <c r="L10">
        <v>25</v>
      </c>
      <c r="M10" t="s">
        <v>68</v>
      </c>
    </row>
    <row r="11" spans="3:13" x14ac:dyDescent="0.3">
      <c r="C11">
        <v>6</v>
      </c>
      <c r="D11" t="s">
        <v>35</v>
      </c>
      <c r="E11" t="s">
        <v>65</v>
      </c>
      <c r="F11" t="s">
        <v>66</v>
      </c>
      <c r="G11" t="s">
        <v>67</v>
      </c>
      <c r="H11">
        <v>1</v>
      </c>
      <c r="I11">
        <v>7</v>
      </c>
      <c r="J11">
        <v>588</v>
      </c>
      <c r="K11">
        <v>0</v>
      </c>
      <c r="L11">
        <v>0.2</v>
      </c>
      <c r="M11" t="s">
        <v>68</v>
      </c>
    </row>
    <row r="12" spans="3:13" x14ac:dyDescent="0.3">
      <c r="C12">
        <v>7</v>
      </c>
      <c r="D12" t="s">
        <v>35</v>
      </c>
      <c r="E12" t="s">
        <v>69</v>
      </c>
      <c r="F12" t="s">
        <v>70</v>
      </c>
      <c r="G12" t="s">
        <v>67</v>
      </c>
      <c r="H12">
        <v>0.25</v>
      </c>
      <c r="I12">
        <v>14</v>
      </c>
      <c r="J12">
        <v>1443</v>
      </c>
      <c r="K12">
        <v>0</v>
      </c>
      <c r="L12">
        <v>4</v>
      </c>
      <c r="M12" t="s">
        <v>71</v>
      </c>
    </row>
    <row r="13" spans="3:13" x14ac:dyDescent="0.3">
      <c r="C13">
        <v>8</v>
      </c>
      <c r="D13" t="s">
        <v>35</v>
      </c>
      <c r="E13" t="s">
        <v>72</v>
      </c>
      <c r="F13" t="s">
        <v>73</v>
      </c>
      <c r="G13" t="s">
        <v>67</v>
      </c>
      <c r="H13">
        <v>1</v>
      </c>
      <c r="I13">
        <v>21</v>
      </c>
      <c r="J13">
        <v>42524</v>
      </c>
      <c r="K13">
        <v>0</v>
      </c>
      <c r="L13">
        <v>5</v>
      </c>
      <c r="M13" t="s">
        <v>74</v>
      </c>
    </row>
    <row r="14" spans="3:13" x14ac:dyDescent="0.3">
      <c r="C14">
        <v>9</v>
      </c>
      <c r="D14" t="s">
        <v>35</v>
      </c>
      <c r="E14" t="s">
        <v>80</v>
      </c>
      <c r="F14" t="s">
        <v>81</v>
      </c>
      <c r="G14" t="s">
        <v>77</v>
      </c>
      <c r="H14">
        <v>2.5</v>
      </c>
      <c r="I14">
        <v>35</v>
      </c>
      <c r="J14" s="16">
        <v>76000</v>
      </c>
      <c r="K14">
        <v>0</v>
      </c>
      <c r="L14">
        <v>10</v>
      </c>
      <c r="M14" t="s">
        <v>82</v>
      </c>
    </row>
    <row r="15" spans="3:13" x14ac:dyDescent="0.3">
      <c r="C15">
        <v>10</v>
      </c>
      <c r="D15" t="s">
        <v>35</v>
      </c>
      <c r="E15" t="s">
        <v>83</v>
      </c>
      <c r="F15" t="s">
        <v>84</v>
      </c>
      <c r="G15" t="s">
        <v>77</v>
      </c>
      <c r="H15">
        <v>1.5</v>
      </c>
      <c r="I15">
        <v>42</v>
      </c>
      <c r="J15" s="16">
        <v>50000</v>
      </c>
      <c r="K15">
        <v>0</v>
      </c>
      <c r="L15">
        <v>7</v>
      </c>
      <c r="M15" t="s">
        <v>85</v>
      </c>
    </row>
    <row r="16" spans="3:13" x14ac:dyDescent="0.3">
      <c r="C16">
        <v>11</v>
      </c>
      <c r="D16" t="s">
        <v>38</v>
      </c>
      <c r="E16" t="s">
        <v>65</v>
      </c>
      <c r="F16" t="s">
        <v>66</v>
      </c>
      <c r="G16" t="s">
        <v>67</v>
      </c>
      <c r="H16">
        <v>1</v>
      </c>
      <c r="I16">
        <v>7</v>
      </c>
      <c r="J16">
        <v>588</v>
      </c>
      <c r="K16">
        <v>0</v>
      </c>
      <c r="L16">
        <v>0.2</v>
      </c>
      <c r="M16" t="s">
        <v>68</v>
      </c>
    </row>
    <row r="17" spans="3:13" x14ac:dyDescent="0.3">
      <c r="C17">
        <v>12</v>
      </c>
      <c r="D17" t="s">
        <v>38</v>
      </c>
      <c r="E17" t="s">
        <v>69</v>
      </c>
      <c r="F17" t="s">
        <v>70</v>
      </c>
      <c r="G17" t="s">
        <v>67</v>
      </c>
      <c r="H17">
        <v>0.5</v>
      </c>
      <c r="I17">
        <v>14</v>
      </c>
      <c r="J17">
        <v>2886</v>
      </c>
      <c r="K17">
        <v>0</v>
      </c>
      <c r="L17">
        <v>4</v>
      </c>
      <c r="M17" t="s">
        <v>71</v>
      </c>
    </row>
    <row r="18" spans="3:13" x14ac:dyDescent="0.3">
      <c r="C18">
        <v>13</v>
      </c>
      <c r="D18" t="s">
        <v>38</v>
      </c>
      <c r="E18" t="s">
        <v>72</v>
      </c>
      <c r="F18" t="s">
        <v>73</v>
      </c>
      <c r="G18" t="s">
        <v>67</v>
      </c>
      <c r="H18">
        <v>1</v>
      </c>
      <c r="I18">
        <v>21</v>
      </c>
      <c r="J18">
        <v>42524</v>
      </c>
      <c r="K18">
        <v>0</v>
      </c>
      <c r="L18">
        <v>5</v>
      </c>
      <c r="M18" t="s">
        <v>74</v>
      </c>
    </row>
    <row r="19" spans="3:13" x14ac:dyDescent="0.3">
      <c r="C19">
        <v>14</v>
      </c>
      <c r="D19" t="s">
        <v>38</v>
      </c>
      <c r="E19" t="s">
        <v>86</v>
      </c>
      <c r="F19" t="s">
        <v>87</v>
      </c>
      <c r="G19" t="s">
        <v>77</v>
      </c>
      <c r="H19">
        <v>3</v>
      </c>
      <c r="I19">
        <v>63</v>
      </c>
      <c r="J19" s="16">
        <v>123000</v>
      </c>
      <c r="K19" s="16">
        <v>38000</v>
      </c>
      <c r="L19">
        <v>7</v>
      </c>
      <c r="M19" t="s">
        <v>88</v>
      </c>
    </row>
    <row r="20" spans="3:13" x14ac:dyDescent="0.3">
      <c r="C20">
        <v>15</v>
      </c>
      <c r="D20" t="s">
        <v>38</v>
      </c>
      <c r="E20" t="s">
        <v>89</v>
      </c>
      <c r="F20" t="s">
        <v>90</v>
      </c>
      <c r="G20" t="s">
        <v>77</v>
      </c>
      <c r="H20">
        <v>0.5</v>
      </c>
      <c r="I20">
        <v>28</v>
      </c>
      <c r="J20" s="16">
        <v>6500</v>
      </c>
      <c r="K20">
        <v>0</v>
      </c>
      <c r="L20">
        <v>40</v>
      </c>
      <c r="M20" t="s">
        <v>91</v>
      </c>
    </row>
    <row r="21" spans="3:13" x14ac:dyDescent="0.3">
      <c r="C21">
        <v>16</v>
      </c>
      <c r="D21" t="s">
        <v>43</v>
      </c>
      <c r="E21" t="s">
        <v>65</v>
      </c>
      <c r="F21" t="s">
        <v>66</v>
      </c>
      <c r="G21" t="s">
        <v>67</v>
      </c>
      <c r="H21">
        <v>1</v>
      </c>
      <c r="I21">
        <v>7</v>
      </c>
      <c r="J21">
        <v>588</v>
      </c>
      <c r="K21">
        <v>0</v>
      </c>
      <c r="L21">
        <v>0.2</v>
      </c>
      <c r="M21" t="s">
        <v>68</v>
      </c>
    </row>
    <row r="22" spans="3:13" x14ac:dyDescent="0.3">
      <c r="C22">
        <v>17</v>
      </c>
      <c r="D22" t="s">
        <v>43</v>
      </c>
      <c r="E22" t="s">
        <v>69</v>
      </c>
      <c r="F22" t="s">
        <v>70</v>
      </c>
      <c r="G22" t="s">
        <v>67</v>
      </c>
      <c r="H22">
        <v>0.25</v>
      </c>
      <c r="I22">
        <v>14</v>
      </c>
      <c r="J22">
        <v>1443</v>
      </c>
      <c r="K22">
        <v>0</v>
      </c>
      <c r="L22">
        <v>4</v>
      </c>
      <c r="M22" t="s">
        <v>71</v>
      </c>
    </row>
    <row r="23" spans="3:13" x14ac:dyDescent="0.3">
      <c r="C23">
        <v>18</v>
      </c>
      <c r="D23" t="s">
        <v>43</v>
      </c>
      <c r="E23" t="s">
        <v>72</v>
      </c>
      <c r="F23" t="s">
        <v>73</v>
      </c>
      <c r="G23" t="s">
        <v>67</v>
      </c>
      <c r="H23">
        <v>1</v>
      </c>
      <c r="I23">
        <v>21</v>
      </c>
      <c r="J23">
        <v>42524</v>
      </c>
      <c r="K23">
        <v>0</v>
      </c>
      <c r="L23">
        <v>5</v>
      </c>
      <c r="M23" t="s">
        <v>74</v>
      </c>
    </row>
    <row r="24" spans="3:13" x14ac:dyDescent="0.3">
      <c r="C24">
        <v>19</v>
      </c>
      <c r="D24" t="s">
        <v>43</v>
      </c>
      <c r="E24" t="s">
        <v>92</v>
      </c>
      <c r="F24" t="s">
        <v>93</v>
      </c>
      <c r="G24" t="s">
        <v>77</v>
      </c>
      <c r="H24">
        <v>2</v>
      </c>
      <c r="I24">
        <v>77</v>
      </c>
      <c r="J24" s="16">
        <v>60000</v>
      </c>
      <c r="K24" s="16">
        <v>5000</v>
      </c>
      <c r="L24">
        <v>10</v>
      </c>
      <c r="M24" t="s">
        <v>68</v>
      </c>
    </row>
    <row r="25" spans="3:13" x14ac:dyDescent="0.3">
      <c r="C25">
        <v>20</v>
      </c>
      <c r="D25" t="s">
        <v>43</v>
      </c>
      <c r="E25" t="s">
        <v>94</v>
      </c>
      <c r="F25" t="s">
        <v>95</v>
      </c>
      <c r="G25" t="s">
        <v>77</v>
      </c>
      <c r="H25">
        <v>1.5</v>
      </c>
      <c r="I25">
        <v>21</v>
      </c>
      <c r="J25">
        <v>100000</v>
      </c>
      <c r="K25">
        <v>0</v>
      </c>
      <c r="L25">
        <v>0.2</v>
      </c>
      <c r="M25" t="s">
        <v>85</v>
      </c>
    </row>
    <row r="26" spans="3:13" x14ac:dyDescent="0.3">
      <c r="C26">
        <v>21</v>
      </c>
      <c r="D26" t="s">
        <v>46</v>
      </c>
      <c r="E26" t="s">
        <v>65</v>
      </c>
      <c r="F26" t="s">
        <v>66</v>
      </c>
      <c r="G26" t="s">
        <v>67</v>
      </c>
      <c r="H26">
        <v>1</v>
      </c>
      <c r="I26">
        <v>7</v>
      </c>
      <c r="J26">
        <v>588</v>
      </c>
      <c r="K26">
        <v>0</v>
      </c>
      <c r="L26">
        <v>0.2</v>
      </c>
      <c r="M26" t="s">
        <v>68</v>
      </c>
    </row>
    <row r="27" spans="3:13" x14ac:dyDescent="0.3">
      <c r="C27">
        <v>22</v>
      </c>
      <c r="D27" t="s">
        <v>46</v>
      </c>
      <c r="E27" t="s">
        <v>69</v>
      </c>
      <c r="F27" t="s">
        <v>70</v>
      </c>
      <c r="G27" t="s">
        <v>67</v>
      </c>
      <c r="H27">
        <v>0.5</v>
      </c>
      <c r="I27">
        <v>14</v>
      </c>
      <c r="J27">
        <v>2886</v>
      </c>
      <c r="K27">
        <v>0</v>
      </c>
      <c r="L27">
        <v>4</v>
      </c>
      <c r="M27" t="s">
        <v>71</v>
      </c>
    </row>
    <row r="28" spans="3:13" x14ac:dyDescent="0.3">
      <c r="C28">
        <v>23</v>
      </c>
      <c r="D28" t="s">
        <v>46</v>
      </c>
      <c r="E28" t="s">
        <v>72</v>
      </c>
      <c r="F28" t="s">
        <v>73</v>
      </c>
      <c r="G28" t="s">
        <v>67</v>
      </c>
      <c r="H28">
        <v>1</v>
      </c>
      <c r="I28">
        <v>21</v>
      </c>
      <c r="J28">
        <v>42524</v>
      </c>
      <c r="K28">
        <v>0</v>
      </c>
      <c r="L28">
        <v>5</v>
      </c>
      <c r="M28" t="s">
        <v>74</v>
      </c>
    </row>
    <row r="29" spans="3:13" x14ac:dyDescent="0.3">
      <c r="C29">
        <v>24</v>
      </c>
      <c r="D29" t="s">
        <v>46</v>
      </c>
      <c r="E29" t="s">
        <v>96</v>
      </c>
      <c r="F29" t="s">
        <v>97</v>
      </c>
      <c r="G29" t="s">
        <v>77</v>
      </c>
      <c r="H29">
        <v>3</v>
      </c>
      <c r="I29">
        <v>56</v>
      </c>
      <c r="J29" s="16">
        <v>5500</v>
      </c>
      <c r="K29">
        <v>0</v>
      </c>
      <c r="L29">
        <v>5</v>
      </c>
      <c r="M29" t="s">
        <v>82</v>
      </c>
    </row>
    <row r="30" spans="3:13" x14ac:dyDescent="0.3">
      <c r="C30">
        <v>25</v>
      </c>
      <c r="D30" t="s">
        <v>46</v>
      </c>
      <c r="E30" t="s">
        <v>98</v>
      </c>
      <c r="F30" t="s">
        <v>99</v>
      </c>
      <c r="G30" t="s">
        <v>77</v>
      </c>
      <c r="H30">
        <v>4</v>
      </c>
      <c r="I30">
        <v>35</v>
      </c>
      <c r="J30" s="16">
        <v>6000</v>
      </c>
      <c r="K30" s="16">
        <v>1000</v>
      </c>
      <c r="L30">
        <v>1</v>
      </c>
      <c r="M30" t="s">
        <v>68</v>
      </c>
    </row>
    <row r="31" spans="3:13" x14ac:dyDescent="0.3">
      <c r="C31">
        <v>26</v>
      </c>
      <c r="D31" t="s">
        <v>51</v>
      </c>
      <c r="E31" t="s">
        <v>65</v>
      </c>
      <c r="F31" t="s">
        <v>66</v>
      </c>
      <c r="G31" t="s">
        <v>67</v>
      </c>
      <c r="H31">
        <v>1</v>
      </c>
      <c r="I31">
        <v>7</v>
      </c>
      <c r="J31">
        <v>588</v>
      </c>
      <c r="K31">
        <v>0</v>
      </c>
      <c r="L31">
        <v>0.2</v>
      </c>
      <c r="M31" t="s">
        <v>68</v>
      </c>
    </row>
    <row r="32" spans="3:13" x14ac:dyDescent="0.3">
      <c r="C32">
        <v>27</v>
      </c>
      <c r="D32" t="s">
        <v>51</v>
      </c>
      <c r="E32" t="s">
        <v>69</v>
      </c>
      <c r="F32" t="s">
        <v>70</v>
      </c>
      <c r="G32" t="s">
        <v>67</v>
      </c>
      <c r="H32">
        <v>0.125</v>
      </c>
      <c r="I32">
        <v>14</v>
      </c>
      <c r="J32">
        <v>721.5</v>
      </c>
      <c r="K32">
        <v>0</v>
      </c>
      <c r="L32">
        <v>4</v>
      </c>
      <c r="M32" t="s">
        <v>71</v>
      </c>
    </row>
    <row r="33" spans="3:13" x14ac:dyDescent="0.3">
      <c r="C33">
        <v>28</v>
      </c>
      <c r="D33" t="s">
        <v>51</v>
      </c>
      <c r="E33" t="s">
        <v>72</v>
      </c>
      <c r="F33" t="s">
        <v>73</v>
      </c>
      <c r="G33" t="s">
        <v>67</v>
      </c>
      <c r="H33">
        <v>1</v>
      </c>
      <c r="I33">
        <v>21</v>
      </c>
      <c r="J33">
        <v>42524</v>
      </c>
      <c r="K33">
        <v>0</v>
      </c>
      <c r="L33">
        <v>5</v>
      </c>
      <c r="M33" t="s">
        <v>74</v>
      </c>
    </row>
    <row r="34" spans="3:13" x14ac:dyDescent="0.3">
      <c r="C34">
        <v>29</v>
      </c>
      <c r="D34" t="s">
        <v>51</v>
      </c>
      <c r="E34" t="s">
        <v>100</v>
      </c>
      <c r="F34" t="s">
        <v>101</v>
      </c>
      <c r="G34" t="s">
        <v>77</v>
      </c>
      <c r="H34">
        <v>5</v>
      </c>
      <c r="I34">
        <v>63</v>
      </c>
      <c r="J34" s="16">
        <v>130000</v>
      </c>
      <c r="K34">
        <v>0</v>
      </c>
      <c r="L34">
        <v>10</v>
      </c>
      <c r="M34" t="s">
        <v>68</v>
      </c>
    </row>
    <row r="35" spans="3:13" x14ac:dyDescent="0.3">
      <c r="C35">
        <v>30</v>
      </c>
      <c r="D35" t="s">
        <v>51</v>
      </c>
      <c r="E35" t="s">
        <v>102</v>
      </c>
      <c r="F35" t="s">
        <v>103</v>
      </c>
      <c r="G35" t="s">
        <v>77</v>
      </c>
      <c r="H35">
        <v>2</v>
      </c>
      <c r="I35">
        <v>49</v>
      </c>
      <c r="J35" s="16">
        <v>20000</v>
      </c>
      <c r="K35" s="16">
        <v>21000</v>
      </c>
      <c r="L35">
        <v>6</v>
      </c>
      <c r="M35" t="s">
        <v>68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CE3A6-C071-4AE9-802D-B83FE31D3946}">
  <dimension ref="A2:I467"/>
  <sheetViews>
    <sheetView zoomScaleNormal="100" workbookViewId="0">
      <selection activeCell="A2" sqref="A2"/>
    </sheetView>
  </sheetViews>
  <sheetFormatPr defaultColWidth="8.5546875" defaultRowHeight="14.25" customHeight="1" x14ac:dyDescent="0.3"/>
  <cols>
    <col min="1" max="1" width="12.109375" style="71" customWidth="1"/>
    <col min="2" max="2" width="32.109375" style="71" customWidth="1"/>
    <col min="3" max="3" width="9.33203125" style="71" customWidth="1"/>
    <col min="4" max="4" width="10.21875" style="71" customWidth="1"/>
    <col min="5" max="5" width="22.88671875" style="71" customWidth="1"/>
    <col min="6" max="6" width="9" style="71" customWidth="1"/>
    <col min="7" max="7" width="16.21875" style="71" customWidth="1"/>
    <col min="8" max="8" width="18.5546875" style="71" customWidth="1"/>
    <col min="9" max="9" width="17.77734375" style="71" customWidth="1"/>
    <col min="10" max="10" width="8.5546875" style="71" customWidth="1"/>
    <col min="11" max="16384" width="8.5546875" style="71"/>
  </cols>
  <sheetData>
    <row r="2" spans="1:9" ht="14.4" customHeight="1" x14ac:dyDescent="0.3">
      <c r="A2" s="106" t="s">
        <v>21</v>
      </c>
      <c r="B2" s="106" t="s">
        <v>22</v>
      </c>
      <c r="C2" s="106" t="s">
        <v>23</v>
      </c>
      <c r="D2" s="106" t="s">
        <v>24</v>
      </c>
      <c r="E2" s="106" t="s">
        <v>25</v>
      </c>
      <c r="F2" s="107" t="s">
        <v>26</v>
      </c>
      <c r="G2" s="107" t="s">
        <v>27</v>
      </c>
      <c r="H2" s="107" t="s">
        <v>28</v>
      </c>
      <c r="I2" s="107" t="s">
        <v>29</v>
      </c>
    </row>
    <row r="3" spans="1:9" ht="14.4" customHeight="1" x14ac:dyDescent="0.3">
      <c r="A3" s="108" t="s">
        <v>30</v>
      </c>
      <c r="B3" s="108" t="s">
        <v>31</v>
      </c>
      <c r="C3" s="108" t="s">
        <v>32</v>
      </c>
      <c r="D3" s="108">
        <v>105</v>
      </c>
      <c r="E3" s="108" t="s">
        <v>33</v>
      </c>
      <c r="F3" s="71" t="s">
        <v>34</v>
      </c>
      <c r="G3" s="109">
        <v>15000</v>
      </c>
      <c r="H3" s="110">
        <v>46150</v>
      </c>
      <c r="I3" s="111">
        <v>684</v>
      </c>
    </row>
    <row r="4" spans="1:9" ht="14.4" customHeight="1" x14ac:dyDescent="0.3">
      <c r="A4" s="108" t="s">
        <v>30</v>
      </c>
      <c r="B4" s="108" t="s">
        <v>31</v>
      </c>
      <c r="C4" s="108" t="s">
        <v>32</v>
      </c>
      <c r="D4" s="108">
        <v>105</v>
      </c>
      <c r="E4" s="108" t="s">
        <v>33</v>
      </c>
      <c r="F4" s="71" t="s">
        <v>34</v>
      </c>
      <c r="G4" s="109">
        <v>15000</v>
      </c>
      <c r="H4" s="112">
        <v>46157</v>
      </c>
      <c r="I4" s="109">
        <v>20000</v>
      </c>
    </row>
    <row r="5" spans="1:9" ht="14.4" customHeight="1" x14ac:dyDescent="0.3">
      <c r="A5" s="108" t="s">
        <v>30</v>
      </c>
      <c r="B5" s="108" t="s">
        <v>31</v>
      </c>
      <c r="C5" s="108" t="s">
        <v>32</v>
      </c>
      <c r="D5" s="108">
        <v>105</v>
      </c>
      <c r="E5" s="108" t="s">
        <v>33</v>
      </c>
      <c r="F5" s="71" t="s">
        <v>34</v>
      </c>
      <c r="G5" s="109">
        <v>15000</v>
      </c>
      <c r="H5" s="112">
        <v>46164</v>
      </c>
      <c r="I5" s="109">
        <v>15000</v>
      </c>
    </row>
    <row r="6" spans="1:9" ht="14.4" customHeight="1" x14ac:dyDescent="0.3">
      <c r="A6" s="108" t="s">
        <v>30</v>
      </c>
      <c r="B6" s="108" t="s">
        <v>31</v>
      </c>
      <c r="C6" s="108" t="s">
        <v>32</v>
      </c>
      <c r="D6" s="108">
        <v>105</v>
      </c>
      <c r="E6" s="108" t="s">
        <v>33</v>
      </c>
      <c r="F6" s="71" t="s">
        <v>34</v>
      </c>
      <c r="G6" s="109">
        <v>15000</v>
      </c>
      <c r="H6" s="112">
        <v>46164</v>
      </c>
      <c r="I6" s="109">
        <v>5000</v>
      </c>
    </row>
    <row r="7" spans="1:9" ht="14.4" customHeight="1" x14ac:dyDescent="0.3">
      <c r="A7" s="108" t="s">
        <v>30</v>
      </c>
      <c r="B7" s="108" t="s">
        <v>31</v>
      </c>
      <c r="C7" s="108" t="s">
        <v>32</v>
      </c>
      <c r="D7" s="108">
        <v>105</v>
      </c>
      <c r="E7" s="108" t="s">
        <v>33</v>
      </c>
      <c r="F7" s="71" t="s">
        <v>34</v>
      </c>
      <c r="G7" s="109">
        <v>15000</v>
      </c>
      <c r="H7" s="112">
        <v>46171</v>
      </c>
      <c r="I7" s="109">
        <v>11000</v>
      </c>
    </row>
    <row r="8" spans="1:9" ht="14.4" hidden="1" customHeight="1" x14ac:dyDescent="0.3">
      <c r="A8" s="108" t="s">
        <v>30</v>
      </c>
      <c r="B8" s="108" t="s">
        <v>31</v>
      </c>
      <c r="C8" s="108" t="s">
        <v>32</v>
      </c>
      <c r="D8" s="108">
        <v>105</v>
      </c>
      <c r="E8" s="108" t="s">
        <v>33</v>
      </c>
      <c r="F8" s="71" t="s">
        <v>34</v>
      </c>
      <c r="G8" s="109">
        <v>15000</v>
      </c>
      <c r="H8" s="112">
        <v>46178</v>
      </c>
      <c r="I8" s="109">
        <v>13000</v>
      </c>
    </row>
    <row r="9" spans="1:9" ht="14.4" hidden="1" customHeight="1" x14ac:dyDescent="0.3">
      <c r="A9" s="108" t="s">
        <v>30</v>
      </c>
      <c r="B9" s="108" t="s">
        <v>31</v>
      </c>
      <c r="C9" s="108" t="s">
        <v>32</v>
      </c>
      <c r="D9" s="108">
        <v>105</v>
      </c>
      <c r="E9" s="108" t="s">
        <v>33</v>
      </c>
      <c r="F9" s="71" t="s">
        <v>34</v>
      </c>
      <c r="G9" s="109">
        <v>15000</v>
      </c>
      <c r="H9" s="112">
        <v>46185</v>
      </c>
      <c r="I9" s="109">
        <v>13773</v>
      </c>
    </row>
    <row r="10" spans="1:9" ht="14.4" hidden="1" customHeight="1" x14ac:dyDescent="0.3">
      <c r="A10" s="108" t="s">
        <v>30</v>
      </c>
      <c r="B10" s="108" t="s">
        <v>31</v>
      </c>
      <c r="C10" s="108" t="s">
        <v>32</v>
      </c>
      <c r="D10" s="108">
        <v>105</v>
      </c>
      <c r="E10" s="108" t="s">
        <v>33</v>
      </c>
      <c r="F10" s="71" t="s">
        <v>34</v>
      </c>
      <c r="G10" s="109">
        <v>15000</v>
      </c>
      <c r="H10" s="112">
        <v>46192</v>
      </c>
      <c r="I10" s="109">
        <v>7058</v>
      </c>
    </row>
    <row r="11" spans="1:9" ht="14.4" hidden="1" customHeight="1" x14ac:dyDescent="0.3">
      <c r="A11" s="108" t="s">
        <v>30</v>
      </c>
      <c r="B11" s="108" t="s">
        <v>31</v>
      </c>
      <c r="C11" s="108" t="s">
        <v>32</v>
      </c>
      <c r="D11" s="108">
        <v>105</v>
      </c>
      <c r="E11" s="108" t="s">
        <v>33</v>
      </c>
      <c r="F11" s="71" t="s">
        <v>34</v>
      </c>
      <c r="G11" s="109">
        <v>15000</v>
      </c>
      <c r="H11" s="112">
        <v>46199</v>
      </c>
      <c r="I11" s="109">
        <v>2040</v>
      </c>
    </row>
    <row r="12" spans="1:9" ht="14.4" hidden="1" customHeight="1" x14ac:dyDescent="0.3">
      <c r="A12" s="108" t="s">
        <v>30</v>
      </c>
      <c r="B12" s="108" t="s">
        <v>31</v>
      </c>
      <c r="C12" s="108" t="s">
        <v>32</v>
      </c>
      <c r="D12" s="108">
        <v>105</v>
      </c>
      <c r="E12" s="108" t="s">
        <v>33</v>
      </c>
      <c r="F12" s="71" t="s">
        <v>34</v>
      </c>
      <c r="G12" s="109">
        <v>15000</v>
      </c>
      <c r="H12" s="112">
        <v>46206</v>
      </c>
      <c r="I12" s="109">
        <v>1500</v>
      </c>
    </row>
    <row r="13" spans="1:9" ht="14.4" hidden="1" customHeight="1" x14ac:dyDescent="0.3">
      <c r="A13" s="108" t="s">
        <v>30</v>
      </c>
      <c r="B13" s="108" t="s">
        <v>31</v>
      </c>
      <c r="C13" s="108" t="s">
        <v>32</v>
      </c>
      <c r="D13" s="108">
        <v>105</v>
      </c>
      <c r="E13" s="108" t="s">
        <v>33</v>
      </c>
      <c r="F13" s="71" t="s">
        <v>34</v>
      </c>
      <c r="G13" s="109">
        <v>15000</v>
      </c>
      <c r="H13" s="112">
        <v>46206</v>
      </c>
      <c r="I13" s="109">
        <v>2041</v>
      </c>
    </row>
    <row r="14" spans="1:9" ht="14.4" hidden="1" customHeight="1" x14ac:dyDescent="0.3">
      <c r="A14" s="108" t="s">
        <v>30</v>
      </c>
      <c r="B14" s="108" t="s">
        <v>31</v>
      </c>
      <c r="C14" s="108" t="s">
        <v>32</v>
      </c>
      <c r="D14" s="108">
        <v>105</v>
      </c>
      <c r="E14" s="108" t="s">
        <v>33</v>
      </c>
      <c r="F14" s="71" t="s">
        <v>34</v>
      </c>
      <c r="G14" s="109">
        <v>15000</v>
      </c>
      <c r="H14" s="112">
        <v>46213</v>
      </c>
      <c r="I14" s="109">
        <v>2041</v>
      </c>
    </row>
    <row r="15" spans="1:9" ht="14.4" hidden="1" customHeight="1" x14ac:dyDescent="0.3">
      <c r="A15" s="108" t="s">
        <v>30</v>
      </c>
      <c r="B15" s="108" t="s">
        <v>31</v>
      </c>
      <c r="C15" s="108" t="s">
        <v>32</v>
      </c>
      <c r="D15" s="108">
        <v>105</v>
      </c>
      <c r="E15" s="108" t="s">
        <v>33</v>
      </c>
      <c r="F15" s="71" t="s">
        <v>34</v>
      </c>
      <c r="G15" s="109">
        <v>15000</v>
      </c>
      <c r="H15" s="112">
        <v>46213</v>
      </c>
      <c r="I15" s="109">
        <v>10000</v>
      </c>
    </row>
    <row r="16" spans="1:9" ht="14.4" hidden="1" customHeight="1" x14ac:dyDescent="0.3">
      <c r="A16" s="108" t="s">
        <v>30</v>
      </c>
      <c r="B16" s="108" t="s">
        <v>31</v>
      </c>
      <c r="C16" s="108" t="s">
        <v>32</v>
      </c>
      <c r="D16" s="108">
        <v>105</v>
      </c>
      <c r="E16" s="108" t="s">
        <v>33</v>
      </c>
      <c r="F16" s="71" t="s">
        <v>34</v>
      </c>
      <c r="G16" s="109">
        <v>15000</v>
      </c>
      <c r="H16" s="112">
        <v>46220</v>
      </c>
      <c r="I16" s="109">
        <v>2040</v>
      </c>
    </row>
    <row r="17" spans="1:9" ht="14.4" hidden="1" customHeight="1" x14ac:dyDescent="0.3">
      <c r="A17" s="108" t="s">
        <v>30</v>
      </c>
      <c r="B17" s="108" t="s">
        <v>31</v>
      </c>
      <c r="C17" s="108" t="s">
        <v>32</v>
      </c>
      <c r="D17" s="108">
        <v>105</v>
      </c>
      <c r="E17" s="108" t="s">
        <v>33</v>
      </c>
      <c r="F17" s="71" t="s">
        <v>34</v>
      </c>
      <c r="G17" s="109">
        <v>15000</v>
      </c>
      <c r="H17" s="112">
        <v>46220</v>
      </c>
      <c r="I17" s="109">
        <v>10000</v>
      </c>
    </row>
    <row r="18" spans="1:9" ht="14.4" hidden="1" customHeight="1" x14ac:dyDescent="0.3">
      <c r="A18" s="108" t="s">
        <v>30</v>
      </c>
      <c r="B18" s="108" t="s">
        <v>31</v>
      </c>
      <c r="C18" s="108" t="s">
        <v>32</v>
      </c>
      <c r="D18" s="108">
        <v>105</v>
      </c>
      <c r="E18" s="108" t="s">
        <v>33</v>
      </c>
      <c r="F18" s="71" t="s">
        <v>34</v>
      </c>
      <c r="G18" s="109">
        <v>15000</v>
      </c>
      <c r="H18" s="112">
        <v>46241</v>
      </c>
      <c r="I18" s="109">
        <v>15023</v>
      </c>
    </row>
    <row r="19" spans="1:9" ht="14.4" hidden="1" customHeight="1" x14ac:dyDescent="0.3">
      <c r="A19" s="108" t="s">
        <v>30</v>
      </c>
      <c r="B19" s="108" t="s">
        <v>31</v>
      </c>
      <c r="C19" s="108" t="s">
        <v>32</v>
      </c>
      <c r="D19" s="108">
        <v>105</v>
      </c>
      <c r="E19" s="108" t="s">
        <v>33</v>
      </c>
      <c r="F19" s="71" t="s">
        <v>34</v>
      </c>
      <c r="G19" s="109">
        <v>15000</v>
      </c>
      <c r="H19" s="112">
        <v>46241</v>
      </c>
      <c r="I19" s="109">
        <v>1737</v>
      </c>
    </row>
    <row r="20" spans="1:9" ht="14.4" hidden="1" customHeight="1" x14ac:dyDescent="0.3">
      <c r="A20" s="108" t="s">
        <v>30</v>
      </c>
      <c r="B20" s="108" t="s">
        <v>31</v>
      </c>
      <c r="C20" s="108" t="s">
        <v>32</v>
      </c>
      <c r="D20" s="108">
        <v>105</v>
      </c>
      <c r="E20" s="108" t="s">
        <v>33</v>
      </c>
      <c r="F20" s="71" t="s">
        <v>34</v>
      </c>
      <c r="G20" s="109">
        <v>15000</v>
      </c>
      <c r="H20" s="112">
        <v>46241</v>
      </c>
      <c r="I20" s="109">
        <v>11000</v>
      </c>
    </row>
    <row r="21" spans="1:9" ht="14.4" hidden="1" customHeight="1" x14ac:dyDescent="0.3">
      <c r="A21" s="108" t="s">
        <v>30</v>
      </c>
      <c r="B21" s="108" t="s">
        <v>31</v>
      </c>
      <c r="C21" s="108" t="s">
        <v>32</v>
      </c>
      <c r="D21" s="108">
        <v>105</v>
      </c>
      <c r="E21" s="108" t="s">
        <v>33</v>
      </c>
      <c r="F21" s="71" t="s">
        <v>34</v>
      </c>
      <c r="G21" s="109">
        <v>15000</v>
      </c>
      <c r="H21" s="112">
        <v>46248</v>
      </c>
      <c r="I21" s="109">
        <v>5629</v>
      </c>
    </row>
    <row r="22" spans="1:9" ht="14.4" hidden="1" customHeight="1" x14ac:dyDescent="0.3">
      <c r="A22" s="108" t="s">
        <v>30</v>
      </c>
      <c r="B22" s="108" t="s">
        <v>31</v>
      </c>
      <c r="C22" s="108" t="s">
        <v>32</v>
      </c>
      <c r="D22" s="108">
        <v>105</v>
      </c>
      <c r="E22" s="108" t="s">
        <v>33</v>
      </c>
      <c r="F22" s="71" t="s">
        <v>34</v>
      </c>
      <c r="G22" s="109">
        <v>15000</v>
      </c>
      <c r="H22" s="112">
        <v>46248</v>
      </c>
      <c r="I22" s="109">
        <v>1857</v>
      </c>
    </row>
    <row r="23" spans="1:9" ht="14.4" hidden="1" customHeight="1" x14ac:dyDescent="0.3">
      <c r="A23" s="108" t="s">
        <v>30</v>
      </c>
      <c r="B23" s="108" t="s">
        <v>31</v>
      </c>
      <c r="C23" s="108" t="s">
        <v>32</v>
      </c>
      <c r="D23" s="108">
        <v>105</v>
      </c>
      <c r="E23" s="108" t="s">
        <v>33</v>
      </c>
      <c r="F23" s="71" t="s">
        <v>34</v>
      </c>
      <c r="G23" s="109">
        <v>15000</v>
      </c>
      <c r="H23" s="112">
        <v>46248</v>
      </c>
      <c r="I23" s="109">
        <v>19000</v>
      </c>
    </row>
    <row r="24" spans="1:9" ht="14.4" hidden="1" customHeight="1" x14ac:dyDescent="0.3">
      <c r="A24" s="108" t="s">
        <v>30</v>
      </c>
      <c r="B24" s="108" t="s">
        <v>31</v>
      </c>
      <c r="C24" s="108" t="s">
        <v>32</v>
      </c>
      <c r="D24" s="108">
        <v>105</v>
      </c>
      <c r="E24" s="108" t="s">
        <v>33</v>
      </c>
      <c r="F24" s="71" t="s">
        <v>34</v>
      </c>
      <c r="G24" s="109">
        <v>15000</v>
      </c>
      <c r="H24" s="112">
        <v>46255</v>
      </c>
      <c r="I24" s="109">
        <v>2072</v>
      </c>
    </row>
    <row r="25" spans="1:9" ht="14.4" hidden="1" customHeight="1" x14ac:dyDescent="0.3">
      <c r="A25" s="108" t="s">
        <v>30</v>
      </c>
      <c r="B25" s="108" t="s">
        <v>31</v>
      </c>
      <c r="C25" s="108" t="s">
        <v>32</v>
      </c>
      <c r="D25" s="108">
        <v>105</v>
      </c>
      <c r="E25" s="108" t="s">
        <v>33</v>
      </c>
      <c r="F25" s="71" t="s">
        <v>34</v>
      </c>
      <c r="G25" s="109">
        <v>15000</v>
      </c>
      <c r="H25" s="112">
        <v>46255</v>
      </c>
      <c r="I25" s="109">
        <v>2176</v>
      </c>
    </row>
    <row r="26" spans="1:9" ht="14.4" hidden="1" customHeight="1" x14ac:dyDescent="0.3">
      <c r="A26" s="108" t="s">
        <v>30</v>
      </c>
      <c r="B26" s="108" t="s">
        <v>31</v>
      </c>
      <c r="C26" s="108" t="s">
        <v>32</v>
      </c>
      <c r="D26" s="108">
        <v>105</v>
      </c>
      <c r="E26" s="108" t="s">
        <v>33</v>
      </c>
      <c r="F26" s="71" t="s">
        <v>34</v>
      </c>
      <c r="G26" s="109">
        <v>15000</v>
      </c>
      <c r="H26" s="112">
        <v>46262</v>
      </c>
      <c r="I26" s="109">
        <v>4248</v>
      </c>
    </row>
    <row r="27" spans="1:9" ht="14.4" hidden="1" customHeight="1" x14ac:dyDescent="0.3">
      <c r="A27" s="108" t="s">
        <v>30</v>
      </c>
      <c r="B27" s="108" t="s">
        <v>31</v>
      </c>
      <c r="C27" s="108" t="s">
        <v>32</v>
      </c>
      <c r="D27" s="108">
        <v>105</v>
      </c>
      <c r="E27" s="108" t="s">
        <v>33</v>
      </c>
      <c r="F27" s="71" t="s">
        <v>34</v>
      </c>
      <c r="G27" s="109">
        <v>15000</v>
      </c>
      <c r="H27" s="112">
        <v>46269</v>
      </c>
      <c r="I27" s="109">
        <v>4249</v>
      </c>
    </row>
    <row r="28" spans="1:9" ht="14.4" hidden="1" customHeight="1" x14ac:dyDescent="0.3">
      <c r="A28" s="108" t="s">
        <v>30</v>
      </c>
      <c r="B28" s="108" t="s">
        <v>31</v>
      </c>
      <c r="C28" s="108" t="s">
        <v>32</v>
      </c>
      <c r="D28" s="108">
        <v>105</v>
      </c>
      <c r="E28" s="108" t="s">
        <v>33</v>
      </c>
      <c r="F28" s="71" t="s">
        <v>34</v>
      </c>
      <c r="G28" s="109">
        <v>15000</v>
      </c>
      <c r="H28" s="112">
        <v>46276</v>
      </c>
      <c r="I28" s="109">
        <v>4248</v>
      </c>
    </row>
    <row r="29" spans="1:9" ht="14.4" hidden="1" customHeight="1" x14ac:dyDescent="0.3">
      <c r="A29" s="108" t="s">
        <v>30</v>
      </c>
      <c r="B29" s="108" t="s">
        <v>31</v>
      </c>
      <c r="C29" s="108" t="s">
        <v>32</v>
      </c>
      <c r="D29" s="108">
        <v>105</v>
      </c>
      <c r="E29" s="108" t="s">
        <v>33</v>
      </c>
      <c r="F29" s="71" t="s">
        <v>34</v>
      </c>
      <c r="G29" s="109">
        <v>15000</v>
      </c>
      <c r="H29" s="112">
        <v>46283</v>
      </c>
      <c r="I29" s="109">
        <v>2391</v>
      </c>
    </row>
    <row r="30" spans="1:9" ht="14.4" hidden="1" customHeight="1" x14ac:dyDescent="0.3">
      <c r="A30" s="108" t="s">
        <v>30</v>
      </c>
      <c r="B30" s="108" t="s">
        <v>31</v>
      </c>
      <c r="C30" s="108" t="s">
        <v>32</v>
      </c>
      <c r="D30" s="108">
        <v>105</v>
      </c>
      <c r="E30" s="108" t="s">
        <v>33</v>
      </c>
      <c r="F30" s="71" t="s">
        <v>34</v>
      </c>
      <c r="G30" s="109">
        <v>15000</v>
      </c>
      <c r="H30" s="112">
        <v>46290</v>
      </c>
      <c r="I30" s="109">
        <v>2392</v>
      </c>
    </row>
    <row r="31" spans="1:9" ht="14.4" hidden="1" customHeight="1" x14ac:dyDescent="0.3">
      <c r="A31" s="108" t="s">
        <v>30</v>
      </c>
      <c r="B31" s="108" t="s">
        <v>31</v>
      </c>
      <c r="C31" s="108" t="s">
        <v>32</v>
      </c>
      <c r="D31" s="108">
        <v>105</v>
      </c>
      <c r="E31" s="108" t="s">
        <v>33</v>
      </c>
      <c r="F31" s="71" t="s">
        <v>34</v>
      </c>
      <c r="G31" s="109">
        <v>15000</v>
      </c>
      <c r="H31" s="112">
        <v>46297</v>
      </c>
      <c r="I31" s="109">
        <v>2391</v>
      </c>
    </row>
    <row r="32" spans="1:9" ht="14.4" hidden="1" customHeight="1" x14ac:dyDescent="0.3">
      <c r="A32" s="108" t="s">
        <v>30</v>
      </c>
      <c r="B32" s="108" t="s">
        <v>31</v>
      </c>
      <c r="C32" s="108" t="s">
        <v>32</v>
      </c>
      <c r="D32" s="108">
        <v>105</v>
      </c>
      <c r="E32" s="108" t="s">
        <v>33</v>
      </c>
      <c r="F32" s="71" t="s">
        <v>34</v>
      </c>
      <c r="G32" s="109">
        <v>15000</v>
      </c>
      <c r="H32" s="112">
        <v>46304</v>
      </c>
      <c r="I32" s="109">
        <v>2392</v>
      </c>
    </row>
    <row r="33" spans="1:9" ht="14.4" hidden="1" customHeight="1" x14ac:dyDescent="0.3">
      <c r="A33" s="108" t="s">
        <v>30</v>
      </c>
      <c r="B33" s="108" t="s">
        <v>31</v>
      </c>
      <c r="C33" s="108" t="s">
        <v>32</v>
      </c>
      <c r="D33" s="108">
        <v>105</v>
      </c>
      <c r="E33" s="108" t="s">
        <v>33</v>
      </c>
      <c r="F33" s="71" t="s">
        <v>34</v>
      </c>
      <c r="G33" s="109">
        <v>15000</v>
      </c>
      <c r="H33" s="112">
        <v>46311</v>
      </c>
      <c r="I33" s="109">
        <v>16017</v>
      </c>
    </row>
    <row r="34" spans="1:9" ht="14.4" hidden="1" customHeight="1" x14ac:dyDescent="0.3">
      <c r="A34" s="108" t="s">
        <v>30</v>
      </c>
      <c r="B34" s="108" t="s">
        <v>31</v>
      </c>
      <c r="C34" s="108" t="s">
        <v>32</v>
      </c>
      <c r="D34" s="108">
        <v>105</v>
      </c>
      <c r="E34" s="108" t="s">
        <v>33</v>
      </c>
      <c r="F34" s="71" t="s">
        <v>34</v>
      </c>
      <c r="G34" s="109">
        <v>15000</v>
      </c>
      <c r="H34" s="112">
        <v>46318</v>
      </c>
      <c r="I34" s="109">
        <v>16017</v>
      </c>
    </row>
    <row r="35" spans="1:9" ht="14.4" hidden="1" customHeight="1" x14ac:dyDescent="0.3">
      <c r="A35" s="108" t="s">
        <v>30</v>
      </c>
      <c r="B35" s="108" t="s">
        <v>31</v>
      </c>
      <c r="C35" s="108" t="s">
        <v>32</v>
      </c>
      <c r="D35" s="108">
        <v>105</v>
      </c>
      <c r="E35" s="108" t="s">
        <v>33</v>
      </c>
      <c r="F35" s="71" t="s">
        <v>34</v>
      </c>
      <c r="G35" s="109">
        <v>15000</v>
      </c>
      <c r="H35" s="112">
        <v>46325</v>
      </c>
      <c r="I35" s="109">
        <v>16016</v>
      </c>
    </row>
    <row r="36" spans="1:9" ht="14.4" hidden="1" customHeight="1" x14ac:dyDescent="0.3">
      <c r="A36" s="108" t="s">
        <v>30</v>
      </c>
      <c r="B36" s="108" t="s">
        <v>31</v>
      </c>
      <c r="C36" s="108" t="s">
        <v>32</v>
      </c>
      <c r="D36" s="108">
        <v>105</v>
      </c>
      <c r="E36" s="108" t="s">
        <v>33</v>
      </c>
      <c r="F36" s="71" t="s">
        <v>34</v>
      </c>
      <c r="G36" s="109">
        <v>15000</v>
      </c>
      <c r="H36" s="112">
        <v>46332</v>
      </c>
      <c r="I36" s="109">
        <v>16017</v>
      </c>
    </row>
    <row r="37" spans="1:9" ht="14.4" hidden="1" customHeight="1" x14ac:dyDescent="0.3">
      <c r="A37" s="108" t="s">
        <v>30</v>
      </c>
      <c r="B37" s="108" t="s">
        <v>31</v>
      </c>
      <c r="C37" s="108" t="s">
        <v>32</v>
      </c>
      <c r="D37" s="108">
        <v>105</v>
      </c>
      <c r="E37" s="108" t="s">
        <v>33</v>
      </c>
      <c r="F37" s="71" t="s">
        <v>34</v>
      </c>
      <c r="G37" s="109">
        <v>15000</v>
      </c>
      <c r="H37" s="112">
        <v>46339</v>
      </c>
      <c r="I37" s="109">
        <v>4281</v>
      </c>
    </row>
    <row r="38" spans="1:9" ht="14.4" hidden="1" customHeight="1" x14ac:dyDescent="0.3">
      <c r="A38" s="108" t="s">
        <v>30</v>
      </c>
      <c r="B38" s="108" t="s">
        <v>31</v>
      </c>
      <c r="C38" s="108" t="s">
        <v>32</v>
      </c>
      <c r="D38" s="108">
        <v>105</v>
      </c>
      <c r="E38" s="108" t="s">
        <v>33</v>
      </c>
      <c r="F38" s="71" t="s">
        <v>34</v>
      </c>
      <c r="G38" s="109">
        <v>15000</v>
      </c>
      <c r="H38" s="112">
        <v>46346</v>
      </c>
      <c r="I38" s="109">
        <v>4282</v>
      </c>
    </row>
    <row r="39" spans="1:9" ht="14.4" hidden="1" customHeight="1" x14ac:dyDescent="0.3">
      <c r="A39" s="108" t="s">
        <v>30</v>
      </c>
      <c r="B39" s="108" t="s">
        <v>31</v>
      </c>
      <c r="C39" s="108" t="s">
        <v>32</v>
      </c>
      <c r="D39" s="108">
        <v>105</v>
      </c>
      <c r="E39" s="108" t="s">
        <v>33</v>
      </c>
      <c r="F39" s="71" t="s">
        <v>34</v>
      </c>
      <c r="G39" s="109">
        <v>15000</v>
      </c>
      <c r="H39" s="112">
        <v>46353</v>
      </c>
      <c r="I39" s="109">
        <v>4281</v>
      </c>
    </row>
    <row r="40" spans="1:9" ht="14.4" hidden="1" customHeight="1" x14ac:dyDescent="0.3">
      <c r="A40" s="108" t="s">
        <v>30</v>
      </c>
      <c r="B40" s="108" t="s">
        <v>31</v>
      </c>
      <c r="C40" s="108" t="s">
        <v>32</v>
      </c>
      <c r="D40" s="108">
        <v>105</v>
      </c>
      <c r="E40" s="108" t="s">
        <v>33</v>
      </c>
      <c r="F40" s="71" t="s">
        <v>34</v>
      </c>
      <c r="G40" s="109">
        <v>15000</v>
      </c>
      <c r="H40" s="112">
        <v>46360</v>
      </c>
      <c r="I40" s="109">
        <v>4282</v>
      </c>
    </row>
    <row r="41" spans="1:9" ht="14.4" hidden="1" customHeight="1" x14ac:dyDescent="0.3">
      <c r="A41" s="108" t="s">
        <v>30</v>
      </c>
      <c r="B41" s="108" t="s">
        <v>31</v>
      </c>
      <c r="C41" s="108" t="s">
        <v>32</v>
      </c>
      <c r="D41" s="108">
        <v>105</v>
      </c>
      <c r="E41" s="108" t="s">
        <v>33</v>
      </c>
      <c r="F41" s="71" t="s">
        <v>34</v>
      </c>
      <c r="G41" s="109">
        <v>15000</v>
      </c>
      <c r="H41" s="112">
        <v>46367</v>
      </c>
      <c r="I41" s="109">
        <v>4281</v>
      </c>
    </row>
    <row r="42" spans="1:9" ht="14.4" hidden="1" customHeight="1" x14ac:dyDescent="0.3">
      <c r="A42" s="108" t="s">
        <v>30</v>
      </c>
      <c r="B42" s="108" t="s">
        <v>31</v>
      </c>
      <c r="C42" s="108" t="s">
        <v>32</v>
      </c>
      <c r="D42" s="108">
        <v>105</v>
      </c>
      <c r="E42" s="108" t="s">
        <v>33</v>
      </c>
      <c r="F42" s="71" t="s">
        <v>34</v>
      </c>
      <c r="G42" s="109">
        <v>15000</v>
      </c>
      <c r="H42" s="112">
        <v>46374</v>
      </c>
      <c r="I42" s="109">
        <v>8326</v>
      </c>
    </row>
    <row r="43" spans="1:9" ht="14.4" hidden="1" customHeight="1" x14ac:dyDescent="0.3">
      <c r="A43" s="108" t="s">
        <v>30</v>
      </c>
      <c r="B43" s="108" t="s">
        <v>31</v>
      </c>
      <c r="C43" s="108" t="s">
        <v>32</v>
      </c>
      <c r="D43" s="108">
        <v>105</v>
      </c>
      <c r="E43" s="108" t="s">
        <v>33</v>
      </c>
      <c r="F43" s="71" t="s">
        <v>34</v>
      </c>
      <c r="G43" s="109">
        <v>15000</v>
      </c>
      <c r="H43" s="112">
        <v>46381</v>
      </c>
      <c r="I43" s="109">
        <v>8325</v>
      </c>
    </row>
    <row r="44" spans="1:9" ht="14.4" customHeight="1" x14ac:dyDescent="0.3">
      <c r="A44" s="108" t="s">
        <v>35</v>
      </c>
      <c r="B44" s="108" t="s">
        <v>36</v>
      </c>
      <c r="C44" s="108" t="s">
        <v>32</v>
      </c>
      <c r="D44" s="108">
        <v>55</v>
      </c>
      <c r="E44" s="108" t="s">
        <v>37</v>
      </c>
      <c r="F44" s="71" t="s">
        <v>34</v>
      </c>
      <c r="G44" s="109">
        <v>15000</v>
      </c>
      <c r="H44" s="112">
        <v>46157</v>
      </c>
      <c r="I44" s="109">
        <v>2731</v>
      </c>
    </row>
    <row r="45" spans="1:9" ht="14.4" customHeight="1" x14ac:dyDescent="0.3">
      <c r="A45" s="108" t="s">
        <v>35</v>
      </c>
      <c r="B45" s="108" t="s">
        <v>36</v>
      </c>
      <c r="C45" s="108" t="s">
        <v>32</v>
      </c>
      <c r="D45" s="108">
        <v>55</v>
      </c>
      <c r="E45" s="108" t="s">
        <v>37</v>
      </c>
      <c r="F45" s="71" t="s">
        <v>34</v>
      </c>
      <c r="G45" s="109">
        <v>15000</v>
      </c>
      <c r="H45" s="112">
        <v>46157</v>
      </c>
      <c r="I45" s="109">
        <v>2771</v>
      </c>
    </row>
    <row r="46" spans="1:9" ht="14.4" customHeight="1" x14ac:dyDescent="0.3">
      <c r="A46" s="108" t="s">
        <v>35</v>
      </c>
      <c r="B46" s="108" t="s">
        <v>36</v>
      </c>
      <c r="C46" s="108" t="s">
        <v>32</v>
      </c>
      <c r="D46" s="108">
        <v>55</v>
      </c>
      <c r="E46" s="108" t="s">
        <v>37</v>
      </c>
      <c r="F46" s="71" t="s">
        <v>34</v>
      </c>
      <c r="G46" s="109">
        <v>15000</v>
      </c>
      <c r="H46" s="112">
        <v>46164</v>
      </c>
      <c r="I46" s="109">
        <v>2270</v>
      </c>
    </row>
    <row r="47" spans="1:9" ht="14.4" customHeight="1" x14ac:dyDescent="0.3">
      <c r="A47" s="108" t="s">
        <v>35</v>
      </c>
      <c r="B47" s="108" t="s">
        <v>36</v>
      </c>
      <c r="C47" s="108" t="s">
        <v>32</v>
      </c>
      <c r="D47" s="108">
        <v>55</v>
      </c>
      <c r="E47" s="108" t="s">
        <v>37</v>
      </c>
      <c r="F47" s="71" t="s">
        <v>34</v>
      </c>
      <c r="G47" s="109">
        <v>15000</v>
      </c>
      <c r="H47" s="112">
        <v>46164</v>
      </c>
      <c r="I47" s="109">
        <v>1687</v>
      </c>
    </row>
    <row r="48" spans="1:9" ht="14.4" customHeight="1" x14ac:dyDescent="0.3">
      <c r="A48" s="108" t="s">
        <v>35</v>
      </c>
      <c r="B48" s="108" t="s">
        <v>36</v>
      </c>
      <c r="C48" s="108" t="s">
        <v>32</v>
      </c>
      <c r="D48" s="108">
        <v>55</v>
      </c>
      <c r="E48" s="108" t="s">
        <v>37</v>
      </c>
      <c r="F48" s="71" t="s">
        <v>34</v>
      </c>
      <c r="G48" s="109">
        <v>15000</v>
      </c>
      <c r="H48" s="112">
        <v>46164</v>
      </c>
      <c r="I48" s="109">
        <v>2058</v>
      </c>
    </row>
    <row r="49" spans="1:9" ht="14.4" customHeight="1" x14ac:dyDescent="0.3">
      <c r="A49" s="108" t="s">
        <v>35</v>
      </c>
      <c r="B49" s="108" t="s">
        <v>36</v>
      </c>
      <c r="C49" s="108" t="s">
        <v>32</v>
      </c>
      <c r="D49" s="108">
        <v>55</v>
      </c>
      <c r="E49" s="108" t="s">
        <v>37</v>
      </c>
      <c r="F49" s="71" t="s">
        <v>34</v>
      </c>
      <c r="G49" s="109">
        <v>15000</v>
      </c>
      <c r="H49" s="112">
        <v>46164</v>
      </c>
      <c r="I49" s="109">
        <v>2771</v>
      </c>
    </row>
    <row r="50" spans="1:9" ht="14.4" customHeight="1" x14ac:dyDescent="0.3">
      <c r="A50" s="108" t="s">
        <v>35</v>
      </c>
      <c r="B50" s="108" t="s">
        <v>36</v>
      </c>
      <c r="C50" s="108" t="s">
        <v>32</v>
      </c>
      <c r="D50" s="108">
        <v>55</v>
      </c>
      <c r="E50" s="108" t="s">
        <v>37</v>
      </c>
      <c r="F50" s="71" t="s">
        <v>34</v>
      </c>
      <c r="G50" s="109">
        <v>15000</v>
      </c>
      <c r="H50" s="112">
        <v>46164</v>
      </c>
      <c r="I50" s="109">
        <v>450</v>
      </c>
    </row>
    <row r="51" spans="1:9" ht="14.4" customHeight="1" x14ac:dyDescent="0.3">
      <c r="A51" s="108" t="s">
        <v>35</v>
      </c>
      <c r="B51" s="108" t="s">
        <v>36</v>
      </c>
      <c r="C51" s="108" t="s">
        <v>32</v>
      </c>
      <c r="D51" s="108">
        <v>55</v>
      </c>
      <c r="E51" s="108" t="s">
        <v>37</v>
      </c>
      <c r="F51" s="71" t="s">
        <v>34</v>
      </c>
      <c r="G51" s="109">
        <v>15000</v>
      </c>
      <c r="H51" s="112">
        <v>46164</v>
      </c>
      <c r="I51" s="109">
        <v>2771</v>
      </c>
    </row>
    <row r="52" spans="1:9" ht="14.4" customHeight="1" x14ac:dyDescent="0.3">
      <c r="A52" s="108" t="s">
        <v>35</v>
      </c>
      <c r="B52" s="108" t="s">
        <v>36</v>
      </c>
      <c r="C52" s="108" t="s">
        <v>32</v>
      </c>
      <c r="D52" s="108">
        <v>55</v>
      </c>
      <c r="E52" s="108" t="s">
        <v>37</v>
      </c>
      <c r="F52" s="71" t="s">
        <v>34</v>
      </c>
      <c r="G52" s="109">
        <v>15000</v>
      </c>
      <c r="H52" s="112">
        <v>46164</v>
      </c>
      <c r="I52" s="109">
        <v>2771</v>
      </c>
    </row>
    <row r="53" spans="1:9" ht="14.4" customHeight="1" x14ac:dyDescent="0.3">
      <c r="A53" s="108" t="s">
        <v>35</v>
      </c>
      <c r="B53" s="108" t="s">
        <v>36</v>
      </c>
      <c r="C53" s="108" t="s">
        <v>32</v>
      </c>
      <c r="D53" s="108">
        <v>55</v>
      </c>
      <c r="E53" s="108" t="s">
        <v>37</v>
      </c>
      <c r="F53" s="71" t="s">
        <v>34</v>
      </c>
      <c r="G53" s="109">
        <v>15000</v>
      </c>
      <c r="H53" s="112">
        <v>46164</v>
      </c>
      <c r="I53" s="109">
        <v>880</v>
      </c>
    </row>
    <row r="54" spans="1:9" ht="14.4" customHeight="1" x14ac:dyDescent="0.3">
      <c r="A54" s="108" t="s">
        <v>35</v>
      </c>
      <c r="B54" s="108" t="s">
        <v>36</v>
      </c>
      <c r="C54" s="108" t="s">
        <v>32</v>
      </c>
      <c r="D54" s="108">
        <v>55</v>
      </c>
      <c r="E54" s="108" t="s">
        <v>37</v>
      </c>
      <c r="F54" s="71" t="s">
        <v>34</v>
      </c>
      <c r="G54" s="109">
        <v>15000</v>
      </c>
      <c r="H54" s="112">
        <v>46171</v>
      </c>
      <c r="I54" s="109">
        <v>2771</v>
      </c>
    </row>
    <row r="55" spans="1:9" ht="14.4" customHeight="1" x14ac:dyDescent="0.3">
      <c r="A55" s="108" t="s">
        <v>35</v>
      </c>
      <c r="B55" s="108" t="s">
        <v>36</v>
      </c>
      <c r="C55" s="108" t="s">
        <v>32</v>
      </c>
      <c r="D55" s="108">
        <v>55</v>
      </c>
      <c r="E55" s="108" t="s">
        <v>37</v>
      </c>
      <c r="F55" s="71" t="s">
        <v>34</v>
      </c>
      <c r="G55" s="109">
        <v>15000</v>
      </c>
      <c r="H55" s="112">
        <v>46171</v>
      </c>
      <c r="I55" s="109">
        <v>552</v>
      </c>
    </row>
    <row r="56" spans="1:9" ht="14.4" customHeight="1" x14ac:dyDescent="0.3">
      <c r="A56" s="108" t="s">
        <v>35</v>
      </c>
      <c r="B56" s="108" t="s">
        <v>36</v>
      </c>
      <c r="C56" s="108" t="s">
        <v>32</v>
      </c>
      <c r="D56" s="108">
        <v>55</v>
      </c>
      <c r="E56" s="108" t="s">
        <v>37</v>
      </c>
      <c r="F56" s="71" t="s">
        <v>34</v>
      </c>
      <c r="G56" s="109">
        <v>15000</v>
      </c>
      <c r="H56" s="112">
        <v>46171</v>
      </c>
      <c r="I56" s="109">
        <v>2771</v>
      </c>
    </row>
    <row r="57" spans="1:9" ht="14.4" customHeight="1" x14ac:dyDescent="0.3">
      <c r="A57" s="108" t="s">
        <v>35</v>
      </c>
      <c r="B57" s="108" t="s">
        <v>36</v>
      </c>
      <c r="C57" s="108" t="s">
        <v>32</v>
      </c>
      <c r="D57" s="108">
        <v>55</v>
      </c>
      <c r="E57" s="108" t="s">
        <v>37</v>
      </c>
      <c r="F57" s="71" t="s">
        <v>34</v>
      </c>
      <c r="G57" s="109">
        <v>15000</v>
      </c>
      <c r="H57" s="112">
        <v>46171</v>
      </c>
      <c r="I57" s="109">
        <v>2771</v>
      </c>
    </row>
    <row r="58" spans="1:9" ht="14.4" hidden="1" customHeight="1" x14ac:dyDescent="0.3">
      <c r="A58" s="108" t="s">
        <v>35</v>
      </c>
      <c r="B58" s="108" t="s">
        <v>36</v>
      </c>
      <c r="C58" s="108" t="s">
        <v>32</v>
      </c>
      <c r="D58" s="108">
        <v>55</v>
      </c>
      <c r="E58" s="108" t="s">
        <v>37</v>
      </c>
      <c r="F58" s="71" t="s">
        <v>34</v>
      </c>
      <c r="G58" s="109">
        <v>15000</v>
      </c>
      <c r="H58" s="112">
        <v>46178</v>
      </c>
      <c r="I58" s="109">
        <v>2146</v>
      </c>
    </row>
    <row r="59" spans="1:9" ht="14.4" hidden="1" customHeight="1" x14ac:dyDescent="0.3">
      <c r="A59" s="108" t="s">
        <v>35</v>
      </c>
      <c r="B59" s="108" t="s">
        <v>36</v>
      </c>
      <c r="C59" s="108" t="s">
        <v>32</v>
      </c>
      <c r="D59" s="108">
        <v>55</v>
      </c>
      <c r="E59" s="108" t="s">
        <v>37</v>
      </c>
      <c r="F59" s="71" t="s">
        <v>34</v>
      </c>
      <c r="G59" s="109">
        <v>15000</v>
      </c>
      <c r="H59" s="112">
        <v>46185</v>
      </c>
      <c r="I59" s="109">
        <v>7123</v>
      </c>
    </row>
    <row r="60" spans="1:9" ht="14.4" hidden="1" customHeight="1" x14ac:dyDescent="0.3">
      <c r="A60" s="108" t="s">
        <v>35</v>
      </c>
      <c r="B60" s="108" t="s">
        <v>36</v>
      </c>
      <c r="C60" s="108" t="s">
        <v>32</v>
      </c>
      <c r="D60" s="108">
        <v>55</v>
      </c>
      <c r="E60" s="108" t="s">
        <v>37</v>
      </c>
      <c r="F60" s="71" t="s">
        <v>34</v>
      </c>
      <c r="G60" s="109">
        <v>15000</v>
      </c>
      <c r="H60" s="112">
        <v>46192</v>
      </c>
      <c r="I60" s="109">
        <v>5309</v>
      </c>
    </row>
    <row r="61" spans="1:9" ht="14.4" hidden="1" customHeight="1" x14ac:dyDescent="0.3">
      <c r="A61" s="108" t="s">
        <v>35</v>
      </c>
      <c r="B61" s="108" t="s">
        <v>36</v>
      </c>
      <c r="C61" s="108" t="s">
        <v>32</v>
      </c>
      <c r="D61" s="108">
        <v>55</v>
      </c>
      <c r="E61" s="108" t="s">
        <v>37</v>
      </c>
      <c r="F61" s="71" t="s">
        <v>34</v>
      </c>
      <c r="G61" s="109">
        <v>15000</v>
      </c>
      <c r="H61" s="112">
        <v>46199</v>
      </c>
      <c r="I61" s="109">
        <v>5309</v>
      </c>
    </row>
    <row r="62" spans="1:9" ht="14.4" hidden="1" customHeight="1" x14ac:dyDescent="0.3">
      <c r="A62" s="108" t="s">
        <v>35</v>
      </c>
      <c r="B62" s="108" t="s">
        <v>36</v>
      </c>
      <c r="C62" s="108" t="s">
        <v>32</v>
      </c>
      <c r="D62" s="108">
        <v>55</v>
      </c>
      <c r="E62" s="108" t="s">
        <v>37</v>
      </c>
      <c r="F62" s="71" t="s">
        <v>34</v>
      </c>
      <c r="G62" s="109">
        <v>15000</v>
      </c>
      <c r="H62" s="112">
        <v>46206</v>
      </c>
      <c r="I62" s="109">
        <v>3000</v>
      </c>
    </row>
    <row r="63" spans="1:9" ht="14.4" hidden="1" customHeight="1" x14ac:dyDescent="0.3">
      <c r="A63" s="108" t="s">
        <v>35</v>
      </c>
      <c r="B63" s="108" t="s">
        <v>36</v>
      </c>
      <c r="C63" s="108" t="s">
        <v>32</v>
      </c>
      <c r="D63" s="108">
        <v>55</v>
      </c>
      <c r="E63" s="108" t="s">
        <v>37</v>
      </c>
      <c r="F63" s="71" t="s">
        <v>34</v>
      </c>
      <c r="G63" s="109">
        <v>15000</v>
      </c>
      <c r="H63" s="112">
        <v>46213</v>
      </c>
      <c r="I63" s="109">
        <v>3000</v>
      </c>
    </row>
    <row r="64" spans="1:9" ht="14.4" hidden="1" customHeight="1" x14ac:dyDescent="0.3">
      <c r="A64" s="108" t="s">
        <v>35</v>
      </c>
      <c r="B64" s="108" t="s">
        <v>36</v>
      </c>
      <c r="C64" s="108" t="s">
        <v>32</v>
      </c>
      <c r="D64" s="108">
        <v>55</v>
      </c>
      <c r="E64" s="108" t="s">
        <v>37</v>
      </c>
      <c r="F64" s="71" t="s">
        <v>34</v>
      </c>
      <c r="G64" s="109">
        <v>15000</v>
      </c>
      <c r="H64" s="112">
        <v>46220</v>
      </c>
      <c r="I64" s="109">
        <v>3000</v>
      </c>
    </row>
    <row r="65" spans="1:9" ht="14.4" hidden="1" customHeight="1" x14ac:dyDescent="0.3">
      <c r="A65" s="108" t="s">
        <v>35</v>
      </c>
      <c r="B65" s="108" t="s">
        <v>36</v>
      </c>
      <c r="C65" s="108" t="s">
        <v>32</v>
      </c>
      <c r="D65" s="108">
        <v>55</v>
      </c>
      <c r="E65" s="108" t="s">
        <v>37</v>
      </c>
      <c r="F65" s="71" t="s">
        <v>34</v>
      </c>
      <c r="G65" s="109">
        <v>15000</v>
      </c>
      <c r="H65" s="112">
        <v>46227</v>
      </c>
      <c r="I65" s="109">
        <v>3000</v>
      </c>
    </row>
    <row r="66" spans="1:9" ht="14.4" hidden="1" customHeight="1" x14ac:dyDescent="0.3">
      <c r="A66" s="108" t="s">
        <v>35</v>
      </c>
      <c r="B66" s="108" t="s">
        <v>36</v>
      </c>
      <c r="C66" s="108" t="s">
        <v>32</v>
      </c>
      <c r="D66" s="108">
        <v>55</v>
      </c>
      <c r="E66" s="108" t="s">
        <v>37</v>
      </c>
      <c r="F66" s="71" t="s">
        <v>34</v>
      </c>
      <c r="G66" s="109">
        <v>15000</v>
      </c>
      <c r="H66" s="112">
        <v>46234</v>
      </c>
      <c r="I66" s="109">
        <v>2400</v>
      </c>
    </row>
    <row r="67" spans="1:9" ht="14.4" hidden="1" customHeight="1" x14ac:dyDescent="0.3">
      <c r="A67" s="108" t="s">
        <v>35</v>
      </c>
      <c r="B67" s="108" t="s">
        <v>36</v>
      </c>
      <c r="C67" s="108" t="s">
        <v>32</v>
      </c>
      <c r="D67" s="108">
        <v>55</v>
      </c>
      <c r="E67" s="108" t="s">
        <v>37</v>
      </c>
      <c r="F67" s="71" t="s">
        <v>34</v>
      </c>
      <c r="G67" s="109">
        <v>15000</v>
      </c>
      <c r="H67" s="112">
        <v>46241</v>
      </c>
      <c r="I67" s="109">
        <v>2400</v>
      </c>
    </row>
    <row r="68" spans="1:9" ht="14.4" hidden="1" customHeight="1" x14ac:dyDescent="0.3">
      <c r="A68" s="108" t="s">
        <v>35</v>
      </c>
      <c r="B68" s="108" t="s">
        <v>36</v>
      </c>
      <c r="C68" s="108" t="s">
        <v>32</v>
      </c>
      <c r="D68" s="108">
        <v>55</v>
      </c>
      <c r="E68" s="108" t="s">
        <v>37</v>
      </c>
      <c r="F68" s="71" t="s">
        <v>34</v>
      </c>
      <c r="G68" s="109">
        <v>15000</v>
      </c>
      <c r="H68" s="112">
        <v>46255</v>
      </c>
      <c r="I68" s="109">
        <v>2400</v>
      </c>
    </row>
    <row r="69" spans="1:9" ht="14.4" hidden="1" customHeight="1" x14ac:dyDescent="0.3">
      <c r="A69" s="108" t="s">
        <v>35</v>
      </c>
      <c r="B69" s="108" t="s">
        <v>36</v>
      </c>
      <c r="C69" s="108" t="s">
        <v>32</v>
      </c>
      <c r="D69" s="108">
        <v>55</v>
      </c>
      <c r="E69" s="108" t="s">
        <v>37</v>
      </c>
      <c r="F69" s="71" t="s">
        <v>34</v>
      </c>
      <c r="G69" s="109">
        <v>15000</v>
      </c>
      <c r="H69" s="112">
        <v>46262</v>
      </c>
      <c r="I69" s="109">
        <v>2400</v>
      </c>
    </row>
    <row r="70" spans="1:9" ht="14.4" hidden="1" customHeight="1" x14ac:dyDescent="0.3">
      <c r="A70" s="108" t="s">
        <v>35</v>
      </c>
      <c r="B70" s="108" t="s">
        <v>36</v>
      </c>
      <c r="C70" s="108" t="s">
        <v>32</v>
      </c>
      <c r="D70" s="108">
        <v>55</v>
      </c>
      <c r="E70" s="108" t="s">
        <v>37</v>
      </c>
      <c r="F70" s="71" t="s">
        <v>34</v>
      </c>
      <c r="G70" s="109">
        <v>15000</v>
      </c>
      <c r="H70" s="112">
        <v>46269</v>
      </c>
      <c r="I70" s="109">
        <v>3750</v>
      </c>
    </row>
    <row r="71" spans="1:9" ht="14.4" hidden="1" customHeight="1" x14ac:dyDescent="0.3">
      <c r="A71" s="108" t="s">
        <v>35</v>
      </c>
      <c r="B71" s="108" t="s">
        <v>36</v>
      </c>
      <c r="C71" s="108" t="s">
        <v>32</v>
      </c>
      <c r="D71" s="108">
        <v>55</v>
      </c>
      <c r="E71" s="108" t="s">
        <v>37</v>
      </c>
      <c r="F71" s="71" t="s">
        <v>34</v>
      </c>
      <c r="G71" s="109">
        <v>15000</v>
      </c>
      <c r="H71" s="112">
        <v>46276</v>
      </c>
      <c r="I71" s="109">
        <v>3750</v>
      </c>
    </row>
    <row r="72" spans="1:9" ht="14.4" hidden="1" customHeight="1" x14ac:dyDescent="0.3">
      <c r="A72" s="108" t="s">
        <v>35</v>
      </c>
      <c r="B72" s="108" t="s">
        <v>36</v>
      </c>
      <c r="C72" s="108" t="s">
        <v>32</v>
      </c>
      <c r="D72" s="108">
        <v>55</v>
      </c>
      <c r="E72" s="108" t="s">
        <v>37</v>
      </c>
      <c r="F72" s="71" t="s">
        <v>34</v>
      </c>
      <c r="G72" s="109">
        <v>15000</v>
      </c>
      <c r="H72" s="112">
        <v>46283</v>
      </c>
      <c r="I72" s="109">
        <v>3750</v>
      </c>
    </row>
    <row r="73" spans="1:9" ht="14.4" hidden="1" customHeight="1" x14ac:dyDescent="0.3">
      <c r="A73" s="108" t="s">
        <v>35</v>
      </c>
      <c r="B73" s="108" t="s">
        <v>36</v>
      </c>
      <c r="C73" s="108" t="s">
        <v>32</v>
      </c>
      <c r="D73" s="108">
        <v>55</v>
      </c>
      <c r="E73" s="108" t="s">
        <v>37</v>
      </c>
      <c r="F73" s="71" t="s">
        <v>34</v>
      </c>
      <c r="G73" s="109">
        <v>15000</v>
      </c>
      <c r="H73" s="112">
        <v>46290</v>
      </c>
      <c r="I73" s="109">
        <v>3750</v>
      </c>
    </row>
    <row r="74" spans="1:9" ht="14.4" hidden="1" customHeight="1" x14ac:dyDescent="0.3">
      <c r="A74" s="108" t="s">
        <v>35</v>
      </c>
      <c r="B74" s="108" t="s">
        <v>36</v>
      </c>
      <c r="C74" s="108" t="s">
        <v>32</v>
      </c>
      <c r="D74" s="108">
        <v>55</v>
      </c>
      <c r="E74" s="108" t="s">
        <v>37</v>
      </c>
      <c r="F74" s="71" t="s">
        <v>34</v>
      </c>
      <c r="G74" s="109">
        <v>15000</v>
      </c>
      <c r="H74" s="112">
        <v>46297</v>
      </c>
      <c r="I74" s="109">
        <v>3000</v>
      </c>
    </row>
    <row r="75" spans="1:9" ht="14.4" hidden="1" customHeight="1" x14ac:dyDescent="0.3">
      <c r="A75" s="108" t="s">
        <v>35</v>
      </c>
      <c r="B75" s="108" t="s">
        <v>36</v>
      </c>
      <c r="C75" s="108" t="s">
        <v>32</v>
      </c>
      <c r="D75" s="108">
        <v>55</v>
      </c>
      <c r="E75" s="108" t="s">
        <v>37</v>
      </c>
      <c r="F75" s="71" t="s">
        <v>34</v>
      </c>
      <c r="G75" s="109">
        <v>15000</v>
      </c>
      <c r="H75" s="112">
        <v>46304</v>
      </c>
      <c r="I75" s="109">
        <v>3000</v>
      </c>
    </row>
    <row r="76" spans="1:9" ht="14.4" hidden="1" customHeight="1" x14ac:dyDescent="0.3">
      <c r="A76" s="108" t="s">
        <v>35</v>
      </c>
      <c r="B76" s="108" t="s">
        <v>36</v>
      </c>
      <c r="C76" s="108" t="s">
        <v>32</v>
      </c>
      <c r="D76" s="108">
        <v>55</v>
      </c>
      <c r="E76" s="108" t="s">
        <v>37</v>
      </c>
      <c r="F76" s="71" t="s">
        <v>34</v>
      </c>
      <c r="G76" s="109">
        <v>15000</v>
      </c>
      <c r="H76" s="112">
        <v>46311</v>
      </c>
      <c r="I76" s="109">
        <v>3000</v>
      </c>
    </row>
    <row r="77" spans="1:9" ht="14.4" hidden="1" customHeight="1" x14ac:dyDescent="0.3">
      <c r="A77" s="108" t="s">
        <v>35</v>
      </c>
      <c r="B77" s="108" t="s">
        <v>36</v>
      </c>
      <c r="C77" s="108" t="s">
        <v>32</v>
      </c>
      <c r="D77" s="108">
        <v>55</v>
      </c>
      <c r="E77" s="108" t="s">
        <v>37</v>
      </c>
      <c r="F77" s="71" t="s">
        <v>34</v>
      </c>
      <c r="G77" s="109">
        <v>15000</v>
      </c>
      <c r="H77" s="112">
        <v>46318</v>
      </c>
      <c r="I77" s="109">
        <v>3000</v>
      </c>
    </row>
    <row r="78" spans="1:9" ht="14.4" hidden="1" customHeight="1" x14ac:dyDescent="0.3">
      <c r="A78" s="108" t="s">
        <v>35</v>
      </c>
      <c r="B78" s="108" t="s">
        <v>36</v>
      </c>
      <c r="C78" s="108" t="s">
        <v>32</v>
      </c>
      <c r="D78" s="108">
        <v>55</v>
      </c>
      <c r="E78" s="108" t="s">
        <v>37</v>
      </c>
      <c r="F78" s="71" t="s">
        <v>34</v>
      </c>
      <c r="G78" s="109">
        <v>15000</v>
      </c>
      <c r="H78" s="112">
        <v>46325</v>
      </c>
      <c r="I78" s="109">
        <v>3000</v>
      </c>
    </row>
    <row r="79" spans="1:9" ht="14.4" hidden="1" customHeight="1" x14ac:dyDescent="0.3">
      <c r="A79" s="108" t="s">
        <v>35</v>
      </c>
      <c r="B79" s="108" t="s">
        <v>36</v>
      </c>
      <c r="C79" s="108" t="s">
        <v>32</v>
      </c>
      <c r="D79" s="108">
        <v>55</v>
      </c>
      <c r="E79" s="108" t="s">
        <v>37</v>
      </c>
      <c r="F79" s="71" t="s">
        <v>34</v>
      </c>
      <c r="G79" s="109">
        <v>15000</v>
      </c>
      <c r="H79" s="112">
        <v>46332</v>
      </c>
      <c r="I79" s="109">
        <v>6250</v>
      </c>
    </row>
    <row r="80" spans="1:9" ht="14.4" hidden="1" customHeight="1" x14ac:dyDescent="0.3">
      <c r="A80" s="108" t="s">
        <v>35</v>
      </c>
      <c r="B80" s="108" t="s">
        <v>36</v>
      </c>
      <c r="C80" s="108" t="s">
        <v>32</v>
      </c>
      <c r="D80" s="108">
        <v>55</v>
      </c>
      <c r="E80" s="108" t="s">
        <v>37</v>
      </c>
      <c r="F80" s="71" t="s">
        <v>34</v>
      </c>
      <c r="G80" s="109">
        <v>15000</v>
      </c>
      <c r="H80" s="112">
        <v>46339</v>
      </c>
      <c r="I80" s="109">
        <v>6250</v>
      </c>
    </row>
    <row r="81" spans="1:9" ht="14.4" hidden="1" customHeight="1" x14ac:dyDescent="0.3">
      <c r="A81" s="108" t="s">
        <v>35</v>
      </c>
      <c r="B81" s="108" t="s">
        <v>36</v>
      </c>
      <c r="C81" s="108" t="s">
        <v>32</v>
      </c>
      <c r="D81" s="108">
        <v>55</v>
      </c>
      <c r="E81" s="108" t="s">
        <v>37</v>
      </c>
      <c r="F81" s="71" t="s">
        <v>34</v>
      </c>
      <c r="G81" s="109">
        <v>15000</v>
      </c>
      <c r="H81" s="112">
        <v>46346</v>
      </c>
      <c r="I81" s="109">
        <v>6250</v>
      </c>
    </row>
    <row r="82" spans="1:9" ht="14.4" hidden="1" customHeight="1" x14ac:dyDescent="0.3">
      <c r="A82" s="108" t="s">
        <v>35</v>
      </c>
      <c r="B82" s="108" t="s">
        <v>36</v>
      </c>
      <c r="C82" s="108" t="s">
        <v>32</v>
      </c>
      <c r="D82" s="108">
        <v>55</v>
      </c>
      <c r="E82" s="108" t="s">
        <v>37</v>
      </c>
      <c r="F82" s="71" t="s">
        <v>34</v>
      </c>
      <c r="G82" s="109">
        <v>15000</v>
      </c>
      <c r="H82" s="112">
        <v>46353</v>
      </c>
      <c r="I82" s="109">
        <v>6250</v>
      </c>
    </row>
    <row r="83" spans="1:9" ht="14.4" hidden="1" customHeight="1" x14ac:dyDescent="0.3">
      <c r="A83" s="108" t="s">
        <v>35</v>
      </c>
      <c r="B83" s="108" t="s">
        <v>36</v>
      </c>
      <c r="C83" s="108" t="s">
        <v>32</v>
      </c>
      <c r="D83" s="108">
        <v>55</v>
      </c>
      <c r="E83" s="108" t="s">
        <v>37</v>
      </c>
      <c r="F83" s="71" t="s">
        <v>34</v>
      </c>
      <c r="G83" s="109">
        <v>15000</v>
      </c>
      <c r="H83" s="112">
        <v>46360</v>
      </c>
      <c r="I83" s="109">
        <v>6250</v>
      </c>
    </row>
    <row r="84" spans="1:9" ht="14.4" hidden="1" customHeight="1" x14ac:dyDescent="0.3">
      <c r="A84" s="108" t="s">
        <v>35</v>
      </c>
      <c r="B84" s="108" t="s">
        <v>36</v>
      </c>
      <c r="C84" s="108" t="s">
        <v>32</v>
      </c>
      <c r="D84" s="108">
        <v>55</v>
      </c>
      <c r="E84" s="108" t="s">
        <v>37</v>
      </c>
      <c r="F84" s="71" t="s">
        <v>34</v>
      </c>
      <c r="G84" s="109">
        <v>15000</v>
      </c>
      <c r="H84" s="112">
        <v>46367</v>
      </c>
      <c r="I84" s="109">
        <v>6250</v>
      </c>
    </row>
    <row r="85" spans="1:9" ht="14.4" hidden="1" customHeight="1" x14ac:dyDescent="0.3">
      <c r="A85" s="108" t="s">
        <v>35</v>
      </c>
      <c r="B85" s="108" t="s">
        <v>36</v>
      </c>
      <c r="C85" s="108" t="s">
        <v>32</v>
      </c>
      <c r="D85" s="108">
        <v>55</v>
      </c>
      <c r="E85" s="108" t="s">
        <v>37</v>
      </c>
      <c r="F85" s="71" t="s">
        <v>34</v>
      </c>
      <c r="G85" s="109">
        <v>15000</v>
      </c>
      <c r="H85" s="112">
        <v>46374</v>
      </c>
      <c r="I85" s="109">
        <v>6250</v>
      </c>
    </row>
    <row r="86" spans="1:9" ht="14.4" hidden="1" customHeight="1" x14ac:dyDescent="0.3">
      <c r="A86" s="108" t="s">
        <v>35</v>
      </c>
      <c r="B86" s="108" t="s">
        <v>36</v>
      </c>
      <c r="C86" s="108" t="s">
        <v>32</v>
      </c>
      <c r="D86" s="108">
        <v>55</v>
      </c>
      <c r="E86" s="108" t="s">
        <v>37</v>
      </c>
      <c r="F86" s="71" t="s">
        <v>34</v>
      </c>
      <c r="G86" s="109">
        <v>15000</v>
      </c>
      <c r="H86" s="112">
        <v>46381</v>
      </c>
      <c r="I86" s="109">
        <v>6250</v>
      </c>
    </row>
    <row r="87" spans="1:9" ht="14.4" customHeight="1" x14ac:dyDescent="0.3">
      <c r="A87" s="108" t="s">
        <v>38</v>
      </c>
      <c r="B87" s="108" t="s">
        <v>39</v>
      </c>
      <c r="C87" s="108" t="s">
        <v>40</v>
      </c>
      <c r="D87" s="108">
        <v>80</v>
      </c>
      <c r="E87" s="108" t="s">
        <v>41</v>
      </c>
      <c r="F87" s="71" t="s">
        <v>42</v>
      </c>
      <c r="G87" s="108">
        <v>5000</v>
      </c>
      <c r="H87" s="112">
        <v>46157</v>
      </c>
      <c r="I87" s="109">
        <v>270</v>
      </c>
    </row>
    <row r="88" spans="1:9" ht="14.4" customHeight="1" x14ac:dyDescent="0.3">
      <c r="A88" s="108" t="s">
        <v>38</v>
      </c>
      <c r="B88" s="108" t="s">
        <v>39</v>
      </c>
      <c r="C88" s="108" t="s">
        <v>40</v>
      </c>
      <c r="D88" s="108">
        <v>80</v>
      </c>
      <c r="E88" s="108" t="s">
        <v>41</v>
      </c>
      <c r="F88" s="71" t="s">
        <v>42</v>
      </c>
      <c r="G88" s="108">
        <v>5000</v>
      </c>
      <c r="H88" s="112">
        <v>46157</v>
      </c>
      <c r="I88" s="109">
        <v>270</v>
      </c>
    </row>
    <row r="89" spans="1:9" ht="14.4" customHeight="1" x14ac:dyDescent="0.3">
      <c r="A89" s="108" t="s">
        <v>38</v>
      </c>
      <c r="B89" s="108" t="s">
        <v>39</v>
      </c>
      <c r="C89" s="108" t="s">
        <v>40</v>
      </c>
      <c r="D89" s="108">
        <v>80</v>
      </c>
      <c r="E89" s="108" t="s">
        <v>41</v>
      </c>
      <c r="F89" s="71" t="s">
        <v>42</v>
      </c>
      <c r="G89" s="108">
        <v>5000</v>
      </c>
      <c r="H89" s="112">
        <v>46157</v>
      </c>
      <c r="I89" s="109">
        <v>270</v>
      </c>
    </row>
    <row r="90" spans="1:9" ht="14.4" customHeight="1" x14ac:dyDescent="0.3">
      <c r="A90" s="108" t="s">
        <v>38</v>
      </c>
      <c r="B90" s="108" t="s">
        <v>39</v>
      </c>
      <c r="C90" s="108" t="s">
        <v>40</v>
      </c>
      <c r="D90" s="108">
        <v>80</v>
      </c>
      <c r="E90" s="108" t="s">
        <v>41</v>
      </c>
      <c r="F90" s="71" t="s">
        <v>42</v>
      </c>
      <c r="G90" s="108">
        <v>5000</v>
      </c>
      <c r="H90" s="112">
        <v>46157</v>
      </c>
      <c r="I90" s="109">
        <v>270</v>
      </c>
    </row>
    <row r="91" spans="1:9" ht="14.4" customHeight="1" x14ac:dyDescent="0.3">
      <c r="A91" s="108" t="s">
        <v>38</v>
      </c>
      <c r="B91" s="108" t="s">
        <v>39</v>
      </c>
      <c r="C91" s="108" t="s">
        <v>40</v>
      </c>
      <c r="D91" s="108">
        <v>80</v>
      </c>
      <c r="E91" s="108" t="s">
        <v>41</v>
      </c>
      <c r="F91" s="71" t="s">
        <v>42</v>
      </c>
      <c r="G91" s="108">
        <v>5000</v>
      </c>
      <c r="H91" s="112">
        <v>46157</v>
      </c>
      <c r="I91" s="109">
        <v>270</v>
      </c>
    </row>
    <row r="92" spans="1:9" ht="14.4" customHeight="1" x14ac:dyDescent="0.3">
      <c r="A92" s="108" t="s">
        <v>38</v>
      </c>
      <c r="B92" s="108" t="s">
        <v>39</v>
      </c>
      <c r="C92" s="108" t="s">
        <v>40</v>
      </c>
      <c r="D92" s="108">
        <v>80</v>
      </c>
      <c r="E92" s="108" t="s">
        <v>41</v>
      </c>
      <c r="F92" s="71" t="s">
        <v>42</v>
      </c>
      <c r="G92" s="108">
        <v>5000</v>
      </c>
      <c r="H92" s="112">
        <v>46157</v>
      </c>
      <c r="I92" s="109">
        <v>270</v>
      </c>
    </row>
    <row r="93" spans="1:9" ht="14.4" customHeight="1" x14ac:dyDescent="0.3">
      <c r="A93" s="108" t="s">
        <v>38</v>
      </c>
      <c r="B93" s="108" t="s">
        <v>39</v>
      </c>
      <c r="C93" s="108" t="s">
        <v>40</v>
      </c>
      <c r="D93" s="108">
        <v>80</v>
      </c>
      <c r="E93" s="108" t="s">
        <v>41</v>
      </c>
      <c r="F93" s="71" t="s">
        <v>42</v>
      </c>
      <c r="G93" s="108">
        <v>5000</v>
      </c>
      <c r="H93" s="112">
        <v>46157</v>
      </c>
      <c r="I93" s="109">
        <v>270</v>
      </c>
    </row>
    <row r="94" spans="1:9" ht="14.4" customHeight="1" x14ac:dyDescent="0.3">
      <c r="A94" s="108" t="s">
        <v>38</v>
      </c>
      <c r="B94" s="108" t="s">
        <v>39</v>
      </c>
      <c r="C94" s="108" t="s">
        <v>40</v>
      </c>
      <c r="D94" s="108">
        <v>80</v>
      </c>
      <c r="E94" s="108" t="s">
        <v>41</v>
      </c>
      <c r="F94" s="71" t="s">
        <v>42</v>
      </c>
      <c r="G94" s="108">
        <v>5000</v>
      </c>
      <c r="H94" s="112">
        <v>46157</v>
      </c>
      <c r="I94" s="109">
        <v>270</v>
      </c>
    </row>
    <row r="95" spans="1:9" ht="14.4" customHeight="1" x14ac:dyDescent="0.3">
      <c r="A95" s="108" t="s">
        <v>38</v>
      </c>
      <c r="B95" s="108" t="s">
        <v>39</v>
      </c>
      <c r="C95" s="108" t="s">
        <v>40</v>
      </c>
      <c r="D95" s="108">
        <v>80</v>
      </c>
      <c r="E95" s="108" t="s">
        <v>41</v>
      </c>
      <c r="F95" s="71" t="s">
        <v>42</v>
      </c>
      <c r="G95" s="108">
        <v>5000</v>
      </c>
      <c r="H95" s="112">
        <v>46157</v>
      </c>
      <c r="I95" s="109">
        <v>270</v>
      </c>
    </row>
    <row r="96" spans="1:9" ht="14.4" customHeight="1" x14ac:dyDescent="0.3">
      <c r="A96" s="108" t="s">
        <v>38</v>
      </c>
      <c r="B96" s="108" t="s">
        <v>39</v>
      </c>
      <c r="C96" s="108" t="s">
        <v>40</v>
      </c>
      <c r="D96" s="108">
        <v>80</v>
      </c>
      <c r="E96" s="108" t="s">
        <v>41</v>
      </c>
      <c r="F96" s="71" t="s">
        <v>42</v>
      </c>
      <c r="G96" s="108">
        <v>5000</v>
      </c>
      <c r="H96" s="112">
        <v>46157</v>
      </c>
      <c r="I96" s="109">
        <v>270</v>
      </c>
    </row>
    <row r="97" spans="1:9" ht="14.4" customHeight="1" x14ac:dyDescent="0.3">
      <c r="A97" s="108" t="s">
        <v>38</v>
      </c>
      <c r="B97" s="108" t="s">
        <v>39</v>
      </c>
      <c r="C97" s="108" t="s">
        <v>40</v>
      </c>
      <c r="D97" s="108">
        <v>80</v>
      </c>
      <c r="E97" s="108" t="s">
        <v>41</v>
      </c>
      <c r="F97" s="71" t="s">
        <v>42</v>
      </c>
      <c r="G97" s="108">
        <v>5000</v>
      </c>
      <c r="H97" s="112">
        <v>46157</v>
      </c>
      <c r="I97" s="109">
        <v>270</v>
      </c>
    </row>
    <row r="98" spans="1:9" ht="14.4" customHeight="1" x14ac:dyDescent="0.3">
      <c r="A98" s="108" t="s">
        <v>38</v>
      </c>
      <c r="B98" s="108" t="s">
        <v>39</v>
      </c>
      <c r="C98" s="108" t="s">
        <v>40</v>
      </c>
      <c r="D98" s="108">
        <v>80</v>
      </c>
      <c r="E98" s="108" t="s">
        <v>41</v>
      </c>
      <c r="F98" s="71" t="s">
        <v>42</v>
      </c>
      <c r="G98" s="108">
        <v>5000</v>
      </c>
      <c r="H98" s="112">
        <v>46157</v>
      </c>
      <c r="I98" s="109">
        <v>270</v>
      </c>
    </row>
    <row r="99" spans="1:9" ht="14.4" customHeight="1" x14ac:dyDescent="0.3">
      <c r="A99" s="108" t="s">
        <v>38</v>
      </c>
      <c r="B99" s="108" t="s">
        <v>39</v>
      </c>
      <c r="C99" s="108" t="s">
        <v>40</v>
      </c>
      <c r="D99" s="108">
        <v>80</v>
      </c>
      <c r="E99" s="108" t="s">
        <v>41</v>
      </c>
      <c r="F99" s="71" t="s">
        <v>42</v>
      </c>
      <c r="G99" s="108">
        <v>5000</v>
      </c>
      <c r="H99" s="112">
        <v>46157</v>
      </c>
      <c r="I99" s="109">
        <v>270</v>
      </c>
    </row>
    <row r="100" spans="1:9" ht="14.4" customHeight="1" x14ac:dyDescent="0.3">
      <c r="A100" s="108" t="s">
        <v>38</v>
      </c>
      <c r="B100" s="108" t="s">
        <v>39</v>
      </c>
      <c r="C100" s="108" t="s">
        <v>40</v>
      </c>
      <c r="D100" s="108">
        <v>80</v>
      </c>
      <c r="E100" s="108" t="s">
        <v>41</v>
      </c>
      <c r="F100" s="71" t="s">
        <v>42</v>
      </c>
      <c r="G100" s="108">
        <v>5000</v>
      </c>
      <c r="H100" s="112">
        <v>46157</v>
      </c>
      <c r="I100" s="109">
        <v>270</v>
      </c>
    </row>
    <row r="101" spans="1:9" ht="14.4" customHeight="1" x14ac:dyDescent="0.3">
      <c r="A101" s="108" t="s">
        <v>38</v>
      </c>
      <c r="B101" s="108" t="s">
        <v>39</v>
      </c>
      <c r="C101" s="108" t="s">
        <v>40</v>
      </c>
      <c r="D101" s="108">
        <v>80</v>
      </c>
      <c r="E101" s="108" t="s">
        <v>41</v>
      </c>
      <c r="F101" s="71" t="s">
        <v>42</v>
      </c>
      <c r="G101" s="108">
        <v>5000</v>
      </c>
      <c r="H101" s="112">
        <v>46157</v>
      </c>
      <c r="I101" s="109">
        <v>270</v>
      </c>
    </row>
    <row r="102" spans="1:9" ht="14.4" customHeight="1" x14ac:dyDescent="0.3">
      <c r="A102" s="108" t="s">
        <v>38</v>
      </c>
      <c r="B102" s="108" t="s">
        <v>39</v>
      </c>
      <c r="C102" s="108" t="s">
        <v>40</v>
      </c>
      <c r="D102" s="108">
        <v>80</v>
      </c>
      <c r="E102" s="108" t="s">
        <v>41</v>
      </c>
      <c r="F102" s="71" t="s">
        <v>42</v>
      </c>
      <c r="G102" s="108">
        <v>5000</v>
      </c>
      <c r="H102" s="112">
        <v>46157</v>
      </c>
      <c r="I102" s="109">
        <v>270</v>
      </c>
    </row>
    <row r="103" spans="1:9" ht="14.4" customHeight="1" x14ac:dyDescent="0.3">
      <c r="A103" s="108" t="s">
        <v>38</v>
      </c>
      <c r="B103" s="108" t="s">
        <v>39</v>
      </c>
      <c r="C103" s="108" t="s">
        <v>40</v>
      </c>
      <c r="D103" s="108">
        <v>80</v>
      </c>
      <c r="E103" s="108" t="s">
        <v>41</v>
      </c>
      <c r="F103" s="71" t="s">
        <v>42</v>
      </c>
      <c r="G103" s="108">
        <v>5000</v>
      </c>
      <c r="H103" s="112">
        <v>46164</v>
      </c>
      <c r="I103" s="109">
        <v>270</v>
      </c>
    </row>
    <row r="104" spans="1:9" ht="14.4" customHeight="1" x14ac:dyDescent="0.3">
      <c r="A104" s="108" t="s">
        <v>38</v>
      </c>
      <c r="B104" s="108" t="s">
        <v>39</v>
      </c>
      <c r="C104" s="108" t="s">
        <v>40</v>
      </c>
      <c r="D104" s="108">
        <v>80</v>
      </c>
      <c r="E104" s="108" t="s">
        <v>41</v>
      </c>
      <c r="F104" s="71" t="s">
        <v>42</v>
      </c>
      <c r="G104" s="108">
        <v>5000</v>
      </c>
      <c r="H104" s="112">
        <v>46164</v>
      </c>
      <c r="I104" s="109">
        <v>270</v>
      </c>
    </row>
    <row r="105" spans="1:9" ht="14.4" customHeight="1" x14ac:dyDescent="0.3">
      <c r="A105" s="108" t="s">
        <v>38</v>
      </c>
      <c r="B105" s="108" t="s">
        <v>39</v>
      </c>
      <c r="C105" s="108" t="s">
        <v>40</v>
      </c>
      <c r="D105" s="108">
        <v>80</v>
      </c>
      <c r="E105" s="108" t="s">
        <v>41</v>
      </c>
      <c r="F105" s="71" t="s">
        <v>42</v>
      </c>
      <c r="G105" s="108">
        <v>5000</v>
      </c>
      <c r="H105" s="112">
        <v>46164</v>
      </c>
      <c r="I105" s="109">
        <v>270</v>
      </c>
    </row>
    <row r="106" spans="1:9" ht="14.4" customHeight="1" x14ac:dyDescent="0.3">
      <c r="A106" s="108" t="s">
        <v>38</v>
      </c>
      <c r="B106" s="108" t="s">
        <v>39</v>
      </c>
      <c r="C106" s="108" t="s">
        <v>40</v>
      </c>
      <c r="D106" s="108">
        <v>80</v>
      </c>
      <c r="E106" s="108" t="s">
        <v>41</v>
      </c>
      <c r="F106" s="71" t="s">
        <v>42</v>
      </c>
      <c r="G106" s="108">
        <v>5000</v>
      </c>
      <c r="H106" s="112">
        <v>46164</v>
      </c>
      <c r="I106" s="109">
        <v>270</v>
      </c>
    </row>
    <row r="107" spans="1:9" ht="14.4" customHeight="1" x14ac:dyDescent="0.3">
      <c r="A107" s="108" t="s">
        <v>38</v>
      </c>
      <c r="B107" s="108" t="s">
        <v>39</v>
      </c>
      <c r="C107" s="108" t="s">
        <v>40</v>
      </c>
      <c r="D107" s="108">
        <v>80</v>
      </c>
      <c r="E107" s="108" t="s">
        <v>41</v>
      </c>
      <c r="F107" s="71" t="s">
        <v>42</v>
      </c>
      <c r="G107" s="108">
        <v>5000</v>
      </c>
      <c r="H107" s="112">
        <v>46164</v>
      </c>
      <c r="I107" s="109">
        <v>270</v>
      </c>
    </row>
    <row r="108" spans="1:9" ht="14.4" customHeight="1" x14ac:dyDescent="0.3">
      <c r="A108" s="108" t="s">
        <v>38</v>
      </c>
      <c r="B108" s="108" t="s">
        <v>39</v>
      </c>
      <c r="C108" s="108" t="s">
        <v>40</v>
      </c>
      <c r="D108" s="108">
        <v>80</v>
      </c>
      <c r="E108" s="108" t="s">
        <v>41</v>
      </c>
      <c r="F108" s="71" t="s">
        <v>42</v>
      </c>
      <c r="G108" s="108">
        <v>5000</v>
      </c>
      <c r="H108" s="112">
        <v>46164</v>
      </c>
      <c r="I108" s="109">
        <v>270</v>
      </c>
    </row>
    <row r="109" spans="1:9" ht="14.4" customHeight="1" x14ac:dyDescent="0.3">
      <c r="A109" s="108" t="s">
        <v>38</v>
      </c>
      <c r="B109" s="108" t="s">
        <v>39</v>
      </c>
      <c r="C109" s="108" t="s">
        <v>40</v>
      </c>
      <c r="D109" s="108">
        <v>80</v>
      </c>
      <c r="E109" s="108" t="s">
        <v>41</v>
      </c>
      <c r="F109" s="71" t="s">
        <v>42</v>
      </c>
      <c r="G109" s="108">
        <v>5000</v>
      </c>
      <c r="H109" s="112">
        <v>46164</v>
      </c>
      <c r="I109" s="109">
        <v>270</v>
      </c>
    </row>
    <row r="110" spans="1:9" ht="14.4" customHeight="1" x14ac:dyDescent="0.3">
      <c r="A110" s="108" t="s">
        <v>38</v>
      </c>
      <c r="B110" s="108" t="s">
        <v>39</v>
      </c>
      <c r="C110" s="108" t="s">
        <v>40</v>
      </c>
      <c r="D110" s="108">
        <v>80</v>
      </c>
      <c r="E110" s="108" t="s">
        <v>41</v>
      </c>
      <c r="F110" s="71" t="s">
        <v>42</v>
      </c>
      <c r="G110" s="108">
        <v>5000</v>
      </c>
      <c r="H110" s="112">
        <v>46164</v>
      </c>
      <c r="I110" s="109">
        <v>270</v>
      </c>
    </row>
    <row r="111" spans="1:9" ht="14.4" customHeight="1" x14ac:dyDescent="0.3">
      <c r="A111" s="108" t="s">
        <v>38</v>
      </c>
      <c r="B111" s="108" t="s">
        <v>39</v>
      </c>
      <c r="C111" s="108" t="s">
        <v>40</v>
      </c>
      <c r="D111" s="108">
        <v>80</v>
      </c>
      <c r="E111" s="108" t="s">
        <v>41</v>
      </c>
      <c r="F111" s="71" t="s">
        <v>42</v>
      </c>
      <c r="G111" s="108">
        <v>5000</v>
      </c>
      <c r="H111" s="112">
        <v>46164</v>
      </c>
      <c r="I111" s="109">
        <v>270</v>
      </c>
    </row>
    <row r="112" spans="1:9" ht="14.4" customHeight="1" x14ac:dyDescent="0.3">
      <c r="A112" s="108" t="s">
        <v>38</v>
      </c>
      <c r="B112" s="108" t="s">
        <v>39</v>
      </c>
      <c r="C112" s="108" t="s">
        <v>40</v>
      </c>
      <c r="D112" s="108">
        <v>80</v>
      </c>
      <c r="E112" s="108" t="s">
        <v>41</v>
      </c>
      <c r="F112" s="71" t="s">
        <v>42</v>
      </c>
      <c r="G112" s="108">
        <v>5000</v>
      </c>
      <c r="H112" s="112">
        <v>46164</v>
      </c>
      <c r="I112" s="109">
        <v>270</v>
      </c>
    </row>
    <row r="113" spans="1:9" ht="14.4" customHeight="1" x14ac:dyDescent="0.3">
      <c r="A113" s="108" t="s">
        <v>38</v>
      </c>
      <c r="B113" s="108" t="s">
        <v>39</v>
      </c>
      <c r="C113" s="108" t="s">
        <v>40</v>
      </c>
      <c r="D113" s="108">
        <v>80</v>
      </c>
      <c r="E113" s="108" t="s">
        <v>41</v>
      </c>
      <c r="F113" s="71" t="s">
        <v>42</v>
      </c>
      <c r="G113" s="108">
        <v>5000</v>
      </c>
      <c r="H113" s="112">
        <v>46164</v>
      </c>
      <c r="I113" s="109">
        <v>270</v>
      </c>
    </row>
    <row r="114" spans="1:9" ht="14.4" customHeight="1" x14ac:dyDescent="0.3">
      <c r="A114" s="108" t="s">
        <v>38</v>
      </c>
      <c r="B114" s="108" t="s">
        <v>39</v>
      </c>
      <c r="C114" s="108" t="s">
        <v>40</v>
      </c>
      <c r="D114" s="108">
        <v>80</v>
      </c>
      <c r="E114" s="108" t="s">
        <v>41</v>
      </c>
      <c r="F114" s="71" t="s">
        <v>42</v>
      </c>
      <c r="G114" s="108">
        <v>5000</v>
      </c>
      <c r="H114" s="112">
        <v>46164</v>
      </c>
      <c r="I114" s="109">
        <v>270</v>
      </c>
    </row>
    <row r="115" spans="1:9" ht="14.4" customHeight="1" x14ac:dyDescent="0.3">
      <c r="A115" s="108" t="s">
        <v>38</v>
      </c>
      <c r="B115" s="108" t="s">
        <v>39</v>
      </c>
      <c r="C115" s="108" t="s">
        <v>40</v>
      </c>
      <c r="D115" s="108">
        <v>80</v>
      </c>
      <c r="E115" s="108" t="s">
        <v>41</v>
      </c>
      <c r="F115" s="71" t="s">
        <v>42</v>
      </c>
      <c r="G115" s="108">
        <v>5000</v>
      </c>
      <c r="H115" s="112">
        <v>46164</v>
      </c>
      <c r="I115" s="109">
        <v>270</v>
      </c>
    </row>
    <row r="116" spans="1:9" ht="14.4" customHeight="1" x14ac:dyDescent="0.3">
      <c r="A116" s="108" t="s">
        <v>38</v>
      </c>
      <c r="B116" s="108" t="s">
        <v>39</v>
      </c>
      <c r="C116" s="108" t="s">
        <v>40</v>
      </c>
      <c r="D116" s="108">
        <v>80</v>
      </c>
      <c r="E116" s="108" t="s">
        <v>41</v>
      </c>
      <c r="F116" s="71" t="s">
        <v>42</v>
      </c>
      <c r="G116" s="108">
        <v>5000</v>
      </c>
      <c r="H116" s="112">
        <v>46164</v>
      </c>
      <c r="I116" s="109">
        <v>270</v>
      </c>
    </row>
    <row r="117" spans="1:9" ht="14.4" customHeight="1" x14ac:dyDescent="0.3">
      <c r="A117" s="108" t="s">
        <v>38</v>
      </c>
      <c r="B117" s="108" t="s">
        <v>39</v>
      </c>
      <c r="C117" s="108" t="s">
        <v>40</v>
      </c>
      <c r="D117" s="108">
        <v>80</v>
      </c>
      <c r="E117" s="108" t="s">
        <v>41</v>
      </c>
      <c r="F117" s="71" t="s">
        <v>42</v>
      </c>
      <c r="G117" s="108">
        <v>5000</v>
      </c>
      <c r="H117" s="112">
        <v>46164</v>
      </c>
      <c r="I117" s="109">
        <v>270</v>
      </c>
    </row>
    <row r="118" spans="1:9" ht="14.4" customHeight="1" x14ac:dyDescent="0.3">
      <c r="A118" s="108" t="s">
        <v>38</v>
      </c>
      <c r="B118" s="108" t="s">
        <v>39</v>
      </c>
      <c r="C118" s="108" t="s">
        <v>40</v>
      </c>
      <c r="D118" s="108">
        <v>80</v>
      </c>
      <c r="E118" s="108" t="s">
        <v>41</v>
      </c>
      <c r="F118" s="71" t="s">
        <v>42</v>
      </c>
      <c r="G118" s="108">
        <v>5000</v>
      </c>
      <c r="H118" s="112">
        <v>46164</v>
      </c>
      <c r="I118" s="109">
        <v>270</v>
      </c>
    </row>
    <row r="119" spans="1:9" ht="14.4" customHeight="1" x14ac:dyDescent="0.3">
      <c r="A119" s="108" t="s">
        <v>38</v>
      </c>
      <c r="B119" s="108" t="s">
        <v>39</v>
      </c>
      <c r="C119" s="108" t="s">
        <v>40</v>
      </c>
      <c r="D119" s="108">
        <v>80</v>
      </c>
      <c r="E119" s="108" t="s">
        <v>41</v>
      </c>
      <c r="F119" s="71" t="s">
        <v>42</v>
      </c>
      <c r="G119" s="108">
        <v>5000</v>
      </c>
      <c r="H119" s="112">
        <v>46164</v>
      </c>
      <c r="I119" s="109">
        <v>270</v>
      </c>
    </row>
    <row r="120" spans="1:9" ht="14.4" customHeight="1" x14ac:dyDescent="0.3">
      <c r="A120" s="108" t="s">
        <v>38</v>
      </c>
      <c r="B120" s="108" t="s">
        <v>39</v>
      </c>
      <c r="C120" s="108" t="s">
        <v>40</v>
      </c>
      <c r="D120" s="108">
        <v>80</v>
      </c>
      <c r="E120" s="108" t="s">
        <v>41</v>
      </c>
      <c r="F120" s="71" t="s">
        <v>42</v>
      </c>
      <c r="G120" s="108">
        <v>5000</v>
      </c>
      <c r="H120" s="112">
        <v>46164</v>
      </c>
      <c r="I120" s="109">
        <v>270</v>
      </c>
    </row>
    <row r="121" spans="1:9" ht="14.4" customHeight="1" x14ac:dyDescent="0.3">
      <c r="A121" s="108" t="s">
        <v>38</v>
      </c>
      <c r="B121" s="108" t="s">
        <v>39</v>
      </c>
      <c r="C121" s="108" t="s">
        <v>40</v>
      </c>
      <c r="D121" s="108">
        <v>80</v>
      </c>
      <c r="E121" s="108" t="s">
        <v>41</v>
      </c>
      <c r="F121" s="71" t="s">
        <v>42</v>
      </c>
      <c r="G121" s="108">
        <v>5000</v>
      </c>
      <c r="H121" s="112">
        <v>46164</v>
      </c>
      <c r="I121" s="109">
        <v>270</v>
      </c>
    </row>
    <row r="122" spans="1:9" ht="14.4" customHeight="1" x14ac:dyDescent="0.3">
      <c r="A122" s="108" t="s">
        <v>38</v>
      </c>
      <c r="B122" s="108" t="s">
        <v>39</v>
      </c>
      <c r="C122" s="108" t="s">
        <v>40</v>
      </c>
      <c r="D122" s="108">
        <v>80</v>
      </c>
      <c r="E122" s="108" t="s">
        <v>41</v>
      </c>
      <c r="F122" s="71" t="s">
        <v>42</v>
      </c>
      <c r="G122" s="108">
        <v>5000</v>
      </c>
      <c r="H122" s="112">
        <v>46164</v>
      </c>
      <c r="I122" s="109">
        <v>270</v>
      </c>
    </row>
    <row r="123" spans="1:9" ht="14.4" customHeight="1" x14ac:dyDescent="0.3">
      <c r="A123" s="108" t="s">
        <v>38</v>
      </c>
      <c r="B123" s="108" t="s">
        <v>39</v>
      </c>
      <c r="C123" s="108" t="s">
        <v>40</v>
      </c>
      <c r="D123" s="108">
        <v>80</v>
      </c>
      <c r="E123" s="108" t="s">
        <v>41</v>
      </c>
      <c r="F123" s="71" t="s">
        <v>42</v>
      </c>
      <c r="G123" s="108">
        <v>5000</v>
      </c>
      <c r="H123" s="112">
        <v>46164</v>
      </c>
      <c r="I123" s="109">
        <v>270</v>
      </c>
    </row>
    <row r="124" spans="1:9" ht="14.4" customHeight="1" x14ac:dyDescent="0.3">
      <c r="A124" s="108" t="s">
        <v>38</v>
      </c>
      <c r="B124" s="108" t="s">
        <v>39</v>
      </c>
      <c r="C124" s="108" t="s">
        <v>40</v>
      </c>
      <c r="D124" s="108">
        <v>80</v>
      </c>
      <c r="E124" s="108" t="s">
        <v>41</v>
      </c>
      <c r="F124" s="71" t="s">
        <v>42</v>
      </c>
      <c r="G124" s="108">
        <v>5000</v>
      </c>
      <c r="H124" s="112">
        <v>46164</v>
      </c>
      <c r="I124" s="109">
        <v>270</v>
      </c>
    </row>
    <row r="125" spans="1:9" ht="14.4" customHeight="1" x14ac:dyDescent="0.3">
      <c r="A125" s="108" t="s">
        <v>38</v>
      </c>
      <c r="B125" s="108" t="s">
        <v>39</v>
      </c>
      <c r="C125" s="108" t="s">
        <v>40</v>
      </c>
      <c r="D125" s="108">
        <v>80</v>
      </c>
      <c r="E125" s="108" t="s">
        <v>41</v>
      </c>
      <c r="F125" s="71" t="s">
        <v>42</v>
      </c>
      <c r="G125" s="108">
        <v>5000</v>
      </c>
      <c r="H125" s="112">
        <v>46164</v>
      </c>
      <c r="I125" s="109">
        <v>270</v>
      </c>
    </row>
    <row r="126" spans="1:9" ht="14.4" customHeight="1" x14ac:dyDescent="0.3">
      <c r="A126" s="108" t="s">
        <v>38</v>
      </c>
      <c r="B126" s="108" t="s">
        <v>39</v>
      </c>
      <c r="C126" s="108" t="s">
        <v>40</v>
      </c>
      <c r="D126" s="108">
        <v>80</v>
      </c>
      <c r="E126" s="108" t="s">
        <v>41</v>
      </c>
      <c r="F126" s="71" t="s">
        <v>42</v>
      </c>
      <c r="G126" s="108">
        <v>5000</v>
      </c>
      <c r="H126" s="112">
        <v>46164</v>
      </c>
      <c r="I126" s="109">
        <v>270</v>
      </c>
    </row>
    <row r="127" spans="1:9" ht="14.4" customHeight="1" x14ac:dyDescent="0.3">
      <c r="A127" s="108" t="s">
        <v>38</v>
      </c>
      <c r="B127" s="108" t="s">
        <v>39</v>
      </c>
      <c r="C127" s="108" t="s">
        <v>40</v>
      </c>
      <c r="D127" s="108">
        <v>80</v>
      </c>
      <c r="E127" s="108" t="s">
        <v>41</v>
      </c>
      <c r="F127" s="71" t="s">
        <v>42</v>
      </c>
      <c r="G127" s="108">
        <v>5000</v>
      </c>
      <c r="H127" s="112">
        <v>46164</v>
      </c>
      <c r="I127" s="109">
        <v>270</v>
      </c>
    </row>
    <row r="128" spans="1:9" ht="14.4" customHeight="1" x14ac:dyDescent="0.3">
      <c r="A128" s="108" t="s">
        <v>38</v>
      </c>
      <c r="B128" s="108" t="s">
        <v>39</v>
      </c>
      <c r="C128" s="108" t="s">
        <v>40</v>
      </c>
      <c r="D128" s="108">
        <v>80</v>
      </c>
      <c r="E128" s="108" t="s">
        <v>41</v>
      </c>
      <c r="F128" s="71" t="s">
        <v>42</v>
      </c>
      <c r="G128" s="108">
        <v>5000</v>
      </c>
      <c r="H128" s="112">
        <v>46164</v>
      </c>
      <c r="I128" s="109">
        <v>270</v>
      </c>
    </row>
    <row r="129" spans="1:9" ht="14.4" customHeight="1" x14ac:dyDescent="0.3">
      <c r="A129" s="108" t="s">
        <v>38</v>
      </c>
      <c r="B129" s="108" t="s">
        <v>39</v>
      </c>
      <c r="C129" s="108" t="s">
        <v>40</v>
      </c>
      <c r="D129" s="108">
        <v>80</v>
      </c>
      <c r="E129" s="108" t="s">
        <v>41</v>
      </c>
      <c r="F129" s="71" t="s">
        <v>42</v>
      </c>
      <c r="G129" s="108">
        <v>5000</v>
      </c>
      <c r="H129" s="112">
        <v>46164</v>
      </c>
      <c r="I129" s="109">
        <v>270</v>
      </c>
    </row>
    <row r="130" spans="1:9" ht="14.4" customHeight="1" x14ac:dyDescent="0.3">
      <c r="A130" s="108" t="s">
        <v>38</v>
      </c>
      <c r="B130" s="108" t="s">
        <v>39</v>
      </c>
      <c r="C130" s="108" t="s">
        <v>40</v>
      </c>
      <c r="D130" s="108">
        <v>80</v>
      </c>
      <c r="E130" s="108" t="s">
        <v>41</v>
      </c>
      <c r="F130" s="71" t="s">
        <v>42</v>
      </c>
      <c r="G130" s="108">
        <v>5000</v>
      </c>
      <c r="H130" s="112">
        <v>46164</v>
      </c>
      <c r="I130" s="109">
        <v>270</v>
      </c>
    </row>
    <row r="131" spans="1:9" ht="14.4" customHeight="1" x14ac:dyDescent="0.3">
      <c r="A131" s="108" t="s">
        <v>38</v>
      </c>
      <c r="B131" s="108" t="s">
        <v>39</v>
      </c>
      <c r="C131" s="108" t="s">
        <v>40</v>
      </c>
      <c r="D131" s="108">
        <v>80</v>
      </c>
      <c r="E131" s="108" t="s">
        <v>41</v>
      </c>
      <c r="F131" s="71" t="s">
        <v>42</v>
      </c>
      <c r="G131" s="108">
        <v>5000</v>
      </c>
      <c r="H131" s="112">
        <v>46164</v>
      </c>
      <c r="I131" s="109">
        <v>270</v>
      </c>
    </row>
    <row r="132" spans="1:9" ht="14.4" customHeight="1" x14ac:dyDescent="0.3">
      <c r="A132" s="108" t="s">
        <v>38</v>
      </c>
      <c r="B132" s="108" t="s">
        <v>39</v>
      </c>
      <c r="C132" s="108" t="s">
        <v>40</v>
      </c>
      <c r="D132" s="108">
        <v>80</v>
      </c>
      <c r="E132" s="108" t="s">
        <v>41</v>
      </c>
      <c r="F132" s="71" t="s">
        <v>42</v>
      </c>
      <c r="G132" s="108">
        <v>5000</v>
      </c>
      <c r="H132" s="112">
        <v>46164</v>
      </c>
      <c r="I132" s="109">
        <v>270</v>
      </c>
    </row>
    <row r="133" spans="1:9" ht="14.4" customHeight="1" x14ac:dyDescent="0.3">
      <c r="A133" s="108" t="s">
        <v>38</v>
      </c>
      <c r="B133" s="108" t="s">
        <v>39</v>
      </c>
      <c r="C133" s="108" t="s">
        <v>40</v>
      </c>
      <c r="D133" s="108">
        <v>80</v>
      </c>
      <c r="E133" s="108" t="s">
        <v>41</v>
      </c>
      <c r="F133" s="71" t="s">
        <v>42</v>
      </c>
      <c r="G133" s="108">
        <v>5000</v>
      </c>
      <c r="H133" s="112">
        <v>46164</v>
      </c>
      <c r="I133" s="109">
        <v>270</v>
      </c>
    </row>
    <row r="134" spans="1:9" ht="14.4" customHeight="1" x14ac:dyDescent="0.3">
      <c r="A134" s="108" t="s">
        <v>38</v>
      </c>
      <c r="B134" s="108" t="s">
        <v>39</v>
      </c>
      <c r="C134" s="108" t="s">
        <v>40</v>
      </c>
      <c r="D134" s="108">
        <v>80</v>
      </c>
      <c r="E134" s="108" t="s">
        <v>41</v>
      </c>
      <c r="F134" s="71" t="s">
        <v>42</v>
      </c>
      <c r="G134" s="108">
        <v>5000</v>
      </c>
      <c r="H134" s="112">
        <v>46171</v>
      </c>
      <c r="I134" s="109">
        <v>267</v>
      </c>
    </row>
    <row r="135" spans="1:9" ht="14.4" customHeight="1" x14ac:dyDescent="0.3">
      <c r="A135" s="108" t="s">
        <v>38</v>
      </c>
      <c r="B135" s="108" t="s">
        <v>39</v>
      </c>
      <c r="C135" s="108" t="s">
        <v>40</v>
      </c>
      <c r="D135" s="108">
        <v>80</v>
      </c>
      <c r="E135" s="108" t="s">
        <v>41</v>
      </c>
      <c r="F135" s="71" t="s">
        <v>42</v>
      </c>
      <c r="G135" s="108">
        <v>5000</v>
      </c>
      <c r="H135" s="112">
        <v>46171</v>
      </c>
      <c r="I135" s="109">
        <v>178</v>
      </c>
    </row>
    <row r="136" spans="1:9" ht="14.4" customHeight="1" x14ac:dyDescent="0.3">
      <c r="A136" s="108" t="s">
        <v>38</v>
      </c>
      <c r="B136" s="108" t="s">
        <v>39</v>
      </c>
      <c r="C136" s="108" t="s">
        <v>40</v>
      </c>
      <c r="D136" s="108">
        <v>80</v>
      </c>
      <c r="E136" s="108" t="s">
        <v>41</v>
      </c>
      <c r="F136" s="71" t="s">
        <v>42</v>
      </c>
      <c r="G136" s="108">
        <v>5000</v>
      </c>
      <c r="H136" s="112">
        <v>46171</v>
      </c>
      <c r="I136" s="109">
        <v>270</v>
      </c>
    </row>
    <row r="137" spans="1:9" ht="14.4" customHeight="1" x14ac:dyDescent="0.3">
      <c r="A137" s="108" t="s">
        <v>38</v>
      </c>
      <c r="B137" s="108" t="s">
        <v>39</v>
      </c>
      <c r="C137" s="108" t="s">
        <v>40</v>
      </c>
      <c r="D137" s="108">
        <v>80</v>
      </c>
      <c r="E137" s="108" t="s">
        <v>41</v>
      </c>
      <c r="F137" s="71" t="s">
        <v>42</v>
      </c>
      <c r="G137" s="108">
        <v>5000</v>
      </c>
      <c r="H137" s="112">
        <v>46171</v>
      </c>
      <c r="I137" s="109">
        <v>270</v>
      </c>
    </row>
    <row r="138" spans="1:9" ht="14.4" customHeight="1" x14ac:dyDescent="0.3">
      <c r="A138" s="108" t="s">
        <v>38</v>
      </c>
      <c r="B138" s="108" t="s">
        <v>39</v>
      </c>
      <c r="C138" s="108" t="s">
        <v>40</v>
      </c>
      <c r="D138" s="108">
        <v>80</v>
      </c>
      <c r="E138" s="108" t="s">
        <v>41</v>
      </c>
      <c r="F138" s="71" t="s">
        <v>42</v>
      </c>
      <c r="G138" s="108">
        <v>5000</v>
      </c>
      <c r="H138" s="112">
        <v>46171</v>
      </c>
      <c r="I138" s="109">
        <v>270</v>
      </c>
    </row>
    <row r="139" spans="1:9" ht="14.4" customHeight="1" x14ac:dyDescent="0.3">
      <c r="A139" s="108" t="s">
        <v>38</v>
      </c>
      <c r="B139" s="108" t="s">
        <v>39</v>
      </c>
      <c r="C139" s="108" t="s">
        <v>40</v>
      </c>
      <c r="D139" s="108">
        <v>80</v>
      </c>
      <c r="E139" s="108" t="s">
        <v>41</v>
      </c>
      <c r="F139" s="71" t="s">
        <v>42</v>
      </c>
      <c r="G139" s="108">
        <v>5000</v>
      </c>
      <c r="H139" s="112">
        <v>46171</v>
      </c>
      <c r="I139" s="109">
        <v>270</v>
      </c>
    </row>
    <row r="140" spans="1:9" ht="14.4" customHeight="1" x14ac:dyDescent="0.3">
      <c r="A140" s="108" t="s">
        <v>38</v>
      </c>
      <c r="B140" s="108" t="s">
        <v>39</v>
      </c>
      <c r="C140" s="108" t="s">
        <v>40</v>
      </c>
      <c r="D140" s="108">
        <v>80</v>
      </c>
      <c r="E140" s="108" t="s">
        <v>41</v>
      </c>
      <c r="F140" s="71" t="s">
        <v>42</v>
      </c>
      <c r="G140" s="108">
        <v>5000</v>
      </c>
      <c r="H140" s="112">
        <v>46171</v>
      </c>
      <c r="I140" s="109">
        <v>270</v>
      </c>
    </row>
    <row r="141" spans="1:9" ht="14.4" customHeight="1" x14ac:dyDescent="0.3">
      <c r="A141" s="108" t="s">
        <v>38</v>
      </c>
      <c r="B141" s="108" t="s">
        <v>39</v>
      </c>
      <c r="C141" s="108" t="s">
        <v>40</v>
      </c>
      <c r="D141" s="108">
        <v>80</v>
      </c>
      <c r="E141" s="108" t="s">
        <v>41</v>
      </c>
      <c r="F141" s="71" t="s">
        <v>42</v>
      </c>
      <c r="G141" s="108">
        <v>5000</v>
      </c>
      <c r="H141" s="112">
        <v>46171</v>
      </c>
      <c r="I141" s="109">
        <v>270</v>
      </c>
    </row>
    <row r="142" spans="1:9" ht="14.4" customHeight="1" x14ac:dyDescent="0.3">
      <c r="A142" s="108" t="s">
        <v>38</v>
      </c>
      <c r="B142" s="108" t="s">
        <v>39</v>
      </c>
      <c r="C142" s="108" t="s">
        <v>40</v>
      </c>
      <c r="D142" s="108">
        <v>80</v>
      </c>
      <c r="E142" s="108" t="s">
        <v>41</v>
      </c>
      <c r="F142" s="71" t="s">
        <v>42</v>
      </c>
      <c r="G142" s="108">
        <v>5000</v>
      </c>
      <c r="H142" s="112">
        <v>46171</v>
      </c>
      <c r="I142" s="109">
        <v>162</v>
      </c>
    </row>
    <row r="143" spans="1:9" ht="14.4" customHeight="1" x14ac:dyDescent="0.3">
      <c r="A143" s="108" t="s">
        <v>38</v>
      </c>
      <c r="B143" s="108" t="s">
        <v>39</v>
      </c>
      <c r="C143" s="108" t="s">
        <v>40</v>
      </c>
      <c r="D143" s="108">
        <v>80</v>
      </c>
      <c r="E143" s="108" t="s">
        <v>41</v>
      </c>
      <c r="F143" s="71" t="s">
        <v>42</v>
      </c>
      <c r="G143" s="108">
        <v>5000</v>
      </c>
      <c r="H143" s="112">
        <v>46171</v>
      </c>
      <c r="I143" s="109">
        <v>210</v>
      </c>
    </row>
    <row r="144" spans="1:9" ht="14.4" customHeight="1" x14ac:dyDescent="0.3">
      <c r="A144" s="108" t="s">
        <v>38</v>
      </c>
      <c r="B144" s="108" t="s">
        <v>39</v>
      </c>
      <c r="C144" s="108" t="s">
        <v>40</v>
      </c>
      <c r="D144" s="108">
        <v>80</v>
      </c>
      <c r="E144" s="108" t="s">
        <v>41</v>
      </c>
      <c r="F144" s="71" t="s">
        <v>42</v>
      </c>
      <c r="G144" s="108">
        <v>5000</v>
      </c>
      <c r="H144" s="112">
        <v>46171</v>
      </c>
      <c r="I144" s="109">
        <v>270</v>
      </c>
    </row>
    <row r="145" spans="1:9" ht="14.4" customHeight="1" x14ac:dyDescent="0.3">
      <c r="A145" s="108" t="s">
        <v>38</v>
      </c>
      <c r="B145" s="108" t="s">
        <v>39</v>
      </c>
      <c r="C145" s="108" t="s">
        <v>40</v>
      </c>
      <c r="D145" s="108">
        <v>80</v>
      </c>
      <c r="E145" s="108" t="s">
        <v>41</v>
      </c>
      <c r="F145" s="71" t="s">
        <v>42</v>
      </c>
      <c r="G145" s="108">
        <v>5000</v>
      </c>
      <c r="H145" s="112">
        <v>46171</v>
      </c>
      <c r="I145" s="109">
        <v>270</v>
      </c>
    </row>
    <row r="146" spans="1:9" ht="14.4" customHeight="1" x14ac:dyDescent="0.3">
      <c r="A146" s="108" t="s">
        <v>38</v>
      </c>
      <c r="B146" s="108" t="s">
        <v>39</v>
      </c>
      <c r="C146" s="108" t="s">
        <v>40</v>
      </c>
      <c r="D146" s="108">
        <v>80</v>
      </c>
      <c r="E146" s="108" t="s">
        <v>41</v>
      </c>
      <c r="F146" s="71" t="s">
        <v>42</v>
      </c>
      <c r="G146" s="108">
        <v>5000</v>
      </c>
      <c r="H146" s="112">
        <v>46171</v>
      </c>
      <c r="I146" s="109">
        <v>270</v>
      </c>
    </row>
    <row r="147" spans="1:9" ht="14.4" customHeight="1" x14ac:dyDescent="0.3">
      <c r="A147" s="108" t="s">
        <v>38</v>
      </c>
      <c r="B147" s="108" t="s">
        <v>39</v>
      </c>
      <c r="C147" s="108" t="s">
        <v>40</v>
      </c>
      <c r="D147" s="108">
        <v>80</v>
      </c>
      <c r="E147" s="108" t="s">
        <v>41</v>
      </c>
      <c r="F147" s="71" t="s">
        <v>42</v>
      </c>
      <c r="G147" s="108">
        <v>5000</v>
      </c>
      <c r="H147" s="112">
        <v>46171</v>
      </c>
      <c r="I147" s="109">
        <v>270</v>
      </c>
    </row>
    <row r="148" spans="1:9" ht="14.4" customHeight="1" x14ac:dyDescent="0.3">
      <c r="A148" s="108" t="s">
        <v>38</v>
      </c>
      <c r="B148" s="108" t="s">
        <v>39</v>
      </c>
      <c r="C148" s="108" t="s">
        <v>40</v>
      </c>
      <c r="D148" s="108">
        <v>80</v>
      </c>
      <c r="E148" s="108" t="s">
        <v>41</v>
      </c>
      <c r="F148" s="71" t="s">
        <v>42</v>
      </c>
      <c r="G148" s="108">
        <v>5000</v>
      </c>
      <c r="H148" s="112">
        <v>46171</v>
      </c>
      <c r="I148" s="109">
        <v>270</v>
      </c>
    </row>
    <row r="149" spans="1:9" ht="14.4" customHeight="1" x14ac:dyDescent="0.3">
      <c r="A149" s="108" t="s">
        <v>38</v>
      </c>
      <c r="B149" s="108" t="s">
        <v>39</v>
      </c>
      <c r="C149" s="108" t="s">
        <v>40</v>
      </c>
      <c r="D149" s="108">
        <v>80</v>
      </c>
      <c r="E149" s="108" t="s">
        <v>41</v>
      </c>
      <c r="F149" s="71" t="s">
        <v>42</v>
      </c>
      <c r="G149" s="108">
        <v>5000</v>
      </c>
      <c r="H149" s="112">
        <v>46171</v>
      </c>
      <c r="I149" s="109">
        <v>270</v>
      </c>
    </row>
    <row r="150" spans="1:9" ht="14.4" customHeight="1" x14ac:dyDescent="0.3">
      <c r="A150" s="108" t="s">
        <v>38</v>
      </c>
      <c r="B150" s="108" t="s">
        <v>39</v>
      </c>
      <c r="C150" s="108" t="s">
        <v>40</v>
      </c>
      <c r="D150" s="108">
        <v>80</v>
      </c>
      <c r="E150" s="108" t="s">
        <v>41</v>
      </c>
      <c r="F150" s="71" t="s">
        <v>42</v>
      </c>
      <c r="G150" s="108">
        <v>5000</v>
      </c>
      <c r="H150" s="112">
        <v>46171</v>
      </c>
      <c r="I150" s="109">
        <v>270</v>
      </c>
    </row>
    <row r="151" spans="1:9" ht="14.4" customHeight="1" x14ac:dyDescent="0.3">
      <c r="A151" s="108" t="s">
        <v>38</v>
      </c>
      <c r="B151" s="108" t="s">
        <v>39</v>
      </c>
      <c r="C151" s="108" t="s">
        <v>40</v>
      </c>
      <c r="D151" s="108">
        <v>80</v>
      </c>
      <c r="E151" s="108" t="s">
        <v>41</v>
      </c>
      <c r="F151" s="71" t="s">
        <v>42</v>
      </c>
      <c r="G151" s="108">
        <v>5000</v>
      </c>
      <c r="H151" s="112">
        <v>46171</v>
      </c>
      <c r="I151" s="109">
        <v>270</v>
      </c>
    </row>
    <row r="152" spans="1:9" ht="14.4" customHeight="1" x14ac:dyDescent="0.3">
      <c r="A152" s="108" t="s">
        <v>38</v>
      </c>
      <c r="B152" s="108" t="s">
        <v>39</v>
      </c>
      <c r="C152" s="108" t="s">
        <v>40</v>
      </c>
      <c r="D152" s="108">
        <v>80</v>
      </c>
      <c r="E152" s="108" t="s">
        <v>41</v>
      </c>
      <c r="F152" s="71" t="s">
        <v>42</v>
      </c>
      <c r="G152" s="108">
        <v>5000</v>
      </c>
      <c r="H152" s="112">
        <v>46171</v>
      </c>
      <c r="I152" s="109">
        <v>270</v>
      </c>
    </row>
    <row r="153" spans="1:9" ht="14.4" customHeight="1" x14ac:dyDescent="0.3">
      <c r="A153" s="108" t="s">
        <v>38</v>
      </c>
      <c r="B153" s="108" t="s">
        <v>39</v>
      </c>
      <c r="C153" s="108" t="s">
        <v>40</v>
      </c>
      <c r="D153" s="108">
        <v>80</v>
      </c>
      <c r="E153" s="108" t="s">
        <v>41</v>
      </c>
      <c r="F153" s="71" t="s">
        <v>42</v>
      </c>
      <c r="G153" s="108">
        <v>5000</v>
      </c>
      <c r="H153" s="112">
        <v>46171</v>
      </c>
      <c r="I153" s="109">
        <v>270</v>
      </c>
    </row>
    <row r="154" spans="1:9" ht="14.4" customHeight="1" x14ac:dyDescent="0.3">
      <c r="A154" s="108" t="s">
        <v>38</v>
      </c>
      <c r="B154" s="108" t="s">
        <v>39</v>
      </c>
      <c r="C154" s="108" t="s">
        <v>40</v>
      </c>
      <c r="D154" s="108">
        <v>80</v>
      </c>
      <c r="E154" s="108" t="s">
        <v>41</v>
      </c>
      <c r="F154" s="71" t="s">
        <v>42</v>
      </c>
      <c r="G154" s="108">
        <v>5000</v>
      </c>
      <c r="H154" s="112">
        <v>46171</v>
      </c>
      <c r="I154" s="109">
        <v>270</v>
      </c>
    </row>
    <row r="155" spans="1:9" ht="14.4" customHeight="1" x14ac:dyDescent="0.3">
      <c r="A155" s="108" t="s">
        <v>38</v>
      </c>
      <c r="B155" s="108" t="s">
        <v>39</v>
      </c>
      <c r="C155" s="108" t="s">
        <v>40</v>
      </c>
      <c r="D155" s="108">
        <v>80</v>
      </c>
      <c r="E155" s="108" t="s">
        <v>41</v>
      </c>
      <c r="F155" s="71" t="s">
        <v>42</v>
      </c>
      <c r="G155" s="108">
        <v>5000</v>
      </c>
      <c r="H155" s="112">
        <v>46171</v>
      </c>
      <c r="I155" s="109">
        <v>270</v>
      </c>
    </row>
    <row r="156" spans="1:9" ht="14.4" customHeight="1" x14ac:dyDescent="0.3">
      <c r="A156" s="108" t="s">
        <v>38</v>
      </c>
      <c r="B156" s="108" t="s">
        <v>39</v>
      </c>
      <c r="C156" s="108" t="s">
        <v>40</v>
      </c>
      <c r="D156" s="108">
        <v>80</v>
      </c>
      <c r="E156" s="108" t="s">
        <v>41</v>
      </c>
      <c r="F156" s="71" t="s">
        <v>42</v>
      </c>
      <c r="G156" s="108">
        <v>5000</v>
      </c>
      <c r="H156" s="112">
        <v>46171</v>
      </c>
      <c r="I156" s="109">
        <v>270</v>
      </c>
    </row>
    <row r="157" spans="1:9" ht="14.4" customHeight="1" x14ac:dyDescent="0.3">
      <c r="A157" s="108" t="s">
        <v>38</v>
      </c>
      <c r="B157" s="108" t="s">
        <v>39</v>
      </c>
      <c r="C157" s="108" t="s">
        <v>40</v>
      </c>
      <c r="D157" s="108">
        <v>80</v>
      </c>
      <c r="E157" s="108" t="s">
        <v>41</v>
      </c>
      <c r="F157" s="71" t="s">
        <v>42</v>
      </c>
      <c r="G157" s="108">
        <v>5000</v>
      </c>
      <c r="H157" s="112">
        <v>46171</v>
      </c>
      <c r="I157" s="109">
        <v>270</v>
      </c>
    </row>
    <row r="158" spans="1:9" ht="14.4" customHeight="1" x14ac:dyDescent="0.3">
      <c r="A158" s="108" t="s">
        <v>38</v>
      </c>
      <c r="B158" s="108" t="s">
        <v>39</v>
      </c>
      <c r="C158" s="108" t="s">
        <v>40</v>
      </c>
      <c r="D158" s="108">
        <v>80</v>
      </c>
      <c r="E158" s="108" t="s">
        <v>41</v>
      </c>
      <c r="F158" s="71" t="s">
        <v>42</v>
      </c>
      <c r="G158" s="108">
        <v>5000</v>
      </c>
      <c r="H158" s="112">
        <v>46171</v>
      </c>
      <c r="I158" s="109">
        <v>270</v>
      </c>
    </row>
    <row r="159" spans="1:9" ht="14.4" customHeight="1" x14ac:dyDescent="0.3">
      <c r="A159" s="108" t="s">
        <v>38</v>
      </c>
      <c r="B159" s="108" t="s">
        <v>39</v>
      </c>
      <c r="C159" s="108" t="s">
        <v>40</v>
      </c>
      <c r="D159" s="108">
        <v>80</v>
      </c>
      <c r="E159" s="108" t="s">
        <v>41</v>
      </c>
      <c r="F159" s="71" t="s">
        <v>42</v>
      </c>
      <c r="G159" s="108">
        <v>5000</v>
      </c>
      <c r="H159" s="112">
        <v>46171</v>
      </c>
      <c r="I159" s="109">
        <v>270</v>
      </c>
    </row>
    <row r="160" spans="1:9" ht="14.4" customHeight="1" x14ac:dyDescent="0.3">
      <c r="A160" s="108" t="s">
        <v>38</v>
      </c>
      <c r="B160" s="108" t="s">
        <v>39</v>
      </c>
      <c r="C160" s="108" t="s">
        <v>40</v>
      </c>
      <c r="D160" s="108">
        <v>80</v>
      </c>
      <c r="E160" s="108" t="s">
        <v>41</v>
      </c>
      <c r="F160" s="71" t="s">
        <v>42</v>
      </c>
      <c r="G160" s="108">
        <v>5000</v>
      </c>
      <c r="H160" s="112">
        <v>46171</v>
      </c>
      <c r="I160" s="109">
        <v>270</v>
      </c>
    </row>
    <row r="161" spans="1:9" ht="14.4" customHeight="1" x14ac:dyDescent="0.3">
      <c r="A161" s="108" t="s">
        <v>38</v>
      </c>
      <c r="B161" s="108" t="s">
        <v>39</v>
      </c>
      <c r="C161" s="108" t="s">
        <v>40</v>
      </c>
      <c r="D161" s="108">
        <v>80</v>
      </c>
      <c r="E161" s="108" t="s">
        <v>41</v>
      </c>
      <c r="F161" s="71" t="s">
        <v>42</v>
      </c>
      <c r="G161" s="108">
        <v>5000</v>
      </c>
      <c r="H161" s="112">
        <v>46171</v>
      </c>
      <c r="I161" s="109">
        <v>270</v>
      </c>
    </row>
    <row r="162" spans="1:9" ht="14.4" customHeight="1" x14ac:dyDescent="0.3">
      <c r="A162" s="108" t="s">
        <v>38</v>
      </c>
      <c r="B162" s="108" t="s">
        <v>39</v>
      </c>
      <c r="C162" s="108" t="s">
        <v>40</v>
      </c>
      <c r="D162" s="108">
        <v>80</v>
      </c>
      <c r="E162" s="108" t="s">
        <v>41</v>
      </c>
      <c r="F162" s="71" t="s">
        <v>42</v>
      </c>
      <c r="G162" s="108">
        <v>5000</v>
      </c>
      <c r="H162" s="112">
        <v>46171</v>
      </c>
      <c r="I162" s="109">
        <v>270</v>
      </c>
    </row>
    <row r="163" spans="1:9" ht="14.4" customHeight="1" x14ac:dyDescent="0.3">
      <c r="A163" s="108" t="s">
        <v>38</v>
      </c>
      <c r="B163" s="108" t="s">
        <v>39</v>
      </c>
      <c r="C163" s="108" t="s">
        <v>40</v>
      </c>
      <c r="D163" s="108">
        <v>80</v>
      </c>
      <c r="E163" s="108" t="s">
        <v>41</v>
      </c>
      <c r="F163" s="71" t="s">
        <v>42</v>
      </c>
      <c r="G163" s="108">
        <v>5000</v>
      </c>
      <c r="H163" s="112">
        <v>46171</v>
      </c>
      <c r="I163" s="109">
        <v>270</v>
      </c>
    </row>
    <row r="164" spans="1:9" ht="14.4" customHeight="1" x14ac:dyDescent="0.3">
      <c r="A164" s="108" t="s">
        <v>38</v>
      </c>
      <c r="B164" s="108" t="s">
        <v>39</v>
      </c>
      <c r="C164" s="108" t="s">
        <v>40</v>
      </c>
      <c r="D164" s="108">
        <v>80</v>
      </c>
      <c r="E164" s="108" t="s">
        <v>41</v>
      </c>
      <c r="F164" s="71" t="s">
        <v>42</v>
      </c>
      <c r="G164" s="108">
        <v>5000</v>
      </c>
      <c r="H164" s="112">
        <v>46171</v>
      </c>
      <c r="I164" s="109">
        <v>270</v>
      </c>
    </row>
    <row r="165" spans="1:9" ht="14.4" customHeight="1" x14ac:dyDescent="0.3">
      <c r="A165" s="108" t="s">
        <v>38</v>
      </c>
      <c r="B165" s="108" t="s">
        <v>39</v>
      </c>
      <c r="C165" s="108" t="s">
        <v>40</v>
      </c>
      <c r="D165" s="108">
        <v>80</v>
      </c>
      <c r="E165" s="108" t="s">
        <v>41</v>
      </c>
      <c r="F165" s="71" t="s">
        <v>42</v>
      </c>
      <c r="G165" s="108">
        <v>5000</v>
      </c>
      <c r="H165" s="112">
        <v>46171</v>
      </c>
      <c r="I165" s="109">
        <v>270</v>
      </c>
    </row>
    <row r="166" spans="1:9" ht="14.4" customHeight="1" x14ac:dyDescent="0.3">
      <c r="A166" s="108" t="s">
        <v>38</v>
      </c>
      <c r="B166" s="108" t="s">
        <v>39</v>
      </c>
      <c r="C166" s="108" t="s">
        <v>40</v>
      </c>
      <c r="D166" s="108">
        <v>80</v>
      </c>
      <c r="E166" s="108" t="s">
        <v>41</v>
      </c>
      <c r="F166" s="71" t="s">
        <v>42</v>
      </c>
      <c r="G166" s="108">
        <v>5000</v>
      </c>
      <c r="H166" s="112">
        <v>46171</v>
      </c>
      <c r="I166" s="109">
        <v>270</v>
      </c>
    </row>
    <row r="167" spans="1:9" ht="14.4" customHeight="1" x14ac:dyDescent="0.3">
      <c r="A167" s="108" t="s">
        <v>38</v>
      </c>
      <c r="B167" s="108" t="s">
        <v>39</v>
      </c>
      <c r="C167" s="108" t="s">
        <v>40</v>
      </c>
      <c r="D167" s="108">
        <v>80</v>
      </c>
      <c r="E167" s="108" t="s">
        <v>41</v>
      </c>
      <c r="F167" s="71" t="s">
        <v>42</v>
      </c>
      <c r="G167" s="108">
        <v>5000</v>
      </c>
      <c r="H167" s="112">
        <v>46171</v>
      </c>
      <c r="I167" s="109">
        <v>270</v>
      </c>
    </row>
    <row r="168" spans="1:9" ht="14.4" customHeight="1" x14ac:dyDescent="0.3">
      <c r="A168" s="108" t="s">
        <v>38</v>
      </c>
      <c r="B168" s="108" t="s">
        <v>39</v>
      </c>
      <c r="C168" s="108" t="s">
        <v>40</v>
      </c>
      <c r="D168" s="108">
        <v>80</v>
      </c>
      <c r="E168" s="108" t="s">
        <v>41</v>
      </c>
      <c r="F168" s="71" t="s">
        <v>42</v>
      </c>
      <c r="G168" s="108">
        <v>5000</v>
      </c>
      <c r="H168" s="112">
        <v>46171</v>
      </c>
      <c r="I168" s="109">
        <v>270</v>
      </c>
    </row>
    <row r="169" spans="1:9" ht="14.4" customHeight="1" x14ac:dyDescent="0.3">
      <c r="A169" s="108" t="s">
        <v>38</v>
      </c>
      <c r="B169" s="108" t="s">
        <v>39</v>
      </c>
      <c r="C169" s="108" t="s">
        <v>40</v>
      </c>
      <c r="D169" s="108">
        <v>80</v>
      </c>
      <c r="E169" s="108" t="s">
        <v>41</v>
      </c>
      <c r="F169" s="71" t="s">
        <v>42</v>
      </c>
      <c r="G169" s="108">
        <v>5000</v>
      </c>
      <c r="H169" s="112">
        <v>46171</v>
      </c>
      <c r="I169" s="109">
        <v>270</v>
      </c>
    </row>
    <row r="170" spans="1:9" ht="14.4" customHeight="1" x14ac:dyDescent="0.3">
      <c r="A170" s="108" t="s">
        <v>38</v>
      </c>
      <c r="B170" s="108" t="s">
        <v>39</v>
      </c>
      <c r="C170" s="108" t="s">
        <v>40</v>
      </c>
      <c r="D170" s="108">
        <v>80</v>
      </c>
      <c r="E170" s="108" t="s">
        <v>41</v>
      </c>
      <c r="F170" s="71" t="s">
        <v>42</v>
      </c>
      <c r="G170" s="108">
        <v>5000</v>
      </c>
      <c r="H170" s="112">
        <v>46171</v>
      </c>
      <c r="I170" s="109">
        <v>270</v>
      </c>
    </row>
    <row r="171" spans="1:9" ht="14.4" customHeight="1" x14ac:dyDescent="0.3">
      <c r="A171" s="108" t="s">
        <v>38</v>
      </c>
      <c r="B171" s="108" t="s">
        <v>39</v>
      </c>
      <c r="C171" s="108" t="s">
        <v>40</v>
      </c>
      <c r="D171" s="108">
        <v>80</v>
      </c>
      <c r="E171" s="108" t="s">
        <v>41</v>
      </c>
      <c r="F171" s="71" t="s">
        <v>42</v>
      </c>
      <c r="G171" s="108">
        <v>5000</v>
      </c>
      <c r="H171" s="112">
        <v>46171</v>
      </c>
      <c r="I171" s="109">
        <v>270</v>
      </c>
    </row>
    <row r="172" spans="1:9" ht="14.4" customHeight="1" x14ac:dyDescent="0.3">
      <c r="A172" s="108" t="s">
        <v>38</v>
      </c>
      <c r="B172" s="108" t="s">
        <v>39</v>
      </c>
      <c r="C172" s="108" t="s">
        <v>40</v>
      </c>
      <c r="D172" s="108">
        <v>80</v>
      </c>
      <c r="E172" s="108" t="s">
        <v>41</v>
      </c>
      <c r="F172" s="71" t="s">
        <v>42</v>
      </c>
      <c r="G172" s="108">
        <v>5000</v>
      </c>
      <c r="H172" s="112">
        <v>46171</v>
      </c>
      <c r="I172" s="109">
        <v>263</v>
      </c>
    </row>
    <row r="173" spans="1:9" ht="14.4" customHeight="1" x14ac:dyDescent="0.3">
      <c r="A173" s="108" t="s">
        <v>38</v>
      </c>
      <c r="B173" s="108" t="s">
        <v>39</v>
      </c>
      <c r="C173" s="108" t="s">
        <v>40</v>
      </c>
      <c r="D173" s="108">
        <v>80</v>
      </c>
      <c r="E173" s="108" t="s">
        <v>41</v>
      </c>
      <c r="F173" s="71" t="s">
        <v>42</v>
      </c>
      <c r="G173" s="108">
        <v>5000</v>
      </c>
      <c r="H173" s="112">
        <v>46171</v>
      </c>
      <c r="I173" s="109">
        <v>220</v>
      </c>
    </row>
    <row r="174" spans="1:9" ht="14.4" customHeight="1" x14ac:dyDescent="0.3">
      <c r="A174" s="108" t="s">
        <v>38</v>
      </c>
      <c r="B174" s="108" t="s">
        <v>39</v>
      </c>
      <c r="C174" s="108" t="s">
        <v>40</v>
      </c>
      <c r="D174" s="108">
        <v>80</v>
      </c>
      <c r="E174" s="108" t="s">
        <v>41</v>
      </c>
      <c r="F174" s="71" t="s">
        <v>42</v>
      </c>
      <c r="G174" s="108">
        <v>5000</v>
      </c>
      <c r="H174" s="112">
        <v>46171</v>
      </c>
      <c r="I174" s="109">
        <v>270</v>
      </c>
    </row>
    <row r="175" spans="1:9" ht="14.4" customHeight="1" x14ac:dyDescent="0.3">
      <c r="A175" s="108" t="s">
        <v>38</v>
      </c>
      <c r="B175" s="108" t="s">
        <v>39</v>
      </c>
      <c r="C175" s="108" t="s">
        <v>40</v>
      </c>
      <c r="D175" s="108">
        <v>80</v>
      </c>
      <c r="E175" s="108" t="s">
        <v>41</v>
      </c>
      <c r="F175" s="71" t="s">
        <v>42</v>
      </c>
      <c r="G175" s="108">
        <v>5000</v>
      </c>
      <c r="H175" s="112">
        <v>46171</v>
      </c>
      <c r="I175" s="109">
        <v>270</v>
      </c>
    </row>
    <row r="176" spans="1:9" ht="14.4" customHeight="1" x14ac:dyDescent="0.3">
      <c r="A176" s="108" t="s">
        <v>38</v>
      </c>
      <c r="B176" s="108" t="s">
        <v>39</v>
      </c>
      <c r="C176" s="108" t="s">
        <v>40</v>
      </c>
      <c r="D176" s="108">
        <v>80</v>
      </c>
      <c r="E176" s="108" t="s">
        <v>41</v>
      </c>
      <c r="F176" s="71" t="s">
        <v>42</v>
      </c>
      <c r="G176" s="108">
        <v>5000</v>
      </c>
      <c r="H176" s="112">
        <v>46171</v>
      </c>
      <c r="I176" s="109">
        <v>246</v>
      </c>
    </row>
    <row r="177" spans="1:9" ht="14.4" customHeight="1" x14ac:dyDescent="0.3">
      <c r="A177" s="108" t="s">
        <v>38</v>
      </c>
      <c r="B177" s="108" t="s">
        <v>39</v>
      </c>
      <c r="C177" s="108" t="s">
        <v>40</v>
      </c>
      <c r="D177" s="108">
        <v>80</v>
      </c>
      <c r="E177" s="108" t="s">
        <v>41</v>
      </c>
      <c r="F177" s="71" t="s">
        <v>42</v>
      </c>
      <c r="G177" s="108">
        <v>5000</v>
      </c>
      <c r="H177" s="112">
        <v>46171</v>
      </c>
      <c r="I177" s="109">
        <v>246</v>
      </c>
    </row>
    <row r="178" spans="1:9" ht="14.4" customHeight="1" x14ac:dyDescent="0.3">
      <c r="A178" s="108" t="s">
        <v>38</v>
      </c>
      <c r="B178" s="108" t="s">
        <v>39</v>
      </c>
      <c r="C178" s="108" t="s">
        <v>40</v>
      </c>
      <c r="D178" s="108">
        <v>80</v>
      </c>
      <c r="E178" s="108" t="s">
        <v>41</v>
      </c>
      <c r="F178" s="71" t="s">
        <v>42</v>
      </c>
      <c r="G178" s="108">
        <v>5000</v>
      </c>
      <c r="H178" s="112">
        <v>46171</v>
      </c>
      <c r="I178" s="109">
        <v>270</v>
      </c>
    </row>
    <row r="179" spans="1:9" ht="14.4" hidden="1" customHeight="1" x14ac:dyDescent="0.3">
      <c r="A179" s="108" t="s">
        <v>38</v>
      </c>
      <c r="B179" s="108" t="s">
        <v>39</v>
      </c>
      <c r="C179" s="108" t="s">
        <v>40</v>
      </c>
      <c r="D179" s="108">
        <v>80</v>
      </c>
      <c r="E179" s="108" t="s">
        <v>41</v>
      </c>
      <c r="F179" s="71" t="s">
        <v>42</v>
      </c>
      <c r="G179" s="108">
        <v>5000</v>
      </c>
      <c r="H179" s="112">
        <v>46176</v>
      </c>
      <c r="I179" s="109">
        <v>270</v>
      </c>
    </row>
    <row r="180" spans="1:9" ht="14.4" hidden="1" customHeight="1" x14ac:dyDescent="0.3">
      <c r="A180" s="108" t="s">
        <v>38</v>
      </c>
      <c r="B180" s="108" t="s">
        <v>39</v>
      </c>
      <c r="C180" s="108" t="s">
        <v>40</v>
      </c>
      <c r="D180" s="108">
        <v>80</v>
      </c>
      <c r="E180" s="108" t="s">
        <v>41</v>
      </c>
      <c r="F180" s="71" t="s">
        <v>42</v>
      </c>
      <c r="G180" s="108">
        <v>5000</v>
      </c>
      <c r="H180" s="112">
        <v>46176</v>
      </c>
      <c r="I180" s="109">
        <v>264</v>
      </c>
    </row>
    <row r="181" spans="1:9" ht="14.4" hidden="1" customHeight="1" x14ac:dyDescent="0.3">
      <c r="A181" s="108" t="s">
        <v>38</v>
      </c>
      <c r="B181" s="108" t="s">
        <v>39</v>
      </c>
      <c r="C181" s="108" t="s">
        <v>40</v>
      </c>
      <c r="D181" s="108">
        <v>80</v>
      </c>
      <c r="E181" s="108" t="s">
        <v>41</v>
      </c>
      <c r="F181" s="71" t="s">
        <v>42</v>
      </c>
      <c r="G181" s="108">
        <v>5000</v>
      </c>
      <c r="H181" s="112">
        <v>46178</v>
      </c>
      <c r="I181" s="109">
        <v>270</v>
      </c>
    </row>
    <row r="182" spans="1:9" ht="14.4" hidden="1" customHeight="1" x14ac:dyDescent="0.3">
      <c r="A182" s="108" t="s">
        <v>38</v>
      </c>
      <c r="B182" s="108" t="s">
        <v>39</v>
      </c>
      <c r="C182" s="108" t="s">
        <v>40</v>
      </c>
      <c r="D182" s="108">
        <v>80</v>
      </c>
      <c r="E182" s="108" t="s">
        <v>41</v>
      </c>
      <c r="F182" s="71" t="s">
        <v>42</v>
      </c>
      <c r="G182" s="108">
        <v>5000</v>
      </c>
      <c r="H182" s="112">
        <v>46178</v>
      </c>
      <c r="I182" s="109">
        <v>270</v>
      </c>
    </row>
    <row r="183" spans="1:9" ht="14.4" hidden="1" customHeight="1" x14ac:dyDescent="0.3">
      <c r="A183" s="108" t="s">
        <v>38</v>
      </c>
      <c r="B183" s="108" t="s">
        <v>39</v>
      </c>
      <c r="C183" s="108" t="s">
        <v>40</v>
      </c>
      <c r="D183" s="108">
        <v>80</v>
      </c>
      <c r="E183" s="108" t="s">
        <v>41</v>
      </c>
      <c r="F183" s="71" t="s">
        <v>42</v>
      </c>
      <c r="G183" s="108">
        <v>5000</v>
      </c>
      <c r="H183" s="112">
        <v>46178</v>
      </c>
      <c r="I183" s="109">
        <v>270</v>
      </c>
    </row>
    <row r="184" spans="1:9" ht="14.4" hidden="1" customHeight="1" x14ac:dyDescent="0.3">
      <c r="A184" s="108" t="s">
        <v>38</v>
      </c>
      <c r="B184" s="108" t="s">
        <v>39</v>
      </c>
      <c r="C184" s="108" t="s">
        <v>40</v>
      </c>
      <c r="D184" s="108">
        <v>80</v>
      </c>
      <c r="E184" s="108" t="s">
        <v>41</v>
      </c>
      <c r="F184" s="71" t="s">
        <v>42</v>
      </c>
      <c r="G184" s="108">
        <v>5000</v>
      </c>
      <c r="H184" s="112">
        <v>46178</v>
      </c>
      <c r="I184" s="109">
        <v>270</v>
      </c>
    </row>
    <row r="185" spans="1:9" ht="14.4" hidden="1" customHeight="1" x14ac:dyDescent="0.3">
      <c r="A185" s="108" t="s">
        <v>38</v>
      </c>
      <c r="B185" s="108" t="s">
        <v>39</v>
      </c>
      <c r="C185" s="108" t="s">
        <v>40</v>
      </c>
      <c r="D185" s="108">
        <v>80</v>
      </c>
      <c r="E185" s="108" t="s">
        <v>41</v>
      </c>
      <c r="F185" s="71" t="s">
        <v>42</v>
      </c>
      <c r="G185" s="108">
        <v>5000</v>
      </c>
      <c r="H185" s="112">
        <v>46178</v>
      </c>
      <c r="I185" s="109">
        <v>270</v>
      </c>
    </row>
    <row r="186" spans="1:9" ht="14.4" hidden="1" customHeight="1" x14ac:dyDescent="0.3">
      <c r="A186" s="108" t="s">
        <v>38</v>
      </c>
      <c r="B186" s="108" t="s">
        <v>39</v>
      </c>
      <c r="C186" s="108" t="s">
        <v>40</v>
      </c>
      <c r="D186" s="108">
        <v>80</v>
      </c>
      <c r="E186" s="108" t="s">
        <v>41</v>
      </c>
      <c r="F186" s="71" t="s">
        <v>42</v>
      </c>
      <c r="G186" s="108">
        <v>5000</v>
      </c>
      <c r="H186" s="112">
        <v>46178</v>
      </c>
      <c r="I186" s="109">
        <v>270</v>
      </c>
    </row>
    <row r="187" spans="1:9" ht="14.4" hidden="1" customHeight="1" x14ac:dyDescent="0.3">
      <c r="A187" s="108" t="s">
        <v>38</v>
      </c>
      <c r="B187" s="108" t="s">
        <v>39</v>
      </c>
      <c r="C187" s="108" t="s">
        <v>40</v>
      </c>
      <c r="D187" s="108">
        <v>80</v>
      </c>
      <c r="E187" s="108" t="s">
        <v>41</v>
      </c>
      <c r="F187" s="71" t="s">
        <v>42</v>
      </c>
      <c r="G187" s="108">
        <v>5000</v>
      </c>
      <c r="H187" s="112">
        <v>46178</v>
      </c>
      <c r="I187" s="109">
        <v>270</v>
      </c>
    </row>
    <row r="188" spans="1:9" ht="14.4" hidden="1" customHeight="1" x14ac:dyDescent="0.3">
      <c r="A188" s="108" t="s">
        <v>38</v>
      </c>
      <c r="B188" s="108" t="s">
        <v>39</v>
      </c>
      <c r="C188" s="108" t="s">
        <v>40</v>
      </c>
      <c r="D188" s="108">
        <v>80</v>
      </c>
      <c r="E188" s="108" t="s">
        <v>41</v>
      </c>
      <c r="F188" s="71" t="s">
        <v>42</v>
      </c>
      <c r="G188" s="108">
        <v>5000</v>
      </c>
      <c r="H188" s="112">
        <v>46178</v>
      </c>
      <c r="I188" s="109">
        <v>270</v>
      </c>
    </row>
    <row r="189" spans="1:9" ht="14.4" hidden="1" customHeight="1" x14ac:dyDescent="0.3">
      <c r="A189" s="108" t="s">
        <v>38</v>
      </c>
      <c r="B189" s="108" t="s">
        <v>39</v>
      </c>
      <c r="C189" s="108" t="s">
        <v>40</v>
      </c>
      <c r="D189" s="108">
        <v>80</v>
      </c>
      <c r="E189" s="108" t="s">
        <v>41</v>
      </c>
      <c r="F189" s="71" t="s">
        <v>42</v>
      </c>
      <c r="G189" s="108">
        <v>5000</v>
      </c>
      <c r="H189" s="112">
        <v>46178</v>
      </c>
      <c r="I189" s="109">
        <v>270</v>
      </c>
    </row>
    <row r="190" spans="1:9" ht="14.4" hidden="1" customHeight="1" x14ac:dyDescent="0.3">
      <c r="A190" s="108" t="s">
        <v>38</v>
      </c>
      <c r="B190" s="108" t="s">
        <v>39</v>
      </c>
      <c r="C190" s="108" t="s">
        <v>40</v>
      </c>
      <c r="D190" s="108">
        <v>80</v>
      </c>
      <c r="E190" s="108" t="s">
        <v>41</v>
      </c>
      <c r="F190" s="71" t="s">
        <v>42</v>
      </c>
      <c r="G190" s="108">
        <v>5000</v>
      </c>
      <c r="H190" s="112">
        <v>46178</v>
      </c>
      <c r="I190" s="109">
        <v>270</v>
      </c>
    </row>
    <row r="191" spans="1:9" ht="14.4" hidden="1" customHeight="1" x14ac:dyDescent="0.3">
      <c r="A191" s="108" t="s">
        <v>38</v>
      </c>
      <c r="B191" s="108" t="s">
        <v>39</v>
      </c>
      <c r="C191" s="108" t="s">
        <v>40</v>
      </c>
      <c r="D191" s="108">
        <v>80</v>
      </c>
      <c r="E191" s="108" t="s">
        <v>41</v>
      </c>
      <c r="F191" s="71" t="s">
        <v>42</v>
      </c>
      <c r="G191" s="108">
        <v>5000</v>
      </c>
      <c r="H191" s="112">
        <v>46178</v>
      </c>
      <c r="I191" s="109">
        <v>270</v>
      </c>
    </row>
    <row r="192" spans="1:9" ht="14.4" hidden="1" customHeight="1" x14ac:dyDescent="0.3">
      <c r="A192" s="108" t="s">
        <v>38</v>
      </c>
      <c r="B192" s="108" t="s">
        <v>39</v>
      </c>
      <c r="C192" s="108" t="s">
        <v>40</v>
      </c>
      <c r="D192" s="108">
        <v>80</v>
      </c>
      <c r="E192" s="108" t="s">
        <v>41</v>
      </c>
      <c r="F192" s="71" t="s">
        <v>42</v>
      </c>
      <c r="G192" s="108">
        <v>5000</v>
      </c>
      <c r="H192" s="112">
        <v>46178</v>
      </c>
      <c r="I192" s="109">
        <v>270</v>
      </c>
    </row>
    <row r="193" spans="1:9" ht="14.4" hidden="1" customHeight="1" x14ac:dyDescent="0.3">
      <c r="A193" s="108" t="s">
        <v>38</v>
      </c>
      <c r="B193" s="108" t="s">
        <v>39</v>
      </c>
      <c r="C193" s="108" t="s">
        <v>40</v>
      </c>
      <c r="D193" s="108">
        <v>80</v>
      </c>
      <c r="E193" s="108" t="s">
        <v>41</v>
      </c>
      <c r="F193" s="71" t="s">
        <v>42</v>
      </c>
      <c r="G193" s="108">
        <v>5000</v>
      </c>
      <c r="H193" s="112">
        <v>46178</v>
      </c>
      <c r="I193" s="109">
        <v>270</v>
      </c>
    </row>
    <row r="194" spans="1:9" ht="14.4" hidden="1" customHeight="1" x14ac:dyDescent="0.3">
      <c r="A194" s="108" t="s">
        <v>38</v>
      </c>
      <c r="B194" s="108" t="s">
        <v>39</v>
      </c>
      <c r="C194" s="108" t="s">
        <v>40</v>
      </c>
      <c r="D194" s="108">
        <v>80</v>
      </c>
      <c r="E194" s="108" t="s">
        <v>41</v>
      </c>
      <c r="F194" s="71" t="s">
        <v>42</v>
      </c>
      <c r="G194" s="108">
        <v>5000</v>
      </c>
      <c r="H194" s="112">
        <v>46178</v>
      </c>
      <c r="I194" s="109">
        <v>270</v>
      </c>
    </row>
    <row r="195" spans="1:9" ht="14.4" hidden="1" customHeight="1" x14ac:dyDescent="0.3">
      <c r="A195" s="108" t="s">
        <v>38</v>
      </c>
      <c r="B195" s="108" t="s">
        <v>39</v>
      </c>
      <c r="C195" s="108" t="s">
        <v>40</v>
      </c>
      <c r="D195" s="108">
        <v>80</v>
      </c>
      <c r="E195" s="108" t="s">
        <v>41</v>
      </c>
      <c r="F195" s="71" t="s">
        <v>42</v>
      </c>
      <c r="G195" s="108">
        <v>5000</v>
      </c>
      <c r="H195" s="112">
        <v>46178</v>
      </c>
      <c r="I195" s="109">
        <v>270</v>
      </c>
    </row>
    <row r="196" spans="1:9" ht="14.4" hidden="1" customHeight="1" x14ac:dyDescent="0.3">
      <c r="A196" s="108" t="s">
        <v>38</v>
      </c>
      <c r="B196" s="108" t="s">
        <v>39</v>
      </c>
      <c r="C196" s="108" t="s">
        <v>40</v>
      </c>
      <c r="D196" s="108">
        <v>80</v>
      </c>
      <c r="E196" s="108" t="s">
        <v>41</v>
      </c>
      <c r="F196" s="71" t="s">
        <v>42</v>
      </c>
      <c r="G196" s="108">
        <v>5000</v>
      </c>
      <c r="H196" s="112">
        <v>46178</v>
      </c>
      <c r="I196" s="109">
        <v>270</v>
      </c>
    </row>
    <row r="197" spans="1:9" ht="14.4" hidden="1" customHeight="1" x14ac:dyDescent="0.3">
      <c r="A197" s="108" t="s">
        <v>38</v>
      </c>
      <c r="B197" s="108" t="s">
        <v>39</v>
      </c>
      <c r="C197" s="108" t="s">
        <v>40</v>
      </c>
      <c r="D197" s="108">
        <v>80</v>
      </c>
      <c r="E197" s="108" t="s">
        <v>41</v>
      </c>
      <c r="F197" s="71" t="s">
        <v>42</v>
      </c>
      <c r="G197" s="108">
        <v>5000</v>
      </c>
      <c r="H197" s="112">
        <v>46178</v>
      </c>
      <c r="I197" s="109">
        <v>270</v>
      </c>
    </row>
    <row r="198" spans="1:9" ht="14.4" hidden="1" customHeight="1" x14ac:dyDescent="0.3">
      <c r="A198" s="108" t="s">
        <v>38</v>
      </c>
      <c r="B198" s="108" t="s">
        <v>39</v>
      </c>
      <c r="C198" s="108" t="s">
        <v>40</v>
      </c>
      <c r="D198" s="108">
        <v>80</v>
      </c>
      <c r="E198" s="108" t="s">
        <v>41</v>
      </c>
      <c r="F198" s="71" t="s">
        <v>42</v>
      </c>
      <c r="G198" s="108">
        <v>5000</v>
      </c>
      <c r="H198" s="112">
        <v>46178</v>
      </c>
      <c r="I198" s="109">
        <v>270</v>
      </c>
    </row>
    <row r="199" spans="1:9" ht="14.4" hidden="1" customHeight="1" x14ac:dyDescent="0.3">
      <c r="A199" s="108" t="s">
        <v>38</v>
      </c>
      <c r="B199" s="108" t="s">
        <v>39</v>
      </c>
      <c r="C199" s="108" t="s">
        <v>40</v>
      </c>
      <c r="D199" s="108">
        <v>80</v>
      </c>
      <c r="E199" s="108" t="s">
        <v>41</v>
      </c>
      <c r="F199" s="71" t="s">
        <v>42</v>
      </c>
      <c r="G199" s="108">
        <v>5000</v>
      </c>
      <c r="H199" s="112">
        <v>46178</v>
      </c>
      <c r="I199" s="109">
        <v>270</v>
      </c>
    </row>
    <row r="200" spans="1:9" ht="14.4" hidden="1" customHeight="1" x14ac:dyDescent="0.3">
      <c r="A200" s="108" t="s">
        <v>38</v>
      </c>
      <c r="B200" s="108" t="s">
        <v>39</v>
      </c>
      <c r="C200" s="108" t="s">
        <v>40</v>
      </c>
      <c r="D200" s="108">
        <v>80</v>
      </c>
      <c r="E200" s="108" t="s">
        <v>41</v>
      </c>
      <c r="F200" s="71" t="s">
        <v>42</v>
      </c>
      <c r="G200" s="108">
        <v>5000</v>
      </c>
      <c r="H200" s="112">
        <v>46178</v>
      </c>
      <c r="I200" s="109">
        <v>270</v>
      </c>
    </row>
    <row r="201" spans="1:9" ht="14.4" hidden="1" customHeight="1" x14ac:dyDescent="0.3">
      <c r="A201" s="108" t="s">
        <v>38</v>
      </c>
      <c r="B201" s="108" t="s">
        <v>39</v>
      </c>
      <c r="C201" s="108" t="s">
        <v>40</v>
      </c>
      <c r="D201" s="108">
        <v>80</v>
      </c>
      <c r="E201" s="108" t="s">
        <v>41</v>
      </c>
      <c r="F201" s="71" t="s">
        <v>42</v>
      </c>
      <c r="G201" s="108">
        <v>5000</v>
      </c>
      <c r="H201" s="112">
        <v>46178</v>
      </c>
      <c r="I201" s="109">
        <v>270</v>
      </c>
    </row>
    <row r="202" spans="1:9" ht="14.4" hidden="1" customHeight="1" x14ac:dyDescent="0.3">
      <c r="A202" s="108" t="s">
        <v>38</v>
      </c>
      <c r="B202" s="108" t="s">
        <v>39</v>
      </c>
      <c r="C202" s="108" t="s">
        <v>40</v>
      </c>
      <c r="D202" s="108">
        <v>80</v>
      </c>
      <c r="E202" s="108" t="s">
        <v>41</v>
      </c>
      <c r="F202" s="71" t="s">
        <v>42</v>
      </c>
      <c r="G202" s="108">
        <v>5000</v>
      </c>
      <c r="H202" s="112">
        <v>46178</v>
      </c>
      <c r="I202" s="109">
        <v>270</v>
      </c>
    </row>
    <row r="203" spans="1:9" ht="14.4" hidden="1" customHeight="1" x14ac:dyDescent="0.3">
      <c r="A203" s="108" t="s">
        <v>38</v>
      </c>
      <c r="B203" s="108" t="s">
        <v>39</v>
      </c>
      <c r="C203" s="108" t="s">
        <v>40</v>
      </c>
      <c r="D203" s="108">
        <v>80</v>
      </c>
      <c r="E203" s="108" t="s">
        <v>41</v>
      </c>
      <c r="F203" s="71" t="s">
        <v>42</v>
      </c>
      <c r="G203" s="108">
        <v>5000</v>
      </c>
      <c r="H203" s="112">
        <v>46178</v>
      </c>
      <c r="I203" s="109">
        <v>270</v>
      </c>
    </row>
    <row r="204" spans="1:9" ht="14.4" hidden="1" customHeight="1" x14ac:dyDescent="0.3">
      <c r="A204" s="108" t="s">
        <v>38</v>
      </c>
      <c r="B204" s="108" t="s">
        <v>39</v>
      </c>
      <c r="C204" s="108" t="s">
        <v>40</v>
      </c>
      <c r="D204" s="108">
        <v>80</v>
      </c>
      <c r="E204" s="108" t="s">
        <v>41</v>
      </c>
      <c r="F204" s="71" t="s">
        <v>42</v>
      </c>
      <c r="G204" s="108">
        <v>5000</v>
      </c>
      <c r="H204" s="112">
        <v>46178</v>
      </c>
      <c r="I204" s="109">
        <v>270</v>
      </c>
    </row>
    <row r="205" spans="1:9" ht="14.4" hidden="1" customHeight="1" x14ac:dyDescent="0.3">
      <c r="A205" s="108" t="s">
        <v>38</v>
      </c>
      <c r="B205" s="108" t="s">
        <v>39</v>
      </c>
      <c r="C205" s="108" t="s">
        <v>40</v>
      </c>
      <c r="D205" s="108">
        <v>80</v>
      </c>
      <c r="E205" s="108" t="s">
        <v>41</v>
      </c>
      <c r="F205" s="71" t="s">
        <v>42</v>
      </c>
      <c r="G205" s="108">
        <v>5000</v>
      </c>
      <c r="H205" s="112">
        <v>46178</v>
      </c>
      <c r="I205" s="109">
        <v>270</v>
      </c>
    </row>
    <row r="206" spans="1:9" ht="14.4" hidden="1" customHeight="1" x14ac:dyDescent="0.3">
      <c r="A206" s="108" t="s">
        <v>38</v>
      </c>
      <c r="B206" s="108" t="s">
        <v>39</v>
      </c>
      <c r="C206" s="108" t="s">
        <v>40</v>
      </c>
      <c r="D206" s="108">
        <v>80</v>
      </c>
      <c r="E206" s="108" t="s">
        <v>41</v>
      </c>
      <c r="F206" s="71" t="s">
        <v>42</v>
      </c>
      <c r="G206" s="108">
        <v>5000</v>
      </c>
      <c r="H206" s="112">
        <v>46178</v>
      </c>
      <c r="I206" s="109">
        <v>270</v>
      </c>
    </row>
    <row r="207" spans="1:9" ht="14.4" hidden="1" customHeight="1" x14ac:dyDescent="0.3">
      <c r="A207" s="108" t="s">
        <v>38</v>
      </c>
      <c r="B207" s="108" t="s">
        <v>39</v>
      </c>
      <c r="C207" s="108" t="s">
        <v>40</v>
      </c>
      <c r="D207" s="108">
        <v>80</v>
      </c>
      <c r="E207" s="108" t="s">
        <v>41</v>
      </c>
      <c r="F207" s="71" t="s">
        <v>42</v>
      </c>
      <c r="G207" s="108">
        <v>5000</v>
      </c>
      <c r="H207" s="112">
        <v>46178</v>
      </c>
      <c r="I207" s="109">
        <v>270</v>
      </c>
    </row>
    <row r="208" spans="1:9" ht="14.4" hidden="1" customHeight="1" x14ac:dyDescent="0.3">
      <c r="A208" s="108" t="s">
        <v>38</v>
      </c>
      <c r="B208" s="108" t="s">
        <v>39</v>
      </c>
      <c r="C208" s="108" t="s">
        <v>40</v>
      </c>
      <c r="D208" s="108">
        <v>80</v>
      </c>
      <c r="E208" s="108" t="s">
        <v>41</v>
      </c>
      <c r="F208" s="71" t="s">
        <v>42</v>
      </c>
      <c r="G208" s="108">
        <v>5000</v>
      </c>
      <c r="H208" s="112">
        <v>46178</v>
      </c>
      <c r="I208" s="109">
        <v>270</v>
      </c>
    </row>
    <row r="209" spans="1:9" ht="14.4" hidden="1" customHeight="1" x14ac:dyDescent="0.3">
      <c r="A209" s="108" t="s">
        <v>38</v>
      </c>
      <c r="B209" s="108" t="s">
        <v>39</v>
      </c>
      <c r="C209" s="108" t="s">
        <v>40</v>
      </c>
      <c r="D209" s="108">
        <v>80</v>
      </c>
      <c r="E209" s="108" t="s">
        <v>41</v>
      </c>
      <c r="F209" s="71" t="s">
        <v>42</v>
      </c>
      <c r="G209" s="108">
        <v>5000</v>
      </c>
      <c r="H209" s="112">
        <v>46178</v>
      </c>
      <c r="I209" s="109">
        <v>270</v>
      </c>
    </row>
    <row r="210" spans="1:9" ht="14.4" hidden="1" customHeight="1" x14ac:dyDescent="0.3">
      <c r="A210" s="108" t="s">
        <v>38</v>
      </c>
      <c r="B210" s="108" t="s">
        <v>39</v>
      </c>
      <c r="C210" s="108" t="s">
        <v>40</v>
      </c>
      <c r="D210" s="108">
        <v>80</v>
      </c>
      <c r="E210" s="108" t="s">
        <v>41</v>
      </c>
      <c r="F210" s="71" t="s">
        <v>42</v>
      </c>
      <c r="G210" s="108">
        <v>5000</v>
      </c>
      <c r="H210" s="112">
        <v>46178</v>
      </c>
      <c r="I210" s="109">
        <v>270</v>
      </c>
    </row>
    <row r="211" spans="1:9" ht="14.4" hidden="1" customHeight="1" x14ac:dyDescent="0.3">
      <c r="A211" s="108" t="s">
        <v>38</v>
      </c>
      <c r="B211" s="108" t="s">
        <v>39</v>
      </c>
      <c r="C211" s="108" t="s">
        <v>40</v>
      </c>
      <c r="D211" s="108">
        <v>80</v>
      </c>
      <c r="E211" s="108" t="s">
        <v>41</v>
      </c>
      <c r="F211" s="71" t="s">
        <v>42</v>
      </c>
      <c r="G211" s="108">
        <v>5000</v>
      </c>
      <c r="H211" s="112">
        <v>46178</v>
      </c>
      <c r="I211" s="109">
        <v>270</v>
      </c>
    </row>
    <row r="212" spans="1:9" ht="14.4" hidden="1" customHeight="1" x14ac:dyDescent="0.3">
      <c r="A212" s="108" t="s">
        <v>38</v>
      </c>
      <c r="B212" s="108" t="s">
        <v>39</v>
      </c>
      <c r="C212" s="108" t="s">
        <v>40</v>
      </c>
      <c r="D212" s="108">
        <v>80</v>
      </c>
      <c r="E212" s="108" t="s">
        <v>41</v>
      </c>
      <c r="F212" s="71" t="s">
        <v>42</v>
      </c>
      <c r="G212" s="108">
        <v>5000</v>
      </c>
      <c r="H212" s="112">
        <v>46178</v>
      </c>
      <c r="I212" s="109">
        <v>270</v>
      </c>
    </row>
    <row r="213" spans="1:9" ht="14.4" hidden="1" customHeight="1" x14ac:dyDescent="0.3">
      <c r="A213" s="108" t="s">
        <v>38</v>
      </c>
      <c r="B213" s="108" t="s">
        <v>39</v>
      </c>
      <c r="C213" s="108" t="s">
        <v>40</v>
      </c>
      <c r="D213" s="108">
        <v>80</v>
      </c>
      <c r="E213" s="108" t="s">
        <v>41</v>
      </c>
      <c r="F213" s="71" t="s">
        <v>42</v>
      </c>
      <c r="G213" s="108">
        <v>5000</v>
      </c>
      <c r="H213" s="112">
        <v>46178</v>
      </c>
      <c r="I213" s="109">
        <v>270</v>
      </c>
    </row>
    <row r="214" spans="1:9" ht="14.4" hidden="1" customHeight="1" x14ac:dyDescent="0.3">
      <c r="A214" s="108" t="s">
        <v>38</v>
      </c>
      <c r="B214" s="108" t="s">
        <v>39</v>
      </c>
      <c r="C214" s="108" t="s">
        <v>40</v>
      </c>
      <c r="D214" s="108">
        <v>80</v>
      </c>
      <c r="E214" s="108" t="s">
        <v>41</v>
      </c>
      <c r="F214" s="71" t="s">
        <v>42</v>
      </c>
      <c r="G214" s="108">
        <v>5000</v>
      </c>
      <c r="H214" s="112">
        <v>46178</v>
      </c>
      <c r="I214" s="109">
        <v>270</v>
      </c>
    </row>
    <row r="215" spans="1:9" ht="14.4" hidden="1" customHeight="1" x14ac:dyDescent="0.3">
      <c r="A215" s="108" t="s">
        <v>38</v>
      </c>
      <c r="B215" s="108" t="s">
        <v>39</v>
      </c>
      <c r="C215" s="108" t="s">
        <v>40</v>
      </c>
      <c r="D215" s="108">
        <v>80</v>
      </c>
      <c r="E215" s="108" t="s">
        <v>41</v>
      </c>
      <c r="F215" s="71" t="s">
        <v>42</v>
      </c>
      <c r="G215" s="108">
        <v>5000</v>
      </c>
      <c r="H215" s="112">
        <v>46178</v>
      </c>
      <c r="I215" s="109">
        <v>270</v>
      </c>
    </row>
    <row r="216" spans="1:9" ht="14.4" hidden="1" customHeight="1" x14ac:dyDescent="0.3">
      <c r="A216" s="108" t="s">
        <v>38</v>
      </c>
      <c r="B216" s="108" t="s">
        <v>39</v>
      </c>
      <c r="C216" s="108" t="s">
        <v>40</v>
      </c>
      <c r="D216" s="108">
        <v>80</v>
      </c>
      <c r="E216" s="108" t="s">
        <v>41</v>
      </c>
      <c r="F216" s="71" t="s">
        <v>42</v>
      </c>
      <c r="G216" s="108">
        <v>5000</v>
      </c>
      <c r="H216" s="112">
        <v>46178</v>
      </c>
      <c r="I216" s="109">
        <v>270</v>
      </c>
    </row>
    <row r="217" spans="1:9" ht="14.4" hidden="1" customHeight="1" x14ac:dyDescent="0.3">
      <c r="A217" s="108" t="s">
        <v>38</v>
      </c>
      <c r="B217" s="108" t="s">
        <v>39</v>
      </c>
      <c r="C217" s="108" t="s">
        <v>40</v>
      </c>
      <c r="D217" s="108">
        <v>80</v>
      </c>
      <c r="E217" s="108" t="s">
        <v>41</v>
      </c>
      <c r="F217" s="71" t="s">
        <v>42</v>
      </c>
      <c r="G217" s="108">
        <v>5000</v>
      </c>
      <c r="H217" s="112">
        <v>46178</v>
      </c>
      <c r="I217" s="109">
        <v>270</v>
      </c>
    </row>
    <row r="218" spans="1:9" ht="14.4" hidden="1" customHeight="1" x14ac:dyDescent="0.3">
      <c r="A218" s="108" t="s">
        <v>38</v>
      </c>
      <c r="B218" s="108" t="s">
        <v>39</v>
      </c>
      <c r="C218" s="108" t="s">
        <v>40</v>
      </c>
      <c r="D218" s="108">
        <v>80</v>
      </c>
      <c r="E218" s="108" t="s">
        <v>41</v>
      </c>
      <c r="F218" s="71" t="s">
        <v>42</v>
      </c>
      <c r="G218" s="108">
        <v>5000</v>
      </c>
      <c r="H218" s="112">
        <v>46183</v>
      </c>
      <c r="I218" s="109">
        <v>270</v>
      </c>
    </row>
    <row r="219" spans="1:9" ht="14.4" hidden="1" customHeight="1" x14ac:dyDescent="0.3">
      <c r="A219" s="108" t="s">
        <v>38</v>
      </c>
      <c r="B219" s="108" t="s">
        <v>39</v>
      </c>
      <c r="C219" s="108" t="s">
        <v>40</v>
      </c>
      <c r="D219" s="108">
        <v>80</v>
      </c>
      <c r="E219" s="108" t="s">
        <v>41</v>
      </c>
      <c r="F219" s="71" t="s">
        <v>42</v>
      </c>
      <c r="G219" s="108">
        <v>5000</v>
      </c>
      <c r="H219" s="112">
        <v>46183</v>
      </c>
      <c r="I219" s="109">
        <v>270</v>
      </c>
    </row>
    <row r="220" spans="1:9" ht="14.4" hidden="1" customHeight="1" x14ac:dyDescent="0.3">
      <c r="A220" s="108" t="s">
        <v>38</v>
      </c>
      <c r="B220" s="108" t="s">
        <v>39</v>
      </c>
      <c r="C220" s="108" t="s">
        <v>40</v>
      </c>
      <c r="D220" s="108">
        <v>80</v>
      </c>
      <c r="E220" s="108" t="s">
        <v>41</v>
      </c>
      <c r="F220" s="71" t="s">
        <v>42</v>
      </c>
      <c r="G220" s="108">
        <v>5000</v>
      </c>
      <c r="H220" s="112">
        <v>46183</v>
      </c>
      <c r="I220" s="109">
        <v>270</v>
      </c>
    </row>
    <row r="221" spans="1:9" ht="14.4" hidden="1" customHeight="1" x14ac:dyDescent="0.3">
      <c r="A221" s="108" t="s">
        <v>38</v>
      </c>
      <c r="B221" s="108" t="s">
        <v>39</v>
      </c>
      <c r="C221" s="108" t="s">
        <v>40</v>
      </c>
      <c r="D221" s="108">
        <v>80</v>
      </c>
      <c r="E221" s="108" t="s">
        <v>41</v>
      </c>
      <c r="F221" s="71" t="s">
        <v>42</v>
      </c>
      <c r="G221" s="108">
        <v>5000</v>
      </c>
      <c r="H221" s="112">
        <v>46183</v>
      </c>
      <c r="I221" s="109">
        <v>270</v>
      </c>
    </row>
    <row r="222" spans="1:9" ht="14.4" hidden="1" customHeight="1" x14ac:dyDescent="0.3">
      <c r="A222" s="108" t="s">
        <v>38</v>
      </c>
      <c r="B222" s="108" t="s">
        <v>39</v>
      </c>
      <c r="C222" s="108" t="s">
        <v>40</v>
      </c>
      <c r="D222" s="108">
        <v>80</v>
      </c>
      <c r="E222" s="108" t="s">
        <v>41</v>
      </c>
      <c r="F222" s="71" t="s">
        <v>42</v>
      </c>
      <c r="G222" s="108">
        <v>5000</v>
      </c>
      <c r="H222" s="112">
        <v>46186</v>
      </c>
      <c r="I222" s="109">
        <v>270</v>
      </c>
    </row>
    <row r="223" spans="1:9" ht="14.4" hidden="1" customHeight="1" x14ac:dyDescent="0.3">
      <c r="A223" s="108" t="s">
        <v>38</v>
      </c>
      <c r="B223" s="108" t="s">
        <v>39</v>
      </c>
      <c r="C223" s="108" t="s">
        <v>40</v>
      </c>
      <c r="D223" s="108">
        <v>80</v>
      </c>
      <c r="E223" s="108" t="s">
        <v>41</v>
      </c>
      <c r="F223" s="71" t="s">
        <v>42</v>
      </c>
      <c r="G223" s="108">
        <v>5000</v>
      </c>
      <c r="H223" s="112">
        <v>46186</v>
      </c>
      <c r="I223" s="109">
        <v>270</v>
      </c>
    </row>
    <row r="224" spans="1:9" ht="14.4" hidden="1" customHeight="1" x14ac:dyDescent="0.3">
      <c r="A224" s="108" t="s">
        <v>38</v>
      </c>
      <c r="B224" s="108" t="s">
        <v>39</v>
      </c>
      <c r="C224" s="108" t="s">
        <v>40</v>
      </c>
      <c r="D224" s="108">
        <v>80</v>
      </c>
      <c r="E224" s="108" t="s">
        <v>41</v>
      </c>
      <c r="F224" s="71" t="s">
        <v>42</v>
      </c>
      <c r="G224" s="108">
        <v>5000</v>
      </c>
      <c r="H224" s="112">
        <v>46186</v>
      </c>
      <c r="I224" s="109">
        <v>270</v>
      </c>
    </row>
    <row r="225" spans="1:9" ht="14.4" hidden="1" customHeight="1" x14ac:dyDescent="0.3">
      <c r="A225" s="108" t="s">
        <v>38</v>
      </c>
      <c r="B225" s="108" t="s">
        <v>39</v>
      </c>
      <c r="C225" s="108" t="s">
        <v>40</v>
      </c>
      <c r="D225" s="108">
        <v>80</v>
      </c>
      <c r="E225" s="108" t="s">
        <v>41</v>
      </c>
      <c r="F225" s="71" t="s">
        <v>42</v>
      </c>
      <c r="G225" s="108">
        <v>5000</v>
      </c>
      <c r="H225" s="112">
        <v>46186</v>
      </c>
      <c r="I225" s="109">
        <v>270</v>
      </c>
    </row>
    <row r="226" spans="1:9" ht="14.4" hidden="1" customHeight="1" x14ac:dyDescent="0.3">
      <c r="A226" s="108" t="s">
        <v>38</v>
      </c>
      <c r="B226" s="108" t="s">
        <v>39</v>
      </c>
      <c r="C226" s="108" t="s">
        <v>40</v>
      </c>
      <c r="D226" s="108">
        <v>80</v>
      </c>
      <c r="E226" s="108" t="s">
        <v>41</v>
      </c>
      <c r="F226" s="71" t="s">
        <v>42</v>
      </c>
      <c r="G226" s="108">
        <v>5000</v>
      </c>
      <c r="H226" s="112">
        <v>46186</v>
      </c>
      <c r="I226" s="109">
        <v>270</v>
      </c>
    </row>
    <row r="227" spans="1:9" ht="14.4" hidden="1" customHeight="1" x14ac:dyDescent="0.3">
      <c r="A227" s="108" t="s">
        <v>38</v>
      </c>
      <c r="B227" s="108" t="s">
        <v>39</v>
      </c>
      <c r="C227" s="108" t="s">
        <v>40</v>
      </c>
      <c r="D227" s="108">
        <v>80</v>
      </c>
      <c r="E227" s="108" t="s">
        <v>41</v>
      </c>
      <c r="F227" s="71" t="s">
        <v>42</v>
      </c>
      <c r="G227" s="108">
        <v>5000</v>
      </c>
      <c r="H227" s="112">
        <v>46186</v>
      </c>
      <c r="I227" s="109">
        <v>270</v>
      </c>
    </row>
    <row r="228" spans="1:9" ht="14.4" hidden="1" customHeight="1" x14ac:dyDescent="0.3">
      <c r="A228" s="108" t="s">
        <v>38</v>
      </c>
      <c r="B228" s="108" t="s">
        <v>39</v>
      </c>
      <c r="C228" s="108" t="s">
        <v>40</v>
      </c>
      <c r="D228" s="108">
        <v>80</v>
      </c>
      <c r="E228" s="108" t="s">
        <v>41</v>
      </c>
      <c r="F228" s="71" t="s">
        <v>42</v>
      </c>
      <c r="G228" s="108">
        <v>5000</v>
      </c>
      <c r="H228" s="112">
        <v>46186</v>
      </c>
      <c r="I228" s="109">
        <v>270</v>
      </c>
    </row>
    <row r="229" spans="1:9" ht="14.4" hidden="1" customHeight="1" x14ac:dyDescent="0.3">
      <c r="A229" s="108" t="s">
        <v>38</v>
      </c>
      <c r="B229" s="108" t="s">
        <v>39</v>
      </c>
      <c r="C229" s="108" t="s">
        <v>40</v>
      </c>
      <c r="D229" s="108">
        <v>80</v>
      </c>
      <c r="E229" s="108" t="s">
        <v>41</v>
      </c>
      <c r="F229" s="71" t="s">
        <v>42</v>
      </c>
      <c r="G229" s="108">
        <v>5000</v>
      </c>
      <c r="H229" s="112">
        <v>46186</v>
      </c>
      <c r="I229" s="109">
        <v>270</v>
      </c>
    </row>
    <row r="230" spans="1:9" ht="14.4" hidden="1" customHeight="1" x14ac:dyDescent="0.3">
      <c r="A230" s="108" t="s">
        <v>38</v>
      </c>
      <c r="B230" s="108" t="s">
        <v>39</v>
      </c>
      <c r="C230" s="108" t="s">
        <v>40</v>
      </c>
      <c r="D230" s="108">
        <v>80</v>
      </c>
      <c r="E230" s="108" t="s">
        <v>41</v>
      </c>
      <c r="F230" s="71" t="s">
        <v>42</v>
      </c>
      <c r="G230" s="108">
        <v>5000</v>
      </c>
      <c r="H230" s="112">
        <v>46190</v>
      </c>
      <c r="I230" s="109">
        <v>270</v>
      </c>
    </row>
    <row r="231" spans="1:9" ht="14.4" hidden="1" customHeight="1" x14ac:dyDescent="0.3">
      <c r="A231" s="108" t="s">
        <v>38</v>
      </c>
      <c r="B231" s="108" t="s">
        <v>39</v>
      </c>
      <c r="C231" s="108" t="s">
        <v>40</v>
      </c>
      <c r="D231" s="108">
        <v>80</v>
      </c>
      <c r="E231" s="108" t="s">
        <v>41</v>
      </c>
      <c r="F231" s="71" t="s">
        <v>42</v>
      </c>
      <c r="G231" s="108">
        <v>5000</v>
      </c>
      <c r="H231" s="112">
        <v>46190</v>
      </c>
      <c r="I231" s="109">
        <v>270</v>
      </c>
    </row>
    <row r="232" spans="1:9" ht="14.4" hidden="1" customHeight="1" x14ac:dyDescent="0.3">
      <c r="A232" s="108" t="s">
        <v>38</v>
      </c>
      <c r="B232" s="108" t="s">
        <v>39</v>
      </c>
      <c r="C232" s="108" t="s">
        <v>40</v>
      </c>
      <c r="D232" s="108">
        <v>80</v>
      </c>
      <c r="E232" s="108" t="s">
        <v>41</v>
      </c>
      <c r="F232" s="71" t="s">
        <v>42</v>
      </c>
      <c r="G232" s="108">
        <v>5000</v>
      </c>
      <c r="H232" s="112">
        <v>46190</v>
      </c>
      <c r="I232" s="109">
        <v>270</v>
      </c>
    </row>
    <row r="233" spans="1:9" ht="14.4" hidden="1" customHeight="1" x14ac:dyDescent="0.3">
      <c r="A233" s="108" t="s">
        <v>38</v>
      </c>
      <c r="B233" s="108" t="s">
        <v>39</v>
      </c>
      <c r="C233" s="108" t="s">
        <v>40</v>
      </c>
      <c r="D233" s="108">
        <v>80</v>
      </c>
      <c r="E233" s="108" t="s">
        <v>41</v>
      </c>
      <c r="F233" s="71" t="s">
        <v>42</v>
      </c>
      <c r="G233" s="108">
        <v>5000</v>
      </c>
      <c r="H233" s="112">
        <v>46190</v>
      </c>
      <c r="I233" s="109">
        <v>270</v>
      </c>
    </row>
    <row r="234" spans="1:9" ht="14.4" hidden="1" customHeight="1" x14ac:dyDescent="0.3">
      <c r="A234" s="108" t="s">
        <v>38</v>
      </c>
      <c r="B234" s="108" t="s">
        <v>39</v>
      </c>
      <c r="C234" s="108" t="s">
        <v>40</v>
      </c>
      <c r="D234" s="108">
        <v>80</v>
      </c>
      <c r="E234" s="108" t="s">
        <v>41</v>
      </c>
      <c r="F234" s="71" t="s">
        <v>42</v>
      </c>
      <c r="G234" s="108">
        <v>5000</v>
      </c>
      <c r="H234" s="112">
        <v>46190</v>
      </c>
      <c r="I234" s="109">
        <v>270</v>
      </c>
    </row>
    <row r="235" spans="1:9" ht="14.4" hidden="1" customHeight="1" x14ac:dyDescent="0.3">
      <c r="A235" s="108" t="s">
        <v>38</v>
      </c>
      <c r="B235" s="108" t="s">
        <v>39</v>
      </c>
      <c r="C235" s="108" t="s">
        <v>40</v>
      </c>
      <c r="D235" s="108">
        <v>80</v>
      </c>
      <c r="E235" s="108" t="s">
        <v>41</v>
      </c>
      <c r="F235" s="71" t="s">
        <v>42</v>
      </c>
      <c r="G235" s="108">
        <v>5000</v>
      </c>
      <c r="H235" s="112">
        <v>46190</v>
      </c>
      <c r="I235" s="109">
        <v>270</v>
      </c>
    </row>
    <row r="236" spans="1:9" ht="14.4" hidden="1" customHeight="1" x14ac:dyDescent="0.3">
      <c r="A236" s="108" t="s">
        <v>38</v>
      </c>
      <c r="B236" s="108" t="s">
        <v>39</v>
      </c>
      <c r="C236" s="108" t="s">
        <v>40</v>
      </c>
      <c r="D236" s="108">
        <v>80</v>
      </c>
      <c r="E236" s="108" t="s">
        <v>41</v>
      </c>
      <c r="F236" s="71" t="s">
        <v>42</v>
      </c>
      <c r="G236" s="108">
        <v>5000</v>
      </c>
      <c r="H236" s="112">
        <v>46190</v>
      </c>
      <c r="I236" s="109">
        <v>270</v>
      </c>
    </row>
    <row r="237" spans="1:9" ht="14.4" hidden="1" customHeight="1" x14ac:dyDescent="0.3">
      <c r="A237" s="108" t="s">
        <v>38</v>
      </c>
      <c r="B237" s="108" t="s">
        <v>39</v>
      </c>
      <c r="C237" s="108" t="s">
        <v>40</v>
      </c>
      <c r="D237" s="108">
        <v>80</v>
      </c>
      <c r="E237" s="108" t="s">
        <v>41</v>
      </c>
      <c r="F237" s="71" t="s">
        <v>42</v>
      </c>
      <c r="G237" s="108">
        <v>5000</v>
      </c>
      <c r="H237" s="112">
        <v>46190</v>
      </c>
      <c r="I237" s="109">
        <v>270</v>
      </c>
    </row>
    <row r="238" spans="1:9" ht="14.4" hidden="1" customHeight="1" x14ac:dyDescent="0.3">
      <c r="A238" s="108" t="s">
        <v>38</v>
      </c>
      <c r="B238" s="108" t="s">
        <v>39</v>
      </c>
      <c r="C238" s="108" t="s">
        <v>40</v>
      </c>
      <c r="D238" s="108">
        <v>80</v>
      </c>
      <c r="E238" s="108" t="s">
        <v>41</v>
      </c>
      <c r="F238" s="71" t="s">
        <v>42</v>
      </c>
      <c r="G238" s="108">
        <v>5000</v>
      </c>
      <c r="H238" s="112">
        <v>46190</v>
      </c>
      <c r="I238" s="109">
        <v>270</v>
      </c>
    </row>
    <row r="239" spans="1:9" ht="14.4" hidden="1" customHeight="1" x14ac:dyDescent="0.3">
      <c r="A239" s="108" t="s">
        <v>38</v>
      </c>
      <c r="B239" s="108" t="s">
        <v>39</v>
      </c>
      <c r="C239" s="108" t="s">
        <v>40</v>
      </c>
      <c r="D239" s="108">
        <v>80</v>
      </c>
      <c r="E239" s="108" t="s">
        <v>41</v>
      </c>
      <c r="F239" s="71" t="s">
        <v>42</v>
      </c>
      <c r="G239" s="108">
        <v>5000</v>
      </c>
      <c r="H239" s="112">
        <v>46190</v>
      </c>
      <c r="I239" s="109">
        <v>270</v>
      </c>
    </row>
    <row r="240" spans="1:9" ht="14.4" hidden="1" customHeight="1" x14ac:dyDescent="0.3">
      <c r="A240" s="108" t="s">
        <v>38</v>
      </c>
      <c r="B240" s="108" t="s">
        <v>39</v>
      </c>
      <c r="C240" s="108" t="s">
        <v>40</v>
      </c>
      <c r="D240" s="108">
        <v>80</v>
      </c>
      <c r="E240" s="108" t="s">
        <v>41</v>
      </c>
      <c r="F240" s="71" t="s">
        <v>42</v>
      </c>
      <c r="G240" s="108">
        <v>5000</v>
      </c>
      <c r="H240" s="112">
        <v>46192</v>
      </c>
      <c r="I240" s="109">
        <v>3202</v>
      </c>
    </row>
    <row r="241" spans="1:9" ht="14.4" hidden="1" customHeight="1" x14ac:dyDescent="0.3">
      <c r="A241" s="108" t="s">
        <v>38</v>
      </c>
      <c r="B241" s="108" t="s">
        <v>39</v>
      </c>
      <c r="C241" s="108" t="s">
        <v>40</v>
      </c>
      <c r="D241" s="108">
        <v>80</v>
      </c>
      <c r="E241" s="108" t="s">
        <v>41</v>
      </c>
      <c r="F241" s="71" t="s">
        <v>42</v>
      </c>
      <c r="G241" s="108">
        <v>5000</v>
      </c>
      <c r="H241" s="112">
        <v>46192</v>
      </c>
      <c r="I241" s="109">
        <v>540</v>
      </c>
    </row>
    <row r="242" spans="1:9" ht="14.4" hidden="1" customHeight="1" x14ac:dyDescent="0.3">
      <c r="A242" s="108" t="s">
        <v>38</v>
      </c>
      <c r="B242" s="108" t="s">
        <v>39</v>
      </c>
      <c r="C242" s="108" t="s">
        <v>40</v>
      </c>
      <c r="D242" s="108">
        <v>80</v>
      </c>
      <c r="E242" s="108" t="s">
        <v>41</v>
      </c>
      <c r="F242" s="71" t="s">
        <v>42</v>
      </c>
      <c r="G242" s="108">
        <v>5000</v>
      </c>
      <c r="H242" s="112">
        <v>46197</v>
      </c>
      <c r="I242" s="109">
        <v>270</v>
      </c>
    </row>
    <row r="243" spans="1:9" ht="14.4" hidden="1" customHeight="1" x14ac:dyDescent="0.3">
      <c r="A243" s="108" t="s">
        <v>38</v>
      </c>
      <c r="B243" s="108" t="s">
        <v>39</v>
      </c>
      <c r="C243" s="108" t="s">
        <v>40</v>
      </c>
      <c r="D243" s="108">
        <v>80</v>
      </c>
      <c r="E243" s="108" t="s">
        <v>41</v>
      </c>
      <c r="F243" s="71" t="s">
        <v>42</v>
      </c>
      <c r="G243" s="108">
        <v>5000</v>
      </c>
      <c r="H243" s="112">
        <v>46197</v>
      </c>
      <c r="I243" s="109">
        <v>270</v>
      </c>
    </row>
    <row r="244" spans="1:9" ht="14.4" hidden="1" customHeight="1" x14ac:dyDescent="0.3">
      <c r="A244" s="108" t="s">
        <v>38</v>
      </c>
      <c r="B244" s="108" t="s">
        <v>39</v>
      </c>
      <c r="C244" s="108" t="s">
        <v>40</v>
      </c>
      <c r="D244" s="108">
        <v>80</v>
      </c>
      <c r="E244" s="108" t="s">
        <v>41</v>
      </c>
      <c r="F244" s="71" t="s">
        <v>42</v>
      </c>
      <c r="G244" s="108">
        <v>5000</v>
      </c>
      <c r="H244" s="112">
        <v>46197</v>
      </c>
      <c r="I244" s="109">
        <v>270</v>
      </c>
    </row>
    <row r="245" spans="1:9" ht="14.4" hidden="1" customHeight="1" x14ac:dyDescent="0.3">
      <c r="A245" s="108" t="s">
        <v>38</v>
      </c>
      <c r="B245" s="108" t="s">
        <v>39</v>
      </c>
      <c r="C245" s="108" t="s">
        <v>40</v>
      </c>
      <c r="D245" s="108">
        <v>80</v>
      </c>
      <c r="E245" s="108" t="s">
        <v>41</v>
      </c>
      <c r="F245" s="71" t="s">
        <v>42</v>
      </c>
      <c r="G245" s="108">
        <v>5000</v>
      </c>
      <c r="H245" s="112">
        <v>46197</v>
      </c>
      <c r="I245" s="109">
        <v>270</v>
      </c>
    </row>
    <row r="246" spans="1:9" ht="14.4" hidden="1" customHeight="1" x14ac:dyDescent="0.3">
      <c r="A246" s="108" t="s">
        <v>38</v>
      </c>
      <c r="B246" s="108" t="s">
        <v>39</v>
      </c>
      <c r="C246" s="108" t="s">
        <v>40</v>
      </c>
      <c r="D246" s="108">
        <v>80</v>
      </c>
      <c r="E246" s="108" t="s">
        <v>41</v>
      </c>
      <c r="F246" s="71" t="s">
        <v>42</v>
      </c>
      <c r="G246" s="108">
        <v>5000</v>
      </c>
      <c r="H246" s="112">
        <v>46197</v>
      </c>
      <c r="I246" s="109">
        <v>270</v>
      </c>
    </row>
    <row r="247" spans="1:9" ht="14.4" hidden="1" customHeight="1" x14ac:dyDescent="0.3">
      <c r="A247" s="108" t="s">
        <v>38</v>
      </c>
      <c r="B247" s="108" t="s">
        <v>39</v>
      </c>
      <c r="C247" s="108" t="s">
        <v>40</v>
      </c>
      <c r="D247" s="108">
        <v>80</v>
      </c>
      <c r="E247" s="108" t="s">
        <v>41</v>
      </c>
      <c r="F247" s="71" t="s">
        <v>42</v>
      </c>
      <c r="G247" s="108">
        <v>5000</v>
      </c>
      <c r="H247" s="112">
        <v>46197</v>
      </c>
      <c r="I247" s="109">
        <v>270</v>
      </c>
    </row>
    <row r="248" spans="1:9" ht="14.4" hidden="1" customHeight="1" x14ac:dyDescent="0.3">
      <c r="A248" s="108" t="s">
        <v>38</v>
      </c>
      <c r="B248" s="108" t="s">
        <v>39</v>
      </c>
      <c r="C248" s="108" t="s">
        <v>40</v>
      </c>
      <c r="D248" s="108">
        <v>80</v>
      </c>
      <c r="E248" s="108" t="s">
        <v>41</v>
      </c>
      <c r="F248" s="71" t="s">
        <v>42</v>
      </c>
      <c r="G248" s="108">
        <v>5000</v>
      </c>
      <c r="H248" s="112">
        <v>46197</v>
      </c>
      <c r="I248" s="109">
        <v>228</v>
      </c>
    </row>
    <row r="249" spans="1:9" ht="14.4" hidden="1" customHeight="1" x14ac:dyDescent="0.3">
      <c r="A249" s="108" t="s">
        <v>38</v>
      </c>
      <c r="B249" s="108" t="s">
        <v>39</v>
      </c>
      <c r="C249" s="108" t="s">
        <v>40</v>
      </c>
      <c r="D249" s="108">
        <v>80</v>
      </c>
      <c r="E249" s="108" t="s">
        <v>41</v>
      </c>
      <c r="F249" s="71" t="s">
        <v>42</v>
      </c>
      <c r="G249" s="108">
        <v>5000</v>
      </c>
      <c r="H249" s="112">
        <v>46197</v>
      </c>
      <c r="I249" s="109">
        <v>170</v>
      </c>
    </row>
    <row r="250" spans="1:9" ht="14.4" hidden="1" customHeight="1" x14ac:dyDescent="0.3">
      <c r="A250" s="108" t="s">
        <v>38</v>
      </c>
      <c r="B250" s="108" t="s">
        <v>39</v>
      </c>
      <c r="C250" s="108" t="s">
        <v>40</v>
      </c>
      <c r="D250" s="108">
        <v>80</v>
      </c>
      <c r="E250" s="108" t="s">
        <v>41</v>
      </c>
      <c r="F250" s="71" t="s">
        <v>42</v>
      </c>
      <c r="G250" s="108">
        <v>5000</v>
      </c>
      <c r="H250" s="112">
        <v>46197</v>
      </c>
      <c r="I250" s="109">
        <v>270</v>
      </c>
    </row>
    <row r="251" spans="1:9" ht="14.4" hidden="1" customHeight="1" x14ac:dyDescent="0.3">
      <c r="A251" s="108" t="s">
        <v>38</v>
      </c>
      <c r="B251" s="108" t="s">
        <v>39</v>
      </c>
      <c r="C251" s="108" t="s">
        <v>40</v>
      </c>
      <c r="D251" s="108">
        <v>80</v>
      </c>
      <c r="E251" s="108" t="s">
        <v>41</v>
      </c>
      <c r="F251" s="71" t="s">
        <v>42</v>
      </c>
      <c r="G251" s="108">
        <v>5000</v>
      </c>
      <c r="H251" s="112">
        <v>46197</v>
      </c>
      <c r="I251" s="109">
        <v>270</v>
      </c>
    </row>
    <row r="252" spans="1:9" ht="14.4" hidden="1" customHeight="1" x14ac:dyDescent="0.3">
      <c r="A252" s="108" t="s">
        <v>38</v>
      </c>
      <c r="B252" s="108" t="s">
        <v>39</v>
      </c>
      <c r="C252" s="108" t="s">
        <v>40</v>
      </c>
      <c r="D252" s="108">
        <v>80</v>
      </c>
      <c r="E252" s="108" t="s">
        <v>41</v>
      </c>
      <c r="F252" s="71" t="s">
        <v>42</v>
      </c>
      <c r="G252" s="108">
        <v>5000</v>
      </c>
      <c r="H252" s="112">
        <v>46197</v>
      </c>
      <c r="I252" s="109">
        <v>270</v>
      </c>
    </row>
    <row r="253" spans="1:9" ht="14.4" hidden="1" customHeight="1" x14ac:dyDescent="0.3">
      <c r="A253" s="108" t="s">
        <v>38</v>
      </c>
      <c r="B253" s="108" t="s">
        <v>39</v>
      </c>
      <c r="C253" s="108" t="s">
        <v>40</v>
      </c>
      <c r="D253" s="108">
        <v>80</v>
      </c>
      <c r="E253" s="108" t="s">
        <v>41</v>
      </c>
      <c r="F253" s="71" t="s">
        <v>42</v>
      </c>
      <c r="G253" s="108">
        <v>5000</v>
      </c>
      <c r="H253" s="112">
        <v>46197</v>
      </c>
      <c r="I253" s="109">
        <v>270</v>
      </c>
    </row>
    <row r="254" spans="1:9" ht="14.4" hidden="1" customHeight="1" x14ac:dyDescent="0.3">
      <c r="A254" s="108" t="s">
        <v>38</v>
      </c>
      <c r="B254" s="108" t="s">
        <v>39</v>
      </c>
      <c r="C254" s="108" t="s">
        <v>40</v>
      </c>
      <c r="D254" s="108">
        <v>80</v>
      </c>
      <c r="E254" s="108" t="s">
        <v>41</v>
      </c>
      <c r="F254" s="71" t="s">
        <v>42</v>
      </c>
      <c r="G254" s="108">
        <v>5000</v>
      </c>
      <c r="H254" s="112">
        <v>46199</v>
      </c>
      <c r="I254" s="109">
        <v>5704</v>
      </c>
    </row>
    <row r="255" spans="1:9" ht="14.4" hidden="1" customHeight="1" x14ac:dyDescent="0.3">
      <c r="A255" s="108" t="s">
        <v>38</v>
      </c>
      <c r="B255" s="108" t="s">
        <v>39</v>
      </c>
      <c r="C255" s="108" t="s">
        <v>40</v>
      </c>
      <c r="D255" s="108">
        <v>80</v>
      </c>
      <c r="E255" s="108" t="s">
        <v>41</v>
      </c>
      <c r="F255" s="71" t="s">
        <v>42</v>
      </c>
      <c r="G255" s="108">
        <v>5000</v>
      </c>
      <c r="H255" s="112">
        <v>46206</v>
      </c>
      <c r="I255" s="109">
        <v>2500</v>
      </c>
    </row>
    <row r="256" spans="1:9" ht="14.4" hidden="1" customHeight="1" x14ac:dyDescent="0.3">
      <c r="A256" s="108" t="s">
        <v>38</v>
      </c>
      <c r="B256" s="108" t="s">
        <v>39</v>
      </c>
      <c r="C256" s="108" t="s">
        <v>40</v>
      </c>
      <c r="D256" s="108">
        <v>80</v>
      </c>
      <c r="E256" s="108" t="s">
        <v>41</v>
      </c>
      <c r="F256" s="71" t="s">
        <v>42</v>
      </c>
      <c r="G256" s="108">
        <v>5000</v>
      </c>
      <c r="H256" s="112">
        <v>46206</v>
      </c>
      <c r="I256" s="109">
        <v>4655</v>
      </c>
    </row>
    <row r="257" spans="1:9" ht="14.4" hidden="1" customHeight="1" x14ac:dyDescent="0.3">
      <c r="A257" s="108" t="s">
        <v>38</v>
      </c>
      <c r="B257" s="108" t="s">
        <v>39</v>
      </c>
      <c r="C257" s="108" t="s">
        <v>40</v>
      </c>
      <c r="D257" s="108">
        <v>80</v>
      </c>
      <c r="E257" s="108" t="s">
        <v>41</v>
      </c>
      <c r="F257" s="71" t="s">
        <v>42</v>
      </c>
      <c r="G257" s="108">
        <v>5000</v>
      </c>
      <c r="H257" s="112">
        <v>46206</v>
      </c>
      <c r="I257" s="109">
        <v>540</v>
      </c>
    </row>
    <row r="258" spans="1:9" ht="14.4" hidden="1" customHeight="1" x14ac:dyDescent="0.3">
      <c r="A258" s="108" t="s">
        <v>38</v>
      </c>
      <c r="B258" s="108" t="s">
        <v>39</v>
      </c>
      <c r="C258" s="108" t="s">
        <v>40</v>
      </c>
      <c r="D258" s="108">
        <v>80</v>
      </c>
      <c r="E258" s="108" t="s">
        <v>41</v>
      </c>
      <c r="F258" s="71" t="s">
        <v>42</v>
      </c>
      <c r="G258" s="108">
        <v>5000</v>
      </c>
      <c r="H258" s="112">
        <v>46213</v>
      </c>
      <c r="I258" s="109">
        <v>2500</v>
      </c>
    </row>
    <row r="259" spans="1:9" ht="14.4" hidden="1" customHeight="1" x14ac:dyDescent="0.3">
      <c r="A259" s="108" t="s">
        <v>38</v>
      </c>
      <c r="B259" s="108" t="s">
        <v>39</v>
      </c>
      <c r="C259" s="108" t="s">
        <v>40</v>
      </c>
      <c r="D259" s="108">
        <v>80</v>
      </c>
      <c r="E259" s="108" t="s">
        <v>41</v>
      </c>
      <c r="F259" s="71" t="s">
        <v>42</v>
      </c>
      <c r="G259" s="108">
        <v>5000</v>
      </c>
      <c r="H259" s="112">
        <v>46220</v>
      </c>
      <c r="I259" s="109">
        <v>2500</v>
      </c>
    </row>
    <row r="260" spans="1:9" ht="14.4" hidden="1" customHeight="1" x14ac:dyDescent="0.3">
      <c r="A260" s="108" t="s">
        <v>38</v>
      </c>
      <c r="B260" s="108" t="s">
        <v>39</v>
      </c>
      <c r="C260" s="108" t="s">
        <v>40</v>
      </c>
      <c r="D260" s="108">
        <v>80</v>
      </c>
      <c r="E260" s="108" t="s">
        <v>41</v>
      </c>
      <c r="F260" s="71" t="s">
        <v>42</v>
      </c>
      <c r="G260" s="108">
        <v>5000</v>
      </c>
      <c r="H260" s="112">
        <v>46227</v>
      </c>
      <c r="I260" s="109">
        <v>2500</v>
      </c>
    </row>
    <row r="261" spans="1:9" ht="14.4" hidden="1" customHeight="1" x14ac:dyDescent="0.3">
      <c r="A261" s="108" t="s">
        <v>38</v>
      </c>
      <c r="B261" s="108" t="s">
        <v>39</v>
      </c>
      <c r="C261" s="108" t="s">
        <v>40</v>
      </c>
      <c r="D261" s="108">
        <v>80</v>
      </c>
      <c r="E261" s="108" t="s">
        <v>41</v>
      </c>
      <c r="F261" s="71" t="s">
        <v>42</v>
      </c>
      <c r="G261" s="108">
        <v>5000</v>
      </c>
      <c r="H261" s="112">
        <v>46234</v>
      </c>
      <c r="I261" s="109">
        <v>1000</v>
      </c>
    </row>
    <row r="262" spans="1:9" ht="14.4" hidden="1" customHeight="1" x14ac:dyDescent="0.3">
      <c r="A262" s="108" t="s">
        <v>38</v>
      </c>
      <c r="B262" s="108" t="s">
        <v>39</v>
      </c>
      <c r="C262" s="108" t="s">
        <v>40</v>
      </c>
      <c r="D262" s="108">
        <v>80</v>
      </c>
      <c r="E262" s="108" t="s">
        <v>41</v>
      </c>
      <c r="F262" s="71" t="s">
        <v>42</v>
      </c>
      <c r="G262" s="108">
        <v>5000</v>
      </c>
      <c r="H262" s="112">
        <v>46241</v>
      </c>
      <c r="I262" s="109">
        <v>1000</v>
      </c>
    </row>
    <row r="263" spans="1:9" ht="14.4" hidden="1" customHeight="1" x14ac:dyDescent="0.3">
      <c r="A263" s="108" t="s">
        <v>38</v>
      </c>
      <c r="B263" s="108" t="s">
        <v>39</v>
      </c>
      <c r="C263" s="108" t="s">
        <v>40</v>
      </c>
      <c r="D263" s="108">
        <v>80</v>
      </c>
      <c r="E263" s="108" t="s">
        <v>41</v>
      </c>
      <c r="F263" s="71" t="s">
        <v>42</v>
      </c>
      <c r="G263" s="108">
        <v>5000</v>
      </c>
      <c r="H263" s="112">
        <v>46248</v>
      </c>
      <c r="I263" s="109">
        <v>1000</v>
      </c>
    </row>
    <row r="264" spans="1:9" ht="14.4" hidden="1" customHeight="1" x14ac:dyDescent="0.3">
      <c r="A264" s="108" t="s">
        <v>38</v>
      </c>
      <c r="B264" s="108" t="s">
        <v>39</v>
      </c>
      <c r="C264" s="108" t="s">
        <v>40</v>
      </c>
      <c r="D264" s="108">
        <v>80</v>
      </c>
      <c r="E264" s="108" t="s">
        <v>41</v>
      </c>
      <c r="F264" s="71" t="s">
        <v>42</v>
      </c>
      <c r="G264" s="108">
        <v>5000</v>
      </c>
      <c r="H264" s="112">
        <v>46255</v>
      </c>
      <c r="I264" s="109">
        <v>1000</v>
      </c>
    </row>
    <row r="265" spans="1:9" ht="14.4" hidden="1" customHeight="1" x14ac:dyDescent="0.3">
      <c r="A265" s="108" t="s">
        <v>38</v>
      </c>
      <c r="B265" s="108" t="s">
        <v>39</v>
      </c>
      <c r="C265" s="108" t="s">
        <v>40</v>
      </c>
      <c r="D265" s="108">
        <v>80</v>
      </c>
      <c r="E265" s="108" t="s">
        <v>41</v>
      </c>
      <c r="F265" s="71" t="s">
        <v>42</v>
      </c>
      <c r="G265" s="108">
        <v>5000</v>
      </c>
      <c r="H265" s="112">
        <v>46262</v>
      </c>
      <c r="I265" s="109">
        <v>1000</v>
      </c>
    </row>
    <row r="266" spans="1:9" ht="14.4" hidden="1" customHeight="1" x14ac:dyDescent="0.3">
      <c r="A266" s="108" t="s">
        <v>38</v>
      </c>
      <c r="B266" s="108" t="s">
        <v>39</v>
      </c>
      <c r="C266" s="108" t="s">
        <v>40</v>
      </c>
      <c r="D266" s="108">
        <v>80</v>
      </c>
      <c r="E266" s="108" t="s">
        <v>41</v>
      </c>
      <c r="F266" s="71" t="s">
        <v>42</v>
      </c>
      <c r="G266" s="108">
        <v>5000</v>
      </c>
      <c r="H266" s="112">
        <v>46269</v>
      </c>
      <c r="I266" s="109">
        <v>750</v>
      </c>
    </row>
    <row r="267" spans="1:9" ht="14.4" hidden="1" customHeight="1" x14ac:dyDescent="0.3">
      <c r="A267" s="108" t="s">
        <v>38</v>
      </c>
      <c r="B267" s="108" t="s">
        <v>39</v>
      </c>
      <c r="C267" s="108" t="s">
        <v>40</v>
      </c>
      <c r="D267" s="108">
        <v>80</v>
      </c>
      <c r="E267" s="108" t="s">
        <v>41</v>
      </c>
      <c r="F267" s="71" t="s">
        <v>42</v>
      </c>
      <c r="G267" s="108">
        <v>5000</v>
      </c>
      <c r="H267" s="112">
        <v>46276</v>
      </c>
      <c r="I267" s="109">
        <v>750</v>
      </c>
    </row>
    <row r="268" spans="1:9" ht="14.4" hidden="1" customHeight="1" x14ac:dyDescent="0.3">
      <c r="A268" s="108" t="s">
        <v>38</v>
      </c>
      <c r="B268" s="108" t="s">
        <v>39</v>
      </c>
      <c r="C268" s="108" t="s">
        <v>40</v>
      </c>
      <c r="D268" s="108">
        <v>80</v>
      </c>
      <c r="E268" s="108" t="s">
        <v>41</v>
      </c>
      <c r="F268" s="71" t="s">
        <v>42</v>
      </c>
      <c r="G268" s="108">
        <v>5000</v>
      </c>
      <c r="H268" s="112">
        <v>46283</v>
      </c>
      <c r="I268" s="109">
        <v>750</v>
      </c>
    </row>
    <row r="269" spans="1:9" ht="14.4" hidden="1" customHeight="1" x14ac:dyDescent="0.3">
      <c r="A269" s="108" t="s">
        <v>38</v>
      </c>
      <c r="B269" s="108" t="s">
        <v>39</v>
      </c>
      <c r="C269" s="108" t="s">
        <v>40</v>
      </c>
      <c r="D269" s="108">
        <v>80</v>
      </c>
      <c r="E269" s="108" t="s">
        <v>41</v>
      </c>
      <c r="F269" s="71" t="s">
        <v>42</v>
      </c>
      <c r="G269" s="108">
        <v>5000</v>
      </c>
      <c r="H269" s="112">
        <v>46290</v>
      </c>
      <c r="I269" s="109">
        <v>750</v>
      </c>
    </row>
    <row r="270" spans="1:9" ht="14.4" hidden="1" customHeight="1" x14ac:dyDescent="0.3">
      <c r="A270" s="108" t="s">
        <v>38</v>
      </c>
      <c r="B270" s="108" t="s">
        <v>39</v>
      </c>
      <c r="C270" s="108" t="s">
        <v>40</v>
      </c>
      <c r="D270" s="108">
        <v>80</v>
      </c>
      <c r="E270" s="108" t="s">
        <v>41</v>
      </c>
      <c r="F270" s="71" t="s">
        <v>42</v>
      </c>
      <c r="G270" s="108">
        <v>5000</v>
      </c>
      <c r="H270" s="112">
        <v>46297</v>
      </c>
      <c r="I270" s="109">
        <v>600</v>
      </c>
    </row>
    <row r="271" spans="1:9" ht="14.4" hidden="1" customHeight="1" x14ac:dyDescent="0.3">
      <c r="A271" s="108" t="s">
        <v>38</v>
      </c>
      <c r="B271" s="108" t="s">
        <v>39</v>
      </c>
      <c r="C271" s="108" t="s">
        <v>40</v>
      </c>
      <c r="D271" s="108">
        <v>80</v>
      </c>
      <c r="E271" s="108" t="s">
        <v>41</v>
      </c>
      <c r="F271" s="71" t="s">
        <v>42</v>
      </c>
      <c r="G271" s="108">
        <v>5000</v>
      </c>
      <c r="H271" s="112">
        <v>46304</v>
      </c>
      <c r="I271" s="109">
        <v>600</v>
      </c>
    </row>
    <row r="272" spans="1:9" ht="14.4" hidden="1" customHeight="1" x14ac:dyDescent="0.3">
      <c r="A272" s="108" t="s">
        <v>38</v>
      </c>
      <c r="B272" s="108" t="s">
        <v>39</v>
      </c>
      <c r="C272" s="108" t="s">
        <v>40</v>
      </c>
      <c r="D272" s="108">
        <v>80</v>
      </c>
      <c r="E272" s="108" t="s">
        <v>41</v>
      </c>
      <c r="F272" s="71" t="s">
        <v>42</v>
      </c>
      <c r="G272" s="108">
        <v>5000</v>
      </c>
      <c r="H272" s="112">
        <v>46311</v>
      </c>
      <c r="I272" s="109">
        <v>600</v>
      </c>
    </row>
    <row r="273" spans="1:9" ht="14.4" hidden="1" customHeight="1" x14ac:dyDescent="0.3">
      <c r="A273" s="108" t="s">
        <v>38</v>
      </c>
      <c r="B273" s="108" t="s">
        <v>39</v>
      </c>
      <c r="C273" s="108" t="s">
        <v>40</v>
      </c>
      <c r="D273" s="108">
        <v>80</v>
      </c>
      <c r="E273" s="108" t="s">
        <v>41</v>
      </c>
      <c r="F273" s="71" t="s">
        <v>42</v>
      </c>
      <c r="G273" s="108">
        <v>5000</v>
      </c>
      <c r="H273" s="112">
        <v>46318</v>
      </c>
      <c r="I273" s="109">
        <v>600</v>
      </c>
    </row>
    <row r="274" spans="1:9" ht="14.4" hidden="1" customHeight="1" x14ac:dyDescent="0.3">
      <c r="A274" s="108" t="s">
        <v>38</v>
      </c>
      <c r="B274" s="108" t="s">
        <v>39</v>
      </c>
      <c r="C274" s="108" t="s">
        <v>40</v>
      </c>
      <c r="D274" s="108">
        <v>80</v>
      </c>
      <c r="E274" s="108" t="s">
        <v>41</v>
      </c>
      <c r="F274" s="71" t="s">
        <v>42</v>
      </c>
      <c r="G274" s="108">
        <v>5000</v>
      </c>
      <c r="H274" s="112">
        <v>46325</v>
      </c>
      <c r="I274" s="109">
        <v>600</v>
      </c>
    </row>
    <row r="275" spans="1:9" ht="14.4" hidden="1" customHeight="1" x14ac:dyDescent="0.3">
      <c r="A275" s="108" t="s">
        <v>38</v>
      </c>
      <c r="B275" s="108" t="s">
        <v>39</v>
      </c>
      <c r="C275" s="108" t="s">
        <v>40</v>
      </c>
      <c r="D275" s="108">
        <v>80</v>
      </c>
      <c r="E275" s="108" t="s">
        <v>41</v>
      </c>
      <c r="F275" s="71" t="s">
        <v>42</v>
      </c>
      <c r="G275" s="108">
        <v>5000</v>
      </c>
      <c r="H275" s="112">
        <v>46332</v>
      </c>
      <c r="I275" s="109">
        <v>500</v>
      </c>
    </row>
    <row r="276" spans="1:9" ht="14.4" hidden="1" customHeight="1" x14ac:dyDescent="0.3">
      <c r="A276" s="108" t="s">
        <v>38</v>
      </c>
      <c r="B276" s="108" t="s">
        <v>39</v>
      </c>
      <c r="C276" s="108" t="s">
        <v>40</v>
      </c>
      <c r="D276" s="108">
        <v>80</v>
      </c>
      <c r="E276" s="108" t="s">
        <v>41</v>
      </c>
      <c r="F276" s="71" t="s">
        <v>42</v>
      </c>
      <c r="G276" s="108">
        <v>5000</v>
      </c>
      <c r="H276" s="112">
        <v>46339</v>
      </c>
      <c r="I276" s="109">
        <v>500</v>
      </c>
    </row>
    <row r="277" spans="1:9" ht="14.4" hidden="1" customHeight="1" x14ac:dyDescent="0.3">
      <c r="A277" s="108" t="s">
        <v>38</v>
      </c>
      <c r="B277" s="108" t="s">
        <v>39</v>
      </c>
      <c r="C277" s="108" t="s">
        <v>40</v>
      </c>
      <c r="D277" s="108">
        <v>80</v>
      </c>
      <c r="E277" s="108" t="s">
        <v>41</v>
      </c>
      <c r="F277" s="71" t="s">
        <v>42</v>
      </c>
      <c r="G277" s="108">
        <v>5000</v>
      </c>
      <c r="H277" s="112">
        <v>46346</v>
      </c>
      <c r="I277" s="109">
        <v>500</v>
      </c>
    </row>
    <row r="278" spans="1:9" ht="14.4" hidden="1" customHeight="1" x14ac:dyDescent="0.3">
      <c r="A278" s="108" t="s">
        <v>38</v>
      </c>
      <c r="B278" s="108" t="s">
        <v>39</v>
      </c>
      <c r="C278" s="108" t="s">
        <v>40</v>
      </c>
      <c r="D278" s="108">
        <v>80</v>
      </c>
      <c r="E278" s="108" t="s">
        <v>41</v>
      </c>
      <c r="F278" s="71" t="s">
        <v>42</v>
      </c>
      <c r="G278" s="108">
        <v>5000</v>
      </c>
      <c r="H278" s="112">
        <v>46353</v>
      </c>
      <c r="I278" s="109">
        <v>500</v>
      </c>
    </row>
    <row r="279" spans="1:9" ht="14.4" hidden="1" customHeight="1" x14ac:dyDescent="0.3">
      <c r="A279" s="108" t="s">
        <v>38</v>
      </c>
      <c r="B279" s="108" t="s">
        <v>39</v>
      </c>
      <c r="C279" s="108" t="s">
        <v>40</v>
      </c>
      <c r="D279" s="108">
        <v>80</v>
      </c>
      <c r="E279" s="108" t="s">
        <v>41</v>
      </c>
      <c r="F279" s="71" t="s">
        <v>42</v>
      </c>
      <c r="G279" s="108">
        <v>5000</v>
      </c>
      <c r="H279" s="112">
        <v>46360</v>
      </c>
      <c r="I279" s="109">
        <v>3000</v>
      </c>
    </row>
    <row r="280" spans="1:9" ht="14.4" hidden="1" customHeight="1" x14ac:dyDescent="0.3">
      <c r="A280" s="108" t="s">
        <v>38</v>
      </c>
      <c r="B280" s="108" t="s">
        <v>39</v>
      </c>
      <c r="C280" s="108" t="s">
        <v>40</v>
      </c>
      <c r="D280" s="108">
        <v>80</v>
      </c>
      <c r="E280" s="108" t="s">
        <v>41</v>
      </c>
      <c r="F280" s="71" t="s">
        <v>42</v>
      </c>
      <c r="G280" s="108">
        <v>5000</v>
      </c>
      <c r="H280" s="112">
        <v>46367</v>
      </c>
      <c r="I280" s="109">
        <v>3000</v>
      </c>
    </row>
    <row r="281" spans="1:9" ht="14.4" hidden="1" customHeight="1" x14ac:dyDescent="0.3">
      <c r="A281" s="108" t="s">
        <v>38</v>
      </c>
      <c r="B281" s="108" t="s">
        <v>39</v>
      </c>
      <c r="C281" s="108" t="s">
        <v>40</v>
      </c>
      <c r="D281" s="108">
        <v>80</v>
      </c>
      <c r="E281" s="108" t="s">
        <v>41</v>
      </c>
      <c r="F281" s="71" t="s">
        <v>42</v>
      </c>
      <c r="G281" s="108">
        <v>5000</v>
      </c>
      <c r="H281" s="112">
        <v>46374</v>
      </c>
      <c r="I281" s="109">
        <v>3000</v>
      </c>
    </row>
    <row r="282" spans="1:9" ht="14.4" hidden="1" customHeight="1" x14ac:dyDescent="0.3">
      <c r="A282" s="108" t="s">
        <v>38</v>
      </c>
      <c r="B282" s="108" t="s">
        <v>39</v>
      </c>
      <c r="C282" s="108" t="s">
        <v>40</v>
      </c>
      <c r="D282" s="108">
        <v>80</v>
      </c>
      <c r="E282" s="108" t="s">
        <v>41</v>
      </c>
      <c r="F282" s="71" t="s">
        <v>42</v>
      </c>
      <c r="G282" s="108">
        <v>5000</v>
      </c>
      <c r="H282" s="112">
        <v>46381</v>
      </c>
      <c r="I282" s="109">
        <v>3000</v>
      </c>
    </row>
    <row r="283" spans="1:9" ht="14.4" customHeight="1" x14ac:dyDescent="0.3">
      <c r="A283" s="108" t="s">
        <v>43</v>
      </c>
      <c r="B283" s="108" t="s">
        <v>44</v>
      </c>
      <c r="C283" s="108" t="s">
        <v>40</v>
      </c>
      <c r="D283" s="108">
        <v>40</v>
      </c>
      <c r="E283" s="108" t="s">
        <v>45</v>
      </c>
      <c r="F283" s="71" t="s">
        <v>42</v>
      </c>
      <c r="G283" s="108">
        <v>5000</v>
      </c>
      <c r="H283" s="112">
        <v>46157</v>
      </c>
      <c r="I283" s="109">
        <v>270</v>
      </c>
    </row>
    <row r="284" spans="1:9" ht="14.4" customHeight="1" x14ac:dyDescent="0.3">
      <c r="A284" s="108" t="s">
        <v>43</v>
      </c>
      <c r="B284" s="108" t="s">
        <v>44</v>
      </c>
      <c r="C284" s="108" t="s">
        <v>40</v>
      </c>
      <c r="D284" s="108">
        <v>40</v>
      </c>
      <c r="E284" s="108" t="s">
        <v>45</v>
      </c>
      <c r="F284" s="71" t="s">
        <v>42</v>
      </c>
      <c r="G284" s="108">
        <v>5000</v>
      </c>
      <c r="H284" s="112">
        <v>46157</v>
      </c>
      <c r="I284" s="109">
        <v>270</v>
      </c>
    </row>
    <row r="285" spans="1:9" ht="14.4" customHeight="1" x14ac:dyDescent="0.3">
      <c r="A285" s="108" t="s">
        <v>43</v>
      </c>
      <c r="B285" s="108" t="s">
        <v>44</v>
      </c>
      <c r="C285" s="108" t="s">
        <v>40</v>
      </c>
      <c r="D285" s="108">
        <v>40</v>
      </c>
      <c r="E285" s="108" t="s">
        <v>45</v>
      </c>
      <c r="F285" s="71" t="s">
        <v>42</v>
      </c>
      <c r="G285" s="108">
        <v>5000</v>
      </c>
      <c r="H285" s="112">
        <v>46157</v>
      </c>
      <c r="I285" s="109">
        <v>270</v>
      </c>
    </row>
    <row r="286" spans="1:9" ht="14.4" customHeight="1" x14ac:dyDescent="0.3">
      <c r="A286" s="108" t="s">
        <v>43</v>
      </c>
      <c r="B286" s="108" t="s">
        <v>44</v>
      </c>
      <c r="C286" s="108" t="s">
        <v>40</v>
      </c>
      <c r="D286" s="108">
        <v>40</v>
      </c>
      <c r="E286" s="108" t="s">
        <v>45</v>
      </c>
      <c r="F286" s="71" t="s">
        <v>42</v>
      </c>
      <c r="G286" s="108">
        <v>5000</v>
      </c>
      <c r="H286" s="112">
        <v>46157</v>
      </c>
      <c r="I286" s="109">
        <v>270</v>
      </c>
    </row>
    <row r="287" spans="1:9" ht="14.4" customHeight="1" x14ac:dyDescent="0.3">
      <c r="A287" s="108" t="s">
        <v>43</v>
      </c>
      <c r="B287" s="108" t="s">
        <v>44</v>
      </c>
      <c r="C287" s="108" t="s">
        <v>40</v>
      </c>
      <c r="D287" s="108">
        <v>40</v>
      </c>
      <c r="E287" s="108" t="s">
        <v>45</v>
      </c>
      <c r="F287" s="71" t="s">
        <v>42</v>
      </c>
      <c r="G287" s="108">
        <v>5000</v>
      </c>
      <c r="H287" s="112">
        <v>46157</v>
      </c>
      <c r="I287" s="109">
        <v>270</v>
      </c>
    </row>
    <row r="288" spans="1:9" ht="14.4" customHeight="1" x14ac:dyDescent="0.3">
      <c r="A288" s="108" t="s">
        <v>43</v>
      </c>
      <c r="B288" s="108" t="s">
        <v>44</v>
      </c>
      <c r="C288" s="108" t="s">
        <v>40</v>
      </c>
      <c r="D288" s="108">
        <v>40</v>
      </c>
      <c r="E288" s="108" t="s">
        <v>45</v>
      </c>
      <c r="F288" s="71" t="s">
        <v>42</v>
      </c>
      <c r="G288" s="108">
        <v>5000</v>
      </c>
      <c r="H288" s="112">
        <v>46157</v>
      </c>
      <c r="I288" s="109">
        <v>270</v>
      </c>
    </row>
    <row r="289" spans="1:9" ht="14.4" customHeight="1" x14ac:dyDescent="0.3">
      <c r="A289" s="108" t="s">
        <v>43</v>
      </c>
      <c r="B289" s="108" t="s">
        <v>44</v>
      </c>
      <c r="C289" s="108" t="s">
        <v>40</v>
      </c>
      <c r="D289" s="108">
        <v>40</v>
      </c>
      <c r="E289" s="108" t="s">
        <v>45</v>
      </c>
      <c r="F289" s="71" t="s">
        <v>42</v>
      </c>
      <c r="G289" s="108">
        <v>5000</v>
      </c>
      <c r="H289" s="112">
        <v>46157</v>
      </c>
      <c r="I289" s="109">
        <v>270</v>
      </c>
    </row>
    <row r="290" spans="1:9" ht="14.4" customHeight="1" x14ac:dyDescent="0.3">
      <c r="A290" s="108" t="s">
        <v>43</v>
      </c>
      <c r="B290" s="108" t="s">
        <v>44</v>
      </c>
      <c r="C290" s="108" t="s">
        <v>40</v>
      </c>
      <c r="D290" s="108">
        <v>40</v>
      </c>
      <c r="E290" s="108" t="s">
        <v>45</v>
      </c>
      <c r="F290" s="71" t="s">
        <v>42</v>
      </c>
      <c r="G290" s="108">
        <v>5000</v>
      </c>
      <c r="H290" s="112">
        <v>46157</v>
      </c>
      <c r="I290" s="109">
        <v>270</v>
      </c>
    </row>
    <row r="291" spans="1:9" ht="14.4" customHeight="1" x14ac:dyDescent="0.3">
      <c r="A291" s="108" t="s">
        <v>43</v>
      </c>
      <c r="B291" s="108" t="s">
        <v>44</v>
      </c>
      <c r="C291" s="108" t="s">
        <v>40</v>
      </c>
      <c r="D291" s="108">
        <v>40</v>
      </c>
      <c r="E291" s="108" t="s">
        <v>45</v>
      </c>
      <c r="F291" s="71" t="s">
        <v>42</v>
      </c>
      <c r="G291" s="108">
        <v>5000</v>
      </c>
      <c r="H291" s="112">
        <v>46157</v>
      </c>
      <c r="I291" s="109">
        <v>270</v>
      </c>
    </row>
    <row r="292" spans="1:9" ht="14.4" customHeight="1" x14ac:dyDescent="0.3">
      <c r="A292" s="108" t="s">
        <v>43</v>
      </c>
      <c r="B292" s="108" t="s">
        <v>44</v>
      </c>
      <c r="C292" s="108" t="s">
        <v>40</v>
      </c>
      <c r="D292" s="108">
        <v>40</v>
      </c>
      <c r="E292" s="108" t="s">
        <v>45</v>
      </c>
      <c r="F292" s="71" t="s">
        <v>42</v>
      </c>
      <c r="G292" s="108">
        <v>5000</v>
      </c>
      <c r="H292" s="112">
        <v>46164</v>
      </c>
      <c r="I292" s="109">
        <v>270</v>
      </c>
    </row>
    <row r="293" spans="1:9" ht="14.4" customHeight="1" x14ac:dyDescent="0.3">
      <c r="A293" s="108" t="s">
        <v>43</v>
      </c>
      <c r="B293" s="108" t="s">
        <v>44</v>
      </c>
      <c r="C293" s="108" t="s">
        <v>40</v>
      </c>
      <c r="D293" s="108">
        <v>40</v>
      </c>
      <c r="E293" s="108" t="s">
        <v>45</v>
      </c>
      <c r="F293" s="71" t="s">
        <v>42</v>
      </c>
      <c r="G293" s="108">
        <v>5000</v>
      </c>
      <c r="H293" s="112">
        <v>46164</v>
      </c>
      <c r="I293" s="109">
        <v>270</v>
      </c>
    </row>
    <row r="294" spans="1:9" ht="14.4" customHeight="1" x14ac:dyDescent="0.3">
      <c r="A294" s="108" t="s">
        <v>43</v>
      </c>
      <c r="B294" s="108" t="s">
        <v>44</v>
      </c>
      <c r="C294" s="108" t="s">
        <v>40</v>
      </c>
      <c r="D294" s="108">
        <v>40</v>
      </c>
      <c r="E294" s="108" t="s">
        <v>45</v>
      </c>
      <c r="F294" s="71" t="s">
        <v>42</v>
      </c>
      <c r="G294" s="108">
        <v>5000</v>
      </c>
      <c r="H294" s="112">
        <v>46164</v>
      </c>
      <c r="I294" s="109">
        <v>270</v>
      </c>
    </row>
    <row r="295" spans="1:9" ht="14.4" customHeight="1" x14ac:dyDescent="0.3">
      <c r="A295" s="108" t="s">
        <v>43</v>
      </c>
      <c r="B295" s="108" t="s">
        <v>44</v>
      </c>
      <c r="C295" s="108" t="s">
        <v>40</v>
      </c>
      <c r="D295" s="108">
        <v>40</v>
      </c>
      <c r="E295" s="108" t="s">
        <v>45</v>
      </c>
      <c r="F295" s="71" t="s">
        <v>42</v>
      </c>
      <c r="G295" s="108">
        <v>5000</v>
      </c>
      <c r="H295" s="112">
        <v>46164</v>
      </c>
      <c r="I295" s="109">
        <v>270</v>
      </c>
    </row>
    <row r="296" spans="1:9" ht="14.4" customHeight="1" x14ac:dyDescent="0.3">
      <c r="A296" s="108" t="s">
        <v>43</v>
      </c>
      <c r="B296" s="108" t="s">
        <v>44</v>
      </c>
      <c r="C296" s="108" t="s">
        <v>40</v>
      </c>
      <c r="D296" s="108">
        <v>40</v>
      </c>
      <c r="E296" s="108" t="s">
        <v>45</v>
      </c>
      <c r="F296" s="71" t="s">
        <v>42</v>
      </c>
      <c r="G296" s="108">
        <v>5000</v>
      </c>
      <c r="H296" s="112">
        <v>46164</v>
      </c>
      <c r="I296" s="109">
        <v>270</v>
      </c>
    </row>
    <row r="297" spans="1:9" ht="14.4" customHeight="1" x14ac:dyDescent="0.3">
      <c r="A297" s="108" t="s">
        <v>43</v>
      </c>
      <c r="B297" s="108" t="s">
        <v>44</v>
      </c>
      <c r="C297" s="108" t="s">
        <v>40</v>
      </c>
      <c r="D297" s="108">
        <v>40</v>
      </c>
      <c r="E297" s="108" t="s">
        <v>45</v>
      </c>
      <c r="F297" s="71" t="s">
        <v>42</v>
      </c>
      <c r="G297" s="108">
        <v>5000</v>
      </c>
      <c r="H297" s="112">
        <v>46164</v>
      </c>
      <c r="I297" s="109">
        <v>270</v>
      </c>
    </row>
    <row r="298" spans="1:9" ht="14.4" customHeight="1" x14ac:dyDescent="0.3">
      <c r="A298" s="108" t="s">
        <v>43</v>
      </c>
      <c r="B298" s="108" t="s">
        <v>44</v>
      </c>
      <c r="C298" s="108" t="s">
        <v>40</v>
      </c>
      <c r="D298" s="108">
        <v>40</v>
      </c>
      <c r="E298" s="108" t="s">
        <v>45</v>
      </c>
      <c r="F298" s="71" t="s">
        <v>42</v>
      </c>
      <c r="G298" s="108">
        <v>5000</v>
      </c>
      <c r="H298" s="112">
        <v>46164</v>
      </c>
      <c r="I298" s="109">
        <v>270</v>
      </c>
    </row>
    <row r="299" spans="1:9" ht="14.4" customHeight="1" x14ac:dyDescent="0.3">
      <c r="A299" s="108" t="s">
        <v>43</v>
      </c>
      <c r="B299" s="108" t="s">
        <v>44</v>
      </c>
      <c r="C299" s="108" t="s">
        <v>40</v>
      </c>
      <c r="D299" s="108">
        <v>40</v>
      </c>
      <c r="E299" s="108" t="s">
        <v>45</v>
      </c>
      <c r="F299" s="71" t="s">
        <v>42</v>
      </c>
      <c r="G299" s="108">
        <v>5000</v>
      </c>
      <c r="H299" s="112">
        <v>46164</v>
      </c>
      <c r="I299" s="109">
        <v>270</v>
      </c>
    </row>
    <row r="300" spans="1:9" ht="14.4" customHeight="1" x14ac:dyDescent="0.3">
      <c r="A300" s="108" t="s">
        <v>43</v>
      </c>
      <c r="B300" s="108" t="s">
        <v>44</v>
      </c>
      <c r="C300" s="108" t="s">
        <v>40</v>
      </c>
      <c r="D300" s="108">
        <v>40</v>
      </c>
      <c r="E300" s="108" t="s">
        <v>45</v>
      </c>
      <c r="F300" s="71" t="s">
        <v>42</v>
      </c>
      <c r="G300" s="108">
        <v>5000</v>
      </c>
      <c r="H300" s="112">
        <v>46164</v>
      </c>
      <c r="I300" s="109">
        <v>270</v>
      </c>
    </row>
    <row r="301" spans="1:9" ht="14.4" customHeight="1" x14ac:dyDescent="0.3">
      <c r="A301" s="108" t="s">
        <v>43</v>
      </c>
      <c r="B301" s="108" t="s">
        <v>44</v>
      </c>
      <c r="C301" s="108" t="s">
        <v>40</v>
      </c>
      <c r="D301" s="108">
        <v>40</v>
      </c>
      <c r="E301" s="108" t="s">
        <v>45</v>
      </c>
      <c r="F301" s="71" t="s">
        <v>42</v>
      </c>
      <c r="G301" s="108">
        <v>5000</v>
      </c>
      <c r="H301" s="112">
        <v>46164</v>
      </c>
      <c r="I301" s="109">
        <v>270</v>
      </c>
    </row>
    <row r="302" spans="1:9" ht="14.4" customHeight="1" x14ac:dyDescent="0.3">
      <c r="A302" s="108" t="s">
        <v>43</v>
      </c>
      <c r="B302" s="108" t="s">
        <v>44</v>
      </c>
      <c r="C302" s="108" t="s">
        <v>40</v>
      </c>
      <c r="D302" s="108">
        <v>40</v>
      </c>
      <c r="E302" s="108" t="s">
        <v>45</v>
      </c>
      <c r="F302" s="71" t="s">
        <v>42</v>
      </c>
      <c r="G302" s="108">
        <v>5000</v>
      </c>
      <c r="H302" s="112">
        <v>46164</v>
      </c>
      <c r="I302" s="109">
        <v>270</v>
      </c>
    </row>
    <row r="303" spans="1:9" ht="14.4" customHeight="1" x14ac:dyDescent="0.3">
      <c r="A303" s="108" t="s">
        <v>43</v>
      </c>
      <c r="B303" s="108" t="s">
        <v>44</v>
      </c>
      <c r="C303" s="108" t="s">
        <v>40</v>
      </c>
      <c r="D303" s="108">
        <v>40</v>
      </c>
      <c r="E303" s="108" t="s">
        <v>45</v>
      </c>
      <c r="F303" s="71" t="s">
        <v>42</v>
      </c>
      <c r="G303" s="108">
        <v>5000</v>
      </c>
      <c r="H303" s="112">
        <v>46164</v>
      </c>
      <c r="I303" s="109">
        <v>270</v>
      </c>
    </row>
    <row r="304" spans="1:9" ht="14.4" customHeight="1" x14ac:dyDescent="0.3">
      <c r="A304" s="108" t="s">
        <v>43</v>
      </c>
      <c r="B304" s="108" t="s">
        <v>44</v>
      </c>
      <c r="C304" s="108" t="s">
        <v>40</v>
      </c>
      <c r="D304" s="108">
        <v>40</v>
      </c>
      <c r="E304" s="108" t="s">
        <v>45</v>
      </c>
      <c r="F304" s="71" t="s">
        <v>42</v>
      </c>
      <c r="G304" s="108">
        <v>5000</v>
      </c>
      <c r="H304" s="112">
        <v>46164</v>
      </c>
      <c r="I304" s="109">
        <v>270</v>
      </c>
    </row>
    <row r="305" spans="1:9" ht="14.4" customHeight="1" x14ac:dyDescent="0.3">
      <c r="A305" s="108" t="s">
        <v>43</v>
      </c>
      <c r="B305" s="108" t="s">
        <v>44</v>
      </c>
      <c r="C305" s="108" t="s">
        <v>40</v>
      </c>
      <c r="D305" s="108">
        <v>40</v>
      </c>
      <c r="E305" s="108" t="s">
        <v>45</v>
      </c>
      <c r="F305" s="71" t="s">
        <v>42</v>
      </c>
      <c r="G305" s="108">
        <v>5000</v>
      </c>
      <c r="H305" s="112">
        <v>46164</v>
      </c>
      <c r="I305" s="109">
        <v>270</v>
      </c>
    </row>
    <row r="306" spans="1:9" ht="14.4" customHeight="1" x14ac:dyDescent="0.3">
      <c r="A306" s="108" t="s">
        <v>43</v>
      </c>
      <c r="B306" s="108" t="s">
        <v>44</v>
      </c>
      <c r="C306" s="108" t="s">
        <v>40</v>
      </c>
      <c r="D306" s="108">
        <v>40</v>
      </c>
      <c r="E306" s="108" t="s">
        <v>45</v>
      </c>
      <c r="F306" s="71" t="s">
        <v>42</v>
      </c>
      <c r="G306" s="108">
        <v>5000</v>
      </c>
      <c r="H306" s="112">
        <v>46164</v>
      </c>
      <c r="I306" s="109">
        <v>270</v>
      </c>
    </row>
    <row r="307" spans="1:9" ht="14.4" customHeight="1" x14ac:dyDescent="0.3">
      <c r="A307" s="108" t="s">
        <v>43</v>
      </c>
      <c r="B307" s="108" t="s">
        <v>44</v>
      </c>
      <c r="C307" s="108" t="s">
        <v>40</v>
      </c>
      <c r="D307" s="108">
        <v>40</v>
      </c>
      <c r="E307" s="108" t="s">
        <v>45</v>
      </c>
      <c r="F307" s="71" t="s">
        <v>42</v>
      </c>
      <c r="G307" s="108">
        <v>5000</v>
      </c>
      <c r="H307" s="112">
        <v>46164</v>
      </c>
      <c r="I307" s="109">
        <v>270</v>
      </c>
    </row>
    <row r="308" spans="1:9" ht="14.4" customHeight="1" x14ac:dyDescent="0.3">
      <c r="A308" s="108" t="s">
        <v>43</v>
      </c>
      <c r="B308" s="108" t="s">
        <v>44</v>
      </c>
      <c r="C308" s="108" t="s">
        <v>40</v>
      </c>
      <c r="D308" s="108">
        <v>40</v>
      </c>
      <c r="E308" s="108" t="s">
        <v>45</v>
      </c>
      <c r="F308" s="71" t="s">
        <v>42</v>
      </c>
      <c r="G308" s="108">
        <v>5000</v>
      </c>
      <c r="H308" s="112">
        <v>46164</v>
      </c>
      <c r="I308" s="109">
        <v>270</v>
      </c>
    </row>
    <row r="309" spans="1:9" ht="14.4" customHeight="1" x14ac:dyDescent="0.3">
      <c r="A309" s="108" t="s">
        <v>43</v>
      </c>
      <c r="B309" s="108" t="s">
        <v>44</v>
      </c>
      <c r="C309" s="108" t="s">
        <v>40</v>
      </c>
      <c r="D309" s="108">
        <v>40</v>
      </c>
      <c r="E309" s="108" t="s">
        <v>45</v>
      </c>
      <c r="F309" s="71" t="s">
        <v>42</v>
      </c>
      <c r="G309" s="108">
        <v>5000</v>
      </c>
      <c r="H309" s="112">
        <v>46164</v>
      </c>
      <c r="I309" s="109">
        <v>270</v>
      </c>
    </row>
    <row r="310" spans="1:9" ht="14.4" customHeight="1" x14ac:dyDescent="0.3">
      <c r="A310" s="108" t="s">
        <v>43</v>
      </c>
      <c r="B310" s="108" t="s">
        <v>44</v>
      </c>
      <c r="C310" s="108" t="s">
        <v>40</v>
      </c>
      <c r="D310" s="108">
        <v>40</v>
      </c>
      <c r="E310" s="108" t="s">
        <v>45</v>
      </c>
      <c r="F310" s="71" t="s">
        <v>42</v>
      </c>
      <c r="G310" s="108">
        <v>5000</v>
      </c>
      <c r="H310" s="112">
        <v>46164</v>
      </c>
      <c r="I310" s="109">
        <v>270</v>
      </c>
    </row>
    <row r="311" spans="1:9" ht="14.4" customHeight="1" x14ac:dyDescent="0.3">
      <c r="A311" s="108" t="s">
        <v>43</v>
      </c>
      <c r="B311" s="108" t="s">
        <v>44</v>
      </c>
      <c r="C311" s="108" t="s">
        <v>40</v>
      </c>
      <c r="D311" s="108">
        <v>40</v>
      </c>
      <c r="E311" s="108" t="s">
        <v>45</v>
      </c>
      <c r="F311" s="71" t="s">
        <v>42</v>
      </c>
      <c r="G311" s="108">
        <v>5000</v>
      </c>
      <c r="H311" s="112">
        <v>46164</v>
      </c>
      <c r="I311" s="109">
        <v>270</v>
      </c>
    </row>
    <row r="312" spans="1:9" ht="14.4" customHeight="1" x14ac:dyDescent="0.3">
      <c r="A312" s="108" t="s">
        <v>43</v>
      </c>
      <c r="B312" s="108" t="s">
        <v>44</v>
      </c>
      <c r="C312" s="108" t="s">
        <v>40</v>
      </c>
      <c r="D312" s="108">
        <v>40</v>
      </c>
      <c r="E312" s="108" t="s">
        <v>45</v>
      </c>
      <c r="F312" s="71" t="s">
        <v>42</v>
      </c>
      <c r="G312" s="108">
        <v>5000</v>
      </c>
      <c r="H312" s="112">
        <v>46164</v>
      </c>
      <c r="I312" s="109">
        <v>270</v>
      </c>
    </row>
    <row r="313" spans="1:9" ht="14.4" customHeight="1" x14ac:dyDescent="0.3">
      <c r="A313" s="108" t="s">
        <v>43</v>
      </c>
      <c r="B313" s="108" t="s">
        <v>44</v>
      </c>
      <c r="C313" s="108" t="s">
        <v>40</v>
      </c>
      <c r="D313" s="108">
        <v>40</v>
      </c>
      <c r="E313" s="108" t="s">
        <v>45</v>
      </c>
      <c r="F313" s="71" t="s">
        <v>42</v>
      </c>
      <c r="G313" s="108">
        <v>5000</v>
      </c>
      <c r="H313" s="112">
        <v>46164</v>
      </c>
      <c r="I313" s="109">
        <v>270</v>
      </c>
    </row>
    <row r="314" spans="1:9" ht="14.4" customHeight="1" x14ac:dyDescent="0.3">
      <c r="A314" s="108" t="s">
        <v>43</v>
      </c>
      <c r="B314" s="108" t="s">
        <v>44</v>
      </c>
      <c r="C314" s="108" t="s">
        <v>40</v>
      </c>
      <c r="D314" s="108">
        <v>40</v>
      </c>
      <c r="E314" s="108" t="s">
        <v>45</v>
      </c>
      <c r="F314" s="71" t="s">
        <v>42</v>
      </c>
      <c r="G314" s="108">
        <v>5000</v>
      </c>
      <c r="H314" s="112">
        <v>46164</v>
      </c>
      <c r="I314" s="109">
        <v>270</v>
      </c>
    </row>
    <row r="315" spans="1:9" ht="14.4" customHeight="1" x14ac:dyDescent="0.3">
      <c r="A315" s="108" t="s">
        <v>43</v>
      </c>
      <c r="B315" s="108" t="s">
        <v>44</v>
      </c>
      <c r="C315" s="108" t="s">
        <v>40</v>
      </c>
      <c r="D315" s="108">
        <v>40</v>
      </c>
      <c r="E315" s="108" t="s">
        <v>45</v>
      </c>
      <c r="F315" s="71" t="s">
        <v>42</v>
      </c>
      <c r="G315" s="108">
        <v>5000</v>
      </c>
      <c r="H315" s="112">
        <v>46164</v>
      </c>
      <c r="I315" s="109">
        <v>270</v>
      </c>
    </row>
    <row r="316" spans="1:9" ht="14.4" customHeight="1" x14ac:dyDescent="0.3">
      <c r="A316" s="108" t="s">
        <v>43</v>
      </c>
      <c r="B316" s="108" t="s">
        <v>44</v>
      </c>
      <c r="C316" s="108" t="s">
        <v>40</v>
      </c>
      <c r="D316" s="108">
        <v>40</v>
      </c>
      <c r="E316" s="108" t="s">
        <v>45</v>
      </c>
      <c r="F316" s="71" t="s">
        <v>42</v>
      </c>
      <c r="G316" s="108">
        <v>5000</v>
      </c>
      <c r="H316" s="112">
        <v>46164</v>
      </c>
      <c r="I316" s="109">
        <v>270</v>
      </c>
    </row>
    <row r="317" spans="1:9" ht="14.4" customHeight="1" x14ac:dyDescent="0.3">
      <c r="A317" s="108" t="s">
        <v>43</v>
      </c>
      <c r="B317" s="108" t="s">
        <v>44</v>
      </c>
      <c r="C317" s="108" t="s">
        <v>40</v>
      </c>
      <c r="D317" s="108">
        <v>40</v>
      </c>
      <c r="E317" s="108" t="s">
        <v>45</v>
      </c>
      <c r="F317" s="71" t="s">
        <v>42</v>
      </c>
      <c r="G317" s="108">
        <v>5000</v>
      </c>
      <c r="H317" s="112">
        <v>46164</v>
      </c>
      <c r="I317" s="109">
        <v>270</v>
      </c>
    </row>
    <row r="318" spans="1:9" ht="14.4" customHeight="1" x14ac:dyDescent="0.3">
      <c r="A318" s="108" t="s">
        <v>43</v>
      </c>
      <c r="B318" s="108" t="s">
        <v>44</v>
      </c>
      <c r="C318" s="108" t="s">
        <v>40</v>
      </c>
      <c r="D318" s="108">
        <v>40</v>
      </c>
      <c r="E318" s="108" t="s">
        <v>45</v>
      </c>
      <c r="F318" s="71" t="s">
        <v>42</v>
      </c>
      <c r="G318" s="108">
        <v>5000</v>
      </c>
      <c r="H318" s="112">
        <v>46164</v>
      </c>
      <c r="I318" s="109">
        <v>270</v>
      </c>
    </row>
    <row r="319" spans="1:9" ht="14.4" customHeight="1" x14ac:dyDescent="0.3">
      <c r="A319" s="108" t="s">
        <v>43</v>
      </c>
      <c r="B319" s="108" t="s">
        <v>44</v>
      </c>
      <c r="C319" s="108" t="s">
        <v>40</v>
      </c>
      <c r="D319" s="108">
        <v>40</v>
      </c>
      <c r="E319" s="108" t="s">
        <v>45</v>
      </c>
      <c r="F319" s="71" t="s">
        <v>42</v>
      </c>
      <c r="G319" s="108">
        <v>5000</v>
      </c>
      <c r="H319" s="112">
        <v>46164</v>
      </c>
      <c r="I319" s="109">
        <v>270</v>
      </c>
    </row>
    <row r="320" spans="1:9" ht="14.4" customHeight="1" x14ac:dyDescent="0.3">
      <c r="A320" s="108" t="s">
        <v>43</v>
      </c>
      <c r="B320" s="108" t="s">
        <v>44</v>
      </c>
      <c r="C320" s="108" t="s">
        <v>40</v>
      </c>
      <c r="D320" s="108">
        <v>40</v>
      </c>
      <c r="E320" s="108" t="s">
        <v>45</v>
      </c>
      <c r="F320" s="71" t="s">
        <v>42</v>
      </c>
      <c r="G320" s="108">
        <v>5000</v>
      </c>
      <c r="H320" s="112">
        <v>46164</v>
      </c>
      <c r="I320" s="109">
        <v>270</v>
      </c>
    </row>
    <row r="321" spans="1:9" ht="14.4" customHeight="1" x14ac:dyDescent="0.3">
      <c r="A321" s="108" t="s">
        <v>43</v>
      </c>
      <c r="B321" s="108" t="s">
        <v>44</v>
      </c>
      <c r="C321" s="108" t="s">
        <v>40</v>
      </c>
      <c r="D321" s="108">
        <v>40</v>
      </c>
      <c r="E321" s="108" t="s">
        <v>45</v>
      </c>
      <c r="F321" s="71" t="s">
        <v>42</v>
      </c>
      <c r="G321" s="108">
        <v>5000</v>
      </c>
      <c r="H321" s="112">
        <v>46164</v>
      </c>
      <c r="I321" s="109">
        <v>270</v>
      </c>
    </row>
    <row r="322" spans="1:9" ht="14.4" customHeight="1" x14ac:dyDescent="0.3">
      <c r="A322" s="108" t="s">
        <v>43</v>
      </c>
      <c r="B322" s="108" t="s">
        <v>44</v>
      </c>
      <c r="C322" s="108" t="s">
        <v>40</v>
      </c>
      <c r="D322" s="108">
        <v>40</v>
      </c>
      <c r="E322" s="108" t="s">
        <v>45</v>
      </c>
      <c r="F322" s="71" t="s">
        <v>42</v>
      </c>
      <c r="G322" s="108">
        <v>5000</v>
      </c>
      <c r="H322" s="112">
        <v>46164</v>
      </c>
      <c r="I322" s="109">
        <v>270</v>
      </c>
    </row>
    <row r="323" spans="1:9" ht="14.4" customHeight="1" x14ac:dyDescent="0.3">
      <c r="A323" s="108" t="s">
        <v>43</v>
      </c>
      <c r="B323" s="108" t="s">
        <v>44</v>
      </c>
      <c r="C323" s="108" t="s">
        <v>40</v>
      </c>
      <c r="D323" s="108">
        <v>40</v>
      </c>
      <c r="E323" s="108" t="s">
        <v>45</v>
      </c>
      <c r="F323" s="71" t="s">
        <v>42</v>
      </c>
      <c r="G323" s="108">
        <v>5000</v>
      </c>
      <c r="H323" s="112">
        <v>46164</v>
      </c>
      <c r="I323" s="109">
        <v>270</v>
      </c>
    </row>
    <row r="324" spans="1:9" ht="14.4" customHeight="1" x14ac:dyDescent="0.3">
      <c r="A324" s="108" t="s">
        <v>43</v>
      </c>
      <c r="B324" s="108" t="s">
        <v>44</v>
      </c>
      <c r="C324" s="108" t="s">
        <v>40</v>
      </c>
      <c r="D324" s="108">
        <v>40</v>
      </c>
      <c r="E324" s="108" t="s">
        <v>45</v>
      </c>
      <c r="F324" s="71" t="s">
        <v>42</v>
      </c>
      <c r="G324" s="108">
        <v>5000</v>
      </c>
      <c r="H324" s="112">
        <v>46164</v>
      </c>
      <c r="I324" s="109">
        <v>270</v>
      </c>
    </row>
    <row r="325" spans="1:9" ht="14.4" customHeight="1" x14ac:dyDescent="0.3">
      <c r="A325" s="108" t="s">
        <v>43</v>
      </c>
      <c r="B325" s="108" t="s">
        <v>44</v>
      </c>
      <c r="C325" s="108" t="s">
        <v>40</v>
      </c>
      <c r="D325" s="108">
        <v>40</v>
      </c>
      <c r="E325" s="108" t="s">
        <v>45</v>
      </c>
      <c r="F325" s="71" t="s">
        <v>42</v>
      </c>
      <c r="G325" s="108">
        <v>5000</v>
      </c>
      <c r="H325" s="112">
        <v>46164</v>
      </c>
      <c r="I325" s="109">
        <v>270</v>
      </c>
    </row>
    <row r="326" spans="1:9" ht="14.4" customHeight="1" x14ac:dyDescent="0.3">
      <c r="A326" s="108" t="s">
        <v>43</v>
      </c>
      <c r="B326" s="108" t="s">
        <v>44</v>
      </c>
      <c r="C326" s="108" t="s">
        <v>40</v>
      </c>
      <c r="D326" s="108">
        <v>40</v>
      </c>
      <c r="E326" s="108" t="s">
        <v>45</v>
      </c>
      <c r="F326" s="71" t="s">
        <v>42</v>
      </c>
      <c r="G326" s="108">
        <v>5000</v>
      </c>
      <c r="H326" s="112">
        <v>46164</v>
      </c>
      <c r="I326" s="109">
        <v>270</v>
      </c>
    </row>
    <row r="327" spans="1:9" ht="14.4" customHeight="1" x14ac:dyDescent="0.3">
      <c r="A327" s="108" t="s">
        <v>43</v>
      </c>
      <c r="B327" s="108" t="s">
        <v>44</v>
      </c>
      <c r="C327" s="108" t="s">
        <v>40</v>
      </c>
      <c r="D327" s="108">
        <v>40</v>
      </c>
      <c r="E327" s="108" t="s">
        <v>45</v>
      </c>
      <c r="F327" s="71" t="s">
        <v>42</v>
      </c>
      <c r="G327" s="108">
        <v>5000</v>
      </c>
      <c r="H327" s="112">
        <v>46164</v>
      </c>
      <c r="I327" s="109">
        <v>270</v>
      </c>
    </row>
    <row r="328" spans="1:9" ht="14.4" customHeight="1" x14ac:dyDescent="0.3">
      <c r="A328" s="108" t="s">
        <v>43</v>
      </c>
      <c r="B328" s="108" t="s">
        <v>44</v>
      </c>
      <c r="C328" s="108" t="s">
        <v>40</v>
      </c>
      <c r="D328" s="108">
        <v>40</v>
      </c>
      <c r="E328" s="108" t="s">
        <v>45</v>
      </c>
      <c r="F328" s="71" t="s">
        <v>42</v>
      </c>
      <c r="G328" s="108">
        <v>5000</v>
      </c>
      <c r="H328" s="112">
        <v>46164</v>
      </c>
      <c r="I328" s="109">
        <v>270</v>
      </c>
    </row>
    <row r="329" spans="1:9" ht="14.4" customHeight="1" x14ac:dyDescent="0.3">
      <c r="A329" s="108" t="s">
        <v>43</v>
      </c>
      <c r="B329" s="108" t="s">
        <v>44</v>
      </c>
      <c r="C329" s="108" t="s">
        <v>40</v>
      </c>
      <c r="D329" s="108">
        <v>40</v>
      </c>
      <c r="E329" s="108" t="s">
        <v>45</v>
      </c>
      <c r="F329" s="71" t="s">
        <v>42</v>
      </c>
      <c r="G329" s="108">
        <v>5000</v>
      </c>
      <c r="H329" s="112">
        <v>46171</v>
      </c>
      <c r="I329" s="109">
        <v>222</v>
      </c>
    </row>
    <row r="330" spans="1:9" ht="14.4" customHeight="1" x14ac:dyDescent="0.3">
      <c r="A330" s="108" t="s">
        <v>43</v>
      </c>
      <c r="B330" s="108" t="s">
        <v>44</v>
      </c>
      <c r="C330" s="108" t="s">
        <v>40</v>
      </c>
      <c r="D330" s="108">
        <v>40</v>
      </c>
      <c r="E330" s="108" t="s">
        <v>45</v>
      </c>
      <c r="F330" s="71" t="s">
        <v>42</v>
      </c>
      <c r="G330" s="108">
        <v>5000</v>
      </c>
      <c r="H330" s="112">
        <v>46171</v>
      </c>
      <c r="I330" s="109">
        <v>171</v>
      </c>
    </row>
    <row r="331" spans="1:9" ht="14.4" customHeight="1" x14ac:dyDescent="0.3">
      <c r="A331" s="108" t="s">
        <v>43</v>
      </c>
      <c r="B331" s="108" t="s">
        <v>44</v>
      </c>
      <c r="C331" s="108" t="s">
        <v>40</v>
      </c>
      <c r="D331" s="108">
        <v>40</v>
      </c>
      <c r="E331" s="108" t="s">
        <v>45</v>
      </c>
      <c r="F331" s="71" t="s">
        <v>42</v>
      </c>
      <c r="G331" s="108">
        <v>5000</v>
      </c>
      <c r="H331" s="112">
        <v>46171</v>
      </c>
      <c r="I331" s="109">
        <v>270</v>
      </c>
    </row>
    <row r="332" spans="1:9" ht="14.4" customHeight="1" x14ac:dyDescent="0.3">
      <c r="A332" s="108" t="s">
        <v>43</v>
      </c>
      <c r="B332" s="108" t="s">
        <v>44</v>
      </c>
      <c r="C332" s="108" t="s">
        <v>40</v>
      </c>
      <c r="D332" s="108">
        <v>40</v>
      </c>
      <c r="E332" s="108" t="s">
        <v>45</v>
      </c>
      <c r="F332" s="71" t="s">
        <v>42</v>
      </c>
      <c r="G332" s="108">
        <v>5000</v>
      </c>
      <c r="H332" s="112">
        <v>46171</v>
      </c>
      <c r="I332" s="109">
        <v>270</v>
      </c>
    </row>
    <row r="333" spans="1:9" ht="14.4" customHeight="1" x14ac:dyDescent="0.3">
      <c r="A333" s="108" t="s">
        <v>43</v>
      </c>
      <c r="B333" s="108" t="s">
        <v>44</v>
      </c>
      <c r="C333" s="108" t="s">
        <v>40</v>
      </c>
      <c r="D333" s="108">
        <v>40</v>
      </c>
      <c r="E333" s="108" t="s">
        <v>45</v>
      </c>
      <c r="F333" s="71" t="s">
        <v>42</v>
      </c>
      <c r="G333" s="108">
        <v>5000</v>
      </c>
      <c r="H333" s="112">
        <v>46171</v>
      </c>
      <c r="I333" s="109">
        <v>270</v>
      </c>
    </row>
    <row r="334" spans="1:9" ht="14.4" customHeight="1" x14ac:dyDescent="0.3">
      <c r="A334" s="108" t="s">
        <v>43</v>
      </c>
      <c r="B334" s="108" t="s">
        <v>44</v>
      </c>
      <c r="C334" s="108" t="s">
        <v>40</v>
      </c>
      <c r="D334" s="108">
        <v>40</v>
      </c>
      <c r="E334" s="108" t="s">
        <v>45</v>
      </c>
      <c r="F334" s="71" t="s">
        <v>42</v>
      </c>
      <c r="G334" s="108">
        <v>5000</v>
      </c>
      <c r="H334" s="112">
        <v>46171</v>
      </c>
      <c r="I334" s="109">
        <v>270</v>
      </c>
    </row>
    <row r="335" spans="1:9" ht="14.4" customHeight="1" x14ac:dyDescent="0.3">
      <c r="A335" s="108" t="s">
        <v>43</v>
      </c>
      <c r="B335" s="108" t="s">
        <v>44</v>
      </c>
      <c r="C335" s="108" t="s">
        <v>40</v>
      </c>
      <c r="D335" s="108">
        <v>40</v>
      </c>
      <c r="E335" s="108" t="s">
        <v>45</v>
      </c>
      <c r="F335" s="71" t="s">
        <v>42</v>
      </c>
      <c r="G335" s="108">
        <v>5000</v>
      </c>
      <c r="H335" s="112">
        <v>46171</v>
      </c>
      <c r="I335" s="109">
        <v>270</v>
      </c>
    </row>
    <row r="336" spans="1:9" ht="14.4" customHeight="1" x14ac:dyDescent="0.3">
      <c r="A336" s="108" t="s">
        <v>43</v>
      </c>
      <c r="B336" s="108" t="s">
        <v>44</v>
      </c>
      <c r="C336" s="108" t="s">
        <v>40</v>
      </c>
      <c r="D336" s="108">
        <v>40</v>
      </c>
      <c r="E336" s="108" t="s">
        <v>45</v>
      </c>
      <c r="F336" s="71" t="s">
        <v>42</v>
      </c>
      <c r="G336" s="108">
        <v>5000</v>
      </c>
      <c r="H336" s="112">
        <v>46171</v>
      </c>
      <c r="I336" s="109">
        <v>270</v>
      </c>
    </row>
    <row r="337" spans="1:9" ht="14.4" customHeight="1" x14ac:dyDescent="0.3">
      <c r="A337" s="108" t="s">
        <v>43</v>
      </c>
      <c r="B337" s="108" t="s">
        <v>44</v>
      </c>
      <c r="C337" s="108" t="s">
        <v>40</v>
      </c>
      <c r="D337" s="108">
        <v>40</v>
      </c>
      <c r="E337" s="108" t="s">
        <v>45</v>
      </c>
      <c r="F337" s="71" t="s">
        <v>42</v>
      </c>
      <c r="G337" s="108">
        <v>5000</v>
      </c>
      <c r="H337" s="112">
        <v>46171</v>
      </c>
      <c r="I337" s="109">
        <v>269</v>
      </c>
    </row>
    <row r="338" spans="1:9" ht="14.4" customHeight="1" x14ac:dyDescent="0.3">
      <c r="A338" s="108" t="s">
        <v>43</v>
      </c>
      <c r="B338" s="108" t="s">
        <v>44</v>
      </c>
      <c r="C338" s="108" t="s">
        <v>40</v>
      </c>
      <c r="D338" s="108">
        <v>40</v>
      </c>
      <c r="E338" s="108" t="s">
        <v>45</v>
      </c>
      <c r="F338" s="71" t="s">
        <v>42</v>
      </c>
      <c r="G338" s="108">
        <v>5000</v>
      </c>
      <c r="H338" s="112">
        <v>46171</v>
      </c>
      <c r="I338" s="109">
        <v>270</v>
      </c>
    </row>
    <row r="339" spans="1:9" ht="14.4" customHeight="1" x14ac:dyDescent="0.3">
      <c r="A339" s="108" t="s">
        <v>43</v>
      </c>
      <c r="B339" s="108" t="s">
        <v>44</v>
      </c>
      <c r="C339" s="108" t="s">
        <v>40</v>
      </c>
      <c r="D339" s="108">
        <v>40</v>
      </c>
      <c r="E339" s="108" t="s">
        <v>45</v>
      </c>
      <c r="F339" s="71" t="s">
        <v>42</v>
      </c>
      <c r="G339" s="108">
        <v>5000</v>
      </c>
      <c r="H339" s="112">
        <v>46171</v>
      </c>
      <c r="I339" s="109">
        <v>270</v>
      </c>
    </row>
    <row r="340" spans="1:9" ht="14.4" customHeight="1" x14ac:dyDescent="0.3">
      <c r="A340" s="108" t="s">
        <v>43</v>
      </c>
      <c r="B340" s="108" t="s">
        <v>44</v>
      </c>
      <c r="C340" s="108" t="s">
        <v>40</v>
      </c>
      <c r="D340" s="108">
        <v>40</v>
      </c>
      <c r="E340" s="108" t="s">
        <v>45</v>
      </c>
      <c r="F340" s="71" t="s">
        <v>42</v>
      </c>
      <c r="G340" s="108">
        <v>5000</v>
      </c>
      <c r="H340" s="112">
        <v>46171</v>
      </c>
      <c r="I340" s="109">
        <v>227</v>
      </c>
    </row>
    <row r="341" spans="1:9" ht="14.4" customHeight="1" x14ac:dyDescent="0.3">
      <c r="A341" s="108" t="s">
        <v>43</v>
      </c>
      <c r="B341" s="108" t="s">
        <v>44</v>
      </c>
      <c r="C341" s="108" t="s">
        <v>40</v>
      </c>
      <c r="D341" s="108">
        <v>40</v>
      </c>
      <c r="E341" s="108" t="s">
        <v>45</v>
      </c>
      <c r="F341" s="71" t="s">
        <v>42</v>
      </c>
      <c r="G341" s="108">
        <v>5000</v>
      </c>
      <c r="H341" s="112">
        <v>46171</v>
      </c>
      <c r="I341" s="109">
        <v>264</v>
      </c>
    </row>
    <row r="342" spans="1:9" ht="14.4" customHeight="1" x14ac:dyDescent="0.3">
      <c r="A342" s="108" t="s">
        <v>43</v>
      </c>
      <c r="B342" s="108" t="s">
        <v>44</v>
      </c>
      <c r="C342" s="108" t="s">
        <v>40</v>
      </c>
      <c r="D342" s="108">
        <v>40</v>
      </c>
      <c r="E342" s="108" t="s">
        <v>45</v>
      </c>
      <c r="F342" s="71" t="s">
        <v>42</v>
      </c>
      <c r="G342" s="108">
        <v>5000</v>
      </c>
      <c r="H342" s="112">
        <v>46171</v>
      </c>
      <c r="I342" s="109">
        <v>270</v>
      </c>
    </row>
    <row r="343" spans="1:9" ht="14.4" customHeight="1" x14ac:dyDescent="0.3">
      <c r="A343" s="108" t="s">
        <v>43</v>
      </c>
      <c r="B343" s="108" t="s">
        <v>44</v>
      </c>
      <c r="C343" s="108" t="s">
        <v>40</v>
      </c>
      <c r="D343" s="108">
        <v>40</v>
      </c>
      <c r="E343" s="108" t="s">
        <v>45</v>
      </c>
      <c r="F343" s="71" t="s">
        <v>42</v>
      </c>
      <c r="G343" s="108">
        <v>5000</v>
      </c>
      <c r="H343" s="112">
        <v>46171</v>
      </c>
      <c r="I343" s="109">
        <v>270</v>
      </c>
    </row>
    <row r="344" spans="1:9" ht="14.4" customHeight="1" x14ac:dyDescent="0.3">
      <c r="A344" s="108" t="s">
        <v>43</v>
      </c>
      <c r="B344" s="108" t="s">
        <v>44</v>
      </c>
      <c r="C344" s="108" t="s">
        <v>40</v>
      </c>
      <c r="D344" s="108">
        <v>40</v>
      </c>
      <c r="E344" s="108" t="s">
        <v>45</v>
      </c>
      <c r="F344" s="71" t="s">
        <v>42</v>
      </c>
      <c r="G344" s="108">
        <v>5000</v>
      </c>
      <c r="H344" s="112">
        <v>46171</v>
      </c>
      <c r="I344" s="109">
        <v>270</v>
      </c>
    </row>
    <row r="345" spans="1:9" ht="14.4" customHeight="1" x14ac:dyDescent="0.3">
      <c r="A345" s="108" t="s">
        <v>43</v>
      </c>
      <c r="B345" s="108" t="s">
        <v>44</v>
      </c>
      <c r="C345" s="108" t="s">
        <v>40</v>
      </c>
      <c r="D345" s="108">
        <v>40</v>
      </c>
      <c r="E345" s="108" t="s">
        <v>45</v>
      </c>
      <c r="F345" s="71" t="s">
        <v>42</v>
      </c>
      <c r="G345" s="108">
        <v>5000</v>
      </c>
      <c r="H345" s="112">
        <v>46171</v>
      </c>
      <c r="I345" s="109">
        <v>270</v>
      </c>
    </row>
    <row r="346" spans="1:9" ht="14.4" customHeight="1" x14ac:dyDescent="0.3">
      <c r="A346" s="108" t="s">
        <v>43</v>
      </c>
      <c r="B346" s="108" t="s">
        <v>44</v>
      </c>
      <c r="C346" s="108" t="s">
        <v>40</v>
      </c>
      <c r="D346" s="108">
        <v>40</v>
      </c>
      <c r="E346" s="108" t="s">
        <v>45</v>
      </c>
      <c r="F346" s="71" t="s">
        <v>42</v>
      </c>
      <c r="G346" s="108">
        <v>5000</v>
      </c>
      <c r="H346" s="112">
        <v>46171</v>
      </c>
      <c r="I346" s="109">
        <v>270</v>
      </c>
    </row>
    <row r="347" spans="1:9" ht="14.4" customHeight="1" x14ac:dyDescent="0.3">
      <c r="A347" s="108" t="s">
        <v>43</v>
      </c>
      <c r="B347" s="108" t="s">
        <v>44</v>
      </c>
      <c r="C347" s="108" t="s">
        <v>40</v>
      </c>
      <c r="D347" s="108">
        <v>40</v>
      </c>
      <c r="E347" s="108" t="s">
        <v>45</v>
      </c>
      <c r="F347" s="71" t="s">
        <v>42</v>
      </c>
      <c r="G347" s="108">
        <v>5000</v>
      </c>
      <c r="H347" s="112">
        <v>46171</v>
      </c>
      <c r="I347" s="109">
        <v>207</v>
      </c>
    </row>
    <row r="348" spans="1:9" ht="14.4" customHeight="1" x14ac:dyDescent="0.3">
      <c r="A348" s="108" t="s">
        <v>43</v>
      </c>
      <c r="B348" s="108" t="s">
        <v>44</v>
      </c>
      <c r="C348" s="108" t="s">
        <v>40</v>
      </c>
      <c r="D348" s="108">
        <v>40</v>
      </c>
      <c r="E348" s="108" t="s">
        <v>45</v>
      </c>
      <c r="F348" s="71" t="s">
        <v>42</v>
      </c>
      <c r="G348" s="108">
        <v>5000</v>
      </c>
      <c r="H348" s="112">
        <v>46171</v>
      </c>
      <c r="I348" s="109">
        <v>270</v>
      </c>
    </row>
    <row r="349" spans="1:9" ht="14.4" customHeight="1" x14ac:dyDescent="0.3">
      <c r="A349" s="108" t="s">
        <v>43</v>
      </c>
      <c r="B349" s="108" t="s">
        <v>44</v>
      </c>
      <c r="C349" s="108" t="s">
        <v>40</v>
      </c>
      <c r="D349" s="108">
        <v>40</v>
      </c>
      <c r="E349" s="108" t="s">
        <v>45</v>
      </c>
      <c r="F349" s="71" t="s">
        <v>42</v>
      </c>
      <c r="G349" s="108">
        <v>5000</v>
      </c>
      <c r="H349" s="112">
        <v>46171</v>
      </c>
      <c r="I349" s="109">
        <v>160</v>
      </c>
    </row>
    <row r="350" spans="1:9" ht="14.4" customHeight="1" x14ac:dyDescent="0.3">
      <c r="A350" s="108" t="s">
        <v>43</v>
      </c>
      <c r="B350" s="108" t="s">
        <v>44</v>
      </c>
      <c r="C350" s="108" t="s">
        <v>40</v>
      </c>
      <c r="D350" s="108">
        <v>40</v>
      </c>
      <c r="E350" s="108" t="s">
        <v>45</v>
      </c>
      <c r="F350" s="71" t="s">
        <v>42</v>
      </c>
      <c r="G350" s="108">
        <v>5000</v>
      </c>
      <c r="H350" s="112">
        <v>46171</v>
      </c>
      <c r="I350" s="109">
        <v>270</v>
      </c>
    </row>
    <row r="351" spans="1:9" ht="14.4" customHeight="1" x14ac:dyDescent="0.3">
      <c r="A351" s="108" t="s">
        <v>43</v>
      </c>
      <c r="B351" s="108" t="s">
        <v>44</v>
      </c>
      <c r="C351" s="108" t="s">
        <v>40</v>
      </c>
      <c r="D351" s="108">
        <v>40</v>
      </c>
      <c r="E351" s="108" t="s">
        <v>45</v>
      </c>
      <c r="F351" s="71" t="s">
        <v>42</v>
      </c>
      <c r="G351" s="108">
        <v>5000</v>
      </c>
      <c r="H351" s="112">
        <v>46171</v>
      </c>
      <c r="I351" s="109">
        <v>270</v>
      </c>
    </row>
    <row r="352" spans="1:9" ht="14.4" hidden="1" customHeight="1" x14ac:dyDescent="0.3">
      <c r="A352" s="108" t="s">
        <v>43</v>
      </c>
      <c r="B352" s="108" t="s">
        <v>44</v>
      </c>
      <c r="C352" s="108" t="s">
        <v>40</v>
      </c>
      <c r="D352" s="108">
        <v>40</v>
      </c>
      <c r="E352" s="108" t="s">
        <v>45</v>
      </c>
      <c r="F352" s="71" t="s">
        <v>42</v>
      </c>
      <c r="G352" s="108">
        <v>5000</v>
      </c>
      <c r="H352" s="112">
        <v>46175</v>
      </c>
      <c r="I352" s="109">
        <v>270</v>
      </c>
    </row>
    <row r="353" spans="1:9" ht="14.4" hidden="1" customHeight="1" x14ac:dyDescent="0.3">
      <c r="A353" s="108" t="s">
        <v>43</v>
      </c>
      <c r="B353" s="108" t="s">
        <v>44</v>
      </c>
      <c r="C353" s="108" t="s">
        <v>40</v>
      </c>
      <c r="D353" s="108">
        <v>40</v>
      </c>
      <c r="E353" s="108" t="s">
        <v>45</v>
      </c>
      <c r="F353" s="71" t="s">
        <v>42</v>
      </c>
      <c r="G353" s="108">
        <v>5000</v>
      </c>
      <c r="H353" s="112">
        <v>46175</v>
      </c>
      <c r="I353" s="109">
        <v>270</v>
      </c>
    </row>
    <row r="354" spans="1:9" ht="14.4" hidden="1" customHeight="1" x14ac:dyDescent="0.3">
      <c r="A354" s="108" t="s">
        <v>43</v>
      </c>
      <c r="B354" s="108" t="s">
        <v>44</v>
      </c>
      <c r="C354" s="108" t="s">
        <v>40</v>
      </c>
      <c r="D354" s="108">
        <v>40</v>
      </c>
      <c r="E354" s="108" t="s">
        <v>45</v>
      </c>
      <c r="F354" s="71" t="s">
        <v>42</v>
      </c>
      <c r="G354" s="108">
        <v>5000</v>
      </c>
      <c r="H354" s="112">
        <v>46175</v>
      </c>
      <c r="I354" s="109">
        <v>270</v>
      </c>
    </row>
    <row r="355" spans="1:9" ht="14.4" hidden="1" customHeight="1" x14ac:dyDescent="0.3">
      <c r="A355" s="108" t="s">
        <v>43</v>
      </c>
      <c r="B355" s="108" t="s">
        <v>44</v>
      </c>
      <c r="C355" s="108" t="s">
        <v>40</v>
      </c>
      <c r="D355" s="108">
        <v>40</v>
      </c>
      <c r="E355" s="108" t="s">
        <v>45</v>
      </c>
      <c r="F355" s="71" t="s">
        <v>42</v>
      </c>
      <c r="G355" s="108">
        <v>5000</v>
      </c>
      <c r="H355" s="112">
        <v>46175</v>
      </c>
      <c r="I355" s="109">
        <v>270</v>
      </c>
    </row>
    <row r="356" spans="1:9" ht="14.4" hidden="1" customHeight="1" x14ac:dyDescent="0.3">
      <c r="A356" s="108" t="s">
        <v>43</v>
      </c>
      <c r="B356" s="108" t="s">
        <v>44</v>
      </c>
      <c r="C356" s="108" t="s">
        <v>40</v>
      </c>
      <c r="D356" s="108">
        <v>40</v>
      </c>
      <c r="E356" s="108" t="s">
        <v>45</v>
      </c>
      <c r="F356" s="71" t="s">
        <v>42</v>
      </c>
      <c r="G356" s="108">
        <v>5000</v>
      </c>
      <c r="H356" s="112">
        <v>46175</v>
      </c>
      <c r="I356" s="109">
        <v>270</v>
      </c>
    </row>
    <row r="357" spans="1:9" ht="14.4" hidden="1" customHeight="1" x14ac:dyDescent="0.3">
      <c r="A357" s="108" t="s">
        <v>43</v>
      </c>
      <c r="B357" s="108" t="s">
        <v>44</v>
      </c>
      <c r="C357" s="108" t="s">
        <v>40</v>
      </c>
      <c r="D357" s="108">
        <v>40</v>
      </c>
      <c r="E357" s="108" t="s">
        <v>45</v>
      </c>
      <c r="F357" s="71" t="s">
        <v>42</v>
      </c>
      <c r="G357" s="108">
        <v>5000</v>
      </c>
      <c r="H357" s="112">
        <v>46175</v>
      </c>
      <c r="I357" s="109">
        <v>270</v>
      </c>
    </row>
    <row r="358" spans="1:9" ht="14.4" hidden="1" customHeight="1" x14ac:dyDescent="0.3">
      <c r="A358" s="108" t="s">
        <v>43</v>
      </c>
      <c r="B358" s="108" t="s">
        <v>44</v>
      </c>
      <c r="C358" s="108" t="s">
        <v>40</v>
      </c>
      <c r="D358" s="108">
        <v>40</v>
      </c>
      <c r="E358" s="108" t="s">
        <v>45</v>
      </c>
      <c r="F358" s="71" t="s">
        <v>42</v>
      </c>
      <c r="G358" s="108">
        <v>5000</v>
      </c>
      <c r="H358" s="112">
        <v>46175</v>
      </c>
      <c r="I358" s="109">
        <v>270</v>
      </c>
    </row>
    <row r="359" spans="1:9" ht="14.4" hidden="1" customHeight="1" x14ac:dyDescent="0.3">
      <c r="A359" s="108" t="s">
        <v>43</v>
      </c>
      <c r="B359" s="108" t="s">
        <v>44</v>
      </c>
      <c r="C359" s="108" t="s">
        <v>40</v>
      </c>
      <c r="D359" s="108">
        <v>40</v>
      </c>
      <c r="E359" s="108" t="s">
        <v>45</v>
      </c>
      <c r="F359" s="71" t="s">
        <v>42</v>
      </c>
      <c r="G359" s="108">
        <v>5000</v>
      </c>
      <c r="H359" s="112">
        <v>46175</v>
      </c>
      <c r="I359" s="109">
        <v>270</v>
      </c>
    </row>
    <row r="360" spans="1:9" ht="14.4" hidden="1" customHeight="1" x14ac:dyDescent="0.3">
      <c r="A360" s="108" t="s">
        <v>43</v>
      </c>
      <c r="B360" s="108" t="s">
        <v>44</v>
      </c>
      <c r="C360" s="108" t="s">
        <v>40</v>
      </c>
      <c r="D360" s="108">
        <v>40</v>
      </c>
      <c r="E360" s="108" t="s">
        <v>45</v>
      </c>
      <c r="F360" s="71" t="s">
        <v>42</v>
      </c>
      <c r="G360" s="108">
        <v>5000</v>
      </c>
      <c r="H360" s="112">
        <v>46175</v>
      </c>
      <c r="I360" s="109">
        <v>270</v>
      </c>
    </row>
    <row r="361" spans="1:9" ht="14.4" hidden="1" customHeight="1" x14ac:dyDescent="0.3">
      <c r="A361" s="108" t="s">
        <v>43</v>
      </c>
      <c r="B361" s="108" t="s">
        <v>44</v>
      </c>
      <c r="C361" s="108" t="s">
        <v>40</v>
      </c>
      <c r="D361" s="108">
        <v>40</v>
      </c>
      <c r="E361" s="108" t="s">
        <v>45</v>
      </c>
      <c r="F361" s="71" t="s">
        <v>42</v>
      </c>
      <c r="G361" s="108">
        <v>5000</v>
      </c>
      <c r="H361" s="112">
        <v>46175</v>
      </c>
      <c r="I361" s="109">
        <v>270</v>
      </c>
    </row>
    <row r="362" spans="1:9" ht="14.4" hidden="1" customHeight="1" x14ac:dyDescent="0.3">
      <c r="A362" s="108" t="s">
        <v>43</v>
      </c>
      <c r="B362" s="108" t="s">
        <v>44</v>
      </c>
      <c r="C362" s="108" t="s">
        <v>40</v>
      </c>
      <c r="D362" s="108">
        <v>40</v>
      </c>
      <c r="E362" s="108" t="s">
        <v>45</v>
      </c>
      <c r="F362" s="71" t="s">
        <v>42</v>
      </c>
      <c r="G362" s="108">
        <v>5000</v>
      </c>
      <c r="H362" s="112">
        <v>46175</v>
      </c>
      <c r="I362" s="109">
        <v>270</v>
      </c>
    </row>
    <row r="363" spans="1:9" ht="14.4" hidden="1" customHeight="1" x14ac:dyDescent="0.3">
      <c r="A363" s="108" t="s">
        <v>43</v>
      </c>
      <c r="B363" s="108" t="s">
        <v>44</v>
      </c>
      <c r="C363" s="108" t="s">
        <v>40</v>
      </c>
      <c r="D363" s="108">
        <v>40</v>
      </c>
      <c r="E363" s="108" t="s">
        <v>45</v>
      </c>
      <c r="F363" s="71" t="s">
        <v>42</v>
      </c>
      <c r="G363" s="108">
        <v>5000</v>
      </c>
      <c r="H363" s="112">
        <v>46175</v>
      </c>
      <c r="I363" s="109">
        <v>270</v>
      </c>
    </row>
    <row r="364" spans="1:9" ht="14.4" hidden="1" customHeight="1" x14ac:dyDescent="0.3">
      <c r="A364" s="108" t="s">
        <v>43</v>
      </c>
      <c r="B364" s="108" t="s">
        <v>44</v>
      </c>
      <c r="C364" s="108" t="s">
        <v>40</v>
      </c>
      <c r="D364" s="108">
        <v>40</v>
      </c>
      <c r="E364" s="108" t="s">
        <v>45</v>
      </c>
      <c r="F364" s="71" t="s">
        <v>42</v>
      </c>
      <c r="G364" s="108">
        <v>5000</v>
      </c>
      <c r="H364" s="112">
        <v>46175</v>
      </c>
      <c r="I364" s="109">
        <v>270</v>
      </c>
    </row>
    <row r="365" spans="1:9" ht="14.4" hidden="1" customHeight="1" x14ac:dyDescent="0.3">
      <c r="A365" s="108" t="s">
        <v>43</v>
      </c>
      <c r="B365" s="108" t="s">
        <v>44</v>
      </c>
      <c r="C365" s="108" t="s">
        <v>40</v>
      </c>
      <c r="D365" s="108">
        <v>40</v>
      </c>
      <c r="E365" s="108" t="s">
        <v>45</v>
      </c>
      <c r="F365" s="71" t="s">
        <v>42</v>
      </c>
      <c r="G365" s="108">
        <v>5000</v>
      </c>
      <c r="H365" s="112">
        <v>46175</v>
      </c>
      <c r="I365" s="109">
        <v>270</v>
      </c>
    </row>
    <row r="366" spans="1:9" ht="14.4" hidden="1" customHeight="1" x14ac:dyDescent="0.3">
      <c r="A366" s="108" t="s">
        <v>43</v>
      </c>
      <c r="B366" s="108" t="s">
        <v>44</v>
      </c>
      <c r="C366" s="108" t="s">
        <v>40</v>
      </c>
      <c r="D366" s="108">
        <v>40</v>
      </c>
      <c r="E366" s="108" t="s">
        <v>45</v>
      </c>
      <c r="F366" s="71" t="s">
        <v>42</v>
      </c>
      <c r="G366" s="108">
        <v>5000</v>
      </c>
      <c r="H366" s="112">
        <v>46175</v>
      </c>
      <c r="I366" s="109">
        <v>270</v>
      </c>
    </row>
    <row r="367" spans="1:9" ht="14.4" hidden="1" customHeight="1" x14ac:dyDescent="0.3">
      <c r="A367" s="108" t="s">
        <v>43</v>
      </c>
      <c r="B367" s="108" t="s">
        <v>44</v>
      </c>
      <c r="C367" s="108" t="s">
        <v>40</v>
      </c>
      <c r="D367" s="108">
        <v>40</v>
      </c>
      <c r="E367" s="108" t="s">
        <v>45</v>
      </c>
      <c r="F367" s="71" t="s">
        <v>42</v>
      </c>
      <c r="G367" s="108">
        <v>5000</v>
      </c>
      <c r="H367" s="112">
        <v>46175</v>
      </c>
      <c r="I367" s="109">
        <v>270</v>
      </c>
    </row>
    <row r="368" spans="1:9" ht="14.4" hidden="1" customHeight="1" x14ac:dyDescent="0.3">
      <c r="A368" s="108" t="s">
        <v>43</v>
      </c>
      <c r="B368" s="108" t="s">
        <v>44</v>
      </c>
      <c r="C368" s="108" t="s">
        <v>40</v>
      </c>
      <c r="D368" s="108">
        <v>40</v>
      </c>
      <c r="E368" s="108" t="s">
        <v>45</v>
      </c>
      <c r="F368" s="71" t="s">
        <v>42</v>
      </c>
      <c r="G368" s="108">
        <v>5000</v>
      </c>
      <c r="H368" s="112">
        <v>46175</v>
      </c>
      <c r="I368" s="109">
        <v>270</v>
      </c>
    </row>
    <row r="369" spans="1:9" ht="14.4" hidden="1" customHeight="1" x14ac:dyDescent="0.3">
      <c r="A369" s="108" t="s">
        <v>43</v>
      </c>
      <c r="B369" s="108" t="s">
        <v>44</v>
      </c>
      <c r="C369" s="108" t="s">
        <v>40</v>
      </c>
      <c r="D369" s="108">
        <v>40</v>
      </c>
      <c r="E369" s="108" t="s">
        <v>45</v>
      </c>
      <c r="F369" s="71" t="s">
        <v>42</v>
      </c>
      <c r="G369" s="108">
        <v>5000</v>
      </c>
      <c r="H369" s="112">
        <v>46175</v>
      </c>
      <c r="I369" s="109">
        <v>270</v>
      </c>
    </row>
    <row r="370" spans="1:9" ht="14.4" hidden="1" customHeight="1" x14ac:dyDescent="0.3">
      <c r="A370" s="108" t="s">
        <v>43</v>
      </c>
      <c r="B370" s="108" t="s">
        <v>44</v>
      </c>
      <c r="C370" s="108" t="s">
        <v>40</v>
      </c>
      <c r="D370" s="108">
        <v>40</v>
      </c>
      <c r="E370" s="108" t="s">
        <v>45</v>
      </c>
      <c r="F370" s="71" t="s">
        <v>42</v>
      </c>
      <c r="G370" s="108">
        <v>5000</v>
      </c>
      <c r="H370" s="112">
        <v>46175</v>
      </c>
      <c r="I370" s="109">
        <v>270</v>
      </c>
    </row>
    <row r="371" spans="1:9" ht="14.4" hidden="1" customHeight="1" x14ac:dyDescent="0.3">
      <c r="A371" s="108" t="s">
        <v>43</v>
      </c>
      <c r="B371" s="108" t="s">
        <v>44</v>
      </c>
      <c r="C371" s="108" t="s">
        <v>40</v>
      </c>
      <c r="D371" s="108">
        <v>40</v>
      </c>
      <c r="E371" s="108" t="s">
        <v>45</v>
      </c>
      <c r="F371" s="71" t="s">
        <v>42</v>
      </c>
      <c r="G371" s="108">
        <v>5000</v>
      </c>
      <c r="H371" s="112">
        <v>46175</v>
      </c>
      <c r="I371" s="109">
        <v>270</v>
      </c>
    </row>
    <row r="372" spans="1:9" ht="14.4" hidden="1" customHeight="1" x14ac:dyDescent="0.3">
      <c r="A372" s="108" t="s">
        <v>43</v>
      </c>
      <c r="B372" s="108" t="s">
        <v>44</v>
      </c>
      <c r="C372" s="108" t="s">
        <v>40</v>
      </c>
      <c r="D372" s="108">
        <v>40</v>
      </c>
      <c r="E372" s="108" t="s">
        <v>45</v>
      </c>
      <c r="F372" s="71" t="s">
        <v>42</v>
      </c>
      <c r="G372" s="108">
        <v>5000</v>
      </c>
      <c r="H372" s="112">
        <v>46175</v>
      </c>
      <c r="I372" s="109">
        <v>270</v>
      </c>
    </row>
    <row r="373" spans="1:9" ht="14.4" hidden="1" customHeight="1" x14ac:dyDescent="0.3">
      <c r="A373" s="108" t="s">
        <v>43</v>
      </c>
      <c r="B373" s="108" t="s">
        <v>44</v>
      </c>
      <c r="C373" s="108" t="s">
        <v>40</v>
      </c>
      <c r="D373" s="108">
        <v>40</v>
      </c>
      <c r="E373" s="108" t="s">
        <v>45</v>
      </c>
      <c r="F373" s="71" t="s">
        <v>42</v>
      </c>
      <c r="G373" s="108">
        <v>5000</v>
      </c>
      <c r="H373" s="112">
        <v>46175</v>
      </c>
      <c r="I373" s="109">
        <v>270</v>
      </c>
    </row>
    <row r="374" spans="1:9" ht="14.4" hidden="1" customHeight="1" x14ac:dyDescent="0.3">
      <c r="A374" s="108" t="s">
        <v>43</v>
      </c>
      <c r="B374" s="108" t="s">
        <v>44</v>
      </c>
      <c r="C374" s="108" t="s">
        <v>40</v>
      </c>
      <c r="D374" s="108">
        <v>40</v>
      </c>
      <c r="E374" s="108" t="s">
        <v>45</v>
      </c>
      <c r="F374" s="71" t="s">
        <v>42</v>
      </c>
      <c r="G374" s="108">
        <v>5000</v>
      </c>
      <c r="H374" s="112">
        <v>46175</v>
      </c>
      <c r="I374" s="109">
        <v>270</v>
      </c>
    </row>
    <row r="375" spans="1:9" ht="14.4" hidden="1" customHeight="1" x14ac:dyDescent="0.3">
      <c r="A375" s="108" t="s">
        <v>43</v>
      </c>
      <c r="B375" s="108" t="s">
        <v>44</v>
      </c>
      <c r="C375" s="108" t="s">
        <v>40</v>
      </c>
      <c r="D375" s="108">
        <v>40</v>
      </c>
      <c r="E375" s="108" t="s">
        <v>45</v>
      </c>
      <c r="F375" s="71" t="s">
        <v>42</v>
      </c>
      <c r="G375" s="108">
        <v>5000</v>
      </c>
      <c r="H375" s="112">
        <v>46175</v>
      </c>
      <c r="I375" s="109">
        <v>270</v>
      </c>
    </row>
    <row r="376" spans="1:9" ht="14.4" hidden="1" customHeight="1" x14ac:dyDescent="0.3">
      <c r="A376" s="108" t="s">
        <v>43</v>
      </c>
      <c r="B376" s="108" t="s">
        <v>44</v>
      </c>
      <c r="C376" s="108" t="s">
        <v>40</v>
      </c>
      <c r="D376" s="108">
        <v>40</v>
      </c>
      <c r="E376" s="108" t="s">
        <v>45</v>
      </c>
      <c r="F376" s="71" t="s">
        <v>42</v>
      </c>
      <c r="G376" s="108">
        <v>5000</v>
      </c>
      <c r="H376" s="112">
        <v>46175</v>
      </c>
      <c r="I376" s="109">
        <v>270</v>
      </c>
    </row>
    <row r="377" spans="1:9" ht="14.4" hidden="1" customHeight="1" x14ac:dyDescent="0.3">
      <c r="A377" s="108" t="s">
        <v>43</v>
      </c>
      <c r="B377" s="108" t="s">
        <v>44</v>
      </c>
      <c r="C377" s="108" t="s">
        <v>40</v>
      </c>
      <c r="D377" s="108">
        <v>40</v>
      </c>
      <c r="E377" s="108" t="s">
        <v>45</v>
      </c>
      <c r="F377" s="71" t="s">
        <v>42</v>
      </c>
      <c r="G377" s="108">
        <v>5000</v>
      </c>
      <c r="H377" s="112">
        <v>46175</v>
      </c>
      <c r="I377" s="109">
        <v>270</v>
      </c>
    </row>
    <row r="378" spans="1:9" ht="14.4" hidden="1" customHeight="1" x14ac:dyDescent="0.3">
      <c r="A378" s="108" t="s">
        <v>43</v>
      </c>
      <c r="B378" s="108" t="s">
        <v>44</v>
      </c>
      <c r="C378" s="108" t="s">
        <v>40</v>
      </c>
      <c r="D378" s="108">
        <v>40</v>
      </c>
      <c r="E378" s="108" t="s">
        <v>45</v>
      </c>
      <c r="F378" s="71" t="s">
        <v>42</v>
      </c>
      <c r="G378" s="108">
        <v>5000</v>
      </c>
      <c r="H378" s="112">
        <v>46175</v>
      </c>
      <c r="I378" s="109">
        <v>270</v>
      </c>
    </row>
    <row r="379" spans="1:9" ht="14.4" hidden="1" customHeight="1" x14ac:dyDescent="0.3">
      <c r="A379" s="108" t="s">
        <v>43</v>
      </c>
      <c r="B379" s="108" t="s">
        <v>44</v>
      </c>
      <c r="C379" s="108" t="s">
        <v>40</v>
      </c>
      <c r="D379" s="108">
        <v>40</v>
      </c>
      <c r="E379" s="108" t="s">
        <v>45</v>
      </c>
      <c r="F379" s="71" t="s">
        <v>42</v>
      </c>
      <c r="G379" s="108">
        <v>5000</v>
      </c>
      <c r="H379" s="112">
        <v>46175</v>
      </c>
      <c r="I379" s="109">
        <v>270</v>
      </c>
    </row>
    <row r="380" spans="1:9" ht="14.4" hidden="1" customHeight="1" x14ac:dyDescent="0.3">
      <c r="A380" s="108" t="s">
        <v>43</v>
      </c>
      <c r="B380" s="108" t="s">
        <v>44</v>
      </c>
      <c r="C380" s="108" t="s">
        <v>40</v>
      </c>
      <c r="D380" s="108">
        <v>40</v>
      </c>
      <c r="E380" s="108" t="s">
        <v>45</v>
      </c>
      <c r="F380" s="71" t="s">
        <v>42</v>
      </c>
      <c r="G380" s="108">
        <v>5000</v>
      </c>
      <c r="H380" s="112">
        <v>46175</v>
      </c>
      <c r="I380" s="109">
        <v>270</v>
      </c>
    </row>
    <row r="381" spans="1:9" ht="14.4" hidden="1" customHeight="1" x14ac:dyDescent="0.3">
      <c r="A381" s="108" t="s">
        <v>43</v>
      </c>
      <c r="B381" s="108" t="s">
        <v>44</v>
      </c>
      <c r="C381" s="108" t="s">
        <v>40</v>
      </c>
      <c r="D381" s="108">
        <v>40</v>
      </c>
      <c r="E381" s="108" t="s">
        <v>45</v>
      </c>
      <c r="F381" s="71" t="s">
        <v>42</v>
      </c>
      <c r="G381" s="108">
        <v>5000</v>
      </c>
      <c r="H381" s="112">
        <v>46175</v>
      </c>
      <c r="I381" s="109">
        <v>270</v>
      </c>
    </row>
    <row r="382" spans="1:9" ht="14.4" hidden="1" customHeight="1" x14ac:dyDescent="0.3">
      <c r="A382" s="108" t="s">
        <v>43</v>
      </c>
      <c r="B382" s="108" t="s">
        <v>44</v>
      </c>
      <c r="C382" s="108" t="s">
        <v>40</v>
      </c>
      <c r="D382" s="108">
        <v>40</v>
      </c>
      <c r="E382" s="108" t="s">
        <v>45</v>
      </c>
      <c r="F382" s="71" t="s">
        <v>42</v>
      </c>
      <c r="G382" s="108">
        <v>5000</v>
      </c>
      <c r="H382" s="112">
        <v>46183</v>
      </c>
      <c r="I382" s="109">
        <v>228</v>
      </c>
    </row>
    <row r="383" spans="1:9" ht="14.4" hidden="1" customHeight="1" x14ac:dyDescent="0.3">
      <c r="A383" s="108" t="s">
        <v>43</v>
      </c>
      <c r="B383" s="108" t="s">
        <v>44</v>
      </c>
      <c r="C383" s="108" t="s">
        <v>40</v>
      </c>
      <c r="D383" s="108">
        <v>40</v>
      </c>
      <c r="E383" s="108" t="s">
        <v>45</v>
      </c>
      <c r="F383" s="71" t="s">
        <v>42</v>
      </c>
      <c r="G383" s="108">
        <v>5000</v>
      </c>
      <c r="H383" s="112">
        <v>46183</v>
      </c>
      <c r="I383" s="109">
        <v>270</v>
      </c>
    </row>
    <row r="384" spans="1:9" ht="14.4" hidden="1" customHeight="1" x14ac:dyDescent="0.3">
      <c r="A384" s="108" t="s">
        <v>43</v>
      </c>
      <c r="B384" s="108" t="s">
        <v>44</v>
      </c>
      <c r="C384" s="108" t="s">
        <v>40</v>
      </c>
      <c r="D384" s="108">
        <v>40</v>
      </c>
      <c r="E384" s="108" t="s">
        <v>45</v>
      </c>
      <c r="F384" s="71" t="s">
        <v>42</v>
      </c>
      <c r="G384" s="108">
        <v>5000</v>
      </c>
      <c r="H384" s="112">
        <v>46183</v>
      </c>
      <c r="I384" s="109">
        <v>270</v>
      </c>
    </row>
    <row r="385" spans="1:9" ht="14.4" hidden="1" customHeight="1" x14ac:dyDescent="0.3">
      <c r="A385" s="108" t="s">
        <v>43</v>
      </c>
      <c r="B385" s="108" t="s">
        <v>44</v>
      </c>
      <c r="C385" s="108" t="s">
        <v>40</v>
      </c>
      <c r="D385" s="108">
        <v>40</v>
      </c>
      <c r="E385" s="108" t="s">
        <v>45</v>
      </c>
      <c r="F385" s="71" t="s">
        <v>42</v>
      </c>
      <c r="G385" s="108">
        <v>5000</v>
      </c>
      <c r="H385" s="112">
        <v>46183</v>
      </c>
      <c r="I385" s="109">
        <v>233</v>
      </c>
    </row>
    <row r="386" spans="1:9" ht="14.4" hidden="1" customHeight="1" x14ac:dyDescent="0.3">
      <c r="A386" s="108" t="s">
        <v>43</v>
      </c>
      <c r="B386" s="108" t="s">
        <v>44</v>
      </c>
      <c r="C386" s="108" t="s">
        <v>40</v>
      </c>
      <c r="D386" s="108">
        <v>40</v>
      </c>
      <c r="E386" s="108" t="s">
        <v>45</v>
      </c>
      <c r="F386" s="71" t="s">
        <v>42</v>
      </c>
      <c r="G386" s="108">
        <v>5000</v>
      </c>
      <c r="H386" s="112">
        <v>46190</v>
      </c>
      <c r="I386" s="109">
        <v>270</v>
      </c>
    </row>
    <row r="387" spans="1:9" ht="14.4" hidden="1" customHeight="1" x14ac:dyDescent="0.3">
      <c r="A387" s="108" t="s">
        <v>43</v>
      </c>
      <c r="B387" s="108" t="s">
        <v>44</v>
      </c>
      <c r="C387" s="108" t="s">
        <v>40</v>
      </c>
      <c r="D387" s="108">
        <v>40</v>
      </c>
      <c r="E387" s="108" t="s">
        <v>45</v>
      </c>
      <c r="F387" s="71" t="s">
        <v>42</v>
      </c>
      <c r="G387" s="108">
        <v>5000</v>
      </c>
      <c r="H387" s="112">
        <v>46190</v>
      </c>
      <c r="I387" s="109">
        <v>192</v>
      </c>
    </row>
    <row r="388" spans="1:9" ht="14.4" hidden="1" customHeight="1" x14ac:dyDescent="0.3">
      <c r="A388" s="108" t="s">
        <v>43</v>
      </c>
      <c r="B388" s="108" t="s">
        <v>44</v>
      </c>
      <c r="C388" s="108" t="s">
        <v>40</v>
      </c>
      <c r="D388" s="108">
        <v>40</v>
      </c>
      <c r="E388" s="108" t="s">
        <v>45</v>
      </c>
      <c r="F388" s="71" t="s">
        <v>42</v>
      </c>
      <c r="G388" s="108">
        <v>5000</v>
      </c>
      <c r="H388" s="112">
        <v>46190</v>
      </c>
      <c r="I388" s="109">
        <v>204</v>
      </c>
    </row>
    <row r="389" spans="1:9" ht="14.4" hidden="1" customHeight="1" x14ac:dyDescent="0.3">
      <c r="A389" s="108" t="s">
        <v>43</v>
      </c>
      <c r="B389" s="108" t="s">
        <v>44</v>
      </c>
      <c r="C389" s="108" t="s">
        <v>40</v>
      </c>
      <c r="D389" s="108">
        <v>40</v>
      </c>
      <c r="E389" s="108" t="s">
        <v>45</v>
      </c>
      <c r="F389" s="71" t="s">
        <v>42</v>
      </c>
      <c r="G389" s="108">
        <v>5000</v>
      </c>
      <c r="H389" s="112">
        <v>46190</v>
      </c>
      <c r="I389" s="109">
        <v>270</v>
      </c>
    </row>
    <row r="390" spans="1:9" ht="14.4" hidden="1" customHeight="1" x14ac:dyDescent="0.3">
      <c r="A390" s="108" t="s">
        <v>43</v>
      </c>
      <c r="B390" s="108" t="s">
        <v>44</v>
      </c>
      <c r="C390" s="108" t="s">
        <v>40</v>
      </c>
      <c r="D390" s="108">
        <v>40</v>
      </c>
      <c r="E390" s="108" t="s">
        <v>45</v>
      </c>
      <c r="F390" s="71" t="s">
        <v>42</v>
      </c>
      <c r="G390" s="108">
        <v>5000</v>
      </c>
      <c r="H390" s="112">
        <v>46190</v>
      </c>
      <c r="I390" s="109">
        <v>234</v>
      </c>
    </row>
    <row r="391" spans="1:9" ht="14.4" hidden="1" customHeight="1" x14ac:dyDescent="0.3">
      <c r="A391" s="108" t="s">
        <v>43</v>
      </c>
      <c r="B391" s="108" t="s">
        <v>44</v>
      </c>
      <c r="C391" s="108" t="s">
        <v>40</v>
      </c>
      <c r="D391" s="108">
        <v>40</v>
      </c>
      <c r="E391" s="108" t="s">
        <v>45</v>
      </c>
      <c r="F391" s="71" t="s">
        <v>42</v>
      </c>
      <c r="G391" s="108">
        <v>5000</v>
      </c>
      <c r="H391" s="112">
        <v>46190</v>
      </c>
      <c r="I391" s="109">
        <v>270</v>
      </c>
    </row>
    <row r="392" spans="1:9" ht="14.4" hidden="1" customHeight="1" x14ac:dyDescent="0.3">
      <c r="A392" s="108" t="s">
        <v>43</v>
      </c>
      <c r="B392" s="108" t="s">
        <v>44</v>
      </c>
      <c r="C392" s="108" t="s">
        <v>40</v>
      </c>
      <c r="D392" s="108">
        <v>40</v>
      </c>
      <c r="E392" s="108" t="s">
        <v>45</v>
      </c>
      <c r="F392" s="71" t="s">
        <v>42</v>
      </c>
      <c r="G392" s="108">
        <v>5000</v>
      </c>
      <c r="H392" s="112">
        <v>46190</v>
      </c>
      <c r="I392" s="109">
        <v>179</v>
      </c>
    </row>
    <row r="393" spans="1:9" ht="14.4" hidden="1" customHeight="1" x14ac:dyDescent="0.3">
      <c r="A393" s="108" t="s">
        <v>43</v>
      </c>
      <c r="B393" s="108" t="s">
        <v>44</v>
      </c>
      <c r="C393" s="108" t="s">
        <v>40</v>
      </c>
      <c r="D393" s="108">
        <v>40</v>
      </c>
      <c r="E393" s="108" t="s">
        <v>45</v>
      </c>
      <c r="F393" s="71" t="s">
        <v>42</v>
      </c>
      <c r="G393" s="108">
        <v>5000</v>
      </c>
      <c r="H393" s="112">
        <v>46190</v>
      </c>
      <c r="I393" s="109">
        <v>270</v>
      </c>
    </row>
    <row r="394" spans="1:9" ht="14.4" hidden="1" customHeight="1" x14ac:dyDescent="0.3">
      <c r="A394" s="108" t="s">
        <v>43</v>
      </c>
      <c r="B394" s="108" t="s">
        <v>44</v>
      </c>
      <c r="C394" s="108" t="s">
        <v>40</v>
      </c>
      <c r="D394" s="108">
        <v>40</v>
      </c>
      <c r="E394" s="108" t="s">
        <v>45</v>
      </c>
      <c r="F394" s="71" t="s">
        <v>42</v>
      </c>
      <c r="G394" s="108">
        <v>5000</v>
      </c>
      <c r="H394" s="112">
        <v>46192</v>
      </c>
      <c r="I394" s="109">
        <v>582</v>
      </c>
    </row>
    <row r="395" spans="1:9" ht="14.4" hidden="1" customHeight="1" x14ac:dyDescent="0.3">
      <c r="A395" s="108" t="s">
        <v>43</v>
      </c>
      <c r="B395" s="108" t="s">
        <v>44</v>
      </c>
      <c r="C395" s="108" t="s">
        <v>40</v>
      </c>
      <c r="D395" s="108">
        <v>40</v>
      </c>
      <c r="E395" s="108" t="s">
        <v>45</v>
      </c>
      <c r="F395" s="71" t="s">
        <v>42</v>
      </c>
      <c r="G395" s="108">
        <v>5000</v>
      </c>
      <c r="H395" s="112">
        <v>46197</v>
      </c>
      <c r="I395" s="109">
        <v>228</v>
      </c>
    </row>
    <row r="396" spans="1:9" ht="14.4" hidden="1" customHeight="1" x14ac:dyDescent="0.3">
      <c r="A396" s="108" t="s">
        <v>43</v>
      </c>
      <c r="B396" s="108" t="s">
        <v>44</v>
      </c>
      <c r="C396" s="108" t="s">
        <v>40</v>
      </c>
      <c r="D396" s="108">
        <v>40</v>
      </c>
      <c r="E396" s="108" t="s">
        <v>45</v>
      </c>
      <c r="F396" s="71" t="s">
        <v>42</v>
      </c>
      <c r="G396" s="108">
        <v>5000</v>
      </c>
      <c r="H396" s="112">
        <v>46197</v>
      </c>
      <c r="I396" s="109">
        <v>234</v>
      </c>
    </row>
    <row r="397" spans="1:9" ht="14.4" hidden="1" customHeight="1" x14ac:dyDescent="0.3">
      <c r="A397" s="108" t="s">
        <v>43</v>
      </c>
      <c r="B397" s="108" t="s">
        <v>44</v>
      </c>
      <c r="C397" s="108" t="s">
        <v>40</v>
      </c>
      <c r="D397" s="108">
        <v>40</v>
      </c>
      <c r="E397" s="108" t="s">
        <v>45</v>
      </c>
      <c r="F397" s="71" t="s">
        <v>42</v>
      </c>
      <c r="G397" s="108">
        <v>5000</v>
      </c>
      <c r="H397" s="112">
        <v>46197</v>
      </c>
      <c r="I397" s="109">
        <v>228</v>
      </c>
    </row>
    <row r="398" spans="1:9" ht="14.4" hidden="1" customHeight="1" x14ac:dyDescent="0.3">
      <c r="A398" s="108" t="s">
        <v>43</v>
      </c>
      <c r="B398" s="108" t="s">
        <v>44</v>
      </c>
      <c r="C398" s="108" t="s">
        <v>40</v>
      </c>
      <c r="D398" s="108">
        <v>40</v>
      </c>
      <c r="E398" s="108" t="s">
        <v>45</v>
      </c>
      <c r="F398" s="71" t="s">
        <v>42</v>
      </c>
      <c r="G398" s="108">
        <v>5000</v>
      </c>
      <c r="H398" s="112">
        <v>46197</v>
      </c>
      <c r="I398" s="109">
        <v>228</v>
      </c>
    </row>
    <row r="399" spans="1:9" ht="14.4" hidden="1" customHeight="1" x14ac:dyDescent="0.3">
      <c r="A399" s="108" t="s">
        <v>43</v>
      </c>
      <c r="B399" s="108" t="s">
        <v>44</v>
      </c>
      <c r="C399" s="108" t="s">
        <v>40</v>
      </c>
      <c r="D399" s="108">
        <v>40</v>
      </c>
      <c r="E399" s="108" t="s">
        <v>45</v>
      </c>
      <c r="F399" s="71" t="s">
        <v>42</v>
      </c>
      <c r="G399" s="108">
        <v>5000</v>
      </c>
      <c r="H399" s="112">
        <v>46199</v>
      </c>
      <c r="I399" s="109">
        <v>2540</v>
      </c>
    </row>
    <row r="400" spans="1:9" ht="14.4" hidden="1" customHeight="1" x14ac:dyDescent="0.3">
      <c r="A400" s="108" t="s">
        <v>43</v>
      </c>
      <c r="B400" s="108" t="s">
        <v>44</v>
      </c>
      <c r="C400" s="108" t="s">
        <v>40</v>
      </c>
      <c r="D400" s="108">
        <v>40</v>
      </c>
      <c r="E400" s="108" t="s">
        <v>45</v>
      </c>
      <c r="F400" s="71" t="s">
        <v>42</v>
      </c>
      <c r="G400" s="108">
        <v>5000</v>
      </c>
      <c r="H400" s="112">
        <v>46206</v>
      </c>
      <c r="I400" s="109">
        <v>500</v>
      </c>
    </row>
    <row r="401" spans="1:9" ht="14.4" hidden="1" customHeight="1" x14ac:dyDescent="0.3">
      <c r="A401" s="108" t="s">
        <v>43</v>
      </c>
      <c r="B401" s="108" t="s">
        <v>44</v>
      </c>
      <c r="C401" s="108" t="s">
        <v>40</v>
      </c>
      <c r="D401" s="108">
        <v>40</v>
      </c>
      <c r="E401" s="108" t="s">
        <v>45</v>
      </c>
      <c r="F401" s="71" t="s">
        <v>42</v>
      </c>
      <c r="G401" s="108">
        <v>5000</v>
      </c>
      <c r="H401" s="112">
        <v>46213</v>
      </c>
      <c r="I401" s="109">
        <v>500</v>
      </c>
    </row>
    <row r="402" spans="1:9" ht="14.4" hidden="1" customHeight="1" x14ac:dyDescent="0.3">
      <c r="A402" s="108" t="s">
        <v>43</v>
      </c>
      <c r="B402" s="108" t="s">
        <v>44</v>
      </c>
      <c r="C402" s="108" t="s">
        <v>40</v>
      </c>
      <c r="D402" s="108">
        <v>40</v>
      </c>
      <c r="E402" s="108" t="s">
        <v>45</v>
      </c>
      <c r="F402" s="71" t="s">
        <v>42</v>
      </c>
      <c r="G402" s="108">
        <v>5000</v>
      </c>
      <c r="H402" s="112">
        <v>46220</v>
      </c>
      <c r="I402" s="109">
        <v>500</v>
      </c>
    </row>
    <row r="403" spans="1:9" ht="14.4" hidden="1" customHeight="1" x14ac:dyDescent="0.3">
      <c r="A403" s="108" t="s">
        <v>43</v>
      </c>
      <c r="B403" s="108" t="s">
        <v>44</v>
      </c>
      <c r="C403" s="108" t="s">
        <v>40</v>
      </c>
      <c r="D403" s="108">
        <v>40</v>
      </c>
      <c r="E403" s="108" t="s">
        <v>45</v>
      </c>
      <c r="F403" s="71" t="s">
        <v>42</v>
      </c>
      <c r="G403" s="108">
        <v>5000</v>
      </c>
      <c r="H403" s="112">
        <v>46227</v>
      </c>
      <c r="I403" s="109">
        <v>500</v>
      </c>
    </row>
    <row r="404" spans="1:9" ht="14.4" hidden="1" customHeight="1" x14ac:dyDescent="0.3">
      <c r="A404" s="108" t="s">
        <v>43</v>
      </c>
      <c r="B404" s="108" t="s">
        <v>44</v>
      </c>
      <c r="C404" s="108" t="s">
        <v>40</v>
      </c>
      <c r="D404" s="108">
        <v>40</v>
      </c>
      <c r="E404" s="108" t="s">
        <v>45</v>
      </c>
      <c r="F404" s="71" t="s">
        <v>42</v>
      </c>
      <c r="G404" s="108">
        <v>5000</v>
      </c>
      <c r="H404" s="112">
        <v>46248</v>
      </c>
      <c r="I404" s="109">
        <v>400</v>
      </c>
    </row>
    <row r="405" spans="1:9" ht="14.4" hidden="1" customHeight="1" x14ac:dyDescent="0.3">
      <c r="A405" s="108" t="s">
        <v>43</v>
      </c>
      <c r="B405" s="108" t="s">
        <v>44</v>
      </c>
      <c r="C405" s="108" t="s">
        <v>40</v>
      </c>
      <c r="D405" s="108">
        <v>40</v>
      </c>
      <c r="E405" s="108" t="s">
        <v>45</v>
      </c>
      <c r="F405" s="71" t="s">
        <v>42</v>
      </c>
      <c r="G405" s="108">
        <v>5000</v>
      </c>
      <c r="H405" s="112">
        <v>46269</v>
      </c>
      <c r="I405" s="109">
        <v>400</v>
      </c>
    </row>
    <row r="406" spans="1:9" ht="14.4" hidden="1" customHeight="1" x14ac:dyDescent="0.3">
      <c r="A406" s="108" t="s">
        <v>43</v>
      </c>
      <c r="B406" s="108" t="s">
        <v>44</v>
      </c>
      <c r="C406" s="108" t="s">
        <v>40</v>
      </c>
      <c r="D406" s="108">
        <v>40</v>
      </c>
      <c r="E406" s="108" t="s">
        <v>45</v>
      </c>
      <c r="F406" s="71" t="s">
        <v>42</v>
      </c>
      <c r="G406" s="108">
        <v>5000</v>
      </c>
      <c r="H406" s="112">
        <v>46283</v>
      </c>
      <c r="I406" s="109">
        <v>400</v>
      </c>
    </row>
    <row r="407" spans="1:9" ht="14.4" hidden="1" customHeight="1" x14ac:dyDescent="0.3">
      <c r="A407" s="108" t="s">
        <v>43</v>
      </c>
      <c r="B407" s="108" t="s">
        <v>44</v>
      </c>
      <c r="C407" s="108" t="s">
        <v>40</v>
      </c>
      <c r="D407" s="108">
        <v>40</v>
      </c>
      <c r="E407" s="108" t="s">
        <v>45</v>
      </c>
      <c r="F407" s="71" t="s">
        <v>42</v>
      </c>
      <c r="G407" s="108">
        <v>5000</v>
      </c>
      <c r="H407" s="112">
        <v>46297</v>
      </c>
      <c r="I407" s="109">
        <v>360</v>
      </c>
    </row>
    <row r="408" spans="1:9" ht="14.4" hidden="1" customHeight="1" x14ac:dyDescent="0.3">
      <c r="A408" s="108" t="s">
        <v>43</v>
      </c>
      <c r="B408" s="108" t="s">
        <v>44</v>
      </c>
      <c r="C408" s="108" t="s">
        <v>40</v>
      </c>
      <c r="D408" s="108">
        <v>40</v>
      </c>
      <c r="E408" s="108" t="s">
        <v>45</v>
      </c>
      <c r="F408" s="71" t="s">
        <v>42</v>
      </c>
      <c r="G408" s="108">
        <v>5000</v>
      </c>
      <c r="H408" s="112">
        <v>46304</v>
      </c>
      <c r="I408" s="109">
        <v>360</v>
      </c>
    </row>
    <row r="409" spans="1:9" ht="14.4" hidden="1" customHeight="1" x14ac:dyDescent="0.3">
      <c r="A409" s="108" t="s">
        <v>43</v>
      </c>
      <c r="B409" s="108" t="s">
        <v>44</v>
      </c>
      <c r="C409" s="108" t="s">
        <v>40</v>
      </c>
      <c r="D409" s="108">
        <v>40</v>
      </c>
      <c r="E409" s="108" t="s">
        <v>45</v>
      </c>
      <c r="F409" s="71" t="s">
        <v>42</v>
      </c>
      <c r="G409" s="108">
        <v>5000</v>
      </c>
      <c r="H409" s="112">
        <v>46311</v>
      </c>
      <c r="I409" s="109">
        <v>360</v>
      </c>
    </row>
    <row r="410" spans="1:9" ht="14.4" hidden="1" customHeight="1" x14ac:dyDescent="0.3">
      <c r="A410" s="108" t="s">
        <v>43</v>
      </c>
      <c r="B410" s="108" t="s">
        <v>44</v>
      </c>
      <c r="C410" s="108" t="s">
        <v>40</v>
      </c>
      <c r="D410" s="108">
        <v>40</v>
      </c>
      <c r="E410" s="108" t="s">
        <v>45</v>
      </c>
      <c r="F410" s="71" t="s">
        <v>42</v>
      </c>
      <c r="G410" s="108">
        <v>5000</v>
      </c>
      <c r="H410" s="112">
        <v>46318</v>
      </c>
      <c r="I410" s="109">
        <v>360</v>
      </c>
    </row>
    <row r="411" spans="1:9" ht="14.4" hidden="1" customHeight="1" x14ac:dyDescent="0.3">
      <c r="A411" s="108" t="s">
        <v>43</v>
      </c>
      <c r="B411" s="108" t="s">
        <v>44</v>
      </c>
      <c r="C411" s="108" t="s">
        <v>40</v>
      </c>
      <c r="D411" s="108">
        <v>40</v>
      </c>
      <c r="E411" s="108" t="s">
        <v>45</v>
      </c>
      <c r="F411" s="71" t="s">
        <v>42</v>
      </c>
      <c r="G411" s="108">
        <v>5000</v>
      </c>
      <c r="H411" s="112">
        <v>46325</v>
      </c>
      <c r="I411" s="109">
        <v>360</v>
      </c>
    </row>
    <row r="412" spans="1:9" ht="14.4" hidden="1" customHeight="1" x14ac:dyDescent="0.3">
      <c r="A412" s="108" t="s">
        <v>43</v>
      </c>
      <c r="B412" s="108" t="s">
        <v>44</v>
      </c>
      <c r="C412" s="108" t="s">
        <v>40</v>
      </c>
      <c r="D412" s="108">
        <v>40</v>
      </c>
      <c r="E412" s="108" t="s">
        <v>45</v>
      </c>
      <c r="F412" s="71" t="s">
        <v>42</v>
      </c>
      <c r="G412" s="108">
        <v>5000</v>
      </c>
      <c r="H412" s="112">
        <v>46332</v>
      </c>
      <c r="I412" s="109">
        <v>1000</v>
      </c>
    </row>
    <row r="413" spans="1:9" ht="14.4" hidden="1" customHeight="1" x14ac:dyDescent="0.3">
      <c r="A413" s="108" t="s">
        <v>43</v>
      </c>
      <c r="B413" s="108" t="s">
        <v>44</v>
      </c>
      <c r="C413" s="108" t="s">
        <v>40</v>
      </c>
      <c r="D413" s="108">
        <v>40</v>
      </c>
      <c r="E413" s="108" t="s">
        <v>45</v>
      </c>
      <c r="F413" s="71" t="s">
        <v>42</v>
      </c>
      <c r="G413" s="108">
        <v>5000</v>
      </c>
      <c r="H413" s="112">
        <v>46339</v>
      </c>
      <c r="I413" s="109">
        <v>1000</v>
      </c>
    </row>
    <row r="414" spans="1:9" ht="14.4" hidden="1" customHeight="1" x14ac:dyDescent="0.3">
      <c r="A414" s="108" t="s">
        <v>43</v>
      </c>
      <c r="B414" s="108" t="s">
        <v>44</v>
      </c>
      <c r="C414" s="108" t="s">
        <v>40</v>
      </c>
      <c r="D414" s="108">
        <v>40</v>
      </c>
      <c r="E414" s="108" t="s">
        <v>45</v>
      </c>
      <c r="F414" s="71" t="s">
        <v>42</v>
      </c>
      <c r="G414" s="108">
        <v>5000</v>
      </c>
      <c r="H414" s="112">
        <v>46346</v>
      </c>
      <c r="I414" s="109">
        <v>1000</v>
      </c>
    </row>
    <row r="415" spans="1:9" ht="14.4" hidden="1" customHeight="1" x14ac:dyDescent="0.3">
      <c r="A415" s="108" t="s">
        <v>43</v>
      </c>
      <c r="B415" s="108" t="s">
        <v>44</v>
      </c>
      <c r="C415" s="108" t="s">
        <v>40</v>
      </c>
      <c r="D415" s="108">
        <v>40</v>
      </c>
      <c r="E415" s="108" t="s">
        <v>45</v>
      </c>
      <c r="F415" s="71" t="s">
        <v>42</v>
      </c>
      <c r="G415" s="108">
        <v>5000</v>
      </c>
      <c r="H415" s="112">
        <v>46353</v>
      </c>
      <c r="I415" s="109">
        <v>1000</v>
      </c>
    </row>
    <row r="416" spans="1:9" ht="14.4" hidden="1" customHeight="1" x14ac:dyDescent="0.3">
      <c r="A416" s="108" t="s">
        <v>43</v>
      </c>
      <c r="B416" s="108" t="s">
        <v>44</v>
      </c>
      <c r="C416" s="108" t="s">
        <v>40</v>
      </c>
      <c r="D416" s="108">
        <v>40</v>
      </c>
      <c r="E416" s="108" t="s">
        <v>45</v>
      </c>
      <c r="F416" s="71" t="s">
        <v>42</v>
      </c>
      <c r="G416" s="108">
        <v>5000</v>
      </c>
      <c r="H416" s="112">
        <v>46360</v>
      </c>
      <c r="I416" s="109">
        <v>1250</v>
      </c>
    </row>
    <row r="417" spans="1:9" ht="14.4" hidden="1" customHeight="1" x14ac:dyDescent="0.3">
      <c r="A417" s="108" t="s">
        <v>43</v>
      </c>
      <c r="B417" s="108" t="s">
        <v>44</v>
      </c>
      <c r="C417" s="108" t="s">
        <v>40</v>
      </c>
      <c r="D417" s="108">
        <v>40</v>
      </c>
      <c r="E417" s="108" t="s">
        <v>45</v>
      </c>
      <c r="F417" s="71" t="s">
        <v>42</v>
      </c>
      <c r="G417" s="108">
        <v>5000</v>
      </c>
      <c r="H417" s="112">
        <v>46367</v>
      </c>
      <c r="I417" s="109">
        <v>1250</v>
      </c>
    </row>
    <row r="418" spans="1:9" ht="14.4" hidden="1" customHeight="1" x14ac:dyDescent="0.3">
      <c r="A418" s="108" t="s">
        <v>43</v>
      </c>
      <c r="B418" s="108" t="s">
        <v>44</v>
      </c>
      <c r="C418" s="108" t="s">
        <v>40</v>
      </c>
      <c r="D418" s="108">
        <v>40</v>
      </c>
      <c r="E418" s="108" t="s">
        <v>45</v>
      </c>
      <c r="F418" s="71" t="s">
        <v>42</v>
      </c>
      <c r="G418" s="108">
        <v>5000</v>
      </c>
      <c r="H418" s="112">
        <v>46374</v>
      </c>
      <c r="I418" s="109">
        <v>1250</v>
      </c>
    </row>
    <row r="419" spans="1:9" ht="14.4" hidden="1" customHeight="1" x14ac:dyDescent="0.3">
      <c r="A419" s="108" t="s">
        <v>43</v>
      </c>
      <c r="B419" s="108" t="s">
        <v>44</v>
      </c>
      <c r="C419" s="108" t="s">
        <v>40</v>
      </c>
      <c r="D419" s="108">
        <v>40</v>
      </c>
      <c r="E419" s="108" t="s">
        <v>45</v>
      </c>
      <c r="F419" s="71" t="s">
        <v>42</v>
      </c>
      <c r="G419" s="108">
        <v>5000</v>
      </c>
      <c r="H419" s="112">
        <v>46381</v>
      </c>
      <c r="I419" s="109">
        <v>1250</v>
      </c>
    </row>
    <row r="420" spans="1:9" ht="14.4" customHeight="1" x14ac:dyDescent="0.3">
      <c r="A420" s="108" t="s">
        <v>46</v>
      </c>
      <c r="B420" s="108" t="s">
        <v>47</v>
      </c>
      <c r="C420" s="108" t="s">
        <v>48</v>
      </c>
      <c r="D420" s="108">
        <v>30</v>
      </c>
      <c r="E420" s="108" t="s">
        <v>49</v>
      </c>
      <c r="F420" s="71" t="s">
        <v>50</v>
      </c>
      <c r="G420" s="108">
        <v>3000</v>
      </c>
      <c r="H420" s="112">
        <v>46150</v>
      </c>
      <c r="I420" s="109">
        <v>472</v>
      </c>
    </row>
    <row r="421" spans="1:9" ht="14.4" customHeight="1" x14ac:dyDescent="0.3">
      <c r="A421" s="108" t="s">
        <v>46</v>
      </c>
      <c r="B421" s="108" t="s">
        <v>47</v>
      </c>
      <c r="C421" s="108" t="s">
        <v>48</v>
      </c>
      <c r="D421" s="108">
        <v>30</v>
      </c>
      <c r="E421" s="108" t="s">
        <v>49</v>
      </c>
      <c r="F421" s="71" t="s">
        <v>50</v>
      </c>
      <c r="G421" s="108">
        <v>3000</v>
      </c>
      <c r="H421" s="112">
        <v>46157</v>
      </c>
      <c r="I421" s="109">
        <v>300</v>
      </c>
    </row>
    <row r="422" spans="1:9" ht="14.4" customHeight="1" x14ac:dyDescent="0.3">
      <c r="A422" s="108" t="s">
        <v>46</v>
      </c>
      <c r="B422" s="108" t="s">
        <v>47</v>
      </c>
      <c r="C422" s="108" t="s">
        <v>48</v>
      </c>
      <c r="D422" s="108">
        <v>30</v>
      </c>
      <c r="E422" s="108" t="s">
        <v>49</v>
      </c>
      <c r="F422" s="71" t="s">
        <v>50</v>
      </c>
      <c r="G422" s="108">
        <v>3000</v>
      </c>
      <c r="H422" s="112">
        <v>46164</v>
      </c>
      <c r="I422" s="109">
        <v>698</v>
      </c>
    </row>
    <row r="423" spans="1:9" ht="14.4" hidden="1" customHeight="1" x14ac:dyDescent="0.3">
      <c r="A423" s="108" t="s">
        <v>46</v>
      </c>
      <c r="B423" s="108" t="s">
        <v>47</v>
      </c>
      <c r="C423" s="108" t="s">
        <v>48</v>
      </c>
      <c r="D423" s="108">
        <v>30</v>
      </c>
      <c r="E423" s="108" t="s">
        <v>49</v>
      </c>
      <c r="F423" s="71" t="s">
        <v>50</v>
      </c>
      <c r="G423" s="108">
        <v>3000</v>
      </c>
      <c r="H423" s="112">
        <v>46199</v>
      </c>
      <c r="I423" s="109">
        <v>300</v>
      </c>
    </row>
    <row r="424" spans="1:9" ht="14.4" hidden="1" customHeight="1" x14ac:dyDescent="0.3">
      <c r="A424" s="108" t="s">
        <v>46</v>
      </c>
      <c r="B424" s="108" t="s">
        <v>47</v>
      </c>
      <c r="C424" s="108" t="s">
        <v>48</v>
      </c>
      <c r="D424" s="108">
        <v>30</v>
      </c>
      <c r="E424" s="108" t="s">
        <v>49</v>
      </c>
      <c r="F424" s="71" t="s">
        <v>50</v>
      </c>
      <c r="G424" s="108">
        <v>3000</v>
      </c>
      <c r="H424" s="112">
        <v>46213</v>
      </c>
      <c r="I424" s="109">
        <v>700</v>
      </c>
    </row>
    <row r="425" spans="1:9" ht="14.4" hidden="1" customHeight="1" x14ac:dyDescent="0.3">
      <c r="A425" s="108" t="s">
        <v>46</v>
      </c>
      <c r="B425" s="108" t="s">
        <v>47</v>
      </c>
      <c r="C425" s="108" t="s">
        <v>48</v>
      </c>
      <c r="D425" s="108">
        <v>30</v>
      </c>
      <c r="E425" s="108" t="s">
        <v>49</v>
      </c>
      <c r="F425" s="71" t="s">
        <v>50</v>
      </c>
      <c r="G425" s="108">
        <v>3000</v>
      </c>
      <c r="H425" s="112">
        <v>46227</v>
      </c>
      <c r="I425" s="109">
        <v>300</v>
      </c>
    </row>
    <row r="426" spans="1:9" ht="14.4" hidden="1" customHeight="1" x14ac:dyDescent="0.3">
      <c r="A426" s="108" t="s">
        <v>46</v>
      </c>
      <c r="B426" s="108" t="s">
        <v>47</v>
      </c>
      <c r="C426" s="108" t="s">
        <v>48</v>
      </c>
      <c r="D426" s="108">
        <v>30</v>
      </c>
      <c r="E426" s="108" t="s">
        <v>49</v>
      </c>
      <c r="F426" s="71" t="s">
        <v>50</v>
      </c>
      <c r="G426" s="108">
        <v>3000</v>
      </c>
      <c r="H426" s="112">
        <v>46304</v>
      </c>
      <c r="I426" s="109">
        <v>300</v>
      </c>
    </row>
    <row r="427" spans="1:9" ht="14.4" hidden="1" customHeight="1" x14ac:dyDescent="0.3">
      <c r="A427" s="108" t="s">
        <v>46</v>
      </c>
      <c r="B427" s="108" t="s">
        <v>47</v>
      </c>
      <c r="C427" s="108" t="s">
        <v>48</v>
      </c>
      <c r="D427" s="108">
        <v>30</v>
      </c>
      <c r="E427" s="108" t="s">
        <v>49</v>
      </c>
      <c r="F427" s="71" t="s">
        <v>50</v>
      </c>
      <c r="G427" s="108">
        <v>3000</v>
      </c>
      <c r="H427" s="112">
        <v>46367</v>
      </c>
      <c r="I427" s="109">
        <v>300</v>
      </c>
    </row>
    <row r="428" spans="1:9" ht="14.4" hidden="1" customHeight="1" x14ac:dyDescent="0.3">
      <c r="A428" s="108" t="s">
        <v>46</v>
      </c>
      <c r="B428" s="108" t="s">
        <v>47</v>
      </c>
      <c r="C428" s="108" t="s">
        <v>48</v>
      </c>
      <c r="D428" s="108">
        <v>30</v>
      </c>
      <c r="E428" s="108" t="s">
        <v>49</v>
      </c>
      <c r="F428" s="71" t="s">
        <v>50</v>
      </c>
      <c r="G428" s="108">
        <v>3000</v>
      </c>
      <c r="H428" s="112">
        <v>46234</v>
      </c>
      <c r="I428" s="109">
        <v>300</v>
      </c>
    </row>
    <row r="429" spans="1:9" ht="14.4" hidden="1" customHeight="1" x14ac:dyDescent="0.3">
      <c r="A429" s="108" t="s">
        <v>46</v>
      </c>
      <c r="B429" s="108" t="s">
        <v>47</v>
      </c>
      <c r="C429" s="108" t="s">
        <v>48</v>
      </c>
      <c r="D429" s="108">
        <v>30</v>
      </c>
      <c r="E429" s="108" t="s">
        <v>49</v>
      </c>
      <c r="F429" s="71" t="s">
        <v>50</v>
      </c>
      <c r="G429" s="108">
        <v>3000</v>
      </c>
      <c r="H429" s="112">
        <v>46276</v>
      </c>
      <c r="I429" s="109">
        <v>300</v>
      </c>
    </row>
    <row r="430" spans="1:9" ht="14.4" hidden="1" customHeight="1" x14ac:dyDescent="0.3">
      <c r="A430" s="108" t="s">
        <v>46</v>
      </c>
      <c r="B430" s="108" t="s">
        <v>47</v>
      </c>
      <c r="C430" s="108" t="s">
        <v>48</v>
      </c>
      <c r="D430" s="108">
        <v>30</v>
      </c>
      <c r="E430" s="108" t="s">
        <v>49</v>
      </c>
      <c r="F430" s="71" t="s">
        <v>50</v>
      </c>
      <c r="G430" s="108">
        <v>3000</v>
      </c>
      <c r="H430" s="112">
        <v>46339</v>
      </c>
      <c r="I430" s="109">
        <v>300</v>
      </c>
    </row>
    <row r="431" spans="1:9" ht="14.4" hidden="1" customHeight="1" x14ac:dyDescent="0.3">
      <c r="A431" s="108" t="s">
        <v>46</v>
      </c>
      <c r="B431" s="108" t="s">
        <v>47</v>
      </c>
      <c r="C431" s="108" t="s">
        <v>48</v>
      </c>
      <c r="D431" s="108">
        <v>30</v>
      </c>
      <c r="E431" s="108" t="s">
        <v>49</v>
      </c>
      <c r="F431" s="71" t="s">
        <v>50</v>
      </c>
      <c r="G431" s="108">
        <v>3000</v>
      </c>
      <c r="H431" s="112">
        <v>46178</v>
      </c>
      <c r="I431" s="109">
        <v>300</v>
      </c>
    </row>
    <row r="432" spans="1:9" ht="14.4" hidden="1" customHeight="1" x14ac:dyDescent="0.3">
      <c r="A432" s="108" t="s">
        <v>46</v>
      </c>
      <c r="B432" s="108" t="s">
        <v>47</v>
      </c>
      <c r="C432" s="108" t="s">
        <v>48</v>
      </c>
      <c r="D432" s="108">
        <v>30</v>
      </c>
      <c r="E432" s="108" t="s">
        <v>49</v>
      </c>
      <c r="F432" s="71" t="s">
        <v>50</v>
      </c>
      <c r="G432" s="108">
        <v>3000</v>
      </c>
      <c r="H432" s="112">
        <v>46255</v>
      </c>
      <c r="I432" s="109">
        <v>300</v>
      </c>
    </row>
    <row r="433" spans="1:9" ht="14.4" hidden="1" customHeight="1" x14ac:dyDescent="0.3">
      <c r="A433" s="108" t="s">
        <v>46</v>
      </c>
      <c r="B433" s="108" t="s">
        <v>47</v>
      </c>
      <c r="C433" s="108" t="s">
        <v>48</v>
      </c>
      <c r="D433" s="108">
        <v>30</v>
      </c>
      <c r="E433" s="108" t="s">
        <v>49</v>
      </c>
      <c r="F433" s="71" t="s">
        <v>50</v>
      </c>
      <c r="G433" s="108">
        <v>3000</v>
      </c>
      <c r="H433" s="112">
        <v>46220</v>
      </c>
      <c r="I433" s="109">
        <v>300</v>
      </c>
    </row>
    <row r="434" spans="1:9" ht="14.4" hidden="1" customHeight="1" x14ac:dyDescent="0.3">
      <c r="A434" s="108" t="s">
        <v>51</v>
      </c>
      <c r="B434" s="108" t="s">
        <v>52</v>
      </c>
      <c r="C434" s="108" t="s">
        <v>32</v>
      </c>
      <c r="D434" s="108">
        <v>90</v>
      </c>
      <c r="E434" s="108" t="s">
        <v>53</v>
      </c>
      <c r="F434" s="71" t="s">
        <v>50</v>
      </c>
      <c r="G434" s="108">
        <v>3000</v>
      </c>
      <c r="H434" s="112">
        <v>46367</v>
      </c>
      <c r="I434" s="109">
        <v>1928</v>
      </c>
    </row>
    <row r="435" spans="1:9" ht="14.4" hidden="1" customHeight="1" x14ac:dyDescent="0.3">
      <c r="A435" s="108" t="s">
        <v>51</v>
      </c>
      <c r="B435" s="108" t="s">
        <v>52</v>
      </c>
      <c r="C435" s="108" t="s">
        <v>32</v>
      </c>
      <c r="D435" s="108">
        <v>90</v>
      </c>
      <c r="E435" s="108" t="s">
        <v>53</v>
      </c>
      <c r="F435" s="71" t="s">
        <v>50</v>
      </c>
      <c r="G435" s="108">
        <v>3000</v>
      </c>
      <c r="H435" s="112">
        <v>46381</v>
      </c>
      <c r="I435" s="109">
        <v>1928</v>
      </c>
    </row>
    <row r="436" spans="1:9" ht="14.4" hidden="1" customHeight="1" x14ac:dyDescent="0.3">
      <c r="A436" s="108" t="s">
        <v>51</v>
      </c>
      <c r="B436" s="108" t="s">
        <v>52</v>
      </c>
      <c r="C436" s="108" t="s">
        <v>32</v>
      </c>
      <c r="D436" s="108">
        <v>90</v>
      </c>
      <c r="E436" s="108" t="s">
        <v>53</v>
      </c>
      <c r="F436" s="71" t="s">
        <v>50</v>
      </c>
      <c r="G436" s="108">
        <v>3000</v>
      </c>
      <c r="H436" s="112">
        <v>46185</v>
      </c>
      <c r="I436" s="109">
        <v>4500</v>
      </c>
    </row>
    <row r="437" spans="1:9" ht="14.4" hidden="1" customHeight="1" x14ac:dyDescent="0.3">
      <c r="A437" s="108" t="s">
        <v>51</v>
      </c>
      <c r="B437" s="108" t="s">
        <v>52</v>
      </c>
      <c r="C437" s="108" t="s">
        <v>32</v>
      </c>
      <c r="D437" s="108">
        <v>90</v>
      </c>
      <c r="E437" s="108" t="s">
        <v>53</v>
      </c>
      <c r="F437" s="71" t="s">
        <v>50</v>
      </c>
      <c r="G437" s="108">
        <v>3000</v>
      </c>
      <c r="H437" s="112">
        <v>46262</v>
      </c>
      <c r="I437" s="109">
        <v>1298</v>
      </c>
    </row>
    <row r="438" spans="1:9" ht="14.4" hidden="1" customHeight="1" x14ac:dyDescent="0.3">
      <c r="A438" s="108" t="s">
        <v>51</v>
      </c>
      <c r="B438" s="108" t="s">
        <v>52</v>
      </c>
      <c r="C438" s="108" t="s">
        <v>32</v>
      </c>
      <c r="D438" s="108">
        <v>90</v>
      </c>
      <c r="E438" s="108" t="s">
        <v>53</v>
      </c>
      <c r="F438" s="71" t="s">
        <v>50</v>
      </c>
      <c r="G438" s="108">
        <v>3000</v>
      </c>
      <c r="H438" s="112">
        <v>46227</v>
      </c>
      <c r="I438" s="109">
        <v>900</v>
      </c>
    </row>
    <row r="439" spans="1:9" ht="14.4" hidden="1" customHeight="1" x14ac:dyDescent="0.3">
      <c r="A439" s="108" t="s">
        <v>51</v>
      </c>
      <c r="B439" s="108" t="s">
        <v>52</v>
      </c>
      <c r="C439" s="108" t="s">
        <v>32</v>
      </c>
      <c r="D439" s="108">
        <v>90</v>
      </c>
      <c r="E439" s="108" t="s">
        <v>53</v>
      </c>
      <c r="F439" s="71" t="s">
        <v>50</v>
      </c>
      <c r="G439" s="108">
        <v>3000</v>
      </c>
      <c r="H439" s="112">
        <v>46353</v>
      </c>
      <c r="I439" s="109">
        <v>1756</v>
      </c>
    </row>
    <row r="440" spans="1:9" ht="14.4" customHeight="1" x14ac:dyDescent="0.3">
      <c r="A440" s="108" t="s">
        <v>51</v>
      </c>
      <c r="B440" s="108" t="s">
        <v>52</v>
      </c>
      <c r="C440" s="108" t="s">
        <v>32</v>
      </c>
      <c r="D440" s="108">
        <v>90</v>
      </c>
      <c r="E440" s="108" t="s">
        <v>53</v>
      </c>
      <c r="F440" s="71" t="s">
        <v>50</v>
      </c>
      <c r="G440" s="108">
        <v>3000</v>
      </c>
      <c r="H440" s="112">
        <v>46143</v>
      </c>
      <c r="I440" s="109">
        <v>588</v>
      </c>
    </row>
    <row r="441" spans="1:9" ht="14.4" customHeight="1" x14ac:dyDescent="0.3">
      <c r="A441" s="108" t="s">
        <v>51</v>
      </c>
      <c r="B441" s="108" t="s">
        <v>52</v>
      </c>
      <c r="C441" s="108" t="s">
        <v>32</v>
      </c>
      <c r="D441" s="108">
        <v>90</v>
      </c>
      <c r="E441" s="108" t="s">
        <v>53</v>
      </c>
      <c r="F441" s="71" t="s">
        <v>50</v>
      </c>
      <c r="G441" s="108">
        <v>3000</v>
      </c>
      <c r="H441" s="112">
        <v>46150</v>
      </c>
      <c r="I441" s="109">
        <v>4028</v>
      </c>
    </row>
    <row r="442" spans="1:9" ht="14.4" customHeight="1" x14ac:dyDescent="0.3">
      <c r="A442" s="108" t="s">
        <v>51</v>
      </c>
      <c r="B442" s="108" t="s">
        <v>52</v>
      </c>
      <c r="C442" s="108" t="s">
        <v>32</v>
      </c>
      <c r="D442" s="108">
        <v>90</v>
      </c>
      <c r="E442" s="108" t="s">
        <v>53</v>
      </c>
      <c r="F442" s="71" t="s">
        <v>50</v>
      </c>
      <c r="G442" s="108">
        <v>3000</v>
      </c>
      <c r="H442" s="112">
        <v>46157</v>
      </c>
      <c r="I442" s="109">
        <v>4200</v>
      </c>
    </row>
    <row r="443" spans="1:9" ht="14.4" customHeight="1" x14ac:dyDescent="0.3">
      <c r="A443" s="108" t="s">
        <v>51</v>
      </c>
      <c r="B443" s="108" t="s">
        <v>52</v>
      </c>
      <c r="C443" s="108" t="s">
        <v>32</v>
      </c>
      <c r="D443" s="108">
        <v>90</v>
      </c>
      <c r="E443" s="108" t="s">
        <v>53</v>
      </c>
      <c r="F443" s="71" t="s">
        <v>50</v>
      </c>
      <c r="G443" s="108">
        <v>3000</v>
      </c>
      <c r="H443" s="112">
        <v>46164</v>
      </c>
      <c r="I443" s="109">
        <v>3802</v>
      </c>
    </row>
    <row r="444" spans="1:9" ht="14.4" customHeight="1" x14ac:dyDescent="0.3">
      <c r="A444" s="108" t="s">
        <v>51</v>
      </c>
      <c r="B444" s="108" t="s">
        <v>52</v>
      </c>
      <c r="C444" s="108" t="s">
        <v>32</v>
      </c>
      <c r="D444" s="108">
        <v>90</v>
      </c>
      <c r="E444" s="108" t="s">
        <v>53</v>
      </c>
      <c r="F444" s="71" t="s">
        <v>50</v>
      </c>
      <c r="G444" s="108">
        <v>3000</v>
      </c>
      <c r="H444" s="112">
        <v>46171</v>
      </c>
      <c r="I444" s="109">
        <v>4500</v>
      </c>
    </row>
    <row r="445" spans="1:9" ht="14.4" hidden="1" customHeight="1" x14ac:dyDescent="0.3">
      <c r="A445" s="108" t="s">
        <v>51</v>
      </c>
      <c r="B445" s="108" t="s">
        <v>52</v>
      </c>
      <c r="C445" s="108" t="s">
        <v>32</v>
      </c>
      <c r="D445" s="108">
        <v>90</v>
      </c>
      <c r="E445" s="108" t="s">
        <v>53</v>
      </c>
      <c r="F445" s="71" t="s">
        <v>50</v>
      </c>
      <c r="G445" s="108">
        <v>3000</v>
      </c>
      <c r="H445" s="112">
        <v>46178</v>
      </c>
      <c r="I445" s="109">
        <v>4200</v>
      </c>
    </row>
    <row r="446" spans="1:9" ht="14.4" hidden="1" customHeight="1" x14ac:dyDescent="0.3">
      <c r="A446" s="108" t="s">
        <v>51</v>
      </c>
      <c r="B446" s="108" t="s">
        <v>52</v>
      </c>
      <c r="C446" s="108" t="s">
        <v>32</v>
      </c>
      <c r="D446" s="108">
        <v>90</v>
      </c>
      <c r="E446" s="108" t="s">
        <v>53</v>
      </c>
      <c r="F446" s="71" t="s">
        <v>50</v>
      </c>
      <c r="G446" s="108">
        <v>3000</v>
      </c>
      <c r="H446" s="112">
        <v>46192</v>
      </c>
      <c r="I446" s="109">
        <v>4500</v>
      </c>
    </row>
    <row r="447" spans="1:9" ht="14.4" hidden="1" customHeight="1" x14ac:dyDescent="0.3">
      <c r="A447" s="108" t="s">
        <v>51</v>
      </c>
      <c r="B447" s="108" t="s">
        <v>52</v>
      </c>
      <c r="C447" s="108" t="s">
        <v>32</v>
      </c>
      <c r="D447" s="108">
        <v>90</v>
      </c>
      <c r="E447" s="108" t="s">
        <v>53</v>
      </c>
      <c r="F447" s="71" t="s">
        <v>50</v>
      </c>
      <c r="G447" s="108">
        <v>3000</v>
      </c>
      <c r="H447" s="112">
        <v>46199</v>
      </c>
      <c r="I447" s="109">
        <v>2200</v>
      </c>
    </row>
    <row r="448" spans="1:9" ht="14.4" hidden="1" customHeight="1" x14ac:dyDescent="0.3">
      <c r="A448" s="108" t="s">
        <v>51</v>
      </c>
      <c r="B448" s="108" t="s">
        <v>52</v>
      </c>
      <c r="C448" s="108" t="s">
        <v>32</v>
      </c>
      <c r="D448" s="108">
        <v>90</v>
      </c>
      <c r="E448" s="108" t="s">
        <v>53</v>
      </c>
      <c r="F448" s="71" t="s">
        <v>50</v>
      </c>
      <c r="G448" s="108">
        <v>3000</v>
      </c>
      <c r="H448" s="112">
        <v>46206</v>
      </c>
      <c r="I448" s="109">
        <v>5000</v>
      </c>
    </row>
    <row r="449" spans="1:9" ht="14.4" hidden="1" customHeight="1" x14ac:dyDescent="0.3">
      <c r="A449" s="108" t="s">
        <v>51</v>
      </c>
      <c r="B449" s="108" t="s">
        <v>52</v>
      </c>
      <c r="C449" s="108" t="s">
        <v>32</v>
      </c>
      <c r="D449" s="108">
        <v>90</v>
      </c>
      <c r="E449" s="108" t="s">
        <v>53</v>
      </c>
      <c r="F449" s="71" t="s">
        <v>50</v>
      </c>
      <c r="G449" s="108">
        <v>3000</v>
      </c>
      <c r="H449" s="112">
        <v>46213</v>
      </c>
      <c r="I449" s="109">
        <v>4300</v>
      </c>
    </row>
    <row r="450" spans="1:9" ht="14.4" hidden="1" customHeight="1" x14ac:dyDescent="0.3">
      <c r="A450" s="108" t="s">
        <v>51</v>
      </c>
      <c r="B450" s="108" t="s">
        <v>52</v>
      </c>
      <c r="C450" s="108" t="s">
        <v>32</v>
      </c>
      <c r="D450" s="108">
        <v>90</v>
      </c>
      <c r="E450" s="108" t="s">
        <v>53</v>
      </c>
      <c r="F450" s="71" t="s">
        <v>50</v>
      </c>
      <c r="G450" s="108">
        <v>3000</v>
      </c>
      <c r="H450" s="112">
        <v>46227</v>
      </c>
      <c r="I450" s="109">
        <v>3846</v>
      </c>
    </row>
    <row r="451" spans="1:9" ht="14.4" hidden="1" customHeight="1" x14ac:dyDescent="0.3">
      <c r="A451" s="108" t="s">
        <v>51</v>
      </c>
      <c r="B451" s="108" t="s">
        <v>52</v>
      </c>
      <c r="C451" s="108" t="s">
        <v>32</v>
      </c>
      <c r="D451" s="108">
        <v>90</v>
      </c>
      <c r="E451" s="108" t="s">
        <v>53</v>
      </c>
      <c r="F451" s="71" t="s">
        <v>50</v>
      </c>
      <c r="G451" s="108">
        <v>3000</v>
      </c>
      <c r="H451" s="112">
        <v>46234</v>
      </c>
      <c r="I451" s="109">
        <v>4300</v>
      </c>
    </row>
    <row r="452" spans="1:9" ht="14.4" hidden="1" customHeight="1" x14ac:dyDescent="0.3">
      <c r="A452" s="108" t="s">
        <v>51</v>
      </c>
      <c r="B452" s="108" t="s">
        <v>52</v>
      </c>
      <c r="C452" s="108" t="s">
        <v>32</v>
      </c>
      <c r="D452" s="108">
        <v>90</v>
      </c>
      <c r="E452" s="108" t="s">
        <v>53</v>
      </c>
      <c r="F452" s="71" t="s">
        <v>50</v>
      </c>
      <c r="G452" s="108">
        <v>3000</v>
      </c>
      <c r="H452" s="112">
        <v>46248</v>
      </c>
      <c r="I452" s="109">
        <v>1298</v>
      </c>
    </row>
    <row r="453" spans="1:9" ht="14.4" hidden="1" customHeight="1" x14ac:dyDescent="0.3">
      <c r="A453" s="108" t="s">
        <v>51</v>
      </c>
      <c r="B453" s="108" t="s">
        <v>52</v>
      </c>
      <c r="C453" s="108" t="s">
        <v>32</v>
      </c>
      <c r="D453" s="108">
        <v>90</v>
      </c>
      <c r="E453" s="108" t="s">
        <v>53</v>
      </c>
      <c r="F453" s="71" t="s">
        <v>50</v>
      </c>
      <c r="G453" s="108">
        <v>3000</v>
      </c>
      <c r="H453" s="112">
        <v>46276</v>
      </c>
      <c r="I453" s="109">
        <v>1506</v>
      </c>
    </row>
    <row r="454" spans="1:9" ht="14.4" hidden="1" customHeight="1" x14ac:dyDescent="0.3">
      <c r="A454" s="108" t="s">
        <v>51</v>
      </c>
      <c r="B454" s="108" t="s">
        <v>52</v>
      </c>
      <c r="C454" s="108" t="s">
        <v>32</v>
      </c>
      <c r="D454" s="108">
        <v>90</v>
      </c>
      <c r="E454" s="108" t="s">
        <v>53</v>
      </c>
      <c r="F454" s="71" t="s">
        <v>50</v>
      </c>
      <c r="G454" s="108">
        <v>3000</v>
      </c>
      <c r="H454" s="112">
        <v>46283</v>
      </c>
      <c r="I454" s="109">
        <v>1506</v>
      </c>
    </row>
    <row r="455" spans="1:9" ht="14.4" hidden="1" customHeight="1" x14ac:dyDescent="0.3">
      <c r="A455" s="108" t="s">
        <v>51</v>
      </c>
      <c r="B455" s="108" t="s">
        <v>52</v>
      </c>
      <c r="C455" s="108" t="s">
        <v>32</v>
      </c>
      <c r="D455" s="108">
        <v>90</v>
      </c>
      <c r="E455" s="108" t="s">
        <v>53</v>
      </c>
      <c r="F455" s="71" t="s">
        <v>50</v>
      </c>
      <c r="G455" s="108">
        <v>3000</v>
      </c>
      <c r="H455" s="112">
        <v>46290</v>
      </c>
      <c r="I455" s="109">
        <v>1506</v>
      </c>
    </row>
    <row r="456" spans="1:9" ht="14.4" hidden="1" customHeight="1" x14ac:dyDescent="0.3">
      <c r="A456" s="108" t="s">
        <v>51</v>
      </c>
      <c r="B456" s="108" t="s">
        <v>52</v>
      </c>
      <c r="C456" s="108" t="s">
        <v>32</v>
      </c>
      <c r="D456" s="108">
        <v>90</v>
      </c>
      <c r="E456" s="108" t="s">
        <v>53</v>
      </c>
      <c r="F456" s="71" t="s">
        <v>50</v>
      </c>
      <c r="G456" s="108">
        <v>3000</v>
      </c>
      <c r="H456" s="112">
        <v>46297</v>
      </c>
      <c r="I456" s="109">
        <v>1446</v>
      </c>
    </row>
    <row r="457" spans="1:9" ht="14.4" hidden="1" customHeight="1" x14ac:dyDescent="0.3">
      <c r="A457" s="108" t="s">
        <v>51</v>
      </c>
      <c r="B457" s="108" t="s">
        <v>52</v>
      </c>
      <c r="C457" s="108" t="s">
        <v>32</v>
      </c>
      <c r="D457" s="108">
        <v>90</v>
      </c>
      <c r="E457" s="108" t="s">
        <v>53</v>
      </c>
      <c r="F457" s="71" t="s">
        <v>50</v>
      </c>
      <c r="G457" s="108">
        <v>3000</v>
      </c>
      <c r="H457" s="112">
        <v>46318</v>
      </c>
      <c r="I457" s="109">
        <v>1448</v>
      </c>
    </row>
    <row r="458" spans="1:9" ht="14.4" hidden="1" customHeight="1" x14ac:dyDescent="0.3">
      <c r="A458" s="108" t="s">
        <v>51</v>
      </c>
      <c r="B458" s="108" t="s">
        <v>52</v>
      </c>
      <c r="C458" s="108" t="s">
        <v>32</v>
      </c>
      <c r="D458" s="108">
        <v>90</v>
      </c>
      <c r="E458" s="108" t="s">
        <v>53</v>
      </c>
      <c r="F458" s="71" t="s">
        <v>50</v>
      </c>
      <c r="G458" s="108">
        <v>3000</v>
      </c>
      <c r="H458" s="112">
        <v>46325</v>
      </c>
      <c r="I458" s="109">
        <v>1448</v>
      </c>
    </row>
    <row r="459" spans="1:9" ht="14.4" hidden="1" customHeight="1" x14ac:dyDescent="0.3">
      <c r="A459" s="108" t="s">
        <v>51</v>
      </c>
      <c r="B459" s="108" t="s">
        <v>52</v>
      </c>
      <c r="C459" s="108" t="s">
        <v>32</v>
      </c>
      <c r="D459" s="108">
        <v>90</v>
      </c>
      <c r="E459" s="108" t="s">
        <v>53</v>
      </c>
      <c r="F459" s="71" t="s">
        <v>50</v>
      </c>
      <c r="G459" s="108">
        <v>3000</v>
      </c>
      <c r="H459" s="112">
        <v>46332</v>
      </c>
      <c r="I459" s="109">
        <v>1448</v>
      </c>
    </row>
    <row r="460" spans="1:9" ht="14.4" hidden="1" customHeight="1" x14ac:dyDescent="0.3">
      <c r="A460" s="108" t="s">
        <v>51</v>
      </c>
      <c r="B460" s="108" t="s">
        <v>52</v>
      </c>
      <c r="C460" s="108" t="s">
        <v>32</v>
      </c>
      <c r="D460" s="108">
        <v>90</v>
      </c>
      <c r="E460" s="108" t="s">
        <v>53</v>
      </c>
      <c r="F460" s="71" t="s">
        <v>50</v>
      </c>
      <c r="G460" s="108">
        <v>3000</v>
      </c>
      <c r="H460" s="112">
        <v>46346</v>
      </c>
      <c r="I460" s="109">
        <v>1756</v>
      </c>
    </row>
    <row r="461" spans="1:9" ht="14.4" hidden="1" customHeight="1" x14ac:dyDescent="0.3">
      <c r="A461" s="108" t="s">
        <v>51</v>
      </c>
      <c r="B461" s="108" t="s">
        <v>52</v>
      </c>
      <c r="C461" s="108" t="s">
        <v>32</v>
      </c>
      <c r="D461" s="108">
        <v>90</v>
      </c>
      <c r="E461" s="108" t="s">
        <v>53</v>
      </c>
      <c r="F461" s="71" t="s">
        <v>50</v>
      </c>
      <c r="G461" s="108">
        <v>3000</v>
      </c>
      <c r="H461" s="112">
        <v>46360</v>
      </c>
      <c r="I461" s="109">
        <v>1756</v>
      </c>
    </row>
    <row r="462" spans="1:9" ht="14.4" hidden="1" customHeight="1" x14ac:dyDescent="0.3">
      <c r="A462" s="108" t="s">
        <v>51</v>
      </c>
      <c r="B462" s="108" t="s">
        <v>52</v>
      </c>
      <c r="C462" s="108" t="s">
        <v>32</v>
      </c>
      <c r="D462" s="108">
        <v>90</v>
      </c>
      <c r="E462" s="108" t="s">
        <v>53</v>
      </c>
      <c r="F462" s="71" t="s">
        <v>50</v>
      </c>
      <c r="G462" s="108">
        <v>3000</v>
      </c>
      <c r="H462" s="112">
        <v>46374</v>
      </c>
      <c r="I462" s="109">
        <v>1930</v>
      </c>
    </row>
    <row r="463" spans="1:9" ht="14.4" hidden="1" customHeight="1" x14ac:dyDescent="0.3">
      <c r="A463" s="108" t="s">
        <v>51</v>
      </c>
      <c r="B463" s="108" t="s">
        <v>52</v>
      </c>
      <c r="C463" s="108" t="s">
        <v>32</v>
      </c>
      <c r="D463" s="108">
        <v>90</v>
      </c>
      <c r="E463" s="108" t="s">
        <v>53</v>
      </c>
      <c r="F463" s="71" t="s">
        <v>50</v>
      </c>
      <c r="G463" s="108">
        <v>3000</v>
      </c>
      <c r="H463" s="112">
        <v>46220</v>
      </c>
      <c r="I463" s="109">
        <v>4700</v>
      </c>
    </row>
    <row r="464" spans="1:9" ht="14.4" hidden="1" customHeight="1" x14ac:dyDescent="0.3">
      <c r="A464" s="108" t="s">
        <v>51</v>
      </c>
      <c r="B464" s="108" t="s">
        <v>52</v>
      </c>
      <c r="C464" s="108" t="s">
        <v>32</v>
      </c>
      <c r="D464" s="108">
        <v>90</v>
      </c>
      <c r="E464" s="108" t="s">
        <v>53</v>
      </c>
      <c r="F464" s="71" t="s">
        <v>50</v>
      </c>
      <c r="G464" s="108">
        <v>3000</v>
      </c>
      <c r="H464" s="112">
        <v>46241</v>
      </c>
      <c r="I464" s="109">
        <v>476</v>
      </c>
    </row>
    <row r="465" spans="1:9" ht="14.4" hidden="1" customHeight="1" x14ac:dyDescent="0.3">
      <c r="A465" s="108" t="s">
        <v>51</v>
      </c>
      <c r="B465" s="108" t="s">
        <v>52</v>
      </c>
      <c r="C465" s="108" t="s">
        <v>32</v>
      </c>
      <c r="D465" s="108">
        <v>90</v>
      </c>
      <c r="E465" s="108" t="s">
        <v>53</v>
      </c>
      <c r="F465" s="71" t="s">
        <v>50</v>
      </c>
      <c r="G465" s="108">
        <v>3000</v>
      </c>
      <c r="H465" s="112">
        <v>46255</v>
      </c>
      <c r="I465" s="109">
        <v>1300</v>
      </c>
    </row>
    <row r="466" spans="1:9" ht="14.4" hidden="1" customHeight="1" x14ac:dyDescent="0.3">
      <c r="A466" s="108" t="s">
        <v>51</v>
      </c>
      <c r="B466" s="108" t="s">
        <v>52</v>
      </c>
      <c r="C466" s="108" t="s">
        <v>32</v>
      </c>
      <c r="D466" s="108">
        <v>90</v>
      </c>
      <c r="E466" s="108" t="s">
        <v>53</v>
      </c>
      <c r="F466" s="71" t="s">
        <v>50</v>
      </c>
      <c r="G466" s="108">
        <v>3000</v>
      </c>
      <c r="H466" s="112">
        <v>46269</v>
      </c>
      <c r="I466" s="109">
        <v>1506</v>
      </c>
    </row>
    <row r="467" spans="1:9" ht="14.4" hidden="1" customHeight="1" x14ac:dyDescent="0.3">
      <c r="A467" s="108" t="s">
        <v>51</v>
      </c>
      <c r="B467" s="108" t="s">
        <v>52</v>
      </c>
      <c r="C467" s="108" t="s">
        <v>32</v>
      </c>
      <c r="D467" s="108">
        <v>90</v>
      </c>
      <c r="E467" s="108" t="s">
        <v>53</v>
      </c>
      <c r="F467" s="71" t="s">
        <v>50</v>
      </c>
      <c r="G467" s="108">
        <v>3000</v>
      </c>
      <c r="H467" s="113">
        <v>46339</v>
      </c>
      <c r="I467" s="114">
        <v>1754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EC138-EF38-4955-80F2-174C0B715525}">
  <dimension ref="A1:AP63"/>
  <sheetViews>
    <sheetView topLeftCell="R1" zoomScale="46" zoomScaleNormal="55" workbookViewId="0">
      <selection activeCell="AR58" sqref="AR58"/>
    </sheetView>
  </sheetViews>
  <sheetFormatPr defaultColWidth="8.5546875" defaultRowHeight="14.25" customHeight="1" x14ac:dyDescent="0.3"/>
  <cols>
    <col min="1" max="1" width="33.88671875" style="71" customWidth="1"/>
    <col min="2" max="2" width="47.109375" style="71" customWidth="1"/>
    <col min="3" max="3" width="11.109375" style="71" customWidth="1"/>
    <col min="4" max="4" width="32.77734375" style="71" customWidth="1"/>
    <col min="5" max="5" width="12.5546875" style="71" customWidth="1"/>
    <col min="6" max="6" width="23.88671875" style="71" customWidth="1"/>
    <col min="7" max="7" width="15.44140625" style="71" customWidth="1"/>
    <col min="8" max="8" width="25.5546875" style="71" customWidth="1"/>
    <col min="9" max="9" width="27" style="71" customWidth="1"/>
    <col min="10" max="10" width="28.5546875" style="71" customWidth="1"/>
    <col min="11" max="12" width="13.5546875" style="71" customWidth="1"/>
    <col min="13" max="13" width="21.21875" style="71" customWidth="1"/>
    <col min="14" max="14" width="17.5546875" style="71" customWidth="1"/>
    <col min="15" max="15" width="25.77734375" style="71" customWidth="1"/>
    <col min="16" max="16" width="17.109375" style="71" customWidth="1"/>
    <col min="17" max="17" width="15.5546875" style="71" customWidth="1"/>
    <col min="18" max="18" width="17.109375" style="71" customWidth="1"/>
    <col min="19" max="19" width="23.21875" style="71" customWidth="1"/>
    <col min="20" max="26" width="9" style="71" customWidth="1"/>
    <col min="27" max="37" width="9.5546875" style="71" customWidth="1"/>
    <col min="38" max="38" width="15.88671875" style="71" customWidth="1"/>
    <col min="39" max="39" width="13.88671875" style="71" customWidth="1"/>
    <col min="40" max="40" width="25.6640625" style="71" bestFit="1" customWidth="1"/>
    <col min="41" max="41" width="12" style="71" customWidth="1"/>
    <col min="42" max="42" width="25.6640625" style="71" bestFit="1" customWidth="1"/>
    <col min="43" max="16384" width="8.5546875" style="71"/>
  </cols>
  <sheetData>
    <row r="1" spans="1:19" ht="39" customHeight="1" x14ac:dyDescent="0.3">
      <c r="A1" s="149" t="s">
        <v>172</v>
      </c>
      <c r="B1" s="149"/>
      <c r="C1" s="149"/>
      <c r="D1" s="149"/>
      <c r="E1" s="149"/>
      <c r="F1" s="149"/>
      <c r="G1" s="149"/>
      <c r="H1" s="149"/>
      <c r="J1" s="155" t="s">
        <v>173</v>
      </c>
      <c r="K1" s="155"/>
      <c r="L1" s="155"/>
      <c r="M1" s="155"/>
      <c r="N1" s="155"/>
      <c r="O1" s="155"/>
    </row>
    <row r="2" spans="1:19" ht="16.5" customHeight="1" x14ac:dyDescent="0.3">
      <c r="A2" s="149"/>
      <c r="B2" s="149"/>
      <c r="C2" s="149"/>
      <c r="D2" s="149"/>
      <c r="E2" s="149"/>
      <c r="F2" s="149"/>
      <c r="G2" s="149"/>
      <c r="H2" s="149"/>
      <c r="J2" s="72" t="s">
        <v>174</v>
      </c>
      <c r="K2" s="72" t="s">
        <v>175</v>
      </c>
      <c r="L2" s="72" t="s">
        <v>176</v>
      </c>
      <c r="M2" s="72" t="s">
        <v>177</v>
      </c>
      <c r="N2" s="72" t="s">
        <v>178</v>
      </c>
      <c r="O2" s="72" t="s">
        <v>179</v>
      </c>
    </row>
    <row r="3" spans="1:19" ht="27" customHeight="1" x14ac:dyDescent="0.3">
      <c r="A3" s="73" t="s">
        <v>180</v>
      </c>
      <c r="B3" s="148">
        <v>46127</v>
      </c>
      <c r="C3" s="148"/>
      <c r="D3" s="148"/>
      <c r="E3" s="148"/>
      <c r="F3" s="148"/>
      <c r="G3" s="148"/>
      <c r="H3" s="148"/>
      <c r="J3" s="74" t="s">
        <v>181</v>
      </c>
      <c r="K3" s="75">
        <f>$B$3</f>
        <v>46127</v>
      </c>
      <c r="L3" s="75">
        <f>MIN(B3+($B$5-WEEKDAY(B3,2)), $B$4)</f>
        <v>46130</v>
      </c>
      <c r="M3" s="76">
        <f>L3-K3+1</f>
        <v>4</v>
      </c>
      <c r="N3" s="76">
        <v>0.67</v>
      </c>
      <c r="O3" s="77" t="s">
        <v>182</v>
      </c>
    </row>
    <row r="4" spans="1:19" ht="27" customHeight="1" x14ac:dyDescent="0.3">
      <c r="A4" s="73" t="s">
        <v>183</v>
      </c>
      <c r="B4" s="148">
        <v>46157</v>
      </c>
      <c r="C4" s="148"/>
      <c r="D4" s="148"/>
      <c r="E4" s="148"/>
      <c r="F4" s="148"/>
      <c r="G4" s="148"/>
      <c r="H4" s="148"/>
      <c r="J4" s="74" t="s">
        <v>184</v>
      </c>
      <c r="K4" s="75">
        <f>L3+2</f>
        <v>46132</v>
      </c>
      <c r="L4" s="75">
        <f>K4+5</f>
        <v>46137</v>
      </c>
      <c r="M4" s="76">
        <f>L4-K4+1</f>
        <v>6</v>
      </c>
      <c r="N4" s="76">
        <v>1</v>
      </c>
      <c r="O4" s="77" t="s">
        <v>182</v>
      </c>
    </row>
    <row r="5" spans="1:19" ht="27" customHeight="1" x14ac:dyDescent="0.3">
      <c r="A5" s="73" t="s">
        <v>185</v>
      </c>
      <c r="B5" s="145">
        <v>6</v>
      </c>
      <c r="C5" s="145"/>
      <c r="D5" s="145"/>
      <c r="E5" s="145"/>
      <c r="F5" s="145"/>
      <c r="G5" s="145"/>
      <c r="H5" s="145"/>
      <c r="J5" s="74" t="s">
        <v>186</v>
      </c>
      <c r="K5" s="75">
        <f>L4+2</f>
        <v>46139</v>
      </c>
      <c r="L5" s="75">
        <f>K5+5</f>
        <v>46144</v>
      </c>
      <c r="M5" s="76">
        <f>L5-K5+1</f>
        <v>6</v>
      </c>
      <c r="N5" s="76">
        <v>1</v>
      </c>
      <c r="O5" s="77" t="s">
        <v>182</v>
      </c>
    </row>
    <row r="6" spans="1:19" ht="27" customHeight="1" x14ac:dyDescent="0.3">
      <c r="A6" s="73" t="s">
        <v>187</v>
      </c>
      <c r="B6" s="145">
        <v>2</v>
      </c>
      <c r="C6" s="145"/>
      <c r="D6" s="145"/>
      <c r="E6" s="145"/>
      <c r="F6" s="145"/>
      <c r="G6" s="145"/>
      <c r="H6" s="145"/>
      <c r="J6" s="74" t="s">
        <v>188</v>
      </c>
      <c r="K6" s="75">
        <f>L5+2</f>
        <v>46146</v>
      </c>
      <c r="L6" s="75">
        <f>K6+5</f>
        <v>46151</v>
      </c>
      <c r="M6" s="76">
        <f>L6-K6+1</f>
        <v>6</v>
      </c>
      <c r="N6" s="76">
        <v>1</v>
      </c>
      <c r="O6" s="77" t="s">
        <v>182</v>
      </c>
    </row>
    <row r="7" spans="1:19" ht="27" customHeight="1" x14ac:dyDescent="0.3">
      <c r="A7" s="73" t="s">
        <v>189</v>
      </c>
      <c r="B7" s="145">
        <v>7</v>
      </c>
      <c r="C7" s="145"/>
      <c r="D7" s="145"/>
      <c r="E7" s="145"/>
      <c r="F7" s="145"/>
      <c r="G7" s="145"/>
      <c r="H7" s="145"/>
      <c r="J7" s="74" t="s">
        <v>190</v>
      </c>
      <c r="K7" s="75">
        <f>L6+2</f>
        <v>46153</v>
      </c>
      <c r="L7" s="75">
        <f>$B$4</f>
        <v>46157</v>
      </c>
      <c r="M7" s="76">
        <f>L7-K7+1</f>
        <v>5</v>
      </c>
      <c r="N7" s="76">
        <v>0.83</v>
      </c>
      <c r="O7" s="77" t="s">
        <v>182</v>
      </c>
    </row>
    <row r="8" spans="1:19" ht="16.5" customHeight="1" x14ac:dyDescent="0.3">
      <c r="A8" s="73" t="s">
        <v>191</v>
      </c>
      <c r="B8" s="145">
        <v>14</v>
      </c>
      <c r="C8" s="145"/>
      <c r="D8" s="145"/>
      <c r="E8" s="145"/>
      <c r="F8" s="145"/>
      <c r="G8" s="145"/>
      <c r="H8" s="145"/>
    </row>
    <row r="9" spans="1:19" ht="16.5" customHeight="1" x14ac:dyDescent="0.3">
      <c r="A9" s="73" t="s">
        <v>192</v>
      </c>
      <c r="B9" s="145" t="s">
        <v>193</v>
      </c>
      <c r="C9" s="145"/>
      <c r="D9" s="145"/>
      <c r="E9" s="145"/>
      <c r="F9" s="145"/>
      <c r="G9" s="145"/>
      <c r="H9" s="145"/>
    </row>
    <row r="10" spans="1:19" ht="23.25" customHeight="1" x14ac:dyDescent="0.3">
      <c r="A10" s="172" t="s">
        <v>194</v>
      </c>
      <c r="B10" s="172"/>
      <c r="C10" s="172"/>
      <c r="D10" s="172"/>
      <c r="E10" s="172"/>
      <c r="F10" s="172"/>
      <c r="G10" s="172"/>
      <c r="H10" s="172"/>
    </row>
    <row r="11" spans="1:19" ht="21.75" customHeight="1" x14ac:dyDescent="0.3">
      <c r="A11" s="78" t="s">
        <v>195</v>
      </c>
      <c r="B11" s="173">
        <f>(B4-B3-4)+1</f>
        <v>27</v>
      </c>
      <c r="C11" s="173"/>
      <c r="D11" s="173"/>
      <c r="E11" s="173"/>
      <c r="F11" s="173"/>
      <c r="G11" s="173"/>
      <c r="H11" s="173"/>
    </row>
    <row r="12" spans="1:19" ht="39" customHeight="1" x14ac:dyDescent="0.3">
      <c r="A12" s="79" t="s">
        <v>196</v>
      </c>
      <c r="B12" s="171" t="str">
        <f>TEXT(B3+B7,"dd/mm")&amp;" - "&amp;TEXT(B4+B8,"dd/mm")</f>
        <v>22/04 - 29/05</v>
      </c>
      <c r="C12" s="171"/>
      <c r="D12" s="171"/>
      <c r="E12" s="171"/>
      <c r="F12" s="171"/>
      <c r="G12" s="171"/>
      <c r="H12" s="171"/>
    </row>
    <row r="13" spans="1:19" ht="24.6" customHeight="1" x14ac:dyDescent="0.3">
      <c r="L13" s="190" t="s">
        <v>326</v>
      </c>
      <c r="M13" s="191"/>
      <c r="N13" s="191"/>
      <c r="O13" s="191"/>
      <c r="P13" s="191"/>
      <c r="Q13" s="191"/>
      <c r="R13" s="191"/>
      <c r="S13" s="191"/>
    </row>
    <row r="14" spans="1:19" ht="37.5" customHeight="1" x14ac:dyDescent="0.3">
      <c r="A14" s="158" t="s">
        <v>197</v>
      </c>
      <c r="B14" s="158"/>
      <c r="C14" s="158"/>
      <c r="D14" s="158"/>
      <c r="E14" s="158"/>
      <c r="F14" s="158"/>
      <c r="G14" s="158"/>
      <c r="H14" s="158"/>
      <c r="I14" s="158"/>
      <c r="J14" s="158"/>
      <c r="L14" s="80" t="s">
        <v>26</v>
      </c>
      <c r="M14" s="80" t="s">
        <v>198</v>
      </c>
      <c r="N14" s="80" t="s">
        <v>199</v>
      </c>
      <c r="O14" s="80" t="s">
        <v>200</v>
      </c>
      <c r="P14" s="80" t="s">
        <v>186</v>
      </c>
      <c r="Q14" s="80" t="s">
        <v>188</v>
      </c>
      <c r="R14" s="80" t="s">
        <v>190</v>
      </c>
      <c r="S14" s="80" t="s">
        <v>201</v>
      </c>
    </row>
    <row r="15" spans="1:19" ht="26.25" customHeight="1" x14ac:dyDescent="0.3">
      <c r="A15" s="158"/>
      <c r="B15" s="158"/>
      <c r="C15" s="158"/>
      <c r="D15" s="158"/>
      <c r="E15" s="158"/>
      <c r="F15" s="158"/>
      <c r="G15" s="158"/>
      <c r="H15" s="158"/>
      <c r="I15" s="158"/>
      <c r="J15" s="158"/>
      <c r="L15" s="81" t="s">
        <v>34</v>
      </c>
      <c r="M15" s="82">
        <f>_xlfn.XLOOKUP(L15,Table1[Fixture],Table1[Weekly Capcity])</f>
        <v>15000</v>
      </c>
      <c r="N15" s="83">
        <f>M15*$M$3/6</f>
        <v>10000</v>
      </c>
      <c r="O15" s="83">
        <f>M15*$M$4/6</f>
        <v>15000</v>
      </c>
      <c r="P15" s="83">
        <f>M15*$M$5/6</f>
        <v>15000</v>
      </c>
      <c r="Q15" s="83">
        <f>M15*$M$6/6</f>
        <v>15000</v>
      </c>
      <c r="R15" s="83">
        <f>M15*$M$7/6</f>
        <v>12500</v>
      </c>
      <c r="S15" s="84">
        <f>SUM(N15:R15)</f>
        <v>67500</v>
      </c>
    </row>
    <row r="16" spans="1:19" ht="36" customHeight="1" x14ac:dyDescent="0.3">
      <c r="A16" s="80" t="s">
        <v>156</v>
      </c>
      <c r="B16" s="80" t="s">
        <v>57</v>
      </c>
      <c r="C16" s="80" t="s">
        <v>202</v>
      </c>
      <c r="D16" s="80" t="s">
        <v>25</v>
      </c>
      <c r="E16" s="80" t="s">
        <v>26</v>
      </c>
      <c r="F16" s="80" t="s">
        <v>198</v>
      </c>
      <c r="G16" s="80" t="s">
        <v>203</v>
      </c>
      <c r="H16" s="80" t="s">
        <v>204</v>
      </c>
      <c r="I16" s="80" t="s">
        <v>205</v>
      </c>
      <c r="J16" s="80" t="s">
        <v>206</v>
      </c>
      <c r="L16" s="81" t="s">
        <v>42</v>
      </c>
      <c r="M16" s="82">
        <f>_xlfn.XLOOKUP(L16,Table1[Fixture],Table1[Weekly Capcity])</f>
        <v>5000</v>
      </c>
      <c r="N16" s="83">
        <f>M16*$M$3/6</f>
        <v>3333.3333333333335</v>
      </c>
      <c r="O16" s="83">
        <f>M16*$M$4/6</f>
        <v>5000</v>
      </c>
      <c r="P16" s="83">
        <f>M16*$M$5/6</f>
        <v>5000</v>
      </c>
      <c r="Q16" s="83">
        <f>M16*$M$6/6</f>
        <v>5000</v>
      </c>
      <c r="R16" s="83">
        <f>M16*$M$7/6</f>
        <v>4166.666666666667</v>
      </c>
      <c r="S16" s="84">
        <f>SUM(N16:R16)</f>
        <v>22500.000000000004</v>
      </c>
    </row>
    <row r="17" spans="1:19" ht="30.75" customHeight="1" x14ac:dyDescent="0.3">
      <c r="A17" s="85" t="s">
        <v>30</v>
      </c>
      <c r="B17" s="86" t="s">
        <v>31</v>
      </c>
      <c r="C17" s="86" t="s">
        <v>32</v>
      </c>
      <c r="D17" s="86" t="s">
        <v>33</v>
      </c>
      <c r="E17" s="86" t="s">
        <v>34</v>
      </c>
      <c r="F17" s="83">
        <v>15000</v>
      </c>
      <c r="G17" s="87">
        <v>46150</v>
      </c>
      <c r="H17" s="83">
        <f>SUMIFS('Demand for Production Plan'!$I:$I,'Demand for Production Plan'!$A:$A,$A17,'Demand for Production Plan'!$C:$C,$C17,'Demand for Production Plan'!$F:$F,$E17,'Demand for Production Plan'!$H:$H,$G17)</f>
        <v>684</v>
      </c>
      <c r="I17" s="87">
        <f t="shared" ref="I17:I37" si="0">G17-$B$8</f>
        <v>46136</v>
      </c>
      <c r="J17" s="87">
        <f t="shared" ref="J17:J37" si="1">G17-$B$7</f>
        <v>46143</v>
      </c>
      <c r="L17" s="81" t="s">
        <v>50</v>
      </c>
      <c r="M17" s="82">
        <f>_xlfn.XLOOKUP(L17,Table1[Fixture],Table1[Weekly Capcity])</f>
        <v>3000</v>
      </c>
      <c r="N17" s="83">
        <f>M17*$M$3/6</f>
        <v>2000</v>
      </c>
      <c r="O17" s="83">
        <f>M17*$M$4/6</f>
        <v>3000</v>
      </c>
      <c r="P17" s="83">
        <f>M17*$M$5/6</f>
        <v>3000</v>
      </c>
      <c r="Q17" s="83">
        <f>M17*$M$6/6</f>
        <v>3000</v>
      </c>
      <c r="R17" s="83">
        <f>M17*$M$7/6</f>
        <v>2500</v>
      </c>
      <c r="S17" s="84">
        <f>SUM(N17:R17)</f>
        <v>13500</v>
      </c>
    </row>
    <row r="18" spans="1:19" ht="24.75" customHeight="1" x14ac:dyDescent="0.3">
      <c r="A18" s="85" t="s">
        <v>30</v>
      </c>
      <c r="B18" s="86" t="s">
        <v>31</v>
      </c>
      <c r="C18" s="86" t="s">
        <v>32</v>
      </c>
      <c r="D18" s="86" t="s">
        <v>33</v>
      </c>
      <c r="E18" s="86" t="s">
        <v>34</v>
      </c>
      <c r="F18" s="83">
        <v>15000</v>
      </c>
      <c r="G18" s="87">
        <v>46157</v>
      </c>
      <c r="H18" s="83">
        <f>SUMIFS('Demand for Production Plan'!$I:$I,'Demand for Production Plan'!$A:$A,$A18,'Demand for Production Plan'!$C:$C,$C18,'Demand for Production Plan'!$F:$F,$E18,'Demand for Production Plan'!$H:$H,$G18)</f>
        <v>20000</v>
      </c>
      <c r="I18" s="87">
        <f t="shared" si="0"/>
        <v>46143</v>
      </c>
      <c r="J18" s="87">
        <f t="shared" si="1"/>
        <v>46150</v>
      </c>
    </row>
    <row r="19" spans="1:19" ht="24.75" customHeight="1" x14ac:dyDescent="0.3">
      <c r="A19" s="85" t="s">
        <v>30</v>
      </c>
      <c r="B19" s="86" t="s">
        <v>31</v>
      </c>
      <c r="C19" s="86" t="s">
        <v>32</v>
      </c>
      <c r="D19" s="86" t="s">
        <v>33</v>
      </c>
      <c r="E19" s="86" t="s">
        <v>34</v>
      </c>
      <c r="F19" s="83">
        <v>15000</v>
      </c>
      <c r="G19" s="87">
        <v>46164</v>
      </c>
      <c r="H19" s="83">
        <f>SUMIFS('Demand for Production Plan'!$I:$I,'Demand for Production Plan'!$A:$A,$A19,'Demand for Production Plan'!$C:$C,$C19,'Demand for Production Plan'!$F:$F,$E19,'Demand for Production Plan'!$H:$H,$G19)</f>
        <v>20000</v>
      </c>
      <c r="I19" s="87">
        <f t="shared" si="0"/>
        <v>46150</v>
      </c>
      <c r="J19" s="87">
        <f t="shared" si="1"/>
        <v>46157</v>
      </c>
    </row>
    <row r="20" spans="1:19" ht="24.75" customHeight="1" x14ac:dyDescent="0.3">
      <c r="A20" s="85" t="s">
        <v>30</v>
      </c>
      <c r="B20" s="86" t="s">
        <v>31</v>
      </c>
      <c r="C20" s="86" t="s">
        <v>32</v>
      </c>
      <c r="D20" s="86" t="s">
        <v>33</v>
      </c>
      <c r="E20" s="86" t="s">
        <v>34</v>
      </c>
      <c r="F20" s="83">
        <v>15000</v>
      </c>
      <c r="G20" s="87">
        <v>46171</v>
      </c>
      <c r="H20" s="83">
        <f>SUMIFS('Demand for Production Plan'!$I:$I,'Demand for Production Plan'!$A:$A,$A20,'Demand for Production Plan'!$C:$C,$C20,'Demand for Production Plan'!$F:$F,$E20,'Demand for Production Plan'!$H:$H,$G20)</f>
        <v>11000</v>
      </c>
      <c r="I20" s="87">
        <f t="shared" si="0"/>
        <v>46157</v>
      </c>
      <c r="J20" s="87">
        <f t="shared" si="1"/>
        <v>46164</v>
      </c>
    </row>
    <row r="21" spans="1:19" ht="24.75" customHeight="1" x14ac:dyDescent="0.3">
      <c r="A21" s="85" t="s">
        <v>35</v>
      </c>
      <c r="B21" s="86" t="s">
        <v>36</v>
      </c>
      <c r="C21" s="86" t="s">
        <v>32</v>
      </c>
      <c r="D21" s="86" t="s">
        <v>37</v>
      </c>
      <c r="E21" s="86" t="s">
        <v>34</v>
      </c>
      <c r="F21" s="83">
        <v>15000</v>
      </c>
      <c r="G21" s="87">
        <v>46157</v>
      </c>
      <c r="H21" s="83">
        <f>SUMIFS('Demand for Production Plan'!$I:$I,'Demand for Production Plan'!$A:$A,$A21,'Demand for Production Plan'!$C:$C,$C21,'Demand for Production Plan'!$F:$F,$E21,'Demand for Production Plan'!$H:$H,$G21)</f>
        <v>5502</v>
      </c>
      <c r="I21" s="87">
        <f t="shared" si="0"/>
        <v>46143</v>
      </c>
      <c r="J21" s="87">
        <f t="shared" si="1"/>
        <v>46150</v>
      </c>
    </row>
    <row r="22" spans="1:19" ht="24.75" customHeight="1" x14ac:dyDescent="0.3">
      <c r="A22" s="85" t="s">
        <v>35</v>
      </c>
      <c r="B22" s="86" t="s">
        <v>36</v>
      </c>
      <c r="C22" s="86" t="s">
        <v>32</v>
      </c>
      <c r="D22" s="86" t="s">
        <v>37</v>
      </c>
      <c r="E22" s="86" t="s">
        <v>34</v>
      </c>
      <c r="F22" s="83">
        <v>15000</v>
      </c>
      <c r="G22" s="87">
        <v>46164</v>
      </c>
      <c r="H22" s="83">
        <f>SUMIFS('Demand for Production Plan'!$I:$I,'Demand for Production Plan'!$A:$A,$A22,'Demand for Production Plan'!$C:$C,$C22,'Demand for Production Plan'!$F:$F,$E22,'Demand for Production Plan'!$H:$H,$G22)</f>
        <v>15658</v>
      </c>
      <c r="I22" s="87">
        <f t="shared" si="0"/>
        <v>46150</v>
      </c>
      <c r="J22" s="87">
        <f t="shared" si="1"/>
        <v>46157</v>
      </c>
    </row>
    <row r="23" spans="1:19" ht="24.75" customHeight="1" x14ac:dyDescent="0.3">
      <c r="A23" s="85" t="s">
        <v>35</v>
      </c>
      <c r="B23" s="86" t="s">
        <v>36</v>
      </c>
      <c r="C23" s="86" t="s">
        <v>32</v>
      </c>
      <c r="D23" s="86" t="s">
        <v>37</v>
      </c>
      <c r="E23" s="86" t="s">
        <v>34</v>
      </c>
      <c r="F23" s="83">
        <v>15000</v>
      </c>
      <c r="G23" s="87">
        <v>46171</v>
      </c>
      <c r="H23" s="83">
        <f>SUMIFS('Demand for Production Plan'!$I:$I,'Demand for Production Plan'!$A:$A,$A23,'Demand for Production Plan'!$C:$C,$C23,'Demand for Production Plan'!$F:$F,$E23,'Demand for Production Plan'!$H:$H,$G23)</f>
        <v>8865</v>
      </c>
      <c r="I23" s="87">
        <f t="shared" si="0"/>
        <v>46157</v>
      </c>
      <c r="J23" s="87">
        <f t="shared" si="1"/>
        <v>46164</v>
      </c>
    </row>
    <row r="24" spans="1:19" ht="24.75" customHeight="1" x14ac:dyDescent="0.3">
      <c r="A24" s="85" t="s">
        <v>38</v>
      </c>
      <c r="B24" s="86" t="s">
        <v>39</v>
      </c>
      <c r="C24" s="86" t="s">
        <v>40</v>
      </c>
      <c r="D24" s="86" t="s">
        <v>41</v>
      </c>
      <c r="E24" s="86" t="s">
        <v>42</v>
      </c>
      <c r="F24" s="83">
        <v>5000</v>
      </c>
      <c r="G24" s="87">
        <v>46157</v>
      </c>
      <c r="H24" s="83">
        <f>SUMIFS('Demand for Production Plan'!$I:$I,'Demand for Production Plan'!$A:$A,$A24,'Demand for Production Plan'!$C:$C,$C24,'Demand for Production Plan'!$F:$F,$E24,'Demand for Production Plan'!$H:$H,$G24)</f>
        <v>4320</v>
      </c>
      <c r="I24" s="87">
        <f t="shared" si="0"/>
        <v>46143</v>
      </c>
      <c r="J24" s="87">
        <f t="shared" si="1"/>
        <v>46150</v>
      </c>
    </row>
    <row r="25" spans="1:19" ht="24.75" customHeight="1" x14ac:dyDescent="0.3">
      <c r="A25" s="85" t="s">
        <v>38</v>
      </c>
      <c r="B25" s="86" t="s">
        <v>39</v>
      </c>
      <c r="C25" s="86" t="s">
        <v>40</v>
      </c>
      <c r="D25" s="86" t="s">
        <v>41</v>
      </c>
      <c r="E25" s="86" t="s">
        <v>42</v>
      </c>
      <c r="F25" s="83">
        <v>5000</v>
      </c>
      <c r="G25" s="87">
        <v>46164</v>
      </c>
      <c r="H25" s="83">
        <f>SUMIFS('Demand for Production Plan'!$I:$I,'Demand for Production Plan'!$A:$A,$A25,'Demand for Production Plan'!$C:$C,$C25,'Demand for Production Plan'!$F:$F,$E25,'Demand for Production Plan'!$H:$H,$G25)</f>
        <v>8370</v>
      </c>
      <c r="I25" s="87">
        <f t="shared" si="0"/>
        <v>46150</v>
      </c>
      <c r="J25" s="87">
        <f t="shared" si="1"/>
        <v>46157</v>
      </c>
    </row>
    <row r="26" spans="1:19" ht="24.75" customHeight="1" x14ac:dyDescent="0.3">
      <c r="A26" s="85" t="s">
        <v>38</v>
      </c>
      <c r="B26" s="86" t="s">
        <v>39</v>
      </c>
      <c r="C26" s="86" t="s">
        <v>40</v>
      </c>
      <c r="D26" s="86" t="s">
        <v>41</v>
      </c>
      <c r="E26" s="86" t="s">
        <v>42</v>
      </c>
      <c r="F26" s="83">
        <v>5000</v>
      </c>
      <c r="G26" s="87">
        <v>46171</v>
      </c>
      <c r="H26" s="83">
        <f>SUMIFS('Demand for Production Plan'!$I:$I,'Demand for Production Plan'!$A:$A,$A26,'Demand for Production Plan'!$C:$C,$C26,'Demand for Production Plan'!$F:$F,$E26,'Demand for Production Plan'!$H:$H,$G26)</f>
        <v>11782</v>
      </c>
      <c r="I26" s="87">
        <f t="shared" si="0"/>
        <v>46157</v>
      </c>
      <c r="J26" s="87">
        <f t="shared" si="1"/>
        <v>46164</v>
      </c>
    </row>
    <row r="27" spans="1:19" ht="24.75" customHeight="1" x14ac:dyDescent="0.3">
      <c r="A27" s="85" t="s">
        <v>43</v>
      </c>
      <c r="B27" s="86" t="s">
        <v>44</v>
      </c>
      <c r="C27" s="86" t="s">
        <v>40</v>
      </c>
      <c r="D27" s="86" t="s">
        <v>45</v>
      </c>
      <c r="E27" s="86" t="s">
        <v>42</v>
      </c>
      <c r="F27" s="83">
        <v>5000</v>
      </c>
      <c r="G27" s="87">
        <v>46157</v>
      </c>
      <c r="H27" s="83">
        <f>SUMIFS('Demand for Production Plan'!$I:$I,'Demand for Production Plan'!$A:$A,$A27,'Demand for Production Plan'!$C:$C,$C27,'Demand for Production Plan'!$F:$F,$E27,'Demand for Production Plan'!$H:$H,$G27)</f>
        <v>2430</v>
      </c>
      <c r="I27" s="87">
        <f t="shared" si="0"/>
        <v>46143</v>
      </c>
      <c r="J27" s="87">
        <f t="shared" si="1"/>
        <v>46150</v>
      </c>
    </row>
    <row r="28" spans="1:19" ht="24.75" customHeight="1" x14ac:dyDescent="0.3">
      <c r="A28" s="85" t="s">
        <v>43</v>
      </c>
      <c r="B28" s="86" t="s">
        <v>44</v>
      </c>
      <c r="C28" s="86" t="s">
        <v>40</v>
      </c>
      <c r="D28" s="86" t="s">
        <v>45</v>
      </c>
      <c r="E28" s="86" t="s">
        <v>42</v>
      </c>
      <c r="F28" s="83">
        <v>5000</v>
      </c>
      <c r="G28" s="87">
        <v>46164</v>
      </c>
      <c r="H28" s="83">
        <f>SUMIFS('Demand for Production Plan'!$I:$I,'Demand for Production Plan'!$A:$A,$A28,'Demand for Production Plan'!$C:$C,$C28,'Demand for Production Plan'!$F:$F,$E28,'Demand for Production Plan'!$H:$H,$G28)</f>
        <v>9990</v>
      </c>
      <c r="I28" s="87">
        <f t="shared" si="0"/>
        <v>46150</v>
      </c>
      <c r="J28" s="87">
        <f t="shared" si="1"/>
        <v>46157</v>
      </c>
    </row>
    <row r="29" spans="1:19" ht="24.75" customHeight="1" x14ac:dyDescent="0.3">
      <c r="A29" s="85" t="s">
        <v>43</v>
      </c>
      <c r="B29" s="86" t="s">
        <v>44</v>
      </c>
      <c r="C29" s="86" t="s">
        <v>40</v>
      </c>
      <c r="D29" s="86" t="s">
        <v>45</v>
      </c>
      <c r="E29" s="86" t="s">
        <v>42</v>
      </c>
      <c r="F29" s="83">
        <v>5000</v>
      </c>
      <c r="G29" s="87">
        <v>46171</v>
      </c>
      <c r="H29" s="83">
        <f>SUMIFS('Demand for Production Plan'!$I:$I,'Demand for Production Plan'!$A:$A,$A29,'Demand for Production Plan'!$C:$C,$C29,'Demand for Production Plan'!$F:$F,$E29,'Demand for Production Plan'!$H:$H,$G29)</f>
        <v>5840</v>
      </c>
      <c r="I29" s="87">
        <f t="shared" si="0"/>
        <v>46157</v>
      </c>
      <c r="J29" s="87">
        <f t="shared" si="1"/>
        <v>46164</v>
      </c>
    </row>
    <row r="30" spans="1:19" ht="24.75" customHeight="1" x14ac:dyDescent="0.3">
      <c r="A30" s="85" t="s">
        <v>46</v>
      </c>
      <c r="B30" s="86" t="s">
        <v>47</v>
      </c>
      <c r="C30" s="86" t="s">
        <v>48</v>
      </c>
      <c r="D30" s="86" t="s">
        <v>49</v>
      </c>
      <c r="E30" s="86" t="s">
        <v>50</v>
      </c>
      <c r="F30" s="83">
        <v>3000</v>
      </c>
      <c r="G30" s="87">
        <v>46150</v>
      </c>
      <c r="H30" s="83">
        <f>SUMIFS('Demand for Production Plan'!$I:$I,'Demand for Production Plan'!$A:$A,$A30,'Demand for Production Plan'!$C:$C,$C30,'Demand for Production Plan'!$F:$F,$E30,'Demand for Production Plan'!$H:$H,$G30)</f>
        <v>472</v>
      </c>
      <c r="I30" s="87">
        <f t="shared" si="0"/>
        <v>46136</v>
      </c>
      <c r="J30" s="87">
        <f t="shared" si="1"/>
        <v>46143</v>
      </c>
    </row>
    <row r="31" spans="1:19" ht="24.75" customHeight="1" x14ac:dyDescent="0.3">
      <c r="A31" s="85" t="s">
        <v>46</v>
      </c>
      <c r="B31" s="86" t="s">
        <v>47</v>
      </c>
      <c r="C31" s="86" t="s">
        <v>48</v>
      </c>
      <c r="D31" s="86" t="s">
        <v>49</v>
      </c>
      <c r="E31" s="86" t="s">
        <v>50</v>
      </c>
      <c r="F31" s="83">
        <v>3000</v>
      </c>
      <c r="G31" s="87">
        <v>46157</v>
      </c>
      <c r="H31" s="83">
        <f>SUMIFS('Demand for Production Plan'!$I:$I,'Demand for Production Plan'!$A:$A,$A31,'Demand for Production Plan'!$C:$C,$C31,'Demand for Production Plan'!$F:$F,$E31,'Demand for Production Plan'!$H:$H,$G31)</f>
        <v>300</v>
      </c>
      <c r="I31" s="87">
        <f t="shared" si="0"/>
        <v>46143</v>
      </c>
      <c r="J31" s="87">
        <f t="shared" si="1"/>
        <v>46150</v>
      </c>
    </row>
    <row r="32" spans="1:19" ht="27.75" customHeight="1" x14ac:dyDescent="0.3">
      <c r="A32" s="85" t="s">
        <v>46</v>
      </c>
      <c r="B32" s="86" t="s">
        <v>47</v>
      </c>
      <c r="C32" s="86" t="s">
        <v>48</v>
      </c>
      <c r="D32" s="86" t="s">
        <v>49</v>
      </c>
      <c r="E32" s="86" t="s">
        <v>50</v>
      </c>
      <c r="F32" s="83">
        <v>3000</v>
      </c>
      <c r="G32" s="87">
        <v>46164</v>
      </c>
      <c r="H32" s="83">
        <f>SUMIFS('Demand for Production Plan'!$I:$I,'Demand for Production Plan'!$A:$A,$A32,'Demand for Production Plan'!$C:$C,$C32,'Demand for Production Plan'!$F:$F,$E32,'Demand for Production Plan'!$H:$H,$G32)</f>
        <v>698</v>
      </c>
      <c r="I32" s="87">
        <f t="shared" si="0"/>
        <v>46150</v>
      </c>
      <c r="J32" s="87">
        <f t="shared" si="1"/>
        <v>46157</v>
      </c>
    </row>
    <row r="33" spans="1:42" ht="33" customHeight="1" x14ac:dyDescent="0.3">
      <c r="A33" s="85" t="s">
        <v>51</v>
      </c>
      <c r="B33" s="86" t="s">
        <v>52</v>
      </c>
      <c r="C33" s="86" t="s">
        <v>32</v>
      </c>
      <c r="D33" s="86" t="s">
        <v>53</v>
      </c>
      <c r="E33" s="86" t="s">
        <v>50</v>
      </c>
      <c r="F33" s="83">
        <v>3000</v>
      </c>
      <c r="G33" s="87">
        <v>46143</v>
      </c>
      <c r="H33" s="83">
        <f>SUMIFS('Demand for Production Plan'!$I:$I,'Demand for Production Plan'!$A:$A,$A33,'Demand for Production Plan'!$C:$C,$C33,'Demand for Production Plan'!$F:$F,$E33,'Demand for Production Plan'!$H:$H,$G33)</f>
        <v>588</v>
      </c>
      <c r="I33" s="87">
        <f t="shared" si="0"/>
        <v>46129</v>
      </c>
      <c r="J33" s="87">
        <f t="shared" si="1"/>
        <v>46136</v>
      </c>
    </row>
    <row r="34" spans="1:42" ht="33" customHeight="1" x14ac:dyDescent="0.3">
      <c r="A34" s="85" t="s">
        <v>51</v>
      </c>
      <c r="B34" s="86" t="s">
        <v>52</v>
      </c>
      <c r="C34" s="86" t="s">
        <v>32</v>
      </c>
      <c r="D34" s="86" t="s">
        <v>53</v>
      </c>
      <c r="E34" s="86" t="s">
        <v>50</v>
      </c>
      <c r="F34" s="83">
        <v>3000</v>
      </c>
      <c r="G34" s="87">
        <v>46150</v>
      </c>
      <c r="H34" s="83">
        <f>SUMIFS('Demand for Production Plan'!$I:$I,'Demand for Production Plan'!$A:$A,$A34,'Demand for Production Plan'!$C:$C,$C34,'Demand for Production Plan'!$F:$F,$E34,'Demand for Production Plan'!$H:$H,$G34)</f>
        <v>4028</v>
      </c>
      <c r="I34" s="87">
        <f t="shared" si="0"/>
        <v>46136</v>
      </c>
      <c r="J34" s="87">
        <f t="shared" si="1"/>
        <v>46143</v>
      </c>
    </row>
    <row r="35" spans="1:42" ht="33" customHeight="1" x14ac:dyDescent="0.3">
      <c r="A35" s="85" t="s">
        <v>51</v>
      </c>
      <c r="B35" s="86" t="s">
        <v>52</v>
      </c>
      <c r="C35" s="86" t="s">
        <v>32</v>
      </c>
      <c r="D35" s="86" t="s">
        <v>53</v>
      </c>
      <c r="E35" s="86" t="s">
        <v>50</v>
      </c>
      <c r="F35" s="83">
        <v>3000</v>
      </c>
      <c r="G35" s="87">
        <v>46157</v>
      </c>
      <c r="H35" s="83">
        <f>SUMIFS('Demand for Production Plan'!$I:$I,'Demand for Production Plan'!$A:$A,$A35,'Demand for Production Plan'!$C:$C,$C35,'Demand for Production Plan'!$F:$F,$E35,'Demand for Production Plan'!$H:$H,$G35)</f>
        <v>4200</v>
      </c>
      <c r="I35" s="87">
        <f t="shared" si="0"/>
        <v>46143</v>
      </c>
      <c r="J35" s="87">
        <f t="shared" si="1"/>
        <v>46150</v>
      </c>
    </row>
    <row r="36" spans="1:42" ht="33" customHeight="1" x14ac:dyDescent="0.3">
      <c r="A36" s="85" t="s">
        <v>51</v>
      </c>
      <c r="B36" s="86" t="s">
        <v>52</v>
      </c>
      <c r="C36" s="86" t="s">
        <v>32</v>
      </c>
      <c r="D36" s="86" t="s">
        <v>53</v>
      </c>
      <c r="E36" s="86" t="s">
        <v>50</v>
      </c>
      <c r="F36" s="83">
        <v>3000</v>
      </c>
      <c r="G36" s="87">
        <v>46164</v>
      </c>
      <c r="H36" s="83">
        <f>SUMIFS('Demand for Production Plan'!$I:$I,'Demand for Production Plan'!$A:$A,$A36,'Demand for Production Plan'!$C:$C,$C36,'Demand for Production Plan'!$F:$F,$E36,'Demand for Production Plan'!$H:$H,$G36)</f>
        <v>3802</v>
      </c>
      <c r="I36" s="87">
        <f t="shared" si="0"/>
        <v>46150</v>
      </c>
      <c r="J36" s="87">
        <f t="shared" si="1"/>
        <v>46157</v>
      </c>
    </row>
    <row r="37" spans="1:42" ht="33" customHeight="1" x14ac:dyDescent="0.3">
      <c r="A37" s="85" t="s">
        <v>51</v>
      </c>
      <c r="B37" s="86" t="s">
        <v>52</v>
      </c>
      <c r="C37" s="86" t="s">
        <v>32</v>
      </c>
      <c r="D37" s="86" t="s">
        <v>53</v>
      </c>
      <c r="E37" s="86" t="s">
        <v>50</v>
      </c>
      <c r="F37" s="83">
        <v>3000</v>
      </c>
      <c r="G37" s="87">
        <v>46171</v>
      </c>
      <c r="H37" s="83">
        <f>SUMIFS('Demand for Production Plan'!$I:$I,'Demand for Production Plan'!$A:$A,$A37,'Demand for Production Plan'!$C:$C,$C37,'Demand for Production Plan'!$F:$F,$E37,'Demand for Production Plan'!$H:$H,$G37)</f>
        <v>4500</v>
      </c>
      <c r="I37" s="87">
        <f t="shared" si="0"/>
        <v>46157</v>
      </c>
      <c r="J37" s="87">
        <f t="shared" si="1"/>
        <v>46164</v>
      </c>
    </row>
    <row r="39" spans="1:42" ht="14.4" x14ac:dyDescent="0.3">
      <c r="A39" s="165" t="s">
        <v>207</v>
      </c>
      <c r="B39" s="165"/>
      <c r="C39" s="165"/>
      <c r="D39" s="165"/>
      <c r="E39" s="165"/>
      <c r="F39" s="165"/>
      <c r="G39" s="165"/>
      <c r="H39" s="165"/>
      <c r="I39" s="165"/>
      <c r="J39" s="165"/>
    </row>
    <row r="40" spans="1:42" ht="14.4" x14ac:dyDescent="0.3">
      <c r="A40" s="165"/>
      <c r="B40" s="165"/>
      <c r="C40" s="165"/>
      <c r="D40" s="165"/>
      <c r="E40" s="165"/>
      <c r="F40" s="165"/>
      <c r="G40" s="165"/>
      <c r="H40" s="165"/>
      <c r="I40" s="165"/>
      <c r="J40" s="165"/>
    </row>
    <row r="41" spans="1:42" ht="16.5" customHeight="1" x14ac:dyDescent="0.3">
      <c r="A41" s="184" t="s">
        <v>156</v>
      </c>
      <c r="B41" s="184" t="s">
        <v>57</v>
      </c>
      <c r="C41" s="184" t="s">
        <v>202</v>
      </c>
      <c r="D41" s="184" t="s">
        <v>25</v>
      </c>
      <c r="E41" s="184" t="s">
        <v>26</v>
      </c>
      <c r="F41" s="184" t="s">
        <v>208</v>
      </c>
      <c r="G41" s="184" t="s">
        <v>203</v>
      </c>
      <c r="H41" s="184" t="s">
        <v>204</v>
      </c>
      <c r="I41" s="184" t="s">
        <v>209</v>
      </c>
      <c r="J41" s="184" t="s">
        <v>210</v>
      </c>
      <c r="K41" s="189" t="s">
        <v>211</v>
      </c>
      <c r="L41" s="189"/>
      <c r="M41" s="189"/>
      <c r="N41" s="189"/>
      <c r="O41" s="189" t="s">
        <v>212</v>
      </c>
      <c r="P41" s="189"/>
      <c r="Q41" s="189"/>
      <c r="R41" s="189"/>
      <c r="S41" s="189"/>
      <c r="T41" s="189"/>
      <c r="U41" s="189" t="s">
        <v>213</v>
      </c>
      <c r="V41" s="189"/>
      <c r="W41" s="189"/>
      <c r="X41" s="189"/>
      <c r="Y41" s="189"/>
      <c r="Z41" s="189"/>
      <c r="AA41" s="189" t="s">
        <v>214</v>
      </c>
      <c r="AB41" s="189"/>
      <c r="AC41" s="189"/>
      <c r="AD41" s="189"/>
      <c r="AE41" s="189"/>
      <c r="AF41" s="189"/>
      <c r="AG41" s="189" t="s">
        <v>215</v>
      </c>
      <c r="AH41" s="189"/>
      <c r="AI41" s="189"/>
      <c r="AJ41" s="189"/>
      <c r="AK41" s="189"/>
      <c r="AL41" s="184" t="s">
        <v>216</v>
      </c>
      <c r="AM41" s="184" t="s">
        <v>164</v>
      </c>
      <c r="AN41" s="184" t="s">
        <v>217</v>
      </c>
      <c r="AO41" s="182" t="s">
        <v>389</v>
      </c>
      <c r="AP41" s="182" t="s">
        <v>218</v>
      </c>
    </row>
    <row r="42" spans="1:42" ht="16.5" customHeight="1" x14ac:dyDescent="0.3">
      <c r="A42" s="184"/>
      <c r="B42" s="184"/>
      <c r="C42" s="184"/>
      <c r="D42" s="184"/>
      <c r="E42" s="184"/>
      <c r="F42" s="184"/>
      <c r="G42" s="184"/>
      <c r="H42" s="184"/>
      <c r="I42" s="184"/>
      <c r="J42" s="184"/>
      <c r="K42" s="88">
        <v>46127</v>
      </c>
      <c r="L42" s="88">
        <v>46128</v>
      </c>
      <c r="M42" s="88">
        <v>46129</v>
      </c>
      <c r="N42" s="88">
        <v>46130</v>
      </c>
      <c r="O42" s="88">
        <v>46132</v>
      </c>
      <c r="P42" s="88">
        <v>46133</v>
      </c>
      <c r="Q42" s="88">
        <v>46134</v>
      </c>
      <c r="R42" s="88">
        <v>46135</v>
      </c>
      <c r="S42" s="88">
        <v>46136</v>
      </c>
      <c r="T42" s="88">
        <v>46137</v>
      </c>
      <c r="U42" s="88">
        <v>46139</v>
      </c>
      <c r="V42" s="88">
        <v>46140</v>
      </c>
      <c r="W42" s="88">
        <v>46141</v>
      </c>
      <c r="X42" s="88">
        <v>46142</v>
      </c>
      <c r="Y42" s="88">
        <v>46143</v>
      </c>
      <c r="Z42" s="88">
        <v>46144</v>
      </c>
      <c r="AA42" s="88">
        <v>46146</v>
      </c>
      <c r="AB42" s="88">
        <v>46147</v>
      </c>
      <c r="AC42" s="88">
        <v>46148</v>
      </c>
      <c r="AD42" s="88">
        <v>46149</v>
      </c>
      <c r="AE42" s="88">
        <v>46150</v>
      </c>
      <c r="AF42" s="88">
        <v>46151</v>
      </c>
      <c r="AG42" s="88">
        <v>46153</v>
      </c>
      <c r="AH42" s="88">
        <v>46154</v>
      </c>
      <c r="AI42" s="88">
        <v>46155</v>
      </c>
      <c r="AJ42" s="88">
        <v>46156</v>
      </c>
      <c r="AK42" s="88">
        <v>46157</v>
      </c>
      <c r="AL42" s="184"/>
      <c r="AM42" s="184"/>
      <c r="AN42" s="184"/>
      <c r="AO42" s="183"/>
      <c r="AP42" s="183"/>
    </row>
    <row r="43" spans="1:42" ht="16.5" customHeight="1" x14ac:dyDescent="0.3">
      <c r="A43" s="89" t="s">
        <v>51</v>
      </c>
      <c r="B43" s="90" t="s">
        <v>52</v>
      </c>
      <c r="C43" s="90" t="s">
        <v>32</v>
      </c>
      <c r="D43" s="90" t="s">
        <v>53</v>
      </c>
      <c r="E43" s="90" t="s">
        <v>50</v>
      </c>
      <c r="F43" s="91">
        <v>3000</v>
      </c>
      <c r="G43" s="92">
        <v>46143</v>
      </c>
      <c r="H43" s="91">
        <v>588</v>
      </c>
      <c r="I43" s="92">
        <f t="shared" ref="I43:I63" si="2">G43-$B$8</f>
        <v>46129</v>
      </c>
      <c r="J43" s="92">
        <f t="shared" ref="J43:J63" si="3">G43-$B$7</f>
        <v>46136</v>
      </c>
      <c r="K43" s="93">
        <v>0</v>
      </c>
      <c r="L43" s="93">
        <v>0</v>
      </c>
      <c r="M43" s="93">
        <v>0</v>
      </c>
      <c r="N43" s="93">
        <v>0</v>
      </c>
      <c r="O43" s="93">
        <v>0</v>
      </c>
      <c r="P43" s="93">
        <v>0</v>
      </c>
      <c r="Q43" s="93">
        <v>88</v>
      </c>
      <c r="R43" s="93">
        <v>500</v>
      </c>
      <c r="S43" s="93">
        <v>0</v>
      </c>
      <c r="T43" s="93">
        <v>0</v>
      </c>
      <c r="U43" s="93">
        <v>0</v>
      </c>
      <c r="V43" s="93">
        <v>0</v>
      </c>
      <c r="W43" s="93">
        <v>0</v>
      </c>
      <c r="X43" s="93">
        <v>0</v>
      </c>
      <c r="Y43" s="93">
        <v>0</v>
      </c>
      <c r="Z43" s="93">
        <v>0</v>
      </c>
      <c r="AA43" s="93">
        <v>0</v>
      </c>
      <c r="AB43" s="93">
        <v>0</v>
      </c>
      <c r="AC43" s="93">
        <v>0</v>
      </c>
      <c r="AD43" s="93">
        <v>0</v>
      </c>
      <c r="AE43" s="93">
        <v>0</v>
      </c>
      <c r="AF43" s="93">
        <v>0</v>
      </c>
      <c r="AG43" s="93">
        <v>0</v>
      </c>
      <c r="AH43" s="93">
        <v>0</v>
      </c>
      <c r="AI43" s="93">
        <v>0</v>
      </c>
      <c r="AJ43" s="93">
        <v>0</v>
      </c>
      <c r="AK43" s="93">
        <v>0</v>
      </c>
      <c r="AL43" s="94">
        <f t="shared" ref="AL43:AL63" si="4">SUM(K43:AK43)</f>
        <v>588</v>
      </c>
      <c r="AM43" s="95">
        <f t="shared" ref="AM43:AM63" si="5">MAX(0,$H43-AL43)</f>
        <v>0</v>
      </c>
      <c r="AN43" s="96" t="str">
        <f t="shared" ref="AN43:AN63" si="6">IF($AP43="WITHIN_HORIZON",IF(AND($AM43&gt;0,$AO43&gt;0),"SHORTAGE + LATE",IF($AM43&gt;0,"SHORTAGE",IF($AO43&gt;0,"LATE","OK"))),IF(AND($AP43="PARTIAL_HORIZON",$AM43=0,$AO43=0),"OK","OUT_OF_HORIZON"))</f>
        <v>OK</v>
      </c>
      <c r="AO43" s="97">
        <f t="shared" ref="AO43:AO63" si="7">SUMPRODUCT(($K$42:$AK$42&gt;$J43)*(K43:AK43))</f>
        <v>0</v>
      </c>
      <c r="AP43" s="96" t="str">
        <f t="shared" ref="AP43:AP63" si="8">IF($I43&gt;$AK$42,"OUT_OF_HORIZON",IF($J43&gt;$AK$42,"PARTIAL_HORIZON","WITHIN_HORIZON"))</f>
        <v>WITHIN_HORIZON</v>
      </c>
    </row>
    <row r="44" spans="1:42" ht="16.5" customHeight="1" x14ac:dyDescent="0.3">
      <c r="A44" s="89" t="s">
        <v>30</v>
      </c>
      <c r="B44" s="90" t="s">
        <v>31</v>
      </c>
      <c r="C44" s="90" t="s">
        <v>32</v>
      </c>
      <c r="D44" s="90" t="s">
        <v>33</v>
      </c>
      <c r="E44" s="90" t="s">
        <v>34</v>
      </c>
      <c r="F44" s="91">
        <v>15000</v>
      </c>
      <c r="G44" s="92">
        <v>46150</v>
      </c>
      <c r="H44" s="91">
        <v>684</v>
      </c>
      <c r="I44" s="92">
        <f t="shared" si="2"/>
        <v>46136</v>
      </c>
      <c r="J44" s="92">
        <f t="shared" si="3"/>
        <v>46143</v>
      </c>
      <c r="K44" s="93">
        <v>0</v>
      </c>
      <c r="L44" s="93">
        <v>0</v>
      </c>
      <c r="M44" s="93">
        <v>0</v>
      </c>
      <c r="N44" s="93">
        <v>0</v>
      </c>
      <c r="O44" s="93">
        <v>0</v>
      </c>
      <c r="P44" s="93">
        <v>0</v>
      </c>
      <c r="Q44" s="93">
        <v>0</v>
      </c>
      <c r="R44" s="93">
        <v>0</v>
      </c>
      <c r="S44" s="93">
        <v>0</v>
      </c>
      <c r="T44" s="93">
        <v>0</v>
      </c>
      <c r="U44" s="93">
        <v>0</v>
      </c>
      <c r="V44" s="93">
        <v>0</v>
      </c>
      <c r="W44" s="93">
        <v>0</v>
      </c>
      <c r="X44" s="93">
        <v>684</v>
      </c>
      <c r="Y44" s="93">
        <v>0</v>
      </c>
      <c r="Z44" s="93">
        <v>0</v>
      </c>
      <c r="AA44" s="93">
        <v>0</v>
      </c>
      <c r="AB44" s="93">
        <v>0</v>
      </c>
      <c r="AC44" s="93">
        <v>0</v>
      </c>
      <c r="AD44" s="93">
        <v>0</v>
      </c>
      <c r="AE44" s="93">
        <v>0</v>
      </c>
      <c r="AF44" s="93">
        <v>0</v>
      </c>
      <c r="AG44" s="93">
        <v>0</v>
      </c>
      <c r="AH44" s="93">
        <v>0</v>
      </c>
      <c r="AI44" s="93">
        <v>0</v>
      </c>
      <c r="AJ44" s="93">
        <v>0</v>
      </c>
      <c r="AK44" s="93">
        <v>0</v>
      </c>
      <c r="AL44" s="94">
        <f t="shared" si="4"/>
        <v>684</v>
      </c>
      <c r="AM44" s="95">
        <f t="shared" si="5"/>
        <v>0</v>
      </c>
      <c r="AN44" s="96" t="str">
        <f t="shared" si="6"/>
        <v>OK</v>
      </c>
      <c r="AO44" s="97">
        <f t="shared" si="7"/>
        <v>0</v>
      </c>
      <c r="AP44" s="96" t="str">
        <f t="shared" si="8"/>
        <v>WITHIN_HORIZON</v>
      </c>
    </row>
    <row r="45" spans="1:42" ht="16.5" customHeight="1" x14ac:dyDescent="0.3">
      <c r="A45" s="89" t="s">
        <v>46</v>
      </c>
      <c r="B45" s="90" t="s">
        <v>47</v>
      </c>
      <c r="C45" s="90" t="s">
        <v>48</v>
      </c>
      <c r="D45" s="90" t="s">
        <v>49</v>
      </c>
      <c r="E45" s="90" t="s">
        <v>50</v>
      </c>
      <c r="F45" s="91">
        <v>3000</v>
      </c>
      <c r="G45" s="92">
        <v>46150</v>
      </c>
      <c r="H45" s="91">
        <v>472</v>
      </c>
      <c r="I45" s="92">
        <f t="shared" si="2"/>
        <v>46136</v>
      </c>
      <c r="J45" s="92">
        <f t="shared" si="3"/>
        <v>46143</v>
      </c>
      <c r="K45" s="93">
        <v>0</v>
      </c>
      <c r="L45" s="93">
        <v>0</v>
      </c>
      <c r="M45" s="93">
        <v>0</v>
      </c>
      <c r="N45" s="93">
        <v>0</v>
      </c>
      <c r="O45" s="93">
        <v>0</v>
      </c>
      <c r="P45" s="93">
        <v>0</v>
      </c>
      <c r="Q45" s="93">
        <v>0</v>
      </c>
      <c r="R45" s="93">
        <v>0</v>
      </c>
      <c r="S45" s="93">
        <v>472</v>
      </c>
      <c r="T45" s="93">
        <v>0</v>
      </c>
      <c r="U45" s="93">
        <v>0</v>
      </c>
      <c r="V45" s="93">
        <v>0</v>
      </c>
      <c r="W45" s="93">
        <v>0</v>
      </c>
      <c r="X45" s="93">
        <v>0</v>
      </c>
      <c r="Y45" s="93">
        <v>0</v>
      </c>
      <c r="Z45" s="93">
        <v>0</v>
      </c>
      <c r="AA45" s="93">
        <v>0</v>
      </c>
      <c r="AB45" s="93">
        <v>0</v>
      </c>
      <c r="AC45" s="93">
        <v>0</v>
      </c>
      <c r="AD45" s="93">
        <v>0</v>
      </c>
      <c r="AE45" s="93">
        <v>0</v>
      </c>
      <c r="AF45" s="93">
        <v>0</v>
      </c>
      <c r="AG45" s="93">
        <v>0</v>
      </c>
      <c r="AH45" s="93">
        <v>0</v>
      </c>
      <c r="AI45" s="93">
        <v>0</v>
      </c>
      <c r="AJ45" s="93">
        <v>0</v>
      </c>
      <c r="AK45" s="93">
        <v>0</v>
      </c>
      <c r="AL45" s="94">
        <f t="shared" si="4"/>
        <v>472</v>
      </c>
      <c r="AM45" s="95">
        <f t="shared" si="5"/>
        <v>0</v>
      </c>
      <c r="AN45" s="96" t="str">
        <f t="shared" si="6"/>
        <v>OK</v>
      </c>
      <c r="AO45" s="97">
        <f t="shared" si="7"/>
        <v>0</v>
      </c>
      <c r="AP45" s="96" t="str">
        <f t="shared" si="8"/>
        <v>WITHIN_HORIZON</v>
      </c>
    </row>
    <row r="46" spans="1:42" ht="16.5" customHeight="1" x14ac:dyDescent="0.3">
      <c r="A46" s="89" t="s">
        <v>51</v>
      </c>
      <c r="B46" s="90" t="s">
        <v>52</v>
      </c>
      <c r="C46" s="90" t="s">
        <v>32</v>
      </c>
      <c r="D46" s="90" t="s">
        <v>53</v>
      </c>
      <c r="E46" s="90" t="s">
        <v>50</v>
      </c>
      <c r="F46" s="91">
        <v>3000</v>
      </c>
      <c r="G46" s="92">
        <v>46150</v>
      </c>
      <c r="H46" s="91">
        <v>4028</v>
      </c>
      <c r="I46" s="92">
        <f t="shared" si="2"/>
        <v>46136</v>
      </c>
      <c r="J46" s="92">
        <f t="shared" si="3"/>
        <v>46143</v>
      </c>
      <c r="K46" s="93">
        <v>0</v>
      </c>
      <c r="L46" s="93">
        <v>0</v>
      </c>
      <c r="M46" s="93">
        <v>0</v>
      </c>
      <c r="N46" s="93">
        <v>0</v>
      </c>
      <c r="O46" s="93">
        <v>0</v>
      </c>
      <c r="P46" s="93">
        <v>0</v>
      </c>
      <c r="Q46" s="93">
        <v>0</v>
      </c>
      <c r="R46" s="93">
        <v>0</v>
      </c>
      <c r="S46" s="93">
        <v>28</v>
      </c>
      <c r="T46" s="93">
        <v>500</v>
      </c>
      <c r="U46" s="93">
        <v>500</v>
      </c>
      <c r="V46" s="93">
        <v>500</v>
      </c>
      <c r="W46" s="93">
        <v>500</v>
      </c>
      <c r="X46" s="93">
        <v>500</v>
      </c>
      <c r="Y46" s="93">
        <v>500</v>
      </c>
      <c r="Z46" s="93">
        <v>0</v>
      </c>
      <c r="AA46" s="93">
        <v>0</v>
      </c>
      <c r="AB46" s="93">
        <v>0</v>
      </c>
      <c r="AC46" s="93">
        <v>0</v>
      </c>
      <c r="AD46" s="93">
        <v>0</v>
      </c>
      <c r="AE46" s="93">
        <v>0</v>
      </c>
      <c r="AF46" s="93">
        <v>0</v>
      </c>
      <c r="AG46" s="93">
        <v>0</v>
      </c>
      <c r="AH46" s="93">
        <v>0</v>
      </c>
      <c r="AI46" s="93">
        <v>0</v>
      </c>
      <c r="AJ46" s="93">
        <v>0</v>
      </c>
      <c r="AK46" s="93">
        <v>0</v>
      </c>
      <c r="AL46" s="94">
        <f t="shared" si="4"/>
        <v>3028</v>
      </c>
      <c r="AM46" s="95">
        <f t="shared" si="5"/>
        <v>1000</v>
      </c>
      <c r="AN46" s="96" t="str">
        <f t="shared" si="6"/>
        <v>SHORTAGE</v>
      </c>
      <c r="AO46" s="97">
        <f t="shared" si="7"/>
        <v>0</v>
      </c>
      <c r="AP46" s="96" t="str">
        <f t="shared" si="8"/>
        <v>WITHIN_HORIZON</v>
      </c>
    </row>
    <row r="47" spans="1:42" ht="16.5" customHeight="1" x14ac:dyDescent="0.3">
      <c r="A47" s="89" t="s">
        <v>30</v>
      </c>
      <c r="B47" s="90" t="s">
        <v>31</v>
      </c>
      <c r="C47" s="90" t="s">
        <v>32</v>
      </c>
      <c r="D47" s="90" t="s">
        <v>33</v>
      </c>
      <c r="E47" s="90" t="s">
        <v>34</v>
      </c>
      <c r="F47" s="91">
        <v>15000</v>
      </c>
      <c r="G47" s="92">
        <v>46157</v>
      </c>
      <c r="H47" s="91">
        <v>20000</v>
      </c>
      <c r="I47" s="92">
        <f t="shared" si="2"/>
        <v>46143</v>
      </c>
      <c r="J47" s="92">
        <f t="shared" si="3"/>
        <v>46150</v>
      </c>
      <c r="K47" s="93">
        <v>0</v>
      </c>
      <c r="L47" s="93">
        <v>0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0</v>
      </c>
      <c r="X47" s="93">
        <v>0</v>
      </c>
      <c r="Y47" s="93">
        <v>2500</v>
      </c>
      <c r="Z47" s="93">
        <v>2500</v>
      </c>
      <c r="AA47" s="93">
        <v>2500</v>
      </c>
      <c r="AB47" s="93">
        <v>2500</v>
      </c>
      <c r="AC47" s="93">
        <v>1998</v>
      </c>
      <c r="AD47" s="93">
        <v>0</v>
      </c>
      <c r="AE47" s="93">
        <v>0</v>
      </c>
      <c r="AF47" s="93">
        <v>0</v>
      </c>
      <c r="AG47" s="93">
        <v>0</v>
      </c>
      <c r="AH47" s="93">
        <v>0</v>
      </c>
      <c r="AI47" s="93">
        <v>0</v>
      </c>
      <c r="AJ47" s="93">
        <v>0</v>
      </c>
      <c r="AK47" s="93">
        <v>0</v>
      </c>
      <c r="AL47" s="94">
        <f t="shared" si="4"/>
        <v>11998</v>
      </c>
      <c r="AM47" s="95">
        <f t="shared" si="5"/>
        <v>8002</v>
      </c>
      <c r="AN47" s="96" t="str">
        <f t="shared" si="6"/>
        <v>SHORTAGE</v>
      </c>
      <c r="AO47" s="97">
        <f t="shared" si="7"/>
        <v>0</v>
      </c>
      <c r="AP47" s="96" t="str">
        <f t="shared" si="8"/>
        <v>WITHIN_HORIZON</v>
      </c>
    </row>
    <row r="48" spans="1:42" ht="16.5" customHeight="1" x14ac:dyDescent="0.3">
      <c r="A48" s="89" t="s">
        <v>35</v>
      </c>
      <c r="B48" s="90" t="s">
        <v>36</v>
      </c>
      <c r="C48" s="90" t="s">
        <v>32</v>
      </c>
      <c r="D48" s="90" t="s">
        <v>37</v>
      </c>
      <c r="E48" s="90" t="s">
        <v>34</v>
      </c>
      <c r="F48" s="91">
        <v>15000</v>
      </c>
      <c r="G48" s="92">
        <v>46157</v>
      </c>
      <c r="H48" s="91">
        <v>5502</v>
      </c>
      <c r="I48" s="92">
        <f t="shared" si="2"/>
        <v>46143</v>
      </c>
      <c r="J48" s="92">
        <f t="shared" si="3"/>
        <v>46150</v>
      </c>
      <c r="K48" s="93">
        <v>0</v>
      </c>
      <c r="L48" s="93">
        <v>0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0</v>
      </c>
      <c r="X48" s="93">
        <v>0</v>
      </c>
      <c r="Y48" s="93">
        <v>0</v>
      </c>
      <c r="Z48" s="93">
        <v>0</v>
      </c>
      <c r="AA48" s="93">
        <v>0</v>
      </c>
      <c r="AB48" s="93">
        <v>0</v>
      </c>
      <c r="AC48" s="93">
        <v>502</v>
      </c>
      <c r="AD48" s="93">
        <v>2500</v>
      </c>
      <c r="AE48" s="93">
        <v>2500</v>
      </c>
      <c r="AF48" s="93">
        <v>0</v>
      </c>
      <c r="AG48" s="93">
        <v>0</v>
      </c>
      <c r="AH48" s="93">
        <v>0</v>
      </c>
      <c r="AI48" s="93">
        <v>0</v>
      </c>
      <c r="AJ48" s="93">
        <v>0</v>
      </c>
      <c r="AK48" s="93">
        <v>0</v>
      </c>
      <c r="AL48" s="94">
        <f t="shared" si="4"/>
        <v>5502</v>
      </c>
      <c r="AM48" s="95">
        <f t="shared" si="5"/>
        <v>0</v>
      </c>
      <c r="AN48" s="96" t="str">
        <f t="shared" si="6"/>
        <v>OK</v>
      </c>
      <c r="AO48" s="97">
        <f t="shared" si="7"/>
        <v>0</v>
      </c>
      <c r="AP48" s="96" t="str">
        <f t="shared" si="8"/>
        <v>WITHIN_HORIZON</v>
      </c>
    </row>
    <row r="49" spans="1:42" ht="16.5" customHeight="1" x14ac:dyDescent="0.3">
      <c r="A49" s="89" t="s">
        <v>38</v>
      </c>
      <c r="B49" s="90" t="s">
        <v>39</v>
      </c>
      <c r="C49" s="90" t="s">
        <v>40</v>
      </c>
      <c r="D49" s="90" t="s">
        <v>41</v>
      </c>
      <c r="E49" s="90" t="s">
        <v>42</v>
      </c>
      <c r="F49" s="91">
        <v>5000</v>
      </c>
      <c r="G49" s="92">
        <v>46157</v>
      </c>
      <c r="H49" s="91">
        <v>4320</v>
      </c>
      <c r="I49" s="92">
        <f t="shared" si="2"/>
        <v>46143</v>
      </c>
      <c r="J49" s="92">
        <f t="shared" si="3"/>
        <v>46150</v>
      </c>
      <c r="K49" s="93">
        <v>0</v>
      </c>
      <c r="L49" s="93">
        <v>0</v>
      </c>
      <c r="M49" s="93">
        <v>0</v>
      </c>
      <c r="N49" s="93">
        <v>0</v>
      </c>
      <c r="O49" s="93">
        <v>0</v>
      </c>
      <c r="P49" s="93">
        <v>0</v>
      </c>
      <c r="Q49" s="93">
        <v>0</v>
      </c>
      <c r="R49" s="93">
        <v>0</v>
      </c>
      <c r="S49" s="93">
        <v>0</v>
      </c>
      <c r="T49" s="93">
        <v>0</v>
      </c>
      <c r="U49" s="93">
        <v>0</v>
      </c>
      <c r="V49" s="93">
        <v>0</v>
      </c>
      <c r="W49" s="93">
        <v>0</v>
      </c>
      <c r="X49" s="93">
        <v>0</v>
      </c>
      <c r="Y49" s="93">
        <v>0</v>
      </c>
      <c r="Z49" s="93">
        <v>833</v>
      </c>
      <c r="AA49" s="93">
        <v>833</v>
      </c>
      <c r="AB49" s="93">
        <v>833</v>
      </c>
      <c r="AC49" s="93">
        <v>69</v>
      </c>
      <c r="AD49" s="93">
        <v>833</v>
      </c>
      <c r="AE49" s="93">
        <v>0</v>
      </c>
      <c r="AF49" s="93">
        <v>0</v>
      </c>
      <c r="AG49" s="93">
        <v>0</v>
      </c>
      <c r="AH49" s="93">
        <v>0</v>
      </c>
      <c r="AI49" s="93">
        <v>0</v>
      </c>
      <c r="AJ49" s="93">
        <v>0</v>
      </c>
      <c r="AK49" s="93">
        <v>0</v>
      </c>
      <c r="AL49" s="94">
        <f t="shared" si="4"/>
        <v>3401</v>
      </c>
      <c r="AM49" s="95">
        <f t="shared" si="5"/>
        <v>919</v>
      </c>
      <c r="AN49" s="96" t="str">
        <f t="shared" si="6"/>
        <v>SHORTAGE</v>
      </c>
      <c r="AO49" s="97">
        <f t="shared" si="7"/>
        <v>0</v>
      </c>
      <c r="AP49" s="96" t="str">
        <f t="shared" si="8"/>
        <v>WITHIN_HORIZON</v>
      </c>
    </row>
    <row r="50" spans="1:42" ht="16.5" customHeight="1" x14ac:dyDescent="0.3">
      <c r="A50" s="89" t="s">
        <v>43</v>
      </c>
      <c r="B50" s="90" t="s">
        <v>44</v>
      </c>
      <c r="C50" s="90" t="s">
        <v>40</v>
      </c>
      <c r="D50" s="90" t="s">
        <v>45</v>
      </c>
      <c r="E50" s="90" t="s">
        <v>42</v>
      </c>
      <c r="F50" s="91">
        <v>5000</v>
      </c>
      <c r="G50" s="92">
        <v>46157</v>
      </c>
      <c r="H50" s="91">
        <v>2430</v>
      </c>
      <c r="I50" s="92">
        <f t="shared" si="2"/>
        <v>46143</v>
      </c>
      <c r="J50" s="92">
        <f t="shared" si="3"/>
        <v>46150</v>
      </c>
      <c r="K50" s="93">
        <v>0</v>
      </c>
      <c r="L50" s="93">
        <v>0</v>
      </c>
      <c r="M50" s="93">
        <v>0</v>
      </c>
      <c r="N50" s="93">
        <v>0</v>
      </c>
      <c r="O50" s="93">
        <v>0</v>
      </c>
      <c r="P50" s="93">
        <v>0</v>
      </c>
      <c r="Q50" s="93">
        <v>0</v>
      </c>
      <c r="R50" s="93">
        <v>0</v>
      </c>
      <c r="S50" s="93">
        <v>0</v>
      </c>
      <c r="T50" s="93">
        <v>0</v>
      </c>
      <c r="U50" s="93">
        <v>0</v>
      </c>
      <c r="V50" s="93">
        <v>0</v>
      </c>
      <c r="W50" s="93">
        <v>0</v>
      </c>
      <c r="X50" s="93">
        <v>0</v>
      </c>
      <c r="Y50" s="93">
        <v>833</v>
      </c>
      <c r="Z50" s="93">
        <v>0</v>
      </c>
      <c r="AA50" s="93">
        <v>0</v>
      </c>
      <c r="AB50" s="93">
        <v>0</v>
      </c>
      <c r="AC50" s="93">
        <v>764</v>
      </c>
      <c r="AD50" s="93">
        <v>0</v>
      </c>
      <c r="AE50" s="93">
        <v>833</v>
      </c>
      <c r="AF50" s="93">
        <v>0</v>
      </c>
      <c r="AG50" s="93">
        <v>0</v>
      </c>
      <c r="AH50" s="93">
        <v>0</v>
      </c>
      <c r="AI50" s="93">
        <v>0</v>
      </c>
      <c r="AJ50" s="93">
        <v>0</v>
      </c>
      <c r="AK50" s="93">
        <v>0</v>
      </c>
      <c r="AL50" s="94">
        <f t="shared" si="4"/>
        <v>2430</v>
      </c>
      <c r="AM50" s="95">
        <f t="shared" si="5"/>
        <v>0</v>
      </c>
      <c r="AN50" s="96" t="str">
        <f t="shared" si="6"/>
        <v>OK</v>
      </c>
      <c r="AO50" s="97">
        <f t="shared" si="7"/>
        <v>0</v>
      </c>
      <c r="AP50" s="96" t="str">
        <f t="shared" si="8"/>
        <v>WITHIN_HORIZON</v>
      </c>
    </row>
    <row r="51" spans="1:42" ht="16.5" customHeight="1" x14ac:dyDescent="0.3">
      <c r="A51" s="89" t="s">
        <v>46</v>
      </c>
      <c r="B51" s="90" t="s">
        <v>47</v>
      </c>
      <c r="C51" s="90" t="s">
        <v>48</v>
      </c>
      <c r="D51" s="90" t="s">
        <v>49</v>
      </c>
      <c r="E51" s="90" t="s">
        <v>50</v>
      </c>
      <c r="F51" s="91">
        <v>3000</v>
      </c>
      <c r="G51" s="92">
        <v>46157</v>
      </c>
      <c r="H51" s="91">
        <v>300</v>
      </c>
      <c r="I51" s="92">
        <f t="shared" si="2"/>
        <v>46143</v>
      </c>
      <c r="J51" s="92">
        <f t="shared" si="3"/>
        <v>46150</v>
      </c>
      <c r="K51" s="93">
        <v>0</v>
      </c>
      <c r="L51" s="93">
        <v>0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0</v>
      </c>
      <c r="Z51" s="93">
        <v>300</v>
      </c>
      <c r="AA51" s="93">
        <v>0</v>
      </c>
      <c r="AB51" s="93">
        <v>0</v>
      </c>
      <c r="AC51" s="93">
        <v>0</v>
      </c>
      <c r="AD51" s="93">
        <v>0</v>
      </c>
      <c r="AE51" s="93">
        <v>0</v>
      </c>
      <c r="AF51" s="93">
        <v>0</v>
      </c>
      <c r="AG51" s="93">
        <v>0</v>
      </c>
      <c r="AH51" s="93">
        <v>0</v>
      </c>
      <c r="AI51" s="93">
        <v>0</v>
      </c>
      <c r="AJ51" s="93">
        <v>0</v>
      </c>
      <c r="AK51" s="93">
        <v>0</v>
      </c>
      <c r="AL51" s="94">
        <f t="shared" si="4"/>
        <v>300</v>
      </c>
      <c r="AM51" s="95">
        <f t="shared" si="5"/>
        <v>0</v>
      </c>
      <c r="AN51" s="96" t="str">
        <f t="shared" si="6"/>
        <v>OK</v>
      </c>
      <c r="AO51" s="97">
        <f t="shared" si="7"/>
        <v>0</v>
      </c>
      <c r="AP51" s="96" t="str">
        <f t="shared" si="8"/>
        <v>WITHIN_HORIZON</v>
      </c>
    </row>
    <row r="52" spans="1:42" ht="16.5" customHeight="1" x14ac:dyDescent="0.3">
      <c r="A52" s="89" t="s">
        <v>51</v>
      </c>
      <c r="B52" s="90" t="s">
        <v>52</v>
      </c>
      <c r="C52" s="90" t="s">
        <v>32</v>
      </c>
      <c r="D52" s="90" t="s">
        <v>53</v>
      </c>
      <c r="E52" s="90" t="s">
        <v>50</v>
      </c>
      <c r="F52" s="91">
        <v>3000</v>
      </c>
      <c r="G52" s="92">
        <v>46157</v>
      </c>
      <c r="H52" s="91">
        <v>4200</v>
      </c>
      <c r="I52" s="92">
        <f t="shared" si="2"/>
        <v>46143</v>
      </c>
      <c r="J52" s="92">
        <f t="shared" si="3"/>
        <v>46150</v>
      </c>
      <c r="K52" s="93">
        <v>0</v>
      </c>
      <c r="L52" s="93">
        <v>0</v>
      </c>
      <c r="M52" s="93">
        <v>0</v>
      </c>
      <c r="N52" s="93">
        <v>0</v>
      </c>
      <c r="O52" s="93">
        <v>0</v>
      </c>
      <c r="P52" s="93">
        <v>0</v>
      </c>
      <c r="Q52" s="93">
        <v>0</v>
      </c>
      <c r="R52" s="93">
        <v>0</v>
      </c>
      <c r="S52" s="93">
        <v>0</v>
      </c>
      <c r="T52" s="93">
        <v>0</v>
      </c>
      <c r="U52" s="93">
        <v>0</v>
      </c>
      <c r="V52" s="93">
        <v>0</v>
      </c>
      <c r="W52" s="93">
        <v>0</v>
      </c>
      <c r="X52" s="93">
        <v>0</v>
      </c>
      <c r="Y52" s="93">
        <v>0</v>
      </c>
      <c r="Z52" s="93">
        <v>200</v>
      </c>
      <c r="AA52" s="93">
        <v>500</v>
      </c>
      <c r="AB52" s="93">
        <v>500</v>
      </c>
      <c r="AC52" s="93">
        <v>500</v>
      </c>
      <c r="AD52" s="93">
        <v>500</v>
      </c>
      <c r="AE52" s="93">
        <v>302</v>
      </c>
      <c r="AF52" s="93">
        <v>0</v>
      </c>
      <c r="AG52" s="93">
        <v>0</v>
      </c>
      <c r="AH52" s="93">
        <v>0</v>
      </c>
      <c r="AI52" s="93">
        <v>0</v>
      </c>
      <c r="AJ52" s="93">
        <v>0</v>
      </c>
      <c r="AK52" s="93">
        <v>0</v>
      </c>
      <c r="AL52" s="94">
        <f t="shared" si="4"/>
        <v>2502</v>
      </c>
      <c r="AM52" s="95">
        <f t="shared" si="5"/>
        <v>1698</v>
      </c>
      <c r="AN52" s="96" t="str">
        <f t="shared" si="6"/>
        <v>SHORTAGE</v>
      </c>
      <c r="AO52" s="97">
        <f t="shared" si="7"/>
        <v>0</v>
      </c>
      <c r="AP52" s="96" t="str">
        <f t="shared" si="8"/>
        <v>WITHIN_HORIZON</v>
      </c>
    </row>
    <row r="53" spans="1:42" ht="16.5" customHeight="1" x14ac:dyDescent="0.3">
      <c r="A53" s="89" t="s">
        <v>30</v>
      </c>
      <c r="B53" s="90" t="s">
        <v>31</v>
      </c>
      <c r="C53" s="90" t="s">
        <v>32</v>
      </c>
      <c r="D53" s="90" t="s">
        <v>33</v>
      </c>
      <c r="E53" s="90" t="s">
        <v>34</v>
      </c>
      <c r="F53" s="91">
        <v>15000</v>
      </c>
      <c r="G53" s="92">
        <v>46164</v>
      </c>
      <c r="H53" s="91">
        <v>20000</v>
      </c>
      <c r="I53" s="92">
        <f t="shared" si="2"/>
        <v>46150</v>
      </c>
      <c r="J53" s="92">
        <f t="shared" si="3"/>
        <v>46157</v>
      </c>
      <c r="K53" s="93">
        <v>0</v>
      </c>
      <c r="L53" s="93">
        <v>0</v>
      </c>
      <c r="M53" s="93">
        <v>0</v>
      </c>
      <c r="N53" s="93">
        <v>0</v>
      </c>
      <c r="O53" s="93">
        <v>0</v>
      </c>
      <c r="P53" s="93">
        <v>0</v>
      </c>
      <c r="Q53" s="93">
        <v>0</v>
      </c>
      <c r="R53" s="93">
        <v>0</v>
      </c>
      <c r="S53" s="93">
        <v>0</v>
      </c>
      <c r="T53" s="93">
        <v>0</v>
      </c>
      <c r="U53" s="93">
        <v>0</v>
      </c>
      <c r="V53" s="93">
        <v>0</v>
      </c>
      <c r="W53" s="93">
        <v>0</v>
      </c>
      <c r="X53" s="93">
        <v>0</v>
      </c>
      <c r="Y53" s="93">
        <v>0</v>
      </c>
      <c r="Z53" s="93">
        <v>0</v>
      </c>
      <c r="AA53" s="93">
        <v>0</v>
      </c>
      <c r="AB53" s="93">
        <v>0</v>
      </c>
      <c r="AC53" s="93">
        <v>0</v>
      </c>
      <c r="AD53" s="93">
        <v>0</v>
      </c>
      <c r="AE53" s="93">
        <v>0</v>
      </c>
      <c r="AF53" s="93">
        <v>0</v>
      </c>
      <c r="AG53" s="93">
        <v>2500</v>
      </c>
      <c r="AH53" s="93">
        <v>0</v>
      </c>
      <c r="AI53" s="93">
        <v>0</v>
      </c>
      <c r="AJ53" s="93">
        <v>0</v>
      </c>
      <c r="AK53" s="93">
        <v>1135</v>
      </c>
      <c r="AL53" s="94">
        <f t="shared" si="4"/>
        <v>3635</v>
      </c>
      <c r="AM53" s="95">
        <f t="shared" si="5"/>
        <v>16365</v>
      </c>
      <c r="AN53" s="96" t="str">
        <f t="shared" si="6"/>
        <v>SHORTAGE</v>
      </c>
      <c r="AO53" s="97">
        <f t="shared" si="7"/>
        <v>0</v>
      </c>
      <c r="AP53" s="96" t="str">
        <f t="shared" si="8"/>
        <v>WITHIN_HORIZON</v>
      </c>
    </row>
    <row r="54" spans="1:42" ht="16.5" customHeight="1" x14ac:dyDescent="0.3">
      <c r="A54" s="89" t="s">
        <v>35</v>
      </c>
      <c r="B54" s="90" t="s">
        <v>36</v>
      </c>
      <c r="C54" s="90" t="s">
        <v>32</v>
      </c>
      <c r="D54" s="90" t="s">
        <v>37</v>
      </c>
      <c r="E54" s="90" t="s">
        <v>34</v>
      </c>
      <c r="F54" s="91">
        <v>15000</v>
      </c>
      <c r="G54" s="92">
        <v>46164</v>
      </c>
      <c r="H54" s="91">
        <v>15658</v>
      </c>
      <c r="I54" s="92">
        <f t="shared" si="2"/>
        <v>46150</v>
      </c>
      <c r="J54" s="92">
        <f t="shared" si="3"/>
        <v>46157</v>
      </c>
      <c r="K54" s="93">
        <v>0</v>
      </c>
      <c r="L54" s="93">
        <v>0</v>
      </c>
      <c r="M54" s="93">
        <v>0</v>
      </c>
      <c r="N54" s="93">
        <v>0</v>
      </c>
      <c r="O54" s="93">
        <v>0</v>
      </c>
      <c r="P54" s="93">
        <v>0</v>
      </c>
      <c r="Q54" s="93">
        <v>0</v>
      </c>
      <c r="R54" s="93">
        <v>0</v>
      </c>
      <c r="S54" s="93">
        <v>0</v>
      </c>
      <c r="T54" s="93">
        <v>0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  <c r="Z54" s="93">
        <v>0</v>
      </c>
      <c r="AA54" s="93">
        <v>0</v>
      </c>
      <c r="AB54" s="93">
        <v>0</v>
      </c>
      <c r="AC54" s="93">
        <v>0</v>
      </c>
      <c r="AD54" s="93">
        <v>0</v>
      </c>
      <c r="AE54" s="93">
        <v>0</v>
      </c>
      <c r="AF54" s="93">
        <v>2500</v>
      </c>
      <c r="AG54" s="93">
        <v>0</v>
      </c>
      <c r="AH54" s="93">
        <v>2500</v>
      </c>
      <c r="AI54" s="93">
        <v>2500</v>
      </c>
      <c r="AJ54" s="93">
        <v>2500</v>
      </c>
      <c r="AK54" s="93">
        <v>1365</v>
      </c>
      <c r="AL54" s="94">
        <f t="shared" si="4"/>
        <v>11365</v>
      </c>
      <c r="AM54" s="95">
        <f t="shared" si="5"/>
        <v>4293</v>
      </c>
      <c r="AN54" s="96" t="str">
        <f t="shared" si="6"/>
        <v>SHORTAGE</v>
      </c>
      <c r="AO54" s="97">
        <f t="shared" si="7"/>
        <v>0</v>
      </c>
      <c r="AP54" s="96" t="str">
        <f t="shared" si="8"/>
        <v>WITHIN_HORIZON</v>
      </c>
    </row>
    <row r="55" spans="1:42" ht="16.5" customHeight="1" x14ac:dyDescent="0.3">
      <c r="A55" s="89" t="s">
        <v>38</v>
      </c>
      <c r="B55" s="90" t="s">
        <v>39</v>
      </c>
      <c r="C55" s="90" t="s">
        <v>40</v>
      </c>
      <c r="D55" s="90" t="s">
        <v>41</v>
      </c>
      <c r="E55" s="90" t="s">
        <v>42</v>
      </c>
      <c r="F55" s="91">
        <v>5000</v>
      </c>
      <c r="G55" s="92">
        <v>46164</v>
      </c>
      <c r="H55" s="91">
        <v>8370</v>
      </c>
      <c r="I55" s="92">
        <f t="shared" si="2"/>
        <v>46150</v>
      </c>
      <c r="J55" s="92">
        <f t="shared" si="3"/>
        <v>46157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0</v>
      </c>
      <c r="X55" s="93">
        <v>0</v>
      </c>
      <c r="Y55" s="93">
        <v>0</v>
      </c>
      <c r="Z55" s="93">
        <v>0</v>
      </c>
      <c r="AA55" s="93">
        <v>0</v>
      </c>
      <c r="AB55" s="93">
        <v>0</v>
      </c>
      <c r="AC55" s="93">
        <v>0</v>
      </c>
      <c r="AD55" s="93">
        <v>0</v>
      </c>
      <c r="AE55" s="93">
        <v>0</v>
      </c>
      <c r="AF55" s="93">
        <v>833</v>
      </c>
      <c r="AG55" s="93">
        <v>833</v>
      </c>
      <c r="AH55" s="93">
        <v>833</v>
      </c>
      <c r="AI55" s="93">
        <v>833</v>
      </c>
      <c r="AJ55" s="93">
        <v>833</v>
      </c>
      <c r="AK55" s="93">
        <v>833</v>
      </c>
      <c r="AL55" s="94">
        <f t="shared" si="4"/>
        <v>4998</v>
      </c>
      <c r="AM55" s="95">
        <f t="shared" si="5"/>
        <v>3372</v>
      </c>
      <c r="AN55" s="96" t="str">
        <f t="shared" si="6"/>
        <v>SHORTAGE</v>
      </c>
      <c r="AO55" s="97">
        <f t="shared" si="7"/>
        <v>0</v>
      </c>
      <c r="AP55" s="96" t="str">
        <f t="shared" si="8"/>
        <v>WITHIN_HORIZON</v>
      </c>
    </row>
    <row r="56" spans="1:42" ht="16.5" customHeight="1" x14ac:dyDescent="0.3">
      <c r="A56" s="89" t="s">
        <v>43</v>
      </c>
      <c r="B56" s="90" t="s">
        <v>44</v>
      </c>
      <c r="C56" s="90" t="s">
        <v>40</v>
      </c>
      <c r="D56" s="90" t="s">
        <v>45</v>
      </c>
      <c r="E56" s="90" t="s">
        <v>42</v>
      </c>
      <c r="F56" s="91">
        <v>5000</v>
      </c>
      <c r="G56" s="92">
        <v>46164</v>
      </c>
      <c r="H56" s="91">
        <v>9990</v>
      </c>
      <c r="I56" s="92">
        <f t="shared" si="2"/>
        <v>46150</v>
      </c>
      <c r="J56" s="92">
        <f t="shared" si="3"/>
        <v>46157</v>
      </c>
      <c r="K56" s="93">
        <v>0</v>
      </c>
      <c r="L56" s="93">
        <v>0</v>
      </c>
      <c r="M56" s="93">
        <v>0</v>
      </c>
      <c r="N56" s="93">
        <v>0</v>
      </c>
      <c r="O56" s="93">
        <v>0</v>
      </c>
      <c r="P56" s="93">
        <v>0</v>
      </c>
      <c r="Q56" s="93">
        <v>0</v>
      </c>
      <c r="R56" s="93">
        <v>0</v>
      </c>
      <c r="S56" s="93">
        <v>0</v>
      </c>
      <c r="T56" s="93">
        <v>0</v>
      </c>
      <c r="U56" s="93">
        <v>0</v>
      </c>
      <c r="V56" s="93">
        <v>0</v>
      </c>
      <c r="W56" s="93">
        <v>0</v>
      </c>
      <c r="X56" s="93">
        <v>0</v>
      </c>
      <c r="Y56" s="93">
        <v>0</v>
      </c>
      <c r="Z56" s="93">
        <v>0</v>
      </c>
      <c r="AA56" s="93">
        <v>0</v>
      </c>
      <c r="AB56" s="93">
        <v>0</v>
      </c>
      <c r="AC56" s="93">
        <v>0</v>
      </c>
      <c r="AD56" s="93">
        <v>0</v>
      </c>
      <c r="AE56" s="93">
        <v>0</v>
      </c>
      <c r="AF56" s="93">
        <v>0</v>
      </c>
      <c r="AG56" s="93">
        <v>0</v>
      </c>
      <c r="AH56" s="93">
        <v>0</v>
      </c>
      <c r="AI56" s="93">
        <v>0</v>
      </c>
      <c r="AJ56" s="93">
        <v>0</v>
      </c>
      <c r="AK56" s="93">
        <v>0</v>
      </c>
      <c r="AL56" s="94">
        <f t="shared" si="4"/>
        <v>0</v>
      </c>
      <c r="AM56" s="95">
        <f t="shared" si="5"/>
        <v>9990</v>
      </c>
      <c r="AN56" s="96" t="str">
        <f t="shared" si="6"/>
        <v>SHORTAGE</v>
      </c>
      <c r="AO56" s="97">
        <f t="shared" si="7"/>
        <v>0</v>
      </c>
      <c r="AP56" s="96" t="str">
        <f t="shared" si="8"/>
        <v>WITHIN_HORIZON</v>
      </c>
    </row>
    <row r="57" spans="1:42" ht="16.5" customHeight="1" x14ac:dyDescent="0.3">
      <c r="A57" s="89" t="s">
        <v>46</v>
      </c>
      <c r="B57" s="90" t="s">
        <v>47</v>
      </c>
      <c r="C57" s="90" t="s">
        <v>48</v>
      </c>
      <c r="D57" s="90" t="s">
        <v>49</v>
      </c>
      <c r="E57" s="90" t="s">
        <v>50</v>
      </c>
      <c r="F57" s="91">
        <v>3000</v>
      </c>
      <c r="G57" s="92">
        <v>46164</v>
      </c>
      <c r="H57" s="91">
        <v>698</v>
      </c>
      <c r="I57" s="92">
        <f t="shared" si="2"/>
        <v>46150</v>
      </c>
      <c r="J57" s="92">
        <f t="shared" si="3"/>
        <v>46157</v>
      </c>
      <c r="K57" s="93">
        <v>0</v>
      </c>
      <c r="L57" s="93">
        <v>0</v>
      </c>
      <c r="M57" s="93">
        <v>0</v>
      </c>
      <c r="N57" s="93">
        <v>0</v>
      </c>
      <c r="O57" s="93">
        <v>0</v>
      </c>
      <c r="P57" s="93">
        <v>0</v>
      </c>
      <c r="Q57" s="93">
        <v>0</v>
      </c>
      <c r="R57" s="93">
        <v>0</v>
      </c>
      <c r="S57" s="93">
        <v>0</v>
      </c>
      <c r="T57" s="93">
        <v>0</v>
      </c>
      <c r="U57" s="93">
        <v>0</v>
      </c>
      <c r="V57" s="93">
        <v>0</v>
      </c>
      <c r="W57" s="93">
        <v>0</v>
      </c>
      <c r="X57" s="93">
        <v>0</v>
      </c>
      <c r="Y57" s="93">
        <v>0</v>
      </c>
      <c r="Z57" s="93">
        <v>0</v>
      </c>
      <c r="AA57" s="93">
        <v>0</v>
      </c>
      <c r="AB57" s="93">
        <v>0</v>
      </c>
      <c r="AC57" s="93">
        <v>0</v>
      </c>
      <c r="AD57" s="93">
        <v>0</v>
      </c>
      <c r="AE57" s="93">
        <v>198</v>
      </c>
      <c r="AF57" s="93">
        <v>500</v>
      </c>
      <c r="AG57" s="93">
        <v>0</v>
      </c>
      <c r="AH57" s="93">
        <v>0</v>
      </c>
      <c r="AI57" s="93">
        <v>0</v>
      </c>
      <c r="AJ57" s="93">
        <v>0</v>
      </c>
      <c r="AK57" s="93">
        <v>0</v>
      </c>
      <c r="AL57" s="94">
        <f t="shared" si="4"/>
        <v>698</v>
      </c>
      <c r="AM57" s="95">
        <f t="shared" si="5"/>
        <v>0</v>
      </c>
      <c r="AN57" s="96" t="str">
        <f t="shared" si="6"/>
        <v>OK</v>
      </c>
      <c r="AO57" s="97">
        <f t="shared" si="7"/>
        <v>0</v>
      </c>
      <c r="AP57" s="96" t="str">
        <f t="shared" si="8"/>
        <v>WITHIN_HORIZON</v>
      </c>
    </row>
    <row r="58" spans="1:42" ht="16.5" customHeight="1" x14ac:dyDescent="0.3">
      <c r="A58" s="89" t="s">
        <v>51</v>
      </c>
      <c r="B58" s="90" t="s">
        <v>52</v>
      </c>
      <c r="C58" s="90" t="s">
        <v>32</v>
      </c>
      <c r="D58" s="90" t="s">
        <v>53</v>
      </c>
      <c r="E58" s="90" t="s">
        <v>50</v>
      </c>
      <c r="F58" s="91">
        <v>3000</v>
      </c>
      <c r="G58" s="92">
        <v>46164</v>
      </c>
      <c r="H58" s="91">
        <v>3802</v>
      </c>
      <c r="I58" s="92">
        <f t="shared" si="2"/>
        <v>46150</v>
      </c>
      <c r="J58" s="92">
        <f t="shared" si="3"/>
        <v>46157</v>
      </c>
      <c r="K58" s="93">
        <v>0</v>
      </c>
      <c r="L58" s="93">
        <v>0</v>
      </c>
      <c r="M58" s="93">
        <v>0</v>
      </c>
      <c r="N58" s="93">
        <v>0</v>
      </c>
      <c r="O58" s="93">
        <v>0</v>
      </c>
      <c r="P58" s="93">
        <v>0</v>
      </c>
      <c r="Q58" s="93">
        <v>0</v>
      </c>
      <c r="R58" s="93">
        <v>0</v>
      </c>
      <c r="S58" s="93">
        <v>0</v>
      </c>
      <c r="T58" s="93">
        <v>0</v>
      </c>
      <c r="U58" s="93">
        <v>0</v>
      </c>
      <c r="V58" s="93">
        <v>0</v>
      </c>
      <c r="W58" s="93">
        <v>0</v>
      </c>
      <c r="X58" s="93">
        <v>0</v>
      </c>
      <c r="Y58" s="93">
        <v>0</v>
      </c>
      <c r="Z58" s="93">
        <v>0</v>
      </c>
      <c r="AA58" s="93">
        <v>0</v>
      </c>
      <c r="AB58" s="93">
        <v>0</v>
      </c>
      <c r="AC58" s="93">
        <v>0</v>
      </c>
      <c r="AD58" s="93">
        <v>0</v>
      </c>
      <c r="AE58" s="93">
        <v>0</v>
      </c>
      <c r="AF58" s="93">
        <v>0</v>
      </c>
      <c r="AG58" s="93">
        <v>500</v>
      </c>
      <c r="AH58" s="93">
        <v>500</v>
      </c>
      <c r="AI58" s="93">
        <v>500</v>
      </c>
      <c r="AJ58" s="93">
        <v>500</v>
      </c>
      <c r="AK58" s="93">
        <v>500</v>
      </c>
      <c r="AL58" s="94">
        <f t="shared" si="4"/>
        <v>2500</v>
      </c>
      <c r="AM58" s="95">
        <f t="shared" si="5"/>
        <v>1302</v>
      </c>
      <c r="AN58" s="96" t="str">
        <f t="shared" si="6"/>
        <v>SHORTAGE</v>
      </c>
      <c r="AO58" s="97">
        <f t="shared" si="7"/>
        <v>0</v>
      </c>
      <c r="AP58" s="96" t="str">
        <f t="shared" si="8"/>
        <v>WITHIN_HORIZON</v>
      </c>
    </row>
    <row r="59" spans="1:42" ht="16.5" customHeight="1" x14ac:dyDescent="0.3">
      <c r="A59" s="89" t="s">
        <v>30</v>
      </c>
      <c r="B59" s="90" t="s">
        <v>31</v>
      </c>
      <c r="C59" s="90" t="s">
        <v>32</v>
      </c>
      <c r="D59" s="90" t="s">
        <v>33</v>
      </c>
      <c r="E59" s="90" t="s">
        <v>34</v>
      </c>
      <c r="F59" s="91">
        <v>15000</v>
      </c>
      <c r="G59" s="92">
        <v>46171</v>
      </c>
      <c r="H59" s="91">
        <v>11000</v>
      </c>
      <c r="I59" s="92">
        <f t="shared" si="2"/>
        <v>46157</v>
      </c>
      <c r="J59" s="92">
        <f t="shared" si="3"/>
        <v>46164</v>
      </c>
      <c r="K59" s="93">
        <v>0</v>
      </c>
      <c r="L59" s="93">
        <v>0</v>
      </c>
      <c r="M59" s="93">
        <v>0</v>
      </c>
      <c r="N59" s="93">
        <v>0</v>
      </c>
      <c r="O59" s="93">
        <v>0</v>
      </c>
      <c r="P59" s="93">
        <v>0</v>
      </c>
      <c r="Q59" s="93">
        <v>0</v>
      </c>
      <c r="R59" s="93">
        <v>0</v>
      </c>
      <c r="S59" s="93">
        <v>0</v>
      </c>
      <c r="T59" s="93">
        <v>0</v>
      </c>
      <c r="U59" s="93">
        <v>0</v>
      </c>
      <c r="V59" s="93">
        <v>0</v>
      </c>
      <c r="W59" s="93">
        <v>0</v>
      </c>
      <c r="X59" s="93">
        <v>0</v>
      </c>
      <c r="Y59" s="93">
        <v>0</v>
      </c>
      <c r="Z59" s="93">
        <v>0</v>
      </c>
      <c r="AA59" s="93">
        <v>0</v>
      </c>
      <c r="AB59" s="93">
        <v>0</v>
      </c>
      <c r="AC59" s="93">
        <v>0</v>
      </c>
      <c r="AD59" s="93">
        <v>0</v>
      </c>
      <c r="AE59" s="93">
        <v>0</v>
      </c>
      <c r="AF59" s="93">
        <v>0</v>
      </c>
      <c r="AG59" s="93">
        <v>0</v>
      </c>
      <c r="AH59" s="93">
        <v>0</v>
      </c>
      <c r="AI59" s="93">
        <v>0</v>
      </c>
      <c r="AJ59" s="93">
        <v>0</v>
      </c>
      <c r="AK59" s="93">
        <v>0</v>
      </c>
      <c r="AL59" s="94">
        <f t="shared" si="4"/>
        <v>0</v>
      </c>
      <c r="AM59" s="95">
        <f t="shared" si="5"/>
        <v>11000</v>
      </c>
      <c r="AN59" s="96" t="str">
        <f t="shared" si="6"/>
        <v>OUT_OF_HORIZON</v>
      </c>
      <c r="AO59" s="97">
        <f t="shared" si="7"/>
        <v>0</v>
      </c>
      <c r="AP59" s="96" t="str">
        <f t="shared" si="8"/>
        <v>PARTIAL_HORIZON</v>
      </c>
    </row>
    <row r="60" spans="1:42" ht="16.5" customHeight="1" x14ac:dyDescent="0.3">
      <c r="A60" s="89" t="s">
        <v>35</v>
      </c>
      <c r="B60" s="90" t="s">
        <v>36</v>
      </c>
      <c r="C60" s="90" t="s">
        <v>32</v>
      </c>
      <c r="D60" s="90" t="s">
        <v>37</v>
      </c>
      <c r="E60" s="90" t="s">
        <v>34</v>
      </c>
      <c r="F60" s="91">
        <v>15000</v>
      </c>
      <c r="G60" s="92">
        <v>46171</v>
      </c>
      <c r="H60" s="91">
        <v>8865</v>
      </c>
      <c r="I60" s="92">
        <f t="shared" si="2"/>
        <v>46157</v>
      </c>
      <c r="J60" s="92">
        <f t="shared" si="3"/>
        <v>46164</v>
      </c>
      <c r="K60" s="93">
        <v>0</v>
      </c>
      <c r="L60" s="93">
        <v>0</v>
      </c>
      <c r="M60" s="93">
        <v>0</v>
      </c>
      <c r="N60" s="93">
        <v>0</v>
      </c>
      <c r="O60" s="93">
        <v>0</v>
      </c>
      <c r="P60" s="93">
        <v>0</v>
      </c>
      <c r="Q60" s="93">
        <v>0</v>
      </c>
      <c r="R60" s="93">
        <v>0</v>
      </c>
      <c r="S60" s="93">
        <v>0</v>
      </c>
      <c r="T60" s="93">
        <v>0</v>
      </c>
      <c r="U60" s="93">
        <v>0</v>
      </c>
      <c r="V60" s="93">
        <v>0</v>
      </c>
      <c r="W60" s="93">
        <v>0</v>
      </c>
      <c r="X60" s="93">
        <v>0</v>
      </c>
      <c r="Y60" s="93">
        <v>0</v>
      </c>
      <c r="Z60" s="93">
        <v>0</v>
      </c>
      <c r="AA60" s="93">
        <v>0</v>
      </c>
      <c r="AB60" s="93">
        <v>0</v>
      </c>
      <c r="AC60" s="93">
        <v>0</v>
      </c>
      <c r="AD60" s="93">
        <v>0</v>
      </c>
      <c r="AE60" s="93">
        <v>0</v>
      </c>
      <c r="AF60" s="93">
        <v>0</v>
      </c>
      <c r="AG60" s="93">
        <v>0</v>
      </c>
      <c r="AH60" s="93">
        <v>0</v>
      </c>
      <c r="AI60" s="93">
        <v>0</v>
      </c>
      <c r="AJ60" s="93">
        <v>0</v>
      </c>
      <c r="AK60" s="93">
        <v>0</v>
      </c>
      <c r="AL60" s="94">
        <f t="shared" si="4"/>
        <v>0</v>
      </c>
      <c r="AM60" s="95">
        <f t="shared" si="5"/>
        <v>8865</v>
      </c>
      <c r="AN60" s="96" t="str">
        <f t="shared" si="6"/>
        <v>OUT_OF_HORIZON</v>
      </c>
      <c r="AO60" s="97">
        <f t="shared" si="7"/>
        <v>0</v>
      </c>
      <c r="AP60" s="96" t="str">
        <f t="shared" si="8"/>
        <v>PARTIAL_HORIZON</v>
      </c>
    </row>
    <row r="61" spans="1:42" ht="16.5" customHeight="1" x14ac:dyDescent="0.3">
      <c r="A61" s="89" t="s">
        <v>38</v>
      </c>
      <c r="B61" s="90" t="s">
        <v>39</v>
      </c>
      <c r="C61" s="90" t="s">
        <v>40</v>
      </c>
      <c r="D61" s="90" t="s">
        <v>41</v>
      </c>
      <c r="E61" s="90" t="s">
        <v>42</v>
      </c>
      <c r="F61" s="91">
        <v>5000</v>
      </c>
      <c r="G61" s="92">
        <v>46171</v>
      </c>
      <c r="H61" s="91">
        <v>11782</v>
      </c>
      <c r="I61" s="92">
        <f t="shared" si="2"/>
        <v>46157</v>
      </c>
      <c r="J61" s="92">
        <f t="shared" si="3"/>
        <v>46164</v>
      </c>
      <c r="K61" s="93">
        <v>0</v>
      </c>
      <c r="L61" s="93">
        <v>0</v>
      </c>
      <c r="M61" s="93">
        <v>0</v>
      </c>
      <c r="N61" s="93">
        <v>0</v>
      </c>
      <c r="O61" s="93">
        <v>0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  <c r="W61" s="93">
        <v>0</v>
      </c>
      <c r="X61" s="93">
        <v>0</v>
      </c>
      <c r="Y61" s="93">
        <v>0</v>
      </c>
      <c r="Z61" s="93">
        <v>0</v>
      </c>
      <c r="AA61" s="93">
        <v>0</v>
      </c>
      <c r="AB61" s="93">
        <v>0</v>
      </c>
      <c r="AC61" s="93">
        <v>0</v>
      </c>
      <c r="AD61" s="93">
        <v>0</v>
      </c>
      <c r="AE61" s="93">
        <v>0</v>
      </c>
      <c r="AF61" s="93">
        <v>0</v>
      </c>
      <c r="AG61" s="93">
        <v>0</v>
      </c>
      <c r="AH61" s="93">
        <v>0</v>
      </c>
      <c r="AI61" s="93">
        <v>0</v>
      </c>
      <c r="AJ61" s="93">
        <v>0</v>
      </c>
      <c r="AK61" s="93">
        <v>0</v>
      </c>
      <c r="AL61" s="94">
        <f t="shared" si="4"/>
        <v>0</v>
      </c>
      <c r="AM61" s="95">
        <f t="shared" si="5"/>
        <v>11782</v>
      </c>
      <c r="AN61" s="96" t="str">
        <f t="shared" si="6"/>
        <v>OUT_OF_HORIZON</v>
      </c>
      <c r="AO61" s="97">
        <f t="shared" si="7"/>
        <v>0</v>
      </c>
      <c r="AP61" s="96" t="str">
        <f t="shared" si="8"/>
        <v>PARTIAL_HORIZON</v>
      </c>
    </row>
    <row r="62" spans="1:42" ht="16.5" customHeight="1" x14ac:dyDescent="0.3">
      <c r="A62" s="89" t="s">
        <v>43</v>
      </c>
      <c r="B62" s="90" t="s">
        <v>44</v>
      </c>
      <c r="C62" s="90" t="s">
        <v>40</v>
      </c>
      <c r="D62" s="90" t="s">
        <v>45</v>
      </c>
      <c r="E62" s="90" t="s">
        <v>42</v>
      </c>
      <c r="F62" s="91">
        <v>5000</v>
      </c>
      <c r="G62" s="92">
        <v>46171</v>
      </c>
      <c r="H62" s="91">
        <v>5840</v>
      </c>
      <c r="I62" s="92">
        <f t="shared" si="2"/>
        <v>46157</v>
      </c>
      <c r="J62" s="92">
        <f t="shared" si="3"/>
        <v>46164</v>
      </c>
      <c r="K62" s="93">
        <v>0</v>
      </c>
      <c r="L62" s="93">
        <v>0</v>
      </c>
      <c r="M62" s="93">
        <v>0</v>
      </c>
      <c r="N62" s="93">
        <v>0</v>
      </c>
      <c r="O62" s="93">
        <v>0</v>
      </c>
      <c r="P62" s="93">
        <v>0</v>
      </c>
      <c r="Q62" s="93">
        <v>0</v>
      </c>
      <c r="R62" s="93">
        <v>0</v>
      </c>
      <c r="S62" s="93">
        <v>0</v>
      </c>
      <c r="T62" s="93">
        <v>0</v>
      </c>
      <c r="U62" s="93">
        <v>0</v>
      </c>
      <c r="V62" s="93">
        <v>0</v>
      </c>
      <c r="W62" s="93">
        <v>0</v>
      </c>
      <c r="X62" s="93">
        <v>0</v>
      </c>
      <c r="Y62" s="93">
        <v>0</v>
      </c>
      <c r="Z62" s="93">
        <v>0</v>
      </c>
      <c r="AA62" s="93">
        <v>0</v>
      </c>
      <c r="AB62" s="93">
        <v>0</v>
      </c>
      <c r="AC62" s="93">
        <v>0</v>
      </c>
      <c r="AD62" s="93">
        <v>0</v>
      </c>
      <c r="AE62" s="93">
        <v>0</v>
      </c>
      <c r="AF62" s="93">
        <v>0</v>
      </c>
      <c r="AG62" s="93">
        <v>0</v>
      </c>
      <c r="AH62" s="93">
        <v>0</v>
      </c>
      <c r="AI62" s="93">
        <v>0</v>
      </c>
      <c r="AJ62" s="93">
        <v>0</v>
      </c>
      <c r="AK62" s="93">
        <v>0</v>
      </c>
      <c r="AL62" s="94">
        <f t="shared" si="4"/>
        <v>0</v>
      </c>
      <c r="AM62" s="95">
        <f t="shared" si="5"/>
        <v>5840</v>
      </c>
      <c r="AN62" s="96" t="str">
        <f t="shared" si="6"/>
        <v>OUT_OF_HORIZON</v>
      </c>
      <c r="AO62" s="97">
        <f t="shared" si="7"/>
        <v>0</v>
      </c>
      <c r="AP62" s="96" t="str">
        <f t="shared" si="8"/>
        <v>PARTIAL_HORIZON</v>
      </c>
    </row>
    <row r="63" spans="1:42" ht="16.5" customHeight="1" x14ac:dyDescent="0.3">
      <c r="A63" s="89" t="s">
        <v>51</v>
      </c>
      <c r="B63" s="90" t="s">
        <v>52</v>
      </c>
      <c r="C63" s="90" t="s">
        <v>32</v>
      </c>
      <c r="D63" s="90" t="s">
        <v>53</v>
      </c>
      <c r="E63" s="90" t="s">
        <v>50</v>
      </c>
      <c r="F63" s="91">
        <v>3000</v>
      </c>
      <c r="G63" s="92">
        <v>46171</v>
      </c>
      <c r="H63" s="91">
        <v>4500</v>
      </c>
      <c r="I63" s="92">
        <f t="shared" si="2"/>
        <v>46157</v>
      </c>
      <c r="J63" s="92">
        <f t="shared" si="3"/>
        <v>46164</v>
      </c>
      <c r="K63" s="93">
        <v>0</v>
      </c>
      <c r="L63" s="93">
        <v>0</v>
      </c>
      <c r="M63" s="93">
        <v>0</v>
      </c>
      <c r="N63" s="93">
        <v>0</v>
      </c>
      <c r="O63" s="93">
        <v>0</v>
      </c>
      <c r="P63" s="93">
        <v>0</v>
      </c>
      <c r="Q63" s="93">
        <v>0</v>
      </c>
      <c r="R63" s="93">
        <v>0</v>
      </c>
      <c r="S63" s="93">
        <v>0</v>
      </c>
      <c r="T63" s="93">
        <v>0</v>
      </c>
      <c r="U63" s="93">
        <v>0</v>
      </c>
      <c r="V63" s="93">
        <v>0</v>
      </c>
      <c r="W63" s="93">
        <v>0</v>
      </c>
      <c r="X63" s="93">
        <v>0</v>
      </c>
      <c r="Y63" s="93">
        <v>0</v>
      </c>
      <c r="Z63" s="93">
        <v>0</v>
      </c>
      <c r="AA63" s="93">
        <v>0</v>
      </c>
      <c r="AB63" s="93">
        <v>0</v>
      </c>
      <c r="AC63" s="93">
        <v>0</v>
      </c>
      <c r="AD63" s="93">
        <v>0</v>
      </c>
      <c r="AE63" s="93">
        <v>0</v>
      </c>
      <c r="AF63" s="93">
        <v>0</v>
      </c>
      <c r="AG63" s="93">
        <v>0</v>
      </c>
      <c r="AH63" s="93">
        <v>0</v>
      </c>
      <c r="AI63" s="93">
        <v>0</v>
      </c>
      <c r="AJ63" s="93">
        <v>0</v>
      </c>
      <c r="AK63" s="93">
        <v>0</v>
      </c>
      <c r="AL63" s="94">
        <f t="shared" si="4"/>
        <v>0</v>
      </c>
      <c r="AM63" s="95">
        <f t="shared" si="5"/>
        <v>4500</v>
      </c>
      <c r="AN63" s="96" t="str">
        <f t="shared" si="6"/>
        <v>OUT_OF_HORIZON</v>
      </c>
      <c r="AO63" s="97">
        <f t="shared" si="7"/>
        <v>0</v>
      </c>
      <c r="AP63" s="96" t="str">
        <f t="shared" si="8"/>
        <v>PARTIAL_HORIZON</v>
      </c>
    </row>
  </sheetData>
  <mergeCells count="35">
    <mergeCell ref="AO41:AO42"/>
    <mergeCell ref="AP41:AP42"/>
    <mergeCell ref="AA41:AF41"/>
    <mergeCell ref="AG41:AK41"/>
    <mergeCell ref="AL41:AL42"/>
    <mergeCell ref="AM41:AM42"/>
    <mergeCell ref="AN41:AN42"/>
    <mergeCell ref="U41:Z41"/>
    <mergeCell ref="L13:S13"/>
    <mergeCell ref="A14:J15"/>
    <mergeCell ref="A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K41:N41"/>
    <mergeCell ref="O41:T41"/>
    <mergeCell ref="B12:H12"/>
    <mergeCell ref="A1:H2"/>
    <mergeCell ref="J1:O1"/>
    <mergeCell ref="B3:H3"/>
    <mergeCell ref="B4:H4"/>
    <mergeCell ref="B5:H5"/>
    <mergeCell ref="B6:H6"/>
    <mergeCell ref="B7:H7"/>
    <mergeCell ref="B8:H8"/>
    <mergeCell ref="B9:H9"/>
    <mergeCell ref="A10:H10"/>
    <mergeCell ref="B11:H11"/>
  </mergeCells>
  <conditionalFormatting sqref="AN43:AN63">
    <cfRule type="expression" dxfId="15" priority="1">
      <formula>AN43="OK"</formula>
    </cfRule>
    <cfRule type="expression" dxfId="14" priority="2">
      <formula>AN43="LATE"</formula>
    </cfRule>
    <cfRule type="expression" dxfId="13" priority="3">
      <formula>AN43="SHORTAGE"</formula>
    </cfRule>
    <cfRule type="expression" dxfId="12" priority="4">
      <formula>AN43="SHORTAGE + LATE"</formula>
    </cfRule>
    <cfRule type="expression" dxfId="11" priority="5">
      <formula>AN43="OUT_OF_HORIZON"</formula>
    </cfRule>
  </conditionalFormatting>
  <conditionalFormatting sqref="AP43:AP63">
    <cfRule type="expression" dxfId="10" priority="6">
      <formula>AP43="WITHIN_HORIZON"</formula>
    </cfRule>
    <cfRule type="expression" dxfId="9" priority="7">
      <formula>AP43="PARTIAL_HORIZON"</formula>
    </cfRule>
    <cfRule type="expression" dxfId="8" priority="8">
      <formula>AP43="OUT_OF_HORIZON"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A98BB-8F82-4E43-AE20-08915C5A756F}">
  <dimension ref="A1:AX64"/>
  <sheetViews>
    <sheetView tabSelected="1" topLeftCell="H37" zoomScale="29" zoomScaleNormal="70" workbookViewId="0">
      <selection activeCell="AI28" sqref="AI28"/>
    </sheetView>
  </sheetViews>
  <sheetFormatPr defaultColWidth="12" defaultRowHeight="14.25" customHeight="1" x14ac:dyDescent="0.3"/>
  <cols>
    <col min="1" max="1" width="33.88671875" style="71" customWidth="1"/>
    <col min="2" max="2" width="47.109375" style="71" customWidth="1"/>
    <col min="3" max="3" width="11.109375" style="71" customWidth="1"/>
    <col min="4" max="4" width="32.77734375" style="71" customWidth="1"/>
    <col min="5" max="5" width="12.5546875" style="71" customWidth="1"/>
    <col min="6" max="6" width="23.88671875" style="71" customWidth="1"/>
    <col min="7" max="7" width="15.44140625" style="71" customWidth="1"/>
    <col min="8" max="8" width="25.5546875" style="71" customWidth="1"/>
    <col min="9" max="9" width="27" style="71" customWidth="1"/>
    <col min="10" max="10" width="28.5546875" style="71" customWidth="1"/>
    <col min="11" max="12" width="13.5546875" style="71" customWidth="1"/>
    <col min="13" max="13" width="21.21875" style="71" customWidth="1"/>
    <col min="14" max="14" width="17.5546875" style="71" customWidth="1"/>
    <col min="15" max="15" width="25.5546875" style="71" bestFit="1" customWidth="1"/>
    <col min="16" max="16" width="8.6640625" style="71" bestFit="1" customWidth="1"/>
    <col min="17" max="17" width="15.109375" style="71" bestFit="1" customWidth="1"/>
    <col min="18" max="18" width="54.21875" style="71" customWidth="1"/>
    <col min="19" max="19" width="62.77734375" style="71" customWidth="1"/>
    <col min="20" max="20" width="14" style="71" customWidth="1"/>
    <col min="21" max="21" width="18.44140625" customWidth="1"/>
    <col min="22" max="22" width="21.21875" customWidth="1"/>
    <col min="23" max="24" width="14" customWidth="1"/>
    <col min="25" max="25" width="20.33203125" customWidth="1"/>
    <col min="26" max="26" width="18.33203125" customWidth="1"/>
    <col min="27" max="27" width="14" style="71" customWidth="1"/>
    <col min="28" max="28" width="14" customWidth="1"/>
    <col min="29" max="29" width="14" style="71" customWidth="1"/>
    <col min="30" max="30" width="50.5546875" style="71" bestFit="1" customWidth="1"/>
    <col min="31" max="37" width="14" style="71" customWidth="1"/>
    <col min="38" max="38" width="15.88671875" style="71" customWidth="1"/>
    <col min="39" max="39" width="13.88671875" style="71" customWidth="1"/>
    <col min="40" max="40" width="25.6640625" style="71" bestFit="1" customWidth="1"/>
    <col min="41" max="41" width="12" style="71" customWidth="1"/>
    <col min="42" max="42" width="25.6640625" style="71" bestFit="1" customWidth="1"/>
    <col min="43" max="43" width="12" style="71" customWidth="1"/>
    <col min="44" max="50" width="12" customWidth="1"/>
    <col min="51" max="16384" width="12" style="71"/>
  </cols>
  <sheetData>
    <row r="1" spans="1:32" ht="39" customHeight="1" x14ac:dyDescent="0.3">
      <c r="A1" s="149" t="s">
        <v>172</v>
      </c>
      <c r="B1" s="150"/>
      <c r="C1" s="150"/>
      <c r="D1" s="150"/>
      <c r="E1" s="150"/>
      <c r="F1" s="150"/>
      <c r="G1" s="150"/>
      <c r="H1" s="151"/>
      <c r="J1" s="155" t="s">
        <v>173</v>
      </c>
      <c r="K1" s="156"/>
      <c r="L1" s="156"/>
      <c r="M1" s="156"/>
      <c r="N1" s="156"/>
      <c r="O1" s="157"/>
      <c r="R1" s="175" t="s">
        <v>327</v>
      </c>
      <c r="S1" s="175"/>
      <c r="U1" s="176" t="s">
        <v>339</v>
      </c>
      <c r="V1" s="177"/>
      <c r="W1" s="177"/>
      <c r="X1" s="177"/>
      <c r="Y1" s="177"/>
      <c r="Z1" s="178"/>
      <c r="AA1" s="125"/>
      <c r="AB1" s="125"/>
      <c r="AC1" s="121"/>
      <c r="AD1" s="185" t="s">
        <v>394</v>
      </c>
      <c r="AE1" s="185"/>
      <c r="AF1" s="121"/>
    </row>
    <row r="2" spans="1:32" ht="24.6" customHeight="1" x14ac:dyDescent="0.3">
      <c r="A2" s="152"/>
      <c r="B2" s="153"/>
      <c r="C2" s="153"/>
      <c r="D2" s="153"/>
      <c r="E2" s="153"/>
      <c r="F2" s="153"/>
      <c r="G2" s="153"/>
      <c r="H2" s="154"/>
      <c r="J2" s="72" t="s">
        <v>174</v>
      </c>
      <c r="K2" s="72" t="s">
        <v>175</v>
      </c>
      <c r="L2" s="72" t="s">
        <v>176</v>
      </c>
      <c r="M2" s="72" t="s">
        <v>177</v>
      </c>
      <c r="N2" s="72" t="s">
        <v>178</v>
      </c>
      <c r="O2" s="72" t="s">
        <v>179</v>
      </c>
      <c r="R2" s="122" t="s">
        <v>328</v>
      </c>
      <c r="S2" s="123" t="s">
        <v>30</v>
      </c>
      <c r="U2" s="126" t="s">
        <v>340</v>
      </c>
      <c r="V2" s="127">
        <f>SUM(W6:W32)</f>
        <v>5182</v>
      </c>
      <c r="W2" s="126" t="s">
        <v>341</v>
      </c>
      <c r="X2" s="127">
        <f>$S$11</f>
        <v>2</v>
      </c>
      <c r="Y2" s="125"/>
      <c r="Z2" s="125"/>
      <c r="AA2" s="125"/>
      <c r="AB2" s="125"/>
      <c r="AC2" s="119"/>
      <c r="AD2" s="142" t="s">
        <v>395</v>
      </c>
      <c r="AE2" s="143">
        <f>SUM(AM43:AM63)</f>
        <v>88928</v>
      </c>
      <c r="AF2" s="119"/>
    </row>
    <row r="3" spans="1:32" ht="27" customHeight="1" x14ac:dyDescent="0.3">
      <c r="A3" s="73" t="s">
        <v>180</v>
      </c>
      <c r="B3" s="148">
        <v>46127</v>
      </c>
      <c r="C3" s="146"/>
      <c r="D3" s="146"/>
      <c r="E3" s="146"/>
      <c r="F3" s="146"/>
      <c r="G3" s="146"/>
      <c r="H3" s="147"/>
      <c r="J3" s="74" t="s">
        <v>181</v>
      </c>
      <c r="K3" s="75">
        <f>$B$3</f>
        <v>46127</v>
      </c>
      <c r="L3" s="75">
        <f>MIN(B3+($B$5-WEEKDAY(B3,2)), $B$4)</f>
        <v>46130</v>
      </c>
      <c r="M3" s="76">
        <f>L3-K3+1</f>
        <v>4</v>
      </c>
      <c r="N3" s="76">
        <v>0.67</v>
      </c>
      <c r="O3" s="77" t="s">
        <v>182</v>
      </c>
      <c r="R3" s="122" t="s">
        <v>329</v>
      </c>
      <c r="S3" s="123">
        <v>1</v>
      </c>
      <c r="U3" s="126" t="s">
        <v>342</v>
      </c>
      <c r="V3" s="127">
        <f>SUM(X6:X32)</f>
        <v>0</v>
      </c>
      <c r="W3" s="126" t="s">
        <v>343</v>
      </c>
      <c r="X3" s="127">
        <f>$S$12</f>
        <v>0</v>
      </c>
      <c r="Y3" s="125"/>
      <c r="Z3" s="125"/>
      <c r="AA3" s="125"/>
      <c r="AB3" s="125"/>
      <c r="AC3" s="119"/>
      <c r="AD3" s="142" t="s">
        <v>396</v>
      </c>
      <c r="AE3" s="143">
        <f>SUM(AO43:AO63)</f>
        <v>0</v>
      </c>
      <c r="AF3" s="119"/>
    </row>
    <row r="4" spans="1:32" ht="27" customHeight="1" x14ac:dyDescent="0.3">
      <c r="A4" s="73" t="s">
        <v>183</v>
      </c>
      <c r="B4" s="148">
        <v>46157</v>
      </c>
      <c r="C4" s="146"/>
      <c r="D4" s="146"/>
      <c r="E4" s="146"/>
      <c r="F4" s="146"/>
      <c r="G4" s="146"/>
      <c r="H4" s="147"/>
      <c r="J4" s="74" t="s">
        <v>184</v>
      </c>
      <c r="K4" s="75">
        <f>L3+2</f>
        <v>46132</v>
      </c>
      <c r="L4" s="75">
        <f>K4+5</f>
        <v>46137</v>
      </c>
      <c r="M4" s="76">
        <f>L4-K4+1</f>
        <v>6</v>
      </c>
      <c r="N4" s="76">
        <v>1</v>
      </c>
      <c r="O4" s="77" t="s">
        <v>182</v>
      </c>
      <c r="R4" s="122" t="s">
        <v>330</v>
      </c>
      <c r="S4" s="141">
        <v>0</v>
      </c>
      <c r="U4" s="126" t="s">
        <v>344</v>
      </c>
      <c r="V4" s="164">
        <f>V2*X2+V3*X3</f>
        <v>10364</v>
      </c>
      <c r="W4" s="164"/>
      <c r="X4" s="164"/>
      <c r="Y4" s="125"/>
      <c r="Z4" s="125"/>
      <c r="AA4" s="125"/>
      <c r="AB4" s="125"/>
      <c r="AC4" s="120"/>
      <c r="AD4" s="142" t="s">
        <v>397</v>
      </c>
      <c r="AE4" s="143">
        <f>SUM(W6:W32)</f>
        <v>5182</v>
      </c>
      <c r="AF4" s="120"/>
    </row>
    <row r="5" spans="1:32" ht="27" customHeight="1" x14ac:dyDescent="0.3">
      <c r="A5" s="73" t="s">
        <v>185</v>
      </c>
      <c r="B5" s="145">
        <v>6</v>
      </c>
      <c r="C5" s="146"/>
      <c r="D5" s="146"/>
      <c r="E5" s="146"/>
      <c r="F5" s="146"/>
      <c r="G5" s="146"/>
      <c r="H5" s="147"/>
      <c r="J5" s="74" t="s">
        <v>186</v>
      </c>
      <c r="K5" s="75">
        <f>L4+2</f>
        <v>46139</v>
      </c>
      <c r="L5" s="75">
        <f>K5+5</f>
        <v>46144</v>
      </c>
      <c r="M5" s="76">
        <f>L5-K5+1</f>
        <v>6</v>
      </c>
      <c r="N5" s="76">
        <v>1</v>
      </c>
      <c r="O5" s="77" t="s">
        <v>182</v>
      </c>
      <c r="R5" s="122" t="s">
        <v>331</v>
      </c>
      <c r="S5" s="141">
        <v>30000</v>
      </c>
      <c r="U5" s="128" t="s">
        <v>345</v>
      </c>
      <c r="V5" s="128" t="s">
        <v>390</v>
      </c>
      <c r="W5" s="128" t="s">
        <v>347</v>
      </c>
      <c r="X5" s="128" t="s">
        <v>348</v>
      </c>
      <c r="Y5" s="128" t="s">
        <v>349</v>
      </c>
      <c r="Z5" s="128" t="s">
        <v>350</v>
      </c>
      <c r="AA5" s="128" t="s">
        <v>351</v>
      </c>
      <c r="AB5" s="128" t="s">
        <v>352</v>
      </c>
      <c r="AC5" s="120"/>
      <c r="AD5" s="142" t="s">
        <v>398</v>
      </c>
      <c r="AE5" s="143">
        <f>SUM(X6:X32)</f>
        <v>0</v>
      </c>
      <c r="AF5" s="120"/>
    </row>
    <row r="6" spans="1:32" ht="27" customHeight="1" x14ac:dyDescent="0.3">
      <c r="A6" s="73" t="s">
        <v>187</v>
      </c>
      <c r="B6" s="145">
        <v>2</v>
      </c>
      <c r="C6" s="146"/>
      <c r="D6" s="146"/>
      <c r="E6" s="146"/>
      <c r="F6" s="146"/>
      <c r="G6" s="146"/>
      <c r="H6" s="147"/>
      <c r="J6" s="74" t="s">
        <v>188</v>
      </c>
      <c r="K6" s="75">
        <f>L5+2</f>
        <v>46146</v>
      </c>
      <c r="L6" s="75">
        <f>K6+5</f>
        <v>46151</v>
      </c>
      <c r="M6" s="76">
        <f>L6-K6+1</f>
        <v>6</v>
      </c>
      <c r="N6" s="76">
        <v>1</v>
      </c>
      <c r="O6" s="77" t="s">
        <v>182</v>
      </c>
      <c r="R6" s="122" t="s">
        <v>332</v>
      </c>
      <c r="S6" s="124">
        <f>$B$3+21</f>
        <v>46148</v>
      </c>
      <c r="U6" s="129">
        <f>K$42</f>
        <v>46127</v>
      </c>
      <c r="V6" s="127">
        <f>SUMIF($A$43:$A$63,$S$2,K$43:K$63)</f>
        <v>0</v>
      </c>
      <c r="W6" s="144">
        <v>0</v>
      </c>
      <c r="X6" s="130">
        <v>0</v>
      </c>
      <c r="Y6" s="127">
        <f>IF(U6&lt;$S$6,0,MIN($S$7,MAX(0,$S$5-0)))</f>
        <v>0</v>
      </c>
      <c r="Z6" s="127">
        <f>$S$4</f>
        <v>0</v>
      </c>
      <c r="AA6" s="127">
        <f t="shared" ref="AA6:AA32" si="0">Z6+W6+X6+Y6-V6</f>
        <v>0</v>
      </c>
      <c r="AB6" s="127" t="str">
        <f t="shared" ref="AB6:AB32" si="1">IF(AA6&lt;0,"NEG_INV","OK")</f>
        <v>OK</v>
      </c>
      <c r="AC6" s="119"/>
      <c r="AD6" s="142" t="s">
        <v>400</v>
      </c>
      <c r="AE6" s="143">
        <f>ROUNDUP(AE4/$AE$11,0)</f>
        <v>4</v>
      </c>
      <c r="AF6" s="119"/>
    </row>
    <row r="7" spans="1:32" ht="27" customHeight="1" x14ac:dyDescent="0.3">
      <c r="A7" s="73" t="s">
        <v>189</v>
      </c>
      <c r="B7" s="145">
        <v>7</v>
      </c>
      <c r="C7" s="146"/>
      <c r="D7" s="146"/>
      <c r="E7" s="146"/>
      <c r="F7" s="146"/>
      <c r="G7" s="146"/>
      <c r="H7" s="147"/>
      <c r="J7" s="74" t="s">
        <v>190</v>
      </c>
      <c r="K7" s="75">
        <f>L6+2</f>
        <v>46153</v>
      </c>
      <c r="L7" s="75">
        <f>$B$4</f>
        <v>46157</v>
      </c>
      <c r="M7" s="76">
        <f>L7-K7+1</f>
        <v>5</v>
      </c>
      <c r="N7" s="76">
        <v>0.83</v>
      </c>
      <c r="O7" s="77" t="s">
        <v>182</v>
      </c>
      <c r="R7" s="122" t="s">
        <v>333</v>
      </c>
      <c r="S7" s="140">
        <v>4000</v>
      </c>
      <c r="U7" s="129">
        <f>L$42</f>
        <v>46128</v>
      </c>
      <c r="V7" s="127">
        <f>SUMIF($A$43:$A$63,$S$2,L$43:L$63)</f>
        <v>0</v>
      </c>
      <c r="W7" s="144">
        <v>0</v>
      </c>
      <c r="X7" s="130">
        <v>0</v>
      </c>
      <c r="Y7" s="127">
        <f>IF(U7&lt;$S$6,0,MIN($S$7,MAX(0,$S$5-SUM($Y$6:$Y6))))</f>
        <v>0</v>
      </c>
      <c r="Z7" s="127">
        <f t="shared" ref="Z7:Z32" si="2">AA6</f>
        <v>0</v>
      </c>
      <c r="AA7" s="127">
        <f t="shared" si="0"/>
        <v>0</v>
      </c>
      <c r="AB7" s="127" t="str">
        <f t="shared" si="1"/>
        <v>OK</v>
      </c>
      <c r="AC7" s="120"/>
      <c r="AD7" s="142" t="s">
        <v>399</v>
      </c>
      <c r="AE7" s="143">
        <f>ROUNDUP(AE5/$AE$12,0)</f>
        <v>0</v>
      </c>
      <c r="AF7" s="120"/>
    </row>
    <row r="8" spans="1:32" ht="33" customHeight="1" x14ac:dyDescent="0.3">
      <c r="A8" s="73" t="s">
        <v>191</v>
      </c>
      <c r="B8" s="145">
        <v>14</v>
      </c>
      <c r="C8" s="146"/>
      <c r="D8" s="146"/>
      <c r="E8" s="146"/>
      <c r="F8" s="146"/>
      <c r="G8" s="146"/>
      <c r="H8" s="147"/>
      <c r="R8" s="122" t="s">
        <v>334</v>
      </c>
      <c r="S8" s="123">
        <v>4000</v>
      </c>
      <c r="U8" s="129">
        <f>M$42</f>
        <v>46129</v>
      </c>
      <c r="V8" s="127">
        <f>SUMIF($A$43:$A$63,$S$2,M$43:M$63)</f>
        <v>0</v>
      </c>
      <c r="W8" s="144">
        <v>0</v>
      </c>
      <c r="X8" s="130">
        <v>0</v>
      </c>
      <c r="Y8" s="127">
        <f>IF(U8&lt;$S$6,0,MIN($S$7,MAX(0,$S$5-SUM($Y$6:$Y7))))</f>
        <v>0</v>
      </c>
      <c r="Z8" s="127">
        <f t="shared" si="2"/>
        <v>0</v>
      </c>
      <c r="AA8" s="127">
        <f t="shared" si="0"/>
        <v>0</v>
      </c>
      <c r="AB8" s="127" t="str">
        <f t="shared" si="1"/>
        <v>OK</v>
      </c>
      <c r="AC8" s="119"/>
      <c r="AD8" s="142" t="s">
        <v>401</v>
      </c>
      <c r="AE8" s="143">
        <f>AE4*$S$11+AE5*$S$12</f>
        <v>10364</v>
      </c>
      <c r="AF8" s="119"/>
    </row>
    <row r="9" spans="1:32" ht="36.6" customHeight="1" x14ac:dyDescent="0.3">
      <c r="A9" s="73" t="s">
        <v>192</v>
      </c>
      <c r="B9" s="145" t="s">
        <v>193</v>
      </c>
      <c r="C9" s="146"/>
      <c r="D9" s="146"/>
      <c r="E9" s="146"/>
      <c r="F9" s="146"/>
      <c r="G9" s="146"/>
      <c r="H9" s="147"/>
      <c r="R9" s="122" t="s">
        <v>335</v>
      </c>
      <c r="S9" s="123">
        <v>3</v>
      </c>
      <c r="U9" s="129">
        <f>N$42</f>
        <v>46130</v>
      </c>
      <c r="V9" s="127">
        <f>SUMIF($A$43:$A$63,$S$2,N$43:N$63)</f>
        <v>0</v>
      </c>
      <c r="W9" s="144">
        <v>0</v>
      </c>
      <c r="X9" s="130">
        <v>0</v>
      </c>
      <c r="Y9" s="127">
        <f>IF(U9&lt;$S$6,0,MIN($S$7,MAX(0,$S$5-SUM($Y$6:$Y8))))</f>
        <v>0</v>
      </c>
      <c r="Z9" s="127">
        <f t="shared" si="2"/>
        <v>0</v>
      </c>
      <c r="AA9" s="127">
        <f t="shared" si="0"/>
        <v>0</v>
      </c>
      <c r="AB9" s="127" t="str">
        <f t="shared" si="1"/>
        <v>OK</v>
      </c>
      <c r="AC9" s="119"/>
      <c r="AD9" s="119"/>
      <c r="AE9" s="119"/>
      <c r="AF9" s="119"/>
    </row>
    <row r="10" spans="1:32" ht="23.25" customHeight="1" x14ac:dyDescent="0.3">
      <c r="A10" s="172" t="s">
        <v>194</v>
      </c>
      <c r="B10" s="146"/>
      <c r="C10" s="146"/>
      <c r="D10" s="146"/>
      <c r="E10" s="146"/>
      <c r="F10" s="146"/>
      <c r="G10" s="146"/>
      <c r="H10" s="147"/>
      <c r="R10" s="122" t="s">
        <v>336</v>
      </c>
      <c r="S10" s="123">
        <v>21</v>
      </c>
      <c r="U10" s="129">
        <f>O$42</f>
        <v>46132</v>
      </c>
      <c r="V10" s="127">
        <f>SUMIF($A$43:$A$63,$S$2,O$43:O$63)</f>
        <v>0</v>
      </c>
      <c r="W10" s="144">
        <v>0</v>
      </c>
      <c r="X10" s="130">
        <v>0</v>
      </c>
      <c r="Y10" s="127">
        <f>IF(U10&lt;$S$6,0,MIN($S$7,MAX(0,$S$5-SUM($Y$6:$Y9))))</f>
        <v>0</v>
      </c>
      <c r="Z10" s="127">
        <f t="shared" si="2"/>
        <v>0</v>
      </c>
      <c r="AA10" s="127">
        <f t="shared" si="0"/>
        <v>0</v>
      </c>
      <c r="AB10" s="127" t="str">
        <f t="shared" si="1"/>
        <v>OK</v>
      </c>
      <c r="AC10" s="119"/>
      <c r="AD10" s="185" t="s">
        <v>391</v>
      </c>
      <c r="AE10" s="185"/>
      <c r="AF10" s="119"/>
    </row>
    <row r="11" spans="1:32" ht="27.6" customHeight="1" x14ac:dyDescent="0.3">
      <c r="A11" s="78" t="s">
        <v>195</v>
      </c>
      <c r="B11" s="173">
        <f>(B4-B3-4)+1</f>
        <v>27</v>
      </c>
      <c r="C11" s="146"/>
      <c r="D11" s="146"/>
      <c r="E11" s="146"/>
      <c r="F11" s="146"/>
      <c r="G11" s="146"/>
      <c r="H11" s="147"/>
      <c r="R11" s="122" t="s">
        <v>337</v>
      </c>
      <c r="S11" s="123">
        <v>2</v>
      </c>
      <c r="U11" s="129">
        <f>P$42</f>
        <v>46133</v>
      </c>
      <c r="V11" s="127">
        <f>SUMIF($A$43:$A$63,$S$2,P$43:P$63)</f>
        <v>0</v>
      </c>
      <c r="W11" s="144">
        <v>0</v>
      </c>
      <c r="X11" s="130">
        <v>0</v>
      </c>
      <c r="Y11" s="127">
        <f>IF(U11&lt;$S$6,0,MIN($S$7,MAX(0,$S$5-SUM($Y$6:$Y10))))</f>
        <v>0</v>
      </c>
      <c r="Z11" s="127">
        <f t="shared" si="2"/>
        <v>0</v>
      </c>
      <c r="AA11" s="127">
        <f t="shared" si="0"/>
        <v>0</v>
      </c>
      <c r="AB11" s="127" t="str">
        <f t="shared" si="1"/>
        <v>OK</v>
      </c>
      <c r="AC11" s="119"/>
      <c r="AD11" s="142" t="s">
        <v>392</v>
      </c>
      <c r="AE11" s="143">
        <v>1700</v>
      </c>
      <c r="AF11" s="119"/>
    </row>
    <row r="12" spans="1:32" ht="31.8" customHeight="1" x14ac:dyDescent="0.3">
      <c r="A12" s="79" t="s">
        <v>196</v>
      </c>
      <c r="B12" s="171" t="str">
        <f>TEXT(B3+B7,"dd/mm")&amp;" - "&amp;TEXT(B4+B8,"dd/mm")</f>
        <v>22/04 - 29/05</v>
      </c>
      <c r="C12" s="146"/>
      <c r="D12" s="146"/>
      <c r="E12" s="146"/>
      <c r="F12" s="146"/>
      <c r="G12" s="146"/>
      <c r="H12" s="147"/>
      <c r="R12" s="122" t="s">
        <v>338</v>
      </c>
      <c r="S12" s="123">
        <v>0</v>
      </c>
      <c r="U12" s="129">
        <f>Q$42</f>
        <v>46134</v>
      </c>
      <c r="V12" s="127">
        <f>SUMIF($A$43:$A$63,$S$2,Q$43:Q$63)</f>
        <v>0</v>
      </c>
      <c r="W12" s="144">
        <v>0</v>
      </c>
      <c r="X12" s="130">
        <v>0</v>
      </c>
      <c r="Y12" s="127">
        <f>IF(U12&lt;$S$6,0,MIN($S$7,MAX(0,$S$5-SUM($Y$6:$Y11))))</f>
        <v>0</v>
      </c>
      <c r="Z12" s="127">
        <f t="shared" si="2"/>
        <v>0</v>
      </c>
      <c r="AA12" s="127">
        <f t="shared" si="0"/>
        <v>0</v>
      </c>
      <c r="AB12" s="127" t="str">
        <f t="shared" si="1"/>
        <v>OK</v>
      </c>
      <c r="AC12" s="119"/>
      <c r="AD12" s="142" t="s">
        <v>393</v>
      </c>
      <c r="AE12" s="143">
        <v>10000</v>
      </c>
      <c r="AF12" s="119"/>
    </row>
    <row r="13" spans="1:32" ht="24.6" customHeight="1" x14ac:dyDescent="0.3">
      <c r="L13" s="115"/>
      <c r="M13" s="115"/>
      <c r="N13" s="115"/>
      <c r="O13" s="115"/>
      <c r="P13" s="115"/>
      <c r="Q13" s="115"/>
      <c r="R13" s="115"/>
      <c r="S13" s="115"/>
      <c r="T13"/>
      <c r="U13" s="129">
        <f>R$42</f>
        <v>46135</v>
      </c>
      <c r="V13" s="127">
        <f>SUMIF($A$43:$A$63,$S$2,R$43:R$63)</f>
        <v>0</v>
      </c>
      <c r="W13" s="144">
        <v>0</v>
      </c>
      <c r="X13" s="130">
        <v>0</v>
      </c>
      <c r="Y13" s="127">
        <f>IF(U13&lt;$S$6,0,MIN($S$7,MAX(0,$S$5-SUM($Y$6:$Y12))))</f>
        <v>0</v>
      </c>
      <c r="Z13" s="127">
        <f t="shared" si="2"/>
        <v>0</v>
      </c>
      <c r="AA13" s="127">
        <f t="shared" si="0"/>
        <v>0</v>
      </c>
      <c r="AB13" s="127" t="str">
        <f t="shared" si="1"/>
        <v>OK</v>
      </c>
    </row>
    <row r="14" spans="1:32" ht="37.5" customHeight="1" x14ac:dyDescent="0.3">
      <c r="A14" s="158" t="s">
        <v>197</v>
      </c>
      <c r="B14" s="159"/>
      <c r="C14" s="159"/>
      <c r="D14" s="159"/>
      <c r="E14" s="159"/>
      <c r="F14" s="159"/>
      <c r="G14" s="159"/>
      <c r="H14" s="159"/>
      <c r="I14" s="159"/>
      <c r="J14" s="160"/>
      <c r="L14" s="116"/>
      <c r="P14" s="116"/>
      <c r="Q14" s="179" t="s">
        <v>388</v>
      </c>
      <c r="R14" s="180"/>
      <c r="S14" s="181"/>
      <c r="U14" s="129">
        <f>S$42</f>
        <v>46136</v>
      </c>
      <c r="V14" s="127">
        <f>SUMIF($A$43:$A$63,$S$2,S$43:S$63)</f>
        <v>0</v>
      </c>
      <c r="W14" s="144">
        <v>0</v>
      </c>
      <c r="X14" s="130">
        <v>0</v>
      </c>
      <c r="Y14" s="127">
        <f>IF(U14&lt;$S$6,0,MIN($S$7,MAX(0,$S$5-SUM($Y$6:$Y13))))</f>
        <v>0</v>
      </c>
      <c r="Z14" s="127">
        <f t="shared" si="2"/>
        <v>0</v>
      </c>
      <c r="AA14" s="127">
        <f t="shared" si="0"/>
        <v>0</v>
      </c>
      <c r="AB14" s="127" t="str">
        <f t="shared" si="1"/>
        <v>OK</v>
      </c>
    </row>
    <row r="15" spans="1:32" ht="35.4" customHeight="1" x14ac:dyDescent="0.3">
      <c r="A15" s="161"/>
      <c r="B15" s="162"/>
      <c r="C15" s="162"/>
      <c r="D15" s="162"/>
      <c r="E15" s="162"/>
      <c r="F15" s="162"/>
      <c r="G15" s="162"/>
      <c r="H15" s="162"/>
      <c r="I15" s="162"/>
      <c r="J15" s="163"/>
      <c r="L15" s="117"/>
      <c r="P15" s="118"/>
      <c r="Q15" s="139" t="s">
        <v>341</v>
      </c>
      <c r="R15" s="139" t="s">
        <v>354</v>
      </c>
      <c r="S15" s="139" t="s">
        <v>355</v>
      </c>
      <c r="U15" s="129">
        <f>T$42</f>
        <v>46137</v>
      </c>
      <c r="V15" s="127">
        <f>SUMIF($A$43:$A$63,$S$2,T$43:T$63)</f>
        <v>684</v>
      </c>
      <c r="W15" s="144">
        <v>684</v>
      </c>
      <c r="X15" s="130">
        <v>0</v>
      </c>
      <c r="Y15" s="127">
        <f>IF(U15&lt;$S$6,0,MIN($S$7,MAX(0,$S$5-SUM($Y$6:$Y14))))</f>
        <v>0</v>
      </c>
      <c r="Z15" s="127">
        <f t="shared" si="2"/>
        <v>0</v>
      </c>
      <c r="AA15" s="127">
        <f t="shared" si="0"/>
        <v>0</v>
      </c>
      <c r="AB15" s="127" t="str">
        <f t="shared" si="1"/>
        <v>OK</v>
      </c>
    </row>
    <row r="16" spans="1:32" ht="36" customHeight="1" x14ac:dyDescent="0.3">
      <c r="A16" s="80" t="s">
        <v>156</v>
      </c>
      <c r="B16" s="80" t="s">
        <v>57</v>
      </c>
      <c r="C16" s="80" t="s">
        <v>202</v>
      </c>
      <c r="D16" s="80" t="s">
        <v>25</v>
      </c>
      <c r="E16" s="80" t="s">
        <v>26</v>
      </c>
      <c r="F16" s="80" t="s">
        <v>198</v>
      </c>
      <c r="G16" s="80" t="s">
        <v>203</v>
      </c>
      <c r="H16" s="80" t="s">
        <v>204</v>
      </c>
      <c r="I16" s="80" t="s">
        <v>205</v>
      </c>
      <c r="J16" s="80" t="s">
        <v>206</v>
      </c>
      <c r="L16" s="117"/>
      <c r="P16" s="118"/>
      <c r="Q16" s="139" t="s">
        <v>343</v>
      </c>
      <c r="R16" s="139" t="s">
        <v>356</v>
      </c>
      <c r="S16" s="139" t="s">
        <v>357</v>
      </c>
      <c r="U16" s="129">
        <f>U$42</f>
        <v>46139</v>
      </c>
      <c r="V16" s="127">
        <f>SUMIF($A$43:$A$63,$S$2,U$43:U$63)</f>
        <v>0</v>
      </c>
      <c r="W16" s="144">
        <v>0</v>
      </c>
      <c r="X16" s="130">
        <v>0</v>
      </c>
      <c r="Y16" s="127">
        <f>IF(U16&lt;$S$6,0,MIN($S$7,MAX(0,$S$5-SUM($Y$6:$Y15))))</f>
        <v>0</v>
      </c>
      <c r="Z16" s="127">
        <f t="shared" si="2"/>
        <v>0</v>
      </c>
      <c r="AA16" s="127">
        <f t="shared" si="0"/>
        <v>0</v>
      </c>
      <c r="AB16" s="127" t="str">
        <f t="shared" si="1"/>
        <v>OK</v>
      </c>
    </row>
    <row r="17" spans="1:28" ht="41.4" customHeight="1" x14ac:dyDescent="0.3">
      <c r="A17" s="85" t="s">
        <v>30</v>
      </c>
      <c r="B17" s="86" t="s">
        <v>31</v>
      </c>
      <c r="C17" s="86" t="s">
        <v>32</v>
      </c>
      <c r="D17" s="86" t="s">
        <v>33</v>
      </c>
      <c r="E17" s="86" t="s">
        <v>34</v>
      </c>
      <c r="F17" s="83">
        <v>15000</v>
      </c>
      <c r="G17" s="87">
        <v>46150</v>
      </c>
      <c r="H17" s="83">
        <f>SUMIFS('Demand for Production Plan'!$I:$I,'Demand for Production Plan'!$A:$A,$A17,'Demand for Production Plan'!$C:$C,$C17,'Demand for Production Plan'!$F:$F,$E17,'Demand for Production Plan'!$H:$H,$G17)</f>
        <v>684</v>
      </c>
      <c r="I17" s="87">
        <f t="shared" ref="I17:I37" si="3">G17-$B$8</f>
        <v>46136</v>
      </c>
      <c r="J17" s="87">
        <f t="shared" ref="J17:J37" si="4">G17-$B$7</f>
        <v>46143</v>
      </c>
      <c r="L17" s="117"/>
      <c r="P17" s="118"/>
      <c r="Q17" s="139" t="s">
        <v>344</v>
      </c>
      <c r="R17" s="139" t="s">
        <v>358</v>
      </c>
      <c r="S17" s="139" t="s">
        <v>359</v>
      </c>
      <c r="U17" s="129">
        <f>V$42</f>
        <v>46140</v>
      </c>
      <c r="V17" s="127">
        <f>SUMIF($A$43:$A$63,$S$2,V$43:V$63)</f>
        <v>0</v>
      </c>
      <c r="W17" s="144">
        <v>0</v>
      </c>
      <c r="X17" s="130">
        <v>0</v>
      </c>
      <c r="Y17" s="127">
        <f>IF(U17&lt;$S$6,0,MIN($S$7,MAX(0,$S$5-SUM($Y$6:$Y16))))</f>
        <v>0</v>
      </c>
      <c r="Z17" s="127">
        <f t="shared" si="2"/>
        <v>0</v>
      </c>
      <c r="AA17" s="127">
        <f t="shared" si="0"/>
        <v>0</v>
      </c>
      <c r="AB17" s="127" t="str">
        <f t="shared" si="1"/>
        <v>OK</v>
      </c>
    </row>
    <row r="18" spans="1:28" ht="42" customHeight="1" x14ac:dyDescent="0.3">
      <c r="A18" s="85" t="s">
        <v>30</v>
      </c>
      <c r="B18" s="86" t="s">
        <v>31</v>
      </c>
      <c r="C18" s="86" t="s">
        <v>32</v>
      </c>
      <c r="D18" s="86" t="s">
        <v>33</v>
      </c>
      <c r="E18" s="86" t="s">
        <v>34</v>
      </c>
      <c r="F18" s="83">
        <v>15000</v>
      </c>
      <c r="G18" s="87">
        <v>46157</v>
      </c>
      <c r="H18" s="83">
        <f>SUMIFS('Demand for Production Plan'!$I:$I,'Demand for Production Plan'!$A:$A,$A18,'Demand for Production Plan'!$C:$C,$C18,'Demand for Production Plan'!$F:$F,$E18,'Demand for Production Plan'!$H:$H,$G18)</f>
        <v>20000</v>
      </c>
      <c r="I18" s="87">
        <f t="shared" si="3"/>
        <v>46143</v>
      </c>
      <c r="J18" s="87">
        <f t="shared" si="4"/>
        <v>46150</v>
      </c>
      <c r="Q18" s="139" t="s">
        <v>346</v>
      </c>
      <c r="R18" s="139" t="s">
        <v>360</v>
      </c>
      <c r="S18" s="139" t="s">
        <v>361</v>
      </c>
      <c r="U18" s="129">
        <f>W$42</f>
        <v>46141</v>
      </c>
      <c r="V18" s="127">
        <f>SUMIF($A$43:$A$63,$S$2,W$43:W$63)</f>
        <v>0</v>
      </c>
      <c r="W18" s="144">
        <v>0</v>
      </c>
      <c r="X18" s="130">
        <v>0</v>
      </c>
      <c r="Y18" s="127">
        <f>IF(U18&lt;$S$6,0,MIN($S$7,MAX(0,$S$5-SUM($Y$6:$Y17))))</f>
        <v>0</v>
      </c>
      <c r="Z18" s="127">
        <f t="shared" si="2"/>
        <v>0</v>
      </c>
      <c r="AA18" s="127">
        <f t="shared" si="0"/>
        <v>0</v>
      </c>
      <c r="AB18" s="127" t="str">
        <f t="shared" si="1"/>
        <v>OK</v>
      </c>
    </row>
    <row r="19" spans="1:28" ht="42" customHeight="1" x14ac:dyDescent="0.3">
      <c r="A19" s="85" t="s">
        <v>30</v>
      </c>
      <c r="B19" s="86" t="s">
        <v>31</v>
      </c>
      <c r="C19" s="86" t="s">
        <v>32</v>
      </c>
      <c r="D19" s="86" t="s">
        <v>33</v>
      </c>
      <c r="E19" s="86" t="s">
        <v>34</v>
      </c>
      <c r="F19" s="83">
        <v>15000</v>
      </c>
      <c r="G19" s="87">
        <v>46164</v>
      </c>
      <c r="H19" s="83">
        <f>SUMIFS('Demand for Production Plan'!$I:$I,'Demand for Production Plan'!$A:$A,$A19,'Demand for Production Plan'!$C:$C,$C19,'Demand for Production Plan'!$F:$F,$E19,'Demand for Production Plan'!$H:$H,$G19)</f>
        <v>20000</v>
      </c>
      <c r="I19" s="87">
        <f t="shared" si="3"/>
        <v>46150</v>
      </c>
      <c r="J19" s="87">
        <f t="shared" si="4"/>
        <v>46157</v>
      </c>
      <c r="Q19" s="139" t="s">
        <v>347</v>
      </c>
      <c r="R19" s="139" t="s">
        <v>362</v>
      </c>
      <c r="S19" s="139" t="s">
        <v>363</v>
      </c>
      <c r="U19" s="129">
        <f>X$42</f>
        <v>46142</v>
      </c>
      <c r="V19" s="127">
        <f>SUMIF($A$43:$A$63,$S$2,X$43:X$63)</f>
        <v>0</v>
      </c>
      <c r="W19" s="144">
        <v>0</v>
      </c>
      <c r="X19" s="130">
        <v>0</v>
      </c>
      <c r="Y19" s="127">
        <f>IF(U19&lt;$S$6,0,MIN($S$7,MAX(0,$S$5-SUM($Y$6:$Y18))))</f>
        <v>0</v>
      </c>
      <c r="Z19" s="127">
        <f t="shared" si="2"/>
        <v>0</v>
      </c>
      <c r="AA19" s="127">
        <f t="shared" si="0"/>
        <v>0</v>
      </c>
      <c r="AB19" s="127" t="str">
        <f t="shared" si="1"/>
        <v>OK</v>
      </c>
    </row>
    <row r="20" spans="1:28" ht="42" customHeight="1" x14ac:dyDescent="0.3">
      <c r="A20" s="85" t="s">
        <v>30</v>
      </c>
      <c r="B20" s="86" t="s">
        <v>31</v>
      </c>
      <c r="C20" s="86" t="s">
        <v>32</v>
      </c>
      <c r="D20" s="86" t="s">
        <v>33</v>
      </c>
      <c r="E20" s="86" t="s">
        <v>34</v>
      </c>
      <c r="F20" s="83">
        <v>15000</v>
      </c>
      <c r="G20" s="87">
        <v>46171</v>
      </c>
      <c r="H20" s="83">
        <f>SUMIFS('Demand for Production Plan'!$I:$I,'Demand for Production Plan'!$A:$A,$A20,'Demand for Production Plan'!$C:$C,$C20,'Demand for Production Plan'!$F:$F,$E20,'Demand for Production Plan'!$H:$H,$G20)</f>
        <v>11000</v>
      </c>
      <c r="I20" s="87">
        <f t="shared" si="3"/>
        <v>46157</v>
      </c>
      <c r="J20" s="87">
        <f t="shared" si="4"/>
        <v>46164</v>
      </c>
      <c r="Q20" s="139" t="s">
        <v>348</v>
      </c>
      <c r="R20" s="139" t="s">
        <v>364</v>
      </c>
      <c r="S20" s="139" t="s">
        <v>365</v>
      </c>
      <c r="U20" s="129">
        <f>Y$42</f>
        <v>46143</v>
      </c>
      <c r="V20" s="127">
        <f>SUMIF($A$43:$A$63,$S$2,Y$43:Y$63)</f>
        <v>0</v>
      </c>
      <c r="W20" s="144">
        <v>0</v>
      </c>
      <c r="X20" s="130">
        <v>0</v>
      </c>
      <c r="Y20" s="127">
        <f>IF(U20&lt;$S$6,0,MIN($S$7,MAX(0,$S$5-SUM($Y$6:$Y19))))</f>
        <v>0</v>
      </c>
      <c r="Z20" s="127">
        <f t="shared" si="2"/>
        <v>0</v>
      </c>
      <c r="AA20" s="127">
        <f t="shared" si="0"/>
        <v>0</v>
      </c>
      <c r="AB20" s="127" t="str">
        <f t="shared" si="1"/>
        <v>OK</v>
      </c>
    </row>
    <row r="21" spans="1:28" ht="42" customHeight="1" x14ac:dyDescent="0.3">
      <c r="A21" s="85" t="s">
        <v>35</v>
      </c>
      <c r="B21" s="86" t="s">
        <v>36</v>
      </c>
      <c r="C21" s="86" t="s">
        <v>32</v>
      </c>
      <c r="D21" s="86" t="s">
        <v>37</v>
      </c>
      <c r="E21" s="86" t="s">
        <v>34</v>
      </c>
      <c r="F21" s="83">
        <v>15000</v>
      </c>
      <c r="G21" s="87">
        <v>46157</v>
      </c>
      <c r="H21" s="83">
        <f>SUMIFS('Demand for Production Plan'!$I:$I,'Demand for Production Plan'!$A:$A,$A21,'Demand for Production Plan'!$C:$C,$C21,'Demand for Production Plan'!$F:$F,$E21,'Demand for Production Plan'!$H:$H,$G21)</f>
        <v>5502</v>
      </c>
      <c r="I21" s="87">
        <f t="shared" si="3"/>
        <v>46143</v>
      </c>
      <c r="J21" s="87">
        <f t="shared" si="4"/>
        <v>46150</v>
      </c>
      <c r="Q21" s="139" t="s">
        <v>349</v>
      </c>
      <c r="R21" s="139" t="s">
        <v>366</v>
      </c>
      <c r="S21" s="139" t="s">
        <v>367</v>
      </c>
      <c r="U21" s="129">
        <f>Z$42</f>
        <v>46144</v>
      </c>
      <c r="V21" s="127">
        <f>SUMIF($A$43:$A$63,$S$2,Z$43:Z$63)</f>
        <v>2500</v>
      </c>
      <c r="W21" s="144">
        <v>2500</v>
      </c>
      <c r="X21" s="130">
        <v>0</v>
      </c>
      <c r="Y21" s="127">
        <f>IF(U21&lt;$S$6,0,MIN($S$7,MAX(0,$S$5-SUM($Y$6:$Y20))))</f>
        <v>0</v>
      </c>
      <c r="Z21" s="127">
        <f t="shared" si="2"/>
        <v>0</v>
      </c>
      <c r="AA21" s="127">
        <f t="shared" si="0"/>
        <v>0</v>
      </c>
      <c r="AB21" s="127" t="str">
        <f t="shared" si="1"/>
        <v>OK</v>
      </c>
    </row>
    <row r="22" spans="1:28" ht="42" customHeight="1" x14ac:dyDescent="0.3">
      <c r="A22" s="85" t="s">
        <v>35</v>
      </c>
      <c r="B22" s="86" t="s">
        <v>36</v>
      </c>
      <c r="C22" s="86" t="s">
        <v>32</v>
      </c>
      <c r="D22" s="86" t="s">
        <v>37</v>
      </c>
      <c r="E22" s="86" t="s">
        <v>34</v>
      </c>
      <c r="F22" s="83">
        <v>15000</v>
      </c>
      <c r="G22" s="87">
        <v>46164</v>
      </c>
      <c r="H22" s="83">
        <f>SUMIFS('Demand for Production Plan'!$I:$I,'Demand for Production Plan'!$A:$A,$A22,'Demand for Production Plan'!$C:$C,$C22,'Demand for Production Plan'!$F:$F,$E22,'Demand for Production Plan'!$H:$H,$G22)</f>
        <v>15658</v>
      </c>
      <c r="I22" s="87">
        <f t="shared" si="3"/>
        <v>46150</v>
      </c>
      <c r="J22" s="87">
        <f t="shared" si="4"/>
        <v>46157</v>
      </c>
      <c r="Q22" s="139" t="s">
        <v>350</v>
      </c>
      <c r="R22" s="139" t="s">
        <v>368</v>
      </c>
      <c r="S22" s="139" t="s">
        <v>369</v>
      </c>
      <c r="U22" s="129">
        <f>AA$42</f>
        <v>46146</v>
      </c>
      <c r="V22" s="127">
        <f>SUMIF($A$43:$A$63,$S$2,AA$43:AA$63)</f>
        <v>1998</v>
      </c>
      <c r="W22" s="144">
        <v>1998</v>
      </c>
      <c r="X22" s="130">
        <v>0</v>
      </c>
      <c r="Y22" s="127">
        <f>IF(U22&lt;$S$6,0,MIN($S$7,MAX(0,$S$5-SUM($Y$6:$Y21))))</f>
        <v>0</v>
      </c>
      <c r="Z22" s="127">
        <f t="shared" si="2"/>
        <v>0</v>
      </c>
      <c r="AA22" s="127">
        <f t="shared" si="0"/>
        <v>0</v>
      </c>
      <c r="AB22" s="127" t="str">
        <f t="shared" si="1"/>
        <v>OK</v>
      </c>
    </row>
    <row r="23" spans="1:28" ht="42" customHeight="1" x14ac:dyDescent="0.3">
      <c r="A23" s="85" t="s">
        <v>35</v>
      </c>
      <c r="B23" s="86" t="s">
        <v>36</v>
      </c>
      <c r="C23" s="86" t="s">
        <v>32</v>
      </c>
      <c r="D23" s="86" t="s">
        <v>37</v>
      </c>
      <c r="E23" s="86" t="s">
        <v>34</v>
      </c>
      <c r="F23" s="83">
        <v>15000</v>
      </c>
      <c r="G23" s="87">
        <v>46171</v>
      </c>
      <c r="H23" s="83">
        <f>SUMIFS('Demand for Production Plan'!$I:$I,'Demand for Production Plan'!$A:$A,$A23,'Demand for Production Plan'!$C:$C,$C23,'Demand for Production Plan'!$F:$F,$E23,'Demand for Production Plan'!$H:$H,$G23)</f>
        <v>8865</v>
      </c>
      <c r="I23" s="87">
        <f t="shared" si="3"/>
        <v>46157</v>
      </c>
      <c r="J23" s="87">
        <f t="shared" si="4"/>
        <v>46164</v>
      </c>
      <c r="Q23" s="139" t="s">
        <v>351</v>
      </c>
      <c r="R23" s="139" t="s">
        <v>370</v>
      </c>
      <c r="S23" s="139" t="s">
        <v>371</v>
      </c>
      <c r="U23" s="129">
        <f>AB$42</f>
        <v>46147</v>
      </c>
      <c r="V23" s="127">
        <f>SUMIF($A$43:$A$63,$S$2,AB$43:AB$63)</f>
        <v>0</v>
      </c>
      <c r="W23" s="144">
        <v>0</v>
      </c>
      <c r="X23" s="130">
        <v>0</v>
      </c>
      <c r="Y23" s="127">
        <f>IF(U23&lt;$S$6,0,MIN($S$7,MAX(0,$S$5-SUM($Y$6:$Y22))))</f>
        <v>0</v>
      </c>
      <c r="Z23" s="127">
        <f t="shared" si="2"/>
        <v>0</v>
      </c>
      <c r="AA23" s="127">
        <f t="shared" si="0"/>
        <v>0</v>
      </c>
      <c r="AB23" s="127" t="str">
        <f t="shared" si="1"/>
        <v>OK</v>
      </c>
    </row>
    <row r="24" spans="1:28" ht="42" customHeight="1" x14ac:dyDescent="0.3">
      <c r="A24" s="85" t="s">
        <v>38</v>
      </c>
      <c r="B24" s="86" t="s">
        <v>39</v>
      </c>
      <c r="C24" s="86" t="s">
        <v>40</v>
      </c>
      <c r="D24" s="86" t="s">
        <v>41</v>
      </c>
      <c r="E24" s="86" t="s">
        <v>42</v>
      </c>
      <c r="F24" s="83">
        <v>5000</v>
      </c>
      <c r="G24" s="87">
        <v>46157</v>
      </c>
      <c r="H24" s="83">
        <f>SUMIFS('Demand for Production Plan'!$I:$I,'Demand for Production Plan'!$A:$A,$A24,'Demand for Production Plan'!$C:$C,$C24,'Demand for Production Plan'!$F:$F,$E24,'Demand for Production Plan'!$H:$H,$G24)</f>
        <v>4320</v>
      </c>
      <c r="I24" s="87">
        <f t="shared" si="3"/>
        <v>46143</v>
      </c>
      <c r="J24" s="87">
        <f t="shared" si="4"/>
        <v>46150</v>
      </c>
      <c r="Q24" s="139" t="s">
        <v>372</v>
      </c>
      <c r="R24" s="139" t="s">
        <v>373</v>
      </c>
      <c r="S24" s="139" t="s">
        <v>374</v>
      </c>
      <c r="U24" s="129">
        <f>AC$42</f>
        <v>46148</v>
      </c>
      <c r="V24" s="127">
        <f>SUMIF($A$43:$A$63,$S$2,AC$43:AC$63)</f>
        <v>2500</v>
      </c>
      <c r="W24" s="144">
        <v>0</v>
      </c>
      <c r="X24" s="130">
        <v>0</v>
      </c>
      <c r="Y24" s="127">
        <f>IF(U24&lt;$S$6,0,MIN($S$7,MAX(0,$S$5-SUM($Y$6:$Y23))))</f>
        <v>4000</v>
      </c>
      <c r="Z24" s="127">
        <f t="shared" si="2"/>
        <v>0</v>
      </c>
      <c r="AA24" s="127">
        <f t="shared" si="0"/>
        <v>1500</v>
      </c>
      <c r="AB24" s="127" t="str">
        <f t="shared" si="1"/>
        <v>OK</v>
      </c>
    </row>
    <row r="25" spans="1:28" ht="42" customHeight="1" x14ac:dyDescent="0.3">
      <c r="A25" s="85" t="s">
        <v>38</v>
      </c>
      <c r="B25" s="86" t="s">
        <v>39</v>
      </c>
      <c r="C25" s="86" t="s">
        <v>40</v>
      </c>
      <c r="D25" s="86" t="s">
        <v>41</v>
      </c>
      <c r="E25" s="86" t="s">
        <v>42</v>
      </c>
      <c r="F25" s="83">
        <v>5000</v>
      </c>
      <c r="G25" s="87">
        <v>46164</v>
      </c>
      <c r="H25" s="83">
        <f>SUMIFS('Demand for Production Plan'!$I:$I,'Demand for Production Plan'!$A:$A,$A25,'Demand for Production Plan'!$C:$C,$C25,'Demand for Production Plan'!$F:$F,$E25,'Demand for Production Plan'!$H:$H,$G25)</f>
        <v>8370</v>
      </c>
      <c r="I25" s="87">
        <f t="shared" si="3"/>
        <v>46150</v>
      </c>
      <c r="J25" s="87">
        <f t="shared" si="4"/>
        <v>46157</v>
      </c>
      <c r="Q25" s="139" t="s">
        <v>352</v>
      </c>
      <c r="R25" s="139" t="s">
        <v>375</v>
      </c>
      <c r="S25" s="139" t="s">
        <v>376</v>
      </c>
      <c r="U25" s="129">
        <f>AD$42</f>
        <v>46149</v>
      </c>
      <c r="V25" s="127">
        <f>SUMIF($A$43:$A$63,$S$2,AD$43:AD$63)</f>
        <v>2500</v>
      </c>
      <c r="W25" s="144">
        <v>0</v>
      </c>
      <c r="X25" s="130">
        <v>0</v>
      </c>
      <c r="Y25" s="127">
        <f>IF(U25&lt;$S$6,0,MIN($S$7,MAX(0,$S$5-SUM($Y$6:$Y24))))</f>
        <v>4000</v>
      </c>
      <c r="Z25" s="127">
        <f t="shared" si="2"/>
        <v>1500</v>
      </c>
      <c r="AA25" s="127">
        <f t="shared" si="0"/>
        <v>3000</v>
      </c>
      <c r="AB25" s="127" t="str">
        <f t="shared" si="1"/>
        <v>OK</v>
      </c>
    </row>
    <row r="26" spans="1:28" ht="42" customHeight="1" x14ac:dyDescent="0.3">
      <c r="A26" s="85" t="s">
        <v>38</v>
      </c>
      <c r="B26" s="86" t="s">
        <v>39</v>
      </c>
      <c r="C26" s="86" t="s">
        <v>40</v>
      </c>
      <c r="D26" s="86" t="s">
        <v>41</v>
      </c>
      <c r="E26" s="86" t="s">
        <v>42</v>
      </c>
      <c r="F26" s="83">
        <v>5000</v>
      </c>
      <c r="G26" s="87">
        <v>46171</v>
      </c>
      <c r="H26" s="83">
        <f>SUMIFS('Demand for Production Plan'!$I:$I,'Demand for Production Plan'!$A:$A,$A26,'Demand for Production Plan'!$C:$C,$C26,'Demand for Production Plan'!$F:$F,$E26,'Demand for Production Plan'!$H:$H,$G26)</f>
        <v>11782</v>
      </c>
      <c r="I26" s="87">
        <f t="shared" si="3"/>
        <v>46157</v>
      </c>
      <c r="J26" s="87">
        <f t="shared" si="4"/>
        <v>46164</v>
      </c>
      <c r="Q26" s="139" t="s">
        <v>377</v>
      </c>
      <c r="R26" s="139" t="s">
        <v>378</v>
      </c>
      <c r="S26" s="139" t="s">
        <v>379</v>
      </c>
      <c r="U26" s="129">
        <f>AE$42</f>
        <v>46150</v>
      </c>
      <c r="V26" s="127">
        <f>SUMIF($A$43:$A$63,$S$2,AE$43:AE$63)</f>
        <v>2500</v>
      </c>
      <c r="W26" s="144">
        <v>0</v>
      </c>
      <c r="X26" s="130">
        <v>0</v>
      </c>
      <c r="Y26" s="127">
        <f>IF(U26&lt;$S$6,0,MIN($S$7,MAX(0,$S$5-SUM($Y$6:$Y25))))</f>
        <v>4000</v>
      </c>
      <c r="Z26" s="127">
        <f t="shared" si="2"/>
        <v>3000</v>
      </c>
      <c r="AA26" s="127">
        <f t="shared" si="0"/>
        <v>4500</v>
      </c>
      <c r="AB26" s="127" t="str">
        <f t="shared" si="1"/>
        <v>OK</v>
      </c>
    </row>
    <row r="27" spans="1:28" ht="42" customHeight="1" x14ac:dyDescent="0.3">
      <c r="A27" s="85" t="s">
        <v>43</v>
      </c>
      <c r="B27" s="86" t="s">
        <v>44</v>
      </c>
      <c r="C27" s="86" t="s">
        <v>40</v>
      </c>
      <c r="D27" s="86" t="s">
        <v>45</v>
      </c>
      <c r="E27" s="86" t="s">
        <v>42</v>
      </c>
      <c r="F27" s="83">
        <v>5000</v>
      </c>
      <c r="G27" s="87">
        <v>46157</v>
      </c>
      <c r="H27" s="83">
        <f>SUMIFS('Demand for Production Plan'!$I:$I,'Demand for Production Plan'!$A:$A,$A27,'Demand for Production Plan'!$C:$C,$C27,'Demand for Production Plan'!$F:$F,$E27,'Demand for Production Plan'!$H:$H,$G27)</f>
        <v>2430</v>
      </c>
      <c r="I27" s="87">
        <f t="shared" si="3"/>
        <v>46143</v>
      </c>
      <c r="J27" s="87">
        <f t="shared" si="4"/>
        <v>46150</v>
      </c>
      <c r="Q27" s="139" t="s">
        <v>380</v>
      </c>
      <c r="R27" s="139" t="s">
        <v>381</v>
      </c>
      <c r="S27" s="139" t="s">
        <v>382</v>
      </c>
      <c r="U27" s="129">
        <f>AF$42</f>
        <v>46151</v>
      </c>
      <c r="V27" s="127">
        <f>SUMIF($A$43:$A$63,$S$2,AF$43:AF$63)</f>
        <v>2500</v>
      </c>
      <c r="W27" s="144">
        <v>0</v>
      </c>
      <c r="X27" s="130">
        <v>0</v>
      </c>
      <c r="Y27" s="127">
        <f>IF(U27&lt;$S$6,0,MIN($S$7,MAX(0,$S$5-SUM($Y$6:$Y26))))</f>
        <v>4000</v>
      </c>
      <c r="Z27" s="127">
        <f t="shared" si="2"/>
        <v>4500</v>
      </c>
      <c r="AA27" s="127">
        <f t="shared" si="0"/>
        <v>6000</v>
      </c>
      <c r="AB27" s="127" t="str">
        <f t="shared" si="1"/>
        <v>OK</v>
      </c>
    </row>
    <row r="28" spans="1:28" ht="42" customHeight="1" x14ac:dyDescent="0.3">
      <c r="A28" s="85" t="s">
        <v>43</v>
      </c>
      <c r="B28" s="86" t="s">
        <v>44</v>
      </c>
      <c r="C28" s="86" t="s">
        <v>40</v>
      </c>
      <c r="D28" s="86" t="s">
        <v>45</v>
      </c>
      <c r="E28" s="86" t="s">
        <v>42</v>
      </c>
      <c r="F28" s="83">
        <v>5000</v>
      </c>
      <c r="G28" s="87">
        <v>46164</v>
      </c>
      <c r="H28" s="83">
        <f>SUMIFS('Demand for Production Plan'!$I:$I,'Demand for Production Plan'!$A:$A,$A28,'Demand for Production Plan'!$C:$C,$C28,'Demand for Production Plan'!$F:$F,$E28,'Demand for Production Plan'!$H:$H,$G28)</f>
        <v>9990</v>
      </c>
      <c r="I28" s="87">
        <f t="shared" si="3"/>
        <v>46150</v>
      </c>
      <c r="J28" s="87">
        <f t="shared" si="4"/>
        <v>46157</v>
      </c>
      <c r="Q28" s="139" t="s">
        <v>383</v>
      </c>
      <c r="R28" s="139" t="s">
        <v>384</v>
      </c>
      <c r="S28" s="139" t="s">
        <v>385</v>
      </c>
      <c r="U28" s="129">
        <f>AG$42</f>
        <v>46153</v>
      </c>
      <c r="V28" s="127">
        <f>SUMIF($A$43:$A$63,$S$2,AG$43:AG$63)</f>
        <v>2500</v>
      </c>
      <c r="W28" s="144">
        <v>0</v>
      </c>
      <c r="X28" s="130">
        <v>0</v>
      </c>
      <c r="Y28" s="127">
        <f>IF(U28&lt;$S$6,0,MIN($S$7,MAX(0,$S$5-SUM($Y$6:$Y27))))</f>
        <v>4000</v>
      </c>
      <c r="Z28" s="127">
        <f t="shared" si="2"/>
        <v>6000</v>
      </c>
      <c r="AA28" s="127">
        <f t="shared" si="0"/>
        <v>7500</v>
      </c>
      <c r="AB28" s="127" t="str">
        <f t="shared" si="1"/>
        <v>OK</v>
      </c>
    </row>
    <row r="29" spans="1:28" ht="42" customHeight="1" x14ac:dyDescent="0.3">
      <c r="A29" s="85" t="s">
        <v>43</v>
      </c>
      <c r="B29" s="86" t="s">
        <v>44</v>
      </c>
      <c r="C29" s="86" t="s">
        <v>40</v>
      </c>
      <c r="D29" s="86" t="s">
        <v>45</v>
      </c>
      <c r="E29" s="86" t="s">
        <v>42</v>
      </c>
      <c r="F29" s="83">
        <v>5000</v>
      </c>
      <c r="G29" s="87">
        <v>46171</v>
      </c>
      <c r="H29" s="83">
        <f>SUMIFS('Demand for Production Plan'!$I:$I,'Demand for Production Plan'!$A:$A,$A29,'Demand for Production Plan'!$C:$C,$C29,'Demand for Production Plan'!$F:$F,$E29,'Demand for Production Plan'!$H:$H,$G29)</f>
        <v>5840</v>
      </c>
      <c r="I29" s="87">
        <f t="shared" si="3"/>
        <v>46157</v>
      </c>
      <c r="J29" s="87">
        <f t="shared" si="4"/>
        <v>46164</v>
      </c>
      <c r="Q29" s="139" t="s">
        <v>68</v>
      </c>
      <c r="R29" s="139" t="s">
        <v>386</v>
      </c>
      <c r="S29" s="139" t="s">
        <v>387</v>
      </c>
      <c r="U29" s="129">
        <f>AH$42</f>
        <v>46154</v>
      </c>
      <c r="V29" s="127">
        <f>SUMIF($A$43:$A$63,$S$2,AH$43:AH$63)</f>
        <v>2500</v>
      </c>
      <c r="W29" s="144">
        <v>0</v>
      </c>
      <c r="X29" s="130">
        <v>0</v>
      </c>
      <c r="Y29" s="127">
        <f>IF(U29&lt;$S$6,0,MIN($S$7,MAX(0,$S$5-SUM($Y$6:$Y28))))</f>
        <v>4000</v>
      </c>
      <c r="Z29" s="127">
        <f t="shared" si="2"/>
        <v>7500</v>
      </c>
      <c r="AA29" s="127">
        <f t="shared" si="0"/>
        <v>9000</v>
      </c>
      <c r="AB29" s="127" t="str">
        <f t="shared" si="1"/>
        <v>OK</v>
      </c>
    </row>
    <row r="30" spans="1:28" ht="24.75" customHeight="1" x14ac:dyDescent="0.3">
      <c r="A30" s="85" t="s">
        <v>46</v>
      </c>
      <c r="B30" s="86" t="s">
        <v>47</v>
      </c>
      <c r="C30" s="86" t="s">
        <v>48</v>
      </c>
      <c r="D30" s="86" t="s">
        <v>49</v>
      </c>
      <c r="E30" s="86" t="s">
        <v>50</v>
      </c>
      <c r="F30" s="83">
        <v>3000</v>
      </c>
      <c r="G30" s="87">
        <v>46150</v>
      </c>
      <c r="H30" s="83">
        <f>SUMIFS('Demand for Production Plan'!$I:$I,'Demand for Production Plan'!$A:$A,$A30,'Demand for Production Plan'!$C:$C,$C30,'Demand for Production Plan'!$F:$F,$E30,'Demand for Production Plan'!$H:$H,$G30)</f>
        <v>472</v>
      </c>
      <c r="I30" s="87">
        <f t="shared" si="3"/>
        <v>46136</v>
      </c>
      <c r="J30" s="87">
        <f t="shared" si="4"/>
        <v>46143</v>
      </c>
      <c r="U30" s="129">
        <f>AI$42</f>
        <v>46155</v>
      </c>
      <c r="V30" s="127">
        <f>SUMIF($A$43:$A$63,$S$2,AI$43:AI$63)</f>
        <v>2500</v>
      </c>
      <c r="W30" s="144">
        <v>0</v>
      </c>
      <c r="X30" s="130">
        <v>0</v>
      </c>
      <c r="Y30" s="127">
        <f>IF(U30&lt;$S$6,0,MIN($S$7,MAX(0,$S$5-SUM($Y$6:$Y29))))</f>
        <v>4000</v>
      </c>
      <c r="Z30" s="127">
        <f t="shared" si="2"/>
        <v>9000</v>
      </c>
      <c r="AA30" s="127">
        <f t="shared" si="0"/>
        <v>10500</v>
      </c>
      <c r="AB30" s="127" t="str">
        <f t="shared" si="1"/>
        <v>OK</v>
      </c>
    </row>
    <row r="31" spans="1:28" ht="24.75" customHeight="1" x14ac:dyDescent="0.3">
      <c r="A31" s="85" t="s">
        <v>46</v>
      </c>
      <c r="B31" s="86" t="s">
        <v>47</v>
      </c>
      <c r="C31" s="86" t="s">
        <v>48</v>
      </c>
      <c r="D31" s="86" t="s">
        <v>49</v>
      </c>
      <c r="E31" s="86" t="s">
        <v>50</v>
      </c>
      <c r="F31" s="83">
        <v>3000</v>
      </c>
      <c r="G31" s="87">
        <v>46157</v>
      </c>
      <c r="H31" s="83">
        <f>SUMIFS('Demand for Production Plan'!$I:$I,'Demand for Production Plan'!$A:$A,$A31,'Demand for Production Plan'!$C:$C,$C31,'Demand for Production Plan'!$F:$F,$E31,'Demand for Production Plan'!$H:$H,$G31)</f>
        <v>300</v>
      </c>
      <c r="I31" s="87">
        <f t="shared" si="3"/>
        <v>46143</v>
      </c>
      <c r="J31" s="87">
        <f t="shared" si="4"/>
        <v>46150</v>
      </c>
      <c r="U31" s="129">
        <f>AJ$42</f>
        <v>46156</v>
      </c>
      <c r="V31" s="127">
        <f>SUMIF($A$43:$A$63,$S$2,AJ$43:AJ$63)</f>
        <v>2500</v>
      </c>
      <c r="W31" s="144">
        <v>0</v>
      </c>
      <c r="X31" s="130">
        <v>0</v>
      </c>
      <c r="Y31" s="127">
        <f>IF(U31&lt;$S$6,0,MIN($S$7,MAX(0,$S$5-SUM($Y$6:$Y30))))</f>
        <v>2000</v>
      </c>
      <c r="Z31" s="127">
        <f t="shared" si="2"/>
        <v>10500</v>
      </c>
      <c r="AA31" s="127">
        <f t="shared" si="0"/>
        <v>10000</v>
      </c>
      <c r="AB31" s="127" t="str">
        <f t="shared" si="1"/>
        <v>OK</v>
      </c>
    </row>
    <row r="32" spans="1:28" ht="27.75" customHeight="1" x14ac:dyDescent="0.3">
      <c r="A32" s="85" t="s">
        <v>46</v>
      </c>
      <c r="B32" s="86" t="s">
        <v>47</v>
      </c>
      <c r="C32" s="86" t="s">
        <v>48</v>
      </c>
      <c r="D32" s="86" t="s">
        <v>49</v>
      </c>
      <c r="E32" s="86" t="s">
        <v>50</v>
      </c>
      <c r="F32" s="83">
        <v>3000</v>
      </c>
      <c r="G32" s="87">
        <v>46164</v>
      </c>
      <c r="H32" s="83">
        <f>SUMIFS('Demand for Production Plan'!$I:$I,'Demand for Production Plan'!$A:$A,$A32,'Demand for Production Plan'!$C:$C,$C32,'Demand for Production Plan'!$F:$F,$E32,'Demand for Production Plan'!$H:$H,$G32)</f>
        <v>698</v>
      </c>
      <c r="I32" s="87">
        <f t="shared" si="3"/>
        <v>46150</v>
      </c>
      <c r="J32" s="87">
        <f t="shared" si="4"/>
        <v>46157</v>
      </c>
      <c r="U32" s="129">
        <f>AK$42</f>
        <v>46157</v>
      </c>
      <c r="V32" s="127">
        <f>SUMIF($A$43:$A$63,$S$2,AK$43:AK$63)</f>
        <v>2500</v>
      </c>
      <c r="W32" s="144">
        <v>0</v>
      </c>
      <c r="X32" s="130">
        <v>0</v>
      </c>
      <c r="Y32" s="127">
        <f>IF(U32&lt;$S$6,0,MIN($S$7,MAX(0,$S$5-SUM($Y$6:$Y31))))</f>
        <v>0</v>
      </c>
      <c r="Z32" s="127">
        <f t="shared" si="2"/>
        <v>10000</v>
      </c>
      <c r="AA32" s="127">
        <f t="shared" si="0"/>
        <v>7500</v>
      </c>
      <c r="AB32" s="127" t="str">
        <f t="shared" si="1"/>
        <v>OK</v>
      </c>
    </row>
    <row r="33" spans="1:42" ht="33" customHeight="1" x14ac:dyDescent="0.3">
      <c r="A33" s="85" t="s">
        <v>51</v>
      </c>
      <c r="B33" s="86" t="s">
        <v>52</v>
      </c>
      <c r="C33" s="86" t="s">
        <v>32</v>
      </c>
      <c r="D33" s="86" t="s">
        <v>53</v>
      </c>
      <c r="E33" s="86" t="s">
        <v>50</v>
      </c>
      <c r="F33" s="83">
        <v>3000</v>
      </c>
      <c r="G33" s="87">
        <v>46143</v>
      </c>
      <c r="H33" s="83">
        <f>SUMIFS('Demand for Production Plan'!$I:$I,'Demand for Production Plan'!$A:$A,$A33,'Demand for Production Plan'!$C:$C,$C33,'Demand for Production Plan'!$F:$F,$E33,'Demand for Production Plan'!$H:$H,$G33)</f>
        <v>588</v>
      </c>
      <c r="I33" s="87">
        <f t="shared" si="3"/>
        <v>46129</v>
      </c>
      <c r="J33" s="87">
        <f t="shared" si="4"/>
        <v>46136</v>
      </c>
    </row>
    <row r="34" spans="1:42" ht="33" customHeight="1" x14ac:dyDescent="0.3">
      <c r="A34" s="85" t="s">
        <v>51</v>
      </c>
      <c r="B34" s="86" t="s">
        <v>52</v>
      </c>
      <c r="C34" s="86" t="s">
        <v>32</v>
      </c>
      <c r="D34" s="86" t="s">
        <v>53</v>
      </c>
      <c r="E34" s="86" t="s">
        <v>50</v>
      </c>
      <c r="F34" s="83">
        <v>3000</v>
      </c>
      <c r="G34" s="87">
        <v>46150</v>
      </c>
      <c r="H34" s="83">
        <f>SUMIFS('Demand for Production Plan'!$I:$I,'Demand for Production Plan'!$A:$A,$A34,'Demand for Production Plan'!$C:$C,$C34,'Demand for Production Plan'!$F:$F,$E34,'Demand for Production Plan'!$H:$H,$G34)</f>
        <v>4028</v>
      </c>
      <c r="I34" s="87">
        <f t="shared" si="3"/>
        <v>46136</v>
      </c>
      <c r="J34" s="87">
        <f t="shared" si="4"/>
        <v>46143</v>
      </c>
    </row>
    <row r="35" spans="1:42" ht="33" customHeight="1" x14ac:dyDescent="0.3">
      <c r="A35" s="85" t="s">
        <v>51</v>
      </c>
      <c r="B35" s="86" t="s">
        <v>52</v>
      </c>
      <c r="C35" s="86" t="s">
        <v>32</v>
      </c>
      <c r="D35" s="86" t="s">
        <v>53</v>
      </c>
      <c r="E35" s="86" t="s">
        <v>50</v>
      </c>
      <c r="F35" s="83">
        <v>3000</v>
      </c>
      <c r="G35" s="87">
        <v>46157</v>
      </c>
      <c r="H35" s="83">
        <f>SUMIFS('Demand for Production Plan'!$I:$I,'Demand for Production Plan'!$A:$A,$A35,'Demand for Production Plan'!$C:$C,$C35,'Demand for Production Plan'!$F:$F,$E35,'Demand for Production Plan'!$H:$H,$G35)</f>
        <v>4200</v>
      </c>
      <c r="I35" s="87">
        <f t="shared" si="3"/>
        <v>46143</v>
      </c>
      <c r="J35" s="87">
        <f t="shared" si="4"/>
        <v>46150</v>
      </c>
      <c r="M35" s="100"/>
      <c r="N35" s="100"/>
      <c r="O35" s="100"/>
    </row>
    <row r="36" spans="1:42" ht="33" customHeight="1" x14ac:dyDescent="0.3">
      <c r="A36" s="85" t="s">
        <v>51</v>
      </c>
      <c r="B36" s="86" t="s">
        <v>52</v>
      </c>
      <c r="C36" s="86" t="s">
        <v>32</v>
      </c>
      <c r="D36" s="86" t="s">
        <v>53</v>
      </c>
      <c r="E36" s="86" t="s">
        <v>50</v>
      </c>
      <c r="F36" s="83">
        <v>3000</v>
      </c>
      <c r="G36" s="87">
        <v>46164</v>
      </c>
      <c r="H36" s="83">
        <f>SUMIFS('Demand for Production Plan'!$I:$I,'Demand for Production Plan'!$A:$A,$A36,'Demand for Production Plan'!$C:$C,$C36,'Demand for Production Plan'!$F:$F,$E36,'Demand for Production Plan'!$H:$H,$G36)</f>
        <v>3802</v>
      </c>
      <c r="I36" s="87">
        <f t="shared" si="3"/>
        <v>46150</v>
      </c>
      <c r="J36" s="87">
        <f t="shared" si="4"/>
        <v>46157</v>
      </c>
      <c r="M36" s="100"/>
      <c r="N36" s="100"/>
      <c r="O36" s="100"/>
    </row>
    <row r="37" spans="1:42" ht="33" customHeight="1" x14ac:dyDescent="0.3">
      <c r="A37" s="85" t="s">
        <v>51</v>
      </c>
      <c r="B37" s="86" t="s">
        <v>52</v>
      </c>
      <c r="C37" s="86" t="s">
        <v>32</v>
      </c>
      <c r="D37" s="86" t="s">
        <v>53</v>
      </c>
      <c r="E37" s="86" t="s">
        <v>50</v>
      </c>
      <c r="F37" s="83">
        <v>3000</v>
      </c>
      <c r="G37" s="87">
        <v>46171</v>
      </c>
      <c r="H37" s="83">
        <f>SUMIFS('Demand for Production Plan'!$I:$I,'Demand for Production Plan'!$A:$A,$A37,'Demand for Production Plan'!$C:$C,$C37,'Demand for Production Plan'!$F:$F,$E37,'Demand for Production Plan'!$H:$H,$G37)</f>
        <v>4500</v>
      </c>
      <c r="I37" s="87">
        <f t="shared" si="3"/>
        <v>46157</v>
      </c>
      <c r="J37" s="87">
        <f t="shared" si="4"/>
        <v>46164</v>
      </c>
      <c r="M37" s="100"/>
      <c r="N37" s="100"/>
      <c r="O37" s="100"/>
    </row>
    <row r="38" spans="1:42" ht="14.4" x14ac:dyDescent="0.3"/>
    <row r="39" spans="1:42" ht="14.4" customHeight="1" x14ac:dyDescent="0.3">
      <c r="A39" s="165" t="s">
        <v>207</v>
      </c>
      <c r="B39" s="159"/>
      <c r="C39" s="159"/>
      <c r="D39" s="159"/>
      <c r="E39" s="159"/>
      <c r="F39" s="159"/>
      <c r="G39" s="159"/>
      <c r="H39" s="159"/>
      <c r="I39" s="159"/>
      <c r="J39" s="160"/>
    </row>
    <row r="40" spans="1:42" ht="14.4" customHeight="1" x14ac:dyDescent="0.3">
      <c r="A40" s="166" t="s">
        <v>353</v>
      </c>
      <c r="B40" s="167"/>
      <c r="C40" s="167"/>
      <c r="D40" s="167"/>
      <c r="E40" s="167"/>
      <c r="F40" s="167"/>
      <c r="G40" s="167"/>
      <c r="H40" s="167"/>
      <c r="I40" s="167"/>
      <c r="J40" s="168"/>
    </row>
    <row r="41" spans="1:42" ht="16.5" customHeight="1" x14ac:dyDescent="0.3">
      <c r="A41" s="169" t="s">
        <v>156</v>
      </c>
      <c r="B41" s="169" t="s">
        <v>57</v>
      </c>
      <c r="C41" s="169" t="s">
        <v>202</v>
      </c>
      <c r="D41" s="169" t="s">
        <v>25</v>
      </c>
      <c r="E41" s="169" t="s">
        <v>26</v>
      </c>
      <c r="F41" s="169" t="s">
        <v>208</v>
      </c>
      <c r="G41" s="169" t="s">
        <v>203</v>
      </c>
      <c r="H41" s="169" t="s">
        <v>204</v>
      </c>
      <c r="I41" s="169" t="s">
        <v>209</v>
      </c>
      <c r="J41" s="169" t="s">
        <v>210</v>
      </c>
      <c r="K41" s="174" t="s">
        <v>211</v>
      </c>
      <c r="L41" s="170"/>
      <c r="M41" s="170"/>
      <c r="N41" s="170"/>
      <c r="O41" s="174" t="s">
        <v>212</v>
      </c>
      <c r="P41" s="170"/>
      <c r="Q41" s="170"/>
      <c r="R41" s="170"/>
      <c r="S41" s="170"/>
      <c r="T41" s="170"/>
      <c r="U41" s="174" t="s">
        <v>213</v>
      </c>
      <c r="V41" s="170"/>
      <c r="W41" s="170"/>
      <c r="X41" s="170"/>
      <c r="Y41" s="170"/>
      <c r="Z41" s="170"/>
      <c r="AA41" s="174" t="s">
        <v>214</v>
      </c>
      <c r="AB41" s="170"/>
      <c r="AC41" s="170"/>
      <c r="AD41" s="170"/>
      <c r="AE41" s="170"/>
      <c r="AF41" s="170"/>
      <c r="AG41" s="174" t="s">
        <v>215</v>
      </c>
      <c r="AH41" s="170"/>
      <c r="AI41" s="170"/>
      <c r="AJ41" s="170"/>
      <c r="AK41" s="170"/>
      <c r="AL41" s="169" t="s">
        <v>216</v>
      </c>
      <c r="AM41" s="169" t="s">
        <v>164</v>
      </c>
      <c r="AN41" s="184" t="s">
        <v>217</v>
      </c>
      <c r="AO41" s="182" t="s">
        <v>389</v>
      </c>
      <c r="AP41" s="182" t="s">
        <v>218</v>
      </c>
    </row>
    <row r="42" spans="1:42" ht="16.5" customHeight="1" x14ac:dyDescent="0.3">
      <c r="A42" s="170"/>
      <c r="B42" s="170"/>
      <c r="C42" s="170"/>
      <c r="D42" s="170"/>
      <c r="E42" s="170"/>
      <c r="F42" s="170"/>
      <c r="G42" s="170"/>
      <c r="H42" s="170"/>
      <c r="I42" s="170"/>
      <c r="J42" s="170"/>
      <c r="K42" s="131">
        <v>46127</v>
      </c>
      <c r="L42" s="131">
        <v>46128</v>
      </c>
      <c r="M42" s="131">
        <v>46129</v>
      </c>
      <c r="N42" s="131">
        <v>46130</v>
      </c>
      <c r="O42" s="131">
        <v>46132</v>
      </c>
      <c r="P42" s="131">
        <v>46133</v>
      </c>
      <c r="Q42" s="131">
        <v>46134</v>
      </c>
      <c r="R42" s="131">
        <v>46135</v>
      </c>
      <c r="S42" s="131">
        <v>46136</v>
      </c>
      <c r="T42" s="131">
        <v>46137</v>
      </c>
      <c r="U42" s="131">
        <v>46139</v>
      </c>
      <c r="V42" s="131">
        <v>46140</v>
      </c>
      <c r="W42" s="131">
        <v>46141</v>
      </c>
      <c r="X42" s="131">
        <v>46142</v>
      </c>
      <c r="Y42" s="131">
        <v>46143</v>
      </c>
      <c r="Z42" s="131">
        <v>46144</v>
      </c>
      <c r="AA42" s="131">
        <v>46146</v>
      </c>
      <c r="AB42" s="131">
        <v>46147</v>
      </c>
      <c r="AC42" s="131">
        <v>46148</v>
      </c>
      <c r="AD42" s="131">
        <v>46149</v>
      </c>
      <c r="AE42" s="131">
        <v>46150</v>
      </c>
      <c r="AF42" s="131">
        <v>46151</v>
      </c>
      <c r="AG42" s="131">
        <v>46153</v>
      </c>
      <c r="AH42" s="131">
        <v>46154</v>
      </c>
      <c r="AI42" s="131">
        <v>46155</v>
      </c>
      <c r="AJ42" s="131">
        <v>46156</v>
      </c>
      <c r="AK42" s="131">
        <v>46157</v>
      </c>
      <c r="AL42" s="170"/>
      <c r="AM42" s="170"/>
      <c r="AN42" s="184"/>
      <c r="AO42" s="183"/>
      <c r="AP42" s="183"/>
    </row>
    <row r="43" spans="1:42" ht="16.5" customHeight="1" x14ac:dyDescent="0.3">
      <c r="A43" s="132" t="s">
        <v>51</v>
      </c>
      <c r="B43" s="133" t="s">
        <v>52</v>
      </c>
      <c r="C43" s="133" t="s">
        <v>32</v>
      </c>
      <c r="D43" s="133" t="s">
        <v>53</v>
      </c>
      <c r="E43" s="133" t="s">
        <v>50</v>
      </c>
      <c r="F43" s="134">
        <v>3000</v>
      </c>
      <c r="G43" s="135">
        <v>46143</v>
      </c>
      <c r="H43" s="134">
        <v>588</v>
      </c>
      <c r="I43" s="135">
        <f t="shared" ref="I43:I63" si="5">G43-$B$8</f>
        <v>46129</v>
      </c>
      <c r="J43" s="135">
        <f t="shared" ref="J43:J63" si="6">G43-$B$7</f>
        <v>46136</v>
      </c>
      <c r="K43" s="136">
        <v>0</v>
      </c>
      <c r="L43" s="136">
        <v>0</v>
      </c>
      <c r="M43" s="136">
        <v>500</v>
      </c>
      <c r="N43" s="136">
        <v>0</v>
      </c>
      <c r="O43" s="136">
        <v>0</v>
      </c>
      <c r="P43" s="136">
        <v>0</v>
      </c>
      <c r="Q43" s="136">
        <v>0</v>
      </c>
      <c r="R43" s="136">
        <v>88</v>
      </c>
      <c r="S43" s="136">
        <v>0</v>
      </c>
      <c r="T43" s="136">
        <v>0</v>
      </c>
      <c r="U43" s="136">
        <v>0</v>
      </c>
      <c r="V43" s="136">
        <v>0</v>
      </c>
      <c r="W43" s="136">
        <v>0</v>
      </c>
      <c r="X43" s="136">
        <v>0</v>
      </c>
      <c r="Y43" s="136">
        <v>0</v>
      </c>
      <c r="Z43" s="136">
        <v>0</v>
      </c>
      <c r="AA43" s="136">
        <v>0</v>
      </c>
      <c r="AB43" s="136">
        <v>0</v>
      </c>
      <c r="AC43" s="136">
        <v>0</v>
      </c>
      <c r="AD43" s="136">
        <v>0</v>
      </c>
      <c r="AE43" s="136">
        <v>0</v>
      </c>
      <c r="AF43" s="136">
        <v>0</v>
      </c>
      <c r="AG43" s="136">
        <v>0</v>
      </c>
      <c r="AH43" s="136">
        <v>0</v>
      </c>
      <c r="AI43" s="136">
        <v>0</v>
      </c>
      <c r="AJ43" s="136">
        <v>0</v>
      </c>
      <c r="AK43" s="136">
        <v>0</v>
      </c>
      <c r="AL43" s="137">
        <f t="shared" ref="AL43:AL63" si="7">SUM(K43:AK43)</f>
        <v>588</v>
      </c>
      <c r="AM43" s="138">
        <f t="shared" ref="AM43:AM63" si="8">MAX(0,$H43-AL43)</f>
        <v>0</v>
      </c>
      <c r="AN43" s="96" t="str">
        <f t="shared" ref="AN43:AN63" si="9">IF($AP43="WITHIN_HORIZON",IF(AND($AM43&gt;0,$AO43&gt;0),"SHORTAGE + LATE",IF($AM43&gt;0,"SHORTAGE",IF($AO43&gt;0,"LATE","OK"))),IF(AND($AP43="PARTIAL_HORIZON",$AM43=0,$AO43=0),"OK","OUT_OF_HORIZON"))</f>
        <v>OK</v>
      </c>
      <c r="AO43" s="97">
        <f t="shared" ref="AO43:AO63" si="10">SUMPRODUCT(($K$42:$AK$42&gt;$J43)*(K43:AK43))</f>
        <v>0</v>
      </c>
      <c r="AP43" s="96" t="str">
        <f t="shared" ref="AP43:AP63" si="11">IF($I43&gt;$AK$42,"OUT_OF_HORIZON",IF($J43&gt;$AK$42,"PARTIAL_HORIZON","WITHIN_HORIZON"))</f>
        <v>WITHIN_HORIZON</v>
      </c>
    </row>
    <row r="44" spans="1:42" ht="16.5" customHeight="1" x14ac:dyDescent="0.3">
      <c r="A44" s="132" t="s">
        <v>30</v>
      </c>
      <c r="B44" s="133" t="s">
        <v>31</v>
      </c>
      <c r="C44" s="133" t="s">
        <v>32</v>
      </c>
      <c r="D44" s="133" t="s">
        <v>33</v>
      </c>
      <c r="E44" s="133" t="s">
        <v>34</v>
      </c>
      <c r="F44" s="134">
        <v>15000</v>
      </c>
      <c r="G44" s="135">
        <v>46150</v>
      </c>
      <c r="H44" s="134">
        <v>684</v>
      </c>
      <c r="I44" s="135">
        <f t="shared" si="5"/>
        <v>46136</v>
      </c>
      <c r="J44" s="135">
        <f t="shared" si="6"/>
        <v>46143</v>
      </c>
      <c r="K44" s="136">
        <v>0</v>
      </c>
      <c r="L44" s="136">
        <v>0</v>
      </c>
      <c r="M44" s="136">
        <v>0</v>
      </c>
      <c r="N44" s="136">
        <v>0</v>
      </c>
      <c r="O44" s="136">
        <v>0</v>
      </c>
      <c r="P44" s="136">
        <v>0</v>
      </c>
      <c r="Q44" s="136">
        <v>0</v>
      </c>
      <c r="R44" s="136">
        <v>0</v>
      </c>
      <c r="S44" s="136">
        <v>0</v>
      </c>
      <c r="T44" s="136">
        <v>684</v>
      </c>
      <c r="U44" s="136">
        <v>0</v>
      </c>
      <c r="V44" s="136">
        <v>0</v>
      </c>
      <c r="W44" s="136">
        <v>0</v>
      </c>
      <c r="X44" s="136">
        <v>0</v>
      </c>
      <c r="Y44" s="136">
        <v>0</v>
      </c>
      <c r="Z44" s="136">
        <v>0</v>
      </c>
      <c r="AA44" s="136">
        <v>0</v>
      </c>
      <c r="AB44" s="136">
        <v>0</v>
      </c>
      <c r="AC44" s="136">
        <v>0</v>
      </c>
      <c r="AD44" s="136">
        <v>0</v>
      </c>
      <c r="AE44" s="136">
        <v>0</v>
      </c>
      <c r="AF44" s="136">
        <v>0</v>
      </c>
      <c r="AG44" s="136">
        <v>0</v>
      </c>
      <c r="AH44" s="136">
        <v>0</v>
      </c>
      <c r="AI44" s="136">
        <v>0</v>
      </c>
      <c r="AJ44" s="136">
        <v>0</v>
      </c>
      <c r="AK44" s="136">
        <v>0</v>
      </c>
      <c r="AL44" s="137">
        <f t="shared" si="7"/>
        <v>684</v>
      </c>
      <c r="AM44" s="138">
        <f t="shared" si="8"/>
        <v>0</v>
      </c>
      <c r="AN44" s="96" t="str">
        <f t="shared" si="9"/>
        <v>OK</v>
      </c>
      <c r="AO44" s="97">
        <f t="shared" si="10"/>
        <v>0</v>
      </c>
      <c r="AP44" s="96" t="str">
        <f t="shared" si="11"/>
        <v>WITHIN_HORIZON</v>
      </c>
    </row>
    <row r="45" spans="1:42" ht="16.5" customHeight="1" x14ac:dyDescent="0.3">
      <c r="A45" s="132" t="s">
        <v>46</v>
      </c>
      <c r="B45" s="133" t="s">
        <v>47</v>
      </c>
      <c r="C45" s="133" t="s">
        <v>48</v>
      </c>
      <c r="D45" s="133" t="s">
        <v>49</v>
      </c>
      <c r="E45" s="133" t="s">
        <v>50</v>
      </c>
      <c r="F45" s="134">
        <v>3000</v>
      </c>
      <c r="G45" s="135">
        <v>46150</v>
      </c>
      <c r="H45" s="134">
        <v>472</v>
      </c>
      <c r="I45" s="135">
        <f t="shared" si="5"/>
        <v>46136</v>
      </c>
      <c r="J45" s="135">
        <f t="shared" si="6"/>
        <v>46143</v>
      </c>
      <c r="K45" s="136">
        <v>0</v>
      </c>
      <c r="L45" s="136">
        <v>0</v>
      </c>
      <c r="M45" s="136">
        <v>0</v>
      </c>
      <c r="N45" s="136">
        <v>0</v>
      </c>
      <c r="O45" s="136">
        <v>0</v>
      </c>
      <c r="P45" s="136">
        <v>0</v>
      </c>
      <c r="Q45" s="136">
        <v>0</v>
      </c>
      <c r="R45" s="136">
        <v>0</v>
      </c>
      <c r="S45" s="136">
        <v>0</v>
      </c>
      <c r="T45" s="136">
        <v>0</v>
      </c>
      <c r="U45" s="136">
        <v>0</v>
      </c>
      <c r="V45" s="136">
        <v>472</v>
      </c>
      <c r="W45" s="136">
        <v>0</v>
      </c>
      <c r="X45" s="136">
        <v>0</v>
      </c>
      <c r="Y45" s="136">
        <v>0</v>
      </c>
      <c r="Z45" s="136">
        <v>0</v>
      </c>
      <c r="AA45" s="136">
        <v>0</v>
      </c>
      <c r="AB45" s="136">
        <v>0</v>
      </c>
      <c r="AC45" s="136">
        <v>0</v>
      </c>
      <c r="AD45" s="136">
        <v>0</v>
      </c>
      <c r="AE45" s="136">
        <v>0</v>
      </c>
      <c r="AF45" s="136">
        <v>0</v>
      </c>
      <c r="AG45" s="136">
        <v>0</v>
      </c>
      <c r="AH45" s="136">
        <v>0</v>
      </c>
      <c r="AI45" s="136">
        <v>0</v>
      </c>
      <c r="AJ45" s="136">
        <v>0</v>
      </c>
      <c r="AK45" s="136">
        <v>0</v>
      </c>
      <c r="AL45" s="137">
        <f t="shared" si="7"/>
        <v>472</v>
      </c>
      <c r="AM45" s="138">
        <f t="shared" si="8"/>
        <v>0</v>
      </c>
      <c r="AN45" s="96" t="str">
        <f t="shared" si="9"/>
        <v>OK</v>
      </c>
      <c r="AO45" s="97">
        <f t="shared" si="10"/>
        <v>0</v>
      </c>
      <c r="AP45" s="96" t="str">
        <f t="shared" si="11"/>
        <v>WITHIN_HORIZON</v>
      </c>
    </row>
    <row r="46" spans="1:42" ht="16.5" customHeight="1" x14ac:dyDescent="0.3">
      <c r="A46" s="132" t="s">
        <v>51</v>
      </c>
      <c r="B46" s="133" t="s">
        <v>52</v>
      </c>
      <c r="C46" s="133" t="s">
        <v>32</v>
      </c>
      <c r="D46" s="133" t="s">
        <v>53</v>
      </c>
      <c r="E46" s="133" t="s">
        <v>50</v>
      </c>
      <c r="F46" s="134">
        <v>3000</v>
      </c>
      <c r="G46" s="135">
        <v>46150</v>
      </c>
      <c r="H46" s="134">
        <v>4028</v>
      </c>
      <c r="I46" s="135">
        <f t="shared" si="5"/>
        <v>46136</v>
      </c>
      <c r="J46" s="135">
        <f t="shared" si="6"/>
        <v>46143</v>
      </c>
      <c r="K46" s="136">
        <v>0</v>
      </c>
      <c r="L46" s="136">
        <v>0</v>
      </c>
      <c r="M46" s="136">
        <v>0</v>
      </c>
      <c r="N46" s="136">
        <v>0</v>
      </c>
      <c r="O46" s="136">
        <v>0</v>
      </c>
      <c r="P46" s="136">
        <v>0</v>
      </c>
      <c r="Q46" s="136">
        <v>0</v>
      </c>
      <c r="R46" s="136">
        <v>0</v>
      </c>
      <c r="S46" s="136">
        <v>500</v>
      </c>
      <c r="T46" s="136">
        <v>500</v>
      </c>
      <c r="U46" s="136">
        <v>500</v>
      </c>
      <c r="V46" s="136">
        <v>28</v>
      </c>
      <c r="W46" s="136">
        <v>500</v>
      </c>
      <c r="X46" s="136">
        <v>500</v>
      </c>
      <c r="Y46" s="136">
        <v>500</v>
      </c>
      <c r="Z46" s="136">
        <v>0</v>
      </c>
      <c r="AA46" s="136">
        <v>0</v>
      </c>
      <c r="AB46" s="136">
        <v>0</v>
      </c>
      <c r="AC46" s="136">
        <v>0</v>
      </c>
      <c r="AD46" s="136">
        <v>0</v>
      </c>
      <c r="AE46" s="136">
        <v>0</v>
      </c>
      <c r="AF46" s="136">
        <v>0</v>
      </c>
      <c r="AG46" s="136">
        <v>0</v>
      </c>
      <c r="AH46" s="136">
        <v>0</v>
      </c>
      <c r="AI46" s="136">
        <v>0</v>
      </c>
      <c r="AJ46" s="136">
        <v>0</v>
      </c>
      <c r="AK46" s="136">
        <v>0</v>
      </c>
      <c r="AL46" s="137">
        <f t="shared" si="7"/>
        <v>3028</v>
      </c>
      <c r="AM46" s="138">
        <f t="shared" si="8"/>
        <v>1000</v>
      </c>
      <c r="AN46" s="96" t="str">
        <f t="shared" si="9"/>
        <v>SHORTAGE</v>
      </c>
      <c r="AO46" s="97">
        <f t="shared" si="10"/>
        <v>0</v>
      </c>
      <c r="AP46" s="96" t="str">
        <f t="shared" si="11"/>
        <v>WITHIN_HORIZON</v>
      </c>
    </row>
    <row r="47" spans="1:42" ht="16.5" customHeight="1" x14ac:dyDescent="0.3">
      <c r="A47" s="132" t="s">
        <v>30</v>
      </c>
      <c r="B47" s="133" t="s">
        <v>31</v>
      </c>
      <c r="C47" s="133" t="s">
        <v>32</v>
      </c>
      <c r="D47" s="133" t="s">
        <v>33</v>
      </c>
      <c r="E47" s="133" t="s">
        <v>34</v>
      </c>
      <c r="F47" s="134">
        <v>15000</v>
      </c>
      <c r="G47" s="135">
        <v>46157</v>
      </c>
      <c r="H47" s="134">
        <v>20000</v>
      </c>
      <c r="I47" s="135">
        <f t="shared" si="5"/>
        <v>46143</v>
      </c>
      <c r="J47" s="135">
        <f t="shared" si="6"/>
        <v>46150</v>
      </c>
      <c r="K47" s="136">
        <v>0</v>
      </c>
      <c r="L47" s="136">
        <v>0</v>
      </c>
      <c r="M47" s="136">
        <v>0</v>
      </c>
      <c r="N47" s="136">
        <v>0</v>
      </c>
      <c r="O47" s="136">
        <v>0</v>
      </c>
      <c r="P47" s="136">
        <v>0</v>
      </c>
      <c r="Q47" s="136">
        <v>0</v>
      </c>
      <c r="R47" s="136">
        <v>0</v>
      </c>
      <c r="S47" s="136">
        <v>0</v>
      </c>
      <c r="T47" s="136">
        <v>0</v>
      </c>
      <c r="U47" s="136">
        <v>0</v>
      </c>
      <c r="V47" s="136">
        <v>0</v>
      </c>
      <c r="W47" s="136">
        <v>0</v>
      </c>
      <c r="X47" s="136">
        <v>0</v>
      </c>
      <c r="Y47" s="136">
        <v>0</v>
      </c>
      <c r="Z47" s="136">
        <v>2500</v>
      </c>
      <c r="AA47" s="136">
        <v>1998</v>
      </c>
      <c r="AB47" s="136">
        <v>0</v>
      </c>
      <c r="AC47" s="136">
        <v>2500</v>
      </c>
      <c r="AD47" s="136">
        <v>2500</v>
      </c>
      <c r="AE47" s="136">
        <v>2500</v>
      </c>
      <c r="AF47" s="136">
        <v>0</v>
      </c>
      <c r="AG47" s="136">
        <v>0</v>
      </c>
      <c r="AH47" s="136">
        <v>0</v>
      </c>
      <c r="AI47" s="136">
        <v>0</v>
      </c>
      <c r="AJ47" s="136">
        <v>0</v>
      </c>
      <c r="AK47" s="136">
        <v>0</v>
      </c>
      <c r="AL47" s="137">
        <f t="shared" si="7"/>
        <v>11998</v>
      </c>
      <c r="AM47" s="138">
        <f t="shared" si="8"/>
        <v>8002</v>
      </c>
      <c r="AN47" s="96" t="str">
        <f t="shared" si="9"/>
        <v>SHORTAGE</v>
      </c>
      <c r="AO47" s="97">
        <f t="shared" si="10"/>
        <v>0</v>
      </c>
      <c r="AP47" s="96" t="str">
        <f t="shared" si="11"/>
        <v>WITHIN_HORIZON</v>
      </c>
    </row>
    <row r="48" spans="1:42" ht="16.5" customHeight="1" x14ac:dyDescent="0.3">
      <c r="A48" s="132" t="s">
        <v>35</v>
      </c>
      <c r="B48" s="133" t="s">
        <v>36</v>
      </c>
      <c r="C48" s="133" t="s">
        <v>32</v>
      </c>
      <c r="D48" s="133" t="s">
        <v>37</v>
      </c>
      <c r="E48" s="133" t="s">
        <v>34</v>
      </c>
      <c r="F48" s="134">
        <v>15000</v>
      </c>
      <c r="G48" s="135">
        <v>46157</v>
      </c>
      <c r="H48" s="134">
        <v>5502</v>
      </c>
      <c r="I48" s="135">
        <f t="shared" si="5"/>
        <v>46143</v>
      </c>
      <c r="J48" s="135">
        <f t="shared" si="6"/>
        <v>46150</v>
      </c>
      <c r="K48" s="136">
        <v>0</v>
      </c>
      <c r="L48" s="136">
        <v>0</v>
      </c>
      <c r="M48" s="136">
        <v>0</v>
      </c>
      <c r="N48" s="136">
        <v>0</v>
      </c>
      <c r="O48" s="136">
        <v>0</v>
      </c>
      <c r="P48" s="136">
        <v>0</v>
      </c>
      <c r="Q48" s="136">
        <v>0</v>
      </c>
      <c r="R48" s="136">
        <v>0</v>
      </c>
      <c r="S48" s="136">
        <v>0</v>
      </c>
      <c r="T48" s="136">
        <v>0</v>
      </c>
      <c r="U48" s="136">
        <v>0</v>
      </c>
      <c r="V48" s="136">
        <v>0</v>
      </c>
      <c r="W48" s="136">
        <v>0</v>
      </c>
      <c r="X48" s="136">
        <v>0</v>
      </c>
      <c r="Y48" s="136">
        <v>2500</v>
      </c>
      <c r="Z48" s="136">
        <v>0</v>
      </c>
      <c r="AA48" s="136">
        <v>502</v>
      </c>
      <c r="AB48" s="136">
        <v>2500</v>
      </c>
      <c r="AC48" s="136">
        <v>0</v>
      </c>
      <c r="AD48" s="136">
        <v>0</v>
      </c>
      <c r="AE48" s="136">
        <v>0</v>
      </c>
      <c r="AF48" s="136">
        <v>0</v>
      </c>
      <c r="AG48" s="136">
        <v>0</v>
      </c>
      <c r="AH48" s="136">
        <v>0</v>
      </c>
      <c r="AI48" s="136">
        <v>0</v>
      </c>
      <c r="AJ48" s="136">
        <v>0</v>
      </c>
      <c r="AK48" s="136">
        <v>0</v>
      </c>
      <c r="AL48" s="137">
        <f t="shared" si="7"/>
        <v>5502</v>
      </c>
      <c r="AM48" s="138">
        <f t="shared" si="8"/>
        <v>0</v>
      </c>
      <c r="AN48" s="96" t="str">
        <f t="shared" si="9"/>
        <v>OK</v>
      </c>
      <c r="AO48" s="97">
        <f t="shared" si="10"/>
        <v>0</v>
      </c>
      <c r="AP48" s="96" t="str">
        <f t="shared" si="11"/>
        <v>WITHIN_HORIZON</v>
      </c>
    </row>
    <row r="49" spans="1:42" ht="16.5" customHeight="1" x14ac:dyDescent="0.3">
      <c r="A49" s="132" t="s">
        <v>38</v>
      </c>
      <c r="B49" s="133" t="s">
        <v>39</v>
      </c>
      <c r="C49" s="133" t="s">
        <v>40</v>
      </c>
      <c r="D49" s="133" t="s">
        <v>41</v>
      </c>
      <c r="E49" s="133" t="s">
        <v>42</v>
      </c>
      <c r="F49" s="134">
        <v>5000</v>
      </c>
      <c r="G49" s="135">
        <v>46157</v>
      </c>
      <c r="H49" s="134">
        <v>4320</v>
      </c>
      <c r="I49" s="135">
        <f t="shared" si="5"/>
        <v>46143</v>
      </c>
      <c r="J49" s="135">
        <f t="shared" si="6"/>
        <v>46150</v>
      </c>
      <c r="K49" s="136">
        <v>0</v>
      </c>
      <c r="L49" s="136">
        <v>0</v>
      </c>
      <c r="M49" s="136">
        <v>0</v>
      </c>
      <c r="N49" s="136">
        <v>0</v>
      </c>
      <c r="O49" s="136">
        <v>0</v>
      </c>
      <c r="P49" s="136">
        <v>0</v>
      </c>
      <c r="Q49" s="136">
        <v>0</v>
      </c>
      <c r="R49" s="136">
        <v>0</v>
      </c>
      <c r="S49" s="136">
        <v>0</v>
      </c>
      <c r="T49" s="136">
        <v>0</v>
      </c>
      <c r="U49" s="136">
        <v>0</v>
      </c>
      <c r="V49" s="136">
        <v>0</v>
      </c>
      <c r="W49" s="136">
        <v>0</v>
      </c>
      <c r="X49" s="136">
        <v>0</v>
      </c>
      <c r="Y49" s="136">
        <v>0</v>
      </c>
      <c r="Z49" s="136">
        <v>833</v>
      </c>
      <c r="AA49" s="136">
        <v>0</v>
      </c>
      <c r="AB49" s="136">
        <v>833</v>
      </c>
      <c r="AC49" s="136">
        <v>833</v>
      </c>
      <c r="AD49" s="136">
        <v>833</v>
      </c>
      <c r="AE49" s="136">
        <v>0</v>
      </c>
      <c r="AF49" s="136">
        <v>0</v>
      </c>
      <c r="AG49" s="136">
        <v>0</v>
      </c>
      <c r="AH49" s="136">
        <v>0</v>
      </c>
      <c r="AI49" s="136">
        <v>0</v>
      </c>
      <c r="AJ49" s="136">
        <v>0</v>
      </c>
      <c r="AK49" s="136">
        <v>0</v>
      </c>
      <c r="AL49" s="137">
        <f t="shared" si="7"/>
        <v>3332</v>
      </c>
      <c r="AM49" s="138">
        <f t="shared" si="8"/>
        <v>988</v>
      </c>
      <c r="AN49" s="96" t="str">
        <f t="shared" si="9"/>
        <v>SHORTAGE</v>
      </c>
      <c r="AO49" s="97">
        <f t="shared" si="10"/>
        <v>0</v>
      </c>
      <c r="AP49" s="96" t="str">
        <f t="shared" si="11"/>
        <v>WITHIN_HORIZON</v>
      </c>
    </row>
    <row r="50" spans="1:42" ht="16.5" customHeight="1" x14ac:dyDescent="0.3">
      <c r="A50" s="132" t="s">
        <v>43</v>
      </c>
      <c r="B50" s="133" t="s">
        <v>44</v>
      </c>
      <c r="C50" s="133" t="s">
        <v>40</v>
      </c>
      <c r="D50" s="133" t="s">
        <v>45</v>
      </c>
      <c r="E50" s="133" t="s">
        <v>42</v>
      </c>
      <c r="F50" s="134">
        <v>5000</v>
      </c>
      <c r="G50" s="135">
        <v>46157</v>
      </c>
      <c r="H50" s="134">
        <v>2430</v>
      </c>
      <c r="I50" s="135">
        <f t="shared" si="5"/>
        <v>46143</v>
      </c>
      <c r="J50" s="135">
        <f t="shared" si="6"/>
        <v>46150</v>
      </c>
      <c r="K50" s="136">
        <v>0</v>
      </c>
      <c r="L50" s="136">
        <v>0</v>
      </c>
      <c r="M50" s="136">
        <v>0</v>
      </c>
      <c r="N50" s="136">
        <v>0</v>
      </c>
      <c r="O50" s="136">
        <v>0</v>
      </c>
      <c r="P50" s="136">
        <v>0</v>
      </c>
      <c r="Q50" s="136">
        <v>0</v>
      </c>
      <c r="R50" s="136">
        <v>0</v>
      </c>
      <c r="S50" s="136">
        <v>0</v>
      </c>
      <c r="T50" s="136">
        <v>0</v>
      </c>
      <c r="U50" s="136">
        <v>0</v>
      </c>
      <c r="V50" s="136">
        <v>0</v>
      </c>
      <c r="W50" s="136">
        <v>0</v>
      </c>
      <c r="X50" s="136">
        <v>0</v>
      </c>
      <c r="Y50" s="136">
        <v>833</v>
      </c>
      <c r="Z50" s="136">
        <v>0</v>
      </c>
      <c r="AA50" s="136">
        <v>833</v>
      </c>
      <c r="AB50" s="136">
        <v>0</v>
      </c>
      <c r="AC50" s="136">
        <v>0</v>
      </c>
      <c r="AD50" s="136">
        <v>0</v>
      </c>
      <c r="AE50" s="136">
        <v>0</v>
      </c>
      <c r="AF50" s="136">
        <v>0</v>
      </c>
      <c r="AG50" s="136">
        <v>0</v>
      </c>
      <c r="AH50" s="136">
        <v>0</v>
      </c>
      <c r="AI50" s="136">
        <v>0</v>
      </c>
      <c r="AJ50" s="136">
        <v>0</v>
      </c>
      <c r="AK50" s="136">
        <v>0</v>
      </c>
      <c r="AL50" s="137">
        <f t="shared" si="7"/>
        <v>1666</v>
      </c>
      <c r="AM50" s="138">
        <f t="shared" si="8"/>
        <v>764</v>
      </c>
      <c r="AN50" s="96" t="str">
        <f t="shared" si="9"/>
        <v>SHORTAGE</v>
      </c>
      <c r="AO50" s="97">
        <f t="shared" si="10"/>
        <v>0</v>
      </c>
      <c r="AP50" s="96" t="str">
        <f t="shared" si="11"/>
        <v>WITHIN_HORIZON</v>
      </c>
    </row>
    <row r="51" spans="1:42" ht="16.5" customHeight="1" x14ac:dyDescent="0.3">
      <c r="A51" s="132" t="s">
        <v>46</v>
      </c>
      <c r="B51" s="133" t="s">
        <v>47</v>
      </c>
      <c r="C51" s="133" t="s">
        <v>48</v>
      </c>
      <c r="D51" s="133" t="s">
        <v>49</v>
      </c>
      <c r="E51" s="133" t="s">
        <v>50</v>
      </c>
      <c r="F51" s="134">
        <v>3000</v>
      </c>
      <c r="G51" s="135">
        <v>46157</v>
      </c>
      <c r="H51" s="134">
        <v>300</v>
      </c>
      <c r="I51" s="135">
        <f t="shared" si="5"/>
        <v>46143</v>
      </c>
      <c r="J51" s="135">
        <f t="shared" si="6"/>
        <v>46150</v>
      </c>
      <c r="K51" s="136">
        <v>0</v>
      </c>
      <c r="L51" s="136">
        <v>0</v>
      </c>
      <c r="M51" s="136">
        <v>0</v>
      </c>
      <c r="N51" s="136">
        <v>0</v>
      </c>
      <c r="O51" s="136">
        <v>0</v>
      </c>
      <c r="P51" s="136">
        <v>0</v>
      </c>
      <c r="Q51" s="136">
        <v>0</v>
      </c>
      <c r="R51" s="136">
        <v>0</v>
      </c>
      <c r="S51" s="136">
        <v>0</v>
      </c>
      <c r="T51" s="136">
        <v>0</v>
      </c>
      <c r="U51" s="136">
        <v>0</v>
      </c>
      <c r="V51" s="136">
        <v>0</v>
      </c>
      <c r="W51" s="136">
        <v>0</v>
      </c>
      <c r="X51" s="136">
        <v>0</v>
      </c>
      <c r="Y51" s="136">
        <v>0</v>
      </c>
      <c r="Z51" s="136">
        <v>0</v>
      </c>
      <c r="AA51" s="136">
        <v>300</v>
      </c>
      <c r="AB51" s="136">
        <v>0</v>
      </c>
      <c r="AC51" s="136">
        <v>0</v>
      </c>
      <c r="AD51" s="136">
        <v>0</v>
      </c>
      <c r="AE51" s="136">
        <v>0</v>
      </c>
      <c r="AF51" s="136">
        <v>0</v>
      </c>
      <c r="AG51" s="136">
        <v>0</v>
      </c>
      <c r="AH51" s="136">
        <v>0</v>
      </c>
      <c r="AI51" s="136">
        <v>0</v>
      </c>
      <c r="AJ51" s="136">
        <v>0</v>
      </c>
      <c r="AK51" s="136">
        <v>0</v>
      </c>
      <c r="AL51" s="137">
        <f t="shared" si="7"/>
        <v>300</v>
      </c>
      <c r="AM51" s="138">
        <f t="shared" si="8"/>
        <v>0</v>
      </c>
      <c r="AN51" s="96" t="str">
        <f t="shared" si="9"/>
        <v>OK</v>
      </c>
      <c r="AO51" s="97">
        <f t="shared" si="10"/>
        <v>0</v>
      </c>
      <c r="AP51" s="96" t="str">
        <f t="shared" si="11"/>
        <v>WITHIN_HORIZON</v>
      </c>
    </row>
    <row r="52" spans="1:42" ht="16.5" customHeight="1" x14ac:dyDescent="0.3">
      <c r="A52" s="132" t="s">
        <v>51</v>
      </c>
      <c r="B52" s="133" t="s">
        <v>52</v>
      </c>
      <c r="C52" s="133" t="s">
        <v>32</v>
      </c>
      <c r="D52" s="133" t="s">
        <v>53</v>
      </c>
      <c r="E52" s="133" t="s">
        <v>50</v>
      </c>
      <c r="F52" s="134">
        <v>3000</v>
      </c>
      <c r="G52" s="135">
        <v>46157</v>
      </c>
      <c r="H52" s="134">
        <v>4200</v>
      </c>
      <c r="I52" s="135">
        <f t="shared" si="5"/>
        <v>46143</v>
      </c>
      <c r="J52" s="135">
        <f t="shared" si="6"/>
        <v>46150</v>
      </c>
      <c r="K52" s="136">
        <v>0</v>
      </c>
      <c r="L52" s="136">
        <v>0</v>
      </c>
      <c r="M52" s="136">
        <v>0</v>
      </c>
      <c r="N52" s="136">
        <v>0</v>
      </c>
      <c r="O52" s="136">
        <v>0</v>
      </c>
      <c r="P52" s="136">
        <v>0</v>
      </c>
      <c r="Q52" s="136">
        <v>0</v>
      </c>
      <c r="R52" s="136">
        <v>0</v>
      </c>
      <c r="S52" s="136">
        <v>0</v>
      </c>
      <c r="T52" s="136">
        <v>0</v>
      </c>
      <c r="U52" s="136">
        <v>0</v>
      </c>
      <c r="V52" s="136">
        <v>0</v>
      </c>
      <c r="W52" s="136">
        <v>0</v>
      </c>
      <c r="X52" s="136">
        <v>0</v>
      </c>
      <c r="Y52" s="136">
        <v>0</v>
      </c>
      <c r="Z52" s="136">
        <v>500</v>
      </c>
      <c r="AA52" s="136">
        <v>200</v>
      </c>
      <c r="AB52" s="136">
        <v>500</v>
      </c>
      <c r="AC52" s="136">
        <v>500</v>
      </c>
      <c r="AD52" s="136">
        <v>500</v>
      </c>
      <c r="AE52" s="136">
        <v>500</v>
      </c>
      <c r="AF52" s="136">
        <v>0</v>
      </c>
      <c r="AG52" s="136">
        <v>0</v>
      </c>
      <c r="AH52" s="136">
        <v>0</v>
      </c>
      <c r="AI52" s="136">
        <v>0</v>
      </c>
      <c r="AJ52" s="136">
        <v>0</v>
      </c>
      <c r="AK52" s="136">
        <v>0</v>
      </c>
      <c r="AL52" s="137">
        <f t="shared" si="7"/>
        <v>2700</v>
      </c>
      <c r="AM52" s="138">
        <f t="shared" si="8"/>
        <v>1500</v>
      </c>
      <c r="AN52" s="96" t="str">
        <f t="shared" si="9"/>
        <v>SHORTAGE</v>
      </c>
      <c r="AO52" s="97">
        <f t="shared" si="10"/>
        <v>0</v>
      </c>
      <c r="AP52" s="96" t="str">
        <f t="shared" si="11"/>
        <v>WITHIN_HORIZON</v>
      </c>
    </row>
    <row r="53" spans="1:42" ht="16.5" customHeight="1" x14ac:dyDescent="0.3">
      <c r="A53" s="132" t="s">
        <v>30</v>
      </c>
      <c r="B53" s="133" t="s">
        <v>31</v>
      </c>
      <c r="C53" s="133" t="s">
        <v>32</v>
      </c>
      <c r="D53" s="133" t="s">
        <v>33</v>
      </c>
      <c r="E53" s="133" t="s">
        <v>34</v>
      </c>
      <c r="F53" s="134">
        <v>15000</v>
      </c>
      <c r="G53" s="135">
        <v>46164</v>
      </c>
      <c r="H53" s="134">
        <v>20000</v>
      </c>
      <c r="I53" s="135">
        <f t="shared" si="5"/>
        <v>46150</v>
      </c>
      <c r="J53" s="135">
        <f t="shared" si="6"/>
        <v>46157</v>
      </c>
      <c r="K53" s="136">
        <v>0</v>
      </c>
      <c r="L53" s="136">
        <v>0</v>
      </c>
      <c r="M53" s="136">
        <v>0</v>
      </c>
      <c r="N53" s="136">
        <v>0</v>
      </c>
      <c r="O53" s="136">
        <v>0</v>
      </c>
      <c r="P53" s="136">
        <v>0</v>
      </c>
      <c r="Q53" s="136">
        <v>0</v>
      </c>
      <c r="R53" s="136">
        <v>0</v>
      </c>
      <c r="S53" s="136">
        <v>0</v>
      </c>
      <c r="T53" s="136">
        <v>0</v>
      </c>
      <c r="U53" s="136">
        <v>0</v>
      </c>
      <c r="V53" s="136">
        <v>0</v>
      </c>
      <c r="W53" s="136">
        <v>0</v>
      </c>
      <c r="X53" s="136">
        <v>0</v>
      </c>
      <c r="Y53" s="136">
        <v>0</v>
      </c>
      <c r="Z53" s="136">
        <v>0</v>
      </c>
      <c r="AA53" s="136">
        <v>0</v>
      </c>
      <c r="AB53" s="136">
        <v>0</v>
      </c>
      <c r="AC53" s="136">
        <v>0</v>
      </c>
      <c r="AD53" s="136">
        <v>0</v>
      </c>
      <c r="AE53" s="136">
        <v>0</v>
      </c>
      <c r="AF53" s="136">
        <v>2500</v>
      </c>
      <c r="AG53" s="136">
        <v>2500</v>
      </c>
      <c r="AH53" s="136">
        <v>2500</v>
      </c>
      <c r="AI53" s="136">
        <v>2500</v>
      </c>
      <c r="AJ53" s="136">
        <v>2500</v>
      </c>
      <c r="AK53" s="136">
        <v>2500</v>
      </c>
      <c r="AL53" s="137">
        <f t="shared" si="7"/>
        <v>15000</v>
      </c>
      <c r="AM53" s="138">
        <f t="shared" si="8"/>
        <v>5000</v>
      </c>
      <c r="AN53" s="96" t="str">
        <f t="shared" si="9"/>
        <v>SHORTAGE</v>
      </c>
      <c r="AO53" s="97">
        <f t="shared" si="10"/>
        <v>0</v>
      </c>
      <c r="AP53" s="96" t="str">
        <f t="shared" si="11"/>
        <v>WITHIN_HORIZON</v>
      </c>
    </row>
    <row r="54" spans="1:42" ht="16.5" customHeight="1" x14ac:dyDescent="0.3">
      <c r="A54" s="132" t="s">
        <v>35</v>
      </c>
      <c r="B54" s="133" t="s">
        <v>36</v>
      </c>
      <c r="C54" s="133" t="s">
        <v>32</v>
      </c>
      <c r="D54" s="133" t="s">
        <v>37</v>
      </c>
      <c r="E54" s="133" t="s">
        <v>34</v>
      </c>
      <c r="F54" s="134">
        <v>15000</v>
      </c>
      <c r="G54" s="135">
        <v>46164</v>
      </c>
      <c r="H54" s="134">
        <v>15658</v>
      </c>
      <c r="I54" s="135">
        <f t="shared" si="5"/>
        <v>46150</v>
      </c>
      <c r="J54" s="135">
        <f t="shared" si="6"/>
        <v>46157</v>
      </c>
      <c r="K54" s="136">
        <v>0</v>
      </c>
      <c r="L54" s="136">
        <v>0</v>
      </c>
      <c r="M54" s="136">
        <v>0</v>
      </c>
      <c r="N54" s="136">
        <v>0</v>
      </c>
      <c r="O54" s="136">
        <v>0</v>
      </c>
      <c r="P54" s="136">
        <v>0</v>
      </c>
      <c r="Q54" s="136">
        <v>0</v>
      </c>
      <c r="R54" s="136">
        <v>0</v>
      </c>
      <c r="S54" s="136">
        <v>0</v>
      </c>
      <c r="T54" s="136">
        <v>0</v>
      </c>
      <c r="U54" s="136">
        <v>0</v>
      </c>
      <c r="V54" s="136">
        <v>0</v>
      </c>
      <c r="W54" s="136">
        <v>0</v>
      </c>
      <c r="X54" s="136">
        <v>0</v>
      </c>
      <c r="Y54" s="136">
        <v>0</v>
      </c>
      <c r="Z54" s="136">
        <v>0</v>
      </c>
      <c r="AA54" s="136">
        <v>0</v>
      </c>
      <c r="AB54" s="136">
        <v>0</v>
      </c>
      <c r="AC54" s="136">
        <v>0</v>
      </c>
      <c r="AD54" s="136">
        <v>0</v>
      </c>
      <c r="AE54" s="136">
        <v>0</v>
      </c>
      <c r="AF54" s="136">
        <v>0</v>
      </c>
      <c r="AG54" s="136">
        <v>0</v>
      </c>
      <c r="AH54" s="136">
        <v>0</v>
      </c>
      <c r="AI54" s="136">
        <v>0</v>
      </c>
      <c r="AJ54" s="136">
        <v>0</v>
      </c>
      <c r="AK54" s="136">
        <v>0</v>
      </c>
      <c r="AL54" s="137">
        <f t="shared" si="7"/>
        <v>0</v>
      </c>
      <c r="AM54" s="138">
        <f t="shared" si="8"/>
        <v>15658</v>
      </c>
      <c r="AN54" s="96" t="str">
        <f t="shared" si="9"/>
        <v>SHORTAGE</v>
      </c>
      <c r="AO54" s="97">
        <f t="shared" si="10"/>
        <v>0</v>
      </c>
      <c r="AP54" s="96" t="str">
        <f t="shared" si="11"/>
        <v>WITHIN_HORIZON</v>
      </c>
    </row>
    <row r="55" spans="1:42" ht="16.5" customHeight="1" x14ac:dyDescent="0.3">
      <c r="A55" s="132" t="s">
        <v>38</v>
      </c>
      <c r="B55" s="133" t="s">
        <v>39</v>
      </c>
      <c r="C55" s="133" t="s">
        <v>40</v>
      </c>
      <c r="D55" s="133" t="s">
        <v>41</v>
      </c>
      <c r="E55" s="133" t="s">
        <v>42</v>
      </c>
      <c r="F55" s="134">
        <v>5000</v>
      </c>
      <c r="G55" s="135">
        <v>46164</v>
      </c>
      <c r="H55" s="134">
        <v>8370</v>
      </c>
      <c r="I55" s="135">
        <f t="shared" si="5"/>
        <v>46150</v>
      </c>
      <c r="J55" s="135">
        <f t="shared" si="6"/>
        <v>46157</v>
      </c>
      <c r="K55" s="136">
        <v>0</v>
      </c>
      <c r="L55" s="136">
        <v>0</v>
      </c>
      <c r="M55" s="136">
        <v>0</v>
      </c>
      <c r="N55" s="136">
        <v>0</v>
      </c>
      <c r="O55" s="136">
        <v>0</v>
      </c>
      <c r="P55" s="136">
        <v>0</v>
      </c>
      <c r="Q55" s="136">
        <v>0</v>
      </c>
      <c r="R55" s="136">
        <v>0</v>
      </c>
      <c r="S55" s="136">
        <v>0</v>
      </c>
      <c r="T55" s="136">
        <v>0</v>
      </c>
      <c r="U55" s="136">
        <v>0</v>
      </c>
      <c r="V55" s="136">
        <v>0</v>
      </c>
      <c r="W55" s="136">
        <v>0</v>
      </c>
      <c r="X55" s="136">
        <v>0</v>
      </c>
      <c r="Y55" s="136">
        <v>0</v>
      </c>
      <c r="Z55" s="136">
        <v>0</v>
      </c>
      <c r="AA55" s="136">
        <v>0</v>
      </c>
      <c r="AB55" s="136">
        <v>0</v>
      </c>
      <c r="AC55" s="136">
        <v>0</v>
      </c>
      <c r="AD55" s="136">
        <v>0</v>
      </c>
      <c r="AE55" s="136">
        <v>833</v>
      </c>
      <c r="AF55" s="136">
        <v>833</v>
      </c>
      <c r="AG55" s="136">
        <v>833</v>
      </c>
      <c r="AH55" s="136">
        <v>0</v>
      </c>
      <c r="AI55" s="136">
        <v>0</v>
      </c>
      <c r="AJ55" s="136">
        <v>833</v>
      </c>
      <c r="AK55" s="136">
        <v>0</v>
      </c>
      <c r="AL55" s="137">
        <f t="shared" si="7"/>
        <v>3332</v>
      </c>
      <c r="AM55" s="138">
        <f t="shared" si="8"/>
        <v>5038</v>
      </c>
      <c r="AN55" s="96" t="str">
        <f t="shared" si="9"/>
        <v>SHORTAGE</v>
      </c>
      <c r="AO55" s="97">
        <f t="shared" si="10"/>
        <v>0</v>
      </c>
      <c r="AP55" s="96" t="str">
        <f t="shared" si="11"/>
        <v>WITHIN_HORIZON</v>
      </c>
    </row>
    <row r="56" spans="1:42" ht="16.5" customHeight="1" x14ac:dyDescent="0.3">
      <c r="A56" s="132" t="s">
        <v>43</v>
      </c>
      <c r="B56" s="133" t="s">
        <v>44</v>
      </c>
      <c r="C56" s="133" t="s">
        <v>40</v>
      </c>
      <c r="D56" s="133" t="s">
        <v>45</v>
      </c>
      <c r="E56" s="133" t="s">
        <v>42</v>
      </c>
      <c r="F56" s="134">
        <v>5000</v>
      </c>
      <c r="G56" s="135">
        <v>46164</v>
      </c>
      <c r="H56" s="134">
        <v>9990</v>
      </c>
      <c r="I56" s="135">
        <f t="shared" si="5"/>
        <v>46150</v>
      </c>
      <c r="J56" s="135">
        <f t="shared" si="6"/>
        <v>46157</v>
      </c>
      <c r="K56" s="136">
        <v>0</v>
      </c>
      <c r="L56" s="136">
        <v>0</v>
      </c>
      <c r="M56" s="136">
        <v>0</v>
      </c>
      <c r="N56" s="136">
        <v>0</v>
      </c>
      <c r="O56" s="136">
        <v>0</v>
      </c>
      <c r="P56" s="136">
        <v>0</v>
      </c>
      <c r="Q56" s="136">
        <v>0</v>
      </c>
      <c r="R56" s="136">
        <v>0</v>
      </c>
      <c r="S56" s="136">
        <v>0</v>
      </c>
      <c r="T56" s="136">
        <v>0</v>
      </c>
      <c r="U56" s="136">
        <v>0</v>
      </c>
      <c r="V56" s="136">
        <v>0</v>
      </c>
      <c r="W56" s="136">
        <v>0</v>
      </c>
      <c r="X56" s="136">
        <v>0</v>
      </c>
      <c r="Y56" s="136">
        <v>0</v>
      </c>
      <c r="Z56" s="136">
        <v>0</v>
      </c>
      <c r="AA56" s="136">
        <v>0</v>
      </c>
      <c r="AB56" s="136">
        <v>0</v>
      </c>
      <c r="AC56" s="136">
        <v>0</v>
      </c>
      <c r="AD56" s="136">
        <v>0</v>
      </c>
      <c r="AE56" s="136">
        <v>0</v>
      </c>
      <c r="AF56" s="136">
        <v>0</v>
      </c>
      <c r="AG56" s="136">
        <v>0</v>
      </c>
      <c r="AH56" s="136">
        <v>833</v>
      </c>
      <c r="AI56" s="136">
        <v>833</v>
      </c>
      <c r="AJ56" s="136">
        <v>0</v>
      </c>
      <c r="AK56" s="136">
        <v>0</v>
      </c>
      <c r="AL56" s="137">
        <f t="shared" si="7"/>
        <v>1666</v>
      </c>
      <c r="AM56" s="138">
        <f t="shared" si="8"/>
        <v>8324</v>
      </c>
      <c r="AN56" s="96" t="str">
        <f t="shared" si="9"/>
        <v>SHORTAGE</v>
      </c>
      <c r="AO56" s="97">
        <f t="shared" si="10"/>
        <v>0</v>
      </c>
      <c r="AP56" s="96" t="str">
        <f t="shared" si="11"/>
        <v>WITHIN_HORIZON</v>
      </c>
    </row>
    <row r="57" spans="1:42" ht="16.5" customHeight="1" x14ac:dyDescent="0.3">
      <c r="A57" s="132" t="s">
        <v>46</v>
      </c>
      <c r="B57" s="133" t="s">
        <v>47</v>
      </c>
      <c r="C57" s="133" t="s">
        <v>48</v>
      </c>
      <c r="D57" s="133" t="s">
        <v>49</v>
      </c>
      <c r="E57" s="133" t="s">
        <v>50</v>
      </c>
      <c r="F57" s="134">
        <v>3000</v>
      </c>
      <c r="G57" s="135">
        <v>46164</v>
      </c>
      <c r="H57" s="134">
        <v>698</v>
      </c>
      <c r="I57" s="135">
        <f t="shared" si="5"/>
        <v>46150</v>
      </c>
      <c r="J57" s="135">
        <f t="shared" si="6"/>
        <v>46157</v>
      </c>
      <c r="K57" s="136">
        <v>0</v>
      </c>
      <c r="L57" s="136">
        <v>0</v>
      </c>
      <c r="M57" s="136">
        <v>0</v>
      </c>
      <c r="N57" s="136">
        <v>0</v>
      </c>
      <c r="O57" s="136">
        <v>0</v>
      </c>
      <c r="P57" s="136">
        <v>0</v>
      </c>
      <c r="Q57" s="136">
        <v>0</v>
      </c>
      <c r="R57" s="136">
        <v>0</v>
      </c>
      <c r="S57" s="136">
        <v>0</v>
      </c>
      <c r="T57" s="136">
        <v>0</v>
      </c>
      <c r="U57" s="136">
        <v>0</v>
      </c>
      <c r="V57" s="136">
        <v>0</v>
      </c>
      <c r="W57" s="136">
        <v>0</v>
      </c>
      <c r="X57" s="136">
        <v>0</v>
      </c>
      <c r="Y57" s="136">
        <v>0</v>
      </c>
      <c r="Z57" s="136">
        <v>0</v>
      </c>
      <c r="AA57" s="136">
        <v>0</v>
      </c>
      <c r="AB57" s="136">
        <v>0</v>
      </c>
      <c r="AC57" s="136">
        <v>0</v>
      </c>
      <c r="AD57" s="136">
        <v>0</v>
      </c>
      <c r="AE57" s="136">
        <v>0</v>
      </c>
      <c r="AF57" s="136">
        <v>500</v>
      </c>
      <c r="AG57" s="136">
        <v>0</v>
      </c>
      <c r="AH57" s="136">
        <v>198</v>
      </c>
      <c r="AI57" s="136">
        <v>0</v>
      </c>
      <c r="AJ57" s="136">
        <v>0</v>
      </c>
      <c r="AK57" s="136">
        <v>0</v>
      </c>
      <c r="AL57" s="137">
        <f t="shared" si="7"/>
        <v>698</v>
      </c>
      <c r="AM57" s="138">
        <f t="shared" si="8"/>
        <v>0</v>
      </c>
      <c r="AN57" s="96" t="str">
        <f t="shared" si="9"/>
        <v>OK</v>
      </c>
      <c r="AO57" s="97">
        <f t="shared" si="10"/>
        <v>0</v>
      </c>
      <c r="AP57" s="96" t="str">
        <f t="shared" si="11"/>
        <v>WITHIN_HORIZON</v>
      </c>
    </row>
    <row r="58" spans="1:42" ht="16.5" customHeight="1" x14ac:dyDescent="0.3">
      <c r="A58" s="132" t="s">
        <v>51</v>
      </c>
      <c r="B58" s="133" t="s">
        <v>52</v>
      </c>
      <c r="C58" s="133" t="s">
        <v>32</v>
      </c>
      <c r="D58" s="133" t="s">
        <v>53</v>
      </c>
      <c r="E58" s="133" t="s">
        <v>50</v>
      </c>
      <c r="F58" s="134">
        <v>3000</v>
      </c>
      <c r="G58" s="135">
        <v>46164</v>
      </c>
      <c r="H58" s="134">
        <v>3802</v>
      </c>
      <c r="I58" s="135">
        <f t="shared" si="5"/>
        <v>46150</v>
      </c>
      <c r="J58" s="135">
        <f t="shared" si="6"/>
        <v>46157</v>
      </c>
      <c r="K58" s="136">
        <v>0</v>
      </c>
      <c r="L58" s="136">
        <v>0</v>
      </c>
      <c r="M58" s="136">
        <v>0</v>
      </c>
      <c r="N58" s="136">
        <v>0</v>
      </c>
      <c r="O58" s="136">
        <v>0</v>
      </c>
      <c r="P58" s="136">
        <v>0</v>
      </c>
      <c r="Q58" s="136">
        <v>0</v>
      </c>
      <c r="R58" s="136">
        <v>0</v>
      </c>
      <c r="S58" s="136">
        <v>0</v>
      </c>
      <c r="T58" s="136">
        <v>0</v>
      </c>
      <c r="U58" s="136">
        <v>0</v>
      </c>
      <c r="V58" s="136">
        <v>0</v>
      </c>
      <c r="W58" s="136">
        <v>0</v>
      </c>
      <c r="X58" s="136">
        <v>0</v>
      </c>
      <c r="Y58" s="136">
        <v>0</v>
      </c>
      <c r="Z58" s="136">
        <v>0</v>
      </c>
      <c r="AA58" s="136">
        <v>0</v>
      </c>
      <c r="AB58" s="136">
        <v>0</v>
      </c>
      <c r="AC58" s="136">
        <v>0</v>
      </c>
      <c r="AD58" s="136">
        <v>0</v>
      </c>
      <c r="AE58" s="136">
        <v>0</v>
      </c>
      <c r="AF58" s="136">
        <v>0</v>
      </c>
      <c r="AG58" s="136">
        <v>500</v>
      </c>
      <c r="AH58" s="136">
        <v>302</v>
      </c>
      <c r="AI58" s="136">
        <v>500</v>
      </c>
      <c r="AJ58" s="136">
        <v>500</v>
      </c>
      <c r="AK58" s="136">
        <v>500</v>
      </c>
      <c r="AL58" s="137">
        <f t="shared" si="7"/>
        <v>2302</v>
      </c>
      <c r="AM58" s="138">
        <f t="shared" si="8"/>
        <v>1500</v>
      </c>
      <c r="AN58" s="96" t="str">
        <f t="shared" si="9"/>
        <v>SHORTAGE</v>
      </c>
      <c r="AO58" s="97">
        <f t="shared" si="10"/>
        <v>0</v>
      </c>
      <c r="AP58" s="96" t="str">
        <f t="shared" si="11"/>
        <v>WITHIN_HORIZON</v>
      </c>
    </row>
    <row r="59" spans="1:42" ht="16.5" customHeight="1" x14ac:dyDescent="0.3">
      <c r="A59" s="132" t="s">
        <v>30</v>
      </c>
      <c r="B59" s="133" t="s">
        <v>31</v>
      </c>
      <c r="C59" s="133" t="s">
        <v>32</v>
      </c>
      <c r="D59" s="133" t="s">
        <v>33</v>
      </c>
      <c r="E59" s="133" t="s">
        <v>34</v>
      </c>
      <c r="F59" s="134">
        <v>15000</v>
      </c>
      <c r="G59" s="135">
        <v>46171</v>
      </c>
      <c r="H59" s="134">
        <v>11000</v>
      </c>
      <c r="I59" s="135">
        <f t="shared" si="5"/>
        <v>46157</v>
      </c>
      <c r="J59" s="135">
        <f t="shared" si="6"/>
        <v>46164</v>
      </c>
      <c r="K59" s="136">
        <v>0</v>
      </c>
      <c r="L59" s="136">
        <v>0</v>
      </c>
      <c r="M59" s="136">
        <v>0</v>
      </c>
      <c r="N59" s="136">
        <v>0</v>
      </c>
      <c r="O59" s="136">
        <v>0</v>
      </c>
      <c r="P59" s="136">
        <v>0</v>
      </c>
      <c r="Q59" s="136">
        <v>0</v>
      </c>
      <c r="R59" s="136">
        <v>0</v>
      </c>
      <c r="S59" s="136">
        <v>0</v>
      </c>
      <c r="T59" s="136">
        <v>0</v>
      </c>
      <c r="U59" s="136">
        <v>0</v>
      </c>
      <c r="V59" s="136">
        <v>0</v>
      </c>
      <c r="W59" s="136">
        <v>0</v>
      </c>
      <c r="X59" s="136">
        <v>0</v>
      </c>
      <c r="Y59" s="136">
        <v>0</v>
      </c>
      <c r="Z59" s="136">
        <v>0</v>
      </c>
      <c r="AA59" s="136">
        <v>0</v>
      </c>
      <c r="AB59" s="136">
        <v>0</v>
      </c>
      <c r="AC59" s="136">
        <v>0</v>
      </c>
      <c r="AD59" s="136">
        <v>0</v>
      </c>
      <c r="AE59" s="136">
        <v>0</v>
      </c>
      <c r="AF59" s="136">
        <v>0</v>
      </c>
      <c r="AG59" s="136">
        <v>0</v>
      </c>
      <c r="AH59" s="136">
        <v>0</v>
      </c>
      <c r="AI59" s="136">
        <v>0</v>
      </c>
      <c r="AJ59" s="136">
        <v>0</v>
      </c>
      <c r="AK59" s="136">
        <v>0</v>
      </c>
      <c r="AL59" s="137">
        <f t="shared" si="7"/>
        <v>0</v>
      </c>
      <c r="AM59" s="138">
        <f t="shared" si="8"/>
        <v>11000</v>
      </c>
      <c r="AN59" s="96" t="str">
        <f t="shared" si="9"/>
        <v>OUT_OF_HORIZON</v>
      </c>
      <c r="AO59" s="97">
        <f t="shared" si="10"/>
        <v>0</v>
      </c>
      <c r="AP59" s="96" t="str">
        <f t="shared" si="11"/>
        <v>PARTIAL_HORIZON</v>
      </c>
    </row>
    <row r="60" spans="1:42" ht="16.5" customHeight="1" x14ac:dyDescent="0.3">
      <c r="A60" s="132" t="s">
        <v>35</v>
      </c>
      <c r="B60" s="133" t="s">
        <v>36</v>
      </c>
      <c r="C60" s="133" t="s">
        <v>32</v>
      </c>
      <c r="D60" s="133" t="s">
        <v>37</v>
      </c>
      <c r="E60" s="133" t="s">
        <v>34</v>
      </c>
      <c r="F60" s="134">
        <v>15000</v>
      </c>
      <c r="G60" s="135">
        <v>46171</v>
      </c>
      <c r="H60" s="134">
        <v>8865</v>
      </c>
      <c r="I60" s="135">
        <f t="shared" si="5"/>
        <v>46157</v>
      </c>
      <c r="J60" s="135">
        <f t="shared" si="6"/>
        <v>46164</v>
      </c>
      <c r="K60" s="136">
        <v>0</v>
      </c>
      <c r="L60" s="136">
        <v>0</v>
      </c>
      <c r="M60" s="136">
        <v>0</v>
      </c>
      <c r="N60" s="136">
        <v>0</v>
      </c>
      <c r="O60" s="136">
        <v>0</v>
      </c>
      <c r="P60" s="136">
        <v>0</v>
      </c>
      <c r="Q60" s="136">
        <v>0</v>
      </c>
      <c r="R60" s="136">
        <v>0</v>
      </c>
      <c r="S60" s="136">
        <v>0</v>
      </c>
      <c r="T60" s="136">
        <v>0</v>
      </c>
      <c r="U60" s="136">
        <v>0</v>
      </c>
      <c r="V60" s="136">
        <v>0</v>
      </c>
      <c r="W60" s="136">
        <v>0</v>
      </c>
      <c r="X60" s="136">
        <v>0</v>
      </c>
      <c r="Y60" s="136">
        <v>0</v>
      </c>
      <c r="Z60" s="136">
        <v>0</v>
      </c>
      <c r="AA60" s="136">
        <v>0</v>
      </c>
      <c r="AB60" s="136">
        <v>0</v>
      </c>
      <c r="AC60" s="136">
        <v>0</v>
      </c>
      <c r="AD60" s="136">
        <v>0</v>
      </c>
      <c r="AE60" s="136">
        <v>0</v>
      </c>
      <c r="AF60" s="136">
        <v>0</v>
      </c>
      <c r="AG60" s="136">
        <v>0</v>
      </c>
      <c r="AH60" s="136">
        <v>0</v>
      </c>
      <c r="AI60" s="136">
        <v>0</v>
      </c>
      <c r="AJ60" s="136">
        <v>0</v>
      </c>
      <c r="AK60" s="136">
        <v>0</v>
      </c>
      <c r="AL60" s="137">
        <f t="shared" si="7"/>
        <v>0</v>
      </c>
      <c r="AM60" s="138">
        <f t="shared" si="8"/>
        <v>8865</v>
      </c>
      <c r="AN60" s="96" t="str">
        <f t="shared" si="9"/>
        <v>OUT_OF_HORIZON</v>
      </c>
      <c r="AO60" s="97">
        <f t="shared" si="10"/>
        <v>0</v>
      </c>
      <c r="AP60" s="96" t="str">
        <f t="shared" si="11"/>
        <v>PARTIAL_HORIZON</v>
      </c>
    </row>
    <row r="61" spans="1:42" ht="16.5" customHeight="1" x14ac:dyDescent="0.3">
      <c r="A61" s="132" t="s">
        <v>38</v>
      </c>
      <c r="B61" s="133" t="s">
        <v>39</v>
      </c>
      <c r="C61" s="133" t="s">
        <v>40</v>
      </c>
      <c r="D61" s="133" t="s">
        <v>41</v>
      </c>
      <c r="E61" s="133" t="s">
        <v>42</v>
      </c>
      <c r="F61" s="134">
        <v>5000</v>
      </c>
      <c r="G61" s="135">
        <v>46171</v>
      </c>
      <c r="H61" s="134">
        <v>11782</v>
      </c>
      <c r="I61" s="135">
        <f t="shared" si="5"/>
        <v>46157</v>
      </c>
      <c r="J61" s="135">
        <f t="shared" si="6"/>
        <v>46164</v>
      </c>
      <c r="K61" s="136">
        <v>0</v>
      </c>
      <c r="L61" s="136">
        <v>0</v>
      </c>
      <c r="M61" s="136">
        <v>0</v>
      </c>
      <c r="N61" s="136">
        <v>0</v>
      </c>
      <c r="O61" s="136">
        <v>0</v>
      </c>
      <c r="P61" s="136">
        <v>0</v>
      </c>
      <c r="Q61" s="136">
        <v>0</v>
      </c>
      <c r="R61" s="136">
        <v>0</v>
      </c>
      <c r="S61" s="136">
        <v>0</v>
      </c>
      <c r="T61" s="136">
        <v>0</v>
      </c>
      <c r="U61" s="136">
        <v>0</v>
      </c>
      <c r="V61" s="136">
        <v>0</v>
      </c>
      <c r="W61" s="136">
        <v>0</v>
      </c>
      <c r="X61" s="136">
        <v>0</v>
      </c>
      <c r="Y61" s="136">
        <v>0</v>
      </c>
      <c r="Z61" s="136">
        <v>0</v>
      </c>
      <c r="AA61" s="136">
        <v>0</v>
      </c>
      <c r="AB61" s="136">
        <v>0</v>
      </c>
      <c r="AC61" s="136">
        <v>0</v>
      </c>
      <c r="AD61" s="136">
        <v>0</v>
      </c>
      <c r="AE61" s="136">
        <v>0</v>
      </c>
      <c r="AF61" s="136">
        <v>0</v>
      </c>
      <c r="AG61" s="136">
        <v>0</v>
      </c>
      <c r="AH61" s="136">
        <v>0</v>
      </c>
      <c r="AI61" s="136">
        <v>0</v>
      </c>
      <c r="AJ61" s="136">
        <v>0</v>
      </c>
      <c r="AK61" s="136">
        <v>0</v>
      </c>
      <c r="AL61" s="137">
        <f t="shared" si="7"/>
        <v>0</v>
      </c>
      <c r="AM61" s="138">
        <f t="shared" si="8"/>
        <v>11782</v>
      </c>
      <c r="AN61" s="96" t="str">
        <f t="shared" si="9"/>
        <v>OUT_OF_HORIZON</v>
      </c>
      <c r="AO61" s="97">
        <f t="shared" si="10"/>
        <v>0</v>
      </c>
      <c r="AP61" s="96" t="str">
        <f t="shared" si="11"/>
        <v>PARTIAL_HORIZON</v>
      </c>
    </row>
    <row r="62" spans="1:42" ht="16.5" customHeight="1" x14ac:dyDescent="0.3">
      <c r="A62" s="132" t="s">
        <v>43</v>
      </c>
      <c r="B62" s="133" t="s">
        <v>44</v>
      </c>
      <c r="C62" s="133" t="s">
        <v>40</v>
      </c>
      <c r="D62" s="133" t="s">
        <v>45</v>
      </c>
      <c r="E62" s="133" t="s">
        <v>42</v>
      </c>
      <c r="F62" s="134">
        <v>5000</v>
      </c>
      <c r="G62" s="135">
        <v>46171</v>
      </c>
      <c r="H62" s="134">
        <v>5840</v>
      </c>
      <c r="I62" s="135">
        <f t="shared" si="5"/>
        <v>46157</v>
      </c>
      <c r="J62" s="135">
        <f t="shared" si="6"/>
        <v>46164</v>
      </c>
      <c r="K62" s="136">
        <v>0</v>
      </c>
      <c r="L62" s="136">
        <v>0</v>
      </c>
      <c r="M62" s="136">
        <v>0</v>
      </c>
      <c r="N62" s="136">
        <v>0</v>
      </c>
      <c r="O62" s="136">
        <v>0</v>
      </c>
      <c r="P62" s="136">
        <v>0</v>
      </c>
      <c r="Q62" s="136">
        <v>0</v>
      </c>
      <c r="R62" s="136">
        <v>0</v>
      </c>
      <c r="S62" s="136">
        <v>0</v>
      </c>
      <c r="T62" s="136">
        <v>0</v>
      </c>
      <c r="U62" s="136">
        <v>0</v>
      </c>
      <c r="V62" s="136">
        <v>0</v>
      </c>
      <c r="W62" s="136">
        <v>0</v>
      </c>
      <c r="X62" s="136">
        <v>0</v>
      </c>
      <c r="Y62" s="136">
        <v>0</v>
      </c>
      <c r="Z62" s="136">
        <v>0</v>
      </c>
      <c r="AA62" s="136">
        <v>0</v>
      </c>
      <c r="AB62" s="136">
        <v>0</v>
      </c>
      <c r="AC62" s="136">
        <v>0</v>
      </c>
      <c r="AD62" s="136">
        <v>0</v>
      </c>
      <c r="AE62" s="136">
        <v>0</v>
      </c>
      <c r="AF62" s="136">
        <v>0</v>
      </c>
      <c r="AG62" s="136">
        <v>0</v>
      </c>
      <c r="AH62" s="136">
        <v>0</v>
      </c>
      <c r="AI62" s="136">
        <v>0</v>
      </c>
      <c r="AJ62" s="136">
        <v>0</v>
      </c>
      <c r="AK62" s="136">
        <v>833</v>
      </c>
      <c r="AL62" s="137">
        <f t="shared" si="7"/>
        <v>833</v>
      </c>
      <c r="AM62" s="138">
        <f t="shared" si="8"/>
        <v>5007</v>
      </c>
      <c r="AN62" s="96" t="str">
        <f t="shared" si="9"/>
        <v>OUT_OF_HORIZON</v>
      </c>
      <c r="AO62" s="97">
        <f t="shared" si="10"/>
        <v>0</v>
      </c>
      <c r="AP62" s="96" t="str">
        <f t="shared" si="11"/>
        <v>PARTIAL_HORIZON</v>
      </c>
    </row>
    <row r="63" spans="1:42" ht="16.5" customHeight="1" x14ac:dyDescent="0.3">
      <c r="A63" s="132" t="s">
        <v>51</v>
      </c>
      <c r="B63" s="133" t="s">
        <v>52</v>
      </c>
      <c r="C63" s="133" t="s">
        <v>32</v>
      </c>
      <c r="D63" s="133" t="s">
        <v>53</v>
      </c>
      <c r="E63" s="133" t="s">
        <v>50</v>
      </c>
      <c r="F63" s="134">
        <v>3000</v>
      </c>
      <c r="G63" s="135">
        <v>46171</v>
      </c>
      <c r="H63" s="134">
        <v>4500</v>
      </c>
      <c r="I63" s="135">
        <f t="shared" si="5"/>
        <v>46157</v>
      </c>
      <c r="J63" s="135">
        <f t="shared" si="6"/>
        <v>46164</v>
      </c>
      <c r="K63" s="136">
        <v>0</v>
      </c>
      <c r="L63" s="136">
        <v>0</v>
      </c>
      <c r="M63" s="136">
        <v>0</v>
      </c>
      <c r="N63" s="136">
        <v>0</v>
      </c>
      <c r="O63" s="136">
        <v>0</v>
      </c>
      <c r="P63" s="136">
        <v>0</v>
      </c>
      <c r="Q63" s="136">
        <v>0</v>
      </c>
      <c r="R63" s="136">
        <v>0</v>
      </c>
      <c r="S63" s="136">
        <v>0</v>
      </c>
      <c r="T63" s="136">
        <v>0</v>
      </c>
      <c r="U63" s="136">
        <v>0</v>
      </c>
      <c r="V63" s="136">
        <v>0</v>
      </c>
      <c r="W63" s="136">
        <v>0</v>
      </c>
      <c r="X63" s="136">
        <v>0</v>
      </c>
      <c r="Y63" s="136">
        <v>0</v>
      </c>
      <c r="Z63" s="136">
        <v>0</v>
      </c>
      <c r="AA63" s="136">
        <v>0</v>
      </c>
      <c r="AB63" s="136">
        <v>0</v>
      </c>
      <c r="AC63" s="136">
        <v>0</v>
      </c>
      <c r="AD63" s="136">
        <v>0</v>
      </c>
      <c r="AE63" s="136">
        <v>0</v>
      </c>
      <c r="AF63" s="136">
        <v>0</v>
      </c>
      <c r="AG63" s="136">
        <v>0</v>
      </c>
      <c r="AH63" s="136">
        <v>0</v>
      </c>
      <c r="AI63" s="136">
        <v>0</v>
      </c>
      <c r="AJ63" s="136">
        <v>0</v>
      </c>
      <c r="AK63" s="136">
        <v>0</v>
      </c>
      <c r="AL63" s="137">
        <f t="shared" si="7"/>
        <v>0</v>
      </c>
      <c r="AM63" s="138">
        <f t="shared" si="8"/>
        <v>4500</v>
      </c>
      <c r="AN63" s="96" t="str">
        <f t="shared" si="9"/>
        <v>OUT_OF_HORIZON</v>
      </c>
      <c r="AO63" s="97">
        <f t="shared" si="10"/>
        <v>0</v>
      </c>
      <c r="AP63" s="96" t="str">
        <f t="shared" si="11"/>
        <v>PARTIAL_HORIZON</v>
      </c>
    </row>
    <row r="64" spans="1:42" ht="14.4" x14ac:dyDescent="0.3"/>
  </sheetData>
  <mergeCells count="40">
    <mergeCell ref="R1:S1"/>
    <mergeCell ref="U1:Z1"/>
    <mergeCell ref="Q14:S14"/>
    <mergeCell ref="AO41:AO42"/>
    <mergeCell ref="AP41:AP42"/>
    <mergeCell ref="AA41:AF41"/>
    <mergeCell ref="AG41:AK41"/>
    <mergeCell ref="AL41:AL42"/>
    <mergeCell ref="AM41:AM42"/>
    <mergeCell ref="AN41:AN42"/>
    <mergeCell ref="U41:Z41"/>
    <mergeCell ref="AD10:AE10"/>
    <mergeCell ref="AD1:AE1"/>
    <mergeCell ref="H41:H42"/>
    <mergeCell ref="I41:I42"/>
    <mergeCell ref="J41:J42"/>
    <mergeCell ref="K41:N41"/>
    <mergeCell ref="O41:T41"/>
    <mergeCell ref="A14:J15"/>
    <mergeCell ref="V4:X4"/>
    <mergeCell ref="A39:J40"/>
    <mergeCell ref="A41:A42"/>
    <mergeCell ref="B41:B42"/>
    <mergeCell ref="C41:C42"/>
    <mergeCell ref="D41:D42"/>
    <mergeCell ref="E41:E42"/>
    <mergeCell ref="F41:F42"/>
    <mergeCell ref="G41:G42"/>
    <mergeCell ref="B12:H12"/>
    <mergeCell ref="A10:H10"/>
    <mergeCell ref="B11:H11"/>
    <mergeCell ref="B8:H8"/>
    <mergeCell ref="B9:H9"/>
    <mergeCell ref="B6:H6"/>
    <mergeCell ref="B7:H7"/>
    <mergeCell ref="B4:H4"/>
    <mergeCell ref="B5:H5"/>
    <mergeCell ref="A1:H2"/>
    <mergeCell ref="J1:O1"/>
    <mergeCell ref="B3:H3"/>
  </mergeCells>
  <conditionalFormatting sqref="AN43:AN63">
    <cfRule type="expression" dxfId="7" priority="1">
      <formula>AN43="OK"</formula>
    </cfRule>
    <cfRule type="expression" dxfId="6" priority="2">
      <formula>AN43="LATE"</formula>
    </cfRule>
    <cfRule type="expression" dxfId="5" priority="3">
      <formula>AN43="SHORTAGE"</formula>
    </cfRule>
    <cfRule type="expression" dxfId="4" priority="4">
      <formula>AN43="SHORTAGE + LATE"</formula>
    </cfRule>
    <cfRule type="expression" dxfId="3" priority="5">
      <formula>AN43="OUT_OF_HORIZON"</formula>
    </cfRule>
  </conditionalFormatting>
  <conditionalFormatting sqref="AP43:AP63">
    <cfRule type="expression" dxfId="2" priority="6">
      <formula>AP43="WITHIN_HORIZON"</formula>
    </cfRule>
    <cfRule type="expression" dxfId="1" priority="7">
      <formula>AP43="PARTIAL_HORIZON"</formula>
    </cfRule>
    <cfRule type="expression" dxfId="0" priority="8">
      <formula>AP43="OUT_OF_HORIZON"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1B18-30E3-4736-9DAB-84D1E584F1CD}">
  <dimension ref="B2:H26"/>
  <sheetViews>
    <sheetView workbookViewId="0">
      <selection activeCell="D7" sqref="D7"/>
    </sheetView>
  </sheetViews>
  <sheetFormatPr defaultRowHeight="14.4" x14ac:dyDescent="0.3"/>
  <cols>
    <col min="2" max="2" width="14.77734375" customWidth="1"/>
    <col min="3" max="3" width="33.77734375" customWidth="1"/>
    <col min="4" max="5" width="27.21875" customWidth="1"/>
    <col min="6" max="6" width="16.77734375" customWidth="1"/>
    <col min="7" max="7" width="18.5546875" customWidth="1"/>
    <col min="8" max="8" width="14" customWidth="1"/>
  </cols>
  <sheetData>
    <row r="2" spans="2:8" ht="28.8" x14ac:dyDescent="0.3">
      <c r="B2" s="19" t="s">
        <v>21</v>
      </c>
      <c r="C2" s="19" t="s">
        <v>22</v>
      </c>
      <c r="D2" s="19" t="s">
        <v>104</v>
      </c>
      <c r="E2" s="19" t="s">
        <v>105</v>
      </c>
      <c r="F2" s="20" t="s">
        <v>106</v>
      </c>
      <c r="G2" t="s">
        <v>23</v>
      </c>
    </row>
    <row r="3" spans="2:8" x14ac:dyDescent="0.3">
      <c r="B3" s="18" t="s">
        <v>30</v>
      </c>
      <c r="C3" t="s">
        <v>31</v>
      </c>
      <c r="D3">
        <v>4</v>
      </c>
      <c r="E3" s="17">
        <v>1</v>
      </c>
      <c r="F3">
        <v>105</v>
      </c>
      <c r="G3" t="s">
        <v>32</v>
      </c>
      <c r="H3" s="21"/>
    </row>
    <row r="4" spans="2:8" x14ac:dyDescent="0.3">
      <c r="B4" s="18" t="s">
        <v>35</v>
      </c>
      <c r="C4" t="s">
        <v>36</v>
      </c>
      <c r="D4">
        <v>4</v>
      </c>
      <c r="E4" s="17">
        <v>0.625</v>
      </c>
      <c r="F4">
        <v>55</v>
      </c>
      <c r="G4" t="s">
        <v>32</v>
      </c>
      <c r="H4" s="21"/>
    </row>
    <row r="5" spans="2:8" x14ac:dyDescent="0.3">
      <c r="B5" s="18" t="s">
        <v>38</v>
      </c>
      <c r="C5" t="s">
        <v>39</v>
      </c>
      <c r="D5">
        <v>2</v>
      </c>
      <c r="E5" s="17">
        <v>1</v>
      </c>
      <c r="F5">
        <v>80</v>
      </c>
      <c r="G5" t="s">
        <v>40</v>
      </c>
      <c r="H5" s="21"/>
    </row>
    <row r="6" spans="2:8" x14ac:dyDescent="0.3">
      <c r="B6" s="18" t="s">
        <v>43</v>
      </c>
      <c r="C6" t="s">
        <v>44</v>
      </c>
      <c r="D6">
        <v>4</v>
      </c>
      <c r="E6" s="17">
        <v>0.625</v>
      </c>
      <c r="F6">
        <v>40</v>
      </c>
      <c r="G6" t="s">
        <v>40</v>
      </c>
      <c r="H6" s="21"/>
    </row>
    <row r="7" spans="2:8" x14ac:dyDescent="0.3">
      <c r="B7" s="18" t="s">
        <v>46</v>
      </c>
      <c r="C7" t="s">
        <v>47</v>
      </c>
      <c r="D7">
        <v>2</v>
      </c>
      <c r="E7" s="17">
        <v>0.625</v>
      </c>
      <c r="F7">
        <v>30</v>
      </c>
      <c r="G7" t="s">
        <v>107</v>
      </c>
      <c r="H7" s="21"/>
    </row>
    <row r="8" spans="2:8" x14ac:dyDescent="0.3">
      <c r="B8" s="18" t="s">
        <v>51</v>
      </c>
      <c r="C8" t="s">
        <v>52</v>
      </c>
      <c r="D8">
        <v>8</v>
      </c>
      <c r="E8" s="17">
        <v>0.78125</v>
      </c>
      <c r="F8">
        <v>90</v>
      </c>
      <c r="G8" t="s">
        <v>32</v>
      </c>
      <c r="H8" s="21"/>
    </row>
    <row r="10" spans="2:8" x14ac:dyDescent="0.3">
      <c r="E10" s="21"/>
    </row>
    <row r="11" spans="2:8" x14ac:dyDescent="0.3">
      <c r="G11" s="21"/>
    </row>
    <row r="12" spans="2:8" x14ac:dyDescent="0.3">
      <c r="G12" s="21"/>
    </row>
    <row r="15" spans="2:8" x14ac:dyDescent="0.3">
      <c r="B15" s="22" t="s">
        <v>108</v>
      </c>
    </row>
    <row r="17" spans="2:6" ht="28.8" x14ac:dyDescent="0.3">
      <c r="B17" s="23" t="s">
        <v>109</v>
      </c>
      <c r="C17" s="23" t="s">
        <v>32</v>
      </c>
      <c r="D17" s="23" t="s">
        <v>40</v>
      </c>
      <c r="E17" s="23" t="s">
        <v>110</v>
      </c>
      <c r="F17" s="28" t="s">
        <v>117</v>
      </c>
    </row>
    <row r="18" spans="2:6" x14ac:dyDescent="0.3">
      <c r="B18" s="24" t="s">
        <v>111</v>
      </c>
      <c r="C18" s="25">
        <v>5200</v>
      </c>
      <c r="D18" s="25">
        <v>4200</v>
      </c>
      <c r="E18" s="25">
        <v>2000</v>
      </c>
      <c r="F18" s="29">
        <v>65</v>
      </c>
    </row>
    <row r="19" spans="2:6" x14ac:dyDescent="0.3">
      <c r="B19" s="24" t="s">
        <v>112</v>
      </c>
      <c r="C19" s="25">
        <v>3000</v>
      </c>
      <c r="D19" s="25">
        <v>2500</v>
      </c>
      <c r="E19" s="25">
        <v>1100</v>
      </c>
      <c r="F19" s="29">
        <v>28</v>
      </c>
    </row>
    <row r="20" spans="2:6" x14ac:dyDescent="0.3">
      <c r="B20" s="24" t="s">
        <v>113</v>
      </c>
      <c r="C20" s="24">
        <v>50</v>
      </c>
      <c r="D20" s="24">
        <v>40</v>
      </c>
      <c r="E20" s="24">
        <v>25</v>
      </c>
      <c r="F20" s="24"/>
    </row>
    <row r="21" spans="2:6" x14ac:dyDescent="0.3">
      <c r="B21" s="24"/>
      <c r="C21" s="24"/>
      <c r="D21" s="24"/>
      <c r="E21" s="24"/>
      <c r="F21" s="24"/>
    </row>
    <row r="22" spans="2:6" x14ac:dyDescent="0.3">
      <c r="B22" s="27" t="s">
        <v>114</v>
      </c>
      <c r="C22" s="24"/>
      <c r="D22" s="24"/>
      <c r="E22" s="24"/>
      <c r="F22" s="24"/>
    </row>
    <row r="23" spans="2:6" x14ac:dyDescent="0.3">
      <c r="B23" s="24" t="s">
        <v>115</v>
      </c>
      <c r="C23" s="25">
        <v>200</v>
      </c>
      <c r="D23" s="25">
        <v>70</v>
      </c>
      <c r="E23" s="25">
        <v>35</v>
      </c>
      <c r="F23" s="25"/>
    </row>
    <row r="24" spans="2:6" x14ac:dyDescent="0.3">
      <c r="B24" s="24" t="s">
        <v>113</v>
      </c>
      <c r="C24" s="26">
        <v>55</v>
      </c>
      <c r="D24" s="26">
        <v>45</v>
      </c>
      <c r="E24" s="26">
        <v>30</v>
      </c>
      <c r="F24" s="26"/>
    </row>
    <row r="26" spans="2:6" x14ac:dyDescent="0.3">
      <c r="B26" s="2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Overall Case Study</vt:lpstr>
      <vt:lpstr>Demand</vt:lpstr>
      <vt:lpstr>Demand_</vt:lpstr>
      <vt:lpstr>weekly_demand</vt:lpstr>
      <vt:lpstr>demand_matrix</vt:lpstr>
      <vt:lpstr>MPS</vt:lpstr>
      <vt:lpstr>BOM_demand</vt:lpstr>
      <vt:lpstr>MRP</vt:lpstr>
      <vt:lpstr>All_Load_Detail</vt:lpstr>
      <vt:lpstr>Weekly_All_Markets</vt:lpstr>
      <vt:lpstr>Summary_All</vt:lpstr>
      <vt:lpstr>BOM &amp; Inventory</vt:lpstr>
      <vt:lpstr>Demand for Production Plan</vt:lpstr>
      <vt:lpstr>Production Plan</vt:lpstr>
      <vt:lpstr>Production Plan_new scenario</vt:lpstr>
      <vt:lpstr>FGs &amp; Log information </vt:lpstr>
    </vt:vector>
  </TitlesOfParts>
  <Manager/>
  <Company>TTi PRC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Tran Huu Thong (VN.OP-PMC)</dc:creator>
  <cp:keywords/>
  <dc:description/>
  <cp:lastModifiedBy>Đức Trí Phạm</cp:lastModifiedBy>
  <cp:revision/>
  <dcterms:created xsi:type="dcterms:W3CDTF">2026-04-02T02:37:40Z</dcterms:created>
  <dcterms:modified xsi:type="dcterms:W3CDTF">2026-04-14T18:52:40Z</dcterms:modified>
  <cp:category/>
  <cp:contentStatus/>
</cp:coreProperties>
</file>